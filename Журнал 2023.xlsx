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bookViews>
    <workbookView xWindow="0" yWindow="0" windowWidth="15600" windowHeight="11760" tabRatio="598"/>
  </bookViews>
  <sheets>
    <sheet name="Лист1" sheetId="1" r:id="rId1"/>
    <sheet name="Лист2" sheetId="2" r:id="rId2"/>
    <sheet name="Лист3" sheetId="3" r:id="rId3"/>
  </sheets>
  <externalReferences>
    <externalReference r:id="rId4"/>
  </externalReferences>
  <definedNames>
    <definedName name="в">[1]Лист2!$G$2:$G$9</definedName>
    <definedName name="Доставлен_СМП">Лист2!$F$16:$F$23</definedName>
    <definedName name="Из_других_больниц">Лист2!$J$16:$J$23</definedName>
    <definedName name="Из_операционной">Лист2!$G$16:$G$23</definedName>
    <definedName name="Из_профильных_отделений">Лист2!$I$16:$I$23</definedName>
    <definedName name="Из_родильных_домов">Лист2!$L$16:$L$23</definedName>
    <definedName name="Канал_поступления">Лист2!$E$2:$E$8</definedName>
    <definedName name="Категории_диагнозов">Лист3!$A$2:$A$18</definedName>
    <definedName name="Куда_переведён">Лист2!$G$2:$G$12</definedName>
    <definedName name="Манипуляции">Лист2!$Y$2:$Y$13</definedName>
    <definedName name="Отделения">Лист2!$G$2:$G$9</definedName>
    <definedName name="Повторное_поступление">Лист2!$K$16:$K$23</definedName>
    <definedName name="Самотёком">Лист2!$M$16:$M$23</definedName>
    <definedName name="Трансфузии">Лист2!$Q$2:$Q$8</definedName>
  </definedNames>
  <calcPr calcId="145621"/>
</workbook>
</file>

<file path=xl/calcChain.xml><?xml version="1.0" encoding="utf-8"?>
<calcChain xmlns="http://schemas.openxmlformats.org/spreadsheetml/2006/main">
  <c r="A561" i="1" l="1"/>
  <c r="V505" i="1" l="1"/>
  <c r="V515" i="1" l="1"/>
  <c r="H515" i="1" l="1"/>
  <c r="H462" i="1" l="1"/>
  <c r="H442" i="1" l="1"/>
  <c r="V437" i="1" l="1"/>
  <c r="H437" i="1"/>
  <c r="A437" i="1"/>
  <c r="V400" i="1" l="1"/>
  <c r="H400" i="1"/>
  <c r="A396" i="1" l="1"/>
  <c r="V317" i="1" l="1"/>
  <c r="H345" i="1" l="1"/>
  <c r="V320" i="1" l="1"/>
  <c r="H320" i="1" l="1"/>
  <c r="H317" i="1"/>
  <c r="H318" i="1"/>
  <c r="H316" i="1"/>
  <c r="H319" i="1"/>
  <c r="H324" i="1"/>
  <c r="H308" i="1" l="1"/>
  <c r="H292" i="1" l="1"/>
  <c r="H268" i="1" l="1"/>
  <c r="H265" i="1" l="1"/>
  <c r="V250" i="1" l="1"/>
  <c r="V251" i="1"/>
  <c r="H249" i="1" l="1"/>
  <c r="H231" i="1" l="1"/>
  <c r="H230" i="1" l="1"/>
  <c r="A196" i="1" l="1"/>
  <c r="V201" i="1" l="1"/>
  <c r="V165" i="1" l="1"/>
  <c r="T3" i="2" l="1"/>
  <c r="P2" i="2" s="1"/>
  <c r="H122" i="1" l="1"/>
  <c r="V89" i="1" l="1"/>
  <c r="A78" i="1" l="1"/>
  <c r="H50" i="1" l="1"/>
  <c r="H30" i="1" l="1"/>
  <c r="H23" i="1" l="1"/>
  <c r="R4" i="2" l="1"/>
  <c r="R3" i="2"/>
  <c r="R2" i="2"/>
  <c r="R12" i="2"/>
  <c r="R11" i="2"/>
  <c r="R10" i="2"/>
  <c r="R8" i="2"/>
  <c r="R7" i="2"/>
  <c r="R6" i="2"/>
  <c r="R5" i="2"/>
  <c r="R9" i="2" l="1"/>
  <c r="H2" i="1"/>
  <c r="W484" i="2" l="1"/>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3" i="2"/>
  <c r="V2511" i="2"/>
  <c r="V2510" i="2"/>
  <c r="V2509" i="2"/>
  <c r="V2508" i="2"/>
  <c r="V2507" i="2"/>
  <c r="V2506" i="2"/>
  <c r="V2505" i="2"/>
  <c r="V2504" i="2"/>
  <c r="V2503" i="2"/>
  <c r="V2502" i="2"/>
  <c r="V2501" i="2"/>
  <c r="V2500" i="2"/>
  <c r="V2499" i="2"/>
  <c r="V2498" i="2"/>
  <c r="V2497" i="2"/>
  <c r="V2496" i="2"/>
  <c r="V2495" i="2"/>
  <c r="V2494" i="2"/>
  <c r="V2493" i="2"/>
  <c r="V2492" i="2"/>
  <c r="V2491" i="2"/>
  <c r="V2490" i="2"/>
  <c r="V2489" i="2"/>
  <c r="V2488" i="2"/>
  <c r="V2487" i="2"/>
  <c r="V2486" i="2"/>
  <c r="V2485" i="2"/>
  <c r="V2484" i="2"/>
  <c r="V2483" i="2"/>
  <c r="V2482" i="2"/>
  <c r="V2481" i="2"/>
  <c r="V2480" i="2"/>
  <c r="V2479" i="2"/>
  <c r="V2478" i="2"/>
  <c r="V2477" i="2"/>
  <c r="V2476" i="2"/>
  <c r="V2475" i="2"/>
  <c r="V2474" i="2"/>
  <c r="V2473" i="2"/>
  <c r="V2472" i="2"/>
  <c r="V2471" i="2"/>
  <c r="V2470" i="2"/>
  <c r="V2469" i="2"/>
  <c r="V2468" i="2"/>
  <c r="V2467" i="2"/>
  <c r="V2466" i="2"/>
  <c r="V2465" i="2"/>
  <c r="V2464" i="2"/>
  <c r="V2463" i="2"/>
  <c r="V2462" i="2"/>
  <c r="V2461" i="2"/>
  <c r="V2460" i="2"/>
  <c r="V2459" i="2"/>
  <c r="V2458" i="2"/>
  <c r="V2457" i="2"/>
  <c r="V2456" i="2"/>
  <c r="V2455" i="2"/>
  <c r="V2454" i="2"/>
  <c r="V2453" i="2"/>
  <c r="V2452" i="2"/>
  <c r="V2451" i="2"/>
  <c r="V2450" i="2"/>
  <c r="V2449" i="2"/>
  <c r="V2448" i="2"/>
  <c r="V2447" i="2"/>
  <c r="V2446" i="2"/>
  <c r="V2445" i="2"/>
  <c r="V2444" i="2"/>
  <c r="V2443" i="2"/>
  <c r="V2442" i="2"/>
  <c r="V2441" i="2"/>
  <c r="V2440" i="2"/>
  <c r="V2439" i="2"/>
  <c r="V2438" i="2"/>
  <c r="V2437" i="2"/>
  <c r="V2436" i="2"/>
  <c r="V2435" i="2"/>
  <c r="V2434" i="2"/>
  <c r="V2433" i="2"/>
  <c r="V2432" i="2"/>
  <c r="V2431" i="2"/>
  <c r="V2430" i="2"/>
  <c r="V2429" i="2"/>
  <c r="V2428" i="2"/>
  <c r="V2427" i="2"/>
  <c r="V2426" i="2"/>
  <c r="V2425" i="2"/>
  <c r="V2424" i="2"/>
  <c r="V2423" i="2"/>
  <c r="V2422" i="2"/>
  <c r="V2421" i="2"/>
  <c r="V2420" i="2"/>
  <c r="V2419" i="2"/>
  <c r="V2418" i="2"/>
  <c r="V2417" i="2"/>
  <c r="V2416" i="2"/>
  <c r="V2415" i="2"/>
  <c r="V2414" i="2"/>
  <c r="V2413" i="2"/>
  <c r="V2412" i="2"/>
  <c r="V2411" i="2"/>
  <c r="V2410" i="2"/>
  <c r="V2409" i="2"/>
  <c r="V2408" i="2"/>
  <c r="V2407" i="2"/>
  <c r="V2406" i="2"/>
  <c r="V2405" i="2"/>
  <c r="V2404" i="2"/>
  <c r="V2403" i="2"/>
  <c r="V2402" i="2"/>
  <c r="V2401" i="2"/>
  <c r="V2400" i="2"/>
  <c r="V2399" i="2"/>
  <c r="V2398" i="2"/>
  <c r="V2397" i="2"/>
  <c r="V2396" i="2"/>
  <c r="V2395" i="2"/>
  <c r="V2394" i="2"/>
  <c r="V2393" i="2"/>
  <c r="V2392" i="2"/>
  <c r="V2391" i="2"/>
  <c r="V2390" i="2"/>
  <c r="V2389" i="2"/>
  <c r="V2388" i="2"/>
  <c r="V2387" i="2"/>
  <c r="V2386" i="2"/>
  <c r="V2385" i="2"/>
  <c r="V2384" i="2"/>
  <c r="V2383" i="2"/>
  <c r="V2382" i="2"/>
  <c r="V2381" i="2"/>
  <c r="V2380" i="2"/>
  <c r="V2379" i="2"/>
  <c r="V2378" i="2"/>
  <c r="V2377" i="2"/>
  <c r="V2376" i="2"/>
  <c r="V2375" i="2"/>
  <c r="V2374" i="2"/>
  <c r="V2373" i="2"/>
  <c r="V2372" i="2"/>
  <c r="V2371" i="2"/>
  <c r="V2370" i="2"/>
  <c r="V2369" i="2"/>
  <c r="V2368" i="2"/>
  <c r="V2367" i="2"/>
  <c r="V2366" i="2"/>
  <c r="V2365" i="2"/>
  <c r="V2364" i="2"/>
  <c r="V2363" i="2"/>
  <c r="V2362" i="2"/>
  <c r="V2361" i="2"/>
  <c r="V2360" i="2"/>
  <c r="V2359" i="2"/>
  <c r="V2358" i="2"/>
  <c r="V2357" i="2"/>
  <c r="V2356" i="2"/>
  <c r="V2355" i="2"/>
  <c r="V2354" i="2"/>
  <c r="V2353" i="2"/>
  <c r="V2352" i="2"/>
  <c r="V2351" i="2"/>
  <c r="V2350" i="2"/>
  <c r="V2349" i="2"/>
  <c r="V2348" i="2"/>
  <c r="V2347" i="2"/>
  <c r="V2346" i="2"/>
  <c r="V2345" i="2"/>
  <c r="V2344" i="2"/>
  <c r="V2343" i="2"/>
  <c r="V2342" i="2"/>
  <c r="V2341" i="2"/>
  <c r="V2340" i="2"/>
  <c r="V2339" i="2"/>
  <c r="V2338" i="2"/>
  <c r="V2337" i="2"/>
  <c r="V2336" i="2"/>
  <c r="V2335" i="2"/>
  <c r="V2334" i="2"/>
  <c r="V2333" i="2"/>
  <c r="V2332" i="2"/>
  <c r="V2331" i="2"/>
  <c r="V2330" i="2"/>
  <c r="V2329" i="2"/>
  <c r="V2328" i="2"/>
  <c r="V2327" i="2"/>
  <c r="V2326" i="2"/>
  <c r="V2325" i="2"/>
  <c r="V2324" i="2"/>
  <c r="V2323" i="2"/>
  <c r="V2322" i="2"/>
  <c r="V2321" i="2"/>
  <c r="V2320" i="2"/>
  <c r="V2319" i="2"/>
  <c r="V2318" i="2"/>
  <c r="V2317" i="2"/>
  <c r="V2316" i="2"/>
  <c r="V2315" i="2"/>
  <c r="V2314" i="2"/>
  <c r="V2313" i="2"/>
  <c r="V2312" i="2"/>
  <c r="V2311" i="2"/>
  <c r="V2310" i="2"/>
  <c r="V2309" i="2"/>
  <c r="V2308" i="2"/>
  <c r="V2307" i="2"/>
  <c r="V2306" i="2"/>
  <c r="V2305" i="2"/>
  <c r="V2304" i="2"/>
  <c r="V2303" i="2"/>
  <c r="V2302" i="2"/>
  <c r="V2301" i="2"/>
  <c r="V2300" i="2"/>
  <c r="V2299" i="2"/>
  <c r="V2298" i="2"/>
  <c r="V2297" i="2"/>
  <c r="V2296" i="2"/>
  <c r="V2295" i="2"/>
  <c r="V2294" i="2"/>
  <c r="V2293" i="2"/>
  <c r="V2292" i="2"/>
  <c r="V2291" i="2"/>
  <c r="V2290" i="2"/>
  <c r="V2289" i="2"/>
  <c r="V2288" i="2"/>
  <c r="V2287" i="2"/>
  <c r="V2286" i="2"/>
  <c r="V2285" i="2"/>
  <c r="V2284" i="2"/>
  <c r="V2283" i="2"/>
  <c r="V2282" i="2"/>
  <c r="V2281" i="2"/>
  <c r="V2280" i="2"/>
  <c r="V2279" i="2"/>
  <c r="V2278" i="2"/>
  <c r="V2277" i="2"/>
  <c r="V2276" i="2"/>
  <c r="V2275" i="2"/>
  <c r="V2274" i="2"/>
  <c r="V2273" i="2"/>
  <c r="V2272" i="2"/>
  <c r="V2271" i="2"/>
  <c r="V2270" i="2"/>
  <c r="V2269" i="2"/>
  <c r="V2268" i="2"/>
  <c r="V2267" i="2"/>
  <c r="V2266" i="2"/>
  <c r="V2265" i="2"/>
  <c r="V2264" i="2"/>
  <c r="V2263" i="2"/>
  <c r="V2262" i="2"/>
  <c r="V2261" i="2"/>
  <c r="V2260" i="2"/>
  <c r="V2259" i="2"/>
  <c r="V2258" i="2"/>
  <c r="V2257" i="2"/>
  <c r="V2256" i="2"/>
  <c r="V2255" i="2"/>
  <c r="V2254" i="2"/>
  <c r="V2253" i="2"/>
  <c r="V2252" i="2"/>
  <c r="V2251" i="2"/>
  <c r="V2250" i="2"/>
  <c r="V2249" i="2"/>
  <c r="V2248" i="2"/>
  <c r="V2247" i="2"/>
  <c r="V2246" i="2"/>
  <c r="V2245" i="2"/>
  <c r="V2244" i="2"/>
  <c r="V2243" i="2"/>
  <c r="V2242" i="2"/>
  <c r="V2241" i="2"/>
  <c r="V2240" i="2"/>
  <c r="V2239" i="2"/>
  <c r="V2238" i="2"/>
  <c r="V2237" i="2"/>
  <c r="V2236" i="2"/>
  <c r="V2235" i="2"/>
  <c r="V2234" i="2"/>
  <c r="V2233" i="2"/>
  <c r="V2232" i="2"/>
  <c r="V2231" i="2"/>
  <c r="V2230" i="2"/>
  <c r="V2229" i="2"/>
  <c r="V2228" i="2"/>
  <c r="V2227" i="2"/>
  <c r="V2226" i="2"/>
  <c r="V2225" i="2"/>
  <c r="V2224" i="2"/>
  <c r="V2223" i="2"/>
  <c r="V2222" i="2"/>
  <c r="V2221" i="2"/>
  <c r="V2220" i="2"/>
  <c r="V2219" i="2"/>
  <c r="V2218" i="2"/>
  <c r="V2217" i="2"/>
  <c r="V2216" i="2"/>
  <c r="V2215" i="2"/>
  <c r="V2214" i="2"/>
  <c r="V2213" i="2"/>
  <c r="V2212" i="2"/>
  <c r="V2211" i="2"/>
  <c r="V2210" i="2"/>
  <c r="V2209" i="2"/>
  <c r="V2208" i="2"/>
  <c r="V2207" i="2"/>
  <c r="V2206" i="2"/>
  <c r="V2205" i="2"/>
  <c r="V2204" i="2"/>
  <c r="V2203" i="2"/>
  <c r="V2202" i="2"/>
  <c r="V2201" i="2"/>
  <c r="V2200" i="2"/>
  <c r="V2199" i="2"/>
  <c r="V2198" i="2"/>
  <c r="V2197" i="2"/>
  <c r="V2196" i="2"/>
  <c r="V2195" i="2"/>
  <c r="V2194" i="2"/>
  <c r="V2193" i="2"/>
  <c r="V2192" i="2"/>
  <c r="V2191" i="2"/>
  <c r="V2190" i="2"/>
  <c r="V2189" i="2"/>
  <c r="V2188" i="2"/>
  <c r="V2187" i="2"/>
  <c r="V2186" i="2"/>
  <c r="V2185" i="2"/>
  <c r="V2184" i="2"/>
  <c r="V2183" i="2"/>
  <c r="V2182" i="2"/>
  <c r="V2181" i="2"/>
  <c r="V2180" i="2"/>
  <c r="V2179" i="2"/>
  <c r="V2178" i="2"/>
  <c r="V2177" i="2"/>
  <c r="V2176" i="2"/>
  <c r="V2175" i="2"/>
  <c r="V2174" i="2"/>
  <c r="V2173" i="2"/>
  <c r="V2172" i="2"/>
  <c r="V2171" i="2"/>
  <c r="V2170" i="2"/>
  <c r="V2169" i="2"/>
  <c r="V2168" i="2"/>
  <c r="V2167" i="2"/>
  <c r="V2166" i="2"/>
  <c r="V2165" i="2"/>
  <c r="V2164" i="2"/>
  <c r="V2163" i="2"/>
  <c r="V2162" i="2"/>
  <c r="V2161" i="2"/>
  <c r="V2160" i="2"/>
  <c r="V2159" i="2"/>
  <c r="V2158" i="2"/>
  <c r="V2157" i="2"/>
  <c r="V2156" i="2"/>
  <c r="V2155" i="2"/>
  <c r="V2154" i="2"/>
  <c r="V2153" i="2"/>
  <c r="V2152" i="2"/>
  <c r="V2151" i="2"/>
  <c r="V2150" i="2"/>
  <c r="V2149" i="2"/>
  <c r="V2148" i="2"/>
  <c r="V2147" i="2"/>
  <c r="V2146" i="2"/>
  <c r="V2145" i="2"/>
  <c r="V2144" i="2"/>
  <c r="V2143" i="2"/>
  <c r="V2142" i="2"/>
  <c r="V2141" i="2"/>
  <c r="V2140" i="2"/>
  <c r="V2139" i="2"/>
  <c r="V2138" i="2"/>
  <c r="V2137" i="2"/>
  <c r="V2136" i="2"/>
  <c r="V2135" i="2"/>
  <c r="V2134" i="2"/>
  <c r="V2133" i="2"/>
  <c r="V2132" i="2"/>
  <c r="V2131" i="2"/>
  <c r="V2130" i="2"/>
  <c r="V2129" i="2"/>
  <c r="V2128" i="2"/>
  <c r="V2127" i="2"/>
  <c r="V2126" i="2"/>
  <c r="V2125" i="2"/>
  <c r="V2124" i="2"/>
  <c r="V2123" i="2"/>
  <c r="V2122" i="2"/>
  <c r="V2121" i="2"/>
  <c r="V2120" i="2"/>
  <c r="V2119" i="2"/>
  <c r="V2118" i="2"/>
  <c r="V2117" i="2"/>
  <c r="V2116" i="2"/>
  <c r="V2115" i="2"/>
  <c r="V2114" i="2"/>
  <c r="V2113" i="2"/>
  <c r="V2112" i="2"/>
  <c r="V2111" i="2"/>
  <c r="V2110" i="2"/>
  <c r="V2109" i="2"/>
  <c r="V2108" i="2"/>
  <c r="V2107" i="2"/>
  <c r="V2106" i="2"/>
  <c r="V2105" i="2"/>
  <c r="V2104" i="2"/>
  <c r="V2103" i="2"/>
  <c r="V2102" i="2"/>
  <c r="V2101" i="2"/>
  <c r="V2100" i="2"/>
  <c r="V2099" i="2"/>
  <c r="V2098" i="2"/>
  <c r="V2097" i="2"/>
  <c r="V2096" i="2"/>
  <c r="V2095" i="2"/>
  <c r="V2094" i="2"/>
  <c r="V2093" i="2"/>
  <c r="V2092" i="2"/>
  <c r="V2091" i="2"/>
  <c r="V2090" i="2"/>
  <c r="V2089" i="2"/>
  <c r="V2088" i="2"/>
  <c r="V2087" i="2"/>
  <c r="V2086" i="2"/>
  <c r="V2085" i="2"/>
  <c r="V2084" i="2"/>
  <c r="V2083" i="2"/>
  <c r="V2082" i="2"/>
  <c r="V2081" i="2"/>
  <c r="V2080" i="2"/>
  <c r="V2079" i="2"/>
  <c r="V2078" i="2"/>
  <c r="V2077" i="2"/>
  <c r="V2076" i="2"/>
  <c r="V2075" i="2"/>
  <c r="V2074" i="2"/>
  <c r="V2073" i="2"/>
  <c r="V2072" i="2"/>
  <c r="V2071" i="2"/>
  <c r="V2070" i="2"/>
  <c r="V2069" i="2"/>
  <c r="V2068" i="2"/>
  <c r="V2067" i="2"/>
  <c r="V2066" i="2"/>
  <c r="V2065" i="2"/>
  <c r="V2064" i="2"/>
  <c r="V2063" i="2"/>
  <c r="V2062" i="2"/>
  <c r="V2061" i="2"/>
  <c r="V2060" i="2"/>
  <c r="V2059" i="2"/>
  <c r="V2058" i="2"/>
  <c r="V2057" i="2"/>
  <c r="V2056" i="2"/>
  <c r="V2055" i="2"/>
  <c r="V2054" i="2"/>
  <c r="V2053" i="2"/>
  <c r="V2052" i="2"/>
  <c r="V2051" i="2"/>
  <c r="V2050" i="2"/>
  <c r="V2049" i="2"/>
  <c r="V2048" i="2"/>
  <c r="V2047" i="2"/>
  <c r="V2046" i="2"/>
  <c r="V2045" i="2"/>
  <c r="V2044" i="2"/>
  <c r="V2043" i="2"/>
  <c r="V2042" i="2"/>
  <c r="V2041" i="2"/>
  <c r="V2040" i="2"/>
  <c r="V2039" i="2"/>
  <c r="V2038" i="2"/>
  <c r="V2037" i="2"/>
  <c r="V2036" i="2"/>
  <c r="V2035" i="2"/>
  <c r="V2034" i="2"/>
  <c r="V2033" i="2"/>
  <c r="V2032" i="2"/>
  <c r="V2031" i="2"/>
  <c r="V2030" i="2"/>
  <c r="V2029" i="2"/>
  <c r="V2028" i="2"/>
  <c r="V2027" i="2"/>
  <c r="V2026" i="2"/>
  <c r="V2025" i="2"/>
  <c r="V2024" i="2"/>
  <c r="V2023" i="2"/>
  <c r="V2022" i="2"/>
  <c r="V2021" i="2"/>
  <c r="V2020" i="2"/>
  <c r="V2019" i="2"/>
  <c r="V2018" i="2"/>
  <c r="V2017" i="2"/>
  <c r="V2016" i="2"/>
  <c r="V2015" i="2"/>
  <c r="V2014" i="2"/>
  <c r="V2013" i="2"/>
  <c r="V2012" i="2"/>
  <c r="V2011" i="2"/>
  <c r="V2010" i="2"/>
  <c r="V2009" i="2"/>
  <c r="V2008" i="2"/>
  <c r="V2007" i="2"/>
  <c r="V2006" i="2"/>
  <c r="V2005" i="2"/>
  <c r="V2004" i="2"/>
  <c r="V2003" i="2"/>
  <c r="V2002" i="2"/>
  <c r="V2001" i="2"/>
  <c r="V2000" i="2"/>
  <c r="V1999" i="2"/>
  <c r="V1998" i="2"/>
  <c r="V1997" i="2"/>
  <c r="V1996" i="2"/>
  <c r="V1995" i="2"/>
  <c r="V1994" i="2"/>
  <c r="V1993" i="2"/>
  <c r="V1992" i="2"/>
  <c r="V1991" i="2"/>
  <c r="V1990" i="2"/>
  <c r="V1989" i="2"/>
  <c r="V1988" i="2"/>
  <c r="V1987" i="2"/>
  <c r="V1986" i="2"/>
  <c r="V1985" i="2"/>
  <c r="V1984" i="2"/>
  <c r="V1983" i="2"/>
  <c r="V1982" i="2"/>
  <c r="V1981" i="2"/>
  <c r="V1980" i="2"/>
  <c r="V1979" i="2"/>
  <c r="V1978" i="2"/>
  <c r="V1977" i="2"/>
  <c r="V1976" i="2"/>
  <c r="V1975" i="2"/>
  <c r="V1974" i="2"/>
  <c r="V1973" i="2"/>
  <c r="V1972" i="2"/>
  <c r="V1971" i="2"/>
  <c r="V1970" i="2"/>
  <c r="V1969" i="2"/>
  <c r="V1968" i="2"/>
  <c r="V1967" i="2"/>
  <c r="V1966" i="2"/>
  <c r="V1965" i="2"/>
  <c r="V1964" i="2"/>
  <c r="V1963" i="2"/>
  <c r="V1962" i="2"/>
  <c r="V1961" i="2"/>
  <c r="V1960" i="2"/>
  <c r="V1959" i="2"/>
  <c r="V1958" i="2"/>
  <c r="V1957" i="2"/>
  <c r="V1956" i="2"/>
  <c r="V1955" i="2"/>
  <c r="V1954" i="2"/>
  <c r="V1953" i="2"/>
  <c r="V1952" i="2"/>
  <c r="V1951" i="2"/>
  <c r="V1950" i="2"/>
  <c r="V1949" i="2"/>
  <c r="V1948" i="2"/>
  <c r="V1947" i="2"/>
  <c r="V1946" i="2"/>
  <c r="V1945" i="2"/>
  <c r="V1944" i="2"/>
  <c r="V1943" i="2"/>
  <c r="V1942" i="2"/>
  <c r="V1941" i="2"/>
  <c r="V1940" i="2"/>
  <c r="V1939" i="2"/>
  <c r="V1938" i="2"/>
  <c r="V1937" i="2"/>
  <c r="V1936" i="2"/>
  <c r="V1935" i="2"/>
  <c r="V1934" i="2"/>
  <c r="V1933" i="2"/>
  <c r="V1932" i="2"/>
  <c r="V1931" i="2"/>
  <c r="V1930" i="2"/>
  <c r="V1929" i="2"/>
  <c r="V1928" i="2"/>
  <c r="V1927" i="2"/>
  <c r="V1926" i="2"/>
  <c r="V1925" i="2"/>
  <c r="V1924" i="2"/>
  <c r="V1923" i="2"/>
  <c r="V1922" i="2"/>
  <c r="V1921" i="2"/>
  <c r="V1920" i="2"/>
  <c r="V1919" i="2"/>
  <c r="V1918" i="2"/>
  <c r="V1917" i="2"/>
  <c r="V1916" i="2"/>
  <c r="V1915" i="2"/>
  <c r="V1914" i="2"/>
  <c r="V1913" i="2"/>
  <c r="V1912" i="2"/>
  <c r="V1911" i="2"/>
  <c r="V1910" i="2"/>
  <c r="V1909" i="2"/>
  <c r="V1908" i="2"/>
  <c r="V1907" i="2"/>
  <c r="V1906" i="2"/>
  <c r="V1905" i="2"/>
  <c r="V1904" i="2"/>
  <c r="V1903" i="2"/>
  <c r="V1902" i="2"/>
  <c r="V1901" i="2"/>
  <c r="V1900" i="2"/>
  <c r="V1899" i="2"/>
  <c r="V1898" i="2"/>
  <c r="V1897" i="2"/>
  <c r="V1896" i="2"/>
  <c r="V1895" i="2"/>
  <c r="V1894" i="2"/>
  <c r="V1893" i="2"/>
  <c r="V1892" i="2"/>
  <c r="V1891" i="2"/>
  <c r="V1890" i="2"/>
  <c r="V1889" i="2"/>
  <c r="V1888" i="2"/>
  <c r="V1887" i="2"/>
  <c r="V1886" i="2"/>
  <c r="V1885" i="2"/>
  <c r="V1884" i="2"/>
  <c r="V1883" i="2"/>
  <c r="V1882" i="2"/>
  <c r="V1881" i="2"/>
  <c r="V1880" i="2"/>
  <c r="V1879" i="2"/>
  <c r="V1878" i="2"/>
  <c r="V1877" i="2"/>
  <c r="V1876" i="2"/>
  <c r="V1875" i="2"/>
  <c r="V1874" i="2"/>
  <c r="V1873" i="2"/>
  <c r="V1872" i="2"/>
  <c r="V1871" i="2"/>
  <c r="V1870" i="2"/>
  <c r="V1869" i="2"/>
  <c r="V1868" i="2"/>
  <c r="V1867" i="2"/>
  <c r="V1866" i="2"/>
  <c r="V1865" i="2"/>
  <c r="V1864" i="2"/>
  <c r="V1863" i="2"/>
  <c r="V1862" i="2"/>
  <c r="V1861" i="2"/>
  <c r="V1860" i="2"/>
  <c r="V1859" i="2"/>
  <c r="V1858" i="2"/>
  <c r="V1857" i="2"/>
  <c r="V1856" i="2"/>
  <c r="V1855" i="2"/>
  <c r="V1854" i="2"/>
  <c r="V1853" i="2"/>
  <c r="V1852" i="2"/>
  <c r="V1851" i="2"/>
  <c r="V1850" i="2"/>
  <c r="V1849" i="2"/>
  <c r="V1848" i="2"/>
  <c r="V1847" i="2"/>
  <c r="V1846" i="2"/>
  <c r="V1845" i="2"/>
  <c r="V1844" i="2"/>
  <c r="V1843" i="2"/>
  <c r="V1842" i="2"/>
  <c r="V1841" i="2"/>
  <c r="V1840" i="2"/>
  <c r="V1839" i="2"/>
  <c r="V1838" i="2"/>
  <c r="V1837" i="2"/>
  <c r="V1836" i="2"/>
  <c r="V1835" i="2"/>
  <c r="V1834" i="2"/>
  <c r="V1833" i="2"/>
  <c r="V1832" i="2"/>
  <c r="V1831" i="2"/>
  <c r="V1830" i="2"/>
  <c r="V1829" i="2"/>
  <c r="V1828" i="2"/>
  <c r="V1827" i="2"/>
  <c r="V1826" i="2"/>
  <c r="V1825" i="2"/>
  <c r="V1824" i="2"/>
  <c r="V1823" i="2"/>
  <c r="V1822" i="2"/>
  <c r="V1821" i="2"/>
  <c r="V1820" i="2"/>
  <c r="V1819" i="2"/>
  <c r="V1818" i="2"/>
  <c r="V1817" i="2"/>
  <c r="V1816" i="2"/>
  <c r="V1815" i="2"/>
  <c r="V1814" i="2"/>
  <c r="V1813" i="2"/>
  <c r="V1812" i="2"/>
  <c r="V1811" i="2"/>
  <c r="V1810" i="2"/>
  <c r="V1809" i="2"/>
  <c r="V1808" i="2"/>
  <c r="V1807" i="2"/>
  <c r="V1806" i="2"/>
  <c r="V1805" i="2"/>
  <c r="V1804" i="2"/>
  <c r="V1803" i="2"/>
  <c r="V1802" i="2"/>
  <c r="V1801" i="2"/>
  <c r="V1800" i="2"/>
  <c r="V1799" i="2"/>
  <c r="V1798" i="2"/>
  <c r="V1797" i="2"/>
  <c r="V1796" i="2"/>
  <c r="V1795" i="2"/>
  <c r="V1794" i="2"/>
  <c r="V1793" i="2"/>
  <c r="V1792" i="2"/>
  <c r="V1791" i="2"/>
  <c r="V1790" i="2"/>
  <c r="V1789" i="2"/>
  <c r="V1788" i="2"/>
  <c r="V1787" i="2"/>
  <c r="V1786" i="2"/>
  <c r="V1785" i="2"/>
  <c r="V1784" i="2"/>
  <c r="V1783" i="2"/>
  <c r="V1782" i="2"/>
  <c r="V1781" i="2"/>
  <c r="V1780" i="2"/>
  <c r="V1779" i="2"/>
  <c r="V1778" i="2"/>
  <c r="V1777" i="2"/>
  <c r="V1776" i="2"/>
  <c r="V1775" i="2"/>
  <c r="V1774" i="2"/>
  <c r="V1773" i="2"/>
  <c r="V1772" i="2"/>
  <c r="V1771" i="2"/>
  <c r="V1770" i="2"/>
  <c r="V1769" i="2"/>
  <c r="V1768" i="2"/>
  <c r="V1767" i="2"/>
  <c r="V1766" i="2"/>
  <c r="V1765" i="2"/>
  <c r="V1764" i="2"/>
  <c r="V1763" i="2"/>
  <c r="V1762" i="2"/>
  <c r="V1761" i="2"/>
  <c r="V1760" i="2"/>
  <c r="V1759" i="2"/>
  <c r="V1758" i="2"/>
  <c r="V1757" i="2"/>
  <c r="V1756" i="2"/>
  <c r="V1755" i="2"/>
  <c r="V1754" i="2"/>
  <c r="V1753" i="2"/>
  <c r="V1752" i="2"/>
  <c r="V1751" i="2"/>
  <c r="V1750" i="2"/>
  <c r="V1749" i="2"/>
  <c r="V1748" i="2"/>
  <c r="V1747" i="2"/>
  <c r="V1746" i="2"/>
  <c r="V1745" i="2"/>
  <c r="V1744" i="2"/>
  <c r="V1743" i="2"/>
  <c r="V1742" i="2"/>
  <c r="V1741" i="2"/>
  <c r="V1740" i="2"/>
  <c r="V1739" i="2"/>
  <c r="V1738" i="2"/>
  <c r="V1737" i="2"/>
  <c r="V1736" i="2"/>
  <c r="V1735" i="2"/>
  <c r="V1734" i="2"/>
  <c r="V1733" i="2"/>
  <c r="V1732" i="2"/>
  <c r="V1731" i="2"/>
  <c r="V1730" i="2"/>
  <c r="V1729" i="2"/>
  <c r="V1728" i="2"/>
  <c r="V1727" i="2"/>
  <c r="V1726" i="2"/>
  <c r="V1725" i="2"/>
  <c r="V1724" i="2"/>
  <c r="V1723" i="2"/>
  <c r="V1722" i="2"/>
  <c r="V1721" i="2"/>
  <c r="V1720" i="2"/>
  <c r="V1719" i="2"/>
  <c r="V1718" i="2"/>
  <c r="V1717" i="2"/>
  <c r="V1716" i="2"/>
  <c r="V1715" i="2"/>
  <c r="V1714" i="2"/>
  <c r="V1713" i="2"/>
  <c r="V1712" i="2"/>
  <c r="V1711" i="2"/>
  <c r="V1710" i="2"/>
  <c r="V1709" i="2"/>
  <c r="V1708" i="2"/>
  <c r="V1707" i="2"/>
  <c r="V1706" i="2"/>
  <c r="V1705" i="2"/>
  <c r="V1704" i="2"/>
  <c r="V1703" i="2"/>
  <c r="V1702" i="2"/>
  <c r="V1701" i="2"/>
  <c r="V1700" i="2"/>
  <c r="V1699" i="2"/>
  <c r="V1698" i="2"/>
  <c r="V1697" i="2"/>
  <c r="V1696" i="2"/>
  <c r="V1695" i="2"/>
  <c r="V1694" i="2"/>
  <c r="V1693" i="2"/>
  <c r="V1692" i="2"/>
  <c r="V1691" i="2"/>
  <c r="V1690" i="2"/>
  <c r="V1689" i="2"/>
  <c r="V1688" i="2"/>
  <c r="V1687" i="2"/>
  <c r="V1686" i="2"/>
  <c r="V1685" i="2"/>
  <c r="V1684" i="2"/>
  <c r="V1683" i="2"/>
  <c r="V1682" i="2"/>
  <c r="V1681" i="2"/>
  <c r="V1680" i="2"/>
  <c r="V1679" i="2"/>
  <c r="V1678" i="2"/>
  <c r="V1677" i="2"/>
  <c r="V1676" i="2"/>
  <c r="V1675" i="2"/>
  <c r="V1674" i="2"/>
  <c r="V1673" i="2"/>
  <c r="V1672" i="2"/>
  <c r="V1671" i="2"/>
  <c r="V1670" i="2"/>
  <c r="V1669" i="2"/>
  <c r="V1668" i="2"/>
  <c r="V1667" i="2"/>
  <c r="V1666" i="2"/>
  <c r="V1665" i="2"/>
  <c r="V1664" i="2"/>
  <c r="V1663" i="2"/>
  <c r="V1662" i="2"/>
  <c r="V1661" i="2"/>
  <c r="V1660" i="2"/>
  <c r="V1659" i="2"/>
  <c r="V1658" i="2"/>
  <c r="V1657" i="2"/>
  <c r="V1656" i="2"/>
  <c r="V1655" i="2"/>
  <c r="V1654" i="2"/>
  <c r="V1653" i="2"/>
  <c r="V1652" i="2"/>
  <c r="V1651" i="2"/>
  <c r="V1650" i="2"/>
  <c r="V1649" i="2"/>
  <c r="V1648" i="2"/>
  <c r="V1647" i="2"/>
  <c r="V1646" i="2"/>
  <c r="V1645" i="2"/>
  <c r="V1644" i="2"/>
  <c r="V1643" i="2"/>
  <c r="V1642" i="2"/>
  <c r="V1641" i="2"/>
  <c r="V1640" i="2"/>
  <c r="V1639" i="2"/>
  <c r="V1638" i="2"/>
  <c r="V1637" i="2"/>
  <c r="V1636" i="2"/>
  <c r="V1635" i="2"/>
  <c r="V1634" i="2"/>
  <c r="V1633" i="2"/>
  <c r="V1632" i="2"/>
  <c r="V1631" i="2"/>
  <c r="V1630" i="2"/>
  <c r="V1629" i="2"/>
  <c r="V1628" i="2"/>
  <c r="V1627" i="2"/>
  <c r="V1626" i="2"/>
  <c r="V1625" i="2"/>
  <c r="V1624" i="2"/>
  <c r="V1623" i="2"/>
  <c r="V1622" i="2"/>
  <c r="V1621" i="2"/>
  <c r="V1620" i="2"/>
  <c r="V1619" i="2"/>
  <c r="V1618" i="2"/>
  <c r="V1617" i="2"/>
  <c r="V1616" i="2"/>
  <c r="V1615" i="2"/>
  <c r="V1614" i="2"/>
  <c r="V1613" i="2"/>
  <c r="V1612" i="2"/>
  <c r="V1611" i="2"/>
  <c r="V1610" i="2"/>
  <c r="V1609" i="2"/>
  <c r="V1608" i="2"/>
  <c r="V1607" i="2"/>
  <c r="V1606" i="2"/>
  <c r="V1605" i="2"/>
  <c r="V1604" i="2"/>
  <c r="V1603" i="2"/>
  <c r="V1602" i="2"/>
  <c r="V1601" i="2"/>
  <c r="V1600" i="2"/>
  <c r="V1599" i="2"/>
  <c r="V1598" i="2"/>
  <c r="V1597" i="2"/>
  <c r="V1596" i="2"/>
  <c r="V1595" i="2"/>
  <c r="V1594" i="2"/>
  <c r="V1593" i="2"/>
  <c r="V1592" i="2"/>
  <c r="V1591" i="2"/>
  <c r="V1590" i="2"/>
  <c r="V1589" i="2"/>
  <c r="V1588" i="2"/>
  <c r="V1587" i="2"/>
  <c r="V1586" i="2"/>
  <c r="V1585" i="2"/>
  <c r="V1584" i="2"/>
  <c r="V1583" i="2"/>
  <c r="V1582" i="2"/>
  <c r="V1581" i="2"/>
  <c r="V1580" i="2"/>
  <c r="V1579" i="2"/>
  <c r="V1578" i="2"/>
  <c r="V1577" i="2"/>
  <c r="V1576" i="2"/>
  <c r="V1575" i="2"/>
  <c r="V1574" i="2"/>
  <c r="V1573" i="2"/>
  <c r="V1572" i="2"/>
  <c r="V1571" i="2"/>
  <c r="V1570" i="2"/>
  <c r="V1569" i="2"/>
  <c r="V1568" i="2"/>
  <c r="V1567" i="2"/>
  <c r="V1566" i="2"/>
  <c r="V1565" i="2"/>
  <c r="V1564" i="2"/>
  <c r="V1563" i="2"/>
  <c r="V1562" i="2"/>
  <c r="V1561" i="2"/>
  <c r="V1560" i="2"/>
  <c r="V1559" i="2"/>
  <c r="V1558" i="2"/>
  <c r="V1557" i="2"/>
  <c r="V1556" i="2"/>
  <c r="V1555" i="2"/>
  <c r="V1554" i="2"/>
  <c r="V1553" i="2"/>
  <c r="V1552" i="2"/>
  <c r="V1551" i="2"/>
  <c r="V1550" i="2"/>
  <c r="V1549" i="2"/>
  <c r="V1548" i="2"/>
  <c r="V1547" i="2"/>
  <c r="V1546" i="2"/>
  <c r="V1545" i="2"/>
  <c r="V1544" i="2"/>
  <c r="V1543" i="2"/>
  <c r="V1542" i="2"/>
  <c r="V1541" i="2"/>
  <c r="V1540" i="2"/>
  <c r="V1539" i="2"/>
  <c r="V1538" i="2"/>
  <c r="V1537" i="2"/>
  <c r="V1536" i="2"/>
  <c r="V1535" i="2"/>
  <c r="V1534" i="2"/>
  <c r="V1533" i="2"/>
  <c r="V1532" i="2"/>
  <c r="V1531" i="2"/>
  <c r="V1530" i="2"/>
  <c r="V1529" i="2"/>
  <c r="V1528" i="2"/>
  <c r="V1527" i="2"/>
  <c r="V1526" i="2"/>
  <c r="V1525" i="2"/>
  <c r="V1524" i="2"/>
  <c r="V1523" i="2"/>
  <c r="V1522" i="2"/>
  <c r="V1521" i="2"/>
  <c r="V1520" i="2"/>
  <c r="V1519" i="2"/>
  <c r="V1518" i="2"/>
  <c r="V1517" i="2"/>
  <c r="V1516" i="2"/>
  <c r="V1515" i="2"/>
  <c r="V1514" i="2"/>
  <c r="V1513" i="2"/>
  <c r="V1512" i="2"/>
  <c r="V1511" i="2"/>
  <c r="V1510" i="2"/>
  <c r="V1509" i="2"/>
  <c r="V1508" i="2"/>
  <c r="V1507" i="2"/>
  <c r="V1506" i="2"/>
  <c r="V1505" i="2"/>
  <c r="V1504" i="2"/>
  <c r="V1503" i="2"/>
  <c r="V1502" i="2"/>
  <c r="V1501" i="2"/>
  <c r="V1500" i="2"/>
  <c r="V1499" i="2"/>
  <c r="V1498" i="2"/>
  <c r="V1497" i="2"/>
  <c r="V1496" i="2"/>
  <c r="V1495" i="2"/>
  <c r="V1494" i="2"/>
  <c r="V1493" i="2"/>
  <c r="V1492" i="2"/>
  <c r="V1491" i="2"/>
  <c r="V1490" i="2"/>
  <c r="V1489" i="2"/>
  <c r="V1488" i="2"/>
  <c r="V1487" i="2"/>
  <c r="V1486" i="2"/>
  <c r="V1485" i="2"/>
  <c r="V1484" i="2"/>
  <c r="V1483" i="2"/>
  <c r="V1482" i="2"/>
  <c r="V1481" i="2"/>
  <c r="V1480" i="2"/>
  <c r="V1479" i="2"/>
  <c r="V1478" i="2"/>
  <c r="V1477" i="2"/>
  <c r="V1476" i="2"/>
  <c r="V1475" i="2"/>
  <c r="V1474" i="2"/>
  <c r="V1473" i="2"/>
  <c r="V1472" i="2"/>
  <c r="V1471" i="2"/>
  <c r="V1470" i="2"/>
  <c r="V1469" i="2"/>
  <c r="V1468" i="2"/>
  <c r="V1467" i="2"/>
  <c r="V1466" i="2"/>
  <c r="V1465" i="2"/>
  <c r="V1464" i="2"/>
  <c r="V1463" i="2"/>
  <c r="V1462" i="2"/>
  <c r="V1461" i="2"/>
  <c r="V1460" i="2"/>
  <c r="V1459" i="2"/>
  <c r="V1458" i="2"/>
  <c r="V1457" i="2"/>
  <c r="V1456" i="2"/>
  <c r="V1455" i="2"/>
  <c r="V1454" i="2"/>
  <c r="V1453" i="2"/>
  <c r="V1452" i="2"/>
  <c r="V1451" i="2"/>
  <c r="V1450" i="2"/>
  <c r="V1449" i="2"/>
  <c r="V1448" i="2"/>
  <c r="V1447" i="2"/>
  <c r="V1446" i="2"/>
  <c r="V1445" i="2"/>
  <c r="V1444" i="2"/>
  <c r="V1443" i="2"/>
  <c r="V1442" i="2"/>
  <c r="V1441" i="2"/>
  <c r="V1440" i="2"/>
  <c r="V1439" i="2"/>
  <c r="V1438" i="2"/>
  <c r="V1437" i="2"/>
  <c r="V1436" i="2"/>
  <c r="V1435" i="2"/>
  <c r="V1434" i="2"/>
  <c r="V1433" i="2"/>
  <c r="V1432" i="2"/>
  <c r="V1431" i="2"/>
  <c r="V1430" i="2"/>
  <c r="V1429" i="2"/>
  <c r="V1428" i="2"/>
  <c r="V1427" i="2"/>
  <c r="V1426" i="2"/>
  <c r="V1425" i="2"/>
  <c r="V1424" i="2"/>
  <c r="V1423" i="2"/>
  <c r="V1422" i="2"/>
  <c r="V1421" i="2"/>
  <c r="V1420" i="2"/>
  <c r="V1419" i="2"/>
  <c r="V1418" i="2"/>
  <c r="V1417" i="2"/>
  <c r="V1416" i="2"/>
  <c r="V1415" i="2"/>
  <c r="V1414" i="2"/>
  <c r="V1413" i="2"/>
  <c r="V1412" i="2"/>
  <c r="V1411" i="2"/>
  <c r="V1410" i="2"/>
  <c r="V1409" i="2"/>
  <c r="V1408" i="2"/>
  <c r="V1407" i="2"/>
  <c r="V1406" i="2"/>
  <c r="V1405" i="2"/>
  <c r="V1404" i="2"/>
  <c r="V1403" i="2"/>
  <c r="V1402" i="2"/>
  <c r="V1401" i="2"/>
  <c r="V1400" i="2"/>
  <c r="V1399" i="2"/>
  <c r="V1398" i="2"/>
  <c r="V1397" i="2"/>
  <c r="V1396" i="2"/>
  <c r="V1395" i="2"/>
  <c r="V1394" i="2"/>
  <c r="V1393" i="2"/>
  <c r="V1392" i="2"/>
  <c r="V1391" i="2"/>
  <c r="V1390" i="2"/>
  <c r="V1389" i="2"/>
  <c r="V1388" i="2"/>
  <c r="V1387" i="2"/>
  <c r="V1386" i="2"/>
  <c r="V1385" i="2"/>
  <c r="V1384" i="2"/>
  <c r="V1383" i="2"/>
  <c r="V1382" i="2"/>
  <c r="V1381" i="2"/>
  <c r="V1380" i="2"/>
  <c r="V1379" i="2"/>
  <c r="V1378" i="2"/>
  <c r="V1377" i="2"/>
  <c r="V1376" i="2"/>
  <c r="V1375" i="2"/>
  <c r="V1374" i="2"/>
  <c r="V1373" i="2"/>
  <c r="V1372" i="2"/>
  <c r="V1371" i="2"/>
  <c r="V1370" i="2"/>
  <c r="V1369" i="2"/>
  <c r="V1368" i="2"/>
  <c r="V1367" i="2"/>
  <c r="V1366" i="2"/>
  <c r="V1365" i="2"/>
  <c r="V1364" i="2"/>
  <c r="V1363" i="2"/>
  <c r="V1362" i="2"/>
  <c r="V1361" i="2"/>
  <c r="V1360" i="2"/>
  <c r="V1359" i="2"/>
  <c r="V1358" i="2"/>
  <c r="V1357" i="2"/>
  <c r="V1356" i="2"/>
  <c r="V1355" i="2"/>
  <c r="V1354" i="2"/>
  <c r="V1353" i="2"/>
  <c r="V1352" i="2"/>
  <c r="V1351" i="2"/>
  <c r="V1350" i="2"/>
  <c r="V1349" i="2"/>
  <c r="V1348" i="2"/>
  <c r="V1347" i="2"/>
  <c r="V1346" i="2"/>
  <c r="V1345" i="2"/>
  <c r="V1344" i="2"/>
  <c r="V1343" i="2"/>
  <c r="V1342" i="2"/>
  <c r="V1341" i="2"/>
  <c r="V1340" i="2"/>
  <c r="V1339" i="2"/>
  <c r="V1338" i="2"/>
  <c r="V1337" i="2"/>
  <c r="V1336" i="2"/>
  <c r="V1335" i="2"/>
  <c r="V1334" i="2"/>
  <c r="V1333" i="2"/>
  <c r="V1332" i="2"/>
  <c r="V1331" i="2"/>
  <c r="V1330" i="2"/>
  <c r="V1329" i="2"/>
  <c r="V1328" i="2"/>
  <c r="V1327" i="2"/>
  <c r="V1326" i="2"/>
  <c r="V1325" i="2"/>
  <c r="V1324" i="2"/>
  <c r="V1323" i="2"/>
  <c r="V1322" i="2"/>
  <c r="V1321" i="2"/>
  <c r="V1320" i="2"/>
  <c r="V1319" i="2"/>
  <c r="V1318" i="2"/>
  <c r="V1317" i="2"/>
  <c r="V1316" i="2"/>
  <c r="V1315" i="2"/>
  <c r="V1314" i="2"/>
  <c r="V1313" i="2"/>
  <c r="V1312" i="2"/>
  <c r="V1311" i="2"/>
  <c r="V1310" i="2"/>
  <c r="V1309" i="2"/>
  <c r="V1308" i="2"/>
  <c r="V1307" i="2"/>
  <c r="V1306" i="2"/>
  <c r="V1305" i="2"/>
  <c r="V1304" i="2"/>
  <c r="V1303" i="2"/>
  <c r="V1302" i="2"/>
  <c r="V1301" i="2"/>
  <c r="V1300" i="2"/>
  <c r="V1299" i="2"/>
  <c r="V1298" i="2"/>
  <c r="V1297" i="2"/>
  <c r="V1296" i="2"/>
  <c r="V1295" i="2"/>
  <c r="V1294" i="2"/>
  <c r="V1293" i="2"/>
  <c r="V1292" i="2"/>
  <c r="V1291" i="2"/>
  <c r="V1290" i="2"/>
  <c r="V1289" i="2"/>
  <c r="V1288" i="2"/>
  <c r="V1287" i="2"/>
  <c r="V1286" i="2"/>
  <c r="V1285" i="2"/>
  <c r="V1284" i="2"/>
  <c r="V1283" i="2"/>
  <c r="V1282" i="2"/>
  <c r="V1281" i="2"/>
  <c r="V1280" i="2"/>
  <c r="V1279" i="2"/>
  <c r="V1278" i="2"/>
  <c r="V1277" i="2"/>
  <c r="V1276" i="2"/>
  <c r="V1275" i="2"/>
  <c r="V1274" i="2"/>
  <c r="V1273" i="2"/>
  <c r="V1272" i="2"/>
  <c r="V1271" i="2"/>
  <c r="V1270" i="2"/>
  <c r="V1269" i="2"/>
  <c r="V1268" i="2"/>
  <c r="V1267" i="2"/>
  <c r="V1266" i="2"/>
  <c r="V1265" i="2"/>
  <c r="V1264" i="2"/>
  <c r="V1263" i="2"/>
  <c r="V1262" i="2"/>
  <c r="V1261" i="2"/>
  <c r="V1260" i="2"/>
  <c r="V1259" i="2"/>
  <c r="V1258" i="2"/>
  <c r="V1257" i="2"/>
  <c r="V1256" i="2"/>
  <c r="V1255" i="2"/>
  <c r="V1254" i="2"/>
  <c r="V1253" i="2"/>
  <c r="V1252" i="2"/>
  <c r="V1251" i="2"/>
  <c r="V1250" i="2"/>
  <c r="V1249" i="2"/>
  <c r="V1248" i="2"/>
  <c r="V1247" i="2"/>
  <c r="V1246" i="2"/>
  <c r="V1245" i="2"/>
  <c r="V1244" i="2"/>
  <c r="V1243" i="2"/>
  <c r="V1242" i="2"/>
  <c r="V1241" i="2"/>
  <c r="V1240" i="2"/>
  <c r="V1239" i="2"/>
  <c r="V1238" i="2"/>
  <c r="V1237" i="2"/>
  <c r="V1236" i="2"/>
  <c r="V1235" i="2"/>
  <c r="V1234" i="2"/>
  <c r="V1233" i="2"/>
  <c r="V1232" i="2"/>
  <c r="V1231" i="2"/>
  <c r="V1230" i="2"/>
  <c r="V1229" i="2"/>
  <c r="V1228" i="2"/>
  <c r="V1227" i="2"/>
  <c r="V1226" i="2"/>
  <c r="V1225" i="2"/>
  <c r="V1224" i="2"/>
  <c r="V1223" i="2"/>
  <c r="V1222" i="2"/>
  <c r="V1221" i="2"/>
  <c r="V1220" i="2"/>
  <c r="V1219" i="2"/>
  <c r="V1218" i="2"/>
  <c r="V1217" i="2"/>
  <c r="V1216" i="2"/>
  <c r="V1215" i="2"/>
  <c r="V1214" i="2"/>
  <c r="V1213" i="2"/>
  <c r="V1212" i="2"/>
  <c r="V1211" i="2"/>
  <c r="V1210" i="2"/>
  <c r="V1209" i="2"/>
  <c r="V1208" i="2"/>
  <c r="V1207" i="2"/>
  <c r="V1206" i="2"/>
  <c r="V1205" i="2"/>
  <c r="V1204" i="2"/>
  <c r="V1203" i="2"/>
  <c r="V1202" i="2"/>
  <c r="V1201" i="2"/>
  <c r="V1200" i="2"/>
  <c r="V1199" i="2"/>
  <c r="V1198" i="2"/>
  <c r="V1197" i="2"/>
  <c r="V1196" i="2"/>
  <c r="V1195" i="2"/>
  <c r="V1194" i="2"/>
  <c r="V1193" i="2"/>
  <c r="V1192" i="2"/>
  <c r="V1191" i="2"/>
  <c r="V1190" i="2"/>
  <c r="V1189" i="2"/>
  <c r="V1188" i="2"/>
  <c r="V1187" i="2"/>
  <c r="V1186" i="2"/>
  <c r="V1185" i="2"/>
  <c r="V1184" i="2"/>
  <c r="V1183" i="2"/>
  <c r="V1182" i="2"/>
  <c r="V1181" i="2"/>
  <c r="V1180" i="2"/>
  <c r="V1179" i="2"/>
  <c r="V1178" i="2"/>
  <c r="V1177" i="2"/>
  <c r="V1176" i="2"/>
  <c r="V1175" i="2"/>
  <c r="V1174" i="2"/>
  <c r="V1173" i="2"/>
  <c r="V1172" i="2"/>
  <c r="V1171" i="2"/>
  <c r="V1170" i="2"/>
  <c r="V1169" i="2"/>
  <c r="V1168" i="2"/>
  <c r="V1167" i="2"/>
  <c r="V1166" i="2"/>
  <c r="V1165" i="2"/>
  <c r="V1164" i="2"/>
  <c r="V1163" i="2"/>
  <c r="V1162" i="2"/>
  <c r="V1161" i="2"/>
  <c r="V1160" i="2"/>
  <c r="V1159" i="2"/>
  <c r="V1158" i="2"/>
  <c r="V1157" i="2"/>
  <c r="V1156" i="2"/>
  <c r="V1155" i="2"/>
  <c r="V1154" i="2"/>
  <c r="V1153" i="2"/>
  <c r="V1152" i="2"/>
  <c r="V1151" i="2"/>
  <c r="V1150" i="2"/>
  <c r="V1149" i="2"/>
  <c r="V1148" i="2"/>
  <c r="V1147" i="2"/>
  <c r="V1146" i="2"/>
  <c r="V1145" i="2"/>
  <c r="V1144" i="2"/>
  <c r="V1143" i="2"/>
  <c r="V1142" i="2"/>
  <c r="V1141" i="2"/>
  <c r="V1140" i="2"/>
  <c r="V1139" i="2"/>
  <c r="V1138" i="2"/>
  <c r="V1137" i="2"/>
  <c r="V1136" i="2"/>
  <c r="V1135" i="2"/>
  <c r="V1134" i="2"/>
  <c r="V1133" i="2"/>
  <c r="V1132" i="2"/>
  <c r="V1131" i="2"/>
  <c r="V1130" i="2"/>
  <c r="V1129" i="2"/>
  <c r="V1128" i="2"/>
  <c r="V1127" i="2"/>
  <c r="V1126" i="2"/>
  <c r="V1125" i="2"/>
  <c r="V1124" i="2"/>
  <c r="V1123" i="2"/>
  <c r="V1122" i="2"/>
  <c r="V1121" i="2"/>
  <c r="V1120" i="2"/>
  <c r="V1119" i="2"/>
  <c r="V1118" i="2"/>
  <c r="V1117" i="2"/>
  <c r="V1116" i="2"/>
  <c r="V1115" i="2"/>
  <c r="V1114" i="2"/>
  <c r="V1113" i="2"/>
  <c r="V1112" i="2"/>
  <c r="V1111" i="2"/>
  <c r="V1110" i="2"/>
  <c r="V1109" i="2"/>
  <c r="V1108" i="2"/>
  <c r="V1107" i="2"/>
  <c r="V1106" i="2"/>
  <c r="V1105" i="2"/>
  <c r="V1104" i="2"/>
  <c r="V1103" i="2"/>
  <c r="V1102" i="2"/>
  <c r="V1101" i="2"/>
  <c r="V1100" i="2"/>
  <c r="V1099" i="2"/>
  <c r="V1098" i="2"/>
  <c r="V1097" i="2"/>
  <c r="V1096" i="2"/>
  <c r="V1095" i="2"/>
  <c r="V1094" i="2"/>
  <c r="V1093" i="2"/>
  <c r="V1092" i="2"/>
  <c r="V1091" i="2"/>
  <c r="V1090" i="2"/>
  <c r="V1089" i="2"/>
  <c r="V1088" i="2"/>
  <c r="V1087" i="2"/>
  <c r="V1086" i="2"/>
  <c r="V1085" i="2"/>
  <c r="V1084" i="2"/>
  <c r="V1083" i="2"/>
  <c r="V1082" i="2"/>
  <c r="V1081" i="2"/>
  <c r="V1080" i="2"/>
  <c r="V1079" i="2"/>
  <c r="V1078" i="2"/>
  <c r="V1077" i="2"/>
  <c r="V1076" i="2"/>
  <c r="V1075" i="2"/>
  <c r="V1074" i="2"/>
  <c r="V1073" i="2"/>
  <c r="V1072" i="2"/>
  <c r="V1071" i="2"/>
  <c r="V1070" i="2"/>
  <c r="V1069" i="2"/>
  <c r="V1068" i="2"/>
  <c r="V1067" i="2"/>
  <c r="V1066" i="2"/>
  <c r="V1065" i="2"/>
  <c r="V1064" i="2"/>
  <c r="V1063" i="2"/>
  <c r="V1062" i="2"/>
  <c r="V1061" i="2"/>
  <c r="V1060" i="2"/>
  <c r="V1059" i="2"/>
  <c r="V1058" i="2"/>
  <c r="V1057" i="2"/>
  <c r="V1056" i="2"/>
  <c r="V1055" i="2"/>
  <c r="V1054" i="2"/>
  <c r="V1053" i="2"/>
  <c r="V1052" i="2"/>
  <c r="V1051" i="2"/>
  <c r="V1050" i="2"/>
  <c r="V1049" i="2"/>
  <c r="V1048" i="2"/>
  <c r="V1047" i="2"/>
  <c r="V1046" i="2"/>
  <c r="V1045" i="2"/>
  <c r="V1044" i="2"/>
  <c r="V1043" i="2"/>
  <c r="V1042" i="2"/>
  <c r="V1041" i="2"/>
  <c r="V1040" i="2"/>
  <c r="V1039" i="2"/>
  <c r="V1038" i="2"/>
  <c r="V1037" i="2"/>
  <c r="V1036" i="2"/>
  <c r="V1035" i="2"/>
  <c r="V1034" i="2"/>
  <c r="V1033" i="2"/>
  <c r="V1032" i="2"/>
  <c r="V1031" i="2"/>
  <c r="V1030" i="2"/>
  <c r="V1029" i="2"/>
  <c r="V1028" i="2"/>
  <c r="V1027" i="2"/>
  <c r="V1026" i="2"/>
  <c r="V1025" i="2"/>
  <c r="V1024" i="2"/>
  <c r="V1023" i="2"/>
  <c r="V1022" i="2"/>
  <c r="V1021" i="2"/>
  <c r="V1020" i="2"/>
  <c r="V1019" i="2"/>
  <c r="V1018" i="2"/>
  <c r="V1017" i="2"/>
  <c r="V1016" i="2"/>
  <c r="V1015" i="2"/>
  <c r="V1014" i="2"/>
  <c r="V1013" i="2"/>
  <c r="V1012" i="2"/>
  <c r="V1011" i="2"/>
  <c r="V1010" i="2"/>
  <c r="V1009" i="2"/>
  <c r="V1008" i="2"/>
  <c r="V1007" i="2"/>
  <c r="V1006" i="2"/>
  <c r="V1005" i="2"/>
  <c r="V1004" i="2"/>
  <c r="V1003" i="2"/>
  <c r="V1002" i="2"/>
  <c r="V1001" i="2"/>
  <c r="V1000" i="2"/>
  <c r="V999" i="2"/>
  <c r="V998" i="2"/>
  <c r="V997" i="2"/>
  <c r="V996" i="2"/>
  <c r="V995" i="2"/>
  <c r="V994" i="2"/>
  <c r="V993" i="2"/>
  <c r="V992" i="2"/>
  <c r="V991" i="2"/>
  <c r="V990" i="2"/>
  <c r="V989" i="2"/>
  <c r="V988" i="2"/>
  <c r="V987" i="2"/>
  <c r="V986" i="2"/>
  <c r="V985" i="2"/>
  <c r="V984" i="2"/>
  <c r="V983" i="2"/>
  <c r="V982" i="2"/>
  <c r="V981" i="2"/>
  <c r="V980" i="2"/>
  <c r="V979" i="2"/>
  <c r="V978" i="2"/>
  <c r="V977" i="2"/>
  <c r="V976" i="2"/>
  <c r="V975" i="2"/>
  <c r="V974" i="2"/>
  <c r="V973" i="2"/>
  <c r="V972" i="2"/>
  <c r="V971" i="2"/>
  <c r="V970" i="2"/>
  <c r="V969" i="2"/>
  <c r="V968" i="2"/>
  <c r="V967" i="2"/>
  <c r="V966" i="2"/>
  <c r="V965" i="2"/>
  <c r="V964" i="2"/>
  <c r="V963" i="2"/>
  <c r="V962" i="2"/>
  <c r="V961" i="2"/>
  <c r="V960" i="2"/>
  <c r="V959" i="2"/>
  <c r="V958" i="2"/>
  <c r="V957" i="2"/>
  <c r="V956" i="2"/>
  <c r="V955" i="2"/>
  <c r="V954" i="2"/>
  <c r="V953" i="2"/>
  <c r="V952" i="2"/>
  <c r="V951" i="2"/>
  <c r="V950" i="2"/>
  <c r="V949" i="2"/>
  <c r="V948" i="2"/>
  <c r="V947" i="2"/>
  <c r="V946" i="2"/>
  <c r="V945" i="2"/>
  <c r="V944" i="2"/>
  <c r="V943" i="2"/>
  <c r="V942" i="2"/>
  <c r="V941" i="2"/>
  <c r="V940" i="2"/>
  <c r="V939" i="2"/>
  <c r="V938" i="2"/>
  <c r="V937" i="2"/>
  <c r="V936" i="2"/>
  <c r="V935" i="2"/>
  <c r="V934" i="2"/>
  <c r="V933" i="2"/>
  <c r="V932" i="2"/>
  <c r="V931" i="2"/>
  <c r="V930" i="2"/>
  <c r="V929" i="2"/>
  <c r="V928" i="2"/>
  <c r="V927" i="2"/>
  <c r="V926" i="2"/>
  <c r="V925" i="2"/>
  <c r="V924" i="2"/>
  <c r="V923" i="2"/>
  <c r="V922" i="2"/>
  <c r="V921" i="2"/>
  <c r="V920" i="2"/>
  <c r="V919" i="2"/>
  <c r="V918" i="2"/>
  <c r="V917" i="2"/>
  <c r="V916" i="2"/>
  <c r="V915" i="2"/>
  <c r="V914" i="2"/>
  <c r="V913" i="2"/>
  <c r="V912" i="2"/>
  <c r="V911" i="2"/>
  <c r="V910" i="2"/>
  <c r="V909" i="2"/>
  <c r="V908" i="2"/>
  <c r="V907" i="2"/>
  <c r="V906" i="2"/>
  <c r="V905" i="2"/>
  <c r="V904" i="2"/>
  <c r="V903" i="2"/>
  <c r="V902" i="2"/>
  <c r="V901" i="2"/>
  <c r="V900" i="2"/>
  <c r="V899" i="2"/>
  <c r="V898" i="2"/>
  <c r="V897" i="2"/>
  <c r="V896" i="2"/>
  <c r="V895" i="2"/>
  <c r="V894" i="2"/>
  <c r="V893" i="2"/>
  <c r="V892" i="2"/>
  <c r="V891" i="2"/>
  <c r="V890" i="2"/>
  <c r="V889" i="2"/>
  <c r="V888" i="2"/>
  <c r="V887" i="2"/>
  <c r="V886" i="2"/>
  <c r="V885" i="2"/>
  <c r="V884" i="2"/>
  <c r="V883" i="2"/>
  <c r="V882" i="2"/>
  <c r="V881" i="2"/>
  <c r="V880" i="2"/>
  <c r="V879" i="2"/>
  <c r="V878" i="2"/>
  <c r="V877" i="2"/>
  <c r="V876" i="2"/>
  <c r="V875" i="2"/>
  <c r="V874" i="2"/>
  <c r="V873" i="2"/>
  <c r="V872" i="2"/>
  <c r="V871" i="2"/>
  <c r="V870" i="2"/>
  <c r="V869" i="2"/>
  <c r="V868" i="2"/>
  <c r="V867" i="2"/>
  <c r="V866" i="2"/>
  <c r="V865" i="2"/>
  <c r="V864" i="2"/>
  <c r="V863" i="2"/>
  <c r="V862" i="2"/>
  <c r="V861" i="2"/>
  <c r="V860" i="2"/>
  <c r="V859" i="2"/>
  <c r="V858" i="2"/>
  <c r="V857" i="2"/>
  <c r="V856" i="2"/>
  <c r="V855" i="2"/>
  <c r="V854" i="2"/>
  <c r="V853" i="2"/>
  <c r="V852" i="2"/>
  <c r="V851" i="2"/>
  <c r="V850" i="2"/>
  <c r="V849" i="2"/>
  <c r="V848" i="2"/>
  <c r="V847" i="2"/>
  <c r="V846" i="2"/>
  <c r="V845" i="2"/>
  <c r="V844" i="2"/>
  <c r="V843" i="2"/>
  <c r="V842" i="2"/>
  <c r="V841" i="2"/>
  <c r="V840" i="2"/>
  <c r="V839" i="2"/>
  <c r="V838" i="2"/>
  <c r="V837" i="2"/>
  <c r="V836" i="2"/>
  <c r="V835" i="2"/>
  <c r="V834" i="2"/>
  <c r="V833" i="2"/>
  <c r="V832" i="2"/>
  <c r="V831" i="2"/>
  <c r="V830" i="2"/>
  <c r="V829" i="2"/>
  <c r="V828" i="2"/>
  <c r="V827" i="2"/>
  <c r="V826" i="2"/>
  <c r="V825" i="2"/>
  <c r="V824" i="2"/>
  <c r="V823" i="2"/>
  <c r="V822" i="2"/>
  <c r="V821" i="2"/>
  <c r="V820" i="2"/>
  <c r="V819" i="2"/>
  <c r="V818" i="2"/>
  <c r="V817" i="2"/>
  <c r="V816" i="2"/>
  <c r="V815" i="2"/>
  <c r="V814" i="2"/>
  <c r="V813" i="2"/>
  <c r="V812" i="2"/>
  <c r="V811" i="2"/>
  <c r="V810" i="2"/>
  <c r="V809" i="2"/>
  <c r="V808" i="2"/>
  <c r="V807" i="2"/>
  <c r="V806" i="2"/>
  <c r="V805" i="2"/>
  <c r="V804" i="2"/>
  <c r="V803" i="2"/>
  <c r="V802" i="2"/>
  <c r="V801" i="2"/>
  <c r="V800" i="2"/>
  <c r="V799" i="2"/>
  <c r="V798" i="2"/>
  <c r="V797" i="2"/>
  <c r="V796" i="2"/>
  <c r="V795" i="2"/>
  <c r="V794" i="2"/>
  <c r="V793" i="2"/>
  <c r="V792" i="2"/>
  <c r="V791" i="2"/>
  <c r="V790" i="2"/>
  <c r="V789" i="2"/>
  <c r="V788" i="2"/>
  <c r="V787" i="2"/>
  <c r="V786" i="2"/>
  <c r="V785" i="2"/>
  <c r="V784" i="2"/>
  <c r="V783" i="2"/>
  <c r="V782" i="2"/>
  <c r="V781" i="2"/>
  <c r="V780" i="2"/>
  <c r="V779" i="2"/>
  <c r="V778" i="2"/>
  <c r="V777" i="2"/>
  <c r="V776" i="2"/>
  <c r="V775" i="2"/>
  <c r="V774" i="2"/>
  <c r="V773" i="2"/>
  <c r="V772" i="2"/>
  <c r="V771" i="2"/>
  <c r="V770" i="2"/>
  <c r="V769" i="2"/>
  <c r="V768" i="2"/>
  <c r="V767" i="2"/>
  <c r="V766" i="2"/>
  <c r="V765" i="2"/>
  <c r="V764" i="2"/>
  <c r="V763" i="2"/>
  <c r="V762" i="2"/>
  <c r="V761" i="2"/>
  <c r="V760" i="2"/>
  <c r="V759" i="2"/>
  <c r="V758" i="2"/>
  <c r="V757" i="2"/>
  <c r="V756" i="2"/>
  <c r="V755" i="2"/>
  <c r="V754" i="2"/>
  <c r="V753" i="2"/>
  <c r="V752" i="2"/>
  <c r="V751" i="2"/>
  <c r="V750" i="2"/>
  <c r="V749" i="2"/>
  <c r="V748" i="2"/>
  <c r="V747" i="2"/>
  <c r="V746" i="2"/>
  <c r="V745" i="2"/>
  <c r="V744" i="2"/>
  <c r="V743" i="2"/>
  <c r="V742" i="2"/>
  <c r="V741" i="2"/>
  <c r="V740" i="2"/>
  <c r="V739" i="2"/>
  <c r="V738" i="2"/>
  <c r="V737" i="2"/>
  <c r="V736" i="2"/>
  <c r="V735" i="2"/>
  <c r="V734" i="2"/>
  <c r="V733" i="2"/>
  <c r="V732" i="2"/>
  <c r="V731" i="2"/>
  <c r="V730" i="2"/>
  <c r="V729" i="2"/>
  <c r="V728" i="2"/>
  <c r="V727" i="2"/>
  <c r="V726" i="2"/>
  <c r="V725" i="2"/>
  <c r="V724" i="2"/>
  <c r="V723" i="2"/>
  <c r="V722" i="2"/>
  <c r="V721" i="2"/>
  <c r="V720" i="2"/>
  <c r="V719" i="2"/>
  <c r="V718" i="2"/>
  <c r="V717" i="2"/>
  <c r="V716" i="2"/>
  <c r="V715" i="2"/>
  <c r="V714" i="2"/>
  <c r="V713" i="2"/>
  <c r="V712" i="2"/>
  <c r="V711" i="2"/>
  <c r="V710" i="2"/>
  <c r="V709" i="2"/>
  <c r="V708" i="2"/>
  <c r="V707" i="2"/>
  <c r="V706" i="2"/>
  <c r="V705" i="2"/>
  <c r="V704" i="2"/>
  <c r="V703" i="2"/>
  <c r="V702" i="2"/>
  <c r="V701" i="2"/>
  <c r="V700" i="2"/>
  <c r="V699" i="2"/>
  <c r="V698" i="2"/>
  <c r="V697" i="2"/>
  <c r="V696" i="2"/>
  <c r="V695" i="2"/>
  <c r="V694" i="2"/>
  <c r="V693" i="2"/>
  <c r="V692" i="2"/>
  <c r="V691" i="2"/>
  <c r="V690" i="2"/>
  <c r="V689" i="2"/>
  <c r="V688" i="2"/>
  <c r="V687" i="2"/>
  <c r="V686" i="2"/>
  <c r="V685" i="2"/>
  <c r="V684" i="2"/>
  <c r="V683" i="2"/>
  <c r="V682" i="2"/>
  <c r="V681" i="2"/>
  <c r="V680" i="2"/>
  <c r="V679" i="2"/>
  <c r="V678" i="2"/>
  <c r="V677" i="2"/>
  <c r="V676" i="2"/>
  <c r="V675" i="2"/>
  <c r="V674" i="2"/>
  <c r="V673" i="2"/>
  <c r="V672" i="2"/>
  <c r="V671" i="2"/>
  <c r="V670" i="2"/>
  <c r="V669" i="2"/>
  <c r="V668" i="2"/>
  <c r="V667" i="2"/>
  <c r="V666" i="2"/>
  <c r="V665" i="2"/>
  <c r="V664" i="2"/>
  <c r="V663" i="2"/>
  <c r="V662" i="2"/>
  <c r="V661" i="2"/>
  <c r="V660" i="2"/>
  <c r="V659" i="2"/>
  <c r="V658" i="2"/>
  <c r="V657" i="2"/>
  <c r="V656" i="2"/>
  <c r="V655" i="2"/>
  <c r="V654" i="2"/>
  <c r="V653" i="2"/>
  <c r="V652" i="2"/>
  <c r="V651" i="2"/>
  <c r="V650" i="2"/>
  <c r="V649" i="2"/>
  <c r="V648" i="2"/>
  <c r="V647" i="2"/>
  <c r="V646" i="2"/>
  <c r="V645" i="2"/>
  <c r="V644" i="2"/>
  <c r="V643" i="2"/>
  <c r="V642" i="2"/>
  <c r="V641" i="2"/>
  <c r="V640" i="2"/>
  <c r="V639" i="2"/>
  <c r="V638" i="2"/>
  <c r="V637" i="2"/>
  <c r="V636" i="2"/>
  <c r="V635" i="2"/>
  <c r="V634" i="2"/>
  <c r="V633" i="2"/>
  <c r="V632" i="2"/>
  <c r="V631" i="2"/>
  <c r="V630" i="2"/>
  <c r="V629" i="2"/>
  <c r="V628" i="2"/>
  <c r="V627" i="2"/>
  <c r="V626" i="2"/>
  <c r="V625" i="2"/>
  <c r="V624" i="2"/>
  <c r="V623" i="2"/>
  <c r="V622" i="2"/>
  <c r="V621" i="2"/>
  <c r="V620" i="2"/>
  <c r="V619" i="2"/>
  <c r="V618" i="2"/>
  <c r="V617" i="2"/>
  <c r="V616" i="2"/>
  <c r="V615" i="2"/>
  <c r="V614" i="2"/>
  <c r="V613" i="2"/>
  <c r="V612" i="2"/>
  <c r="V611" i="2"/>
  <c r="V610" i="2"/>
  <c r="V609" i="2"/>
  <c r="V608" i="2"/>
  <c r="V607" i="2"/>
  <c r="V606" i="2"/>
  <c r="V605" i="2"/>
  <c r="V604" i="2"/>
  <c r="V603" i="2"/>
  <c r="V602" i="2"/>
  <c r="V601" i="2"/>
  <c r="V600" i="2"/>
  <c r="V599" i="2"/>
  <c r="V598" i="2"/>
  <c r="V597" i="2"/>
  <c r="V596" i="2"/>
  <c r="V595" i="2"/>
  <c r="V594" i="2"/>
  <c r="V593" i="2"/>
  <c r="V592" i="2"/>
  <c r="V591" i="2"/>
  <c r="V590" i="2"/>
  <c r="V589" i="2"/>
  <c r="V588" i="2"/>
  <c r="V587" i="2"/>
  <c r="V586" i="2"/>
  <c r="V585" i="2"/>
  <c r="V584" i="2"/>
  <c r="V583" i="2"/>
  <c r="V582" i="2"/>
  <c r="V581" i="2"/>
  <c r="V580" i="2"/>
  <c r="V579" i="2"/>
  <c r="V578" i="2"/>
  <c r="V577" i="2"/>
  <c r="V576" i="2"/>
  <c r="V575" i="2"/>
  <c r="V574" i="2"/>
  <c r="V573" i="2"/>
  <c r="V572" i="2"/>
  <c r="V571" i="2"/>
  <c r="V570" i="2"/>
  <c r="V569" i="2"/>
  <c r="V568" i="2"/>
  <c r="V567" i="2"/>
  <c r="V566" i="2"/>
  <c r="V565" i="2"/>
  <c r="V564" i="2"/>
  <c r="V563" i="2"/>
  <c r="V562" i="2"/>
  <c r="V561" i="2"/>
  <c r="V560" i="2"/>
  <c r="V559" i="2"/>
  <c r="V558" i="2"/>
  <c r="V557" i="2"/>
  <c r="V556" i="2"/>
  <c r="V555" i="2"/>
  <c r="V554" i="2"/>
  <c r="V553" i="2"/>
  <c r="V552" i="2"/>
  <c r="V551" i="2"/>
  <c r="V550" i="2"/>
  <c r="V549" i="2"/>
  <c r="V548" i="2"/>
  <c r="V547" i="2"/>
  <c r="V546" i="2"/>
  <c r="V545" i="2"/>
  <c r="V544" i="2"/>
  <c r="V543" i="2"/>
  <c r="V542" i="2"/>
  <c r="V541" i="2"/>
  <c r="V540" i="2"/>
  <c r="V539" i="2"/>
  <c r="V538" i="2"/>
  <c r="V537" i="2"/>
  <c r="V536" i="2"/>
  <c r="V535" i="2"/>
  <c r="V534" i="2"/>
  <c r="V533" i="2"/>
  <c r="V532" i="2"/>
  <c r="V531" i="2"/>
  <c r="V530" i="2"/>
  <c r="V529" i="2"/>
  <c r="V528" i="2"/>
  <c r="V527" i="2"/>
  <c r="V526" i="2"/>
  <c r="V525" i="2"/>
  <c r="V524" i="2"/>
  <c r="V523" i="2"/>
  <c r="V522" i="2"/>
  <c r="V521" i="2"/>
  <c r="V520" i="2"/>
  <c r="V519" i="2"/>
  <c r="V518" i="2"/>
  <c r="V517" i="2"/>
  <c r="V516" i="2"/>
  <c r="V515" i="2"/>
  <c r="V514" i="2"/>
  <c r="V513" i="2"/>
  <c r="V512" i="2"/>
  <c r="V511" i="2"/>
  <c r="V510" i="2"/>
  <c r="V509" i="2"/>
  <c r="V508" i="2"/>
  <c r="V507" i="2"/>
  <c r="V506" i="2"/>
  <c r="V505" i="2"/>
  <c r="V504" i="2"/>
  <c r="V503" i="2"/>
  <c r="V502" i="2"/>
  <c r="V501" i="2"/>
  <c r="V500" i="2"/>
  <c r="V499" i="2"/>
  <c r="V498" i="2"/>
  <c r="V497" i="2"/>
  <c r="V496" i="2"/>
  <c r="V495" i="2"/>
  <c r="V494" i="2"/>
  <c r="V493" i="2"/>
  <c r="V492" i="2"/>
  <c r="V491" i="2"/>
  <c r="V490" i="2"/>
  <c r="V489" i="2"/>
  <c r="V488" i="2"/>
  <c r="V487" i="2"/>
  <c r="V486" i="2"/>
  <c r="V485" i="2"/>
  <c r="V484" i="2"/>
  <c r="V483" i="2"/>
  <c r="T9" i="2"/>
  <c r="T8" i="2"/>
  <c r="T7" i="2"/>
  <c r="T6" i="2"/>
  <c r="T5" i="2"/>
  <c r="T4" i="2"/>
  <c r="H2" i="2"/>
  <c r="T2" i="2"/>
  <c r="T12" i="2" l="1"/>
  <c r="T13" i="2"/>
  <c r="T10" i="2"/>
  <c r="T11" i="2"/>
  <c r="T14" i="2" l="1"/>
  <c r="P4" i="2"/>
  <c r="P3" i="2"/>
  <c r="N2" i="2"/>
  <c r="N6" i="2"/>
  <c r="N8" i="2"/>
  <c r="N7" i="2"/>
  <c r="N5" i="2"/>
  <c r="N4" i="2"/>
  <c r="N3" i="2"/>
  <c r="A2" i="1"/>
  <c r="A3" i="1"/>
  <c r="A4" i="1"/>
  <c r="A5" i="1"/>
  <c r="A6" i="1"/>
  <c r="A7" i="1"/>
  <c r="A8" i="1"/>
  <c r="A9" i="1"/>
  <c r="A10" i="1"/>
  <c r="A11" i="1"/>
  <c r="A12" i="1"/>
  <c r="A13" i="1"/>
  <c r="A14" i="1"/>
  <c r="A15" i="1"/>
  <c r="A16" i="1"/>
  <c r="A17" i="1"/>
  <c r="A18" i="1"/>
  <c r="A19" i="1"/>
  <c r="A20" i="1"/>
  <c r="A21" i="1"/>
  <c r="A22" i="1"/>
  <c r="A23" i="1"/>
  <c r="A24" i="1"/>
  <c r="A25"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8" i="1"/>
  <c r="A319"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N9" i="2" l="1"/>
  <c r="V55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2" i="1"/>
  <c r="V561" i="1"/>
  <c r="V560" i="1"/>
  <c r="V559" i="1"/>
  <c r="V558" i="1"/>
  <c r="V557" i="1"/>
  <c r="V556" i="1"/>
  <c r="V555" i="1"/>
  <c r="V554" i="1"/>
  <c r="V553" i="1"/>
  <c r="V552" i="1"/>
  <c r="V550" i="1"/>
  <c r="V143" i="1"/>
  <c r="V123" i="1"/>
  <c r="V126" i="1"/>
  <c r="V125" i="1"/>
  <c r="H2510" i="1" l="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1" i="1"/>
  <c r="H460" i="1"/>
  <c r="H459" i="1"/>
  <c r="H458" i="1"/>
  <c r="H457" i="1"/>
  <c r="H456" i="1"/>
  <c r="H455" i="1"/>
  <c r="H454" i="1"/>
  <c r="H453" i="1"/>
  <c r="H452" i="1"/>
  <c r="H451" i="1"/>
  <c r="H450" i="1"/>
  <c r="H449" i="1"/>
  <c r="H448" i="1"/>
  <c r="H447" i="1"/>
  <c r="H446" i="1"/>
  <c r="H445" i="1"/>
  <c r="H444" i="1"/>
  <c r="H443" i="1"/>
  <c r="H441" i="1"/>
  <c r="H440" i="1"/>
  <c r="H439" i="1"/>
  <c r="H438"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4" i="1"/>
  <c r="H343" i="1"/>
  <c r="H342" i="1"/>
  <c r="H341" i="1"/>
  <c r="H340" i="1"/>
  <c r="H339" i="1"/>
  <c r="H338" i="1"/>
  <c r="H337" i="1"/>
  <c r="H336" i="1"/>
  <c r="H335" i="1"/>
  <c r="H334" i="1"/>
  <c r="H333" i="1"/>
  <c r="H332" i="1"/>
  <c r="H331" i="1"/>
  <c r="H330" i="1"/>
  <c r="H329" i="1"/>
  <c r="H328" i="1"/>
  <c r="H327" i="1"/>
  <c r="H326" i="1"/>
  <c r="H325" i="1"/>
  <c r="H323" i="1"/>
  <c r="H322" i="1"/>
  <c r="H321" i="1"/>
  <c r="H315" i="1"/>
  <c r="H314" i="1"/>
  <c r="H313" i="1"/>
  <c r="H312" i="1"/>
  <c r="H311" i="1"/>
  <c r="H310" i="1"/>
  <c r="H309" i="1"/>
  <c r="H307" i="1"/>
  <c r="H306" i="1"/>
  <c r="H305" i="1"/>
  <c r="H304" i="1"/>
  <c r="H303" i="1"/>
  <c r="H302" i="1"/>
  <c r="H301" i="1"/>
  <c r="H300" i="1"/>
  <c r="H299" i="1"/>
  <c r="H298" i="1"/>
  <c r="H297" i="1"/>
  <c r="H296" i="1"/>
  <c r="H295" i="1"/>
  <c r="H294" i="1"/>
  <c r="H293" i="1"/>
  <c r="H291" i="1"/>
  <c r="H290" i="1"/>
  <c r="H289" i="1"/>
  <c r="H288" i="1"/>
  <c r="H287" i="1"/>
  <c r="H286" i="1"/>
  <c r="H285" i="1"/>
  <c r="H284" i="1"/>
  <c r="H283" i="1"/>
  <c r="H282" i="1"/>
  <c r="H281" i="1"/>
  <c r="H280" i="1"/>
  <c r="H279" i="1"/>
  <c r="H278" i="1"/>
  <c r="H277" i="1"/>
  <c r="H276" i="1"/>
  <c r="H275" i="1"/>
  <c r="H274" i="1"/>
  <c r="H273" i="1"/>
  <c r="H272" i="1"/>
  <c r="H271" i="1"/>
  <c r="H270" i="1"/>
  <c r="H269" i="1"/>
  <c r="H267" i="1"/>
  <c r="H266" i="1"/>
  <c r="H264" i="1"/>
  <c r="H263" i="1"/>
  <c r="H262" i="1"/>
  <c r="H261" i="1"/>
  <c r="H260" i="1"/>
  <c r="H259" i="1"/>
  <c r="H258" i="1"/>
  <c r="H257" i="1"/>
  <c r="H256" i="1"/>
  <c r="H255" i="1"/>
  <c r="H254" i="1"/>
  <c r="H253" i="1"/>
  <c r="H251" i="1"/>
  <c r="H250" i="1"/>
  <c r="H248" i="1"/>
  <c r="H247" i="1"/>
  <c r="H246" i="1"/>
  <c r="H245" i="1"/>
  <c r="H244" i="1"/>
  <c r="H243" i="1"/>
  <c r="H242" i="1"/>
  <c r="H241" i="1"/>
  <c r="H240" i="1"/>
  <c r="H239" i="1"/>
  <c r="H238" i="1"/>
  <c r="H237" i="1"/>
  <c r="H236" i="1"/>
  <c r="H235" i="1"/>
  <c r="H234" i="1"/>
  <c r="H233" i="1"/>
  <c r="H232"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49" i="1"/>
  <c r="H48" i="1"/>
  <c r="H47" i="1"/>
  <c r="H46" i="1"/>
  <c r="H45" i="1"/>
  <c r="H44" i="1"/>
  <c r="H43" i="1"/>
  <c r="H42" i="1"/>
  <c r="H41" i="1"/>
  <c r="H40" i="1"/>
  <c r="H39" i="1"/>
  <c r="H38" i="1"/>
  <c r="H37" i="1"/>
  <c r="H36" i="1"/>
  <c r="H35" i="1"/>
  <c r="H34" i="1"/>
  <c r="H33" i="1"/>
  <c r="H32" i="1"/>
  <c r="H31" i="1"/>
  <c r="H29" i="1"/>
  <c r="H28" i="1"/>
  <c r="H27" i="1"/>
  <c r="H26" i="1"/>
  <c r="H25" i="1"/>
  <c r="H24" i="1"/>
  <c r="H22" i="1"/>
  <c r="H21" i="1"/>
  <c r="H20" i="1"/>
  <c r="H19" i="1"/>
  <c r="H18" i="1"/>
  <c r="H17" i="1"/>
  <c r="H16" i="1"/>
  <c r="H15" i="1"/>
  <c r="H14" i="1"/>
  <c r="H13" i="1"/>
  <c r="H12" i="1"/>
  <c r="H11" i="1"/>
  <c r="H10" i="1"/>
  <c r="H9" i="1"/>
  <c r="H8" i="1"/>
  <c r="H7" i="1"/>
  <c r="H6" i="1"/>
  <c r="H5" i="1"/>
  <c r="H4" i="1"/>
  <c r="H3" i="1"/>
  <c r="V483" i="1" l="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4" i="1"/>
  <c r="V513" i="1"/>
  <c r="V512" i="1"/>
  <c r="V511" i="1"/>
  <c r="V510" i="1"/>
  <c r="V509" i="1"/>
  <c r="V508" i="1"/>
  <c r="V507" i="1"/>
  <c r="V506" i="1"/>
  <c r="V504" i="1"/>
  <c r="V503" i="1"/>
  <c r="V502" i="1"/>
  <c r="V501" i="1"/>
  <c r="V500" i="1"/>
  <c r="V499" i="1"/>
  <c r="V498" i="1"/>
  <c r="V497" i="1"/>
  <c r="V496" i="1"/>
  <c r="V495" i="1"/>
  <c r="V494" i="1"/>
  <c r="V493" i="1"/>
  <c r="V492" i="1"/>
  <c r="V491" i="1"/>
  <c r="V490" i="1"/>
  <c r="V489" i="1"/>
  <c r="V488" i="1"/>
  <c r="V487" i="1"/>
  <c r="V486" i="1"/>
  <c r="V485" i="1"/>
  <c r="V484" i="1"/>
  <c r="V482" i="1"/>
  <c r="L6" i="2"/>
  <c r="L5" i="2"/>
  <c r="L4" i="2"/>
  <c r="L3" i="2"/>
  <c r="L2" i="2"/>
  <c r="H12" i="2" l="1"/>
  <c r="H3" i="2"/>
  <c r="V480" i="1" l="1"/>
  <c r="V481" i="1"/>
  <c r="V479" i="1" l="1"/>
  <c r="V282" i="1" l="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19" i="1"/>
  <c r="V318" i="1"/>
  <c r="V316" i="1"/>
  <c r="V315" i="1"/>
  <c r="V314" i="1"/>
  <c r="V313" i="1"/>
  <c r="V312" i="1"/>
  <c r="V311" i="1"/>
  <c r="V310" i="1"/>
  <c r="V309" i="1"/>
  <c r="V308" i="1"/>
  <c r="V307" i="1"/>
  <c r="V306" i="1"/>
  <c r="V305" i="1"/>
  <c r="V304" i="1"/>
  <c r="V303" i="1"/>
  <c r="V302" i="1"/>
  <c r="V301" i="1"/>
  <c r="V300" i="1"/>
  <c r="V299" i="1"/>
  <c r="V298" i="1"/>
  <c r="V297" i="1"/>
  <c r="V152" i="1"/>
  <c r="V11" i="1"/>
  <c r="V12" i="1"/>
  <c r="V10" i="1"/>
  <c r="V9" i="1"/>
  <c r="V8" i="1"/>
  <c r="V7" i="1"/>
  <c r="V6" i="1"/>
  <c r="V5" i="1"/>
  <c r="V4" i="1"/>
  <c r="V3" i="1"/>
  <c r="V2" i="1"/>
  <c r="V21" i="1"/>
  <c r="V20" i="1"/>
  <c r="V19" i="1"/>
  <c r="V18" i="1"/>
  <c r="V17" i="1"/>
  <c r="V16" i="1"/>
  <c r="V15" i="1"/>
  <c r="V14" i="1"/>
  <c r="V13" i="1"/>
  <c r="V26" i="1"/>
  <c r="V29" i="1"/>
  <c r="V28" i="1"/>
  <c r="V27" i="1"/>
  <c r="V25" i="1"/>
  <c r="V24" i="1"/>
  <c r="V23" i="1"/>
  <c r="V22"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64" i="1"/>
  <c r="V71" i="1"/>
  <c r="V70" i="1"/>
  <c r="V69" i="1"/>
  <c r="V68" i="1"/>
  <c r="V67" i="1"/>
  <c r="V66" i="1"/>
  <c r="V65" i="1"/>
  <c r="V91" i="1"/>
  <c r="V94" i="1"/>
  <c r="V93" i="1"/>
  <c r="V113" i="1"/>
  <c r="V117" i="1"/>
  <c r="V121" i="1"/>
  <c r="V130" i="1"/>
  <c r="V133" i="1"/>
  <c r="V138" i="1"/>
  <c r="V137" i="1"/>
  <c r="V136" i="1"/>
  <c r="V135" i="1"/>
  <c r="V249" i="1"/>
  <c r="V271" i="1"/>
  <c r="V203" i="1" l="1"/>
  <c r="V181" i="1" l="1"/>
  <c r="V182" i="1"/>
  <c r="V180" i="1"/>
  <c r="V166" i="1" l="1"/>
  <c r="V157" i="1" l="1"/>
  <c r="V160" i="1"/>
  <c r="V151" i="1" l="1"/>
  <c r="V150" i="1" l="1"/>
  <c r="V72" i="1" l="1"/>
  <c r="V73" i="1"/>
  <c r="V74" i="1"/>
  <c r="V75" i="1"/>
  <c r="V76" i="1"/>
  <c r="V77" i="1"/>
  <c r="V78" i="1"/>
  <c r="V79" i="1"/>
  <c r="V80" i="1"/>
  <c r="V81" i="1"/>
  <c r="V86" i="1"/>
  <c r="V87" i="1"/>
  <c r="V88" i="1"/>
  <c r="V90" i="1"/>
  <c r="V92" i="1"/>
  <c r="V95" i="1"/>
  <c r="V96" i="1"/>
  <c r="V97" i="1"/>
  <c r="V98" i="1"/>
  <c r="V99" i="1"/>
  <c r="V100" i="1"/>
  <c r="V101" i="1"/>
  <c r="V102" i="1"/>
  <c r="V103" i="1"/>
  <c r="V104" i="1"/>
  <c r="V105" i="1"/>
  <c r="V106" i="1"/>
  <c r="V107" i="1"/>
  <c r="V108" i="1"/>
  <c r="V109" i="1"/>
  <c r="V110" i="1"/>
  <c r="V111" i="1"/>
  <c r="V112" i="1"/>
  <c r="V114" i="1"/>
  <c r="V115" i="1"/>
  <c r="V116" i="1"/>
  <c r="V118" i="1"/>
  <c r="V119" i="1"/>
  <c r="V120" i="1"/>
  <c r="V122" i="1"/>
  <c r="V124" i="1"/>
  <c r="V127" i="1"/>
  <c r="V128" i="1"/>
  <c r="V129" i="1"/>
  <c r="V131" i="1"/>
  <c r="V132" i="1"/>
  <c r="V134" i="1"/>
  <c r="V139" i="1"/>
  <c r="V140" i="1"/>
  <c r="V141" i="1"/>
  <c r="V142" i="1"/>
  <c r="V144" i="1"/>
  <c r="V145" i="1"/>
  <c r="V146" i="1"/>
  <c r="V147" i="1"/>
  <c r="V148" i="1"/>
  <c r="V149" i="1"/>
  <c r="V153" i="1"/>
  <c r="V154" i="1"/>
  <c r="V155" i="1"/>
  <c r="V156" i="1"/>
  <c r="V158" i="1"/>
  <c r="V159" i="1"/>
  <c r="V161" i="1"/>
  <c r="V162" i="1"/>
  <c r="V163" i="1"/>
  <c r="V164" i="1"/>
  <c r="V167" i="1"/>
  <c r="V168" i="1"/>
  <c r="V169" i="1"/>
  <c r="V170" i="1"/>
  <c r="V171" i="1"/>
  <c r="V172" i="1"/>
  <c r="V174" i="1"/>
  <c r="V175" i="1"/>
  <c r="V176" i="1"/>
  <c r="V177" i="1"/>
  <c r="V178" i="1"/>
  <c r="V179" i="1"/>
  <c r="V183" i="1"/>
  <c r="V184" i="1"/>
  <c r="V185" i="1"/>
  <c r="V186" i="1"/>
  <c r="V187" i="1"/>
  <c r="V188" i="1"/>
  <c r="V189" i="1"/>
  <c r="V190" i="1"/>
  <c r="V191" i="1"/>
  <c r="V192" i="1"/>
  <c r="V193" i="1"/>
  <c r="V194" i="1"/>
  <c r="V195" i="1"/>
  <c r="V196" i="1"/>
  <c r="V197" i="1"/>
  <c r="V198" i="1"/>
  <c r="V199" i="1"/>
  <c r="V200" i="1"/>
  <c r="V202"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52" i="1"/>
  <c r="V253" i="1"/>
  <c r="V254" i="1"/>
  <c r="V255" i="1"/>
  <c r="V256" i="1"/>
  <c r="V257" i="1"/>
  <c r="V258" i="1"/>
  <c r="V259" i="1"/>
  <c r="V261" i="1"/>
  <c r="V262" i="1"/>
  <c r="V263" i="1"/>
  <c r="V264" i="1"/>
  <c r="V265" i="1"/>
  <c r="V266" i="1"/>
  <c r="V267" i="1"/>
  <c r="V268" i="1"/>
  <c r="V269" i="1"/>
  <c r="V270" i="1"/>
  <c r="V260" i="1"/>
  <c r="V272" i="1"/>
  <c r="V273" i="1"/>
  <c r="V274" i="1"/>
  <c r="V275" i="1"/>
  <c r="V276" i="1"/>
  <c r="V277" i="1"/>
  <c r="V278" i="1"/>
  <c r="V279" i="1"/>
  <c r="V281" i="1"/>
  <c r="V283" i="1"/>
  <c r="V284" i="1"/>
  <c r="V285" i="1"/>
  <c r="V286" i="1"/>
  <c r="V287" i="1"/>
  <c r="V288" i="1"/>
  <c r="V289" i="1"/>
  <c r="V290" i="1"/>
  <c r="V291" i="1"/>
  <c r="V292" i="1"/>
  <c r="V293" i="1"/>
  <c r="V294" i="1"/>
  <c r="V295" i="1"/>
  <c r="V296" i="1"/>
  <c r="V82" i="1"/>
  <c r="V83" i="1"/>
  <c r="V84" i="1"/>
  <c r="V85" i="1"/>
  <c r="U7" i="2" l="1"/>
  <c r="U5" i="2"/>
  <c r="U3" i="2"/>
  <c r="H252" i="1"/>
  <c r="B18" i="3" l="1"/>
  <c r="B17" i="3"/>
  <c r="B16" i="3"/>
  <c r="B15" i="3"/>
  <c r="B14" i="3"/>
  <c r="B13" i="3"/>
  <c r="B12" i="3"/>
  <c r="B11" i="3"/>
  <c r="B10" i="3"/>
  <c r="B9" i="3"/>
  <c r="B7" i="3"/>
  <c r="B8" i="3"/>
  <c r="B6" i="3"/>
  <c r="B5" i="3"/>
  <c r="B3" i="3"/>
  <c r="B4" i="3"/>
  <c r="B2" i="3"/>
  <c r="B23" i="3" l="1"/>
  <c r="L8" i="2" l="1"/>
  <c r="W2" i="2"/>
  <c r="V2" i="2" l="1"/>
  <c r="V3" i="2" l="1"/>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B14" i="2" l="1"/>
  <c r="J7" i="2"/>
  <c r="J3" i="2"/>
  <c r="J2" i="2"/>
  <c r="J8" i="2"/>
  <c r="J5" i="2"/>
  <c r="J6" i="2"/>
  <c r="L7" i="2"/>
  <c r="J4" i="2"/>
  <c r="B2" i="2"/>
  <c r="B4" i="2"/>
  <c r="B3" i="2"/>
  <c r="B5" i="2"/>
  <c r="D8" i="2"/>
  <c r="B22" i="3"/>
  <c r="B20" i="3"/>
  <c r="B21" i="3"/>
  <c r="B19" i="3"/>
  <c r="D3" i="2"/>
  <c r="D4" i="2"/>
  <c r="D5" i="2"/>
  <c r="D2" i="2"/>
  <c r="H11" i="2"/>
  <c r="H10" i="2"/>
  <c r="H9" i="2"/>
  <c r="H8" i="2"/>
  <c r="H7" i="2"/>
  <c r="H6" i="2"/>
  <c r="H5" i="2"/>
  <c r="H4" i="2"/>
  <c r="B6" i="2" l="1"/>
  <c r="J9" i="2"/>
  <c r="H13" i="2"/>
  <c r="D6" i="2"/>
  <c r="D7" i="2"/>
  <c r="D9" i="2" l="1"/>
  <c r="F8" i="2" l="1"/>
  <c r="F7" i="2"/>
  <c r="F2" i="2"/>
  <c r="F6" i="2"/>
  <c r="F4" i="2"/>
  <c r="F5" i="2"/>
  <c r="F3" i="2"/>
  <c r="F9" i="2" l="1"/>
</calcChain>
</file>

<file path=xl/sharedStrings.xml><?xml version="1.0" encoding="utf-8"?>
<sst xmlns="http://schemas.openxmlformats.org/spreadsheetml/2006/main" count="5101" uniqueCount="1554">
  <si>
    <t>№ и/б</t>
  </si>
  <si>
    <t>Отделение</t>
  </si>
  <si>
    <t>Дата поступления</t>
  </si>
  <si>
    <t>Время поступления</t>
  </si>
  <si>
    <t>Дата рождения</t>
  </si>
  <si>
    <t>Возраст</t>
  </si>
  <si>
    <t>Канал поступления</t>
  </si>
  <si>
    <t>Длительность ИВЛ</t>
  </si>
  <si>
    <t>Куда переведён</t>
  </si>
  <si>
    <t>Дата перевода</t>
  </si>
  <si>
    <t>Диагноз при поступлении в ОРИТ</t>
  </si>
  <si>
    <t>Длительность</t>
  </si>
  <si>
    <t>До 1 сут.</t>
  </si>
  <si>
    <t>Свыше 30 сут.</t>
  </si>
  <si>
    <t>Кол-во</t>
  </si>
  <si>
    <t>Всего</t>
  </si>
  <si>
    <t>До 7 дней</t>
  </si>
  <si>
    <t>7-29 дней</t>
  </si>
  <si>
    <t>До 1 года</t>
  </si>
  <si>
    <t>1-3 года</t>
  </si>
  <si>
    <t>3-7 лет</t>
  </si>
  <si>
    <t>7-15 лет</t>
  </si>
  <si>
    <t>15-18 лет</t>
  </si>
  <si>
    <t>ДОТО</t>
  </si>
  <si>
    <t>Нефро</t>
  </si>
  <si>
    <t>ОПНН</t>
  </si>
  <si>
    <t>Педиатрия</t>
  </si>
  <si>
    <t>Пульмо</t>
  </si>
  <si>
    <t>Неврология</t>
  </si>
  <si>
    <t>Другие больницы</t>
  </si>
  <si>
    <t>Летальный исход</t>
  </si>
  <si>
    <t>Прочее</t>
  </si>
  <si>
    <t>ИВЛ детям в возрасте</t>
  </si>
  <si>
    <t>ИВЛ по срокам</t>
  </si>
  <si>
    <t>Новорожденным</t>
  </si>
  <si>
    <t>3-7 сут.</t>
  </si>
  <si>
    <t>1-3 сут.</t>
  </si>
  <si>
    <t>7-20 сут.</t>
  </si>
  <si>
    <t>Более 20 сут.</t>
  </si>
  <si>
    <t>Диагнозы</t>
  </si>
  <si>
    <t>Инфекционные и паразитарные болезни</t>
  </si>
  <si>
    <t>Новообразования</t>
  </si>
  <si>
    <t>Болезни крови и кроветворных органов</t>
  </si>
  <si>
    <t>Болезни эндокринной системы и нарушения обмена веществ</t>
  </si>
  <si>
    <t>Психические расстройства</t>
  </si>
  <si>
    <t>Ретинопатии</t>
  </si>
  <si>
    <t>Болезни нервной системы и органов чувств</t>
  </si>
  <si>
    <t>Болезни системы кровообращения</t>
  </si>
  <si>
    <t>Болезни органов дыхания</t>
  </si>
  <si>
    <t>Болезни органов пищеварения</t>
  </si>
  <si>
    <t>Болезни мочеполовой системы</t>
  </si>
  <si>
    <t>Болезни костно-мышечного аппарата</t>
  </si>
  <si>
    <t>Травма сочетанная и изолированная</t>
  </si>
  <si>
    <t>Флегмоны, абсцессы и другие повреждения мягких тканей</t>
  </si>
  <si>
    <t>Ожоговая травма</t>
  </si>
  <si>
    <t>Отравления</t>
  </si>
  <si>
    <t>Пороки и врождённые аномалии развития</t>
  </si>
  <si>
    <t>Болезни неонатального возраста</t>
  </si>
  <si>
    <t>Болезни в возрасте до 5 лет</t>
  </si>
  <si>
    <t>Болезни в возрасте 5-12 лет</t>
  </si>
  <si>
    <t>Болезни в возрасте 12-18 лет</t>
  </si>
  <si>
    <t>Кол-во2</t>
  </si>
  <si>
    <t>Кол-во3</t>
  </si>
  <si>
    <t>Кол-во4</t>
  </si>
  <si>
    <t>Кол-во5</t>
  </si>
  <si>
    <t>Кол-во6</t>
  </si>
  <si>
    <t>Адрес регистраци</t>
  </si>
  <si>
    <t>Фамилия, имя, отчество</t>
  </si>
  <si>
    <t>Категория диагноза</t>
  </si>
  <si>
    <t>Профиль отделения</t>
  </si>
  <si>
    <t>Длительность, сут.</t>
  </si>
  <si>
    <t>Возраст в днях</t>
  </si>
  <si>
    <t>3-30 сут.</t>
  </si>
  <si>
    <t>ЦВК</t>
  </si>
  <si>
    <t>Время перевода</t>
  </si>
  <si>
    <t>Самотёком</t>
  </si>
  <si>
    <t>Итого</t>
  </si>
  <si>
    <t>ДХО</t>
  </si>
  <si>
    <t>койко-дни</t>
  </si>
  <si>
    <t>0 г. 0 мес. 0 дн.</t>
  </si>
  <si>
    <t>0 г. 0 мес. 2 дн.</t>
  </si>
  <si>
    <t>№ п/п</t>
  </si>
  <si>
    <t>Пед. паллиатив</t>
  </si>
  <si>
    <t>Сосудистый доступ</t>
  </si>
  <si>
    <t>Регионарная анестезия</t>
  </si>
  <si>
    <t>Трансфузии</t>
  </si>
  <si>
    <t>ЭКД</t>
  </si>
  <si>
    <t>Кол-во9</t>
  </si>
  <si>
    <t>Гл. вен. линия</t>
  </si>
  <si>
    <t>Периф. вен. кат.</t>
  </si>
  <si>
    <t>Без доступа</t>
  </si>
  <si>
    <t>Кол-во11</t>
  </si>
  <si>
    <t>ЦВК №2</t>
  </si>
  <si>
    <t>ЦВК&gt;=№3</t>
  </si>
  <si>
    <t>Диализ. катетер</t>
  </si>
  <si>
    <t>ЦВК&gt;=3</t>
  </si>
  <si>
    <t>Эпидур. анест.</t>
  </si>
  <si>
    <t>СМА</t>
  </si>
  <si>
    <t>Блокады сплетений</t>
  </si>
  <si>
    <t>Регион. анестезия</t>
  </si>
  <si>
    <t>Кол-во93</t>
  </si>
  <si>
    <t>Кол-во94</t>
  </si>
  <si>
    <t>СЗП+/-крио</t>
  </si>
  <si>
    <t>Эр. масса</t>
  </si>
  <si>
    <t>Тромб.</t>
  </si>
  <si>
    <t>CVVHDF</t>
  </si>
  <si>
    <t>MPS</t>
  </si>
  <si>
    <t>PD</t>
  </si>
  <si>
    <t>Плазмаферез</t>
  </si>
  <si>
    <t>Кишеч. лаваж</t>
  </si>
  <si>
    <t>CVVHDF+MPS</t>
  </si>
  <si>
    <t>CVVHDF+PD</t>
  </si>
  <si>
    <t>CVVHDF+Кишеч. Лаваж</t>
  </si>
  <si>
    <t>Всего ЦВК</t>
  </si>
  <si>
    <t>Всего ЭКД</t>
  </si>
  <si>
    <t>Всего CVVHDF</t>
  </si>
  <si>
    <t>Всего MPS</t>
  </si>
  <si>
    <t>Всего PD</t>
  </si>
  <si>
    <t>Всего кишеч. Лаваж</t>
  </si>
  <si>
    <t>Койко-дней всего</t>
  </si>
  <si>
    <t>Доставлен_СМП</t>
  </si>
  <si>
    <t>Из_операционной</t>
  </si>
  <si>
    <t>Из_профильных_отделений</t>
  </si>
  <si>
    <t>Из_других_больниц</t>
  </si>
  <si>
    <t>Из_родильных_домов</t>
  </si>
  <si>
    <t>Повторное_поступление</t>
  </si>
  <si>
    <t>Яковлев Денис Максимович</t>
  </si>
  <si>
    <t>Ивановская обл., г. Шуя, ул. 8я Кочневская, 22</t>
  </si>
  <si>
    <t xml:space="preserve">Термический ожог пламенем грудной стенки, подмышечной обл. слева, левого плеча 1-2-3а ст. 10% площади тела. Ожоговый шок 1 ст.  </t>
  </si>
  <si>
    <t>Васильева Оксана Максимовна</t>
  </si>
  <si>
    <t>Ивановская обл., Кинешемский р-н, д. Новинки, ул. Парковая, 6, 2</t>
  </si>
  <si>
    <t>Гломерулонефрит острый с нефротическим синдромом, период развёрнутых клинических проявлений, с почечной недостаточностью.</t>
  </si>
  <si>
    <t>Золова Ксения Сергеевна</t>
  </si>
  <si>
    <t>г. Иваново, пр. Ленина, 11, 71</t>
  </si>
  <si>
    <t>Пневмония внебольничная, двусторонняя, тяжёлая, осложнённая эмпиемой плевры слева. ДН 2 ст.</t>
  </si>
  <si>
    <t>Смолкин Олег Максимович</t>
  </si>
  <si>
    <t>Ивановская обл.,  г.Ильинское-Хованское, пер. Луговой, 6, 2</t>
  </si>
  <si>
    <t>Сахарный диабет I тип, впервые выявленный, в фазе кетоацидоза.</t>
  </si>
  <si>
    <t>Качалов Тимофей Олегович</t>
  </si>
  <si>
    <t>Иваново ул Мякишева д17</t>
  </si>
  <si>
    <t>ОП ЦНС Эпилепсия. Пневмония</t>
  </si>
  <si>
    <t>Малахова София Дмитриевна</t>
  </si>
  <si>
    <t>г. Шуя Ул Шоссе Южное д106 кв26</t>
  </si>
  <si>
    <t>Эпистатус</t>
  </si>
  <si>
    <t>г. Иваново ул Котовская д23 кв 20</t>
  </si>
  <si>
    <t xml:space="preserve">Закрытытый перелом левой бедренной кости </t>
  </si>
  <si>
    <t>СЗП+Эр</t>
  </si>
  <si>
    <t>СЗП+Тр</t>
  </si>
  <si>
    <t>Эр+Тр</t>
  </si>
  <si>
    <t>СЗП+Эр+Тр</t>
  </si>
  <si>
    <t>СЗП всего</t>
  </si>
  <si>
    <t>Эр всего</t>
  </si>
  <si>
    <t>Тр всего</t>
  </si>
  <si>
    <t>Можайцева Ксения Александровна</t>
  </si>
  <si>
    <t>Ивановская обл., г. Родники, ул. Гражданская, 18</t>
  </si>
  <si>
    <t>Сочетанная травма. ОЧМТ. Ушиб головного мозга средней степени тяжести. Ушибленная рана лба. Закрытый неосложнённый перелом с/з правого бедра со смещением отломков. Травматический шок 1 ст.</t>
  </si>
  <si>
    <t>Фёдоров Максим Иванович</t>
  </si>
  <si>
    <t>г. Иваново, ул. Любимова, 11</t>
  </si>
  <si>
    <t>Пневмония внебольничная, очаговая, правосторонняя, нетяжёлая. ДН 0-1 ст. Болезнь Дауна. ВПС. ДМПП.</t>
  </si>
  <si>
    <t>Мискарян Ваче Мгерович</t>
  </si>
  <si>
    <t>г.Иваново, ул.Володарского д.1, кв.21</t>
  </si>
  <si>
    <t>Эпилептический статус</t>
  </si>
  <si>
    <t>Шашкова Диана Руслановна</t>
  </si>
  <si>
    <t>г.Кинешма</t>
  </si>
  <si>
    <t>Бронхиолит острый. ДН II-III ст. Пневмония внебольничная очаговая, левосторонняя, тяжелая, неосложненная.</t>
  </si>
  <si>
    <t xml:space="preserve">г. Шуя 8я Северная 4 -1 </t>
  </si>
  <si>
    <t xml:space="preserve">Термический ожог правой руки и спины-2-3а ст. 10%-12% площади тела. Ожоговый шок 1 ст.  </t>
  </si>
  <si>
    <t>Морозова Софья Дмитриевна</t>
  </si>
  <si>
    <t>г. Иваново, ул.Кудряшова, д.111А, кв.90</t>
  </si>
  <si>
    <t>Воропаева Злата Алексеевна</t>
  </si>
  <si>
    <t>г. Иваново, ул.Панина, д.17, кв.50</t>
  </si>
  <si>
    <t>Отравление смесью таблеток</t>
  </si>
  <si>
    <t>Одинаев Абубакар Максадджонович</t>
  </si>
  <si>
    <t>Жильцова Анна Максимовна</t>
  </si>
  <si>
    <t>г. Иваново, ул. Мякишева, д. 17</t>
  </si>
  <si>
    <t>Парфёнов Евгений Александрович</t>
  </si>
  <si>
    <t>г. Иваново, ул. Маршала Василевского, 1, 37</t>
  </si>
  <si>
    <t>Острый обструктивный ларингит. Стеноз гортани 2 ст. ДН 1-2 ст.</t>
  </si>
  <si>
    <t>г. Иваново, ул. Котовская д.23, кв.20</t>
  </si>
  <si>
    <t>Закрытытый перелом левой бедренной кости. Открытая репозиция и фиксация отломков от 09.01.23</t>
  </si>
  <si>
    <t>Шепелев Андрей Олегович</t>
  </si>
  <si>
    <t>Комсомольск, ул.Попова,1</t>
  </si>
  <si>
    <t>Пневмония, фебриьные судороги</t>
  </si>
  <si>
    <t>г.Родники, ул. Гражданская д.18</t>
  </si>
  <si>
    <t>Сочетанная травма. ОЧМТ. Ушиб головного мозга средней степени тяжести. Ушибленная рана лба. Закрытый неосложнённый перелом с/з правого бедра со смещением отломков. Травматический шок 1 ст.   Открытая репозиция от 10.01.23</t>
  </si>
  <si>
    <t>Чернигина Анастасия Николаевна</t>
  </si>
  <si>
    <t>Фурманов Возрождения 7-4</t>
  </si>
  <si>
    <t>Отравление неулептином</t>
  </si>
  <si>
    <t>Мельников Константин</t>
  </si>
  <si>
    <t>комсомольск, пер. Липовский 8-2</t>
  </si>
  <si>
    <t>Портальная гипертензия, состоявшееся кровотечение из варикознорасширенных вен пищевода. Анемия тяжелая, гипохромная, смешанного генеза. Гепатит С?</t>
  </si>
  <si>
    <t>Мишина Елизавета Ивановна</t>
  </si>
  <si>
    <t>г.Фурманов, ул.Плесская, д.31</t>
  </si>
  <si>
    <t>Поздняя послеоперационная спаечная кишечная непроходимость</t>
  </si>
  <si>
    <t>г. Комсомольск, ул. Попова, 1</t>
  </si>
  <si>
    <t>Муравьёва София Алексеевна</t>
  </si>
  <si>
    <t>г. Кохма, ул. Чехова, 40, 35</t>
  </si>
  <si>
    <t>Сахарный диабет I тип, в фазе кетоацидоза.</t>
  </si>
  <si>
    <t>Рыженкова Алина Александровна</t>
  </si>
  <si>
    <t>г. Шуя, 4й Дубковский пер., 4</t>
  </si>
  <si>
    <t xml:space="preserve">ЗЧМТ. Сотрясение головного мозга. Тромбоцитопеническая пурпура.  </t>
  </si>
  <si>
    <t>Новиков Михаил Сергеевич</t>
  </si>
  <si>
    <t>г. Иваново, ул. Собинова, 50, 7</t>
  </si>
  <si>
    <t>Бронхиолит острый. ДН II-III ст. Пневмония внебольничная очаговая, правосторонняя, тяжелая, неосложненная.</t>
  </si>
  <si>
    <t>Бойцова Злата Владимировна</t>
  </si>
  <si>
    <t>Кострома, Калиновская,22/44,63</t>
  </si>
  <si>
    <t>Ретинопатия, БЛД</t>
  </si>
  <si>
    <t>Кинешемский р-н, д.Новинки, ул.Покрова д.6</t>
  </si>
  <si>
    <t>Гломерулонефрит острый с нефротическим синдромом, период развёрнутых клинических проявлений, с почечной недостаточностью. Тромбоз левой подключичной/внутренней яремной вены.</t>
  </si>
  <si>
    <t>Соколов Петр</t>
  </si>
  <si>
    <t>г Тейково , ул Новоженово д 1 кв 72</t>
  </si>
  <si>
    <t xml:space="preserve">Сочетанная травма. ОЧМТ. Ушиб ГМ легкой степени. ЗТГК. Ушиб обоих легких. ТТЖ. Ушиб передней брюшной стенки. Перелом передней стенки лобной пазухи. Перелом лобного отростка правой скуловой кости без смещения отломков. Перелом костей носа со смещением отломков с переходом на верхнюю челюсть справа. Перелом всех стенок ВЧП с двух сторон. Гемосинус. Перелом клеток решетчатого лабиринта. Рваная рана скуловой области справа. Закрытый подвертельный перелом правой бедренной кости со смещением отломков. Множественные ссадины лица, верхних и нижних конечностей. Травматический шок 2 ст. </t>
  </si>
  <si>
    <t>Владыкова Ксения</t>
  </si>
  <si>
    <t>иваново .пр Текстильщиков 117б-25</t>
  </si>
  <si>
    <t xml:space="preserve"> хондромаляция надколенника левого коленного сустава . Состояние после МОС.</t>
  </si>
  <si>
    <t>Снигерев Михаил</t>
  </si>
  <si>
    <t>г иваново Кохомское шоссе 7-237</t>
  </si>
  <si>
    <t>Структурная фокальная эпилепсия. Судорожный синдром</t>
  </si>
  <si>
    <t>Дивертикул меккеля. Лапороскопия. Лапоротомия от 19.1.23</t>
  </si>
  <si>
    <t>Г Кинешма. Ул Бойцова  д 26- 18</t>
  </si>
  <si>
    <t>Виноградов Иван</t>
  </si>
  <si>
    <t>вичуга леннинградская 16-4</t>
  </si>
  <si>
    <t>Игнатов Олег</t>
  </si>
  <si>
    <t>Иваново Садовая 36-35</t>
  </si>
  <si>
    <t>Электротравма</t>
  </si>
  <si>
    <t>Локтева Ульяна Леонидовна</t>
  </si>
  <si>
    <t>г.Приволжск, ул. Льва Толстого</t>
  </si>
  <si>
    <t>Желчнокаменная болезнь</t>
  </si>
  <si>
    <t>Таныгин Алексей Иванович</t>
  </si>
  <si>
    <t>Приволжский район с.Ингарь ул.Полевая 7</t>
  </si>
  <si>
    <t>ДЦП. Гастростомия 20.01.23</t>
  </si>
  <si>
    <t>Маронин Владислав Леонидович</t>
  </si>
  <si>
    <t>г.Вичуга, ул. Бокланова, 41</t>
  </si>
  <si>
    <t>Сахарный диабет I типа. Фаза кетоацидоза</t>
  </si>
  <si>
    <t>Тромбоцито пения.</t>
  </si>
  <si>
    <t>Ретинопатия, БЛД. Анемия.</t>
  </si>
  <si>
    <t>Хмелинин Егор Ильич</t>
  </si>
  <si>
    <t>г. Родники, ул. Рябикова, д.12, кв.138</t>
  </si>
  <si>
    <t>Органическое поражение ЦНС. Бульбарный синдром. Носитель гастростомы. Носитель трахеостомы. Белково-энергетическая недостаточность 3 ст.</t>
  </si>
  <si>
    <t>Сирота мальчик</t>
  </si>
  <si>
    <t>Вичугский р-н с. Золотилово</t>
  </si>
  <si>
    <t>Перфорация полого органа</t>
  </si>
  <si>
    <t>Черкасова Мария Михайловна</t>
  </si>
  <si>
    <t>г.Родники,мкр.Шагова,17-65</t>
  </si>
  <si>
    <t>Киста ОД больших размеров, иссечение кисты</t>
  </si>
  <si>
    <t>Смирнова Алина Сергеевна</t>
  </si>
  <si>
    <t>Наволоки, Ульянова,14</t>
  </si>
  <si>
    <t>Полип желчного пузыря</t>
  </si>
  <si>
    <t>Прозорова Дарья Дмитриевна</t>
  </si>
  <si>
    <t>г.Иваново,ул.Водонапорная, д.11 кв.8</t>
  </si>
  <si>
    <t>Торсионная деформация нижних конечностей</t>
  </si>
  <si>
    <t>Ваганова Валерия Дмитриевна</t>
  </si>
  <si>
    <t>г. Иваново, ул. Текстильщиков д.56, кв.53</t>
  </si>
  <si>
    <t xml:space="preserve">Варусная деформация нижних конечностей. Состояние после коррегирующей остеотомии левого бедра. Ортопедическое укорочение левой нижней конечности. </t>
  </si>
  <si>
    <t>Дианина Вероника Игоревна</t>
  </si>
  <si>
    <t>г. Кохма, мкр.Просторный, д.11, кв.60</t>
  </si>
  <si>
    <t>Химический ожог ротовой полости, пищевода?</t>
  </si>
  <si>
    <t>Серов Константин Вадимович</t>
  </si>
  <si>
    <t>Тейковский р-н, с.Новое Горяново, ул. Молодежная, д4.</t>
  </si>
  <si>
    <t>Отравление неизвестным веществом</t>
  </si>
  <si>
    <t>Термический ожог</t>
  </si>
  <si>
    <t>г.Шуя, ул.Кооперативная, д.26, кв.5.</t>
  </si>
  <si>
    <t>Ганджалиев Эмиль Эльгюн Оглы</t>
  </si>
  <si>
    <t>Вичугский р-н с Каменка ул нечаева д5 кв41</t>
  </si>
  <si>
    <t>Пневмония внебольничная двустороння</t>
  </si>
  <si>
    <t>Литвинова Варвара Витальевна</t>
  </si>
  <si>
    <t xml:space="preserve">Перфоративный аппендицит. Разлитой гнойный перитонит. </t>
  </si>
  <si>
    <t>Кохма. Ивановская 29-34</t>
  </si>
  <si>
    <t>Рулева Татьяна Николаевна</t>
  </si>
  <si>
    <t>Деротационная остеотомия н/3 левого бедра</t>
  </si>
  <si>
    <t>Демина Полина Алексеевна</t>
  </si>
  <si>
    <t>Иваново, 3 Чапаева,45/5</t>
  </si>
  <si>
    <t>Шуя, 2 Мичуринская,10</t>
  </si>
  <si>
    <t>ОПЦНС. Пневмония внебольничная</t>
  </si>
  <si>
    <t>Шибанов Дмитрий Алексеевич</t>
  </si>
  <si>
    <t>Ивановский район село Подвязново 10-36</t>
  </si>
  <si>
    <t>Состояние после эпиприпадка</t>
  </si>
  <si>
    <t>Ивановская обл., г. Родники, ул. Рябикова, 12, 138</t>
  </si>
  <si>
    <t>Многоцилиндровая тонко-тонкокишечная инвагинация. Органическое поражение ЦНС. Бульбарный синдром. Носитель гастростомы. Носитель трахеостомы. Белково-энергетическая недостаточность 3 ст.</t>
  </si>
  <si>
    <t>Муравьев Иван Андреевич</t>
  </si>
  <si>
    <t>Акулов Николай Александрович</t>
  </si>
  <si>
    <t>Иванцова Кристина Николаевна</t>
  </si>
  <si>
    <t>Ивановская обл., г. Кохма, ул. Ивановская, 92, 29</t>
  </si>
  <si>
    <t>Торсионная деформация нижних конечностей. Латерализация бугристостей б/берц. костей. Латеральная нестабильность надколенников. Ортопедическое укорочение левой н/к 2,0 см. Операция 27.01.23.: медиализирующая остеотомия в/3 б/б кости.</t>
  </si>
  <si>
    <t>Сатымов Андрей Дмитриевич</t>
  </si>
  <si>
    <t>г. Иваново, Бакинский проезд, 57, 4</t>
  </si>
  <si>
    <t>Судорожный синдром неуточнённый. Фебрильные судороги. Синдром Бругада?</t>
  </si>
  <si>
    <t>Иваново, пр.Текстильщиков, 56-53</t>
  </si>
  <si>
    <t>Закрытый перелом с/3 левого бедра, МОС</t>
  </si>
  <si>
    <t>Иваново ул Мякишева д7</t>
  </si>
  <si>
    <t>Краниопластика</t>
  </si>
  <si>
    <t>Муминова Нина Алишеровна</t>
  </si>
  <si>
    <t>Комсомольский р-н, д.Иваньково, 3-4</t>
  </si>
  <si>
    <t>Отравление комплексом лекарственных средств</t>
  </si>
  <si>
    <t>Смирнова Василиса Александровна</t>
  </si>
  <si>
    <t>г.Иваново, ул.Домостроителей, 34-1</t>
  </si>
  <si>
    <t>Последствия перинатального поражения ЦНС</t>
  </si>
  <si>
    <t>Шубин Юрий Андреевич</t>
  </si>
  <si>
    <t>Ивановская обл., Гаврилово-Посадский район, с. Петрово Городище, ул. Ленина, 12, 2</t>
  </si>
  <si>
    <t>Сахарный диабет, впервые выявленный. Фаза кетоацидоза.</t>
  </si>
  <si>
    <t>Калашников Роман Михайлович</t>
  </si>
  <si>
    <t>г.Иваново, ул.Спортивная, д.26, кв.11</t>
  </si>
  <si>
    <t>Отравление тяжелое, бытовое, преднамеренное таблетками церукала (10 шт.)</t>
  </si>
  <si>
    <t>Панченко София Павловна</t>
  </si>
  <si>
    <t>г.Шуя, ул. Аникина д.35, кв.6</t>
  </si>
  <si>
    <t>СД I типа, фаза кетоацидоза</t>
  </si>
  <si>
    <t>Бобков Тимофей Леонидович</t>
  </si>
  <si>
    <t>с. Богородское , ул. Парковая д.54, кв.68</t>
  </si>
  <si>
    <t>Терм.ожог I-II ст. 18% спины, левого плеча, левого бедра, левой ягодичной области</t>
  </si>
  <si>
    <t>Кулаков Никита Андреевич</t>
  </si>
  <si>
    <t>Наволоки,ул.Энельса,4</t>
  </si>
  <si>
    <t>Образование теменной области справа</t>
  </si>
  <si>
    <t>дхо</t>
  </si>
  <si>
    <t>пер. Полярный, 15, 45</t>
  </si>
  <si>
    <t>Чернышова Екатерина Алексеевна</t>
  </si>
  <si>
    <t>Вичуга, ул.Филлипенковская,4-20</t>
  </si>
  <si>
    <t>Трихобезоар, лапаротомия, удалене трихобезоара</t>
  </si>
  <si>
    <t>Халезов Максим Евгеньевич</t>
  </si>
  <si>
    <t>Ивановская обл., п. Савино, ул. Кирьянова, 1, 12</t>
  </si>
  <si>
    <t>Гемофилия А, тяжёлая. Следствие ОНМК по геморрагическому типу от 05.06.2021 г. Миокардиодистрофия. Носитель трахеостомы, гастростомы. Нагноение зоны стояния порт-системы.</t>
  </si>
  <si>
    <t>Тихомирова Валерия Артёмовна</t>
  </si>
  <si>
    <t>Ивановская обл., Родниковский р-н, с. Болотново, ул. Молодёжная, 4, 8</t>
  </si>
  <si>
    <t>Торсионная деформация нижних конечностей. Артралгия правого коленного сустава. Коррегирующая остеотомия костей правой голени 16.02.23.</t>
  </si>
  <si>
    <t>Южа, п-д Слветский,1-22</t>
  </si>
  <si>
    <t>О.аппендицит. Периаппендикулярный абсцесс</t>
  </si>
  <si>
    <t>Ковалова Николь Сергеевна</t>
  </si>
  <si>
    <t>Фурманов Ивановская,7-45</t>
  </si>
  <si>
    <t>Термический ожог кипятком передней грудной стенки, живота, правой верхней конечности 8%</t>
  </si>
  <si>
    <t>Солодухина Валерия Владимировна</t>
  </si>
  <si>
    <t>Шуйский р-н, с.Китово. Ул.Центральная 100-69</t>
  </si>
  <si>
    <t>Корригирующая остеотомия правой бедренной кости. МОС пластиной</t>
  </si>
  <si>
    <t>Смирнова Виктория Денисовна</t>
  </si>
  <si>
    <t>Копусова Василиса Романовна</t>
  </si>
  <si>
    <t>Инвагинация кишки</t>
  </si>
  <si>
    <t>Абдулхаликов Тура Насрулаевич</t>
  </si>
  <si>
    <t>Шуйский р-н, д.Качалово,ул.Южная,29-2</t>
  </si>
  <si>
    <t>вр.пилоростеноз</t>
  </si>
  <si>
    <t>Вичугский р-н, д.Каменка, ул. Кооперативная,7</t>
  </si>
  <si>
    <t>spina bifida</t>
  </si>
  <si>
    <t>Сергеева Дарья Евгеньевна</t>
  </si>
  <si>
    <t>Ивановская обл., г. Юрьевец, ул. Фурманова, 96</t>
  </si>
  <si>
    <t>ЖКБ. ЛХЭ 22.02.23.</t>
  </si>
  <si>
    <t>Ивановская обл., г. Тейково, ул. Матросова, 2/63</t>
  </si>
  <si>
    <t>Крылов Ярослав Дмитриевич</t>
  </si>
  <si>
    <t>г. Иваново, мкрн Рождественский, 2, 189</t>
  </si>
  <si>
    <t>Х-сцепленная адренолейкодистрофия, церебральная форма. Первичная надпочечниковая недостаточность, медикаментозно компенсированная. Ребёнок-инвалид.</t>
  </si>
  <si>
    <t>Кулянов Евгений Алексеевич</t>
  </si>
  <si>
    <t>Ивановская обл., г. Комсомольск, пер. Школьный, 4, 3</t>
  </si>
  <si>
    <t>Судорожный синдром. Эпилепсия?</t>
  </si>
  <si>
    <t>Хлимакова Екатерина Дмитриевна</t>
  </si>
  <si>
    <t>ул Герцена д7 кв108</t>
  </si>
  <si>
    <t xml:space="preserve">Южский р-н д Нагорново </t>
  </si>
  <si>
    <t>Термический ожог кипятком передней грудной стенки справа, верхней конечности справа, лица. S15%</t>
  </si>
  <si>
    <t>Воробьева Дарья Васильевна</t>
  </si>
  <si>
    <t>отравление метформином</t>
  </si>
  <si>
    <t xml:space="preserve">Отравление сурогатами алкоголя </t>
  </si>
  <si>
    <t>Боброва Полина Александровна</t>
  </si>
  <si>
    <t>Лежневский р-н, с. Новые Горки ул Фрунзе д4 кв5</t>
  </si>
  <si>
    <t>ул суворова д78 кв18</t>
  </si>
  <si>
    <t>Кунгурцев Никита Александрович</t>
  </si>
  <si>
    <t>Ивановская обл., г. Кохма, ул. Стрелковая, 32</t>
  </si>
  <si>
    <t>Термический ожог кипятком правой верхней конечности и левой стопы 1-2-3 ст. 13% тела. Ожоговый шок 1 ст.</t>
  </si>
  <si>
    <t>Мокрыдина Дарина Якубовна</t>
  </si>
  <si>
    <t>Арасланова Лидия Владимировна</t>
  </si>
  <si>
    <t>Аннамова Юлия Александровна</t>
  </si>
  <si>
    <t>Волнов Александр Максимович</t>
  </si>
  <si>
    <t>Х-сцепленная адренолейкодистрофия, церебральная форма. Первичная надпочечниковая недостаточность, медикаментозно компенсируемая. Спастический тетрапарез. Синдром бульбарных нарушений. Эпилепсия фокальная смешанного генеза. Сгибательные контрактуры локтевых суставов, пальцев кистей, подошвенная флексия стоп, кифотическая установка позвоночника. Двусторонняя сенсо-невральная тугоухость. ЧАЗН обоих глаз. Нейродистрофия. ВПС. Двустворчатый АК. НК 0. Пневмония двусторонняя очаговая аспирационная+гипостатическая. ДН 3.</t>
  </si>
  <si>
    <t>Дёмина Полина Александровна</t>
  </si>
  <si>
    <t>г.Иваново, уд.3-я Чапаева, д.45/5</t>
  </si>
  <si>
    <t>органическое поражение ЦНС. Бульбарный синдром.</t>
  </si>
  <si>
    <t>Абдеева Амина Айдаровна</t>
  </si>
  <si>
    <t>г.Иваново, ул.Варенцовой, д.17/1, кв.5</t>
  </si>
  <si>
    <t xml:space="preserve">ЗЧМТ. Сотрясение головного мозга.  </t>
  </si>
  <si>
    <t>Пазилова Екатерина Александровна</t>
  </si>
  <si>
    <t>г.Иваново, ул, Ташкентская д.102, кв.26</t>
  </si>
  <si>
    <t>Кудрявцев Дмитрий Алексеевич</t>
  </si>
  <si>
    <t>г.Иваново, Кохомское шоссе, д.2, кв.144</t>
  </si>
  <si>
    <t>Энцефалит?</t>
  </si>
  <si>
    <t>Косимова Марьям Орзуевна</t>
  </si>
  <si>
    <t>Тейковский р-н, с.Междуреченск 9-5</t>
  </si>
  <si>
    <t>энцефалит?</t>
  </si>
  <si>
    <t>Федотов Яромир Витальевич</t>
  </si>
  <si>
    <t>Шуя  11 Мичуринская 6/4</t>
  </si>
  <si>
    <t>аспирационная пневмония</t>
  </si>
  <si>
    <t>Кочетков Николай Алексеевич</t>
  </si>
  <si>
    <t xml:space="preserve">г.Иваново, ул.Лагерная </t>
  </si>
  <si>
    <t>Бронхолегочная дисплазия недоношенных</t>
  </si>
  <si>
    <t>Мурадян Оган Дереникович</t>
  </si>
  <si>
    <t>г. Иваново, ул. Пролетарская, 39, 65</t>
  </si>
  <si>
    <t>Пароксизмальное состояние неуточнённое</t>
  </si>
  <si>
    <t>Ивановский р-н, д.Щипачево, д.9</t>
  </si>
  <si>
    <t xml:space="preserve"> Синкопальное состояние неуточнённое</t>
  </si>
  <si>
    <t>Гусева Ксения Николаевна</t>
  </si>
  <si>
    <t>Кохма, ул. Лакина, 33</t>
  </si>
  <si>
    <t>ЖКК. Аденовирусная инфекция</t>
  </si>
  <si>
    <t>Баринов Арсений Максимович</t>
  </si>
  <si>
    <t>г. Иваново,ул. Свободы 58, - 3</t>
  </si>
  <si>
    <t>Химический ожог ротовой полости, пищевода</t>
  </si>
  <si>
    <t>Логинова Влада Леонидовна</t>
  </si>
  <si>
    <t>Ивановская обл., г. Кохма, ул. Белкина, 10</t>
  </si>
  <si>
    <t>Пилоростеноз?</t>
  </si>
  <si>
    <t>Донос Иван Александрович</t>
  </si>
  <si>
    <t>г.Тейково, ул.Молодежная, д.9, кв.25</t>
  </si>
  <si>
    <t>Термический ожог обеих нижних конечностей 1-2-3а ст. S10%</t>
  </si>
  <si>
    <t>Клюшкин Матвей Николаевич</t>
  </si>
  <si>
    <t>г.Иваново, ул. Свободы, д.39А, кв.56</t>
  </si>
  <si>
    <t>г. Иваново</t>
  </si>
  <si>
    <t>Юсуфова Дилором Ташмахмадовна</t>
  </si>
  <si>
    <t>Левин Артур Андреевич</t>
  </si>
  <si>
    <t>г. Иваново, ул. Почтовая, 14, 19</t>
  </si>
  <si>
    <t xml:space="preserve">Заворот подвздошной кишки. Гангренозный аппендцит. </t>
  </si>
  <si>
    <t>Капаева Алиса Николаевна</t>
  </si>
  <si>
    <t>г.Шуя, ул. 4-яТекстильная, д4</t>
  </si>
  <si>
    <t xml:space="preserve">Вальгусная деформация стоп. Несовершенный остеогенез. </t>
  </si>
  <si>
    <t>Частухина Мария Васильевна</t>
  </si>
  <si>
    <t>Ивановский р-н, пос.Чернореченский, ул.Ленина д.1а</t>
  </si>
  <si>
    <t>Отравление смесью грибов, бытовое, средней степени тяжести</t>
  </si>
  <si>
    <t>Бобоев Бахман Бахтоварович</t>
  </si>
  <si>
    <t>г.Иваново, ул.ТЭЦ-3, д.6, кв.34</t>
  </si>
  <si>
    <t>Химический ожог полости рта, пищевода</t>
  </si>
  <si>
    <t>Сироткина Ангелина Николаевна</t>
  </si>
  <si>
    <t>Лежневский район, д. Дягильково, 19</t>
  </si>
  <si>
    <t>ЖКК</t>
  </si>
  <si>
    <t>Органическое поражение ЦНС</t>
  </si>
  <si>
    <t>Бруснигин Эдуард Андреевич</t>
  </si>
  <si>
    <t>Южский р-н, с.Талицы, ул. Рабочая, д.87</t>
  </si>
  <si>
    <t>Воронкообразная деформация грудной клетки</t>
  </si>
  <si>
    <t>Иванов Андрей Максимович</t>
  </si>
  <si>
    <t>г.Иваново, ул.Шубиных, д.5, кв.76</t>
  </si>
  <si>
    <t>Острый обструктивный бронхит. ДН 1-2</t>
  </si>
  <si>
    <t>г.Кохма, ул.Ленина, д.33</t>
  </si>
  <si>
    <t>Пневмония внебольничная, тяжелая, правосторонняя, осложненная плевритом. Состояние после дренирования плевральной полости. Эрозивный эзофагит. Эрозивный гастродуоденит.</t>
  </si>
  <si>
    <t>Поцекин Даниил Александрович</t>
  </si>
  <si>
    <t>г. Иваново, проспект Ленина д. 102, кв. 7</t>
  </si>
  <si>
    <t>Органическое поражение ЦНС. Бульбарный синдром. Пневмония двусторонняя очаговая смешенного генеза.</t>
  </si>
  <si>
    <t>Абрамова Алиса Александровна</t>
  </si>
  <si>
    <t>г. Иваново 1-ая Березняковская д.9</t>
  </si>
  <si>
    <t>Органическое поражение ЦНС. Судорожный синдром, эпистатус. Хроническая гипохромная анемия.</t>
  </si>
  <si>
    <t>Боборухина Елизавета Алексеевна</t>
  </si>
  <si>
    <t>Интерстициальный нефрит. Хроническая болезнь почек</t>
  </si>
  <si>
    <t>г. Иваново, ул. Текстильщиков, 60, 30</t>
  </si>
  <si>
    <t>Эгемназарова Нурпери Канатбековна</t>
  </si>
  <si>
    <t>Х-сцепленная адренолейкодистрофия, церебральная форма. Первичная надпочечниковая недостаточность, медикаментозно компенсированная. Трахеоканюляр. Ребёнок-инвалид.</t>
  </si>
  <si>
    <t>Абрамова Яна Максимовна</t>
  </si>
  <si>
    <t>г. Иваново, ул. Сосновая, 9а, 20</t>
  </si>
  <si>
    <t>Химический ожог ротовой полости, пищевода белизной</t>
  </si>
  <si>
    <t>г. Иваново, ул. 1-ая Березняковская, д. 9</t>
  </si>
  <si>
    <t>Чекин Александр Александрович</t>
  </si>
  <si>
    <t>г. Иваново, ул. Куконковых, 94, 21</t>
  </si>
  <si>
    <t>Поздняя послеоперационная спаечная кишечная непроходимость. Лапаротомия, адгезиолизис 19.03.23.</t>
  </si>
  <si>
    <t>Раскатова Виктория Дмитриевна</t>
  </si>
  <si>
    <t>г. Иваново, ул. Некрасова, 39а, 12</t>
  </si>
  <si>
    <t>Острое бытовое отравление алкоголем.</t>
  </si>
  <si>
    <t>Ерофеев Егор Владимирович</t>
  </si>
  <si>
    <t>Ново-Талицы</t>
  </si>
  <si>
    <t>БЛД, анемия тяжелая</t>
  </si>
  <si>
    <t>г. Иваново, ул. Кузнецова, д 122</t>
  </si>
  <si>
    <t>Химический ожог ротоглотки, пищевода</t>
  </si>
  <si>
    <t>Ерофеев Даниил Владимирович</t>
  </si>
  <si>
    <t>с. Новоталицы, совхозная 15</t>
  </si>
  <si>
    <t>БЛД, анемия недоношенных</t>
  </si>
  <si>
    <t>Карпов Роман Александрович</t>
  </si>
  <si>
    <t>г. Кинешма</t>
  </si>
  <si>
    <t>Термический ожог кипятком</t>
  </si>
  <si>
    <t>Смирнова Таисия Андреевна</t>
  </si>
  <si>
    <t>Хим.ожог ротовой полости, пищевода</t>
  </si>
  <si>
    <t>г.Кострома, ул.Ленина д.5</t>
  </si>
  <si>
    <t>БЛД. Ретинопатия</t>
  </si>
  <si>
    <t>Моторков Александр Максимович</t>
  </si>
  <si>
    <t>Докторова Варвара Сергеевна</t>
  </si>
  <si>
    <t>г.Родники, ул.Машиностроителей, д.12, кв.176</t>
  </si>
  <si>
    <t>Острое отравление неизвестным веществом.</t>
  </si>
  <si>
    <t>Куконков Максим Дмитриевич</t>
  </si>
  <si>
    <t>г.Иваново, ул.Куконковых д.94, кв.54</t>
  </si>
  <si>
    <t>Германов Леонид Евгеньевич</t>
  </si>
  <si>
    <t>Московская обл., г. Люберцы, пр. Октябрьский, 296, 60</t>
  </si>
  <si>
    <t>Химический ожог роовой полости, пищевода.</t>
  </si>
  <si>
    <t>Баталова Есения Романовна</t>
  </si>
  <si>
    <t>г. Иваново, ул. Шубиных, д. 25</t>
  </si>
  <si>
    <t>Сахарный диабет 1 типа, впервые выявленный, кетоацидоз</t>
  </si>
  <si>
    <t>Лисина Ульяна Сергеевна</t>
  </si>
  <si>
    <t>г.Иваново. п/о 14, д.316-74</t>
  </si>
  <si>
    <t>Леонова Галина Александровна</t>
  </si>
  <si>
    <t>Органическое поражение ЦНС,состояние после бужирования отверстия гастростомы</t>
  </si>
  <si>
    <t>Рубашевский Егор Павлович</t>
  </si>
  <si>
    <t>г.Фурманов, ул. Ивановская д.2, кв.21</t>
  </si>
  <si>
    <t xml:space="preserve">Язва желудка. Состоявшееся кровотечение. </t>
  </si>
  <si>
    <t>Митюшкина Ангелина Владимировна</t>
  </si>
  <si>
    <t>Верхнеландеховский р-н, д.Кислята, д.27</t>
  </si>
  <si>
    <t>ОПЦНС Эпилепсия. Эпистатус. Нейродистрофия</t>
  </si>
  <si>
    <t>Тихонова Елизавета Михайловна</t>
  </si>
  <si>
    <t>ул Негиданоская д28</t>
  </si>
  <si>
    <t xml:space="preserve">Торсионная деформация н/к </t>
  </si>
  <si>
    <t>Чилаева Раяна Ибрагимовна</t>
  </si>
  <si>
    <t>Внебольничная пневмония</t>
  </si>
  <si>
    <t>Охапкин Максим Сергеевич</t>
  </si>
  <si>
    <t>д.Балахонки, ул.Молодёжная 21-4</t>
  </si>
  <si>
    <t>Безруков Антон Александрович</t>
  </si>
  <si>
    <t>ЗЧМТ. СГМ. Субарахноидальное кровоизлияние</t>
  </si>
  <si>
    <t>Гордеев Никита Александрович</t>
  </si>
  <si>
    <t>Ущемленная грыжа. Кишечная непроходимость</t>
  </si>
  <si>
    <t>Лежневский р-н, д.Дягильково д.19</t>
  </si>
  <si>
    <t>Кишечная непроходимость</t>
  </si>
  <si>
    <t>Ушакова Полина Владимировна</t>
  </si>
  <si>
    <t>Лежневский р-н, пос.Лежнево, переулок Карла Маркса д.11</t>
  </si>
  <si>
    <t>Острый стенозирующий ларинготрахеит</t>
  </si>
  <si>
    <t>Самароков Матвей Андреевич</t>
  </si>
  <si>
    <t>г.Юрьевеч, Учхоз, д.27, кв.2</t>
  </si>
  <si>
    <t>Врожденный порок сердца.</t>
  </si>
  <si>
    <t>Иваново</t>
  </si>
  <si>
    <t>Ивановская обл.</t>
  </si>
  <si>
    <t>Маскина Кристина Михайловна</t>
  </si>
  <si>
    <t>г. Иваново, ул. Рабфаковская, 22, 37</t>
  </si>
  <si>
    <t>Лысенко Алина Ивановна</t>
  </si>
  <si>
    <t>Ивановская обл., Тейковский р-н, с. Новое Горяново, ул. Комсомольская, 15, 110</t>
  </si>
  <si>
    <t>Приобретённые деформации нижних конечностей. Коррегирующая остеотомия 24.03.23.</t>
  </si>
  <si>
    <t>Грачёв Никита Николаевич</t>
  </si>
  <si>
    <t>Ивановская обл., п. Пучеж, ул. Горького, 75</t>
  </si>
  <si>
    <t>ЗЧМТ. Ушиб головного мозга тяжёлой степени. Острая субдуральная гематома левополушарной локализации. Отёк и дислокация головного мозга. ДТЧ от 01.04.23.</t>
  </si>
  <si>
    <t>Мухина Любовь Анатольевна</t>
  </si>
  <si>
    <t>Ивановская обл., г. Фурманов, ул. Нижний Двор, 1</t>
  </si>
  <si>
    <t>Химический ожог пищевода</t>
  </si>
  <si>
    <t>Примечания</t>
  </si>
  <si>
    <t>Интестин. зонд</t>
  </si>
  <si>
    <t>Датчик ВЧД</t>
  </si>
  <si>
    <t>Инваз. АД</t>
  </si>
  <si>
    <t>Интестин. Зонд+датчик ВЧД</t>
  </si>
  <si>
    <t>Датчик ВЧД+Инваз. АД</t>
  </si>
  <si>
    <t>Интестин. Зонд+датчик ВЧД+инваз. АД</t>
  </si>
  <si>
    <t>Зибарев Максим Алексеевич</t>
  </si>
  <si>
    <t>Ивановская обл., ул. Маршала Жаворонкова, 13, 2</t>
  </si>
  <si>
    <t>Инородное тело правого главного бронха, удаление 04.04.23.</t>
  </si>
  <si>
    <t>Дьяконова Камилла Рафаиловна</t>
  </si>
  <si>
    <t>г.Тейково, пер.Солнечный, д.2, кв.10</t>
  </si>
  <si>
    <t>О.аппендицит. Перитонит</t>
  </si>
  <si>
    <t>Карпычев Захар Андреевич</t>
  </si>
  <si>
    <t>г.Кохма, ул.Московская д.39, кв.41</t>
  </si>
  <si>
    <t>Бронхит острый обструктивный.</t>
  </si>
  <si>
    <t>Жарикова Мария Сергеевна</t>
  </si>
  <si>
    <t>Ивановская обл., г. Кинешма, ул. Бредихина, 10, 28</t>
  </si>
  <si>
    <t>Острый гнойный пансинусит. Пластинчатое скопление левого полушария головного мозга.</t>
  </si>
  <si>
    <t>Крылова Валерия Владимировна</t>
  </si>
  <si>
    <t>Ивановская обл., г. Кинешма, ул. Гагарина, 4, 97</t>
  </si>
  <si>
    <t>Острая спаечная кишечная непроходимость. Органическое поражение ЦНС.</t>
  </si>
  <si>
    <t>Тестов Руслан Валерьевич</t>
  </si>
  <si>
    <t>Иваново, ул. Любимова, 11</t>
  </si>
  <si>
    <t>Обструктивный бронхит. Пневмония? ДН 2 ст. Алкогольная фетопатия.</t>
  </si>
  <si>
    <t>Карелова Екатерина Ивановна</t>
  </si>
  <si>
    <t>г. Иваново, ул. Герцена, 23, 45</t>
  </si>
  <si>
    <t>Сахарный диабет 1 типа, гипогликемическое состояние. Аутоиммунный тиреоидит.</t>
  </si>
  <si>
    <t>Степнова Софья Алексеевна</t>
  </si>
  <si>
    <t>г.Иваново, ул.Фрунзе, д.2, кв.11</t>
  </si>
  <si>
    <t>Торсионная деформация нижней конечности. Операция: Корригирующая остеотомия правой бедренной кости</t>
  </si>
  <si>
    <t>Копылов Никита Анатольевич</t>
  </si>
  <si>
    <t>г.Иваново, ул. 1-я Полевая д.59</t>
  </si>
  <si>
    <t>ЗЧМТ. Сотрясения головного мозга.</t>
  </si>
  <si>
    <t>Кочетова Анна Александровна</t>
  </si>
  <si>
    <t>Ивановская обл., г. Шуя, 3 пер. Свободы, 2</t>
  </si>
  <si>
    <t xml:space="preserve">Сахарный диабет 1 типа. Кетоацидоз. </t>
  </si>
  <si>
    <t>Ивановская обл., Шуйский р-н, с. Шекшево, 29, Остаповское с/п</t>
  </si>
  <si>
    <t>Коврижных Руслан Николаевич</t>
  </si>
  <si>
    <t>Впалая грудь, состояние после коррегирующей операции. Удаление металлической пластины 11.04.23. Бронхиальная астма ср. ст. тяж.</t>
  </si>
  <si>
    <t xml:space="preserve">Органическое поражение ЦНС. БЭН. </t>
  </si>
  <si>
    <t>Карпов Василий Сергеевич</t>
  </si>
  <si>
    <t>г. Иваново, ул. Генерала Хлебникова, 64, 49</t>
  </si>
  <si>
    <t>Острый обструктивный ларингит. Стеноз гортани 3 ст. ДН 3 ст.</t>
  </si>
  <si>
    <t>Ушкалова Алена Александровна</t>
  </si>
  <si>
    <t>Иваново, 3я нагорная, 15-45</t>
  </si>
  <si>
    <t>Леднева Есения Дмитриевна</t>
  </si>
  <si>
    <t>Ивановская обл., Ивановский р-н, д. Куликово, 7, 3</t>
  </si>
  <si>
    <t xml:space="preserve">ВПС. Атрезия ЛА 3 типа. Гипоплазия и стеноз ветвей ЛА. ДМЖП. ДМПП. Пластика бифуркации ЛА, системно-лёгочный шунт слева 26.03.21. Баллонная дилатация ветвей ЛА, эндоваскулярная окклюзия больших аорто-лёгочных коллатералей 16.11.2022. Протезирование ЛА клапансодержащим кондуитом с пластикой ветвей, резекция системно-лёгочного шунта в условиях ИК и холодовой кровяной кардиоплегии 01.02.23. Ревизия переднего средостения, остеосинтез грудины 02.02.23. Баллонная дилатация ветвей ЛА 07.02.23. Сепсис катетер-ассоциированный, вызванный Esherichia coli. Правосторонняя полисегментарная пневмония. Трахеостомия 14.02.23. ХСН. НК 3 ст. ФК 3. Хроническая гипоксия. ОПЦНС. Задержка ПМР. Постгипоксическая энцефалопатия, выраженный астенический синдром. БЭН 1 ст. Наследственная тромбофилия (мутация Лейдена, гетерозигота). </t>
  </si>
  <si>
    <t>Волкова дарья Алексеевна</t>
  </si>
  <si>
    <t>пучеж грибоедова 6-3</t>
  </si>
  <si>
    <t>энцефалит, судорожный синдром</t>
  </si>
  <si>
    <t>Иваново шубиных 31-47</t>
  </si>
  <si>
    <t>отравление суррогатами алкоголя</t>
  </si>
  <si>
    <t>иваново ново- талицы совхозная 20</t>
  </si>
  <si>
    <t>термический ожог 10%,2 ст</t>
  </si>
  <si>
    <t>иваново наговицкой 85-49</t>
  </si>
  <si>
    <t>кетоацидоз</t>
  </si>
  <si>
    <t>корригирующая остеотомия правой бедренной кости. МОС пластиной</t>
  </si>
  <si>
    <t>Пневмония внебольничная, правосторонняя, тяжёлая, осложнённая плевритом. Энцефалитическая реакция.</t>
  </si>
  <si>
    <t>Смирнов Кирилл Александрович</t>
  </si>
  <si>
    <t>г. Иваново, пр. Ленина, 67, 12</t>
  </si>
  <si>
    <t>Серкова Дарья Алексеевна</t>
  </si>
  <si>
    <t>Кузнецова Екатерина Михайловна</t>
  </si>
  <si>
    <t>Коломнин Степан Алексеевич</t>
  </si>
  <si>
    <t>Ивановская обл., Ивановский р-н, с Подвязновское, 9, 17</t>
  </si>
  <si>
    <t>Сочетанная травма. ЗЧМТ. Сотрясение головного мозга. Рваные раны левых бедра и голени. Травматический шок 1 ст. ПХО ран 22.04.23.</t>
  </si>
  <si>
    <t>Ивановская обл., г. Тейково, пер. Солнечный, 10</t>
  </si>
  <si>
    <t>Перфоративный аппендицит. Разлитой гнойный перитонит. Спаечная кишечная непроходимость. Абсцесс брюшной полости. Операции. 04.04.23. Лапароскопическая аппендэктомия. Санация и дренирование брюшной полости. 08.04.23. Лапароскопический адгезиолизис. 20.04.23. Вскрытие и дренирование абсцесса брюшной полости.</t>
  </si>
  <si>
    <t>Гирева Владомира Владимировна</t>
  </si>
  <si>
    <t>Колёскин Артём Дмитриевич</t>
  </si>
  <si>
    <t>Ивановская обл., г. Вичуга, ул. Циолковского, 23</t>
  </si>
  <si>
    <t>Органическое поражение ЦНС. Вторичная микроцефалия. Спастический тетрапарез. Грубая задержка ПМР. Синдром бульбарных нарушений. Нарушение функций тазовых органов. Хр. Субкомпенсированный запор. Анемия железодефицитная. ВИЧ-инфекция, стадия вторичных заболеваний 4А, фаза ремиссии. Реконвалесцент пневмонии очаговой правосторонней смеш. генеза от 08.03.23.</t>
  </si>
  <si>
    <t>Григорьева Полина Ильинична</t>
  </si>
  <si>
    <t>г. Иваново, мкрн ТЭЦ-3, 4, 82</t>
  </si>
  <si>
    <t>Химический ожог ротоглотки, пищевода уксусной эссенцией</t>
  </si>
  <si>
    <t>Ковшов Михаил Алексеевич</t>
  </si>
  <si>
    <t>Ивановская обл., г. Фурманов, ул. Крестьянская, 7, 19</t>
  </si>
  <si>
    <t>Врождённая окклюзионная гидроцефалия. Операция 25.04.23. ВПШ слева.</t>
  </si>
  <si>
    <t>ПППЦНС. Белково-энергетическая недостаточность.</t>
  </si>
  <si>
    <t>Январев Глеб Сергеевич</t>
  </si>
  <si>
    <t>Косстромская область</t>
  </si>
  <si>
    <t>БЛД, анемия</t>
  </si>
  <si>
    <t>Юсупов ШохжахонСанжарбек Угли</t>
  </si>
  <si>
    <t>г. Иваново пр-д Шахтинский д.79. кв96</t>
  </si>
  <si>
    <t>Кукушкин Равиль Александрович</t>
  </si>
  <si>
    <t>Приволжский р-н, д.Калышено, ул.Центральная, д.22</t>
  </si>
  <si>
    <t>Сахарный диабет I типа, фаза кетоацидоза</t>
  </si>
  <si>
    <t>Мешалкина Анна Дмитриевна</t>
  </si>
  <si>
    <t>Полякова Кристина Антоновна</t>
  </si>
  <si>
    <t>иваново, шубиныз 13-95</t>
  </si>
  <si>
    <t>разрыв задней стенки влагалища после саития. С признакаи продолжающегося кровотечения</t>
  </si>
  <si>
    <t>иваново. Кудряшова106-19</t>
  </si>
  <si>
    <t>отравление витаминами</t>
  </si>
  <si>
    <t>НСД</t>
  </si>
  <si>
    <t>иваново 3 новаторская 48</t>
  </si>
  <si>
    <t>иваново. Генерало хлебникова</t>
  </si>
  <si>
    <t>электротравма</t>
  </si>
  <si>
    <t>Сидоров Максим Иванович</t>
  </si>
  <si>
    <t>г.Кохма, мкр.Просторный, Ул.Сергей Киселева д.1, кв.12</t>
  </si>
  <si>
    <t>Пневмония внебольничная, двусторонняя, тяжёлая, осложнённая плевритом. Энцефалитическая реакция.</t>
  </si>
  <si>
    <t>Яблоков Роман Андреевич</t>
  </si>
  <si>
    <t>Эозинофильная гранулёма правой теменной кости. Удаление образования правой теменной кости с первичной пластикой дефекта черепа титановым трансплантатом 02.05.2023.</t>
  </si>
  <si>
    <t>г. Иваново, ул. Сарментовой, 2а, 29</t>
  </si>
  <si>
    <t>Щурина Мария Максимовна</t>
  </si>
  <si>
    <t>Ивановская обл. п.Савино, ул.Савина д.48</t>
  </si>
  <si>
    <t>Желудочно-кишечное кровотечение</t>
  </si>
  <si>
    <t>Адриянов Егор Александрович</t>
  </si>
  <si>
    <t>писцово</t>
  </si>
  <si>
    <t>ЗЧМТ</t>
  </si>
  <si>
    <t>красногвардейская</t>
  </si>
  <si>
    <t>отравление карбомозепином</t>
  </si>
  <si>
    <t>Киселева Виктория Сергеевна</t>
  </si>
  <si>
    <t>Приволжск Дружбы 1-17</t>
  </si>
  <si>
    <t>Нефротический синдром</t>
  </si>
  <si>
    <t>Шмелева София Максимовна</t>
  </si>
  <si>
    <t>Охапкина Мира Евгеньевна</t>
  </si>
  <si>
    <t>Грунцова Виктория Михайловна</t>
  </si>
  <si>
    <t>Абдулкадиров Расул Абдулкадирович</t>
  </si>
  <si>
    <t>Андрианов Егор Александрович</t>
  </si>
  <si>
    <t>Ивановская обл., Комсомольский район, с. Писцово, ул. Комсомольская, 43, 12</t>
  </si>
  <si>
    <t>ОЧМТ. Ушиб головного мозга средней ст. тяж. Пневмоцефалия. Линейный перелом правой теменной кости. Перелом верхней стенки левой орбиты, медиальной стенки левой верхнечелюстной пазухи. Периорбитальная гематома слева. Ушибленная рана лобной области слева. Ссадина правой теменной области.</t>
  </si>
  <si>
    <t>Шитов Алексей Иванович</t>
  </si>
  <si>
    <t>г. Иваново, ул. Попова, 22, 14</t>
  </si>
  <si>
    <t xml:space="preserve">Острый обструктивный бронхит. Верхнедолевая пневмония справа. ДН 2 ст.   </t>
  </si>
  <si>
    <t>Мужилко Тимур Артемович</t>
  </si>
  <si>
    <t>г.Иваново</t>
  </si>
  <si>
    <t>Перфорация полого органа. Пневмоперитонеум.</t>
  </si>
  <si>
    <t>педиатрия</t>
  </si>
  <si>
    <t>Петрова Варвара Юрьевна</t>
  </si>
  <si>
    <t>Ивановский р-н, д.Беляницы д.3</t>
  </si>
  <si>
    <t>Острое отравление транквилизаторами, бытовое, преднамеренное.</t>
  </si>
  <si>
    <t>п. Петровский</t>
  </si>
  <si>
    <t>Диафрагмальная грыжа</t>
  </si>
  <si>
    <t>Даметкин Дмитрий Денисович</t>
  </si>
  <si>
    <t>Вичуга</t>
  </si>
  <si>
    <t>г Вичуга, ул Ульяновская</t>
  </si>
  <si>
    <t>ВУИ. Врожденная пневмония</t>
  </si>
  <si>
    <t>Кобликов Артем Денисович</t>
  </si>
  <si>
    <t>Юматова Елизавета Дмитриевна</t>
  </si>
  <si>
    <t>г.Кохма, ул.Машиностроительная д.25</t>
  </si>
  <si>
    <t>Поздняя послеоперационная спаечная кишечная непроходимость. СД I типа.</t>
  </si>
  <si>
    <t>Степкина Виктория Сергеевна</t>
  </si>
  <si>
    <t>Пркт Текстильщиков 53 - 62</t>
  </si>
  <si>
    <t>Отравлнеие угарным газом</t>
  </si>
  <si>
    <t>р-р вичугский село октяборьское</t>
  </si>
  <si>
    <t>Эпилепся</t>
  </si>
  <si>
    <t>Олейникова Ангелина Михайловна</t>
  </si>
  <si>
    <t>г.Фурманов, ул.Островского д.32</t>
  </si>
  <si>
    <t>НЭК 3 ст. Перфорация полого органа.</t>
  </si>
  <si>
    <t>Мухмаддиев (мальчик)</t>
  </si>
  <si>
    <t>Турку София Руслановна</t>
  </si>
  <si>
    <t>Ивановская обл. г.Шуя, ул.Текстильная, д.2А, кв.61</t>
  </si>
  <si>
    <t xml:space="preserve">Атрезия хоан. </t>
  </si>
  <si>
    <t>Максимов Никита Денисович</t>
  </si>
  <si>
    <t>Титкова (девочка), далее Красавина</t>
  </si>
  <si>
    <t>Мереуца Владислав Жанович</t>
  </si>
  <si>
    <t>г. Иваново, ул. Поэта Ноздрина, 11, 117</t>
  </si>
  <si>
    <t>Отравление неизвестными психоактивными веществами тяжёлой степени.</t>
  </si>
  <si>
    <t>Финогеева Алёна Александровна</t>
  </si>
  <si>
    <t>г. Иваново, ТЭЦ-3, 13, 85</t>
  </si>
  <si>
    <t>Смирнова Вера Максимовна</t>
  </si>
  <si>
    <t xml:space="preserve">Анемия недоношенных тяж. Ст. БЛД. Врожд. Пневмония. ООО. Гемолитическая болезнь по резус-фактору. Ретинопатия. </t>
  </si>
  <si>
    <t>Попов Максим Андреевич</t>
  </si>
  <si>
    <t>Ивановская обл., Приволжский р-н, с. Ингарское, ул. Ермака, 16</t>
  </si>
  <si>
    <t>Электротравма. Термический ожог 2-3а-3б ст. 65% тела. Термоингаляционное повреждение. Ожоговый шок 2 ст.</t>
  </si>
  <si>
    <t>Соловьева София Владимировна</t>
  </si>
  <si>
    <t>Шуйский р-н, с.Васильевское, ул.Школьная, д.48</t>
  </si>
  <si>
    <t>ЗЧМТ. УГМ. Линейный перелом височной кости слева.</t>
  </si>
  <si>
    <t>Капустина Дарья Александровна</t>
  </si>
  <si>
    <t>Ивановская обл., г. Вичуга</t>
  </si>
  <si>
    <t>Александровский Вячеслав Романович</t>
  </si>
  <si>
    <t>Ивановская обл., Лежневский р-н, п. Лежнево, ул. Свердлова, 2, 2</t>
  </si>
  <si>
    <t>Проникающая ушибленная рана в области копчика. Травма прямой кишки (внутрибрюшинная), травма мочевого пузыря. Операция 22.05.23. ПХО ран. Операция 24.05.23. Лапаротомия, ушивание дефектов кишки и мочевого пузыря, сигмостомия, цистостомия, дренирование зоны вмешательства.</t>
  </si>
  <si>
    <t>Идибекова Давлатбиби Мукимовна</t>
  </si>
  <si>
    <t>Ивановская обл., Ивановский р-н, г. Кохма, мкрн Просторный, 94, 12</t>
  </si>
  <si>
    <t>Одонтогенная флегмона (47 зуб). Вскрытие гнойника 24.05.23</t>
  </si>
  <si>
    <t>Камалян Саргис Гарикович</t>
  </si>
  <si>
    <t>Иваново,1 Лагерная,22-18</t>
  </si>
  <si>
    <t>Флягин Максим Игоревич</t>
  </si>
  <si>
    <t>Кинешма.</t>
  </si>
  <si>
    <t>Анемия тяжелая</t>
  </si>
  <si>
    <t>Корягин Николавй Юрьевич</t>
  </si>
  <si>
    <t>Палех, ул. Горького д 27</t>
  </si>
  <si>
    <t>Терм. Ожог. I-II степени 15% в.конечности, нижн. Конечности, терморегуляционный</t>
  </si>
  <si>
    <t>Соколова Дарья Михайловна</t>
  </si>
  <si>
    <t>г. Иваново, ул. Куликова, д - 23</t>
  </si>
  <si>
    <t>тупая травма живота</t>
  </si>
  <si>
    <t>Кузьмина Виктория Сергеевна</t>
  </si>
  <si>
    <t>Г. Иваново, ул. Неждановская 21,1</t>
  </si>
  <si>
    <t>эпилепсия, отравление неизвестным веществом</t>
  </si>
  <si>
    <t>Крицкий Юрий Дмитриевич</t>
  </si>
  <si>
    <t>г. Иваново, ул. Рабфаковская, 10, 37</t>
  </si>
  <si>
    <t>отравление неизвестным веществом</t>
  </si>
  <si>
    <t>Коныгин Артем Сергеевич</t>
  </si>
  <si>
    <t>Низкая кишечная непроходимость</t>
  </si>
  <si>
    <t xml:space="preserve">Термический ожог кипятком передних грудной и брюшной стенок, правых плеча, предплечья и стопы 1-2-3а ст. 12% тела. </t>
  </si>
  <si>
    <t>Лямаева Полина Максимовна</t>
  </si>
  <si>
    <t>Нгум Нгум Мила Ричардовна</t>
  </si>
  <si>
    <t>г. Иваново, пр. Ленина, 11а, 48</t>
  </si>
  <si>
    <t>Гидроцефалия</t>
  </si>
  <si>
    <t>Ицков Богдан Александрович</t>
  </si>
  <si>
    <t>Ивановская обл., г. Комсомольск, ул. Попова, 4, 3</t>
  </si>
  <si>
    <t>Отравление алкоголем.</t>
  </si>
  <si>
    <t>Короткова Мария Александровна</t>
  </si>
  <si>
    <t>г. Иваново, ул. Лежневская, 7, 105</t>
  </si>
  <si>
    <t xml:space="preserve">Эпиглоттит. ДН 3 ст. </t>
  </si>
  <si>
    <t>Чинник Тимофей Иванович</t>
  </si>
  <si>
    <t>Иваново, ул.Колесанова,2-52</t>
  </si>
  <si>
    <t>Пневмония. Коклюш?</t>
  </si>
  <si>
    <t>д. Калачево Молодежная 31</t>
  </si>
  <si>
    <t>сахарный диабет кетацидоз</t>
  </si>
  <si>
    <t>г Шуя, Южное шоссе, 12-9</t>
  </si>
  <si>
    <t>СД 1 типа, кетоацидоз.</t>
  </si>
  <si>
    <t>Мацуева Милана Александровна</t>
  </si>
  <si>
    <t>г. Кинешма, 2Б стархалинская д.56</t>
  </si>
  <si>
    <t>Грошева Елизавета Андреевна</t>
  </si>
  <si>
    <t>г.Кинешма, ул.3-я Заречная д. 90</t>
  </si>
  <si>
    <t>СД 1 типа, впервые выявленный кетоацидоз.</t>
  </si>
  <si>
    <t>Ивановская обл., г. Кинешма, ул. Красноветкинская, 17-23</t>
  </si>
  <si>
    <t>Сочетанная травма. ОЧМТ. Ушиб головного мозга лёгкой ст. Параорбитальные гематомы. Ушибы и ссадины лица. ЗТГК. Ушиб гр. кл. Тр. шок 1 ст.</t>
  </si>
  <si>
    <t>Ивановская обл., Савинский р-н, с. Воскресенское, Пионерская ул., 1, 1</t>
  </si>
  <si>
    <t>Краснов Дмитрий Андреевич</t>
  </si>
  <si>
    <t>Киселев Никита Витальевич</t>
  </si>
  <si>
    <t>Ботвин Никита Вячеславович</t>
  </si>
  <si>
    <t>СД 1 тип, кетоацидоз</t>
  </si>
  <si>
    <t>Давыдов Антон Михалович</t>
  </si>
  <si>
    <t>сочетанная кататравма</t>
  </si>
  <si>
    <t>Корявин Марк Сергеевич</t>
  </si>
  <si>
    <t>гор. Родники, ул. Земледельческая д 13.</t>
  </si>
  <si>
    <t>БЛД</t>
  </si>
  <si>
    <t>Фурмановский р-н, с.Дулянино, ул.Нагорная д.32</t>
  </si>
  <si>
    <t>Грехнева Валерия Олеговна</t>
  </si>
  <si>
    <t>Республика Коми, г.Воркута, бульвар Шерстнева д.4А</t>
  </si>
  <si>
    <t>Желче-каменная болезнь</t>
  </si>
  <si>
    <t>Мягкова Арина Алексеевна</t>
  </si>
  <si>
    <t>г.Иваново, ул.Красногвардейская д.73</t>
  </si>
  <si>
    <t xml:space="preserve">Варусная деформация нижних конечностей. Состояние после коррегирующей остеотомии правого бедра. </t>
  </si>
  <si>
    <t>пневмония пневмомедиастинум</t>
  </si>
  <si>
    <t>г. Тейково</t>
  </si>
  <si>
    <t>Ушкова Виктория Дмитриевна</t>
  </si>
  <si>
    <t>г.Южа, ул,Фрунзе, д.24/2.</t>
  </si>
  <si>
    <t>Варусная деформация нижних конечностей. Коррегирующая остеотомия правой бедренной кости.</t>
  </si>
  <si>
    <t>Чижова Анастасия Михайловна</t>
  </si>
  <si>
    <t>Ивановксий р-н, с.Подвязновский, д.13</t>
  </si>
  <si>
    <t>Острое отравление таблетками аминазина</t>
  </si>
  <si>
    <t>Кокина Екатерина Андреевна</t>
  </si>
  <si>
    <t>г.Иваново, ул.Кавалерийская д.16, кв.4</t>
  </si>
  <si>
    <t>Острое отравление таблетками римантадина\</t>
  </si>
  <si>
    <t>Белова Светлана Антоновна</t>
  </si>
  <si>
    <t>г.Иваново, ул.Завоксзальная д.42</t>
  </si>
  <si>
    <t>Острое отравление суррогатами алкоголя</t>
  </si>
  <si>
    <t>Стариннов Марк Денисович</t>
  </si>
  <si>
    <t>г.Шуя, 6 пер.Кочневский д.15</t>
  </si>
  <si>
    <t>Инвагинация кишечника</t>
  </si>
  <si>
    <t>Кузнецов Иван Александрович</t>
  </si>
  <si>
    <t>п.Лежнево, ул. Октябрьская д.77, кв.7</t>
  </si>
  <si>
    <t>Сочетанная травма</t>
  </si>
  <si>
    <t>Яковлев Михаил Константинович</t>
  </si>
  <si>
    <t>Раменский р-н, СНТ Горняк</t>
  </si>
  <si>
    <t>Острое отравление крысиным ядом</t>
  </si>
  <si>
    <t>Низиенко Иван Александрович</t>
  </si>
  <si>
    <t>Эпилепсия, судорожный синдром</t>
  </si>
  <si>
    <t>Пакушина Полина Сергеевна</t>
  </si>
  <si>
    <t>Громова Анастасия Александровна</t>
  </si>
  <si>
    <t>г. Приволжск, ул.Красноармейская д.29</t>
  </si>
  <si>
    <t>Лежнево Октябрьская 77-7</t>
  </si>
  <si>
    <t>перелом бедра</t>
  </si>
  <si>
    <t>Галкин Дмитрий Константинович</t>
  </si>
  <si>
    <t>Родниковский район, с. Каминский ул.Дачная д.7</t>
  </si>
  <si>
    <t>побочная реакция на рисперидон</t>
  </si>
  <si>
    <t>аспирационный синдром. Атрезия хоан</t>
  </si>
  <si>
    <t>КОХМА ИВАНОВСКАЯ 25В</t>
  </si>
  <si>
    <t>Менингоэнцефалит МЕНЕНГОКОКОВЫЙ</t>
  </si>
  <si>
    <t>Данилов Никита Сергеевич</t>
  </si>
  <si>
    <t>иваново куконковых 152 158</t>
  </si>
  <si>
    <t>сочетанная травма</t>
  </si>
  <si>
    <t>Лебедев Матвей Романович</t>
  </si>
  <si>
    <t>иваново строителей 6б -86</t>
  </si>
  <si>
    <t>Кузнецов Кирилл Константинович</t>
  </si>
  <si>
    <t>иваново кудряшова 107-17</t>
  </si>
  <si>
    <t>травма сочетанная и изолированная</t>
  </si>
  <si>
    <t>Скворцов Данила Сергеевич</t>
  </si>
  <si>
    <t>приволжск революционная 108 41</t>
  </si>
  <si>
    <t>СД 1 типа декомпенсация</t>
  </si>
  <si>
    <t>Обухов Илья Романович</t>
  </si>
  <si>
    <t>иваново минская 126-43</t>
  </si>
  <si>
    <t xml:space="preserve">обструктивный бронхит. Пневмония? Бронхиальная астма.ДН 2 ст. </t>
  </si>
  <si>
    <t>Гав Посад</t>
  </si>
  <si>
    <t>Сочет травма</t>
  </si>
  <si>
    <t>Карпов ТВ</t>
  </si>
  <si>
    <t>Шуя, Свердлова</t>
  </si>
  <si>
    <t>ГУС</t>
  </si>
  <si>
    <t xml:space="preserve">п. Савино </t>
  </si>
  <si>
    <t>Лебедева Александра Федоровна</t>
  </si>
  <si>
    <t>с. Аньково ул Южная</t>
  </si>
  <si>
    <t>Сочетенная травма</t>
  </si>
  <si>
    <t>Тихомолова София Сергеевна</t>
  </si>
  <si>
    <t xml:space="preserve">Лежневский р-н С. Воскресенсоке </t>
  </si>
  <si>
    <t>Впервые выявленный судорожны синдром</t>
  </si>
  <si>
    <t>Халманов Данил Александрович</t>
  </si>
  <si>
    <t xml:space="preserve">Космтромская обл д сухоногово </t>
  </si>
  <si>
    <t>Цатуров Александр Сергеевич</t>
  </si>
  <si>
    <t xml:space="preserve">г. Ивановов 19-я Линия </t>
  </si>
  <si>
    <t>Асцит</t>
  </si>
  <si>
    <t>Демин Андрей Николаевич</t>
  </si>
  <si>
    <t>с Богородское</t>
  </si>
  <si>
    <t>Алимардинова Севги</t>
  </si>
  <si>
    <t>г. тейково ул. Шестагинская 85</t>
  </si>
  <si>
    <t>термический ожог</t>
  </si>
  <si>
    <t>Самойлов Дмитрий Алексеевич</t>
  </si>
  <si>
    <t>Ивановская обл., Ивановский р-н, п. Чернореченский, ул. Светлая, 6</t>
  </si>
  <si>
    <t xml:space="preserve">Электротравма. Термический ожог тенара пр. кисти менее 1% площади тела. </t>
  </si>
  <si>
    <t>Дроздова Милана Витальевна</t>
  </si>
  <si>
    <t>г. Иваново, ул. Ивановская, 24</t>
  </si>
  <si>
    <t xml:space="preserve">Сочетанная травма. ОЧМТ. Ушиб головного мозга лёгкой ст. Ушибленная рана лба. ЗТГК. Ушиб правого лёгкого. ТТЖ. Ушиб передней брюшной стенки. З/перелом с/3 левой плечевой кости со смещением отломков. Травм. шок 1 ст.    </t>
  </si>
  <si>
    <t>Козлова Анастасия Андреевна</t>
  </si>
  <si>
    <t>Шуя</t>
  </si>
  <si>
    <t>ЧМТ, ушиб головного мозга</t>
  </si>
  <si>
    <t>Дацюк Алевандр Сергеевич</t>
  </si>
  <si>
    <t>Фурманов Гастело 12</t>
  </si>
  <si>
    <t>Перелом плечевой кости</t>
  </si>
  <si>
    <t>ретинопатия</t>
  </si>
  <si>
    <t>перелои бедренной кости</t>
  </si>
  <si>
    <t>Москва</t>
  </si>
  <si>
    <t>комсомольск, ул Команова д 7 кв20</t>
  </si>
  <si>
    <t>Вазиров марк Евгеньевич</t>
  </si>
  <si>
    <t>Кинешма квартальный проезд 2А-9</t>
  </si>
  <si>
    <t xml:space="preserve">менингоэнцефалит </t>
  </si>
  <si>
    <t>Безруков Иван Андреевич</t>
  </si>
  <si>
    <t>иванова п.нормандия -неман 82</t>
  </si>
  <si>
    <t>мезаденит</t>
  </si>
  <si>
    <t>Острый перфоративный аппендицит. Разлитой перитонит. Спаечная кишечная непроходимость. Лапаротомия, аппендэктомия, санация и дренирование брюшной полости 30.06.23.</t>
  </si>
  <si>
    <t>Скланда Никита Витальевич</t>
  </si>
  <si>
    <t>Ивановская область</t>
  </si>
  <si>
    <t>Острый обструктивный бронхит</t>
  </si>
  <si>
    <t>Симарова Арина Игоревна</t>
  </si>
  <si>
    <t>Новожилов Дмитрий Алексеевич</t>
  </si>
  <si>
    <t>Колчин Иван Андреевич</t>
  </si>
  <si>
    <t>Ивановская обл., Ивановский р-н, с. Ново-Талицы, ул. Радужная, 12, 21</t>
  </si>
  <si>
    <t>Врождённое комбинированное иммунодефицитное состояние</t>
  </si>
  <si>
    <t>Ермуханова Диана Равимовна</t>
  </si>
  <si>
    <t>Раковский Руслан Романович</t>
  </si>
  <si>
    <t>Гудзь Артем Александрович</t>
  </si>
  <si>
    <t>Алимарданова Севги Вусаловна</t>
  </si>
  <si>
    <t>Дефект нейромышечного соединения неуточнённый</t>
  </si>
  <si>
    <t xml:space="preserve">Степанова Полина </t>
  </si>
  <si>
    <t>Иваново Лобовская 16-56</t>
  </si>
  <si>
    <t>Состояние после остотомии бедра</t>
  </si>
  <si>
    <t>генерализованные судороги</t>
  </si>
  <si>
    <t>аспирация во время анестезии</t>
  </si>
  <si>
    <t>Ивановская обл., г. Родники, ул. Дубовская, 48</t>
  </si>
  <si>
    <t>Ивановская обл., г. Заволжск, ул. Ватутина, 47</t>
  </si>
  <si>
    <t>Сочетанная травма. ЗЧМТ. Ушиб головного мозга ср. ст. тяж. Перелом затыл. Кости. КФТ. Перелом нижней челюсти. ЗТГК. Перелом 2 рёбер справа. ТТЖ. Ушиб передней брюшной стенки. ISS 14 баллов.</t>
  </si>
  <si>
    <t>Зимин Захар Павлович</t>
  </si>
  <si>
    <t>Гробов Максим Дмитриевич</t>
  </si>
  <si>
    <t>Ивановская обл., г. Кохма, ул. Запрудная, 20, 13</t>
  </si>
  <si>
    <t>Хим. Ожог пищевода и желудка, отравление аммиаком</t>
  </si>
  <si>
    <t xml:space="preserve">Комарова Кристина Николаевна </t>
  </si>
  <si>
    <t>Ивановская обл., Родниковский р-н, сп Каминское, ул. Горького , 7</t>
  </si>
  <si>
    <t>Кустова Ульяна Николаевна</t>
  </si>
  <si>
    <t>Ивановская обл., Старая Вичуга, ул. Писарева, 4, 1</t>
  </si>
  <si>
    <t>Торсионная деформация нижних конечностей. Операция 05.07.23: коррегирующая остеотомия левого бедра</t>
  </si>
  <si>
    <t>Шипов Алексей Викторович</t>
  </si>
  <si>
    <t>Ивановская обл., г. Кинешма, 8, 78</t>
  </si>
  <si>
    <t xml:space="preserve">Двусторонняя нижнедолевая пневмония. ДН 3 ст. Эпилепсия структурная. Органическое поражение ЦНС. </t>
  </si>
  <si>
    <t>Полещикова Анастасия Евгеньевна</t>
  </si>
  <si>
    <t>Иваново, Новая,6-61</t>
  </si>
  <si>
    <t>Отравление таб.Серлифт</t>
  </si>
  <si>
    <t>Ширяев Илья Сергеевич</t>
  </si>
  <si>
    <t>Вичуга. Ул.Степанова 39</t>
  </si>
  <si>
    <t>Ширяева Василиса Сергеевна</t>
  </si>
  <si>
    <t>Вичуга, ул.Степанова 39</t>
  </si>
  <si>
    <t>Кулагин Илья Никитич</t>
  </si>
  <si>
    <t>г.Галич, ул.Красноармейская, 17-17</t>
  </si>
  <si>
    <t>Пневмония</t>
  </si>
  <si>
    <t>Овсянникова Софья Андреевна</t>
  </si>
  <si>
    <t>г.Кинешма ул.</t>
  </si>
  <si>
    <t>Иноземцев Иван Андреевич</t>
  </si>
  <si>
    <t xml:space="preserve">Сочетанная травма. ОЧМТ. Ушиб голвоного мозга лёгкой ст. ЗТГК. Ушиб грудной клетки, множ. Переломы рёбер. Ушиб бр. стенки. Перелом левого бедра. </t>
  </si>
  <si>
    <t>Громов Лев Антонович</t>
  </si>
  <si>
    <t>г. Иваново, ул. Московская, 62</t>
  </si>
  <si>
    <t>Врождённая диафрагмальная грыжа слева. Правосторонняя верхнедолевая пневмония. Ателектаз левого лёгкого. ДН 3 ст.</t>
  </si>
  <si>
    <t>Кононов Ю.Д.</t>
  </si>
  <si>
    <t>Савинский р-н</t>
  </si>
  <si>
    <t>Наугольных Егор Сергеевич</t>
  </si>
  <si>
    <t>Ивановский р-н, г.Кохма, ул. Владимирская д. 20, кв.18.</t>
  </si>
  <si>
    <t>Пневмония внебольничная правосторонняя.</t>
  </si>
  <si>
    <t>Ивановский р-н, г.Кохма, ул. Ивановская д. 92, кв.10.</t>
  </si>
  <si>
    <t>Острое отравление неизвестным веществом (карбамазепином).</t>
  </si>
  <si>
    <t>Савин Артём Петрович</t>
  </si>
  <si>
    <t>Ивановская обл., Ивановский р-н, с. Озёрный, ул. Южная, 43.</t>
  </si>
  <si>
    <t>Сочетанная травма. ЗЧМТ. Ушиб головного мозгна ср. ст. тяж. Ушибы областей коленных и локтевых суставов. Отравление суррогатами алкоголя?</t>
  </si>
  <si>
    <t>Баранов Иван Павлович</t>
  </si>
  <si>
    <t>г. Иваново, ул. Минская, 126, 64</t>
  </si>
  <si>
    <t>Закрытый перелом с/3 левого бедра. МОС левых бедра и голени АНФ 12.07.23.</t>
  </si>
  <si>
    <t>Долголенко Виктория Данииловна</t>
  </si>
  <si>
    <t>г. Иваново, ул. Парижской Коммуны, 19, 221</t>
  </si>
  <si>
    <t>Тиреотоксический криз? Наджелудочковая тахикардия.</t>
  </si>
  <si>
    <t>Белогуров Богдан Иванович</t>
  </si>
  <si>
    <t>г. Иваново, ул. Лежневская, 164а, 114</t>
  </si>
  <si>
    <t>Гастрит. Состоявшееся ЖКК. Лёгкая анемия.</t>
  </si>
  <si>
    <t>Туманова Аделина Андреевна</t>
  </si>
  <si>
    <t>Ивановская обл., Кинешемский р-н, г. Наволоки, ул, Социалистическая, 1, 18</t>
  </si>
  <si>
    <t>Киста левого яичника. Аднексэктомия 11.07.23.</t>
  </si>
  <si>
    <t>Южа. Глушитский проезд</t>
  </si>
  <si>
    <t>Сочет. Травма. Алк. Опьянение. ДТП</t>
  </si>
  <si>
    <t>Седов Андрей Леонидович</t>
  </si>
  <si>
    <t>Кононов мал.</t>
  </si>
  <si>
    <t>Циома Амина Алексеевна</t>
  </si>
  <si>
    <t>Ивановская обл., г. Тейково, ул. 2я Комовская, 17, 2</t>
  </si>
  <si>
    <t>Гематогенный остеомиелит правого бедра. Двусторонняя пневмония. ДН 1 ст.  Вскрытие гнойника 07.07.23</t>
  </si>
  <si>
    <t>г. Иваново, пр. Строителей, 80, 44</t>
  </si>
  <si>
    <t>Кинешемский р-н, п Решмаи, ул.Напольная д.9</t>
  </si>
  <si>
    <t>Эпилептическая энцефалопатия. Врождённое комбинированное иммунодефицитное состояние.</t>
  </si>
  <si>
    <t>Ивановская обл., г. Шуя, мкрн Афанасьево, 13а, 49</t>
  </si>
  <si>
    <t xml:space="preserve">Термический ожог жидкостью подбородка, шеи и грудной стенки спереди, плеч 2-3а ст. 12% тела. Ожоговый шок 1 ст.  </t>
  </si>
  <si>
    <t>Кашинцев Владимир Александрович</t>
  </si>
  <si>
    <t>Ахмедов Ислам Рустамович</t>
  </si>
  <si>
    <t>г. Иваново, ул. Фрунзе, 25</t>
  </si>
  <si>
    <t>Подвздошно-ободочная инвагинация. Операция 17.07.23. Лапароскопическая дезинвагинация, аппендэктомия, санация брюшной полости.</t>
  </si>
  <si>
    <t>Иваново Завокзальная 35</t>
  </si>
  <si>
    <t>астматический статус, пневмония</t>
  </si>
  <si>
    <t>Комова Полина Алексеевна</t>
  </si>
  <si>
    <t>Иваново маршала Василевского 10-81</t>
  </si>
  <si>
    <t>перфоративный дивертикулит</t>
  </si>
  <si>
    <t>Артамонов Данил Сергеевич</t>
  </si>
  <si>
    <t>г Приволжск Фурманова 18-22</t>
  </si>
  <si>
    <t>сочетанная травма ЗЧМТ сотрясение головного мозга, ЗТГП ушиб правого легкого</t>
  </si>
  <si>
    <t xml:space="preserve">Федорова Агния Артемовна </t>
  </si>
  <si>
    <t>Кинешма</t>
  </si>
  <si>
    <t xml:space="preserve">сочетанная травма, переом лобной кости. орбит с обеих сторон,перелом верхней челюсти, гемосинус </t>
  </si>
  <si>
    <t>Козьмин Даниил Андреевич</t>
  </si>
  <si>
    <t>Ибронов мал.</t>
  </si>
  <si>
    <t>ВПР пищевода</t>
  </si>
  <si>
    <t>Шаров Руслан Романович</t>
  </si>
  <si>
    <t>Кинешма Бахаринская 36</t>
  </si>
  <si>
    <t>тупая травма живота, ушиб правой почки, паранефральная гематома.</t>
  </si>
  <si>
    <t>отравление карбамаземином</t>
  </si>
  <si>
    <t>Иваново Ташкентская 78</t>
  </si>
  <si>
    <t>укус гадюки</t>
  </si>
  <si>
    <t>Сочет травма Шок</t>
  </si>
  <si>
    <t>Миастения</t>
  </si>
  <si>
    <t>фурманов, социалистическая, 5-49</t>
  </si>
  <si>
    <t>о панкреатит. Холангит. Холестаз</t>
  </si>
  <si>
    <t>фурманов, колосова 40-4</t>
  </si>
  <si>
    <t>перфоративный аппендицит</t>
  </si>
  <si>
    <t>дисфункция ВПШ</t>
  </si>
  <si>
    <t>тепловой и солнечный удар</t>
  </si>
  <si>
    <t>бытовое отравление нейролептиками</t>
  </si>
  <si>
    <t>Почкин Матвей Антонович</t>
  </si>
  <si>
    <t>Кудрявцев Ян Михайлович</t>
  </si>
  <si>
    <t>Долганов Дмитрий Александрович</t>
  </si>
  <si>
    <t>Павельева София Александровна</t>
  </si>
  <si>
    <t>Окунев Артём Сергеевич</t>
  </si>
  <si>
    <t>Мазаев Данила Андреевич</t>
  </si>
  <si>
    <t>Шуя, Восточная, 16, 59</t>
  </si>
  <si>
    <t>ЖКБ, холецистэктомия</t>
  </si>
  <si>
    <t>Корнева Ульяна Константиновна</t>
  </si>
  <si>
    <t>Клаузер Алексей Алексеевич</t>
  </si>
  <si>
    <t>Волоков Денис Сергеевич</t>
  </si>
  <si>
    <t>Жамилов Ахмад Сафархуджаевич</t>
  </si>
  <si>
    <t>г. Иваново, ул. Сарментовой, 2а, 37</t>
  </si>
  <si>
    <t>Пневмония внебольничная двусторонняя, очаговая, тяжёлая. ДН 3 ст.</t>
  </si>
  <si>
    <t>Кузьмин Клим Алексеевич</t>
  </si>
  <si>
    <t>Ивановская обл., г. Южа, ул. Стадионная, 26</t>
  </si>
  <si>
    <t>Махиня (мальчик)</t>
  </si>
  <si>
    <t xml:space="preserve">Гемолитическая болезнь новорожденного, резус-конфликт. Отёчная форма, тяжёлая степень. </t>
  </si>
  <si>
    <t>Медведев Владимир Алексеевич</t>
  </si>
  <si>
    <t>Ивановская обл., Южский р-н, с. Талицы, ул. Техническая, 3, 2</t>
  </si>
  <si>
    <t xml:space="preserve">Закрытый неосложнённый перелом в-с/3 правого бедра. Тр. Шок 1 ст. </t>
  </si>
  <si>
    <t>Пашков Вячеслав Сергеевич</t>
  </si>
  <si>
    <t>Крылов Данила Иьич</t>
  </si>
  <si>
    <t>Виноградов Михаил Александрович</t>
  </si>
  <si>
    <t>Васильев Георгий Михайлович</t>
  </si>
  <si>
    <t>Бабушкина Варвара Андреевна</t>
  </si>
  <si>
    <t>Андреева Алёна Дмитриевна</t>
  </si>
  <si>
    <t xml:space="preserve">Деструктивный аппендицит. Дивертикул Меккеля. Операция 03.08.23. Лапароскопическая аппендэктомия. Резекция дивертикула Меккеля. </t>
  </si>
  <si>
    <t>Острый перфоративный аппендицит. Разлитой перитонит.Лапаротомия, аппендэктомия, санация и дренирование брюшной полости 29.07.23.</t>
  </si>
  <si>
    <t>г. Иваново, ул. Куликова, 28, 20</t>
  </si>
  <si>
    <t>г. Иваново, ул. Кузнецова, 8, 47</t>
  </si>
  <si>
    <t>Воронкообразная деформация грудной клетки. Торакопластика по Нассу 04.08.23.</t>
  </si>
  <si>
    <t>г. Иваново, ул. Снежная, 20</t>
  </si>
  <si>
    <t>Острое ингаляционное отравление гашишем.</t>
  </si>
  <si>
    <t>Ивановская обл., Ивановский р-н, г. Кохма, ул. Чехова, 40, 35</t>
  </si>
  <si>
    <t>Сахарный диабет 1 типа, кетоацидоз.</t>
  </si>
  <si>
    <t>Джалилов Умар Муродбекович</t>
  </si>
  <si>
    <t>г. Иваново, ул. Богдана Хмельницкого, 50, 2</t>
  </si>
  <si>
    <t xml:space="preserve">Массивное ВЖК. Прободение пищевода (реконвалесцент). Недоношенность 29 нед. </t>
  </si>
  <si>
    <t>Ширшов Кирилл Константинович</t>
  </si>
  <si>
    <t>г. Мурманск, проспект Кольский, 159, 35</t>
  </si>
  <si>
    <t>Острый перфоративный аппендицит. Разлитой перитонит. Лапароскопическая аппендэктомия, санация и дренирование брюшной полости 03.08.23</t>
  </si>
  <si>
    <t>Лежнево</t>
  </si>
  <si>
    <t>Закрытие сигмостомы конец в конец</t>
  </si>
  <si>
    <t>Патлай Анастасия Олеговна</t>
  </si>
  <si>
    <t>Ивановская обл., д. Никульское, ул. Светлая, 11</t>
  </si>
  <si>
    <t>Закрытый перелом правого бедра со смещением отломков.</t>
  </si>
  <si>
    <t>г. Иваново, ул. Кохомское шоссе, 17а, 64</t>
  </si>
  <si>
    <t>Исаева Вероника Михайловна</t>
  </si>
  <si>
    <t>Плетнёва Дарья Андреевна</t>
  </si>
  <si>
    <t>Ивановская обл., г. Шуя, ул. 3я Марковская, 19</t>
  </si>
  <si>
    <t xml:space="preserve">Термический ожог кипятком подбородка и передней грудной стенки 2-3а ст., 10% площади тела. Ож. Шок 1 ст. </t>
  </si>
  <si>
    <t>Нерсисян Элеонора Меликовна</t>
  </si>
  <si>
    <t>г. Москва, Солнцевский пр-т, 14, 280</t>
  </si>
  <si>
    <t>Гипогликемическое состояние неуточнённое. Отравление неизв. Веществом?</t>
  </si>
  <si>
    <t>Кольцов Дмитрий Алексеевич</t>
  </si>
  <si>
    <t>Ивановская обл., г. Фурманов, ул. Тимирязева, 22, 36</t>
  </si>
  <si>
    <t xml:space="preserve">Острый обструктивный бронхит. Бр. астма? Пневмония н/д справа? ДН 2 ст. </t>
  </si>
  <si>
    <t>отравление клоназепамом</t>
  </si>
  <si>
    <t>Эпелептическая энцефалопатия. ОПЦНС</t>
  </si>
  <si>
    <t>Машкова Вероника Андреевна</t>
  </si>
  <si>
    <t>Ивановский район д.Куликово</t>
  </si>
  <si>
    <t>СД1 типа, кетоацидоз</t>
  </si>
  <si>
    <t>Медов Михаил Евгеньевич</t>
  </si>
  <si>
    <t>Иваново Наумова 5-249</t>
  </si>
  <si>
    <t>холецистит, механическая желтуха</t>
  </si>
  <si>
    <t>СД1 Кетацидоз</t>
  </si>
  <si>
    <t>г.Вичуга, ул. Ульяновская, д.244</t>
  </si>
  <si>
    <t>Сизова Таисия Михайловна</t>
  </si>
  <si>
    <t>Судорожный статус</t>
  </si>
  <si>
    <t>г. Иваново, ул. Дюковская, 25, 60</t>
  </si>
  <si>
    <t>Краснянский Ярослав Алексеевич</t>
  </si>
  <si>
    <t>Тучин Тимофей Михайлович</t>
  </si>
  <si>
    <t>Грязнова Вероника Станиславовна</t>
  </si>
  <si>
    <t>Малова Таисия Евгеньевна</t>
  </si>
  <si>
    <t>Пахолкова Валерия Александровна</t>
  </si>
  <si>
    <t>г. Иваново, ул. Демьяна Бедного, 115а.,38</t>
  </si>
  <si>
    <t xml:space="preserve">ЗЧМТ. Ушиб головного мозга лёгкой степени. ЗТГК. Ушиб лёгких лёгкой степени. Множественные ссадины. Тр. Шок 1 ст. </t>
  </si>
  <si>
    <t>Меркеев Максим Артёмович</t>
  </si>
  <si>
    <t>Ивановская обл., г. Вичуга, ул. Фрунзе, 7</t>
  </si>
  <si>
    <t xml:space="preserve">О. аппендицит. Дивертикул Меккеля. Операция 14.08.23: лапароскопическая аппендэктомия, резекция дивертикуля. </t>
  </si>
  <si>
    <t>Органическое поражение ЦНС.</t>
  </si>
  <si>
    <t>Ивановская обл., г. Вичуга, ул Ульяновская, 24, 11</t>
  </si>
  <si>
    <t xml:space="preserve">Органическое поражение ЦНС. Первичный иммунодефицит. Трахеоканюляр. </t>
  </si>
  <si>
    <t>Коркин Глеб Викторович</t>
  </si>
  <si>
    <t>Иваново 1я Балинская 64</t>
  </si>
  <si>
    <t>перфоративный аппендицит, разлитой гнойный перитонит</t>
  </si>
  <si>
    <t>Муравьев Матвей Артемович</t>
  </si>
  <si>
    <t>Приволжкс Ул Фабричная д1а кв11</t>
  </si>
  <si>
    <t xml:space="preserve">Перфорация полого органа, разлитой гнойный перитонит. </t>
  </si>
  <si>
    <t>Красиков Алексей Романович</t>
  </si>
  <si>
    <t>иваноский район д Бабенки. Уч122</t>
  </si>
  <si>
    <t>Сочетанная травма. ОЧМТ ушиб головного мозга легкой степени,Ушиб грудной клетки, ушиб передней брюшной стенки. Перелом костей носа, перелом решетчатых костей, Гемосинус.Раны и ссдины лица</t>
  </si>
  <si>
    <t>Доброхотова Виктория Сергеевна</t>
  </si>
  <si>
    <t>г Южа ул Свободы д3</t>
  </si>
  <si>
    <t>Укус змеи.</t>
  </si>
  <si>
    <t>Гладышев Никита Александрович</t>
  </si>
  <si>
    <t>г. Южа</t>
  </si>
  <si>
    <t>Сочетнная травма. ЗЧМТ ушиб ГМ. ЗТГК Ушиб легких. Перелом левого бедра</t>
  </si>
  <si>
    <t xml:space="preserve">Палин  Данила Алексеевич </t>
  </si>
  <si>
    <t>Шуйский район д.Колобово</t>
  </si>
  <si>
    <t>Тяжелая гемофилия А, состояние после перенесенного ОНМК</t>
  </si>
  <si>
    <t>Голяков Мирослав Михайлович</t>
  </si>
  <si>
    <t>Тейковский р-н,  Б.Клочково, ул.Совхозная 10-2</t>
  </si>
  <si>
    <t>Нейтропения неясного генеза</t>
  </si>
  <si>
    <t>Моронин Вячеслав Алексеевич</t>
  </si>
  <si>
    <t>Поселок Ново Писцово Осипенко 17-2</t>
  </si>
  <si>
    <t>отравление холинолитиком апрофеном</t>
  </si>
  <si>
    <t>Иудина Алина Михайловна</t>
  </si>
  <si>
    <t>г.Иваново, ул. Железнодорожная, д.29</t>
  </si>
  <si>
    <t>Химический ожог ротовой полости. Хим. Ожог пищевода:?</t>
  </si>
  <si>
    <t>Макин Денис Дмитриевич</t>
  </si>
  <si>
    <t xml:space="preserve">Сочетанная травма. ЗЧМТ ушиб ГМ. Закрытый перелом обеих бедренных костей. </t>
  </si>
  <si>
    <t>г.Фурманов, ул.Социалистическая, 5-49</t>
  </si>
  <si>
    <t>Острый панкреатит</t>
  </si>
  <si>
    <t>Харин Никита Алексеевич</t>
  </si>
  <si>
    <t>г.Иваново, пер.Угловой, 3-7</t>
  </si>
  <si>
    <t>Отравление суррогатами алкоголя</t>
  </si>
  <si>
    <t>Клушина Ксения Дмитриевна</t>
  </si>
  <si>
    <t>г.Иваново, ул.2 Минская, 10-16</t>
  </si>
  <si>
    <t>Евсеева Вера Андреевна</t>
  </si>
  <si>
    <t>г.Иваново, ул.Жарова, 76-1</t>
  </si>
  <si>
    <t>Отравление таблетками парацетамола</t>
  </si>
  <si>
    <t>Купцов Григорий Алексеевич</t>
  </si>
  <si>
    <t>г.Иваново, ул.Смирнова, д. 89, кв.30</t>
  </si>
  <si>
    <t>Язва дивертикула Меккеля</t>
  </si>
  <si>
    <t>Сибирякова Алена Рустамовна</t>
  </si>
  <si>
    <t>Иваново Лежневская 158-201</t>
  </si>
  <si>
    <t>Ушиб головного мозга средней степени тяжест, перелом теменной кости</t>
  </si>
  <si>
    <t>Смирнова Виктория Александровна</t>
  </si>
  <si>
    <t>Заволжск</t>
  </si>
  <si>
    <t>ВУИ, ВЖК, недоношенность 26нед.</t>
  </si>
  <si>
    <t>Крюк Егор Александрович</t>
  </si>
  <si>
    <t>Тейково</t>
  </si>
  <si>
    <t>Пневмония тяжелая, внебольничная</t>
  </si>
  <si>
    <t>периаппендикулярный абсцесс</t>
  </si>
  <si>
    <t>сочет травма</t>
  </si>
  <si>
    <t>Соколов Михаил Геннадьевич</t>
  </si>
  <si>
    <t>Кострома</t>
  </si>
  <si>
    <t>Дисфункция ВПШ, сепсис, анемия тяжелая, недоношенность 27нед., БЛД</t>
  </si>
  <si>
    <t>Осипов Егор Евгеньевич</t>
  </si>
  <si>
    <t>Отравление антифризом</t>
  </si>
  <si>
    <t>г Тейково</t>
  </si>
  <si>
    <t xml:space="preserve">г Кинешма. </t>
  </si>
  <si>
    <t>Острый бронхиолит. ДН 1 ст</t>
  </si>
  <si>
    <t>Комов  Матвей Леонидович</t>
  </si>
  <si>
    <t>Иваново Мир ДСК 3-105</t>
  </si>
  <si>
    <t>объемное образование головного мозга</t>
  </si>
  <si>
    <t>Цой Полина Александровна</t>
  </si>
  <si>
    <t>ул. Кавалерийская 14</t>
  </si>
  <si>
    <t>Алкогольное отравление</t>
  </si>
  <si>
    <t>Дружкина Полина Николаевна</t>
  </si>
  <si>
    <t>Озеров Дмитрий Андреевич</t>
  </si>
  <si>
    <t>Жумаматова Фарангизхон Ганижоновна</t>
  </si>
  <si>
    <t>г. Иваново, 1 Рабфаковский пер., 1, 1</t>
  </si>
  <si>
    <t xml:space="preserve">Острый бронхит. </t>
  </si>
  <si>
    <t>Карташова Екатерина Алексеевна</t>
  </si>
  <si>
    <t>г. Иваново, ул. Балахнина, 46, 4</t>
  </si>
  <si>
    <t xml:space="preserve">Гемолитико-уремический снидром. ОПП. Аутизм. </t>
  </si>
  <si>
    <t>Колесов Денис Александрович</t>
  </si>
  <si>
    <t>г. Кохма, ул. 8 Марта, 47</t>
  </si>
  <si>
    <t>Ивановская обл., г. Фурманов</t>
  </si>
  <si>
    <t>Пушкарев Тимофей Игоревич</t>
  </si>
  <si>
    <t>Светлова Полина Андреевна</t>
  </si>
  <si>
    <t>Серогодский Марк Андреевич</t>
  </si>
  <si>
    <t>г. Иваново, ул. Лежневская, 164Б, 10</t>
  </si>
  <si>
    <t>Соколовская Ксения Александровна</t>
  </si>
  <si>
    <t>Ивановская обл., Шуйский р-н, с. Красноармейское, ул. 2 Дачная, 1а</t>
  </si>
  <si>
    <t>Отравление психотическими и нейролептическими препаратами</t>
  </si>
  <si>
    <t>Филиппова Мария Сергеевна</t>
  </si>
  <si>
    <t>Юдин Даниил Сергеевич</t>
  </si>
  <si>
    <t>Ивановская обл., г. Тейково, ул. Кооперативная, 44</t>
  </si>
  <si>
    <t>ЗЧМТ. Ушиб головного мозга лёгкой степени. Перелом лобной пазухи, решетчатой кости, костей носа. Ушибленные раны верхней и нижней губ.</t>
  </si>
  <si>
    <t>Соболев Иван Дмитриевич</t>
  </si>
  <si>
    <t>г. Кострома, ул. Ермакова, 1к2, 67</t>
  </si>
  <si>
    <t>ВУИ. Врожденная пневмония. Анемия недоношенных.</t>
  </si>
  <si>
    <t>Зимакова Милана Александровна</t>
  </si>
  <si>
    <t>Ивановская обл., п. Лежнево, ул. 3го Интернационала, 29</t>
  </si>
  <si>
    <t>О. рецидивирующий обструктивный бронхит. ДН 2 ст.</t>
  </si>
  <si>
    <t>Колодин Максим Владимирович</t>
  </si>
  <si>
    <t>г. Иваново, ул. Ташкентская, 85Б, 39</t>
  </si>
  <si>
    <t>г кинешма  г. Иваново плонерская д 182 кв 38</t>
  </si>
  <si>
    <t>СД 1 типа фаза кетоацидоза</t>
  </si>
  <si>
    <t>Стрежнова Елизавета Сергеевна</t>
  </si>
  <si>
    <t>Брызгалова Алиса Сергеевна</t>
  </si>
  <si>
    <t>Ивановская обл., г. Кинешма, ул. Щорса, 1Б, 52</t>
  </si>
  <si>
    <t>ЖКБ. ЛХЭ 12.09.23.</t>
  </si>
  <si>
    <t>Мочалов Максим Николаевич</t>
  </si>
  <si>
    <t>Ивановский р-н, с. Богданиха, д .14, кв. 57</t>
  </si>
  <si>
    <t>ЖКБ. Холецистэктомия от 13.09.23</t>
  </si>
  <si>
    <t>Ларин Эдуард Сергеевич</t>
  </si>
  <si>
    <t>г. Иваново, ул. 7я Санаторная, 27</t>
  </si>
  <si>
    <t>О. панкреатит</t>
  </si>
  <si>
    <t>Петрова Виктория Ильинична</t>
  </si>
  <si>
    <t>г. Иваново, мкр. Московский д.10, кв.15</t>
  </si>
  <si>
    <t>СД 1 типа. Фаза кетоацидоза.</t>
  </si>
  <si>
    <t>Клянчин Алексей Артемович</t>
  </si>
  <si>
    <t>Кохма, ул. Мира, 4</t>
  </si>
  <si>
    <t xml:space="preserve">Обструктивный бронхит. ДН 2. </t>
  </si>
  <si>
    <t>Захаров Владимир Кириллович</t>
  </si>
  <si>
    <t>г. Иваново, пр. Ленина, 67, 60</t>
  </si>
  <si>
    <t xml:space="preserve">Термический ожог пламенем лица, спины, кистей рук 2-3аб ст. 15% площади тела.  Термоингаляционная травма. Ожоговый шок 2 ст. </t>
  </si>
  <si>
    <t>Корзин Матвей Романович</t>
  </si>
  <si>
    <t>Ивановская обл., г. Кинешма, ул. Мира, 2/61, 3</t>
  </si>
  <si>
    <t>Термический ожог кипятком лица, грудной клетки, в/конечностей 2-3аб ст. 12% площади тела. Ожоговый шок 1 ст.</t>
  </si>
  <si>
    <t>Надёжин Владислав Александрович</t>
  </si>
  <si>
    <t>г. Иваново, ул. Кохомское шоссе, 3, 30</t>
  </si>
  <si>
    <t>Дисфункция ВПШ. Эпилепсия.</t>
  </si>
  <si>
    <t>Калагина Ева Дмитриевна</t>
  </si>
  <si>
    <t xml:space="preserve">Ивановская обл. </t>
  </si>
  <si>
    <t>Энцефалитическая реакция</t>
  </si>
  <si>
    <t>Путцев Матвей Алексеевич</t>
  </si>
  <si>
    <t>иваново Балахнина 46-4</t>
  </si>
  <si>
    <t>ГУС. ХПН</t>
  </si>
  <si>
    <t>Плаксин Максим Сергеевич</t>
  </si>
  <si>
    <t>Пилоростеноз. Пилоромиотомия 19.09.23</t>
  </si>
  <si>
    <t>Жуков Богдан Амитович</t>
  </si>
  <si>
    <t>ОЧМТ. Ушиб головного мозга ср. ст. тяж. Перелом основания черепа. Отогеморрея слева. Синусит.</t>
  </si>
  <si>
    <t>Бабанов Артём Сергеевич</t>
  </si>
  <si>
    <t>г.Шуя, переулок Бульварный д. 13, кв.17</t>
  </si>
  <si>
    <t xml:space="preserve">Врождённая пневмония, тяжёлая </t>
  </si>
  <si>
    <t>Юсков Андрей Викторович</t>
  </si>
  <si>
    <t>г. Палех, ул Пушкина 23</t>
  </si>
  <si>
    <t>Иваново, М.Василевского, 7</t>
  </si>
  <si>
    <t xml:space="preserve">Отравление таблетками </t>
  </si>
  <si>
    <t>Максимов Михаил Евгеньевич</t>
  </si>
  <si>
    <t>Вичуга,40лет Октября,21-4</t>
  </si>
  <si>
    <t>ЧМТ, отравление суррогатами алкоголя</t>
  </si>
  <si>
    <t>Шалаев Тимофей Дмитриевич</t>
  </si>
  <si>
    <t>Острый обструктивный бронхит ДН 2-3</t>
  </si>
  <si>
    <t>Смирнова Кристина Ильинична</t>
  </si>
  <si>
    <t>Адельшинов Андрей Дмитриевич</t>
  </si>
  <si>
    <t xml:space="preserve">Пиначян Моника </t>
  </si>
  <si>
    <t>хим.ожог ротовой полости, пищевода йодом</t>
  </si>
  <si>
    <t>Саградян Марк Григорович</t>
  </si>
  <si>
    <t>г.Иваново, ул.Наумова 5-118</t>
  </si>
  <si>
    <t>ЗЧМТ. Ушиб головного мозга. Линейный перелом теменной кости справа. Субдуральная гематома лобной, правой теменно-височной области</t>
  </si>
  <si>
    <t>Воронин Фёдор Алексеевич</t>
  </si>
  <si>
    <t>г. Иваново, мкрн Новая Ильянка, 34, 13</t>
  </si>
  <si>
    <t>Деструктивная пневмония справа. Гидроторакс справа. ДН 1 ст.</t>
  </si>
  <si>
    <t>Гришина Алёна Алексеевна</t>
  </si>
  <si>
    <t>г. Иваново, ул. 8 Марта, 14, 23</t>
  </si>
  <si>
    <t>Отравление поваренной солью.</t>
  </si>
  <si>
    <t>Жирнов Иван Николаевич</t>
  </si>
  <si>
    <t>г.Иваново, ул.Маяковского д. 21А, кв.45</t>
  </si>
  <si>
    <t>Воронкообразная деформация грудной клетки. Торакопластика по Нассу 27.09.23.</t>
  </si>
  <si>
    <t>Касейнова Нурзат Мирлановна</t>
  </si>
  <si>
    <t>г. Иваново, ул. Диановых, д. 13</t>
  </si>
  <si>
    <t xml:space="preserve">Отравление острое бытовое преднамеренное таблетками парацетамола </t>
  </si>
  <si>
    <t>Серегина Ксения Максимовна</t>
  </si>
  <si>
    <t>с.Богданиха, д. 10, кв.24</t>
  </si>
  <si>
    <t>Острое бытовое преднамеренное отравление фенибутом и корвалолом</t>
  </si>
  <si>
    <t>Сахаров Владимир Сергеевич</t>
  </si>
  <si>
    <t>г.Кинешма, ул. Воеводы Бобрыкина д. 8А, кв.57.</t>
  </si>
  <si>
    <t>Новообразование головного мозга</t>
  </si>
  <si>
    <t xml:space="preserve">Бурибонва Гульноза </t>
  </si>
  <si>
    <t>МКБ?</t>
  </si>
  <si>
    <t>Артемьева Виктория Анатольевна</t>
  </si>
  <si>
    <t>ТИА? Парез лицевого нерва?</t>
  </si>
  <si>
    <t>Григорьев Владимир Евгеньевич</t>
  </si>
  <si>
    <t>Иваново, Полевая, 36, 3</t>
  </si>
  <si>
    <t>ОЧМТ. Ушиб головного мозга средней степени тяжест, перелом теменной кости</t>
  </si>
  <si>
    <t>Кораблева Арина Ринатовна</t>
  </si>
  <si>
    <t>Ивановская обл., Приволжск, Спартака, 65а</t>
  </si>
  <si>
    <t>Новожилов Матвей Сергеевич</t>
  </si>
  <si>
    <t>г.Иваново, ул. Генерала Хлебникова д. 12, кв.66</t>
  </si>
  <si>
    <t>Пневмония внебольничная</t>
  </si>
  <si>
    <t>Жукова Полина</t>
  </si>
  <si>
    <t>г Шуя.</t>
  </si>
  <si>
    <t>микросфероцитоз</t>
  </si>
  <si>
    <t>родники мик южный 8</t>
  </si>
  <si>
    <t>Комаркова Александра</t>
  </si>
  <si>
    <t>Махмадалиева Ясмина Саймуминовна</t>
  </si>
  <si>
    <t>г. Иваново, ул. Союзная, 7/6, 1</t>
  </si>
  <si>
    <t>Пилоростеноз.</t>
  </si>
  <si>
    <t>Чернышова Алиса Львовна</t>
  </si>
  <si>
    <t>Ксенофонтова Теона</t>
  </si>
  <si>
    <t>д Игнатова Иваносвкий р-он Тополиная 2</t>
  </si>
  <si>
    <t xml:space="preserve">Гипогликемическое состояние неуточнённое. </t>
  </si>
  <si>
    <t>Милованова Земфира Давидовна</t>
  </si>
  <si>
    <t>Ивановский р-н, д. Круглово, 51</t>
  </si>
  <si>
    <t>Многоцилиндровая тонко-толстокишечная инвагинация. СКН 2-3 ст. Операция 08.10.23: лапаротомия, дезинвагинация кишок, ЦВК, ЭК. Аспирационный синдром.</t>
  </si>
  <si>
    <t>БЛД, ДН 3 ст. ВУИ, ВЖК, недоношенность 26нед. Полиорганная недостаточность.</t>
  </si>
  <si>
    <t>Яшкин Дмитрий Борисович</t>
  </si>
  <si>
    <t>г.Шуя, переулок 10-й Дубковский д.25.</t>
  </si>
  <si>
    <t>Засимовский Константин Ильич</t>
  </si>
  <si>
    <t>г.Иваново, мкр.Рождественский д.2, кв.298</t>
  </si>
  <si>
    <t>Разрыв трахеи</t>
  </si>
  <si>
    <t>Бурхонов Ёсин Бадриддинович</t>
  </si>
  <si>
    <t>Ивановская обл., Тейковский р-н, с. Новое Горяново, ул. Комсомольская, 15, 108</t>
  </si>
  <si>
    <t xml:space="preserve">Пневмония внебольничная, двусторонняя, очаговая, тяжёлая, неосложнённая. ДН 3 ст. ДЦП. Спастический тетрапарез. ЗПР. Судорожные приступы. </t>
  </si>
  <si>
    <t>Иваново Кохомское шоссе 17</t>
  </si>
  <si>
    <t>Вальгусная деформ н/конечн</t>
  </si>
  <si>
    <t>впш</t>
  </si>
  <si>
    <t>Арутюнян Максим Михайлович</t>
  </si>
  <si>
    <t>судорожный синдром</t>
  </si>
  <si>
    <t>ВПР ЖКТ. атрезия ануса</t>
  </si>
  <si>
    <t>внебольничная пневмония н/доли справа</t>
  </si>
  <si>
    <t>Кузнецов Дмитрий Александрович</t>
  </si>
  <si>
    <t>Тихонов Матвей Андреевич</t>
  </si>
  <si>
    <t>Осминин Даниил Антонович</t>
  </si>
  <si>
    <t xml:space="preserve">Вальгусная деформация шеек бёдер. Операция 10.10.23: подвертельная варизирующая остеотомия левого бедра. </t>
  </si>
  <si>
    <t>г. Иваново, Шахтинский проезд, 79, 68</t>
  </si>
  <si>
    <t>г. Иваново, ул. Родниковская, 26</t>
  </si>
  <si>
    <t>г. Кострома, ул. Кинешемское шоссе</t>
  </si>
  <si>
    <t>Гидроцефалия. ВПШ 13.10.23.</t>
  </si>
  <si>
    <t>Ивановская обл., г. Вичуга, ул. Ульяновская, 24/1, 3</t>
  </si>
  <si>
    <t xml:space="preserve">Органическое поражение ЦНС. Эпилептическая энцефалопатия. Первичный иммунодефицит. Трахеоканюляр.      </t>
  </si>
  <si>
    <t>Органическое поражение ЦНС. Последствия ВЖК. Трахеоканюляр.</t>
  </si>
  <si>
    <t>Евсеев Давид Александрович</t>
  </si>
  <si>
    <t>Ивановская обл., Родниковский р-н, п. Каминский, ул. Первомайская, 1, 8</t>
  </si>
  <si>
    <t xml:space="preserve">Моторная полинейропатия нижних конечностей. Реакция на ВВИГ. </t>
  </si>
  <si>
    <t>Папочкин Антон Алексеевич</t>
  </si>
  <si>
    <t>п.Каменка Колхозная 10</t>
  </si>
  <si>
    <t>Термический ожог 3а,б,4ст. Термоингаляционная травма. Ожоговый шок</t>
  </si>
  <si>
    <t>Родники</t>
  </si>
  <si>
    <t>Опухоль мозга ВПШ</t>
  </si>
  <si>
    <t>Фурмаов</t>
  </si>
  <si>
    <t>Торсионная деформ н/конечн</t>
  </si>
  <si>
    <t>Обструктивный бронхит, пневмония</t>
  </si>
  <si>
    <t>ОПЦНС Пневмония</t>
  </si>
  <si>
    <t>ОПН ГЛПС</t>
  </si>
  <si>
    <t>Симонян (Петросян) Артак Гарикович</t>
  </si>
  <si>
    <t>закрытая рефрактура с/3 правой бедренной кости со смещением отломков</t>
  </si>
  <si>
    <t>Обструктивный бронхит. Пневмония?</t>
  </si>
  <si>
    <t>Шкарин Марк Антонович</t>
  </si>
  <si>
    <t>анемия гемолитичекая</t>
  </si>
  <si>
    <t>Дарьина Виктория Олеговна</t>
  </si>
  <si>
    <t>д. Коляново ул Школьная д26</t>
  </si>
  <si>
    <t>Хвастунова Полина Григорьевна</t>
  </si>
  <si>
    <t>г.Иваново ул. Витебская 79</t>
  </si>
  <si>
    <t>Аншуков Даниил Дмитриевич</t>
  </si>
  <si>
    <t>Сахарный диабет 1 типа, фаза кетоацидоза.</t>
  </si>
  <si>
    <t xml:space="preserve">Травматическая болезнь головного мозга. Краниопластика 17.10.23. </t>
  </si>
  <si>
    <t>Кувенёв Даниил Николаевич</t>
  </si>
  <si>
    <t>г. Иваново, ул. 11 Сосневская, 66, 29</t>
  </si>
  <si>
    <t>Колото-резанная рана брюшной стенки. Ранение печени. Гемоперитонеум.</t>
  </si>
  <si>
    <t>Куприянов Даниил Артёмович</t>
  </si>
  <si>
    <t>Ивановская обл., г. Тейково, ул Советской Армии, 5, 40</t>
  </si>
  <si>
    <t>Мудрина София Михайловна</t>
  </si>
  <si>
    <t>Носова Маргарита Алексеевна</t>
  </si>
  <si>
    <t>г. Иваново, ул. Пучежская, 14</t>
  </si>
  <si>
    <t>Огурцова Полина Игоревна</t>
  </si>
  <si>
    <t>Ивановский р-н, д. Дерябиха, 59, 2</t>
  </si>
  <si>
    <t>Петросян Артак Гарикович</t>
  </si>
  <si>
    <t>Атрезия ануса</t>
  </si>
  <si>
    <t>Поддубный Иван Валерьевич</t>
  </si>
  <si>
    <t>Ивановская обл., г. Юрьевец, ул. Глеба Успенского, 23</t>
  </si>
  <si>
    <t>Инфицированный термический ожог туловища, правого плеча, правого бедра 2-3аб ст. 30% тела.</t>
  </si>
  <si>
    <t>Ивановская обл., г. Шуя, Учебный городок, 4, 16</t>
  </si>
  <si>
    <t>Рябцова Виктория Андреевна</t>
  </si>
  <si>
    <t>Ивановская обл., г. Кинешма, ул. Виноградова, 27, 43</t>
  </si>
  <si>
    <t>г. Иваново, пр. Текстильщиков, 26Б, 26</t>
  </si>
  <si>
    <t>Тузалин Илья Сергеевич</t>
  </si>
  <si>
    <t>Ивановская обл., г. Шуя, ул. Аникина, 87</t>
  </si>
  <si>
    <t>г. Иваново, мкр Рождественский д8 кв 314</t>
  </si>
  <si>
    <t>Ивановская обл., г. Кинешма, ул. Щорса, 68, 116</t>
  </si>
  <si>
    <t>Лунина Дарья Андреевна</t>
  </si>
  <si>
    <t>Ивановская обл., г. Вичуга, ул. 50 лет Октября, 10, 36</t>
  </si>
  <si>
    <t>Смирнова Милена Алексеевна</t>
  </si>
  <si>
    <t>Ивановская обл., Вичугский р-н, Ново-Писцово, ул. Фрунзе, 2, 87</t>
  </si>
  <si>
    <t>Попов Фёдор Владимирович</t>
  </si>
  <si>
    <t>г. Иваново, ул. Моряков, 11</t>
  </si>
  <si>
    <t>Бронхообструктивный синдром. Пневмония справа. ДН 2 ст.</t>
  </si>
  <si>
    <t>Киста левого яичника. Состояние после эндоскопического вылущивания кисты 25.10.23. Гемоперитонеум. Релапароскопия, остановка кровотечения, санация и дренирование брюшной полости 25.10.23</t>
  </si>
  <si>
    <t>Иваново танк.Александрова</t>
  </si>
  <si>
    <t>сах.диабет кетацидоз</t>
  </si>
  <si>
    <t>Резепов Семен Сергеевич</t>
  </si>
  <si>
    <t>д. Полумниха, ул. Изумрудная, 21</t>
  </si>
  <si>
    <t>Иваново Текстильщиков</t>
  </si>
  <si>
    <t>обстр. Синдром Пневмония?</t>
  </si>
  <si>
    <t xml:space="preserve">Ермощикова Вероника Сергеевна </t>
  </si>
  <si>
    <t>Иваново Любимого 4-123</t>
  </si>
  <si>
    <t>Ульянов Иван Денисович</t>
  </si>
  <si>
    <t>д афанасова 2 никольская 50</t>
  </si>
  <si>
    <t>Ерофеева Анна Викторовна</t>
  </si>
  <si>
    <t>Холматов Ислам Фарходович</t>
  </si>
  <si>
    <t>Некрасов Максим Александрович</t>
  </si>
  <si>
    <t>Ивановский р-н, с. Подталицы, 95</t>
  </si>
  <si>
    <t>Сочет травма. ЗЧМТ. СГМ. Перелом правой ключицы. Множ. Перелом рёбер справа неосл. Закрытый. Ушиб правого ПКС.</t>
  </si>
  <si>
    <t>Пневмония справа.</t>
  </si>
  <si>
    <t>Девятникова София Александровна</t>
  </si>
  <si>
    <t>Раев Максим Романович</t>
  </si>
  <si>
    <t>Ивановская обл., г. Фурманов, ул. Тимирязева, 36, 12</t>
  </si>
  <si>
    <t xml:space="preserve">Царук Ксения Ивановна </t>
  </si>
  <si>
    <t>с Писцово комсомолький р-он</t>
  </si>
  <si>
    <t>Дивертикулит</t>
  </si>
  <si>
    <t>Ивановская обл., г. Шуя, Бульварный переулок, 13, 17</t>
  </si>
  <si>
    <t xml:space="preserve">Необходимость иммунизации против 1 уточнённой вирусной болезни. БЛД недоношенных, тяжёлое течение. Анемия хр. </t>
  </si>
  <si>
    <t>Куликов Егор Алексеевич</t>
  </si>
  <si>
    <t>Ивановская обл., Шуйский р-н, с. Китово, ул. Центральная, 17, 36</t>
  </si>
  <si>
    <t>Сочетанная травма. ЗЧМТ. Субдур. гематома левополушарной локализации. ЗТГК. З/оскольчатый перелом пр. ключицы. Ушиб лёгких. ДН 0. ISS 13 баллов.</t>
  </si>
  <si>
    <t>Ивановская обл., г. Кохма, ул. Кочетовой, 34, 58</t>
  </si>
  <si>
    <t>Бодрова Полина Дмитриевна</t>
  </si>
  <si>
    <t>г. Гаврилов Посад, ул. Дзержинского д. 13</t>
  </si>
  <si>
    <t>Данилов Иван Алексеевич</t>
  </si>
  <si>
    <t>г. Иваново, 30-й мкр. Д.2, кв. 26</t>
  </si>
  <si>
    <t>ЗЧМТ. Сочетанная травма</t>
  </si>
  <si>
    <t>Жаркова Карина Алексеевна</t>
  </si>
  <si>
    <t>г. Гаврилов Посад, ул. Горькова, д. 5, кв.17</t>
  </si>
  <si>
    <t>Отравление таблетками амитриптилина</t>
  </si>
  <si>
    <t>Магницкий Михаил Александрович</t>
  </si>
  <si>
    <t>Комсомольск улГастелло.д.6</t>
  </si>
  <si>
    <t xml:space="preserve">Пневмония правосторонняя полисегментарная </t>
  </si>
  <si>
    <t>Иваново ДСК 3-105</t>
  </si>
  <si>
    <t>Злокачественное новообразование</t>
  </si>
  <si>
    <t>Ершов Роман Максимович</t>
  </si>
  <si>
    <t>Южа ул.Рабочая 42</t>
  </si>
  <si>
    <t>Кудрявцев Макар Юрьевич</t>
  </si>
  <si>
    <t>г.Иваново, пр-т Текстильщиков д. 113 Б, кв. 37</t>
  </si>
  <si>
    <t>Молькова Анастасия Сергеевна</t>
  </si>
  <si>
    <t>г. Иваново, 30-й мкр., 13, кв. 56</t>
  </si>
  <si>
    <t>Прусова Наталья Андреевна</t>
  </si>
  <si>
    <t>г. Шуя, пер 2-й мичуринский, 11</t>
  </si>
  <si>
    <t>Петрова Мария Вадимовна</t>
  </si>
  <si>
    <t>г. Иваново, ул. Красноярская, 83</t>
  </si>
  <si>
    <t xml:space="preserve">Фибрилляция предсердий, впервые выявленная, гемодинамически значимая. </t>
  </si>
  <si>
    <t>Антонов Савелий Антонович</t>
  </si>
  <si>
    <t>пучеж парижской коммуны 18</t>
  </si>
  <si>
    <t>гидроцефалия. Состояние после приступа судорог</t>
  </si>
  <si>
    <t>Филатов Павел Алексеевич</t>
  </si>
  <si>
    <t>ивановский район д.Бухарово</t>
  </si>
  <si>
    <t>ЖКБ</t>
  </si>
  <si>
    <t>Смирнов Матвей Владимирович</t>
  </si>
  <si>
    <t>Недоношенность, оперированный ВПС</t>
  </si>
  <si>
    <t>ЖКБ; ХЭ</t>
  </si>
  <si>
    <t>Носкова Юлия Николаевна</t>
  </si>
  <si>
    <t>п нерль, ул Красноармейская, 60-5</t>
  </si>
  <si>
    <t>О. отравление, тяжелое (экстази?)</t>
  </si>
  <si>
    <t>Иваново. Пр Текстиль.</t>
  </si>
  <si>
    <t>кинешма</t>
  </si>
  <si>
    <t>отравление гипотензивным</t>
  </si>
  <si>
    <t>Генетическая патология. Инвалидность. Паллиатив. Пневмония</t>
  </si>
  <si>
    <t>Гидроцефалия. ВПШ</t>
  </si>
  <si>
    <t>Аспирационная пневония Бульбарный синдром Генетическая патология</t>
  </si>
  <si>
    <t>Иваново, Белова 62</t>
  </si>
  <si>
    <t>Деформация гр. Клетки, торакопластика</t>
  </si>
  <si>
    <t>Шуя, 4 Текстильная 4</t>
  </si>
  <si>
    <t>Несовершенный остеогенез, остеотомия бедра</t>
  </si>
  <si>
    <t>ОПЦНС, пневмония</t>
  </si>
  <si>
    <t>БЛД,анемия тяжелая</t>
  </si>
  <si>
    <t>Гибадуллина Яна Руслановна</t>
  </si>
  <si>
    <t>пер 2ой кирпичный д 10</t>
  </si>
  <si>
    <t>кинешма веснина 1-31</t>
  </si>
  <si>
    <t>пневмония, бронхообструктивный синдромфебриьные судороги</t>
  </si>
  <si>
    <t xml:space="preserve">сд 1 типа, кетоацидоз. </t>
  </si>
  <si>
    <t>сд 1 типа кетоацидоз</t>
  </si>
  <si>
    <t>Терм ожог кипятком груди, живота 2-3ст Пл 12% ожоговый шок</t>
  </si>
  <si>
    <t>Хохулина Виктория Андреевна</t>
  </si>
  <si>
    <t>Ивановская обл., г. Фурманов, 1 Костромская ул., 28</t>
  </si>
  <si>
    <t>Воронкообразная деформация грудной клетки. Торакопластика по Нассу 29.11.23.</t>
  </si>
  <si>
    <t>Оглы Римма Руслановна</t>
  </si>
  <si>
    <t>Ивановская обл., г. Шуя, ул. Заводская, 13, 3</t>
  </si>
  <si>
    <t>Отравление таблетками амлодипина</t>
  </si>
  <si>
    <t>Артамонов Марк Рамилович</t>
  </si>
  <si>
    <t>Мальцев Эдуард Александрович</t>
  </si>
  <si>
    <t>Кудрявцев Константин Эдуардович</t>
  </si>
  <si>
    <t>Емельянцева Кристина Александровна</t>
  </si>
  <si>
    <t>Кинешка</t>
  </si>
  <si>
    <t>Иванов Сергей Иванович</t>
  </si>
  <si>
    <t>Курзанов Алексей Дмитриевич</t>
  </si>
  <si>
    <t>Синицина Ксения Павловна</t>
  </si>
  <si>
    <t>Стручалина Виктория Владимировна</t>
  </si>
  <si>
    <t>Уваров Максим Фёдорович</t>
  </si>
  <si>
    <t>Чистякова Анна Дмитриевна</t>
  </si>
  <si>
    <t>Смирнов Артём Сергеевич</t>
  </si>
  <si>
    <t>Молчанов Александр Алексеевич</t>
  </si>
  <si>
    <t>Воронкообразная деформация грудной клетки. Торакопластика по Нассу 30.11.23.</t>
  </si>
  <si>
    <t>Бабичева Екатерина Сергеевна</t>
  </si>
  <si>
    <t>термический ожог 8%</t>
  </si>
  <si>
    <t>Разрыв кисты яичника. Состояние после лапароскопической энуклеации кисты</t>
  </si>
  <si>
    <t>Ушанов Дмитрий Алексеевич</t>
  </si>
  <si>
    <t>с.Писцово ул.Социалистическая д1/1 кв 9</t>
  </si>
  <si>
    <t>асфиксия</t>
  </si>
  <si>
    <t>Кокорин Данил Владимирович</t>
  </si>
  <si>
    <t xml:space="preserve">Шуйский район д Филино </t>
  </si>
  <si>
    <t>ножевое ранение брюшной полости</t>
  </si>
  <si>
    <t>Фролова Евгения Владимировна</t>
  </si>
  <si>
    <t>г. Шуя, ул. Ярославская, 102</t>
  </si>
  <si>
    <t>Лошаков Богдан Васильевич</t>
  </si>
  <si>
    <t>г. Иваново, ул. Маршала Василевского, 7А</t>
  </si>
  <si>
    <t>Острое отравление энергетическим напитком</t>
  </si>
  <si>
    <t>Романов Андрей Владиславович</t>
  </si>
  <si>
    <t>Кохма Машиностроительная 28-14</t>
  </si>
  <si>
    <t>пневмония</t>
  </si>
  <si>
    <t>г. Иваново, пр. Строителей, 40, 58</t>
  </si>
  <si>
    <t>БЛД тяж. Ст. Двусторонняя внутригоспитальная пневмония. ДН 3 ст. Оперированная коарктация аорты. ДМПП.Полиорг. Нед-ть.</t>
  </si>
  <si>
    <t>Филиппов Дмитрий Максимович</t>
  </si>
  <si>
    <t>Ивановская обл., г. Комсомольск, ул. Чайковского, 36, 1</t>
  </si>
  <si>
    <t>ТТЖ. Разрыв селезёнки. Гемоперитонеум. Геморраг. шок 2 ст. Операция 07.12.23: диагн. Лапароскопия, лапаротомия, спленэктомия, санация брюшной полости.</t>
  </si>
  <si>
    <t>ОПЦНС. Наложение гастростомы.</t>
  </si>
  <si>
    <t>Яковлева Марьяма Алиевна</t>
  </si>
  <si>
    <t>Родники Маяковского 1</t>
  </si>
  <si>
    <t>Обструктивный бронхит</t>
  </si>
  <si>
    <t>Вичугский район с.Красный Октябрь</t>
  </si>
  <si>
    <t>Состояние после приступа судорог</t>
  </si>
  <si>
    <t>Матвеева Дарина Андреевна</t>
  </si>
  <si>
    <t>г.Иваново, ул. 11-я Санаторная , д.8</t>
  </si>
  <si>
    <t>Новожилов Дмитрий Геннадьвич</t>
  </si>
  <si>
    <t>Иваново 4 я курьяновская 4-5</t>
  </si>
  <si>
    <t xml:space="preserve">Мультисистемный воспалительный синдром </t>
  </si>
  <si>
    <t>Хохлова Василиса Дмитриевна</t>
  </si>
  <si>
    <t>Южа глушицкий 7-84</t>
  </si>
  <si>
    <t>тяжелая анемия</t>
  </si>
  <si>
    <t>Ишунина Екатерина Владимировна</t>
  </si>
  <si>
    <t>Иваново,ул. 2 Стременна,6</t>
  </si>
  <si>
    <t>Пневмония, ДЦП, пал.статус</t>
  </si>
  <si>
    <t>Новикова Анастаися Сергеевна</t>
  </si>
  <si>
    <t>Ивановский р-н, с.п. Коляновское, д. Коляново, ул.Загородая д.3, кв.1</t>
  </si>
  <si>
    <t>Нарушение сердечного ритма: пароксизмальная наджелудочковая тахикардия</t>
  </si>
  <si>
    <t>Южа, ул.Речная 2</t>
  </si>
  <si>
    <t>Южа. Ул.Гоголя 5</t>
  </si>
  <si>
    <t>термический ожог  12% 2ст.</t>
  </si>
  <si>
    <t>Иваново Громобоя 60, кв 58</t>
  </si>
  <si>
    <t>Комсомольск ул.40 лет Октября 32 кв.5</t>
  </si>
  <si>
    <t>Разлитой перитонит</t>
  </si>
  <si>
    <t>ЗЧМТ, СГМ</t>
  </si>
  <si>
    <t>обстр. Бронхит</t>
  </si>
  <si>
    <t xml:space="preserve">Фурманов </t>
  </si>
  <si>
    <t>Прохоров Артём Павлович</t>
  </si>
  <si>
    <t>г.Юрьевец, ул. Титова д.8</t>
  </si>
  <si>
    <t>Колото-резаная рана грудной клетки.</t>
  </si>
  <si>
    <t>Пневмония двусторонняя</t>
  </si>
  <si>
    <t>Костин Василий Александрович</t>
  </si>
  <si>
    <t>г.Иваново, Шереметьевский проспект, д. 57 кв.10</t>
  </si>
  <si>
    <t>Голубев Дмитрий Михайлович</t>
  </si>
  <si>
    <t>г.Иваново, ул.Куликова 23-44</t>
  </si>
  <si>
    <t>Прохорова Ксения Антоновна</t>
  </si>
  <si>
    <t>г. Иваново пер 7-й Линейный</t>
  </si>
  <si>
    <t>Васильчикова Евлалия Александровна</t>
  </si>
  <si>
    <t>г. Иваново, ул.Демьяна Бедного, д.113, кв.50</t>
  </si>
  <si>
    <t xml:space="preserve">Сахарный диабет I типа, фаза кетоацидоза. </t>
  </si>
  <si>
    <t>Джафаров Субхан Алескер Оглы</t>
  </si>
  <si>
    <t>г. Кинешма, ул. Дзержинского д.24, кв.33</t>
  </si>
  <si>
    <t>Бурилов Артём Алексеевич</t>
  </si>
  <si>
    <t>г.Приволжск, ул. Фрунзе д.29, кв.59</t>
  </si>
  <si>
    <t>Пневмония внебольничная, двусторонняя</t>
  </si>
  <si>
    <t>Смирнова София Сергеевна</t>
  </si>
  <si>
    <t>Ильинский р-н., село Антушково, ул.Зелёная, д.2</t>
  </si>
  <si>
    <t>Романов Артём Романович</t>
  </si>
  <si>
    <t>г.Кинешма, ул. Пирогова д.100</t>
  </si>
  <si>
    <t>Бречко Виктория Александровна</t>
  </si>
  <si>
    <t>Гурылёва Варвара Ильинична</t>
  </si>
  <si>
    <t>Ивановская обл., г. Кохма, ул. Ивановская, 69</t>
  </si>
  <si>
    <t>Трихобезоар желудка. Операция 21.12.23: лапаротомия, гастротомия, удаление инородного тела желудка</t>
  </si>
  <si>
    <t>Гусева Карина Романовна</t>
  </si>
  <si>
    <t>Ивановская обл., Приволжск, ул. Льнянщиков, 3, 60</t>
  </si>
  <si>
    <t>Судорожный синдром</t>
  </si>
  <si>
    <t>Еремеев Арсений Юрьевич</t>
  </si>
  <si>
    <t>Казак Иван Александрович</t>
  </si>
  <si>
    <t>Ивановская обл., Кинешемский р-н, г. Наволоки, ул. 4-я Пятилетка, 27</t>
  </si>
  <si>
    <t>ЖКБ. ЛХЭ 22.12.23</t>
  </si>
  <si>
    <t>Липатов Мирослав Никитич</t>
  </si>
  <si>
    <t>г. Иваново, мкрн Новая Ильинка, 10, 18</t>
  </si>
  <si>
    <t>Мамонтов Роман Дмитриевич</t>
  </si>
  <si>
    <t>Мехоношин Илья Алексеевич</t>
  </si>
  <si>
    <t>Молчанов  Богдан Станиславович</t>
  </si>
  <si>
    <t>Невская Таисия Евгеньевна</t>
  </si>
  <si>
    <t>Ратников Даниил Анатольевич</t>
  </si>
  <si>
    <t>Ивановская обл., г. Иваново, ул. Деревенская, 24, к2, 3</t>
  </si>
  <si>
    <t>Мигренозный статус?</t>
  </si>
  <si>
    <t>Цапарин Святослав Сергеевич</t>
  </si>
  <si>
    <t>Юмаев Ярослав Александрович</t>
  </si>
  <si>
    <t>Мозохина Анастасия Сергеевна</t>
  </si>
  <si>
    <t>Иваново, ул. Ташкентская, 88Б, 72</t>
  </si>
  <si>
    <t>Грипп А</t>
  </si>
  <si>
    <t>Курбонов (мальчик)</t>
  </si>
  <si>
    <t>Множественные ВПР. Паллиативная операция на магистральных сосудах. Полиорганная недостаточность.</t>
  </si>
  <si>
    <t>Ивановская область, г. Южа, ул. Гоголя, 5</t>
  </si>
  <si>
    <t>Термический ожог кипятком нижних конечностей 2-3аб ст. 12% площади тела. ССВР.</t>
  </si>
  <si>
    <t>Соколова Анастасия Константиновна</t>
  </si>
  <si>
    <t>Ивановская обл., г. Приволжск, пос. Ингарь, пер. Спортивный, 5, 39</t>
  </si>
  <si>
    <t>Острое бытовое отравление таблетками микстное ср. ст. тяж. Депрессивное расстройство.</t>
  </si>
  <si>
    <t>Механошин Илья Алексеевич</t>
  </si>
  <si>
    <t>Патрикиев Никита Алексеевич</t>
  </si>
  <si>
    <t>г. Пучкж</t>
  </si>
  <si>
    <t>Ерилина Алёна Юрьевна</t>
  </si>
  <si>
    <t>Ивановская обл., г. Кохма, ул. Машиностроительная, 17, 62</t>
  </si>
  <si>
    <t>ГУС? Кишечное кровотечение лёгкой ст.</t>
  </si>
  <si>
    <t>Юркин Дмитрий Максимович</t>
  </si>
  <si>
    <t>г. Иваново, ул. Лежневская, 209, 44</t>
  </si>
  <si>
    <t>Поздняя послеоперационная спаечная кишечная непроходимость. Лапаротомия, адгезиолизис 27.12.23.</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</si>
</sst>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sz val="11"/>
      <color theme="1"/>
      <name val="Calibri"/>
      <family val="2"/>
      <charset val="204"/>
      <scheme val="minor"/>
    </font>
    <font>
      <sz val="10"/>
      <color theme="1"/>
      <name val="Times New Roman"/>
      <family val="1"/>
      <charset val="204"/>
    </font>
    <font>
      <sz val="10"/>
      <color theme="1"/>
      <name val="Times New Roman"/>
      <family val="1"/>
      <charset val="204"/>
    </font>
    <font>
      <sz val="11"/>
      <color rgb="FF9C0006"/>
      <name val="Calibri"/>
      <family val="2"/>
      <charset val="204"/>
      <scheme val="minor"/>
    </font>
    <font>
      <sz val="10"/>
      <color rgb="FF000000"/>
      <name val="Times New Roman"/>
      <family val="1"/>
      <charset val="204"/>
    </font>
    <font>
      <sz val="10"/>
      <name val="Times New Roman"/>
      <family val="1"/>
      <charset val="204"/>
    </font>
    <font>
      <sz val="10"/>
      <color rgb="FFFF0000"/>
      <name val="Times New Roman"/>
      <family val="1"/>
      <charset val="204"/>
    </font>
    <font>
      <sz val="10"/>
      <color theme="1"/>
      <name val="Times New Roman"/>
      <family val="1"/>
      <charset val="204"/>
    </font>
    <font>
      <sz val="10"/>
      <color rgb="FF9C0006"/>
      <name val="Times New Roman"/>
      <family val="1"/>
      <charset val="204"/>
    </font>
    <font>
      <b/>
      <sz val="10"/>
      <color theme="1"/>
      <name val="Times New Roman"/>
      <family val="1"/>
      <charset val="204"/>
    </font>
    <font>
      <sz val="11"/>
      <color theme="1"/>
      <name val="Times New Roman"/>
      <family val="1"/>
      <charset val="204"/>
    </font>
    <font>
      <sz val="11"/>
      <color rgb="FF9C0006"/>
      <name val="Times New Roman"/>
      <family val="1"/>
      <charset val="204"/>
    </font>
    <font>
      <sz val="10"/>
      <color theme="1"/>
      <name val="Times New Roman"/>
    </font>
  </fonts>
  <fills count="15">
    <fill>
      <patternFill patternType="none"/>
    </fill>
    <fill>
      <patternFill patternType="gray125"/>
    </fill>
    <fill>
      <patternFill patternType="solid">
        <fgColor theme="4" tint="0.39994506668294322"/>
        <bgColor theme="5" tint="0.59999389629810485"/>
      </patternFill>
    </fill>
    <fill>
      <patternFill patternType="solid">
        <fgColor rgb="FFFFC7CE"/>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4.9989318521683403E-2"/>
        <bgColor rgb="FFDDEBF7"/>
      </patternFill>
    </fill>
    <fill>
      <patternFill patternType="solid">
        <fgColor theme="0"/>
        <bgColor theme="5" tint="0.59999389629810485"/>
      </patternFill>
    </fill>
    <fill>
      <patternFill patternType="solid">
        <fgColor theme="0"/>
        <bgColor theme="5" tint="0.79998168889431442"/>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4" tint="0.79998168889431442"/>
        <bgColor indexed="65"/>
      </patternFill>
    </fill>
    <fill>
      <patternFill patternType="solid">
        <fgColor theme="5"/>
        <bgColor indexed="64"/>
      </patternFill>
    </fill>
    <fill>
      <patternFill patternType="solid">
        <fgColor theme="5" tint="0.39997558519241921"/>
        <bgColor indexed="64"/>
      </patternFill>
    </fill>
  </fills>
  <borders count="3">
    <border>
      <left/>
      <right/>
      <top/>
      <bottom/>
      <diagonal/>
    </border>
    <border>
      <left style="thin">
        <color theme="0"/>
      </left>
      <right style="thin">
        <color theme="0"/>
      </right>
      <top style="thin">
        <color theme="0"/>
      </top>
      <bottom style="thin">
        <color theme="0"/>
      </bottom>
      <diagonal/>
    </border>
    <border>
      <left/>
      <right/>
      <top style="thin">
        <color rgb="FF9BC2E6"/>
      </top>
      <bottom style="thin">
        <color rgb="FF9BC2E6"/>
      </bottom>
      <diagonal/>
    </border>
  </borders>
  <cellStyleXfs count="3">
    <xf numFmtId="0" fontId="0" fillId="0" borderId="0"/>
    <xf numFmtId="0" fontId="4" fillId="3" borderId="0" applyNumberFormat="0" applyBorder="0" applyAlignment="0" applyProtection="0"/>
    <xf numFmtId="0" fontId="1" fillId="12" borderId="0" applyNumberFormat="0" applyBorder="0" applyAlignment="0" applyProtection="0"/>
  </cellStyleXfs>
  <cellXfs count="133">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14" fontId="2" fillId="0" borderId="0" xfId="0" applyNumberFormat="1" applyFont="1" applyAlignment="1">
      <alignment horizontal="center" vertical="center" wrapText="1"/>
    </xf>
    <xf numFmtId="0" fontId="2" fillId="2" borderId="1" xfId="0" applyFont="1" applyFill="1" applyBorder="1" applyAlignment="1">
      <alignment horizontal="center" vertical="center" wrapText="1"/>
    </xf>
    <xf numFmtId="0" fontId="0" fillId="0" borderId="0" xfId="0" applyNumberFormat="1"/>
    <xf numFmtId="20" fontId="2" fillId="0" borderId="0" xfId="0" applyNumberFormat="1" applyFont="1" applyAlignment="1">
      <alignment horizontal="center" vertical="center" wrapText="1"/>
    </xf>
    <xf numFmtId="0" fontId="2" fillId="0" borderId="0" xfId="0" applyNumberFormat="1" applyFont="1" applyAlignment="1">
      <alignment horizontal="center" vertical="center" wrapText="1"/>
    </xf>
    <xf numFmtId="0" fontId="2" fillId="4" borderId="0" xfId="0" applyFont="1" applyFill="1" applyAlignment="1">
      <alignment horizontal="center" vertical="center" wrapText="1"/>
    </xf>
    <xf numFmtId="14" fontId="2" fillId="4" borderId="0" xfId="0" applyNumberFormat="1" applyFont="1" applyFill="1" applyAlignment="1">
      <alignment horizontal="center" vertical="center" wrapText="1"/>
    </xf>
    <xf numFmtId="20" fontId="2" fillId="4" borderId="0" xfId="0" applyNumberFormat="1" applyFont="1" applyFill="1" applyAlignment="1">
      <alignment horizontal="center" vertical="center" wrapText="1"/>
    </xf>
    <xf numFmtId="0" fontId="6" fillId="0" borderId="0" xfId="0" applyFont="1" applyAlignment="1">
      <alignment horizontal="center" vertical="center" wrapText="1"/>
    </xf>
    <xf numFmtId="20" fontId="6" fillId="4" borderId="0" xfId="1" applyNumberFormat="1" applyFont="1" applyFill="1" applyAlignment="1">
      <alignment horizontal="center" vertical="center" wrapText="1"/>
    </xf>
    <xf numFmtId="0" fontId="6" fillId="4" borderId="0" xfId="0" applyFont="1" applyFill="1" applyAlignment="1">
      <alignment horizontal="center" vertical="center" wrapText="1"/>
    </xf>
    <xf numFmtId="14" fontId="6" fillId="4" borderId="0" xfId="0" applyNumberFormat="1" applyFont="1" applyFill="1" applyAlignment="1">
      <alignment horizontal="center" vertical="center" wrapText="1"/>
    </xf>
    <xf numFmtId="20" fontId="6" fillId="4" borderId="0" xfId="0" applyNumberFormat="1" applyFont="1" applyFill="1" applyAlignment="1">
      <alignment horizontal="center" vertical="center" wrapText="1"/>
    </xf>
    <xf numFmtId="0" fontId="6" fillId="4" borderId="0" xfId="0" applyNumberFormat="1" applyFont="1" applyFill="1" applyAlignment="1">
      <alignment horizontal="center" vertical="center" wrapText="1"/>
    </xf>
    <xf numFmtId="14" fontId="6" fillId="0" borderId="0" xfId="0" applyNumberFormat="1" applyFont="1" applyAlignment="1">
      <alignment horizontal="center" vertical="center" wrapText="1"/>
    </xf>
    <xf numFmtId="20" fontId="6" fillId="0" borderId="0" xfId="0" applyNumberFormat="1" applyFont="1" applyAlignment="1">
      <alignment horizontal="center" vertical="center" wrapText="1"/>
    </xf>
    <xf numFmtId="0" fontId="6" fillId="0" borderId="0" xfId="0" applyNumberFormat="1" applyFont="1" applyAlignment="1">
      <alignment horizontal="center" vertical="center" wrapText="1"/>
    </xf>
    <xf numFmtId="0" fontId="2" fillId="5" borderId="0" xfId="0" applyFont="1" applyFill="1" applyAlignment="1">
      <alignment horizontal="center" vertical="center" wrapText="1"/>
    </xf>
    <xf numFmtId="14" fontId="2" fillId="5" borderId="0" xfId="0" applyNumberFormat="1" applyFont="1" applyFill="1" applyAlignment="1">
      <alignment horizontal="center" vertical="center" wrapText="1"/>
    </xf>
    <xf numFmtId="20" fontId="2" fillId="5" borderId="0" xfId="0" applyNumberFormat="1" applyFont="1" applyFill="1" applyAlignment="1">
      <alignment horizontal="center" vertical="center" wrapText="1"/>
    </xf>
    <xf numFmtId="0" fontId="6" fillId="5" borderId="0" xfId="0" applyFont="1" applyFill="1" applyAlignment="1">
      <alignment horizontal="center" vertical="center" wrapText="1"/>
    </xf>
    <xf numFmtId="0" fontId="2" fillId="5" borderId="0" xfId="0" applyNumberFormat="1" applyFont="1" applyFill="1" applyAlignment="1">
      <alignment horizontal="center" vertical="center" wrapText="1"/>
    </xf>
    <xf numFmtId="14" fontId="6" fillId="5" borderId="0" xfId="0" applyNumberFormat="1" applyFont="1" applyFill="1" applyAlignment="1">
      <alignment horizontal="center" vertical="center" wrapText="1"/>
    </xf>
    <xf numFmtId="20" fontId="6" fillId="5" borderId="0" xfId="0" applyNumberFormat="1" applyFont="1" applyFill="1" applyAlignment="1">
      <alignment horizontal="center" vertical="center" wrapText="1"/>
    </xf>
    <xf numFmtId="0" fontId="6" fillId="5" borderId="0" xfId="0" applyNumberFormat="1" applyFont="1" applyFill="1" applyAlignment="1">
      <alignment horizontal="center" vertical="center" wrapText="1"/>
    </xf>
    <xf numFmtId="0" fontId="6" fillId="6" borderId="0" xfId="0" applyFont="1" applyFill="1" applyAlignment="1">
      <alignment horizontal="center" vertical="center" wrapText="1"/>
    </xf>
    <xf numFmtId="14" fontId="6" fillId="6" borderId="0" xfId="0" applyNumberFormat="1" applyFont="1" applyFill="1" applyAlignment="1">
      <alignment horizontal="center" vertical="center" wrapText="1"/>
    </xf>
    <xf numFmtId="20" fontId="6" fillId="6" borderId="0" xfId="0" applyNumberFormat="1" applyFont="1" applyFill="1" applyAlignment="1">
      <alignment horizontal="center" vertical="center" wrapText="1"/>
    </xf>
    <xf numFmtId="0" fontId="6" fillId="6" borderId="0" xfId="0" applyNumberFormat="1" applyFont="1" applyFill="1" applyAlignment="1">
      <alignment horizontal="center" vertical="center" wrapText="1"/>
    </xf>
    <xf numFmtId="0" fontId="2" fillId="6" borderId="0" xfId="0" applyFont="1" applyFill="1" applyAlignment="1">
      <alignment horizontal="center" vertical="center" wrapText="1"/>
    </xf>
    <xf numFmtId="20" fontId="2" fillId="6" borderId="0" xfId="0" applyNumberFormat="1" applyFont="1" applyFill="1" applyAlignment="1">
      <alignment horizontal="center" vertical="center" wrapText="1"/>
    </xf>
    <xf numFmtId="0" fontId="5" fillId="7" borderId="2" xfId="0" applyFont="1" applyFill="1" applyBorder="1" applyAlignment="1">
      <alignment horizontal="center" vertical="center" wrapText="1"/>
    </xf>
    <xf numFmtId="14" fontId="2" fillId="6" borderId="0" xfId="0" applyNumberFormat="1" applyFont="1" applyFill="1" applyAlignment="1">
      <alignment horizontal="center" vertical="center" wrapText="1"/>
    </xf>
    <xf numFmtId="0" fontId="2" fillId="6" borderId="0" xfId="0" applyNumberFormat="1" applyFont="1" applyFill="1" applyAlignment="1">
      <alignment horizontal="center" vertical="center" wrapText="1"/>
    </xf>
    <xf numFmtId="0" fontId="7" fillId="5" borderId="0" xfId="0" applyFont="1" applyFill="1" applyAlignment="1">
      <alignment horizontal="center" vertical="center" wrapText="1"/>
    </xf>
    <xf numFmtId="0" fontId="2" fillId="5" borderId="0" xfId="0" applyFont="1" applyFill="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2" fillId="6" borderId="0" xfId="0" applyFont="1" applyFill="1" applyAlignment="1" applyProtection="1">
      <alignment horizontal="center" vertical="center" wrapText="1"/>
      <protection locked="0"/>
    </xf>
    <xf numFmtId="0" fontId="2" fillId="4" borderId="0" xfId="0" applyFont="1" applyFill="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4" borderId="0" xfId="0" applyFont="1" applyFill="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6" borderId="0" xfId="0" applyFont="1" applyFill="1" applyAlignment="1" applyProtection="1">
      <alignment horizontal="center" vertical="center" wrapText="1"/>
      <protection locked="0"/>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6" fillId="4" borderId="0" xfId="1" applyFont="1" applyFill="1" applyAlignment="1">
      <alignment horizontal="center" vertical="center" wrapText="1"/>
    </xf>
    <xf numFmtId="0" fontId="6" fillId="5" borderId="0" xfId="1" applyFont="1" applyFill="1" applyAlignment="1">
      <alignment horizontal="center" vertical="center" wrapText="1"/>
    </xf>
    <xf numFmtId="14" fontId="7" fillId="5" borderId="0" xfId="0" applyNumberFormat="1" applyFont="1" applyFill="1" applyAlignment="1">
      <alignment horizontal="center" vertical="center" wrapText="1"/>
    </xf>
    <xf numFmtId="0" fontId="7" fillId="0" borderId="0" xfId="0" applyFont="1" applyAlignment="1">
      <alignment horizontal="center" vertical="center" wrapText="1"/>
    </xf>
    <xf numFmtId="14" fontId="2" fillId="12" borderId="0" xfId="2" applyNumberFormat="1" applyFont="1" applyAlignment="1">
      <alignment horizontal="center" vertical="center"/>
    </xf>
    <xf numFmtId="0" fontId="2" fillId="5" borderId="0" xfId="1" applyFont="1" applyFill="1" applyAlignment="1">
      <alignment horizontal="center" vertical="center" wrapText="1"/>
    </xf>
    <xf numFmtId="0" fontId="8" fillId="0" borderId="0" xfId="0" applyFont="1" applyAlignment="1">
      <alignment horizontal="center" vertical="center" wrapText="1"/>
    </xf>
    <xf numFmtId="0" fontId="9" fillId="5" borderId="0" xfId="1" applyFont="1" applyFill="1" applyAlignment="1">
      <alignment horizontal="center" vertical="center" wrapText="1"/>
    </xf>
    <xf numFmtId="0" fontId="6" fillId="5" borderId="0" xfId="1" applyFont="1" applyFill="1" applyAlignment="1" applyProtection="1">
      <alignment horizontal="center" vertical="center" wrapText="1"/>
      <protection locked="0"/>
    </xf>
    <xf numFmtId="20" fontId="6" fillId="5" borderId="0" xfId="1" applyNumberFormat="1" applyFont="1" applyFill="1" applyAlignment="1">
      <alignment horizontal="center" vertical="center" wrapText="1"/>
    </xf>
    <xf numFmtId="14" fontId="6" fillId="5" borderId="0" xfId="1" applyNumberFormat="1"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pplyProtection="1">
      <alignment horizontal="center" vertical="center" wrapText="1"/>
      <protection locked="0"/>
    </xf>
    <xf numFmtId="20" fontId="7" fillId="0" borderId="0" xfId="0" applyNumberFormat="1" applyFont="1" applyAlignment="1">
      <alignment horizontal="center" vertical="center" wrapText="1"/>
    </xf>
    <xf numFmtId="14" fontId="7" fillId="0" borderId="0" xfId="0" applyNumberFormat="1" applyFont="1" applyAlignment="1">
      <alignment horizontal="center" vertical="center" wrapText="1"/>
    </xf>
    <xf numFmtId="49" fontId="7" fillId="0" borderId="0" xfId="0" applyNumberFormat="1" applyFont="1" applyAlignment="1">
      <alignment horizontal="center" vertical="center" wrapText="1"/>
    </xf>
    <xf numFmtId="49" fontId="2" fillId="4" borderId="0" xfId="1" applyNumberFormat="1" applyFont="1" applyFill="1" applyAlignment="1">
      <alignment horizontal="center" vertical="center" wrapText="1"/>
    </xf>
    <xf numFmtId="0" fontId="6" fillId="4" borderId="0" xfId="1" applyFont="1" applyFill="1" applyAlignment="1" applyProtection="1">
      <alignment horizontal="center" vertical="center" wrapText="1"/>
      <protection locked="0"/>
    </xf>
    <xf numFmtId="14" fontId="6" fillId="4" borderId="0" xfId="1" applyNumberFormat="1" applyFont="1" applyFill="1" applyAlignment="1">
      <alignment horizontal="center" vertical="center" wrapText="1"/>
    </xf>
    <xf numFmtId="49" fontId="2" fillId="0" borderId="0" xfId="0" applyNumberFormat="1" applyFont="1" applyAlignment="1">
      <alignment horizontal="center" vertical="center" wrapText="1"/>
    </xf>
    <xf numFmtId="49" fontId="2" fillId="5" borderId="0" xfId="0" applyNumberFormat="1" applyFont="1" applyFill="1" applyAlignment="1">
      <alignment horizontal="center" vertical="center" wrapText="1"/>
    </xf>
    <xf numFmtId="0" fontId="2" fillId="0" borderId="0" xfId="0" applyFont="1" applyAlignment="1">
      <alignment wrapText="1"/>
    </xf>
    <xf numFmtId="49" fontId="2" fillId="6" borderId="0" xfId="0" applyNumberFormat="1" applyFont="1" applyFill="1" applyAlignment="1">
      <alignment horizontal="center" vertical="center" wrapText="1"/>
    </xf>
    <xf numFmtId="49" fontId="2" fillId="4" borderId="0" xfId="0" applyNumberFormat="1" applyFont="1" applyFill="1" applyAlignment="1">
      <alignment horizontal="center" vertical="center" wrapText="1"/>
    </xf>
    <xf numFmtId="0" fontId="7" fillId="5" borderId="0" xfId="1" applyFont="1" applyFill="1" applyAlignment="1">
      <alignment horizontal="center" vertical="center" wrapText="1"/>
    </xf>
    <xf numFmtId="0" fontId="7" fillId="5" borderId="0" xfId="1" applyFont="1" applyFill="1" applyAlignment="1" applyProtection="1">
      <alignment horizontal="center" vertical="center" wrapText="1"/>
      <protection locked="0"/>
    </xf>
    <xf numFmtId="20" fontId="7" fillId="5" borderId="0" xfId="1" applyNumberFormat="1" applyFont="1" applyFill="1" applyAlignment="1">
      <alignment horizontal="center" vertical="center" wrapText="1"/>
    </xf>
    <xf numFmtId="14" fontId="7" fillId="5" borderId="0" xfId="1" applyNumberFormat="1" applyFont="1" applyFill="1" applyAlignment="1">
      <alignment horizontal="center" vertical="center" wrapText="1"/>
    </xf>
    <xf numFmtId="49" fontId="2" fillId="5" borderId="0" xfId="1" applyNumberFormat="1" applyFont="1" applyFill="1" applyAlignment="1">
      <alignment horizontal="center" vertical="center" wrapText="1"/>
    </xf>
    <xf numFmtId="20" fontId="2" fillId="0" borderId="0" xfId="0" applyNumberFormat="1" applyFont="1" applyAlignment="1">
      <alignment horizontal="center" wrapText="1"/>
    </xf>
    <xf numFmtId="14" fontId="11" fillId="12" borderId="0" xfId="2" applyNumberFormat="1" applyFont="1" applyAlignment="1">
      <alignment horizontal="center" vertical="center" wrapText="1"/>
    </xf>
    <xf numFmtId="0" fontId="11" fillId="12" borderId="0" xfId="2" applyFont="1" applyAlignment="1">
      <alignment horizontal="center" vertical="center" wrapText="1"/>
    </xf>
    <xf numFmtId="0" fontId="11" fillId="12" borderId="0" xfId="2" applyFont="1" applyAlignment="1">
      <alignment horizontal="center" vertical="center"/>
    </xf>
    <xf numFmtId="20" fontId="11" fillId="12" borderId="0" xfId="2" applyNumberFormat="1" applyFont="1" applyAlignment="1">
      <alignment horizontal="center" vertical="center" wrapText="1"/>
    </xf>
    <xf numFmtId="0" fontId="12" fillId="3" borderId="0" xfId="1" applyFont="1" applyAlignment="1">
      <alignment horizontal="center" vertical="center" wrapText="1"/>
    </xf>
    <xf numFmtId="0" fontId="12" fillId="3" borderId="0" xfId="1" applyFont="1" applyAlignment="1" applyProtection="1">
      <alignment horizontal="center" vertical="center" wrapText="1"/>
      <protection locked="0"/>
    </xf>
    <xf numFmtId="14" fontId="12" fillId="3" borderId="0" xfId="1" applyNumberFormat="1" applyFont="1" applyAlignment="1">
      <alignment horizontal="center" vertical="center" wrapText="1"/>
    </xf>
    <xf numFmtId="20" fontId="12" fillId="3" borderId="0" xfId="1" applyNumberFormat="1" applyFont="1" applyAlignment="1">
      <alignment horizontal="center" vertical="center" wrapText="1"/>
    </xf>
    <xf numFmtId="49" fontId="2" fillId="6" borderId="0" xfId="1" applyNumberFormat="1" applyFont="1" applyFill="1" applyAlignment="1">
      <alignment horizontal="center" vertical="center" wrapText="1"/>
    </xf>
    <xf numFmtId="0" fontId="9" fillId="6" borderId="0" xfId="1" applyFont="1" applyFill="1" applyAlignment="1">
      <alignment horizontal="center" vertical="center" wrapText="1"/>
    </xf>
    <xf numFmtId="0" fontId="2" fillId="5" borderId="0" xfId="1" applyFont="1" applyFill="1" applyAlignment="1" applyProtection="1">
      <alignment horizontal="center" vertical="center" wrapText="1"/>
      <protection locked="0"/>
    </xf>
    <xf numFmtId="20" fontId="2" fillId="5" borderId="0" xfId="1" applyNumberFormat="1" applyFont="1" applyFill="1" applyAlignment="1">
      <alignment horizontal="center" vertical="center" wrapText="1"/>
    </xf>
    <xf numFmtId="14" fontId="2" fillId="5" borderId="0" xfId="1" applyNumberFormat="1" applyFont="1" applyFill="1" applyAlignment="1">
      <alignment horizontal="center" vertical="center" wrapText="1"/>
    </xf>
    <xf numFmtId="49" fontId="12" fillId="3" borderId="0" xfId="1" applyNumberFormat="1" applyFont="1" applyAlignment="1">
      <alignment horizontal="center" vertical="center" wrapText="1"/>
    </xf>
    <xf numFmtId="0" fontId="9" fillId="4" borderId="0" xfId="1" applyFont="1" applyFill="1" applyAlignment="1">
      <alignment horizontal="center" vertical="center" wrapText="1"/>
    </xf>
    <xf numFmtId="0" fontId="9" fillId="6" borderId="0" xfId="1" applyNumberFormat="1" applyFont="1" applyFill="1" applyAlignment="1">
      <alignment horizontal="center" vertical="center" wrapText="1"/>
    </xf>
    <xf numFmtId="0" fontId="4" fillId="3" borderId="0" xfId="1" applyAlignment="1">
      <alignment horizontal="center" vertical="center" wrapText="1"/>
    </xf>
    <xf numFmtId="0" fontId="4" fillId="3" borderId="0" xfId="1" applyAlignment="1" applyProtection="1">
      <alignment horizontal="center" vertical="center" wrapText="1"/>
      <protection locked="0"/>
    </xf>
    <xf numFmtId="14" fontId="4" fillId="3" borderId="0" xfId="1" applyNumberFormat="1" applyAlignment="1">
      <alignment horizontal="center" vertical="center" wrapText="1"/>
    </xf>
    <xf numFmtId="20" fontId="4" fillId="3" borderId="0" xfId="1" applyNumberFormat="1" applyAlignment="1">
      <alignment horizontal="center" vertical="center" wrapText="1"/>
    </xf>
    <xf numFmtId="49" fontId="4" fillId="3" borderId="0" xfId="1" applyNumberFormat="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6" fillId="6" borderId="0" xfId="1" applyNumberFormat="1" applyFont="1" applyFill="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6" fillId="6" borderId="0" xfId="1" applyFont="1" applyFill="1" applyAlignment="1">
      <alignment horizontal="center" vertical="center" wrapText="1"/>
    </xf>
    <xf numFmtId="14" fontId="6" fillId="6" borderId="0" xfId="1" applyNumberFormat="1" applyFont="1" applyFill="1" applyAlignment="1">
      <alignment horizontal="center" vertical="center" wrapText="1"/>
    </xf>
    <xf numFmtId="20" fontId="6" fillId="6" borderId="0" xfId="1" applyNumberFormat="1" applyFont="1" applyFill="1" applyAlignment="1">
      <alignment horizontal="center" vertical="center" wrapText="1"/>
    </xf>
    <xf numFmtId="0" fontId="2" fillId="13" borderId="0" xfId="0" applyFont="1" applyFill="1" applyAlignment="1">
      <alignment horizontal="center" vertical="center" wrapText="1"/>
    </xf>
    <xf numFmtId="0" fontId="6" fillId="13" borderId="0" xfId="0" applyFont="1" applyFill="1" applyAlignment="1">
      <alignment horizontal="center" vertical="center" wrapText="1"/>
    </xf>
    <xf numFmtId="0" fontId="6" fillId="13" borderId="0" xfId="0" applyFont="1" applyFill="1" applyAlignment="1" applyProtection="1">
      <alignment horizontal="center" vertical="center" wrapText="1"/>
      <protection locked="0"/>
    </xf>
    <xf numFmtId="14" fontId="2" fillId="13" borderId="0" xfId="0" applyNumberFormat="1" applyFont="1" applyFill="1" applyAlignment="1">
      <alignment horizontal="center" vertical="center" wrapText="1"/>
    </xf>
    <xf numFmtId="20" fontId="6" fillId="13" borderId="0" xfId="0" applyNumberFormat="1" applyFont="1" applyFill="1" applyAlignment="1">
      <alignment horizontal="center" vertical="center" wrapText="1"/>
    </xf>
    <xf numFmtId="14" fontId="6" fillId="13" borderId="0" xfId="0" applyNumberFormat="1" applyFont="1" applyFill="1" applyAlignment="1">
      <alignment horizontal="center" vertical="center" wrapText="1"/>
    </xf>
    <xf numFmtId="0" fontId="6" fillId="13" borderId="0" xfId="0" applyNumberFormat="1" applyFont="1" applyFill="1" applyAlignment="1">
      <alignment horizontal="center" vertical="center" wrapText="1"/>
    </xf>
    <xf numFmtId="49" fontId="2" fillId="13" borderId="0" xfId="0" applyNumberFormat="1" applyFont="1" applyFill="1" applyAlignment="1">
      <alignment horizontal="center" vertical="center" wrapText="1"/>
    </xf>
    <xf numFmtId="0" fontId="6" fillId="5" borderId="0" xfId="1" applyNumberFormat="1" applyFont="1" applyFill="1" applyAlignment="1">
      <alignment horizontal="center" vertical="center" wrapText="1"/>
    </xf>
    <xf numFmtId="49" fontId="6" fillId="5" borderId="0" xfId="0" applyNumberFormat="1" applyFont="1" applyFill="1" applyAlignment="1">
      <alignment horizontal="center" vertical="center" wrapText="1"/>
    </xf>
    <xf numFmtId="49" fontId="6" fillId="4" borderId="0" xfId="0" applyNumberFormat="1" applyFont="1" applyFill="1" applyAlignment="1">
      <alignment horizontal="center" vertical="center" wrapText="1"/>
    </xf>
    <xf numFmtId="14" fontId="13" fillId="0" borderId="0" xfId="0" applyNumberFormat="1" applyFont="1" applyAlignment="1">
      <alignment horizontal="center" vertical="center" wrapText="1"/>
    </xf>
    <xf numFmtId="0" fontId="2" fillId="5" borderId="0" xfId="1" applyNumberFormat="1" applyFont="1" applyFill="1" applyAlignment="1">
      <alignment horizontal="center" vertical="center" wrapText="1"/>
    </xf>
    <xf numFmtId="0" fontId="7" fillId="14" borderId="0" xfId="0" applyFont="1" applyFill="1" applyAlignment="1">
      <alignment horizontal="center" vertical="center" wrapText="1"/>
    </xf>
    <xf numFmtId="0" fontId="7" fillId="14" borderId="0" xfId="0" applyFont="1" applyFill="1" applyAlignment="1" applyProtection="1">
      <alignment horizontal="center" vertical="center" wrapText="1"/>
      <protection locked="0"/>
    </xf>
    <xf numFmtId="14" fontId="7" fillId="14" borderId="0" xfId="0" applyNumberFormat="1" applyFont="1" applyFill="1" applyAlignment="1">
      <alignment horizontal="center" vertical="center" wrapText="1"/>
    </xf>
    <xf numFmtId="20" fontId="7" fillId="14" borderId="0" xfId="0" applyNumberFormat="1" applyFont="1" applyFill="1" applyAlignment="1">
      <alignment horizontal="center" vertical="center" wrapText="1"/>
    </xf>
    <xf numFmtId="0" fontId="7" fillId="14" borderId="0" xfId="0" applyNumberFormat="1" applyFont="1" applyFill="1" applyAlignment="1">
      <alignment horizontal="center" vertical="center" wrapText="1"/>
    </xf>
    <xf numFmtId="49" fontId="2" fillId="14" borderId="0" xfId="0" applyNumberFormat="1" applyFont="1" applyFill="1" applyAlignment="1">
      <alignment horizontal="center" vertical="center" wrapText="1"/>
    </xf>
    <xf numFmtId="0" fontId="2" fillId="14" borderId="0" xfId="0" applyFont="1" applyFill="1" applyAlignment="1">
      <alignment horizontal="center" vertical="center" wrapText="1"/>
    </xf>
    <xf numFmtId="0" fontId="6" fillId="6" borderId="0" xfId="1" applyFont="1" applyFill="1" applyAlignment="1" applyProtection="1">
      <alignment horizontal="center" vertical="center" wrapText="1"/>
      <protection locked="0"/>
    </xf>
    <xf numFmtId="49" fontId="6" fillId="0" borderId="0" xfId="0" applyNumberFormat="1" applyFont="1" applyAlignment="1">
      <alignment horizontal="center" vertical="center" wrapText="1"/>
    </xf>
    <xf numFmtId="49" fontId="7" fillId="14" borderId="0" xfId="0" applyNumberFormat="1" applyFont="1" applyFill="1" applyAlignment="1">
      <alignment horizontal="center" vertical="center" wrapText="1"/>
    </xf>
    <xf numFmtId="0" fontId="2" fillId="0" borderId="0" xfId="0" applyFont="1" applyAlignment="1">
      <alignment horizontal="center" vertical="center"/>
    </xf>
  </cellXfs>
  <cellStyles count="3">
    <cellStyle name="20% - Акцент1" xfId="2" builtinId="30"/>
    <cellStyle name="Обычный" xfId="0" builtinId="0"/>
    <cellStyle name="Плохой" xfId="1" builtinId="27"/>
  </cellStyles>
  <dxfs count="55">
    <dxf>
      <numFmt numFmtId="0" formatCode="General"/>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auto="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bazhenov/Downloads/&#1046;&#1091;&#1088;&#1085;&#1072;&#1083;%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 val="Лист3"/>
    </sheetNames>
    <sheetDataSet>
      <sheetData sheetId="0"/>
      <sheetData sheetId="1">
        <row r="2">
          <cell r="G2" t="str">
            <v>ДХО-1</v>
          </cell>
        </row>
        <row r="3">
          <cell r="G3" t="str">
            <v>ДХО-2</v>
          </cell>
        </row>
        <row r="4">
          <cell r="G4" t="str">
            <v>ДОТО</v>
          </cell>
        </row>
        <row r="5">
          <cell r="G5" t="str">
            <v>Нефро</v>
          </cell>
        </row>
        <row r="6">
          <cell r="G6" t="str">
            <v>ОПНН</v>
          </cell>
        </row>
        <row r="7">
          <cell r="G7" t="str">
            <v>Пульмо</v>
          </cell>
        </row>
        <row r="8">
          <cell r="G8" t="str">
            <v>Педиатрия</v>
          </cell>
        </row>
        <row r="9">
          <cell r="G9" t="str">
            <v>Неврология</v>
          </cell>
        </row>
      </sheetData>
      <sheetData sheetId="2"/>
    </sheetDataSet>
  </externalBook>
</externalLink>
</file>

<file path=xl/tables/table1.xml><?xml version="1.0" encoding="utf-8"?>
<table xmlns="http://schemas.openxmlformats.org/spreadsheetml/2006/main" id="1" name="Таблица1" displayName="Таблица1" ref="A1:W2510" insertRowShift="1" totalsRowShown="0" headerRowDxfId="54" dataDxfId="53">
  <autoFilter ref="A1:W2510"/>
  <tableColumns count="23">
    <tableColumn id="1" name="№ п/п" dataDxfId="52">
      <calculatedColumnFormula>ROW(A1)</calculatedColumnFormula>
    </tableColumn>
    <tableColumn id="2" name="№ и/б" dataDxfId="51"/>
    <tableColumn id="3" name="Отделение" dataDxfId="50"/>
    <tableColumn id="4" name="Дата поступления" dataDxfId="49"/>
    <tableColumn id="5" name="Время поступления" dataDxfId="48"/>
    <tableColumn id="6" name="Фамилия, имя, отчество" dataDxfId="47"/>
    <tableColumn id="7" name="Дата рождения" dataDxfId="46"/>
    <tableColumn id="8" name="Возраст" dataDxfId="45">
      <calculatedColumnFormula>DATEDIF(G2,D2,"y") &amp; " г. " &amp; DATEDIF(G2,D2,"ym") &amp; " мес. " &amp; DATEDIF(G2,D2,"md") &amp; " дн."</calculatedColumnFormula>
    </tableColumn>
    <tableColumn id="9" name="Канал поступления" dataDxfId="44"/>
    <tableColumn id="18" name="Профиль отделения" dataDxfId="43"/>
    <tableColumn id="10" name="Адрес регистраци" dataDxfId="42"/>
    <tableColumn id="11" name="Диагноз при поступлении в ОРИТ" dataDxfId="41"/>
    <tableColumn id="16" name="Категория диагноза" dataDxfId="40"/>
    <tableColumn id="12" name="Длительность ИВЛ" dataDxfId="39"/>
    <tableColumn id="25" name="Сосудистый доступ" dataDxfId="38"/>
    <tableColumn id="24" name="Регионарная анестезия" dataDxfId="37"/>
    <tableColumn id="23" name="Трансфузии" dataDxfId="36"/>
    <tableColumn id="26" name="ЭКД" dataDxfId="35"/>
    <tableColumn id="14" name="Куда переведён" dataDxfId="34"/>
    <tableColumn id="15" name="Дата перевода" dataDxfId="33"/>
    <tableColumn id="17" name="Время перевода" dataDxfId="32"/>
    <tableColumn id="19" name="койко-дни" dataDxfId="31"/>
    <tableColumn id="13" name="Примечания" dataDxfId="30"/>
  </tableColumns>
  <tableStyleInfo name="TableStyleMedium2" showFirstColumn="0" showLastColumn="0" showRowStripes="1" showColumnStripes="0"/>
</table>
</file>

<file path=xl/tables/table2.xml><?xml version="1.0" encoding="utf-8"?>
<table xmlns="http://schemas.openxmlformats.org/spreadsheetml/2006/main" id="2" name="Таблица2" displayName="Таблица2" ref="A1:U14" totalsRowShown="0" headerRowDxfId="29" dataDxfId="28">
  <autoFilter ref="A1:U14"/>
  <tableColumns count="21">
    <tableColumn id="1" name="Длительность" dataDxfId="27"/>
    <tableColumn id="2" name="Кол-во" dataDxfId="26">
      <calculatedColumnFormula>COUNTIF(Таблица4[[#This Row],[Длительность, сут.]], "&gt;=0")-COUNTIF(Таблица4[[#This Row],[Длительность, сут.]], "&gt;=1")-COUNTIF(Таблица1[[#This Row],[Дата перевода]], "=")</calculatedColumnFormula>
    </tableColumn>
    <tableColumn id="3" name="Возраст" dataDxfId="25"/>
    <tableColumn id="4" name="Кол-во2" dataDxfId="24">
      <calculatedColumnFormula>COUNTIF(W:W,"&gt;=0")-COUNTIF(W:W, "&gt;=6")</calculatedColumnFormula>
    </tableColumn>
    <tableColumn id="5" name="Канал поступления" dataDxfId="23"/>
    <tableColumn id="6" name="Кол-во3" dataDxfId="22">
      <calculatedColumnFormula>COUNTIF(Лист1!H:H, "СМП")</calculatedColumnFormula>
    </tableColumn>
    <tableColumn id="7" name="Куда переведён" dataDxfId="21"/>
    <tableColumn id="8" name="Кол-во4" dataDxfId="20">
      <calculatedColumnFormula>COUNTIF(Лист1!R:R, "ДХО-1")</calculatedColumnFormula>
    </tableColumn>
    <tableColumn id="9" name="ИВЛ детям в возрасте" dataDxfId="19"/>
    <tableColumn id="10" name="Кол-во5" dataDxfId="18">
      <calculatedColumnFormula>COUNTIF(W:W,"&gt;=0")-COUNTIF(W:W, "&gt;=7")-COUNTIF(Таблица1[[#This Row],[Длительность ИВЛ]], "=0")+1</calculatedColumnFormula>
    </tableColumn>
    <tableColumn id="11" name="ИВЛ по срокам" dataDxfId="17"/>
    <tableColumn id="12" name="Кол-во6" dataDxfId="16">
      <calculatedColumnFormula>COUNTIFS(Лист1!N2:N2510,"&lt;24")-COUNTIFS(Лист1!N2:N2510,"=0")</calculatedColumnFormula>
    </tableColumn>
    <tableColumn id="15" name="Сосудистый доступ" dataDxfId="15"/>
    <tableColumn id="19" name="Кол-во11" dataDxfId="14">
      <calculatedColumnFormula>COUNTIF(Лист1!N:N,"=Без доступа")</calculatedColumnFormula>
    </tableColumn>
    <tableColumn id="16" name="Регион. анестезия" dataDxfId="13"/>
    <tableColumn id="17" name="Кол-во9" dataDxfId="12">
      <calculatedColumnFormula>COUNTIF(Лист1!O:O,"Эпидур. анест.")</calculatedColumnFormula>
    </tableColumn>
    <tableColumn id="20" name="Трансфузии" dataDxfId="11"/>
    <tableColumn id="21" name="Кол-во93" dataDxfId="10"/>
    <tableColumn id="23" name="ЭКД" dataDxfId="9"/>
    <tableColumn id="22" name="Кол-во94" dataDxfId="8"/>
    <tableColumn id="13" name="Примечания" dataDxfId="7"/>
  </tableColumns>
  <tableStyleInfo name="TableStyleMedium10" showFirstColumn="0" showLastColumn="0" showRowStripes="1" showColumnStripes="0"/>
</table>
</file>

<file path=xl/tables/table3.xml><?xml version="1.0" encoding="utf-8"?>
<table xmlns="http://schemas.openxmlformats.org/spreadsheetml/2006/main" id="4" name="Таблица4" displayName="Таблица4" ref="V1:W2511" totalsRowShown="0" headerRowDxfId="6" dataDxfId="5">
  <autoFilter ref="V1:W2511"/>
  <tableColumns count="2">
    <tableColumn id="1" name="Длительность, сут." dataDxfId="4">
      <calculatedColumnFormula>Таблица1[[#This Row],[Дата перевода]]-Таблица1[[#This Row],[Дата поступления]]</calculatedColumnFormula>
    </tableColumn>
    <tableColumn id="2" name="Возраст в днях" dataDxfId="3">
      <calculatedColumnFormula>Таблица1[[#This Row],[Дата поступления]]-Таблица1[[#This Row],[Дата рождения]]</calculatedColumnFormula>
    </tableColumn>
  </tableColumns>
  <tableStyleInfo name="TableStyleMedium1" showFirstColumn="0" showLastColumn="0" showRowStripes="1" showColumnStripes="0"/>
</table>
</file>

<file path=xl/tables/table4.xml><?xml version="1.0" encoding="utf-8"?>
<table xmlns="http://schemas.openxmlformats.org/spreadsheetml/2006/main" id="3" name="Таблица3" displayName="Таблица3" ref="A1:B23" totalsRowShown="0" headerRowDxfId="2">
  <autoFilter ref="A1:B23"/>
  <tableColumns count="2">
    <tableColumn id="1" name="Диагнозы" dataDxfId="1"/>
    <tableColumn id="2" name="Кол-во" dataDxfId="0">
      <calculatedColumnFormula>COUNTIF(Лист1!L:L,"Инфекционные и паразитарные болезни")</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510"/>
  <sheetViews>
    <sheetView tabSelected="1" topLeftCell="A559" zoomScaleNormal="100" workbookViewId="0">
      <selection activeCell="M570" sqref="M570"/>
    </sheetView>
  </sheetViews>
  <sheetFormatPr defaultColWidth="9.140625" defaultRowHeight="35.1" customHeight="1" x14ac:dyDescent="0.25"/>
  <cols>
    <col min="1" max="1" width="5.28515625" style="1" customWidth="1"/>
    <col min="2" max="2" width="11.5703125" style="39" customWidth="1"/>
    <col min="3" max="3" width="14.7109375" style="1" customWidth="1"/>
    <col min="4" max="4" width="12.140625" style="1" customWidth="1"/>
    <col min="5" max="5" width="24.5703125" style="1" customWidth="1"/>
    <col min="6" max="6" width="15.42578125" style="1" customWidth="1"/>
    <col min="7" max="7" width="14.42578125" style="11" customWidth="1"/>
    <col min="8" max="8" width="18.85546875" style="1" customWidth="1"/>
    <col min="9" max="9" width="7.85546875" style="1" customWidth="1"/>
    <col min="10" max="10" width="22" style="1" customWidth="1"/>
    <col min="11" max="11" width="30" style="1" customWidth="1"/>
    <col min="12" max="12" width="16.140625" style="1" customWidth="1"/>
    <col min="13" max="17" width="15.85546875" style="1" customWidth="1"/>
    <col min="18" max="18" width="14.42578125" style="1" customWidth="1"/>
    <col min="19" max="19" width="12.140625" style="1" customWidth="1"/>
    <col min="20" max="20" width="11.42578125" style="1" customWidth="1"/>
    <col min="21" max="21" width="11.140625" style="1" bestFit="1" customWidth="1"/>
    <col min="22" max="22" width="18.140625" style="1" customWidth="1"/>
    <col min="23" max="16384" width="9.140625" style="1"/>
  </cols>
  <sheetData>
    <row r="1" spans="1:23" ht="35.1" customHeight="1" x14ac:dyDescent="0.25">
      <c r="A1" s="1" t="s">
        <v>81</v>
      </c>
      <c r="B1" s="1" t="s">
        <v>0</v>
      </c>
      <c r="C1" s="39" t="s">
        <v>1</v>
      </c>
      <c r="D1" s="1" t="s">
        <v>2</v>
      </c>
      <c r="E1" s="1" t="s">
        <v>3</v>
      </c>
      <c r="F1" s="1" t="s">
        <v>67</v>
      </c>
      <c r="G1" s="1" t="s">
        <v>4</v>
      </c>
      <c r="H1" s="11" t="s">
        <v>5</v>
      </c>
      <c r="I1" s="1" t="s">
        <v>6</v>
      </c>
      <c r="J1" s="1" t="s">
        <v>69</v>
      </c>
      <c r="K1" s="1" t="s">
        <v>66</v>
      </c>
      <c r="L1" s="1" t="s">
        <v>10</v>
      </c>
      <c r="M1" s="1" t="s">
        <v>68</v>
      </c>
      <c r="N1" s="1" t="s">
        <v>7</v>
      </c>
      <c r="O1" s="1" t="s">
        <v>83</v>
      </c>
      <c r="P1" s="1" t="s">
        <v>84</v>
      </c>
      <c r="Q1" s="1" t="s">
        <v>85</v>
      </c>
      <c r="R1" s="1" t="s">
        <v>86</v>
      </c>
      <c r="S1" s="1" t="s">
        <v>8</v>
      </c>
      <c r="T1" s="1" t="s">
        <v>9</v>
      </c>
      <c r="U1" s="1" t="s">
        <v>74</v>
      </c>
      <c r="V1" s="1" t="s">
        <v>78</v>
      </c>
      <c r="W1" s="1" t="s">
        <v>522</v>
      </c>
    </row>
    <row r="2" spans="1:23" s="20" customFormat="1" ht="35.1" customHeight="1" x14ac:dyDescent="0.25">
      <c r="A2" s="20">
        <f t="shared" ref="A2:A64" si="0">ROW(A1)</f>
        <v>1</v>
      </c>
      <c r="B2" s="20">
        <v>2748</v>
      </c>
      <c r="C2" s="38" t="s">
        <v>77</v>
      </c>
      <c r="D2" s="21">
        <v>44920</v>
      </c>
      <c r="E2" s="22">
        <v>0.54861111111111105</v>
      </c>
      <c r="F2" s="20" t="s">
        <v>126</v>
      </c>
      <c r="G2" s="21">
        <v>42066</v>
      </c>
      <c r="H2" s="11" t="str">
        <f>DATEDIF(G2,D2,"y") &amp; " г. " &amp; DATEDIF(G2,D2,"ym") &amp; " мес. " &amp; DATEDIF(G2,D2,"md") &amp; " дн."</f>
        <v>7 г. 9 мес. 22 дн.</v>
      </c>
      <c r="I2" s="20" t="s">
        <v>120</v>
      </c>
      <c r="K2" s="20" t="s">
        <v>127</v>
      </c>
      <c r="L2" s="20" t="s">
        <v>128</v>
      </c>
      <c r="M2" s="20" t="s">
        <v>54</v>
      </c>
      <c r="O2" s="20" t="s">
        <v>73</v>
      </c>
      <c r="Q2" s="20" t="s">
        <v>146</v>
      </c>
      <c r="S2" s="20" t="s">
        <v>77</v>
      </c>
      <c r="T2" s="21">
        <v>44942</v>
      </c>
      <c r="U2" s="22">
        <v>0.54166666666666663</v>
      </c>
      <c r="V2" s="20" t="str">
        <f t="shared" ref="V2:V32" si="1">DATEDIF(D2,T2,"y") &amp; " г. " &amp; DATEDIF(D2,T2,"ym") &amp; " мес. " &amp; DATEDIF(D2,T2,"md") &amp; " дн."</f>
        <v>0 г. 0 мес. 22 дн.</v>
      </c>
      <c r="W2" s="70"/>
    </row>
    <row r="3" spans="1:23" ht="35.1" customHeight="1" x14ac:dyDescent="0.25">
      <c r="A3" s="1">
        <f t="shared" si="0"/>
        <v>2</v>
      </c>
      <c r="B3" s="1">
        <v>605</v>
      </c>
      <c r="C3" s="39" t="s">
        <v>24</v>
      </c>
      <c r="D3" s="21">
        <v>44926</v>
      </c>
      <c r="E3" s="6">
        <v>0.4826388888888889</v>
      </c>
      <c r="F3" s="1" t="s">
        <v>129</v>
      </c>
      <c r="G3" s="3">
        <v>43740</v>
      </c>
      <c r="H3" s="11" t="str">
        <f t="shared" ref="H3:H64" si="2">DATEDIF(G3,D3,"y") &amp; " г. " &amp; DATEDIF(G3,D3,"ym") &amp; " мес. " &amp; DATEDIF(G3,D3,"md") &amp; " дн."</f>
        <v>3 г. 2 мес. 29 дн.</v>
      </c>
      <c r="I3" s="20" t="s">
        <v>123</v>
      </c>
      <c r="J3" s="20"/>
      <c r="K3" s="1" t="s">
        <v>130</v>
      </c>
      <c r="L3" s="1" t="s">
        <v>131</v>
      </c>
      <c r="M3" s="1" t="s">
        <v>50</v>
      </c>
      <c r="O3" s="20" t="s">
        <v>73</v>
      </c>
      <c r="S3" s="1" t="s">
        <v>24</v>
      </c>
      <c r="T3" s="3">
        <v>44930</v>
      </c>
      <c r="U3" s="6">
        <v>0.41666666666666669</v>
      </c>
      <c r="V3" s="1" t="str">
        <f t="shared" si="1"/>
        <v>0 г. 0 мес. 4 дн.</v>
      </c>
      <c r="W3" s="69"/>
    </row>
    <row r="4" spans="1:23" s="20" customFormat="1" ht="35.1" customHeight="1" x14ac:dyDescent="0.25">
      <c r="A4" s="20">
        <f t="shared" si="0"/>
        <v>3</v>
      </c>
      <c r="B4" s="20">
        <v>1177</v>
      </c>
      <c r="C4" s="38" t="s">
        <v>27</v>
      </c>
      <c r="D4" s="21">
        <v>44922</v>
      </c>
      <c r="E4" s="22">
        <v>0.58333333333333337</v>
      </c>
      <c r="F4" s="20" t="s">
        <v>132</v>
      </c>
      <c r="G4" s="21">
        <v>43743</v>
      </c>
      <c r="H4" s="11" t="str">
        <f t="shared" si="2"/>
        <v>3 г. 2 мес. 22 дн.</v>
      </c>
      <c r="I4" s="20" t="s">
        <v>123</v>
      </c>
      <c r="K4" s="20" t="s">
        <v>133</v>
      </c>
      <c r="L4" s="20" t="s">
        <v>134</v>
      </c>
      <c r="M4" s="20" t="s">
        <v>48</v>
      </c>
      <c r="O4" s="20" t="s">
        <v>73</v>
      </c>
      <c r="S4" s="20" t="s">
        <v>77</v>
      </c>
      <c r="T4" s="21">
        <v>44928</v>
      </c>
      <c r="U4" s="22">
        <v>0.57638888888888895</v>
      </c>
      <c r="V4" s="20" t="str">
        <f t="shared" si="1"/>
        <v>0 г. 0 мес. 6 дн.</v>
      </c>
      <c r="W4" s="70"/>
    </row>
    <row r="5" spans="1:23" s="71" customFormat="1" ht="35.1" customHeight="1" x14ac:dyDescent="0.2">
      <c r="A5" s="1">
        <f t="shared" si="0"/>
        <v>4</v>
      </c>
      <c r="B5" s="1">
        <v>983</v>
      </c>
      <c r="C5" s="39" t="s">
        <v>26</v>
      </c>
      <c r="D5" s="21">
        <v>44925</v>
      </c>
      <c r="E5" s="6">
        <v>0.66319444444444442</v>
      </c>
      <c r="F5" s="1" t="s">
        <v>135</v>
      </c>
      <c r="G5" s="3">
        <v>41492</v>
      </c>
      <c r="H5" s="11" t="str">
        <f t="shared" si="2"/>
        <v>9 г. 4 мес. 24 дн.</v>
      </c>
      <c r="I5" s="20" t="s">
        <v>123</v>
      </c>
      <c r="J5" s="20"/>
      <c r="K5" s="1" t="s">
        <v>136</v>
      </c>
      <c r="L5" s="1" t="s">
        <v>137</v>
      </c>
      <c r="M5" s="1" t="s">
        <v>43</v>
      </c>
      <c r="N5" s="1"/>
      <c r="O5" s="20" t="s">
        <v>89</v>
      </c>
      <c r="P5" s="1"/>
      <c r="Q5" s="1"/>
      <c r="R5" s="1"/>
      <c r="S5" s="1" t="s">
        <v>29</v>
      </c>
      <c r="T5" s="3">
        <v>44927</v>
      </c>
      <c r="U5" s="6">
        <v>0.57638888888888895</v>
      </c>
      <c r="V5" s="1" t="str">
        <f t="shared" si="1"/>
        <v>0 г. 0 мес. 2 дн.</v>
      </c>
      <c r="W5" s="69"/>
    </row>
    <row r="6" spans="1:23" ht="35.1" customHeight="1" x14ac:dyDescent="0.25">
      <c r="A6" s="8">
        <f t="shared" si="0"/>
        <v>5</v>
      </c>
      <c r="B6" s="11">
        <v>8</v>
      </c>
      <c r="C6" s="39" t="s">
        <v>26</v>
      </c>
      <c r="D6" s="21">
        <v>44927</v>
      </c>
      <c r="E6" s="6">
        <v>0.625</v>
      </c>
      <c r="F6" s="1" t="s">
        <v>138</v>
      </c>
      <c r="G6" s="3">
        <v>38390</v>
      </c>
      <c r="H6" s="11" t="str">
        <f t="shared" si="2"/>
        <v>17 г. 10 мес. 25 дн.</v>
      </c>
      <c r="I6" s="20" t="s">
        <v>122</v>
      </c>
      <c r="J6" s="20" t="s">
        <v>82</v>
      </c>
      <c r="K6" s="1" t="s">
        <v>139</v>
      </c>
      <c r="L6" s="1" t="s">
        <v>140</v>
      </c>
      <c r="M6" s="1" t="s">
        <v>48</v>
      </c>
      <c r="N6" s="1">
        <v>79</v>
      </c>
      <c r="O6" s="20" t="s">
        <v>89</v>
      </c>
      <c r="S6" s="1" t="s">
        <v>82</v>
      </c>
      <c r="T6" s="3">
        <v>44931</v>
      </c>
      <c r="U6" s="6">
        <v>0.45833333333333331</v>
      </c>
      <c r="V6" s="1" t="str">
        <f t="shared" si="1"/>
        <v>0 г. 0 мес. 4 дн.</v>
      </c>
      <c r="W6" s="69"/>
    </row>
    <row r="7" spans="1:23" ht="35.1" customHeight="1" x14ac:dyDescent="0.25">
      <c r="A7" s="1">
        <f t="shared" si="0"/>
        <v>6</v>
      </c>
      <c r="B7" s="1">
        <v>1</v>
      </c>
      <c r="C7" s="39" t="s">
        <v>28</v>
      </c>
      <c r="D7" s="21">
        <v>44927</v>
      </c>
      <c r="E7" s="6">
        <v>0.65277777777777779</v>
      </c>
      <c r="F7" s="1" t="s">
        <v>141</v>
      </c>
      <c r="G7" s="3">
        <v>44296</v>
      </c>
      <c r="H7" s="11" t="str">
        <f t="shared" si="2"/>
        <v>1 г. 8 мес. 22 дн.</v>
      </c>
      <c r="I7" s="20" t="s">
        <v>123</v>
      </c>
      <c r="J7" s="20"/>
      <c r="K7" s="1" t="s">
        <v>142</v>
      </c>
      <c r="L7" s="1" t="s">
        <v>143</v>
      </c>
      <c r="M7" s="1" t="s">
        <v>46</v>
      </c>
      <c r="O7" s="20" t="s">
        <v>89</v>
      </c>
      <c r="S7" s="1" t="s">
        <v>28</v>
      </c>
      <c r="T7" s="3">
        <v>44928</v>
      </c>
      <c r="U7" s="6">
        <v>0.60416666666666663</v>
      </c>
      <c r="V7" s="1" t="str">
        <f t="shared" si="1"/>
        <v>0 г. 0 мес. 1 дн.</v>
      </c>
      <c r="W7" s="69"/>
    </row>
    <row r="8" spans="1:23" ht="35.1" customHeight="1" x14ac:dyDescent="0.25">
      <c r="A8" s="8">
        <f t="shared" si="0"/>
        <v>7</v>
      </c>
      <c r="B8" s="1">
        <v>3</v>
      </c>
      <c r="C8" s="39" t="s">
        <v>23</v>
      </c>
      <c r="D8" s="21">
        <v>44927</v>
      </c>
      <c r="E8" s="6">
        <v>0.71527777777777779</v>
      </c>
      <c r="F8" s="1" t="s">
        <v>173</v>
      </c>
      <c r="G8" s="3">
        <v>39797</v>
      </c>
      <c r="H8" s="11" t="str">
        <f t="shared" si="2"/>
        <v>14 г. 0 мес. 17 дн.</v>
      </c>
      <c r="I8" s="20" t="s">
        <v>121</v>
      </c>
      <c r="J8" s="20" t="s">
        <v>23</v>
      </c>
      <c r="K8" s="1" t="s">
        <v>144</v>
      </c>
      <c r="L8" s="1" t="s">
        <v>145</v>
      </c>
      <c r="M8" s="1" t="s">
        <v>52</v>
      </c>
      <c r="O8" s="20" t="s">
        <v>89</v>
      </c>
      <c r="P8" s="1" t="s">
        <v>98</v>
      </c>
      <c r="S8" s="1" t="s">
        <v>23</v>
      </c>
      <c r="T8" s="3">
        <v>44928</v>
      </c>
      <c r="U8" s="6">
        <v>0.59722222222222221</v>
      </c>
      <c r="V8" s="1" t="str">
        <f t="shared" si="1"/>
        <v>0 г. 0 мес. 1 дн.</v>
      </c>
      <c r="W8" s="69"/>
    </row>
    <row r="9" spans="1:23" ht="35.1" customHeight="1" x14ac:dyDescent="0.25">
      <c r="A9" s="1">
        <f t="shared" si="0"/>
        <v>8</v>
      </c>
      <c r="B9" s="1">
        <v>4</v>
      </c>
      <c r="C9" s="39" t="s">
        <v>23</v>
      </c>
      <c r="D9" s="21">
        <v>44928</v>
      </c>
      <c r="E9" s="6">
        <v>7.2916666666666671E-2</v>
      </c>
      <c r="F9" s="1" t="s">
        <v>153</v>
      </c>
      <c r="G9" s="3">
        <v>41263</v>
      </c>
      <c r="H9" s="11" t="str">
        <f t="shared" si="2"/>
        <v>10 г. 0 мес. 13 дн.</v>
      </c>
      <c r="I9" s="20" t="s">
        <v>120</v>
      </c>
      <c r="J9" s="20"/>
      <c r="K9" s="1" t="s">
        <v>154</v>
      </c>
      <c r="L9" s="1" t="s">
        <v>155</v>
      </c>
      <c r="M9" s="1" t="s">
        <v>52</v>
      </c>
      <c r="O9" s="20" t="s">
        <v>89</v>
      </c>
      <c r="S9" s="1" t="s">
        <v>23</v>
      </c>
      <c r="T9" s="3">
        <v>44930</v>
      </c>
      <c r="U9" s="6">
        <v>0.41666666666666669</v>
      </c>
      <c r="V9" s="1" t="str">
        <f t="shared" si="1"/>
        <v>0 г. 0 мес. 2 дн.</v>
      </c>
      <c r="W9" s="69"/>
    </row>
    <row r="10" spans="1:23" ht="35.1" customHeight="1" x14ac:dyDescent="0.25">
      <c r="A10" s="8">
        <f t="shared" si="0"/>
        <v>9</v>
      </c>
      <c r="B10" s="1">
        <v>9</v>
      </c>
      <c r="C10" s="39" t="s">
        <v>26</v>
      </c>
      <c r="D10" s="21">
        <v>44928</v>
      </c>
      <c r="E10" s="6">
        <v>0.1423611111111111</v>
      </c>
      <c r="F10" s="1" t="s">
        <v>156</v>
      </c>
      <c r="G10" s="3">
        <v>44464</v>
      </c>
      <c r="H10" s="11" t="str">
        <f t="shared" si="2"/>
        <v>1 г. 3 мес. 8 дн.</v>
      </c>
      <c r="I10" s="20" t="s">
        <v>123</v>
      </c>
      <c r="J10" s="20"/>
      <c r="K10" s="1" t="s">
        <v>157</v>
      </c>
      <c r="L10" s="1" t="s">
        <v>158</v>
      </c>
      <c r="M10" s="1" t="s">
        <v>56</v>
      </c>
      <c r="O10" s="20" t="s">
        <v>89</v>
      </c>
      <c r="S10" s="1" t="s">
        <v>82</v>
      </c>
      <c r="T10" s="3">
        <v>44931</v>
      </c>
      <c r="U10" s="6">
        <v>0.5</v>
      </c>
      <c r="V10" s="1" t="str">
        <f t="shared" si="1"/>
        <v>0 г. 0 мес. 3 дн.</v>
      </c>
      <c r="W10" s="69"/>
    </row>
    <row r="11" spans="1:23" ht="35.1" customHeight="1" x14ac:dyDescent="0.25">
      <c r="A11" s="1">
        <f t="shared" si="0"/>
        <v>10</v>
      </c>
      <c r="B11" s="1">
        <v>2</v>
      </c>
      <c r="C11" s="39" t="s">
        <v>28</v>
      </c>
      <c r="D11" s="21">
        <v>44929</v>
      </c>
      <c r="E11" s="6">
        <v>0.79166666666666663</v>
      </c>
      <c r="F11" s="1" t="s">
        <v>159</v>
      </c>
      <c r="G11" s="3">
        <v>40127</v>
      </c>
      <c r="H11" s="11" t="str">
        <f t="shared" si="2"/>
        <v>13 г. 1 мес. 24 дн.</v>
      </c>
      <c r="I11" s="20" t="s">
        <v>120</v>
      </c>
      <c r="J11" s="20"/>
      <c r="K11" s="1" t="s">
        <v>160</v>
      </c>
      <c r="L11" s="1" t="s">
        <v>161</v>
      </c>
      <c r="M11" s="1" t="s">
        <v>46</v>
      </c>
      <c r="O11" s="20" t="s">
        <v>89</v>
      </c>
      <c r="S11" s="1" t="s">
        <v>28</v>
      </c>
      <c r="T11" s="3">
        <v>44930</v>
      </c>
      <c r="U11" s="6">
        <v>0.41666666666666669</v>
      </c>
      <c r="V11" s="1" t="str">
        <f t="shared" si="1"/>
        <v>0 г. 0 мес. 1 дн.</v>
      </c>
      <c r="W11" s="69"/>
    </row>
    <row r="12" spans="1:23" ht="35.1" customHeight="1" x14ac:dyDescent="0.25">
      <c r="A12" s="8">
        <f t="shared" si="0"/>
        <v>11</v>
      </c>
      <c r="B12" s="1">
        <v>1</v>
      </c>
      <c r="C12" s="39" t="s">
        <v>27</v>
      </c>
      <c r="D12" s="21">
        <v>44930</v>
      </c>
      <c r="E12" s="6">
        <v>8.3333333333333329E-2</v>
      </c>
      <c r="F12" s="1" t="s">
        <v>162</v>
      </c>
      <c r="G12" s="3">
        <v>44514</v>
      </c>
      <c r="H12" s="11" t="str">
        <f t="shared" si="2"/>
        <v>1 г. 1 мес. 21 дн.</v>
      </c>
      <c r="I12" s="20" t="s">
        <v>123</v>
      </c>
      <c r="J12" s="20"/>
      <c r="K12" s="1" t="s">
        <v>163</v>
      </c>
      <c r="L12" s="1" t="s">
        <v>164</v>
      </c>
      <c r="M12" s="1" t="s">
        <v>48</v>
      </c>
      <c r="O12" s="20" t="s">
        <v>89</v>
      </c>
      <c r="S12" s="1" t="s">
        <v>27</v>
      </c>
      <c r="T12" s="3">
        <v>44931</v>
      </c>
      <c r="U12" s="6">
        <v>0.5</v>
      </c>
      <c r="V12" s="1" t="str">
        <f t="shared" si="1"/>
        <v>0 г. 0 мес. 1 дн.</v>
      </c>
      <c r="W12" s="69"/>
    </row>
    <row r="13" spans="1:23" ht="35.1" customHeight="1" x14ac:dyDescent="0.25">
      <c r="A13" s="1">
        <f t="shared" si="0"/>
        <v>12</v>
      </c>
      <c r="B13" s="1">
        <v>13</v>
      </c>
      <c r="C13" s="38" t="s">
        <v>77</v>
      </c>
      <c r="D13" s="21">
        <v>44930</v>
      </c>
      <c r="E13" s="6">
        <v>0.94444444444444453</v>
      </c>
      <c r="F13" s="1" t="s">
        <v>172</v>
      </c>
      <c r="G13" s="3">
        <v>44036</v>
      </c>
      <c r="H13" s="11" t="str">
        <f t="shared" si="2"/>
        <v>2 г. 5 мес. 11 дн.</v>
      </c>
      <c r="I13" s="20" t="s">
        <v>120</v>
      </c>
      <c r="J13" s="38"/>
      <c r="K13" s="1" t="s">
        <v>165</v>
      </c>
      <c r="L13" s="1" t="s">
        <v>166</v>
      </c>
      <c r="M13" s="20" t="s">
        <v>54</v>
      </c>
      <c r="O13" s="20" t="s">
        <v>73</v>
      </c>
      <c r="S13" s="1" t="s">
        <v>77</v>
      </c>
      <c r="T13" s="3">
        <v>44932</v>
      </c>
      <c r="U13" s="6">
        <v>0.5</v>
      </c>
      <c r="V13" s="1" t="str">
        <f t="shared" si="1"/>
        <v>0 г. 0 мес. 2 дн.</v>
      </c>
      <c r="W13" s="69"/>
    </row>
    <row r="14" spans="1:23" ht="35.1" customHeight="1" x14ac:dyDescent="0.25">
      <c r="A14" s="8">
        <f t="shared" si="0"/>
        <v>13</v>
      </c>
      <c r="B14" s="1">
        <v>3</v>
      </c>
      <c r="C14" s="39" t="s">
        <v>28</v>
      </c>
      <c r="D14" s="21">
        <v>44931</v>
      </c>
      <c r="E14" s="6">
        <v>0.39583333333333331</v>
      </c>
      <c r="F14" s="1" t="s">
        <v>167</v>
      </c>
      <c r="G14" s="3">
        <v>42348</v>
      </c>
      <c r="H14" s="11" t="str">
        <f t="shared" si="2"/>
        <v>7 г. 0 мес. 26 дн.</v>
      </c>
      <c r="I14" s="20" t="s">
        <v>120</v>
      </c>
      <c r="J14" s="20"/>
      <c r="K14" s="1" t="s">
        <v>168</v>
      </c>
      <c r="L14" s="1" t="s">
        <v>161</v>
      </c>
      <c r="M14" s="1" t="s">
        <v>46</v>
      </c>
      <c r="O14" s="20" t="s">
        <v>89</v>
      </c>
      <c r="S14" s="1" t="s">
        <v>28</v>
      </c>
      <c r="T14" s="3">
        <v>44932</v>
      </c>
      <c r="U14" s="6">
        <v>0.41666666666666669</v>
      </c>
      <c r="V14" s="1" t="str">
        <f t="shared" si="1"/>
        <v>0 г. 0 мес. 1 дн.</v>
      </c>
      <c r="W14" s="69"/>
    </row>
    <row r="15" spans="1:23" ht="35.1" customHeight="1" x14ac:dyDescent="0.25">
      <c r="A15" s="1">
        <f t="shared" si="0"/>
        <v>14</v>
      </c>
      <c r="B15" s="1">
        <v>14</v>
      </c>
      <c r="C15" s="39" t="s">
        <v>26</v>
      </c>
      <c r="D15" s="21">
        <v>44931</v>
      </c>
      <c r="E15" s="6">
        <v>0.92708333333333337</v>
      </c>
      <c r="F15" s="1" t="s">
        <v>169</v>
      </c>
      <c r="G15" s="3">
        <v>39223</v>
      </c>
      <c r="H15" s="11" t="str">
        <f t="shared" si="2"/>
        <v>15 г. 7 мес. 15 дн.</v>
      </c>
      <c r="I15" s="20" t="s">
        <v>120</v>
      </c>
      <c r="J15" s="20"/>
      <c r="K15" s="1" t="s">
        <v>170</v>
      </c>
      <c r="L15" s="1" t="s">
        <v>171</v>
      </c>
      <c r="M15" s="1" t="s">
        <v>55</v>
      </c>
      <c r="O15" s="20" t="s">
        <v>89</v>
      </c>
      <c r="S15" s="1" t="s">
        <v>26</v>
      </c>
      <c r="T15" s="3">
        <v>44932</v>
      </c>
      <c r="U15" s="6">
        <v>0.45833333333333331</v>
      </c>
      <c r="V15" s="1" t="str">
        <f t="shared" si="1"/>
        <v>0 г. 0 мес. 1 дн.</v>
      </c>
      <c r="W15" s="69"/>
    </row>
    <row r="16" spans="1:23" ht="35.1" customHeight="1" x14ac:dyDescent="0.25">
      <c r="A16" s="8">
        <f t="shared" si="0"/>
        <v>15</v>
      </c>
      <c r="B16" s="1">
        <v>2</v>
      </c>
      <c r="C16" s="39" t="s">
        <v>77</v>
      </c>
      <c r="D16" s="21">
        <v>44928</v>
      </c>
      <c r="E16" s="6">
        <v>0.57638888888888895</v>
      </c>
      <c r="F16" s="1" t="s">
        <v>132</v>
      </c>
      <c r="G16" s="3">
        <v>43743</v>
      </c>
      <c r="H16" s="11" t="str">
        <f t="shared" si="2"/>
        <v>3 г. 2 мес. 28 дн.</v>
      </c>
      <c r="I16" s="20" t="s">
        <v>121</v>
      </c>
      <c r="J16" s="20" t="s">
        <v>27</v>
      </c>
      <c r="K16" s="1" t="s">
        <v>133</v>
      </c>
      <c r="L16" s="20" t="s">
        <v>134</v>
      </c>
      <c r="M16" s="1" t="s">
        <v>48</v>
      </c>
      <c r="O16" s="20" t="s">
        <v>89</v>
      </c>
      <c r="S16" s="1" t="s">
        <v>77</v>
      </c>
      <c r="T16" s="3">
        <v>44936</v>
      </c>
      <c r="U16" s="6">
        <v>0.45833333333333331</v>
      </c>
      <c r="V16" s="1" t="str">
        <f t="shared" si="1"/>
        <v>0 г. 0 мес. 8 дн.</v>
      </c>
      <c r="W16" s="69"/>
    </row>
    <row r="17" spans="1:23" ht="35.1" customHeight="1" x14ac:dyDescent="0.25">
      <c r="A17" s="1">
        <f t="shared" si="0"/>
        <v>16</v>
      </c>
      <c r="B17" s="1">
        <v>8</v>
      </c>
      <c r="C17" s="39" t="s">
        <v>26</v>
      </c>
      <c r="D17" s="21">
        <v>44932</v>
      </c>
      <c r="E17" s="6">
        <v>0.16666666666666666</v>
      </c>
      <c r="F17" s="1" t="s">
        <v>138</v>
      </c>
      <c r="G17" s="3">
        <v>38390</v>
      </c>
      <c r="H17" s="11" t="str">
        <f t="shared" si="2"/>
        <v>17 г. 10 мес. 30 дн.</v>
      </c>
      <c r="I17" s="20" t="s">
        <v>125</v>
      </c>
      <c r="J17" s="20" t="s">
        <v>26</v>
      </c>
      <c r="K17" s="1" t="s">
        <v>174</v>
      </c>
      <c r="L17" s="1" t="s">
        <v>140</v>
      </c>
      <c r="M17" s="1" t="s">
        <v>48</v>
      </c>
      <c r="O17" s="20" t="s">
        <v>89</v>
      </c>
      <c r="S17" s="1" t="s">
        <v>26</v>
      </c>
      <c r="T17" s="3">
        <v>44938</v>
      </c>
      <c r="U17" s="6">
        <v>0.45833333333333331</v>
      </c>
      <c r="V17" s="1" t="str">
        <f t="shared" si="1"/>
        <v>0 г. 0 мес. 6 дн.</v>
      </c>
      <c r="W17" s="69"/>
    </row>
    <row r="18" spans="1:23" ht="35.1" customHeight="1" x14ac:dyDescent="0.25">
      <c r="A18" s="8">
        <f t="shared" si="0"/>
        <v>17</v>
      </c>
      <c r="B18" s="1">
        <v>16</v>
      </c>
      <c r="C18" s="39" t="s">
        <v>26</v>
      </c>
      <c r="D18" s="21">
        <v>44934</v>
      </c>
      <c r="E18" s="6">
        <v>5.2083333333333336E-2</v>
      </c>
      <c r="F18" s="1" t="s">
        <v>175</v>
      </c>
      <c r="G18" s="3">
        <v>43278</v>
      </c>
      <c r="H18" s="11" t="str">
        <f t="shared" si="2"/>
        <v>4 г. 6 мес. 12 дн.</v>
      </c>
      <c r="I18" s="20" t="s">
        <v>120</v>
      </c>
      <c r="J18" s="20"/>
      <c r="K18" s="1" t="s">
        <v>176</v>
      </c>
      <c r="L18" s="1" t="s">
        <v>177</v>
      </c>
      <c r="M18" s="1" t="s">
        <v>48</v>
      </c>
      <c r="O18" s="20" t="s">
        <v>89</v>
      </c>
      <c r="S18" s="1" t="s">
        <v>26</v>
      </c>
      <c r="T18" s="3">
        <v>44935</v>
      </c>
      <c r="U18" s="6">
        <v>0.50694444444444442</v>
      </c>
      <c r="V18" s="1" t="str">
        <f t="shared" si="1"/>
        <v>0 г. 0 мес. 1 дн.</v>
      </c>
      <c r="W18" s="69"/>
    </row>
    <row r="19" spans="1:23" s="32" customFormat="1" ht="35.1" customHeight="1" x14ac:dyDescent="0.25">
      <c r="A19" s="32">
        <f t="shared" si="0"/>
        <v>18</v>
      </c>
      <c r="B19" s="32">
        <v>3</v>
      </c>
      <c r="C19" s="40" t="s">
        <v>23</v>
      </c>
      <c r="D19" s="21">
        <v>44935</v>
      </c>
      <c r="E19" s="33">
        <v>0.54166666666666663</v>
      </c>
      <c r="F19" s="32" t="s">
        <v>173</v>
      </c>
      <c r="G19" s="35">
        <v>39797</v>
      </c>
      <c r="H19" s="11" t="str">
        <f t="shared" si="2"/>
        <v>14 г. 0 мес. 25 дн.</v>
      </c>
      <c r="I19" s="20" t="s">
        <v>121</v>
      </c>
      <c r="J19" s="20" t="s">
        <v>23</v>
      </c>
      <c r="K19" s="32" t="s">
        <v>178</v>
      </c>
      <c r="L19" s="1" t="s">
        <v>179</v>
      </c>
      <c r="M19" s="32" t="s">
        <v>52</v>
      </c>
      <c r="O19" s="20" t="s">
        <v>89</v>
      </c>
      <c r="P19" s="32" t="s">
        <v>96</v>
      </c>
      <c r="S19" s="32" t="s">
        <v>23</v>
      </c>
      <c r="T19" s="35">
        <v>44937</v>
      </c>
      <c r="U19" s="33">
        <v>0.41666666666666669</v>
      </c>
      <c r="V19" s="32" t="str">
        <f t="shared" si="1"/>
        <v>0 г. 0 мес. 2 дн.</v>
      </c>
      <c r="W19" s="72"/>
    </row>
    <row r="20" spans="1:23" ht="35.1" customHeight="1" x14ac:dyDescent="0.25">
      <c r="A20" s="8">
        <f t="shared" si="0"/>
        <v>19</v>
      </c>
      <c r="B20" s="1">
        <v>7</v>
      </c>
      <c r="C20" s="39" t="s">
        <v>27</v>
      </c>
      <c r="D20" s="21">
        <v>44935</v>
      </c>
      <c r="E20" s="6">
        <v>0.94097222222222221</v>
      </c>
      <c r="F20" s="1" t="s">
        <v>180</v>
      </c>
      <c r="G20" s="3">
        <v>43920</v>
      </c>
      <c r="H20" s="11" t="str">
        <f t="shared" si="2"/>
        <v>2 г. 9 мес. 10 дн.</v>
      </c>
      <c r="I20" s="20" t="s">
        <v>123</v>
      </c>
      <c r="J20" s="20"/>
      <c r="K20" s="1" t="s">
        <v>181</v>
      </c>
      <c r="L20" s="1" t="s">
        <v>182</v>
      </c>
      <c r="M20" s="1" t="s">
        <v>48</v>
      </c>
      <c r="N20" s="1">
        <v>15</v>
      </c>
      <c r="O20" s="20" t="s">
        <v>73</v>
      </c>
      <c r="S20" s="1" t="s">
        <v>28</v>
      </c>
      <c r="T20" s="3">
        <v>44936</v>
      </c>
      <c r="U20" s="6">
        <v>0.54861111111111105</v>
      </c>
      <c r="V20" s="1" t="str">
        <f t="shared" si="1"/>
        <v>0 г. 0 мес. 1 дн.</v>
      </c>
      <c r="W20" s="69"/>
    </row>
    <row r="21" spans="1:23" ht="35.1" customHeight="1" x14ac:dyDescent="0.25">
      <c r="A21" s="1">
        <f t="shared" si="0"/>
        <v>20</v>
      </c>
      <c r="B21" s="1">
        <v>4</v>
      </c>
      <c r="C21" s="39" t="s">
        <v>23</v>
      </c>
      <c r="D21" s="21">
        <v>44936</v>
      </c>
      <c r="E21" s="6">
        <v>0.5</v>
      </c>
      <c r="F21" s="1" t="s">
        <v>153</v>
      </c>
      <c r="G21" s="3">
        <v>41263</v>
      </c>
      <c r="H21" s="11" t="str">
        <f t="shared" si="2"/>
        <v>10 г. 0 мес. 21 дн.</v>
      </c>
      <c r="I21" s="20" t="s">
        <v>121</v>
      </c>
      <c r="J21" s="20" t="s">
        <v>23</v>
      </c>
      <c r="K21" s="1" t="s">
        <v>183</v>
      </c>
      <c r="L21" s="1" t="s">
        <v>184</v>
      </c>
      <c r="M21" s="1" t="s">
        <v>52</v>
      </c>
      <c r="O21" s="20" t="s">
        <v>89</v>
      </c>
      <c r="P21" s="1" t="s">
        <v>96</v>
      </c>
      <c r="S21" s="50" t="s">
        <v>23</v>
      </c>
      <c r="T21" s="3">
        <v>44937</v>
      </c>
      <c r="U21" s="6">
        <v>0.45833333333333331</v>
      </c>
      <c r="V21" s="1" t="str">
        <f t="shared" si="1"/>
        <v>0 г. 0 мес. 1 дн.</v>
      </c>
      <c r="W21" s="69"/>
    </row>
    <row r="22" spans="1:23" ht="35.1" customHeight="1" x14ac:dyDescent="0.25">
      <c r="A22" s="8">
        <f t="shared" si="0"/>
        <v>21</v>
      </c>
      <c r="B22" s="1">
        <v>9</v>
      </c>
      <c r="C22" s="39" t="s">
        <v>28</v>
      </c>
      <c r="D22" s="21">
        <v>44937</v>
      </c>
      <c r="E22" s="6">
        <v>0.73611111111111116</v>
      </c>
      <c r="F22" s="1" t="s">
        <v>185</v>
      </c>
      <c r="G22" s="3">
        <v>41385</v>
      </c>
      <c r="H22" s="11" t="str">
        <f t="shared" si="2"/>
        <v>9 г. 8 мес. 21 дн.</v>
      </c>
      <c r="I22" s="20" t="s">
        <v>120</v>
      </c>
      <c r="J22" s="20"/>
      <c r="K22" s="1" t="s">
        <v>186</v>
      </c>
      <c r="L22" s="1" t="s">
        <v>187</v>
      </c>
      <c r="M22" s="1" t="s">
        <v>55</v>
      </c>
      <c r="O22" s="20" t="s">
        <v>89</v>
      </c>
      <c r="S22" s="1" t="s">
        <v>28</v>
      </c>
      <c r="T22" s="3">
        <v>44938</v>
      </c>
      <c r="U22" s="6">
        <v>0.45833333333333331</v>
      </c>
      <c r="V22" s="1" t="str">
        <f t="shared" si="1"/>
        <v>0 г. 0 мес. 1 дн.</v>
      </c>
      <c r="W22" s="69"/>
    </row>
    <row r="23" spans="1:23" s="8" customFormat="1" ht="35.1" customHeight="1" x14ac:dyDescent="0.25">
      <c r="A23" s="1">
        <f t="shared" si="0"/>
        <v>22</v>
      </c>
      <c r="B23" s="1">
        <v>605</v>
      </c>
      <c r="C23" s="39" t="s">
        <v>24</v>
      </c>
      <c r="D23" s="21">
        <v>44938</v>
      </c>
      <c r="E23" s="6">
        <v>0.47916666666666669</v>
      </c>
      <c r="F23" s="1" t="s">
        <v>129</v>
      </c>
      <c r="G23" s="3">
        <v>43740</v>
      </c>
      <c r="H23" s="11" t="str">
        <f>DATEDIF(G23,D23,"y") &amp; " г. " &amp; DATEDIF(G23,D23,"ym") &amp; " мес. " &amp; DATEDIF(G23,D23,"md") &amp; " дн."</f>
        <v>3 г. 3 мес. 10 дн.</v>
      </c>
      <c r="I23" s="20" t="s">
        <v>122</v>
      </c>
      <c r="J23" s="20" t="s">
        <v>24</v>
      </c>
      <c r="K23" s="1" t="s">
        <v>130</v>
      </c>
      <c r="L23" s="1" t="s">
        <v>131</v>
      </c>
      <c r="M23" s="1" t="s">
        <v>50</v>
      </c>
      <c r="N23" s="1"/>
      <c r="O23" s="20" t="s">
        <v>73</v>
      </c>
      <c r="P23" s="50"/>
      <c r="Q23" s="50"/>
      <c r="R23" s="50"/>
      <c r="S23" s="50" t="s">
        <v>24</v>
      </c>
      <c r="T23" s="3">
        <v>44943</v>
      </c>
      <c r="U23" s="6">
        <v>0.4375</v>
      </c>
      <c r="V23" s="1" t="str">
        <f t="shared" si="1"/>
        <v>0 г. 0 мес. 5 дн.</v>
      </c>
      <c r="W23" s="73"/>
    </row>
    <row r="24" spans="1:23" ht="35.1" customHeight="1" x14ac:dyDescent="0.25">
      <c r="A24" s="8">
        <f t="shared" si="0"/>
        <v>23</v>
      </c>
      <c r="B24" s="1">
        <v>52</v>
      </c>
      <c r="C24" s="39" t="s">
        <v>77</v>
      </c>
      <c r="D24" s="21">
        <v>44938</v>
      </c>
      <c r="E24" s="6">
        <v>0.33749999999999997</v>
      </c>
      <c r="F24" s="1" t="s">
        <v>188</v>
      </c>
      <c r="G24" s="3">
        <v>42436</v>
      </c>
      <c r="H24" s="11" t="str">
        <f t="shared" si="2"/>
        <v>6 г. 10 мес. 5 дн.</v>
      </c>
      <c r="I24" s="20" t="s">
        <v>121</v>
      </c>
      <c r="J24" s="20" t="s">
        <v>77</v>
      </c>
      <c r="K24" s="1" t="s">
        <v>189</v>
      </c>
      <c r="L24" s="1" t="s">
        <v>190</v>
      </c>
      <c r="M24" s="1" t="s">
        <v>49</v>
      </c>
      <c r="O24" s="20" t="s">
        <v>89</v>
      </c>
      <c r="Q24" s="1" t="s">
        <v>146</v>
      </c>
      <c r="S24" s="1" t="s">
        <v>77</v>
      </c>
      <c r="T24" s="3">
        <v>44942</v>
      </c>
      <c r="U24" s="6">
        <v>0.5</v>
      </c>
      <c r="V24" s="1" t="str">
        <f t="shared" si="1"/>
        <v>0 г. 0 мес. 4 дн.</v>
      </c>
      <c r="W24" s="69"/>
    </row>
    <row r="25" spans="1:23" ht="35.1" customHeight="1" x14ac:dyDescent="0.25">
      <c r="A25" s="1">
        <f t="shared" si="0"/>
        <v>24</v>
      </c>
      <c r="B25" s="1">
        <v>40</v>
      </c>
      <c r="C25" s="39" t="s">
        <v>77</v>
      </c>
      <c r="D25" s="21">
        <v>44940</v>
      </c>
      <c r="E25" s="6">
        <v>0.55902777777777779</v>
      </c>
      <c r="F25" s="1" t="s">
        <v>191</v>
      </c>
      <c r="G25" s="3">
        <v>39266</v>
      </c>
      <c r="H25" s="11" t="str">
        <f t="shared" si="2"/>
        <v>15 г. 6 мес. 11 дн.</v>
      </c>
      <c r="I25" s="20" t="s">
        <v>121</v>
      </c>
      <c r="J25" s="20" t="s">
        <v>77</v>
      </c>
      <c r="K25" s="1" t="s">
        <v>192</v>
      </c>
      <c r="L25" s="1" t="s">
        <v>193</v>
      </c>
      <c r="M25" s="1" t="s">
        <v>49</v>
      </c>
      <c r="O25" s="20" t="s">
        <v>89</v>
      </c>
      <c r="P25" s="1" t="s">
        <v>96</v>
      </c>
      <c r="S25" s="1" t="s">
        <v>77</v>
      </c>
      <c r="T25" s="3">
        <v>44942</v>
      </c>
      <c r="U25" s="6">
        <v>0.54166666666666663</v>
      </c>
      <c r="V25" s="1" t="str">
        <f t="shared" si="1"/>
        <v>0 г. 0 мес. 2 дн.</v>
      </c>
      <c r="W25" s="69"/>
    </row>
    <row r="26" spans="1:23" s="71" customFormat="1" ht="35.1" customHeight="1" x14ac:dyDescent="0.2">
      <c r="A26" s="1">
        <v>25</v>
      </c>
      <c r="B26" s="1">
        <v>9</v>
      </c>
      <c r="C26" s="39" t="s">
        <v>28</v>
      </c>
      <c r="D26" s="21">
        <v>44936</v>
      </c>
      <c r="E26" s="6">
        <v>0.54861111111111105</v>
      </c>
      <c r="F26" s="1" t="s">
        <v>180</v>
      </c>
      <c r="G26" s="3">
        <v>43920</v>
      </c>
      <c r="H26" s="11" t="str">
        <f t="shared" si="2"/>
        <v>2 г. 9 мес. 11 дн.</v>
      </c>
      <c r="I26" s="20" t="s">
        <v>122</v>
      </c>
      <c r="J26" s="20" t="s">
        <v>27</v>
      </c>
      <c r="K26" s="1" t="s">
        <v>194</v>
      </c>
      <c r="L26" s="1" t="s">
        <v>182</v>
      </c>
      <c r="M26" s="1" t="s">
        <v>46</v>
      </c>
      <c r="N26" s="1"/>
      <c r="O26" s="20" t="s">
        <v>73</v>
      </c>
      <c r="P26" s="1"/>
      <c r="Q26" s="1"/>
      <c r="R26" s="1"/>
      <c r="S26" s="1" t="s">
        <v>28</v>
      </c>
      <c r="T26" s="3">
        <v>44959</v>
      </c>
      <c r="U26" s="6">
        <v>0.68333333333333324</v>
      </c>
      <c r="V26" s="1" t="str">
        <f t="shared" si="1"/>
        <v>0 г. 0 мес. 23 дн.</v>
      </c>
      <c r="W26" s="69"/>
    </row>
    <row r="27" spans="1:23" ht="35.1" customHeight="1" x14ac:dyDescent="0.25">
      <c r="A27" s="8">
        <f t="shared" si="0"/>
        <v>26</v>
      </c>
      <c r="B27" s="1">
        <v>28</v>
      </c>
      <c r="C27" s="39" t="s">
        <v>26</v>
      </c>
      <c r="D27" s="21">
        <v>44941</v>
      </c>
      <c r="E27" s="6">
        <v>0.37152777777777773</v>
      </c>
      <c r="F27" s="1" t="s">
        <v>195</v>
      </c>
      <c r="G27" s="3">
        <v>39464</v>
      </c>
      <c r="H27" s="11" t="str">
        <f t="shared" si="2"/>
        <v>14 г. 11 мес. 29 дн.</v>
      </c>
      <c r="I27" s="20" t="s">
        <v>120</v>
      </c>
      <c r="J27" s="20"/>
      <c r="K27" s="1" t="s">
        <v>196</v>
      </c>
      <c r="L27" s="1" t="s">
        <v>197</v>
      </c>
      <c r="M27" s="1" t="s">
        <v>43</v>
      </c>
      <c r="O27" s="20" t="s">
        <v>89</v>
      </c>
      <c r="S27" s="1" t="s">
        <v>26</v>
      </c>
      <c r="T27" s="3">
        <v>44943</v>
      </c>
      <c r="U27" s="6">
        <v>0.5</v>
      </c>
      <c r="V27" s="1" t="str">
        <f t="shared" si="1"/>
        <v>0 г. 0 мес. 2 дн.</v>
      </c>
      <c r="W27" s="69"/>
    </row>
    <row r="28" spans="1:23" ht="35.1" customHeight="1" x14ac:dyDescent="0.25">
      <c r="A28" s="1">
        <f t="shared" si="0"/>
        <v>27</v>
      </c>
      <c r="B28" s="1">
        <v>69</v>
      </c>
      <c r="C28" s="39" t="s">
        <v>77</v>
      </c>
      <c r="D28" s="21">
        <v>44941</v>
      </c>
      <c r="E28" s="6">
        <v>0.5</v>
      </c>
      <c r="F28" s="1" t="s">
        <v>198</v>
      </c>
      <c r="G28" s="3">
        <v>44259</v>
      </c>
      <c r="H28" s="11" t="str">
        <f t="shared" si="2"/>
        <v>1 г. 10 мес. 11 дн.</v>
      </c>
      <c r="I28" s="20" t="s">
        <v>122</v>
      </c>
      <c r="J28" s="20" t="s">
        <v>77</v>
      </c>
      <c r="K28" s="1" t="s">
        <v>199</v>
      </c>
      <c r="L28" s="1" t="s">
        <v>200</v>
      </c>
      <c r="M28" s="1" t="s">
        <v>42</v>
      </c>
      <c r="O28" s="20" t="s">
        <v>89</v>
      </c>
      <c r="S28" s="1" t="s">
        <v>29</v>
      </c>
      <c r="T28" s="3">
        <v>44942</v>
      </c>
      <c r="U28" s="6">
        <v>0.45833333333333331</v>
      </c>
      <c r="V28" s="1" t="str">
        <f t="shared" si="1"/>
        <v>0 г. 0 мес. 1 дн.</v>
      </c>
      <c r="W28" s="69"/>
    </row>
    <row r="29" spans="1:23" ht="35.1" customHeight="1" x14ac:dyDescent="0.25">
      <c r="A29" s="8">
        <f t="shared" si="0"/>
        <v>28</v>
      </c>
      <c r="B29" s="1">
        <v>33</v>
      </c>
      <c r="C29" s="39" t="s">
        <v>27</v>
      </c>
      <c r="D29" s="21">
        <v>44942</v>
      </c>
      <c r="E29" s="6">
        <v>5.9027777777777783E-2</v>
      </c>
      <c r="F29" s="1" t="s">
        <v>201</v>
      </c>
      <c r="G29" s="3">
        <v>44892</v>
      </c>
      <c r="H29" s="11" t="str">
        <f t="shared" si="2"/>
        <v>0 г. 1 мес. 20 дн.</v>
      </c>
      <c r="I29" s="20" t="s">
        <v>123</v>
      </c>
      <c r="J29" s="20"/>
      <c r="K29" s="1" t="s">
        <v>202</v>
      </c>
      <c r="L29" s="1" t="s">
        <v>203</v>
      </c>
      <c r="M29" s="1" t="s">
        <v>48</v>
      </c>
      <c r="O29" s="20" t="s">
        <v>89</v>
      </c>
      <c r="S29" s="1" t="s">
        <v>27</v>
      </c>
      <c r="T29" s="3">
        <v>44943</v>
      </c>
      <c r="U29" s="6">
        <v>0.54166666666666663</v>
      </c>
      <c r="V29" s="1" t="str">
        <f t="shared" si="1"/>
        <v>0 г. 0 мес. 1 дн.</v>
      </c>
      <c r="W29" s="69"/>
    </row>
    <row r="30" spans="1:23" ht="35.1" customHeight="1" x14ac:dyDescent="0.25">
      <c r="A30" s="1">
        <f t="shared" si="0"/>
        <v>29</v>
      </c>
      <c r="B30" s="1">
        <v>31</v>
      </c>
      <c r="C30" s="39" t="s">
        <v>27</v>
      </c>
      <c r="D30" s="21">
        <v>44942</v>
      </c>
      <c r="E30" s="6">
        <v>0.5</v>
      </c>
      <c r="F30" s="1" t="s">
        <v>204</v>
      </c>
      <c r="G30" s="3">
        <v>44872</v>
      </c>
      <c r="H30" s="11" t="str">
        <f>DATEDIF(G30,D30,"y") &amp; " г. " &amp; DATEDIF(G30,D30,"ym") &amp; " мес. " &amp; DATEDIF(G30,D30,"md") &amp; " дн."</f>
        <v>0 г. 2 мес. 9 дн.</v>
      </c>
      <c r="I30" s="20" t="s">
        <v>122</v>
      </c>
      <c r="J30" s="20" t="s">
        <v>27</v>
      </c>
      <c r="K30" s="1" t="s">
        <v>205</v>
      </c>
      <c r="L30" s="1" t="s">
        <v>206</v>
      </c>
      <c r="M30" s="1" t="s">
        <v>45</v>
      </c>
      <c r="O30" s="20" t="s">
        <v>88</v>
      </c>
      <c r="S30" s="1" t="s">
        <v>27</v>
      </c>
      <c r="T30" s="3">
        <v>44943</v>
      </c>
      <c r="U30" s="6">
        <v>0.4375</v>
      </c>
      <c r="V30" s="1" t="str">
        <f t="shared" si="1"/>
        <v>0 г. 0 мес. 1 дн.</v>
      </c>
      <c r="W30" s="69"/>
    </row>
    <row r="31" spans="1:23" s="20" customFormat="1" ht="35.1" customHeight="1" x14ac:dyDescent="0.25">
      <c r="A31" s="20">
        <f t="shared" si="0"/>
        <v>30</v>
      </c>
      <c r="B31" s="20">
        <v>605</v>
      </c>
      <c r="C31" s="38" t="s">
        <v>24</v>
      </c>
      <c r="D31" s="21">
        <v>44944</v>
      </c>
      <c r="E31" s="22">
        <v>0.58333333333333337</v>
      </c>
      <c r="F31" s="20" t="s">
        <v>129</v>
      </c>
      <c r="G31" s="21">
        <v>43740</v>
      </c>
      <c r="H31" s="11" t="str">
        <f t="shared" si="2"/>
        <v>3 г. 3 мес. 16 дн.</v>
      </c>
      <c r="I31" s="20" t="s">
        <v>122</v>
      </c>
      <c r="J31" s="20" t="s">
        <v>24</v>
      </c>
      <c r="K31" s="20" t="s">
        <v>207</v>
      </c>
      <c r="L31" s="20" t="s">
        <v>208</v>
      </c>
      <c r="M31" s="20" t="s">
        <v>50</v>
      </c>
      <c r="O31" s="20" t="s">
        <v>73</v>
      </c>
      <c r="S31" s="20" t="s">
        <v>24</v>
      </c>
      <c r="T31" s="21">
        <v>44972</v>
      </c>
      <c r="U31" s="22">
        <v>0.4375</v>
      </c>
      <c r="V31" s="20" t="str">
        <f t="shared" si="1"/>
        <v>0 г. 0 мес. 28 дн.</v>
      </c>
      <c r="W31" s="70"/>
    </row>
    <row r="32" spans="1:23" ht="35.1" customHeight="1" x14ac:dyDescent="0.25">
      <c r="A32" s="1">
        <f t="shared" si="0"/>
        <v>31</v>
      </c>
      <c r="B32" s="1">
        <v>79</v>
      </c>
      <c r="C32" s="39" t="s">
        <v>23</v>
      </c>
      <c r="D32" s="21">
        <v>44945</v>
      </c>
      <c r="E32" s="6">
        <v>0.44097222222222227</v>
      </c>
      <c r="F32" s="1" t="s">
        <v>209</v>
      </c>
      <c r="G32" s="3">
        <v>41504</v>
      </c>
      <c r="H32" s="11" t="str">
        <f t="shared" si="2"/>
        <v>9 г. 5 мес. 1 дн.</v>
      </c>
      <c r="I32" s="20" t="s">
        <v>120</v>
      </c>
      <c r="J32" s="39" t="s">
        <v>23</v>
      </c>
      <c r="K32" s="1" t="s">
        <v>210</v>
      </c>
      <c r="L32" s="1" t="s">
        <v>211</v>
      </c>
      <c r="M32" s="1" t="s">
        <v>52</v>
      </c>
      <c r="O32" s="20" t="s">
        <v>89</v>
      </c>
      <c r="P32" s="1" t="s">
        <v>96</v>
      </c>
      <c r="S32" s="1" t="s">
        <v>23</v>
      </c>
      <c r="T32" s="3">
        <v>44947</v>
      </c>
      <c r="U32" s="6">
        <v>0.45833333333333331</v>
      </c>
      <c r="V32" s="1" t="str">
        <f t="shared" si="1"/>
        <v>0 г. 0 мес. 2 дн.</v>
      </c>
      <c r="W32" s="69"/>
    </row>
    <row r="33" spans="1:23" ht="35.1" customHeight="1" x14ac:dyDescent="0.25">
      <c r="A33" s="8">
        <f t="shared" si="0"/>
        <v>32</v>
      </c>
      <c r="B33" s="1">
        <v>68</v>
      </c>
      <c r="C33" s="39" t="s">
        <v>23</v>
      </c>
      <c r="D33" s="21">
        <v>44945</v>
      </c>
      <c r="E33" s="6">
        <v>0.51041666666666663</v>
      </c>
      <c r="F33" s="1" t="s">
        <v>212</v>
      </c>
      <c r="G33" s="3">
        <v>38624</v>
      </c>
      <c r="H33" s="11" t="str">
        <f t="shared" si="2"/>
        <v>17 г. 3 мес. 21 дн.</v>
      </c>
      <c r="I33" s="20" t="s">
        <v>121</v>
      </c>
      <c r="J33" s="39" t="s">
        <v>23</v>
      </c>
      <c r="K33" s="1" t="s">
        <v>213</v>
      </c>
      <c r="L33" s="1" t="s">
        <v>214</v>
      </c>
      <c r="M33" s="1" t="s">
        <v>51</v>
      </c>
      <c r="O33" s="20" t="s">
        <v>89</v>
      </c>
      <c r="P33" s="1" t="s">
        <v>96</v>
      </c>
      <c r="S33" s="1" t="s">
        <v>23</v>
      </c>
      <c r="T33" s="3">
        <v>44946</v>
      </c>
      <c r="U33" s="6">
        <v>0.5625</v>
      </c>
      <c r="V33" s="1" t="str">
        <f t="shared" ref="V33:V64" si="3">DATEDIF(D33,T33,"y") &amp; " г. " &amp; DATEDIF(D33,T33,"ym") &amp; " мес. " &amp; DATEDIF(D33,T33,"md") &amp; " дн."</f>
        <v>0 г. 0 мес. 1 дн.</v>
      </c>
      <c r="W33" s="69"/>
    </row>
    <row r="34" spans="1:23" ht="35.1" customHeight="1" x14ac:dyDescent="0.25">
      <c r="A34" s="1">
        <f t="shared" si="0"/>
        <v>33</v>
      </c>
      <c r="B34" s="1">
        <v>44</v>
      </c>
      <c r="C34" s="39" t="s">
        <v>28</v>
      </c>
      <c r="D34" s="21">
        <v>44946</v>
      </c>
      <c r="E34" s="6">
        <v>0.12847222222222224</v>
      </c>
      <c r="F34" s="1" t="s">
        <v>215</v>
      </c>
      <c r="G34" s="3">
        <v>42931</v>
      </c>
      <c r="H34" s="11" t="str">
        <f t="shared" si="2"/>
        <v>5 г. 6 мес. 5 дн.</v>
      </c>
      <c r="I34" s="20" t="s">
        <v>75</v>
      </c>
      <c r="J34" s="39" t="s">
        <v>28</v>
      </c>
      <c r="K34" s="1" t="s">
        <v>216</v>
      </c>
      <c r="L34" s="1" t="s">
        <v>217</v>
      </c>
      <c r="M34" s="1" t="s">
        <v>46</v>
      </c>
      <c r="O34" s="20" t="s">
        <v>89</v>
      </c>
      <c r="S34" s="1" t="s">
        <v>28</v>
      </c>
      <c r="T34" s="3">
        <v>44946</v>
      </c>
      <c r="U34" s="6">
        <v>0.54166666666666663</v>
      </c>
      <c r="V34" s="1" t="str">
        <f t="shared" si="3"/>
        <v>0 г. 0 мес. 0 дн.</v>
      </c>
      <c r="W34" s="69"/>
    </row>
    <row r="35" spans="1:23" ht="35.1" customHeight="1" x14ac:dyDescent="0.25">
      <c r="A35" s="8">
        <f t="shared" si="0"/>
        <v>34</v>
      </c>
      <c r="B35" s="1">
        <v>116</v>
      </c>
      <c r="C35" s="39" t="s">
        <v>77</v>
      </c>
      <c r="D35" s="21">
        <v>44945</v>
      </c>
      <c r="E35" s="6">
        <v>0.92361111111111116</v>
      </c>
      <c r="F35" s="1" t="s">
        <v>280</v>
      </c>
      <c r="G35" s="3">
        <v>39615</v>
      </c>
      <c r="H35" s="11" t="str">
        <f t="shared" si="2"/>
        <v>14 г. 7 мес. 3 дн.</v>
      </c>
      <c r="I35" s="20" t="s">
        <v>121</v>
      </c>
      <c r="J35" s="39" t="s">
        <v>77</v>
      </c>
      <c r="K35" s="1" t="s">
        <v>219</v>
      </c>
      <c r="L35" s="101" t="s">
        <v>218</v>
      </c>
      <c r="M35" s="1" t="s">
        <v>49</v>
      </c>
      <c r="O35" s="20" t="s">
        <v>73</v>
      </c>
      <c r="S35" s="1" t="s">
        <v>77</v>
      </c>
      <c r="T35" s="3">
        <v>44949</v>
      </c>
      <c r="U35" s="6">
        <v>0.5</v>
      </c>
      <c r="V35" s="1" t="str">
        <f t="shared" si="3"/>
        <v>0 г. 0 мес. 4 дн.</v>
      </c>
      <c r="W35" s="69"/>
    </row>
    <row r="36" spans="1:23" ht="35.1" customHeight="1" x14ac:dyDescent="0.25">
      <c r="A36" s="1">
        <f t="shared" si="0"/>
        <v>35</v>
      </c>
      <c r="B36" s="1">
        <v>22</v>
      </c>
      <c r="C36" s="39" t="s">
        <v>26</v>
      </c>
      <c r="D36" s="21">
        <v>44945</v>
      </c>
      <c r="E36" s="6">
        <v>0.99305555555555547</v>
      </c>
      <c r="F36" s="1" t="s">
        <v>220</v>
      </c>
      <c r="G36" s="3">
        <v>38891</v>
      </c>
      <c r="H36" s="11" t="str">
        <f t="shared" si="2"/>
        <v>16 г. 6 мес. 27 дн.</v>
      </c>
      <c r="I36" s="20" t="s">
        <v>122</v>
      </c>
      <c r="J36" s="39" t="s">
        <v>26</v>
      </c>
      <c r="K36" s="1" t="s">
        <v>221</v>
      </c>
      <c r="L36" s="1" t="s">
        <v>234</v>
      </c>
      <c r="M36" s="1" t="s">
        <v>42</v>
      </c>
      <c r="O36" s="20" t="s">
        <v>73</v>
      </c>
      <c r="P36" s="1" t="s">
        <v>96</v>
      </c>
      <c r="S36" s="1" t="s">
        <v>29</v>
      </c>
      <c r="T36" s="3">
        <v>44946</v>
      </c>
      <c r="U36" s="6">
        <v>0.54166666666666663</v>
      </c>
      <c r="V36" s="1" t="str">
        <f t="shared" si="3"/>
        <v>0 г. 0 мес. 1 дн.</v>
      </c>
      <c r="W36" s="69"/>
    </row>
    <row r="37" spans="1:23" ht="35.1" customHeight="1" x14ac:dyDescent="0.25">
      <c r="A37" s="8">
        <f t="shared" si="0"/>
        <v>36</v>
      </c>
      <c r="B37" s="1">
        <v>118</v>
      </c>
      <c r="C37" s="39" t="s">
        <v>77</v>
      </c>
      <c r="D37" s="21">
        <v>44945</v>
      </c>
      <c r="E37" s="6">
        <v>0.87152777777777779</v>
      </c>
      <c r="F37" s="1" t="s">
        <v>222</v>
      </c>
      <c r="G37" s="3">
        <v>38484</v>
      </c>
      <c r="H37" s="11" t="str">
        <f t="shared" si="2"/>
        <v>17 г. 8 мес. 7 дн.</v>
      </c>
      <c r="I37" s="20" t="s">
        <v>75</v>
      </c>
      <c r="J37" s="39" t="s">
        <v>77</v>
      </c>
      <c r="K37" s="1" t="s">
        <v>223</v>
      </c>
      <c r="L37" s="1" t="s">
        <v>224</v>
      </c>
      <c r="M37" s="1" t="s">
        <v>52</v>
      </c>
      <c r="O37" s="20" t="s">
        <v>89</v>
      </c>
      <c r="S37" s="1" t="s">
        <v>77</v>
      </c>
      <c r="T37" s="3">
        <v>44946</v>
      </c>
      <c r="U37" s="6">
        <v>0.45833333333333331</v>
      </c>
      <c r="V37" s="1" t="str">
        <f t="shared" si="3"/>
        <v>0 г. 0 мес. 1 дн.</v>
      </c>
      <c r="W37" s="69"/>
    </row>
    <row r="38" spans="1:23" ht="35.1" customHeight="1" x14ac:dyDescent="0.25">
      <c r="A38" s="1">
        <f t="shared" si="0"/>
        <v>37</v>
      </c>
      <c r="B38" s="1">
        <v>112</v>
      </c>
      <c r="C38" s="39" t="s">
        <v>77</v>
      </c>
      <c r="D38" s="21">
        <v>44946</v>
      </c>
      <c r="E38" s="6">
        <v>0.54166666666666663</v>
      </c>
      <c r="F38" s="1" t="s">
        <v>225</v>
      </c>
      <c r="G38" s="3">
        <v>38459</v>
      </c>
      <c r="H38" s="11" t="str">
        <f t="shared" si="2"/>
        <v>17 г. 9 мес. 3 дн.</v>
      </c>
      <c r="I38" s="20" t="s">
        <v>121</v>
      </c>
      <c r="J38" s="20" t="s">
        <v>77</v>
      </c>
      <c r="K38" s="1" t="s">
        <v>226</v>
      </c>
      <c r="L38" s="1" t="s">
        <v>227</v>
      </c>
      <c r="M38" s="1" t="s">
        <v>49</v>
      </c>
      <c r="O38" s="20" t="s">
        <v>89</v>
      </c>
      <c r="S38" s="1" t="s">
        <v>77</v>
      </c>
      <c r="T38" s="3">
        <v>44947</v>
      </c>
      <c r="U38" s="6">
        <v>0.41666666666666669</v>
      </c>
      <c r="V38" s="1" t="str">
        <f t="shared" si="3"/>
        <v>0 г. 0 мес. 1 дн.</v>
      </c>
      <c r="W38" s="69"/>
    </row>
    <row r="39" spans="1:23" ht="35.1" customHeight="1" x14ac:dyDescent="0.25">
      <c r="A39" s="8">
        <f t="shared" si="0"/>
        <v>38</v>
      </c>
      <c r="B39" s="1">
        <v>120</v>
      </c>
      <c r="C39" s="39" t="s">
        <v>77</v>
      </c>
      <c r="D39" s="21">
        <v>44946</v>
      </c>
      <c r="E39" s="6">
        <v>0.47916666666666669</v>
      </c>
      <c r="F39" s="1" t="s">
        <v>228</v>
      </c>
      <c r="G39" s="3">
        <v>40744</v>
      </c>
      <c r="H39" s="11" t="str">
        <f t="shared" si="2"/>
        <v>11 г. 6 мес. 0 дн.</v>
      </c>
      <c r="I39" s="20" t="s">
        <v>121</v>
      </c>
      <c r="J39" s="20" t="s">
        <v>77</v>
      </c>
      <c r="K39" s="1" t="s">
        <v>229</v>
      </c>
      <c r="L39" s="1" t="s">
        <v>230</v>
      </c>
      <c r="M39" s="1" t="s">
        <v>49</v>
      </c>
      <c r="O39" s="20" t="s">
        <v>89</v>
      </c>
      <c r="S39" s="1" t="s">
        <v>77</v>
      </c>
      <c r="T39" s="3">
        <v>44947</v>
      </c>
      <c r="U39" s="6">
        <v>0.45833333333333331</v>
      </c>
      <c r="V39" s="1" t="str">
        <f t="shared" si="3"/>
        <v>0 г. 0 мес. 1 дн.</v>
      </c>
      <c r="W39" s="69"/>
    </row>
    <row r="40" spans="1:23" ht="35.1" customHeight="1" x14ac:dyDescent="0.25">
      <c r="A40" s="1">
        <f t="shared" si="0"/>
        <v>39</v>
      </c>
      <c r="B40" s="1">
        <v>40</v>
      </c>
      <c r="C40" s="39" t="s">
        <v>26</v>
      </c>
      <c r="D40" s="21">
        <v>44947</v>
      </c>
      <c r="E40" s="6">
        <v>0.84027777777777779</v>
      </c>
      <c r="F40" s="1" t="s">
        <v>231</v>
      </c>
      <c r="G40" s="3">
        <v>41769</v>
      </c>
      <c r="H40" s="11" t="str">
        <f t="shared" si="2"/>
        <v>8 г. 8 мес. 11 дн.</v>
      </c>
      <c r="I40" s="20" t="s">
        <v>120</v>
      </c>
      <c r="J40" s="20"/>
      <c r="K40" s="1" t="s">
        <v>232</v>
      </c>
      <c r="L40" s="1" t="s">
        <v>233</v>
      </c>
      <c r="M40" s="1" t="s">
        <v>43</v>
      </c>
      <c r="O40" s="20" t="s">
        <v>89</v>
      </c>
      <c r="S40" s="1" t="s">
        <v>26</v>
      </c>
      <c r="T40" s="3">
        <v>44949</v>
      </c>
      <c r="U40" s="6">
        <v>0.54166666666666663</v>
      </c>
      <c r="V40" s="1" t="str">
        <f t="shared" si="3"/>
        <v>0 г. 0 мес. 2 дн.</v>
      </c>
      <c r="W40" s="69"/>
    </row>
    <row r="41" spans="1:23" ht="35.1" customHeight="1" x14ac:dyDescent="0.25">
      <c r="A41" s="8">
        <f t="shared" si="0"/>
        <v>40</v>
      </c>
      <c r="B41" s="1">
        <v>31</v>
      </c>
      <c r="C41" s="39" t="s">
        <v>27</v>
      </c>
      <c r="D41" s="21">
        <v>44947</v>
      </c>
      <c r="E41" s="6">
        <v>0.5</v>
      </c>
      <c r="F41" s="1" t="s">
        <v>204</v>
      </c>
      <c r="G41" s="3">
        <v>44872</v>
      </c>
      <c r="H41" s="11" t="str">
        <f t="shared" si="2"/>
        <v>0 г. 2 мес. 14 дн.</v>
      </c>
      <c r="I41" s="20" t="s">
        <v>125</v>
      </c>
      <c r="J41" s="20" t="s">
        <v>27</v>
      </c>
      <c r="K41" s="1" t="s">
        <v>205</v>
      </c>
      <c r="L41" s="1" t="s">
        <v>235</v>
      </c>
      <c r="M41" s="1" t="s">
        <v>42</v>
      </c>
      <c r="O41" s="20" t="s">
        <v>89</v>
      </c>
      <c r="Q41" s="1" t="s">
        <v>103</v>
      </c>
      <c r="S41" s="1" t="s">
        <v>27</v>
      </c>
      <c r="T41" s="3">
        <v>44947</v>
      </c>
      <c r="U41" s="6">
        <v>0.77083333333333337</v>
      </c>
      <c r="V41" s="1" t="str">
        <f t="shared" si="3"/>
        <v>0 г. 0 мес. 0 дн.</v>
      </c>
      <c r="W41" s="69"/>
    </row>
    <row r="42" spans="1:23" ht="35.1" customHeight="1" x14ac:dyDescent="0.25">
      <c r="A42" s="1">
        <f t="shared" si="0"/>
        <v>41</v>
      </c>
      <c r="B42" s="1">
        <v>21</v>
      </c>
      <c r="C42" s="39" t="s">
        <v>82</v>
      </c>
      <c r="D42" s="21">
        <v>44949</v>
      </c>
      <c r="E42" s="6">
        <v>0.45833333333333331</v>
      </c>
      <c r="F42" s="1" t="s">
        <v>236</v>
      </c>
      <c r="G42" s="3">
        <v>44419</v>
      </c>
      <c r="H42" s="11" t="str">
        <f t="shared" si="2"/>
        <v>1 г. 5 мес. 12 дн.</v>
      </c>
      <c r="I42" s="20" t="s">
        <v>122</v>
      </c>
      <c r="J42" s="20" t="s">
        <v>82</v>
      </c>
      <c r="K42" s="1" t="s">
        <v>237</v>
      </c>
      <c r="L42" s="1" t="s">
        <v>238</v>
      </c>
      <c r="M42" s="1" t="s">
        <v>46</v>
      </c>
      <c r="N42" s="1">
        <v>167</v>
      </c>
      <c r="O42" s="20" t="s">
        <v>89</v>
      </c>
      <c r="S42" s="1" t="s">
        <v>77</v>
      </c>
      <c r="T42" s="3">
        <v>44956</v>
      </c>
      <c r="U42" s="6">
        <v>0.42638888888888887</v>
      </c>
      <c r="V42" s="1" t="str">
        <f t="shared" si="3"/>
        <v>0 г. 0 мес. 7 дн.</v>
      </c>
      <c r="W42" s="69"/>
    </row>
    <row r="43" spans="1:23" s="74" customFormat="1" ht="35.1" customHeight="1" x14ac:dyDescent="0.25">
      <c r="A43" s="74">
        <f t="shared" si="0"/>
        <v>42</v>
      </c>
      <c r="B43" s="74">
        <v>157</v>
      </c>
      <c r="C43" s="75" t="s">
        <v>77</v>
      </c>
      <c r="D43" s="52">
        <v>44949</v>
      </c>
      <c r="E43" s="76">
        <v>0.61458333333333337</v>
      </c>
      <c r="F43" s="74" t="s">
        <v>239</v>
      </c>
      <c r="G43" s="77">
        <v>44945</v>
      </c>
      <c r="H43" s="53" t="str">
        <f t="shared" si="2"/>
        <v>0 г. 0 мес. 4 дн.</v>
      </c>
      <c r="I43" s="37" t="s">
        <v>123</v>
      </c>
      <c r="J43" s="37"/>
      <c r="K43" s="74" t="s">
        <v>240</v>
      </c>
      <c r="L43" s="74" t="s">
        <v>241</v>
      </c>
      <c r="M43" s="74" t="s">
        <v>49</v>
      </c>
      <c r="N43" s="74">
        <v>9</v>
      </c>
      <c r="O43" s="37" t="s">
        <v>88</v>
      </c>
      <c r="Q43" s="74" t="s">
        <v>102</v>
      </c>
      <c r="S43" s="74" t="s">
        <v>30</v>
      </c>
      <c r="T43" s="77">
        <v>44949</v>
      </c>
      <c r="U43" s="76">
        <v>0.98611111111111116</v>
      </c>
      <c r="V43" s="37" t="str">
        <f t="shared" si="3"/>
        <v>0 г. 0 мес. 0 дн.</v>
      </c>
      <c r="W43" s="78"/>
    </row>
    <row r="44" spans="1:23" ht="35.1" customHeight="1" x14ac:dyDescent="0.25">
      <c r="A44" s="1">
        <f t="shared" si="0"/>
        <v>43</v>
      </c>
      <c r="B44" s="1">
        <v>148</v>
      </c>
      <c r="C44" s="39" t="s">
        <v>77</v>
      </c>
      <c r="D44" s="21">
        <v>44950</v>
      </c>
      <c r="E44" s="6">
        <v>0.46527777777777773</v>
      </c>
      <c r="F44" s="1" t="s">
        <v>242</v>
      </c>
      <c r="G44" s="3">
        <v>38407</v>
      </c>
      <c r="H44" s="11" t="str">
        <f t="shared" si="2"/>
        <v>17 г. 11 мес. 0 дн.</v>
      </c>
      <c r="I44" s="20" t="s">
        <v>121</v>
      </c>
      <c r="J44" s="20" t="s">
        <v>77</v>
      </c>
      <c r="K44" s="1" t="s">
        <v>243</v>
      </c>
      <c r="L44" s="1" t="s">
        <v>244</v>
      </c>
      <c r="M44" s="1" t="s">
        <v>50</v>
      </c>
      <c r="O44" s="20" t="s">
        <v>89</v>
      </c>
      <c r="S44" s="1" t="s">
        <v>77</v>
      </c>
      <c r="T44" s="3">
        <v>44951</v>
      </c>
      <c r="U44" s="6">
        <v>0.41666666666666669</v>
      </c>
      <c r="V44" s="1" t="str">
        <f t="shared" si="3"/>
        <v>0 г. 0 мес. 1 дн.</v>
      </c>
      <c r="W44" s="69"/>
    </row>
    <row r="45" spans="1:23" s="20" customFormat="1" ht="35.1" customHeight="1" x14ac:dyDescent="0.25">
      <c r="A45" s="20">
        <f t="shared" si="0"/>
        <v>44</v>
      </c>
      <c r="B45" s="20">
        <v>156</v>
      </c>
      <c r="C45" s="38" t="s">
        <v>77</v>
      </c>
      <c r="D45" s="21">
        <v>44951</v>
      </c>
      <c r="E45" s="22">
        <v>0.42708333333333331</v>
      </c>
      <c r="F45" s="20" t="s">
        <v>245</v>
      </c>
      <c r="G45" s="21">
        <v>39438</v>
      </c>
      <c r="H45" s="11" t="str">
        <f t="shared" si="2"/>
        <v>15 г. 1 мес. 3 дн.</v>
      </c>
      <c r="I45" s="20" t="s">
        <v>121</v>
      </c>
      <c r="J45" s="20" t="s">
        <v>77</v>
      </c>
      <c r="K45" s="20" t="s">
        <v>246</v>
      </c>
      <c r="L45" s="20" t="s">
        <v>247</v>
      </c>
      <c r="M45" s="20" t="s">
        <v>49</v>
      </c>
      <c r="O45" s="20" t="s">
        <v>89</v>
      </c>
      <c r="S45" s="20" t="s">
        <v>77</v>
      </c>
      <c r="T45" s="21">
        <v>44952</v>
      </c>
      <c r="U45" s="22">
        <v>0.45833333333333331</v>
      </c>
      <c r="V45" s="20" t="str">
        <f t="shared" si="3"/>
        <v>0 г. 0 мес. 1 дн.</v>
      </c>
      <c r="W45" s="70"/>
    </row>
    <row r="46" spans="1:23" ht="35.1" customHeight="1" x14ac:dyDescent="0.25">
      <c r="A46" s="1">
        <f t="shared" si="0"/>
        <v>45</v>
      </c>
      <c r="B46" s="1">
        <v>80</v>
      </c>
      <c r="C46" s="39" t="s">
        <v>23</v>
      </c>
      <c r="D46" s="21">
        <v>44951</v>
      </c>
      <c r="E46" s="6">
        <v>0.59722222222222221</v>
      </c>
      <c r="F46" s="1" t="s">
        <v>248</v>
      </c>
      <c r="G46" s="3">
        <v>38946</v>
      </c>
      <c r="H46" s="11" t="str">
        <f t="shared" si="2"/>
        <v>16 г. 5 мес. 8 дн.</v>
      </c>
      <c r="I46" s="20" t="s">
        <v>121</v>
      </c>
      <c r="J46" s="20" t="s">
        <v>23</v>
      </c>
      <c r="K46" s="1" t="s">
        <v>249</v>
      </c>
      <c r="L46" s="1" t="s">
        <v>250</v>
      </c>
      <c r="M46" s="1" t="s">
        <v>51</v>
      </c>
      <c r="O46" s="20" t="s">
        <v>89</v>
      </c>
      <c r="S46" s="1" t="s">
        <v>23</v>
      </c>
      <c r="T46" s="3">
        <v>44952</v>
      </c>
      <c r="U46" s="6">
        <v>0.66041666666666665</v>
      </c>
      <c r="V46" s="1" t="str">
        <f t="shared" si="3"/>
        <v>0 г. 0 мес. 1 дн.</v>
      </c>
      <c r="W46" s="69"/>
    </row>
    <row r="47" spans="1:23" ht="35.1" customHeight="1" x14ac:dyDescent="0.25">
      <c r="A47" s="8">
        <f t="shared" si="0"/>
        <v>46</v>
      </c>
      <c r="B47" s="1">
        <v>10</v>
      </c>
      <c r="C47" s="39" t="s">
        <v>23</v>
      </c>
      <c r="D47" s="21">
        <v>44952</v>
      </c>
      <c r="E47" s="6">
        <v>0.52083333333333337</v>
      </c>
      <c r="F47" s="1" t="s">
        <v>251</v>
      </c>
      <c r="G47" s="3">
        <v>40787</v>
      </c>
      <c r="H47" s="11" t="str">
        <f t="shared" si="2"/>
        <v>11 г. 4 мес. 25 дн.</v>
      </c>
      <c r="I47" s="20" t="s">
        <v>121</v>
      </c>
      <c r="J47" s="20" t="s">
        <v>23</v>
      </c>
      <c r="K47" s="1" t="s">
        <v>252</v>
      </c>
      <c r="L47" s="1" t="s">
        <v>253</v>
      </c>
      <c r="M47" s="1" t="s">
        <v>51</v>
      </c>
      <c r="O47" s="20" t="s">
        <v>89</v>
      </c>
      <c r="P47" s="1" t="s">
        <v>96</v>
      </c>
      <c r="S47" s="1" t="s">
        <v>23</v>
      </c>
      <c r="T47" s="3">
        <v>44953</v>
      </c>
      <c r="U47" s="6">
        <v>0.52083333333333337</v>
      </c>
      <c r="V47" s="1" t="str">
        <f t="shared" si="3"/>
        <v>0 г. 0 мес. 1 дн.</v>
      </c>
      <c r="W47" s="69"/>
    </row>
    <row r="48" spans="1:23" ht="35.1" customHeight="1" x14ac:dyDescent="0.25">
      <c r="A48" s="1">
        <f t="shared" si="0"/>
        <v>47</v>
      </c>
      <c r="B48" s="1">
        <v>192</v>
      </c>
      <c r="C48" s="39" t="s">
        <v>77</v>
      </c>
      <c r="D48" s="21">
        <v>44952</v>
      </c>
      <c r="E48" s="6">
        <v>0.52777777777777779</v>
      </c>
      <c r="F48" s="1" t="s">
        <v>254</v>
      </c>
      <c r="G48" s="3">
        <v>44424</v>
      </c>
      <c r="H48" s="11" t="str">
        <f t="shared" si="2"/>
        <v>1 г. 5 мес. 10 дн.</v>
      </c>
      <c r="I48" s="20" t="s">
        <v>120</v>
      </c>
      <c r="J48" s="20"/>
      <c r="K48" s="1" t="s">
        <v>255</v>
      </c>
      <c r="L48" s="1" t="s">
        <v>256</v>
      </c>
      <c r="M48" s="1" t="s">
        <v>54</v>
      </c>
      <c r="O48" s="20" t="s">
        <v>89</v>
      </c>
      <c r="S48" s="1" t="s">
        <v>77</v>
      </c>
      <c r="T48" s="3">
        <v>44953</v>
      </c>
      <c r="U48" s="6">
        <v>0.5</v>
      </c>
      <c r="V48" s="1" t="str">
        <f t="shared" si="3"/>
        <v>0 г. 0 мес. 1 дн.</v>
      </c>
      <c r="W48" s="69"/>
    </row>
    <row r="49" spans="1:23" ht="35.1" customHeight="1" x14ac:dyDescent="0.25">
      <c r="A49" s="8">
        <f t="shared" si="0"/>
        <v>48</v>
      </c>
      <c r="B49" s="1">
        <v>56</v>
      </c>
      <c r="C49" s="39" t="s">
        <v>26</v>
      </c>
      <c r="D49" s="21">
        <v>44956</v>
      </c>
      <c r="E49" s="6">
        <v>0.91666666666666663</v>
      </c>
      <c r="F49" s="1" t="s">
        <v>257</v>
      </c>
      <c r="G49" s="3">
        <v>38603</v>
      </c>
      <c r="H49" s="11" t="str">
        <f t="shared" si="2"/>
        <v>17 г. 4 мес. 22 дн.</v>
      </c>
      <c r="I49" s="20" t="s">
        <v>120</v>
      </c>
      <c r="J49" s="20"/>
      <c r="K49" s="1" t="s">
        <v>258</v>
      </c>
      <c r="L49" s="1" t="s">
        <v>259</v>
      </c>
      <c r="M49" s="1" t="s">
        <v>55</v>
      </c>
      <c r="O49" s="20" t="s">
        <v>89</v>
      </c>
      <c r="S49" s="1" t="s">
        <v>26</v>
      </c>
      <c r="T49" s="3">
        <v>44957</v>
      </c>
      <c r="U49" s="6">
        <v>0.45833333333333331</v>
      </c>
      <c r="V49" s="1" t="str">
        <f t="shared" si="3"/>
        <v>0 г. 0 мес. 1 дн.</v>
      </c>
      <c r="W49" s="69"/>
    </row>
    <row r="50" spans="1:23" ht="35.1" customHeight="1" x14ac:dyDescent="0.25">
      <c r="A50" s="1">
        <f t="shared" si="0"/>
        <v>49</v>
      </c>
      <c r="B50" s="1"/>
      <c r="C50" s="39" t="s">
        <v>77</v>
      </c>
      <c r="D50" s="21">
        <v>44957</v>
      </c>
      <c r="E50" s="6">
        <v>0.73958333333333337</v>
      </c>
      <c r="F50" s="1" t="s">
        <v>262</v>
      </c>
      <c r="G50" s="3">
        <v>44617</v>
      </c>
      <c r="H50" s="11" t="str">
        <f>DATEDIF(G50,D50,"y") &amp; " г. " &amp; DATEDIF(G50,D50,"ym") &amp; " мес. " &amp; DATEDIF(G50,D50,"md") &amp; " дн."</f>
        <v>0 г. 11 мес. 6 дн.</v>
      </c>
      <c r="I50" s="20" t="s">
        <v>120</v>
      </c>
      <c r="J50" s="20"/>
      <c r="K50" s="1" t="s">
        <v>261</v>
      </c>
      <c r="L50" s="1" t="s">
        <v>260</v>
      </c>
      <c r="M50" s="1" t="s">
        <v>54</v>
      </c>
      <c r="O50" s="20" t="s">
        <v>89</v>
      </c>
      <c r="S50" s="1" t="s">
        <v>77</v>
      </c>
      <c r="T50" s="3">
        <v>44959</v>
      </c>
      <c r="U50" s="6">
        <v>0.67847222222222225</v>
      </c>
      <c r="V50" s="1" t="str">
        <f t="shared" si="3"/>
        <v>0 г. 0 мес. 2 дн.</v>
      </c>
      <c r="W50" s="69"/>
    </row>
    <row r="51" spans="1:23" ht="35.1" customHeight="1" x14ac:dyDescent="0.25">
      <c r="A51" s="8">
        <f t="shared" si="0"/>
        <v>50</v>
      </c>
      <c r="B51" s="1">
        <v>129</v>
      </c>
      <c r="C51" s="39" t="s">
        <v>27</v>
      </c>
      <c r="D51" s="21">
        <v>44958</v>
      </c>
      <c r="E51" s="6">
        <v>0.88888888888888884</v>
      </c>
      <c r="F51" s="1" t="s">
        <v>279</v>
      </c>
      <c r="G51" s="3">
        <v>44172</v>
      </c>
      <c r="H51" s="11" t="str">
        <f t="shared" si="2"/>
        <v>2 г. 1 мес. 25 дн.</v>
      </c>
      <c r="I51" s="20" t="s">
        <v>120</v>
      </c>
      <c r="J51" s="20"/>
      <c r="K51" s="1" t="s">
        <v>263</v>
      </c>
      <c r="L51" s="1" t="s">
        <v>264</v>
      </c>
      <c r="M51" s="1" t="s">
        <v>48</v>
      </c>
      <c r="O51" s="20" t="s">
        <v>89</v>
      </c>
      <c r="S51" s="1" t="s">
        <v>27</v>
      </c>
      <c r="T51" s="3">
        <v>44960</v>
      </c>
      <c r="U51" s="6">
        <v>0.5</v>
      </c>
      <c r="V51" s="1" t="str">
        <f t="shared" si="3"/>
        <v>0 г. 0 мес. 2 дн.</v>
      </c>
      <c r="W51" s="69"/>
    </row>
    <row r="52" spans="1:23" ht="35.1" customHeight="1" x14ac:dyDescent="0.25">
      <c r="A52" s="1">
        <f t="shared" si="0"/>
        <v>51</v>
      </c>
      <c r="B52" s="1">
        <v>253</v>
      </c>
      <c r="C52" s="39" t="s">
        <v>77</v>
      </c>
      <c r="D52" s="21">
        <v>44959</v>
      </c>
      <c r="E52" s="6">
        <v>0.64930555555555558</v>
      </c>
      <c r="F52" s="1" t="s">
        <v>265</v>
      </c>
      <c r="G52" s="3">
        <v>42029</v>
      </c>
      <c r="H52" s="11" t="str">
        <f t="shared" si="2"/>
        <v>8 г. 0 мес. 8 дн.</v>
      </c>
      <c r="I52" s="20" t="s">
        <v>121</v>
      </c>
      <c r="J52" s="20" t="s">
        <v>77</v>
      </c>
      <c r="K52" s="1" t="s">
        <v>267</v>
      </c>
      <c r="L52" s="1" t="s">
        <v>266</v>
      </c>
      <c r="M52" s="1" t="s">
        <v>49</v>
      </c>
      <c r="O52" s="20" t="s">
        <v>89</v>
      </c>
      <c r="P52" s="1" t="s">
        <v>96</v>
      </c>
      <c r="S52" s="1" t="s">
        <v>77</v>
      </c>
      <c r="T52" s="3">
        <v>44962</v>
      </c>
      <c r="U52" s="6">
        <v>0.5</v>
      </c>
      <c r="V52" s="1" t="str">
        <f t="shared" si="3"/>
        <v>0 г. 0 мес. 3 дн.</v>
      </c>
      <c r="W52" s="69"/>
    </row>
    <row r="53" spans="1:23" ht="35.1" customHeight="1" x14ac:dyDescent="0.25">
      <c r="A53" s="8">
        <f t="shared" si="0"/>
        <v>52</v>
      </c>
      <c r="B53" s="1">
        <v>136</v>
      </c>
      <c r="C53" s="39" t="s">
        <v>23</v>
      </c>
      <c r="D53" s="21">
        <v>44959</v>
      </c>
      <c r="E53" s="6">
        <v>0.68402777777777779</v>
      </c>
      <c r="F53" s="1" t="s">
        <v>268</v>
      </c>
      <c r="G53" s="3">
        <v>38528</v>
      </c>
      <c r="H53" s="11" t="str">
        <f t="shared" si="2"/>
        <v>17 г. 7 мес. 8 дн.</v>
      </c>
      <c r="I53" s="20" t="s">
        <v>121</v>
      </c>
      <c r="J53" s="20" t="s">
        <v>23</v>
      </c>
      <c r="K53" s="1" t="s">
        <v>272</v>
      </c>
      <c r="L53" s="1" t="s">
        <v>269</v>
      </c>
      <c r="M53" s="1" t="s">
        <v>51</v>
      </c>
      <c r="O53" s="20" t="s">
        <v>89</v>
      </c>
      <c r="P53" s="1" t="s">
        <v>96</v>
      </c>
      <c r="S53" s="1" t="s">
        <v>23</v>
      </c>
      <c r="T53" s="3">
        <v>44960</v>
      </c>
      <c r="U53" s="6">
        <v>0.67708333333333337</v>
      </c>
      <c r="V53" s="1" t="str">
        <f t="shared" si="3"/>
        <v>0 г. 0 мес. 1 дн.</v>
      </c>
      <c r="W53" s="69"/>
    </row>
    <row r="54" spans="1:23" ht="35.1" customHeight="1" x14ac:dyDescent="0.25">
      <c r="A54" s="1">
        <f t="shared" si="0"/>
        <v>53</v>
      </c>
      <c r="B54" s="1">
        <v>67</v>
      </c>
      <c r="C54" s="39" t="s">
        <v>26</v>
      </c>
      <c r="D54" s="21">
        <v>44959</v>
      </c>
      <c r="E54" s="6">
        <v>0.875</v>
      </c>
      <c r="F54" s="1" t="s">
        <v>270</v>
      </c>
      <c r="G54" s="3">
        <v>39830</v>
      </c>
      <c r="H54" s="11" t="str">
        <f t="shared" si="2"/>
        <v>14 г. 0 мес. 16 дн.</v>
      </c>
      <c r="I54" s="20" t="s">
        <v>120</v>
      </c>
      <c r="J54" s="20"/>
      <c r="K54" s="1" t="s">
        <v>271</v>
      </c>
      <c r="L54" s="1" t="s">
        <v>273</v>
      </c>
      <c r="M54" s="1" t="s">
        <v>48</v>
      </c>
      <c r="O54" s="20" t="s">
        <v>89</v>
      </c>
      <c r="S54" s="1" t="s">
        <v>82</v>
      </c>
      <c r="T54" s="3">
        <v>44966</v>
      </c>
      <c r="U54" s="6">
        <v>0.54166666666666663</v>
      </c>
      <c r="V54" s="1" t="str">
        <f t="shared" si="3"/>
        <v>0 г. 0 мес. 7 дн.</v>
      </c>
      <c r="W54" s="69"/>
    </row>
    <row r="55" spans="1:23" s="71" customFormat="1" ht="35.1" customHeight="1" x14ac:dyDescent="0.2">
      <c r="A55" s="8">
        <f t="shared" si="0"/>
        <v>54</v>
      </c>
      <c r="B55" s="1">
        <v>74</v>
      </c>
      <c r="C55" s="39" t="s">
        <v>25</v>
      </c>
      <c r="D55" s="21">
        <v>44960</v>
      </c>
      <c r="E55" s="6">
        <v>0.52083333333333337</v>
      </c>
      <c r="F55" s="1" t="s">
        <v>274</v>
      </c>
      <c r="G55" s="3">
        <v>41451</v>
      </c>
      <c r="H55" s="11" t="str">
        <f t="shared" si="2"/>
        <v>9 г. 7 мес. 8 дн.</v>
      </c>
      <c r="I55" s="20" t="s">
        <v>120</v>
      </c>
      <c r="J55" s="20"/>
      <c r="K55" s="1" t="s">
        <v>275</v>
      </c>
      <c r="L55" s="1" t="s">
        <v>276</v>
      </c>
      <c r="M55" s="1" t="s">
        <v>46</v>
      </c>
      <c r="N55" s="1"/>
      <c r="O55" s="20" t="s">
        <v>89</v>
      </c>
      <c r="P55" s="1"/>
      <c r="Q55" s="1"/>
      <c r="R55" s="1"/>
      <c r="S55" s="1" t="s">
        <v>28</v>
      </c>
      <c r="T55" s="3">
        <v>44961</v>
      </c>
      <c r="U55" s="6">
        <v>0.41666666666666669</v>
      </c>
      <c r="V55" s="1" t="str">
        <f t="shared" si="3"/>
        <v>0 г. 0 мес. 1 дн.</v>
      </c>
      <c r="W55" s="69"/>
    </row>
    <row r="56" spans="1:23" ht="35.1" customHeight="1" x14ac:dyDescent="0.25">
      <c r="A56" s="1">
        <f t="shared" si="0"/>
        <v>55</v>
      </c>
      <c r="B56" s="1">
        <v>226</v>
      </c>
      <c r="C56" s="39" t="s">
        <v>77</v>
      </c>
      <c r="D56" s="21">
        <v>44956</v>
      </c>
      <c r="E56" s="6">
        <v>0.54166666666666663</v>
      </c>
      <c r="F56" s="1" t="s">
        <v>236</v>
      </c>
      <c r="G56" s="3">
        <v>44419</v>
      </c>
      <c r="H56" s="11" t="str">
        <f t="shared" si="2"/>
        <v>1 г. 5 мес. 19 дн.</v>
      </c>
      <c r="I56" s="20" t="s">
        <v>122</v>
      </c>
      <c r="J56" s="20" t="s">
        <v>82</v>
      </c>
      <c r="K56" s="1" t="s">
        <v>277</v>
      </c>
      <c r="L56" s="1" t="s">
        <v>278</v>
      </c>
      <c r="M56" s="1" t="s">
        <v>49</v>
      </c>
      <c r="O56" s="20" t="s">
        <v>92</v>
      </c>
      <c r="P56" s="1" t="s">
        <v>96</v>
      </c>
      <c r="S56" s="1" t="s">
        <v>77</v>
      </c>
      <c r="T56" s="3">
        <v>44964</v>
      </c>
      <c r="U56" s="6">
        <v>0.99930555555555556</v>
      </c>
      <c r="V56" s="1" t="str">
        <f t="shared" si="3"/>
        <v>0 г. 0 мес. 8 дн.</v>
      </c>
      <c r="W56" s="69"/>
    </row>
    <row r="57" spans="1:23" ht="35.1" customHeight="1" x14ac:dyDescent="0.25">
      <c r="A57" s="8">
        <f t="shared" si="0"/>
        <v>56</v>
      </c>
      <c r="B57" s="1">
        <v>97</v>
      </c>
      <c r="C57" s="39" t="s">
        <v>23</v>
      </c>
      <c r="D57" s="21">
        <v>44953</v>
      </c>
      <c r="E57" s="6">
        <v>0.53125</v>
      </c>
      <c r="F57" s="1" t="s">
        <v>281</v>
      </c>
      <c r="G57" s="3">
        <v>38986</v>
      </c>
      <c r="H57" s="11" t="str">
        <f t="shared" si="2"/>
        <v>16 г. 4 мес. 1 дн.</v>
      </c>
      <c r="I57" s="20" t="s">
        <v>121</v>
      </c>
      <c r="J57" s="20" t="s">
        <v>23</v>
      </c>
      <c r="K57" s="1" t="s">
        <v>282</v>
      </c>
      <c r="L57" s="1" t="s">
        <v>283</v>
      </c>
      <c r="M57" s="1" t="s">
        <v>51</v>
      </c>
      <c r="O57" s="20" t="s">
        <v>89</v>
      </c>
      <c r="P57" s="1" t="s">
        <v>96</v>
      </c>
      <c r="S57" s="1" t="s">
        <v>23</v>
      </c>
      <c r="T57" s="3">
        <v>44954</v>
      </c>
      <c r="U57" s="6">
        <v>0.52777777777777779</v>
      </c>
      <c r="V57" s="1" t="str">
        <f t="shared" si="3"/>
        <v>0 г. 0 мес. 1 дн.</v>
      </c>
      <c r="W57" s="69"/>
    </row>
    <row r="58" spans="1:23" s="8" customFormat="1" ht="35.1" customHeight="1" x14ac:dyDescent="0.25">
      <c r="A58" s="1">
        <f t="shared" si="0"/>
        <v>57</v>
      </c>
      <c r="B58" s="8">
        <v>75</v>
      </c>
      <c r="C58" s="41" t="s">
        <v>28</v>
      </c>
      <c r="D58" s="21">
        <v>44962</v>
      </c>
      <c r="E58" s="10">
        <v>0.64583333333333337</v>
      </c>
      <c r="F58" s="8" t="s">
        <v>284</v>
      </c>
      <c r="G58" s="9">
        <v>42634</v>
      </c>
      <c r="H58" s="11" t="str">
        <f t="shared" si="2"/>
        <v>6 г. 4 мес. 15 дн.</v>
      </c>
      <c r="I58" s="20" t="s">
        <v>75</v>
      </c>
      <c r="J58" s="20"/>
      <c r="K58" s="8" t="s">
        <v>285</v>
      </c>
      <c r="L58" s="8" t="s">
        <v>286</v>
      </c>
      <c r="M58" s="8" t="s">
        <v>46</v>
      </c>
      <c r="O58" s="20" t="s">
        <v>89</v>
      </c>
      <c r="S58" s="8" t="s">
        <v>28</v>
      </c>
      <c r="T58" s="9">
        <v>44963</v>
      </c>
      <c r="U58" s="10">
        <v>0.5</v>
      </c>
      <c r="V58" s="1" t="str">
        <f t="shared" si="3"/>
        <v>0 г. 0 мес. 1 дн.</v>
      </c>
      <c r="W58" s="73"/>
    </row>
    <row r="59" spans="1:23" ht="35.1" customHeight="1" x14ac:dyDescent="0.25">
      <c r="A59" s="8">
        <f t="shared" si="0"/>
        <v>58</v>
      </c>
      <c r="B59" s="1">
        <v>167</v>
      </c>
      <c r="C59" s="39" t="s">
        <v>23</v>
      </c>
      <c r="D59" s="21">
        <v>44963</v>
      </c>
      <c r="E59" s="6">
        <v>0.65625</v>
      </c>
      <c r="F59" s="1" t="s">
        <v>251</v>
      </c>
      <c r="G59" s="3">
        <v>40787</v>
      </c>
      <c r="H59" s="11" t="str">
        <f t="shared" si="2"/>
        <v>11 г. 5 мес. 5 дн.</v>
      </c>
      <c r="I59" s="20" t="s">
        <v>121</v>
      </c>
      <c r="J59" s="20" t="s">
        <v>23</v>
      </c>
      <c r="K59" s="1" t="s">
        <v>287</v>
      </c>
      <c r="L59" s="1" t="s">
        <v>288</v>
      </c>
      <c r="M59" s="1" t="s">
        <v>52</v>
      </c>
      <c r="O59" s="20" t="s">
        <v>89</v>
      </c>
      <c r="P59" s="1" t="s">
        <v>96</v>
      </c>
      <c r="S59" s="1" t="s">
        <v>23</v>
      </c>
      <c r="T59" s="3">
        <v>44964</v>
      </c>
      <c r="U59" s="6">
        <v>0.55208333333333337</v>
      </c>
      <c r="V59" s="1" t="str">
        <f t="shared" si="3"/>
        <v>0 г. 0 мес. 1 дн.</v>
      </c>
      <c r="W59" s="69"/>
    </row>
    <row r="60" spans="1:23" ht="35.1" customHeight="1" x14ac:dyDescent="0.2">
      <c r="A60" s="1">
        <f t="shared" si="0"/>
        <v>59</v>
      </c>
      <c r="B60" s="1">
        <v>231</v>
      </c>
      <c r="C60" s="39" t="s">
        <v>77</v>
      </c>
      <c r="D60" s="21">
        <v>44963</v>
      </c>
      <c r="E60" s="6">
        <v>0.59722222222222221</v>
      </c>
      <c r="F60" s="1" t="s">
        <v>331</v>
      </c>
      <c r="G60" s="3">
        <v>38908</v>
      </c>
      <c r="H60" s="11" t="str">
        <f t="shared" si="2"/>
        <v>16 г. 6 мес. 27 дн.</v>
      </c>
      <c r="I60" s="20" t="s">
        <v>121</v>
      </c>
      <c r="J60" s="20" t="s">
        <v>77</v>
      </c>
      <c r="K60" s="1" t="s">
        <v>289</v>
      </c>
      <c r="L60" s="1" t="s">
        <v>290</v>
      </c>
      <c r="M60" s="39" t="s">
        <v>46</v>
      </c>
      <c r="N60" s="7"/>
      <c r="O60" s="20" t="s">
        <v>89</v>
      </c>
      <c r="P60" s="7"/>
      <c r="Q60" s="7"/>
      <c r="R60" s="7"/>
      <c r="S60" s="1" t="s">
        <v>77</v>
      </c>
      <c r="T60" s="3">
        <v>44964</v>
      </c>
      <c r="U60" s="79">
        <v>0.5</v>
      </c>
      <c r="V60" s="1" t="str">
        <f t="shared" si="3"/>
        <v>0 г. 0 мес. 1 дн.</v>
      </c>
      <c r="W60" s="69"/>
    </row>
    <row r="61" spans="1:23" s="20" customFormat="1" ht="35.1" customHeight="1" x14ac:dyDescent="0.25">
      <c r="A61" s="20">
        <f t="shared" si="0"/>
        <v>60</v>
      </c>
      <c r="B61" s="20">
        <v>77</v>
      </c>
      <c r="C61" s="38" t="s">
        <v>26</v>
      </c>
      <c r="D61" s="21">
        <v>44964</v>
      </c>
      <c r="E61" s="22">
        <v>0.61805555555555558</v>
      </c>
      <c r="F61" s="20" t="s">
        <v>291</v>
      </c>
      <c r="G61" s="21">
        <v>39398</v>
      </c>
      <c r="H61" s="11" t="str">
        <f t="shared" si="2"/>
        <v>15 г. 2 мес. 26 дн.</v>
      </c>
      <c r="I61" s="20" t="s">
        <v>120</v>
      </c>
      <c r="K61" s="20" t="s">
        <v>292</v>
      </c>
      <c r="L61" s="20" t="s">
        <v>293</v>
      </c>
      <c r="M61" s="20" t="s">
        <v>55</v>
      </c>
      <c r="O61" s="20" t="s">
        <v>89</v>
      </c>
      <c r="S61" s="20" t="s">
        <v>26</v>
      </c>
      <c r="T61" s="21">
        <v>44965</v>
      </c>
      <c r="U61" s="22">
        <v>0.5</v>
      </c>
      <c r="V61" s="20" t="str">
        <f t="shared" si="3"/>
        <v>0 г. 0 мес. 1 дн.</v>
      </c>
      <c r="W61" s="70"/>
    </row>
    <row r="62" spans="1:23" ht="35.1" customHeight="1" x14ac:dyDescent="0.25">
      <c r="A62" s="1">
        <f t="shared" si="0"/>
        <v>61</v>
      </c>
      <c r="B62" s="1">
        <v>82</v>
      </c>
      <c r="C62" s="39" t="s">
        <v>28</v>
      </c>
      <c r="D62" s="21">
        <v>44964</v>
      </c>
      <c r="E62" s="6">
        <v>0.79166666666666663</v>
      </c>
      <c r="F62" s="1" t="s">
        <v>294</v>
      </c>
      <c r="G62" s="3">
        <v>44922</v>
      </c>
      <c r="H62" s="11" t="str">
        <f t="shared" si="2"/>
        <v>0 г. 1 мес. 11 дн.</v>
      </c>
      <c r="I62" s="20" t="s">
        <v>122</v>
      </c>
      <c r="J62" s="20" t="s">
        <v>28</v>
      </c>
      <c r="K62" s="1" t="s">
        <v>295</v>
      </c>
      <c r="L62" s="1" t="s">
        <v>296</v>
      </c>
      <c r="M62" s="1" t="s">
        <v>46</v>
      </c>
      <c r="O62" s="20" t="s">
        <v>89</v>
      </c>
      <c r="S62" s="1" t="s">
        <v>28</v>
      </c>
      <c r="T62" s="3">
        <v>44965</v>
      </c>
      <c r="U62" s="6">
        <v>0.5625</v>
      </c>
      <c r="V62" s="1" t="str">
        <f t="shared" si="3"/>
        <v>0 г. 0 мес. 1 дн.</v>
      </c>
      <c r="W62" s="69"/>
    </row>
    <row r="63" spans="1:23" ht="35.1" customHeight="1" x14ac:dyDescent="0.25">
      <c r="A63" s="8">
        <f t="shared" si="0"/>
        <v>62</v>
      </c>
      <c r="B63" s="1">
        <v>82</v>
      </c>
      <c r="C63" s="39" t="s">
        <v>26</v>
      </c>
      <c r="D63" s="21">
        <v>44966</v>
      </c>
      <c r="E63" s="6">
        <v>0.51736111111111105</v>
      </c>
      <c r="F63" s="1" t="s">
        <v>297</v>
      </c>
      <c r="G63" s="3">
        <v>41844</v>
      </c>
      <c r="H63" s="11" t="str">
        <f t="shared" si="2"/>
        <v>8 г. 6 мес. 16 дн.</v>
      </c>
      <c r="I63" s="20" t="s">
        <v>120</v>
      </c>
      <c r="J63" s="20"/>
      <c r="K63" s="1" t="s">
        <v>298</v>
      </c>
      <c r="L63" s="1" t="s">
        <v>580</v>
      </c>
      <c r="M63" s="1" t="s">
        <v>43</v>
      </c>
      <c r="O63" s="20" t="s">
        <v>89</v>
      </c>
      <c r="S63" s="1" t="s">
        <v>29</v>
      </c>
      <c r="T63" s="3">
        <v>44967</v>
      </c>
      <c r="U63" s="6">
        <v>0.5</v>
      </c>
      <c r="V63" s="1" t="str">
        <f t="shared" si="3"/>
        <v>0 г. 0 мес. 1 дн.</v>
      </c>
      <c r="W63" s="69"/>
    </row>
    <row r="64" spans="1:23" ht="35.1" customHeight="1" x14ac:dyDescent="0.25">
      <c r="A64" s="1">
        <f t="shared" si="0"/>
        <v>63</v>
      </c>
      <c r="B64" s="1">
        <v>88</v>
      </c>
      <c r="C64" s="39" t="s">
        <v>26</v>
      </c>
      <c r="D64" s="21">
        <v>44967</v>
      </c>
      <c r="E64" s="6">
        <v>0.52083333333333337</v>
      </c>
      <c r="F64" s="1" t="s">
        <v>300</v>
      </c>
      <c r="G64" s="3">
        <v>39121</v>
      </c>
      <c r="H64" s="11" t="str">
        <f t="shared" si="2"/>
        <v>16 г. 0 мес. 2 дн.</v>
      </c>
      <c r="I64" s="20" t="s">
        <v>120</v>
      </c>
      <c r="J64" s="20"/>
      <c r="K64" s="1" t="s">
        <v>301</v>
      </c>
      <c r="L64" s="1" t="s">
        <v>302</v>
      </c>
      <c r="M64" s="1" t="s">
        <v>55</v>
      </c>
      <c r="O64" s="20" t="s">
        <v>89</v>
      </c>
      <c r="S64" s="1" t="s">
        <v>26</v>
      </c>
      <c r="T64" s="3">
        <v>44968</v>
      </c>
      <c r="U64" s="6">
        <v>0.41666666666666669</v>
      </c>
      <c r="V64" s="1" t="str">
        <f t="shared" si="3"/>
        <v>0 г. 0 мес. 1 дн.</v>
      </c>
      <c r="W64" s="69"/>
    </row>
    <row r="65" spans="1:23" ht="35.1" customHeight="1" x14ac:dyDescent="0.25">
      <c r="A65" s="8">
        <f t="shared" ref="A65:A128" si="4">ROW(A64)</f>
        <v>64</v>
      </c>
      <c r="B65" s="1">
        <v>80</v>
      </c>
      <c r="C65" s="39" t="s">
        <v>26</v>
      </c>
      <c r="D65" s="21">
        <v>44965</v>
      </c>
      <c r="E65" s="6">
        <v>3.472222222222222E-3</v>
      </c>
      <c r="F65" s="1" t="s">
        <v>236</v>
      </c>
      <c r="G65" s="3">
        <v>44419</v>
      </c>
      <c r="H65" s="11" t="str">
        <f t="shared" ref="H65:H128" si="5">DATEDIF(G65,D65,"y") &amp; " г. " &amp; DATEDIF(G65,D65,"ym") &amp; " мес. " &amp; DATEDIF(G65,D65,"md") &amp; " дн."</f>
        <v>1 г. 5 мес. 28 дн.</v>
      </c>
      <c r="I65" s="20" t="s">
        <v>122</v>
      </c>
      <c r="J65" s="20" t="s">
        <v>77</v>
      </c>
      <c r="K65" s="1" t="s">
        <v>277</v>
      </c>
      <c r="L65" s="1" t="s">
        <v>238</v>
      </c>
      <c r="M65" s="1" t="s">
        <v>46</v>
      </c>
      <c r="O65" s="20" t="s">
        <v>92</v>
      </c>
      <c r="P65" s="1" t="s">
        <v>96</v>
      </c>
      <c r="Q65" s="1" t="s">
        <v>149</v>
      </c>
      <c r="R65" s="1" t="s">
        <v>112</v>
      </c>
      <c r="S65" s="1" t="s">
        <v>82</v>
      </c>
      <c r="T65" s="3">
        <v>44994</v>
      </c>
      <c r="U65" s="6">
        <v>0.99652777777777779</v>
      </c>
      <c r="V65" s="1" t="str">
        <f t="shared" ref="V65:V96" si="6">DATEDIF(D65,T65,"y") &amp; " г. " &amp; DATEDIF(D65,T65,"ym") &amp; " мес. " &amp; DATEDIF(D65,T65,"md") &amp; " дн."</f>
        <v>0 г. 1 мес. 1 дн.</v>
      </c>
      <c r="W65" s="69"/>
    </row>
    <row r="66" spans="1:23" ht="35.1" customHeight="1" x14ac:dyDescent="0.25">
      <c r="A66" s="1">
        <f t="shared" si="4"/>
        <v>65</v>
      </c>
      <c r="B66" s="1">
        <v>90</v>
      </c>
      <c r="C66" s="39" t="s">
        <v>26</v>
      </c>
      <c r="D66" s="21">
        <v>44968</v>
      </c>
      <c r="E66" s="6">
        <v>0.45833333333333331</v>
      </c>
      <c r="F66" s="1" t="s">
        <v>303</v>
      </c>
      <c r="G66" s="3">
        <v>40406</v>
      </c>
      <c r="H66" s="11" t="str">
        <f t="shared" si="5"/>
        <v>12 г. 5 мес. 26 дн.</v>
      </c>
      <c r="I66" s="20" t="s">
        <v>120</v>
      </c>
      <c r="J66" s="20"/>
      <c r="K66" s="1" t="s">
        <v>304</v>
      </c>
      <c r="L66" s="1" t="s">
        <v>305</v>
      </c>
      <c r="M66" s="1" t="s">
        <v>43</v>
      </c>
      <c r="O66" s="20" t="s">
        <v>89</v>
      </c>
      <c r="S66" s="1" t="s">
        <v>26</v>
      </c>
      <c r="T66" s="3">
        <v>44970</v>
      </c>
      <c r="U66" s="6">
        <v>0.5</v>
      </c>
      <c r="V66" s="1" t="str">
        <f t="shared" si="6"/>
        <v>0 г. 0 мес. 2 дн.</v>
      </c>
      <c r="W66" s="69"/>
    </row>
    <row r="67" spans="1:23" ht="35.1" customHeight="1" x14ac:dyDescent="0.25">
      <c r="A67" s="8">
        <f t="shared" si="4"/>
        <v>66</v>
      </c>
      <c r="B67" s="1">
        <v>325</v>
      </c>
      <c r="C67" s="39" t="s">
        <v>77</v>
      </c>
      <c r="D67" s="21">
        <v>44968</v>
      </c>
      <c r="E67" s="6">
        <v>0.66666666666666663</v>
      </c>
      <c r="F67" s="1" t="s">
        <v>306</v>
      </c>
      <c r="G67" s="3">
        <v>42249</v>
      </c>
      <c r="H67" s="11" t="str">
        <f t="shared" si="5"/>
        <v>7 г. 5 мес. 9 дн.</v>
      </c>
      <c r="I67" s="20" t="s">
        <v>120</v>
      </c>
      <c r="J67" s="20"/>
      <c r="K67" s="1" t="s">
        <v>307</v>
      </c>
      <c r="L67" s="1" t="s">
        <v>308</v>
      </c>
      <c r="M67" s="1" t="s">
        <v>54</v>
      </c>
      <c r="O67" s="20" t="s">
        <v>73</v>
      </c>
      <c r="S67" s="1" t="s">
        <v>77</v>
      </c>
      <c r="T67" s="3">
        <v>44971</v>
      </c>
      <c r="U67" s="6">
        <v>0.58333333333333337</v>
      </c>
      <c r="V67" s="1" t="str">
        <f t="shared" si="6"/>
        <v>0 г. 0 мес. 3 дн.</v>
      </c>
      <c r="W67" s="69"/>
    </row>
    <row r="68" spans="1:23" ht="35.1" customHeight="1" x14ac:dyDescent="0.25">
      <c r="A68" s="1">
        <f t="shared" si="4"/>
        <v>67</v>
      </c>
      <c r="B68" s="1">
        <v>329</v>
      </c>
      <c r="C68" s="39" t="s">
        <v>77</v>
      </c>
      <c r="D68" s="21">
        <v>44970</v>
      </c>
      <c r="E68" s="6">
        <v>0.51041666666666663</v>
      </c>
      <c r="F68" s="1" t="s">
        <v>309</v>
      </c>
      <c r="G68" s="3">
        <v>44428</v>
      </c>
      <c r="H68" s="11" t="str">
        <f t="shared" si="5"/>
        <v>1 г. 5 мес. 24 дн.</v>
      </c>
      <c r="I68" s="20" t="s">
        <v>121</v>
      </c>
      <c r="J68" s="20" t="s">
        <v>77</v>
      </c>
      <c r="K68" s="1" t="s">
        <v>310</v>
      </c>
      <c r="L68" s="1" t="s">
        <v>311</v>
      </c>
      <c r="M68" s="1" t="s">
        <v>51</v>
      </c>
      <c r="O68" s="20" t="s">
        <v>89</v>
      </c>
      <c r="S68" s="1" t="s">
        <v>77</v>
      </c>
      <c r="T68" s="3">
        <v>44970</v>
      </c>
      <c r="U68" s="6">
        <v>0.75</v>
      </c>
      <c r="V68" s="1" t="str">
        <f t="shared" si="6"/>
        <v>0 г. 0 мес. 0 дн.</v>
      </c>
      <c r="W68" s="69"/>
    </row>
    <row r="69" spans="1:23" ht="35.1" customHeight="1" x14ac:dyDescent="0.25">
      <c r="A69" s="8">
        <f t="shared" si="4"/>
        <v>68</v>
      </c>
      <c r="B69" s="1">
        <v>348</v>
      </c>
      <c r="C69" s="39" t="s">
        <v>312</v>
      </c>
      <c r="D69" s="21">
        <v>44971</v>
      </c>
      <c r="E69" s="6">
        <v>0.64583333333333337</v>
      </c>
      <c r="F69" s="1" t="s">
        <v>332</v>
      </c>
      <c r="G69" s="3">
        <v>44825</v>
      </c>
      <c r="H69" s="11" t="str">
        <f t="shared" si="5"/>
        <v>0 г. 4 мес. 24 дн.</v>
      </c>
      <c r="I69" s="20" t="s">
        <v>121</v>
      </c>
      <c r="J69" s="20" t="s">
        <v>77</v>
      </c>
      <c r="K69" s="1" t="s">
        <v>313</v>
      </c>
      <c r="L69" s="1" t="s">
        <v>333</v>
      </c>
      <c r="M69" s="1" t="s">
        <v>49</v>
      </c>
      <c r="O69" s="20" t="s">
        <v>89</v>
      </c>
      <c r="S69" s="1" t="s">
        <v>77</v>
      </c>
      <c r="T69" s="3">
        <v>44975</v>
      </c>
      <c r="U69" s="6">
        <v>0.5</v>
      </c>
      <c r="V69" s="1" t="str">
        <f t="shared" si="6"/>
        <v>0 г. 0 мес. 4 дн.</v>
      </c>
      <c r="W69" s="69"/>
    </row>
    <row r="70" spans="1:23" ht="35.1" customHeight="1" x14ac:dyDescent="0.25">
      <c r="A70" s="1">
        <f t="shared" si="4"/>
        <v>69</v>
      </c>
      <c r="B70" s="1">
        <v>320</v>
      </c>
      <c r="C70" s="39" t="s">
        <v>77</v>
      </c>
      <c r="D70" s="21">
        <v>44971</v>
      </c>
      <c r="E70" s="6">
        <v>0.61805555555555558</v>
      </c>
      <c r="F70" s="1" t="s">
        <v>314</v>
      </c>
      <c r="G70" s="3">
        <v>40591</v>
      </c>
      <c r="H70" s="11" t="str">
        <f t="shared" si="5"/>
        <v>11 г. 11 мес. 28 дн.</v>
      </c>
      <c r="I70" s="20" t="s">
        <v>121</v>
      </c>
      <c r="J70" s="20" t="s">
        <v>77</v>
      </c>
      <c r="K70" s="1" t="s">
        <v>315</v>
      </c>
      <c r="L70" s="1" t="s">
        <v>316</v>
      </c>
      <c r="M70" s="1" t="s">
        <v>49</v>
      </c>
      <c r="O70" s="20" t="s">
        <v>89</v>
      </c>
      <c r="P70" s="1" t="s">
        <v>96</v>
      </c>
      <c r="S70" s="1" t="s">
        <v>77</v>
      </c>
      <c r="T70" s="3">
        <v>44977</v>
      </c>
      <c r="U70" s="6">
        <v>0.54166666666666663</v>
      </c>
      <c r="V70" s="1" t="str">
        <f t="shared" si="6"/>
        <v>0 г. 0 мес. 6 дн.</v>
      </c>
      <c r="W70" s="69"/>
    </row>
    <row r="71" spans="1:23" ht="35.1" customHeight="1" x14ac:dyDescent="0.25">
      <c r="A71" s="8">
        <f t="shared" si="4"/>
        <v>70</v>
      </c>
      <c r="B71" s="1">
        <v>93</v>
      </c>
      <c r="C71" s="39" t="s">
        <v>26</v>
      </c>
      <c r="D71" s="21">
        <v>44970</v>
      </c>
      <c r="E71" s="6">
        <v>0.44444444444444442</v>
      </c>
      <c r="F71" s="1" t="s">
        <v>317</v>
      </c>
      <c r="G71" s="3">
        <v>43654</v>
      </c>
      <c r="H71" s="11" t="str">
        <f t="shared" si="5"/>
        <v>3 г. 7 мес. 5 дн.</v>
      </c>
      <c r="I71" s="20" t="s">
        <v>120</v>
      </c>
      <c r="J71" s="20"/>
      <c r="K71" s="1" t="s">
        <v>318</v>
      </c>
      <c r="L71" s="1" t="s">
        <v>319</v>
      </c>
      <c r="M71" s="1" t="s">
        <v>42</v>
      </c>
      <c r="N71" s="1">
        <v>744</v>
      </c>
      <c r="O71" s="20" t="s">
        <v>89</v>
      </c>
      <c r="S71" s="1" t="s">
        <v>82</v>
      </c>
      <c r="T71" s="3">
        <v>44978</v>
      </c>
      <c r="U71" s="6">
        <v>0.40277777777777773</v>
      </c>
      <c r="V71" s="1" t="str">
        <f t="shared" si="6"/>
        <v>0 г. 0 мес. 8 дн.</v>
      </c>
      <c r="W71" s="69"/>
    </row>
    <row r="72" spans="1:23" ht="35.1" customHeight="1" x14ac:dyDescent="0.25">
      <c r="A72" s="1">
        <f t="shared" si="4"/>
        <v>71</v>
      </c>
      <c r="B72" s="1">
        <v>213</v>
      </c>
      <c r="C72" s="39" t="s">
        <v>23</v>
      </c>
      <c r="D72" s="21">
        <v>44973</v>
      </c>
      <c r="E72" s="6">
        <v>0.65972222222222221</v>
      </c>
      <c r="F72" s="1" t="s">
        <v>320</v>
      </c>
      <c r="G72" s="3">
        <v>38867</v>
      </c>
      <c r="H72" s="11" t="str">
        <f t="shared" si="5"/>
        <v>16 г. 8 мес. 17 дн.</v>
      </c>
      <c r="I72" s="20" t="s">
        <v>121</v>
      </c>
      <c r="J72" s="20" t="s">
        <v>23</v>
      </c>
      <c r="K72" s="1" t="s">
        <v>321</v>
      </c>
      <c r="L72" s="1" t="s">
        <v>322</v>
      </c>
      <c r="M72" s="1" t="s">
        <v>51</v>
      </c>
      <c r="O72" s="20" t="s">
        <v>89</v>
      </c>
      <c r="P72" s="1" t="s">
        <v>96</v>
      </c>
      <c r="S72" s="1" t="s">
        <v>23</v>
      </c>
      <c r="T72" s="3">
        <v>44974</v>
      </c>
      <c r="U72" s="6">
        <v>0.5</v>
      </c>
      <c r="V72" s="1" t="str">
        <f t="shared" si="6"/>
        <v>0 г. 0 мес. 1 дн.</v>
      </c>
      <c r="W72" s="69"/>
    </row>
    <row r="73" spans="1:23" ht="35.1" customHeight="1" x14ac:dyDescent="0.25">
      <c r="A73" s="8">
        <f t="shared" si="4"/>
        <v>72</v>
      </c>
      <c r="B73" s="1">
        <v>369</v>
      </c>
      <c r="C73" s="39" t="s">
        <v>77</v>
      </c>
      <c r="D73" s="21">
        <v>44973</v>
      </c>
      <c r="E73" s="6">
        <v>0.94791666666666663</v>
      </c>
      <c r="F73" s="1" t="s">
        <v>362</v>
      </c>
      <c r="G73" s="3">
        <v>42485</v>
      </c>
      <c r="H73" s="11" t="str">
        <f t="shared" si="5"/>
        <v>6 г. 9 мес. 22 дн.</v>
      </c>
      <c r="I73" s="20" t="s">
        <v>121</v>
      </c>
      <c r="J73" s="20" t="s">
        <v>77</v>
      </c>
      <c r="K73" s="1" t="s">
        <v>323</v>
      </c>
      <c r="L73" s="1" t="s">
        <v>324</v>
      </c>
      <c r="M73" s="1" t="s">
        <v>49</v>
      </c>
      <c r="O73" s="20" t="s">
        <v>89</v>
      </c>
      <c r="S73" s="1" t="s">
        <v>77</v>
      </c>
      <c r="T73" s="3">
        <v>44974</v>
      </c>
      <c r="U73" s="6">
        <v>0.54166666666666663</v>
      </c>
      <c r="V73" s="1" t="str">
        <f t="shared" si="6"/>
        <v>0 г. 0 мес. 1 дн.</v>
      </c>
      <c r="W73" s="69"/>
    </row>
    <row r="74" spans="1:23" ht="35.1" customHeight="1" x14ac:dyDescent="0.25">
      <c r="A74" s="1">
        <f t="shared" si="4"/>
        <v>73</v>
      </c>
      <c r="B74" s="1">
        <v>374</v>
      </c>
      <c r="C74" s="39" t="s">
        <v>77</v>
      </c>
      <c r="D74" s="21">
        <v>44973</v>
      </c>
      <c r="E74" s="6">
        <v>0.91666666666666663</v>
      </c>
      <c r="F74" s="1" t="s">
        <v>325</v>
      </c>
      <c r="G74" s="3">
        <v>44712</v>
      </c>
      <c r="H74" s="11" t="str">
        <f t="shared" si="5"/>
        <v>0 г. 8 мес. 16 дн.</v>
      </c>
      <c r="I74" s="20" t="s">
        <v>120</v>
      </c>
      <c r="J74" s="20"/>
      <c r="K74" s="1" t="s">
        <v>326</v>
      </c>
      <c r="L74" s="1" t="s">
        <v>327</v>
      </c>
      <c r="M74" s="1" t="s">
        <v>54</v>
      </c>
      <c r="O74" s="20" t="s">
        <v>73</v>
      </c>
      <c r="S74" s="1" t="s">
        <v>77</v>
      </c>
      <c r="T74" s="3">
        <v>44975</v>
      </c>
      <c r="U74" s="6">
        <v>0.5</v>
      </c>
      <c r="V74" s="1" t="str">
        <f t="shared" si="6"/>
        <v>0 г. 0 мес. 2 дн.</v>
      </c>
      <c r="W74" s="69"/>
    </row>
    <row r="75" spans="1:23" s="57" customFormat="1" ht="35.1" customHeight="1" x14ac:dyDescent="0.25">
      <c r="A75" s="51">
        <f t="shared" si="4"/>
        <v>74</v>
      </c>
      <c r="B75" s="51">
        <v>202</v>
      </c>
      <c r="C75" s="58" t="s">
        <v>23</v>
      </c>
      <c r="D75" s="21">
        <v>44974</v>
      </c>
      <c r="E75" s="59">
        <v>0.62847222222222221</v>
      </c>
      <c r="F75" s="51" t="s">
        <v>328</v>
      </c>
      <c r="G75" s="80">
        <v>39032</v>
      </c>
      <c r="H75" s="11" t="str">
        <f t="shared" si="5"/>
        <v>16 г. 3 мес. 6 дн.</v>
      </c>
      <c r="I75" s="20" t="s">
        <v>121</v>
      </c>
      <c r="J75" s="20" t="s">
        <v>23</v>
      </c>
      <c r="K75" s="81" t="s">
        <v>329</v>
      </c>
      <c r="L75" s="81" t="s">
        <v>330</v>
      </c>
      <c r="M75" s="81" t="s">
        <v>51</v>
      </c>
      <c r="O75" s="20" t="s">
        <v>89</v>
      </c>
      <c r="P75" s="82" t="s">
        <v>96</v>
      </c>
      <c r="S75" s="82" t="s">
        <v>23</v>
      </c>
      <c r="T75" s="54">
        <v>44975</v>
      </c>
      <c r="U75" s="83">
        <v>0.45833333333333331</v>
      </c>
      <c r="V75" s="81" t="str">
        <f t="shared" si="6"/>
        <v>0 г. 0 мес. 1 дн.</v>
      </c>
      <c r="W75" s="78"/>
    </row>
    <row r="76" spans="1:23" ht="35.1" customHeight="1" x14ac:dyDescent="0.25">
      <c r="A76" s="1">
        <f t="shared" si="4"/>
        <v>75</v>
      </c>
      <c r="B76" s="1"/>
      <c r="C76" s="39" t="s">
        <v>77</v>
      </c>
      <c r="D76" s="21">
        <v>44977</v>
      </c>
      <c r="E76" s="6">
        <v>0.54166666666666663</v>
      </c>
      <c r="F76" s="1" t="s">
        <v>334</v>
      </c>
      <c r="G76" s="3">
        <v>44949</v>
      </c>
      <c r="H76" s="11" t="str">
        <f t="shared" si="5"/>
        <v>0 г. 0 мес. 28 дн.</v>
      </c>
      <c r="I76" s="20" t="s">
        <v>122</v>
      </c>
      <c r="J76" s="20" t="s">
        <v>77</v>
      </c>
      <c r="K76" s="1" t="s">
        <v>335</v>
      </c>
      <c r="L76" s="1" t="s">
        <v>336</v>
      </c>
      <c r="M76" s="1" t="s">
        <v>49</v>
      </c>
      <c r="O76" s="20" t="s">
        <v>89</v>
      </c>
      <c r="S76" s="1" t="s">
        <v>77</v>
      </c>
      <c r="T76" s="3">
        <v>44981</v>
      </c>
      <c r="U76" s="6">
        <v>0.47500000000000003</v>
      </c>
      <c r="V76" s="1" t="str">
        <f t="shared" si="6"/>
        <v>0 г. 0 мес. 4 дн.</v>
      </c>
      <c r="W76" s="69"/>
    </row>
    <row r="77" spans="1:23" ht="35.1" customHeight="1" x14ac:dyDescent="0.25">
      <c r="A77" s="8">
        <f t="shared" si="4"/>
        <v>76</v>
      </c>
      <c r="B77" s="1">
        <v>403</v>
      </c>
      <c r="C77" s="39" t="s">
        <v>77</v>
      </c>
      <c r="D77" s="21">
        <v>44978</v>
      </c>
      <c r="E77" s="6">
        <v>0.42708333333333331</v>
      </c>
      <c r="F77" s="1" t="s">
        <v>365</v>
      </c>
      <c r="G77" s="3">
        <v>44977</v>
      </c>
      <c r="H77" s="11" t="str">
        <f t="shared" si="5"/>
        <v>0 г. 0 мес. 1 дн.</v>
      </c>
      <c r="I77" s="20" t="s">
        <v>123</v>
      </c>
      <c r="J77" s="20"/>
      <c r="K77" s="1" t="s">
        <v>337</v>
      </c>
      <c r="L77" s="1" t="s">
        <v>338</v>
      </c>
      <c r="M77" s="1" t="s">
        <v>56</v>
      </c>
      <c r="O77" s="20" t="s">
        <v>88</v>
      </c>
      <c r="Q77" s="1" t="s">
        <v>102</v>
      </c>
      <c r="S77" s="1" t="s">
        <v>77</v>
      </c>
      <c r="T77" s="3">
        <v>44985</v>
      </c>
      <c r="U77" s="6">
        <v>0.41666666666666669</v>
      </c>
      <c r="V77" s="1" t="str">
        <f t="shared" si="6"/>
        <v>0 г. 0 мес. 7 дн.</v>
      </c>
      <c r="W77" s="69"/>
    </row>
    <row r="78" spans="1:23" s="8" customFormat="1" ht="35.1" customHeight="1" x14ac:dyDescent="0.25">
      <c r="A78" s="1">
        <f t="shared" si="4"/>
        <v>77</v>
      </c>
      <c r="B78" s="8">
        <v>402</v>
      </c>
      <c r="C78" s="41" t="s">
        <v>77</v>
      </c>
      <c r="D78" s="21">
        <v>44978</v>
      </c>
      <c r="E78" s="10">
        <v>0.4236111111111111</v>
      </c>
      <c r="F78" s="8" t="s">
        <v>339</v>
      </c>
      <c r="G78" s="9">
        <v>39316</v>
      </c>
      <c r="H78" s="11" t="str">
        <f t="shared" si="5"/>
        <v>15 г. 5 мес. 30 дн.</v>
      </c>
      <c r="I78" s="20" t="s">
        <v>121</v>
      </c>
      <c r="J78" s="20" t="s">
        <v>77</v>
      </c>
      <c r="K78" s="8" t="s">
        <v>340</v>
      </c>
      <c r="L78" s="8" t="s">
        <v>341</v>
      </c>
      <c r="M78" s="1" t="s">
        <v>49</v>
      </c>
      <c r="O78" s="20" t="s">
        <v>89</v>
      </c>
      <c r="S78" s="1" t="s">
        <v>77</v>
      </c>
      <c r="T78" s="9">
        <v>44980</v>
      </c>
      <c r="U78" s="10">
        <v>0.41666666666666669</v>
      </c>
      <c r="V78" s="1" t="str">
        <f t="shared" si="6"/>
        <v>0 г. 0 мес. 2 дн.</v>
      </c>
      <c r="W78" s="73"/>
    </row>
    <row r="79" spans="1:23" ht="35.1" customHeight="1" x14ac:dyDescent="0.25">
      <c r="A79" s="8">
        <f t="shared" si="4"/>
        <v>78</v>
      </c>
      <c r="B79" s="1">
        <v>109</v>
      </c>
      <c r="C79" s="39" t="s">
        <v>26</v>
      </c>
      <c r="D79" s="21">
        <v>44979</v>
      </c>
      <c r="E79" s="6">
        <v>0.64236111111111105</v>
      </c>
      <c r="F79" s="1" t="s">
        <v>363</v>
      </c>
      <c r="G79" s="3">
        <v>41904</v>
      </c>
      <c r="H79" s="11" t="str">
        <f t="shared" si="5"/>
        <v>8 г. 5 мес. 0 дн.</v>
      </c>
      <c r="I79" s="20" t="s">
        <v>120</v>
      </c>
      <c r="J79" s="20"/>
      <c r="K79" s="1" t="s">
        <v>342</v>
      </c>
      <c r="L79" s="1" t="s">
        <v>299</v>
      </c>
      <c r="M79" s="1" t="s">
        <v>43</v>
      </c>
      <c r="O79" s="20" t="s">
        <v>89</v>
      </c>
      <c r="S79" s="1" t="s">
        <v>26</v>
      </c>
      <c r="T79" s="3">
        <v>44981</v>
      </c>
      <c r="U79" s="6">
        <v>0.4826388888888889</v>
      </c>
      <c r="V79" s="1" t="str">
        <f t="shared" si="6"/>
        <v>0 г. 0 мес. 2 дн.</v>
      </c>
      <c r="W79" s="69"/>
    </row>
    <row r="80" spans="1:23" ht="35.1" customHeight="1" x14ac:dyDescent="0.25">
      <c r="A80" s="1">
        <f t="shared" si="4"/>
        <v>79</v>
      </c>
      <c r="B80" s="1">
        <v>110</v>
      </c>
      <c r="C80" s="39" t="s">
        <v>26</v>
      </c>
      <c r="D80" s="21">
        <v>44979</v>
      </c>
      <c r="E80" s="6">
        <v>0.77777777777777779</v>
      </c>
      <c r="F80" s="1" t="s">
        <v>343</v>
      </c>
      <c r="G80" s="3">
        <v>40323</v>
      </c>
      <c r="H80" s="11" t="str">
        <f t="shared" si="5"/>
        <v>12 г. 8 мес. 28 дн.</v>
      </c>
      <c r="I80" s="20" t="s">
        <v>120</v>
      </c>
      <c r="J80" s="20"/>
      <c r="K80" s="1" t="s">
        <v>344</v>
      </c>
      <c r="L80" s="1" t="s">
        <v>345</v>
      </c>
      <c r="M80" s="1" t="s">
        <v>56</v>
      </c>
      <c r="O80" s="20" t="s">
        <v>89</v>
      </c>
      <c r="S80" s="1" t="s">
        <v>82</v>
      </c>
      <c r="T80" s="3">
        <v>44980</v>
      </c>
      <c r="U80" s="6">
        <v>0.54166666666666663</v>
      </c>
      <c r="V80" s="1" t="str">
        <f t="shared" si="6"/>
        <v>0 г. 0 мес. 1 дн.</v>
      </c>
      <c r="W80" s="69"/>
    </row>
    <row r="81" spans="1:23" ht="35.1" customHeight="1" x14ac:dyDescent="0.25">
      <c r="A81" s="8">
        <f t="shared" si="4"/>
        <v>80</v>
      </c>
      <c r="B81" s="1">
        <v>115</v>
      </c>
      <c r="C81" s="39" t="s">
        <v>28</v>
      </c>
      <c r="D81" s="21">
        <v>44979</v>
      </c>
      <c r="E81" s="6">
        <v>0.81944444444444453</v>
      </c>
      <c r="F81" s="1" t="s">
        <v>346</v>
      </c>
      <c r="G81" s="3">
        <v>44207</v>
      </c>
      <c r="H81" s="11" t="str">
        <f t="shared" si="5"/>
        <v>2 г. 1 мес. 11 дн.</v>
      </c>
      <c r="I81" s="20" t="s">
        <v>120</v>
      </c>
      <c r="J81" s="20"/>
      <c r="K81" s="1" t="s">
        <v>347</v>
      </c>
      <c r="L81" s="1" t="s">
        <v>348</v>
      </c>
      <c r="M81" s="1" t="s">
        <v>46</v>
      </c>
      <c r="O81" s="20" t="s">
        <v>89</v>
      </c>
      <c r="S81" s="1" t="s">
        <v>28</v>
      </c>
      <c r="T81" s="3">
        <v>44981</v>
      </c>
      <c r="U81" s="6">
        <v>0.46319444444444446</v>
      </c>
      <c r="V81" s="1" t="str">
        <f t="shared" si="6"/>
        <v>0 г. 0 мес. 2 дн.</v>
      </c>
      <c r="W81" s="69"/>
    </row>
    <row r="82" spans="1:23" s="8" customFormat="1" ht="35.1" customHeight="1" x14ac:dyDescent="0.25">
      <c r="A82" s="84">
        <f t="shared" si="4"/>
        <v>81</v>
      </c>
      <c r="B82" s="84">
        <v>113</v>
      </c>
      <c r="C82" s="85" t="s">
        <v>26</v>
      </c>
      <c r="D82" s="86">
        <v>44981</v>
      </c>
      <c r="E82" s="87">
        <v>7.2916666666666671E-2</v>
      </c>
      <c r="F82" s="84" t="s">
        <v>353</v>
      </c>
      <c r="G82" s="86">
        <v>39642</v>
      </c>
      <c r="H82" s="84" t="str">
        <f t="shared" si="5"/>
        <v>14 г. 7 мес. 11 дн.</v>
      </c>
      <c r="I82" s="84" t="s">
        <v>123</v>
      </c>
      <c r="J82" s="84"/>
      <c r="K82" s="84" t="s">
        <v>406</v>
      </c>
      <c r="L82" s="84" t="s">
        <v>354</v>
      </c>
      <c r="M82" s="84" t="s">
        <v>55</v>
      </c>
      <c r="N82" s="84">
        <v>23</v>
      </c>
      <c r="O82" s="84" t="s">
        <v>73</v>
      </c>
      <c r="P82" s="84"/>
      <c r="Q82" s="84"/>
      <c r="R82" s="84"/>
      <c r="S82" s="84" t="s">
        <v>30</v>
      </c>
      <c r="T82" s="86">
        <v>44982</v>
      </c>
      <c r="U82" s="87">
        <v>2.0833333333333332E-2</v>
      </c>
      <c r="V82" s="84" t="str">
        <f t="shared" si="6"/>
        <v>0 г. 0 мес. 1 дн.</v>
      </c>
      <c r="W82" s="73"/>
    </row>
    <row r="83" spans="1:23" ht="35.1" customHeight="1" x14ac:dyDescent="0.25">
      <c r="A83" s="8">
        <f t="shared" si="4"/>
        <v>82</v>
      </c>
      <c r="B83" s="1">
        <v>116</v>
      </c>
      <c r="C83" s="39" t="s">
        <v>26</v>
      </c>
      <c r="D83" s="21">
        <v>44982</v>
      </c>
      <c r="E83" s="6">
        <v>0.80555555555555547</v>
      </c>
      <c r="F83" s="1" t="s">
        <v>349</v>
      </c>
      <c r="G83" s="3">
        <v>38647</v>
      </c>
      <c r="H83" s="11" t="str">
        <f t="shared" si="5"/>
        <v>17 г. 4 мес. 3 дн.</v>
      </c>
      <c r="I83" s="20" t="s">
        <v>120</v>
      </c>
      <c r="J83" s="20"/>
      <c r="K83" s="1" t="s">
        <v>350</v>
      </c>
      <c r="L83" s="1" t="s">
        <v>259</v>
      </c>
      <c r="M83" s="1" t="s">
        <v>55</v>
      </c>
      <c r="O83" s="20" t="s">
        <v>89</v>
      </c>
      <c r="S83" s="1" t="s">
        <v>26</v>
      </c>
      <c r="T83" s="3">
        <v>44983</v>
      </c>
      <c r="U83" s="6">
        <v>0.45833333333333331</v>
      </c>
      <c r="V83" s="1" t="str">
        <f t="shared" si="6"/>
        <v>0 г. 0 мес. 1 дн.</v>
      </c>
      <c r="W83" s="69"/>
    </row>
    <row r="84" spans="1:23" ht="35.1" customHeight="1" x14ac:dyDescent="0.25">
      <c r="A84" s="1">
        <f t="shared" si="4"/>
        <v>83</v>
      </c>
      <c r="B84" s="1">
        <v>130</v>
      </c>
      <c r="C84" s="39" t="s">
        <v>77</v>
      </c>
      <c r="D84" s="21">
        <v>44982</v>
      </c>
      <c r="E84" s="6">
        <v>0.81944444444444453</v>
      </c>
      <c r="F84" s="1" t="s">
        <v>441</v>
      </c>
      <c r="G84" s="3">
        <v>41970</v>
      </c>
      <c r="H84" s="11" t="str">
        <f t="shared" si="5"/>
        <v>8 г. 2 мес. 29 дн.</v>
      </c>
      <c r="I84" s="20" t="s">
        <v>120</v>
      </c>
      <c r="J84" s="20"/>
      <c r="K84" s="1" t="s">
        <v>351</v>
      </c>
      <c r="L84" s="1" t="s">
        <v>352</v>
      </c>
      <c r="M84" s="1" t="s">
        <v>54</v>
      </c>
      <c r="O84" s="20" t="s">
        <v>73</v>
      </c>
      <c r="S84" s="1" t="s">
        <v>77</v>
      </c>
      <c r="T84" s="3">
        <v>44994</v>
      </c>
      <c r="U84" s="6">
        <v>0.54166666666666663</v>
      </c>
      <c r="V84" s="1" t="str">
        <f t="shared" si="6"/>
        <v>0 г. 0 мес. 12 дн.</v>
      </c>
      <c r="W84" s="69"/>
    </row>
    <row r="85" spans="1:23" ht="35.1" customHeight="1" x14ac:dyDescent="0.25">
      <c r="A85" s="8">
        <f t="shared" si="4"/>
        <v>84</v>
      </c>
      <c r="B85" s="1">
        <v>118</v>
      </c>
      <c r="C85" s="39" t="s">
        <v>26</v>
      </c>
      <c r="D85" s="21">
        <v>44983</v>
      </c>
      <c r="E85" s="6">
        <v>5.2083333333333336E-2</v>
      </c>
      <c r="F85" s="1" t="s">
        <v>364</v>
      </c>
      <c r="G85" s="3">
        <v>38665</v>
      </c>
      <c r="H85" s="11" t="str">
        <f t="shared" si="5"/>
        <v>17 г. 3 мес. 17 дн.</v>
      </c>
      <c r="I85" s="20" t="s">
        <v>120</v>
      </c>
      <c r="J85" s="20"/>
      <c r="K85" s="1" t="s">
        <v>358</v>
      </c>
      <c r="L85" s="1" t="s">
        <v>355</v>
      </c>
      <c r="M85" s="1" t="s">
        <v>55</v>
      </c>
      <c r="O85" s="20" t="s">
        <v>89</v>
      </c>
      <c r="S85" s="1" t="s">
        <v>26</v>
      </c>
      <c r="T85" s="3">
        <v>44983</v>
      </c>
      <c r="U85" s="6">
        <v>0.45833333333333331</v>
      </c>
      <c r="V85" s="1" t="str">
        <f t="shared" si="6"/>
        <v>0 г. 0 мес. 0 дн.</v>
      </c>
      <c r="W85" s="69"/>
    </row>
    <row r="86" spans="1:23" ht="35.1" customHeight="1" x14ac:dyDescent="0.25">
      <c r="A86" s="1">
        <f t="shared" si="4"/>
        <v>85</v>
      </c>
      <c r="B86" s="1">
        <v>119</v>
      </c>
      <c r="C86" s="39" t="s">
        <v>26</v>
      </c>
      <c r="D86" s="21">
        <v>44983</v>
      </c>
      <c r="E86" s="6">
        <v>5.5555555555555552E-2</v>
      </c>
      <c r="F86" s="1" t="s">
        <v>356</v>
      </c>
      <c r="G86" s="3">
        <v>39189</v>
      </c>
      <c r="H86" s="11" t="str">
        <f t="shared" si="5"/>
        <v>15 г. 10 мес. 9 дн.</v>
      </c>
      <c r="I86" s="20" t="s">
        <v>120</v>
      </c>
      <c r="J86" s="20"/>
      <c r="K86" s="1" t="s">
        <v>357</v>
      </c>
      <c r="L86" s="1" t="s">
        <v>355</v>
      </c>
      <c r="M86" s="1" t="s">
        <v>55</v>
      </c>
      <c r="O86" s="20" t="s">
        <v>89</v>
      </c>
      <c r="S86" s="1" t="s">
        <v>26</v>
      </c>
      <c r="T86" s="3">
        <v>44983</v>
      </c>
      <c r="U86" s="6">
        <v>0.45833333333333331</v>
      </c>
      <c r="V86" s="1" t="str">
        <f t="shared" si="6"/>
        <v>0 г. 0 мес. 0 дн.</v>
      </c>
      <c r="W86" s="69"/>
    </row>
    <row r="87" spans="1:23" ht="35.1" customHeight="1" x14ac:dyDescent="0.25">
      <c r="A87" s="8">
        <f t="shared" si="4"/>
        <v>86</v>
      </c>
      <c r="B87" s="1">
        <v>434</v>
      </c>
      <c r="C87" s="39" t="s">
        <v>77</v>
      </c>
      <c r="D87" s="21">
        <v>44983</v>
      </c>
      <c r="E87" s="6">
        <v>0.40972222222222227</v>
      </c>
      <c r="F87" s="1" t="s">
        <v>359</v>
      </c>
      <c r="G87" s="3">
        <v>44314</v>
      </c>
      <c r="H87" s="11" t="str">
        <f t="shared" si="5"/>
        <v>1 г. 9 мес. 29 дн.</v>
      </c>
      <c r="I87" s="20" t="s">
        <v>120</v>
      </c>
      <c r="J87" s="20"/>
      <c r="K87" s="1" t="s">
        <v>360</v>
      </c>
      <c r="L87" s="1" t="s">
        <v>361</v>
      </c>
      <c r="M87" s="1" t="s">
        <v>54</v>
      </c>
      <c r="O87" s="20" t="s">
        <v>73</v>
      </c>
      <c r="S87" s="1" t="s">
        <v>77</v>
      </c>
      <c r="T87" s="3">
        <v>44988</v>
      </c>
      <c r="U87" s="6">
        <v>0.5</v>
      </c>
      <c r="V87" s="1" t="str">
        <f t="shared" si="6"/>
        <v>0 г. 0 мес. 5 дн.</v>
      </c>
      <c r="W87" s="69"/>
    </row>
    <row r="88" spans="1:23" ht="35.1" customHeight="1" x14ac:dyDescent="0.25">
      <c r="A88" s="1">
        <f t="shared" si="4"/>
        <v>87</v>
      </c>
      <c r="B88" s="1">
        <v>110</v>
      </c>
      <c r="C88" s="39" t="s">
        <v>26</v>
      </c>
      <c r="D88" s="21">
        <v>44983</v>
      </c>
      <c r="E88" s="6">
        <v>0.875</v>
      </c>
      <c r="F88" s="1" t="s">
        <v>343</v>
      </c>
      <c r="G88" s="3">
        <v>40323</v>
      </c>
      <c r="H88" s="11" t="str">
        <f t="shared" si="5"/>
        <v>12 г. 9 мес. 1 дн.</v>
      </c>
      <c r="I88" s="20" t="s">
        <v>125</v>
      </c>
      <c r="J88" s="20" t="s">
        <v>26</v>
      </c>
      <c r="K88" s="1" t="s">
        <v>344</v>
      </c>
      <c r="L88" s="1" t="s">
        <v>366</v>
      </c>
      <c r="M88" s="1" t="s">
        <v>48</v>
      </c>
      <c r="O88" s="20" t="s">
        <v>73</v>
      </c>
      <c r="S88" s="1" t="s">
        <v>82</v>
      </c>
      <c r="T88" s="3">
        <v>45001</v>
      </c>
      <c r="U88" s="6">
        <v>0.5</v>
      </c>
      <c r="V88" s="1" t="str">
        <f t="shared" si="6"/>
        <v>0 г. 0 мес. 18 дн.</v>
      </c>
      <c r="W88" s="69"/>
    </row>
    <row r="89" spans="1:23" ht="35.1" customHeight="1" x14ac:dyDescent="0.25">
      <c r="A89" s="8">
        <f t="shared" si="4"/>
        <v>88</v>
      </c>
      <c r="B89" s="1">
        <v>441</v>
      </c>
      <c r="C89" s="39" t="s">
        <v>77</v>
      </c>
      <c r="D89" s="21">
        <v>44985</v>
      </c>
      <c r="E89" s="6">
        <v>0.54166666666666663</v>
      </c>
      <c r="F89" s="1" t="s">
        <v>367</v>
      </c>
      <c r="G89" s="3">
        <v>39830</v>
      </c>
      <c r="H89" s="11" t="str">
        <f t="shared" si="5"/>
        <v>14 г. 1 мес. 11 дн.</v>
      </c>
      <c r="I89" s="20" t="s">
        <v>125</v>
      </c>
      <c r="J89" s="20" t="s">
        <v>26</v>
      </c>
      <c r="K89" s="1" t="s">
        <v>368</v>
      </c>
      <c r="L89" s="1" t="s">
        <v>369</v>
      </c>
      <c r="M89" s="1" t="s">
        <v>46</v>
      </c>
      <c r="O89" s="20" t="s">
        <v>89</v>
      </c>
      <c r="S89" s="1" t="s">
        <v>77</v>
      </c>
      <c r="T89" s="3">
        <v>44986</v>
      </c>
      <c r="U89" s="6">
        <v>0.45833333333333331</v>
      </c>
      <c r="V89" s="1" t="str">
        <f>DATEDIF(D89,T89,"y") &amp; " г. " &amp; DATEDIF(D89,T89,"ym") &amp; " мес. " &amp; DATEDIF(D89,T89,"md") &amp; " дн."</f>
        <v>0 г. 0 мес. 1 дн.</v>
      </c>
      <c r="W89" s="69"/>
    </row>
    <row r="90" spans="1:23" ht="35.1" customHeight="1" x14ac:dyDescent="0.25">
      <c r="A90" s="1">
        <f t="shared" si="4"/>
        <v>89</v>
      </c>
      <c r="B90" s="1">
        <v>468</v>
      </c>
      <c r="C90" s="39" t="s">
        <v>77</v>
      </c>
      <c r="D90" s="21">
        <v>44986</v>
      </c>
      <c r="E90" s="6">
        <v>0.55208333333333337</v>
      </c>
      <c r="F90" s="1" t="s">
        <v>370</v>
      </c>
      <c r="G90" s="3">
        <v>41214</v>
      </c>
      <c r="H90" s="11" t="str">
        <f t="shared" si="5"/>
        <v>10 г. 4 мес. 0 дн.</v>
      </c>
      <c r="I90" s="20" t="s">
        <v>120</v>
      </c>
      <c r="J90" s="20"/>
      <c r="K90" s="1" t="s">
        <v>371</v>
      </c>
      <c r="L90" s="1" t="s">
        <v>372</v>
      </c>
      <c r="M90" s="1" t="s">
        <v>46</v>
      </c>
      <c r="O90" s="20" t="s">
        <v>89</v>
      </c>
      <c r="S90" s="1" t="s">
        <v>77</v>
      </c>
      <c r="T90" s="3">
        <v>44987</v>
      </c>
      <c r="U90" s="6">
        <v>0.4375</v>
      </c>
      <c r="V90" s="1" t="str">
        <f t="shared" si="6"/>
        <v>0 г. 0 мес. 1 дн.</v>
      </c>
      <c r="W90" s="69"/>
    </row>
    <row r="91" spans="1:23" ht="35.1" customHeight="1" x14ac:dyDescent="0.25">
      <c r="A91" s="1">
        <f t="shared" si="4"/>
        <v>90</v>
      </c>
      <c r="B91" s="7">
        <v>133</v>
      </c>
      <c r="C91" s="39" t="s">
        <v>28</v>
      </c>
      <c r="D91" s="21">
        <v>44986</v>
      </c>
      <c r="E91" s="6">
        <v>0.65972222222222221</v>
      </c>
      <c r="F91" s="1" t="s">
        <v>373</v>
      </c>
      <c r="G91" s="3">
        <v>41619</v>
      </c>
      <c r="H91" s="11" t="str">
        <f t="shared" si="5"/>
        <v>9 г. 2 мес. 18 дн.</v>
      </c>
      <c r="I91" s="20" t="s">
        <v>120</v>
      </c>
      <c r="J91" s="20"/>
      <c r="K91" s="1" t="s">
        <v>374</v>
      </c>
      <c r="L91" s="1" t="s">
        <v>377</v>
      </c>
      <c r="M91" s="1" t="s">
        <v>46</v>
      </c>
      <c r="N91" s="7"/>
      <c r="O91" s="20" t="s">
        <v>89</v>
      </c>
      <c r="P91" s="7"/>
      <c r="Q91" s="7"/>
      <c r="R91" s="7"/>
      <c r="S91" s="1" t="s">
        <v>28</v>
      </c>
      <c r="T91" s="3">
        <v>44989</v>
      </c>
      <c r="U91" s="6">
        <v>0.4375</v>
      </c>
      <c r="V91" s="1" t="str">
        <f t="shared" si="6"/>
        <v>0 г. 0 мес. 3 дн.</v>
      </c>
      <c r="W91" s="69"/>
    </row>
    <row r="92" spans="1:23" ht="35.1" customHeight="1" x14ac:dyDescent="0.25">
      <c r="A92" s="8">
        <f t="shared" si="4"/>
        <v>91</v>
      </c>
      <c r="B92" s="1">
        <v>132</v>
      </c>
      <c r="C92" s="39" t="s">
        <v>26</v>
      </c>
      <c r="D92" s="21">
        <v>44986</v>
      </c>
      <c r="E92" s="6">
        <v>0.90972222222222221</v>
      </c>
      <c r="F92" s="1" t="s">
        <v>375</v>
      </c>
      <c r="G92" s="3">
        <v>40763</v>
      </c>
      <c r="H92" s="11" t="str">
        <f t="shared" si="5"/>
        <v>11 г. 6 мес. 21 дн.</v>
      </c>
      <c r="I92" s="20" t="s">
        <v>120</v>
      </c>
      <c r="J92" s="20"/>
      <c r="K92" s="1" t="s">
        <v>376</v>
      </c>
      <c r="L92" s="1" t="s">
        <v>259</v>
      </c>
      <c r="M92" s="1" t="s">
        <v>55</v>
      </c>
      <c r="O92" s="20" t="s">
        <v>89</v>
      </c>
      <c r="S92" s="1" t="s">
        <v>26</v>
      </c>
      <c r="T92" s="3">
        <v>44987</v>
      </c>
      <c r="U92" s="6">
        <v>0.4375</v>
      </c>
      <c r="V92" s="1" t="str">
        <f t="shared" si="6"/>
        <v>0 г. 0 мес. 1 дн.</v>
      </c>
      <c r="W92" s="69"/>
    </row>
    <row r="93" spans="1:23" ht="35.1" customHeight="1" x14ac:dyDescent="0.25">
      <c r="A93" s="1">
        <f t="shared" si="4"/>
        <v>92</v>
      </c>
      <c r="B93" s="1">
        <v>138</v>
      </c>
      <c r="C93" s="39" t="s">
        <v>25</v>
      </c>
      <c r="D93" s="21">
        <v>44987</v>
      </c>
      <c r="E93" s="6">
        <v>0.5</v>
      </c>
      <c r="F93" s="1" t="s">
        <v>378</v>
      </c>
      <c r="G93" s="3">
        <v>44878</v>
      </c>
      <c r="H93" s="11" t="str">
        <f t="shared" si="5"/>
        <v>0 г. 3 мес. 17 дн.</v>
      </c>
      <c r="I93" s="20" t="s">
        <v>123</v>
      </c>
      <c r="J93" s="20"/>
      <c r="K93" s="1" t="s">
        <v>379</v>
      </c>
      <c r="L93" s="1" t="s">
        <v>380</v>
      </c>
      <c r="M93" s="1" t="s">
        <v>46</v>
      </c>
      <c r="N93" s="1">
        <v>96</v>
      </c>
      <c r="O93" s="20" t="s">
        <v>73</v>
      </c>
      <c r="Q93" s="1" t="s">
        <v>146</v>
      </c>
      <c r="S93" s="1" t="s">
        <v>27</v>
      </c>
      <c r="T93" s="3">
        <v>44998</v>
      </c>
      <c r="U93" s="6">
        <v>0.52083333333333337</v>
      </c>
      <c r="V93" s="1" t="str">
        <f t="shared" si="6"/>
        <v>0 г. 0 мес. 11 дн.</v>
      </c>
      <c r="W93" s="69"/>
    </row>
    <row r="94" spans="1:23" ht="35.1" customHeight="1" x14ac:dyDescent="0.25">
      <c r="A94" s="1">
        <f t="shared" si="4"/>
        <v>93</v>
      </c>
      <c r="B94" s="7">
        <v>128</v>
      </c>
      <c r="C94" s="39" t="s">
        <v>26</v>
      </c>
      <c r="D94" s="21">
        <v>44986</v>
      </c>
      <c r="E94" s="6">
        <v>3.472222222222222E-3</v>
      </c>
      <c r="F94" s="1" t="s">
        <v>381</v>
      </c>
      <c r="G94" s="3">
        <v>40074</v>
      </c>
      <c r="H94" s="11" t="str">
        <f t="shared" si="5"/>
        <v>13 г. 5 мес. 11 дн.</v>
      </c>
      <c r="I94" s="20" t="s">
        <v>122</v>
      </c>
      <c r="J94" s="20" t="s">
        <v>26</v>
      </c>
      <c r="K94" s="1" t="s">
        <v>382</v>
      </c>
      <c r="L94" s="1" t="s">
        <v>383</v>
      </c>
      <c r="M94" s="1" t="s">
        <v>48</v>
      </c>
      <c r="N94" s="7"/>
      <c r="O94" s="20" t="s">
        <v>89</v>
      </c>
      <c r="P94" s="7"/>
      <c r="Q94" s="7"/>
      <c r="R94" s="7"/>
      <c r="S94" s="1" t="s">
        <v>82</v>
      </c>
      <c r="T94" s="3">
        <v>44988</v>
      </c>
      <c r="U94" s="6">
        <v>0.45833333333333331</v>
      </c>
      <c r="V94" s="1" t="str">
        <f t="shared" si="6"/>
        <v>0 г. 0 мес. 2 дн.</v>
      </c>
      <c r="W94" s="69"/>
    </row>
    <row r="95" spans="1:23" ht="35.1" customHeight="1" x14ac:dyDescent="0.25">
      <c r="A95" s="8">
        <f t="shared" si="4"/>
        <v>94</v>
      </c>
      <c r="B95" s="1">
        <v>280</v>
      </c>
      <c r="C95" s="39" t="s">
        <v>27</v>
      </c>
      <c r="D95" s="21">
        <v>44988</v>
      </c>
      <c r="E95" s="6">
        <v>0.54166666666666663</v>
      </c>
      <c r="F95" s="1" t="s">
        <v>384</v>
      </c>
      <c r="G95" s="3">
        <v>44925</v>
      </c>
      <c r="H95" s="11" t="str">
        <f t="shared" si="5"/>
        <v>0 г. 2 мес. 1 дн.</v>
      </c>
      <c r="I95" s="20" t="s">
        <v>122</v>
      </c>
      <c r="J95" s="20" t="s">
        <v>27</v>
      </c>
      <c r="K95" s="1" t="s">
        <v>385</v>
      </c>
      <c r="L95" s="1" t="s">
        <v>386</v>
      </c>
      <c r="M95" s="1" t="s">
        <v>48</v>
      </c>
      <c r="O95" s="20" t="s">
        <v>89</v>
      </c>
      <c r="Q95" s="1" t="s">
        <v>103</v>
      </c>
      <c r="S95" s="1" t="s">
        <v>27</v>
      </c>
      <c r="T95" s="3">
        <v>44990</v>
      </c>
      <c r="U95" s="6">
        <v>0.66666666666666663</v>
      </c>
      <c r="V95" s="1" t="str">
        <f t="shared" si="6"/>
        <v>0 г. 0 мес. 2 дн.</v>
      </c>
      <c r="W95" s="69"/>
    </row>
    <row r="96" spans="1:23" ht="35.1" customHeight="1" x14ac:dyDescent="0.25">
      <c r="A96" s="1">
        <f t="shared" si="4"/>
        <v>95</v>
      </c>
      <c r="B96" s="1">
        <v>124</v>
      </c>
      <c r="C96" s="39" t="s">
        <v>28</v>
      </c>
      <c r="D96" s="21">
        <v>44990</v>
      </c>
      <c r="E96" s="6">
        <v>0.55208333333333337</v>
      </c>
      <c r="F96" s="1" t="s">
        <v>387</v>
      </c>
      <c r="G96" s="3">
        <v>44746</v>
      </c>
      <c r="H96" s="11" t="str">
        <f t="shared" si="5"/>
        <v>0 г. 8 мес. 1 дн.</v>
      </c>
      <c r="I96" s="20" t="s">
        <v>122</v>
      </c>
      <c r="J96" s="20" t="s">
        <v>28</v>
      </c>
      <c r="K96" s="1" t="s">
        <v>388</v>
      </c>
      <c r="L96" s="1" t="s">
        <v>389</v>
      </c>
      <c r="M96" s="1" t="s">
        <v>46</v>
      </c>
      <c r="O96" s="20" t="s">
        <v>90</v>
      </c>
      <c r="S96" s="1" t="s">
        <v>28</v>
      </c>
      <c r="T96" s="3">
        <v>44991</v>
      </c>
      <c r="U96" s="6">
        <v>0.5</v>
      </c>
      <c r="V96" s="1" t="str">
        <f t="shared" si="6"/>
        <v>0 г. 0 мес. 1 дн.</v>
      </c>
      <c r="W96" s="69"/>
    </row>
    <row r="97" spans="1:23" ht="35.1" customHeight="1" x14ac:dyDescent="0.25">
      <c r="A97" s="8">
        <f t="shared" si="4"/>
        <v>96</v>
      </c>
      <c r="B97" s="1">
        <v>149</v>
      </c>
      <c r="C97" s="39" t="s">
        <v>28</v>
      </c>
      <c r="D97" s="21">
        <v>44991</v>
      </c>
      <c r="E97" s="6">
        <v>0.72222222222222221</v>
      </c>
      <c r="F97" s="1" t="s">
        <v>407</v>
      </c>
      <c r="G97" s="3">
        <v>39516</v>
      </c>
      <c r="H97" s="11" t="str">
        <f t="shared" si="5"/>
        <v>14 г. 11 мес. 25 дн.</v>
      </c>
      <c r="I97" s="20" t="s">
        <v>120</v>
      </c>
      <c r="J97" s="20"/>
      <c r="K97" s="1" t="s">
        <v>390</v>
      </c>
      <c r="L97" s="1" t="s">
        <v>391</v>
      </c>
      <c r="M97" s="1" t="s">
        <v>46</v>
      </c>
      <c r="O97" s="20" t="s">
        <v>89</v>
      </c>
      <c r="S97" s="1" t="s">
        <v>28</v>
      </c>
      <c r="T97" s="3">
        <v>44992</v>
      </c>
      <c r="U97" s="6">
        <v>0.47916666666666669</v>
      </c>
      <c r="V97" s="1" t="str">
        <f t="shared" ref="V97:V128" si="7">DATEDIF(D97,T97,"y") &amp; " г. " &amp; DATEDIF(D97,T97,"ym") &amp; " мес. " &amp; DATEDIF(D97,T97,"md") &amp; " дн."</f>
        <v>0 г. 0 мес. 1 дн.</v>
      </c>
      <c r="W97" s="69"/>
    </row>
    <row r="98" spans="1:23" ht="35.1" customHeight="1" x14ac:dyDescent="0.25">
      <c r="A98" s="1">
        <f t="shared" si="4"/>
        <v>97</v>
      </c>
      <c r="B98" s="1">
        <v>506</v>
      </c>
      <c r="C98" s="39" t="s">
        <v>77</v>
      </c>
      <c r="D98" s="21">
        <v>44991</v>
      </c>
      <c r="E98" s="6">
        <v>0.77083333333333337</v>
      </c>
      <c r="F98" s="1" t="s">
        <v>392</v>
      </c>
      <c r="G98" s="3">
        <v>42572</v>
      </c>
      <c r="H98" s="11" t="str">
        <f t="shared" si="5"/>
        <v>6 г. 7 мес. 13 дн.</v>
      </c>
      <c r="I98" s="20" t="s">
        <v>123</v>
      </c>
      <c r="J98" s="20"/>
      <c r="K98" s="1" t="s">
        <v>393</v>
      </c>
      <c r="L98" s="1" t="s">
        <v>394</v>
      </c>
      <c r="M98" s="1" t="s">
        <v>40</v>
      </c>
      <c r="O98" s="20" t="s">
        <v>73</v>
      </c>
      <c r="S98" s="1" t="s">
        <v>77</v>
      </c>
      <c r="T98" s="3">
        <v>45000</v>
      </c>
      <c r="U98" s="6">
        <v>0.5</v>
      </c>
      <c r="V98" s="1" t="str">
        <f t="shared" si="7"/>
        <v>0 г. 0 мес. 9 дн.</v>
      </c>
      <c r="W98" s="69"/>
    </row>
    <row r="99" spans="1:23" ht="35.1" customHeight="1" x14ac:dyDescent="0.25">
      <c r="A99" s="8">
        <f t="shared" si="4"/>
        <v>98</v>
      </c>
      <c r="B99" s="1">
        <v>507</v>
      </c>
      <c r="C99" s="39" t="s">
        <v>77</v>
      </c>
      <c r="D99" s="21">
        <v>44992</v>
      </c>
      <c r="E99" s="6">
        <v>0.6875</v>
      </c>
      <c r="F99" s="1" t="s">
        <v>395</v>
      </c>
      <c r="G99" s="3">
        <v>43941</v>
      </c>
      <c r="H99" s="11" t="str">
        <f t="shared" si="5"/>
        <v>2 г. 10 мес. 15 дн.</v>
      </c>
      <c r="I99" s="20" t="s">
        <v>122</v>
      </c>
      <c r="J99" s="20" t="s">
        <v>77</v>
      </c>
      <c r="K99" s="1" t="s">
        <v>396</v>
      </c>
      <c r="L99" s="1" t="s">
        <v>397</v>
      </c>
      <c r="M99" s="1" t="s">
        <v>49</v>
      </c>
      <c r="O99" s="20" t="s">
        <v>89</v>
      </c>
      <c r="S99" s="1" t="s">
        <v>77</v>
      </c>
      <c r="T99" s="3">
        <v>44993</v>
      </c>
      <c r="U99" s="6">
        <v>0.5</v>
      </c>
      <c r="V99" s="1" t="str">
        <f t="shared" si="7"/>
        <v>0 г. 0 мес. 1 дн.</v>
      </c>
      <c r="W99" s="69"/>
    </row>
    <row r="100" spans="1:23" ht="35.1" customHeight="1" x14ac:dyDescent="0.25">
      <c r="A100" s="1">
        <f t="shared" si="4"/>
        <v>99</v>
      </c>
      <c r="B100" s="1">
        <v>511</v>
      </c>
      <c r="C100" s="39" t="s">
        <v>77</v>
      </c>
      <c r="D100" s="21">
        <v>44993</v>
      </c>
      <c r="E100" s="6">
        <v>0.54166666666666663</v>
      </c>
      <c r="F100" s="1" t="s">
        <v>398</v>
      </c>
      <c r="G100" s="3">
        <v>44951</v>
      </c>
      <c r="H100" s="11" t="str">
        <f t="shared" si="5"/>
        <v>0 г. 1 мес. 11 дн.</v>
      </c>
      <c r="I100" s="20" t="s">
        <v>75</v>
      </c>
      <c r="J100" s="20"/>
      <c r="K100" s="1" t="s">
        <v>399</v>
      </c>
      <c r="L100" s="1" t="s">
        <v>400</v>
      </c>
      <c r="M100" s="1" t="s">
        <v>56</v>
      </c>
      <c r="O100" s="20" t="s">
        <v>89</v>
      </c>
      <c r="S100" s="1" t="s">
        <v>26</v>
      </c>
      <c r="T100" s="3">
        <v>44995</v>
      </c>
      <c r="U100" s="6">
        <v>0.42708333333333331</v>
      </c>
      <c r="V100" s="1" t="str">
        <f t="shared" si="7"/>
        <v>0 г. 0 мес. 2 дн.</v>
      </c>
      <c r="W100" s="69"/>
    </row>
    <row r="101" spans="1:23" ht="35.1" customHeight="1" x14ac:dyDescent="0.25">
      <c r="A101" s="8">
        <f t="shared" si="4"/>
        <v>100</v>
      </c>
      <c r="B101" s="1">
        <v>512</v>
      </c>
      <c r="C101" s="39" t="s">
        <v>77</v>
      </c>
      <c r="D101" s="21">
        <v>44993</v>
      </c>
      <c r="E101" s="6">
        <v>0.70833333333333337</v>
      </c>
      <c r="F101" s="1" t="s">
        <v>401</v>
      </c>
      <c r="G101" s="3">
        <v>44636</v>
      </c>
      <c r="H101" s="11" t="str">
        <f t="shared" si="5"/>
        <v>0 г. 11 мес. 20 дн.</v>
      </c>
      <c r="I101" s="20" t="s">
        <v>120</v>
      </c>
      <c r="J101" s="20"/>
      <c r="K101" s="1" t="s">
        <v>402</v>
      </c>
      <c r="L101" s="1" t="s">
        <v>403</v>
      </c>
      <c r="M101" s="1" t="s">
        <v>54</v>
      </c>
      <c r="O101" s="20" t="s">
        <v>73</v>
      </c>
      <c r="S101" s="1" t="s">
        <v>77</v>
      </c>
      <c r="T101" s="3">
        <v>44993</v>
      </c>
      <c r="U101" s="6">
        <v>0.5</v>
      </c>
      <c r="V101" s="1" t="str">
        <f t="shared" si="7"/>
        <v>0 г. 0 мес. 0 дн.</v>
      </c>
      <c r="W101" s="69"/>
    </row>
    <row r="102" spans="1:23" ht="35.1" customHeight="1" x14ac:dyDescent="0.25">
      <c r="A102" s="1">
        <f t="shared" si="4"/>
        <v>101</v>
      </c>
      <c r="B102" s="1">
        <v>514</v>
      </c>
      <c r="C102" s="39" t="s">
        <v>77</v>
      </c>
      <c r="D102" s="21">
        <v>44993</v>
      </c>
      <c r="E102" s="6">
        <v>0.8125</v>
      </c>
      <c r="F102" s="1" t="s">
        <v>404</v>
      </c>
      <c r="G102" s="3">
        <v>44247</v>
      </c>
      <c r="H102" s="11" t="str">
        <f t="shared" si="5"/>
        <v>2 г. 0 мес. 16 дн.</v>
      </c>
      <c r="I102" s="20" t="s">
        <v>120</v>
      </c>
      <c r="J102" s="20"/>
      <c r="K102" s="1" t="s">
        <v>405</v>
      </c>
      <c r="L102" s="1" t="s">
        <v>224</v>
      </c>
      <c r="M102" s="1" t="s">
        <v>52</v>
      </c>
      <c r="O102" s="20" t="s">
        <v>89</v>
      </c>
      <c r="S102" s="1" t="s">
        <v>77</v>
      </c>
      <c r="T102" s="3">
        <v>44994</v>
      </c>
      <c r="U102" s="6">
        <v>0.45833333333333331</v>
      </c>
      <c r="V102" s="1" t="str">
        <f t="shared" si="7"/>
        <v>0 г. 0 мес. 1 дн.</v>
      </c>
      <c r="W102" s="69"/>
    </row>
    <row r="103" spans="1:23" ht="35.1" customHeight="1" x14ac:dyDescent="0.25">
      <c r="A103" s="8">
        <f t="shared" si="4"/>
        <v>102</v>
      </c>
      <c r="B103" s="1">
        <v>537</v>
      </c>
      <c r="C103" s="39" t="s">
        <v>77</v>
      </c>
      <c r="D103" s="21">
        <v>44997</v>
      </c>
      <c r="E103" s="6">
        <v>0.30555555555555552</v>
      </c>
      <c r="F103" s="1" t="s">
        <v>408</v>
      </c>
      <c r="G103" s="3">
        <v>42092</v>
      </c>
      <c r="H103" s="11" t="str">
        <f t="shared" si="5"/>
        <v>7 г. 11 мес. 11 дн.</v>
      </c>
      <c r="I103" s="20" t="s">
        <v>122</v>
      </c>
      <c r="J103" s="20" t="s">
        <v>77</v>
      </c>
      <c r="K103" s="1" t="s">
        <v>409</v>
      </c>
      <c r="L103" s="1" t="s">
        <v>410</v>
      </c>
      <c r="M103" s="1" t="s">
        <v>49</v>
      </c>
      <c r="O103" s="20" t="s">
        <v>73</v>
      </c>
      <c r="P103" s="1" t="s">
        <v>96</v>
      </c>
      <c r="S103" s="1" t="s">
        <v>77</v>
      </c>
      <c r="T103" s="3">
        <v>45005</v>
      </c>
      <c r="U103" s="6">
        <v>0.5</v>
      </c>
      <c r="V103" s="1" t="str">
        <f t="shared" si="7"/>
        <v>0 г. 0 мес. 8 дн.</v>
      </c>
      <c r="W103" s="69"/>
    </row>
    <row r="104" spans="1:23" ht="35.1" customHeight="1" x14ac:dyDescent="0.25">
      <c r="A104" s="1">
        <f t="shared" si="4"/>
        <v>103</v>
      </c>
      <c r="B104" s="1">
        <v>151</v>
      </c>
      <c r="C104" s="39" t="s">
        <v>82</v>
      </c>
      <c r="D104" s="21">
        <v>44995</v>
      </c>
      <c r="E104" s="6">
        <v>3.472222222222222E-3</v>
      </c>
      <c r="F104" s="1" t="s">
        <v>236</v>
      </c>
      <c r="G104" s="3">
        <v>44419</v>
      </c>
      <c r="H104" s="11" t="str">
        <f t="shared" si="5"/>
        <v>1 г. 6 мес. 27 дн.</v>
      </c>
      <c r="I104" s="20" t="s">
        <v>125</v>
      </c>
      <c r="J104" s="20" t="s">
        <v>82</v>
      </c>
      <c r="K104" s="1" t="s">
        <v>277</v>
      </c>
      <c r="L104" s="1" t="s">
        <v>238</v>
      </c>
      <c r="M104" s="1" t="s">
        <v>46</v>
      </c>
      <c r="O104" s="20" t="s">
        <v>73</v>
      </c>
      <c r="S104" s="1" t="s">
        <v>82</v>
      </c>
      <c r="T104" s="3">
        <v>45021</v>
      </c>
      <c r="U104" s="6">
        <v>0.45833333333333331</v>
      </c>
      <c r="V104" s="1" t="str">
        <f t="shared" si="7"/>
        <v>0 г. 0 мес. 26 дн.</v>
      </c>
      <c r="W104" s="69"/>
    </row>
    <row r="105" spans="1:23" ht="35.1" customHeight="1" x14ac:dyDescent="0.25">
      <c r="A105" s="8">
        <f t="shared" si="4"/>
        <v>104</v>
      </c>
      <c r="B105" s="1">
        <v>308</v>
      </c>
      <c r="C105" s="39" t="s">
        <v>23</v>
      </c>
      <c r="D105" s="21">
        <v>44998</v>
      </c>
      <c r="E105" s="6">
        <v>0.58333333333333337</v>
      </c>
      <c r="F105" s="1" t="s">
        <v>411</v>
      </c>
      <c r="G105" s="3">
        <v>41377</v>
      </c>
      <c r="H105" s="11" t="str">
        <f t="shared" si="5"/>
        <v>9 г. 11 мес. 0 дн.</v>
      </c>
      <c r="I105" s="20" t="s">
        <v>121</v>
      </c>
      <c r="J105" s="20" t="s">
        <v>23</v>
      </c>
      <c r="K105" s="1" t="s">
        <v>412</v>
      </c>
      <c r="L105" s="1" t="s">
        <v>413</v>
      </c>
      <c r="M105" s="1" t="s">
        <v>52</v>
      </c>
      <c r="O105" s="20" t="s">
        <v>73</v>
      </c>
      <c r="P105" s="1" t="s">
        <v>96</v>
      </c>
      <c r="Q105" s="1" t="s">
        <v>102</v>
      </c>
      <c r="S105" s="1" t="s">
        <v>23</v>
      </c>
      <c r="T105" s="3">
        <v>45000</v>
      </c>
      <c r="U105" s="6">
        <v>0.47916666666666669</v>
      </c>
      <c r="V105" s="1" t="str">
        <f t="shared" si="7"/>
        <v>0 г. 0 мес. 2 дн.</v>
      </c>
      <c r="W105" s="69"/>
    </row>
    <row r="106" spans="1:23" s="8" customFormat="1" ht="35.1" customHeight="1" x14ac:dyDescent="0.25">
      <c r="A106" s="1">
        <f t="shared" si="4"/>
        <v>105</v>
      </c>
      <c r="B106" s="8">
        <v>161</v>
      </c>
      <c r="C106" s="41" t="s">
        <v>26</v>
      </c>
      <c r="D106" s="21">
        <v>44999</v>
      </c>
      <c r="E106" s="10">
        <v>0.5</v>
      </c>
      <c r="F106" s="8" t="s">
        <v>414</v>
      </c>
      <c r="G106" s="9">
        <v>39097</v>
      </c>
      <c r="H106" s="11" t="str">
        <f t="shared" si="5"/>
        <v>16 г. 1 мес. 27 дн.</v>
      </c>
      <c r="I106" s="20" t="s">
        <v>120</v>
      </c>
      <c r="J106" s="20"/>
      <c r="K106" s="8" t="s">
        <v>415</v>
      </c>
      <c r="L106" s="8" t="s">
        <v>416</v>
      </c>
      <c r="M106" s="8" t="s">
        <v>55</v>
      </c>
      <c r="O106" s="20" t="s">
        <v>89</v>
      </c>
      <c r="S106" s="8" t="s">
        <v>26</v>
      </c>
      <c r="T106" s="9">
        <v>45000</v>
      </c>
      <c r="U106" s="10">
        <v>0.45833333333333331</v>
      </c>
      <c r="V106" s="1" t="str">
        <f t="shared" si="7"/>
        <v>0 г. 0 мес. 1 дн.</v>
      </c>
      <c r="W106" s="73"/>
    </row>
    <row r="107" spans="1:23" ht="35.1" customHeight="1" x14ac:dyDescent="0.25">
      <c r="A107" s="8">
        <f t="shared" si="4"/>
        <v>106</v>
      </c>
      <c r="B107" s="1">
        <v>568</v>
      </c>
      <c r="C107" s="39" t="s">
        <v>77</v>
      </c>
      <c r="D107" s="21">
        <v>44999</v>
      </c>
      <c r="E107" s="6">
        <v>0.5625</v>
      </c>
      <c r="F107" s="1" t="s">
        <v>417</v>
      </c>
      <c r="G107" s="3">
        <v>44110</v>
      </c>
      <c r="H107" s="11" t="str">
        <f t="shared" si="5"/>
        <v>2 г. 5 мес. 8 дн.</v>
      </c>
      <c r="I107" s="20" t="s">
        <v>120</v>
      </c>
      <c r="J107" s="20"/>
      <c r="K107" s="1" t="s">
        <v>418</v>
      </c>
      <c r="L107" s="1" t="s">
        <v>419</v>
      </c>
      <c r="M107" s="1" t="s">
        <v>54</v>
      </c>
      <c r="O107" s="20" t="s">
        <v>89</v>
      </c>
      <c r="S107" s="1" t="s">
        <v>77</v>
      </c>
      <c r="T107" s="3">
        <v>45000</v>
      </c>
      <c r="U107" s="6">
        <v>0.45833333333333331</v>
      </c>
      <c r="V107" s="1" t="str">
        <f t="shared" si="7"/>
        <v>0 г. 0 мес. 1 дн.</v>
      </c>
      <c r="W107" s="69"/>
    </row>
    <row r="108" spans="1:23" ht="35.1" customHeight="1" x14ac:dyDescent="0.25">
      <c r="A108" s="1">
        <f t="shared" si="4"/>
        <v>107</v>
      </c>
      <c r="B108" s="1">
        <v>545</v>
      </c>
      <c r="C108" s="39" t="s">
        <v>82</v>
      </c>
      <c r="D108" s="21">
        <v>44998</v>
      </c>
      <c r="E108" s="6">
        <v>0.5</v>
      </c>
      <c r="F108" s="1" t="s">
        <v>432</v>
      </c>
      <c r="G108" s="3">
        <v>41123</v>
      </c>
      <c r="H108" s="11" t="str">
        <f t="shared" si="5"/>
        <v>10 г. 7 мес. 11 дн.</v>
      </c>
      <c r="I108" s="20" t="s">
        <v>121</v>
      </c>
      <c r="J108" s="20" t="s">
        <v>77</v>
      </c>
      <c r="K108" s="1" t="s">
        <v>433</v>
      </c>
      <c r="L108" s="1" t="s">
        <v>423</v>
      </c>
      <c r="M108" s="1" t="s">
        <v>49</v>
      </c>
      <c r="O108" s="20" t="s">
        <v>89</v>
      </c>
      <c r="S108" s="1" t="s">
        <v>26</v>
      </c>
      <c r="T108" s="3">
        <v>44999</v>
      </c>
      <c r="U108" s="6">
        <v>0.41666666666666669</v>
      </c>
      <c r="V108" s="1" t="str">
        <f t="shared" si="7"/>
        <v>0 г. 0 мес. 1 дн.</v>
      </c>
      <c r="W108" s="69"/>
    </row>
    <row r="109" spans="1:23" ht="35.1" customHeight="1" x14ac:dyDescent="0.25">
      <c r="A109" s="8">
        <f t="shared" si="4"/>
        <v>108</v>
      </c>
      <c r="B109" s="1">
        <v>573</v>
      </c>
      <c r="C109" s="39" t="s">
        <v>77</v>
      </c>
      <c r="D109" s="21">
        <v>44999</v>
      </c>
      <c r="E109" s="6">
        <v>0.76041666666666663</v>
      </c>
      <c r="F109" s="1" t="s">
        <v>420</v>
      </c>
      <c r="G109" s="3">
        <v>44194</v>
      </c>
      <c r="H109" s="11" t="str">
        <f t="shared" si="5"/>
        <v>2 г. 2 мес. 13 дн.</v>
      </c>
      <c r="I109" s="20" t="s">
        <v>123</v>
      </c>
      <c r="J109" s="20"/>
      <c r="K109" s="1" t="s">
        <v>421</v>
      </c>
      <c r="L109" s="1" t="s">
        <v>422</v>
      </c>
      <c r="M109" s="1" t="s">
        <v>42</v>
      </c>
      <c r="O109" s="20" t="s">
        <v>73</v>
      </c>
      <c r="S109" s="1" t="s">
        <v>77</v>
      </c>
      <c r="T109" s="3">
        <v>45001</v>
      </c>
      <c r="U109" s="6">
        <v>0.45833333333333331</v>
      </c>
      <c r="V109" s="1" t="str">
        <f t="shared" si="7"/>
        <v>0 г. 0 мес. 2 дн.</v>
      </c>
      <c r="W109" s="69"/>
    </row>
    <row r="110" spans="1:23" ht="35.1" customHeight="1" x14ac:dyDescent="0.25">
      <c r="A110" s="1">
        <f t="shared" si="4"/>
        <v>109</v>
      </c>
      <c r="B110" s="1">
        <v>337</v>
      </c>
      <c r="C110" s="39" t="s">
        <v>77</v>
      </c>
      <c r="D110" s="21">
        <v>45000</v>
      </c>
      <c r="E110" s="6">
        <v>0.57986111111111105</v>
      </c>
      <c r="F110" s="1" t="s">
        <v>424</v>
      </c>
      <c r="G110" s="3">
        <v>38956</v>
      </c>
      <c r="H110" s="11" t="str">
        <f t="shared" si="5"/>
        <v>16 г. 6 мес. 16 дн.</v>
      </c>
      <c r="I110" s="20" t="s">
        <v>121</v>
      </c>
      <c r="J110" s="20" t="s">
        <v>23</v>
      </c>
      <c r="K110" s="1" t="s">
        <v>425</v>
      </c>
      <c r="L110" s="1" t="s">
        <v>426</v>
      </c>
      <c r="M110" s="1" t="s">
        <v>51</v>
      </c>
      <c r="O110" s="20" t="s">
        <v>89</v>
      </c>
      <c r="P110" s="1" t="s">
        <v>96</v>
      </c>
      <c r="S110" s="1" t="s">
        <v>23</v>
      </c>
      <c r="T110" s="3">
        <v>45002</v>
      </c>
      <c r="U110" s="6">
        <v>0.58333333333333337</v>
      </c>
      <c r="V110" s="1" t="str">
        <f t="shared" si="7"/>
        <v>0 г. 0 мес. 2 дн.</v>
      </c>
      <c r="W110" s="69"/>
    </row>
    <row r="111" spans="1:23" ht="35.1" customHeight="1" x14ac:dyDescent="0.25">
      <c r="A111" s="8">
        <f t="shared" si="4"/>
        <v>110</v>
      </c>
      <c r="B111" s="1">
        <v>342</v>
      </c>
      <c r="C111" s="39" t="s">
        <v>27</v>
      </c>
      <c r="D111" s="21">
        <v>45001</v>
      </c>
      <c r="E111" s="6">
        <v>0.20138888888888887</v>
      </c>
      <c r="F111" s="1" t="s">
        <v>427</v>
      </c>
      <c r="G111" s="3">
        <v>44473</v>
      </c>
      <c r="H111" s="11" t="str">
        <f t="shared" si="5"/>
        <v>1 г. 5 мес. 12 дн.</v>
      </c>
      <c r="I111" s="20" t="s">
        <v>120</v>
      </c>
      <c r="J111" s="20"/>
      <c r="K111" s="1" t="s">
        <v>428</v>
      </c>
      <c r="L111" s="1" t="s">
        <v>429</v>
      </c>
      <c r="M111" s="1" t="s">
        <v>48</v>
      </c>
      <c r="O111" s="20" t="s">
        <v>89</v>
      </c>
      <c r="S111" s="1" t="s">
        <v>27</v>
      </c>
      <c r="T111" s="3">
        <v>45001</v>
      </c>
      <c r="U111" s="6">
        <v>0.54166666666666663</v>
      </c>
      <c r="V111" s="1" t="str">
        <f t="shared" si="7"/>
        <v>0 г. 0 мес. 0 дн.</v>
      </c>
      <c r="W111" s="69"/>
    </row>
    <row r="112" spans="1:23" ht="35.1" customHeight="1" x14ac:dyDescent="0.25">
      <c r="A112" s="1">
        <f t="shared" si="4"/>
        <v>111</v>
      </c>
      <c r="B112" s="1">
        <v>506</v>
      </c>
      <c r="C112" s="39" t="s">
        <v>77</v>
      </c>
      <c r="D112" s="21">
        <v>45000</v>
      </c>
      <c r="E112" s="6">
        <v>0.97222222222222221</v>
      </c>
      <c r="F112" s="1" t="s">
        <v>392</v>
      </c>
      <c r="G112" s="3">
        <v>42572</v>
      </c>
      <c r="H112" s="11" t="str">
        <f t="shared" si="5"/>
        <v>6 г. 7 мес. 22 дн.</v>
      </c>
      <c r="I112" s="20" t="s">
        <v>125</v>
      </c>
      <c r="J112" s="20" t="s">
        <v>77</v>
      </c>
      <c r="K112" s="1" t="s">
        <v>430</v>
      </c>
      <c r="L112" s="1" t="s">
        <v>431</v>
      </c>
      <c r="M112" s="1" t="s">
        <v>48</v>
      </c>
      <c r="O112" s="20" t="s">
        <v>73</v>
      </c>
      <c r="S112" s="1" t="s">
        <v>77</v>
      </c>
      <c r="T112" s="3">
        <v>45008</v>
      </c>
      <c r="U112" s="6">
        <v>0.4375</v>
      </c>
      <c r="V112" s="1" t="str">
        <f t="shared" si="7"/>
        <v>0 г. 0 мес. 8 дн.</v>
      </c>
      <c r="W112" s="69"/>
    </row>
    <row r="113" spans="1:23" ht="35.1" customHeight="1" x14ac:dyDescent="0.25">
      <c r="A113" s="8">
        <f t="shared" si="4"/>
        <v>112</v>
      </c>
      <c r="B113" s="1">
        <v>545</v>
      </c>
      <c r="C113" s="39" t="s">
        <v>77</v>
      </c>
      <c r="D113" s="21">
        <v>45001</v>
      </c>
      <c r="E113" s="6">
        <v>0.39583333333333331</v>
      </c>
      <c r="F113" s="1" t="s">
        <v>432</v>
      </c>
      <c r="G113" s="3">
        <v>40767</v>
      </c>
      <c r="H113" s="11" t="str">
        <f t="shared" si="5"/>
        <v>11 г. 7 мес. 4 дн.</v>
      </c>
      <c r="I113" s="20" t="s">
        <v>125</v>
      </c>
      <c r="J113" s="20" t="s">
        <v>77</v>
      </c>
      <c r="K113" s="1" t="s">
        <v>433</v>
      </c>
      <c r="L113" s="1" t="s">
        <v>434</v>
      </c>
      <c r="M113" s="1" t="s">
        <v>48</v>
      </c>
      <c r="O113" s="20" t="s">
        <v>89</v>
      </c>
      <c r="S113" s="1" t="s">
        <v>77</v>
      </c>
      <c r="T113" s="3">
        <v>45006</v>
      </c>
      <c r="U113" s="6">
        <v>0.5</v>
      </c>
      <c r="V113" s="1" t="str">
        <f t="shared" si="7"/>
        <v>0 г. 0 мес. 5 дн.</v>
      </c>
      <c r="W113" s="69"/>
    </row>
    <row r="114" spans="1:23" ht="35.1" customHeight="1" x14ac:dyDescent="0.25">
      <c r="A114" s="1">
        <f t="shared" si="4"/>
        <v>113</v>
      </c>
      <c r="B114" s="1">
        <v>172</v>
      </c>
      <c r="C114" s="39" t="s">
        <v>28</v>
      </c>
      <c r="D114" s="21">
        <v>45001</v>
      </c>
      <c r="E114" s="6">
        <v>0.69444444444444453</v>
      </c>
      <c r="F114" s="1" t="s">
        <v>435</v>
      </c>
      <c r="G114" s="3">
        <v>40373</v>
      </c>
      <c r="H114" s="11" t="str">
        <f t="shared" si="5"/>
        <v>12 г. 8 мес. 2 дн.</v>
      </c>
      <c r="I114" s="20" t="s">
        <v>120</v>
      </c>
      <c r="J114" s="20"/>
      <c r="K114" s="1" t="s">
        <v>436</v>
      </c>
      <c r="L114" s="1" t="s">
        <v>437</v>
      </c>
      <c r="M114" s="1" t="s">
        <v>46</v>
      </c>
      <c r="O114" s="20" t="s">
        <v>89</v>
      </c>
      <c r="S114" s="1" t="s">
        <v>28</v>
      </c>
      <c r="T114" s="3">
        <v>45002</v>
      </c>
      <c r="U114" s="6">
        <v>0.66666666666666663</v>
      </c>
      <c r="V114" s="1" t="str">
        <f t="shared" si="7"/>
        <v>0 г. 0 мес. 1 дн.</v>
      </c>
      <c r="W114" s="69"/>
    </row>
    <row r="115" spans="1:23" ht="35.1" customHeight="1" x14ac:dyDescent="0.25">
      <c r="A115" s="8">
        <f t="shared" si="4"/>
        <v>114</v>
      </c>
      <c r="B115" s="1">
        <v>121</v>
      </c>
      <c r="C115" s="39" t="s">
        <v>24</v>
      </c>
      <c r="D115" s="21">
        <v>45002</v>
      </c>
      <c r="E115" s="6">
        <v>0.875</v>
      </c>
      <c r="F115" s="1" t="s">
        <v>438</v>
      </c>
      <c r="G115" s="3">
        <v>42702</v>
      </c>
      <c r="H115" s="11" t="str">
        <f t="shared" si="5"/>
        <v>6 г. 3 мес. 17 дн.</v>
      </c>
      <c r="I115" s="20" t="s">
        <v>122</v>
      </c>
      <c r="J115" s="20" t="s">
        <v>24</v>
      </c>
      <c r="K115" s="1" t="s">
        <v>440</v>
      </c>
      <c r="L115" s="1" t="s">
        <v>439</v>
      </c>
      <c r="M115" s="1" t="s">
        <v>50</v>
      </c>
      <c r="O115" s="20" t="s">
        <v>89</v>
      </c>
      <c r="S115" s="1" t="s">
        <v>24</v>
      </c>
      <c r="T115" s="3">
        <v>45005</v>
      </c>
      <c r="U115" s="6">
        <v>0.5</v>
      </c>
      <c r="V115" s="1" t="str">
        <f t="shared" si="7"/>
        <v>0 г. 0 мес. 3 дн.</v>
      </c>
      <c r="W115" s="69"/>
    </row>
    <row r="116" spans="1:23" s="8" customFormat="1" ht="35.1" customHeight="1" x14ac:dyDescent="0.25">
      <c r="A116" s="1">
        <f t="shared" si="4"/>
        <v>115</v>
      </c>
      <c r="B116" s="8">
        <v>110</v>
      </c>
      <c r="C116" s="41" t="s">
        <v>82</v>
      </c>
      <c r="D116" s="21">
        <v>45003</v>
      </c>
      <c r="E116" s="10">
        <v>0.38541666666666669</v>
      </c>
      <c r="F116" s="8" t="s">
        <v>343</v>
      </c>
      <c r="G116" s="9">
        <v>40323</v>
      </c>
      <c r="H116" s="11" t="str">
        <f t="shared" si="5"/>
        <v>12 г. 9 мес. 21 дн.</v>
      </c>
      <c r="I116" s="20" t="s">
        <v>125</v>
      </c>
      <c r="J116" s="20" t="s">
        <v>82</v>
      </c>
      <c r="K116" s="8" t="s">
        <v>344</v>
      </c>
      <c r="L116" s="1" t="s">
        <v>442</v>
      </c>
      <c r="M116" s="8" t="s">
        <v>56</v>
      </c>
      <c r="O116" s="20" t="s">
        <v>89</v>
      </c>
      <c r="S116" s="8" t="s">
        <v>82</v>
      </c>
      <c r="T116" s="9">
        <v>45006</v>
      </c>
      <c r="U116" s="10">
        <v>0.5</v>
      </c>
      <c r="V116" s="1" t="str">
        <f t="shared" si="7"/>
        <v>0 г. 0 мес. 3 дн.</v>
      </c>
      <c r="W116" s="73"/>
    </row>
    <row r="117" spans="1:23" ht="35.1" customHeight="1" x14ac:dyDescent="0.25">
      <c r="A117" s="8">
        <f t="shared" si="4"/>
        <v>116</v>
      </c>
      <c r="B117" s="1">
        <v>556</v>
      </c>
      <c r="C117" s="39" t="s">
        <v>77</v>
      </c>
      <c r="D117" s="21">
        <v>44998</v>
      </c>
      <c r="E117" s="6">
        <v>0.91805555555555562</v>
      </c>
      <c r="F117" s="1" t="s">
        <v>443</v>
      </c>
      <c r="G117" s="3">
        <v>44512</v>
      </c>
      <c r="H117" s="11" t="str">
        <f t="shared" si="5"/>
        <v>1 г. 4 мес. 1 дн.</v>
      </c>
      <c r="I117" s="20" t="s">
        <v>120</v>
      </c>
      <c r="J117" s="20"/>
      <c r="K117" s="1" t="s">
        <v>444</v>
      </c>
      <c r="L117" s="1" t="s">
        <v>445</v>
      </c>
      <c r="M117" s="1" t="s">
        <v>55</v>
      </c>
      <c r="O117" s="20" t="s">
        <v>89</v>
      </c>
      <c r="S117" s="1" t="s">
        <v>77</v>
      </c>
      <c r="T117" s="3">
        <v>44999</v>
      </c>
      <c r="U117" s="6">
        <v>0.44722222222222219</v>
      </c>
      <c r="V117" s="1" t="str">
        <f t="shared" si="7"/>
        <v>0 г. 0 мес. 1 дн.</v>
      </c>
      <c r="W117" s="69"/>
    </row>
    <row r="118" spans="1:23" ht="35.1" customHeight="1" x14ac:dyDescent="0.25">
      <c r="A118" s="1">
        <f t="shared" si="4"/>
        <v>117</v>
      </c>
      <c r="B118" s="1">
        <v>172</v>
      </c>
      <c r="C118" s="39" t="s">
        <v>28</v>
      </c>
      <c r="D118" s="21">
        <v>45003</v>
      </c>
      <c r="E118" s="6">
        <v>0.44444444444444442</v>
      </c>
      <c r="F118" s="1" t="s">
        <v>435</v>
      </c>
      <c r="G118" s="3">
        <v>40373</v>
      </c>
      <c r="H118" s="11" t="str">
        <f t="shared" si="5"/>
        <v>12 г. 8 мес. 4 дн.</v>
      </c>
      <c r="I118" s="20" t="s">
        <v>125</v>
      </c>
      <c r="J118" s="20" t="s">
        <v>28</v>
      </c>
      <c r="K118" s="1" t="s">
        <v>446</v>
      </c>
      <c r="L118" s="1" t="s">
        <v>437</v>
      </c>
      <c r="M118" s="1" t="s">
        <v>46</v>
      </c>
      <c r="O118" s="20" t="s">
        <v>89</v>
      </c>
      <c r="S118" s="1" t="s">
        <v>28</v>
      </c>
      <c r="T118" s="3">
        <v>45005</v>
      </c>
      <c r="U118" s="6">
        <v>0.5</v>
      </c>
      <c r="V118" s="1" t="str">
        <f t="shared" si="7"/>
        <v>0 г. 0 мес. 2 дн.</v>
      </c>
      <c r="W118" s="69"/>
    </row>
    <row r="119" spans="1:23" ht="35.1" customHeight="1" x14ac:dyDescent="0.25">
      <c r="A119" s="8">
        <f t="shared" si="4"/>
        <v>118</v>
      </c>
      <c r="B119" s="1">
        <v>544</v>
      </c>
      <c r="C119" s="39" t="s">
        <v>77</v>
      </c>
      <c r="D119" s="21">
        <v>45004</v>
      </c>
      <c r="E119" s="6">
        <v>0.6875</v>
      </c>
      <c r="F119" s="1" t="s">
        <v>447</v>
      </c>
      <c r="G119" s="3">
        <v>40973</v>
      </c>
      <c r="H119" s="11" t="str">
        <f t="shared" si="5"/>
        <v>11 г. 0 мес. 14 дн.</v>
      </c>
      <c r="I119" s="20" t="s">
        <v>121</v>
      </c>
      <c r="J119" s="20" t="s">
        <v>77</v>
      </c>
      <c r="K119" s="1" t="s">
        <v>448</v>
      </c>
      <c r="L119" s="1" t="s">
        <v>449</v>
      </c>
      <c r="M119" s="1" t="s">
        <v>49</v>
      </c>
      <c r="O119" s="20" t="s">
        <v>73</v>
      </c>
      <c r="P119" s="1" t="s">
        <v>96</v>
      </c>
      <c r="S119" s="1" t="s">
        <v>77</v>
      </c>
      <c r="T119" s="3">
        <v>45008</v>
      </c>
      <c r="U119" s="6">
        <v>0.45833333333333331</v>
      </c>
      <c r="V119" s="1" t="str">
        <f t="shared" si="7"/>
        <v>0 г. 0 мес. 4 дн.</v>
      </c>
      <c r="W119" s="69"/>
    </row>
    <row r="120" spans="1:23" ht="35.1" customHeight="1" x14ac:dyDescent="0.25">
      <c r="A120" s="1">
        <f t="shared" si="4"/>
        <v>119</v>
      </c>
      <c r="B120" s="1">
        <v>175</v>
      </c>
      <c r="C120" s="39" t="s">
        <v>26</v>
      </c>
      <c r="D120" s="21">
        <v>45004</v>
      </c>
      <c r="E120" s="6">
        <v>0.78472222222222221</v>
      </c>
      <c r="F120" s="1" t="s">
        <v>450</v>
      </c>
      <c r="G120" s="3">
        <v>39769</v>
      </c>
      <c r="H120" s="11" t="str">
        <f t="shared" si="5"/>
        <v>14 г. 4 мес. 2 дн.</v>
      </c>
      <c r="I120" s="20" t="s">
        <v>120</v>
      </c>
      <c r="J120" s="20"/>
      <c r="K120" s="1" t="s">
        <v>451</v>
      </c>
      <c r="L120" s="1" t="s">
        <v>452</v>
      </c>
      <c r="M120" s="1" t="s">
        <v>55</v>
      </c>
      <c r="O120" s="20" t="s">
        <v>89</v>
      </c>
      <c r="S120" s="1" t="s">
        <v>26</v>
      </c>
      <c r="T120" s="3">
        <v>45005</v>
      </c>
      <c r="U120" s="6">
        <v>0.5</v>
      </c>
      <c r="V120" s="1" t="str">
        <f t="shared" si="7"/>
        <v>0 г. 0 мес. 1 дн.</v>
      </c>
      <c r="W120" s="69"/>
    </row>
    <row r="121" spans="1:23" ht="35.1" customHeight="1" x14ac:dyDescent="0.25">
      <c r="A121" s="7">
        <f t="shared" si="4"/>
        <v>120</v>
      </c>
      <c r="B121" s="7">
        <v>351</v>
      </c>
      <c r="C121" s="39" t="s">
        <v>27</v>
      </c>
      <c r="D121" s="21">
        <v>45005</v>
      </c>
      <c r="E121" s="6">
        <v>0.625</v>
      </c>
      <c r="F121" s="1" t="s">
        <v>453</v>
      </c>
      <c r="G121" s="3">
        <v>44907</v>
      </c>
      <c r="H121" s="11" t="str">
        <f t="shared" si="5"/>
        <v>0 г. 3 мес. 8 дн.</v>
      </c>
      <c r="I121" s="20" t="s">
        <v>122</v>
      </c>
      <c r="J121" s="20" t="s">
        <v>27</v>
      </c>
      <c r="K121" s="1" t="s">
        <v>454</v>
      </c>
      <c r="L121" s="1" t="s">
        <v>455</v>
      </c>
      <c r="M121" s="1" t="s">
        <v>42</v>
      </c>
      <c r="N121" s="7"/>
      <c r="O121" s="20" t="s">
        <v>89</v>
      </c>
      <c r="P121" s="7"/>
      <c r="Q121" s="7" t="s">
        <v>103</v>
      </c>
      <c r="R121" s="7"/>
      <c r="S121" s="1" t="s">
        <v>27</v>
      </c>
      <c r="T121" s="3">
        <v>45005</v>
      </c>
      <c r="U121" s="6">
        <v>0.91666666666666663</v>
      </c>
      <c r="V121" s="1" t="str">
        <f t="shared" si="7"/>
        <v>0 г. 0 мес. 0 дн.</v>
      </c>
      <c r="W121" s="69"/>
    </row>
    <row r="122" spans="1:23" ht="35.1" customHeight="1" x14ac:dyDescent="0.25">
      <c r="A122" s="8">
        <f t="shared" si="4"/>
        <v>121</v>
      </c>
      <c r="B122" s="1"/>
      <c r="C122" s="39" t="s">
        <v>77</v>
      </c>
      <c r="D122" s="21">
        <v>45008</v>
      </c>
      <c r="E122" s="6">
        <v>0.46527777777777773</v>
      </c>
      <c r="F122" s="1" t="s">
        <v>468</v>
      </c>
      <c r="G122" s="3">
        <v>44220</v>
      </c>
      <c r="H122" s="11" t="str">
        <f>DATEDIF(G122,D122,"y") &amp; " г. " &amp; DATEDIF(G122,D122,"ym") &amp; " мес. " &amp; DATEDIF(G122,D122,"md") &amp; " дн."</f>
        <v>2 г. 1 мес. 27 дн.</v>
      </c>
      <c r="I122" s="20" t="s">
        <v>120</v>
      </c>
      <c r="J122" s="20"/>
      <c r="K122" s="1" t="s">
        <v>456</v>
      </c>
      <c r="L122" s="1" t="s">
        <v>457</v>
      </c>
      <c r="M122" s="1" t="s">
        <v>49</v>
      </c>
      <c r="O122" s="20" t="s">
        <v>89</v>
      </c>
      <c r="S122" s="1" t="s">
        <v>77</v>
      </c>
      <c r="T122" s="3">
        <v>45009</v>
      </c>
      <c r="U122" s="6">
        <v>0.5</v>
      </c>
      <c r="V122" s="1" t="str">
        <f t="shared" si="7"/>
        <v>0 г. 0 мес. 1 дн.</v>
      </c>
      <c r="W122" s="69"/>
    </row>
    <row r="123" spans="1:23" ht="35.1" customHeight="1" x14ac:dyDescent="0.25">
      <c r="A123" s="8">
        <f t="shared" si="4"/>
        <v>122</v>
      </c>
      <c r="B123" s="7"/>
      <c r="C123" s="39" t="s">
        <v>27</v>
      </c>
      <c r="D123" s="21">
        <v>45008</v>
      </c>
      <c r="E123" s="6">
        <v>0.67361111111111116</v>
      </c>
      <c r="F123" s="1" t="s">
        <v>458</v>
      </c>
      <c r="G123" s="3">
        <v>44907</v>
      </c>
      <c r="H123" s="11" t="str">
        <f t="shared" si="5"/>
        <v>0 г. 3 мес. 11 дн.</v>
      </c>
      <c r="I123" s="20" t="s">
        <v>123</v>
      </c>
      <c r="J123" s="20"/>
      <c r="K123" s="1" t="s">
        <v>459</v>
      </c>
      <c r="L123" s="1" t="s">
        <v>460</v>
      </c>
      <c r="M123" s="1" t="s">
        <v>48</v>
      </c>
      <c r="N123" s="7"/>
      <c r="O123" s="20" t="s">
        <v>89</v>
      </c>
      <c r="P123" s="7"/>
      <c r="Q123" s="7"/>
      <c r="R123" s="7"/>
      <c r="S123" s="1" t="s">
        <v>27</v>
      </c>
      <c r="T123" s="3">
        <v>45009</v>
      </c>
      <c r="U123" s="6">
        <v>0.45833333333333331</v>
      </c>
      <c r="V123" s="32" t="str">
        <f t="shared" si="7"/>
        <v>0 г. 0 мес. 1 дн.</v>
      </c>
      <c r="W123" s="69"/>
    </row>
    <row r="124" spans="1:23" s="89" customFormat="1" ht="35.1" customHeight="1" x14ac:dyDescent="0.25">
      <c r="A124" s="32">
        <f t="shared" si="4"/>
        <v>123</v>
      </c>
      <c r="B124" s="32">
        <v>657</v>
      </c>
      <c r="C124" s="40" t="s">
        <v>77</v>
      </c>
      <c r="D124" s="21">
        <v>45010</v>
      </c>
      <c r="E124" s="33">
        <v>0.52430555555555558</v>
      </c>
      <c r="F124" s="32" t="s">
        <v>461</v>
      </c>
      <c r="G124" s="35">
        <v>44528</v>
      </c>
      <c r="H124" s="28" t="str">
        <f t="shared" si="5"/>
        <v>1 г. 3 мес. 25 дн.</v>
      </c>
      <c r="I124" s="20" t="s">
        <v>120</v>
      </c>
      <c r="J124" s="20"/>
      <c r="K124" s="32" t="s">
        <v>462</v>
      </c>
      <c r="L124" s="32" t="s">
        <v>463</v>
      </c>
      <c r="M124" s="32" t="s">
        <v>54</v>
      </c>
      <c r="N124" s="32"/>
      <c r="O124" s="20" t="s">
        <v>73</v>
      </c>
      <c r="P124" s="32"/>
      <c r="Q124" s="32"/>
      <c r="R124" s="32"/>
      <c r="S124" s="32" t="s">
        <v>77</v>
      </c>
      <c r="T124" s="35">
        <v>45012</v>
      </c>
      <c r="U124" s="33">
        <v>0.54166666666666663</v>
      </c>
      <c r="V124" s="32" t="str">
        <f t="shared" si="7"/>
        <v>0 г. 0 мес. 2 дн.</v>
      </c>
      <c r="W124" s="88"/>
    </row>
    <row r="125" spans="1:23" s="37" customFormat="1" ht="35.1" customHeight="1" x14ac:dyDescent="0.25">
      <c r="A125" s="51">
        <f t="shared" si="4"/>
        <v>124</v>
      </c>
      <c r="B125" s="55">
        <v>192</v>
      </c>
      <c r="C125" s="90" t="s">
        <v>28</v>
      </c>
      <c r="D125" s="21">
        <v>45011</v>
      </c>
      <c r="E125" s="91">
        <v>0.85416666666666663</v>
      </c>
      <c r="F125" s="55" t="s">
        <v>407</v>
      </c>
      <c r="G125" s="92">
        <v>39516</v>
      </c>
      <c r="H125" s="1" t="str">
        <f t="shared" si="5"/>
        <v>15 г. 0 мес. 17 дн.</v>
      </c>
      <c r="I125" s="20" t="s">
        <v>120</v>
      </c>
      <c r="J125" s="20"/>
      <c r="K125" s="55" t="s">
        <v>390</v>
      </c>
      <c r="L125" s="55" t="s">
        <v>161</v>
      </c>
      <c r="M125" s="55" t="s">
        <v>46</v>
      </c>
      <c r="N125" s="74"/>
      <c r="O125" s="20" t="s">
        <v>89</v>
      </c>
      <c r="P125" s="74"/>
      <c r="Q125" s="74"/>
      <c r="R125" s="74"/>
      <c r="S125" s="51" t="s">
        <v>28</v>
      </c>
      <c r="T125" s="60">
        <v>45012</v>
      </c>
      <c r="U125" s="59">
        <v>0.54166666666666663</v>
      </c>
      <c r="V125" s="32" t="str">
        <f t="shared" si="7"/>
        <v>0 г. 0 мес. 1 дн.</v>
      </c>
      <c r="W125" s="70"/>
    </row>
    <row r="126" spans="1:23" ht="35.1" customHeight="1" x14ac:dyDescent="0.25">
      <c r="A126" s="1">
        <f t="shared" si="4"/>
        <v>125</v>
      </c>
      <c r="B126" s="1">
        <v>673</v>
      </c>
      <c r="C126" s="39" t="s">
        <v>77</v>
      </c>
      <c r="D126" s="21">
        <v>45011</v>
      </c>
      <c r="E126" s="6">
        <v>0.90277777777777779</v>
      </c>
      <c r="F126" s="1" t="s">
        <v>464</v>
      </c>
      <c r="G126" s="3">
        <v>44502</v>
      </c>
      <c r="H126" s="11" t="str">
        <f t="shared" si="5"/>
        <v>1 г. 4 мес. 24 дн.</v>
      </c>
      <c r="I126" s="20" t="s">
        <v>120</v>
      </c>
      <c r="J126" s="20"/>
      <c r="K126" s="1" t="s">
        <v>741</v>
      </c>
      <c r="L126" s="1" t="s">
        <v>465</v>
      </c>
      <c r="M126" s="1" t="s">
        <v>54</v>
      </c>
      <c r="O126" s="20" t="s">
        <v>89</v>
      </c>
      <c r="S126" s="1" t="s">
        <v>77</v>
      </c>
      <c r="T126" s="3">
        <v>45012</v>
      </c>
      <c r="U126" s="6">
        <v>0.5</v>
      </c>
      <c r="V126" s="32" t="str">
        <f t="shared" si="7"/>
        <v>0 г. 0 мес. 1 дн.</v>
      </c>
      <c r="W126" s="69"/>
    </row>
    <row r="127" spans="1:23" ht="35.1" customHeight="1" x14ac:dyDescent="0.25">
      <c r="A127" s="8">
        <f t="shared" si="4"/>
        <v>126</v>
      </c>
      <c r="B127" s="1">
        <v>639</v>
      </c>
      <c r="C127" s="39" t="s">
        <v>77</v>
      </c>
      <c r="D127" s="21">
        <v>45009</v>
      </c>
      <c r="E127" s="6">
        <v>0.45833333333333331</v>
      </c>
      <c r="F127" s="1" t="s">
        <v>610</v>
      </c>
      <c r="G127" s="3">
        <v>44915</v>
      </c>
      <c r="H127" s="11" t="str">
        <f t="shared" si="5"/>
        <v>0 г. 3 мес. 4 дн.</v>
      </c>
      <c r="I127" s="20" t="s">
        <v>122</v>
      </c>
      <c r="J127" s="20" t="s">
        <v>77</v>
      </c>
      <c r="K127" s="1" t="s">
        <v>466</v>
      </c>
      <c r="L127" s="1" t="s">
        <v>467</v>
      </c>
      <c r="M127" s="1" t="s">
        <v>45</v>
      </c>
      <c r="O127" s="20" t="s">
        <v>89</v>
      </c>
      <c r="S127" s="1" t="s">
        <v>77</v>
      </c>
      <c r="T127" s="3">
        <v>45010</v>
      </c>
      <c r="U127" s="6">
        <v>0.5</v>
      </c>
      <c r="V127" s="1" t="str">
        <f t="shared" si="7"/>
        <v>0 г. 0 мес. 1 дн.</v>
      </c>
      <c r="W127" s="69"/>
    </row>
    <row r="128" spans="1:23" ht="35.1" customHeight="1" x14ac:dyDescent="0.25">
      <c r="A128" s="1">
        <f t="shared" si="4"/>
        <v>127</v>
      </c>
      <c r="B128" s="1">
        <v>188</v>
      </c>
      <c r="C128" s="39" t="s">
        <v>26</v>
      </c>
      <c r="D128" s="21">
        <v>45012</v>
      </c>
      <c r="E128" s="6">
        <v>0</v>
      </c>
      <c r="F128" s="1" t="s">
        <v>469</v>
      </c>
      <c r="G128" s="3">
        <v>39980</v>
      </c>
      <c r="H128" s="11" t="str">
        <f t="shared" si="5"/>
        <v>13 г. 9 мес. 11 дн.</v>
      </c>
      <c r="I128" s="20" t="s">
        <v>123</v>
      </c>
      <c r="J128" s="20"/>
      <c r="K128" s="1" t="s">
        <v>470</v>
      </c>
      <c r="L128" s="1" t="s">
        <v>471</v>
      </c>
      <c r="M128" s="1" t="s">
        <v>55</v>
      </c>
      <c r="O128" s="20" t="s">
        <v>89</v>
      </c>
      <c r="S128" s="1" t="s">
        <v>26</v>
      </c>
      <c r="T128" s="3">
        <v>45012</v>
      </c>
      <c r="U128" s="6">
        <v>0.45833333333333331</v>
      </c>
      <c r="V128" s="1" t="str">
        <f t="shared" si="7"/>
        <v>0 г. 0 мес. 0 дн.</v>
      </c>
      <c r="W128" s="69"/>
    </row>
    <row r="129" spans="1:23" ht="35.1" customHeight="1" x14ac:dyDescent="0.25">
      <c r="A129" s="8">
        <f t="shared" ref="A129:A192" si="8">ROW(A128)</f>
        <v>128</v>
      </c>
      <c r="B129" s="1">
        <v>187</v>
      </c>
      <c r="C129" s="39" t="s">
        <v>26</v>
      </c>
      <c r="D129" s="21">
        <v>45011</v>
      </c>
      <c r="E129" s="6">
        <v>0.98611111111111116</v>
      </c>
      <c r="F129" s="1" t="s">
        <v>472</v>
      </c>
      <c r="G129" s="3">
        <v>39139</v>
      </c>
      <c r="H129" s="11" t="str">
        <f t="shared" ref="H129:H192" si="9">DATEDIF(G129,D129,"y") &amp; " г. " &amp; DATEDIF(G129,D129,"ym") &amp; " мес. " &amp; DATEDIF(G129,D129,"md") &amp; " дн."</f>
        <v>16 г. 1 мес. 0 дн.</v>
      </c>
      <c r="I129" s="20" t="s">
        <v>120</v>
      </c>
      <c r="J129" s="20"/>
      <c r="K129" s="1" t="s">
        <v>473</v>
      </c>
      <c r="L129" s="1" t="s">
        <v>471</v>
      </c>
      <c r="M129" s="1" t="s">
        <v>55</v>
      </c>
      <c r="O129" s="20" t="s">
        <v>89</v>
      </c>
      <c r="S129" s="1" t="s">
        <v>26</v>
      </c>
      <c r="T129" s="3">
        <v>45012</v>
      </c>
      <c r="U129" s="6">
        <v>0.54166666666666663</v>
      </c>
      <c r="V129" s="1" t="str">
        <f t="shared" ref="V129:V160" si="10">DATEDIF(D129,T129,"y") &amp; " г. " &amp; DATEDIF(D129,T129,"ym") &amp; " мес. " &amp; DATEDIF(D129,T129,"md") &amp; " дн."</f>
        <v>0 г. 0 мес. 1 дн.</v>
      </c>
      <c r="W129" s="69"/>
    </row>
    <row r="130" spans="1:23" ht="35.1" customHeight="1" x14ac:dyDescent="0.25">
      <c r="A130" s="1">
        <f t="shared" si="8"/>
        <v>129</v>
      </c>
      <c r="B130" s="1">
        <v>685</v>
      </c>
      <c r="C130" s="39" t="s">
        <v>77</v>
      </c>
      <c r="D130" s="21">
        <v>45012</v>
      </c>
      <c r="E130" s="6">
        <v>0.52083333333333337</v>
      </c>
      <c r="F130" s="1" t="s">
        <v>474</v>
      </c>
      <c r="G130" s="3">
        <v>44473</v>
      </c>
      <c r="H130" s="11" t="str">
        <f t="shared" si="9"/>
        <v>1 г. 5 мес. 23 дн.</v>
      </c>
      <c r="I130" s="20" t="s">
        <v>120</v>
      </c>
      <c r="J130" s="20"/>
      <c r="K130" s="1" t="s">
        <v>475</v>
      </c>
      <c r="L130" s="1" t="s">
        <v>476</v>
      </c>
      <c r="M130" s="1" t="s">
        <v>54</v>
      </c>
      <c r="O130" s="20" t="s">
        <v>89</v>
      </c>
      <c r="S130" s="1" t="s">
        <v>77</v>
      </c>
      <c r="T130" s="3">
        <v>45013</v>
      </c>
      <c r="U130" s="6">
        <v>0.45833333333333331</v>
      </c>
      <c r="V130" s="1" t="str">
        <f t="shared" si="10"/>
        <v>0 г. 0 мес. 1 дн.</v>
      </c>
      <c r="W130" s="69"/>
    </row>
    <row r="131" spans="1:23" ht="35.1" customHeight="1" x14ac:dyDescent="0.25">
      <c r="A131" s="8">
        <f t="shared" si="8"/>
        <v>130</v>
      </c>
      <c r="B131" s="1">
        <v>191</v>
      </c>
      <c r="C131" s="39" t="s">
        <v>26</v>
      </c>
      <c r="D131" s="21">
        <v>45013</v>
      </c>
      <c r="E131" s="6">
        <v>0.45833333333333331</v>
      </c>
      <c r="F131" s="1" t="s">
        <v>477</v>
      </c>
      <c r="G131" s="3">
        <v>43137</v>
      </c>
      <c r="H131" s="11" t="str">
        <f t="shared" si="9"/>
        <v>5 г. 1 мес. 22 дн.</v>
      </c>
      <c r="I131" s="20" t="s">
        <v>120</v>
      </c>
      <c r="J131" s="20"/>
      <c r="K131" s="1" t="s">
        <v>478</v>
      </c>
      <c r="L131" s="1" t="s">
        <v>479</v>
      </c>
      <c r="M131" s="1" t="s">
        <v>43</v>
      </c>
      <c r="O131" s="20" t="s">
        <v>89</v>
      </c>
      <c r="S131" s="1" t="s">
        <v>26</v>
      </c>
      <c r="T131" s="3">
        <v>45014</v>
      </c>
      <c r="U131" s="6">
        <v>0.45833333333333331</v>
      </c>
      <c r="V131" s="1" t="str">
        <f t="shared" si="10"/>
        <v>0 г. 0 мес. 1 дн.</v>
      </c>
      <c r="W131" s="69"/>
    </row>
    <row r="132" spans="1:23" ht="35.1" customHeight="1" x14ac:dyDescent="0.25">
      <c r="A132" s="1">
        <f t="shared" si="8"/>
        <v>131</v>
      </c>
      <c r="B132" s="1">
        <v>697</v>
      </c>
      <c r="C132" s="39" t="s">
        <v>77</v>
      </c>
      <c r="D132" s="21">
        <v>45013</v>
      </c>
      <c r="E132" s="6">
        <v>0.8125</v>
      </c>
      <c r="F132" s="1" t="s">
        <v>480</v>
      </c>
      <c r="G132" s="3">
        <v>44218</v>
      </c>
      <c r="H132" s="11" t="str">
        <f t="shared" si="9"/>
        <v>2 г. 2 мес. 6 дн.</v>
      </c>
      <c r="I132" s="20" t="s">
        <v>120</v>
      </c>
      <c r="J132" s="20"/>
      <c r="K132" s="1" t="s">
        <v>481</v>
      </c>
      <c r="L132" s="1" t="s">
        <v>224</v>
      </c>
      <c r="M132" s="1" t="s">
        <v>52</v>
      </c>
      <c r="O132" s="20" t="s">
        <v>89</v>
      </c>
      <c r="S132" s="1" t="s">
        <v>77</v>
      </c>
      <c r="T132" s="3">
        <v>45014</v>
      </c>
      <c r="U132" s="6">
        <v>0.41666666666666669</v>
      </c>
      <c r="V132" s="1" t="str">
        <f t="shared" si="10"/>
        <v>0 г. 0 мес. 1 дн.</v>
      </c>
      <c r="W132" s="69"/>
    </row>
    <row r="133" spans="1:23" ht="35.1" customHeight="1" x14ac:dyDescent="0.25">
      <c r="A133" s="8">
        <f t="shared" si="8"/>
        <v>132</v>
      </c>
      <c r="B133" s="1">
        <v>375</v>
      </c>
      <c r="C133" s="39" t="s">
        <v>27</v>
      </c>
      <c r="D133" s="21">
        <v>45013</v>
      </c>
      <c r="E133" s="6">
        <v>0.61805555555555558</v>
      </c>
      <c r="F133" s="1" t="s">
        <v>458</v>
      </c>
      <c r="G133" s="3">
        <v>44907</v>
      </c>
      <c r="H133" s="11" t="str">
        <f t="shared" si="9"/>
        <v>0 г. 3 мес. 16 дн.</v>
      </c>
      <c r="I133" s="20" t="s">
        <v>122</v>
      </c>
      <c r="J133" s="20"/>
      <c r="K133" s="1" t="s">
        <v>454</v>
      </c>
      <c r="L133" s="1" t="s">
        <v>455</v>
      </c>
      <c r="M133" s="1" t="s">
        <v>42</v>
      </c>
      <c r="O133" s="20" t="s">
        <v>89</v>
      </c>
      <c r="Q133" s="1" t="s">
        <v>103</v>
      </c>
      <c r="S133" s="1" t="s">
        <v>27</v>
      </c>
      <c r="T133" s="3">
        <v>45013</v>
      </c>
      <c r="U133" s="6">
        <v>0.79166666666666663</v>
      </c>
      <c r="V133" s="1" t="str">
        <f t="shared" si="10"/>
        <v>0 г. 0 мес. 0 дн.</v>
      </c>
      <c r="W133" s="69"/>
    </row>
    <row r="134" spans="1:23" ht="35.1" customHeight="1" x14ac:dyDescent="0.25">
      <c r="A134" s="1">
        <f t="shared" si="8"/>
        <v>133</v>
      </c>
      <c r="B134" s="1">
        <v>702</v>
      </c>
      <c r="C134" s="39" t="s">
        <v>77</v>
      </c>
      <c r="D134" s="21">
        <v>45014</v>
      </c>
      <c r="E134" s="6">
        <v>0.58333333333333337</v>
      </c>
      <c r="F134" s="1" t="s">
        <v>482</v>
      </c>
      <c r="G134" s="3">
        <v>40595</v>
      </c>
      <c r="H134" s="11" t="str">
        <f t="shared" si="9"/>
        <v>12 г. 1 мес. 8 дн.</v>
      </c>
      <c r="I134" s="20" t="s">
        <v>120</v>
      </c>
      <c r="J134" s="20"/>
      <c r="K134" s="1" t="s">
        <v>509</v>
      </c>
      <c r="L134" s="1" t="s">
        <v>483</v>
      </c>
      <c r="M134" s="1" t="s">
        <v>46</v>
      </c>
      <c r="O134" s="20" t="s">
        <v>89</v>
      </c>
      <c r="S134" s="1" t="s">
        <v>77</v>
      </c>
      <c r="T134" s="3">
        <v>45015</v>
      </c>
      <c r="U134" s="6">
        <v>0.54166666666666663</v>
      </c>
      <c r="V134" s="1" t="str">
        <f t="shared" si="10"/>
        <v>0 г. 0 мес. 1 дн.</v>
      </c>
      <c r="W134" s="69"/>
    </row>
    <row r="135" spans="1:23" ht="35.1" customHeight="1" x14ac:dyDescent="0.25">
      <c r="A135" s="8">
        <f t="shared" si="8"/>
        <v>134</v>
      </c>
      <c r="B135" s="1">
        <v>706</v>
      </c>
      <c r="C135" s="39" t="s">
        <v>77</v>
      </c>
      <c r="D135" s="21">
        <v>45014</v>
      </c>
      <c r="E135" s="6">
        <v>0.95833333333333337</v>
      </c>
      <c r="F135" s="1" t="s">
        <v>484</v>
      </c>
      <c r="G135" s="3">
        <v>41599</v>
      </c>
      <c r="H135" s="11" t="str">
        <f t="shared" si="9"/>
        <v>9 г. 4 мес. 8 дн.</v>
      </c>
      <c r="I135" s="20" t="s">
        <v>122</v>
      </c>
      <c r="J135" s="20" t="s">
        <v>77</v>
      </c>
      <c r="K135" s="1" t="s">
        <v>485</v>
      </c>
      <c r="L135" s="1" t="s">
        <v>486</v>
      </c>
      <c r="M135" s="1" t="s">
        <v>49</v>
      </c>
      <c r="O135" s="20" t="s">
        <v>89</v>
      </c>
      <c r="S135" s="1" t="s">
        <v>77</v>
      </c>
      <c r="T135" s="3">
        <v>45017</v>
      </c>
      <c r="U135" s="6">
        <v>0.45833333333333331</v>
      </c>
      <c r="V135" s="1" t="str">
        <f t="shared" si="10"/>
        <v>0 г. 0 мес. 3 дн.</v>
      </c>
      <c r="W135" s="69"/>
    </row>
    <row r="136" spans="1:23" ht="35.1" customHeight="1" x14ac:dyDescent="0.25">
      <c r="A136" s="1">
        <f t="shared" si="8"/>
        <v>135</v>
      </c>
      <c r="B136" s="1">
        <v>206</v>
      </c>
      <c r="C136" s="39" t="s">
        <v>28</v>
      </c>
      <c r="D136" s="21">
        <v>45015</v>
      </c>
      <c r="E136" s="6">
        <v>0.11458333333333333</v>
      </c>
      <c r="F136" s="1" t="s">
        <v>487</v>
      </c>
      <c r="G136" s="3">
        <v>39111</v>
      </c>
      <c r="H136" s="11" t="str">
        <f t="shared" si="9"/>
        <v>16 г. 2 мес. 1 дн.</v>
      </c>
      <c r="I136" s="20" t="s">
        <v>75</v>
      </c>
      <c r="J136" s="20"/>
      <c r="K136" s="1" t="s">
        <v>488</v>
      </c>
      <c r="L136" s="1" t="s">
        <v>489</v>
      </c>
      <c r="M136" s="1" t="s">
        <v>46</v>
      </c>
      <c r="O136" s="20" t="s">
        <v>89</v>
      </c>
      <c r="S136" s="1" t="s">
        <v>28</v>
      </c>
      <c r="T136" s="3">
        <v>45021</v>
      </c>
      <c r="U136" s="6">
        <v>0.60416666666666663</v>
      </c>
      <c r="V136" s="1" t="str">
        <f t="shared" si="10"/>
        <v>0 г. 0 мес. 6 дн.</v>
      </c>
      <c r="W136" s="69"/>
    </row>
    <row r="137" spans="1:23" ht="35.1" customHeight="1" x14ac:dyDescent="0.25">
      <c r="A137" s="8">
        <f t="shared" si="8"/>
        <v>136</v>
      </c>
      <c r="B137" s="1">
        <v>413</v>
      </c>
      <c r="C137" s="39" t="s">
        <v>23</v>
      </c>
      <c r="D137" s="21">
        <v>45015</v>
      </c>
      <c r="E137" s="6">
        <v>0.65625</v>
      </c>
      <c r="F137" s="1" t="s">
        <v>490</v>
      </c>
      <c r="G137" s="3">
        <v>39010</v>
      </c>
      <c r="H137" s="11" t="str">
        <f t="shared" si="9"/>
        <v>16 г. 5 мес. 10 дн.</v>
      </c>
      <c r="I137" s="20" t="s">
        <v>121</v>
      </c>
      <c r="J137" s="20" t="s">
        <v>23</v>
      </c>
      <c r="K137" s="1" t="s">
        <v>491</v>
      </c>
      <c r="L137" s="1" t="s">
        <v>492</v>
      </c>
      <c r="M137" s="1" t="s">
        <v>51</v>
      </c>
      <c r="O137" s="20" t="s">
        <v>89</v>
      </c>
      <c r="P137" s="1" t="s">
        <v>96</v>
      </c>
      <c r="S137" s="1" t="s">
        <v>23</v>
      </c>
      <c r="T137" s="3">
        <v>45016</v>
      </c>
      <c r="U137" s="6">
        <v>0.5</v>
      </c>
      <c r="V137" s="1" t="str">
        <f t="shared" si="10"/>
        <v>0 г. 0 мес. 1 дн.</v>
      </c>
      <c r="W137" s="69"/>
    </row>
    <row r="138" spans="1:23" ht="35.1" customHeight="1" x14ac:dyDescent="0.25">
      <c r="A138" s="1">
        <f t="shared" si="8"/>
        <v>137</v>
      </c>
      <c r="B138" s="1">
        <v>398</v>
      </c>
      <c r="C138" s="39" t="s">
        <v>27</v>
      </c>
      <c r="D138" s="21">
        <v>45015</v>
      </c>
      <c r="E138" s="6">
        <v>0.66666666666666663</v>
      </c>
      <c r="F138" s="1" t="s">
        <v>493</v>
      </c>
      <c r="G138" s="3">
        <v>44962</v>
      </c>
      <c r="H138" s="11" t="str">
        <f t="shared" si="9"/>
        <v>0 г. 1 мес. 25 дн.</v>
      </c>
      <c r="I138" s="20" t="s">
        <v>123</v>
      </c>
      <c r="J138" s="20"/>
      <c r="K138" s="1" t="s">
        <v>510</v>
      </c>
      <c r="L138" s="1" t="s">
        <v>494</v>
      </c>
      <c r="M138" s="1" t="s">
        <v>48</v>
      </c>
      <c r="O138" s="20" t="s">
        <v>89</v>
      </c>
      <c r="S138" s="1" t="s">
        <v>27</v>
      </c>
      <c r="T138" s="3">
        <v>45026</v>
      </c>
      <c r="U138" s="6">
        <v>0.47916666666666669</v>
      </c>
      <c r="V138" s="1" t="str">
        <f t="shared" si="10"/>
        <v>0 г. 0 мес. 11 дн.</v>
      </c>
      <c r="W138" s="69"/>
    </row>
    <row r="139" spans="1:23" ht="35.1" customHeight="1" x14ac:dyDescent="0.25">
      <c r="A139" s="8">
        <f t="shared" si="8"/>
        <v>138</v>
      </c>
      <c r="B139" s="1">
        <v>200</v>
      </c>
      <c r="C139" s="39" t="s">
        <v>26</v>
      </c>
      <c r="D139" s="21">
        <v>45015</v>
      </c>
      <c r="E139" s="6">
        <v>0.89583333333333337</v>
      </c>
      <c r="F139" s="1" t="s">
        <v>495</v>
      </c>
      <c r="G139" s="3">
        <v>38956</v>
      </c>
      <c r="H139" s="11" t="str">
        <f t="shared" si="9"/>
        <v>16 г. 7 мес. 3 дн.</v>
      </c>
      <c r="I139" s="20" t="s">
        <v>120</v>
      </c>
      <c r="J139" s="20"/>
      <c r="K139" s="1" t="s">
        <v>496</v>
      </c>
      <c r="L139" s="1" t="s">
        <v>259</v>
      </c>
      <c r="M139" s="1" t="s">
        <v>55</v>
      </c>
      <c r="O139" s="20" t="s">
        <v>89</v>
      </c>
      <c r="S139" s="1" t="s">
        <v>26</v>
      </c>
      <c r="T139" s="3">
        <v>45016</v>
      </c>
      <c r="U139" s="6">
        <v>0.41666666666666669</v>
      </c>
      <c r="V139" s="1" t="str">
        <f t="shared" si="10"/>
        <v>0 г. 0 мес. 1 дн.</v>
      </c>
      <c r="W139" s="69"/>
    </row>
    <row r="140" spans="1:23" ht="35.1" customHeight="1" x14ac:dyDescent="0.25">
      <c r="A140" s="1">
        <f t="shared" si="8"/>
        <v>139</v>
      </c>
      <c r="B140" s="1">
        <v>712</v>
      </c>
      <c r="C140" s="39" t="s">
        <v>77</v>
      </c>
      <c r="D140" s="21">
        <v>45015</v>
      </c>
      <c r="E140" s="6">
        <v>0.9375</v>
      </c>
      <c r="F140" s="1" t="s">
        <v>497</v>
      </c>
      <c r="G140" s="3">
        <v>39232</v>
      </c>
      <c r="H140" s="11" t="str">
        <f t="shared" si="9"/>
        <v>15 г. 10 мес. 0 дн.</v>
      </c>
      <c r="I140" s="20" t="s">
        <v>120</v>
      </c>
      <c r="J140" s="20"/>
      <c r="K140" s="1" t="s">
        <v>510</v>
      </c>
      <c r="L140" s="1" t="s">
        <v>498</v>
      </c>
      <c r="M140" s="1" t="s">
        <v>46</v>
      </c>
      <c r="O140" s="20" t="s">
        <v>89</v>
      </c>
      <c r="S140" s="1" t="s">
        <v>77</v>
      </c>
      <c r="T140" s="3">
        <v>45016</v>
      </c>
      <c r="U140" s="6">
        <v>0.45833333333333331</v>
      </c>
      <c r="V140" s="1" t="str">
        <f t="shared" si="10"/>
        <v>0 г. 0 мес. 1 дн.</v>
      </c>
      <c r="W140" s="69"/>
    </row>
    <row r="141" spans="1:23" ht="35.1" customHeight="1" x14ac:dyDescent="0.25">
      <c r="A141" s="8">
        <f t="shared" si="8"/>
        <v>140</v>
      </c>
      <c r="B141" s="1">
        <v>710</v>
      </c>
      <c r="C141" s="39" t="s">
        <v>77</v>
      </c>
      <c r="D141" s="21">
        <v>45015</v>
      </c>
      <c r="E141" s="6">
        <v>0.86805555555555547</v>
      </c>
      <c r="F141" s="1" t="s">
        <v>499</v>
      </c>
      <c r="G141" s="3">
        <v>44135</v>
      </c>
      <c r="H141" s="11" t="str">
        <f t="shared" si="9"/>
        <v>2 г. 4 мес. 27 дн.</v>
      </c>
      <c r="I141" s="20" t="s">
        <v>123</v>
      </c>
      <c r="J141" s="20"/>
      <c r="K141" s="1" t="s">
        <v>510</v>
      </c>
      <c r="L141" s="1" t="s">
        <v>500</v>
      </c>
      <c r="M141" s="1" t="s">
        <v>49</v>
      </c>
      <c r="N141" s="1">
        <v>81</v>
      </c>
      <c r="O141" s="20" t="s">
        <v>73</v>
      </c>
      <c r="P141" s="1" t="s">
        <v>96</v>
      </c>
      <c r="S141" s="1" t="s">
        <v>27</v>
      </c>
      <c r="T141" s="3">
        <v>45026</v>
      </c>
      <c r="U141" s="6">
        <v>0.45833333333333331</v>
      </c>
      <c r="V141" s="1" t="str">
        <f t="shared" si="10"/>
        <v>0 г. 0 мес. 11 дн.</v>
      </c>
      <c r="W141" s="69"/>
    </row>
    <row r="142" spans="1:23" ht="35.1" customHeight="1" x14ac:dyDescent="0.25">
      <c r="A142" s="1">
        <f t="shared" si="8"/>
        <v>141</v>
      </c>
      <c r="B142" s="1">
        <v>713</v>
      </c>
      <c r="C142" s="39" t="s">
        <v>77</v>
      </c>
      <c r="D142" s="21">
        <v>45016</v>
      </c>
      <c r="E142" s="6">
        <v>0.41666666666666669</v>
      </c>
      <c r="F142" s="1" t="s">
        <v>420</v>
      </c>
      <c r="G142" s="3">
        <v>44194</v>
      </c>
      <c r="H142" s="11" t="str">
        <f t="shared" si="9"/>
        <v>2 г. 3 мес. 2 дн.</v>
      </c>
      <c r="I142" s="20" t="s">
        <v>123</v>
      </c>
      <c r="J142" s="20"/>
      <c r="K142" s="1" t="s">
        <v>501</v>
      </c>
      <c r="L142" s="1" t="s">
        <v>502</v>
      </c>
      <c r="M142" s="1" t="s">
        <v>49</v>
      </c>
      <c r="O142" s="20" t="s">
        <v>73</v>
      </c>
      <c r="Q142" s="1" t="s">
        <v>149</v>
      </c>
      <c r="S142" s="1" t="s">
        <v>29</v>
      </c>
      <c r="T142" s="3">
        <v>45028</v>
      </c>
      <c r="U142" s="6">
        <v>0.20833333333333334</v>
      </c>
      <c r="V142" s="1" t="str">
        <f t="shared" si="10"/>
        <v>0 г. 0 мес. 12 дн.</v>
      </c>
      <c r="W142" s="69" t="s">
        <v>523</v>
      </c>
    </row>
    <row r="143" spans="1:23" ht="35.1" customHeight="1" x14ac:dyDescent="0.25">
      <c r="A143" s="8">
        <f t="shared" si="8"/>
        <v>142</v>
      </c>
      <c r="B143" s="1">
        <v>202</v>
      </c>
      <c r="C143" s="39" t="s">
        <v>26</v>
      </c>
      <c r="D143" s="21">
        <v>45016</v>
      </c>
      <c r="E143" s="6">
        <v>0.54166666666666663</v>
      </c>
      <c r="F143" s="1" t="s">
        <v>503</v>
      </c>
      <c r="G143" s="3">
        <v>42238</v>
      </c>
      <c r="H143" s="11" t="str">
        <f t="shared" si="9"/>
        <v>7 г. 7 мес. 9 дн.</v>
      </c>
      <c r="I143" s="20" t="s">
        <v>120</v>
      </c>
      <c r="J143" s="20"/>
      <c r="K143" s="1" t="s">
        <v>504</v>
      </c>
      <c r="L143" s="1" t="s">
        <v>505</v>
      </c>
      <c r="M143" s="1" t="s">
        <v>48</v>
      </c>
      <c r="O143" s="20" t="s">
        <v>89</v>
      </c>
      <c r="S143" s="1" t="s">
        <v>26</v>
      </c>
      <c r="T143" s="3">
        <v>45017</v>
      </c>
      <c r="U143" s="6">
        <v>0.5</v>
      </c>
      <c r="V143" s="1" t="str">
        <f t="shared" si="10"/>
        <v>0 г. 0 мес. 1 дн.</v>
      </c>
      <c r="W143" s="69"/>
    </row>
    <row r="144" spans="1:23" ht="35.1" customHeight="1" x14ac:dyDescent="0.25">
      <c r="A144" s="1">
        <f t="shared" si="8"/>
        <v>143</v>
      </c>
      <c r="B144" s="1">
        <v>162</v>
      </c>
      <c r="C144" s="39" t="s">
        <v>25</v>
      </c>
      <c r="D144" s="21">
        <v>45016</v>
      </c>
      <c r="E144" s="6">
        <v>0.45833333333333331</v>
      </c>
      <c r="F144" s="1" t="s">
        <v>506</v>
      </c>
      <c r="G144" s="3">
        <v>45013</v>
      </c>
      <c r="H144" s="11" t="str">
        <f t="shared" si="9"/>
        <v>0 г. 0 мес. 3 дн.</v>
      </c>
      <c r="I144" s="20" t="s">
        <v>123</v>
      </c>
      <c r="J144" s="20"/>
      <c r="K144" s="1" t="s">
        <v>507</v>
      </c>
      <c r="L144" s="1" t="s">
        <v>508</v>
      </c>
      <c r="M144" s="1" t="s">
        <v>56</v>
      </c>
      <c r="O144" s="20" t="s">
        <v>73</v>
      </c>
      <c r="S144" s="1" t="s">
        <v>29</v>
      </c>
      <c r="T144" s="3">
        <v>45020</v>
      </c>
      <c r="U144" s="6">
        <v>0.20833333333333334</v>
      </c>
      <c r="V144" s="1" t="str">
        <f t="shared" si="10"/>
        <v>0 г. 0 мес. 4 дн.</v>
      </c>
      <c r="W144" s="69"/>
    </row>
    <row r="145" spans="1:23" ht="35.1" customHeight="1" x14ac:dyDescent="0.25">
      <c r="A145" s="8">
        <f t="shared" si="8"/>
        <v>144</v>
      </c>
      <c r="B145" s="1">
        <v>205</v>
      </c>
      <c r="C145" s="39" t="s">
        <v>26</v>
      </c>
      <c r="D145" s="21">
        <v>45018</v>
      </c>
      <c r="E145" s="6">
        <v>0.71180555555555547</v>
      </c>
      <c r="F145" s="1" t="s">
        <v>511</v>
      </c>
      <c r="G145" s="3">
        <v>38889</v>
      </c>
      <c r="H145" s="11" t="str">
        <f t="shared" si="9"/>
        <v>16 г. 9 мес. 12 дн.</v>
      </c>
      <c r="I145" s="20" t="s">
        <v>120</v>
      </c>
      <c r="J145" s="20"/>
      <c r="K145" s="1" t="s">
        <v>512</v>
      </c>
      <c r="L145" s="1" t="s">
        <v>355</v>
      </c>
      <c r="M145" s="1" t="s">
        <v>55</v>
      </c>
      <c r="O145" s="20" t="s">
        <v>89</v>
      </c>
      <c r="S145" s="1" t="s">
        <v>26</v>
      </c>
      <c r="T145" s="3">
        <v>45019</v>
      </c>
      <c r="U145" s="6">
        <v>0.58680555555555558</v>
      </c>
      <c r="V145" s="1" t="str">
        <f t="shared" si="10"/>
        <v>0 г. 0 мес. 1 дн.</v>
      </c>
      <c r="W145" s="69"/>
    </row>
    <row r="146" spans="1:23" ht="35.1" customHeight="1" x14ac:dyDescent="0.25">
      <c r="A146" s="1">
        <f t="shared" si="8"/>
        <v>145</v>
      </c>
      <c r="B146" s="1">
        <v>380</v>
      </c>
      <c r="C146" s="39" t="s">
        <v>23</v>
      </c>
      <c r="D146" s="21">
        <v>45009</v>
      </c>
      <c r="E146" s="6">
        <v>0.5625</v>
      </c>
      <c r="F146" s="1" t="s">
        <v>513</v>
      </c>
      <c r="G146" s="3">
        <v>39353</v>
      </c>
      <c r="H146" s="11" t="str">
        <f t="shared" si="9"/>
        <v>15 г. 5 мес. 24 дн.</v>
      </c>
      <c r="I146" s="20" t="s">
        <v>121</v>
      </c>
      <c r="J146" s="20" t="s">
        <v>23</v>
      </c>
      <c r="K146" s="1" t="s">
        <v>514</v>
      </c>
      <c r="L146" s="1" t="s">
        <v>515</v>
      </c>
      <c r="M146" s="1" t="s">
        <v>51</v>
      </c>
      <c r="O146" s="20" t="s">
        <v>89</v>
      </c>
      <c r="P146" s="1" t="s">
        <v>96</v>
      </c>
      <c r="S146" s="1" t="s">
        <v>23</v>
      </c>
      <c r="T146" s="3">
        <v>45010</v>
      </c>
      <c r="U146" s="6">
        <v>0.41666666666666669</v>
      </c>
      <c r="V146" s="1" t="str">
        <f t="shared" si="10"/>
        <v>0 г. 0 мес. 1 дн.</v>
      </c>
      <c r="W146" s="69"/>
    </row>
    <row r="147" spans="1:23" ht="35.1" customHeight="1" x14ac:dyDescent="0.25">
      <c r="A147" s="8">
        <f t="shared" si="8"/>
        <v>146</v>
      </c>
      <c r="B147" s="1">
        <v>723</v>
      </c>
      <c r="C147" s="39" t="s">
        <v>77</v>
      </c>
      <c r="D147" s="21">
        <v>45018</v>
      </c>
      <c r="E147" s="6">
        <v>0.47638888888888892</v>
      </c>
      <c r="F147" s="1" t="s">
        <v>516</v>
      </c>
      <c r="G147" s="3">
        <v>38659</v>
      </c>
      <c r="H147" s="11" t="str">
        <f t="shared" si="9"/>
        <v>17 г. 4 мес. 30 дн.</v>
      </c>
      <c r="I147" s="20" t="s">
        <v>123</v>
      </c>
      <c r="J147" s="20"/>
      <c r="K147" s="1" t="s">
        <v>517</v>
      </c>
      <c r="L147" s="1" t="s">
        <v>518</v>
      </c>
      <c r="M147" s="1" t="s">
        <v>52</v>
      </c>
      <c r="N147" s="1">
        <v>88</v>
      </c>
      <c r="O147" s="20" t="s">
        <v>73</v>
      </c>
      <c r="Q147" s="1" t="s">
        <v>146</v>
      </c>
      <c r="S147" s="1" t="s">
        <v>29</v>
      </c>
      <c r="T147" s="3">
        <v>45026</v>
      </c>
      <c r="U147" s="6">
        <v>0.58333333333333337</v>
      </c>
      <c r="V147" s="1" t="str">
        <f t="shared" si="10"/>
        <v>0 г. 0 мес. 8 дн.</v>
      </c>
      <c r="W147" s="69" t="s">
        <v>524</v>
      </c>
    </row>
    <row r="148" spans="1:23" ht="35.1" customHeight="1" x14ac:dyDescent="0.25">
      <c r="A148" s="1">
        <f t="shared" si="8"/>
        <v>147</v>
      </c>
      <c r="B148" s="1">
        <v>719</v>
      </c>
      <c r="C148" s="39" t="s">
        <v>77</v>
      </c>
      <c r="D148" s="21">
        <v>45019</v>
      </c>
      <c r="E148" s="6">
        <v>0.40763888888888888</v>
      </c>
      <c r="F148" s="1" t="s">
        <v>519</v>
      </c>
      <c r="G148" s="3">
        <v>43920</v>
      </c>
      <c r="H148" s="11" t="str">
        <f t="shared" si="9"/>
        <v>3 г. 0 мес. 4 дн.</v>
      </c>
      <c r="I148" s="20" t="s">
        <v>121</v>
      </c>
      <c r="J148" s="20" t="s">
        <v>77</v>
      </c>
      <c r="K148" s="1" t="s">
        <v>520</v>
      </c>
      <c r="L148" s="1" t="s">
        <v>521</v>
      </c>
      <c r="M148" s="1" t="s">
        <v>54</v>
      </c>
      <c r="O148" s="20" t="s">
        <v>89</v>
      </c>
      <c r="S148" s="1" t="s">
        <v>77</v>
      </c>
      <c r="T148" s="3">
        <v>45020</v>
      </c>
      <c r="U148" s="6">
        <v>0.45833333333333331</v>
      </c>
      <c r="V148" s="1" t="str">
        <f t="shared" si="10"/>
        <v>0 г. 0 мес. 1 дн.</v>
      </c>
      <c r="W148" s="69"/>
    </row>
    <row r="149" spans="1:23" ht="35.1" customHeight="1" x14ac:dyDescent="0.25">
      <c r="A149" s="8">
        <f t="shared" si="8"/>
        <v>148</v>
      </c>
      <c r="B149" s="1">
        <v>742</v>
      </c>
      <c r="C149" s="39" t="s">
        <v>77</v>
      </c>
      <c r="D149" s="21">
        <v>45020</v>
      </c>
      <c r="E149" s="6">
        <v>5.5555555555555552E-2</v>
      </c>
      <c r="F149" s="1" t="s">
        <v>529</v>
      </c>
      <c r="G149" s="3">
        <v>44165</v>
      </c>
      <c r="H149" s="11" t="str">
        <f t="shared" si="9"/>
        <v>2 г. 4 мес. 5 дн.</v>
      </c>
      <c r="I149" s="20" t="s">
        <v>121</v>
      </c>
      <c r="J149" s="20" t="s">
        <v>77</v>
      </c>
      <c r="K149" s="1" t="s">
        <v>530</v>
      </c>
      <c r="L149" s="1" t="s">
        <v>531</v>
      </c>
      <c r="M149" s="1" t="s">
        <v>48</v>
      </c>
      <c r="O149" s="20" t="s">
        <v>89</v>
      </c>
      <c r="S149" s="1" t="s">
        <v>77</v>
      </c>
      <c r="T149" s="3">
        <v>45020</v>
      </c>
      <c r="U149" s="6">
        <v>0.5</v>
      </c>
      <c r="V149" s="1" t="str">
        <f t="shared" si="10"/>
        <v>0 г. 0 мес. 0 дн.</v>
      </c>
      <c r="W149" s="69"/>
    </row>
    <row r="150" spans="1:23" ht="35.1" customHeight="1" x14ac:dyDescent="0.25">
      <c r="A150" s="1">
        <f t="shared" si="8"/>
        <v>149</v>
      </c>
      <c r="B150" s="1">
        <v>746</v>
      </c>
      <c r="C150" s="39" t="s">
        <v>77</v>
      </c>
      <c r="D150" s="21">
        <v>45020</v>
      </c>
      <c r="E150" s="6">
        <v>0.47916666666666669</v>
      </c>
      <c r="F150" s="1" t="s">
        <v>532</v>
      </c>
      <c r="G150" s="3">
        <v>40661</v>
      </c>
      <c r="H150" s="11" t="str">
        <f t="shared" si="9"/>
        <v>11 г. 11 мес. 7 дн.</v>
      </c>
      <c r="I150" s="20" t="s">
        <v>120</v>
      </c>
      <c r="J150" s="20"/>
      <c r="K150" s="1" t="s">
        <v>533</v>
      </c>
      <c r="L150" s="1" t="s">
        <v>534</v>
      </c>
      <c r="M150" s="1" t="s">
        <v>49</v>
      </c>
      <c r="O150" s="20" t="s">
        <v>73</v>
      </c>
      <c r="P150" s="1" t="s">
        <v>96</v>
      </c>
      <c r="S150" s="1" t="s">
        <v>77</v>
      </c>
      <c r="T150" s="3">
        <v>45030</v>
      </c>
      <c r="U150" s="6">
        <v>0.5</v>
      </c>
      <c r="V150" s="1" t="str">
        <f t="shared" si="10"/>
        <v>0 г. 0 мес. 10 дн.</v>
      </c>
      <c r="W150" s="69"/>
    </row>
    <row r="151" spans="1:23" ht="35.1" customHeight="1" x14ac:dyDescent="0.25">
      <c r="A151" s="8">
        <f t="shared" si="8"/>
        <v>150</v>
      </c>
      <c r="B151" s="1">
        <v>417</v>
      </c>
      <c r="C151" s="39" t="s">
        <v>27</v>
      </c>
      <c r="D151" s="21">
        <v>45020</v>
      </c>
      <c r="E151" s="6">
        <v>0.65972222222222221</v>
      </c>
      <c r="F151" s="1" t="s">
        <v>535</v>
      </c>
      <c r="G151" s="3">
        <v>44077</v>
      </c>
      <c r="H151" s="11" t="str">
        <f t="shared" si="9"/>
        <v>2 г. 7 мес. 1 дн.</v>
      </c>
      <c r="I151" s="20" t="s">
        <v>120</v>
      </c>
      <c r="J151" s="20"/>
      <c r="K151" s="1" t="s">
        <v>536</v>
      </c>
      <c r="L151" s="1" t="s">
        <v>537</v>
      </c>
      <c r="M151" s="1" t="s">
        <v>48</v>
      </c>
      <c r="O151" s="20" t="s">
        <v>89</v>
      </c>
      <c r="S151" s="1" t="s">
        <v>27</v>
      </c>
      <c r="T151" s="3">
        <v>45021</v>
      </c>
      <c r="U151" s="6">
        <v>0.5</v>
      </c>
      <c r="V151" s="1" t="str">
        <f t="shared" si="10"/>
        <v>0 г. 0 мес. 1 дн.</v>
      </c>
      <c r="W151" s="69"/>
    </row>
    <row r="152" spans="1:23" ht="35.1" customHeight="1" x14ac:dyDescent="0.25">
      <c r="A152" s="1">
        <f t="shared" si="8"/>
        <v>151</v>
      </c>
      <c r="B152" s="1">
        <v>762</v>
      </c>
      <c r="C152" s="39" t="s">
        <v>77</v>
      </c>
      <c r="D152" s="21">
        <v>45021</v>
      </c>
      <c r="E152" s="6">
        <v>0.55555555555555558</v>
      </c>
      <c r="F152" s="1" t="s">
        <v>538</v>
      </c>
      <c r="G152" s="3">
        <v>40456</v>
      </c>
      <c r="H152" s="11" t="str">
        <f t="shared" si="9"/>
        <v>12 г. 6 мес. 0 дн.</v>
      </c>
      <c r="I152" s="20" t="s">
        <v>123</v>
      </c>
      <c r="J152" s="20"/>
      <c r="K152" s="1" t="s">
        <v>539</v>
      </c>
      <c r="L152" s="1" t="s">
        <v>540</v>
      </c>
      <c r="M152" s="1" t="s">
        <v>40</v>
      </c>
      <c r="N152" s="1">
        <v>168</v>
      </c>
      <c r="O152" s="20" t="s">
        <v>73</v>
      </c>
      <c r="Q152" s="1" t="s">
        <v>103</v>
      </c>
      <c r="S152" s="1" t="s">
        <v>77</v>
      </c>
      <c r="T152" s="3">
        <v>45042</v>
      </c>
      <c r="U152" s="6">
        <v>0.54166666666666663</v>
      </c>
      <c r="V152" s="1" t="str">
        <f t="shared" si="10"/>
        <v>0 г. 0 мес. 21 дн.</v>
      </c>
      <c r="W152" s="69"/>
    </row>
    <row r="153" spans="1:23" ht="35.1" customHeight="1" x14ac:dyDescent="0.25">
      <c r="A153" s="8">
        <f t="shared" si="8"/>
        <v>152</v>
      </c>
      <c r="B153" s="1">
        <v>750</v>
      </c>
      <c r="C153" s="39" t="s">
        <v>77</v>
      </c>
      <c r="D153" s="21">
        <v>45021</v>
      </c>
      <c r="E153" s="6">
        <v>0.61111111111111105</v>
      </c>
      <c r="F153" s="1" t="s">
        <v>541</v>
      </c>
      <c r="G153" s="3">
        <v>40701</v>
      </c>
      <c r="H153" s="11" t="str">
        <f t="shared" si="9"/>
        <v>11 г. 9 мес. 29 дн.</v>
      </c>
      <c r="I153" s="20" t="s">
        <v>122</v>
      </c>
      <c r="J153" s="20" t="s">
        <v>77</v>
      </c>
      <c r="K153" s="1" t="s">
        <v>542</v>
      </c>
      <c r="L153" s="1" t="s">
        <v>543</v>
      </c>
      <c r="M153" s="1" t="s">
        <v>49</v>
      </c>
      <c r="O153" s="20" t="s">
        <v>73</v>
      </c>
      <c r="S153" s="1" t="s">
        <v>77</v>
      </c>
      <c r="T153" s="3">
        <v>45028</v>
      </c>
      <c r="U153" s="6">
        <v>0.99652777777777779</v>
      </c>
      <c r="V153" s="1" t="str">
        <f t="shared" si="10"/>
        <v>0 г. 0 мес. 7 дн.</v>
      </c>
      <c r="W153" s="69"/>
    </row>
    <row r="154" spans="1:23" ht="35.1" customHeight="1" x14ac:dyDescent="0.25">
      <c r="A154" s="1">
        <f t="shared" si="8"/>
        <v>153</v>
      </c>
      <c r="B154" s="1">
        <v>210</v>
      </c>
      <c r="C154" s="39" t="s">
        <v>26</v>
      </c>
      <c r="D154" s="21">
        <v>45022</v>
      </c>
      <c r="E154" s="6">
        <v>9.7222222222222224E-2</v>
      </c>
      <c r="F154" s="1" t="s">
        <v>544</v>
      </c>
      <c r="G154" s="3">
        <v>44916</v>
      </c>
      <c r="H154" s="11" t="str">
        <f t="shared" si="9"/>
        <v>0 г. 3 мес. 16 дн.</v>
      </c>
      <c r="I154" s="20" t="s">
        <v>123</v>
      </c>
      <c r="J154" s="20"/>
      <c r="K154" s="1" t="s">
        <v>545</v>
      </c>
      <c r="L154" s="1" t="s">
        <v>546</v>
      </c>
      <c r="M154" s="1" t="s">
        <v>48</v>
      </c>
      <c r="O154" s="20" t="s">
        <v>89</v>
      </c>
      <c r="S154" s="1" t="s">
        <v>82</v>
      </c>
      <c r="T154" s="3">
        <v>45025</v>
      </c>
      <c r="U154" s="6">
        <v>0.58333333333333337</v>
      </c>
      <c r="V154" s="1" t="str">
        <f t="shared" si="10"/>
        <v>0 г. 0 мес. 3 дн.</v>
      </c>
      <c r="W154" s="69"/>
    </row>
    <row r="155" spans="1:23" ht="35.1" customHeight="1" x14ac:dyDescent="0.25">
      <c r="A155" s="8">
        <f t="shared" si="8"/>
        <v>154</v>
      </c>
      <c r="B155" s="1">
        <v>212</v>
      </c>
      <c r="C155" s="39" t="s">
        <v>26</v>
      </c>
      <c r="D155" s="21">
        <v>45022</v>
      </c>
      <c r="E155" s="6">
        <v>0.17013888888888887</v>
      </c>
      <c r="F155" s="1" t="s">
        <v>547</v>
      </c>
      <c r="G155" s="3">
        <v>40788</v>
      </c>
      <c r="H155" s="11" t="str">
        <f t="shared" si="9"/>
        <v>11 г. 7 мес. 4 дн.</v>
      </c>
      <c r="I155" s="20" t="s">
        <v>120</v>
      </c>
      <c r="J155" s="20"/>
      <c r="K155" s="1" t="s">
        <v>548</v>
      </c>
      <c r="L155" s="1" t="s">
        <v>549</v>
      </c>
      <c r="M155" s="1" t="s">
        <v>43</v>
      </c>
      <c r="O155" s="20" t="s">
        <v>89</v>
      </c>
      <c r="S155" s="1" t="s">
        <v>26</v>
      </c>
      <c r="T155" s="3">
        <v>45022</v>
      </c>
      <c r="U155" s="6">
        <v>0.5</v>
      </c>
      <c r="V155" s="1" t="str">
        <f t="shared" si="10"/>
        <v>0 г. 0 мес. 0 дн.</v>
      </c>
      <c r="W155" s="69"/>
    </row>
    <row r="156" spans="1:23" s="71" customFormat="1" ht="35.1" customHeight="1" x14ac:dyDescent="0.2">
      <c r="A156" s="1">
        <f t="shared" si="8"/>
        <v>155</v>
      </c>
      <c r="B156" s="1">
        <v>441</v>
      </c>
      <c r="C156" s="39" t="s">
        <v>23</v>
      </c>
      <c r="D156" s="21">
        <v>45023</v>
      </c>
      <c r="E156" s="6">
        <v>0.65277777777777779</v>
      </c>
      <c r="F156" s="1" t="s">
        <v>550</v>
      </c>
      <c r="G156" s="3">
        <v>40079</v>
      </c>
      <c r="H156" s="11" t="str">
        <f t="shared" si="9"/>
        <v>13 г. 6 мес. 15 дн.</v>
      </c>
      <c r="I156" s="20" t="s">
        <v>121</v>
      </c>
      <c r="J156" s="20" t="s">
        <v>23</v>
      </c>
      <c r="K156" s="1" t="s">
        <v>551</v>
      </c>
      <c r="L156" s="1" t="s">
        <v>552</v>
      </c>
      <c r="M156" s="1" t="s">
        <v>51</v>
      </c>
      <c r="N156" s="1"/>
      <c r="O156" s="20" t="s">
        <v>89</v>
      </c>
      <c r="P156" s="1" t="s">
        <v>96</v>
      </c>
      <c r="Q156" s="1"/>
      <c r="R156" s="1"/>
      <c r="S156" s="1" t="s">
        <v>23</v>
      </c>
      <c r="T156" s="3">
        <v>45024</v>
      </c>
      <c r="U156" s="6">
        <v>0.54166666666666663</v>
      </c>
      <c r="V156" s="1" t="str">
        <f t="shared" si="10"/>
        <v>0 г. 0 мес. 1 дн.</v>
      </c>
      <c r="W156" s="69"/>
    </row>
    <row r="157" spans="1:23" s="20" customFormat="1" ht="35.1" customHeight="1" x14ac:dyDescent="0.25">
      <c r="A157" s="51">
        <v>156</v>
      </c>
      <c r="B157" s="51">
        <v>783</v>
      </c>
      <c r="C157" s="58" t="s">
        <v>77</v>
      </c>
      <c r="D157" s="21">
        <v>45023</v>
      </c>
      <c r="E157" s="59">
        <v>5.5555555555555552E-2</v>
      </c>
      <c r="F157" s="51" t="s">
        <v>553</v>
      </c>
      <c r="G157" s="60">
        <v>38543</v>
      </c>
      <c r="H157" s="11" t="str">
        <f t="shared" si="9"/>
        <v>17 г. 8 мес. 28 дн.</v>
      </c>
      <c r="I157" s="20" t="s">
        <v>120</v>
      </c>
      <c r="K157" s="51" t="s">
        <v>554</v>
      </c>
      <c r="L157" s="51" t="s">
        <v>555</v>
      </c>
      <c r="M157" s="51" t="s">
        <v>52</v>
      </c>
      <c r="N157" s="57"/>
      <c r="O157" s="20" t="s">
        <v>89</v>
      </c>
      <c r="P157" s="57"/>
      <c r="Q157" s="57"/>
      <c r="R157" s="57"/>
      <c r="S157" s="51" t="s">
        <v>77</v>
      </c>
      <c r="T157" s="60">
        <v>45024</v>
      </c>
      <c r="U157" s="59">
        <v>0.54861111111111105</v>
      </c>
      <c r="V157" s="20" t="str">
        <f t="shared" si="10"/>
        <v>0 г. 0 мес. 1 дн.</v>
      </c>
      <c r="W157" s="70"/>
    </row>
    <row r="158" spans="1:23" ht="35.1" customHeight="1" x14ac:dyDescent="0.25">
      <c r="A158" s="1">
        <f t="shared" si="8"/>
        <v>157</v>
      </c>
      <c r="B158" s="1">
        <v>217</v>
      </c>
      <c r="C158" s="39" t="s">
        <v>26</v>
      </c>
      <c r="D158" s="21">
        <v>45025</v>
      </c>
      <c r="E158" s="6">
        <v>0.55208333333333337</v>
      </c>
      <c r="F158" s="1" t="s">
        <v>556</v>
      </c>
      <c r="G158" s="3">
        <v>40726</v>
      </c>
      <c r="H158" s="11" t="str">
        <f t="shared" si="9"/>
        <v>11 г. 9 мес. 7 дн.</v>
      </c>
      <c r="I158" s="20" t="s">
        <v>120</v>
      </c>
      <c r="J158" s="20"/>
      <c r="K158" s="1" t="s">
        <v>557</v>
      </c>
      <c r="L158" s="1" t="s">
        <v>558</v>
      </c>
      <c r="M158" s="1" t="s">
        <v>43</v>
      </c>
      <c r="O158" s="20" t="s">
        <v>89</v>
      </c>
      <c r="S158" s="1" t="s">
        <v>26</v>
      </c>
      <c r="T158" s="3">
        <v>45027</v>
      </c>
      <c r="U158" s="6">
        <v>0.5</v>
      </c>
      <c r="V158" s="1" t="str">
        <f t="shared" si="10"/>
        <v>0 г. 0 мес. 2 дн.</v>
      </c>
      <c r="W158" s="69"/>
    </row>
    <row r="159" spans="1:23" ht="35.1" customHeight="1" x14ac:dyDescent="0.25">
      <c r="A159" s="8">
        <f t="shared" si="8"/>
        <v>158</v>
      </c>
      <c r="B159" s="1">
        <v>218</v>
      </c>
      <c r="C159" s="39" t="s">
        <v>26</v>
      </c>
      <c r="D159" s="21">
        <v>45025</v>
      </c>
      <c r="E159" s="6">
        <v>0.72569444444444453</v>
      </c>
      <c r="F159" s="1" t="s">
        <v>303</v>
      </c>
      <c r="G159" s="3">
        <v>40406</v>
      </c>
      <c r="H159" s="11" t="str">
        <f t="shared" si="9"/>
        <v>12 г. 7 мес. 24 дн.</v>
      </c>
      <c r="I159" s="20" t="s">
        <v>120</v>
      </c>
      <c r="J159" s="20"/>
      <c r="K159" s="1" t="s">
        <v>559</v>
      </c>
      <c r="L159" s="1" t="s">
        <v>558</v>
      </c>
      <c r="M159" s="1" t="s">
        <v>43</v>
      </c>
      <c r="O159" s="20" t="s">
        <v>89</v>
      </c>
      <c r="S159" s="1" t="s">
        <v>26</v>
      </c>
      <c r="T159" s="3">
        <v>45027</v>
      </c>
      <c r="U159" s="6">
        <v>0.5</v>
      </c>
      <c r="V159" s="1" t="str">
        <f t="shared" si="10"/>
        <v>0 г. 0 мес. 2 дн.</v>
      </c>
      <c r="W159" s="69"/>
    </row>
    <row r="160" spans="1:23" ht="35.1" customHeight="1" x14ac:dyDescent="0.25">
      <c r="A160" s="1">
        <f t="shared" si="8"/>
        <v>159</v>
      </c>
      <c r="B160" s="1">
        <v>802</v>
      </c>
      <c r="C160" s="39" t="s">
        <v>77</v>
      </c>
      <c r="D160" s="21">
        <v>45027</v>
      </c>
      <c r="E160" s="6">
        <v>0.59722222222222221</v>
      </c>
      <c r="F160" s="1" t="s">
        <v>560</v>
      </c>
      <c r="G160" s="3">
        <v>38505</v>
      </c>
      <c r="H160" s="11" t="str">
        <f t="shared" si="9"/>
        <v>17 г. 10 мес. 9 дн.</v>
      </c>
      <c r="I160" s="20" t="s">
        <v>121</v>
      </c>
      <c r="J160" s="20" t="s">
        <v>77</v>
      </c>
      <c r="K160" s="1" t="s">
        <v>406</v>
      </c>
      <c r="L160" s="1" t="s">
        <v>561</v>
      </c>
      <c r="M160" s="1" t="s">
        <v>51</v>
      </c>
      <c r="O160" s="20" t="s">
        <v>89</v>
      </c>
      <c r="P160" s="1" t="s">
        <v>96</v>
      </c>
      <c r="S160" s="1" t="s">
        <v>77</v>
      </c>
      <c r="T160" s="3">
        <v>45028</v>
      </c>
      <c r="U160" s="6">
        <v>0.46527777777777773</v>
      </c>
      <c r="V160" s="1" t="str">
        <f t="shared" si="10"/>
        <v>0 г. 0 мес. 1 дн.</v>
      </c>
      <c r="W160" s="69"/>
    </row>
    <row r="161" spans="1:23" ht="35.1" customHeight="1" x14ac:dyDescent="0.25">
      <c r="A161" s="8">
        <f t="shared" si="8"/>
        <v>160</v>
      </c>
      <c r="B161" s="1">
        <v>226</v>
      </c>
      <c r="C161" s="39" t="s">
        <v>82</v>
      </c>
      <c r="D161" s="21">
        <v>45029</v>
      </c>
      <c r="E161" s="6">
        <v>3.472222222222222E-3</v>
      </c>
      <c r="F161" s="1" t="s">
        <v>541</v>
      </c>
      <c r="G161" s="3">
        <v>40701</v>
      </c>
      <c r="H161" s="11" t="str">
        <f t="shared" si="9"/>
        <v>11 г. 10 мес. 6 дн.</v>
      </c>
      <c r="I161" s="20" t="s">
        <v>122</v>
      </c>
      <c r="J161" s="20" t="s">
        <v>82</v>
      </c>
      <c r="K161" s="1" t="s">
        <v>539</v>
      </c>
      <c r="L161" s="1" t="s">
        <v>562</v>
      </c>
      <c r="M161" s="1" t="s">
        <v>46</v>
      </c>
      <c r="O161" s="20" t="s">
        <v>89</v>
      </c>
      <c r="S161" s="1" t="s">
        <v>26</v>
      </c>
      <c r="T161" s="3">
        <v>45033</v>
      </c>
      <c r="U161" s="6">
        <v>0.54166666666666663</v>
      </c>
      <c r="V161" s="1" t="str">
        <f t="shared" ref="V161:V172" si="11">DATEDIF(D161,T161,"y") &amp; " г. " &amp; DATEDIF(D161,T161,"ym") &amp; " мес. " &amp; DATEDIF(D161,T161,"md") &amp; " дн."</f>
        <v>0 г. 0 мес. 4 дн.</v>
      </c>
      <c r="W161" s="69"/>
    </row>
    <row r="162" spans="1:23" ht="35.1" customHeight="1" x14ac:dyDescent="0.25">
      <c r="A162" s="1">
        <f t="shared" si="8"/>
        <v>161</v>
      </c>
      <c r="B162" s="1">
        <v>231</v>
      </c>
      <c r="C162" s="39" t="s">
        <v>26</v>
      </c>
      <c r="D162" s="21">
        <v>45030</v>
      </c>
      <c r="E162" s="6">
        <v>0.9375</v>
      </c>
      <c r="F162" s="1" t="s">
        <v>563</v>
      </c>
      <c r="G162" s="3">
        <v>44561</v>
      </c>
      <c r="H162" s="11" t="str">
        <f t="shared" si="9"/>
        <v>1 г. 3 мес. 14 дн.</v>
      </c>
      <c r="I162" s="20" t="s">
        <v>123</v>
      </c>
      <c r="J162" s="20"/>
      <c r="K162" s="1" t="s">
        <v>564</v>
      </c>
      <c r="L162" s="1" t="s">
        <v>565</v>
      </c>
      <c r="M162" s="1" t="s">
        <v>48</v>
      </c>
      <c r="N162" s="1">
        <v>40</v>
      </c>
      <c r="O162" s="20" t="s">
        <v>73</v>
      </c>
      <c r="S162" s="1" t="s">
        <v>26</v>
      </c>
      <c r="T162" s="3">
        <v>45033</v>
      </c>
      <c r="U162" s="6">
        <v>0.47916666666666669</v>
      </c>
      <c r="V162" s="1" t="str">
        <f t="shared" si="11"/>
        <v>0 г. 0 мес. 3 дн.</v>
      </c>
      <c r="W162" s="69"/>
    </row>
    <row r="163" spans="1:23" ht="35.1" customHeight="1" x14ac:dyDescent="0.25">
      <c r="A163" s="8">
        <f t="shared" si="8"/>
        <v>162</v>
      </c>
      <c r="B163" s="1">
        <v>859</v>
      </c>
      <c r="C163" s="39" t="s">
        <v>77</v>
      </c>
      <c r="D163" s="21">
        <v>45034</v>
      </c>
      <c r="E163" s="6">
        <v>0.15625</v>
      </c>
      <c r="F163" s="1" t="s">
        <v>566</v>
      </c>
      <c r="G163" s="3">
        <v>40218</v>
      </c>
      <c r="H163" s="11" t="str">
        <f t="shared" si="9"/>
        <v>13 г. 2 мес. 9 дн.</v>
      </c>
      <c r="I163" s="20" t="s">
        <v>121</v>
      </c>
      <c r="J163" s="20" t="s">
        <v>77</v>
      </c>
      <c r="K163" s="1" t="s">
        <v>567</v>
      </c>
      <c r="L163" s="1" t="s">
        <v>193</v>
      </c>
      <c r="M163" s="1" t="s">
        <v>49</v>
      </c>
      <c r="O163" s="20" t="s">
        <v>73</v>
      </c>
      <c r="P163" s="1" t="s">
        <v>96</v>
      </c>
      <c r="S163" s="1" t="s">
        <v>77</v>
      </c>
      <c r="T163" s="3">
        <v>45037</v>
      </c>
      <c r="U163" s="6">
        <v>0.50416666666666665</v>
      </c>
      <c r="V163" s="1" t="str">
        <f t="shared" si="11"/>
        <v>0 г. 0 мес. 3 дн.</v>
      </c>
      <c r="W163" s="69"/>
    </row>
    <row r="164" spans="1:23" ht="35.1" customHeight="1" x14ac:dyDescent="0.25">
      <c r="A164" s="1">
        <f t="shared" si="8"/>
        <v>163</v>
      </c>
      <c r="B164" s="1">
        <v>238</v>
      </c>
      <c r="C164" s="39" t="s">
        <v>26</v>
      </c>
      <c r="D164" s="21">
        <v>45035</v>
      </c>
      <c r="E164" s="6">
        <v>0.84722222222222221</v>
      </c>
      <c r="F164" s="1" t="s">
        <v>568</v>
      </c>
      <c r="G164" s="3">
        <v>44271</v>
      </c>
      <c r="H164" s="11" t="str">
        <f t="shared" si="9"/>
        <v>2 г. 1 мес. 3 дн.</v>
      </c>
      <c r="I164" s="20" t="s">
        <v>120</v>
      </c>
      <c r="J164" s="20"/>
      <c r="K164" s="1" t="s">
        <v>569</v>
      </c>
      <c r="L164" s="1" t="s">
        <v>570</v>
      </c>
      <c r="M164" s="1" t="s">
        <v>47</v>
      </c>
      <c r="N164" s="1">
        <v>600</v>
      </c>
      <c r="O164" s="20" t="s">
        <v>73</v>
      </c>
      <c r="Q164" s="1" t="s">
        <v>102</v>
      </c>
      <c r="S164" s="1" t="s">
        <v>29</v>
      </c>
      <c r="T164" s="3">
        <v>45077</v>
      </c>
      <c r="U164" s="6">
        <v>0.58333333333333337</v>
      </c>
      <c r="V164" s="1" t="str">
        <f t="shared" si="11"/>
        <v>0 г. 1 мес. 12 дн.</v>
      </c>
      <c r="W164" s="69"/>
    </row>
    <row r="165" spans="1:23" s="53" customFormat="1" ht="35.1" customHeight="1" x14ac:dyDescent="0.25">
      <c r="A165" s="61">
        <f t="shared" si="8"/>
        <v>164</v>
      </c>
      <c r="B165" s="53">
        <v>252</v>
      </c>
      <c r="C165" s="62" t="s">
        <v>28</v>
      </c>
      <c r="D165" s="52">
        <v>45037</v>
      </c>
      <c r="E165" s="63">
        <v>0.99305555555555547</v>
      </c>
      <c r="F165" s="53" t="s">
        <v>571</v>
      </c>
      <c r="G165" s="64">
        <v>43782</v>
      </c>
      <c r="H165" s="53" t="str">
        <f t="shared" si="9"/>
        <v>3 г. 5 мес. 8 дн.</v>
      </c>
      <c r="I165" s="37" t="s">
        <v>120</v>
      </c>
      <c r="J165" s="37"/>
      <c r="K165" s="53" t="s">
        <v>572</v>
      </c>
      <c r="L165" s="53" t="s">
        <v>573</v>
      </c>
      <c r="M165" s="53" t="s">
        <v>46</v>
      </c>
      <c r="N165" s="53">
        <v>40</v>
      </c>
      <c r="O165" s="37" t="s">
        <v>73</v>
      </c>
      <c r="Q165" s="53" t="s">
        <v>102</v>
      </c>
      <c r="R165" s="53" t="s">
        <v>107</v>
      </c>
      <c r="S165" s="53" t="s">
        <v>30</v>
      </c>
      <c r="T165" s="64">
        <v>45040</v>
      </c>
      <c r="U165" s="63">
        <v>0.69791666666666663</v>
      </c>
      <c r="V165" s="53" t="str">
        <f t="shared" si="11"/>
        <v>0 г. 0 мес. 3 дн.</v>
      </c>
      <c r="W165" s="65"/>
    </row>
    <row r="166" spans="1:23" ht="35.1" customHeight="1" x14ac:dyDescent="0.25">
      <c r="A166" s="8">
        <f t="shared" si="8"/>
        <v>165</v>
      </c>
      <c r="B166" s="1">
        <v>245</v>
      </c>
      <c r="C166" s="39" t="s">
        <v>26</v>
      </c>
      <c r="D166" s="21">
        <v>45039</v>
      </c>
      <c r="E166" s="6">
        <v>0.86805555555555547</v>
      </c>
      <c r="F166" s="1" t="s">
        <v>584</v>
      </c>
      <c r="G166" s="3">
        <v>39627</v>
      </c>
      <c r="H166" s="11" t="str">
        <f t="shared" si="9"/>
        <v>14 г. 9 мес. 26 дн.</v>
      </c>
      <c r="I166" s="20" t="s">
        <v>120</v>
      </c>
      <c r="J166" s="20"/>
      <c r="K166" s="1" t="s">
        <v>574</v>
      </c>
      <c r="L166" s="1" t="s">
        <v>575</v>
      </c>
      <c r="M166" s="1" t="s">
        <v>55</v>
      </c>
      <c r="O166" s="20" t="s">
        <v>89</v>
      </c>
      <c r="S166" s="1" t="s">
        <v>26</v>
      </c>
      <c r="T166" s="3">
        <v>45040</v>
      </c>
      <c r="U166" s="6">
        <v>0.58750000000000002</v>
      </c>
      <c r="V166" s="1" t="str">
        <f t="shared" si="11"/>
        <v>0 г. 0 мес. 1 дн.</v>
      </c>
      <c r="W166" s="69"/>
    </row>
    <row r="167" spans="1:23" ht="35.1" customHeight="1" x14ac:dyDescent="0.25">
      <c r="A167" s="8">
        <f t="shared" si="8"/>
        <v>166</v>
      </c>
      <c r="B167" s="1">
        <v>922</v>
      </c>
      <c r="C167" s="39" t="s">
        <v>77</v>
      </c>
      <c r="D167" s="21">
        <v>45039</v>
      </c>
      <c r="E167" s="6">
        <v>0.69097222222222221</v>
      </c>
      <c r="F167" s="1" t="s">
        <v>585</v>
      </c>
      <c r="G167" s="3">
        <v>44257</v>
      </c>
      <c r="H167" s="11" t="str">
        <f t="shared" si="9"/>
        <v>2 г. 1 мес. 21 дн.</v>
      </c>
      <c r="I167" s="20" t="s">
        <v>120</v>
      </c>
      <c r="J167" s="20"/>
      <c r="K167" s="1" t="s">
        <v>576</v>
      </c>
      <c r="L167" s="1" t="s">
        <v>577</v>
      </c>
      <c r="M167" s="1" t="s">
        <v>54</v>
      </c>
      <c r="O167" s="20" t="s">
        <v>89</v>
      </c>
      <c r="S167" s="1" t="s">
        <v>77</v>
      </c>
      <c r="T167" s="3">
        <v>45040</v>
      </c>
      <c r="U167" s="6">
        <v>0.58819444444444446</v>
      </c>
      <c r="V167" s="1" t="str">
        <f t="shared" si="11"/>
        <v>0 г. 0 мес. 1 дн.</v>
      </c>
      <c r="W167" s="69"/>
    </row>
    <row r="168" spans="1:23" ht="35.1" customHeight="1" x14ac:dyDescent="0.25">
      <c r="A168" s="1">
        <f t="shared" si="8"/>
        <v>167</v>
      </c>
      <c r="B168" s="1">
        <v>921</v>
      </c>
      <c r="C168" s="39" t="s">
        <v>77</v>
      </c>
      <c r="D168" s="21">
        <v>45039</v>
      </c>
      <c r="E168" s="6">
        <v>0.60416666666666663</v>
      </c>
      <c r="F168" s="1" t="s">
        <v>591</v>
      </c>
      <c r="G168" s="3">
        <v>43878</v>
      </c>
      <c r="H168" s="11" t="str">
        <f t="shared" si="9"/>
        <v>3 г. 2 мес. 6 дн.</v>
      </c>
      <c r="I168" s="20" t="s">
        <v>120</v>
      </c>
      <c r="J168" s="20"/>
      <c r="K168" s="1" t="s">
        <v>578</v>
      </c>
      <c r="L168" s="1" t="s">
        <v>579</v>
      </c>
      <c r="M168" s="1" t="s">
        <v>43</v>
      </c>
      <c r="O168" s="20" t="s">
        <v>89</v>
      </c>
      <c r="S168" s="1" t="s">
        <v>26</v>
      </c>
      <c r="T168" s="3">
        <v>45040</v>
      </c>
      <c r="U168" s="6">
        <v>0.49027777777777781</v>
      </c>
      <c r="V168" s="1" t="str">
        <f t="shared" si="11"/>
        <v>0 г. 0 мес. 1 дн.</v>
      </c>
      <c r="W168" s="69"/>
    </row>
    <row r="169" spans="1:23" s="8" customFormat="1" ht="35.1" customHeight="1" x14ac:dyDescent="0.25">
      <c r="A169" s="8">
        <f t="shared" si="8"/>
        <v>168</v>
      </c>
      <c r="B169" s="1">
        <v>253</v>
      </c>
      <c r="C169" s="39" t="s">
        <v>28</v>
      </c>
      <c r="D169" s="21">
        <v>45038</v>
      </c>
      <c r="E169" s="6">
        <v>0.61805555555555558</v>
      </c>
      <c r="F169" s="1" t="s">
        <v>582</v>
      </c>
      <c r="G169" s="3">
        <v>44918</v>
      </c>
      <c r="H169" s="11" t="str">
        <f t="shared" si="9"/>
        <v>0 г. 3 мес. 30 дн.</v>
      </c>
      <c r="I169" s="20" t="s">
        <v>120</v>
      </c>
      <c r="J169" s="20"/>
      <c r="K169" s="1" t="s">
        <v>583</v>
      </c>
      <c r="L169" s="1" t="s">
        <v>581</v>
      </c>
      <c r="M169" s="1" t="s">
        <v>48</v>
      </c>
      <c r="N169" s="1"/>
      <c r="O169" s="20" t="s">
        <v>89</v>
      </c>
      <c r="P169" s="1"/>
      <c r="Q169" s="1"/>
      <c r="R169" s="1"/>
      <c r="S169" s="1" t="s">
        <v>28</v>
      </c>
      <c r="T169" s="3">
        <v>45039</v>
      </c>
      <c r="U169" s="6">
        <v>0.80694444444444446</v>
      </c>
      <c r="V169" s="1" t="str">
        <f t="shared" si="11"/>
        <v>0 г. 0 мес. 1 дн.</v>
      </c>
      <c r="W169" s="73"/>
    </row>
    <row r="170" spans="1:23" ht="35.1" customHeight="1" x14ac:dyDescent="0.25">
      <c r="A170" s="1">
        <f t="shared" si="8"/>
        <v>169</v>
      </c>
      <c r="B170" s="8">
        <v>537</v>
      </c>
      <c r="C170" s="41" t="s">
        <v>23</v>
      </c>
      <c r="D170" s="21">
        <v>45038</v>
      </c>
      <c r="E170" s="10">
        <v>0.28680555555555554</v>
      </c>
      <c r="F170" s="8" t="s">
        <v>586</v>
      </c>
      <c r="G170" s="9">
        <v>39253</v>
      </c>
      <c r="H170" s="11" t="str">
        <f t="shared" si="9"/>
        <v>15 г. 10 мес. 2 дн.</v>
      </c>
      <c r="I170" s="20" t="s">
        <v>121</v>
      </c>
      <c r="J170" s="20" t="s">
        <v>23</v>
      </c>
      <c r="K170" s="8" t="s">
        <v>587</v>
      </c>
      <c r="L170" s="8" t="s">
        <v>588</v>
      </c>
      <c r="M170" s="8" t="s">
        <v>52</v>
      </c>
      <c r="N170" s="8"/>
      <c r="O170" s="20" t="s">
        <v>89</v>
      </c>
      <c r="P170" s="8"/>
      <c r="Q170" s="8"/>
      <c r="R170" s="8"/>
      <c r="S170" s="8" t="s">
        <v>23</v>
      </c>
      <c r="T170" s="9">
        <v>45038</v>
      </c>
      <c r="U170" s="10">
        <v>0.47361111111111115</v>
      </c>
      <c r="V170" s="1" t="str">
        <f t="shared" si="11"/>
        <v>0 г. 0 мес. 0 дн.</v>
      </c>
      <c r="W170" s="69"/>
    </row>
    <row r="171" spans="1:23" ht="35.1" customHeight="1" x14ac:dyDescent="0.25">
      <c r="A171" s="8">
        <f t="shared" si="8"/>
        <v>170</v>
      </c>
      <c r="B171" s="1">
        <v>746</v>
      </c>
      <c r="C171" s="39" t="s">
        <v>77</v>
      </c>
      <c r="D171" s="21">
        <v>45037</v>
      </c>
      <c r="E171" s="6">
        <v>0.38194444444444442</v>
      </c>
      <c r="F171" s="1" t="s">
        <v>532</v>
      </c>
      <c r="G171" s="3">
        <v>40661</v>
      </c>
      <c r="H171" s="11" t="str">
        <f t="shared" si="9"/>
        <v>11 г. 11 мес. 24 дн.</v>
      </c>
      <c r="I171" s="20" t="s">
        <v>121</v>
      </c>
      <c r="J171" s="20" t="s">
        <v>77</v>
      </c>
      <c r="K171" s="1" t="s">
        <v>589</v>
      </c>
      <c r="L171" s="1" t="s">
        <v>590</v>
      </c>
      <c r="M171" s="1" t="s">
        <v>49</v>
      </c>
      <c r="O171" s="20" t="s">
        <v>73</v>
      </c>
      <c r="P171" s="1" t="s">
        <v>96</v>
      </c>
      <c r="S171" s="1" t="s">
        <v>77</v>
      </c>
      <c r="T171" s="3">
        <v>45040</v>
      </c>
      <c r="U171" s="6">
        <v>0.67708333333333337</v>
      </c>
      <c r="V171" s="1" t="str">
        <f t="shared" si="11"/>
        <v>0 г. 0 мес. 3 дн.</v>
      </c>
      <c r="W171" s="69"/>
    </row>
    <row r="172" spans="1:23" ht="35.1" customHeight="1" x14ac:dyDescent="0.25">
      <c r="A172" s="1">
        <f t="shared" si="8"/>
        <v>171</v>
      </c>
      <c r="B172" s="1">
        <v>213</v>
      </c>
      <c r="C172" s="39" t="s">
        <v>26</v>
      </c>
      <c r="D172" s="21">
        <v>45040</v>
      </c>
      <c r="E172" s="6">
        <v>0.42708333333333331</v>
      </c>
      <c r="F172" s="1" t="s">
        <v>592</v>
      </c>
      <c r="G172" s="3">
        <v>42529</v>
      </c>
      <c r="H172" s="11" t="str">
        <f t="shared" si="9"/>
        <v>6 г. 10 мес. 16 дн.</v>
      </c>
      <c r="I172" s="20" t="s">
        <v>122</v>
      </c>
      <c r="J172" s="20" t="s">
        <v>82</v>
      </c>
      <c r="K172" s="1" t="s">
        <v>593</v>
      </c>
      <c r="L172" s="1" t="s">
        <v>594</v>
      </c>
      <c r="M172" s="1" t="s">
        <v>40</v>
      </c>
      <c r="O172" s="20" t="s">
        <v>73</v>
      </c>
      <c r="S172" s="1" t="s">
        <v>82</v>
      </c>
      <c r="T172" s="3">
        <v>45052</v>
      </c>
      <c r="U172" s="6">
        <v>0.99652777777777779</v>
      </c>
      <c r="V172" s="1" t="str">
        <f t="shared" si="11"/>
        <v>0 г. 0 мес. 12 дн.</v>
      </c>
      <c r="W172" s="69"/>
    </row>
    <row r="173" spans="1:23" ht="35.1" customHeight="1" x14ac:dyDescent="0.25">
      <c r="A173" s="8">
        <f t="shared" si="8"/>
        <v>172</v>
      </c>
      <c r="B173" s="1">
        <v>945</v>
      </c>
      <c r="C173" s="39" t="s">
        <v>77</v>
      </c>
      <c r="D173" s="21">
        <v>45041</v>
      </c>
      <c r="E173" s="6">
        <v>0.47569444444444442</v>
      </c>
      <c r="F173" s="1" t="s">
        <v>595</v>
      </c>
      <c r="G173" s="3">
        <v>43508</v>
      </c>
      <c r="H173" s="11" t="str">
        <f t="shared" si="9"/>
        <v>4 г. 2 мес. 13 дн.</v>
      </c>
      <c r="I173" s="20" t="s">
        <v>120</v>
      </c>
      <c r="J173" s="20"/>
      <c r="K173" s="1" t="s">
        <v>596</v>
      </c>
      <c r="L173" s="1" t="s">
        <v>597</v>
      </c>
      <c r="M173" s="1" t="s">
        <v>54</v>
      </c>
      <c r="O173" s="20" t="s">
        <v>89</v>
      </c>
      <c r="S173" s="1" t="s">
        <v>77</v>
      </c>
      <c r="T173" s="21">
        <v>45042</v>
      </c>
      <c r="U173" s="6">
        <v>0.5</v>
      </c>
      <c r="V173" s="1" t="s">
        <v>79</v>
      </c>
      <c r="W173" s="69"/>
    </row>
    <row r="174" spans="1:23" ht="35.1" customHeight="1" x14ac:dyDescent="0.25">
      <c r="A174" s="1">
        <f t="shared" si="8"/>
        <v>173</v>
      </c>
      <c r="B174" s="1">
        <v>908</v>
      </c>
      <c r="C174" s="39" t="s">
        <v>77</v>
      </c>
      <c r="D174" s="21">
        <v>45041</v>
      </c>
      <c r="E174" s="6">
        <v>0.54166666666666663</v>
      </c>
      <c r="F174" s="1" t="s">
        <v>598</v>
      </c>
      <c r="G174" s="3">
        <v>44883</v>
      </c>
      <c r="H174" s="11" t="str">
        <f t="shared" si="9"/>
        <v>0 г. 5 мес. 7 дн.</v>
      </c>
      <c r="I174" s="20" t="s">
        <v>121</v>
      </c>
      <c r="J174" s="20" t="s">
        <v>77</v>
      </c>
      <c r="K174" s="1" t="s">
        <v>599</v>
      </c>
      <c r="L174" s="1" t="s">
        <v>600</v>
      </c>
      <c r="M174" s="1" t="s">
        <v>46</v>
      </c>
      <c r="O174" s="20" t="s">
        <v>73</v>
      </c>
      <c r="S174" s="1" t="s">
        <v>77</v>
      </c>
      <c r="T174" s="21">
        <v>45042</v>
      </c>
      <c r="U174" s="6">
        <v>0.5</v>
      </c>
      <c r="V174" s="1" t="str">
        <f t="shared" ref="V174:V201" si="12">DATEDIF(D174,T174,"y") &amp; " г. " &amp; DATEDIF(D174,T174,"ym") &amp; " мес. " &amp; DATEDIF(D174,T174,"md") &amp; " дн."</f>
        <v>0 г. 0 мес. 1 дн.</v>
      </c>
      <c r="W174" s="69"/>
    </row>
    <row r="175" spans="1:23" ht="35.1" customHeight="1" x14ac:dyDescent="0.25">
      <c r="A175" s="8">
        <f t="shared" si="8"/>
        <v>174</v>
      </c>
      <c r="B175" s="1">
        <v>262</v>
      </c>
      <c r="C175" s="39" t="s">
        <v>28</v>
      </c>
      <c r="D175" s="21">
        <v>45041</v>
      </c>
      <c r="E175" s="6">
        <v>0.89930555555555547</v>
      </c>
      <c r="F175" s="1" t="s">
        <v>544</v>
      </c>
      <c r="G175" s="3">
        <v>44916</v>
      </c>
      <c r="H175" s="11" t="str">
        <f t="shared" si="9"/>
        <v>0 г. 4 мес. 4 дн.</v>
      </c>
      <c r="I175" s="20" t="s">
        <v>123</v>
      </c>
      <c r="J175" s="20"/>
      <c r="K175" s="1" t="s">
        <v>545</v>
      </c>
      <c r="L175" s="1" t="s">
        <v>601</v>
      </c>
      <c r="M175" s="1" t="s">
        <v>46</v>
      </c>
      <c r="O175" s="20" t="s">
        <v>90</v>
      </c>
      <c r="S175" s="1" t="s">
        <v>28</v>
      </c>
      <c r="T175" s="21">
        <v>45042</v>
      </c>
      <c r="U175" s="6">
        <v>0.5</v>
      </c>
      <c r="V175" s="1" t="str">
        <f t="shared" si="12"/>
        <v>0 г. 0 мес. 1 дн.</v>
      </c>
      <c r="W175" s="69"/>
    </row>
    <row r="176" spans="1:23" ht="35.1" customHeight="1" x14ac:dyDescent="0.25">
      <c r="A176" s="1">
        <f t="shared" si="8"/>
        <v>175</v>
      </c>
      <c r="B176" s="1">
        <v>499</v>
      </c>
      <c r="C176" s="39" t="s">
        <v>27</v>
      </c>
      <c r="D176" s="21">
        <v>45043</v>
      </c>
      <c r="E176" s="6">
        <v>0.58333333333333337</v>
      </c>
      <c r="F176" s="1" t="s">
        <v>602</v>
      </c>
      <c r="G176" s="3">
        <v>44990</v>
      </c>
      <c r="H176" s="11" t="str">
        <f t="shared" si="9"/>
        <v>0 г. 1 мес. 22 дн.</v>
      </c>
      <c r="I176" s="20" t="s">
        <v>122</v>
      </c>
      <c r="J176" s="20" t="s">
        <v>27</v>
      </c>
      <c r="K176" s="1" t="s">
        <v>603</v>
      </c>
      <c r="L176" s="1" t="s">
        <v>604</v>
      </c>
      <c r="M176" s="1" t="s">
        <v>48</v>
      </c>
      <c r="O176" s="20" t="s">
        <v>89</v>
      </c>
      <c r="Q176" s="1" t="s">
        <v>103</v>
      </c>
      <c r="S176" s="1" t="s">
        <v>27</v>
      </c>
      <c r="T176" s="3">
        <v>45043</v>
      </c>
      <c r="U176" s="6">
        <v>0.89236111111111116</v>
      </c>
      <c r="V176" s="1" t="str">
        <f t="shared" si="12"/>
        <v>0 г. 0 мес. 0 дн.</v>
      </c>
      <c r="W176" s="69"/>
    </row>
    <row r="177" spans="1:23" ht="35.1" customHeight="1" x14ac:dyDescent="0.25">
      <c r="A177" s="8">
        <f t="shared" si="8"/>
        <v>176</v>
      </c>
      <c r="B177" s="1">
        <v>973</v>
      </c>
      <c r="C177" s="39" t="s">
        <v>77</v>
      </c>
      <c r="D177" s="21">
        <v>45043</v>
      </c>
      <c r="E177" s="6">
        <v>0.75</v>
      </c>
      <c r="F177" s="1" t="s">
        <v>605</v>
      </c>
      <c r="G177" s="3">
        <v>41564</v>
      </c>
      <c r="H177" s="11" t="str">
        <f t="shared" si="9"/>
        <v>9 г. 6 мес. 10 дн.</v>
      </c>
      <c r="I177" s="20" t="s">
        <v>122</v>
      </c>
      <c r="J177" s="20" t="s">
        <v>77</v>
      </c>
      <c r="K177" s="1" t="s">
        <v>606</v>
      </c>
      <c r="L177" s="1" t="s">
        <v>534</v>
      </c>
      <c r="M177" s="1" t="s">
        <v>49</v>
      </c>
      <c r="O177" s="20" t="s">
        <v>89</v>
      </c>
      <c r="P177" s="1" t="s">
        <v>96</v>
      </c>
      <c r="S177" s="1" t="s">
        <v>77</v>
      </c>
      <c r="T177" s="3">
        <v>45046</v>
      </c>
      <c r="U177" s="6">
        <v>0.60416666666666663</v>
      </c>
      <c r="V177" s="1" t="str">
        <f t="shared" si="12"/>
        <v>0 г. 0 мес. 3 дн.</v>
      </c>
      <c r="W177" s="69"/>
    </row>
    <row r="178" spans="1:23" ht="35.1" customHeight="1" x14ac:dyDescent="0.25">
      <c r="A178" s="1">
        <f t="shared" si="8"/>
        <v>177</v>
      </c>
      <c r="B178" s="1">
        <v>261</v>
      </c>
      <c r="C178" s="39" t="s">
        <v>26</v>
      </c>
      <c r="D178" s="21">
        <v>45044</v>
      </c>
      <c r="E178" s="6">
        <v>0.54166666666666663</v>
      </c>
      <c r="F178" s="1" t="s">
        <v>607</v>
      </c>
      <c r="G178" s="3">
        <v>38812</v>
      </c>
      <c r="H178" s="11" t="str">
        <f t="shared" si="9"/>
        <v>17 г. 0 мес. 23 дн.</v>
      </c>
      <c r="I178" s="20" t="s">
        <v>123</v>
      </c>
      <c r="J178" s="20"/>
      <c r="K178" s="1" t="s">
        <v>608</v>
      </c>
      <c r="L178" s="1" t="s">
        <v>609</v>
      </c>
      <c r="M178" s="1" t="s">
        <v>43</v>
      </c>
      <c r="O178" s="20" t="s">
        <v>89</v>
      </c>
      <c r="S178" s="1" t="s">
        <v>29</v>
      </c>
      <c r="T178" s="3">
        <v>45045</v>
      </c>
      <c r="U178" s="6">
        <v>0.5625</v>
      </c>
      <c r="V178" s="1" t="str">
        <f t="shared" si="12"/>
        <v>0 г. 0 мес. 1 дн.</v>
      </c>
      <c r="W178" s="69"/>
    </row>
    <row r="179" spans="1:23" ht="35.1" customHeight="1" x14ac:dyDescent="0.25">
      <c r="A179" s="8">
        <f t="shared" si="8"/>
        <v>178</v>
      </c>
      <c r="B179" s="1">
        <v>998</v>
      </c>
      <c r="C179" s="39" t="s">
        <v>77</v>
      </c>
      <c r="D179" s="21">
        <v>45047</v>
      </c>
      <c r="E179" s="6">
        <v>0.35416666666666669</v>
      </c>
      <c r="F179" s="1" t="s">
        <v>611</v>
      </c>
      <c r="G179" s="3">
        <v>38783</v>
      </c>
      <c r="H179" s="11" t="str">
        <f t="shared" si="9"/>
        <v>17 г. 1 мес. 24 дн.</v>
      </c>
      <c r="I179" s="20" t="s">
        <v>120</v>
      </c>
      <c r="J179" s="20"/>
      <c r="K179" s="1" t="s">
        <v>612</v>
      </c>
      <c r="L179" s="1" t="s">
        <v>613</v>
      </c>
      <c r="M179" s="1" t="s">
        <v>50</v>
      </c>
      <c r="O179" s="20" t="s">
        <v>89</v>
      </c>
      <c r="S179" s="1" t="s">
        <v>77</v>
      </c>
      <c r="T179" s="21">
        <v>45047</v>
      </c>
      <c r="U179" s="6">
        <v>0.76388888888888884</v>
      </c>
      <c r="V179" s="1" t="str">
        <f t="shared" si="12"/>
        <v>0 г. 0 мес. 0 дн.</v>
      </c>
      <c r="W179" s="69"/>
    </row>
    <row r="180" spans="1:23" ht="35.1" customHeight="1" x14ac:dyDescent="0.25">
      <c r="A180" s="1">
        <f t="shared" si="8"/>
        <v>179</v>
      </c>
      <c r="B180" s="1">
        <v>266</v>
      </c>
      <c r="C180" s="39" t="s">
        <v>26</v>
      </c>
      <c r="D180" s="21">
        <v>45047</v>
      </c>
      <c r="E180" s="6">
        <v>0.41666666666666669</v>
      </c>
      <c r="F180" s="1" t="s">
        <v>637</v>
      </c>
      <c r="G180" s="3">
        <v>44256</v>
      </c>
      <c r="H180" s="11" t="str">
        <f t="shared" si="9"/>
        <v>2 г. 2 мес. 0 дн.</v>
      </c>
      <c r="I180" s="20" t="s">
        <v>120</v>
      </c>
      <c r="J180" s="20"/>
      <c r="K180" s="1" t="s">
        <v>614</v>
      </c>
      <c r="L180" s="1" t="s">
        <v>615</v>
      </c>
      <c r="M180" s="1" t="s">
        <v>55</v>
      </c>
      <c r="O180" s="20" t="s">
        <v>89</v>
      </c>
      <c r="S180" s="1" t="s">
        <v>26</v>
      </c>
      <c r="T180" s="21">
        <v>45047</v>
      </c>
      <c r="U180" s="6">
        <v>0.64583333333333337</v>
      </c>
      <c r="V180" s="1" t="str">
        <f t="shared" si="12"/>
        <v>0 г. 0 мес. 0 дн.</v>
      </c>
      <c r="W180" s="69"/>
    </row>
    <row r="181" spans="1:23" ht="35.1" customHeight="1" x14ac:dyDescent="0.25">
      <c r="A181" s="8">
        <f t="shared" si="8"/>
        <v>180</v>
      </c>
      <c r="B181" s="1">
        <v>272</v>
      </c>
      <c r="C181" s="39" t="s">
        <v>28</v>
      </c>
      <c r="D181" s="21">
        <v>45047</v>
      </c>
      <c r="E181" s="6">
        <v>0.58333333333333337</v>
      </c>
      <c r="F181" s="1" t="s">
        <v>639</v>
      </c>
      <c r="G181" s="3">
        <v>39624</v>
      </c>
      <c r="H181" s="11" t="str">
        <f t="shared" si="9"/>
        <v>14 г. 10 мес. 6 дн.</v>
      </c>
      <c r="I181" s="20" t="s">
        <v>120</v>
      </c>
      <c r="J181" s="20"/>
      <c r="K181" s="1" t="s">
        <v>617</v>
      </c>
      <c r="L181" s="1" t="s">
        <v>616</v>
      </c>
      <c r="M181" s="1" t="s">
        <v>46</v>
      </c>
      <c r="O181" s="20" t="s">
        <v>89</v>
      </c>
      <c r="S181" s="1" t="s">
        <v>28</v>
      </c>
      <c r="T181" s="3">
        <v>45048</v>
      </c>
      <c r="U181" s="6">
        <v>0.45833333333333331</v>
      </c>
      <c r="V181" s="1" t="str">
        <f t="shared" si="12"/>
        <v>0 г. 0 мес. 1 дн.</v>
      </c>
      <c r="W181" s="69"/>
    </row>
    <row r="182" spans="1:23" ht="35.1" customHeight="1" x14ac:dyDescent="0.25">
      <c r="A182" s="1">
        <f t="shared" si="8"/>
        <v>181</v>
      </c>
      <c r="B182" s="7">
        <v>1001</v>
      </c>
      <c r="C182" s="39" t="s">
        <v>77</v>
      </c>
      <c r="D182" s="21">
        <v>45047</v>
      </c>
      <c r="E182" s="6">
        <v>0.85416666666666663</v>
      </c>
      <c r="F182" s="1" t="s">
        <v>638</v>
      </c>
      <c r="G182" s="3">
        <v>43439</v>
      </c>
      <c r="H182" s="11" t="str">
        <f t="shared" si="9"/>
        <v>4 г. 4 мес. 26 дн.</v>
      </c>
      <c r="I182" s="20" t="s">
        <v>120</v>
      </c>
      <c r="J182" s="20"/>
      <c r="K182" s="1" t="s">
        <v>618</v>
      </c>
      <c r="L182" s="1" t="s">
        <v>619</v>
      </c>
      <c r="M182" s="1" t="s">
        <v>54</v>
      </c>
      <c r="N182" s="7"/>
      <c r="O182" s="20" t="s">
        <v>89</v>
      </c>
      <c r="P182" s="7"/>
      <c r="Q182" s="7"/>
      <c r="R182" s="7"/>
      <c r="S182" s="1" t="s">
        <v>77</v>
      </c>
      <c r="T182" s="3">
        <v>45048</v>
      </c>
      <c r="U182" s="6">
        <v>0.4375</v>
      </c>
      <c r="V182" s="1" t="str">
        <f t="shared" si="12"/>
        <v>0 г. 0 мес. 1 дн.</v>
      </c>
      <c r="W182" s="69"/>
    </row>
    <row r="183" spans="1:23" ht="35.1" customHeight="1" x14ac:dyDescent="0.25">
      <c r="A183" s="8">
        <f t="shared" si="8"/>
        <v>182</v>
      </c>
      <c r="B183" s="1">
        <v>1003</v>
      </c>
      <c r="C183" s="39" t="s">
        <v>77</v>
      </c>
      <c r="D183" s="21">
        <v>45048</v>
      </c>
      <c r="E183" s="6">
        <v>0.3888888888888889</v>
      </c>
      <c r="F183" s="1" t="s">
        <v>620</v>
      </c>
      <c r="G183" s="3">
        <v>43863</v>
      </c>
      <c r="H183" s="11" t="str">
        <f t="shared" si="9"/>
        <v>3 г. 3 мес. 0 дн.</v>
      </c>
      <c r="I183" s="20" t="s">
        <v>75</v>
      </c>
      <c r="J183" s="20"/>
      <c r="K183" s="1" t="s">
        <v>621</v>
      </c>
      <c r="L183" s="1" t="s">
        <v>619</v>
      </c>
      <c r="M183" s="1" t="s">
        <v>54</v>
      </c>
      <c r="O183" s="20" t="s">
        <v>90</v>
      </c>
      <c r="S183" s="1" t="s">
        <v>77</v>
      </c>
      <c r="T183" s="3">
        <v>45048</v>
      </c>
      <c r="U183" s="6">
        <v>0.70833333333333337</v>
      </c>
      <c r="V183" s="1" t="str">
        <f t="shared" si="12"/>
        <v>0 г. 0 мес. 0 дн.</v>
      </c>
      <c r="W183" s="69"/>
    </row>
    <row r="184" spans="1:23" ht="35.1" customHeight="1" x14ac:dyDescent="0.25">
      <c r="A184" s="1">
        <f t="shared" si="8"/>
        <v>183</v>
      </c>
      <c r="B184" s="1">
        <v>940</v>
      </c>
      <c r="C184" s="39" t="s">
        <v>77</v>
      </c>
      <c r="D184" s="21">
        <v>45042</v>
      </c>
      <c r="E184" s="6">
        <v>0.52083333333333337</v>
      </c>
      <c r="F184" s="1" t="s">
        <v>582</v>
      </c>
      <c r="G184" s="3">
        <v>44918</v>
      </c>
      <c r="H184" s="11" t="str">
        <f t="shared" si="9"/>
        <v>0 г. 4 мес. 3 дн.</v>
      </c>
      <c r="I184" s="20" t="s">
        <v>125</v>
      </c>
      <c r="J184" s="20" t="s">
        <v>77</v>
      </c>
      <c r="K184" s="1" t="s">
        <v>583</v>
      </c>
      <c r="L184" s="1" t="s">
        <v>622</v>
      </c>
      <c r="M184" s="1" t="s">
        <v>56</v>
      </c>
      <c r="O184" s="20" t="s">
        <v>73</v>
      </c>
      <c r="Q184" s="1" t="s">
        <v>146</v>
      </c>
      <c r="S184" s="1" t="s">
        <v>29</v>
      </c>
      <c r="T184" s="3">
        <v>45049</v>
      </c>
      <c r="U184" s="6">
        <v>7.2916666666666671E-2</v>
      </c>
      <c r="V184" s="1" t="str">
        <f t="shared" si="12"/>
        <v>0 г. 0 мес. 7 дн.</v>
      </c>
      <c r="W184" s="69"/>
    </row>
    <row r="185" spans="1:23" ht="35.1" customHeight="1" x14ac:dyDescent="0.25">
      <c r="A185" s="8">
        <f t="shared" si="8"/>
        <v>184</v>
      </c>
      <c r="B185" s="1">
        <v>966</v>
      </c>
      <c r="C185" s="39" t="s">
        <v>77</v>
      </c>
      <c r="D185" s="21">
        <v>45048</v>
      </c>
      <c r="E185" s="6">
        <v>0.5708333333333333</v>
      </c>
      <c r="F185" s="1" t="s">
        <v>623</v>
      </c>
      <c r="G185" s="3">
        <v>39053</v>
      </c>
      <c r="H185" s="11" t="str">
        <f t="shared" si="9"/>
        <v>16 г. 5 мес. 0 дн.</v>
      </c>
      <c r="I185" s="20" t="s">
        <v>121</v>
      </c>
      <c r="J185" s="20" t="s">
        <v>77</v>
      </c>
      <c r="K185" s="1" t="s">
        <v>625</v>
      </c>
      <c r="L185" s="1" t="s">
        <v>624</v>
      </c>
      <c r="M185" s="1" t="s">
        <v>41</v>
      </c>
      <c r="O185" s="20" t="s">
        <v>89</v>
      </c>
      <c r="S185" s="1" t="s">
        <v>77</v>
      </c>
      <c r="T185" s="3">
        <v>45049</v>
      </c>
      <c r="U185" s="6">
        <v>0.45833333333333331</v>
      </c>
      <c r="V185" s="1" t="str">
        <f t="shared" si="12"/>
        <v>0 г. 0 мес. 1 дн.</v>
      </c>
      <c r="W185" s="69"/>
    </row>
    <row r="186" spans="1:23" ht="35.1" customHeight="1" x14ac:dyDescent="0.25">
      <c r="A186" s="1">
        <f t="shared" si="8"/>
        <v>185</v>
      </c>
      <c r="B186" s="1">
        <v>1036</v>
      </c>
      <c r="C186" s="39" t="s">
        <v>77</v>
      </c>
      <c r="D186" s="21">
        <v>45050</v>
      </c>
      <c r="E186" s="6">
        <v>0.59722222222222221</v>
      </c>
      <c r="F186" s="1" t="s">
        <v>626</v>
      </c>
      <c r="G186" s="3">
        <v>41526</v>
      </c>
      <c r="H186" s="11" t="str">
        <f t="shared" si="9"/>
        <v>9 г. 7 мес. 25 дн.</v>
      </c>
      <c r="I186" s="20" t="s">
        <v>120</v>
      </c>
      <c r="J186" s="20"/>
      <c r="K186" s="1" t="s">
        <v>627</v>
      </c>
      <c r="L186" s="1" t="s">
        <v>628</v>
      </c>
      <c r="M186" s="1" t="s">
        <v>49</v>
      </c>
      <c r="O186" s="20" t="s">
        <v>89</v>
      </c>
      <c r="Q186" s="1" t="s">
        <v>103</v>
      </c>
      <c r="S186" s="1" t="s">
        <v>77</v>
      </c>
      <c r="T186" s="3">
        <v>45051</v>
      </c>
      <c r="U186" s="6">
        <v>0.45833333333333331</v>
      </c>
      <c r="V186" s="1" t="str">
        <f t="shared" si="12"/>
        <v>0 г. 0 мес. 1 дн.</v>
      </c>
      <c r="W186" s="69"/>
    </row>
    <row r="187" spans="1:23" ht="35.1" customHeight="1" x14ac:dyDescent="0.25">
      <c r="A187" s="8">
        <f t="shared" si="8"/>
        <v>186</v>
      </c>
      <c r="B187" s="1">
        <v>1043</v>
      </c>
      <c r="C187" s="39" t="s">
        <v>77</v>
      </c>
      <c r="D187" s="21">
        <v>45051</v>
      </c>
      <c r="E187" s="6">
        <v>0.73263888888888884</v>
      </c>
      <c r="F187" s="1" t="s">
        <v>629</v>
      </c>
      <c r="G187" s="3">
        <v>42039</v>
      </c>
      <c r="H187" s="11" t="str">
        <f t="shared" si="9"/>
        <v>8 г. 3 мес. 1 дн.</v>
      </c>
      <c r="I187" s="20" t="s">
        <v>120</v>
      </c>
      <c r="J187" s="20"/>
      <c r="K187" s="1" t="s">
        <v>630</v>
      </c>
      <c r="L187" s="1" t="s">
        <v>631</v>
      </c>
      <c r="M187" s="1" t="s">
        <v>52</v>
      </c>
      <c r="O187" s="20" t="s">
        <v>89</v>
      </c>
      <c r="S187" s="1" t="s">
        <v>77</v>
      </c>
      <c r="T187" s="3">
        <v>45052</v>
      </c>
      <c r="U187" s="6">
        <v>0.5</v>
      </c>
      <c r="V187" s="1" t="str">
        <f t="shared" si="12"/>
        <v>0 г. 0 мес. 1 дн.</v>
      </c>
      <c r="W187" s="69"/>
    </row>
    <row r="188" spans="1:23" ht="35.1" customHeight="1" x14ac:dyDescent="0.25">
      <c r="A188" s="1">
        <f t="shared" si="8"/>
        <v>187</v>
      </c>
      <c r="B188" s="1">
        <v>273</v>
      </c>
      <c r="C188" s="39" t="s">
        <v>26</v>
      </c>
      <c r="D188" s="21">
        <v>45051</v>
      </c>
      <c r="E188" s="6">
        <v>0.88888888888888884</v>
      </c>
      <c r="F188" s="1" t="s">
        <v>640</v>
      </c>
      <c r="G188" s="3">
        <v>40253</v>
      </c>
      <c r="H188" s="11" t="str">
        <f t="shared" si="9"/>
        <v>13 г. 1 мес. 19 дн.</v>
      </c>
      <c r="I188" s="20" t="s">
        <v>120</v>
      </c>
      <c r="J188" s="20"/>
      <c r="K188" s="1" t="s">
        <v>632</v>
      </c>
      <c r="L188" s="1" t="s">
        <v>633</v>
      </c>
      <c r="M188" s="1" t="s">
        <v>55</v>
      </c>
      <c r="O188" s="20" t="s">
        <v>89</v>
      </c>
      <c r="S188" s="1" t="s">
        <v>26</v>
      </c>
      <c r="T188" s="3">
        <v>45052</v>
      </c>
      <c r="U188" s="6">
        <v>0.45833333333333331</v>
      </c>
      <c r="V188" s="1" t="str">
        <f t="shared" si="12"/>
        <v>0 г. 0 мес. 1 дн.</v>
      </c>
      <c r="W188" s="69"/>
    </row>
    <row r="189" spans="1:23" ht="35.1" customHeight="1" x14ac:dyDescent="0.25">
      <c r="A189" s="8">
        <f t="shared" si="8"/>
        <v>188</v>
      </c>
      <c r="B189" s="1">
        <v>209</v>
      </c>
      <c r="C189" s="39" t="s">
        <v>24</v>
      </c>
      <c r="D189" s="21">
        <v>45052</v>
      </c>
      <c r="E189" s="6">
        <v>0.52777777777777779</v>
      </c>
      <c r="F189" s="1" t="s">
        <v>634</v>
      </c>
      <c r="G189" s="3">
        <v>44699</v>
      </c>
      <c r="H189" s="11" t="str">
        <f t="shared" si="9"/>
        <v>0 г. 11 мес. 18 дн.</v>
      </c>
      <c r="I189" s="20" t="s">
        <v>120</v>
      </c>
      <c r="J189" s="20"/>
      <c r="K189" s="1" t="s">
        <v>635</v>
      </c>
      <c r="L189" s="1" t="s">
        <v>636</v>
      </c>
      <c r="M189" s="1" t="s">
        <v>50</v>
      </c>
      <c r="O189" s="20" t="s">
        <v>89</v>
      </c>
      <c r="S189" s="1" t="s">
        <v>24</v>
      </c>
      <c r="T189" s="3">
        <v>45056</v>
      </c>
      <c r="U189" s="6">
        <v>0.52083333333333337</v>
      </c>
      <c r="V189" s="1" t="str">
        <f t="shared" si="12"/>
        <v>0 г. 0 мес. 4 дн.</v>
      </c>
      <c r="W189" s="69"/>
    </row>
    <row r="190" spans="1:23" ht="35.1" customHeight="1" x14ac:dyDescent="0.25">
      <c r="A190" s="1">
        <f t="shared" si="8"/>
        <v>189</v>
      </c>
      <c r="B190" s="1">
        <v>1043</v>
      </c>
      <c r="C190" s="39" t="s">
        <v>77</v>
      </c>
      <c r="D190" s="21">
        <v>45051</v>
      </c>
      <c r="E190" s="6">
        <v>0.77708333333333324</v>
      </c>
      <c r="F190" s="1" t="s">
        <v>641</v>
      </c>
      <c r="G190" s="3">
        <v>42145</v>
      </c>
      <c r="H190" s="11" t="str">
        <f t="shared" si="9"/>
        <v>7 г. 11 мес. 14 дн.</v>
      </c>
      <c r="I190" s="20" t="s">
        <v>120</v>
      </c>
      <c r="J190" s="20"/>
      <c r="K190" s="1" t="s">
        <v>642</v>
      </c>
      <c r="L190" s="102" t="s">
        <v>643</v>
      </c>
      <c r="M190" s="1" t="s">
        <v>52</v>
      </c>
      <c r="O190" s="20" t="s">
        <v>89</v>
      </c>
      <c r="S190" s="1" t="s">
        <v>77</v>
      </c>
      <c r="T190" s="3">
        <v>45052</v>
      </c>
      <c r="U190" s="6">
        <v>0.55555555555555558</v>
      </c>
      <c r="V190" s="1" t="str">
        <f t="shared" si="12"/>
        <v>0 г. 0 мес. 1 дн.</v>
      </c>
      <c r="W190" s="69"/>
    </row>
    <row r="191" spans="1:23" ht="35.1" customHeight="1" x14ac:dyDescent="0.25">
      <c r="A191" s="8">
        <f t="shared" si="8"/>
        <v>190</v>
      </c>
      <c r="B191" s="1">
        <v>276</v>
      </c>
      <c r="C191" s="39" t="s">
        <v>82</v>
      </c>
      <c r="D191" s="21">
        <v>45053</v>
      </c>
      <c r="E191" s="6">
        <v>3.472222222222222E-3</v>
      </c>
      <c r="F191" s="1" t="s">
        <v>592</v>
      </c>
      <c r="G191" s="3">
        <v>42529</v>
      </c>
      <c r="H191" s="11" t="str">
        <f t="shared" si="9"/>
        <v>6 г. 10 мес. 29 дн.</v>
      </c>
      <c r="I191" s="20" t="s">
        <v>125</v>
      </c>
      <c r="J191" s="20" t="s">
        <v>82</v>
      </c>
      <c r="K191" s="1" t="s">
        <v>593</v>
      </c>
      <c r="L191" s="1" t="s">
        <v>594</v>
      </c>
      <c r="M191" s="1" t="s">
        <v>40</v>
      </c>
      <c r="O191" s="20" t="s">
        <v>73</v>
      </c>
      <c r="S191" s="1" t="s">
        <v>82</v>
      </c>
      <c r="T191" s="3">
        <v>45057</v>
      </c>
      <c r="U191" s="6">
        <v>0.5</v>
      </c>
      <c r="V191" s="1" t="str">
        <f t="shared" si="12"/>
        <v>0 г. 0 мес. 4 дн.</v>
      </c>
      <c r="W191" s="69"/>
    </row>
    <row r="192" spans="1:23" ht="35.1" customHeight="1" x14ac:dyDescent="0.25">
      <c r="A192" s="1">
        <f t="shared" si="8"/>
        <v>191</v>
      </c>
      <c r="B192" s="1">
        <v>528</v>
      </c>
      <c r="C192" s="39" t="s">
        <v>27</v>
      </c>
      <c r="D192" s="21">
        <v>45053</v>
      </c>
      <c r="E192" s="6">
        <v>0.72916666666666663</v>
      </c>
      <c r="F192" s="1" t="s">
        <v>644</v>
      </c>
      <c r="G192" s="3">
        <v>44928</v>
      </c>
      <c r="H192" s="11" t="str">
        <f t="shared" si="9"/>
        <v>0 г. 4 мес. 5 дн.</v>
      </c>
      <c r="I192" s="20" t="s">
        <v>123</v>
      </c>
      <c r="J192" s="20"/>
      <c r="K192" s="1" t="s">
        <v>645</v>
      </c>
      <c r="L192" s="1" t="s">
        <v>646</v>
      </c>
      <c r="M192" s="1" t="s">
        <v>48</v>
      </c>
      <c r="O192" s="20" t="s">
        <v>89</v>
      </c>
      <c r="S192" s="1" t="s">
        <v>27</v>
      </c>
      <c r="T192" s="3">
        <v>45056</v>
      </c>
      <c r="U192" s="6">
        <v>0.5625</v>
      </c>
      <c r="V192" s="1" t="str">
        <f t="shared" si="12"/>
        <v>0 г. 0 мес. 3 дн.</v>
      </c>
      <c r="W192" s="69"/>
    </row>
    <row r="193" spans="1:23" s="84" customFormat="1" ht="35.1" customHeight="1" x14ac:dyDescent="0.25">
      <c r="A193" s="84">
        <f t="shared" ref="A193:A256" si="13">ROW(A192)</f>
        <v>192</v>
      </c>
      <c r="B193" s="84">
        <v>1055</v>
      </c>
      <c r="C193" s="85" t="s">
        <v>77</v>
      </c>
      <c r="D193" s="86">
        <v>45054</v>
      </c>
      <c r="E193" s="87">
        <v>0.52083333333333337</v>
      </c>
      <c r="F193" s="84" t="s">
        <v>647</v>
      </c>
      <c r="G193" s="86">
        <v>45045</v>
      </c>
      <c r="H193" s="84" t="str">
        <f t="shared" ref="H193:H256" si="14">DATEDIF(G193,D193,"y") &amp; " г. " &amp; DATEDIF(G193,D193,"ym") &amp; " мес. " &amp; DATEDIF(G193,D193,"md") &amp; " дн."</f>
        <v>0 г. 0 мес. 9 дн.</v>
      </c>
      <c r="I193" s="84" t="s">
        <v>123</v>
      </c>
      <c r="K193" s="84" t="s">
        <v>648</v>
      </c>
      <c r="L193" s="84" t="s">
        <v>649</v>
      </c>
      <c r="M193" s="84" t="s">
        <v>49</v>
      </c>
      <c r="N193" s="84">
        <v>67</v>
      </c>
      <c r="O193" s="84" t="s">
        <v>73</v>
      </c>
      <c r="Q193" s="84" t="s">
        <v>146</v>
      </c>
      <c r="S193" s="84" t="s">
        <v>30</v>
      </c>
      <c r="T193" s="86">
        <v>45057</v>
      </c>
      <c r="U193" s="87">
        <v>0.3298611111111111</v>
      </c>
      <c r="V193" s="84" t="str">
        <f t="shared" si="12"/>
        <v>0 г. 0 мес. 3 дн.</v>
      </c>
      <c r="W193" s="93"/>
    </row>
    <row r="194" spans="1:23" ht="35.1" customHeight="1" x14ac:dyDescent="0.25">
      <c r="A194" s="1">
        <f t="shared" si="13"/>
        <v>193</v>
      </c>
      <c r="B194" s="1">
        <v>282</v>
      </c>
      <c r="C194" s="39" t="s">
        <v>650</v>
      </c>
      <c r="D194" s="21">
        <v>45055</v>
      </c>
      <c r="E194" s="6">
        <v>0.88194444444444453</v>
      </c>
      <c r="F194" s="1" t="s">
        <v>651</v>
      </c>
      <c r="G194" s="3">
        <v>38770</v>
      </c>
      <c r="H194" s="11" t="str">
        <f t="shared" si="14"/>
        <v>17 г. 2 мес. 17 дн.</v>
      </c>
      <c r="I194" s="20" t="s">
        <v>120</v>
      </c>
      <c r="J194" s="20"/>
      <c r="K194" s="1" t="s">
        <v>652</v>
      </c>
      <c r="L194" s="1" t="s">
        <v>653</v>
      </c>
      <c r="M194" s="1" t="s">
        <v>55</v>
      </c>
      <c r="O194" s="20" t="s">
        <v>89</v>
      </c>
      <c r="S194" s="1" t="s">
        <v>26</v>
      </c>
      <c r="T194" s="3">
        <v>45056</v>
      </c>
      <c r="U194" s="6">
        <v>0.45833333333333331</v>
      </c>
      <c r="V194" s="1" t="str">
        <f t="shared" si="12"/>
        <v>0 г. 0 мес. 1 дн.</v>
      </c>
      <c r="W194" s="69"/>
    </row>
    <row r="195" spans="1:23" s="84" customFormat="1" ht="35.1" customHeight="1" x14ac:dyDescent="0.25">
      <c r="A195" s="84">
        <f t="shared" si="13"/>
        <v>194</v>
      </c>
      <c r="B195" s="84">
        <v>1072</v>
      </c>
      <c r="C195" s="85" t="s">
        <v>77</v>
      </c>
      <c r="D195" s="86">
        <v>45056</v>
      </c>
      <c r="E195" s="87">
        <v>0.5625</v>
      </c>
      <c r="F195" s="84" t="s">
        <v>672</v>
      </c>
      <c r="G195" s="86">
        <v>45056</v>
      </c>
      <c r="H195" s="84" t="str">
        <f t="shared" si="14"/>
        <v>0 г. 0 мес. 0 дн.</v>
      </c>
      <c r="I195" s="84" t="s">
        <v>124</v>
      </c>
      <c r="K195" s="84" t="s">
        <v>654</v>
      </c>
      <c r="L195" s="84" t="s">
        <v>655</v>
      </c>
      <c r="M195" s="84" t="s">
        <v>49</v>
      </c>
      <c r="N195" s="84">
        <v>12</v>
      </c>
      <c r="O195" s="84" t="s">
        <v>73</v>
      </c>
      <c r="S195" s="84" t="s">
        <v>30</v>
      </c>
      <c r="T195" s="86">
        <v>45057</v>
      </c>
      <c r="U195" s="87">
        <v>8.3333333333333329E-2</v>
      </c>
      <c r="V195" s="84" t="str">
        <f t="shared" si="12"/>
        <v>0 г. 0 мес. 1 дн.</v>
      </c>
      <c r="W195" s="93"/>
    </row>
    <row r="196" spans="1:23" ht="35.1" customHeight="1" x14ac:dyDescent="0.25">
      <c r="A196" s="1">
        <f t="shared" si="13"/>
        <v>195</v>
      </c>
      <c r="B196" s="1">
        <v>269</v>
      </c>
      <c r="C196" s="39" t="s">
        <v>82</v>
      </c>
      <c r="D196" s="21">
        <v>45056</v>
      </c>
      <c r="E196" s="6">
        <v>0.78125</v>
      </c>
      <c r="F196" s="1" t="s">
        <v>656</v>
      </c>
      <c r="G196" s="3">
        <v>44362</v>
      </c>
      <c r="H196" s="11" t="str">
        <f t="shared" si="14"/>
        <v>1 г. 10 мес. 25 дн.</v>
      </c>
      <c r="I196" s="20" t="s">
        <v>120</v>
      </c>
      <c r="J196" s="20"/>
      <c r="K196" s="1" t="s">
        <v>657</v>
      </c>
      <c r="L196" s="1" t="s">
        <v>867</v>
      </c>
      <c r="M196" s="1" t="s">
        <v>56</v>
      </c>
      <c r="O196" s="20" t="s">
        <v>89</v>
      </c>
      <c r="S196" s="1" t="s">
        <v>31</v>
      </c>
      <c r="T196" s="3">
        <v>45083</v>
      </c>
      <c r="U196" s="6">
        <v>0.41666666666666669</v>
      </c>
      <c r="V196" s="1" t="str">
        <f t="shared" si="12"/>
        <v>0 г. 0 мес. 27 дн.</v>
      </c>
      <c r="W196" s="69"/>
    </row>
    <row r="197" spans="1:23" ht="35.1" customHeight="1" x14ac:dyDescent="0.25">
      <c r="A197" s="8">
        <f t="shared" si="13"/>
        <v>196</v>
      </c>
      <c r="B197" s="1">
        <v>543</v>
      </c>
      <c r="C197" s="39" t="s">
        <v>27</v>
      </c>
      <c r="D197" s="21">
        <v>45057</v>
      </c>
      <c r="E197" s="6">
        <v>0.4236111111111111</v>
      </c>
      <c r="F197" s="1" t="s">
        <v>660</v>
      </c>
      <c r="G197" s="3">
        <v>45024</v>
      </c>
      <c r="H197" s="11" t="str">
        <f t="shared" si="14"/>
        <v>0 г. 1 мес. 3 дн.</v>
      </c>
      <c r="I197" s="20" t="s">
        <v>124</v>
      </c>
      <c r="J197" s="20"/>
      <c r="K197" s="1" t="s">
        <v>658</v>
      </c>
      <c r="L197" s="1" t="s">
        <v>659</v>
      </c>
      <c r="M197" s="1" t="s">
        <v>48</v>
      </c>
      <c r="N197" s="1">
        <v>720</v>
      </c>
      <c r="O197" s="20" t="s">
        <v>73</v>
      </c>
      <c r="Q197" s="1" t="s">
        <v>146</v>
      </c>
      <c r="S197" s="1" t="s">
        <v>82</v>
      </c>
      <c r="T197" s="3">
        <v>45091</v>
      </c>
      <c r="U197" s="6">
        <v>0.99652777777777779</v>
      </c>
      <c r="V197" s="1" t="str">
        <f t="shared" si="12"/>
        <v>0 г. 1 мес. 3 дн.</v>
      </c>
      <c r="W197" s="69"/>
    </row>
    <row r="198" spans="1:23" ht="35.1" customHeight="1" x14ac:dyDescent="0.25">
      <c r="A198" s="1">
        <f t="shared" si="13"/>
        <v>197</v>
      </c>
      <c r="B198" s="1">
        <v>1085</v>
      </c>
      <c r="C198" s="39" t="s">
        <v>77</v>
      </c>
      <c r="D198" s="21">
        <v>45057</v>
      </c>
      <c r="E198" s="6">
        <v>0.74305555555555547</v>
      </c>
      <c r="F198" s="1" t="s">
        <v>661</v>
      </c>
      <c r="G198" s="3">
        <v>40919</v>
      </c>
      <c r="H198" s="11" t="str">
        <f t="shared" si="14"/>
        <v>11 г. 4 мес. 0 дн.</v>
      </c>
      <c r="I198" s="20" t="s">
        <v>120</v>
      </c>
      <c r="J198" s="20"/>
      <c r="K198" s="1" t="s">
        <v>662</v>
      </c>
      <c r="L198" s="1" t="s">
        <v>663</v>
      </c>
      <c r="M198" s="1" t="s">
        <v>49</v>
      </c>
      <c r="O198" s="20" t="s">
        <v>89</v>
      </c>
      <c r="S198" s="1" t="s">
        <v>77</v>
      </c>
      <c r="T198" s="3">
        <v>45062</v>
      </c>
      <c r="U198" s="6">
        <v>0.5</v>
      </c>
      <c r="V198" s="1" t="str">
        <f t="shared" si="12"/>
        <v>0 г. 0 мес. 5 дн.</v>
      </c>
      <c r="W198" s="69"/>
    </row>
    <row r="199" spans="1:23" ht="35.1" customHeight="1" x14ac:dyDescent="0.25">
      <c r="A199" s="8">
        <f t="shared" si="13"/>
        <v>198</v>
      </c>
      <c r="B199" s="1">
        <v>551</v>
      </c>
      <c r="C199" s="39" t="s">
        <v>27</v>
      </c>
      <c r="D199" s="21">
        <v>45059</v>
      </c>
      <c r="E199" s="6">
        <v>0.84722222222222221</v>
      </c>
      <c r="F199" s="1" t="s">
        <v>664</v>
      </c>
      <c r="G199" s="3">
        <v>40410</v>
      </c>
      <c r="H199" s="11" t="str">
        <f t="shared" si="14"/>
        <v>12 г. 8 мес. 23 дн.</v>
      </c>
      <c r="I199" s="20" t="s">
        <v>120</v>
      </c>
      <c r="J199" s="20"/>
      <c r="K199" s="1" t="s">
        <v>665</v>
      </c>
      <c r="L199" s="1" t="s">
        <v>666</v>
      </c>
      <c r="M199" s="1" t="s">
        <v>55</v>
      </c>
      <c r="O199" s="20" t="s">
        <v>89</v>
      </c>
      <c r="S199" s="1" t="s">
        <v>26</v>
      </c>
      <c r="T199" s="3">
        <v>45060</v>
      </c>
      <c r="U199" s="6">
        <v>0.45833333333333331</v>
      </c>
      <c r="V199" s="1" t="str">
        <f t="shared" si="12"/>
        <v>0 г. 0 мес. 1 дн.</v>
      </c>
      <c r="W199" s="69"/>
    </row>
    <row r="200" spans="1:23" ht="35.1" customHeight="1" x14ac:dyDescent="0.25">
      <c r="A200" s="1">
        <f t="shared" si="13"/>
        <v>199</v>
      </c>
      <c r="B200" s="1">
        <v>293</v>
      </c>
      <c r="C200" s="39" t="s">
        <v>28</v>
      </c>
      <c r="D200" s="21">
        <v>45059</v>
      </c>
      <c r="E200" s="6">
        <v>0.10416666666666667</v>
      </c>
      <c r="F200" s="1" t="s">
        <v>676</v>
      </c>
      <c r="G200" s="3">
        <v>39732</v>
      </c>
      <c r="H200" s="11" t="str">
        <f t="shared" si="14"/>
        <v>14 г. 7 мес. 2 дн.</v>
      </c>
      <c r="I200" s="20" t="s">
        <v>120</v>
      </c>
      <c r="J200" s="20"/>
      <c r="K200" s="1" t="s">
        <v>667</v>
      </c>
      <c r="L200" s="1" t="s">
        <v>668</v>
      </c>
      <c r="M200" s="1" t="s">
        <v>46</v>
      </c>
      <c r="O200" s="20" t="s">
        <v>89</v>
      </c>
      <c r="S200" s="1" t="s">
        <v>28</v>
      </c>
      <c r="T200" s="21">
        <v>45059</v>
      </c>
      <c r="U200" s="6">
        <v>0.51388888888888895</v>
      </c>
      <c r="V200" s="1" t="str">
        <f t="shared" si="12"/>
        <v>0 г. 0 мес. 0 дн.</v>
      </c>
      <c r="W200" s="69"/>
    </row>
    <row r="201" spans="1:23" ht="35.1" customHeight="1" x14ac:dyDescent="0.25">
      <c r="A201" s="8">
        <f t="shared" si="13"/>
        <v>200</v>
      </c>
      <c r="B201" s="1">
        <v>297</v>
      </c>
      <c r="C201" s="39" t="s">
        <v>26</v>
      </c>
      <c r="D201" s="21">
        <v>45060</v>
      </c>
      <c r="E201" s="6">
        <v>0.94791666666666663</v>
      </c>
      <c r="F201" s="1" t="s">
        <v>669</v>
      </c>
      <c r="G201" s="3">
        <v>40576</v>
      </c>
      <c r="H201" s="11" t="str">
        <f t="shared" si="14"/>
        <v>12 г. 3 мес. 12 дн.</v>
      </c>
      <c r="I201" s="20" t="s">
        <v>120</v>
      </c>
      <c r="J201" s="20"/>
      <c r="K201" s="1" t="s">
        <v>648</v>
      </c>
      <c r="L201" s="1" t="s">
        <v>259</v>
      </c>
      <c r="M201" s="1" t="s">
        <v>55</v>
      </c>
      <c r="O201" s="20" t="s">
        <v>89</v>
      </c>
      <c r="S201" s="1" t="s">
        <v>26</v>
      </c>
      <c r="T201" s="3">
        <v>45061</v>
      </c>
      <c r="U201" s="6">
        <v>0.45833333333333331</v>
      </c>
      <c r="V201" s="1" t="str">
        <f t="shared" si="12"/>
        <v>0 г. 0 мес. 1 дн.</v>
      </c>
      <c r="W201" s="69"/>
    </row>
    <row r="202" spans="1:23" ht="35.1" customHeight="1" x14ac:dyDescent="0.25">
      <c r="A202" s="1">
        <f t="shared" si="13"/>
        <v>201</v>
      </c>
      <c r="B202" s="1">
        <v>1096</v>
      </c>
      <c r="C202" s="39" t="s">
        <v>77</v>
      </c>
      <c r="D202" s="21">
        <v>45058</v>
      </c>
      <c r="E202" s="6">
        <v>0.63194444444444442</v>
      </c>
      <c r="F202" s="1" t="s">
        <v>677</v>
      </c>
      <c r="G202" s="3">
        <v>45053</v>
      </c>
      <c r="H202" s="11" t="str">
        <f t="shared" si="14"/>
        <v>0 г. 0 мес. 5 дн.</v>
      </c>
      <c r="I202" s="20" t="s">
        <v>123</v>
      </c>
      <c r="J202" s="20"/>
      <c r="K202" s="1" t="s">
        <v>670</v>
      </c>
      <c r="L202" s="1" t="s">
        <v>671</v>
      </c>
      <c r="M202" s="1" t="s">
        <v>49</v>
      </c>
      <c r="N202" s="1">
        <v>277</v>
      </c>
      <c r="O202" s="20" t="s">
        <v>88</v>
      </c>
      <c r="Q202" s="1" t="s">
        <v>102</v>
      </c>
      <c r="S202" s="1" t="s">
        <v>29</v>
      </c>
      <c r="T202" s="3">
        <v>45070</v>
      </c>
      <c r="U202" s="6">
        <v>0.16666666666666666</v>
      </c>
      <c r="V202" s="1" t="str">
        <f t="shared" ref="V202:V233" si="15">DATEDIF(D202,T202,"y") &amp; " г. " &amp; DATEDIF(D202,T202,"ym") &amp; " мес. " &amp; DATEDIF(D202,T202,"md") &amp; " дн."</f>
        <v>0 г. 0 мес. 12 дн.</v>
      </c>
      <c r="W202" s="69"/>
    </row>
    <row r="203" spans="1:23" ht="35.1" customHeight="1" x14ac:dyDescent="0.25">
      <c r="A203" s="8">
        <f t="shared" si="13"/>
        <v>202</v>
      </c>
      <c r="B203" s="1">
        <v>252</v>
      </c>
      <c r="C203" s="39" t="s">
        <v>25</v>
      </c>
      <c r="D203" s="21">
        <v>45062</v>
      </c>
      <c r="E203" s="6">
        <v>0.45833333333333331</v>
      </c>
      <c r="F203" s="1" t="s">
        <v>673</v>
      </c>
      <c r="G203" s="3">
        <v>45048</v>
      </c>
      <c r="H203" s="11" t="str">
        <f t="shared" si="14"/>
        <v>0 г. 0 мес. 14 дн.</v>
      </c>
      <c r="I203" s="20" t="s">
        <v>123</v>
      </c>
      <c r="J203" s="20"/>
      <c r="K203" s="1" t="s">
        <v>674</v>
      </c>
      <c r="L203" s="1" t="s">
        <v>675</v>
      </c>
      <c r="M203" s="1" t="s">
        <v>56</v>
      </c>
      <c r="N203" s="1">
        <v>200</v>
      </c>
      <c r="O203" s="20" t="s">
        <v>88</v>
      </c>
      <c r="S203" s="1" t="s">
        <v>26</v>
      </c>
      <c r="T203" s="3">
        <v>45077</v>
      </c>
      <c r="U203" s="6">
        <v>0.45833333333333331</v>
      </c>
      <c r="V203" s="1" t="str">
        <f t="shared" si="15"/>
        <v>0 г. 0 мес. 15 дн.</v>
      </c>
      <c r="W203" s="69"/>
    </row>
    <row r="204" spans="1:23" ht="35.1" customHeight="1" x14ac:dyDescent="0.25">
      <c r="A204" s="1">
        <f t="shared" si="13"/>
        <v>203</v>
      </c>
      <c r="B204" s="1">
        <v>300</v>
      </c>
      <c r="C204" s="39" t="s">
        <v>26</v>
      </c>
      <c r="D204" s="21">
        <v>45063</v>
      </c>
      <c r="E204" s="6">
        <v>0.59722222222222221</v>
      </c>
      <c r="F204" s="1" t="s">
        <v>678</v>
      </c>
      <c r="G204" s="3">
        <v>39337</v>
      </c>
      <c r="H204" s="11" t="str">
        <f t="shared" si="14"/>
        <v>15 г. 8 мес. 5 дн.</v>
      </c>
      <c r="I204" s="20" t="s">
        <v>120</v>
      </c>
      <c r="J204" s="20"/>
      <c r="K204" s="1" t="s">
        <v>679</v>
      </c>
      <c r="L204" s="1" t="s">
        <v>680</v>
      </c>
      <c r="M204" s="1" t="s">
        <v>55</v>
      </c>
      <c r="O204" s="20" t="s">
        <v>89</v>
      </c>
      <c r="S204" s="1" t="s">
        <v>29</v>
      </c>
      <c r="T204" s="3">
        <v>45064</v>
      </c>
      <c r="U204" s="6">
        <v>0.55208333333333337</v>
      </c>
      <c r="V204" s="1" t="str">
        <f t="shared" si="15"/>
        <v>0 г. 0 мес. 1 дн.</v>
      </c>
      <c r="W204" s="69"/>
    </row>
    <row r="205" spans="1:23" ht="35.1" customHeight="1" x14ac:dyDescent="0.25">
      <c r="A205" s="8">
        <f t="shared" si="13"/>
        <v>204</v>
      </c>
      <c r="B205" s="1">
        <v>309</v>
      </c>
      <c r="C205" s="39" t="s">
        <v>26</v>
      </c>
      <c r="D205" s="21">
        <v>45066</v>
      </c>
      <c r="E205" s="6">
        <v>0.75</v>
      </c>
      <c r="F205" s="1" t="s">
        <v>681</v>
      </c>
      <c r="G205" s="3">
        <v>40087</v>
      </c>
      <c r="H205" s="11" t="str">
        <f t="shared" si="14"/>
        <v>13 г. 7 мес. 19 дн.</v>
      </c>
      <c r="I205" s="20" t="s">
        <v>120</v>
      </c>
      <c r="J205" s="20"/>
      <c r="K205" s="1" t="s">
        <v>682</v>
      </c>
      <c r="L205" s="1" t="s">
        <v>575</v>
      </c>
      <c r="M205" s="1" t="s">
        <v>55</v>
      </c>
      <c r="O205" s="20" t="s">
        <v>89</v>
      </c>
      <c r="S205" s="1" t="s">
        <v>26</v>
      </c>
      <c r="T205" s="3">
        <v>45067</v>
      </c>
      <c r="U205" s="6">
        <v>0.39027777777777778</v>
      </c>
      <c r="V205" s="1" t="str">
        <f t="shared" si="15"/>
        <v>0 г. 0 мес. 1 дн.</v>
      </c>
      <c r="W205" s="69"/>
    </row>
    <row r="206" spans="1:23" ht="35.1" customHeight="1" x14ac:dyDescent="0.25">
      <c r="A206" s="1">
        <f t="shared" si="13"/>
        <v>205</v>
      </c>
      <c r="B206" s="1">
        <v>565</v>
      </c>
      <c r="C206" s="39" t="s">
        <v>27</v>
      </c>
      <c r="D206" s="21">
        <v>45064</v>
      </c>
      <c r="E206" s="6">
        <v>0.625</v>
      </c>
      <c r="F206" s="1" t="s">
        <v>683</v>
      </c>
      <c r="G206" s="3">
        <v>45008</v>
      </c>
      <c r="H206" s="11" t="str">
        <f t="shared" si="14"/>
        <v>0 г. 1 мес. 25 дн.</v>
      </c>
      <c r="I206" s="20" t="s">
        <v>122</v>
      </c>
      <c r="J206" s="20" t="s">
        <v>27</v>
      </c>
      <c r="K206" s="1" t="s">
        <v>510</v>
      </c>
      <c r="L206" s="1" t="s">
        <v>684</v>
      </c>
      <c r="M206" s="1" t="s">
        <v>42</v>
      </c>
      <c r="O206" s="20" t="s">
        <v>89</v>
      </c>
      <c r="Q206" s="1" t="s">
        <v>103</v>
      </c>
      <c r="S206" s="1" t="s">
        <v>27</v>
      </c>
      <c r="T206" s="3">
        <v>45064</v>
      </c>
      <c r="U206" s="6">
        <v>0.8125</v>
      </c>
      <c r="V206" s="1" t="str">
        <f t="shared" si="15"/>
        <v>0 г. 0 мес. 0 дн.</v>
      </c>
      <c r="W206" s="69"/>
    </row>
    <row r="207" spans="1:23" ht="35.1" customHeight="1" x14ac:dyDescent="0.25">
      <c r="A207" s="8">
        <f t="shared" si="13"/>
        <v>206</v>
      </c>
      <c r="B207" s="1">
        <v>1166</v>
      </c>
      <c r="C207" s="39" t="s">
        <v>77</v>
      </c>
      <c r="D207" s="21">
        <v>45067</v>
      </c>
      <c r="E207" s="6">
        <v>0.91666666666666663</v>
      </c>
      <c r="F207" s="1" t="s">
        <v>685</v>
      </c>
      <c r="G207" s="3">
        <v>39627</v>
      </c>
      <c r="H207" s="11" t="str">
        <f t="shared" si="14"/>
        <v>14 г. 10 мес. 23 дн.</v>
      </c>
      <c r="I207" s="20" t="s">
        <v>120</v>
      </c>
      <c r="J207" s="20"/>
      <c r="K207" s="1" t="s">
        <v>686</v>
      </c>
      <c r="L207" s="1" t="s">
        <v>687</v>
      </c>
      <c r="M207" s="1" t="s">
        <v>54</v>
      </c>
      <c r="N207" s="1">
        <v>4</v>
      </c>
      <c r="O207" s="20" t="s">
        <v>73</v>
      </c>
      <c r="Q207" s="1" t="s">
        <v>102</v>
      </c>
      <c r="S207" s="1" t="s">
        <v>29</v>
      </c>
      <c r="T207" s="3">
        <v>45068</v>
      </c>
      <c r="U207" s="6">
        <v>0.66666666666666663</v>
      </c>
      <c r="V207" s="1" t="str">
        <f t="shared" si="15"/>
        <v>0 г. 0 мес. 1 дн.</v>
      </c>
      <c r="W207" s="69"/>
    </row>
    <row r="208" spans="1:23" ht="35.1" customHeight="1" x14ac:dyDescent="0.25">
      <c r="A208" s="1">
        <f t="shared" si="13"/>
        <v>207</v>
      </c>
      <c r="B208" s="1">
        <v>311</v>
      </c>
      <c r="C208" s="39" t="s">
        <v>26</v>
      </c>
      <c r="D208" s="21">
        <v>45069</v>
      </c>
      <c r="E208" s="6">
        <v>4.1666666666666664E-2</v>
      </c>
      <c r="F208" s="1" t="s">
        <v>688</v>
      </c>
      <c r="G208" s="3">
        <v>44316</v>
      </c>
      <c r="H208" s="11" t="str">
        <f t="shared" si="14"/>
        <v>2 г. 0 мес. 23 дн.</v>
      </c>
      <c r="I208" s="20" t="s">
        <v>120</v>
      </c>
      <c r="J208" s="20"/>
      <c r="K208" s="1" t="s">
        <v>689</v>
      </c>
      <c r="L208" s="1" t="s">
        <v>609</v>
      </c>
      <c r="M208" s="1" t="s">
        <v>43</v>
      </c>
      <c r="O208" s="20" t="s">
        <v>89</v>
      </c>
      <c r="S208" s="1" t="s">
        <v>29</v>
      </c>
      <c r="T208" s="3">
        <v>45069</v>
      </c>
      <c r="U208" s="6">
        <v>0.625</v>
      </c>
      <c r="V208" s="1" t="str">
        <f t="shared" si="15"/>
        <v>0 г. 0 мес. 0 дн.</v>
      </c>
      <c r="W208" s="69"/>
    </row>
    <row r="209" spans="1:23" ht="35.1" customHeight="1" x14ac:dyDescent="0.25">
      <c r="A209" s="8">
        <f t="shared" si="13"/>
        <v>208</v>
      </c>
      <c r="B209" s="1">
        <v>1189</v>
      </c>
      <c r="C209" s="39" t="s">
        <v>77</v>
      </c>
      <c r="D209" s="21">
        <v>45069</v>
      </c>
      <c r="E209" s="6">
        <v>0.90972222222222221</v>
      </c>
      <c r="F209" s="1" t="s">
        <v>691</v>
      </c>
      <c r="G209" s="3">
        <v>40961</v>
      </c>
      <c r="H209" s="11" t="str">
        <f t="shared" si="14"/>
        <v>11 г. 3 мес. 1 дн.</v>
      </c>
      <c r="I209" s="20" t="s">
        <v>120</v>
      </c>
      <c r="J209" s="20"/>
      <c r="K209" s="1" t="s">
        <v>692</v>
      </c>
      <c r="L209" s="1" t="s">
        <v>690</v>
      </c>
      <c r="M209" s="1" t="s">
        <v>52</v>
      </c>
      <c r="O209" s="20" t="s">
        <v>89</v>
      </c>
      <c r="S209" s="1" t="s">
        <v>77</v>
      </c>
      <c r="T209" s="3">
        <v>45070</v>
      </c>
      <c r="U209" s="6">
        <v>0.52013888888888882</v>
      </c>
      <c r="V209" s="1" t="str">
        <f t="shared" si="15"/>
        <v>0 г. 0 мес. 1 дн.</v>
      </c>
      <c r="W209" s="69"/>
    </row>
    <row r="210" spans="1:23" ht="35.1" customHeight="1" x14ac:dyDescent="0.25">
      <c r="A210" s="1">
        <f t="shared" si="13"/>
        <v>209</v>
      </c>
      <c r="B210" s="1">
        <v>1180</v>
      </c>
      <c r="C210" s="39" t="s">
        <v>77</v>
      </c>
      <c r="D210" s="21">
        <v>45070</v>
      </c>
      <c r="E210" s="6">
        <v>0.4861111111111111</v>
      </c>
      <c r="F210" s="1" t="s">
        <v>693</v>
      </c>
      <c r="G210" s="3">
        <v>39672</v>
      </c>
      <c r="H210" s="11" t="str">
        <f t="shared" si="14"/>
        <v>14 г. 9 мес. 12 дн.</v>
      </c>
      <c r="I210" s="20" t="s">
        <v>121</v>
      </c>
      <c r="J210" s="20" t="s">
        <v>77</v>
      </c>
      <c r="K210" s="1" t="s">
        <v>694</v>
      </c>
      <c r="L210" s="1" t="s">
        <v>695</v>
      </c>
      <c r="M210" s="1" t="s">
        <v>52</v>
      </c>
      <c r="O210" s="20" t="s">
        <v>89</v>
      </c>
      <c r="P210" s="1" t="s">
        <v>96</v>
      </c>
      <c r="S210" s="1" t="s">
        <v>77</v>
      </c>
      <c r="T210" s="3">
        <v>45075</v>
      </c>
      <c r="U210" s="6">
        <v>0.4375</v>
      </c>
      <c r="V210" s="1" t="str">
        <f t="shared" si="15"/>
        <v>0 г. 0 мес. 5 дн.</v>
      </c>
      <c r="W210" s="69"/>
    </row>
    <row r="211" spans="1:23" ht="35.1" customHeight="1" x14ac:dyDescent="0.25">
      <c r="A211" s="8">
        <f t="shared" si="13"/>
        <v>210</v>
      </c>
      <c r="B211" s="1">
        <v>1197</v>
      </c>
      <c r="C211" s="39" t="s">
        <v>77</v>
      </c>
      <c r="D211" s="21">
        <v>45070</v>
      </c>
      <c r="E211" s="6">
        <v>0.65277777777777779</v>
      </c>
      <c r="F211" s="1" t="s">
        <v>696</v>
      </c>
      <c r="G211" s="3">
        <v>41529</v>
      </c>
      <c r="H211" s="11" t="str">
        <f t="shared" si="14"/>
        <v>9 г. 8 мес. 12 дн.</v>
      </c>
      <c r="I211" s="20" t="s">
        <v>123</v>
      </c>
      <c r="J211" s="20"/>
      <c r="K211" s="1" t="s">
        <v>697</v>
      </c>
      <c r="L211" s="1" t="s">
        <v>698</v>
      </c>
      <c r="M211" s="1" t="s">
        <v>53</v>
      </c>
      <c r="O211" s="20" t="s">
        <v>89</v>
      </c>
      <c r="S211" s="1" t="s">
        <v>29</v>
      </c>
      <c r="T211" s="3">
        <v>45072</v>
      </c>
      <c r="U211" s="6">
        <v>0.59444444444444444</v>
      </c>
      <c r="V211" s="1" t="str">
        <f t="shared" si="15"/>
        <v>0 г. 0 мес. 2 дн.</v>
      </c>
      <c r="W211" s="69"/>
    </row>
    <row r="212" spans="1:23" ht="35.1" customHeight="1" x14ac:dyDescent="0.25">
      <c r="A212" s="1">
        <f t="shared" si="13"/>
        <v>211</v>
      </c>
      <c r="B212" s="1">
        <v>316</v>
      </c>
      <c r="C212" s="39" t="s">
        <v>26</v>
      </c>
      <c r="D212" s="21">
        <v>45071</v>
      </c>
      <c r="E212" s="6">
        <v>0.55555555555555558</v>
      </c>
      <c r="F212" s="1" t="s">
        <v>699</v>
      </c>
      <c r="G212" s="3">
        <v>41900</v>
      </c>
      <c r="H212" s="11" t="str">
        <f t="shared" si="14"/>
        <v>8 г. 8 мес. 7 дн.</v>
      </c>
      <c r="I212" s="20" t="s">
        <v>123</v>
      </c>
      <c r="J212" s="20"/>
      <c r="K212" s="1" t="s">
        <v>700</v>
      </c>
      <c r="L212" s="1" t="s">
        <v>299</v>
      </c>
      <c r="M212" s="1" t="s">
        <v>43</v>
      </c>
      <c r="O212" s="20" t="s">
        <v>89</v>
      </c>
      <c r="S212" s="1" t="s">
        <v>26</v>
      </c>
      <c r="T212" s="3">
        <v>45072</v>
      </c>
      <c r="U212" s="6">
        <v>0.49722222222222223</v>
      </c>
      <c r="V212" s="1" t="str">
        <f t="shared" si="15"/>
        <v>0 г. 0 мес. 1 дн.</v>
      </c>
      <c r="W212" s="69"/>
    </row>
    <row r="213" spans="1:23" ht="35.1" customHeight="1" x14ac:dyDescent="0.25">
      <c r="A213" s="8">
        <f t="shared" si="13"/>
        <v>212</v>
      </c>
      <c r="B213" s="1">
        <v>313</v>
      </c>
      <c r="C213" s="39" t="s">
        <v>26</v>
      </c>
      <c r="D213" s="21">
        <v>45071</v>
      </c>
      <c r="E213" s="6">
        <v>0.58333333333333337</v>
      </c>
      <c r="F213" s="1" t="s">
        <v>701</v>
      </c>
      <c r="G213" s="3">
        <v>45012</v>
      </c>
      <c r="H213" s="11" t="str">
        <f t="shared" si="14"/>
        <v>0 г. 1 мес. 28 дн.</v>
      </c>
      <c r="I213" s="20" t="s">
        <v>122</v>
      </c>
      <c r="J213" s="20" t="s">
        <v>26</v>
      </c>
      <c r="K213" s="1" t="s">
        <v>702</v>
      </c>
      <c r="L213" s="1" t="s">
        <v>703</v>
      </c>
      <c r="M213" s="1" t="s">
        <v>47</v>
      </c>
      <c r="O213" s="20" t="s">
        <v>89</v>
      </c>
      <c r="Q213" s="1" t="s">
        <v>103</v>
      </c>
      <c r="S213" s="1" t="s">
        <v>26</v>
      </c>
      <c r="T213" s="3">
        <v>45071</v>
      </c>
      <c r="U213" s="6">
        <v>0.97916666666666663</v>
      </c>
      <c r="V213" s="1" t="str">
        <f t="shared" si="15"/>
        <v>0 г. 0 мес. 0 дн.</v>
      </c>
      <c r="W213" s="69"/>
    </row>
    <row r="214" spans="1:23" ht="35.1" customHeight="1" x14ac:dyDescent="0.25">
      <c r="A214" s="1">
        <f t="shared" si="13"/>
        <v>213</v>
      </c>
      <c r="B214" s="1">
        <v>1216</v>
      </c>
      <c r="C214" s="39" t="s">
        <v>77</v>
      </c>
      <c r="D214" s="21">
        <v>45073</v>
      </c>
      <c r="E214" s="6">
        <v>0.57638888888888895</v>
      </c>
      <c r="F214" s="1" t="s">
        <v>704</v>
      </c>
      <c r="G214" s="3">
        <v>45073</v>
      </c>
      <c r="H214" s="11" t="str">
        <f t="shared" si="14"/>
        <v>0 г. 0 мес. 0 дн.</v>
      </c>
      <c r="I214" s="20" t="s">
        <v>120</v>
      </c>
      <c r="J214" s="20"/>
      <c r="K214" s="1" t="s">
        <v>705</v>
      </c>
      <c r="L214" s="1" t="s">
        <v>706</v>
      </c>
      <c r="M214" s="1" t="s">
        <v>54</v>
      </c>
      <c r="O214" s="20" t="s">
        <v>89</v>
      </c>
      <c r="S214" s="1" t="s">
        <v>77</v>
      </c>
      <c r="T214" s="3">
        <v>45074</v>
      </c>
      <c r="U214" s="6">
        <v>0.67708333333333337</v>
      </c>
      <c r="V214" s="1" t="str">
        <f t="shared" si="15"/>
        <v>0 г. 0 мес. 1 дн.</v>
      </c>
      <c r="W214" s="69"/>
    </row>
    <row r="215" spans="1:23" ht="35.1" customHeight="1" x14ac:dyDescent="0.25">
      <c r="A215" s="8">
        <f t="shared" si="13"/>
        <v>214</v>
      </c>
      <c r="B215" s="1">
        <v>1218</v>
      </c>
      <c r="C215" s="39" t="s">
        <v>77</v>
      </c>
      <c r="D215" s="21">
        <v>45073</v>
      </c>
      <c r="E215" s="6">
        <v>0.60416666666666663</v>
      </c>
      <c r="F215" s="1" t="s">
        <v>707</v>
      </c>
      <c r="G215" s="3">
        <v>41120</v>
      </c>
      <c r="H215" s="11" t="str">
        <f t="shared" si="14"/>
        <v>10 г. 9 мес. 27 дн.</v>
      </c>
      <c r="I215" s="20" t="s">
        <v>121</v>
      </c>
      <c r="J215" s="20"/>
      <c r="K215" s="1" t="s">
        <v>708</v>
      </c>
      <c r="L215" s="1" t="s">
        <v>709</v>
      </c>
      <c r="M215" s="1" t="s">
        <v>52</v>
      </c>
      <c r="O215" s="20" t="s">
        <v>89</v>
      </c>
      <c r="S215" s="1" t="s">
        <v>77</v>
      </c>
      <c r="T215" s="3">
        <v>45075</v>
      </c>
      <c r="U215" s="6">
        <v>0.45833333333333331</v>
      </c>
      <c r="V215" s="1" t="str">
        <f t="shared" si="15"/>
        <v>0 г. 0 мес. 2 дн.</v>
      </c>
      <c r="W215" s="69"/>
    </row>
    <row r="216" spans="1:23" ht="35.1" customHeight="1" x14ac:dyDescent="0.25">
      <c r="A216" s="1">
        <f t="shared" si="13"/>
        <v>215</v>
      </c>
      <c r="B216" s="1">
        <v>322</v>
      </c>
      <c r="C216" s="39" t="s">
        <v>26</v>
      </c>
      <c r="D216" s="21">
        <v>45074</v>
      </c>
      <c r="E216" s="6">
        <v>2.0833333333333332E-2</v>
      </c>
      <c r="F216" s="1" t="s">
        <v>710</v>
      </c>
      <c r="G216" s="3">
        <v>38702</v>
      </c>
      <c r="H216" s="11" t="str">
        <f t="shared" si="14"/>
        <v>17 г. 5 мес. 12 дн.</v>
      </c>
      <c r="I216" s="20" t="s">
        <v>120</v>
      </c>
      <c r="J216" s="20"/>
      <c r="K216" s="1" t="s">
        <v>711</v>
      </c>
      <c r="L216" s="1" t="s">
        <v>712</v>
      </c>
      <c r="M216" s="1" t="s">
        <v>46</v>
      </c>
      <c r="O216" s="20" t="s">
        <v>89</v>
      </c>
      <c r="S216" s="1" t="s">
        <v>26</v>
      </c>
      <c r="T216" s="3">
        <v>45074</v>
      </c>
      <c r="U216" s="6">
        <v>0.5</v>
      </c>
      <c r="V216" s="1" t="str">
        <f t="shared" si="15"/>
        <v>0 г. 0 мес. 0 дн.</v>
      </c>
      <c r="W216" s="69"/>
    </row>
    <row r="217" spans="1:23" ht="35.1" customHeight="1" x14ac:dyDescent="0.25">
      <c r="A217" s="8">
        <f t="shared" si="13"/>
        <v>216</v>
      </c>
      <c r="B217" s="1">
        <v>323</v>
      </c>
      <c r="C217" s="39" t="s">
        <v>26</v>
      </c>
      <c r="D217" s="21">
        <v>45074</v>
      </c>
      <c r="E217" s="6">
        <v>0.10416666666666667</v>
      </c>
      <c r="F217" s="1" t="s">
        <v>713</v>
      </c>
      <c r="G217" s="3">
        <v>38743</v>
      </c>
      <c r="H217" s="11" t="str">
        <f t="shared" si="14"/>
        <v>17 г. 4 мес. 2 дн.</v>
      </c>
      <c r="I217" s="20" t="s">
        <v>120</v>
      </c>
      <c r="J217" s="20"/>
      <c r="K217" s="1" t="s">
        <v>714</v>
      </c>
      <c r="L217" s="1" t="s">
        <v>715</v>
      </c>
      <c r="M217" s="1" t="s">
        <v>55</v>
      </c>
      <c r="O217" s="20" t="s">
        <v>89</v>
      </c>
      <c r="S217" s="1" t="s">
        <v>26</v>
      </c>
      <c r="T217" s="3">
        <v>45074</v>
      </c>
      <c r="U217" s="6">
        <v>0.5</v>
      </c>
      <c r="V217" s="1" t="str">
        <f t="shared" si="15"/>
        <v>0 г. 0 мес. 0 дн.</v>
      </c>
      <c r="W217" s="69"/>
    </row>
    <row r="218" spans="1:23" ht="35.1" customHeight="1" x14ac:dyDescent="0.25">
      <c r="A218" s="1">
        <f t="shared" si="13"/>
        <v>217</v>
      </c>
      <c r="B218" s="1">
        <v>1149</v>
      </c>
      <c r="C218" s="39" t="s">
        <v>77</v>
      </c>
      <c r="D218" s="21">
        <v>45072</v>
      </c>
      <c r="E218" s="6">
        <v>0.58333333333333337</v>
      </c>
      <c r="F218" s="1" t="s">
        <v>716</v>
      </c>
      <c r="G218" s="3">
        <v>42857</v>
      </c>
      <c r="H218" s="11" t="str">
        <f t="shared" si="14"/>
        <v>6 г. 0 мес. 24 дн.</v>
      </c>
      <c r="I218" s="20" t="s">
        <v>121</v>
      </c>
      <c r="J218" s="20" t="s">
        <v>77</v>
      </c>
      <c r="K218" s="1" t="s">
        <v>510</v>
      </c>
      <c r="L218" s="1" t="s">
        <v>717</v>
      </c>
      <c r="M218" s="1" t="s">
        <v>49</v>
      </c>
      <c r="O218" s="20" t="s">
        <v>89</v>
      </c>
      <c r="P218" s="1" t="s">
        <v>96</v>
      </c>
      <c r="S218" s="1" t="s">
        <v>77</v>
      </c>
      <c r="T218" s="3">
        <v>45074</v>
      </c>
      <c r="U218" s="6">
        <v>0.58333333333333337</v>
      </c>
      <c r="V218" s="1" t="str">
        <f t="shared" si="15"/>
        <v>0 г. 0 мес. 2 дн.</v>
      </c>
      <c r="W218" s="69"/>
    </row>
    <row r="219" spans="1:23" s="94" customFormat="1" ht="35.1" customHeight="1" x14ac:dyDescent="0.25">
      <c r="A219" s="8">
        <f t="shared" si="13"/>
        <v>218</v>
      </c>
      <c r="B219" s="1">
        <v>1212</v>
      </c>
      <c r="C219" s="39" t="s">
        <v>77</v>
      </c>
      <c r="D219" s="21">
        <v>45072</v>
      </c>
      <c r="E219" s="6">
        <v>0.93125000000000002</v>
      </c>
      <c r="F219" s="1" t="s">
        <v>719</v>
      </c>
      <c r="G219" s="3">
        <v>44642</v>
      </c>
      <c r="H219" s="11" t="str">
        <f t="shared" si="14"/>
        <v>1 г. 2 мес. 4 дн.</v>
      </c>
      <c r="I219" s="20" t="s">
        <v>120</v>
      </c>
      <c r="J219" s="20"/>
      <c r="K219" s="1" t="s">
        <v>510</v>
      </c>
      <c r="L219" s="1" t="s">
        <v>718</v>
      </c>
      <c r="M219" s="1" t="s">
        <v>54</v>
      </c>
      <c r="N219" s="1"/>
      <c r="O219" s="20" t="s">
        <v>89</v>
      </c>
      <c r="P219" s="1"/>
      <c r="Q219" s="1"/>
      <c r="R219" s="1"/>
      <c r="S219" s="1" t="s">
        <v>77</v>
      </c>
      <c r="T219" s="3">
        <v>45073</v>
      </c>
      <c r="U219" s="6">
        <v>0.70486111111111116</v>
      </c>
      <c r="V219" s="1" t="str">
        <f t="shared" si="15"/>
        <v>0 г. 0 мес. 1 дн.</v>
      </c>
      <c r="W219" s="66"/>
    </row>
    <row r="220" spans="1:23" ht="35.1" customHeight="1" x14ac:dyDescent="0.25">
      <c r="A220" s="11">
        <f t="shared" si="13"/>
        <v>219</v>
      </c>
      <c r="B220" s="50">
        <v>1209</v>
      </c>
      <c r="C220" s="67" t="s">
        <v>77</v>
      </c>
      <c r="D220" s="21">
        <v>45072</v>
      </c>
      <c r="E220" s="12">
        <v>0.57638888888888895</v>
      </c>
      <c r="F220" s="50" t="s">
        <v>720</v>
      </c>
      <c r="G220" s="68">
        <v>44780</v>
      </c>
      <c r="H220" s="11" t="str">
        <f t="shared" si="14"/>
        <v>0 г. 9 мес. 19 дн.</v>
      </c>
      <c r="I220" s="20" t="s">
        <v>122</v>
      </c>
      <c r="J220" s="20" t="s">
        <v>77</v>
      </c>
      <c r="K220" s="50" t="s">
        <v>721</v>
      </c>
      <c r="L220" s="50" t="s">
        <v>722</v>
      </c>
      <c r="M220" s="50" t="s">
        <v>46</v>
      </c>
      <c r="N220" s="50"/>
      <c r="O220" s="20" t="s">
        <v>89</v>
      </c>
      <c r="P220" s="50"/>
      <c r="Q220" s="50"/>
      <c r="R220" s="50"/>
      <c r="S220" s="67" t="s">
        <v>77</v>
      </c>
      <c r="T220" s="3">
        <v>45086</v>
      </c>
      <c r="U220" s="6">
        <v>0</v>
      </c>
      <c r="V220" s="1" t="str">
        <f t="shared" si="15"/>
        <v>0 г. 0 мес. 14 дн.</v>
      </c>
      <c r="W220" s="69"/>
    </row>
    <row r="221" spans="1:23" ht="35.1" customHeight="1" x14ac:dyDescent="0.25">
      <c r="A221" s="8">
        <f t="shared" si="13"/>
        <v>220</v>
      </c>
      <c r="B221" s="1">
        <v>325</v>
      </c>
      <c r="C221" s="39" t="s">
        <v>26</v>
      </c>
      <c r="D221" s="21">
        <v>45074</v>
      </c>
      <c r="E221" s="6">
        <v>0.68402777777777779</v>
      </c>
      <c r="F221" s="1" t="s">
        <v>723</v>
      </c>
      <c r="G221" s="3">
        <v>38806</v>
      </c>
      <c r="H221" s="11" t="str">
        <f t="shared" si="14"/>
        <v>17 г. 1 мес. 28 дн.</v>
      </c>
      <c r="I221" s="20" t="s">
        <v>120</v>
      </c>
      <c r="J221" s="20"/>
      <c r="K221" s="1" t="s">
        <v>724</v>
      </c>
      <c r="L221" s="1" t="s">
        <v>725</v>
      </c>
      <c r="M221" s="1" t="s">
        <v>55</v>
      </c>
      <c r="O221" s="20" t="s">
        <v>89</v>
      </c>
      <c r="S221" s="1" t="s">
        <v>26</v>
      </c>
      <c r="T221" s="3">
        <v>45075</v>
      </c>
      <c r="U221" s="6">
        <v>0.41666666666666669</v>
      </c>
      <c r="V221" s="1" t="str">
        <f t="shared" si="15"/>
        <v>0 г. 0 мес. 1 дн.</v>
      </c>
      <c r="W221" s="69"/>
    </row>
    <row r="222" spans="1:23" ht="35.1" customHeight="1" x14ac:dyDescent="0.25">
      <c r="A222" s="1">
        <f t="shared" si="13"/>
        <v>221</v>
      </c>
      <c r="B222" s="1">
        <v>333</v>
      </c>
      <c r="C222" s="39" t="s">
        <v>26</v>
      </c>
      <c r="D222" s="21">
        <v>45076</v>
      </c>
      <c r="E222" s="6">
        <v>0.55902777777777779</v>
      </c>
      <c r="F222" s="1" t="s">
        <v>726</v>
      </c>
      <c r="G222" s="3">
        <v>44606</v>
      </c>
      <c r="H222" s="11" t="str">
        <f t="shared" si="14"/>
        <v>1 г. 3 мес. 16 дн.</v>
      </c>
      <c r="I222" s="20" t="s">
        <v>123</v>
      </c>
      <c r="J222" s="20"/>
      <c r="K222" s="1" t="s">
        <v>727</v>
      </c>
      <c r="L222" s="1" t="s">
        <v>728</v>
      </c>
      <c r="M222" s="1" t="s">
        <v>40</v>
      </c>
      <c r="O222" s="20" t="s">
        <v>89</v>
      </c>
      <c r="S222" s="1" t="s">
        <v>26</v>
      </c>
      <c r="T222" s="3">
        <v>45079</v>
      </c>
      <c r="U222" s="6">
        <v>0.5</v>
      </c>
      <c r="V222" s="1" t="str">
        <f t="shared" si="15"/>
        <v>0 г. 0 мес. 3 дн.</v>
      </c>
      <c r="W222" s="69"/>
    </row>
    <row r="223" spans="1:23" ht="35.1" customHeight="1" x14ac:dyDescent="0.25">
      <c r="A223" s="8">
        <f t="shared" si="13"/>
        <v>222</v>
      </c>
      <c r="B223" s="1">
        <v>622</v>
      </c>
      <c r="C223" s="39" t="s">
        <v>27</v>
      </c>
      <c r="D223" s="21">
        <v>45077</v>
      </c>
      <c r="E223" s="6">
        <v>0.5</v>
      </c>
      <c r="F223" s="1" t="s">
        <v>729</v>
      </c>
      <c r="G223" s="3">
        <v>45048</v>
      </c>
      <c r="H223" s="11" t="str">
        <f t="shared" si="14"/>
        <v>0 г. 0 мес. 29 дн.</v>
      </c>
      <c r="I223" s="20" t="s">
        <v>123</v>
      </c>
      <c r="J223" s="20"/>
      <c r="K223" s="1" t="s">
        <v>730</v>
      </c>
      <c r="L223" s="1" t="s">
        <v>731</v>
      </c>
      <c r="M223" s="1" t="s">
        <v>40</v>
      </c>
      <c r="O223" s="20" t="s">
        <v>89</v>
      </c>
      <c r="S223" s="1" t="s">
        <v>27</v>
      </c>
      <c r="T223" s="3">
        <v>45079</v>
      </c>
      <c r="U223" s="6">
        <v>0.45833333333333331</v>
      </c>
      <c r="V223" s="1" t="str">
        <f t="shared" si="15"/>
        <v>0 г. 0 мес. 2 дн.</v>
      </c>
      <c r="W223" s="69"/>
    </row>
    <row r="224" spans="1:23" ht="35.1" customHeight="1" x14ac:dyDescent="0.25">
      <c r="A224" s="1">
        <f t="shared" si="13"/>
        <v>223</v>
      </c>
      <c r="B224" s="1">
        <v>356</v>
      </c>
      <c r="C224" s="39" t="s">
        <v>26</v>
      </c>
      <c r="D224" s="21">
        <v>45078</v>
      </c>
      <c r="E224" s="6">
        <v>0.30902777777777779</v>
      </c>
      <c r="F224" s="1" t="s">
        <v>745</v>
      </c>
      <c r="G224" s="3">
        <v>40568</v>
      </c>
      <c r="H224" s="11" t="str">
        <f t="shared" si="14"/>
        <v>12 г. 4 мес. 7 дн.</v>
      </c>
      <c r="I224" s="20" t="s">
        <v>120</v>
      </c>
      <c r="J224" s="20"/>
      <c r="K224" s="1" t="s">
        <v>732</v>
      </c>
      <c r="L224" s="1" t="s">
        <v>733</v>
      </c>
      <c r="M224" s="1" t="s">
        <v>43</v>
      </c>
      <c r="O224" s="20" t="s">
        <v>89</v>
      </c>
      <c r="S224" s="1" t="s">
        <v>29</v>
      </c>
      <c r="T224" s="3">
        <v>45079</v>
      </c>
      <c r="U224" s="6">
        <v>0.5</v>
      </c>
      <c r="V224" s="1" t="str">
        <f t="shared" si="15"/>
        <v>0 г. 0 мес. 1 дн.</v>
      </c>
      <c r="W224" s="69"/>
    </row>
    <row r="225" spans="1:23" ht="35.1" customHeight="1" x14ac:dyDescent="0.25">
      <c r="A225" s="8">
        <f t="shared" si="13"/>
        <v>224</v>
      </c>
      <c r="B225" s="1">
        <v>339</v>
      </c>
      <c r="C225" s="39" t="s">
        <v>26</v>
      </c>
      <c r="D225" s="21">
        <v>45079</v>
      </c>
      <c r="E225" s="6">
        <v>0.22916666666666666</v>
      </c>
      <c r="F225" s="1" t="s">
        <v>746</v>
      </c>
      <c r="G225" s="3">
        <v>39339</v>
      </c>
      <c r="H225" s="11" t="str">
        <f t="shared" si="14"/>
        <v>15 г. 8 мес. 19 дн.</v>
      </c>
      <c r="I225" s="20" t="s">
        <v>120</v>
      </c>
      <c r="J225" s="20"/>
      <c r="K225" s="1" t="s">
        <v>734</v>
      </c>
      <c r="L225" s="1" t="s">
        <v>735</v>
      </c>
      <c r="M225" s="1" t="s">
        <v>43</v>
      </c>
      <c r="O225" s="20" t="s">
        <v>89</v>
      </c>
      <c r="S225" s="1" t="s">
        <v>26</v>
      </c>
      <c r="T225" s="3">
        <v>45080</v>
      </c>
      <c r="U225" s="6">
        <v>0.45833333333333331</v>
      </c>
      <c r="V225" s="1" t="str">
        <f t="shared" si="15"/>
        <v>0 г. 0 мес. 1 дн.</v>
      </c>
      <c r="W225" s="69"/>
    </row>
    <row r="226" spans="1:23" ht="35.1" customHeight="1" x14ac:dyDescent="0.25">
      <c r="A226" s="1">
        <f t="shared" si="13"/>
        <v>225</v>
      </c>
      <c r="B226" s="1">
        <v>338</v>
      </c>
      <c r="C226" s="39" t="s">
        <v>26</v>
      </c>
      <c r="D226" s="21">
        <v>45078</v>
      </c>
      <c r="E226" s="6">
        <v>0.95486111111111116</v>
      </c>
      <c r="F226" s="1" t="s">
        <v>736</v>
      </c>
      <c r="G226" s="3">
        <v>41040</v>
      </c>
      <c r="H226" s="11" t="str">
        <f t="shared" si="14"/>
        <v>11 г. 0 мес. 21 дн.</v>
      </c>
      <c r="I226" s="20" t="s">
        <v>120</v>
      </c>
      <c r="J226" s="20"/>
      <c r="K226" s="1" t="s">
        <v>737</v>
      </c>
      <c r="L226" s="1" t="s">
        <v>735</v>
      </c>
      <c r="M226" s="1" t="s">
        <v>43</v>
      </c>
      <c r="O226" s="20" t="s">
        <v>89</v>
      </c>
      <c r="S226" s="1" t="s">
        <v>26</v>
      </c>
      <c r="T226" s="3">
        <v>45080</v>
      </c>
      <c r="U226" s="6">
        <v>0.45833333333333331</v>
      </c>
      <c r="V226" s="1" t="str">
        <f t="shared" si="15"/>
        <v>0 г. 0 мес. 2 дн.</v>
      </c>
      <c r="W226" s="69"/>
    </row>
    <row r="227" spans="1:23" ht="35.1" customHeight="1" x14ac:dyDescent="0.25">
      <c r="A227" s="8">
        <f t="shared" si="13"/>
        <v>226</v>
      </c>
      <c r="B227" s="1">
        <v>341</v>
      </c>
      <c r="C227" s="39" t="s">
        <v>26</v>
      </c>
      <c r="D227" s="21">
        <v>45080</v>
      </c>
      <c r="E227" s="6">
        <v>0.56944444444444442</v>
      </c>
      <c r="F227" s="1" t="s">
        <v>738</v>
      </c>
      <c r="G227" s="3">
        <v>42274</v>
      </c>
      <c r="H227" s="11" t="str">
        <f t="shared" si="14"/>
        <v>7 г. 8 мес. 7 дн.</v>
      </c>
      <c r="I227" s="20" t="s">
        <v>120</v>
      </c>
      <c r="J227" s="20"/>
      <c r="K227" s="1" t="s">
        <v>739</v>
      </c>
      <c r="L227" s="1" t="s">
        <v>740</v>
      </c>
      <c r="M227" s="1" t="s">
        <v>43</v>
      </c>
      <c r="O227" s="20" t="s">
        <v>89</v>
      </c>
      <c r="S227" s="1" t="s">
        <v>29</v>
      </c>
      <c r="T227" s="3">
        <v>45081</v>
      </c>
      <c r="U227" s="6">
        <v>0.58333333333333337</v>
      </c>
      <c r="V227" s="1" t="str">
        <f t="shared" si="15"/>
        <v>0 г. 0 мес. 1 дн.</v>
      </c>
      <c r="W227" s="69"/>
    </row>
    <row r="228" spans="1:23" ht="35.1" customHeight="1" x14ac:dyDescent="0.25">
      <c r="A228" s="53">
        <f t="shared" si="13"/>
        <v>227</v>
      </c>
      <c r="B228" s="53">
        <v>341</v>
      </c>
      <c r="C228" s="62" t="s">
        <v>26</v>
      </c>
      <c r="D228" s="52">
        <v>45079</v>
      </c>
      <c r="E228" s="63">
        <v>0.64930555555555558</v>
      </c>
      <c r="F228" s="53" t="s">
        <v>568</v>
      </c>
      <c r="G228" s="64">
        <v>44271</v>
      </c>
      <c r="H228" s="53" t="str">
        <f t="shared" si="14"/>
        <v>2 г. 2 мес. 17 дн.</v>
      </c>
      <c r="I228" s="37" t="s">
        <v>123</v>
      </c>
      <c r="J228" s="37"/>
      <c r="K228" s="53" t="s">
        <v>569</v>
      </c>
      <c r="L228" s="53" t="s">
        <v>570</v>
      </c>
      <c r="M228" s="53" t="s">
        <v>47</v>
      </c>
      <c r="N228" s="53"/>
      <c r="O228" s="37" t="s">
        <v>73</v>
      </c>
      <c r="P228" s="53"/>
      <c r="Q228" s="53"/>
      <c r="R228" s="53"/>
      <c r="S228" s="53" t="s">
        <v>30</v>
      </c>
      <c r="T228" s="64">
        <v>45079</v>
      </c>
      <c r="U228" s="63">
        <v>0.68055555555555547</v>
      </c>
      <c r="V228" s="53" t="str">
        <f t="shared" si="15"/>
        <v>0 г. 0 мес. 0 дн.</v>
      </c>
      <c r="W228" s="65"/>
    </row>
    <row r="229" spans="1:23" ht="35.1" customHeight="1" x14ac:dyDescent="0.25">
      <c r="A229" s="8">
        <f t="shared" si="13"/>
        <v>228</v>
      </c>
      <c r="B229" s="1">
        <v>729</v>
      </c>
      <c r="C229" s="39" t="s">
        <v>23</v>
      </c>
      <c r="D229" s="21">
        <v>45079</v>
      </c>
      <c r="E229" s="6">
        <v>0.73958333333333337</v>
      </c>
      <c r="F229" s="1" t="s">
        <v>744</v>
      </c>
      <c r="G229" s="3">
        <v>40499</v>
      </c>
      <c r="H229" s="11" t="str">
        <f t="shared" si="14"/>
        <v>12 г. 6 мес. 16 дн.</v>
      </c>
      <c r="I229" s="20" t="s">
        <v>120</v>
      </c>
      <c r="J229" s="20"/>
      <c r="K229" s="1" t="s">
        <v>743</v>
      </c>
      <c r="L229" s="1" t="s">
        <v>742</v>
      </c>
      <c r="M229" s="1" t="s">
        <v>52</v>
      </c>
      <c r="O229" s="20" t="s">
        <v>89</v>
      </c>
      <c r="S229" s="1" t="s">
        <v>23</v>
      </c>
      <c r="T229" s="3">
        <v>45080</v>
      </c>
      <c r="U229" s="6">
        <v>0.51250000000000007</v>
      </c>
      <c r="V229" s="1" t="str">
        <f t="shared" si="15"/>
        <v>0 г. 0 мес. 1 дн.</v>
      </c>
      <c r="W229" s="69"/>
    </row>
    <row r="230" spans="1:23" ht="35.1" customHeight="1" x14ac:dyDescent="0.25">
      <c r="A230" s="1">
        <f t="shared" si="13"/>
        <v>229</v>
      </c>
      <c r="B230" s="1">
        <v>344</v>
      </c>
      <c r="C230" s="39" t="s">
        <v>26</v>
      </c>
      <c r="D230" s="21">
        <v>45081</v>
      </c>
      <c r="E230" s="6">
        <v>0.93402777777777779</v>
      </c>
      <c r="F230" s="1" t="s">
        <v>303</v>
      </c>
      <c r="G230" s="3">
        <v>40406</v>
      </c>
      <c r="H230" s="11" t="str">
        <f>DATEDIF(G230,D230,"y") &amp; " г. " &amp; DATEDIF(G230,D230,"ym") &amp; " мес. " &amp; DATEDIF(G230,D230,"md") &amp; " дн."</f>
        <v>12 г. 9 мес. 19 дн.</v>
      </c>
      <c r="I230" s="20" t="s">
        <v>120</v>
      </c>
      <c r="J230" s="20"/>
      <c r="K230" s="1" t="s">
        <v>510</v>
      </c>
      <c r="L230" s="1" t="s">
        <v>747</v>
      </c>
      <c r="M230" s="1" t="s">
        <v>43</v>
      </c>
      <c r="O230" s="20" t="s">
        <v>89</v>
      </c>
      <c r="S230" s="1" t="s">
        <v>29</v>
      </c>
      <c r="T230" s="3">
        <v>45083</v>
      </c>
      <c r="U230" s="6">
        <v>0.54166666666666663</v>
      </c>
      <c r="V230" s="1" t="str">
        <f t="shared" si="15"/>
        <v>0 г. 0 мес. 2 дн.</v>
      </c>
      <c r="W230" s="69"/>
    </row>
    <row r="231" spans="1:23" ht="35.1" customHeight="1" x14ac:dyDescent="0.25">
      <c r="A231" s="8">
        <f t="shared" si="13"/>
        <v>230</v>
      </c>
      <c r="B231" s="1">
        <v>736</v>
      </c>
      <c r="C231" s="39" t="s">
        <v>23</v>
      </c>
      <c r="D231" s="21">
        <v>45082</v>
      </c>
      <c r="E231" s="6">
        <v>0.63888888888888895</v>
      </c>
      <c r="F231" s="1" t="s">
        <v>748</v>
      </c>
      <c r="G231" s="3">
        <v>38830</v>
      </c>
      <c r="H231" s="11" t="str">
        <f>DATEDIF(G231,D231,"y") &amp; " г. " &amp; DATEDIF(G231,D231,"ym") &amp; " мес. " &amp; DATEDIF(G231,D231,"md") &amp; " дн."</f>
        <v>17 г. 1 мес. 13 дн.</v>
      </c>
      <c r="I231" s="20" t="s">
        <v>120</v>
      </c>
      <c r="J231" s="20"/>
      <c r="K231" s="1" t="s">
        <v>753</v>
      </c>
      <c r="L231" s="1" t="s">
        <v>749</v>
      </c>
      <c r="M231" s="1" t="s">
        <v>52</v>
      </c>
      <c r="N231" s="1">
        <v>4</v>
      </c>
      <c r="O231" s="20" t="s">
        <v>73</v>
      </c>
      <c r="Q231" s="1" t="s">
        <v>102</v>
      </c>
      <c r="S231" s="1" t="s">
        <v>23</v>
      </c>
      <c r="T231" s="3">
        <v>45085</v>
      </c>
      <c r="U231" s="6">
        <v>0.5</v>
      </c>
      <c r="V231" s="1" t="str">
        <f t="shared" si="15"/>
        <v>0 г. 0 мес. 3 дн.</v>
      </c>
      <c r="W231" s="69"/>
    </row>
    <row r="232" spans="1:23" ht="35.1" customHeight="1" x14ac:dyDescent="0.25">
      <c r="A232" s="1">
        <f t="shared" si="13"/>
        <v>231</v>
      </c>
      <c r="B232" s="1">
        <v>642</v>
      </c>
      <c r="C232" s="39" t="s">
        <v>27</v>
      </c>
      <c r="D232" s="21">
        <v>45082</v>
      </c>
      <c r="E232" s="6">
        <v>0.84375</v>
      </c>
      <c r="F232" s="1" t="s">
        <v>750</v>
      </c>
      <c r="G232" s="3">
        <v>44994</v>
      </c>
      <c r="H232" s="11" t="str">
        <f t="shared" si="14"/>
        <v>0 г. 2 мес. 27 дн.</v>
      </c>
      <c r="I232" s="20" t="s">
        <v>123</v>
      </c>
      <c r="J232" s="20"/>
      <c r="K232" s="1" t="s">
        <v>751</v>
      </c>
      <c r="L232" s="1" t="s">
        <v>752</v>
      </c>
      <c r="M232" s="1" t="s">
        <v>46</v>
      </c>
      <c r="N232" s="1">
        <v>168</v>
      </c>
      <c r="O232" s="20" t="s">
        <v>73</v>
      </c>
      <c r="Q232" s="1" t="s">
        <v>146</v>
      </c>
      <c r="S232" s="1" t="s">
        <v>27</v>
      </c>
      <c r="T232" s="3">
        <v>45112</v>
      </c>
      <c r="U232" s="6">
        <v>0.5</v>
      </c>
      <c r="V232" s="1" t="str">
        <f t="shared" si="15"/>
        <v>0 г. 1 мес. 0 дн.</v>
      </c>
      <c r="W232" s="69"/>
    </row>
    <row r="233" spans="1:23" ht="35.1" customHeight="1" x14ac:dyDescent="0.25">
      <c r="A233" s="8">
        <f t="shared" si="13"/>
        <v>232</v>
      </c>
      <c r="B233" s="1">
        <v>1278</v>
      </c>
      <c r="C233" s="39" t="s">
        <v>77</v>
      </c>
      <c r="D233" s="21">
        <v>45083</v>
      </c>
      <c r="E233" s="6">
        <v>0.58333333333333337</v>
      </c>
      <c r="F233" s="1" t="s">
        <v>754</v>
      </c>
      <c r="G233" s="3">
        <v>39053</v>
      </c>
      <c r="H233" s="11" t="str">
        <f t="shared" si="14"/>
        <v>16 г. 6 мес. 4 дн.</v>
      </c>
      <c r="I233" s="20" t="s">
        <v>121</v>
      </c>
      <c r="J233" s="20" t="s">
        <v>77</v>
      </c>
      <c r="K233" s="1" t="s">
        <v>755</v>
      </c>
      <c r="L233" s="1" t="s">
        <v>756</v>
      </c>
      <c r="M233" s="1" t="s">
        <v>49</v>
      </c>
      <c r="O233" s="20" t="s">
        <v>89</v>
      </c>
      <c r="S233" s="1" t="s">
        <v>77</v>
      </c>
      <c r="T233" s="3">
        <v>45084</v>
      </c>
      <c r="U233" s="6">
        <v>0.4375</v>
      </c>
      <c r="V233" s="1" t="str">
        <f t="shared" si="15"/>
        <v>0 г. 0 мес. 1 дн.</v>
      </c>
      <c r="W233" s="69"/>
    </row>
    <row r="234" spans="1:23" ht="35.1" customHeight="1" x14ac:dyDescent="0.25">
      <c r="A234" s="1">
        <f t="shared" si="13"/>
        <v>233</v>
      </c>
      <c r="B234" s="1">
        <v>745</v>
      </c>
      <c r="C234" s="39" t="s">
        <v>23</v>
      </c>
      <c r="D234" s="21">
        <v>45084</v>
      </c>
      <c r="E234" s="6">
        <v>0.58333333333333337</v>
      </c>
      <c r="F234" s="1" t="s">
        <v>757</v>
      </c>
      <c r="G234" s="3">
        <v>39531</v>
      </c>
      <c r="H234" s="11" t="str">
        <f t="shared" si="14"/>
        <v>15 г. 2 мес. 14 дн.</v>
      </c>
      <c r="I234" s="20" t="s">
        <v>121</v>
      </c>
      <c r="J234" s="20" t="s">
        <v>23</v>
      </c>
      <c r="K234" s="1" t="s">
        <v>758</v>
      </c>
      <c r="L234" s="1" t="s">
        <v>759</v>
      </c>
      <c r="M234" s="1" t="s">
        <v>51</v>
      </c>
      <c r="O234" s="20" t="s">
        <v>89</v>
      </c>
      <c r="P234" s="1" t="s">
        <v>96</v>
      </c>
      <c r="S234" s="39" t="s">
        <v>23</v>
      </c>
      <c r="T234" s="3">
        <v>45085</v>
      </c>
      <c r="U234" s="6">
        <v>0.41666666666666669</v>
      </c>
      <c r="V234" s="1" t="str">
        <f t="shared" ref="V234:V265" si="16">DATEDIF(D234,T234,"y") &amp; " г. " &amp; DATEDIF(D234,T234,"ym") &amp; " мес. " &amp; DATEDIF(D234,T234,"md") &amp; " дн."</f>
        <v>0 г. 0 мес. 1 дн.</v>
      </c>
      <c r="W234" s="69"/>
    </row>
    <row r="235" spans="1:23" ht="35.1" customHeight="1" x14ac:dyDescent="0.25">
      <c r="A235" s="8">
        <f t="shared" si="13"/>
        <v>234</v>
      </c>
      <c r="B235" s="1">
        <v>340</v>
      </c>
      <c r="C235" s="39" t="s">
        <v>26</v>
      </c>
      <c r="D235" s="21">
        <v>45079</v>
      </c>
      <c r="E235" s="6">
        <v>0.5</v>
      </c>
      <c r="F235" s="1" t="s">
        <v>858</v>
      </c>
      <c r="G235" s="3">
        <v>44167</v>
      </c>
      <c r="H235" s="11" t="str">
        <f t="shared" si="14"/>
        <v>2 г. 6 мес. 0 дн.</v>
      </c>
      <c r="I235" s="20" t="s">
        <v>123</v>
      </c>
      <c r="J235" s="20"/>
      <c r="K235" s="1" t="s">
        <v>761</v>
      </c>
      <c r="L235" s="1" t="s">
        <v>760</v>
      </c>
      <c r="M235" s="1" t="s">
        <v>48</v>
      </c>
      <c r="O235" s="20" t="s">
        <v>73</v>
      </c>
      <c r="S235" s="39" t="s">
        <v>27</v>
      </c>
      <c r="T235" s="3">
        <v>45085</v>
      </c>
      <c r="U235" s="6">
        <v>0.5</v>
      </c>
      <c r="V235" s="1" t="str">
        <f t="shared" si="16"/>
        <v>0 г. 0 мес. 6 дн.</v>
      </c>
      <c r="W235" s="69"/>
    </row>
    <row r="236" spans="1:23" ht="35.1" customHeight="1" x14ac:dyDescent="0.25">
      <c r="A236" s="1">
        <f t="shared" si="13"/>
        <v>235</v>
      </c>
      <c r="B236" s="1">
        <v>740</v>
      </c>
      <c r="C236" s="39" t="s">
        <v>23</v>
      </c>
      <c r="D236" s="21">
        <v>45085</v>
      </c>
      <c r="E236" s="6">
        <v>0.58333333333333337</v>
      </c>
      <c r="F236" s="1" t="s">
        <v>762</v>
      </c>
      <c r="G236" s="3">
        <v>39041</v>
      </c>
      <c r="H236" s="11" t="str">
        <f t="shared" si="14"/>
        <v>16 г. 6 мес. 19 дн.</v>
      </c>
      <c r="I236" s="20" t="s">
        <v>121</v>
      </c>
      <c r="J236" s="20" t="s">
        <v>23</v>
      </c>
      <c r="K236" s="1" t="s">
        <v>763</v>
      </c>
      <c r="L236" s="1" t="s">
        <v>764</v>
      </c>
      <c r="M236" s="1" t="s">
        <v>51</v>
      </c>
      <c r="O236" s="20" t="s">
        <v>89</v>
      </c>
      <c r="P236" s="1" t="s">
        <v>96</v>
      </c>
      <c r="S236" s="39" t="s">
        <v>23</v>
      </c>
      <c r="T236" s="3">
        <v>45086</v>
      </c>
      <c r="U236" s="6">
        <v>0.41666666666666669</v>
      </c>
      <c r="V236" s="1" t="str">
        <f t="shared" si="16"/>
        <v>0 г. 0 мес. 1 дн.</v>
      </c>
      <c r="W236" s="69"/>
    </row>
    <row r="237" spans="1:23" ht="35.1" customHeight="1" x14ac:dyDescent="0.25">
      <c r="A237" s="8">
        <f t="shared" si="13"/>
        <v>236</v>
      </c>
      <c r="B237" s="1">
        <v>349</v>
      </c>
      <c r="C237" s="39" t="s">
        <v>26</v>
      </c>
      <c r="D237" s="21">
        <v>45085</v>
      </c>
      <c r="E237" s="6">
        <v>0.84722222222222221</v>
      </c>
      <c r="F237" s="1" t="s">
        <v>765</v>
      </c>
      <c r="G237" s="3">
        <v>39294</v>
      </c>
      <c r="H237" s="11" t="str">
        <f t="shared" si="14"/>
        <v>15 г. 10 мес. 8 дн.</v>
      </c>
      <c r="I237" s="20" t="s">
        <v>120</v>
      </c>
      <c r="J237" s="20"/>
      <c r="K237" s="1" t="s">
        <v>766</v>
      </c>
      <c r="L237" s="1" t="s">
        <v>767</v>
      </c>
      <c r="M237" s="1" t="s">
        <v>55</v>
      </c>
      <c r="O237" s="20" t="s">
        <v>89</v>
      </c>
      <c r="S237" s="1" t="s">
        <v>26</v>
      </c>
      <c r="T237" s="3">
        <v>45087</v>
      </c>
      <c r="U237" s="6">
        <v>0.5</v>
      </c>
      <c r="V237" s="1" t="str">
        <f t="shared" si="16"/>
        <v>0 г. 0 мес. 2 дн.</v>
      </c>
      <c r="W237" s="69"/>
    </row>
    <row r="238" spans="1:23" ht="35.1" customHeight="1" x14ac:dyDescent="0.25">
      <c r="A238" s="1">
        <f t="shared" si="13"/>
        <v>237</v>
      </c>
      <c r="B238" s="1">
        <v>350</v>
      </c>
      <c r="C238" s="39" t="s">
        <v>26</v>
      </c>
      <c r="D238" s="21">
        <v>45085</v>
      </c>
      <c r="E238" s="6">
        <v>0.875</v>
      </c>
      <c r="F238" s="1" t="s">
        <v>768</v>
      </c>
      <c r="G238" s="3">
        <v>40060</v>
      </c>
      <c r="H238" s="11" t="str">
        <f t="shared" si="14"/>
        <v>13 г. 9 мес. 4 дн.</v>
      </c>
      <c r="I238" s="20" t="s">
        <v>120</v>
      </c>
      <c r="J238" s="20"/>
      <c r="K238" s="1" t="s">
        <v>769</v>
      </c>
      <c r="L238" s="1" t="s">
        <v>770</v>
      </c>
      <c r="M238" s="1" t="s">
        <v>55</v>
      </c>
      <c r="O238" s="20" t="s">
        <v>89</v>
      </c>
      <c r="S238" s="39" t="s">
        <v>26</v>
      </c>
      <c r="T238" s="3">
        <v>45086</v>
      </c>
      <c r="U238" s="6">
        <v>0.41666666666666669</v>
      </c>
      <c r="V238" s="1" t="str">
        <f t="shared" si="16"/>
        <v>0 г. 0 мес. 1 дн.</v>
      </c>
      <c r="W238" s="69"/>
    </row>
    <row r="239" spans="1:23" ht="35.1" customHeight="1" x14ac:dyDescent="0.25">
      <c r="A239" s="8">
        <f t="shared" si="13"/>
        <v>238</v>
      </c>
      <c r="B239" s="1">
        <v>352</v>
      </c>
      <c r="C239" s="39" t="s">
        <v>26</v>
      </c>
      <c r="D239" s="21">
        <v>45085</v>
      </c>
      <c r="E239" s="6">
        <v>0.91666666666666663</v>
      </c>
      <c r="F239" s="1" t="s">
        <v>771</v>
      </c>
      <c r="G239" s="3">
        <v>39675</v>
      </c>
      <c r="H239" s="11" t="str">
        <f t="shared" si="14"/>
        <v>14 г. 9 мес. 24 дн.</v>
      </c>
      <c r="I239" s="20" t="s">
        <v>120</v>
      </c>
      <c r="J239" s="20"/>
      <c r="K239" s="1" t="s">
        <v>772</v>
      </c>
      <c r="L239" s="1" t="s">
        <v>773</v>
      </c>
      <c r="M239" s="1" t="s">
        <v>55</v>
      </c>
      <c r="O239" s="20" t="s">
        <v>89</v>
      </c>
      <c r="S239" s="39" t="s">
        <v>26</v>
      </c>
      <c r="T239" s="3">
        <v>45086</v>
      </c>
      <c r="U239" s="6">
        <v>0.41666666666666669</v>
      </c>
      <c r="V239" s="1" t="str">
        <f t="shared" si="16"/>
        <v>0 г. 0 мес. 1 дн.</v>
      </c>
      <c r="W239" s="69"/>
    </row>
    <row r="240" spans="1:23" ht="35.1" customHeight="1" x14ac:dyDescent="0.25">
      <c r="A240" s="1">
        <f t="shared" si="13"/>
        <v>239</v>
      </c>
      <c r="B240" s="1">
        <v>1316</v>
      </c>
      <c r="C240" s="39" t="s">
        <v>77</v>
      </c>
      <c r="D240" s="21">
        <v>45085</v>
      </c>
      <c r="E240" s="6">
        <v>0.92708333333333337</v>
      </c>
      <c r="F240" s="1" t="s">
        <v>774</v>
      </c>
      <c r="G240" s="3">
        <v>44584</v>
      </c>
      <c r="H240" s="11" t="str">
        <f t="shared" si="14"/>
        <v>1 г. 4 мес. 16 дн.</v>
      </c>
      <c r="I240" s="20" t="s">
        <v>121</v>
      </c>
      <c r="J240" s="20" t="s">
        <v>77</v>
      </c>
      <c r="K240" s="1" t="s">
        <v>775</v>
      </c>
      <c r="L240" s="1" t="s">
        <v>776</v>
      </c>
      <c r="M240" s="1" t="s">
        <v>49</v>
      </c>
      <c r="O240" s="20" t="s">
        <v>94</v>
      </c>
      <c r="Q240" s="1" t="s">
        <v>102</v>
      </c>
      <c r="R240" s="1" t="s">
        <v>107</v>
      </c>
      <c r="S240" s="1" t="s">
        <v>29</v>
      </c>
      <c r="T240" s="3">
        <v>45090</v>
      </c>
      <c r="U240" s="6">
        <v>0.66666666666666663</v>
      </c>
      <c r="V240" s="1" t="str">
        <f t="shared" si="16"/>
        <v>0 г. 0 мес. 5 дн.</v>
      </c>
      <c r="W240" s="69"/>
    </row>
    <row r="241" spans="1:23" ht="35.1" customHeight="1" x14ac:dyDescent="0.25">
      <c r="A241" s="8">
        <f t="shared" si="13"/>
        <v>240</v>
      </c>
      <c r="B241" s="1">
        <v>772</v>
      </c>
      <c r="C241" s="39" t="s">
        <v>23</v>
      </c>
      <c r="D241" s="21">
        <v>45087</v>
      </c>
      <c r="E241" s="6">
        <v>0.6875</v>
      </c>
      <c r="F241" s="1" t="s">
        <v>777</v>
      </c>
      <c r="G241" s="3">
        <v>39861</v>
      </c>
      <c r="H241" s="11" t="str">
        <f t="shared" si="14"/>
        <v>14 г. 3 мес. 24 дн.</v>
      </c>
      <c r="I241" s="20" t="s">
        <v>120</v>
      </c>
      <c r="J241" s="20"/>
      <c r="K241" s="1" t="s">
        <v>778</v>
      </c>
      <c r="L241" s="1" t="s">
        <v>779</v>
      </c>
      <c r="M241" s="1" t="s">
        <v>52</v>
      </c>
      <c r="O241" s="20" t="s">
        <v>89</v>
      </c>
      <c r="S241" s="1" t="s">
        <v>23</v>
      </c>
      <c r="T241" s="3">
        <v>45088</v>
      </c>
      <c r="U241" s="6">
        <v>0.5</v>
      </c>
      <c r="V241" s="1" t="str">
        <f t="shared" si="16"/>
        <v>0 г. 0 мес. 1 дн.</v>
      </c>
      <c r="W241" s="69"/>
    </row>
    <row r="242" spans="1:23" ht="35.1" customHeight="1" x14ac:dyDescent="0.25">
      <c r="A242" s="1">
        <f t="shared" si="13"/>
        <v>241</v>
      </c>
      <c r="B242" s="1">
        <v>355</v>
      </c>
      <c r="C242" s="39" t="s">
        <v>26</v>
      </c>
      <c r="D242" s="21">
        <v>45087</v>
      </c>
      <c r="E242" s="6">
        <v>0.77083333333333337</v>
      </c>
      <c r="F242" s="1" t="s">
        <v>780</v>
      </c>
      <c r="G242" s="3">
        <v>44628</v>
      </c>
      <c r="H242" s="11" t="str">
        <f t="shared" si="14"/>
        <v>1 г. 3 мес. 2 дн.</v>
      </c>
      <c r="I242" s="20" t="s">
        <v>120</v>
      </c>
      <c r="J242" s="20"/>
      <c r="K242" s="1" t="s">
        <v>781</v>
      </c>
      <c r="L242" s="1" t="s">
        <v>782</v>
      </c>
      <c r="M242" s="1" t="s">
        <v>55</v>
      </c>
      <c r="O242" s="20" t="s">
        <v>89</v>
      </c>
      <c r="S242" s="1" t="s">
        <v>26</v>
      </c>
      <c r="T242" s="3">
        <v>45088</v>
      </c>
      <c r="U242" s="6">
        <v>0.47916666666666669</v>
      </c>
      <c r="V242" s="1" t="str">
        <f t="shared" si="16"/>
        <v>0 г. 0 мес. 1 дн.</v>
      </c>
      <c r="W242" s="69"/>
    </row>
    <row r="243" spans="1:23" ht="35.1" customHeight="1" x14ac:dyDescent="0.25">
      <c r="A243" s="8">
        <f t="shared" si="13"/>
        <v>242</v>
      </c>
      <c r="B243" s="1">
        <v>356</v>
      </c>
      <c r="C243" s="39" t="s">
        <v>28</v>
      </c>
      <c r="D243" s="21">
        <v>45089</v>
      </c>
      <c r="E243" s="6">
        <v>8.3333333333333329E-2</v>
      </c>
      <c r="F243" s="1" t="s">
        <v>783</v>
      </c>
      <c r="G243" s="3">
        <v>38695</v>
      </c>
      <c r="H243" s="11" t="str">
        <f t="shared" si="14"/>
        <v>17 г. 6 мес. 3 дн.</v>
      </c>
      <c r="I243" s="20" t="s">
        <v>120</v>
      </c>
      <c r="J243" s="20"/>
      <c r="K243" s="1" t="s">
        <v>510</v>
      </c>
      <c r="L243" s="1" t="s">
        <v>784</v>
      </c>
      <c r="M243" s="1" t="s">
        <v>46</v>
      </c>
      <c r="O243" s="20" t="s">
        <v>89</v>
      </c>
      <c r="S243" s="1" t="s">
        <v>28</v>
      </c>
      <c r="T243" s="3">
        <v>45089</v>
      </c>
      <c r="U243" s="6">
        <v>0.45833333333333331</v>
      </c>
      <c r="V243" s="1" t="str">
        <f t="shared" si="16"/>
        <v>0 г. 0 мес. 0 дн.</v>
      </c>
      <c r="W243" s="69"/>
    </row>
    <row r="244" spans="1:23" ht="35.1" customHeight="1" x14ac:dyDescent="0.25">
      <c r="A244" s="1">
        <f t="shared" si="13"/>
        <v>243</v>
      </c>
      <c r="B244" s="1">
        <v>357</v>
      </c>
      <c r="C244" s="39" t="s">
        <v>28</v>
      </c>
      <c r="D244" s="21">
        <v>45089</v>
      </c>
      <c r="E244" s="6">
        <v>0.70486111111111116</v>
      </c>
      <c r="F244" s="1" t="s">
        <v>783</v>
      </c>
      <c r="G244" s="3">
        <v>38695</v>
      </c>
      <c r="H244" s="11" t="str">
        <f t="shared" si="14"/>
        <v>17 г. 6 мес. 3 дн.</v>
      </c>
      <c r="I244" s="20" t="s">
        <v>125</v>
      </c>
      <c r="J244" s="20" t="s">
        <v>28</v>
      </c>
      <c r="K244" s="1" t="s">
        <v>510</v>
      </c>
      <c r="L244" s="1" t="s">
        <v>784</v>
      </c>
      <c r="M244" s="1" t="s">
        <v>46</v>
      </c>
      <c r="O244" s="20" t="s">
        <v>89</v>
      </c>
      <c r="S244" s="1" t="s">
        <v>28</v>
      </c>
      <c r="T244" s="3">
        <v>45092</v>
      </c>
      <c r="U244" s="6">
        <v>0.5</v>
      </c>
      <c r="V244" s="1" t="str">
        <f t="shared" si="16"/>
        <v>0 г. 0 мес. 3 дн.</v>
      </c>
      <c r="W244" s="69"/>
    </row>
    <row r="245" spans="1:23" ht="35.1" customHeight="1" x14ac:dyDescent="0.25">
      <c r="A245" s="8">
        <f t="shared" si="13"/>
        <v>244</v>
      </c>
      <c r="B245" s="1">
        <v>354</v>
      </c>
      <c r="C245" s="39" t="s">
        <v>28</v>
      </c>
      <c r="D245" s="21">
        <v>45088</v>
      </c>
      <c r="E245" s="6">
        <v>0.78472222222222221</v>
      </c>
      <c r="F245" s="1" t="s">
        <v>785</v>
      </c>
      <c r="G245" s="3">
        <v>42103</v>
      </c>
      <c r="H245" s="11" t="str">
        <f t="shared" si="14"/>
        <v>8 г. 2 мес. 2 дн.</v>
      </c>
      <c r="I245" s="20" t="s">
        <v>123</v>
      </c>
      <c r="J245" s="20"/>
      <c r="K245" s="1" t="s">
        <v>794</v>
      </c>
      <c r="L245" s="1" t="s">
        <v>795</v>
      </c>
      <c r="M245" s="1" t="s">
        <v>46</v>
      </c>
      <c r="O245" s="20" t="s">
        <v>73</v>
      </c>
      <c r="Q245" s="1" t="s">
        <v>102</v>
      </c>
      <c r="S245" s="1" t="s">
        <v>29</v>
      </c>
      <c r="T245" s="3">
        <v>45094</v>
      </c>
      <c r="U245" s="6">
        <v>0.69444444444444453</v>
      </c>
      <c r="V245" s="1" t="str">
        <f t="shared" si="16"/>
        <v>0 г. 0 мес. 6 дн.</v>
      </c>
      <c r="W245" s="69"/>
    </row>
    <row r="246" spans="1:23" ht="35.1" customHeight="1" x14ac:dyDescent="0.25">
      <c r="A246" s="1">
        <f t="shared" si="13"/>
        <v>245</v>
      </c>
      <c r="B246" s="1">
        <v>678</v>
      </c>
      <c r="C246" s="39" t="s">
        <v>27</v>
      </c>
      <c r="D246" s="21">
        <v>45091</v>
      </c>
      <c r="E246" s="6">
        <v>0.56597222222222221</v>
      </c>
      <c r="F246" s="1" t="s">
        <v>786</v>
      </c>
      <c r="G246" s="3">
        <v>38824</v>
      </c>
      <c r="H246" s="11" t="str">
        <f t="shared" si="14"/>
        <v>17 г. 1 мес. 28 дн.</v>
      </c>
      <c r="I246" s="20" t="s">
        <v>120</v>
      </c>
      <c r="J246" s="20"/>
      <c r="K246" s="1" t="s">
        <v>787</v>
      </c>
      <c r="L246" s="1" t="s">
        <v>471</v>
      </c>
      <c r="M246" s="1" t="s">
        <v>55</v>
      </c>
      <c r="O246" s="20" t="s">
        <v>89</v>
      </c>
      <c r="S246" s="1" t="s">
        <v>27</v>
      </c>
      <c r="T246" s="3">
        <v>45092</v>
      </c>
      <c r="U246" s="6">
        <v>0.5</v>
      </c>
      <c r="V246" s="1" t="str">
        <f t="shared" si="16"/>
        <v>0 г. 0 мес. 1 дн.</v>
      </c>
      <c r="W246" s="69"/>
    </row>
    <row r="247" spans="1:23" ht="35.1" customHeight="1" x14ac:dyDescent="0.25">
      <c r="A247" s="8">
        <f t="shared" si="13"/>
        <v>246</v>
      </c>
      <c r="B247" s="1">
        <v>772</v>
      </c>
      <c r="C247" s="39" t="s">
        <v>23</v>
      </c>
      <c r="D247" s="21">
        <v>45092</v>
      </c>
      <c r="E247" s="6">
        <v>0.68055555555555547</v>
      </c>
      <c r="F247" s="1" t="s">
        <v>777</v>
      </c>
      <c r="G247" s="3">
        <v>39861</v>
      </c>
      <c r="H247" s="11" t="str">
        <f t="shared" si="14"/>
        <v>14 г. 3 мес. 29 дн.</v>
      </c>
      <c r="I247" s="20" t="s">
        <v>121</v>
      </c>
      <c r="J247" s="20" t="s">
        <v>23</v>
      </c>
      <c r="K247" s="1" t="s">
        <v>788</v>
      </c>
      <c r="L247" s="1" t="s">
        <v>789</v>
      </c>
      <c r="M247" s="1" t="s">
        <v>52</v>
      </c>
      <c r="O247" s="20" t="s">
        <v>89</v>
      </c>
      <c r="P247" s="1" t="s">
        <v>96</v>
      </c>
      <c r="S247" s="1" t="s">
        <v>23</v>
      </c>
      <c r="T247" s="3">
        <v>45093</v>
      </c>
      <c r="U247" s="6">
        <v>0.41666666666666669</v>
      </c>
      <c r="V247" s="1" t="str">
        <f t="shared" si="16"/>
        <v>0 г. 0 мес. 1 дн.</v>
      </c>
      <c r="W247" s="69"/>
    </row>
    <row r="248" spans="1:23" ht="35.1" customHeight="1" x14ac:dyDescent="0.25">
      <c r="A248" s="1">
        <f t="shared" si="13"/>
        <v>247</v>
      </c>
      <c r="B248" s="1">
        <v>372</v>
      </c>
      <c r="C248" s="39" t="s">
        <v>26</v>
      </c>
      <c r="D248" s="21">
        <v>45092</v>
      </c>
      <c r="E248" s="6">
        <v>0.875</v>
      </c>
      <c r="F248" s="1" t="s">
        <v>790</v>
      </c>
      <c r="G248" s="3">
        <v>40884</v>
      </c>
      <c r="H248" s="11" t="str">
        <f t="shared" si="14"/>
        <v>11 г. 6 мес. 8 дн.</v>
      </c>
      <c r="I248" s="20" t="s">
        <v>120</v>
      </c>
      <c r="J248" s="20"/>
      <c r="K248" s="1" t="s">
        <v>791</v>
      </c>
      <c r="L248" s="1" t="s">
        <v>792</v>
      </c>
      <c r="M248" s="1" t="s">
        <v>55</v>
      </c>
      <c r="O248" s="20" t="s">
        <v>89</v>
      </c>
      <c r="S248" s="1" t="s">
        <v>26</v>
      </c>
      <c r="T248" s="3">
        <v>45093</v>
      </c>
      <c r="U248" s="6">
        <v>0.41666666666666669</v>
      </c>
      <c r="V248" s="1" t="str">
        <f t="shared" si="16"/>
        <v>0 г. 0 мес. 1 дн.</v>
      </c>
      <c r="W248" s="69"/>
    </row>
    <row r="249" spans="1:23" ht="35.1" customHeight="1" x14ac:dyDescent="0.25">
      <c r="A249" s="8">
        <f t="shared" si="13"/>
        <v>248</v>
      </c>
      <c r="B249" s="1">
        <v>335</v>
      </c>
      <c r="C249" s="39" t="s">
        <v>26</v>
      </c>
      <c r="D249" s="21">
        <v>45092</v>
      </c>
      <c r="E249" s="6">
        <v>0.95486111111111116</v>
      </c>
      <c r="F249" s="1" t="s">
        <v>673</v>
      </c>
      <c r="G249" s="3">
        <v>45048</v>
      </c>
      <c r="H249" s="11" t="str">
        <f t="shared" ref="H249" si="17">DATEDIF(G249,D249,"y") &amp; " г. " &amp; DATEDIF(G249,D249,"ym") &amp; " мес. " &amp; DATEDIF(G249,D249,"md") &amp; " дн."</f>
        <v>0 г. 1 мес. 13 дн.</v>
      </c>
      <c r="I249" s="20" t="s">
        <v>122</v>
      </c>
      <c r="J249" s="20" t="s">
        <v>26</v>
      </c>
      <c r="K249" s="1" t="s">
        <v>674</v>
      </c>
      <c r="L249" s="1" t="s">
        <v>793</v>
      </c>
      <c r="M249" s="1" t="s">
        <v>56</v>
      </c>
      <c r="O249" s="20" t="s">
        <v>90</v>
      </c>
      <c r="S249" s="1" t="s">
        <v>26</v>
      </c>
      <c r="T249" s="3">
        <v>45097</v>
      </c>
      <c r="U249" s="6">
        <v>0.45833333333333331</v>
      </c>
      <c r="V249" s="1" t="str">
        <f t="shared" si="16"/>
        <v>0 г. 0 мес. 5 дн.</v>
      </c>
      <c r="W249" s="69"/>
    </row>
    <row r="250" spans="1:23" ht="35.1" customHeight="1" x14ac:dyDescent="0.25">
      <c r="A250" s="1">
        <f t="shared" si="13"/>
        <v>249</v>
      </c>
      <c r="B250" s="1">
        <v>818</v>
      </c>
      <c r="C250" s="39" t="s">
        <v>23</v>
      </c>
      <c r="D250" s="21">
        <v>45095</v>
      </c>
      <c r="E250" s="6">
        <v>0.28472222222222221</v>
      </c>
      <c r="F250" s="1" t="s">
        <v>796</v>
      </c>
      <c r="G250" s="3">
        <v>38565</v>
      </c>
      <c r="H250" s="11" t="str">
        <f t="shared" si="14"/>
        <v>17 г. 10 мес. 17 дн.</v>
      </c>
      <c r="I250" s="20" t="s">
        <v>120</v>
      </c>
      <c r="J250" s="20"/>
      <c r="K250" s="1" t="s">
        <v>797</v>
      </c>
      <c r="L250" s="1" t="s">
        <v>798</v>
      </c>
      <c r="M250" s="1" t="s">
        <v>52</v>
      </c>
      <c r="O250" s="20" t="s">
        <v>89</v>
      </c>
      <c r="S250" s="8" t="s">
        <v>23</v>
      </c>
      <c r="T250" s="3">
        <v>45097</v>
      </c>
      <c r="U250" s="6">
        <v>0.5</v>
      </c>
      <c r="V250" s="1" t="str">
        <f t="shared" ref="V250" si="18">DATEDIF(D250,T250,"y") &amp; " г. " &amp; DATEDIF(D250,T250,"ym") &amp; " мес. " &amp; DATEDIF(D250,T250,"md") &amp; " дн."</f>
        <v>0 г. 0 мес. 2 дн.</v>
      </c>
      <c r="W250" s="69"/>
    </row>
    <row r="251" spans="1:23" ht="35.1" customHeight="1" x14ac:dyDescent="0.25">
      <c r="A251" s="8">
        <f t="shared" si="13"/>
        <v>250</v>
      </c>
      <c r="B251" s="1">
        <v>814</v>
      </c>
      <c r="C251" s="39" t="s">
        <v>23</v>
      </c>
      <c r="D251" s="21">
        <v>45095</v>
      </c>
      <c r="E251" s="6">
        <v>0.29166666666666669</v>
      </c>
      <c r="F251" s="1" t="s">
        <v>799</v>
      </c>
      <c r="G251" s="3">
        <v>38578</v>
      </c>
      <c r="H251" s="11" t="str">
        <f t="shared" si="14"/>
        <v>17 г. 10 мес. 4 дн.</v>
      </c>
      <c r="I251" s="20" t="s">
        <v>120</v>
      </c>
      <c r="J251" s="20"/>
      <c r="K251" s="1" t="s">
        <v>800</v>
      </c>
      <c r="L251" s="1" t="s">
        <v>798</v>
      </c>
      <c r="M251" s="1" t="s">
        <v>52</v>
      </c>
      <c r="O251" s="20" t="s">
        <v>89</v>
      </c>
      <c r="S251" s="8" t="s">
        <v>23</v>
      </c>
      <c r="T251" s="3">
        <v>45097</v>
      </c>
      <c r="U251" s="6">
        <v>0.5</v>
      </c>
      <c r="V251" s="1" t="str">
        <f t="shared" ref="V251" si="19">DATEDIF(D251,T251,"y") &amp; " г. " &amp; DATEDIF(D251,T251,"ym") &amp; " мес. " &amp; DATEDIF(D251,T251,"md") &amp; " дн."</f>
        <v>0 г. 0 мес. 2 дн.</v>
      </c>
      <c r="W251" s="69"/>
    </row>
    <row r="252" spans="1:23" ht="35.1" customHeight="1" x14ac:dyDescent="0.25">
      <c r="A252" s="1">
        <f t="shared" si="13"/>
        <v>251</v>
      </c>
      <c r="B252" s="1">
        <v>809</v>
      </c>
      <c r="C252" s="39" t="s">
        <v>23</v>
      </c>
      <c r="D252" s="21">
        <v>45093</v>
      </c>
      <c r="E252" s="6">
        <v>0.97222222222222221</v>
      </c>
      <c r="F252" s="1" t="s">
        <v>801</v>
      </c>
      <c r="G252" s="3">
        <v>38618</v>
      </c>
      <c r="H252" s="11" t="str">
        <f>DATEDIF(G252,D252,"y") &amp; " г. " &amp; DATEDIF(G252,D252,"ym") &amp; " мес. " &amp; DATEDIF(G252,D252,"md") &amp; " дн."</f>
        <v>17 г. 8 мес. 24 дн.</v>
      </c>
      <c r="I252" s="20" t="s">
        <v>120</v>
      </c>
      <c r="J252" s="20"/>
      <c r="K252" s="1" t="s">
        <v>802</v>
      </c>
      <c r="L252" s="1" t="s">
        <v>798</v>
      </c>
      <c r="M252" s="1" t="s">
        <v>803</v>
      </c>
      <c r="O252" s="20" t="s">
        <v>89</v>
      </c>
      <c r="S252" s="8" t="s">
        <v>23</v>
      </c>
      <c r="T252" s="21">
        <v>45103</v>
      </c>
      <c r="U252" s="6">
        <v>0.5</v>
      </c>
      <c r="V252" s="1" t="str">
        <f t="shared" si="16"/>
        <v>0 г. 0 мес. 10 дн.</v>
      </c>
      <c r="W252" s="69"/>
    </row>
    <row r="253" spans="1:23" ht="35.1" customHeight="1" x14ac:dyDescent="0.25">
      <c r="A253" s="8">
        <f t="shared" si="13"/>
        <v>252</v>
      </c>
      <c r="B253" s="1">
        <v>376</v>
      </c>
      <c r="C253" s="39" t="s">
        <v>26</v>
      </c>
      <c r="D253" s="21">
        <v>45095</v>
      </c>
      <c r="E253" s="6">
        <v>0.1388888888888889</v>
      </c>
      <c r="F253" s="1" t="s">
        <v>804</v>
      </c>
      <c r="G253" s="3">
        <v>40718</v>
      </c>
      <c r="H253" s="11" t="str">
        <f t="shared" si="14"/>
        <v>11 г. 11 мес. 25 дн.</v>
      </c>
      <c r="I253" s="20" t="s">
        <v>120</v>
      </c>
      <c r="J253" s="20"/>
      <c r="K253" s="1" t="s">
        <v>805</v>
      </c>
      <c r="L253" s="1" t="s">
        <v>806</v>
      </c>
      <c r="M253" s="1" t="s">
        <v>43</v>
      </c>
      <c r="O253" s="20" t="s">
        <v>89</v>
      </c>
      <c r="S253" s="1" t="s">
        <v>26</v>
      </c>
      <c r="T253" s="3">
        <v>45096</v>
      </c>
      <c r="U253" s="6">
        <v>0.58333333333333337</v>
      </c>
      <c r="V253" s="1" t="str">
        <f t="shared" si="16"/>
        <v>0 г. 0 мес. 1 дн.</v>
      </c>
      <c r="W253" s="69"/>
    </row>
    <row r="254" spans="1:23" s="8" customFormat="1" ht="35.1" customHeight="1" x14ac:dyDescent="0.25">
      <c r="A254" s="1">
        <f t="shared" si="13"/>
        <v>253</v>
      </c>
      <c r="B254" s="1">
        <v>692</v>
      </c>
      <c r="C254" s="39" t="s">
        <v>27</v>
      </c>
      <c r="D254" s="21">
        <v>45096</v>
      </c>
      <c r="E254" s="6">
        <v>7.6388888888888895E-2</v>
      </c>
      <c r="F254" s="1" t="s">
        <v>807</v>
      </c>
      <c r="G254" s="3">
        <v>43921</v>
      </c>
      <c r="H254" s="11" t="str">
        <f t="shared" si="14"/>
        <v>3 г. 2 мес. 19 дн.</v>
      </c>
      <c r="I254" s="20" t="s">
        <v>120</v>
      </c>
      <c r="J254" s="20"/>
      <c r="K254" s="1" t="s">
        <v>808</v>
      </c>
      <c r="L254" s="1" t="s">
        <v>809</v>
      </c>
      <c r="M254" s="1" t="s">
        <v>48</v>
      </c>
      <c r="N254" s="1"/>
      <c r="O254" s="20" t="s">
        <v>89</v>
      </c>
      <c r="P254" s="1"/>
      <c r="Q254" s="1"/>
      <c r="R254" s="1"/>
      <c r="S254" s="1" t="s">
        <v>27</v>
      </c>
      <c r="T254" s="3">
        <v>45097</v>
      </c>
      <c r="U254" s="6">
        <v>0.45833333333333331</v>
      </c>
      <c r="V254" s="1" t="str">
        <f t="shared" si="16"/>
        <v>0 г. 0 мес. 1 дн.</v>
      </c>
      <c r="W254" s="73"/>
    </row>
    <row r="255" spans="1:23" ht="35.1" customHeight="1" x14ac:dyDescent="0.25">
      <c r="A255" s="8">
        <f t="shared" si="13"/>
        <v>254</v>
      </c>
      <c r="B255" s="8">
        <v>356</v>
      </c>
      <c r="C255" s="41" t="s">
        <v>28</v>
      </c>
      <c r="D255" s="21">
        <v>45095</v>
      </c>
      <c r="E255" s="10">
        <v>0.77083333333333337</v>
      </c>
      <c r="F255" s="8" t="s">
        <v>783</v>
      </c>
      <c r="G255" s="9">
        <v>38695</v>
      </c>
      <c r="H255" s="11" t="str">
        <f t="shared" si="14"/>
        <v>17 г. 6 мес. 9 дн.</v>
      </c>
      <c r="I255" s="20" t="s">
        <v>122</v>
      </c>
      <c r="J255" s="20" t="s">
        <v>28</v>
      </c>
      <c r="K255" s="8" t="s">
        <v>510</v>
      </c>
      <c r="L255" s="8" t="s">
        <v>784</v>
      </c>
      <c r="M255" s="8" t="s">
        <v>46</v>
      </c>
      <c r="N255" s="8"/>
      <c r="O255" s="20" t="s">
        <v>89</v>
      </c>
      <c r="P255" s="8"/>
      <c r="Q255" s="8"/>
      <c r="R255" s="8"/>
      <c r="S255" s="8" t="s">
        <v>28</v>
      </c>
      <c r="T255" s="9">
        <v>45096</v>
      </c>
      <c r="U255" s="10">
        <v>0.45833333333333331</v>
      </c>
      <c r="V255" s="1" t="str">
        <f t="shared" si="16"/>
        <v>0 г. 0 мес. 1 дн.</v>
      </c>
      <c r="W255" s="69"/>
    </row>
    <row r="256" spans="1:23" ht="35.1" customHeight="1" x14ac:dyDescent="0.25">
      <c r="A256" s="1">
        <f t="shared" si="13"/>
        <v>255</v>
      </c>
      <c r="B256" s="1">
        <v>812</v>
      </c>
      <c r="C256" s="39" t="s">
        <v>23</v>
      </c>
      <c r="D256" s="21">
        <v>45095</v>
      </c>
      <c r="E256" s="6">
        <v>2.4305555555555556E-2</v>
      </c>
      <c r="F256" s="1" t="s">
        <v>859</v>
      </c>
      <c r="G256" s="3">
        <v>39050</v>
      </c>
      <c r="H256" s="11" t="str">
        <f t="shared" si="14"/>
        <v>16 г. 6 мес. 20 дн.</v>
      </c>
      <c r="I256" s="20" t="s">
        <v>120</v>
      </c>
      <c r="J256" s="20"/>
      <c r="K256" s="1" t="s">
        <v>810</v>
      </c>
      <c r="L256" s="1" t="s">
        <v>811</v>
      </c>
      <c r="M256" s="1" t="s">
        <v>52</v>
      </c>
      <c r="O256" s="20" t="s">
        <v>89</v>
      </c>
      <c r="S256" s="8" t="s">
        <v>23</v>
      </c>
      <c r="T256" s="3">
        <v>45097</v>
      </c>
      <c r="U256" s="6">
        <v>0.5</v>
      </c>
      <c r="V256" s="1" t="str">
        <f t="shared" si="16"/>
        <v>0 г. 0 мес. 2 дн.</v>
      </c>
      <c r="W256" s="69"/>
    </row>
    <row r="257" spans="1:23" ht="35.1" customHeight="1" x14ac:dyDescent="0.25">
      <c r="A257" s="8">
        <f t="shared" ref="A257:A316" si="20">ROW(A256)</f>
        <v>256</v>
      </c>
      <c r="B257" s="1">
        <v>274</v>
      </c>
      <c r="C257" s="39" t="s">
        <v>24</v>
      </c>
      <c r="D257" s="21">
        <v>45097</v>
      </c>
      <c r="E257" s="6">
        <v>0.88194444444444453</v>
      </c>
      <c r="F257" s="1" t="s">
        <v>812</v>
      </c>
      <c r="G257" s="3">
        <v>44594</v>
      </c>
      <c r="H257" s="11" t="str">
        <f t="shared" ref="H257:H317" si="21">DATEDIF(G257,D257,"y") &amp; " г. " &amp; DATEDIF(G257,D257,"ym") &amp; " мес. " &amp; DATEDIF(G257,D257,"md") &amp; " дн."</f>
        <v>1 г. 4 мес. 18 дн.</v>
      </c>
      <c r="I257" s="20" t="s">
        <v>122</v>
      </c>
      <c r="J257" s="20" t="s">
        <v>24</v>
      </c>
      <c r="K257" s="1" t="s">
        <v>813</v>
      </c>
      <c r="L257" s="1" t="s">
        <v>814</v>
      </c>
      <c r="M257" s="1" t="s">
        <v>50</v>
      </c>
      <c r="O257" s="20" t="s">
        <v>73</v>
      </c>
      <c r="Q257" s="1" t="s">
        <v>146</v>
      </c>
      <c r="S257" s="1" t="s">
        <v>29</v>
      </c>
      <c r="T257" s="3">
        <v>45098</v>
      </c>
      <c r="U257" s="6">
        <v>0.77083333333333337</v>
      </c>
      <c r="V257" s="1" t="str">
        <f t="shared" si="16"/>
        <v>0 г. 0 мес. 1 дн.</v>
      </c>
      <c r="W257" s="69"/>
    </row>
    <row r="258" spans="1:23" ht="35.1" customHeight="1" x14ac:dyDescent="0.25">
      <c r="A258" s="1">
        <f t="shared" si="20"/>
        <v>257</v>
      </c>
      <c r="B258" s="1">
        <v>380</v>
      </c>
      <c r="C258" s="39" t="s">
        <v>82</v>
      </c>
      <c r="D258" s="21">
        <v>45098</v>
      </c>
      <c r="E258" s="6">
        <v>0.4375</v>
      </c>
      <c r="F258" s="1" t="s">
        <v>317</v>
      </c>
      <c r="G258" s="3">
        <v>43654</v>
      </c>
      <c r="H258" s="11" t="str">
        <f t="shared" si="21"/>
        <v>3 г. 11 мес. 13 дн.</v>
      </c>
      <c r="I258" s="20" t="s">
        <v>120</v>
      </c>
      <c r="J258" s="20"/>
      <c r="K258" s="1" t="s">
        <v>815</v>
      </c>
      <c r="L258" s="1" t="s">
        <v>319</v>
      </c>
      <c r="M258" s="1" t="s">
        <v>47</v>
      </c>
      <c r="N258" s="1">
        <v>720</v>
      </c>
      <c r="O258" s="20" t="s">
        <v>89</v>
      </c>
      <c r="S258" s="1" t="s">
        <v>31</v>
      </c>
      <c r="T258" s="3">
        <v>45127</v>
      </c>
      <c r="U258" s="6">
        <v>0.99652777777777779</v>
      </c>
      <c r="V258" s="1" t="str">
        <f t="shared" si="16"/>
        <v>0 г. 0 мес. 29 дн.</v>
      </c>
      <c r="W258" s="69"/>
    </row>
    <row r="259" spans="1:23" ht="35.1" customHeight="1" x14ac:dyDescent="0.25">
      <c r="A259" s="8">
        <f t="shared" si="20"/>
        <v>258</v>
      </c>
      <c r="B259" s="1">
        <v>825</v>
      </c>
      <c r="C259" s="39" t="s">
        <v>23</v>
      </c>
      <c r="D259" s="21">
        <v>45097</v>
      </c>
      <c r="E259" s="6">
        <v>0.18055555555555555</v>
      </c>
      <c r="F259" s="1" t="s">
        <v>816</v>
      </c>
      <c r="G259" s="3">
        <v>39489</v>
      </c>
      <c r="H259" s="11" t="str">
        <f t="shared" si="21"/>
        <v>15 г. 4 мес. 9 дн.</v>
      </c>
      <c r="I259" s="20" t="s">
        <v>120</v>
      </c>
      <c r="J259" s="20"/>
      <c r="K259" s="1" t="s">
        <v>817</v>
      </c>
      <c r="L259" s="1" t="s">
        <v>818</v>
      </c>
      <c r="M259" s="1" t="s">
        <v>52</v>
      </c>
      <c r="O259" s="20" t="s">
        <v>89</v>
      </c>
      <c r="S259" s="39" t="s">
        <v>23</v>
      </c>
      <c r="T259" s="21">
        <v>45105</v>
      </c>
      <c r="U259" s="21">
        <v>45098</v>
      </c>
      <c r="V259" s="1" t="str">
        <f t="shared" si="16"/>
        <v>0 г. 0 мес. 8 дн.</v>
      </c>
      <c r="W259" s="69"/>
    </row>
    <row r="260" spans="1:23" ht="35.1" customHeight="1" x14ac:dyDescent="0.25">
      <c r="A260" s="1">
        <f t="shared" si="20"/>
        <v>259</v>
      </c>
      <c r="B260" s="1">
        <v>383</v>
      </c>
      <c r="C260" s="39" t="s">
        <v>28</v>
      </c>
      <c r="D260" s="21">
        <v>45098</v>
      </c>
      <c r="E260" s="6">
        <v>0.54513888888888895</v>
      </c>
      <c r="F260" s="1" t="s">
        <v>819</v>
      </c>
      <c r="G260" s="3">
        <v>42054</v>
      </c>
      <c r="H260" s="11" t="str">
        <f t="shared" si="21"/>
        <v>8 г. 4 мес. 2 дн.</v>
      </c>
      <c r="I260" s="20" t="s">
        <v>120</v>
      </c>
      <c r="J260" s="20"/>
      <c r="K260" s="1" t="s">
        <v>820</v>
      </c>
      <c r="L260" s="1" t="s">
        <v>821</v>
      </c>
      <c r="M260" s="1" t="s">
        <v>46</v>
      </c>
      <c r="O260" s="20" t="s">
        <v>89</v>
      </c>
      <c r="S260" s="39" t="s">
        <v>28</v>
      </c>
      <c r="T260" s="3">
        <v>45099</v>
      </c>
      <c r="U260" s="21">
        <v>45098</v>
      </c>
      <c r="V260" s="1" t="str">
        <f t="shared" si="16"/>
        <v>0 г. 0 мес. 1 дн.</v>
      </c>
      <c r="W260" s="69"/>
    </row>
    <row r="261" spans="1:23" ht="35.1" customHeight="1" x14ac:dyDescent="0.25">
      <c r="A261" s="8">
        <f t="shared" si="20"/>
        <v>260</v>
      </c>
      <c r="B261" s="1">
        <v>711</v>
      </c>
      <c r="C261" s="39" t="s">
        <v>27</v>
      </c>
      <c r="D261" s="21">
        <v>45098</v>
      </c>
      <c r="E261" s="6">
        <v>0.59722222222222221</v>
      </c>
      <c r="F261" s="1" t="s">
        <v>822</v>
      </c>
      <c r="G261" s="3">
        <v>44720</v>
      </c>
      <c r="H261" s="11" t="str">
        <f t="shared" si="21"/>
        <v>1 г. 0 мес. 13 дн.</v>
      </c>
      <c r="I261" s="20" t="s">
        <v>75</v>
      </c>
      <c r="J261" s="20"/>
      <c r="K261" s="1" t="s">
        <v>823</v>
      </c>
      <c r="L261" s="1" t="s">
        <v>537</v>
      </c>
      <c r="M261" s="1" t="s">
        <v>48</v>
      </c>
      <c r="O261" s="20" t="s">
        <v>89</v>
      </c>
      <c r="S261" s="39" t="s">
        <v>27</v>
      </c>
      <c r="T261" s="3">
        <v>45099</v>
      </c>
      <c r="U261" s="6">
        <v>0.5</v>
      </c>
      <c r="V261" s="1" t="str">
        <f t="shared" si="16"/>
        <v>0 г. 0 мес. 1 дн.</v>
      </c>
      <c r="W261" s="69"/>
    </row>
    <row r="262" spans="1:23" ht="35.1" customHeight="1" x14ac:dyDescent="0.25">
      <c r="A262" s="1">
        <f t="shared" si="20"/>
        <v>261</v>
      </c>
      <c r="B262" s="1">
        <v>1415</v>
      </c>
      <c r="C262" s="39" t="s">
        <v>77</v>
      </c>
      <c r="D262" s="21">
        <v>45098</v>
      </c>
      <c r="E262" s="6">
        <v>0.54166666666666663</v>
      </c>
      <c r="F262" s="1" t="s">
        <v>824</v>
      </c>
      <c r="G262" s="3">
        <v>39538</v>
      </c>
      <c r="H262" s="11" t="str">
        <f t="shared" si="21"/>
        <v>15 г. 2 мес. 21 дн.</v>
      </c>
      <c r="I262" s="20" t="s">
        <v>122</v>
      </c>
      <c r="J262" s="20" t="s">
        <v>77</v>
      </c>
      <c r="K262" s="1" t="s">
        <v>825</v>
      </c>
      <c r="L262" s="1" t="s">
        <v>826</v>
      </c>
      <c r="M262" s="1" t="s">
        <v>49</v>
      </c>
      <c r="O262" s="20" t="s">
        <v>89</v>
      </c>
      <c r="S262" s="1" t="s">
        <v>77</v>
      </c>
      <c r="T262" s="3">
        <v>45100</v>
      </c>
      <c r="U262" s="6">
        <v>0.5</v>
      </c>
      <c r="V262" s="1" t="str">
        <f t="shared" si="16"/>
        <v>0 г. 0 мес. 2 дн.</v>
      </c>
      <c r="W262" s="69"/>
    </row>
    <row r="263" spans="1:23" ht="35.1" customHeight="1" x14ac:dyDescent="0.25">
      <c r="A263" s="8">
        <f t="shared" si="20"/>
        <v>262</v>
      </c>
      <c r="B263" s="1">
        <v>838</v>
      </c>
      <c r="C263" s="39" t="s">
        <v>23</v>
      </c>
      <c r="D263" s="21">
        <v>45098</v>
      </c>
      <c r="E263" s="6">
        <v>0.97916666666666663</v>
      </c>
      <c r="F263" s="1" t="s">
        <v>827</v>
      </c>
      <c r="G263" s="3">
        <v>38567</v>
      </c>
      <c r="H263" s="11" t="str">
        <f t="shared" si="21"/>
        <v>17 г. 10 мес. 18 дн.</v>
      </c>
      <c r="I263" s="20" t="s">
        <v>120</v>
      </c>
      <c r="J263" s="20"/>
      <c r="K263" s="1" t="s">
        <v>828</v>
      </c>
      <c r="L263" s="1" t="s">
        <v>779</v>
      </c>
      <c r="M263" s="1" t="s">
        <v>52</v>
      </c>
      <c r="O263" s="20" t="s">
        <v>89</v>
      </c>
      <c r="S263" s="1" t="s">
        <v>23</v>
      </c>
      <c r="T263" s="3">
        <v>45100</v>
      </c>
      <c r="U263" s="6">
        <v>0.5</v>
      </c>
      <c r="V263" s="1" t="str">
        <f t="shared" si="16"/>
        <v>0 г. 0 мес. 2 дн.</v>
      </c>
      <c r="W263" s="69"/>
    </row>
    <row r="264" spans="1:23" ht="35.1" customHeight="1" x14ac:dyDescent="0.25">
      <c r="A264" s="1">
        <f t="shared" si="20"/>
        <v>263</v>
      </c>
      <c r="B264" s="1">
        <v>1451</v>
      </c>
      <c r="C264" s="39" t="s">
        <v>77</v>
      </c>
      <c r="D264" s="21">
        <v>45102</v>
      </c>
      <c r="E264" s="6">
        <v>0.83680555555555547</v>
      </c>
      <c r="F264" s="1" t="s">
        <v>829</v>
      </c>
      <c r="G264" s="3">
        <v>45096</v>
      </c>
      <c r="H264" s="11" t="str">
        <f t="shared" si="21"/>
        <v>0 г. 0 мес. 6 дн.</v>
      </c>
      <c r="I264" s="20" t="s">
        <v>120</v>
      </c>
      <c r="J264" s="20"/>
      <c r="K264" s="1" t="s">
        <v>830</v>
      </c>
      <c r="L264" s="1" t="s">
        <v>831</v>
      </c>
      <c r="M264" s="1" t="s">
        <v>53</v>
      </c>
      <c r="O264" s="20" t="s">
        <v>73</v>
      </c>
      <c r="S264" s="1" t="s">
        <v>77</v>
      </c>
      <c r="T264" s="21">
        <v>45104</v>
      </c>
      <c r="U264" s="6">
        <v>0.5</v>
      </c>
      <c r="V264" s="1" t="str">
        <f t="shared" si="16"/>
        <v>0 г. 0 мес. 2 дн.</v>
      </c>
      <c r="W264" s="69"/>
    </row>
    <row r="265" spans="1:23" ht="35.1" customHeight="1" x14ac:dyDescent="0.25">
      <c r="A265" s="8">
        <f t="shared" si="20"/>
        <v>264</v>
      </c>
      <c r="B265" s="1">
        <v>1415</v>
      </c>
      <c r="C265" s="39" t="s">
        <v>77</v>
      </c>
      <c r="D265" s="21">
        <v>45102</v>
      </c>
      <c r="E265" s="6">
        <v>0.52083333333333337</v>
      </c>
      <c r="F265" s="1" t="s">
        <v>824</v>
      </c>
      <c r="G265" s="3">
        <v>39538</v>
      </c>
      <c r="H265" s="11" t="str">
        <f t="shared" ref="H265" si="22">DATEDIF(G265,D265,"y") &amp; " г. " &amp; DATEDIF(G265,D265,"ym") &amp; " мес. " &amp; DATEDIF(G265,D265,"md") &amp; " дн."</f>
        <v>15 г. 2 мес. 25 дн.</v>
      </c>
      <c r="I265" s="20" t="s">
        <v>122</v>
      </c>
      <c r="J265" s="20" t="s">
        <v>77</v>
      </c>
      <c r="K265" s="1" t="s">
        <v>825</v>
      </c>
      <c r="L265" s="1" t="s">
        <v>826</v>
      </c>
      <c r="M265" s="1" t="s">
        <v>49</v>
      </c>
      <c r="O265" s="20" t="s">
        <v>89</v>
      </c>
      <c r="S265" s="1" t="s">
        <v>77</v>
      </c>
      <c r="T265" s="3">
        <v>45107</v>
      </c>
      <c r="U265" s="6">
        <v>0.45833333333333331</v>
      </c>
      <c r="V265" s="1" t="str">
        <f t="shared" si="16"/>
        <v>0 г. 0 мес. 5 дн.</v>
      </c>
      <c r="W265" s="69"/>
    </row>
    <row r="266" spans="1:23" ht="35.1" customHeight="1" x14ac:dyDescent="0.25">
      <c r="A266" s="1">
        <f t="shared" si="20"/>
        <v>265</v>
      </c>
      <c r="B266" s="1">
        <v>1478</v>
      </c>
      <c r="C266" s="39" t="s">
        <v>77</v>
      </c>
      <c r="D266" s="21">
        <v>45104</v>
      </c>
      <c r="E266" s="6">
        <v>0.64583333333333337</v>
      </c>
      <c r="F266" s="1" t="s">
        <v>832</v>
      </c>
      <c r="G266" s="3">
        <v>42365</v>
      </c>
      <c r="H266" s="11" t="str">
        <f t="shared" si="21"/>
        <v>7 г. 6 мес. 0 дн.</v>
      </c>
      <c r="I266" s="20" t="s">
        <v>75</v>
      </c>
      <c r="J266" s="20"/>
      <c r="K266" s="1" t="s">
        <v>833</v>
      </c>
      <c r="L266" s="1" t="s">
        <v>834</v>
      </c>
      <c r="M266" s="1" t="s">
        <v>54</v>
      </c>
      <c r="O266" s="20" t="s">
        <v>89</v>
      </c>
      <c r="S266" s="1" t="s">
        <v>77</v>
      </c>
      <c r="T266" s="21">
        <v>45105</v>
      </c>
      <c r="U266" s="6">
        <v>0.5</v>
      </c>
      <c r="V266" s="1" t="str">
        <f t="shared" ref="V266:V279" si="23">DATEDIF(D266,T266,"y") &amp; " г. " &amp; DATEDIF(D266,T266,"ym") &amp; " мес. " &amp; DATEDIF(D266,T266,"md") &amp; " дн."</f>
        <v>0 г. 0 мес. 1 дн.</v>
      </c>
      <c r="W266" s="69"/>
    </row>
    <row r="267" spans="1:23" ht="35.1" customHeight="1" x14ac:dyDescent="0.25">
      <c r="A267" s="8">
        <f t="shared" si="20"/>
        <v>266</v>
      </c>
      <c r="B267" s="1">
        <v>863</v>
      </c>
      <c r="C267" s="39" t="s">
        <v>23</v>
      </c>
      <c r="D267" s="21">
        <v>45104</v>
      </c>
      <c r="E267" s="6">
        <v>0.67708333333333337</v>
      </c>
      <c r="F267" s="1" t="s">
        <v>835</v>
      </c>
      <c r="G267" s="3">
        <v>41549</v>
      </c>
      <c r="H267" s="11" t="str">
        <f t="shared" si="21"/>
        <v>9 г. 8 мес. 25 дн.</v>
      </c>
      <c r="I267" s="20" t="s">
        <v>120</v>
      </c>
      <c r="J267" s="20"/>
      <c r="K267" s="1" t="s">
        <v>836</v>
      </c>
      <c r="L267" s="1" t="s">
        <v>837</v>
      </c>
      <c r="M267" s="1" t="s">
        <v>52</v>
      </c>
      <c r="O267" s="20" t="s">
        <v>89</v>
      </c>
      <c r="S267" s="1" t="s">
        <v>23</v>
      </c>
      <c r="T267" s="3">
        <v>45106</v>
      </c>
      <c r="U267" s="6">
        <v>0.5</v>
      </c>
      <c r="V267" s="1" t="str">
        <f t="shared" si="23"/>
        <v>0 г. 0 мес. 2 дн.</v>
      </c>
      <c r="W267" s="69"/>
    </row>
    <row r="268" spans="1:23" ht="35.1" customHeight="1" x14ac:dyDescent="0.25">
      <c r="A268" s="1">
        <f t="shared" si="20"/>
        <v>267</v>
      </c>
      <c r="B268" s="1">
        <v>1451</v>
      </c>
      <c r="C268" s="39" t="s">
        <v>77</v>
      </c>
      <c r="D268" s="21">
        <v>45105</v>
      </c>
      <c r="E268" s="6">
        <v>0.83680555555555547</v>
      </c>
      <c r="F268" s="1" t="s">
        <v>866</v>
      </c>
      <c r="G268" s="3">
        <v>45096</v>
      </c>
      <c r="H268" s="11" t="str">
        <f t="shared" ref="H268" si="24">DATEDIF(G268,D268,"y") &amp; " г. " &amp; DATEDIF(G268,D268,"ym") &amp; " мес. " &amp; DATEDIF(G268,D268,"md") &amp; " дн."</f>
        <v>0 г. 0 мес. 9 дн.</v>
      </c>
      <c r="I268" s="20" t="s">
        <v>120</v>
      </c>
      <c r="J268" s="20"/>
      <c r="K268" s="1" t="s">
        <v>830</v>
      </c>
      <c r="L268" s="1" t="s">
        <v>831</v>
      </c>
      <c r="M268" s="1" t="s">
        <v>53</v>
      </c>
      <c r="O268" s="20" t="s">
        <v>73</v>
      </c>
      <c r="S268" s="1" t="s">
        <v>77</v>
      </c>
      <c r="T268" s="3">
        <v>45110</v>
      </c>
      <c r="U268" s="6">
        <v>0.60902777777777783</v>
      </c>
      <c r="V268" s="1" t="str">
        <f t="shared" si="23"/>
        <v>0 г. 0 мес. 5 дн.</v>
      </c>
      <c r="W268" s="69"/>
    </row>
    <row r="269" spans="1:23" ht="35.1" customHeight="1" x14ac:dyDescent="0.25">
      <c r="A269" s="8">
        <f t="shared" si="20"/>
        <v>268</v>
      </c>
      <c r="B269" s="1">
        <v>1488</v>
      </c>
      <c r="C269" s="39" t="s">
        <v>77</v>
      </c>
      <c r="D269" s="21">
        <v>45105</v>
      </c>
      <c r="E269" s="6">
        <v>0.86805555555555547</v>
      </c>
      <c r="F269" s="1" t="s">
        <v>838</v>
      </c>
      <c r="G269" s="3">
        <v>41935</v>
      </c>
      <c r="H269" s="11" t="str">
        <f t="shared" si="21"/>
        <v>8 г. 8 мес. 5 дн.</v>
      </c>
      <c r="I269" s="20" t="s">
        <v>120</v>
      </c>
      <c r="J269" s="20"/>
      <c r="K269" s="1" t="s">
        <v>839</v>
      </c>
      <c r="L269" s="1" t="s">
        <v>840</v>
      </c>
      <c r="M269" s="1" t="s">
        <v>52</v>
      </c>
      <c r="O269" s="20" t="s">
        <v>73</v>
      </c>
      <c r="S269" s="1" t="s">
        <v>77</v>
      </c>
      <c r="T269" s="3">
        <v>45107</v>
      </c>
      <c r="U269" s="6">
        <v>0.54166666666666663</v>
      </c>
      <c r="V269" s="1" t="str">
        <f t="shared" si="23"/>
        <v>0 г. 0 мес. 2 дн.</v>
      </c>
      <c r="W269" s="69"/>
    </row>
    <row r="270" spans="1:23" ht="35.1" customHeight="1" x14ac:dyDescent="0.25">
      <c r="A270" s="1">
        <f t="shared" si="20"/>
        <v>269</v>
      </c>
      <c r="B270" s="1">
        <v>758</v>
      </c>
      <c r="C270" s="39" t="s">
        <v>23</v>
      </c>
      <c r="D270" s="21">
        <v>45098</v>
      </c>
      <c r="E270" s="6">
        <v>0.65972222222222221</v>
      </c>
      <c r="F270" s="1" t="s">
        <v>841</v>
      </c>
      <c r="G270" s="3">
        <v>40362</v>
      </c>
      <c r="H270" s="11" t="str">
        <f t="shared" si="21"/>
        <v>12 г. 11 мес. 18 дн.</v>
      </c>
      <c r="I270" s="20" t="s">
        <v>120</v>
      </c>
      <c r="J270" s="20"/>
      <c r="K270" s="1" t="s">
        <v>842</v>
      </c>
      <c r="L270" s="1" t="s">
        <v>843</v>
      </c>
      <c r="M270" s="1" t="s">
        <v>52</v>
      </c>
      <c r="O270" s="20" t="s">
        <v>89</v>
      </c>
      <c r="S270" s="1" t="s">
        <v>23</v>
      </c>
      <c r="T270" s="3">
        <v>45098</v>
      </c>
      <c r="U270" s="6">
        <v>0.79166666666666663</v>
      </c>
      <c r="V270" s="1" t="str">
        <f t="shared" si="23"/>
        <v>0 г. 0 мес. 0 дн.</v>
      </c>
      <c r="W270" s="69"/>
    </row>
    <row r="271" spans="1:23" ht="35.1" customHeight="1" x14ac:dyDescent="0.25">
      <c r="A271" s="8">
        <f t="shared" si="20"/>
        <v>270</v>
      </c>
      <c r="B271" s="7">
        <v>717</v>
      </c>
      <c r="C271" s="39" t="s">
        <v>27</v>
      </c>
      <c r="D271" s="21">
        <v>45100</v>
      </c>
      <c r="E271" s="6">
        <v>0.5</v>
      </c>
      <c r="F271" s="1" t="s">
        <v>863</v>
      </c>
      <c r="G271" s="3">
        <v>45038</v>
      </c>
      <c r="H271" s="11" t="str">
        <f t="shared" si="21"/>
        <v>0 г. 2 мес. 1 дн.</v>
      </c>
      <c r="I271" s="20" t="s">
        <v>122</v>
      </c>
      <c r="J271" s="20" t="s">
        <v>27</v>
      </c>
      <c r="K271" s="1" t="s">
        <v>510</v>
      </c>
      <c r="L271" s="1" t="s">
        <v>844</v>
      </c>
      <c r="M271" s="1" t="s">
        <v>45</v>
      </c>
      <c r="N271" s="7"/>
      <c r="O271" s="20" t="s">
        <v>89</v>
      </c>
      <c r="P271" s="7"/>
      <c r="Q271" s="7"/>
      <c r="R271" s="7"/>
      <c r="S271" s="1" t="s">
        <v>27</v>
      </c>
      <c r="T271" s="3">
        <v>45102</v>
      </c>
      <c r="U271" s="6">
        <v>0.5</v>
      </c>
      <c r="V271" s="1" t="str">
        <f t="shared" si="23"/>
        <v>0 г. 0 мес. 2 дн.</v>
      </c>
      <c r="W271" s="69"/>
    </row>
    <row r="272" spans="1:23" s="8" customFormat="1" ht="35.1" customHeight="1" x14ac:dyDescent="0.25">
      <c r="A272" s="1">
        <f t="shared" si="20"/>
        <v>271</v>
      </c>
      <c r="B272" s="1">
        <v>857</v>
      </c>
      <c r="C272" s="39" t="s">
        <v>23</v>
      </c>
      <c r="D272" s="21">
        <v>45104</v>
      </c>
      <c r="E272" s="6">
        <v>0.5</v>
      </c>
      <c r="F272" s="1" t="s">
        <v>865</v>
      </c>
      <c r="G272" s="3">
        <v>39397</v>
      </c>
      <c r="H272" s="11" t="str">
        <f t="shared" si="21"/>
        <v>15 г. 7 мес. 16 дн.</v>
      </c>
      <c r="I272" s="20" t="s">
        <v>120</v>
      </c>
      <c r="J272" s="20"/>
      <c r="K272" s="1" t="s">
        <v>846</v>
      </c>
      <c r="L272" s="1" t="s">
        <v>845</v>
      </c>
      <c r="M272" s="1" t="s">
        <v>52</v>
      </c>
      <c r="N272" s="1"/>
      <c r="O272" s="20" t="s">
        <v>89</v>
      </c>
      <c r="P272" s="1"/>
      <c r="Q272" s="1"/>
      <c r="R272" s="1"/>
      <c r="S272" s="1" t="s">
        <v>23</v>
      </c>
      <c r="T272" s="3">
        <v>45105</v>
      </c>
      <c r="U272" s="6">
        <v>0.5</v>
      </c>
      <c r="V272" s="1" t="str">
        <f t="shared" si="23"/>
        <v>0 г. 0 мес. 1 дн.</v>
      </c>
      <c r="W272" s="73"/>
    </row>
    <row r="273" spans="1:23" s="23" customFormat="1" ht="35.1" customHeight="1" x14ac:dyDescent="0.25">
      <c r="A273" s="23">
        <f t="shared" si="20"/>
        <v>272</v>
      </c>
      <c r="B273" s="23">
        <v>1520</v>
      </c>
      <c r="C273" s="39" t="s">
        <v>77</v>
      </c>
      <c r="D273" s="21">
        <v>45107</v>
      </c>
      <c r="E273" s="26">
        <v>0.90277777777777779</v>
      </c>
      <c r="F273" s="23" t="s">
        <v>864</v>
      </c>
      <c r="G273" s="25">
        <v>41825</v>
      </c>
      <c r="H273" s="11" t="str">
        <f t="shared" si="21"/>
        <v>8 г. 11 мес. 25 дн.</v>
      </c>
      <c r="I273" s="20" t="s">
        <v>121</v>
      </c>
      <c r="J273" s="20" t="s">
        <v>77</v>
      </c>
      <c r="K273" s="23" t="s">
        <v>847</v>
      </c>
      <c r="L273" s="23" t="s">
        <v>854</v>
      </c>
      <c r="M273" s="23" t="s">
        <v>49</v>
      </c>
      <c r="O273" s="20" t="s">
        <v>73</v>
      </c>
      <c r="P273" s="23" t="s">
        <v>96</v>
      </c>
      <c r="S273" s="23" t="s">
        <v>77</v>
      </c>
      <c r="T273" s="25">
        <v>45116</v>
      </c>
      <c r="U273" s="26">
        <v>0.5</v>
      </c>
      <c r="V273" s="23" t="str">
        <f t="shared" si="23"/>
        <v>0 г. 0 мес. 9 дн.</v>
      </c>
      <c r="W273" s="70"/>
    </row>
    <row r="274" spans="1:23" ht="35.1" customHeight="1" x14ac:dyDescent="0.25">
      <c r="A274" s="1">
        <f t="shared" si="20"/>
        <v>273</v>
      </c>
      <c r="B274" s="1">
        <v>399</v>
      </c>
      <c r="C274" s="39" t="s">
        <v>28</v>
      </c>
      <c r="D274" s="21">
        <v>45107</v>
      </c>
      <c r="E274" s="6">
        <v>0.75694444444444453</v>
      </c>
      <c r="F274" s="1" t="s">
        <v>848</v>
      </c>
      <c r="G274" s="3">
        <v>45070</v>
      </c>
      <c r="H274" s="11" t="str">
        <f t="shared" si="21"/>
        <v>0 г. 1 мес. 6 дн.</v>
      </c>
      <c r="I274" s="20" t="s">
        <v>123</v>
      </c>
      <c r="J274" s="20"/>
      <c r="K274" s="1" t="s">
        <v>849</v>
      </c>
      <c r="L274" s="1" t="s">
        <v>850</v>
      </c>
      <c r="M274" s="1" t="s">
        <v>46</v>
      </c>
      <c r="O274" s="20" t="s">
        <v>89</v>
      </c>
      <c r="Q274" s="1" t="s">
        <v>103</v>
      </c>
      <c r="S274" s="1" t="s">
        <v>28</v>
      </c>
      <c r="T274" s="3">
        <v>45114</v>
      </c>
      <c r="U274" s="6">
        <v>0.5</v>
      </c>
      <c r="V274" s="1" t="str">
        <f t="shared" si="23"/>
        <v>0 г. 0 мес. 7 дн.</v>
      </c>
      <c r="W274" s="69"/>
    </row>
    <row r="275" spans="1:23" ht="35.1" customHeight="1" x14ac:dyDescent="0.25">
      <c r="A275" s="8">
        <f t="shared" si="20"/>
        <v>274</v>
      </c>
      <c r="B275" s="1">
        <v>1503</v>
      </c>
      <c r="C275" s="39" t="s">
        <v>77</v>
      </c>
      <c r="D275" s="21">
        <v>45107</v>
      </c>
      <c r="E275" s="6">
        <v>0.97569444444444453</v>
      </c>
      <c r="F275" s="1" t="s">
        <v>851</v>
      </c>
      <c r="G275" s="3">
        <v>40896</v>
      </c>
      <c r="H275" s="11" t="str">
        <f t="shared" si="21"/>
        <v>11 г. 6 мес. 11 дн.</v>
      </c>
      <c r="I275" s="20" t="s">
        <v>121</v>
      </c>
      <c r="J275" s="20" t="s">
        <v>77</v>
      </c>
      <c r="K275" s="1" t="s">
        <v>852</v>
      </c>
      <c r="L275" s="1" t="s">
        <v>853</v>
      </c>
      <c r="M275" s="1" t="s">
        <v>49</v>
      </c>
      <c r="O275" s="20" t="s">
        <v>89</v>
      </c>
      <c r="S275" s="1" t="s">
        <v>77</v>
      </c>
      <c r="T275" s="3">
        <v>45108</v>
      </c>
      <c r="U275" s="6">
        <v>0.44861111111111113</v>
      </c>
      <c r="V275" s="1" t="str">
        <f t="shared" si="23"/>
        <v>0 г. 0 мес. 1 дн.</v>
      </c>
      <c r="W275" s="69"/>
    </row>
    <row r="276" spans="1:23" ht="35.1" customHeight="1" x14ac:dyDescent="0.25">
      <c r="A276" s="1">
        <f t="shared" si="20"/>
        <v>275</v>
      </c>
      <c r="B276" s="1">
        <v>371</v>
      </c>
      <c r="C276" s="39" t="s">
        <v>26</v>
      </c>
      <c r="D276" s="21">
        <v>45092</v>
      </c>
      <c r="E276" s="6">
        <v>0.57638888888888895</v>
      </c>
      <c r="F276" s="1" t="s">
        <v>855</v>
      </c>
      <c r="G276" s="3">
        <v>44727</v>
      </c>
      <c r="H276" s="11" t="str">
        <f t="shared" si="21"/>
        <v>1 г. 0 мес. 0 дн.</v>
      </c>
      <c r="I276" s="20" t="s">
        <v>120</v>
      </c>
      <c r="J276" s="20"/>
      <c r="K276" s="1" t="s">
        <v>856</v>
      </c>
      <c r="L276" s="1" t="s">
        <v>857</v>
      </c>
      <c r="M276" s="1" t="s">
        <v>48</v>
      </c>
      <c r="O276" s="20" t="s">
        <v>89</v>
      </c>
      <c r="S276" s="1" t="s">
        <v>26</v>
      </c>
      <c r="T276" s="3">
        <v>45092</v>
      </c>
      <c r="U276" s="6">
        <v>0.94444444444444453</v>
      </c>
      <c r="V276" s="1" t="str">
        <f t="shared" si="23"/>
        <v>0 г. 0 мес. 0 дн.</v>
      </c>
      <c r="W276" s="69"/>
    </row>
    <row r="277" spans="1:23" ht="35.1" customHeight="1" x14ac:dyDescent="0.25">
      <c r="A277" s="8">
        <f t="shared" si="20"/>
        <v>276</v>
      </c>
      <c r="B277" s="1">
        <v>389</v>
      </c>
      <c r="C277" s="39" t="s">
        <v>26</v>
      </c>
      <c r="D277" s="21">
        <v>45108</v>
      </c>
      <c r="E277" s="6">
        <v>0.97916666666666663</v>
      </c>
      <c r="F277" s="1" t="s">
        <v>860</v>
      </c>
      <c r="G277" s="3">
        <v>40159</v>
      </c>
      <c r="H277" s="11" t="str">
        <f t="shared" si="21"/>
        <v>13 г. 6 мес. 19 дн.</v>
      </c>
      <c r="I277" s="20" t="s">
        <v>120</v>
      </c>
      <c r="J277" s="20"/>
      <c r="K277" s="1" t="s">
        <v>861</v>
      </c>
      <c r="L277" s="1" t="s">
        <v>575</v>
      </c>
      <c r="M277" s="1" t="s">
        <v>55</v>
      </c>
      <c r="O277" s="20" t="s">
        <v>89</v>
      </c>
      <c r="S277" s="1" t="s">
        <v>26</v>
      </c>
      <c r="T277" s="3">
        <v>45109</v>
      </c>
      <c r="U277" s="6">
        <v>0.48125000000000001</v>
      </c>
      <c r="V277" s="1" t="str">
        <f t="shared" si="23"/>
        <v>0 г. 0 мес. 1 дн.</v>
      </c>
      <c r="W277" s="69"/>
    </row>
    <row r="278" spans="1:23" ht="35.1" customHeight="1" x14ac:dyDescent="0.25">
      <c r="A278" s="1">
        <f t="shared" si="20"/>
        <v>277</v>
      </c>
      <c r="B278" s="1">
        <v>370</v>
      </c>
      <c r="C278" s="39" t="s">
        <v>82</v>
      </c>
      <c r="D278" s="21">
        <v>45092</v>
      </c>
      <c r="E278" s="6">
        <v>6.9444444444444447E-4</v>
      </c>
      <c r="F278" s="1" t="s">
        <v>660</v>
      </c>
      <c r="G278" s="3">
        <v>45024</v>
      </c>
      <c r="H278" s="11" t="str">
        <f t="shared" si="21"/>
        <v>0 г. 2 мес. 7 дн.</v>
      </c>
      <c r="I278" s="20" t="s">
        <v>125</v>
      </c>
      <c r="J278" s="20" t="s">
        <v>82</v>
      </c>
      <c r="K278" s="1" t="s">
        <v>658</v>
      </c>
      <c r="L278" s="1" t="s">
        <v>862</v>
      </c>
      <c r="M278" s="1" t="s">
        <v>56</v>
      </c>
      <c r="N278" s="1">
        <v>720</v>
      </c>
      <c r="O278" s="20" t="s">
        <v>89</v>
      </c>
      <c r="S278" s="1" t="s">
        <v>82</v>
      </c>
      <c r="T278" s="3">
        <v>45121</v>
      </c>
      <c r="U278" s="6">
        <v>0.99652777777777779</v>
      </c>
      <c r="V278" s="1" t="str">
        <f t="shared" si="23"/>
        <v>0 г. 0 мес. 29 дн.</v>
      </c>
      <c r="W278" s="69"/>
    </row>
    <row r="279" spans="1:23" ht="35.1" customHeight="1" x14ac:dyDescent="0.25">
      <c r="A279" s="8">
        <f t="shared" si="20"/>
        <v>278</v>
      </c>
      <c r="B279" s="1">
        <v>874</v>
      </c>
      <c r="C279" s="39" t="s">
        <v>23</v>
      </c>
      <c r="D279" s="21">
        <v>45111</v>
      </c>
      <c r="E279" s="6">
        <v>0.625</v>
      </c>
      <c r="F279" s="1" t="s">
        <v>868</v>
      </c>
      <c r="G279" s="3">
        <v>39280</v>
      </c>
      <c r="H279" s="11" t="str">
        <f t="shared" si="21"/>
        <v>15 г. 11 мес. 17 дн.</v>
      </c>
      <c r="I279" s="20" t="s">
        <v>121</v>
      </c>
      <c r="J279" s="20" t="s">
        <v>23</v>
      </c>
      <c r="K279" s="1" t="s">
        <v>869</v>
      </c>
      <c r="L279" s="1" t="s">
        <v>870</v>
      </c>
      <c r="M279" s="1" t="s">
        <v>51</v>
      </c>
      <c r="O279" s="20" t="s">
        <v>89</v>
      </c>
      <c r="S279" s="1" t="s">
        <v>23</v>
      </c>
      <c r="T279" s="3">
        <v>45112</v>
      </c>
      <c r="U279" s="6">
        <v>0.47916666666666669</v>
      </c>
      <c r="V279" s="1" t="str">
        <f t="shared" si="23"/>
        <v>0 г. 0 мес. 1 дн.</v>
      </c>
      <c r="W279" s="69"/>
    </row>
    <row r="280" spans="1:23" ht="35.1" customHeight="1" x14ac:dyDescent="0.25">
      <c r="A280" s="1">
        <f t="shared" si="20"/>
        <v>279</v>
      </c>
      <c r="B280" s="1">
        <v>408</v>
      </c>
      <c r="C280" s="39" t="s">
        <v>28</v>
      </c>
      <c r="D280" s="21">
        <v>45112</v>
      </c>
      <c r="E280" s="6">
        <v>4.8611111111111112E-2</v>
      </c>
      <c r="F280" s="1" t="s">
        <v>783</v>
      </c>
      <c r="G280" s="3">
        <v>38695</v>
      </c>
      <c r="H280" s="11" t="str">
        <f t="shared" si="21"/>
        <v>17 г. 6 мес. 26 дн.</v>
      </c>
      <c r="I280" s="20" t="s">
        <v>120</v>
      </c>
      <c r="J280" s="20"/>
      <c r="K280" s="1" t="s">
        <v>873</v>
      </c>
      <c r="L280" s="1" t="s">
        <v>871</v>
      </c>
      <c r="M280" s="1" t="s">
        <v>46</v>
      </c>
      <c r="O280" s="20" t="s">
        <v>89</v>
      </c>
      <c r="S280" s="1" t="s">
        <v>29</v>
      </c>
      <c r="T280" s="3">
        <v>45112</v>
      </c>
      <c r="U280" s="6">
        <v>0.58333333333333337</v>
      </c>
      <c r="V280" s="1" t="s">
        <v>80</v>
      </c>
      <c r="W280" s="69"/>
    </row>
    <row r="281" spans="1:23" ht="35.1" customHeight="1" x14ac:dyDescent="0.25">
      <c r="A281" s="8">
        <f t="shared" si="20"/>
        <v>280</v>
      </c>
      <c r="B281" s="1"/>
      <c r="C281" s="39" t="s">
        <v>27</v>
      </c>
      <c r="D281" s="21">
        <v>45111</v>
      </c>
      <c r="E281" s="6">
        <v>8.3333333333333329E-2</v>
      </c>
      <c r="F281" s="1" t="s">
        <v>877</v>
      </c>
      <c r="G281" s="3">
        <v>39441</v>
      </c>
      <c r="H281" s="11" t="str">
        <f t="shared" si="21"/>
        <v>15 г. 6 мес. 9 дн.</v>
      </c>
      <c r="I281" s="20" t="s">
        <v>120</v>
      </c>
      <c r="J281" s="20"/>
      <c r="K281" s="1" t="s">
        <v>878</v>
      </c>
      <c r="L281" s="1" t="s">
        <v>879</v>
      </c>
      <c r="M281" s="1" t="s">
        <v>55</v>
      </c>
      <c r="O281" s="20" t="s">
        <v>89</v>
      </c>
      <c r="S281" s="1" t="s">
        <v>77</v>
      </c>
      <c r="T281" s="3">
        <v>45111</v>
      </c>
      <c r="U281" s="6">
        <v>0.54375000000000007</v>
      </c>
      <c r="V281" s="1" t="str">
        <f t="shared" ref="V281:V344" si="25">DATEDIF(D281,T281,"y") &amp; " г. " &amp; DATEDIF(D281,T281,"ym") &amp; " мес. " &amp; DATEDIF(D281,T281,"md") &amp; " дн."</f>
        <v>0 г. 0 мес. 0 дн.</v>
      </c>
      <c r="W281" s="69"/>
    </row>
    <row r="282" spans="1:23" ht="35.1" customHeight="1" x14ac:dyDescent="0.25">
      <c r="A282" s="1">
        <f t="shared" si="20"/>
        <v>281</v>
      </c>
      <c r="B282" s="1">
        <v>891</v>
      </c>
      <c r="C282" s="39" t="s">
        <v>23</v>
      </c>
      <c r="D282" s="21">
        <v>45110</v>
      </c>
      <c r="E282" s="6">
        <v>0.54166666666666663</v>
      </c>
      <c r="F282" s="1" t="s">
        <v>876</v>
      </c>
      <c r="G282" s="3">
        <v>44291</v>
      </c>
      <c r="H282" s="11" t="str">
        <f t="shared" si="21"/>
        <v>2 г. 2 мес. 28 дн.</v>
      </c>
      <c r="I282" s="20" t="s">
        <v>120</v>
      </c>
      <c r="J282" s="20"/>
      <c r="K282" s="1" t="s">
        <v>874</v>
      </c>
      <c r="L282" s="1" t="s">
        <v>875</v>
      </c>
      <c r="M282" s="1" t="s">
        <v>52</v>
      </c>
      <c r="O282" s="20" t="s">
        <v>89</v>
      </c>
      <c r="S282" s="1" t="s">
        <v>23</v>
      </c>
      <c r="T282" s="3">
        <v>45111</v>
      </c>
      <c r="U282" s="6">
        <v>0.70833333333333337</v>
      </c>
      <c r="V282" s="1" t="str">
        <f t="shared" si="25"/>
        <v>0 г. 0 мес. 1 дн.</v>
      </c>
      <c r="W282" s="69"/>
    </row>
    <row r="283" spans="1:23" ht="35.1" customHeight="1" x14ac:dyDescent="0.25">
      <c r="A283" s="8">
        <f t="shared" si="20"/>
        <v>282</v>
      </c>
      <c r="B283" s="1">
        <v>884</v>
      </c>
      <c r="C283" s="39" t="s">
        <v>23</v>
      </c>
      <c r="D283" s="21">
        <v>45111</v>
      </c>
      <c r="E283" s="6">
        <v>0.41666666666666669</v>
      </c>
      <c r="F283" s="1" t="s">
        <v>880</v>
      </c>
      <c r="G283" s="3">
        <v>45059</v>
      </c>
      <c r="H283" s="11" t="str">
        <f t="shared" si="21"/>
        <v>0 г. 1 мес. 21 дн.</v>
      </c>
      <c r="I283" s="20" t="s">
        <v>121</v>
      </c>
      <c r="J283" s="20" t="s">
        <v>23</v>
      </c>
      <c r="K283" s="1" t="s">
        <v>881</v>
      </c>
      <c r="L283" s="1" t="s">
        <v>872</v>
      </c>
      <c r="M283" s="1" t="s">
        <v>48</v>
      </c>
      <c r="O283" s="20" t="s">
        <v>89</v>
      </c>
      <c r="S283" s="1" t="s">
        <v>23</v>
      </c>
      <c r="T283" s="3">
        <v>45111</v>
      </c>
      <c r="U283" s="6">
        <v>0.66666666666666663</v>
      </c>
      <c r="V283" s="1" t="str">
        <f t="shared" si="25"/>
        <v>0 г. 0 мес. 0 дн.</v>
      </c>
      <c r="W283" s="69"/>
    </row>
    <row r="284" spans="1:23" s="32" customFormat="1" ht="35.1" customHeight="1" x14ac:dyDescent="0.25">
      <c r="A284" s="32">
        <f t="shared" si="20"/>
        <v>283</v>
      </c>
      <c r="B284" s="32">
        <v>887</v>
      </c>
      <c r="C284" s="40" t="s">
        <v>23</v>
      </c>
      <c r="D284" s="21">
        <v>45112</v>
      </c>
      <c r="E284" s="33">
        <v>0.53125</v>
      </c>
      <c r="F284" s="32" t="s">
        <v>882</v>
      </c>
      <c r="G284" s="35">
        <v>39532</v>
      </c>
      <c r="H284" s="11" t="str">
        <f t="shared" si="21"/>
        <v>15 г. 3 мес. 10 дн.</v>
      </c>
      <c r="I284" s="20" t="s">
        <v>121</v>
      </c>
      <c r="J284" s="20" t="s">
        <v>23</v>
      </c>
      <c r="K284" s="32" t="s">
        <v>883</v>
      </c>
      <c r="L284" s="32" t="s">
        <v>884</v>
      </c>
      <c r="M284" s="32" t="s">
        <v>51</v>
      </c>
      <c r="O284" s="20" t="s">
        <v>89</v>
      </c>
      <c r="P284" s="32" t="s">
        <v>96</v>
      </c>
      <c r="S284" s="32" t="s">
        <v>23</v>
      </c>
      <c r="T284" s="35">
        <v>45113</v>
      </c>
      <c r="U284" s="33">
        <v>0.41666666666666669</v>
      </c>
      <c r="V284" s="32" t="str">
        <f t="shared" si="25"/>
        <v>0 г. 0 мес. 1 дн.</v>
      </c>
      <c r="W284" s="72"/>
    </row>
    <row r="285" spans="1:23" ht="35.1" customHeight="1" x14ac:dyDescent="0.25">
      <c r="A285" s="8">
        <f t="shared" si="20"/>
        <v>284</v>
      </c>
      <c r="B285" s="1">
        <v>396</v>
      </c>
      <c r="C285" s="39" t="s">
        <v>82</v>
      </c>
      <c r="D285" s="21">
        <v>45112</v>
      </c>
      <c r="E285" s="6">
        <v>0.53125</v>
      </c>
      <c r="F285" s="1" t="s">
        <v>885</v>
      </c>
      <c r="G285" s="3">
        <v>38693</v>
      </c>
      <c r="H285" s="11" t="str">
        <f t="shared" si="21"/>
        <v>17 г. 6 мес. 28 дн.</v>
      </c>
      <c r="I285" s="20" t="s">
        <v>120</v>
      </c>
      <c r="J285" s="20"/>
      <c r="K285" s="1" t="s">
        <v>886</v>
      </c>
      <c r="L285" s="1" t="s">
        <v>887</v>
      </c>
      <c r="M285" s="1" t="s">
        <v>48</v>
      </c>
      <c r="O285" s="20" t="s">
        <v>89</v>
      </c>
      <c r="S285" s="1" t="s">
        <v>31</v>
      </c>
      <c r="T285" s="3">
        <v>45135</v>
      </c>
      <c r="U285" s="6">
        <v>0.56041666666666667</v>
      </c>
      <c r="V285" s="1" t="str">
        <f t="shared" si="25"/>
        <v>0 г. 0 мес. 23 дн.</v>
      </c>
      <c r="W285" s="69"/>
    </row>
    <row r="286" spans="1:23" ht="35.1" customHeight="1" x14ac:dyDescent="0.25">
      <c r="A286" s="1">
        <f t="shared" si="20"/>
        <v>285</v>
      </c>
      <c r="B286" s="1">
        <v>400</v>
      </c>
      <c r="C286" s="39" t="s">
        <v>26</v>
      </c>
      <c r="D286" s="21">
        <v>45113</v>
      </c>
      <c r="E286" s="6">
        <v>0.62152777777777779</v>
      </c>
      <c r="F286" s="1" t="s">
        <v>888</v>
      </c>
      <c r="G286" s="3">
        <v>39234</v>
      </c>
      <c r="H286" s="11" t="str">
        <f t="shared" si="21"/>
        <v>16 г. 1 мес. 5 дн.</v>
      </c>
      <c r="I286" s="20" t="s">
        <v>120</v>
      </c>
      <c r="J286" s="20"/>
      <c r="K286" s="1" t="s">
        <v>889</v>
      </c>
      <c r="L286" s="1" t="s">
        <v>890</v>
      </c>
      <c r="M286" s="1" t="s">
        <v>55</v>
      </c>
      <c r="O286" s="20" t="s">
        <v>89</v>
      </c>
      <c r="S286" s="1" t="s">
        <v>26</v>
      </c>
      <c r="T286" s="3">
        <v>45115</v>
      </c>
      <c r="U286" s="6">
        <v>0.45833333333333331</v>
      </c>
      <c r="V286" s="1" t="str">
        <f t="shared" si="25"/>
        <v>0 г. 0 мес. 2 дн.</v>
      </c>
      <c r="W286" s="69"/>
    </row>
    <row r="287" spans="1:23" ht="35.1" customHeight="1" x14ac:dyDescent="0.25">
      <c r="A287" s="8">
        <f t="shared" si="20"/>
        <v>286</v>
      </c>
      <c r="B287" s="1">
        <v>718</v>
      </c>
      <c r="C287" s="39" t="s">
        <v>27</v>
      </c>
      <c r="D287" s="21">
        <v>45114</v>
      </c>
      <c r="E287" s="6">
        <v>0.625</v>
      </c>
      <c r="F287" s="1" t="s">
        <v>891</v>
      </c>
      <c r="G287" s="3">
        <v>45099</v>
      </c>
      <c r="H287" s="11" t="str">
        <f t="shared" si="21"/>
        <v>0 г. 0 мес. 15 дн.</v>
      </c>
      <c r="I287" s="20" t="s">
        <v>122</v>
      </c>
      <c r="J287" s="20"/>
      <c r="K287" s="1" t="s">
        <v>892</v>
      </c>
      <c r="L287" s="1" t="s">
        <v>752</v>
      </c>
      <c r="M287" s="1" t="s">
        <v>48</v>
      </c>
      <c r="O287" s="20" t="s">
        <v>89</v>
      </c>
      <c r="Q287" s="1" t="s">
        <v>103</v>
      </c>
      <c r="S287" s="1" t="s">
        <v>27</v>
      </c>
      <c r="T287" s="3">
        <v>45114</v>
      </c>
      <c r="U287" s="6">
        <v>0.75</v>
      </c>
      <c r="V287" s="1" t="str">
        <f t="shared" si="25"/>
        <v>0 г. 0 мес. 0 дн.</v>
      </c>
      <c r="W287" s="69"/>
    </row>
    <row r="288" spans="1:23" ht="35.1" customHeight="1" x14ac:dyDescent="0.25">
      <c r="A288" s="1">
        <f t="shared" si="20"/>
        <v>287</v>
      </c>
      <c r="B288" s="1">
        <v>719</v>
      </c>
      <c r="C288" s="39" t="s">
        <v>27</v>
      </c>
      <c r="D288" s="21">
        <v>45114</v>
      </c>
      <c r="E288" s="6">
        <v>0.625</v>
      </c>
      <c r="F288" s="11" t="s">
        <v>893</v>
      </c>
      <c r="G288" s="3">
        <v>45099</v>
      </c>
      <c r="H288" s="11" t="str">
        <f t="shared" si="21"/>
        <v>0 г. 0 мес. 15 дн.</v>
      </c>
      <c r="I288" s="20" t="s">
        <v>122</v>
      </c>
      <c r="J288" s="20"/>
      <c r="K288" s="1" t="s">
        <v>894</v>
      </c>
      <c r="L288" s="11" t="s">
        <v>752</v>
      </c>
      <c r="M288" s="1" t="s">
        <v>48</v>
      </c>
      <c r="O288" s="20" t="s">
        <v>89</v>
      </c>
      <c r="Q288" s="1" t="s">
        <v>103</v>
      </c>
      <c r="S288" s="1" t="s">
        <v>27</v>
      </c>
      <c r="T288" s="3">
        <v>45114</v>
      </c>
      <c r="U288" s="6">
        <v>0.75</v>
      </c>
      <c r="V288" s="1" t="str">
        <f t="shared" si="25"/>
        <v>0 г. 0 мес. 0 дн.</v>
      </c>
      <c r="W288" s="69"/>
    </row>
    <row r="289" spans="1:23" ht="35.1" customHeight="1" x14ac:dyDescent="0.25">
      <c r="A289" s="8">
        <f t="shared" si="20"/>
        <v>288</v>
      </c>
      <c r="B289" s="1">
        <v>776</v>
      </c>
      <c r="C289" s="39" t="s">
        <v>27</v>
      </c>
      <c r="D289" s="21">
        <v>45114</v>
      </c>
      <c r="E289" s="6">
        <v>0.79166666666666663</v>
      </c>
      <c r="F289" s="1" t="s">
        <v>895</v>
      </c>
      <c r="G289" s="3">
        <v>45041</v>
      </c>
      <c r="H289" s="11" t="str">
        <f t="shared" si="21"/>
        <v>0 г. 2 мес. 12 дн.</v>
      </c>
      <c r="I289" s="20" t="s">
        <v>122</v>
      </c>
      <c r="J289" s="20"/>
      <c r="K289" s="1" t="s">
        <v>896</v>
      </c>
      <c r="L289" s="11" t="s">
        <v>897</v>
      </c>
      <c r="M289" s="1" t="s">
        <v>48</v>
      </c>
      <c r="O289" s="20" t="s">
        <v>89</v>
      </c>
      <c r="Q289" s="1" t="s">
        <v>103</v>
      </c>
      <c r="S289" s="1" t="s">
        <v>27</v>
      </c>
      <c r="T289" s="3">
        <v>45114</v>
      </c>
      <c r="U289" s="6">
        <v>0.89583333333333337</v>
      </c>
      <c r="V289" s="1" t="str">
        <f t="shared" si="25"/>
        <v>0 г. 0 мес. 0 дн.</v>
      </c>
      <c r="W289" s="69"/>
    </row>
    <row r="290" spans="1:23" ht="35.1" customHeight="1" x14ac:dyDescent="0.25">
      <c r="A290" s="1">
        <f t="shared" si="20"/>
        <v>289</v>
      </c>
      <c r="B290" s="1">
        <v>915</v>
      </c>
      <c r="C290" s="39" t="s">
        <v>23</v>
      </c>
      <c r="D290" s="21">
        <v>45114</v>
      </c>
      <c r="E290" s="6">
        <v>0.82986111111111116</v>
      </c>
      <c r="F290" s="34" t="s">
        <v>898</v>
      </c>
      <c r="G290" s="3">
        <v>43959</v>
      </c>
      <c r="H290" s="11" t="str">
        <f t="shared" si="21"/>
        <v>3 г. 1 мес. 29 дн.</v>
      </c>
      <c r="I290" s="20" t="s">
        <v>120</v>
      </c>
      <c r="J290" s="20"/>
      <c r="K290" s="1" t="s">
        <v>899</v>
      </c>
      <c r="L290" s="11" t="s">
        <v>779</v>
      </c>
      <c r="M290" s="1" t="s">
        <v>52</v>
      </c>
      <c r="O290" s="20" t="s">
        <v>89</v>
      </c>
      <c r="S290" s="1" t="s">
        <v>23</v>
      </c>
      <c r="T290" s="3">
        <v>45114</v>
      </c>
      <c r="U290" s="6">
        <v>0.45833333333333331</v>
      </c>
      <c r="V290" s="1" t="str">
        <f t="shared" si="25"/>
        <v>0 г. 0 мес. 0 дн.</v>
      </c>
      <c r="W290" s="69"/>
    </row>
    <row r="291" spans="1:23" ht="35.1" customHeight="1" x14ac:dyDescent="0.25">
      <c r="A291" s="8">
        <f t="shared" si="20"/>
        <v>290</v>
      </c>
      <c r="B291" s="1">
        <v>917</v>
      </c>
      <c r="C291" s="39" t="s">
        <v>23</v>
      </c>
      <c r="D291" s="21">
        <v>45116</v>
      </c>
      <c r="E291" s="6">
        <v>0.13541666666666666</v>
      </c>
      <c r="F291" s="11" t="s">
        <v>900</v>
      </c>
      <c r="G291" s="3">
        <v>42371</v>
      </c>
      <c r="H291" s="11" t="str">
        <f t="shared" si="21"/>
        <v>7 г. 6 мес. 7 дн.</v>
      </c>
      <c r="I291" s="20" t="s">
        <v>123</v>
      </c>
      <c r="J291" s="20"/>
      <c r="K291" s="1" t="s">
        <v>935</v>
      </c>
      <c r="L291" s="11" t="s">
        <v>901</v>
      </c>
      <c r="M291" s="1" t="s">
        <v>52</v>
      </c>
      <c r="O291" s="20" t="s">
        <v>73</v>
      </c>
      <c r="S291" s="1" t="s">
        <v>23</v>
      </c>
      <c r="T291" s="3">
        <v>45120</v>
      </c>
      <c r="U291" s="6">
        <v>0.58333333333333337</v>
      </c>
      <c r="V291" s="1" t="str">
        <f t="shared" si="25"/>
        <v>0 г. 0 мес. 4 дн.</v>
      </c>
      <c r="W291" s="69"/>
    </row>
    <row r="292" spans="1:23" s="8" customFormat="1" ht="35.1" customHeight="1" x14ac:dyDescent="0.25">
      <c r="A292" s="1">
        <f t="shared" si="20"/>
        <v>291</v>
      </c>
      <c r="B292" s="1">
        <v>1583</v>
      </c>
      <c r="C292" s="39" t="s">
        <v>77</v>
      </c>
      <c r="D292" s="21">
        <v>45117</v>
      </c>
      <c r="E292" s="6">
        <v>0.37916666666666665</v>
      </c>
      <c r="F292" s="11" t="s">
        <v>902</v>
      </c>
      <c r="G292" s="3">
        <v>45085</v>
      </c>
      <c r="H292" s="11" t="str">
        <f t="shared" si="21"/>
        <v>0 г. 1 мес. 2 дн.</v>
      </c>
      <c r="I292" s="20" t="s">
        <v>122</v>
      </c>
      <c r="J292" s="20" t="s">
        <v>77</v>
      </c>
      <c r="K292" s="1" t="s">
        <v>903</v>
      </c>
      <c r="L292" s="11" t="s">
        <v>904</v>
      </c>
      <c r="M292" s="1" t="s">
        <v>56</v>
      </c>
      <c r="N292" s="1">
        <v>14</v>
      </c>
      <c r="O292" s="20" t="s">
        <v>73</v>
      </c>
      <c r="P292" s="1"/>
      <c r="Q292" s="1"/>
      <c r="R292" s="1"/>
      <c r="S292" s="1" t="s">
        <v>29</v>
      </c>
      <c r="T292" s="3">
        <v>45118</v>
      </c>
      <c r="U292" s="6">
        <v>0.125</v>
      </c>
      <c r="V292" s="1" t="str">
        <f t="shared" si="25"/>
        <v>0 г. 0 мес. 1 дн.</v>
      </c>
      <c r="W292" s="73"/>
    </row>
    <row r="293" spans="1:23" s="20" customFormat="1" ht="35.1" customHeight="1" x14ac:dyDescent="0.25">
      <c r="A293" s="20">
        <f t="shared" si="20"/>
        <v>292</v>
      </c>
      <c r="B293" s="20">
        <v>932</v>
      </c>
      <c r="C293" s="38" t="s">
        <v>23</v>
      </c>
      <c r="D293" s="21">
        <v>45118</v>
      </c>
      <c r="E293" s="22">
        <v>0.15972222222222224</v>
      </c>
      <c r="F293" s="20" t="s">
        <v>905</v>
      </c>
      <c r="G293" s="21">
        <v>39457</v>
      </c>
      <c r="H293" s="11" t="str">
        <f t="shared" si="21"/>
        <v>15 г. 6 мес. 1 дн.</v>
      </c>
      <c r="I293" s="20" t="s">
        <v>120</v>
      </c>
      <c r="K293" s="20" t="s">
        <v>906</v>
      </c>
      <c r="L293" s="20" t="s">
        <v>779</v>
      </c>
      <c r="M293" s="20" t="s">
        <v>52</v>
      </c>
      <c r="O293" s="20" t="s">
        <v>89</v>
      </c>
      <c r="S293" s="20" t="s">
        <v>23</v>
      </c>
      <c r="T293" s="21">
        <v>45118</v>
      </c>
      <c r="U293" s="22">
        <v>0.58333333333333337</v>
      </c>
      <c r="V293" s="20" t="str">
        <f t="shared" si="25"/>
        <v>0 г. 0 мес. 0 дн.</v>
      </c>
      <c r="W293" s="70"/>
    </row>
    <row r="294" spans="1:23" s="96" customFormat="1" ht="35.1" customHeight="1" x14ac:dyDescent="0.25">
      <c r="A294" s="96">
        <f t="shared" si="20"/>
        <v>293</v>
      </c>
      <c r="B294" s="96">
        <v>411</v>
      </c>
      <c r="C294" s="97" t="s">
        <v>26</v>
      </c>
      <c r="D294" s="98">
        <v>45118</v>
      </c>
      <c r="E294" s="99">
        <v>0.65277777777777779</v>
      </c>
      <c r="F294" s="96" t="s">
        <v>907</v>
      </c>
      <c r="G294" s="98">
        <v>44803</v>
      </c>
      <c r="H294" s="96" t="str">
        <f t="shared" si="21"/>
        <v>0 г. 10 мес. 11 дн.</v>
      </c>
      <c r="I294" s="96" t="s">
        <v>75</v>
      </c>
      <c r="K294" s="96" t="s">
        <v>908</v>
      </c>
      <c r="L294" s="96" t="s">
        <v>909</v>
      </c>
      <c r="M294" s="96" t="s">
        <v>48</v>
      </c>
      <c r="N294" s="96">
        <v>1</v>
      </c>
      <c r="O294" s="96" t="s">
        <v>89</v>
      </c>
      <c r="S294" s="96" t="s">
        <v>30</v>
      </c>
      <c r="T294" s="98">
        <v>45122</v>
      </c>
      <c r="U294" s="99">
        <v>0.3611111111111111</v>
      </c>
      <c r="V294" s="96" t="str">
        <f t="shared" si="25"/>
        <v>0 г. 0 мес. 4 дн.</v>
      </c>
      <c r="W294" s="100"/>
    </row>
    <row r="295" spans="1:23" ht="35.1" customHeight="1" x14ac:dyDescent="0.25">
      <c r="A295" s="8">
        <f t="shared" si="20"/>
        <v>294</v>
      </c>
      <c r="B295" s="1">
        <v>413</v>
      </c>
      <c r="C295" s="39" t="s">
        <v>26</v>
      </c>
      <c r="D295" s="21">
        <v>45118</v>
      </c>
      <c r="E295" s="6">
        <v>0.89236111111111116</v>
      </c>
      <c r="F295" s="11" t="s">
        <v>497</v>
      </c>
      <c r="G295" s="17">
        <v>39232</v>
      </c>
      <c r="H295" s="11" t="str">
        <f t="shared" si="21"/>
        <v>16 г. 1 мес. 11 дн.</v>
      </c>
      <c r="I295" s="20" t="s">
        <v>120</v>
      </c>
      <c r="J295" s="20"/>
      <c r="K295" s="1" t="s">
        <v>910</v>
      </c>
      <c r="L295" s="13" t="s">
        <v>911</v>
      </c>
      <c r="M295" s="8" t="s">
        <v>55</v>
      </c>
      <c r="N295" s="8"/>
      <c r="O295" s="20" t="s">
        <v>89</v>
      </c>
      <c r="P295" s="8"/>
      <c r="Q295" s="8"/>
      <c r="R295" s="8"/>
      <c r="S295" s="1" t="s">
        <v>26</v>
      </c>
      <c r="T295" s="3">
        <v>45120</v>
      </c>
      <c r="U295" s="6">
        <v>0.5</v>
      </c>
      <c r="V295" s="1" t="str">
        <f t="shared" si="25"/>
        <v>0 г. 0 мес. 2 дн.</v>
      </c>
      <c r="W295" s="69"/>
    </row>
    <row r="296" spans="1:23" ht="35.1" customHeight="1" x14ac:dyDescent="0.25">
      <c r="A296" s="1">
        <f t="shared" si="20"/>
        <v>295</v>
      </c>
      <c r="B296" s="1">
        <v>949</v>
      </c>
      <c r="C296" s="39" t="s">
        <v>23</v>
      </c>
      <c r="D296" s="21">
        <v>45119</v>
      </c>
      <c r="E296" s="6">
        <v>0.96527777777777779</v>
      </c>
      <c r="F296" s="11" t="s">
        <v>912</v>
      </c>
      <c r="G296" s="17">
        <v>39221</v>
      </c>
      <c r="H296" s="11" t="str">
        <f t="shared" si="21"/>
        <v>16 г. 1 мес. 23 дн.</v>
      </c>
      <c r="I296" s="20" t="s">
        <v>120</v>
      </c>
      <c r="J296" s="20"/>
      <c r="K296" s="1" t="s">
        <v>913</v>
      </c>
      <c r="L296" s="11" t="s">
        <v>914</v>
      </c>
      <c r="M296" s="1" t="s">
        <v>52</v>
      </c>
      <c r="O296" s="20" t="s">
        <v>89</v>
      </c>
      <c r="S296" s="1" t="s">
        <v>23</v>
      </c>
      <c r="T296" s="3">
        <v>45120</v>
      </c>
      <c r="U296" s="6">
        <v>0.5</v>
      </c>
      <c r="V296" s="1" t="str">
        <f t="shared" si="25"/>
        <v>0 г. 0 мес. 1 дн.</v>
      </c>
      <c r="W296" s="69"/>
    </row>
    <row r="297" spans="1:23" ht="35.1" customHeight="1" x14ac:dyDescent="0.25">
      <c r="A297" s="8">
        <f t="shared" si="20"/>
        <v>296</v>
      </c>
      <c r="B297" s="132">
        <v>1261</v>
      </c>
      <c r="C297" s="39" t="s">
        <v>23</v>
      </c>
      <c r="D297" s="21">
        <v>45120</v>
      </c>
      <c r="E297" s="6">
        <v>2.7777777777777776E-2</v>
      </c>
      <c r="F297" s="11" t="s">
        <v>915</v>
      </c>
      <c r="G297" s="3">
        <v>39411</v>
      </c>
      <c r="H297" s="11" t="str">
        <f t="shared" si="21"/>
        <v>15 г. 7 мес. 18 дн.</v>
      </c>
      <c r="I297" s="20" t="s">
        <v>121</v>
      </c>
      <c r="J297" s="20" t="s">
        <v>23</v>
      </c>
      <c r="K297" s="1" t="s">
        <v>916</v>
      </c>
      <c r="L297" s="11" t="s">
        <v>917</v>
      </c>
      <c r="M297" s="1" t="s">
        <v>52</v>
      </c>
      <c r="N297" s="7"/>
      <c r="O297" s="20" t="s">
        <v>89</v>
      </c>
      <c r="P297" s="7"/>
      <c r="Q297" s="7"/>
      <c r="R297" s="7"/>
      <c r="S297" s="1" t="s">
        <v>23</v>
      </c>
      <c r="T297" s="3">
        <v>45120</v>
      </c>
      <c r="U297" s="6">
        <v>0.5</v>
      </c>
      <c r="V297" s="1" t="str">
        <f t="shared" si="25"/>
        <v>0 г. 0 мес. 0 дн.</v>
      </c>
      <c r="W297" s="69"/>
    </row>
    <row r="298" spans="1:23" ht="35.1" customHeight="1" x14ac:dyDescent="0.25">
      <c r="A298" s="1">
        <f t="shared" si="20"/>
        <v>297</v>
      </c>
      <c r="B298" s="132">
        <v>1602</v>
      </c>
      <c r="C298" s="39" t="s">
        <v>26</v>
      </c>
      <c r="D298" s="21">
        <v>45120</v>
      </c>
      <c r="E298" s="6">
        <v>0.18055555555555555</v>
      </c>
      <c r="F298" s="11" t="s">
        <v>918</v>
      </c>
      <c r="G298" s="3">
        <v>39772</v>
      </c>
      <c r="H298" s="11" t="str">
        <f t="shared" si="21"/>
        <v>14 г. 7 мес. 23 дн.</v>
      </c>
      <c r="I298" s="20" t="s">
        <v>120</v>
      </c>
      <c r="J298" s="20"/>
      <c r="K298" s="1" t="s">
        <v>919</v>
      </c>
      <c r="L298" s="11" t="s">
        <v>920</v>
      </c>
      <c r="M298" s="1" t="s">
        <v>43</v>
      </c>
      <c r="N298" s="7"/>
      <c r="O298" s="20" t="s">
        <v>89</v>
      </c>
      <c r="P298" s="7"/>
      <c r="Q298" s="7"/>
      <c r="R298" s="7"/>
      <c r="S298" s="1" t="s">
        <v>26</v>
      </c>
      <c r="T298" s="3">
        <v>45120</v>
      </c>
      <c r="U298" s="6">
        <v>0.5</v>
      </c>
      <c r="V298" s="1" t="str">
        <f t="shared" si="25"/>
        <v>0 г. 0 мес. 0 дн.</v>
      </c>
      <c r="W298" s="69"/>
    </row>
    <row r="299" spans="1:23" ht="35.1" customHeight="1" x14ac:dyDescent="0.25">
      <c r="A299" s="8">
        <f t="shared" si="20"/>
        <v>298</v>
      </c>
      <c r="B299" s="132">
        <v>419</v>
      </c>
      <c r="C299" s="39" t="s">
        <v>77</v>
      </c>
      <c r="D299" s="21">
        <v>45118</v>
      </c>
      <c r="E299" s="6">
        <v>0.74652777777777779</v>
      </c>
      <c r="F299" s="11" t="s">
        <v>921</v>
      </c>
      <c r="G299" s="3">
        <v>43284</v>
      </c>
      <c r="H299" s="11" t="str">
        <f t="shared" si="21"/>
        <v>5 г. 0 мес. 8 дн.</v>
      </c>
      <c r="I299" s="20" t="s">
        <v>120</v>
      </c>
      <c r="J299" s="20"/>
      <c r="K299" s="1" t="s">
        <v>922</v>
      </c>
      <c r="L299" s="11" t="s">
        <v>923</v>
      </c>
      <c r="M299" s="1" t="s">
        <v>40</v>
      </c>
      <c r="N299" s="7"/>
      <c r="O299" s="20" t="s">
        <v>89</v>
      </c>
      <c r="P299" s="7"/>
      <c r="Q299" s="7"/>
      <c r="R299" s="7"/>
      <c r="S299" s="1" t="s">
        <v>77</v>
      </c>
      <c r="T299" s="3">
        <v>45120</v>
      </c>
      <c r="U299" s="6">
        <v>0.5</v>
      </c>
      <c r="V299" s="1" t="str">
        <f t="shared" si="25"/>
        <v>0 г. 0 мес. 2 дн.</v>
      </c>
      <c r="W299" s="69"/>
    </row>
    <row r="300" spans="1:23" ht="35.1" customHeight="1" x14ac:dyDescent="0.25">
      <c r="A300" s="1">
        <f t="shared" si="20"/>
        <v>299</v>
      </c>
      <c r="B300" s="1">
        <v>1525</v>
      </c>
      <c r="C300" s="39" t="s">
        <v>77</v>
      </c>
      <c r="D300" s="21">
        <v>45118</v>
      </c>
      <c r="E300" s="6">
        <v>0.64236111111111105</v>
      </c>
      <c r="F300" s="11" t="s">
        <v>924</v>
      </c>
      <c r="G300" s="3">
        <v>45056</v>
      </c>
      <c r="H300" s="11" t="str">
        <f t="shared" si="21"/>
        <v>0 г. 2 мес. 1 дн.</v>
      </c>
      <c r="I300" s="20" t="s">
        <v>121</v>
      </c>
      <c r="J300" s="20" t="s">
        <v>77</v>
      </c>
      <c r="K300" s="1" t="s">
        <v>925</v>
      </c>
      <c r="L300" s="11" t="s">
        <v>926</v>
      </c>
      <c r="M300" s="1" t="s">
        <v>56</v>
      </c>
      <c r="N300" s="7"/>
      <c r="O300" s="20" t="s">
        <v>89</v>
      </c>
      <c r="P300" s="7"/>
      <c r="Q300" s="7"/>
      <c r="R300" s="7"/>
      <c r="S300" s="1" t="s">
        <v>77</v>
      </c>
      <c r="T300" s="3">
        <v>45120</v>
      </c>
      <c r="U300" s="6">
        <v>0.54166666666666663</v>
      </c>
      <c r="V300" s="1" t="str">
        <f t="shared" si="25"/>
        <v>0 г. 0 мес. 2 дн.</v>
      </c>
      <c r="W300" s="69"/>
    </row>
    <row r="301" spans="1:23" ht="35.1" customHeight="1" x14ac:dyDescent="0.25">
      <c r="A301" s="8">
        <f t="shared" si="20"/>
        <v>300</v>
      </c>
      <c r="B301" s="1">
        <v>956</v>
      </c>
      <c r="C301" s="39" t="s">
        <v>23</v>
      </c>
      <c r="D301" s="21">
        <v>45121</v>
      </c>
      <c r="E301" s="6">
        <v>0.17361111111111113</v>
      </c>
      <c r="F301" s="11" t="s">
        <v>929</v>
      </c>
      <c r="G301" s="3">
        <v>39425</v>
      </c>
      <c r="H301" s="11" t="str">
        <f t="shared" si="21"/>
        <v>15 г. 7 мес. 5 дн.</v>
      </c>
      <c r="I301" s="20" t="s">
        <v>120</v>
      </c>
      <c r="J301" s="20"/>
      <c r="K301" s="1" t="s">
        <v>927</v>
      </c>
      <c r="L301" s="11" t="s">
        <v>928</v>
      </c>
      <c r="M301" s="1" t="s">
        <v>52</v>
      </c>
      <c r="N301" s="7"/>
      <c r="O301" s="20" t="s">
        <v>89</v>
      </c>
      <c r="P301" s="7"/>
      <c r="Q301" s="7"/>
      <c r="R301" s="7"/>
      <c r="S301" s="1" t="s">
        <v>23</v>
      </c>
      <c r="T301" s="3">
        <v>45121</v>
      </c>
      <c r="U301" s="6">
        <v>0.41666666666666669</v>
      </c>
      <c r="V301" s="1" t="str">
        <f t="shared" si="25"/>
        <v>0 г. 0 мес. 0 дн.</v>
      </c>
      <c r="W301" s="69"/>
    </row>
    <row r="302" spans="1:23" s="32" customFormat="1" ht="35.1" customHeight="1" x14ac:dyDescent="0.25">
      <c r="A302" s="32">
        <f t="shared" si="20"/>
        <v>301</v>
      </c>
      <c r="B302" s="32">
        <v>396</v>
      </c>
      <c r="C302" s="40" t="s">
        <v>25</v>
      </c>
      <c r="D302" s="21">
        <v>45121</v>
      </c>
      <c r="E302" s="33">
        <v>0.56597222222222221</v>
      </c>
      <c r="F302" s="34" t="s">
        <v>930</v>
      </c>
      <c r="G302" s="35">
        <v>45121</v>
      </c>
      <c r="H302" s="11" t="str">
        <f t="shared" si="21"/>
        <v>0 г. 0 мес. 0 дн.</v>
      </c>
      <c r="I302" s="20" t="s">
        <v>124</v>
      </c>
      <c r="J302" s="20"/>
      <c r="K302" s="32" t="s">
        <v>934</v>
      </c>
      <c r="L302" s="28" t="s">
        <v>703</v>
      </c>
      <c r="M302" s="32" t="s">
        <v>42</v>
      </c>
      <c r="N302" s="36"/>
      <c r="O302" s="20" t="s">
        <v>89</v>
      </c>
      <c r="P302" s="36"/>
      <c r="Q302" s="36" t="s">
        <v>103</v>
      </c>
      <c r="R302" s="36"/>
      <c r="S302" s="32" t="s">
        <v>25</v>
      </c>
      <c r="T302" s="35">
        <v>45122</v>
      </c>
      <c r="U302" s="33">
        <v>0.54166666666666663</v>
      </c>
      <c r="V302" s="32" t="str">
        <f t="shared" si="25"/>
        <v>0 г. 0 мес. 1 дн.</v>
      </c>
      <c r="W302" s="72"/>
    </row>
    <row r="303" spans="1:23" ht="35.1" customHeight="1" x14ac:dyDescent="0.25">
      <c r="A303" s="8">
        <f t="shared" si="20"/>
        <v>302</v>
      </c>
      <c r="B303" s="1">
        <v>571</v>
      </c>
      <c r="C303" s="39" t="s">
        <v>77</v>
      </c>
      <c r="D303" s="21">
        <v>45114</v>
      </c>
      <c r="E303" s="6">
        <v>0.95833333333333337</v>
      </c>
      <c r="F303" s="1" t="s">
        <v>931</v>
      </c>
      <c r="G303" s="3">
        <v>43797</v>
      </c>
      <c r="H303" s="11" t="str">
        <f t="shared" si="21"/>
        <v>3 г. 7 мес. 9 дн.</v>
      </c>
      <c r="I303" s="20" t="s">
        <v>121</v>
      </c>
      <c r="J303" s="20" t="s">
        <v>77</v>
      </c>
      <c r="K303" s="1" t="s">
        <v>932</v>
      </c>
      <c r="L303" s="11" t="s">
        <v>933</v>
      </c>
      <c r="M303" s="1" t="s">
        <v>40</v>
      </c>
      <c r="N303" s="7"/>
      <c r="O303" s="20" t="s">
        <v>73</v>
      </c>
      <c r="P303" s="7"/>
      <c r="Q303" s="7"/>
      <c r="R303" s="7"/>
      <c r="S303" s="1" t="s">
        <v>77</v>
      </c>
      <c r="T303" s="3">
        <v>45121</v>
      </c>
      <c r="U303" s="6">
        <v>0.55625000000000002</v>
      </c>
      <c r="V303" s="1" t="str">
        <f t="shared" si="25"/>
        <v>0 г. 0 мес. 7 дн.</v>
      </c>
      <c r="W303" s="69"/>
    </row>
    <row r="304" spans="1:23" ht="35.1" customHeight="1" x14ac:dyDescent="0.25">
      <c r="A304" s="1">
        <f t="shared" si="20"/>
        <v>303</v>
      </c>
      <c r="B304" s="1">
        <v>424</v>
      </c>
      <c r="C304" s="39" t="s">
        <v>82</v>
      </c>
      <c r="D304" s="21">
        <v>45122</v>
      </c>
      <c r="E304" s="6">
        <v>3.472222222222222E-3</v>
      </c>
      <c r="F304" s="11" t="s">
        <v>660</v>
      </c>
      <c r="G304" s="3">
        <v>45024</v>
      </c>
      <c r="H304" s="11" t="str">
        <f t="shared" si="21"/>
        <v>0 г. 3 мес. 7 дн.</v>
      </c>
      <c r="I304" s="20" t="s">
        <v>125</v>
      </c>
      <c r="J304" s="20" t="s">
        <v>82</v>
      </c>
      <c r="K304" s="1" t="s">
        <v>658</v>
      </c>
      <c r="L304" s="11" t="s">
        <v>936</v>
      </c>
      <c r="M304" s="1" t="s">
        <v>46</v>
      </c>
      <c r="N304" s="7">
        <v>480</v>
      </c>
      <c r="O304" s="20" t="s">
        <v>73</v>
      </c>
      <c r="P304" s="7"/>
      <c r="Q304" s="7"/>
      <c r="R304" s="7"/>
      <c r="S304" s="1" t="s">
        <v>82</v>
      </c>
      <c r="T304" s="3">
        <v>45146</v>
      </c>
      <c r="U304" s="6">
        <v>0.45833333333333331</v>
      </c>
      <c r="V304" s="1" t="str">
        <f t="shared" si="25"/>
        <v>0 г. 0 мес. 24 дн.</v>
      </c>
      <c r="W304" s="69"/>
    </row>
    <row r="305" spans="1:23" ht="35.1" customHeight="1" x14ac:dyDescent="0.25">
      <c r="A305" s="8">
        <f t="shared" si="20"/>
        <v>304</v>
      </c>
      <c r="B305" s="7">
        <v>1650</v>
      </c>
      <c r="C305" s="39" t="s">
        <v>77</v>
      </c>
      <c r="D305" s="21">
        <v>45124</v>
      </c>
      <c r="E305" s="6">
        <v>0.79861111111111116</v>
      </c>
      <c r="F305" s="1" t="s">
        <v>939</v>
      </c>
      <c r="G305" s="3">
        <v>44836</v>
      </c>
      <c r="H305" s="11" t="str">
        <f t="shared" si="21"/>
        <v>0 г. 9 мес. 15 дн.</v>
      </c>
      <c r="I305" s="20" t="s">
        <v>120</v>
      </c>
      <c r="J305" s="20"/>
      <c r="K305" s="1" t="s">
        <v>937</v>
      </c>
      <c r="L305" s="1" t="s">
        <v>938</v>
      </c>
      <c r="M305" s="1" t="s">
        <v>54</v>
      </c>
      <c r="N305" s="7"/>
      <c r="O305" s="20" t="s">
        <v>73</v>
      </c>
      <c r="P305" s="7"/>
      <c r="Q305" s="7"/>
      <c r="R305" s="7"/>
      <c r="S305" s="1" t="s">
        <v>77</v>
      </c>
      <c r="T305" s="3">
        <v>45125</v>
      </c>
      <c r="U305" s="6">
        <v>0.5</v>
      </c>
      <c r="V305" s="1" t="str">
        <f t="shared" si="25"/>
        <v>0 г. 0 мес. 1 дн.</v>
      </c>
      <c r="W305" s="69"/>
    </row>
    <row r="306" spans="1:23" ht="35.1" customHeight="1" x14ac:dyDescent="0.25">
      <c r="A306" s="1">
        <f t="shared" si="20"/>
        <v>305</v>
      </c>
      <c r="B306" s="7">
        <v>1651</v>
      </c>
      <c r="C306" s="39" t="s">
        <v>77</v>
      </c>
      <c r="D306" s="21">
        <v>45125</v>
      </c>
      <c r="E306" s="6">
        <v>4.1666666666666664E-2</v>
      </c>
      <c r="F306" s="1" t="s">
        <v>940</v>
      </c>
      <c r="G306" s="3">
        <v>43628</v>
      </c>
      <c r="H306" s="11" t="str">
        <f t="shared" si="21"/>
        <v>4 г. 1 мес. 6 дн.</v>
      </c>
      <c r="I306" s="20" t="s">
        <v>121</v>
      </c>
      <c r="J306" s="20" t="s">
        <v>77</v>
      </c>
      <c r="K306" s="1" t="s">
        <v>941</v>
      </c>
      <c r="L306" s="1" t="s">
        <v>942</v>
      </c>
      <c r="M306" s="1" t="s">
        <v>49</v>
      </c>
      <c r="N306" s="7"/>
      <c r="O306" s="20" t="s">
        <v>89</v>
      </c>
      <c r="P306" s="7"/>
      <c r="Q306" s="7"/>
      <c r="R306" s="7"/>
      <c r="S306" s="1" t="s">
        <v>77</v>
      </c>
      <c r="T306" s="3">
        <v>45125</v>
      </c>
      <c r="U306" s="6">
        <v>0.5</v>
      </c>
      <c r="V306" s="1" t="str">
        <f t="shared" si="25"/>
        <v>0 г. 0 мес. 0 дн.</v>
      </c>
      <c r="W306" s="69"/>
    </row>
    <row r="307" spans="1:23" ht="35.1" customHeight="1" x14ac:dyDescent="0.25">
      <c r="A307" s="8">
        <f t="shared" si="20"/>
        <v>306</v>
      </c>
      <c r="B307" s="7">
        <v>815</v>
      </c>
      <c r="C307" s="39" t="s">
        <v>27</v>
      </c>
      <c r="D307" s="21">
        <v>45125</v>
      </c>
      <c r="E307" s="6">
        <v>1.0416666666666666E-2</v>
      </c>
      <c r="F307" s="1" t="s">
        <v>980</v>
      </c>
      <c r="G307" s="3">
        <v>43382</v>
      </c>
      <c r="H307" s="11" t="str">
        <f t="shared" si="21"/>
        <v>4 г. 9 мес. 9 дн.</v>
      </c>
      <c r="I307" s="20" t="s">
        <v>120</v>
      </c>
      <c r="J307" s="20"/>
      <c r="K307" s="1" t="s">
        <v>943</v>
      </c>
      <c r="L307" s="1" t="s">
        <v>944</v>
      </c>
      <c r="M307" s="1" t="s">
        <v>48</v>
      </c>
      <c r="N307" s="7"/>
      <c r="O307" s="20" t="s">
        <v>89</v>
      </c>
      <c r="P307" s="7"/>
      <c r="Q307" s="7"/>
      <c r="R307" s="7"/>
      <c r="S307" s="1" t="s">
        <v>27</v>
      </c>
      <c r="T307" s="3">
        <v>45127</v>
      </c>
      <c r="U307" s="6">
        <v>0.50763888888888886</v>
      </c>
      <c r="V307" s="1" t="str">
        <f t="shared" si="25"/>
        <v>0 г. 0 мес. 2 дн.</v>
      </c>
      <c r="W307" s="69"/>
    </row>
    <row r="308" spans="1:23" s="32" customFormat="1" ht="35.1" customHeight="1" x14ac:dyDescent="0.25">
      <c r="A308" s="32">
        <f t="shared" si="20"/>
        <v>307</v>
      </c>
      <c r="B308" s="95">
        <v>948</v>
      </c>
      <c r="C308" s="39" t="s">
        <v>23</v>
      </c>
      <c r="D308" s="21">
        <v>45125</v>
      </c>
      <c r="E308" s="6">
        <v>2.7777777777777776E-2</v>
      </c>
      <c r="F308" s="11" t="s">
        <v>915</v>
      </c>
      <c r="G308" s="3">
        <v>39411</v>
      </c>
      <c r="H308" s="11" t="str">
        <f t="shared" ref="H308" si="26">DATEDIF(G308,D308,"y") &amp; " г. " &amp; DATEDIF(G308,D308,"ym") &amp; " мес. " &amp; DATEDIF(G308,D308,"md") &amp; " дн."</f>
        <v>15 г. 7 мес. 23 дн.</v>
      </c>
      <c r="I308" s="20" t="s">
        <v>125</v>
      </c>
      <c r="J308" s="20" t="s">
        <v>23</v>
      </c>
      <c r="K308" s="1" t="s">
        <v>916</v>
      </c>
      <c r="L308" s="11" t="s">
        <v>917</v>
      </c>
      <c r="M308" s="1" t="s">
        <v>52</v>
      </c>
      <c r="N308" s="7"/>
      <c r="O308" s="20" t="s">
        <v>89</v>
      </c>
      <c r="P308" s="95"/>
      <c r="Q308" s="103" t="s">
        <v>146</v>
      </c>
      <c r="R308" s="95"/>
      <c r="S308" s="106" t="s">
        <v>23</v>
      </c>
      <c r="T308" s="107">
        <v>45131</v>
      </c>
      <c r="U308" s="108">
        <v>0.52361111111111114</v>
      </c>
      <c r="V308" s="28" t="str">
        <f t="shared" si="25"/>
        <v>0 г. 0 мес. 6 дн.</v>
      </c>
      <c r="W308" s="72"/>
    </row>
    <row r="309" spans="1:23" ht="35.1" customHeight="1" x14ac:dyDescent="0.25">
      <c r="A309" s="8">
        <f t="shared" si="20"/>
        <v>308</v>
      </c>
      <c r="B309" s="7">
        <v>1696</v>
      </c>
      <c r="C309" s="39" t="s">
        <v>312</v>
      </c>
      <c r="D309" s="21">
        <v>45129</v>
      </c>
      <c r="E309" s="6">
        <v>6.25E-2</v>
      </c>
      <c r="F309" s="1" t="s">
        <v>945</v>
      </c>
      <c r="G309" s="3">
        <v>44315</v>
      </c>
      <c r="H309" s="11" t="str">
        <f t="shared" si="21"/>
        <v>2 г. 2 мес. 23 дн.</v>
      </c>
      <c r="I309" s="20" t="s">
        <v>121</v>
      </c>
      <c r="J309" s="20" t="s">
        <v>312</v>
      </c>
      <c r="K309" s="1" t="s">
        <v>946</v>
      </c>
      <c r="L309" s="1" t="s">
        <v>947</v>
      </c>
      <c r="M309" s="1" t="s">
        <v>49</v>
      </c>
      <c r="N309" s="7"/>
      <c r="O309" s="20" t="s">
        <v>73</v>
      </c>
      <c r="P309" s="7"/>
      <c r="Q309" s="7"/>
      <c r="R309" s="7"/>
      <c r="S309" s="1" t="s">
        <v>77</v>
      </c>
      <c r="T309" s="3">
        <v>45132</v>
      </c>
      <c r="U309" s="6">
        <v>0.41666666666666669</v>
      </c>
      <c r="V309" s="1" t="str">
        <f t="shared" si="25"/>
        <v>0 г. 0 мес. 3 дн.</v>
      </c>
      <c r="W309" s="69"/>
    </row>
    <row r="310" spans="1:23" ht="35.1" customHeight="1" x14ac:dyDescent="0.25">
      <c r="A310" s="1">
        <f t="shared" si="20"/>
        <v>309</v>
      </c>
      <c r="B310" s="7">
        <v>992</v>
      </c>
      <c r="C310" s="39" t="s">
        <v>23</v>
      </c>
      <c r="D310" s="21">
        <v>45128</v>
      </c>
      <c r="E310" s="6">
        <v>0.7715277777777777</v>
      </c>
      <c r="F310" s="1" t="s">
        <v>948</v>
      </c>
      <c r="G310" s="3">
        <v>39244</v>
      </c>
      <c r="H310" s="11" t="str">
        <f t="shared" si="21"/>
        <v>16 г. 1 мес. 10 дн.</v>
      </c>
      <c r="I310" s="20" t="s">
        <v>121</v>
      </c>
      <c r="J310" s="20" t="s">
        <v>23</v>
      </c>
      <c r="K310" s="1" t="s">
        <v>949</v>
      </c>
      <c r="L310" s="1" t="s">
        <v>950</v>
      </c>
      <c r="M310" s="1" t="s">
        <v>52</v>
      </c>
      <c r="N310" s="7"/>
      <c r="O310" s="20" t="s">
        <v>89</v>
      </c>
      <c r="P310" s="7"/>
      <c r="Q310" s="7"/>
      <c r="R310" s="7"/>
      <c r="S310" s="1" t="s">
        <v>23</v>
      </c>
      <c r="T310" s="3">
        <v>45129</v>
      </c>
      <c r="U310" s="6">
        <v>0.40972222222222227</v>
      </c>
      <c r="V310" s="1" t="str">
        <f t="shared" si="25"/>
        <v>0 г. 0 мес. 1 дн.</v>
      </c>
      <c r="W310" s="69"/>
    </row>
    <row r="311" spans="1:23" ht="35.1" customHeight="1" x14ac:dyDescent="0.25">
      <c r="A311" s="8">
        <f t="shared" si="20"/>
        <v>310</v>
      </c>
      <c r="B311" s="7">
        <v>904</v>
      </c>
      <c r="C311" s="39" t="s">
        <v>23</v>
      </c>
      <c r="D311" s="21">
        <v>45129</v>
      </c>
      <c r="E311" s="6">
        <v>0.91666666666666663</v>
      </c>
      <c r="F311" s="1" t="s">
        <v>951</v>
      </c>
      <c r="G311" s="3">
        <v>43510</v>
      </c>
      <c r="H311" s="11" t="str">
        <f t="shared" si="21"/>
        <v>4 г. 5 мес. 8 дн.</v>
      </c>
      <c r="I311" s="20" t="s">
        <v>120</v>
      </c>
      <c r="J311" s="20"/>
      <c r="K311" s="1" t="s">
        <v>952</v>
      </c>
      <c r="L311" s="1" t="s">
        <v>953</v>
      </c>
      <c r="M311" s="1" t="s">
        <v>52</v>
      </c>
      <c r="N311" s="7"/>
      <c r="O311" s="20" t="s">
        <v>89</v>
      </c>
      <c r="P311" s="7"/>
      <c r="Q311" s="7"/>
      <c r="R311" s="7"/>
      <c r="S311" s="1" t="s">
        <v>23</v>
      </c>
      <c r="T311" s="3">
        <v>45130</v>
      </c>
      <c r="U311" s="6">
        <v>0.5</v>
      </c>
      <c r="V311" s="1" t="str">
        <f t="shared" si="25"/>
        <v>0 г. 0 мес. 1 дн.</v>
      </c>
      <c r="W311" s="69"/>
    </row>
    <row r="312" spans="1:23" ht="35.1" customHeight="1" x14ac:dyDescent="0.25">
      <c r="A312" s="1">
        <f t="shared" si="20"/>
        <v>311</v>
      </c>
      <c r="B312" s="7">
        <v>430</v>
      </c>
      <c r="C312" s="39" t="s">
        <v>26</v>
      </c>
      <c r="D312" s="21">
        <v>45129</v>
      </c>
      <c r="E312" s="6">
        <v>0.92361111111111116</v>
      </c>
      <c r="F312" s="1" t="s">
        <v>954</v>
      </c>
      <c r="G312" s="3">
        <v>39271</v>
      </c>
      <c r="H312" s="11" t="str">
        <f t="shared" si="21"/>
        <v>16 г. 0 мес. 14 дн.</v>
      </c>
      <c r="I312" s="20" t="s">
        <v>120</v>
      </c>
      <c r="J312" s="20"/>
      <c r="K312" s="1" t="s">
        <v>510</v>
      </c>
      <c r="L312" s="1" t="s">
        <v>960</v>
      </c>
      <c r="M312" s="1" t="s">
        <v>55</v>
      </c>
      <c r="N312" s="7"/>
      <c r="O312" s="20" t="s">
        <v>89</v>
      </c>
      <c r="P312" s="7"/>
      <c r="Q312" s="7"/>
      <c r="R312" s="7"/>
      <c r="S312" s="1" t="s">
        <v>26</v>
      </c>
      <c r="T312" s="3">
        <v>45132</v>
      </c>
      <c r="U312" s="6">
        <v>0.68472222222222223</v>
      </c>
      <c r="V312" s="1" t="str">
        <f t="shared" si="25"/>
        <v>0 г. 0 мес. 3 дн.</v>
      </c>
      <c r="W312" s="69"/>
    </row>
    <row r="313" spans="1:23" ht="35.1" customHeight="1" x14ac:dyDescent="0.25">
      <c r="A313" s="8">
        <f t="shared" si="20"/>
        <v>312</v>
      </c>
      <c r="B313" s="7">
        <v>1648</v>
      </c>
      <c r="C313" s="39" t="s">
        <v>77</v>
      </c>
      <c r="D313" s="21">
        <v>45124</v>
      </c>
      <c r="E313" s="6">
        <v>0.68055555555555547</v>
      </c>
      <c r="F313" s="1" t="s">
        <v>955</v>
      </c>
      <c r="G313" s="3">
        <v>45113</v>
      </c>
      <c r="H313" s="11" t="str">
        <f t="shared" si="21"/>
        <v>0 г. 0 мес. 11 дн.</v>
      </c>
      <c r="I313" s="20" t="s">
        <v>124</v>
      </c>
      <c r="J313" s="20"/>
      <c r="K313" s="1" t="s">
        <v>509</v>
      </c>
      <c r="L313" s="1" t="s">
        <v>956</v>
      </c>
      <c r="M313" s="1" t="s">
        <v>49</v>
      </c>
      <c r="N313" s="7">
        <v>168</v>
      </c>
      <c r="O313" s="20" t="s">
        <v>88</v>
      </c>
      <c r="P313" s="7"/>
      <c r="Q313" s="7" t="s">
        <v>146</v>
      </c>
      <c r="R313" s="7"/>
      <c r="S313" s="1" t="s">
        <v>29</v>
      </c>
      <c r="T313" s="3">
        <v>45130</v>
      </c>
      <c r="U313" s="6">
        <v>0.54861111111111105</v>
      </c>
      <c r="V313" s="1" t="str">
        <f t="shared" si="25"/>
        <v>0 г. 0 мес. 6 дн.</v>
      </c>
      <c r="W313" s="69"/>
    </row>
    <row r="314" spans="1:23" ht="35.1" customHeight="1" x14ac:dyDescent="0.25">
      <c r="A314" s="1">
        <f t="shared" si="20"/>
        <v>313</v>
      </c>
      <c r="B314" s="7">
        <v>1715</v>
      </c>
      <c r="C314" s="39" t="s">
        <v>77</v>
      </c>
      <c r="D314" s="21">
        <v>45131</v>
      </c>
      <c r="E314" s="6">
        <v>0.11805555555555557</v>
      </c>
      <c r="F314" s="1" t="s">
        <v>957</v>
      </c>
      <c r="G314" s="3">
        <v>40059</v>
      </c>
      <c r="H314" s="11" t="str">
        <f t="shared" si="21"/>
        <v>13 г. 10 мес. 21 дн.</v>
      </c>
      <c r="I314" s="20" t="s">
        <v>120</v>
      </c>
      <c r="J314" s="20"/>
      <c r="K314" s="1" t="s">
        <v>958</v>
      </c>
      <c r="L314" s="1" t="s">
        <v>959</v>
      </c>
      <c r="M314" s="1" t="s">
        <v>52</v>
      </c>
      <c r="N314" s="7"/>
      <c r="O314" s="20" t="s">
        <v>73</v>
      </c>
      <c r="P314" s="7"/>
      <c r="Q314" s="7"/>
      <c r="R314" s="7"/>
      <c r="S314" s="1" t="s">
        <v>77</v>
      </c>
      <c r="T314" s="3">
        <v>45131</v>
      </c>
      <c r="U314" s="6">
        <v>0.52083333333333337</v>
      </c>
      <c r="V314" s="1" t="str">
        <f t="shared" si="25"/>
        <v>0 г. 0 мес. 0 дн.</v>
      </c>
      <c r="W314" s="69"/>
    </row>
    <row r="315" spans="1:23" ht="35.1" customHeight="1" x14ac:dyDescent="0.25">
      <c r="A315" s="8">
        <f t="shared" si="20"/>
        <v>314</v>
      </c>
      <c r="B315" s="7">
        <v>1730</v>
      </c>
      <c r="C315" s="39" t="s">
        <v>77</v>
      </c>
      <c r="D315" s="21">
        <v>45132</v>
      </c>
      <c r="E315" s="6">
        <v>0.5625</v>
      </c>
      <c r="F315" s="1" t="s">
        <v>982</v>
      </c>
      <c r="G315" s="3">
        <v>41821</v>
      </c>
      <c r="H315" s="11" t="str">
        <f t="shared" si="21"/>
        <v>9 г. 0 мес. 24 дн.</v>
      </c>
      <c r="I315" s="20" t="s">
        <v>122</v>
      </c>
      <c r="J315" s="20" t="s">
        <v>77</v>
      </c>
      <c r="K315" s="1" t="s">
        <v>961</v>
      </c>
      <c r="L315" s="1" t="s">
        <v>377</v>
      </c>
      <c r="M315" s="1" t="s">
        <v>46</v>
      </c>
      <c r="N315" s="7"/>
      <c r="O315" s="20" t="s">
        <v>89</v>
      </c>
      <c r="P315" s="7"/>
      <c r="Q315" s="7"/>
      <c r="R315" s="7"/>
      <c r="S315" s="1" t="s">
        <v>28</v>
      </c>
      <c r="T315" s="3">
        <v>45134</v>
      </c>
      <c r="U315" s="6">
        <v>0.54375000000000007</v>
      </c>
      <c r="V315" s="1" t="str">
        <f t="shared" si="25"/>
        <v>0 г. 0 мес. 2 дн.</v>
      </c>
      <c r="W315" s="69"/>
    </row>
    <row r="316" spans="1:23" ht="35.1" customHeight="1" x14ac:dyDescent="0.25">
      <c r="A316" s="1">
        <f t="shared" si="20"/>
        <v>315</v>
      </c>
      <c r="B316" s="7">
        <v>1718</v>
      </c>
      <c r="C316" s="39" t="s">
        <v>77</v>
      </c>
      <c r="D316" s="21">
        <v>45131</v>
      </c>
      <c r="E316" s="6">
        <v>0.79166666666666663</v>
      </c>
      <c r="F316" s="104" t="s">
        <v>977</v>
      </c>
      <c r="G316" s="3">
        <v>41844</v>
      </c>
      <c r="H316" s="11" t="str">
        <f t="shared" si="21"/>
        <v>9 г. 0 мес. 0 дн.</v>
      </c>
      <c r="I316" s="20" t="s">
        <v>120</v>
      </c>
      <c r="J316" s="20"/>
      <c r="K316" s="1" t="s">
        <v>510</v>
      </c>
      <c r="L316" s="1" t="s">
        <v>962</v>
      </c>
      <c r="M316" s="1" t="s">
        <v>52</v>
      </c>
      <c r="N316" s="7"/>
      <c r="O316" s="20" t="s">
        <v>89</v>
      </c>
      <c r="P316" s="7"/>
      <c r="Q316" s="7"/>
      <c r="R316" s="7"/>
      <c r="S316" s="1" t="s">
        <v>77</v>
      </c>
      <c r="T316" s="3">
        <v>45132</v>
      </c>
      <c r="U316" s="6">
        <v>0.54166666666666663</v>
      </c>
      <c r="V316" s="1" t="str">
        <f t="shared" si="25"/>
        <v>0 г. 0 мес. 1 дн.</v>
      </c>
      <c r="W316" s="69"/>
    </row>
    <row r="317" spans="1:23" ht="35.1" customHeight="1" x14ac:dyDescent="0.25">
      <c r="A317" s="8">
        <v>316</v>
      </c>
      <c r="B317" s="7">
        <v>428</v>
      </c>
      <c r="C317" s="39" t="s">
        <v>82</v>
      </c>
      <c r="D317" s="21">
        <v>45128</v>
      </c>
      <c r="E317" s="6">
        <v>3.472222222222222E-3</v>
      </c>
      <c r="F317" s="105" t="s">
        <v>317</v>
      </c>
      <c r="G317" s="3">
        <v>43654</v>
      </c>
      <c r="H317" s="11" t="str">
        <f t="shared" si="21"/>
        <v>4 г. 0 мес. 13 дн.</v>
      </c>
      <c r="I317" s="20" t="s">
        <v>125</v>
      </c>
      <c r="J317" s="20" t="s">
        <v>82</v>
      </c>
      <c r="K317" s="1" t="s">
        <v>318</v>
      </c>
      <c r="L317" s="1" t="s">
        <v>319</v>
      </c>
      <c r="M317" s="1" t="s">
        <v>42</v>
      </c>
      <c r="N317" s="7">
        <v>700</v>
      </c>
      <c r="O317" s="20" t="s">
        <v>89</v>
      </c>
      <c r="P317" s="7"/>
      <c r="Q317" s="7" t="s">
        <v>102</v>
      </c>
      <c r="R317" s="7"/>
      <c r="S317" s="1" t="s">
        <v>82</v>
      </c>
      <c r="T317" s="3">
        <v>45157</v>
      </c>
      <c r="U317" s="6">
        <v>0.99652777777777779</v>
      </c>
      <c r="V317" s="1" t="str">
        <f t="shared" si="25"/>
        <v>0 г. 0 мес. 29 дн.</v>
      </c>
      <c r="W317" s="69"/>
    </row>
    <row r="318" spans="1:23" ht="35.1" customHeight="1" x14ac:dyDescent="0.25">
      <c r="A318" s="1">
        <f>ROW(A317)</f>
        <v>317</v>
      </c>
      <c r="B318" s="7">
        <v>1010</v>
      </c>
      <c r="C318" s="39" t="s">
        <v>23</v>
      </c>
      <c r="D318" s="21">
        <v>45131</v>
      </c>
      <c r="E318" s="6">
        <v>1.0416666666666666E-2</v>
      </c>
      <c r="F318" s="105" t="s">
        <v>981</v>
      </c>
      <c r="G318" s="3">
        <v>42940</v>
      </c>
      <c r="H318" s="11" t="str">
        <f t="shared" ref="H318:H326" si="27">DATEDIF(G318,D318,"y") &amp; " г. " &amp; DATEDIF(G318,D318,"ym") &amp; " мес. " &amp; DATEDIF(G318,D318,"md") &amp; " дн."</f>
        <v>6 г. 0 мес. 0 дн.</v>
      </c>
      <c r="I318" s="20" t="s">
        <v>120</v>
      </c>
      <c r="J318" s="20"/>
      <c r="K318" s="1" t="s">
        <v>509</v>
      </c>
      <c r="L318" s="1" t="s">
        <v>963</v>
      </c>
      <c r="M318" s="1" t="s">
        <v>52</v>
      </c>
      <c r="N318" s="7"/>
      <c r="O318" s="20" t="s">
        <v>89</v>
      </c>
      <c r="P318" s="7"/>
      <c r="Q318" s="7"/>
      <c r="R318" s="7"/>
      <c r="S318" s="1" t="s">
        <v>23</v>
      </c>
      <c r="T318" s="3">
        <v>45132</v>
      </c>
      <c r="U318" s="6">
        <v>0.5</v>
      </c>
      <c r="V318" s="1" t="str">
        <f>DATEDIF(D318,T318,"y") &amp; " г. " &amp; DATEDIF(D318,T318,"ym") &amp; " мес. " &amp; DATEDIF(D318,T318,"md") &amp; " дн."</f>
        <v>0 г. 0 мес. 1 дн.</v>
      </c>
      <c r="W318" s="69"/>
    </row>
    <row r="319" spans="1:23" ht="35.1" customHeight="1" x14ac:dyDescent="0.25">
      <c r="A319" s="8">
        <f>ROW(A318)</f>
        <v>318</v>
      </c>
      <c r="B319" s="7">
        <v>433</v>
      </c>
      <c r="C319" s="39" t="s">
        <v>28</v>
      </c>
      <c r="D319" s="21">
        <v>45132</v>
      </c>
      <c r="E319" s="6">
        <v>4.1666666666666664E-2</v>
      </c>
      <c r="F319" s="1" t="s">
        <v>976</v>
      </c>
      <c r="G319" s="3">
        <v>42941</v>
      </c>
      <c r="H319" s="11" t="str">
        <f t="shared" si="27"/>
        <v>6 г. 0 мес. 0 дн.</v>
      </c>
      <c r="I319" s="20" t="s">
        <v>122</v>
      </c>
      <c r="J319" s="20" t="s">
        <v>28</v>
      </c>
      <c r="K319" s="1" t="s">
        <v>509</v>
      </c>
      <c r="L319" s="1" t="s">
        <v>964</v>
      </c>
      <c r="M319" s="1" t="s">
        <v>46</v>
      </c>
      <c r="N319" s="7"/>
      <c r="O319" s="20" t="s">
        <v>89</v>
      </c>
      <c r="P319" s="7"/>
      <c r="Q319" s="7"/>
      <c r="R319" s="7"/>
      <c r="S319" s="1" t="s">
        <v>28</v>
      </c>
      <c r="T319" s="3">
        <v>45132</v>
      </c>
      <c r="U319" s="6">
        <v>0.79166666666666663</v>
      </c>
      <c r="V319" s="1" t="str">
        <f>DATEDIF(D319,T319,"y") &amp; " г. " &amp; DATEDIF(D319,T319,"ym") &amp; " мес. " &amp; DATEDIF(D319,T319,"md") &amp; " дн."</f>
        <v>0 г. 0 мес. 0 дн.</v>
      </c>
      <c r="W319" s="69"/>
    </row>
    <row r="320" spans="1:23" ht="35.1" customHeight="1" x14ac:dyDescent="0.25">
      <c r="A320" s="1">
        <v>319</v>
      </c>
      <c r="B320" s="7">
        <v>853</v>
      </c>
      <c r="C320" s="39" t="s">
        <v>27</v>
      </c>
      <c r="D320" s="21">
        <v>45136</v>
      </c>
      <c r="E320" s="6">
        <v>0.85416666666666663</v>
      </c>
      <c r="F320" s="1" t="s">
        <v>983</v>
      </c>
      <c r="G320" s="3">
        <v>43837</v>
      </c>
      <c r="H320" s="11" t="str">
        <f t="shared" si="27"/>
        <v>3 г. 6 мес. 22 дн.</v>
      </c>
      <c r="I320" s="20" t="s">
        <v>123</v>
      </c>
      <c r="J320" s="20"/>
      <c r="K320" s="1" t="s">
        <v>984</v>
      </c>
      <c r="L320" s="1" t="s">
        <v>985</v>
      </c>
      <c r="M320" s="1" t="s">
        <v>48</v>
      </c>
      <c r="N320" s="7"/>
      <c r="O320" s="20" t="s">
        <v>89</v>
      </c>
      <c r="P320" s="7"/>
      <c r="Q320" s="7"/>
      <c r="R320" s="7"/>
      <c r="S320" s="1" t="s">
        <v>27</v>
      </c>
      <c r="T320" s="3">
        <v>45140</v>
      </c>
      <c r="U320" s="6">
        <v>0.49861111111111112</v>
      </c>
      <c r="V320" s="1" t="str">
        <f>DATEDIF(D320,T320,"y") &amp; " г. " &amp; DATEDIF(D320,T320,"ym") &amp; " мес. " &amp; DATEDIF(D320,T320,"md") &amp; " дн."</f>
        <v>0 г. 0 мес. 4 дн.</v>
      </c>
      <c r="W320" s="69"/>
    </row>
    <row r="321" spans="1:23" ht="35.1" customHeight="1" x14ac:dyDescent="0.25">
      <c r="A321" s="8">
        <f t="shared" ref="A321:A327" si="28">ROW(A320)</f>
        <v>320</v>
      </c>
      <c r="B321" s="7">
        <v>1744</v>
      </c>
      <c r="C321" s="39" t="s">
        <v>77</v>
      </c>
      <c r="D321" s="21">
        <v>45133</v>
      </c>
      <c r="E321" s="6">
        <v>0.40277777777777773</v>
      </c>
      <c r="F321" s="1" t="s">
        <v>975</v>
      </c>
      <c r="G321" s="3">
        <v>43005</v>
      </c>
      <c r="H321" s="11" t="str">
        <f t="shared" si="27"/>
        <v>5 г. 9 мес. 29 дн.</v>
      </c>
      <c r="I321" s="20" t="s">
        <v>123</v>
      </c>
      <c r="J321" s="20"/>
      <c r="K321" s="1" t="s">
        <v>965</v>
      </c>
      <c r="L321" s="1" t="s">
        <v>966</v>
      </c>
      <c r="M321" s="1" t="s">
        <v>49</v>
      </c>
      <c r="N321" s="7"/>
      <c r="O321" s="20" t="s">
        <v>73</v>
      </c>
      <c r="P321" s="7" t="s">
        <v>96</v>
      </c>
      <c r="Q321" s="7"/>
      <c r="R321" s="7"/>
      <c r="S321" s="1" t="s">
        <v>77</v>
      </c>
      <c r="T321" s="3">
        <v>45142</v>
      </c>
      <c r="U321" s="6">
        <v>0.48125000000000001</v>
      </c>
      <c r="V321" s="1" t="str">
        <f t="shared" ref="V321:V326" si="29">DATEDIF(D321,T321,"y") &amp; " г. " &amp; DATEDIF(D321,T321,"ym") &amp; " мес. " &amp; DATEDIF(D321,T321,"md") &amp; " дн."</f>
        <v>0 г. 0 мес. 9 дн.</v>
      </c>
      <c r="W321" s="69"/>
    </row>
    <row r="322" spans="1:23" ht="35.1" customHeight="1" x14ac:dyDescent="0.25">
      <c r="A322" s="1">
        <f t="shared" si="28"/>
        <v>321</v>
      </c>
      <c r="B322" s="7">
        <v>1754</v>
      </c>
      <c r="C322" s="39" t="s">
        <v>77</v>
      </c>
      <c r="D322" s="21">
        <v>45133</v>
      </c>
      <c r="E322" s="6">
        <v>0.66666666666666663</v>
      </c>
      <c r="F322" s="1" t="s">
        <v>974</v>
      </c>
      <c r="G322" s="3">
        <v>43742</v>
      </c>
      <c r="H322" s="11" t="str">
        <f t="shared" si="27"/>
        <v>3 г. 9 мес. 22 дн.</v>
      </c>
      <c r="I322" s="20" t="s">
        <v>121</v>
      </c>
      <c r="J322" s="20" t="s">
        <v>77</v>
      </c>
      <c r="K322" s="1" t="s">
        <v>967</v>
      </c>
      <c r="L322" s="1" t="s">
        <v>968</v>
      </c>
      <c r="M322" s="1" t="s">
        <v>49</v>
      </c>
      <c r="N322" s="7"/>
      <c r="O322" s="20" t="s">
        <v>89</v>
      </c>
      <c r="P322" s="7"/>
      <c r="Q322" s="7"/>
      <c r="R322" s="7"/>
      <c r="S322" s="1" t="s">
        <v>77</v>
      </c>
      <c r="T322" s="3">
        <v>45135</v>
      </c>
      <c r="U322" s="6">
        <v>0.50902777777777775</v>
      </c>
      <c r="V322" s="1" t="str">
        <f t="shared" si="29"/>
        <v>0 г. 0 мес. 2 дн.</v>
      </c>
      <c r="W322" s="69"/>
    </row>
    <row r="323" spans="1:23" ht="35.1" customHeight="1" x14ac:dyDescent="0.25">
      <c r="A323" s="8">
        <f t="shared" si="28"/>
        <v>322</v>
      </c>
      <c r="B323" s="13">
        <v>1720</v>
      </c>
      <c r="C323" s="43" t="s">
        <v>77</v>
      </c>
      <c r="D323" s="21">
        <v>45133</v>
      </c>
      <c r="E323" s="15">
        <v>0.70833333333333337</v>
      </c>
      <c r="F323" s="13" t="s">
        <v>973</v>
      </c>
      <c r="G323" s="14">
        <v>40099</v>
      </c>
      <c r="H323" s="11" t="str">
        <f t="shared" si="27"/>
        <v>13 г. 9 мес. 13 дн.</v>
      </c>
      <c r="I323" s="20" t="s">
        <v>121</v>
      </c>
      <c r="J323" s="20" t="s">
        <v>77</v>
      </c>
      <c r="K323" s="13" t="s">
        <v>978</v>
      </c>
      <c r="L323" s="13" t="s">
        <v>979</v>
      </c>
      <c r="M323" s="13" t="s">
        <v>49</v>
      </c>
      <c r="N323" s="16"/>
      <c r="O323" s="20" t="s">
        <v>89</v>
      </c>
      <c r="P323" s="16"/>
      <c r="Q323" s="16"/>
      <c r="R323" s="16"/>
      <c r="S323" s="13" t="s">
        <v>77</v>
      </c>
      <c r="T323" s="14">
        <v>45134</v>
      </c>
      <c r="U323" s="15">
        <v>0.54305555555555551</v>
      </c>
      <c r="V323" s="1" t="str">
        <f t="shared" si="29"/>
        <v>0 г. 0 мес. 1 дн.</v>
      </c>
      <c r="W323" s="69"/>
    </row>
    <row r="324" spans="1:23" ht="35.1" customHeight="1" x14ac:dyDescent="0.25">
      <c r="A324" s="1">
        <f t="shared" si="28"/>
        <v>323</v>
      </c>
      <c r="B324" s="11">
        <v>1757</v>
      </c>
      <c r="C324" s="44" t="s">
        <v>77</v>
      </c>
      <c r="D324" s="21">
        <v>45134</v>
      </c>
      <c r="E324" s="18">
        <v>0.375</v>
      </c>
      <c r="F324" s="11" t="s">
        <v>972</v>
      </c>
      <c r="G324" s="17">
        <v>44032</v>
      </c>
      <c r="H324" s="11" t="str">
        <f t="shared" si="27"/>
        <v>3 г. 0 мес. 7 дн.</v>
      </c>
      <c r="I324" s="20" t="s">
        <v>120</v>
      </c>
      <c r="J324" s="20"/>
      <c r="K324" s="11" t="s">
        <v>509</v>
      </c>
      <c r="L324" s="11" t="s">
        <v>969</v>
      </c>
      <c r="M324" s="11" t="s">
        <v>46</v>
      </c>
      <c r="N324" s="19"/>
      <c r="O324" s="20" t="s">
        <v>89</v>
      </c>
      <c r="P324" s="19"/>
      <c r="Q324" s="19"/>
      <c r="R324" s="19"/>
      <c r="S324" s="11" t="s">
        <v>77</v>
      </c>
      <c r="T324" s="17">
        <v>45134</v>
      </c>
      <c r="U324" s="18">
        <v>0.77777777777777779</v>
      </c>
      <c r="V324" s="1" t="str">
        <f t="shared" si="29"/>
        <v>0 г. 0 мес. 0 дн.</v>
      </c>
      <c r="W324" s="69"/>
    </row>
    <row r="325" spans="1:23" ht="35.1" customHeight="1" x14ac:dyDescent="0.25">
      <c r="A325" s="8">
        <f t="shared" si="28"/>
        <v>324</v>
      </c>
      <c r="B325" s="11">
        <v>441</v>
      </c>
      <c r="C325" s="44" t="s">
        <v>26</v>
      </c>
      <c r="D325" s="21">
        <v>45135</v>
      </c>
      <c r="E325" s="18">
        <v>0.53125</v>
      </c>
      <c r="F325" s="11" t="s">
        <v>986</v>
      </c>
      <c r="G325" s="17">
        <v>40288</v>
      </c>
      <c r="H325" s="11" t="str">
        <f t="shared" si="27"/>
        <v>13 г. 3 мес. 8 дн.</v>
      </c>
      <c r="I325" s="20" t="s">
        <v>120</v>
      </c>
      <c r="J325" s="20"/>
      <c r="K325" s="11" t="s">
        <v>987</v>
      </c>
      <c r="L325" s="11" t="s">
        <v>970</v>
      </c>
      <c r="M325" s="11" t="s">
        <v>46</v>
      </c>
      <c r="N325" s="19"/>
      <c r="O325" s="20" t="s">
        <v>89</v>
      </c>
      <c r="P325" s="19"/>
      <c r="Q325" s="19"/>
      <c r="R325" s="19"/>
      <c r="S325" s="11" t="s">
        <v>26</v>
      </c>
      <c r="T325" s="21">
        <v>45135</v>
      </c>
      <c r="U325" s="18">
        <v>0.77777777777777779</v>
      </c>
      <c r="V325" s="1" t="str">
        <f t="shared" si="29"/>
        <v>0 г. 0 мес. 0 дн.</v>
      </c>
      <c r="W325" s="69"/>
    </row>
    <row r="326" spans="1:23" ht="35.1" customHeight="1" x14ac:dyDescent="0.25">
      <c r="A326" s="1">
        <f t="shared" si="28"/>
        <v>325</v>
      </c>
      <c r="B326" s="11">
        <v>451</v>
      </c>
      <c r="C326" s="44" t="s">
        <v>26</v>
      </c>
      <c r="D326" s="21">
        <v>45138</v>
      </c>
      <c r="E326" s="18">
        <v>0.79166666666666663</v>
      </c>
      <c r="F326" s="11" t="s">
        <v>998</v>
      </c>
      <c r="G326" s="17">
        <v>39057</v>
      </c>
      <c r="H326" s="11" t="str">
        <f t="shared" si="27"/>
        <v>16 г. 7 мес. 25 дн.</v>
      </c>
      <c r="I326" s="20" t="s">
        <v>120</v>
      </c>
      <c r="J326" s="20"/>
      <c r="K326" s="11" t="s">
        <v>509</v>
      </c>
      <c r="L326" s="11" t="s">
        <v>971</v>
      </c>
      <c r="M326" s="11" t="s">
        <v>55</v>
      </c>
      <c r="N326" s="19"/>
      <c r="O326" s="20" t="s">
        <v>89</v>
      </c>
      <c r="P326" s="19"/>
      <c r="Q326" s="19"/>
      <c r="R326" s="19"/>
      <c r="S326" s="11" t="s">
        <v>26</v>
      </c>
      <c r="T326" s="17">
        <v>45140</v>
      </c>
      <c r="U326" s="18">
        <v>0.49583333333333335</v>
      </c>
      <c r="V326" s="1" t="str">
        <f t="shared" si="29"/>
        <v>0 г. 0 мес. 2 дн.</v>
      </c>
      <c r="W326" s="69"/>
    </row>
    <row r="327" spans="1:23" ht="35.1" customHeight="1" x14ac:dyDescent="0.25">
      <c r="A327" s="109">
        <f t="shared" si="28"/>
        <v>326</v>
      </c>
      <c r="B327" s="110">
        <v>412</v>
      </c>
      <c r="C327" s="111" t="s">
        <v>25</v>
      </c>
      <c r="D327" s="112">
        <v>45134</v>
      </c>
      <c r="E327" s="113">
        <v>0.1111111111111111</v>
      </c>
      <c r="F327" s="110" t="s">
        <v>988</v>
      </c>
      <c r="G327" s="114">
        <v>45133</v>
      </c>
      <c r="H327" s="110" t="str">
        <f t="shared" ref="H327:H384" si="30">DATEDIF(G327,D327,"y") &amp; " г. " &amp; DATEDIF(G327,D327,"ym") &amp; " мес. " &amp; DATEDIF(G327,D327,"md") &amp; " дн."</f>
        <v>0 г. 0 мес. 1 дн.</v>
      </c>
      <c r="I327" s="109" t="s">
        <v>124</v>
      </c>
      <c r="J327" s="109"/>
      <c r="K327" s="110" t="s">
        <v>406</v>
      </c>
      <c r="L327" s="110" t="s">
        <v>989</v>
      </c>
      <c r="M327" s="110" t="s">
        <v>56</v>
      </c>
      <c r="N327" s="115">
        <v>132</v>
      </c>
      <c r="O327" s="109" t="s">
        <v>92</v>
      </c>
      <c r="P327" s="115"/>
      <c r="Q327" s="115" t="s">
        <v>149</v>
      </c>
      <c r="R327" s="115"/>
      <c r="S327" s="110" t="s">
        <v>30</v>
      </c>
      <c r="T327" s="114">
        <v>45139</v>
      </c>
      <c r="U327" s="113">
        <v>0.63194444444444442</v>
      </c>
      <c r="V327" s="109" t="str">
        <f t="shared" si="25"/>
        <v>0 г. 0 мес. 5 дн.</v>
      </c>
      <c r="W327" s="116"/>
    </row>
    <row r="328" spans="1:23" ht="35.1" customHeight="1" x14ac:dyDescent="0.25">
      <c r="A328" s="1">
        <f t="shared" ref="A328:A384" si="31">ROW(A327)</f>
        <v>327</v>
      </c>
      <c r="B328" s="11">
        <v>1036</v>
      </c>
      <c r="C328" s="44" t="s">
        <v>23</v>
      </c>
      <c r="D328" s="21">
        <v>45139</v>
      </c>
      <c r="E328" s="18">
        <v>0.99652777777777779</v>
      </c>
      <c r="F328" s="11" t="s">
        <v>990</v>
      </c>
      <c r="G328" s="17">
        <v>41978</v>
      </c>
      <c r="H328" s="11" t="str">
        <f t="shared" si="30"/>
        <v>8 г. 7 мес. 27 дн.</v>
      </c>
      <c r="I328" s="20" t="s">
        <v>120</v>
      </c>
      <c r="J328" s="20"/>
      <c r="K328" s="11" t="s">
        <v>991</v>
      </c>
      <c r="L328" s="11" t="s">
        <v>992</v>
      </c>
      <c r="M328" s="11" t="s">
        <v>52</v>
      </c>
      <c r="N328" s="19"/>
      <c r="O328" s="20" t="s">
        <v>89</v>
      </c>
      <c r="P328" s="19"/>
      <c r="Q328" s="19"/>
      <c r="R328" s="19"/>
      <c r="S328" s="11" t="s">
        <v>23</v>
      </c>
      <c r="T328" s="17">
        <v>45141</v>
      </c>
      <c r="U328" s="18">
        <v>0.3611111111111111</v>
      </c>
      <c r="V328" s="1" t="str">
        <f t="shared" si="25"/>
        <v>0 г. 0 мес. 2 дн.</v>
      </c>
      <c r="W328" s="69"/>
    </row>
    <row r="329" spans="1:23" s="8" customFormat="1" ht="35.1" customHeight="1" x14ac:dyDescent="0.25">
      <c r="A329" s="8">
        <f t="shared" si="31"/>
        <v>328</v>
      </c>
      <c r="B329" s="11">
        <v>1054</v>
      </c>
      <c r="C329" s="44" t="s">
        <v>77</v>
      </c>
      <c r="D329" s="21">
        <v>45140</v>
      </c>
      <c r="E329" s="18">
        <v>0.47916666666666669</v>
      </c>
      <c r="F329" s="11" t="s">
        <v>995</v>
      </c>
      <c r="G329" s="17">
        <v>39094</v>
      </c>
      <c r="H329" s="11" t="str">
        <f t="shared" si="30"/>
        <v>16 г. 6 мес. 21 дн.</v>
      </c>
      <c r="I329" s="20" t="s">
        <v>121</v>
      </c>
      <c r="J329" s="20" t="s">
        <v>77</v>
      </c>
      <c r="K329" s="11" t="s">
        <v>657</v>
      </c>
      <c r="L329" s="11" t="s">
        <v>426</v>
      </c>
      <c r="M329" s="11" t="s">
        <v>51</v>
      </c>
      <c r="N329" s="19"/>
      <c r="O329" s="20" t="s">
        <v>89</v>
      </c>
      <c r="P329" s="7" t="s">
        <v>96</v>
      </c>
      <c r="Q329" s="19"/>
      <c r="R329" s="19"/>
      <c r="S329" s="11" t="s">
        <v>77</v>
      </c>
      <c r="T329" s="17">
        <v>45143</v>
      </c>
      <c r="U329" s="18">
        <v>0.43333333333333335</v>
      </c>
      <c r="V329" s="1" t="str">
        <f t="shared" si="25"/>
        <v>0 г. 0 мес. 3 дн.</v>
      </c>
      <c r="W329" s="73"/>
    </row>
    <row r="330" spans="1:23" ht="35.1" customHeight="1" x14ac:dyDescent="0.25">
      <c r="A330" s="1">
        <f t="shared" si="31"/>
        <v>329</v>
      </c>
      <c r="B330" s="11">
        <v>1746</v>
      </c>
      <c r="C330" s="44" t="s">
        <v>77</v>
      </c>
      <c r="D330" s="21">
        <v>45140</v>
      </c>
      <c r="E330" s="18">
        <v>0.58333333333333337</v>
      </c>
      <c r="F330" s="11" t="s">
        <v>693</v>
      </c>
      <c r="G330" s="17">
        <v>39672</v>
      </c>
      <c r="H330" s="11" t="str">
        <f t="shared" si="30"/>
        <v>14 г. 11 мес. 21 дн.</v>
      </c>
      <c r="I330" s="20" t="s">
        <v>121</v>
      </c>
      <c r="J330" s="20" t="s">
        <v>77</v>
      </c>
      <c r="K330" s="11" t="s">
        <v>1014</v>
      </c>
      <c r="L330" s="11" t="s">
        <v>1015</v>
      </c>
      <c r="M330" s="1" t="s">
        <v>49</v>
      </c>
      <c r="N330" s="19"/>
      <c r="O330" s="20" t="s">
        <v>89</v>
      </c>
      <c r="P330" s="7" t="s">
        <v>96</v>
      </c>
      <c r="Q330" s="19"/>
      <c r="R330" s="19"/>
      <c r="S330" s="11" t="s">
        <v>77</v>
      </c>
      <c r="T330" s="17">
        <v>45144</v>
      </c>
      <c r="U330" s="18">
        <v>0.5</v>
      </c>
      <c r="V330" s="1" t="str">
        <f t="shared" si="25"/>
        <v>0 г. 0 мес. 4 дн.</v>
      </c>
      <c r="W330" s="69"/>
    </row>
    <row r="331" spans="1:23" ht="35.1" customHeight="1" x14ac:dyDescent="0.25">
      <c r="A331" s="8">
        <f t="shared" si="31"/>
        <v>330</v>
      </c>
      <c r="B331" s="11">
        <v>1823</v>
      </c>
      <c r="C331" s="44" t="s">
        <v>77</v>
      </c>
      <c r="D331" s="21">
        <v>45141</v>
      </c>
      <c r="E331" s="18">
        <v>0.95833333333333337</v>
      </c>
      <c r="F331" s="11" t="s">
        <v>993</v>
      </c>
      <c r="G331" s="17">
        <v>39721</v>
      </c>
      <c r="H331" s="11" t="str">
        <f t="shared" si="30"/>
        <v>14 г. 10 мес. 4 дн.</v>
      </c>
      <c r="I331" s="20" t="s">
        <v>121</v>
      </c>
      <c r="J331" s="20" t="s">
        <v>77</v>
      </c>
      <c r="K331" s="11" t="s">
        <v>856</v>
      </c>
      <c r="L331" s="11" t="s">
        <v>999</v>
      </c>
      <c r="M331" s="11" t="s">
        <v>49</v>
      </c>
      <c r="N331" s="19"/>
      <c r="O331" s="20" t="s">
        <v>89</v>
      </c>
      <c r="P331" s="19"/>
      <c r="Q331" s="19"/>
      <c r="R331" s="19"/>
      <c r="S331" s="11" t="s">
        <v>77</v>
      </c>
      <c r="T331" s="17">
        <v>45144</v>
      </c>
      <c r="U331" s="18">
        <v>0.5</v>
      </c>
      <c r="V331" s="1" t="str">
        <f t="shared" si="25"/>
        <v>0 г. 0 мес. 3 дн.</v>
      </c>
      <c r="W331" s="69"/>
    </row>
    <row r="332" spans="1:23" ht="35.1" customHeight="1" x14ac:dyDescent="0.25">
      <c r="A332" s="1">
        <f t="shared" si="31"/>
        <v>331</v>
      </c>
      <c r="B332" s="11">
        <v>459</v>
      </c>
      <c r="C332" s="44" t="s">
        <v>26</v>
      </c>
      <c r="D332" s="21">
        <v>45142</v>
      </c>
      <c r="E332" s="18">
        <v>0.90347222222222223</v>
      </c>
      <c r="F332" s="11" t="s">
        <v>195</v>
      </c>
      <c r="G332" s="17">
        <v>39464</v>
      </c>
      <c r="H332" s="11" t="str">
        <f t="shared" si="30"/>
        <v>15 г. 6 мес. 18 дн.</v>
      </c>
      <c r="I332" s="20" t="s">
        <v>120</v>
      </c>
      <c r="J332" s="20"/>
      <c r="K332" s="11" t="s">
        <v>1006</v>
      </c>
      <c r="L332" s="11" t="s">
        <v>1007</v>
      </c>
      <c r="M332" s="11" t="s">
        <v>43</v>
      </c>
      <c r="N332" s="19"/>
      <c r="O332" s="20" t="s">
        <v>89</v>
      </c>
      <c r="P332" s="19"/>
      <c r="Q332" s="19"/>
      <c r="R332" s="19"/>
      <c r="S332" s="11" t="s">
        <v>26</v>
      </c>
      <c r="T332" s="17">
        <v>45143</v>
      </c>
      <c r="U332" s="18">
        <v>0.64583333333333337</v>
      </c>
      <c r="V332" s="1" t="str">
        <f t="shared" si="25"/>
        <v>0 г. 0 мес. 1 дн.</v>
      </c>
      <c r="W332" s="69"/>
    </row>
    <row r="333" spans="1:23" ht="35.1" customHeight="1" x14ac:dyDescent="0.25">
      <c r="A333" s="8">
        <f t="shared" si="31"/>
        <v>332</v>
      </c>
      <c r="B333" s="11">
        <v>1772</v>
      </c>
      <c r="C333" s="44" t="s">
        <v>77</v>
      </c>
      <c r="D333" s="21">
        <v>45136</v>
      </c>
      <c r="E333" s="18">
        <v>0.59236111111111112</v>
      </c>
      <c r="F333" s="11" t="s">
        <v>994</v>
      </c>
      <c r="G333" s="17">
        <v>43935</v>
      </c>
      <c r="H333" s="11" t="str">
        <f t="shared" si="30"/>
        <v>3 г. 3 мес. 15 дн.</v>
      </c>
      <c r="I333" s="20" t="s">
        <v>121</v>
      </c>
      <c r="J333" s="20" t="s">
        <v>77</v>
      </c>
      <c r="K333" s="11" t="s">
        <v>1001</v>
      </c>
      <c r="L333" s="1" t="s">
        <v>1000</v>
      </c>
      <c r="M333" s="11" t="s">
        <v>49</v>
      </c>
      <c r="N333" s="19"/>
      <c r="O333" s="20" t="s">
        <v>73</v>
      </c>
      <c r="P333" s="19" t="s">
        <v>96</v>
      </c>
      <c r="Q333" s="19"/>
      <c r="R333" s="19"/>
      <c r="S333" s="11" t="s">
        <v>77</v>
      </c>
      <c r="T333" s="17">
        <v>45139</v>
      </c>
      <c r="U333" s="18">
        <v>0.50416666666666665</v>
      </c>
      <c r="V333" s="1" t="str">
        <f t="shared" si="25"/>
        <v>0 г. 0 мес. 3 дн.</v>
      </c>
      <c r="W333" s="69"/>
    </row>
    <row r="334" spans="1:23" ht="35.1" customHeight="1" x14ac:dyDescent="0.25">
      <c r="A334" s="1">
        <f t="shared" si="31"/>
        <v>333</v>
      </c>
      <c r="B334" s="11">
        <v>867</v>
      </c>
      <c r="C334" s="44" t="s">
        <v>27</v>
      </c>
      <c r="D334" s="21">
        <v>45141</v>
      </c>
      <c r="E334" s="18">
        <v>0.90694444444444444</v>
      </c>
      <c r="F334" s="11" t="s">
        <v>996</v>
      </c>
      <c r="G334" s="17">
        <v>40136</v>
      </c>
      <c r="H334" s="11" t="str">
        <f t="shared" si="30"/>
        <v>13 г. 8 мес. 15 дн.</v>
      </c>
      <c r="I334" s="20" t="s">
        <v>120</v>
      </c>
      <c r="J334" s="20"/>
      <c r="K334" s="11" t="s">
        <v>1004</v>
      </c>
      <c r="L334" s="1" t="s">
        <v>1005</v>
      </c>
      <c r="M334" s="11" t="s">
        <v>55</v>
      </c>
      <c r="N334" s="19"/>
      <c r="O334" s="20" t="s">
        <v>89</v>
      </c>
      <c r="P334" s="19"/>
      <c r="Q334" s="19"/>
      <c r="R334" s="19"/>
      <c r="S334" s="11" t="s">
        <v>26</v>
      </c>
      <c r="T334" s="17">
        <v>45142</v>
      </c>
      <c r="U334" s="18">
        <v>0.4458333333333333</v>
      </c>
      <c r="V334" s="1" t="str">
        <f t="shared" si="25"/>
        <v>0 г. 0 мес. 1 дн.</v>
      </c>
      <c r="W334" s="69"/>
    </row>
    <row r="335" spans="1:23" ht="35.1" customHeight="1" x14ac:dyDescent="0.25">
      <c r="A335" s="8">
        <f t="shared" si="31"/>
        <v>334</v>
      </c>
      <c r="B335" s="11">
        <v>1059</v>
      </c>
      <c r="C335" s="44" t="s">
        <v>77</v>
      </c>
      <c r="D335" s="21">
        <v>45142</v>
      </c>
      <c r="E335" s="18">
        <v>0.68055555555555547</v>
      </c>
      <c r="F335" s="11" t="s">
        <v>997</v>
      </c>
      <c r="G335" s="17">
        <v>39007</v>
      </c>
      <c r="H335" s="11" t="str">
        <f t="shared" si="30"/>
        <v>16 г. 9 мес. 18 дн.</v>
      </c>
      <c r="I335" s="20" t="s">
        <v>121</v>
      </c>
      <c r="J335" s="20" t="s">
        <v>77</v>
      </c>
      <c r="K335" s="11" t="s">
        <v>1002</v>
      </c>
      <c r="L335" s="11" t="s">
        <v>1003</v>
      </c>
      <c r="M335" s="11" t="s">
        <v>51</v>
      </c>
      <c r="N335" s="19"/>
      <c r="O335" s="20" t="s">
        <v>89</v>
      </c>
      <c r="P335" s="19" t="s">
        <v>96</v>
      </c>
      <c r="Q335" s="19"/>
      <c r="R335" s="19"/>
      <c r="S335" s="11" t="s">
        <v>77</v>
      </c>
      <c r="T335" s="17">
        <v>45144</v>
      </c>
      <c r="U335" s="18">
        <v>0.56944444444444442</v>
      </c>
      <c r="V335" s="1" t="str">
        <f t="shared" si="25"/>
        <v>0 г. 0 мес. 2 дн.</v>
      </c>
      <c r="W335" s="69"/>
    </row>
    <row r="336" spans="1:23" ht="35.1" customHeight="1" x14ac:dyDescent="0.25">
      <c r="A336" s="1">
        <f t="shared" si="31"/>
        <v>335</v>
      </c>
      <c r="B336" s="11">
        <v>427</v>
      </c>
      <c r="C336" s="44" t="s">
        <v>25</v>
      </c>
      <c r="D336" s="21">
        <v>45142</v>
      </c>
      <c r="E336" s="18">
        <v>0.23958333333333334</v>
      </c>
      <c r="F336" s="11" t="s">
        <v>1008</v>
      </c>
      <c r="G336" s="17">
        <v>45113</v>
      </c>
      <c r="H336" s="11" t="str">
        <f t="shared" si="30"/>
        <v>0 г. 0 мес. 29 дн.</v>
      </c>
      <c r="I336" s="20" t="s">
        <v>125</v>
      </c>
      <c r="J336" s="20" t="s">
        <v>82</v>
      </c>
      <c r="K336" s="11" t="s">
        <v>1009</v>
      </c>
      <c r="L336" s="11" t="s">
        <v>1010</v>
      </c>
      <c r="M336" s="11" t="s">
        <v>56</v>
      </c>
      <c r="N336" s="19">
        <v>257</v>
      </c>
      <c r="O336" s="20" t="s">
        <v>73</v>
      </c>
      <c r="P336" s="19"/>
      <c r="Q336" s="19" t="s">
        <v>103</v>
      </c>
      <c r="R336" s="19"/>
      <c r="S336" s="11" t="s">
        <v>82</v>
      </c>
      <c r="T336" s="17">
        <v>45152</v>
      </c>
      <c r="U336" s="18">
        <v>0.95833333333333337</v>
      </c>
      <c r="V336" s="1" t="str">
        <f t="shared" si="25"/>
        <v>0 г. 0 мес. 10 дн.</v>
      </c>
      <c r="W336" s="69"/>
    </row>
    <row r="337" spans="1:23" ht="35.1" customHeight="1" x14ac:dyDescent="0.25">
      <c r="A337" s="8">
        <f t="shared" si="31"/>
        <v>336</v>
      </c>
      <c r="B337" s="11">
        <v>1830</v>
      </c>
      <c r="C337" s="44" t="s">
        <v>77</v>
      </c>
      <c r="D337" s="21">
        <v>45141</v>
      </c>
      <c r="E337" s="18">
        <v>0.74722222222222223</v>
      </c>
      <c r="F337" s="11" t="s">
        <v>1011</v>
      </c>
      <c r="G337" s="17">
        <v>42523</v>
      </c>
      <c r="H337" s="11" t="str">
        <f t="shared" si="30"/>
        <v>7 г. 2 мес. 1 дн.</v>
      </c>
      <c r="I337" s="20" t="s">
        <v>121</v>
      </c>
      <c r="J337" s="20" t="s">
        <v>77</v>
      </c>
      <c r="K337" s="11" t="s">
        <v>1012</v>
      </c>
      <c r="L337" s="11" t="s">
        <v>1013</v>
      </c>
      <c r="M337" s="11" t="s">
        <v>49</v>
      </c>
      <c r="N337" s="19"/>
      <c r="O337" s="20" t="s">
        <v>73</v>
      </c>
      <c r="P337" s="19" t="s">
        <v>96</v>
      </c>
      <c r="Q337" s="19"/>
      <c r="R337" s="19"/>
      <c r="S337" s="11" t="s">
        <v>77</v>
      </c>
      <c r="T337" s="17">
        <v>45150</v>
      </c>
      <c r="U337" s="18">
        <v>0.5</v>
      </c>
      <c r="V337" s="1" t="str">
        <f t="shared" si="25"/>
        <v>0 г. 0 мес. 9 дн.</v>
      </c>
      <c r="W337" s="69"/>
    </row>
    <row r="338" spans="1:23" ht="35.1" customHeight="1" x14ac:dyDescent="0.25">
      <c r="A338" s="1">
        <f t="shared" si="31"/>
        <v>337</v>
      </c>
      <c r="B338" s="11">
        <v>1089</v>
      </c>
      <c r="C338" s="44" t="s">
        <v>23</v>
      </c>
      <c r="D338" s="21">
        <v>45145</v>
      </c>
      <c r="E338" s="18">
        <v>0.74652777777777779</v>
      </c>
      <c r="F338" s="11" t="s">
        <v>1016</v>
      </c>
      <c r="G338" s="17">
        <v>39921</v>
      </c>
      <c r="H338" s="11" t="str">
        <f t="shared" si="30"/>
        <v>14 г. 3 мес. 20 дн.</v>
      </c>
      <c r="I338" s="20" t="s">
        <v>75</v>
      </c>
      <c r="J338" s="20"/>
      <c r="K338" s="11" t="s">
        <v>1017</v>
      </c>
      <c r="L338" s="11" t="s">
        <v>1018</v>
      </c>
      <c r="M338" s="11" t="s">
        <v>52</v>
      </c>
      <c r="N338" s="19"/>
      <c r="O338" s="20" t="s">
        <v>89</v>
      </c>
      <c r="P338" s="19"/>
      <c r="Q338" s="19"/>
      <c r="R338" s="19"/>
      <c r="S338" s="11" t="s">
        <v>23</v>
      </c>
      <c r="T338" s="17">
        <v>45146</v>
      </c>
      <c r="U338" s="18">
        <v>0.54166666666666663</v>
      </c>
      <c r="V338" s="1" t="str">
        <f t="shared" si="25"/>
        <v>0 г. 0 мес. 1 дн.</v>
      </c>
      <c r="W338" s="69"/>
    </row>
    <row r="339" spans="1:23" ht="35.1" customHeight="1" x14ac:dyDescent="0.25">
      <c r="A339" s="8">
        <f t="shared" si="31"/>
        <v>338</v>
      </c>
      <c r="B339" s="11">
        <v>471</v>
      </c>
      <c r="C339" s="44" t="s">
        <v>26</v>
      </c>
      <c r="D339" s="21">
        <v>45146</v>
      </c>
      <c r="E339" s="18">
        <v>0.99305555555555547</v>
      </c>
      <c r="F339" s="11" t="s">
        <v>1043</v>
      </c>
      <c r="G339" s="17">
        <v>43813</v>
      </c>
      <c r="H339" s="11" t="str">
        <f t="shared" si="30"/>
        <v>3 г. 7 мес. 25 дн.</v>
      </c>
      <c r="I339" s="20" t="s">
        <v>120</v>
      </c>
      <c r="J339" s="20"/>
      <c r="K339" s="11" t="s">
        <v>1019</v>
      </c>
      <c r="L339" s="11" t="s">
        <v>299</v>
      </c>
      <c r="M339" s="11" t="s">
        <v>43</v>
      </c>
      <c r="N339" s="19"/>
      <c r="O339" s="20" t="s">
        <v>89</v>
      </c>
      <c r="P339" s="19"/>
      <c r="Q339" s="19"/>
      <c r="R339" s="19"/>
      <c r="S339" s="11" t="s">
        <v>26</v>
      </c>
      <c r="T339" s="60">
        <v>45148</v>
      </c>
      <c r="U339" s="18">
        <v>0.4458333333333333</v>
      </c>
      <c r="V339" s="1" t="str">
        <f t="shared" si="25"/>
        <v>0 г. 0 мес. 2 дн.</v>
      </c>
      <c r="W339" s="69"/>
    </row>
    <row r="340" spans="1:23" ht="35.1" customHeight="1" x14ac:dyDescent="0.25">
      <c r="A340" s="1">
        <f t="shared" si="31"/>
        <v>339</v>
      </c>
      <c r="B340" s="11">
        <v>457</v>
      </c>
      <c r="C340" s="44" t="s">
        <v>28</v>
      </c>
      <c r="D340" s="21">
        <v>45147</v>
      </c>
      <c r="E340" s="18">
        <v>0.5625</v>
      </c>
      <c r="F340" s="11" t="s">
        <v>1020</v>
      </c>
      <c r="G340" s="17">
        <v>44142</v>
      </c>
      <c r="H340" s="11" t="str">
        <f t="shared" si="30"/>
        <v>2 г. 9 мес. 2 дн.</v>
      </c>
      <c r="I340" s="20" t="s">
        <v>120</v>
      </c>
      <c r="J340" s="20"/>
      <c r="K340" s="11" t="s">
        <v>285</v>
      </c>
      <c r="L340" s="11" t="s">
        <v>143</v>
      </c>
      <c r="M340" s="11" t="s">
        <v>46</v>
      </c>
      <c r="N340" s="19"/>
      <c r="O340" s="20" t="s">
        <v>89</v>
      </c>
      <c r="P340" s="19"/>
      <c r="Q340" s="19"/>
      <c r="R340" s="19"/>
      <c r="S340" s="11" t="s">
        <v>28</v>
      </c>
      <c r="T340" s="60">
        <v>45148</v>
      </c>
      <c r="U340" s="18">
        <v>0.4458333333333333</v>
      </c>
      <c r="V340" s="1" t="str">
        <f t="shared" si="25"/>
        <v>0 г. 0 мес. 1 дн.</v>
      </c>
      <c r="W340" s="69"/>
    </row>
    <row r="341" spans="1:23" s="23" customFormat="1" ht="35.1" customHeight="1" x14ac:dyDescent="0.25">
      <c r="A341" s="23">
        <f t="shared" si="31"/>
        <v>340</v>
      </c>
      <c r="B341" s="51">
        <v>1873</v>
      </c>
      <c r="C341" s="58" t="s">
        <v>77</v>
      </c>
      <c r="D341" s="25">
        <v>45147</v>
      </c>
      <c r="E341" s="59">
        <v>0.63541666666666663</v>
      </c>
      <c r="F341" s="51" t="s">
        <v>1021</v>
      </c>
      <c r="G341" s="60">
        <v>44730</v>
      </c>
      <c r="H341" s="11" t="str">
        <f t="shared" si="30"/>
        <v>1 г. 1 мес. 22 дн.</v>
      </c>
      <c r="I341" s="23" t="s">
        <v>120</v>
      </c>
      <c r="K341" s="51" t="s">
        <v>1022</v>
      </c>
      <c r="L341" s="51" t="s">
        <v>1023</v>
      </c>
      <c r="M341" s="51" t="s">
        <v>54</v>
      </c>
      <c r="N341" s="117"/>
      <c r="O341" s="23" t="s">
        <v>89</v>
      </c>
      <c r="P341" s="117"/>
      <c r="Q341" s="117"/>
      <c r="R341" s="117"/>
      <c r="S341" s="11" t="s">
        <v>77</v>
      </c>
      <c r="T341" s="60">
        <v>45148</v>
      </c>
      <c r="U341" s="18">
        <v>0.4458333333333333</v>
      </c>
      <c r="V341" s="23" t="str">
        <f t="shared" si="25"/>
        <v>0 г. 0 мес. 1 дн.</v>
      </c>
      <c r="W341" s="118"/>
    </row>
    <row r="342" spans="1:23" ht="35.1" customHeight="1" x14ac:dyDescent="0.25">
      <c r="A342" s="1">
        <f t="shared" si="31"/>
        <v>341</v>
      </c>
      <c r="B342" s="11">
        <v>474</v>
      </c>
      <c r="C342" s="44" t="s">
        <v>26</v>
      </c>
      <c r="D342" s="21">
        <v>45147</v>
      </c>
      <c r="E342" s="18">
        <v>0.78819444444444453</v>
      </c>
      <c r="F342" s="11" t="s">
        <v>1024</v>
      </c>
      <c r="G342" s="17">
        <v>38860</v>
      </c>
      <c r="H342" s="11" t="str">
        <f t="shared" si="30"/>
        <v>17 г. 2 мес. 17 дн.</v>
      </c>
      <c r="I342" s="20" t="s">
        <v>120</v>
      </c>
      <c r="J342" s="20"/>
      <c r="K342" s="11" t="s">
        <v>1025</v>
      </c>
      <c r="L342" s="11" t="s">
        <v>1026</v>
      </c>
      <c r="M342" s="11" t="s">
        <v>55</v>
      </c>
      <c r="N342" s="19"/>
      <c r="O342" s="20" t="s">
        <v>89</v>
      </c>
      <c r="P342" s="19"/>
      <c r="Q342" s="19"/>
      <c r="R342" s="19"/>
      <c r="S342" s="11" t="s">
        <v>26</v>
      </c>
      <c r="T342" s="60">
        <v>45148</v>
      </c>
      <c r="U342" s="18">
        <v>0.4458333333333333</v>
      </c>
      <c r="V342" s="1" t="str">
        <f t="shared" si="25"/>
        <v>0 г. 0 мес. 1 дн.</v>
      </c>
      <c r="W342" s="69"/>
    </row>
    <row r="343" spans="1:23" ht="35.1" customHeight="1" x14ac:dyDescent="0.25">
      <c r="A343" s="8">
        <f t="shared" si="31"/>
        <v>342</v>
      </c>
      <c r="B343" s="11">
        <v>880</v>
      </c>
      <c r="C343" s="44" t="s">
        <v>27</v>
      </c>
      <c r="D343" s="21">
        <v>45147</v>
      </c>
      <c r="E343" s="18">
        <v>0.72222222222222221</v>
      </c>
      <c r="F343" s="11" t="s">
        <v>1027</v>
      </c>
      <c r="G343" s="17">
        <v>40170</v>
      </c>
      <c r="H343" s="11" t="str">
        <f t="shared" si="30"/>
        <v>13 г. 7 мес. 17 дн.</v>
      </c>
      <c r="I343" s="20" t="s">
        <v>122</v>
      </c>
      <c r="J343" s="20" t="s">
        <v>27</v>
      </c>
      <c r="K343" s="11" t="s">
        <v>1028</v>
      </c>
      <c r="L343" s="11" t="s">
        <v>1029</v>
      </c>
      <c r="M343" s="11" t="s">
        <v>48</v>
      </c>
      <c r="N343" s="19"/>
      <c r="O343" s="20" t="s">
        <v>89</v>
      </c>
      <c r="P343" s="19"/>
      <c r="Q343" s="19"/>
      <c r="R343" s="19"/>
      <c r="S343" s="11" t="s">
        <v>27</v>
      </c>
      <c r="T343" s="17">
        <v>45149</v>
      </c>
      <c r="U343" s="18">
        <v>0.55972222222222223</v>
      </c>
      <c r="V343" s="1" t="str">
        <f t="shared" si="25"/>
        <v>0 г. 0 мес. 2 дн.</v>
      </c>
      <c r="W343" s="69"/>
    </row>
    <row r="344" spans="1:23" ht="35.1" customHeight="1" x14ac:dyDescent="0.25">
      <c r="A344" s="1">
        <f t="shared" si="31"/>
        <v>343</v>
      </c>
      <c r="B344" s="11">
        <v>475</v>
      </c>
      <c r="C344" s="44" t="s">
        <v>26</v>
      </c>
      <c r="D344" s="21">
        <v>45148</v>
      </c>
      <c r="E344" s="18">
        <v>0.375</v>
      </c>
      <c r="F344" s="11" t="s">
        <v>1044</v>
      </c>
      <c r="G344" s="17">
        <v>44293</v>
      </c>
      <c r="H344" s="11" t="str">
        <f t="shared" si="30"/>
        <v>2 г. 4 мес. 3 дн.</v>
      </c>
      <c r="I344" s="20" t="s">
        <v>120</v>
      </c>
      <c r="J344" s="20"/>
      <c r="K344" s="11" t="s">
        <v>406</v>
      </c>
      <c r="L344" s="11" t="s">
        <v>1030</v>
      </c>
      <c r="M344" s="11" t="s">
        <v>55</v>
      </c>
      <c r="N344" s="19"/>
      <c r="O344" s="20" t="s">
        <v>89</v>
      </c>
      <c r="P344" s="19"/>
      <c r="Q344" s="19"/>
      <c r="R344" s="19"/>
      <c r="S344" s="11" t="s">
        <v>26</v>
      </c>
      <c r="T344" s="60">
        <v>45148</v>
      </c>
      <c r="U344" s="18">
        <v>0.61249999999999993</v>
      </c>
      <c r="V344" s="1" t="str">
        <f t="shared" si="25"/>
        <v>0 г. 0 мес. 0 дн.</v>
      </c>
      <c r="W344" s="69"/>
    </row>
    <row r="345" spans="1:23" ht="35.1" customHeight="1" x14ac:dyDescent="0.25">
      <c r="A345" s="8">
        <f t="shared" si="31"/>
        <v>344</v>
      </c>
      <c r="B345" s="11">
        <v>1089</v>
      </c>
      <c r="C345" s="44" t="s">
        <v>23</v>
      </c>
      <c r="D345" s="21">
        <v>45148</v>
      </c>
      <c r="E345" s="18">
        <v>0.55902777777777779</v>
      </c>
      <c r="F345" s="11" t="s">
        <v>1016</v>
      </c>
      <c r="G345" s="17">
        <v>39921</v>
      </c>
      <c r="H345" s="11" t="str">
        <f t="shared" ref="H345" si="32">DATEDIF(G345,D345,"y") &amp; " г. " &amp; DATEDIF(G345,D345,"ym") &amp; " мес. " &amp; DATEDIF(G345,D345,"md") &amp; " дн."</f>
        <v>14 г. 3 мес. 23 дн.</v>
      </c>
      <c r="I345" s="20" t="s">
        <v>121</v>
      </c>
      <c r="J345" s="20" t="s">
        <v>23</v>
      </c>
      <c r="K345" s="11" t="s">
        <v>1017</v>
      </c>
      <c r="L345" s="11" t="s">
        <v>1018</v>
      </c>
      <c r="M345" s="11" t="s">
        <v>52</v>
      </c>
      <c r="N345" s="19"/>
      <c r="O345" s="20" t="s">
        <v>89</v>
      </c>
      <c r="P345" s="16"/>
      <c r="Q345" s="16"/>
      <c r="R345" s="16"/>
      <c r="S345" s="13" t="s">
        <v>23</v>
      </c>
      <c r="T345" s="14">
        <v>45149</v>
      </c>
      <c r="U345" s="15">
        <v>0.55972222222222223</v>
      </c>
      <c r="V345" s="1" t="str">
        <f t="shared" ref="V345:V408" si="33">DATEDIF(D345,T345,"y") &amp; " г. " &amp; DATEDIF(D345,T345,"ym") &amp; " мес. " &amp; DATEDIF(D345,T345,"md") &amp; " дн."</f>
        <v>0 г. 0 мес. 1 дн.</v>
      </c>
      <c r="W345" s="69"/>
    </row>
    <row r="346" spans="1:23" ht="35.1" customHeight="1" x14ac:dyDescent="0.25">
      <c r="A346" s="1">
        <f t="shared" si="31"/>
        <v>345</v>
      </c>
      <c r="B346" s="11">
        <v>423</v>
      </c>
      <c r="C346" s="44" t="s">
        <v>82</v>
      </c>
      <c r="D346" s="21">
        <v>45150</v>
      </c>
      <c r="E346" s="18">
        <v>0.72916666666666663</v>
      </c>
      <c r="F346" s="11" t="s">
        <v>660</v>
      </c>
      <c r="G346" s="17">
        <v>45024</v>
      </c>
      <c r="H346" s="11" t="str">
        <f t="shared" si="30"/>
        <v>0 г. 4 мес. 4 дн.</v>
      </c>
      <c r="I346" s="20" t="s">
        <v>125</v>
      </c>
      <c r="J346" s="20" t="s">
        <v>82</v>
      </c>
      <c r="K346" s="11" t="s">
        <v>1039</v>
      </c>
      <c r="L346" s="11" t="s">
        <v>1031</v>
      </c>
      <c r="M346" s="11" t="s">
        <v>46</v>
      </c>
      <c r="N346" s="19">
        <v>30</v>
      </c>
      <c r="O346" s="20" t="s">
        <v>89</v>
      </c>
      <c r="P346" s="19"/>
      <c r="Q346" s="19"/>
      <c r="R346" s="19"/>
      <c r="S346" s="11" t="s">
        <v>82</v>
      </c>
      <c r="T346" s="17">
        <v>45151</v>
      </c>
      <c r="U346" s="18">
        <v>0.99652777777777779</v>
      </c>
      <c r="V346" s="1" t="str">
        <f t="shared" si="33"/>
        <v>0 г. 0 мес. 1 дн.</v>
      </c>
      <c r="W346" s="69"/>
    </row>
    <row r="347" spans="1:23" ht="35.1" customHeight="1" x14ac:dyDescent="0.25">
      <c r="A347" s="8">
        <f t="shared" si="31"/>
        <v>346</v>
      </c>
      <c r="B347" s="11">
        <v>482</v>
      </c>
      <c r="C347" s="44" t="s">
        <v>26</v>
      </c>
      <c r="D347" s="21">
        <v>45150</v>
      </c>
      <c r="E347" s="18">
        <v>4.1666666666666664E-2</v>
      </c>
      <c r="F347" s="11" t="s">
        <v>1032</v>
      </c>
      <c r="G347" s="17">
        <v>40727</v>
      </c>
      <c r="H347" s="11" t="str">
        <f t="shared" si="30"/>
        <v>12 г. 1 мес. 9 дн.</v>
      </c>
      <c r="I347" s="20" t="s">
        <v>120</v>
      </c>
      <c r="J347" s="20"/>
      <c r="K347" s="11" t="s">
        <v>1033</v>
      </c>
      <c r="L347" s="11" t="s">
        <v>1034</v>
      </c>
      <c r="M347" s="11" t="s">
        <v>43</v>
      </c>
      <c r="N347" s="19"/>
      <c r="O347" s="20" t="s">
        <v>89</v>
      </c>
      <c r="P347" s="19"/>
      <c r="Q347" s="19"/>
      <c r="R347" s="19"/>
      <c r="S347" s="11" t="s">
        <v>26</v>
      </c>
      <c r="T347" s="17">
        <v>45152</v>
      </c>
      <c r="U347" s="18">
        <v>0.5</v>
      </c>
      <c r="V347" s="1" t="str">
        <f t="shared" si="33"/>
        <v>0 г. 0 мес. 2 дн.</v>
      </c>
      <c r="W347" s="69"/>
    </row>
    <row r="348" spans="1:23" ht="35.1" customHeight="1" x14ac:dyDescent="0.25">
      <c r="A348" s="1">
        <f t="shared" si="31"/>
        <v>347</v>
      </c>
      <c r="B348" s="11">
        <v>1888</v>
      </c>
      <c r="C348" s="44" t="s">
        <v>77</v>
      </c>
      <c r="D348" s="21">
        <v>45148</v>
      </c>
      <c r="E348" s="18">
        <v>0.84027777777777779</v>
      </c>
      <c r="F348" s="11" t="s">
        <v>1035</v>
      </c>
      <c r="G348" s="17">
        <v>40480</v>
      </c>
      <c r="H348" s="11" t="str">
        <f t="shared" si="30"/>
        <v>12 г. 9 мес. 12 дн.</v>
      </c>
      <c r="I348" s="20" t="s">
        <v>123</v>
      </c>
      <c r="J348" s="20"/>
      <c r="K348" s="11" t="s">
        <v>1036</v>
      </c>
      <c r="L348" s="11" t="s">
        <v>1037</v>
      </c>
      <c r="M348" s="11" t="s">
        <v>49</v>
      </c>
      <c r="N348" s="19"/>
      <c r="O348" s="20" t="s">
        <v>89</v>
      </c>
      <c r="P348" s="19"/>
      <c r="Q348" s="19"/>
      <c r="R348" s="19"/>
      <c r="S348" s="11" t="s">
        <v>29</v>
      </c>
      <c r="T348" s="17">
        <v>45154</v>
      </c>
      <c r="U348" s="18">
        <v>0.52083333333333337</v>
      </c>
      <c r="V348" s="1" t="str">
        <f t="shared" si="33"/>
        <v>0 г. 0 мес. 6 дн.</v>
      </c>
      <c r="W348" s="69"/>
    </row>
    <row r="349" spans="1:23" ht="35.1" customHeight="1" x14ac:dyDescent="0.25">
      <c r="A349" s="8">
        <f t="shared" si="31"/>
        <v>348</v>
      </c>
      <c r="B349" s="11">
        <v>362</v>
      </c>
      <c r="C349" s="44" t="s">
        <v>24</v>
      </c>
      <c r="D349" s="21">
        <v>45149</v>
      </c>
      <c r="E349" s="18">
        <v>0.4597222222222222</v>
      </c>
      <c r="F349" s="11" t="s">
        <v>1046</v>
      </c>
      <c r="G349" s="17">
        <v>44650</v>
      </c>
      <c r="H349" s="11" t="str">
        <f t="shared" si="30"/>
        <v>1 г. 4 мес. 12 дн.</v>
      </c>
      <c r="I349" s="20" t="s">
        <v>123</v>
      </c>
      <c r="J349" s="20"/>
      <c r="K349" s="11" t="s">
        <v>509</v>
      </c>
      <c r="L349" s="11" t="s">
        <v>814</v>
      </c>
      <c r="M349" s="11" t="s">
        <v>50</v>
      </c>
      <c r="N349" s="19"/>
      <c r="O349" s="20" t="s">
        <v>73</v>
      </c>
      <c r="P349" s="19"/>
      <c r="Q349" s="19" t="s">
        <v>103</v>
      </c>
      <c r="R349" s="19" t="s">
        <v>107</v>
      </c>
      <c r="S349" s="11" t="s">
        <v>29</v>
      </c>
      <c r="T349" s="17">
        <v>45153</v>
      </c>
      <c r="U349" s="18">
        <v>0.11458333333333333</v>
      </c>
      <c r="V349" s="1" t="str">
        <f t="shared" si="33"/>
        <v>0 г. 0 мес. 4 дн.</v>
      </c>
      <c r="W349" s="69"/>
    </row>
    <row r="350" spans="1:23" ht="35.1" customHeight="1" x14ac:dyDescent="0.25">
      <c r="A350" s="1">
        <f t="shared" si="31"/>
        <v>349</v>
      </c>
      <c r="B350" s="11">
        <v>484</v>
      </c>
      <c r="C350" s="44" t="s">
        <v>26</v>
      </c>
      <c r="D350" s="21">
        <v>45151</v>
      </c>
      <c r="E350" s="18">
        <v>0.4201388888888889</v>
      </c>
      <c r="F350" s="11" t="s">
        <v>1045</v>
      </c>
      <c r="G350" s="17">
        <v>42157</v>
      </c>
      <c r="H350" s="11" t="str">
        <f t="shared" si="30"/>
        <v>8 г. 2 мес. 11 дн.</v>
      </c>
      <c r="I350" s="20" t="s">
        <v>120</v>
      </c>
      <c r="J350" s="20"/>
      <c r="K350" s="11" t="s">
        <v>509</v>
      </c>
      <c r="L350" s="11" t="s">
        <v>1038</v>
      </c>
      <c r="M350" s="11" t="s">
        <v>43</v>
      </c>
      <c r="N350" s="19"/>
      <c r="O350" s="20" t="s">
        <v>89</v>
      </c>
      <c r="P350" s="19"/>
      <c r="Q350" s="19"/>
      <c r="R350" s="19"/>
      <c r="S350" s="11" t="s">
        <v>26</v>
      </c>
      <c r="T350" s="17">
        <v>45152</v>
      </c>
      <c r="U350" s="18">
        <v>0.5</v>
      </c>
      <c r="V350" s="1" t="str">
        <f t="shared" si="33"/>
        <v>0 г. 0 мес. 1 дн.</v>
      </c>
      <c r="W350" s="69"/>
    </row>
    <row r="351" spans="1:23" ht="35.1" customHeight="1" x14ac:dyDescent="0.25">
      <c r="A351" s="8">
        <f t="shared" si="31"/>
        <v>350</v>
      </c>
      <c r="B351" s="11">
        <v>463</v>
      </c>
      <c r="C351" s="44" t="s">
        <v>28</v>
      </c>
      <c r="D351" s="21">
        <v>45151</v>
      </c>
      <c r="E351" s="18">
        <v>0.89583333333333337</v>
      </c>
      <c r="F351" s="11" t="s">
        <v>1040</v>
      </c>
      <c r="G351" s="17">
        <v>42463</v>
      </c>
      <c r="H351" s="11" t="str">
        <f t="shared" si="30"/>
        <v>7 г. 4 мес. 10 дн.</v>
      </c>
      <c r="I351" s="20" t="s">
        <v>122</v>
      </c>
      <c r="J351" s="20" t="s">
        <v>28</v>
      </c>
      <c r="K351" s="11" t="s">
        <v>1042</v>
      </c>
      <c r="L351" s="11" t="s">
        <v>1041</v>
      </c>
      <c r="M351" s="11" t="s">
        <v>46</v>
      </c>
      <c r="N351" s="19"/>
      <c r="O351" s="20" t="s">
        <v>89</v>
      </c>
      <c r="P351" s="19"/>
      <c r="Q351" s="19"/>
      <c r="R351" s="19"/>
      <c r="S351" s="11" t="s">
        <v>28</v>
      </c>
      <c r="T351" s="17">
        <v>45163</v>
      </c>
      <c r="U351" s="18">
        <v>0.5</v>
      </c>
      <c r="V351" s="1" t="str">
        <f t="shared" si="33"/>
        <v>0 г. 0 мес. 12 дн.</v>
      </c>
      <c r="W351" s="69"/>
    </row>
    <row r="352" spans="1:23" ht="35.1" customHeight="1" x14ac:dyDescent="0.25">
      <c r="A352" s="1">
        <f t="shared" si="31"/>
        <v>351</v>
      </c>
      <c r="B352" s="11">
        <v>1096</v>
      </c>
      <c r="C352" s="44" t="s">
        <v>23</v>
      </c>
      <c r="D352" s="21">
        <v>45146</v>
      </c>
      <c r="E352" s="18">
        <v>0.91666666666666663</v>
      </c>
      <c r="F352" s="11" t="s">
        <v>1047</v>
      </c>
      <c r="G352" s="17">
        <v>40857</v>
      </c>
      <c r="H352" s="11" t="str">
        <f t="shared" si="30"/>
        <v>11 г. 8 мес. 29 дн.</v>
      </c>
      <c r="I352" s="20" t="s">
        <v>120</v>
      </c>
      <c r="J352" s="20"/>
      <c r="K352" s="11" t="s">
        <v>1048</v>
      </c>
      <c r="L352" s="11" t="s">
        <v>1049</v>
      </c>
      <c r="M352" s="11" t="s">
        <v>52</v>
      </c>
      <c r="N352" s="19"/>
      <c r="O352" s="20" t="s">
        <v>89</v>
      </c>
      <c r="P352" s="19"/>
      <c r="Q352" s="19"/>
      <c r="R352" s="19"/>
      <c r="S352" s="11" t="s">
        <v>23</v>
      </c>
      <c r="T352" s="17">
        <v>45148</v>
      </c>
      <c r="U352" s="18">
        <v>0.42152777777777778</v>
      </c>
      <c r="V352" s="1" t="str">
        <f t="shared" si="33"/>
        <v>0 г. 0 мес. 2 дн.</v>
      </c>
      <c r="W352" s="69"/>
    </row>
    <row r="353" spans="1:23" ht="35.1" customHeight="1" x14ac:dyDescent="0.25">
      <c r="A353" s="8">
        <f t="shared" si="31"/>
        <v>352</v>
      </c>
      <c r="B353" s="11">
        <v>1924</v>
      </c>
      <c r="C353" s="44" t="s">
        <v>77</v>
      </c>
      <c r="D353" s="21">
        <v>45152</v>
      </c>
      <c r="E353" s="18">
        <v>0.98055555555555562</v>
      </c>
      <c r="F353" s="11" t="s">
        <v>1050</v>
      </c>
      <c r="G353" s="17">
        <v>41744</v>
      </c>
      <c r="H353" s="11" t="str">
        <f t="shared" si="30"/>
        <v>9 г. 3 мес. 30 дн.</v>
      </c>
      <c r="I353" s="20" t="s">
        <v>121</v>
      </c>
      <c r="J353" s="20" t="s">
        <v>77</v>
      </c>
      <c r="K353" s="11" t="s">
        <v>1051</v>
      </c>
      <c r="L353" s="11" t="s">
        <v>1052</v>
      </c>
      <c r="M353" s="11" t="s">
        <v>49</v>
      </c>
      <c r="N353" s="19"/>
      <c r="O353" s="20" t="s">
        <v>89</v>
      </c>
      <c r="P353" s="19"/>
      <c r="Q353" s="19"/>
      <c r="R353" s="19"/>
      <c r="S353" s="11" t="s">
        <v>77</v>
      </c>
      <c r="T353" s="17">
        <v>45154</v>
      </c>
      <c r="U353" s="18">
        <v>0.4375</v>
      </c>
      <c r="V353" s="1" t="str">
        <f t="shared" si="33"/>
        <v>0 г. 0 мес. 2 дн.</v>
      </c>
      <c r="W353" s="69"/>
    </row>
    <row r="354" spans="1:23" s="32" customFormat="1" ht="35.1" customHeight="1" x14ac:dyDescent="0.25">
      <c r="A354" s="32">
        <f t="shared" si="31"/>
        <v>353</v>
      </c>
      <c r="B354" s="28">
        <v>497</v>
      </c>
      <c r="C354" s="45" t="s">
        <v>82</v>
      </c>
      <c r="D354" s="21">
        <v>45153</v>
      </c>
      <c r="E354" s="30">
        <v>3.472222222222222E-3</v>
      </c>
      <c r="F354" s="28" t="s">
        <v>1008</v>
      </c>
      <c r="G354" s="29">
        <v>45113</v>
      </c>
      <c r="H354" s="11" t="str">
        <f t="shared" si="30"/>
        <v>0 г. 1 мес. 9 дн.</v>
      </c>
      <c r="I354" s="20" t="s">
        <v>125</v>
      </c>
      <c r="J354" s="20" t="s">
        <v>82</v>
      </c>
      <c r="K354" s="28" t="s">
        <v>1009</v>
      </c>
      <c r="L354" s="28" t="s">
        <v>1053</v>
      </c>
      <c r="M354" s="28" t="s">
        <v>46</v>
      </c>
      <c r="N354" s="31">
        <v>720</v>
      </c>
      <c r="O354" s="20" t="s">
        <v>73</v>
      </c>
      <c r="P354" s="31"/>
      <c r="Q354" s="31"/>
      <c r="R354" s="31"/>
      <c r="S354" s="28" t="s">
        <v>82</v>
      </c>
      <c r="T354" s="29">
        <v>45182</v>
      </c>
      <c r="U354" s="30">
        <v>0.99652777777777779</v>
      </c>
      <c r="V354" s="32" t="str">
        <f t="shared" si="33"/>
        <v>0 г. 0 мес. 29 дн.</v>
      </c>
      <c r="W354" s="72"/>
    </row>
    <row r="355" spans="1:23" ht="35.1" customHeight="1" x14ac:dyDescent="0.25">
      <c r="A355" s="8">
        <f t="shared" si="31"/>
        <v>354</v>
      </c>
      <c r="B355" s="11">
        <v>488</v>
      </c>
      <c r="C355" s="44" t="s">
        <v>82</v>
      </c>
      <c r="D355" s="21">
        <v>45152</v>
      </c>
      <c r="E355" s="18">
        <v>3.472222222222222E-3</v>
      </c>
      <c r="F355" s="11" t="s">
        <v>660</v>
      </c>
      <c r="G355" s="17">
        <v>45024</v>
      </c>
      <c r="H355" s="11" t="str">
        <f t="shared" si="30"/>
        <v>0 г. 4 мес. 6 дн.</v>
      </c>
      <c r="I355" s="20" t="s">
        <v>125</v>
      </c>
      <c r="J355" s="20" t="s">
        <v>82</v>
      </c>
      <c r="K355" s="11" t="s">
        <v>1054</v>
      </c>
      <c r="L355" s="1" t="s">
        <v>1055</v>
      </c>
      <c r="M355" s="11" t="s">
        <v>56</v>
      </c>
      <c r="N355" s="19">
        <v>720</v>
      </c>
      <c r="O355" s="20" t="s">
        <v>89</v>
      </c>
      <c r="P355" s="19"/>
      <c r="Q355" s="19"/>
      <c r="R355" s="19"/>
      <c r="S355" s="11" t="s">
        <v>82</v>
      </c>
      <c r="T355" s="17">
        <v>45181</v>
      </c>
      <c r="U355" s="18">
        <v>0.99652777777777779</v>
      </c>
      <c r="V355" s="1" t="str">
        <f t="shared" si="33"/>
        <v>0 г. 0 мес. 29 дн.</v>
      </c>
      <c r="W355" s="69"/>
    </row>
    <row r="356" spans="1:23" ht="35.1" customHeight="1" x14ac:dyDescent="0.25">
      <c r="A356" s="1">
        <f t="shared" si="31"/>
        <v>355</v>
      </c>
      <c r="B356" s="11">
        <v>1974</v>
      </c>
      <c r="C356" s="44" t="s">
        <v>77</v>
      </c>
      <c r="D356" s="21">
        <v>45155</v>
      </c>
      <c r="E356" s="18">
        <v>0.53125</v>
      </c>
      <c r="F356" s="11" t="s">
        <v>1056</v>
      </c>
      <c r="G356" s="17">
        <v>41999</v>
      </c>
      <c r="H356" s="11" t="str">
        <f t="shared" si="30"/>
        <v>8 г. 7 мес. 22 дн.</v>
      </c>
      <c r="I356" s="20" t="s">
        <v>121</v>
      </c>
      <c r="J356" s="20"/>
      <c r="K356" s="11" t="s">
        <v>1057</v>
      </c>
      <c r="L356" s="11" t="s">
        <v>1058</v>
      </c>
      <c r="M356" s="11" t="s">
        <v>49</v>
      </c>
      <c r="N356" s="19"/>
      <c r="O356" s="20" t="s">
        <v>73</v>
      </c>
      <c r="P356" s="19" t="s">
        <v>96</v>
      </c>
      <c r="Q356" s="19"/>
      <c r="R356" s="19"/>
      <c r="S356" s="11" t="s">
        <v>77</v>
      </c>
      <c r="T356" s="17">
        <v>45157</v>
      </c>
      <c r="U356" s="18">
        <v>0.55555555555555558</v>
      </c>
      <c r="V356" s="1" t="str">
        <f t="shared" si="33"/>
        <v>0 г. 0 мес. 2 дн.</v>
      </c>
      <c r="W356" s="69"/>
    </row>
    <row r="357" spans="1:23" ht="35.1" customHeight="1" x14ac:dyDescent="0.25">
      <c r="A357" s="8">
        <f t="shared" si="31"/>
        <v>356</v>
      </c>
      <c r="B357" s="11">
        <v>1954</v>
      </c>
      <c r="C357" s="44" t="s">
        <v>77</v>
      </c>
      <c r="D357" s="21">
        <v>45156</v>
      </c>
      <c r="E357" s="18">
        <v>0.56597222222222221</v>
      </c>
      <c r="F357" s="11" t="s">
        <v>1059</v>
      </c>
      <c r="G357" s="17">
        <v>45149</v>
      </c>
      <c r="H357" s="11" t="str">
        <f t="shared" si="30"/>
        <v>0 г. 0 мес. 7 дн.</v>
      </c>
      <c r="I357" s="20" t="s">
        <v>124</v>
      </c>
      <c r="J357" s="20"/>
      <c r="K357" s="11" t="s">
        <v>1060</v>
      </c>
      <c r="L357" s="11" t="s">
        <v>1061</v>
      </c>
      <c r="M357" s="11" t="s">
        <v>49</v>
      </c>
      <c r="N357" s="19"/>
      <c r="O357" s="20" t="s">
        <v>88</v>
      </c>
      <c r="P357" s="19"/>
      <c r="Q357" s="19" t="s">
        <v>102</v>
      </c>
      <c r="R357" s="19"/>
      <c r="S357" s="11" t="s">
        <v>29</v>
      </c>
      <c r="T357" s="17">
        <v>45162</v>
      </c>
      <c r="U357" s="18">
        <v>0.13541666666666666</v>
      </c>
      <c r="V357" s="1" t="str">
        <f t="shared" si="33"/>
        <v>0 г. 0 мес. 6 дн.</v>
      </c>
      <c r="W357" s="69"/>
    </row>
    <row r="358" spans="1:23" s="8" customFormat="1" ht="35.1" customHeight="1" x14ac:dyDescent="0.25">
      <c r="A358" s="1">
        <f t="shared" si="31"/>
        <v>357</v>
      </c>
      <c r="B358" s="11">
        <v>1132</v>
      </c>
      <c r="C358" s="44" t="s">
        <v>23</v>
      </c>
      <c r="D358" s="21">
        <v>45156</v>
      </c>
      <c r="E358" s="18">
        <v>0.54166666666666663</v>
      </c>
      <c r="F358" s="11" t="s">
        <v>1062</v>
      </c>
      <c r="G358" s="17">
        <v>44550</v>
      </c>
      <c r="H358" s="11" t="str">
        <f t="shared" si="30"/>
        <v>1 г. 7 мес. 29 дн.</v>
      </c>
      <c r="I358" s="20" t="s">
        <v>120</v>
      </c>
      <c r="J358" s="20"/>
      <c r="K358" s="11" t="s">
        <v>1063</v>
      </c>
      <c r="L358" s="11" t="s">
        <v>1064</v>
      </c>
      <c r="M358" s="11" t="s">
        <v>52</v>
      </c>
      <c r="N358" s="19"/>
      <c r="O358" s="20" t="s">
        <v>89</v>
      </c>
      <c r="P358" s="19"/>
      <c r="Q358" s="19"/>
      <c r="R358" s="19"/>
      <c r="S358" s="11" t="s">
        <v>23</v>
      </c>
      <c r="T358" s="17">
        <v>45157</v>
      </c>
      <c r="U358" s="18">
        <v>0.47916666666666669</v>
      </c>
      <c r="V358" s="1" t="str">
        <f t="shared" si="33"/>
        <v>0 г. 0 мес. 1 дн.</v>
      </c>
      <c r="W358" s="73"/>
    </row>
    <row r="359" spans="1:23" ht="35.1" customHeight="1" x14ac:dyDescent="0.25">
      <c r="A359" s="8">
        <f t="shared" si="31"/>
        <v>358</v>
      </c>
      <c r="B359" s="11">
        <v>1962</v>
      </c>
      <c r="C359" s="44" t="s">
        <v>77</v>
      </c>
      <c r="D359" s="21">
        <v>45157</v>
      </c>
      <c r="E359" s="18">
        <v>0.60763888888888895</v>
      </c>
      <c r="F359" s="11" t="s">
        <v>1065</v>
      </c>
      <c r="G359" s="17">
        <v>38631</v>
      </c>
      <c r="H359" s="11" t="str">
        <f t="shared" si="30"/>
        <v>17 г. 10 мес. 13 дн.</v>
      </c>
      <c r="I359" s="20" t="s">
        <v>120</v>
      </c>
      <c r="J359" s="20"/>
      <c r="K359" s="11" t="s">
        <v>1066</v>
      </c>
      <c r="L359" s="11" t="s">
        <v>1067</v>
      </c>
      <c r="M359" s="11" t="s">
        <v>55</v>
      </c>
      <c r="N359" s="19"/>
      <c r="O359" s="20" t="s">
        <v>89</v>
      </c>
      <c r="P359" s="19"/>
      <c r="Q359" s="19"/>
      <c r="R359" s="19"/>
      <c r="S359" s="11" t="s">
        <v>77</v>
      </c>
      <c r="T359" s="17">
        <v>45158</v>
      </c>
      <c r="U359" s="18">
        <v>0.45833333333333331</v>
      </c>
      <c r="V359" s="1" t="str">
        <f t="shared" si="33"/>
        <v>0 г. 0 мес. 1 дн.</v>
      </c>
      <c r="W359" s="69"/>
    </row>
    <row r="360" spans="1:23" ht="35.1" customHeight="1" x14ac:dyDescent="0.25">
      <c r="A360" s="1">
        <f t="shared" si="31"/>
        <v>359</v>
      </c>
      <c r="B360" s="11">
        <v>1136</v>
      </c>
      <c r="C360" s="44" t="s">
        <v>23</v>
      </c>
      <c r="D360" s="21">
        <v>45157</v>
      </c>
      <c r="E360" s="18">
        <v>0.90625</v>
      </c>
      <c r="F360" s="11" t="s">
        <v>1068</v>
      </c>
      <c r="G360" s="17">
        <v>44506</v>
      </c>
      <c r="H360" s="11" t="str">
        <f t="shared" si="30"/>
        <v>1 г. 9 мес. 13 дн.</v>
      </c>
      <c r="I360" s="20" t="s">
        <v>120</v>
      </c>
      <c r="J360" s="20"/>
      <c r="K360" s="11" t="s">
        <v>1069</v>
      </c>
      <c r="L360" s="11" t="s">
        <v>1070</v>
      </c>
      <c r="M360" s="11" t="s">
        <v>52</v>
      </c>
      <c r="N360" s="19"/>
      <c r="O360" s="20" t="s">
        <v>89</v>
      </c>
      <c r="P360" s="19"/>
      <c r="Q360" s="19"/>
      <c r="R360" s="19"/>
      <c r="S360" s="11" t="s">
        <v>77</v>
      </c>
      <c r="T360" s="17">
        <v>45163</v>
      </c>
      <c r="U360" s="18">
        <v>0.47916666666666669</v>
      </c>
      <c r="V360" s="1" t="str">
        <f t="shared" si="33"/>
        <v>0 г. 0 мес. 6 дн.</v>
      </c>
      <c r="W360" s="69"/>
    </row>
    <row r="361" spans="1:23" ht="35.1" customHeight="1" x14ac:dyDescent="0.25">
      <c r="A361" s="8">
        <f t="shared" si="31"/>
        <v>360</v>
      </c>
      <c r="B361" s="11">
        <v>1967</v>
      </c>
      <c r="C361" s="44" t="s">
        <v>77</v>
      </c>
      <c r="D361" s="21">
        <v>45157</v>
      </c>
      <c r="E361" s="18">
        <v>0.9375</v>
      </c>
      <c r="F361" s="11" t="s">
        <v>1071</v>
      </c>
      <c r="G361" s="17">
        <v>44434</v>
      </c>
      <c r="H361" s="11" t="str">
        <f t="shared" si="30"/>
        <v>1 г. 11 мес. 24 дн.</v>
      </c>
      <c r="I361" s="20" t="s">
        <v>75</v>
      </c>
      <c r="J361" s="20"/>
      <c r="K361" s="11" t="s">
        <v>1072</v>
      </c>
      <c r="L361" s="11" t="s">
        <v>1067</v>
      </c>
      <c r="M361" s="11" t="s">
        <v>55</v>
      </c>
      <c r="N361" s="19"/>
      <c r="O361" s="20" t="s">
        <v>89</v>
      </c>
      <c r="P361" s="19"/>
      <c r="Q361" s="19"/>
      <c r="R361" s="19"/>
      <c r="S361" s="11" t="s">
        <v>77</v>
      </c>
      <c r="T361" s="17">
        <v>45160</v>
      </c>
      <c r="U361" s="18">
        <v>0.52083333333333337</v>
      </c>
      <c r="V361" s="1" t="str">
        <f t="shared" si="33"/>
        <v>0 г. 0 мес. 3 дн.</v>
      </c>
      <c r="W361" s="69"/>
    </row>
    <row r="362" spans="1:23" ht="35.1" customHeight="1" x14ac:dyDescent="0.25">
      <c r="A362" s="1">
        <f t="shared" si="31"/>
        <v>361</v>
      </c>
      <c r="B362" s="11">
        <v>450</v>
      </c>
      <c r="C362" s="44" t="s">
        <v>82</v>
      </c>
      <c r="D362" s="21">
        <v>45158</v>
      </c>
      <c r="E362" s="18">
        <v>3.472222222222222E-3</v>
      </c>
      <c r="F362" s="11" t="s">
        <v>317</v>
      </c>
      <c r="G362" s="17">
        <v>43654</v>
      </c>
      <c r="H362" s="11" t="str">
        <f t="shared" si="30"/>
        <v>4 г. 1 мес. 12 дн.</v>
      </c>
      <c r="I362" s="20" t="s">
        <v>122</v>
      </c>
      <c r="J362" s="20" t="s">
        <v>82</v>
      </c>
      <c r="K362" s="11" t="s">
        <v>815</v>
      </c>
      <c r="L362" s="11" t="s">
        <v>1073</v>
      </c>
      <c r="M362" s="11" t="s">
        <v>47</v>
      </c>
      <c r="N362" s="19">
        <v>247</v>
      </c>
      <c r="O362" s="20" t="s">
        <v>89</v>
      </c>
      <c r="P362" s="19"/>
      <c r="Q362" s="19"/>
      <c r="R362" s="19"/>
      <c r="S362" s="11" t="s">
        <v>31</v>
      </c>
      <c r="T362" s="17">
        <v>45167</v>
      </c>
      <c r="U362" s="18">
        <v>0.47430555555555554</v>
      </c>
      <c r="V362" s="1" t="str">
        <f t="shared" si="33"/>
        <v>0 г. 0 мес. 9 дн.</v>
      </c>
      <c r="W362" s="69"/>
    </row>
    <row r="363" spans="1:23" ht="35.1" customHeight="1" x14ac:dyDescent="0.25">
      <c r="A363" s="8">
        <f t="shared" si="31"/>
        <v>362</v>
      </c>
      <c r="B363" s="11">
        <v>1970</v>
      </c>
      <c r="C363" s="44" t="s">
        <v>77</v>
      </c>
      <c r="D363" s="21">
        <v>45158</v>
      </c>
      <c r="E363" s="18">
        <v>0.55555555555555558</v>
      </c>
      <c r="F363" s="11" t="s">
        <v>1074</v>
      </c>
      <c r="G363" s="17">
        <v>44833</v>
      </c>
      <c r="H363" s="11" t="str">
        <f t="shared" si="30"/>
        <v>0 г. 10 мес. 22 дн.</v>
      </c>
      <c r="I363" s="20" t="s">
        <v>123</v>
      </c>
      <c r="J363" s="20"/>
      <c r="K363" s="11" t="s">
        <v>1075</v>
      </c>
      <c r="L363" s="11" t="s">
        <v>1076</v>
      </c>
      <c r="M363" s="11" t="s">
        <v>42</v>
      </c>
      <c r="N363" s="19"/>
      <c r="O363" s="20" t="s">
        <v>89</v>
      </c>
      <c r="P363" s="19"/>
      <c r="Q363" s="19"/>
      <c r="R363" s="19"/>
      <c r="S363" s="11" t="s">
        <v>29</v>
      </c>
      <c r="T363" s="17">
        <v>45159</v>
      </c>
      <c r="U363" s="18">
        <v>0.5</v>
      </c>
      <c r="V363" s="1" t="str">
        <f t="shared" si="33"/>
        <v>0 г. 0 мес. 1 дн.</v>
      </c>
      <c r="W363" s="69"/>
    </row>
    <row r="364" spans="1:23" ht="35.1" customHeight="1" x14ac:dyDescent="0.25">
      <c r="A364" s="1">
        <f t="shared" si="31"/>
        <v>363</v>
      </c>
      <c r="B364" s="11">
        <v>504</v>
      </c>
      <c r="C364" s="44" t="s">
        <v>26</v>
      </c>
      <c r="D364" s="21">
        <v>45159</v>
      </c>
      <c r="E364" s="18">
        <v>0.70833333333333337</v>
      </c>
      <c r="F364" s="11" t="s">
        <v>1077</v>
      </c>
      <c r="G364" s="17">
        <v>42641</v>
      </c>
      <c r="H364" s="11" t="str">
        <f t="shared" si="30"/>
        <v>6 г. 10 мес. 24 дн.</v>
      </c>
      <c r="I364" s="20" t="s">
        <v>120</v>
      </c>
      <c r="J364" s="20"/>
      <c r="K364" s="11" t="s">
        <v>1078</v>
      </c>
      <c r="L364" s="11" t="s">
        <v>1079</v>
      </c>
      <c r="M364" s="11" t="s">
        <v>55</v>
      </c>
      <c r="N364" s="19"/>
      <c r="O364" s="20" t="s">
        <v>89</v>
      </c>
      <c r="P364" s="19"/>
      <c r="Q364" s="19"/>
      <c r="R364" s="19"/>
      <c r="S364" s="11" t="s">
        <v>26</v>
      </c>
      <c r="T364" s="17">
        <v>45160</v>
      </c>
      <c r="U364" s="18">
        <v>0.45833333333333331</v>
      </c>
      <c r="V364" s="1" t="str">
        <f t="shared" si="33"/>
        <v>0 г. 0 мес. 1 дн.</v>
      </c>
      <c r="W364" s="69"/>
    </row>
    <row r="365" spans="1:23" ht="35.1" customHeight="1" x14ac:dyDescent="0.25">
      <c r="A365" s="8">
        <f t="shared" si="31"/>
        <v>364</v>
      </c>
      <c r="B365" s="11">
        <v>1983</v>
      </c>
      <c r="C365" s="44" t="s">
        <v>77</v>
      </c>
      <c r="D365" s="21">
        <v>45159</v>
      </c>
      <c r="E365" s="18">
        <v>0.47430555555555554</v>
      </c>
      <c r="F365" s="11" t="s">
        <v>1080</v>
      </c>
      <c r="G365" s="17">
        <v>44308</v>
      </c>
      <c r="H365" s="11" t="str">
        <f t="shared" si="30"/>
        <v>2 г. 3 мес. 30 дн.</v>
      </c>
      <c r="I365" s="20" t="s">
        <v>120</v>
      </c>
      <c r="J365" s="20"/>
      <c r="K365" s="11" t="s">
        <v>1081</v>
      </c>
      <c r="L365" s="11" t="s">
        <v>1082</v>
      </c>
      <c r="M365" s="11" t="s">
        <v>54</v>
      </c>
      <c r="N365" s="19"/>
      <c r="O365" s="20" t="s">
        <v>89</v>
      </c>
      <c r="P365" s="19"/>
      <c r="Q365" s="19"/>
      <c r="R365" s="19"/>
      <c r="S365" s="11" t="s">
        <v>77</v>
      </c>
      <c r="T365" s="17">
        <v>45160</v>
      </c>
      <c r="U365" s="18">
        <v>0.54861111111111105</v>
      </c>
      <c r="V365" s="1" t="str">
        <f t="shared" si="33"/>
        <v>0 г. 0 мес. 1 дн.</v>
      </c>
      <c r="W365" s="69"/>
    </row>
    <row r="366" spans="1:23" ht="35.1" customHeight="1" x14ac:dyDescent="0.25">
      <c r="A366" s="1">
        <f t="shared" si="31"/>
        <v>365</v>
      </c>
      <c r="B366" s="11">
        <v>1173</v>
      </c>
      <c r="C366" s="44" t="s">
        <v>23</v>
      </c>
      <c r="D366" s="21">
        <v>45162</v>
      </c>
      <c r="E366" s="18">
        <v>0.15277777777777776</v>
      </c>
      <c r="F366" s="11" t="s">
        <v>1083</v>
      </c>
      <c r="G366" s="17">
        <v>40394</v>
      </c>
      <c r="H366" s="11" t="str">
        <f t="shared" si="30"/>
        <v>13 г. 0 мес. 20 дн.</v>
      </c>
      <c r="I366" s="20" t="s">
        <v>123</v>
      </c>
      <c r="J366" s="20"/>
      <c r="K366" s="11" t="s">
        <v>856</v>
      </c>
      <c r="L366" s="11" t="s">
        <v>1084</v>
      </c>
      <c r="M366" s="11" t="s">
        <v>52</v>
      </c>
      <c r="N366" s="19"/>
      <c r="O366" s="20" t="s">
        <v>73</v>
      </c>
      <c r="P366" s="19" t="s">
        <v>96</v>
      </c>
      <c r="Q366" s="19" t="s">
        <v>146</v>
      </c>
      <c r="R366" s="19"/>
      <c r="S366" s="11" t="s">
        <v>23</v>
      </c>
      <c r="T366" s="17">
        <v>45169</v>
      </c>
      <c r="U366" s="18">
        <v>0.43888888888888888</v>
      </c>
      <c r="V366" s="1" t="str">
        <f t="shared" si="33"/>
        <v>0 г. 0 мес. 7 дн.</v>
      </c>
      <c r="W366" s="69"/>
    </row>
    <row r="367" spans="1:23" s="13" customFormat="1" ht="35.1" customHeight="1" x14ac:dyDescent="0.25">
      <c r="A367" s="23">
        <f t="shared" si="31"/>
        <v>366</v>
      </c>
      <c r="B367" s="51">
        <v>2012</v>
      </c>
      <c r="C367" s="58" t="s">
        <v>77</v>
      </c>
      <c r="D367" s="25">
        <v>45161</v>
      </c>
      <c r="E367" s="59">
        <v>0.47916666666666669</v>
      </c>
      <c r="F367" s="51" t="s">
        <v>975</v>
      </c>
      <c r="G367" s="60">
        <v>43005</v>
      </c>
      <c r="H367" s="11" t="str">
        <f t="shared" si="30"/>
        <v>5 г. 10 мес. 27 дн.</v>
      </c>
      <c r="I367" s="23" t="s">
        <v>122</v>
      </c>
      <c r="J367" s="23" t="s">
        <v>77</v>
      </c>
      <c r="K367" s="51" t="s">
        <v>1085</v>
      </c>
      <c r="L367" s="51" t="s">
        <v>1086</v>
      </c>
      <c r="M367" s="51" t="s">
        <v>49</v>
      </c>
      <c r="N367" s="117"/>
      <c r="O367" s="23" t="s">
        <v>73</v>
      </c>
      <c r="P367" s="117" t="s">
        <v>96</v>
      </c>
      <c r="Q367" s="117"/>
      <c r="R367" s="117"/>
      <c r="S367" s="51" t="s">
        <v>77</v>
      </c>
      <c r="T367" s="60">
        <v>45169</v>
      </c>
      <c r="U367" s="59">
        <v>0.5</v>
      </c>
      <c r="V367" s="23" t="str">
        <f t="shared" si="33"/>
        <v>0 г. 0 мес. 8 дн.</v>
      </c>
      <c r="W367" s="119"/>
    </row>
    <row r="368" spans="1:23" ht="35.1" customHeight="1" x14ac:dyDescent="0.25">
      <c r="A368" s="1">
        <f t="shared" si="31"/>
        <v>367</v>
      </c>
      <c r="B368" s="11">
        <v>512</v>
      </c>
      <c r="C368" s="44" t="s">
        <v>26</v>
      </c>
      <c r="D368" s="21">
        <v>45162</v>
      </c>
      <c r="E368" s="18">
        <v>0.76041666666666663</v>
      </c>
      <c r="F368" s="11" t="s">
        <v>1087</v>
      </c>
      <c r="G368" s="17">
        <v>40094</v>
      </c>
      <c r="H368" s="11" t="str">
        <f t="shared" si="30"/>
        <v>13 г. 10 мес. 16 дн.</v>
      </c>
      <c r="I368" s="20" t="s">
        <v>120</v>
      </c>
      <c r="J368" s="20"/>
      <c r="K368" s="11" t="s">
        <v>1088</v>
      </c>
      <c r="L368" s="11" t="s">
        <v>1089</v>
      </c>
      <c r="M368" s="11" t="s">
        <v>55</v>
      </c>
      <c r="N368" s="19"/>
      <c r="O368" s="20" t="s">
        <v>89</v>
      </c>
      <c r="P368" s="19"/>
      <c r="Q368" s="19"/>
      <c r="R368" s="19"/>
      <c r="S368" s="11" t="s">
        <v>26</v>
      </c>
      <c r="T368" s="17">
        <v>45163</v>
      </c>
      <c r="U368" s="18">
        <v>0.45833333333333331</v>
      </c>
      <c r="V368" s="1" t="str">
        <f t="shared" si="33"/>
        <v>0 г. 0 мес. 1 дн.</v>
      </c>
      <c r="W368" s="69"/>
    </row>
    <row r="369" spans="1:23" ht="35.1" customHeight="1" x14ac:dyDescent="0.25">
      <c r="A369" s="8">
        <f t="shared" si="31"/>
        <v>368</v>
      </c>
      <c r="B369" s="11">
        <v>511</v>
      </c>
      <c r="C369" s="44" t="s">
        <v>26</v>
      </c>
      <c r="D369" s="21">
        <v>45162</v>
      </c>
      <c r="E369" s="18">
        <v>0.75694444444444453</v>
      </c>
      <c r="F369" s="11" t="s">
        <v>1090</v>
      </c>
      <c r="G369" s="17">
        <v>40272</v>
      </c>
      <c r="H369" s="11" t="str">
        <f t="shared" si="30"/>
        <v>13 г. 4 мес. 20 дн.</v>
      </c>
      <c r="I369" s="20" t="s">
        <v>120</v>
      </c>
      <c r="J369" s="20"/>
      <c r="K369" s="11" t="s">
        <v>1091</v>
      </c>
      <c r="L369" s="11" t="s">
        <v>1089</v>
      </c>
      <c r="M369" s="11" t="s">
        <v>55</v>
      </c>
      <c r="N369" s="19"/>
      <c r="O369" s="20" t="s">
        <v>89</v>
      </c>
      <c r="P369" s="19"/>
      <c r="Q369" s="19"/>
      <c r="R369" s="19"/>
      <c r="S369" s="11" t="s">
        <v>26</v>
      </c>
      <c r="T369" s="17">
        <v>45163</v>
      </c>
      <c r="U369" s="18">
        <v>0.5</v>
      </c>
      <c r="V369" s="1" t="str">
        <f t="shared" si="33"/>
        <v>0 г. 0 мес. 1 дн.</v>
      </c>
      <c r="W369" s="69"/>
    </row>
    <row r="370" spans="1:23" ht="35.1" customHeight="1" x14ac:dyDescent="0.25">
      <c r="A370" s="1">
        <f t="shared" si="31"/>
        <v>369</v>
      </c>
      <c r="B370" s="11">
        <v>510</v>
      </c>
      <c r="C370" s="44" t="s">
        <v>26</v>
      </c>
      <c r="D370" s="21">
        <v>45162</v>
      </c>
      <c r="E370" s="18">
        <v>0.60416666666666663</v>
      </c>
      <c r="F370" s="11" t="s">
        <v>1092</v>
      </c>
      <c r="G370" s="17">
        <v>44512</v>
      </c>
      <c r="H370" s="11" t="str">
        <f t="shared" si="30"/>
        <v>1 г. 9 мес. 12 дн.</v>
      </c>
      <c r="I370" s="20" t="s">
        <v>120</v>
      </c>
      <c r="J370" s="20"/>
      <c r="K370" s="11" t="s">
        <v>1093</v>
      </c>
      <c r="L370" s="11" t="s">
        <v>1094</v>
      </c>
      <c r="M370" s="11" t="s">
        <v>55</v>
      </c>
      <c r="N370" s="19"/>
      <c r="O370" s="20" t="s">
        <v>89</v>
      </c>
      <c r="P370" s="19"/>
      <c r="Q370" s="19"/>
      <c r="R370" s="19"/>
      <c r="S370" s="11" t="s">
        <v>26</v>
      </c>
      <c r="T370" s="17">
        <v>45163</v>
      </c>
      <c r="U370" s="18">
        <v>0.54166666666666663</v>
      </c>
      <c r="V370" s="1" t="str">
        <f t="shared" si="33"/>
        <v>0 г. 0 мес. 1 дн.</v>
      </c>
      <c r="W370" s="69"/>
    </row>
    <row r="371" spans="1:23" ht="35.1" customHeight="1" x14ac:dyDescent="0.25">
      <c r="A371" s="8">
        <f t="shared" si="31"/>
        <v>370</v>
      </c>
      <c r="B371" s="11">
        <v>2016</v>
      </c>
      <c r="C371" s="44" t="s">
        <v>77</v>
      </c>
      <c r="D371" s="21">
        <v>45166</v>
      </c>
      <c r="E371" s="18">
        <v>0.58333333333333337</v>
      </c>
      <c r="F371" s="11" t="s">
        <v>1095</v>
      </c>
      <c r="G371" s="17">
        <v>39413</v>
      </c>
      <c r="H371" s="11" t="str">
        <f t="shared" si="30"/>
        <v>15 г. 9 мес. 1 дн.</v>
      </c>
      <c r="I371" s="20" t="s">
        <v>121</v>
      </c>
      <c r="J371" s="20" t="s">
        <v>77</v>
      </c>
      <c r="K371" s="11" t="s">
        <v>1096</v>
      </c>
      <c r="L371" s="11" t="s">
        <v>1097</v>
      </c>
      <c r="M371" s="11" t="s">
        <v>49</v>
      </c>
      <c r="N371" s="19"/>
      <c r="O371" s="20" t="s">
        <v>89</v>
      </c>
      <c r="P371" s="19" t="s">
        <v>96</v>
      </c>
      <c r="Q371" s="19"/>
      <c r="R371" s="19"/>
      <c r="S371" s="11" t="s">
        <v>77</v>
      </c>
      <c r="T371" s="17">
        <v>45168</v>
      </c>
      <c r="U371" s="18">
        <v>0.5180555555555556</v>
      </c>
      <c r="V371" s="1" t="str">
        <f t="shared" si="33"/>
        <v>0 г. 0 мес. 2 дн.</v>
      </c>
      <c r="W371" s="69"/>
    </row>
    <row r="372" spans="1:23" ht="35.1" customHeight="1" x14ac:dyDescent="0.25">
      <c r="A372" s="1">
        <f t="shared" si="31"/>
        <v>371</v>
      </c>
      <c r="B372" s="11">
        <v>1203</v>
      </c>
      <c r="C372" s="44" t="s">
        <v>23</v>
      </c>
      <c r="D372" s="21">
        <v>45167</v>
      </c>
      <c r="E372" s="18">
        <v>1.3888888888888888E-2</v>
      </c>
      <c r="F372" s="11" t="s">
        <v>1098</v>
      </c>
      <c r="G372" s="17">
        <v>40625</v>
      </c>
      <c r="H372" s="11" t="str">
        <f t="shared" si="30"/>
        <v>12 г. 5 мес. 6 дн.</v>
      </c>
      <c r="I372" s="20" t="s">
        <v>120</v>
      </c>
      <c r="J372" s="20"/>
      <c r="K372" s="11" t="s">
        <v>1099</v>
      </c>
      <c r="L372" s="11" t="s">
        <v>1100</v>
      </c>
      <c r="M372" s="11" t="s">
        <v>52</v>
      </c>
      <c r="N372" s="19"/>
      <c r="O372" s="20" t="s">
        <v>89</v>
      </c>
      <c r="P372" s="19"/>
      <c r="Q372" s="19"/>
      <c r="R372" s="19"/>
      <c r="S372" s="11" t="s">
        <v>23</v>
      </c>
      <c r="T372" s="17">
        <v>45168</v>
      </c>
      <c r="U372" s="18">
        <v>0.6479166666666667</v>
      </c>
      <c r="V372" s="1" t="str">
        <f t="shared" si="33"/>
        <v>0 г. 0 мес. 1 дн.</v>
      </c>
      <c r="W372" s="69"/>
    </row>
    <row r="373" spans="1:23" ht="35.1" customHeight="1" x14ac:dyDescent="0.25">
      <c r="A373" s="8">
        <f t="shared" si="31"/>
        <v>372</v>
      </c>
      <c r="B373" s="11">
        <v>488</v>
      </c>
      <c r="C373" s="44" t="s">
        <v>25</v>
      </c>
      <c r="D373" s="21">
        <v>45167</v>
      </c>
      <c r="E373" s="18">
        <v>0.47222222222222227</v>
      </c>
      <c r="F373" s="11" t="s">
        <v>1101</v>
      </c>
      <c r="G373" s="17">
        <v>45131</v>
      </c>
      <c r="H373" s="11" t="str">
        <f t="shared" si="30"/>
        <v>0 г. 1 мес. 5 дн.</v>
      </c>
      <c r="I373" s="20" t="s">
        <v>123</v>
      </c>
      <c r="J373" s="20"/>
      <c r="K373" s="11" t="s">
        <v>1102</v>
      </c>
      <c r="L373" s="11" t="s">
        <v>1103</v>
      </c>
      <c r="M373" s="11" t="s">
        <v>46</v>
      </c>
      <c r="N373" s="19">
        <v>865</v>
      </c>
      <c r="O373" s="20" t="s">
        <v>73</v>
      </c>
      <c r="P373" s="19"/>
      <c r="Q373" s="19" t="s">
        <v>149</v>
      </c>
      <c r="R373" s="19"/>
      <c r="S373" s="11" t="s">
        <v>27</v>
      </c>
      <c r="T373" s="17">
        <v>45204</v>
      </c>
      <c r="U373" s="18">
        <v>0.5</v>
      </c>
      <c r="V373" s="1" t="str">
        <f t="shared" si="33"/>
        <v>0 г. 1 мес. 6 дн.</v>
      </c>
      <c r="W373" s="69"/>
    </row>
    <row r="374" spans="1:23" ht="35.1" customHeight="1" x14ac:dyDescent="0.25">
      <c r="A374" s="1">
        <f t="shared" si="31"/>
        <v>373</v>
      </c>
      <c r="B374" s="11">
        <v>943</v>
      </c>
      <c r="C374" s="44" t="s">
        <v>27</v>
      </c>
      <c r="D374" s="21">
        <v>45168</v>
      </c>
      <c r="E374" s="18">
        <v>0.80555555555555547</v>
      </c>
      <c r="F374" s="11" t="s">
        <v>1104</v>
      </c>
      <c r="G374" s="17">
        <v>43129</v>
      </c>
      <c r="H374" s="11" t="str">
        <f t="shared" si="30"/>
        <v>5 г. 7 мес. 1 дн.</v>
      </c>
      <c r="I374" s="20" t="s">
        <v>123</v>
      </c>
      <c r="J374" s="20"/>
      <c r="K374" s="11" t="s">
        <v>1105</v>
      </c>
      <c r="L374" s="11" t="s">
        <v>1106</v>
      </c>
      <c r="M374" s="11" t="s">
        <v>48</v>
      </c>
      <c r="N374" s="19"/>
      <c r="O374" s="20" t="s">
        <v>89</v>
      </c>
      <c r="P374" s="19"/>
      <c r="Q374" s="19"/>
      <c r="R374" s="19"/>
      <c r="S374" s="11" t="s">
        <v>27</v>
      </c>
      <c r="T374" s="17">
        <v>45169</v>
      </c>
      <c r="U374" s="18">
        <v>0.45833333333333331</v>
      </c>
      <c r="V374" s="1" t="str">
        <f t="shared" si="33"/>
        <v>0 г. 0 мес. 1 дн.</v>
      </c>
      <c r="W374" s="69"/>
    </row>
    <row r="375" spans="1:23" ht="35.1" customHeight="1" x14ac:dyDescent="0.25">
      <c r="A375" s="8">
        <f t="shared" si="31"/>
        <v>374</v>
      </c>
      <c r="B375" s="11">
        <v>2065</v>
      </c>
      <c r="C375" s="44" t="s">
        <v>77</v>
      </c>
      <c r="D375" s="21">
        <v>45170</v>
      </c>
      <c r="E375" s="18">
        <v>0.30902777777777779</v>
      </c>
      <c r="F375" s="11" t="s">
        <v>1135</v>
      </c>
      <c r="G375" s="17">
        <v>41541</v>
      </c>
      <c r="H375" s="11" t="str">
        <f t="shared" si="30"/>
        <v>9 г. 11 мес. 8 дн.</v>
      </c>
      <c r="I375" s="20" t="s">
        <v>120</v>
      </c>
      <c r="J375" s="20"/>
      <c r="K375" s="11" t="s">
        <v>509</v>
      </c>
      <c r="L375" s="11" t="s">
        <v>1107</v>
      </c>
      <c r="M375" s="11" t="s">
        <v>49</v>
      </c>
      <c r="N375" s="19"/>
      <c r="O375" s="20" t="s">
        <v>89</v>
      </c>
      <c r="P375" s="19" t="s">
        <v>96</v>
      </c>
      <c r="Q375" s="19"/>
      <c r="R375" s="19"/>
      <c r="S375" s="11" t="s">
        <v>23</v>
      </c>
      <c r="T375" s="17">
        <v>45173</v>
      </c>
      <c r="U375" s="18">
        <v>0.5</v>
      </c>
      <c r="V375" s="1" t="str">
        <f t="shared" si="33"/>
        <v>0 г. 0 мес. 3 дн.</v>
      </c>
      <c r="W375" s="69"/>
    </row>
    <row r="376" spans="1:23" ht="35.1" customHeight="1" x14ac:dyDescent="0.25">
      <c r="A376" s="1">
        <f t="shared" si="31"/>
        <v>375</v>
      </c>
      <c r="B376" s="11">
        <v>1211</v>
      </c>
      <c r="C376" s="44" t="s">
        <v>23</v>
      </c>
      <c r="D376" s="21">
        <v>45168</v>
      </c>
      <c r="E376" s="18">
        <v>0.93055555555555547</v>
      </c>
      <c r="F376" s="11" t="s">
        <v>1134</v>
      </c>
      <c r="G376" s="17">
        <v>39346</v>
      </c>
      <c r="H376" s="11" t="str">
        <f t="shared" si="30"/>
        <v>15 г. 11 мес. 9 дн.</v>
      </c>
      <c r="I376" s="20" t="s">
        <v>120</v>
      </c>
      <c r="J376" s="20"/>
      <c r="K376" s="11" t="s">
        <v>839</v>
      </c>
      <c r="L376" s="11" t="s">
        <v>1108</v>
      </c>
      <c r="M376" s="11" t="s">
        <v>52</v>
      </c>
      <c r="N376" s="19"/>
      <c r="O376" s="20" t="s">
        <v>89</v>
      </c>
      <c r="P376" s="19" t="s">
        <v>96</v>
      </c>
      <c r="Q376" s="19"/>
      <c r="R376" s="19"/>
      <c r="S376" s="11" t="s">
        <v>23</v>
      </c>
      <c r="T376" s="17">
        <v>45171</v>
      </c>
      <c r="U376" s="18">
        <v>0.5</v>
      </c>
      <c r="V376" s="1" t="str">
        <f t="shared" si="33"/>
        <v>0 г. 0 мес. 3 дн.</v>
      </c>
      <c r="W376" s="69"/>
    </row>
    <row r="377" spans="1:23" ht="35.1" customHeight="1" x14ac:dyDescent="0.25">
      <c r="A377" s="20">
        <f t="shared" si="31"/>
        <v>376</v>
      </c>
      <c r="B377" s="23">
        <v>953</v>
      </c>
      <c r="C377" s="42" t="s">
        <v>77</v>
      </c>
      <c r="D377" s="21">
        <v>45170</v>
      </c>
      <c r="E377" s="26">
        <v>0.34722222222222227</v>
      </c>
      <c r="F377" s="20" t="s">
        <v>1109</v>
      </c>
      <c r="G377" s="21">
        <v>45072</v>
      </c>
      <c r="H377" s="11" t="str">
        <f t="shared" si="30"/>
        <v>0 г. 3 мес. 6 дн.</v>
      </c>
      <c r="I377" s="20" t="s">
        <v>121</v>
      </c>
      <c r="J377" s="20" t="s">
        <v>77</v>
      </c>
      <c r="K377" s="20" t="s">
        <v>1110</v>
      </c>
      <c r="L377" s="20" t="s">
        <v>1111</v>
      </c>
      <c r="M377" s="23" t="s">
        <v>46</v>
      </c>
      <c r="N377" s="27"/>
      <c r="O377" s="20" t="s">
        <v>73</v>
      </c>
      <c r="P377" s="27"/>
      <c r="Q377" s="27" t="s">
        <v>103</v>
      </c>
      <c r="R377" s="27"/>
      <c r="S377" s="11" t="s">
        <v>77</v>
      </c>
      <c r="T377" s="17">
        <v>45191</v>
      </c>
      <c r="U377" s="18">
        <v>0.45833333333333331</v>
      </c>
      <c r="V377" s="1" t="str">
        <f t="shared" si="33"/>
        <v>0 г. 0 мес. 21 дн.</v>
      </c>
      <c r="W377" s="69"/>
    </row>
    <row r="378" spans="1:23" ht="35.1" customHeight="1" x14ac:dyDescent="0.25">
      <c r="A378" s="1">
        <f t="shared" si="31"/>
        <v>377</v>
      </c>
      <c r="B378" s="11">
        <v>1215</v>
      </c>
      <c r="C378" s="44" t="s">
        <v>23</v>
      </c>
      <c r="D378" s="21">
        <v>45170</v>
      </c>
      <c r="E378" s="18">
        <v>0.73611111111111116</v>
      </c>
      <c r="F378" s="11" t="s">
        <v>1124</v>
      </c>
      <c r="G378" s="17">
        <v>39223</v>
      </c>
      <c r="H378" s="11" t="str">
        <f t="shared" si="30"/>
        <v>16 г. 3 мес. 11 дн.</v>
      </c>
      <c r="I378" s="20" t="s">
        <v>120</v>
      </c>
      <c r="J378" s="20"/>
      <c r="K378" s="11" t="s">
        <v>1133</v>
      </c>
      <c r="L378" s="11" t="s">
        <v>779</v>
      </c>
      <c r="M378" s="11" t="s">
        <v>52</v>
      </c>
      <c r="N378" s="19"/>
      <c r="O378" s="20" t="s">
        <v>89</v>
      </c>
      <c r="P378" s="19"/>
      <c r="Q378" s="19"/>
      <c r="R378" s="19"/>
      <c r="S378" s="11" t="s">
        <v>23</v>
      </c>
      <c r="T378" s="17">
        <v>45172</v>
      </c>
      <c r="U378" s="18">
        <v>0.45833333333333331</v>
      </c>
      <c r="V378" s="1" t="str">
        <f t="shared" si="33"/>
        <v>0 г. 0 мес. 2 дн.</v>
      </c>
      <c r="W378" s="69"/>
    </row>
    <row r="379" spans="1:23" ht="35.1" customHeight="1" x14ac:dyDescent="0.25">
      <c r="A379" s="8">
        <f t="shared" si="31"/>
        <v>378</v>
      </c>
      <c r="B379" s="11">
        <v>2079</v>
      </c>
      <c r="C379" s="44" t="s">
        <v>77</v>
      </c>
      <c r="D379" s="21">
        <v>45173</v>
      </c>
      <c r="E379" s="18">
        <v>0.64583333333333337</v>
      </c>
      <c r="F379" s="11" t="s">
        <v>1112</v>
      </c>
      <c r="G379" s="17">
        <v>41624</v>
      </c>
      <c r="H379" s="11" t="str">
        <f t="shared" si="30"/>
        <v>9 г. 8 мес. 19 дн.</v>
      </c>
      <c r="I379" s="20" t="s">
        <v>75</v>
      </c>
      <c r="J379" s="20"/>
      <c r="K379" s="11" t="s">
        <v>648</v>
      </c>
      <c r="L379" s="11" t="s">
        <v>1113</v>
      </c>
      <c r="M379" s="11" t="s">
        <v>55</v>
      </c>
      <c r="N379" s="19"/>
      <c r="O379" s="20" t="s">
        <v>89</v>
      </c>
      <c r="P379" s="19"/>
      <c r="Q379" s="19"/>
      <c r="R379" s="19"/>
      <c r="S379" s="11" t="s">
        <v>77</v>
      </c>
      <c r="T379" s="17">
        <v>45174</v>
      </c>
      <c r="U379" s="18">
        <v>0.5</v>
      </c>
      <c r="V379" s="1" t="str">
        <f t="shared" si="33"/>
        <v>0 г. 0 мес. 1 дн.</v>
      </c>
      <c r="W379" s="69"/>
    </row>
    <row r="380" spans="1:23" ht="35.1" customHeight="1" x14ac:dyDescent="0.25">
      <c r="A380" s="1">
        <f t="shared" si="31"/>
        <v>379</v>
      </c>
      <c r="B380" s="11">
        <v>2090</v>
      </c>
      <c r="C380" s="44" t="s">
        <v>77</v>
      </c>
      <c r="D380" s="21">
        <v>45175</v>
      </c>
      <c r="E380" s="18">
        <v>0.91666666666666663</v>
      </c>
      <c r="F380" s="11" t="s">
        <v>1123</v>
      </c>
      <c r="G380" s="17">
        <v>40201</v>
      </c>
      <c r="H380" s="11" t="str">
        <f t="shared" si="30"/>
        <v>13 г. 7 мес. 14 дн.</v>
      </c>
      <c r="I380" s="20" t="s">
        <v>75</v>
      </c>
      <c r="J380" s="20"/>
      <c r="K380" s="11" t="s">
        <v>1114</v>
      </c>
      <c r="L380" s="11" t="s">
        <v>224</v>
      </c>
      <c r="M380" s="11" t="s">
        <v>52</v>
      </c>
      <c r="N380" s="19"/>
      <c r="O380" s="20" t="s">
        <v>89</v>
      </c>
      <c r="P380" s="19"/>
      <c r="Q380" s="19"/>
      <c r="R380" s="19"/>
      <c r="S380" s="11" t="s">
        <v>77</v>
      </c>
      <c r="T380" s="17">
        <v>45176</v>
      </c>
      <c r="U380" s="18">
        <v>0.5</v>
      </c>
      <c r="V380" s="1" t="str">
        <f t="shared" si="33"/>
        <v>0 г. 0 мес. 1 дн.</v>
      </c>
      <c r="W380" s="69"/>
    </row>
    <row r="381" spans="1:23" ht="35.1" customHeight="1" x14ac:dyDescent="0.25">
      <c r="A381" s="8">
        <f t="shared" si="31"/>
        <v>380</v>
      </c>
      <c r="B381" s="23">
        <v>952</v>
      </c>
      <c r="C381" s="42" t="s">
        <v>27</v>
      </c>
      <c r="D381" s="21">
        <v>45176</v>
      </c>
      <c r="E381" s="26">
        <v>7.2916666666666671E-2</v>
      </c>
      <c r="F381" s="23" t="s">
        <v>1141</v>
      </c>
      <c r="G381" s="25">
        <v>45139</v>
      </c>
      <c r="H381" s="11" t="str">
        <f t="shared" si="30"/>
        <v>0 г. 1 мес. 6 дн.</v>
      </c>
      <c r="I381" s="20" t="s">
        <v>123</v>
      </c>
      <c r="J381" s="20"/>
      <c r="K381" s="23" t="s">
        <v>1115</v>
      </c>
      <c r="L381" s="23" t="s">
        <v>1116</v>
      </c>
      <c r="M381" s="23" t="s">
        <v>48</v>
      </c>
      <c r="N381" s="27"/>
      <c r="O381" s="20" t="s">
        <v>89</v>
      </c>
      <c r="P381" s="27"/>
      <c r="Q381" s="27"/>
      <c r="R381" s="27"/>
      <c r="S381" s="23" t="s">
        <v>26</v>
      </c>
      <c r="T381" s="17">
        <v>45176</v>
      </c>
      <c r="U381" s="18">
        <v>0.5</v>
      </c>
      <c r="V381" s="20" t="str">
        <f t="shared" si="33"/>
        <v>0 г. 0 мес. 0 дн.</v>
      </c>
      <c r="W381" s="69"/>
    </row>
    <row r="382" spans="1:23" ht="35.1" customHeight="1" x14ac:dyDescent="0.25">
      <c r="A382" s="1">
        <f t="shared" si="31"/>
        <v>381</v>
      </c>
      <c r="B382" s="28">
        <v>2106</v>
      </c>
      <c r="C382" s="45" t="s">
        <v>77</v>
      </c>
      <c r="D382" s="21">
        <v>45176</v>
      </c>
      <c r="E382" s="30">
        <v>0.65277777777777779</v>
      </c>
      <c r="F382" s="28" t="s">
        <v>1117</v>
      </c>
      <c r="G382" s="29">
        <v>41694</v>
      </c>
      <c r="H382" s="11" t="str">
        <f t="shared" si="30"/>
        <v>9 г. 6 мес. 14 дн.</v>
      </c>
      <c r="I382" s="20" t="s">
        <v>122</v>
      </c>
      <c r="J382" s="20" t="s">
        <v>77</v>
      </c>
      <c r="K382" s="28" t="s">
        <v>1118</v>
      </c>
      <c r="L382" s="28" t="s">
        <v>1119</v>
      </c>
      <c r="M382" s="28" t="s">
        <v>41</v>
      </c>
      <c r="N382" s="31"/>
      <c r="O382" s="20" t="s">
        <v>88</v>
      </c>
      <c r="P382" s="31"/>
      <c r="Q382" s="31" t="s">
        <v>102</v>
      </c>
      <c r="R382" s="31"/>
      <c r="S382" s="28" t="s">
        <v>29</v>
      </c>
      <c r="T382" s="29">
        <v>45180</v>
      </c>
      <c r="U382" s="30">
        <v>0.52083333333333337</v>
      </c>
      <c r="V382" s="32" t="str">
        <f t="shared" si="33"/>
        <v>0 г. 0 мес. 4 дн.</v>
      </c>
      <c r="W382" s="69"/>
    </row>
    <row r="383" spans="1:23" ht="35.1" customHeight="1" x14ac:dyDescent="0.25">
      <c r="A383" s="8">
        <f t="shared" si="31"/>
        <v>382</v>
      </c>
      <c r="B383" s="11">
        <v>559</v>
      </c>
      <c r="C383" s="44" t="s">
        <v>26</v>
      </c>
      <c r="D383" s="21">
        <v>45177</v>
      </c>
      <c r="E383" s="18">
        <v>0.66666666666666663</v>
      </c>
      <c r="F383" s="11" t="s">
        <v>1120</v>
      </c>
      <c r="G383" s="17">
        <v>40810</v>
      </c>
      <c r="H383" s="11" t="str">
        <f t="shared" si="30"/>
        <v>11 г. 11 мес. 15 дн.</v>
      </c>
      <c r="I383" s="20" t="s">
        <v>120</v>
      </c>
      <c r="J383" s="20"/>
      <c r="K383" s="11" t="s">
        <v>1121</v>
      </c>
      <c r="L383" s="11" t="s">
        <v>1122</v>
      </c>
      <c r="M383" s="11" t="s">
        <v>55</v>
      </c>
      <c r="N383" s="19"/>
      <c r="O383" s="20" t="s">
        <v>89</v>
      </c>
      <c r="P383" s="19"/>
      <c r="Q383" s="19"/>
      <c r="R383" s="19"/>
      <c r="S383" s="11" t="s">
        <v>26</v>
      </c>
      <c r="T383" s="17">
        <v>45178</v>
      </c>
      <c r="U383" s="18">
        <v>0.5</v>
      </c>
      <c r="V383" s="1" t="str">
        <f t="shared" si="33"/>
        <v>0 г. 0 мес. 1 дн.</v>
      </c>
      <c r="W383" s="69"/>
    </row>
    <row r="384" spans="1:23" ht="35.1" customHeight="1" x14ac:dyDescent="0.25">
      <c r="A384" s="1">
        <f t="shared" si="31"/>
        <v>383</v>
      </c>
      <c r="B384" s="11">
        <v>955</v>
      </c>
      <c r="C384" s="44" t="s">
        <v>27</v>
      </c>
      <c r="D384" s="21">
        <v>45169</v>
      </c>
      <c r="E384" s="18">
        <v>0.88680555555555562</v>
      </c>
      <c r="F384" s="11" t="s">
        <v>1125</v>
      </c>
      <c r="G384" s="17">
        <v>43439</v>
      </c>
      <c r="H384" s="11" t="str">
        <f t="shared" si="30"/>
        <v>4 г. 8 мес. 26 дн.</v>
      </c>
      <c r="I384" s="20" t="s">
        <v>120</v>
      </c>
      <c r="J384" s="20"/>
      <c r="K384" s="11" t="s">
        <v>1126</v>
      </c>
      <c r="L384" s="11" t="s">
        <v>1127</v>
      </c>
      <c r="M384" s="11" t="s">
        <v>48</v>
      </c>
      <c r="N384" s="19"/>
      <c r="O384" s="20" t="s">
        <v>89</v>
      </c>
      <c r="P384" s="19"/>
      <c r="Q384" s="19"/>
      <c r="R384" s="19"/>
      <c r="S384" s="11" t="s">
        <v>26</v>
      </c>
      <c r="T384" s="17">
        <v>45172</v>
      </c>
      <c r="U384" s="18">
        <v>0.41736111111111113</v>
      </c>
      <c r="V384" s="1" t="str">
        <f t="shared" si="33"/>
        <v>0 г. 0 мес. 3 дн.</v>
      </c>
      <c r="W384" s="69"/>
    </row>
    <row r="385" spans="1:23" ht="35.1" customHeight="1" x14ac:dyDescent="0.25">
      <c r="A385" s="8">
        <f t="shared" ref="A385:A448" si="34">ROW(A384)</f>
        <v>384</v>
      </c>
      <c r="B385" s="11">
        <v>407</v>
      </c>
      <c r="C385" s="44" t="s">
        <v>24</v>
      </c>
      <c r="D385" s="21">
        <v>45179</v>
      </c>
      <c r="E385" s="18">
        <v>0.71527777777777779</v>
      </c>
      <c r="F385" s="11" t="s">
        <v>1128</v>
      </c>
      <c r="G385" s="17">
        <v>42650</v>
      </c>
      <c r="H385" s="11" t="str">
        <f t="shared" ref="H385:H448" si="35">DATEDIF(G385,D385,"y") &amp; " г. " &amp; DATEDIF(G385,D385,"ym") &amp; " мес. " &amp; DATEDIF(G385,D385,"md") &amp; " дн."</f>
        <v>6 г. 11 мес. 3 дн.</v>
      </c>
      <c r="I385" s="20" t="s">
        <v>120</v>
      </c>
      <c r="J385" s="20"/>
      <c r="K385" s="11" t="s">
        <v>1129</v>
      </c>
      <c r="L385" s="11" t="s">
        <v>1130</v>
      </c>
      <c r="M385" s="11" t="s">
        <v>50</v>
      </c>
      <c r="N385" s="19"/>
      <c r="O385" s="20" t="s">
        <v>89</v>
      </c>
      <c r="P385" s="19"/>
      <c r="Q385" s="19"/>
      <c r="R385" s="19"/>
      <c r="S385" s="11" t="s">
        <v>24</v>
      </c>
      <c r="T385" s="17">
        <v>45180</v>
      </c>
      <c r="U385" s="18">
        <v>0.625</v>
      </c>
      <c r="V385" s="1" t="str">
        <f t="shared" si="33"/>
        <v>0 г. 0 мес. 1 дн.</v>
      </c>
      <c r="W385" s="69"/>
    </row>
    <row r="386" spans="1:23" ht="35.1" customHeight="1" x14ac:dyDescent="0.25">
      <c r="A386" s="1">
        <f t="shared" si="34"/>
        <v>385</v>
      </c>
      <c r="B386" s="11">
        <v>537</v>
      </c>
      <c r="C386" s="44" t="s">
        <v>26</v>
      </c>
      <c r="D386" s="21">
        <v>45169</v>
      </c>
      <c r="E386" s="18">
        <v>0.75347222222222221</v>
      </c>
      <c r="F386" s="11" t="s">
        <v>1131</v>
      </c>
      <c r="G386" s="17">
        <v>40321</v>
      </c>
      <c r="H386" s="11" t="str">
        <f t="shared" si="35"/>
        <v>13 г. 3 мес. 8 дн.</v>
      </c>
      <c r="I386" s="20" t="s">
        <v>120</v>
      </c>
      <c r="J386" s="20"/>
      <c r="K386" s="11" t="s">
        <v>1132</v>
      </c>
      <c r="L386" s="11" t="s">
        <v>1089</v>
      </c>
      <c r="M386" s="11" t="s">
        <v>55</v>
      </c>
      <c r="N386" s="19"/>
      <c r="O386" s="20" t="s">
        <v>89</v>
      </c>
      <c r="P386" s="19"/>
      <c r="Q386" s="19"/>
      <c r="R386" s="19"/>
      <c r="S386" s="11" t="s">
        <v>26</v>
      </c>
      <c r="T386" s="17">
        <v>45170</v>
      </c>
      <c r="U386" s="18">
        <v>0.45833333333333331</v>
      </c>
      <c r="V386" s="1" t="str">
        <f t="shared" si="33"/>
        <v>0 г. 0 мес. 1 дн.</v>
      </c>
      <c r="W386" s="69"/>
    </row>
    <row r="387" spans="1:23" ht="35.1" customHeight="1" x14ac:dyDescent="0.25">
      <c r="A387" s="8">
        <f t="shared" si="34"/>
        <v>386</v>
      </c>
      <c r="B387" s="11">
        <v>530</v>
      </c>
      <c r="C387" s="44" t="s">
        <v>26</v>
      </c>
      <c r="D387" s="21">
        <v>45169</v>
      </c>
      <c r="E387" s="18">
        <v>5.9027777777777783E-2</v>
      </c>
      <c r="F387" s="11" t="s">
        <v>1136</v>
      </c>
      <c r="G387" s="17">
        <v>39393</v>
      </c>
      <c r="H387" s="11" t="str">
        <f t="shared" si="35"/>
        <v>15 г. 9 мес. 24 дн.</v>
      </c>
      <c r="I387" s="20" t="s">
        <v>120</v>
      </c>
      <c r="J387" s="20"/>
      <c r="K387" s="11" t="s">
        <v>1137</v>
      </c>
      <c r="L387" s="11" t="s">
        <v>715</v>
      </c>
      <c r="M387" s="11" t="s">
        <v>55</v>
      </c>
      <c r="N387" s="19"/>
      <c r="O387" s="20" t="s">
        <v>89</v>
      </c>
      <c r="P387" s="19"/>
      <c r="Q387" s="19"/>
      <c r="R387" s="19"/>
      <c r="S387" s="11" t="s">
        <v>26</v>
      </c>
      <c r="T387" s="17">
        <v>45169</v>
      </c>
      <c r="U387" s="18">
        <v>0.52916666666666667</v>
      </c>
      <c r="V387" s="1" t="str">
        <f t="shared" si="33"/>
        <v>0 г. 0 мес. 0 дн.</v>
      </c>
      <c r="W387" s="69"/>
    </row>
    <row r="388" spans="1:23" ht="35.1" customHeight="1" x14ac:dyDescent="0.25">
      <c r="A388" s="1">
        <f t="shared" si="34"/>
        <v>387</v>
      </c>
      <c r="B388" s="11">
        <v>552</v>
      </c>
      <c r="C388" s="44" t="s">
        <v>26</v>
      </c>
      <c r="D388" s="21">
        <v>45174</v>
      </c>
      <c r="E388" s="18">
        <v>0.57222222222222219</v>
      </c>
      <c r="F388" s="11" t="s">
        <v>1138</v>
      </c>
      <c r="G388" s="17">
        <v>44575</v>
      </c>
      <c r="H388" s="11" t="str">
        <f t="shared" si="35"/>
        <v>1 г. 7 мес. 22 дн.</v>
      </c>
      <c r="I388" s="20" t="s">
        <v>120</v>
      </c>
      <c r="J388" s="20"/>
      <c r="K388" s="11" t="s">
        <v>1139</v>
      </c>
      <c r="L388" s="1" t="s">
        <v>1140</v>
      </c>
      <c r="M388" s="11" t="s">
        <v>55</v>
      </c>
      <c r="N388" s="19"/>
      <c r="O388" s="20" t="s">
        <v>89</v>
      </c>
      <c r="P388" s="19"/>
      <c r="Q388" s="19"/>
      <c r="R388" s="19"/>
      <c r="S388" s="11" t="s">
        <v>26</v>
      </c>
      <c r="T388" s="17">
        <v>45175</v>
      </c>
      <c r="U388" s="18">
        <v>0.58819444444444446</v>
      </c>
      <c r="V388" s="1" t="str">
        <f t="shared" si="33"/>
        <v>0 г. 0 мес. 1 дн.</v>
      </c>
      <c r="W388" s="69"/>
    </row>
    <row r="389" spans="1:23" ht="35.1" customHeight="1" x14ac:dyDescent="0.25">
      <c r="A389" s="8">
        <f t="shared" si="34"/>
        <v>388</v>
      </c>
      <c r="B389" s="11">
        <v>2053</v>
      </c>
      <c r="C389" s="39" t="s">
        <v>77</v>
      </c>
      <c r="D389" s="21">
        <v>45168</v>
      </c>
      <c r="E389" s="6">
        <v>1.4583333333333332E-2</v>
      </c>
      <c r="F389" s="1" t="s">
        <v>1142</v>
      </c>
      <c r="G389" s="3">
        <v>39731</v>
      </c>
      <c r="H389" s="11" t="str">
        <f t="shared" si="35"/>
        <v>14 г. 10 мес. 20 дн.</v>
      </c>
      <c r="I389" s="20" t="s">
        <v>121</v>
      </c>
      <c r="J389" s="20" t="s">
        <v>77</v>
      </c>
      <c r="K389" s="1" t="s">
        <v>1143</v>
      </c>
      <c r="L389" s="1" t="s">
        <v>1144</v>
      </c>
      <c r="M389" s="1" t="s">
        <v>52</v>
      </c>
      <c r="N389" s="7"/>
      <c r="O389" s="20" t="s">
        <v>89</v>
      </c>
      <c r="P389" s="7"/>
      <c r="Q389" s="7"/>
      <c r="R389" s="7"/>
      <c r="S389" s="1" t="s">
        <v>77</v>
      </c>
      <c r="T389" s="3">
        <v>45169</v>
      </c>
      <c r="U389" s="6">
        <v>0.41875000000000001</v>
      </c>
      <c r="V389" s="1" t="str">
        <f t="shared" si="33"/>
        <v>0 г. 0 мес. 1 дн.</v>
      </c>
      <c r="W389" s="69"/>
    </row>
    <row r="390" spans="1:23" ht="35.1" customHeight="1" x14ac:dyDescent="0.25">
      <c r="A390" s="1">
        <f t="shared" si="34"/>
        <v>389</v>
      </c>
      <c r="B390" s="11">
        <v>974</v>
      </c>
      <c r="C390" s="44" t="s">
        <v>27</v>
      </c>
      <c r="D390" s="21">
        <v>45180</v>
      </c>
      <c r="E390" s="18">
        <v>0.63888888888888895</v>
      </c>
      <c r="F390" s="1" t="s">
        <v>1145</v>
      </c>
      <c r="G390" s="3">
        <v>45113</v>
      </c>
      <c r="H390" s="11" t="str">
        <f t="shared" si="35"/>
        <v>0 г. 2 мес. 5 дн.</v>
      </c>
      <c r="I390" s="20" t="s">
        <v>122</v>
      </c>
      <c r="J390" s="20" t="s">
        <v>27</v>
      </c>
      <c r="K390" s="1" t="s">
        <v>1146</v>
      </c>
      <c r="L390" s="11" t="s">
        <v>1147</v>
      </c>
      <c r="M390" s="11" t="s">
        <v>56</v>
      </c>
      <c r="N390" s="19"/>
      <c r="O390" s="20" t="s">
        <v>89</v>
      </c>
      <c r="P390" s="19"/>
      <c r="Q390" s="19" t="s">
        <v>103</v>
      </c>
      <c r="R390" s="19"/>
      <c r="S390" s="11" t="s">
        <v>27</v>
      </c>
      <c r="T390" s="17">
        <v>45180</v>
      </c>
      <c r="U390" s="18">
        <v>0.91666666666666663</v>
      </c>
      <c r="V390" s="1" t="str">
        <f t="shared" si="33"/>
        <v>0 г. 0 мес. 0 дн.</v>
      </c>
      <c r="W390" s="69"/>
    </row>
    <row r="391" spans="1:23" ht="35.1" customHeight="1" x14ac:dyDescent="0.25">
      <c r="A391" s="8">
        <f t="shared" si="34"/>
        <v>390</v>
      </c>
      <c r="B391" s="11">
        <v>976</v>
      </c>
      <c r="C391" s="44" t="s">
        <v>27</v>
      </c>
      <c r="D391" s="21">
        <v>45181</v>
      </c>
      <c r="E391" s="18">
        <v>6.9444444444444447E-4</v>
      </c>
      <c r="F391" s="11" t="s">
        <v>1148</v>
      </c>
      <c r="G391" s="17">
        <v>44496</v>
      </c>
      <c r="H391" s="11" t="str">
        <f t="shared" si="35"/>
        <v>1 г. 10 мес. 16 дн.</v>
      </c>
      <c r="I391" s="20" t="s">
        <v>120</v>
      </c>
      <c r="J391" s="20"/>
      <c r="K391" s="11" t="s">
        <v>1149</v>
      </c>
      <c r="L391" s="11" t="s">
        <v>1150</v>
      </c>
      <c r="M391" s="11" t="s">
        <v>48</v>
      </c>
      <c r="N391" s="19"/>
      <c r="O391" s="20" t="s">
        <v>89</v>
      </c>
      <c r="P391" s="19"/>
      <c r="Q391" s="19"/>
      <c r="R391" s="19"/>
      <c r="S391" s="44" t="s">
        <v>27</v>
      </c>
      <c r="T391" s="21">
        <v>45181</v>
      </c>
      <c r="U391" s="18">
        <v>0.45833333333333331</v>
      </c>
      <c r="V391" s="1" t="str">
        <f t="shared" si="33"/>
        <v>0 г. 0 мес. 0 дн.</v>
      </c>
      <c r="W391" s="69"/>
    </row>
    <row r="392" spans="1:23" ht="35.1" customHeight="1" x14ac:dyDescent="0.25">
      <c r="A392" s="1">
        <f t="shared" si="34"/>
        <v>391</v>
      </c>
      <c r="B392" s="11">
        <v>569</v>
      </c>
      <c r="C392" s="44" t="s">
        <v>26</v>
      </c>
      <c r="D392" s="21">
        <v>45181</v>
      </c>
      <c r="E392" s="18">
        <v>4.1666666666666664E-2</v>
      </c>
      <c r="F392" s="11" t="s">
        <v>1151</v>
      </c>
      <c r="G392" s="17">
        <v>39315</v>
      </c>
      <c r="H392" s="11" t="str">
        <f t="shared" si="35"/>
        <v>16 г. 0 мес. 22 дн.</v>
      </c>
      <c r="I392" s="20" t="s">
        <v>120</v>
      </c>
      <c r="J392" s="20"/>
      <c r="K392" s="11" t="s">
        <v>1152</v>
      </c>
      <c r="L392" s="11" t="s">
        <v>715</v>
      </c>
      <c r="M392" s="11" t="s">
        <v>55</v>
      </c>
      <c r="N392" s="19"/>
      <c r="O392" s="20" t="s">
        <v>89</v>
      </c>
      <c r="P392" s="19"/>
      <c r="Q392" s="19"/>
      <c r="R392" s="19"/>
      <c r="S392" s="44" t="s">
        <v>26</v>
      </c>
      <c r="T392" s="21">
        <v>45181</v>
      </c>
      <c r="U392" s="18">
        <v>0.52916666666666667</v>
      </c>
      <c r="V392" s="1" t="str">
        <f t="shared" si="33"/>
        <v>0 г. 0 мес. 0 дн.</v>
      </c>
      <c r="W392" s="69"/>
    </row>
    <row r="393" spans="1:23" ht="35.1" customHeight="1" x14ac:dyDescent="0.25">
      <c r="A393" s="8">
        <f t="shared" si="34"/>
        <v>392</v>
      </c>
      <c r="B393" s="11">
        <v>2129</v>
      </c>
      <c r="C393" s="39" t="s">
        <v>77</v>
      </c>
      <c r="D393" s="21">
        <v>45181</v>
      </c>
      <c r="E393" s="18">
        <v>0.59027777777777779</v>
      </c>
      <c r="F393" s="11" t="s">
        <v>1155</v>
      </c>
      <c r="G393" s="17">
        <v>39534</v>
      </c>
      <c r="H393" s="11" t="str">
        <f t="shared" si="35"/>
        <v>15 г. 5 мес. 16 дн.</v>
      </c>
      <c r="I393" s="20" t="s">
        <v>121</v>
      </c>
      <c r="J393" s="20" t="s">
        <v>77</v>
      </c>
      <c r="K393" s="11" t="s">
        <v>1153</v>
      </c>
      <c r="L393" s="11" t="s">
        <v>1158</v>
      </c>
      <c r="M393" s="11" t="s">
        <v>49</v>
      </c>
      <c r="N393" s="19"/>
      <c r="O393" s="20" t="s">
        <v>89</v>
      </c>
      <c r="P393" s="19"/>
      <c r="Q393" s="19"/>
      <c r="R393" s="19"/>
      <c r="S393" s="11" t="s">
        <v>77</v>
      </c>
      <c r="T393" s="17">
        <v>45182</v>
      </c>
      <c r="U393" s="18">
        <v>0.4861111111111111</v>
      </c>
      <c r="V393" s="1" t="str">
        <f t="shared" si="33"/>
        <v>0 г. 0 мес. 1 дн.</v>
      </c>
      <c r="W393" s="69"/>
    </row>
    <row r="394" spans="1:23" ht="35.1" customHeight="1" x14ac:dyDescent="0.25">
      <c r="A394" s="1">
        <f t="shared" si="34"/>
        <v>393</v>
      </c>
      <c r="B394" s="11">
        <v>571</v>
      </c>
      <c r="C394" s="44" t="s">
        <v>26</v>
      </c>
      <c r="D394" s="21">
        <v>45181</v>
      </c>
      <c r="E394" s="18">
        <v>0.99305555555555547</v>
      </c>
      <c r="F394" s="11" t="s">
        <v>1156</v>
      </c>
      <c r="G394" s="17">
        <v>41492</v>
      </c>
      <c r="H394" s="11" t="str">
        <f t="shared" si="35"/>
        <v>10 г. 1 мес. 6 дн.</v>
      </c>
      <c r="I394" s="20" t="s">
        <v>120</v>
      </c>
      <c r="J394" s="20"/>
      <c r="K394" s="1" t="s">
        <v>1157</v>
      </c>
      <c r="L394" s="11" t="s">
        <v>1154</v>
      </c>
      <c r="M394" s="11" t="s">
        <v>43</v>
      </c>
      <c r="N394" s="19"/>
      <c r="O394" s="20" t="s">
        <v>89</v>
      </c>
      <c r="P394" s="19"/>
      <c r="Q394" s="19"/>
      <c r="R394" s="19"/>
      <c r="S394" s="11" t="s">
        <v>29</v>
      </c>
      <c r="T394" s="17">
        <v>45183</v>
      </c>
      <c r="U394" s="18">
        <v>0.5</v>
      </c>
      <c r="V394" s="1" t="str">
        <f t="shared" si="33"/>
        <v>0 г. 0 мес. 2 дн.</v>
      </c>
      <c r="W394" s="69"/>
    </row>
    <row r="395" spans="1:23" ht="35.1" customHeight="1" x14ac:dyDescent="0.25">
      <c r="A395" s="8">
        <f t="shared" si="34"/>
        <v>394</v>
      </c>
      <c r="B395" s="11">
        <v>572</v>
      </c>
      <c r="C395" s="44" t="s">
        <v>82</v>
      </c>
      <c r="D395" s="21">
        <v>45182</v>
      </c>
      <c r="E395" s="18">
        <v>3.472222222222222E-3</v>
      </c>
      <c r="F395" s="11" t="s">
        <v>660</v>
      </c>
      <c r="G395" s="17">
        <v>45024</v>
      </c>
      <c r="H395" s="11" t="str">
        <f t="shared" si="35"/>
        <v>0 г. 5 мес. 5 дн.</v>
      </c>
      <c r="I395" s="20" t="s">
        <v>125</v>
      </c>
      <c r="J395" s="20" t="s">
        <v>82</v>
      </c>
      <c r="K395" s="11" t="s">
        <v>1054</v>
      </c>
      <c r="L395" s="11" t="s">
        <v>1053</v>
      </c>
      <c r="M395" s="11" t="s">
        <v>56</v>
      </c>
      <c r="N395" s="19">
        <v>720</v>
      </c>
      <c r="O395" s="20" t="s">
        <v>89</v>
      </c>
      <c r="P395" s="19"/>
      <c r="Q395" s="19"/>
      <c r="R395" s="19"/>
      <c r="S395" s="11" t="s">
        <v>82</v>
      </c>
      <c r="T395" s="17">
        <v>45211</v>
      </c>
      <c r="U395" s="18">
        <v>0.99652777777777779</v>
      </c>
      <c r="V395" s="1" t="str">
        <f t="shared" si="33"/>
        <v>0 г. 0 мес. 29 дн.</v>
      </c>
      <c r="W395" s="69"/>
    </row>
    <row r="396" spans="1:23" ht="35.1" customHeight="1" x14ac:dyDescent="0.25">
      <c r="A396" s="1">
        <f t="shared" si="34"/>
        <v>395</v>
      </c>
      <c r="B396" s="11">
        <v>2139</v>
      </c>
      <c r="C396" s="44" t="s">
        <v>77</v>
      </c>
      <c r="D396" s="21">
        <v>45182</v>
      </c>
      <c r="E396" s="18">
        <v>0.49305555555555558</v>
      </c>
      <c r="F396" s="11" t="s">
        <v>1159</v>
      </c>
      <c r="G396" s="17">
        <v>39435</v>
      </c>
      <c r="H396" s="11" t="str">
        <f t="shared" si="35"/>
        <v>15 г. 8 мес. 25 дн.</v>
      </c>
      <c r="I396" s="20" t="s">
        <v>121</v>
      </c>
      <c r="J396" s="20" t="s">
        <v>77</v>
      </c>
      <c r="K396" s="11" t="s">
        <v>1160</v>
      </c>
      <c r="L396" s="11" t="s">
        <v>1161</v>
      </c>
      <c r="M396" s="11" t="s">
        <v>49</v>
      </c>
      <c r="N396" s="19"/>
      <c r="O396" s="20" t="s">
        <v>89</v>
      </c>
      <c r="P396" s="19"/>
      <c r="Q396" s="19"/>
      <c r="R396" s="19"/>
      <c r="S396" s="11" t="s">
        <v>77</v>
      </c>
      <c r="T396" s="17">
        <v>45183</v>
      </c>
      <c r="U396" s="18">
        <v>0.5</v>
      </c>
      <c r="V396" s="1" t="str">
        <f t="shared" si="33"/>
        <v>0 г. 0 мес. 1 дн.</v>
      </c>
      <c r="W396" s="69"/>
    </row>
    <row r="397" spans="1:23" ht="35.1" customHeight="1" x14ac:dyDescent="0.25">
      <c r="A397" s="8">
        <f t="shared" si="34"/>
        <v>396</v>
      </c>
      <c r="B397" s="11">
        <v>2160</v>
      </c>
      <c r="C397" s="44" t="s">
        <v>77</v>
      </c>
      <c r="D397" s="21">
        <v>45182</v>
      </c>
      <c r="E397" s="18">
        <v>0.72222222222222221</v>
      </c>
      <c r="F397" s="11" t="s">
        <v>1162</v>
      </c>
      <c r="G397" s="17">
        <v>39731</v>
      </c>
      <c r="H397" s="11" t="str">
        <f t="shared" si="35"/>
        <v>14 г. 11 мес. 3 дн.</v>
      </c>
      <c r="I397" s="20" t="s">
        <v>122</v>
      </c>
      <c r="J397" s="20" t="s">
        <v>77</v>
      </c>
      <c r="K397" s="11" t="s">
        <v>1163</v>
      </c>
      <c r="L397" s="11" t="s">
        <v>1164</v>
      </c>
      <c r="M397" s="11" t="s">
        <v>49</v>
      </c>
      <c r="N397" s="7"/>
      <c r="O397" s="20" t="s">
        <v>73</v>
      </c>
      <c r="P397" s="7" t="s">
        <v>96</v>
      </c>
      <c r="Q397" s="7"/>
      <c r="R397" s="7"/>
      <c r="S397" s="11" t="s">
        <v>77</v>
      </c>
      <c r="T397" s="17">
        <v>45186</v>
      </c>
      <c r="U397" s="18">
        <v>0.625</v>
      </c>
      <c r="V397" s="1" t="str">
        <f t="shared" si="33"/>
        <v>0 г. 0 мес. 4 дн.</v>
      </c>
      <c r="W397" s="69"/>
    </row>
    <row r="398" spans="1:23" ht="35.1" customHeight="1" x14ac:dyDescent="0.25">
      <c r="A398" s="1">
        <f t="shared" si="34"/>
        <v>397</v>
      </c>
      <c r="B398" s="19">
        <v>574</v>
      </c>
      <c r="C398" s="44" t="s">
        <v>82</v>
      </c>
      <c r="D398" s="21">
        <v>45183</v>
      </c>
      <c r="E398" s="18">
        <v>3.472222222222222E-3</v>
      </c>
      <c r="F398" s="11" t="s">
        <v>1008</v>
      </c>
      <c r="G398" s="17">
        <v>45113</v>
      </c>
      <c r="H398" s="11" t="str">
        <f t="shared" si="35"/>
        <v>0 г. 2 мес. 8 дн.</v>
      </c>
      <c r="I398" s="20" t="s">
        <v>125</v>
      </c>
      <c r="J398" s="20" t="s">
        <v>82</v>
      </c>
      <c r="K398" s="28" t="s">
        <v>1009</v>
      </c>
      <c r="L398" s="11" t="s">
        <v>423</v>
      </c>
      <c r="M398" s="11" t="s">
        <v>46</v>
      </c>
      <c r="N398" s="19">
        <v>720</v>
      </c>
      <c r="O398" s="20" t="s">
        <v>73</v>
      </c>
      <c r="P398" s="19"/>
      <c r="Q398" s="19" t="s">
        <v>149</v>
      </c>
      <c r="R398" s="19"/>
      <c r="S398" s="11" t="s">
        <v>82</v>
      </c>
      <c r="T398" s="17">
        <v>45212</v>
      </c>
      <c r="U398" s="18">
        <v>0.99652777777777779</v>
      </c>
      <c r="V398" s="1" t="str">
        <f t="shared" si="33"/>
        <v>0 г. 0 мес. 29 дн.</v>
      </c>
      <c r="W398" s="69"/>
    </row>
    <row r="399" spans="1:23" ht="35.1" customHeight="1" x14ac:dyDescent="0.25">
      <c r="A399" s="8">
        <f t="shared" si="34"/>
        <v>398</v>
      </c>
      <c r="B399" s="11">
        <v>580</v>
      </c>
      <c r="C399" s="44" t="s">
        <v>26</v>
      </c>
      <c r="D399" s="21">
        <v>45185</v>
      </c>
      <c r="E399" s="18">
        <v>0.125</v>
      </c>
      <c r="F399" s="11" t="s">
        <v>1165</v>
      </c>
      <c r="G399" s="17">
        <v>44769</v>
      </c>
      <c r="H399" s="11" t="str">
        <f t="shared" si="35"/>
        <v>1 г. 1 мес. 20 дн.</v>
      </c>
      <c r="I399" s="20" t="s">
        <v>120</v>
      </c>
      <c r="J399" s="20"/>
      <c r="K399" s="11" t="s">
        <v>1166</v>
      </c>
      <c r="L399" s="11" t="s">
        <v>1167</v>
      </c>
      <c r="M399" s="11" t="s">
        <v>43</v>
      </c>
      <c r="N399" s="19"/>
      <c r="O399" s="20" t="s">
        <v>73</v>
      </c>
      <c r="P399" s="19"/>
      <c r="Q399" s="19"/>
      <c r="R399" s="19"/>
      <c r="S399" s="11" t="s">
        <v>29</v>
      </c>
      <c r="T399" s="17">
        <v>45187</v>
      </c>
      <c r="U399" s="18">
        <v>0.47916666666666669</v>
      </c>
      <c r="V399" s="1" t="str">
        <f t="shared" si="33"/>
        <v>0 г. 0 мес. 2 дн.</v>
      </c>
      <c r="W399" s="69"/>
    </row>
    <row r="400" spans="1:23" ht="35.1" customHeight="1" x14ac:dyDescent="0.25">
      <c r="A400" s="1">
        <f t="shared" si="34"/>
        <v>399</v>
      </c>
      <c r="B400" s="11">
        <v>991</v>
      </c>
      <c r="C400" s="44" t="s">
        <v>27</v>
      </c>
      <c r="D400" s="120">
        <v>45186</v>
      </c>
      <c r="E400" s="18">
        <v>0.90972222222222221</v>
      </c>
      <c r="F400" s="11" t="s">
        <v>1168</v>
      </c>
      <c r="G400" s="17">
        <v>43531</v>
      </c>
      <c r="H400" s="11" t="str">
        <f t="shared" si="35"/>
        <v>4 г. 6 мес. 10 дн.</v>
      </c>
      <c r="I400" s="20" t="s">
        <v>120</v>
      </c>
      <c r="J400" s="20"/>
      <c r="K400" s="11" t="s">
        <v>1169</v>
      </c>
      <c r="L400" s="11" t="s">
        <v>1170</v>
      </c>
      <c r="M400" s="11" t="s">
        <v>48</v>
      </c>
      <c r="N400" s="19"/>
      <c r="O400" s="20" t="s">
        <v>89</v>
      </c>
      <c r="P400" s="19"/>
      <c r="Q400" s="19"/>
      <c r="R400" s="19"/>
      <c r="S400" s="11" t="s">
        <v>27</v>
      </c>
      <c r="T400" s="17">
        <v>45187</v>
      </c>
      <c r="U400" s="18">
        <v>0.5</v>
      </c>
      <c r="V400" s="1" t="str">
        <f t="shared" si="33"/>
        <v>0 г. 0 мес. 1 дн.</v>
      </c>
      <c r="W400" s="69"/>
    </row>
    <row r="401" spans="1:23" ht="35.1" customHeight="1" x14ac:dyDescent="0.25">
      <c r="A401" s="8">
        <f t="shared" si="34"/>
        <v>400</v>
      </c>
      <c r="B401" s="11">
        <v>2189</v>
      </c>
      <c r="C401" s="44" t="s">
        <v>77</v>
      </c>
      <c r="D401" s="21">
        <v>45187</v>
      </c>
      <c r="E401" s="18">
        <v>0.38194444444444442</v>
      </c>
      <c r="F401" s="11" t="s">
        <v>1171</v>
      </c>
      <c r="G401" s="17">
        <v>43723</v>
      </c>
      <c r="H401" s="11" t="str">
        <f t="shared" si="35"/>
        <v>4 г. 0 мес. 3 дн.</v>
      </c>
      <c r="I401" s="20" t="s">
        <v>120</v>
      </c>
      <c r="J401" s="20"/>
      <c r="K401" s="11" t="s">
        <v>1172</v>
      </c>
      <c r="L401" s="11" t="s">
        <v>1173</v>
      </c>
      <c r="M401" s="11" t="s">
        <v>54</v>
      </c>
      <c r="N401" s="19">
        <v>31</v>
      </c>
      <c r="O401" s="20" t="s">
        <v>73</v>
      </c>
      <c r="P401" s="19"/>
      <c r="Q401" s="19"/>
      <c r="R401" s="19"/>
      <c r="S401" s="11" t="s">
        <v>77</v>
      </c>
      <c r="T401" s="17">
        <v>45203</v>
      </c>
      <c r="U401" s="18">
        <v>0.70833333333333337</v>
      </c>
      <c r="V401" s="1" t="str">
        <f t="shared" si="33"/>
        <v>0 г. 0 мес. 16 дн.</v>
      </c>
      <c r="W401" s="69"/>
    </row>
    <row r="402" spans="1:23" s="128" customFormat="1" ht="35.1" customHeight="1" x14ac:dyDescent="0.25">
      <c r="A402" s="122">
        <f t="shared" si="34"/>
        <v>401</v>
      </c>
      <c r="B402" s="122">
        <v>2195</v>
      </c>
      <c r="C402" s="123" t="s">
        <v>77</v>
      </c>
      <c r="D402" s="124">
        <v>45187</v>
      </c>
      <c r="E402" s="125">
        <v>0.58333333333333337</v>
      </c>
      <c r="F402" s="122" t="s">
        <v>1174</v>
      </c>
      <c r="G402" s="124">
        <v>44726</v>
      </c>
      <c r="H402" s="122" t="str">
        <f t="shared" si="35"/>
        <v>1 г. 3 мес. 4 дн.</v>
      </c>
      <c r="I402" s="122" t="s">
        <v>120</v>
      </c>
      <c r="J402" s="122"/>
      <c r="K402" s="122" t="s">
        <v>1175</v>
      </c>
      <c r="L402" s="122" t="s">
        <v>1176</v>
      </c>
      <c r="M402" s="122" t="s">
        <v>54</v>
      </c>
      <c r="N402" s="126">
        <v>40</v>
      </c>
      <c r="O402" s="122" t="s">
        <v>92</v>
      </c>
      <c r="P402" s="126"/>
      <c r="Q402" s="126" t="s">
        <v>102</v>
      </c>
      <c r="R402" s="126" t="s">
        <v>105</v>
      </c>
      <c r="S402" s="122" t="s">
        <v>30</v>
      </c>
      <c r="T402" s="124">
        <v>45194</v>
      </c>
      <c r="U402" s="125">
        <v>0.10416666666666667</v>
      </c>
      <c r="V402" s="122" t="str">
        <f t="shared" si="33"/>
        <v>0 г. 0 мес. 7 дн.</v>
      </c>
      <c r="W402" s="127"/>
    </row>
    <row r="403" spans="1:23" ht="35.1" customHeight="1" x14ac:dyDescent="0.25">
      <c r="A403" s="8">
        <f t="shared" si="34"/>
        <v>402</v>
      </c>
      <c r="B403" s="23">
        <v>2193</v>
      </c>
      <c r="C403" s="42" t="s">
        <v>77</v>
      </c>
      <c r="D403" s="21">
        <v>45187</v>
      </c>
      <c r="E403" s="26">
        <v>0.83333333333333337</v>
      </c>
      <c r="F403" s="23" t="s">
        <v>1177</v>
      </c>
      <c r="G403" s="25">
        <v>42569</v>
      </c>
      <c r="H403" s="11" t="str">
        <f t="shared" si="35"/>
        <v>7 г. 2 мес. 0 дн.</v>
      </c>
      <c r="I403" s="20" t="s">
        <v>122</v>
      </c>
      <c r="J403" s="20" t="s">
        <v>77</v>
      </c>
      <c r="K403" s="23" t="s">
        <v>1178</v>
      </c>
      <c r="L403" s="20" t="s">
        <v>1179</v>
      </c>
      <c r="M403" s="23" t="s">
        <v>46</v>
      </c>
      <c r="N403" s="27"/>
      <c r="O403" s="20" t="s">
        <v>89</v>
      </c>
      <c r="P403" s="27"/>
      <c r="Q403" s="27"/>
      <c r="R403" s="27"/>
      <c r="S403" s="23" t="s">
        <v>77</v>
      </c>
      <c r="T403" s="25">
        <v>45188</v>
      </c>
      <c r="U403" s="26">
        <v>0.5</v>
      </c>
      <c r="V403" s="20" t="str">
        <f t="shared" si="33"/>
        <v>0 г. 0 мес. 1 дн.</v>
      </c>
      <c r="W403" s="69"/>
    </row>
    <row r="404" spans="1:23" ht="35.1" customHeight="1" x14ac:dyDescent="0.25">
      <c r="A404" s="1">
        <f t="shared" si="34"/>
        <v>403</v>
      </c>
      <c r="B404" s="11">
        <v>548</v>
      </c>
      <c r="C404" s="44" t="s">
        <v>28</v>
      </c>
      <c r="D404" s="21">
        <v>45184</v>
      </c>
      <c r="E404" s="18">
        <v>0.61527777777777781</v>
      </c>
      <c r="F404" s="11" t="s">
        <v>1180</v>
      </c>
      <c r="G404" s="17">
        <v>42677</v>
      </c>
      <c r="H404" s="11" t="str">
        <f t="shared" si="35"/>
        <v>6 г. 10 мес. 12 дн.</v>
      </c>
      <c r="I404" s="20" t="s">
        <v>122</v>
      </c>
      <c r="J404" s="20" t="s">
        <v>28</v>
      </c>
      <c r="K404" s="11" t="s">
        <v>1181</v>
      </c>
      <c r="L404" s="11" t="s">
        <v>1182</v>
      </c>
      <c r="M404" s="11" t="s">
        <v>46</v>
      </c>
      <c r="N404" s="19"/>
      <c r="O404" s="20" t="s">
        <v>89</v>
      </c>
      <c r="P404" s="19"/>
      <c r="Q404" s="19"/>
      <c r="R404" s="19"/>
      <c r="S404" s="11" t="s">
        <v>28</v>
      </c>
      <c r="T404" s="17">
        <v>45184</v>
      </c>
      <c r="U404" s="18">
        <v>0.78819444444444453</v>
      </c>
      <c r="V404" s="1" t="str">
        <f t="shared" si="33"/>
        <v>0 г. 0 мес. 0 дн.</v>
      </c>
      <c r="W404" s="69"/>
    </row>
    <row r="405" spans="1:23" ht="35.1" customHeight="1" x14ac:dyDescent="0.25">
      <c r="A405" s="8">
        <f t="shared" si="34"/>
        <v>404</v>
      </c>
      <c r="B405" s="11">
        <v>540</v>
      </c>
      <c r="C405" s="44" t="s">
        <v>26</v>
      </c>
      <c r="D405" s="21">
        <v>45183</v>
      </c>
      <c r="E405" s="18">
        <v>0.70208333333333339</v>
      </c>
      <c r="F405" s="11" t="s">
        <v>1183</v>
      </c>
      <c r="G405" s="17">
        <v>41578</v>
      </c>
      <c r="H405" s="11" t="str">
        <f t="shared" si="35"/>
        <v>9 г. 10 мес. 14 дн.</v>
      </c>
      <c r="I405" s="20" t="s">
        <v>122</v>
      </c>
      <c r="J405" s="20" t="s">
        <v>82</v>
      </c>
      <c r="K405" s="11" t="s">
        <v>510</v>
      </c>
      <c r="L405" s="11" t="s">
        <v>1053</v>
      </c>
      <c r="M405" s="11" t="s">
        <v>46</v>
      </c>
      <c r="N405" s="19"/>
      <c r="O405" s="20" t="s">
        <v>89</v>
      </c>
      <c r="P405" s="19"/>
      <c r="Q405" s="19"/>
      <c r="R405" s="19"/>
      <c r="S405" s="11" t="s">
        <v>82</v>
      </c>
      <c r="T405" s="17">
        <v>45184</v>
      </c>
      <c r="U405" s="18">
        <v>0.55833333333333335</v>
      </c>
      <c r="V405" s="1" t="str">
        <f t="shared" si="33"/>
        <v>0 г. 0 мес. 1 дн.</v>
      </c>
      <c r="W405" s="69"/>
    </row>
    <row r="406" spans="1:23" ht="35.1" customHeight="1" x14ac:dyDescent="0.25">
      <c r="A406" s="1">
        <f t="shared" si="34"/>
        <v>405</v>
      </c>
      <c r="B406" s="11">
        <v>407</v>
      </c>
      <c r="C406" s="44" t="s">
        <v>24</v>
      </c>
      <c r="D406" s="21">
        <v>45188</v>
      </c>
      <c r="E406" s="18">
        <v>0.625</v>
      </c>
      <c r="F406" s="11" t="s">
        <v>1128</v>
      </c>
      <c r="G406" s="17">
        <v>42650</v>
      </c>
      <c r="H406" s="11" t="str">
        <f t="shared" si="35"/>
        <v>6 г. 11 мес. 12 дн.</v>
      </c>
      <c r="I406" s="20" t="s">
        <v>122</v>
      </c>
      <c r="J406" s="20" t="s">
        <v>24</v>
      </c>
      <c r="K406" s="11" t="s">
        <v>1184</v>
      </c>
      <c r="L406" s="11" t="s">
        <v>1185</v>
      </c>
      <c r="M406" s="11" t="s">
        <v>50</v>
      </c>
      <c r="N406" s="19"/>
      <c r="O406" s="20" t="s">
        <v>89</v>
      </c>
      <c r="P406" s="19"/>
      <c r="Q406" s="19"/>
      <c r="R406" s="19"/>
      <c r="S406" s="11" t="s">
        <v>24</v>
      </c>
      <c r="T406" s="17">
        <v>45189</v>
      </c>
      <c r="U406" s="18">
        <v>0.5</v>
      </c>
      <c r="V406" s="1" t="str">
        <f t="shared" si="33"/>
        <v>0 г. 0 мес. 1 дн.</v>
      </c>
      <c r="W406" s="69"/>
    </row>
    <row r="407" spans="1:23" ht="35.1" customHeight="1" x14ac:dyDescent="0.25">
      <c r="A407" s="8">
        <f t="shared" si="34"/>
        <v>406</v>
      </c>
      <c r="B407" s="11">
        <v>510</v>
      </c>
      <c r="C407" s="44" t="s">
        <v>25</v>
      </c>
      <c r="D407" s="21">
        <v>45188</v>
      </c>
      <c r="E407" s="18">
        <v>0.60763888888888895</v>
      </c>
      <c r="F407" s="11" t="s">
        <v>1186</v>
      </c>
      <c r="G407" s="17">
        <v>45159</v>
      </c>
      <c r="H407" s="11" t="str">
        <f t="shared" si="35"/>
        <v>0 г. 0 мес. 29 дн.</v>
      </c>
      <c r="I407" s="20" t="s">
        <v>121</v>
      </c>
      <c r="J407" s="20" t="s">
        <v>77</v>
      </c>
      <c r="K407" s="11" t="s">
        <v>510</v>
      </c>
      <c r="L407" s="11" t="s">
        <v>1187</v>
      </c>
      <c r="M407" s="11" t="s">
        <v>49</v>
      </c>
      <c r="N407" s="19"/>
      <c r="O407" s="20" t="s">
        <v>89</v>
      </c>
      <c r="P407" s="19"/>
      <c r="Q407" s="19"/>
      <c r="R407" s="19"/>
      <c r="S407" s="11" t="s">
        <v>77</v>
      </c>
      <c r="T407" s="17">
        <v>45189</v>
      </c>
      <c r="U407" s="18">
        <v>0.71250000000000002</v>
      </c>
      <c r="V407" s="1" t="str">
        <f t="shared" si="33"/>
        <v>0 г. 0 мес. 1 дн.</v>
      </c>
      <c r="W407" s="69"/>
    </row>
    <row r="408" spans="1:23" ht="35.1" customHeight="1" x14ac:dyDescent="0.25">
      <c r="A408" s="1">
        <f t="shared" si="34"/>
        <v>407</v>
      </c>
      <c r="B408" s="11">
        <v>2215</v>
      </c>
      <c r="C408" s="44" t="s">
        <v>77</v>
      </c>
      <c r="D408" s="21">
        <v>45189</v>
      </c>
      <c r="E408" s="18">
        <v>0.66388888888888886</v>
      </c>
      <c r="F408" s="11" t="s">
        <v>1188</v>
      </c>
      <c r="G408" s="17">
        <v>42633</v>
      </c>
      <c r="H408" s="11" t="str">
        <f t="shared" si="35"/>
        <v>7 г. 0 мес. 0 дн.</v>
      </c>
      <c r="I408" s="20" t="s">
        <v>120</v>
      </c>
      <c r="J408" s="20"/>
      <c r="K408" s="11" t="s">
        <v>510</v>
      </c>
      <c r="L408" s="11" t="s">
        <v>1189</v>
      </c>
      <c r="M408" s="11" t="s">
        <v>52</v>
      </c>
      <c r="N408" s="19"/>
      <c r="O408" s="20" t="s">
        <v>89</v>
      </c>
      <c r="P408" s="19"/>
      <c r="Q408" s="19"/>
      <c r="R408" s="19"/>
      <c r="S408" s="11" t="s">
        <v>77</v>
      </c>
      <c r="T408" s="17">
        <v>45190</v>
      </c>
      <c r="U408" s="18">
        <v>0.5</v>
      </c>
      <c r="V408" s="1" t="str">
        <f t="shared" si="33"/>
        <v>0 г. 0 мес. 1 дн.</v>
      </c>
      <c r="W408" s="69"/>
    </row>
    <row r="409" spans="1:23" ht="35.1" customHeight="1" x14ac:dyDescent="0.25">
      <c r="A409" s="8">
        <f t="shared" si="34"/>
        <v>408</v>
      </c>
      <c r="B409" s="11">
        <v>499</v>
      </c>
      <c r="C409" s="44" t="s">
        <v>25</v>
      </c>
      <c r="D409" s="21">
        <v>45190</v>
      </c>
      <c r="E409" s="18">
        <v>0.52083333333333337</v>
      </c>
      <c r="F409" s="11" t="s">
        <v>1190</v>
      </c>
      <c r="G409" s="17">
        <v>45140</v>
      </c>
      <c r="H409" s="11" t="str">
        <f t="shared" si="35"/>
        <v>0 г. 1 мес. 19 дн.</v>
      </c>
      <c r="I409" s="20" t="s">
        <v>122</v>
      </c>
      <c r="J409" s="20" t="s">
        <v>25</v>
      </c>
      <c r="K409" s="11" t="s">
        <v>1191</v>
      </c>
      <c r="L409" s="11" t="s">
        <v>1192</v>
      </c>
      <c r="M409" s="11" t="s">
        <v>48</v>
      </c>
      <c r="N409" s="19"/>
      <c r="O409" s="20" t="s">
        <v>89</v>
      </c>
      <c r="P409" s="19"/>
      <c r="Q409" s="19" t="s">
        <v>103</v>
      </c>
      <c r="R409" s="19"/>
      <c r="S409" s="11" t="s">
        <v>25</v>
      </c>
      <c r="T409" s="17">
        <v>45191</v>
      </c>
      <c r="U409" s="18">
        <v>0.70833333333333337</v>
      </c>
      <c r="V409" s="1" t="str">
        <f t="shared" ref="V409:V472" si="36">DATEDIF(D409,T409,"y") &amp; " г. " &amp; DATEDIF(D409,T409,"ym") &amp; " мес. " &amp; DATEDIF(D409,T409,"md") &amp; " дн."</f>
        <v>0 г. 0 мес. 1 дн.</v>
      </c>
      <c r="W409" s="69"/>
    </row>
    <row r="410" spans="1:23" ht="35.1" customHeight="1" x14ac:dyDescent="0.25">
      <c r="A410" s="1">
        <f t="shared" si="34"/>
        <v>409</v>
      </c>
      <c r="B410" s="11">
        <v>2221</v>
      </c>
      <c r="C410" s="44" t="s">
        <v>77</v>
      </c>
      <c r="D410" s="21">
        <v>45190</v>
      </c>
      <c r="E410" s="18">
        <v>0.61805555555555558</v>
      </c>
      <c r="F410" s="11" t="s">
        <v>1193</v>
      </c>
      <c r="G410" s="17">
        <v>39380</v>
      </c>
      <c r="H410" s="11" t="str">
        <f t="shared" si="35"/>
        <v>15 г. 10 мес. 27 дн.</v>
      </c>
      <c r="I410" s="20" t="s">
        <v>121</v>
      </c>
      <c r="J410" s="20" t="s">
        <v>77</v>
      </c>
      <c r="K410" s="11" t="s">
        <v>1194</v>
      </c>
      <c r="L410" s="11" t="s">
        <v>502</v>
      </c>
      <c r="M410" s="11" t="s">
        <v>49</v>
      </c>
      <c r="N410" s="19"/>
      <c r="O410" s="20" t="s">
        <v>73</v>
      </c>
      <c r="P410" s="19" t="s">
        <v>96</v>
      </c>
      <c r="Q410" s="19"/>
      <c r="R410" s="19"/>
      <c r="S410" s="11" t="s">
        <v>77</v>
      </c>
      <c r="T410" s="17">
        <v>45195</v>
      </c>
      <c r="U410" s="18">
        <v>0.47916666666666669</v>
      </c>
      <c r="V410" s="1" t="str">
        <f t="shared" si="36"/>
        <v>0 г. 0 мес. 5 дн.</v>
      </c>
      <c r="W410" s="69"/>
    </row>
    <row r="411" spans="1:23" ht="35.1" customHeight="1" x14ac:dyDescent="0.25">
      <c r="A411" s="8">
        <f t="shared" si="34"/>
        <v>410</v>
      </c>
      <c r="B411" s="11">
        <v>593</v>
      </c>
      <c r="C411" s="44" t="s">
        <v>26</v>
      </c>
      <c r="D411" s="21">
        <v>45191</v>
      </c>
      <c r="E411" s="18">
        <v>0.76388888888888884</v>
      </c>
      <c r="F411" s="11" t="s">
        <v>1202</v>
      </c>
      <c r="G411" s="17">
        <v>40230</v>
      </c>
      <c r="H411" s="11" t="str">
        <f t="shared" si="35"/>
        <v>13 г. 7 мес. 1 дн.</v>
      </c>
      <c r="I411" s="20" t="s">
        <v>120</v>
      </c>
      <c r="J411" s="20"/>
      <c r="K411" s="11" t="s">
        <v>1195</v>
      </c>
      <c r="L411" s="11" t="s">
        <v>1196</v>
      </c>
      <c r="M411" s="11" t="s">
        <v>55</v>
      </c>
      <c r="N411" s="19"/>
      <c r="O411" s="20" t="s">
        <v>89</v>
      </c>
      <c r="P411" s="19"/>
      <c r="Q411" s="19"/>
      <c r="R411" s="19"/>
      <c r="S411" s="11" t="s">
        <v>26</v>
      </c>
      <c r="T411" s="17">
        <v>45192</v>
      </c>
      <c r="U411" s="18">
        <v>0.54166666666666663</v>
      </c>
      <c r="V411" s="1" t="str">
        <f t="shared" si="36"/>
        <v>0 г. 0 мес. 1 дн.</v>
      </c>
      <c r="W411" s="69"/>
    </row>
    <row r="412" spans="1:23" ht="35.1" customHeight="1" x14ac:dyDescent="0.25">
      <c r="A412" s="1">
        <f t="shared" si="34"/>
        <v>411</v>
      </c>
      <c r="B412" s="11">
        <v>2233</v>
      </c>
      <c r="C412" s="44" t="s">
        <v>77</v>
      </c>
      <c r="D412" s="21">
        <v>45191</v>
      </c>
      <c r="E412" s="18">
        <v>0.82638888888888884</v>
      </c>
      <c r="F412" s="11" t="s">
        <v>1197</v>
      </c>
      <c r="G412" s="17">
        <v>38926</v>
      </c>
      <c r="H412" s="11" t="str">
        <f t="shared" si="35"/>
        <v>17 г. 1 мес. 25 дн.</v>
      </c>
      <c r="I412" s="20" t="s">
        <v>120</v>
      </c>
      <c r="J412" s="20"/>
      <c r="K412" s="11" t="s">
        <v>1198</v>
      </c>
      <c r="L412" s="11" t="s">
        <v>1199</v>
      </c>
      <c r="M412" s="11" t="s">
        <v>55</v>
      </c>
      <c r="N412" s="19"/>
      <c r="O412" s="20" t="s">
        <v>89</v>
      </c>
      <c r="P412" s="19"/>
      <c r="Q412" s="19"/>
      <c r="R412" s="19"/>
      <c r="S412" s="11" t="s">
        <v>77</v>
      </c>
      <c r="T412" s="17">
        <v>45192</v>
      </c>
      <c r="U412" s="18">
        <v>0.5</v>
      </c>
      <c r="V412" s="1" t="str">
        <f t="shared" si="36"/>
        <v>0 г. 0 мес. 1 дн.</v>
      </c>
      <c r="W412" s="69"/>
    </row>
    <row r="413" spans="1:23" ht="35.1" customHeight="1" x14ac:dyDescent="0.25">
      <c r="A413" s="8">
        <f t="shared" si="34"/>
        <v>412</v>
      </c>
      <c r="B413" s="11">
        <v>594</v>
      </c>
      <c r="C413" s="44" t="s">
        <v>26</v>
      </c>
      <c r="D413" s="21">
        <v>45192</v>
      </c>
      <c r="E413" s="18">
        <v>0.76736111111111116</v>
      </c>
      <c r="F413" s="11" t="s">
        <v>1200</v>
      </c>
      <c r="G413" s="17">
        <v>44475</v>
      </c>
      <c r="H413" s="11" t="str">
        <f t="shared" si="35"/>
        <v>1 г. 11 мес. 17 дн.</v>
      </c>
      <c r="I413" s="20" t="s">
        <v>122</v>
      </c>
      <c r="J413" s="20" t="s">
        <v>26</v>
      </c>
      <c r="K413" s="11" t="s">
        <v>1181</v>
      </c>
      <c r="L413" s="11" t="s">
        <v>1201</v>
      </c>
      <c r="M413" s="11" t="s">
        <v>48</v>
      </c>
      <c r="N413" s="19"/>
      <c r="O413" s="20" t="s">
        <v>89</v>
      </c>
      <c r="P413" s="19"/>
      <c r="Q413" s="19"/>
      <c r="R413" s="19"/>
      <c r="S413" s="11" t="s">
        <v>27</v>
      </c>
      <c r="T413" s="17">
        <v>45195</v>
      </c>
      <c r="U413" s="18">
        <v>0.5</v>
      </c>
      <c r="V413" s="1" t="str">
        <f t="shared" si="36"/>
        <v>0 г. 0 мес. 3 дн.</v>
      </c>
      <c r="W413" s="69"/>
    </row>
    <row r="414" spans="1:23" ht="35.1" customHeight="1" x14ac:dyDescent="0.25">
      <c r="A414" s="1">
        <f t="shared" si="34"/>
        <v>413</v>
      </c>
      <c r="B414" s="11">
        <v>565</v>
      </c>
      <c r="C414" s="44" t="s">
        <v>28</v>
      </c>
      <c r="D414" s="21">
        <v>45194</v>
      </c>
      <c r="E414" s="18">
        <v>0.36458333333333331</v>
      </c>
      <c r="F414" s="11" t="s">
        <v>167</v>
      </c>
      <c r="G414" s="17">
        <v>42348</v>
      </c>
      <c r="H414" s="11" t="str">
        <f t="shared" si="35"/>
        <v>7 г. 9 мес. 15 дн.</v>
      </c>
      <c r="I414" s="20" t="s">
        <v>120</v>
      </c>
      <c r="J414" s="20"/>
      <c r="K414" s="11" t="s">
        <v>168</v>
      </c>
      <c r="L414" s="11" t="s">
        <v>1041</v>
      </c>
      <c r="M414" s="11" t="s">
        <v>46</v>
      </c>
      <c r="N414" s="19"/>
      <c r="O414" s="20" t="s">
        <v>89</v>
      </c>
      <c r="P414" s="19"/>
      <c r="Q414" s="19"/>
      <c r="R414" s="19"/>
      <c r="S414" s="11" t="s">
        <v>28</v>
      </c>
      <c r="T414" s="17">
        <v>45194</v>
      </c>
      <c r="U414" s="18">
        <v>0.5625</v>
      </c>
      <c r="V414" s="1" t="str">
        <f t="shared" si="36"/>
        <v>0 г. 0 мес. 0 дн.</v>
      </c>
      <c r="W414" s="69"/>
    </row>
    <row r="415" spans="1:23" ht="35.1" customHeight="1" x14ac:dyDescent="0.25">
      <c r="A415" s="8">
        <f t="shared" si="34"/>
        <v>414</v>
      </c>
      <c r="B415" s="11">
        <v>600</v>
      </c>
      <c r="C415" s="44" t="s">
        <v>26</v>
      </c>
      <c r="D415" s="21">
        <v>45194</v>
      </c>
      <c r="E415" s="18">
        <v>0.62847222222222221</v>
      </c>
      <c r="F415" s="11" t="s">
        <v>1203</v>
      </c>
      <c r="G415" s="17">
        <v>40448</v>
      </c>
      <c r="H415" s="11" t="str">
        <f t="shared" si="35"/>
        <v>12 г. 11 мес. 29 дн.</v>
      </c>
      <c r="I415" s="20" t="s">
        <v>120</v>
      </c>
      <c r="J415" s="20"/>
      <c r="K415" s="11" t="s">
        <v>509</v>
      </c>
      <c r="L415" s="8" t="s">
        <v>725</v>
      </c>
      <c r="M415" s="11" t="s">
        <v>55</v>
      </c>
      <c r="N415" s="19"/>
      <c r="O415" s="20" t="s">
        <v>89</v>
      </c>
      <c r="P415" s="19"/>
      <c r="Q415" s="19"/>
      <c r="R415" s="19"/>
      <c r="S415" s="11" t="s">
        <v>26</v>
      </c>
      <c r="T415" s="17">
        <v>45195</v>
      </c>
      <c r="U415" s="18">
        <v>0.5</v>
      </c>
      <c r="V415" s="1" t="str">
        <f t="shared" si="36"/>
        <v>0 г. 0 мес. 1 дн.</v>
      </c>
      <c r="W415" s="69"/>
    </row>
    <row r="416" spans="1:23" ht="35.1" customHeight="1" x14ac:dyDescent="0.25">
      <c r="A416" s="1">
        <f t="shared" si="34"/>
        <v>415</v>
      </c>
      <c r="B416" s="11">
        <v>2256</v>
      </c>
      <c r="C416" s="44" t="s">
        <v>77</v>
      </c>
      <c r="D416" s="21">
        <v>45194</v>
      </c>
      <c r="E416" s="18">
        <v>0.80555555555555547</v>
      </c>
      <c r="F416" s="11" t="s">
        <v>1204</v>
      </c>
      <c r="G416" s="17">
        <v>44421</v>
      </c>
      <c r="H416" s="11" t="str">
        <f t="shared" si="35"/>
        <v>2 г. 1 мес. 12 дн.</v>
      </c>
      <c r="I416" s="20" t="s">
        <v>120</v>
      </c>
      <c r="J416" s="20"/>
      <c r="K416" s="11" t="s">
        <v>1105</v>
      </c>
      <c r="L416" s="11" t="s">
        <v>1205</v>
      </c>
      <c r="M416" s="11" t="s">
        <v>54</v>
      </c>
      <c r="N416" s="19"/>
      <c r="O416" s="20" t="s">
        <v>89</v>
      </c>
      <c r="P416" s="19"/>
      <c r="Q416" s="19"/>
      <c r="R416" s="19"/>
      <c r="S416" s="11" t="s">
        <v>77</v>
      </c>
      <c r="T416" s="17">
        <v>45195</v>
      </c>
      <c r="U416" s="18">
        <v>0.5</v>
      </c>
      <c r="V416" s="1" t="str">
        <f t="shared" si="36"/>
        <v>0 г. 0 мес. 1 дн.</v>
      </c>
      <c r="W416" s="69"/>
    </row>
    <row r="417" spans="1:23" s="8" customFormat="1" ht="35.1" customHeight="1" x14ac:dyDescent="0.25">
      <c r="A417" s="8">
        <f t="shared" si="34"/>
        <v>416</v>
      </c>
      <c r="B417" s="11">
        <v>2254</v>
      </c>
      <c r="C417" s="44" t="s">
        <v>77</v>
      </c>
      <c r="D417" s="21">
        <v>45194</v>
      </c>
      <c r="E417" s="18">
        <v>0.76388888888888884</v>
      </c>
      <c r="F417" s="11" t="s">
        <v>1206</v>
      </c>
      <c r="G417" s="17">
        <v>44712</v>
      </c>
      <c r="H417" s="11" t="str">
        <f t="shared" si="35"/>
        <v>1 г. 3 мес. 25 дн.</v>
      </c>
      <c r="I417" s="20" t="s">
        <v>120</v>
      </c>
      <c r="J417" s="20"/>
      <c r="K417" s="11" t="s">
        <v>1207</v>
      </c>
      <c r="L417" s="11" t="s">
        <v>1208</v>
      </c>
      <c r="M417" s="11" t="s">
        <v>52</v>
      </c>
      <c r="N417" s="19">
        <v>205</v>
      </c>
      <c r="O417" s="20" t="s">
        <v>73</v>
      </c>
      <c r="P417" s="19"/>
      <c r="Q417" s="19"/>
      <c r="R417" s="19"/>
      <c r="S417" s="11" t="s">
        <v>77</v>
      </c>
      <c r="T417" s="17">
        <v>45209</v>
      </c>
      <c r="U417" s="18">
        <v>0.47222222222222227</v>
      </c>
      <c r="V417" s="1" t="str">
        <f t="shared" si="36"/>
        <v>0 г. 0 мес. 15 дн.</v>
      </c>
      <c r="W417" s="73" t="s">
        <v>524</v>
      </c>
    </row>
    <row r="418" spans="1:23" ht="35.1" customHeight="1" x14ac:dyDescent="0.25">
      <c r="A418" s="1">
        <f t="shared" si="34"/>
        <v>417</v>
      </c>
      <c r="B418" s="11">
        <v>2264</v>
      </c>
      <c r="C418" s="44" t="s">
        <v>77</v>
      </c>
      <c r="D418" s="21">
        <v>45195</v>
      </c>
      <c r="E418" s="18">
        <v>0.52083333333333337</v>
      </c>
      <c r="F418" s="11" t="s">
        <v>1209</v>
      </c>
      <c r="G418" s="17">
        <v>42803</v>
      </c>
      <c r="H418" s="11" t="str">
        <f t="shared" si="35"/>
        <v>6 г. 6 мес. 17 дн.</v>
      </c>
      <c r="I418" s="20" t="s">
        <v>123</v>
      </c>
      <c r="J418" s="20"/>
      <c r="K418" s="11" t="s">
        <v>1210</v>
      </c>
      <c r="L418" s="11" t="s">
        <v>1211</v>
      </c>
      <c r="M418" s="11" t="s">
        <v>48</v>
      </c>
      <c r="N418" s="19"/>
      <c r="O418" s="20" t="s">
        <v>73</v>
      </c>
      <c r="P418" s="19"/>
      <c r="Q418" s="19"/>
      <c r="R418" s="19"/>
      <c r="S418" s="11" t="s">
        <v>29</v>
      </c>
      <c r="T418" s="17">
        <v>45196</v>
      </c>
      <c r="U418" s="18">
        <v>0.60416666666666663</v>
      </c>
      <c r="V418" s="1" t="str">
        <f t="shared" si="36"/>
        <v>0 г. 0 мес. 1 дн.</v>
      </c>
      <c r="W418" s="69"/>
    </row>
    <row r="419" spans="1:23" ht="35.1" customHeight="1" x14ac:dyDescent="0.25">
      <c r="A419" s="8">
        <f t="shared" si="34"/>
        <v>418</v>
      </c>
      <c r="B419" s="55">
        <v>604</v>
      </c>
      <c r="C419" s="90" t="s">
        <v>26</v>
      </c>
      <c r="D419" s="21">
        <v>45195</v>
      </c>
      <c r="E419" s="91">
        <v>0.97916666666666663</v>
      </c>
      <c r="F419" s="55" t="s">
        <v>1212</v>
      </c>
      <c r="G419" s="92">
        <v>43567</v>
      </c>
      <c r="H419" s="1" t="str">
        <f t="shared" si="35"/>
        <v>4 г. 5 мес. 14 дн.</v>
      </c>
      <c r="I419" s="20" t="s">
        <v>75</v>
      </c>
      <c r="J419" s="20"/>
      <c r="K419" s="55" t="s">
        <v>1213</v>
      </c>
      <c r="L419" s="55" t="s">
        <v>1214</v>
      </c>
      <c r="M419" s="55" t="s">
        <v>55</v>
      </c>
      <c r="N419" s="121"/>
      <c r="O419" s="20" t="s">
        <v>89</v>
      </c>
      <c r="P419" s="121"/>
      <c r="Q419" s="121"/>
      <c r="R419" s="121"/>
      <c r="S419" s="55" t="s">
        <v>26</v>
      </c>
      <c r="T419" s="92">
        <v>45196</v>
      </c>
      <c r="U419" s="91">
        <v>0.45833333333333331</v>
      </c>
      <c r="V419" s="20" t="str">
        <f t="shared" si="36"/>
        <v>0 г. 0 мес. 1 дн.</v>
      </c>
      <c r="W419" s="69"/>
    </row>
    <row r="420" spans="1:23" ht="35.1" customHeight="1" x14ac:dyDescent="0.25">
      <c r="A420" s="1">
        <f t="shared" si="34"/>
        <v>419</v>
      </c>
      <c r="B420" s="11">
        <v>1333</v>
      </c>
      <c r="C420" s="44" t="s">
        <v>23</v>
      </c>
      <c r="D420" s="21">
        <v>45196</v>
      </c>
      <c r="E420" s="18">
        <v>0.57291666666666663</v>
      </c>
      <c r="F420" s="11" t="s">
        <v>1215</v>
      </c>
      <c r="G420" s="17">
        <v>39960</v>
      </c>
      <c r="H420" s="11" t="str">
        <f t="shared" si="35"/>
        <v>14 г. 4 мес. 0 дн.</v>
      </c>
      <c r="I420" s="20" t="s">
        <v>121</v>
      </c>
      <c r="J420" s="20" t="s">
        <v>23</v>
      </c>
      <c r="K420" s="11" t="s">
        <v>1216</v>
      </c>
      <c r="L420" s="11" t="s">
        <v>1217</v>
      </c>
      <c r="M420" s="11" t="s">
        <v>51</v>
      </c>
      <c r="N420" s="19"/>
      <c r="O420" s="20" t="s">
        <v>89</v>
      </c>
      <c r="P420" s="19" t="s">
        <v>96</v>
      </c>
      <c r="Q420" s="19"/>
      <c r="R420" s="19"/>
      <c r="S420" s="11" t="s">
        <v>23</v>
      </c>
      <c r="T420" s="17">
        <v>45198</v>
      </c>
      <c r="U420" s="18">
        <v>0.54166666666666663</v>
      </c>
      <c r="V420" s="1" t="str">
        <f t="shared" si="36"/>
        <v>0 г. 0 мес. 2 дн.</v>
      </c>
      <c r="W420" s="69"/>
    </row>
    <row r="421" spans="1:23" ht="35.1" customHeight="1" x14ac:dyDescent="0.25">
      <c r="A421" s="8">
        <f t="shared" si="34"/>
        <v>420</v>
      </c>
      <c r="B421" s="11">
        <v>606</v>
      </c>
      <c r="C421" s="44" t="s">
        <v>26</v>
      </c>
      <c r="D421" s="21">
        <v>45196</v>
      </c>
      <c r="E421" s="18">
        <v>0.5625</v>
      </c>
      <c r="F421" s="11" t="s">
        <v>1218</v>
      </c>
      <c r="G421" s="17">
        <v>38898</v>
      </c>
      <c r="H421" s="11" t="str">
        <f t="shared" si="35"/>
        <v>17 г. 2 мес. 28 дн.</v>
      </c>
      <c r="I421" s="20" t="s">
        <v>120</v>
      </c>
      <c r="J421" s="20"/>
      <c r="K421" s="11" t="s">
        <v>1219</v>
      </c>
      <c r="L421" s="11" t="s">
        <v>1220</v>
      </c>
      <c r="M421" s="11" t="s">
        <v>55</v>
      </c>
      <c r="N421" s="19"/>
      <c r="O421" s="20" t="s">
        <v>89</v>
      </c>
      <c r="P421" s="19"/>
      <c r="Q421" s="19"/>
      <c r="R421" s="19"/>
      <c r="S421" s="11" t="s">
        <v>26</v>
      </c>
      <c r="T421" s="17">
        <v>45200</v>
      </c>
      <c r="U421" s="18">
        <v>0.68055555555555547</v>
      </c>
      <c r="V421" s="1" t="str">
        <f t="shared" si="36"/>
        <v>0 г. 0 мес. 4 дн.</v>
      </c>
      <c r="W421" s="69"/>
    </row>
    <row r="422" spans="1:23" ht="35.1" customHeight="1" x14ac:dyDescent="0.25">
      <c r="A422" s="1">
        <f t="shared" si="34"/>
        <v>421</v>
      </c>
      <c r="B422" s="13">
        <v>608</v>
      </c>
      <c r="C422" s="43" t="s">
        <v>26</v>
      </c>
      <c r="D422" s="21">
        <v>45196</v>
      </c>
      <c r="E422" s="15">
        <v>0.70833333333333337</v>
      </c>
      <c r="F422" s="13" t="s">
        <v>1221</v>
      </c>
      <c r="G422" s="14">
        <v>39119</v>
      </c>
      <c r="H422" s="11" t="str">
        <f t="shared" si="35"/>
        <v>16 г. 7 мес. 21 дн.</v>
      </c>
      <c r="I422" s="20" t="s">
        <v>120</v>
      </c>
      <c r="J422" s="20"/>
      <c r="K422" s="13" t="s">
        <v>1222</v>
      </c>
      <c r="L422" s="13" t="s">
        <v>1223</v>
      </c>
      <c r="M422" s="13" t="s">
        <v>55</v>
      </c>
      <c r="N422" s="16"/>
      <c r="O422" s="20" t="s">
        <v>89</v>
      </c>
      <c r="P422" s="16"/>
      <c r="Q422" s="16"/>
      <c r="R422" s="16"/>
      <c r="S422" s="13" t="s">
        <v>26</v>
      </c>
      <c r="T422" s="14">
        <v>45198</v>
      </c>
      <c r="U422" s="15">
        <v>0.47916666666666669</v>
      </c>
      <c r="V422" s="1" t="str">
        <f t="shared" si="36"/>
        <v>0 г. 0 мес. 2 дн.</v>
      </c>
      <c r="W422" s="69"/>
    </row>
    <row r="423" spans="1:23" ht="35.1" customHeight="1" x14ac:dyDescent="0.25">
      <c r="A423" s="8">
        <f t="shared" si="34"/>
        <v>422</v>
      </c>
      <c r="B423" s="11">
        <v>2278</v>
      </c>
      <c r="C423" s="44" t="s">
        <v>77</v>
      </c>
      <c r="D423" s="21">
        <v>45196</v>
      </c>
      <c r="E423" s="18">
        <v>0.73263888888888884</v>
      </c>
      <c r="F423" s="11" t="s">
        <v>1224</v>
      </c>
      <c r="G423" s="17">
        <v>38817</v>
      </c>
      <c r="H423" s="11" t="str">
        <f t="shared" si="35"/>
        <v>17 г. 5 мес. 17 дн.</v>
      </c>
      <c r="I423" s="20" t="s">
        <v>123</v>
      </c>
      <c r="J423" s="20"/>
      <c r="K423" s="11" t="s">
        <v>1225</v>
      </c>
      <c r="L423" s="11" t="s">
        <v>1226</v>
      </c>
      <c r="M423" s="11" t="s">
        <v>41</v>
      </c>
      <c r="N423" s="19"/>
      <c r="O423" s="20" t="s">
        <v>89</v>
      </c>
      <c r="P423" s="19"/>
      <c r="Q423" s="19"/>
      <c r="R423" s="19"/>
      <c r="S423" s="11" t="s">
        <v>77</v>
      </c>
      <c r="T423" s="17">
        <v>45197</v>
      </c>
      <c r="U423" s="18">
        <v>0.5</v>
      </c>
      <c r="V423" s="1" t="str">
        <f t="shared" si="36"/>
        <v>0 г. 0 мес. 1 дн.</v>
      </c>
      <c r="W423" s="69"/>
    </row>
    <row r="424" spans="1:23" ht="35.1" customHeight="1" x14ac:dyDescent="0.25">
      <c r="A424" s="1">
        <f t="shared" si="34"/>
        <v>423</v>
      </c>
      <c r="B424" s="11">
        <v>2206</v>
      </c>
      <c r="C424" s="44" t="s">
        <v>77</v>
      </c>
      <c r="D424" s="21">
        <v>45199</v>
      </c>
      <c r="E424" s="18">
        <v>0.52083333333333337</v>
      </c>
      <c r="F424" s="11" t="s">
        <v>1234</v>
      </c>
      <c r="G424" s="17">
        <v>40123</v>
      </c>
      <c r="H424" s="11" t="str">
        <f t="shared" si="35"/>
        <v>13 г. 10 мес. 24 дн.</v>
      </c>
      <c r="I424" s="20" t="s">
        <v>122</v>
      </c>
      <c r="J424" s="20" t="s">
        <v>77</v>
      </c>
      <c r="K424" s="11" t="s">
        <v>1235</v>
      </c>
      <c r="L424" s="11" t="s">
        <v>1226</v>
      </c>
      <c r="M424" s="11" t="s">
        <v>46</v>
      </c>
      <c r="N424" s="19"/>
      <c r="O424" s="20" t="s">
        <v>73</v>
      </c>
      <c r="P424" s="19"/>
      <c r="Q424" s="19"/>
      <c r="R424" s="19"/>
      <c r="S424" s="11" t="s">
        <v>77</v>
      </c>
      <c r="T424" s="17">
        <v>45203</v>
      </c>
      <c r="U424" s="18">
        <v>0.5</v>
      </c>
      <c r="V424" s="1" t="str">
        <f t="shared" si="36"/>
        <v>0 г. 0 мес. 4 дн.</v>
      </c>
      <c r="W424" s="69"/>
    </row>
    <row r="425" spans="1:23" ht="35.1" customHeight="1" x14ac:dyDescent="0.25">
      <c r="A425" s="8">
        <f t="shared" si="34"/>
        <v>424</v>
      </c>
      <c r="B425" s="19">
        <v>2316</v>
      </c>
      <c r="C425" s="44" t="s">
        <v>77</v>
      </c>
      <c r="D425" s="21">
        <v>45199</v>
      </c>
      <c r="E425" s="18">
        <v>0.90625</v>
      </c>
      <c r="F425" s="11" t="s">
        <v>1231</v>
      </c>
      <c r="G425" s="17">
        <v>38895</v>
      </c>
      <c r="H425" s="11" t="str">
        <f t="shared" si="35"/>
        <v>17 г. 3 мес. 3 дн.</v>
      </c>
      <c r="I425" s="20" t="s">
        <v>120</v>
      </c>
      <c r="J425" s="20"/>
      <c r="K425" s="11" t="s">
        <v>1232</v>
      </c>
      <c r="L425" s="11" t="s">
        <v>1233</v>
      </c>
      <c r="M425" s="11" t="s">
        <v>52</v>
      </c>
      <c r="N425" s="19"/>
      <c r="O425" s="20" t="s">
        <v>89</v>
      </c>
      <c r="P425" s="19"/>
      <c r="Q425" s="19"/>
      <c r="R425" s="19"/>
      <c r="S425" s="11" t="s">
        <v>77</v>
      </c>
      <c r="T425" s="17">
        <v>45200</v>
      </c>
      <c r="U425" s="18">
        <v>0.52083333333333337</v>
      </c>
      <c r="V425" s="1" t="str">
        <f t="shared" si="36"/>
        <v>0 г. 0 мес. 1 дн.</v>
      </c>
      <c r="W425" s="69"/>
    </row>
    <row r="426" spans="1:23" ht="35.1" customHeight="1" x14ac:dyDescent="0.25">
      <c r="A426" s="1">
        <f t="shared" si="34"/>
        <v>425</v>
      </c>
      <c r="B426" s="11">
        <v>2283</v>
      </c>
      <c r="C426" s="44" t="s">
        <v>77</v>
      </c>
      <c r="D426" s="21">
        <v>45199</v>
      </c>
      <c r="E426" s="18">
        <v>0.625</v>
      </c>
      <c r="F426" s="11" t="s">
        <v>1227</v>
      </c>
      <c r="G426" s="17">
        <v>40083</v>
      </c>
      <c r="H426" s="11" t="str">
        <f t="shared" si="35"/>
        <v>14 г. 0 мес. 3 дн.</v>
      </c>
      <c r="I426" s="20" t="s">
        <v>121</v>
      </c>
      <c r="J426" s="20" t="s">
        <v>77</v>
      </c>
      <c r="K426" s="11" t="s">
        <v>1181</v>
      </c>
      <c r="L426" s="11" t="s">
        <v>1228</v>
      </c>
      <c r="M426" s="11" t="s">
        <v>50</v>
      </c>
      <c r="N426" s="19"/>
      <c r="O426" s="20" t="s">
        <v>89</v>
      </c>
      <c r="P426" s="19" t="s">
        <v>96</v>
      </c>
      <c r="Q426" s="19"/>
      <c r="R426" s="19"/>
      <c r="S426" s="11" t="s">
        <v>77</v>
      </c>
      <c r="T426" s="17">
        <v>45200</v>
      </c>
      <c r="U426" s="18">
        <v>0.45833333333333331</v>
      </c>
      <c r="V426" s="1" t="str">
        <f t="shared" si="36"/>
        <v>0 г. 0 мес. 1 дн.</v>
      </c>
      <c r="W426" s="69"/>
    </row>
    <row r="427" spans="1:23" ht="35.1" customHeight="1" x14ac:dyDescent="0.25">
      <c r="A427" s="8">
        <f t="shared" si="34"/>
        <v>426</v>
      </c>
      <c r="B427" s="11">
        <v>1319</v>
      </c>
      <c r="C427" s="44" t="s">
        <v>23</v>
      </c>
      <c r="D427" s="21">
        <v>45199</v>
      </c>
      <c r="E427" s="18">
        <v>0.47916666666666669</v>
      </c>
      <c r="F427" s="11" t="s">
        <v>1229</v>
      </c>
      <c r="G427" s="17">
        <v>40854</v>
      </c>
      <c r="H427" s="11" t="str">
        <f t="shared" si="35"/>
        <v>11 г. 10 мес. 23 дн.</v>
      </c>
      <c r="I427" s="20" t="s">
        <v>122</v>
      </c>
      <c r="J427" s="20" t="s">
        <v>23</v>
      </c>
      <c r="K427" s="11" t="s">
        <v>510</v>
      </c>
      <c r="L427" s="11" t="s">
        <v>1230</v>
      </c>
      <c r="M427" s="11" t="s">
        <v>46</v>
      </c>
      <c r="N427" s="19"/>
      <c r="O427" s="20" t="s">
        <v>89</v>
      </c>
      <c r="P427" s="19"/>
      <c r="Q427" s="19"/>
      <c r="R427" s="19"/>
      <c r="S427" s="11" t="s">
        <v>23</v>
      </c>
      <c r="T427" s="17">
        <v>45200</v>
      </c>
      <c r="U427" s="18">
        <v>0.58333333333333337</v>
      </c>
      <c r="V427" s="1" t="str">
        <f t="shared" si="36"/>
        <v>0 г. 0 мес. 1 дн.</v>
      </c>
      <c r="W427" s="69"/>
    </row>
    <row r="428" spans="1:23" ht="35.1" customHeight="1" x14ac:dyDescent="0.25">
      <c r="A428" s="1">
        <f t="shared" si="34"/>
        <v>427</v>
      </c>
      <c r="B428" s="11">
        <v>619</v>
      </c>
      <c r="C428" s="44" t="s">
        <v>26</v>
      </c>
      <c r="D428" s="21">
        <v>45201</v>
      </c>
      <c r="E428" s="18">
        <v>0.58333333333333337</v>
      </c>
      <c r="F428" s="11" t="s">
        <v>1236</v>
      </c>
      <c r="G428" s="17">
        <v>43174</v>
      </c>
      <c r="H428" s="11" t="str">
        <f t="shared" si="35"/>
        <v>5 г. 6 мес. 17 дн.</v>
      </c>
      <c r="I428" s="20" t="s">
        <v>122</v>
      </c>
      <c r="J428" s="20" t="s">
        <v>26</v>
      </c>
      <c r="K428" s="11" t="s">
        <v>1237</v>
      </c>
      <c r="L428" s="11" t="s">
        <v>1238</v>
      </c>
      <c r="M428" s="11" t="s">
        <v>48</v>
      </c>
      <c r="N428" s="19"/>
      <c r="O428" s="20" t="s">
        <v>89</v>
      </c>
      <c r="P428" s="19"/>
      <c r="Q428" s="19"/>
      <c r="R428" s="19"/>
      <c r="S428" s="11" t="s">
        <v>27</v>
      </c>
      <c r="T428" s="17">
        <v>45204</v>
      </c>
      <c r="U428" s="18">
        <v>0.5</v>
      </c>
      <c r="V428" s="1" t="str">
        <f t="shared" si="36"/>
        <v>0 г. 0 мес. 3 дн.</v>
      </c>
      <c r="W428" s="69"/>
    </row>
    <row r="429" spans="1:23" ht="35.1" customHeight="1" x14ac:dyDescent="0.25">
      <c r="A429" s="8">
        <f t="shared" si="34"/>
        <v>428</v>
      </c>
      <c r="B429" s="11">
        <v>625</v>
      </c>
      <c r="C429" s="44" t="s">
        <v>26</v>
      </c>
      <c r="D429" s="21">
        <v>45201</v>
      </c>
      <c r="E429" s="18">
        <v>0.76736111111111116</v>
      </c>
      <c r="F429" s="11" t="s">
        <v>1239</v>
      </c>
      <c r="G429" s="17">
        <v>41660</v>
      </c>
      <c r="H429" s="11" t="str">
        <f t="shared" si="35"/>
        <v>9 г. 8 мес. 11 дн.</v>
      </c>
      <c r="I429" s="20" t="s">
        <v>120</v>
      </c>
      <c r="J429" s="20"/>
      <c r="K429" s="11" t="s">
        <v>1240</v>
      </c>
      <c r="L429" s="11" t="s">
        <v>735</v>
      </c>
      <c r="M429" s="11" t="s">
        <v>43</v>
      </c>
      <c r="N429" s="19"/>
      <c r="O429" s="20" t="s">
        <v>89</v>
      </c>
      <c r="P429" s="19"/>
      <c r="Q429" s="19"/>
      <c r="R429" s="19"/>
      <c r="S429" s="11" t="s">
        <v>29</v>
      </c>
      <c r="T429" s="17">
        <v>45203</v>
      </c>
      <c r="U429" s="18">
        <v>0.47916666666666669</v>
      </c>
      <c r="V429" s="1" t="str">
        <f t="shared" si="36"/>
        <v>0 г. 0 мес. 2 дн.</v>
      </c>
      <c r="W429" s="69"/>
    </row>
    <row r="430" spans="1:23" ht="35.1" customHeight="1" x14ac:dyDescent="0.25">
      <c r="A430" s="1">
        <f t="shared" si="34"/>
        <v>429</v>
      </c>
      <c r="B430" s="11">
        <v>2273</v>
      </c>
      <c r="C430" s="44" t="s">
        <v>77</v>
      </c>
      <c r="D430" s="21">
        <v>45201</v>
      </c>
      <c r="E430" s="18">
        <v>0.58333333333333337</v>
      </c>
      <c r="F430" s="11" t="s">
        <v>1243</v>
      </c>
      <c r="G430" s="17">
        <v>41956</v>
      </c>
      <c r="H430" s="11" t="str">
        <f t="shared" si="35"/>
        <v>8 г. 10 мес. 19 дн.</v>
      </c>
      <c r="I430" s="20" t="s">
        <v>122</v>
      </c>
      <c r="J430" s="20" t="s">
        <v>77</v>
      </c>
      <c r="K430" s="11" t="s">
        <v>1242</v>
      </c>
      <c r="L430" s="11" t="s">
        <v>1241</v>
      </c>
      <c r="M430" s="11" t="s">
        <v>42</v>
      </c>
      <c r="N430" s="19"/>
      <c r="O430" s="20" t="s">
        <v>89</v>
      </c>
      <c r="P430" s="19"/>
      <c r="Q430" s="19"/>
      <c r="R430" s="19"/>
      <c r="S430" s="11" t="s">
        <v>77</v>
      </c>
      <c r="T430" s="17">
        <v>45203</v>
      </c>
      <c r="U430" s="18">
        <v>0.58333333333333337</v>
      </c>
      <c r="V430" s="1" t="str">
        <f t="shared" si="36"/>
        <v>0 г. 0 мес. 2 дн.</v>
      </c>
      <c r="W430" s="69"/>
    </row>
    <row r="431" spans="1:23" ht="35.1" customHeight="1" x14ac:dyDescent="0.25">
      <c r="A431" s="8">
        <f t="shared" si="34"/>
        <v>430</v>
      </c>
      <c r="B431" s="11">
        <v>2350</v>
      </c>
      <c r="C431" s="44" t="s">
        <v>77</v>
      </c>
      <c r="D431" s="21">
        <v>45203</v>
      </c>
      <c r="E431" s="18">
        <v>0.66666666666666663</v>
      </c>
      <c r="F431" s="11" t="s">
        <v>1244</v>
      </c>
      <c r="G431" s="17">
        <v>45162</v>
      </c>
      <c r="H431" s="11" t="str">
        <f t="shared" si="35"/>
        <v>0 г. 1 мес. 10 дн.</v>
      </c>
      <c r="I431" s="20" t="s">
        <v>124</v>
      </c>
      <c r="J431" s="20"/>
      <c r="K431" s="11" t="s">
        <v>1245</v>
      </c>
      <c r="L431" s="11" t="s">
        <v>1246</v>
      </c>
      <c r="M431" s="11" t="s">
        <v>49</v>
      </c>
      <c r="N431" s="19"/>
      <c r="O431" s="20" t="s">
        <v>89</v>
      </c>
      <c r="P431" s="19"/>
      <c r="Q431" s="19"/>
      <c r="R431" s="19"/>
      <c r="S431" s="11" t="s">
        <v>26</v>
      </c>
      <c r="T431" s="17">
        <v>45204</v>
      </c>
      <c r="U431" s="18">
        <v>0.5</v>
      </c>
      <c r="V431" s="1" t="str">
        <f t="shared" si="36"/>
        <v>0 г. 0 мес. 1 дн.</v>
      </c>
      <c r="W431" s="69"/>
    </row>
    <row r="432" spans="1:23" s="11" customFormat="1" ht="35.1" customHeight="1" x14ac:dyDescent="0.25">
      <c r="A432" s="11">
        <f t="shared" si="34"/>
        <v>431</v>
      </c>
      <c r="B432" s="106">
        <v>1368</v>
      </c>
      <c r="C432" s="129" t="s">
        <v>23</v>
      </c>
      <c r="D432" s="25">
        <v>45204</v>
      </c>
      <c r="E432" s="108">
        <v>0.58333333333333337</v>
      </c>
      <c r="F432" s="106" t="s">
        <v>248</v>
      </c>
      <c r="G432" s="107">
        <v>38946</v>
      </c>
      <c r="H432" s="11" t="str">
        <f t="shared" si="35"/>
        <v>17 г. 1 мес. 18 дн.</v>
      </c>
      <c r="I432" s="23" t="s">
        <v>121</v>
      </c>
      <c r="J432" s="23" t="s">
        <v>23</v>
      </c>
      <c r="K432" s="106" t="s">
        <v>249</v>
      </c>
      <c r="L432" s="106" t="s">
        <v>250</v>
      </c>
      <c r="M432" s="106" t="s">
        <v>51</v>
      </c>
      <c r="N432" s="103"/>
      <c r="O432" s="23" t="s">
        <v>89</v>
      </c>
      <c r="P432" s="103" t="s">
        <v>96</v>
      </c>
      <c r="Q432" s="103"/>
      <c r="R432" s="103"/>
      <c r="S432" s="106" t="s">
        <v>23</v>
      </c>
      <c r="T432" s="107">
        <v>45205</v>
      </c>
      <c r="U432" s="108">
        <v>0.52083333333333337</v>
      </c>
      <c r="V432" s="28" t="str">
        <f t="shared" si="36"/>
        <v>0 г. 0 мес. 1 дн.</v>
      </c>
      <c r="W432" s="130"/>
    </row>
    <row r="433" spans="1:23" ht="35.1" customHeight="1" x14ac:dyDescent="0.25">
      <c r="A433" s="8">
        <f t="shared" si="34"/>
        <v>432</v>
      </c>
      <c r="B433" s="11">
        <v>1058</v>
      </c>
      <c r="C433" s="44" t="s">
        <v>27</v>
      </c>
      <c r="D433" s="21">
        <v>45205</v>
      </c>
      <c r="E433" s="18">
        <v>0.54166666666666663</v>
      </c>
      <c r="F433" s="11" t="s">
        <v>1247</v>
      </c>
      <c r="G433" s="17">
        <v>45126</v>
      </c>
      <c r="H433" s="11" t="str">
        <f t="shared" si="35"/>
        <v>0 г. 2 мес. 17 дн.</v>
      </c>
      <c r="I433" s="20" t="s">
        <v>122</v>
      </c>
      <c r="J433" s="20" t="s">
        <v>27</v>
      </c>
      <c r="K433" s="11" t="s">
        <v>648</v>
      </c>
      <c r="L433" s="11" t="s">
        <v>752</v>
      </c>
      <c r="M433" s="11" t="s">
        <v>48</v>
      </c>
      <c r="N433" s="19"/>
      <c r="O433" s="20" t="s">
        <v>89</v>
      </c>
      <c r="P433" s="19"/>
      <c r="Q433" s="19" t="s">
        <v>103</v>
      </c>
      <c r="R433" s="19"/>
      <c r="S433" s="11" t="s">
        <v>27</v>
      </c>
      <c r="T433" s="17">
        <v>45205</v>
      </c>
      <c r="U433" s="18">
        <v>0.8125</v>
      </c>
      <c r="V433" s="1" t="str">
        <f t="shared" si="36"/>
        <v>0 г. 0 мес. 0 дн.</v>
      </c>
      <c r="W433" s="69"/>
    </row>
    <row r="434" spans="1:23" ht="35.1" customHeight="1" x14ac:dyDescent="0.25">
      <c r="A434" s="1">
        <f t="shared" si="34"/>
        <v>433</v>
      </c>
      <c r="B434" s="11">
        <v>2189</v>
      </c>
      <c r="C434" s="44" t="s">
        <v>77</v>
      </c>
      <c r="D434" s="21">
        <v>45205</v>
      </c>
      <c r="E434" s="18">
        <v>0.45833333333333331</v>
      </c>
      <c r="F434" s="11" t="s">
        <v>1171</v>
      </c>
      <c r="G434" s="17">
        <v>43723</v>
      </c>
      <c r="H434" s="11" t="str">
        <f t="shared" si="35"/>
        <v>4 г. 0 мес. 21 дн.</v>
      </c>
      <c r="I434" s="20" t="s">
        <v>125</v>
      </c>
      <c r="J434" s="20" t="s">
        <v>77</v>
      </c>
      <c r="K434" s="11" t="s">
        <v>1172</v>
      </c>
      <c r="L434" s="11" t="s">
        <v>1173</v>
      </c>
      <c r="M434" s="11" t="s">
        <v>54</v>
      </c>
      <c r="N434" s="19"/>
      <c r="O434" s="20" t="s">
        <v>89</v>
      </c>
      <c r="P434" s="19"/>
      <c r="Q434" s="19"/>
      <c r="R434" s="19"/>
      <c r="S434" s="11" t="s">
        <v>77</v>
      </c>
      <c r="T434" s="17">
        <v>45205</v>
      </c>
      <c r="U434" s="18">
        <v>0.79166666666666663</v>
      </c>
      <c r="V434" s="1" t="str">
        <f t="shared" si="36"/>
        <v>0 г. 0 мес. 0 дн.</v>
      </c>
      <c r="W434" s="69"/>
    </row>
    <row r="435" spans="1:23" ht="35.1" customHeight="1" x14ac:dyDescent="0.25">
      <c r="A435" s="8">
        <f t="shared" si="34"/>
        <v>434</v>
      </c>
      <c r="B435" s="11">
        <v>643</v>
      </c>
      <c r="C435" s="44" t="s">
        <v>26</v>
      </c>
      <c r="D435" s="21">
        <v>45206</v>
      </c>
      <c r="E435" s="18">
        <v>0.55902777777777779</v>
      </c>
      <c r="F435" s="11" t="s">
        <v>1248</v>
      </c>
      <c r="G435" s="17">
        <v>44477</v>
      </c>
      <c r="H435" s="11" t="str">
        <f t="shared" si="35"/>
        <v>1 г. 11 мес. 29 дн.</v>
      </c>
      <c r="I435" s="20" t="s">
        <v>120</v>
      </c>
      <c r="J435" s="20"/>
      <c r="K435" s="11" t="s">
        <v>1249</v>
      </c>
      <c r="L435" s="11" t="s">
        <v>1250</v>
      </c>
      <c r="M435" s="11" t="s">
        <v>43</v>
      </c>
      <c r="N435" s="19"/>
      <c r="O435" s="20" t="s">
        <v>89</v>
      </c>
      <c r="P435" s="19"/>
      <c r="Q435" s="19"/>
      <c r="R435" s="19"/>
      <c r="S435" s="11" t="s">
        <v>26</v>
      </c>
      <c r="T435" s="17">
        <v>45206</v>
      </c>
      <c r="U435" s="18">
        <v>0.79166666666666663</v>
      </c>
      <c r="V435" s="1" t="str">
        <f t="shared" si="36"/>
        <v>0 г. 0 мес. 0 дн.</v>
      </c>
      <c r="W435" s="69"/>
    </row>
    <row r="436" spans="1:23" ht="35.1" customHeight="1" x14ac:dyDescent="0.25">
      <c r="A436" s="1">
        <f t="shared" si="34"/>
        <v>435</v>
      </c>
      <c r="B436" s="11">
        <v>2378</v>
      </c>
      <c r="C436" s="44" t="s">
        <v>77</v>
      </c>
      <c r="D436" s="21">
        <v>45207</v>
      </c>
      <c r="E436" s="18">
        <v>0.70833333333333337</v>
      </c>
      <c r="F436" s="11" t="s">
        <v>1251</v>
      </c>
      <c r="G436" s="17">
        <v>44947</v>
      </c>
      <c r="H436" s="11" t="str">
        <f t="shared" si="35"/>
        <v>0 г. 8 мес. 17 дн.</v>
      </c>
      <c r="I436" s="20" t="s">
        <v>121</v>
      </c>
      <c r="J436" s="20" t="s">
        <v>77</v>
      </c>
      <c r="K436" s="11" t="s">
        <v>1252</v>
      </c>
      <c r="L436" s="11" t="s">
        <v>1253</v>
      </c>
      <c r="M436" s="11" t="s">
        <v>49</v>
      </c>
      <c r="N436" s="19"/>
      <c r="O436" s="20" t="s">
        <v>73</v>
      </c>
      <c r="P436" s="19" t="s">
        <v>96</v>
      </c>
      <c r="Q436" s="19"/>
      <c r="R436" s="19"/>
      <c r="S436" s="11" t="s">
        <v>77</v>
      </c>
      <c r="T436" s="17">
        <v>45215</v>
      </c>
      <c r="U436" s="18">
        <v>0.53125</v>
      </c>
      <c r="V436" s="1" t="str">
        <f t="shared" si="36"/>
        <v>0 г. 0 мес. 8 дн.</v>
      </c>
      <c r="W436" s="69"/>
    </row>
    <row r="437" spans="1:23" ht="35.1" customHeight="1" x14ac:dyDescent="0.25">
      <c r="A437" s="122">
        <f t="shared" si="34"/>
        <v>436</v>
      </c>
      <c r="B437" s="122">
        <v>1059</v>
      </c>
      <c r="C437" s="123" t="s">
        <v>27</v>
      </c>
      <c r="D437" s="124">
        <v>45204</v>
      </c>
      <c r="E437" s="125">
        <v>0.5</v>
      </c>
      <c r="F437" s="122" t="s">
        <v>1101</v>
      </c>
      <c r="G437" s="124">
        <v>45131</v>
      </c>
      <c r="H437" s="122" t="str">
        <f t="shared" si="35"/>
        <v>0 г. 2 мес. 11 дн.</v>
      </c>
      <c r="I437" s="122" t="s">
        <v>122</v>
      </c>
      <c r="J437" s="122" t="s">
        <v>25</v>
      </c>
      <c r="K437" s="122" t="s">
        <v>1102</v>
      </c>
      <c r="L437" s="122" t="s">
        <v>1254</v>
      </c>
      <c r="M437" s="122" t="s">
        <v>48</v>
      </c>
      <c r="N437" s="126">
        <v>116</v>
      </c>
      <c r="O437" s="122" t="s">
        <v>73</v>
      </c>
      <c r="P437" s="126"/>
      <c r="Q437" s="126" t="s">
        <v>149</v>
      </c>
      <c r="R437" s="126"/>
      <c r="S437" s="122" t="s">
        <v>30</v>
      </c>
      <c r="T437" s="124">
        <v>45209</v>
      </c>
      <c r="U437" s="125">
        <v>0.33680555555555558</v>
      </c>
      <c r="V437" s="122" t="str">
        <f t="shared" si="36"/>
        <v>0 г. 0 мес. 5 дн.</v>
      </c>
      <c r="W437" s="131"/>
    </row>
    <row r="438" spans="1:23" ht="35.1" customHeight="1" x14ac:dyDescent="0.25">
      <c r="A438" s="1">
        <f t="shared" si="34"/>
        <v>437</v>
      </c>
      <c r="B438" s="11">
        <v>846</v>
      </c>
      <c r="C438" s="44" t="s">
        <v>26</v>
      </c>
      <c r="D438" s="21">
        <v>45208</v>
      </c>
      <c r="E438" s="18">
        <v>0.75694444444444453</v>
      </c>
      <c r="F438" s="11" t="s">
        <v>1255</v>
      </c>
      <c r="G438" s="17">
        <v>39371</v>
      </c>
      <c r="H438" s="11" t="str">
        <f t="shared" si="35"/>
        <v>15 г. 11 мес. 23 дн.</v>
      </c>
      <c r="I438" s="20" t="s">
        <v>120</v>
      </c>
      <c r="J438" s="20"/>
      <c r="K438" s="11" t="s">
        <v>1256</v>
      </c>
      <c r="L438" s="11" t="s">
        <v>305</v>
      </c>
      <c r="M438" s="11" t="s">
        <v>43</v>
      </c>
      <c r="N438" s="19"/>
      <c r="O438" s="20" t="s">
        <v>89</v>
      </c>
      <c r="P438" s="19"/>
      <c r="Q438" s="19"/>
      <c r="R438" s="19"/>
      <c r="S438" s="11" t="s">
        <v>29</v>
      </c>
      <c r="T438" s="17">
        <v>45209</v>
      </c>
      <c r="U438" s="18">
        <v>0.63611111111111118</v>
      </c>
      <c r="V438" s="1" t="str">
        <f t="shared" si="36"/>
        <v>0 г. 0 мес. 1 дн.</v>
      </c>
      <c r="W438" s="69"/>
    </row>
    <row r="439" spans="1:23" ht="35.1" customHeight="1" x14ac:dyDescent="0.25">
      <c r="A439" s="8">
        <f t="shared" si="34"/>
        <v>438</v>
      </c>
      <c r="B439" s="11">
        <v>2383</v>
      </c>
      <c r="C439" s="44" t="s">
        <v>77</v>
      </c>
      <c r="D439" s="21">
        <v>45208</v>
      </c>
      <c r="E439" s="18">
        <v>0.74652777777777779</v>
      </c>
      <c r="F439" s="11" t="s">
        <v>1257</v>
      </c>
      <c r="G439" s="17">
        <v>44063</v>
      </c>
      <c r="H439" s="11" t="str">
        <f t="shared" si="35"/>
        <v>3 г. 1 мес. 19 дн.</v>
      </c>
      <c r="I439" s="20" t="s">
        <v>120</v>
      </c>
      <c r="J439" s="20"/>
      <c r="K439" s="11" t="s">
        <v>1258</v>
      </c>
      <c r="L439" s="11" t="s">
        <v>1259</v>
      </c>
      <c r="M439" s="11" t="s">
        <v>48</v>
      </c>
      <c r="N439" s="19">
        <v>48</v>
      </c>
      <c r="O439" s="20" t="s">
        <v>73</v>
      </c>
      <c r="P439" s="19"/>
      <c r="Q439" s="19"/>
      <c r="R439" s="19"/>
      <c r="S439" s="11" t="s">
        <v>77</v>
      </c>
      <c r="T439" s="17">
        <v>45212</v>
      </c>
      <c r="U439" s="18">
        <v>0.5</v>
      </c>
      <c r="V439" s="1" t="str">
        <f t="shared" si="36"/>
        <v>0 г. 0 мес. 4 дн.</v>
      </c>
      <c r="W439" s="69"/>
    </row>
    <row r="440" spans="1:23" ht="35.1" customHeight="1" x14ac:dyDescent="0.25">
      <c r="A440" s="1">
        <f t="shared" si="34"/>
        <v>439</v>
      </c>
      <c r="B440" s="11">
        <v>648</v>
      </c>
      <c r="C440" s="44" t="s">
        <v>26</v>
      </c>
      <c r="D440" s="21">
        <v>45210</v>
      </c>
      <c r="E440" s="18">
        <v>0.44722222222222219</v>
      </c>
      <c r="F440" s="11" t="s">
        <v>1260</v>
      </c>
      <c r="G440" s="17">
        <v>42733</v>
      </c>
      <c r="H440" s="11" t="str">
        <f t="shared" si="35"/>
        <v>6 г. 9 мес. 12 дн.</v>
      </c>
      <c r="I440" s="20" t="s">
        <v>122</v>
      </c>
      <c r="J440" s="20" t="s">
        <v>26</v>
      </c>
      <c r="K440" s="11" t="s">
        <v>1261</v>
      </c>
      <c r="L440" s="11" t="s">
        <v>1262</v>
      </c>
      <c r="M440" s="11" t="s">
        <v>48</v>
      </c>
      <c r="N440" s="19">
        <v>360</v>
      </c>
      <c r="O440" s="20" t="s">
        <v>89</v>
      </c>
      <c r="P440" s="19"/>
      <c r="Q440" s="19"/>
      <c r="R440" s="19"/>
      <c r="S440" s="11" t="s">
        <v>82</v>
      </c>
      <c r="T440" s="17">
        <v>45229</v>
      </c>
      <c r="U440" s="18">
        <v>0.5</v>
      </c>
      <c r="V440" s="1" t="str">
        <f t="shared" si="36"/>
        <v>0 г. 0 мес. 19 дн.</v>
      </c>
      <c r="W440" s="69"/>
    </row>
    <row r="441" spans="1:23" s="20" customFormat="1" ht="35.1" customHeight="1" x14ac:dyDescent="0.25">
      <c r="A441" s="20">
        <f t="shared" si="34"/>
        <v>440</v>
      </c>
      <c r="B441" s="51">
        <v>1386</v>
      </c>
      <c r="C441" s="58" t="s">
        <v>23</v>
      </c>
      <c r="D441" s="25">
        <v>45210</v>
      </c>
      <c r="E441" s="59">
        <v>0.5</v>
      </c>
      <c r="F441" s="51" t="s">
        <v>1270</v>
      </c>
      <c r="G441" s="60">
        <v>39279</v>
      </c>
      <c r="H441" s="23" t="str">
        <f t="shared" si="35"/>
        <v>16 г. 2 мес. 25 дн.</v>
      </c>
      <c r="I441" s="23" t="s">
        <v>121</v>
      </c>
      <c r="J441" s="23" t="s">
        <v>23</v>
      </c>
      <c r="K441" s="51" t="s">
        <v>1263</v>
      </c>
      <c r="L441" s="51" t="s">
        <v>1264</v>
      </c>
      <c r="M441" s="51" t="s">
        <v>51</v>
      </c>
      <c r="N441" s="117"/>
      <c r="O441" s="23" t="s">
        <v>89</v>
      </c>
      <c r="P441" s="117" t="s">
        <v>96</v>
      </c>
      <c r="Q441" s="117"/>
      <c r="R441" s="117"/>
      <c r="S441" s="51" t="s">
        <v>23</v>
      </c>
      <c r="T441" s="60">
        <v>45211</v>
      </c>
      <c r="U441" s="59">
        <v>0.5</v>
      </c>
      <c r="V441" s="23" t="str">
        <f t="shared" si="36"/>
        <v>0 г. 0 мес. 1 дн.</v>
      </c>
      <c r="W441" s="118"/>
    </row>
    <row r="442" spans="1:23" ht="35.1" customHeight="1" x14ac:dyDescent="0.25">
      <c r="A442" s="1">
        <f t="shared" si="34"/>
        <v>441</v>
      </c>
      <c r="B442" s="11">
        <v>2266</v>
      </c>
      <c r="C442" s="44" t="s">
        <v>77</v>
      </c>
      <c r="D442" s="21">
        <v>45211</v>
      </c>
      <c r="E442" s="18">
        <v>0.52083333333333337</v>
      </c>
      <c r="F442" s="11" t="s">
        <v>1234</v>
      </c>
      <c r="G442" s="17">
        <v>40123</v>
      </c>
      <c r="H442" s="11" t="str">
        <f t="shared" ref="H442" si="37">DATEDIF(G442,D442,"y") &amp; " г. " &amp; DATEDIF(G442,D442,"ym") &amp; " мес. " &amp; DATEDIF(G442,D442,"md") &amp; " дн."</f>
        <v>13 г. 11 мес. 6 дн.</v>
      </c>
      <c r="I442" s="20" t="s">
        <v>121</v>
      </c>
      <c r="J442" s="20" t="s">
        <v>77</v>
      </c>
      <c r="K442" s="11" t="s">
        <v>1235</v>
      </c>
      <c r="L442" s="11" t="s">
        <v>1265</v>
      </c>
      <c r="M442" s="11" t="s">
        <v>46</v>
      </c>
      <c r="N442" s="19"/>
      <c r="O442" s="20" t="s">
        <v>89</v>
      </c>
      <c r="P442" s="19"/>
      <c r="Q442" s="19"/>
      <c r="R442" s="19"/>
      <c r="S442" s="11" t="s">
        <v>77</v>
      </c>
      <c r="T442" s="17">
        <v>45212</v>
      </c>
      <c r="U442" s="18">
        <v>0.5</v>
      </c>
      <c r="V442" s="1" t="str">
        <f t="shared" si="36"/>
        <v>0 г. 0 мес. 1 дн.</v>
      </c>
      <c r="W442" s="69"/>
    </row>
    <row r="443" spans="1:23" ht="35.1" customHeight="1" x14ac:dyDescent="0.25">
      <c r="A443" s="8">
        <f t="shared" si="34"/>
        <v>442</v>
      </c>
      <c r="B443" s="11">
        <v>613</v>
      </c>
      <c r="C443" s="44" t="s">
        <v>28</v>
      </c>
      <c r="D443" s="21">
        <v>45212</v>
      </c>
      <c r="E443" s="18">
        <v>0.15972222222222224</v>
      </c>
      <c r="F443" s="11" t="s">
        <v>1266</v>
      </c>
      <c r="G443" s="17">
        <v>41939</v>
      </c>
      <c r="H443" s="11" t="str">
        <f t="shared" si="35"/>
        <v>8 г. 11 мес. 16 дн.</v>
      </c>
      <c r="I443" s="20" t="s">
        <v>120</v>
      </c>
      <c r="J443" s="44" t="s">
        <v>28</v>
      </c>
      <c r="K443" s="11" t="s">
        <v>1114</v>
      </c>
      <c r="L443" s="11" t="s">
        <v>1267</v>
      </c>
      <c r="M443" s="11" t="s">
        <v>46</v>
      </c>
      <c r="N443" s="19"/>
      <c r="O443" s="20" t="s">
        <v>89</v>
      </c>
      <c r="P443" s="19"/>
      <c r="Q443" s="19"/>
      <c r="R443" s="19"/>
      <c r="S443" s="11" t="s">
        <v>28</v>
      </c>
      <c r="T443" s="17">
        <v>45212</v>
      </c>
      <c r="U443" s="18">
        <v>0.5</v>
      </c>
      <c r="V443" s="1" t="str">
        <f t="shared" si="36"/>
        <v>0 г. 0 мес. 0 дн.</v>
      </c>
      <c r="W443" s="69"/>
    </row>
    <row r="444" spans="1:23" ht="35.1" customHeight="1" x14ac:dyDescent="0.25">
      <c r="A444" s="1">
        <f t="shared" si="34"/>
        <v>443</v>
      </c>
      <c r="B444" s="13">
        <v>2413</v>
      </c>
      <c r="C444" s="43" t="s">
        <v>77</v>
      </c>
      <c r="D444" s="21">
        <v>45213</v>
      </c>
      <c r="E444" s="15">
        <v>0.55555555555555558</v>
      </c>
      <c r="F444" s="13" t="s">
        <v>1294</v>
      </c>
      <c r="G444" s="14">
        <v>45210</v>
      </c>
      <c r="H444" s="11" t="str">
        <f t="shared" si="35"/>
        <v>0 г. 0 мес. 3 дн.</v>
      </c>
      <c r="I444" s="20" t="s">
        <v>124</v>
      </c>
      <c r="J444" s="20"/>
      <c r="K444" s="13" t="s">
        <v>1275</v>
      </c>
      <c r="L444" s="13" t="s">
        <v>1268</v>
      </c>
      <c r="M444" s="13" t="s">
        <v>49</v>
      </c>
      <c r="N444" s="16">
        <v>3</v>
      </c>
      <c r="O444" s="20" t="s">
        <v>73</v>
      </c>
      <c r="P444" s="16"/>
      <c r="Q444" s="16"/>
      <c r="R444" s="16"/>
      <c r="S444" s="13" t="s">
        <v>25</v>
      </c>
      <c r="T444" s="17">
        <v>45216</v>
      </c>
      <c r="U444" s="15">
        <v>0.43055555555555558</v>
      </c>
      <c r="V444" s="1" t="str">
        <f t="shared" si="36"/>
        <v>0 г. 0 мес. 3 дн.</v>
      </c>
      <c r="W444" s="69"/>
    </row>
    <row r="445" spans="1:23" ht="35.1" customHeight="1" x14ac:dyDescent="0.25">
      <c r="A445" s="8">
        <f t="shared" si="34"/>
        <v>444</v>
      </c>
      <c r="B445" s="11">
        <v>1099</v>
      </c>
      <c r="C445" s="44" t="s">
        <v>27</v>
      </c>
      <c r="D445" s="21">
        <v>45213</v>
      </c>
      <c r="E445" s="18">
        <v>0.89930555555555547</v>
      </c>
      <c r="F445" s="11" t="s">
        <v>1271</v>
      </c>
      <c r="G445" s="17">
        <v>44093</v>
      </c>
      <c r="H445" s="11" t="str">
        <f t="shared" si="35"/>
        <v>3 г. 0 мес. 25 дн.</v>
      </c>
      <c r="I445" s="20" t="s">
        <v>120</v>
      </c>
      <c r="J445" s="20"/>
      <c r="K445" s="11" t="s">
        <v>1324</v>
      </c>
      <c r="L445" s="11" t="s">
        <v>1269</v>
      </c>
      <c r="M445" s="11" t="s">
        <v>48</v>
      </c>
      <c r="N445" s="19"/>
      <c r="O445" s="20" t="s">
        <v>89</v>
      </c>
      <c r="P445" s="19"/>
      <c r="Q445" s="19"/>
      <c r="R445" s="19"/>
      <c r="S445" s="11" t="s">
        <v>26</v>
      </c>
      <c r="T445" s="17">
        <v>45216</v>
      </c>
      <c r="U445" s="18">
        <v>0.5</v>
      </c>
      <c r="V445" s="1" t="str">
        <f t="shared" si="36"/>
        <v>0 г. 0 мес. 3 дн.</v>
      </c>
      <c r="W445" s="69"/>
    </row>
    <row r="446" spans="1:23" ht="35.1" customHeight="1" x14ac:dyDescent="0.25">
      <c r="A446" s="1">
        <f t="shared" si="34"/>
        <v>445</v>
      </c>
      <c r="B446" s="11">
        <v>1371</v>
      </c>
      <c r="C446" s="44" t="s">
        <v>23</v>
      </c>
      <c r="D446" s="21">
        <v>45209</v>
      </c>
      <c r="E446" s="18">
        <v>0.47916666666666669</v>
      </c>
      <c r="F446" s="11" t="s">
        <v>1272</v>
      </c>
      <c r="G446" s="17">
        <v>41391</v>
      </c>
      <c r="H446" s="11" t="str">
        <f t="shared" si="35"/>
        <v>10 г. 5 мес. 13 дн.</v>
      </c>
      <c r="I446" s="20" t="s">
        <v>121</v>
      </c>
      <c r="J446" s="20" t="s">
        <v>23</v>
      </c>
      <c r="K446" s="11" t="s">
        <v>1274</v>
      </c>
      <c r="L446" s="11" t="s">
        <v>1273</v>
      </c>
      <c r="M446" s="11" t="s">
        <v>51</v>
      </c>
      <c r="N446" s="19"/>
      <c r="O446" s="20" t="s">
        <v>89</v>
      </c>
      <c r="P446" s="19" t="s">
        <v>96</v>
      </c>
      <c r="Q446" s="19"/>
      <c r="R446" s="19"/>
      <c r="S446" s="11" t="s">
        <v>23</v>
      </c>
      <c r="T446" s="17">
        <v>45210</v>
      </c>
      <c r="U446" s="18">
        <v>0.5</v>
      </c>
      <c r="V446" s="1" t="str">
        <f t="shared" si="36"/>
        <v>0 г. 0 мес. 1 дн.</v>
      </c>
      <c r="W446" s="69"/>
    </row>
    <row r="447" spans="1:23" ht="35.1" customHeight="1" x14ac:dyDescent="0.25">
      <c r="A447" s="8">
        <f t="shared" si="34"/>
        <v>446</v>
      </c>
      <c r="B447" s="11">
        <v>2398</v>
      </c>
      <c r="C447" s="44" t="s">
        <v>77</v>
      </c>
      <c r="D447" s="21">
        <v>45212</v>
      </c>
      <c r="E447" s="18">
        <v>0.6</v>
      </c>
      <c r="F447" s="11" t="s">
        <v>1109</v>
      </c>
      <c r="G447" s="17">
        <v>45072</v>
      </c>
      <c r="H447" s="11" t="str">
        <f t="shared" si="35"/>
        <v>0 г. 4 мес. 17 дн.</v>
      </c>
      <c r="I447" s="20" t="s">
        <v>121</v>
      </c>
      <c r="J447" s="20" t="s">
        <v>77</v>
      </c>
      <c r="K447" s="11" t="s">
        <v>1276</v>
      </c>
      <c r="L447" s="11" t="s">
        <v>1277</v>
      </c>
      <c r="M447" s="11" t="s">
        <v>46</v>
      </c>
      <c r="N447" s="19"/>
      <c r="O447" s="20" t="s">
        <v>89</v>
      </c>
      <c r="P447" s="19"/>
      <c r="Q447" s="19"/>
      <c r="R447" s="19"/>
      <c r="S447" s="11" t="s">
        <v>77</v>
      </c>
      <c r="T447" s="17">
        <v>45213</v>
      </c>
      <c r="U447" s="18">
        <v>0.69027777777777777</v>
      </c>
      <c r="V447" s="1" t="str">
        <f t="shared" si="36"/>
        <v>0 г. 0 мес. 1 дн.</v>
      </c>
      <c r="W447" s="69"/>
    </row>
    <row r="448" spans="1:23" ht="35.1" customHeight="1" x14ac:dyDescent="0.25">
      <c r="A448" s="1">
        <f t="shared" si="34"/>
        <v>447</v>
      </c>
      <c r="B448" s="11">
        <v>650</v>
      </c>
      <c r="C448" s="44" t="s">
        <v>82</v>
      </c>
      <c r="D448" s="21">
        <v>45212</v>
      </c>
      <c r="E448" s="18">
        <v>3.472222222222222E-3</v>
      </c>
      <c r="F448" s="11" t="s">
        <v>660</v>
      </c>
      <c r="G448" s="17">
        <v>45024</v>
      </c>
      <c r="H448" s="11" t="str">
        <f t="shared" si="35"/>
        <v>0 г. 6 мес. 5 дн.</v>
      </c>
      <c r="I448" s="20" t="s">
        <v>125</v>
      </c>
      <c r="J448" s="20" t="s">
        <v>82</v>
      </c>
      <c r="K448" s="11" t="s">
        <v>1278</v>
      </c>
      <c r="L448" s="11" t="s">
        <v>1279</v>
      </c>
      <c r="M448" s="11" t="s">
        <v>46</v>
      </c>
      <c r="N448" s="19">
        <v>720</v>
      </c>
      <c r="O448" s="20" t="s">
        <v>73</v>
      </c>
      <c r="P448" s="19"/>
      <c r="Q448" s="19"/>
      <c r="R448" s="19"/>
      <c r="S448" s="11" t="s">
        <v>82</v>
      </c>
      <c r="T448" s="17">
        <v>45241</v>
      </c>
      <c r="U448" s="18">
        <v>0.99652777777777779</v>
      </c>
      <c r="V448" s="1" t="str">
        <f t="shared" si="36"/>
        <v>0 г. 0 мес. 29 дн.</v>
      </c>
      <c r="W448" s="69"/>
    </row>
    <row r="449" spans="1:23" ht="35.1" customHeight="1" x14ac:dyDescent="0.25">
      <c r="A449" s="8">
        <f t="shared" ref="A449:A512" si="38">ROW(A448)</f>
        <v>448</v>
      </c>
      <c r="B449" s="11">
        <v>654</v>
      </c>
      <c r="C449" s="44" t="s">
        <v>82</v>
      </c>
      <c r="D449" s="21">
        <v>45213</v>
      </c>
      <c r="E449" s="18">
        <v>3.472222222222222E-3</v>
      </c>
      <c r="F449" s="11" t="s">
        <v>1008</v>
      </c>
      <c r="G449" s="17">
        <v>45113</v>
      </c>
      <c r="H449" s="11" t="str">
        <f t="shared" ref="H449:H512" si="39">DATEDIF(G449,D449,"y") &amp; " г. " &amp; DATEDIF(G449,D449,"ym") &amp; " мес. " &amp; DATEDIF(G449,D449,"md") &amp; " дн."</f>
        <v>0 г. 3 мес. 8 дн.</v>
      </c>
      <c r="I449" s="20" t="s">
        <v>125</v>
      </c>
      <c r="J449" s="20" t="s">
        <v>82</v>
      </c>
      <c r="K449" s="28" t="s">
        <v>1009</v>
      </c>
      <c r="L449" s="11" t="s">
        <v>1280</v>
      </c>
      <c r="M449" s="11" t="s">
        <v>46</v>
      </c>
      <c r="N449" s="19">
        <v>720</v>
      </c>
      <c r="O449" s="20" t="s">
        <v>73</v>
      </c>
      <c r="P449" s="19"/>
      <c r="Q449" s="19"/>
      <c r="R449" s="19"/>
      <c r="S449" s="11" t="s">
        <v>82</v>
      </c>
      <c r="T449" s="17">
        <v>45242</v>
      </c>
      <c r="U449" s="18">
        <v>0.99652777777777779</v>
      </c>
      <c r="V449" s="1" t="str">
        <f t="shared" si="36"/>
        <v>0 г. 0 мес. 29 дн.</v>
      </c>
      <c r="W449" s="69"/>
    </row>
    <row r="450" spans="1:23" ht="35.1" customHeight="1" x14ac:dyDescent="0.25">
      <c r="A450" s="1">
        <f t="shared" si="38"/>
        <v>449</v>
      </c>
      <c r="B450" s="11">
        <v>602</v>
      </c>
      <c r="C450" s="44" t="s">
        <v>28</v>
      </c>
      <c r="D450" s="21">
        <v>45211</v>
      </c>
      <c r="E450" s="18">
        <v>0.72916666666666663</v>
      </c>
      <c r="F450" s="11" t="s">
        <v>1281</v>
      </c>
      <c r="G450" s="17">
        <v>41023</v>
      </c>
      <c r="H450" s="11" t="str">
        <f t="shared" si="39"/>
        <v>11 г. 5 мес. 18 дн.</v>
      </c>
      <c r="I450" s="20" t="s">
        <v>122</v>
      </c>
      <c r="J450" s="20" t="s">
        <v>28</v>
      </c>
      <c r="K450" s="11" t="s">
        <v>1282</v>
      </c>
      <c r="L450" s="11" t="s">
        <v>1283</v>
      </c>
      <c r="M450" s="11" t="s">
        <v>46</v>
      </c>
      <c r="N450" s="19"/>
      <c r="O450" s="20" t="s">
        <v>89</v>
      </c>
      <c r="P450" s="19"/>
      <c r="Q450" s="19"/>
      <c r="R450" s="19"/>
      <c r="S450" s="11" t="s">
        <v>28</v>
      </c>
      <c r="T450" s="17">
        <v>45216</v>
      </c>
      <c r="U450" s="18">
        <v>0.49305555555555558</v>
      </c>
      <c r="V450" s="1" t="str">
        <f t="shared" si="36"/>
        <v>0 г. 0 мес. 5 дн.</v>
      </c>
      <c r="W450" s="69"/>
    </row>
    <row r="451" spans="1:23" ht="35.1" customHeight="1" x14ac:dyDescent="0.25">
      <c r="A451" s="8">
        <f t="shared" si="38"/>
        <v>450</v>
      </c>
      <c r="B451" s="11">
        <v>2433</v>
      </c>
      <c r="C451" s="44" t="s">
        <v>77</v>
      </c>
      <c r="D451" s="21">
        <v>45215</v>
      </c>
      <c r="E451" s="18">
        <v>9.0277777777777776E-2</v>
      </c>
      <c r="F451" s="11" t="s">
        <v>1284</v>
      </c>
      <c r="G451" s="17">
        <v>39987</v>
      </c>
      <c r="H451" s="11" t="str">
        <f t="shared" si="39"/>
        <v>14 г. 3 мес. 23 дн.</v>
      </c>
      <c r="I451" s="20" t="s">
        <v>120</v>
      </c>
      <c r="J451" s="20"/>
      <c r="K451" s="11" t="s">
        <v>1285</v>
      </c>
      <c r="L451" s="11" t="s">
        <v>1286</v>
      </c>
      <c r="M451" s="11" t="s">
        <v>54</v>
      </c>
      <c r="N451" s="19">
        <v>64</v>
      </c>
      <c r="O451" s="20" t="s">
        <v>95</v>
      </c>
      <c r="P451" s="19"/>
      <c r="Q451" s="19" t="s">
        <v>146</v>
      </c>
      <c r="R451" s="19"/>
      <c r="S451" s="11" t="s">
        <v>29</v>
      </c>
      <c r="T451" s="17">
        <v>45217</v>
      </c>
      <c r="U451" s="18">
        <v>0.75</v>
      </c>
      <c r="V451" s="1" t="str">
        <f t="shared" si="36"/>
        <v>0 г. 0 мес. 2 дн.</v>
      </c>
      <c r="W451" s="69"/>
    </row>
    <row r="452" spans="1:23" ht="35.1" customHeight="1" x14ac:dyDescent="0.25">
      <c r="A452" s="1">
        <f t="shared" si="38"/>
        <v>451</v>
      </c>
      <c r="B452" s="11">
        <v>2476</v>
      </c>
      <c r="C452" s="44" t="s">
        <v>77</v>
      </c>
      <c r="D452" s="21">
        <v>45216</v>
      </c>
      <c r="E452" s="18">
        <v>0.65972222222222221</v>
      </c>
      <c r="F452" s="11" t="s">
        <v>1311</v>
      </c>
      <c r="G452" s="17">
        <v>43277</v>
      </c>
      <c r="H452" s="11" t="str">
        <f t="shared" si="39"/>
        <v>5 г. 3 мес. 21 дн.</v>
      </c>
      <c r="I452" s="20" t="s">
        <v>121</v>
      </c>
      <c r="J452" s="20" t="s">
        <v>77</v>
      </c>
      <c r="K452" s="11" t="s">
        <v>1287</v>
      </c>
      <c r="L452" s="11" t="s">
        <v>1288</v>
      </c>
      <c r="M452" s="11" t="s">
        <v>41</v>
      </c>
      <c r="N452" s="19"/>
      <c r="O452" s="20" t="s">
        <v>89</v>
      </c>
      <c r="P452" s="19"/>
      <c r="Q452" s="19"/>
      <c r="R452" s="19"/>
      <c r="S452" s="11" t="s">
        <v>28</v>
      </c>
      <c r="T452" s="21">
        <v>45219</v>
      </c>
      <c r="U452" s="6">
        <v>0.51388888888888895</v>
      </c>
      <c r="V452" s="1" t="str">
        <f t="shared" si="36"/>
        <v>0 г. 0 мес. 3 дн.</v>
      </c>
      <c r="W452" s="69"/>
    </row>
    <row r="453" spans="1:23" ht="35.1" customHeight="1" x14ac:dyDescent="0.25">
      <c r="A453" s="8">
        <f t="shared" si="38"/>
        <v>452</v>
      </c>
      <c r="B453" s="11">
        <v>1436</v>
      </c>
      <c r="C453" s="44" t="s">
        <v>23</v>
      </c>
      <c r="D453" s="21">
        <v>45215</v>
      </c>
      <c r="E453" s="18">
        <v>0.51736111111111105</v>
      </c>
      <c r="F453" s="11" t="s">
        <v>1303</v>
      </c>
      <c r="G453" s="17">
        <v>39072</v>
      </c>
      <c r="H453" s="11" t="str">
        <f t="shared" si="39"/>
        <v>16 г. 9 мес. 25 дн.</v>
      </c>
      <c r="I453" s="20" t="s">
        <v>121</v>
      </c>
      <c r="J453" s="20" t="s">
        <v>23</v>
      </c>
      <c r="K453" s="11" t="s">
        <v>1289</v>
      </c>
      <c r="L453" s="11" t="s">
        <v>1290</v>
      </c>
      <c r="M453" s="11" t="s">
        <v>51</v>
      </c>
      <c r="N453" s="19"/>
      <c r="O453" s="20" t="s">
        <v>89</v>
      </c>
      <c r="P453" s="19" t="s">
        <v>96</v>
      </c>
      <c r="Q453" s="19"/>
      <c r="R453" s="19"/>
      <c r="S453" s="11" t="s">
        <v>23</v>
      </c>
      <c r="T453" s="21">
        <v>45219</v>
      </c>
      <c r="U453" s="6">
        <v>0.51388888888888895</v>
      </c>
      <c r="V453" s="1" t="str">
        <f t="shared" si="36"/>
        <v>0 г. 0 мес. 4 дн.</v>
      </c>
      <c r="W453" s="69"/>
    </row>
    <row r="454" spans="1:23" ht="35.1" customHeight="1" x14ac:dyDescent="0.25">
      <c r="A454" s="1">
        <f t="shared" si="38"/>
        <v>453</v>
      </c>
      <c r="B454" s="11">
        <v>1116</v>
      </c>
      <c r="C454" s="44" t="s">
        <v>26</v>
      </c>
      <c r="D454" s="21">
        <v>45218</v>
      </c>
      <c r="E454" s="18">
        <v>0.28472222222222221</v>
      </c>
      <c r="F454" s="11" t="s">
        <v>1314</v>
      </c>
      <c r="G454" s="17">
        <v>44168</v>
      </c>
      <c r="H454" s="11" t="str">
        <f t="shared" si="39"/>
        <v>2 г. 10 мес. 16 дн.</v>
      </c>
      <c r="I454" s="20" t="s">
        <v>120</v>
      </c>
      <c r="J454" s="20"/>
      <c r="K454" s="11" t="s">
        <v>1315</v>
      </c>
      <c r="L454" s="11" t="s">
        <v>1291</v>
      </c>
      <c r="M454" s="11" t="s">
        <v>48</v>
      </c>
      <c r="N454" s="19">
        <v>26</v>
      </c>
      <c r="O454" s="20" t="s">
        <v>89</v>
      </c>
      <c r="P454" s="19"/>
      <c r="Q454" s="19"/>
      <c r="R454" s="19"/>
      <c r="S454" s="11" t="s">
        <v>26</v>
      </c>
      <c r="T454" s="21">
        <v>45219</v>
      </c>
      <c r="U454" s="6">
        <v>0.51388888888888895</v>
      </c>
      <c r="V454" s="1" t="str">
        <f t="shared" si="36"/>
        <v>0 г. 0 мес. 1 дн.</v>
      </c>
      <c r="W454" s="69"/>
    </row>
    <row r="455" spans="1:23" ht="35.1" customHeight="1" x14ac:dyDescent="0.25">
      <c r="A455" s="8">
        <f t="shared" si="38"/>
        <v>454</v>
      </c>
      <c r="B455" s="11">
        <v>680</v>
      </c>
      <c r="C455" s="44" t="s">
        <v>82</v>
      </c>
      <c r="D455" s="21">
        <v>45218</v>
      </c>
      <c r="E455" s="18">
        <v>0.50694444444444442</v>
      </c>
      <c r="F455" s="11" t="s">
        <v>885</v>
      </c>
      <c r="G455" s="17">
        <v>38693</v>
      </c>
      <c r="H455" s="11" t="str">
        <f t="shared" si="39"/>
        <v>17 г. 10 мес. 12 дн.</v>
      </c>
      <c r="I455" s="20" t="s">
        <v>123</v>
      </c>
      <c r="J455" s="20"/>
      <c r="K455" s="11" t="s">
        <v>1328</v>
      </c>
      <c r="L455" s="11" t="s">
        <v>1292</v>
      </c>
      <c r="M455" s="11" t="s">
        <v>48</v>
      </c>
      <c r="N455" s="19">
        <v>288</v>
      </c>
      <c r="O455" s="20" t="s">
        <v>89</v>
      </c>
      <c r="P455" s="19"/>
      <c r="Q455" s="19"/>
      <c r="R455" s="19"/>
      <c r="S455" s="11" t="s">
        <v>31</v>
      </c>
      <c r="T455" s="17">
        <v>45230</v>
      </c>
      <c r="U455" s="18">
        <v>0.5</v>
      </c>
      <c r="V455" s="1" t="str">
        <f t="shared" si="36"/>
        <v>0 г. 0 мес. 12 дн.</v>
      </c>
      <c r="W455" s="69"/>
    </row>
    <row r="456" spans="1:23" ht="35.1" customHeight="1" x14ac:dyDescent="0.25">
      <c r="A456" s="1">
        <f t="shared" si="38"/>
        <v>455</v>
      </c>
      <c r="B456" s="11">
        <v>465</v>
      </c>
      <c r="C456" s="44" t="s">
        <v>24</v>
      </c>
      <c r="D456" s="21">
        <v>45218</v>
      </c>
      <c r="E456" s="18">
        <v>0.66666666666666663</v>
      </c>
      <c r="F456" s="11" t="s">
        <v>1309</v>
      </c>
      <c r="G456" s="17">
        <v>40252</v>
      </c>
      <c r="H456" s="11" t="str">
        <f t="shared" si="39"/>
        <v>13 г. 7 мес. 4 дн.</v>
      </c>
      <c r="I456" s="20" t="s">
        <v>123</v>
      </c>
      <c r="J456" s="20"/>
      <c r="K456" s="11" t="s">
        <v>1310</v>
      </c>
      <c r="L456" s="11" t="s">
        <v>1293</v>
      </c>
      <c r="M456" s="11" t="s">
        <v>50</v>
      </c>
      <c r="N456" s="19"/>
      <c r="O456" s="20" t="s">
        <v>89</v>
      </c>
      <c r="P456" s="19"/>
      <c r="Q456" s="19"/>
      <c r="R456" s="19"/>
      <c r="S456" s="11" t="s">
        <v>24</v>
      </c>
      <c r="T456" s="17">
        <v>45222</v>
      </c>
      <c r="U456" s="18">
        <v>0.58333333333333337</v>
      </c>
      <c r="V456" s="1" t="str">
        <f t="shared" si="36"/>
        <v>0 г. 0 мес. 4 дн.</v>
      </c>
      <c r="W456" s="69"/>
    </row>
    <row r="457" spans="1:23" ht="35.1" customHeight="1" x14ac:dyDescent="0.25">
      <c r="A457" s="8">
        <f t="shared" si="38"/>
        <v>456</v>
      </c>
      <c r="B457" s="1">
        <v>1116</v>
      </c>
      <c r="C457" s="44" t="s">
        <v>25</v>
      </c>
      <c r="D457" s="21">
        <v>45218</v>
      </c>
      <c r="E457" s="6">
        <v>2.7777777777777776E-2</v>
      </c>
      <c r="F457" s="1" t="s">
        <v>1322</v>
      </c>
      <c r="G457" s="3">
        <v>38832</v>
      </c>
      <c r="H457" s="11" t="str">
        <f t="shared" si="39"/>
        <v>17 г. 5 мес. 24 дн.</v>
      </c>
      <c r="I457" s="20" t="s">
        <v>123</v>
      </c>
      <c r="J457" s="20"/>
      <c r="K457" s="1" t="s">
        <v>1323</v>
      </c>
      <c r="L457" s="1" t="s">
        <v>1267</v>
      </c>
      <c r="M457" s="1" t="s">
        <v>46</v>
      </c>
      <c r="N457" s="7"/>
      <c r="O457" s="20" t="s">
        <v>89</v>
      </c>
      <c r="P457" s="7"/>
      <c r="Q457" s="7"/>
      <c r="R457" s="7"/>
      <c r="S457" s="1" t="s">
        <v>28</v>
      </c>
      <c r="T457" s="3">
        <v>45218</v>
      </c>
      <c r="U457" s="6">
        <v>0.72361111111111109</v>
      </c>
      <c r="V457" s="1" t="str">
        <f t="shared" si="36"/>
        <v>0 г. 0 мес. 0 дн.</v>
      </c>
      <c r="W457" s="69"/>
    </row>
    <row r="458" spans="1:23" ht="35.1" customHeight="1" x14ac:dyDescent="0.25">
      <c r="A458" s="1">
        <f t="shared" si="38"/>
        <v>457</v>
      </c>
      <c r="B458" s="1">
        <v>2470</v>
      </c>
      <c r="C458" s="44" t="s">
        <v>77</v>
      </c>
      <c r="D458" s="21">
        <v>45214</v>
      </c>
      <c r="E458" s="6">
        <v>0.62986111111111109</v>
      </c>
      <c r="F458" s="1" t="s">
        <v>1318</v>
      </c>
      <c r="G458" s="3">
        <v>39237</v>
      </c>
      <c r="H458" s="11" t="str">
        <f t="shared" si="39"/>
        <v>16 г. 4 мес. 11 дн.</v>
      </c>
      <c r="I458" s="20" t="s">
        <v>123</v>
      </c>
      <c r="J458" s="20"/>
      <c r="K458" s="1" t="s">
        <v>1319</v>
      </c>
      <c r="L458" s="8" t="s">
        <v>1320</v>
      </c>
      <c r="M458" s="1" t="s">
        <v>54</v>
      </c>
      <c r="N458" s="7"/>
      <c r="O458" s="20" t="s">
        <v>89</v>
      </c>
      <c r="P458" s="7"/>
      <c r="Q458" s="7"/>
      <c r="R458" s="7"/>
      <c r="S458" s="1" t="s">
        <v>77</v>
      </c>
      <c r="T458" s="3">
        <v>45218</v>
      </c>
      <c r="U458" s="6">
        <v>0.51388888888888895</v>
      </c>
      <c r="V458" s="1" t="str">
        <f t="shared" si="36"/>
        <v>0 г. 0 мес. 4 дн.</v>
      </c>
      <c r="W458" s="69"/>
    </row>
    <row r="459" spans="1:23" ht="35.1" customHeight="1" x14ac:dyDescent="0.25">
      <c r="A459" s="8">
        <f t="shared" si="38"/>
        <v>458</v>
      </c>
      <c r="B459" s="1">
        <v>2413</v>
      </c>
      <c r="C459" s="44" t="s">
        <v>77</v>
      </c>
      <c r="D459" s="21">
        <v>45213</v>
      </c>
      <c r="E459" s="6">
        <v>0.72916666666666663</v>
      </c>
      <c r="F459" s="1" t="s">
        <v>1316</v>
      </c>
      <c r="G459" s="3">
        <v>45210</v>
      </c>
      <c r="H459" s="11" t="str">
        <f t="shared" si="39"/>
        <v>0 г. 0 мес. 3 дн.</v>
      </c>
      <c r="I459" s="20" t="s">
        <v>124</v>
      </c>
      <c r="J459" s="20"/>
      <c r="K459" s="1" t="s">
        <v>406</v>
      </c>
      <c r="L459" s="1" t="s">
        <v>1317</v>
      </c>
      <c r="M459" s="1" t="s">
        <v>56</v>
      </c>
      <c r="N459" s="7"/>
      <c r="O459" s="20" t="s">
        <v>89</v>
      </c>
      <c r="P459" s="7"/>
      <c r="Q459" s="7"/>
      <c r="R459" s="7"/>
      <c r="S459" s="1" t="s">
        <v>29</v>
      </c>
      <c r="T459" s="3">
        <v>45216</v>
      </c>
      <c r="U459" s="6">
        <v>0.49791666666666662</v>
      </c>
      <c r="V459" s="1" t="str">
        <f t="shared" si="36"/>
        <v>0 г. 0 мес. 3 дн.</v>
      </c>
      <c r="W459" s="69"/>
    </row>
    <row r="460" spans="1:23" ht="35.1" customHeight="1" x14ac:dyDescent="0.25">
      <c r="A460" s="1">
        <f t="shared" si="38"/>
        <v>459</v>
      </c>
      <c r="B460" s="1">
        <v>2478</v>
      </c>
      <c r="C460" s="44" t="s">
        <v>77</v>
      </c>
      <c r="D460" s="21">
        <v>45218</v>
      </c>
      <c r="E460" s="6">
        <v>0.45833333333333331</v>
      </c>
      <c r="F460" s="1" t="s">
        <v>1306</v>
      </c>
      <c r="G460" s="3">
        <v>39681</v>
      </c>
      <c r="H460" s="11" t="str">
        <f t="shared" si="39"/>
        <v>15 г. 1 мес. 28 дн.</v>
      </c>
      <c r="I460" s="20" t="s">
        <v>121</v>
      </c>
      <c r="J460" s="20" t="s">
        <v>77</v>
      </c>
      <c r="K460" s="1" t="s">
        <v>1307</v>
      </c>
      <c r="L460" s="1" t="s">
        <v>1308</v>
      </c>
      <c r="M460" s="1" t="s">
        <v>52</v>
      </c>
      <c r="N460" s="7"/>
      <c r="O460" s="20" t="s">
        <v>89</v>
      </c>
      <c r="P460" s="7"/>
      <c r="Q460" s="7"/>
      <c r="R460" s="7"/>
      <c r="S460" s="1" t="s">
        <v>77</v>
      </c>
      <c r="T460" s="21">
        <v>45218</v>
      </c>
      <c r="U460" s="6">
        <v>0.72222222222222221</v>
      </c>
      <c r="V460" s="1" t="str">
        <f t="shared" si="36"/>
        <v>0 г. 0 мес. 0 дн.</v>
      </c>
      <c r="W460" s="69"/>
    </row>
    <row r="461" spans="1:23" ht="35.1" customHeight="1" x14ac:dyDescent="0.25">
      <c r="A461" s="8">
        <f t="shared" si="38"/>
        <v>460</v>
      </c>
      <c r="B461" s="1">
        <v>2478</v>
      </c>
      <c r="C461" s="44" t="s">
        <v>77</v>
      </c>
      <c r="D461" s="21">
        <v>45219</v>
      </c>
      <c r="E461" s="6">
        <v>0.4375</v>
      </c>
      <c r="F461" s="1" t="s">
        <v>1306</v>
      </c>
      <c r="G461" s="3">
        <v>39681</v>
      </c>
      <c r="H461" s="11" t="str">
        <f t="shared" si="39"/>
        <v>15 г. 1 мес. 29 дн.</v>
      </c>
      <c r="I461" s="20" t="s">
        <v>125</v>
      </c>
      <c r="J461" s="20" t="s">
        <v>77</v>
      </c>
      <c r="K461" s="1" t="s">
        <v>1307</v>
      </c>
      <c r="L461" s="1" t="s">
        <v>1308</v>
      </c>
      <c r="M461" s="1" t="s">
        <v>52</v>
      </c>
      <c r="N461" s="7"/>
      <c r="O461" s="20" t="s">
        <v>89</v>
      </c>
      <c r="P461" s="7"/>
      <c r="Q461" s="7"/>
      <c r="R461" s="7"/>
      <c r="S461" s="1" t="s">
        <v>77</v>
      </c>
      <c r="T461" s="3">
        <v>45220</v>
      </c>
      <c r="U461" s="6">
        <v>0.4375</v>
      </c>
      <c r="V461" s="1" t="str">
        <f t="shared" si="36"/>
        <v>0 г. 0 мес. 1 дн.</v>
      </c>
      <c r="W461" s="69"/>
    </row>
    <row r="462" spans="1:23" ht="35.1" customHeight="1" x14ac:dyDescent="0.25">
      <c r="A462" s="1">
        <f t="shared" si="38"/>
        <v>461</v>
      </c>
      <c r="B462" s="1">
        <v>1422</v>
      </c>
      <c r="C462" s="39" t="s">
        <v>23</v>
      </c>
      <c r="D462" s="21">
        <v>45219</v>
      </c>
      <c r="E462" s="6">
        <v>0.82986111111111116</v>
      </c>
      <c r="F462" s="1" t="s">
        <v>1134</v>
      </c>
      <c r="G462" s="3">
        <v>39346</v>
      </c>
      <c r="H462" s="11" t="str">
        <f t="shared" si="39"/>
        <v>16 г. 0 мес. 29 дн.</v>
      </c>
      <c r="I462" s="20" t="s">
        <v>121</v>
      </c>
      <c r="J462" s="20" t="s">
        <v>23</v>
      </c>
      <c r="K462" s="1" t="s">
        <v>1321</v>
      </c>
      <c r="L462" s="11" t="s">
        <v>1295</v>
      </c>
      <c r="M462" s="1" t="s">
        <v>52</v>
      </c>
      <c r="N462" s="7"/>
      <c r="O462" s="20" t="s">
        <v>89</v>
      </c>
      <c r="P462" s="7"/>
      <c r="Q462" s="7"/>
      <c r="R462" s="7"/>
      <c r="S462" s="1" t="s">
        <v>23</v>
      </c>
      <c r="T462" s="3">
        <v>45220</v>
      </c>
      <c r="U462" s="6">
        <v>0.4375</v>
      </c>
      <c r="V462" s="1" t="str">
        <f t="shared" si="36"/>
        <v>0 г. 0 мес. 1 дн.</v>
      </c>
      <c r="W462" s="69"/>
    </row>
    <row r="463" spans="1:23" ht="35.1" customHeight="1" x14ac:dyDescent="0.25">
      <c r="A463" s="8">
        <f t="shared" si="38"/>
        <v>462</v>
      </c>
      <c r="B463" s="20">
        <v>1127</v>
      </c>
      <c r="C463" s="38" t="s">
        <v>27</v>
      </c>
      <c r="D463" s="21">
        <v>45220</v>
      </c>
      <c r="E463" s="22">
        <v>0.93055555555555547</v>
      </c>
      <c r="F463" s="20" t="s">
        <v>1325</v>
      </c>
      <c r="G463" s="21">
        <v>42202</v>
      </c>
      <c r="H463" s="11" t="str">
        <f t="shared" si="39"/>
        <v>8 г. 3 мес. 4 дн.</v>
      </c>
      <c r="I463" s="20" t="s">
        <v>120</v>
      </c>
      <c r="J463" s="20"/>
      <c r="K463" s="20" t="s">
        <v>1326</v>
      </c>
      <c r="L463" s="23" t="s">
        <v>1296</v>
      </c>
      <c r="M463" s="20" t="s">
        <v>48</v>
      </c>
      <c r="N463" s="24"/>
      <c r="O463" s="20" t="s">
        <v>89</v>
      </c>
      <c r="P463" s="24"/>
      <c r="Q463" s="24"/>
      <c r="R463" s="24"/>
      <c r="S463" s="20" t="s">
        <v>26</v>
      </c>
      <c r="T463" s="21">
        <v>45222</v>
      </c>
      <c r="U463" s="22">
        <v>0.50486111111111109</v>
      </c>
      <c r="V463" s="1" t="str">
        <f t="shared" si="36"/>
        <v>0 г. 0 мес. 2 дн.</v>
      </c>
      <c r="W463" s="69"/>
    </row>
    <row r="464" spans="1:23" ht="35.1" customHeight="1" x14ac:dyDescent="0.25">
      <c r="A464" s="1">
        <f t="shared" si="38"/>
        <v>463</v>
      </c>
      <c r="B464" s="1">
        <v>691</v>
      </c>
      <c r="C464" s="39" t="s">
        <v>26</v>
      </c>
      <c r="D464" s="21">
        <v>45220</v>
      </c>
      <c r="E464" s="6">
        <v>0.93402777777777779</v>
      </c>
      <c r="F464" s="1" t="s">
        <v>1312</v>
      </c>
      <c r="G464" s="3">
        <v>43812</v>
      </c>
      <c r="H464" s="11" t="str">
        <f t="shared" si="39"/>
        <v>3 г. 10 мес. 8 дн.</v>
      </c>
      <c r="I464" s="20" t="s">
        <v>120</v>
      </c>
      <c r="J464" s="20"/>
      <c r="K464" s="1" t="s">
        <v>1313</v>
      </c>
      <c r="L464" s="1" t="s">
        <v>715</v>
      </c>
      <c r="M464" s="1" t="s">
        <v>55</v>
      </c>
      <c r="N464" s="7"/>
      <c r="O464" s="20" t="s">
        <v>89</v>
      </c>
      <c r="P464" s="7"/>
      <c r="Q464" s="7"/>
      <c r="R464" s="7"/>
      <c r="S464" s="1" t="s">
        <v>26</v>
      </c>
      <c r="T464" s="3">
        <v>45221</v>
      </c>
      <c r="U464" s="6">
        <v>0.45833333333333331</v>
      </c>
      <c r="V464" s="1" t="str">
        <f t="shared" si="36"/>
        <v>0 г. 0 мес. 1 дн.</v>
      </c>
      <c r="W464" s="69"/>
    </row>
    <row r="465" spans="1:23" ht="35.1" customHeight="1" x14ac:dyDescent="0.25">
      <c r="A465" s="8">
        <f t="shared" si="38"/>
        <v>464</v>
      </c>
      <c r="B465" s="1">
        <v>672</v>
      </c>
      <c r="C465" s="39" t="s">
        <v>26</v>
      </c>
      <c r="D465" s="21">
        <v>45216</v>
      </c>
      <c r="E465" s="6">
        <v>0.71527777777777779</v>
      </c>
      <c r="F465" s="1" t="s">
        <v>1297</v>
      </c>
      <c r="G465" s="3">
        <v>45096</v>
      </c>
      <c r="H465" s="11" t="str">
        <f t="shared" si="39"/>
        <v>0 г. 3 мес. 28 дн.</v>
      </c>
      <c r="I465" s="20" t="s">
        <v>123</v>
      </c>
      <c r="J465" s="20"/>
      <c r="K465" s="1" t="s">
        <v>1327</v>
      </c>
      <c r="L465" s="1" t="s">
        <v>1298</v>
      </c>
      <c r="M465" s="1" t="s">
        <v>47</v>
      </c>
      <c r="N465" s="7"/>
      <c r="O465" s="20" t="s">
        <v>73</v>
      </c>
      <c r="P465" s="7"/>
      <c r="Q465" s="7"/>
      <c r="R465" s="7"/>
      <c r="S465" s="1" t="s">
        <v>29</v>
      </c>
      <c r="T465" s="3">
        <v>45222</v>
      </c>
      <c r="U465" s="6">
        <v>0.45833333333333331</v>
      </c>
      <c r="V465" s="1" t="str">
        <f t="shared" si="36"/>
        <v>0 г. 0 мес. 6 дн.</v>
      </c>
      <c r="W465" s="69"/>
    </row>
    <row r="466" spans="1:23" ht="35.1" customHeight="1" x14ac:dyDescent="0.25">
      <c r="A466" s="8">
        <f t="shared" si="38"/>
        <v>465</v>
      </c>
      <c r="B466" s="8">
        <v>2496</v>
      </c>
      <c r="C466" s="41" t="s">
        <v>77</v>
      </c>
      <c r="D466" s="21">
        <v>45221</v>
      </c>
      <c r="E466" s="10">
        <v>0.83333333333333337</v>
      </c>
      <c r="F466" s="8" t="s">
        <v>1299</v>
      </c>
      <c r="G466" s="9">
        <v>40878</v>
      </c>
      <c r="H466" s="11" t="str">
        <f t="shared" si="39"/>
        <v>11 г. 10 мес. 21 дн.</v>
      </c>
      <c r="I466" s="20" t="s">
        <v>120</v>
      </c>
      <c r="J466" s="20"/>
      <c r="K466" s="8" t="s">
        <v>1300</v>
      </c>
      <c r="L466" s="8" t="s">
        <v>260</v>
      </c>
      <c r="M466" s="8" t="s">
        <v>54</v>
      </c>
      <c r="N466" s="10"/>
      <c r="O466" s="20" t="s">
        <v>89</v>
      </c>
      <c r="P466" s="10"/>
      <c r="Q466" s="10"/>
      <c r="R466" s="10"/>
      <c r="S466" s="8" t="s">
        <v>77</v>
      </c>
      <c r="T466" s="9">
        <v>45222</v>
      </c>
      <c r="U466" s="10">
        <v>0.45833333333333331</v>
      </c>
      <c r="V466" s="1" t="str">
        <f t="shared" si="36"/>
        <v>0 г. 0 мес. 1 дн.</v>
      </c>
      <c r="W466" s="69"/>
    </row>
    <row r="467" spans="1:23" ht="35.1" customHeight="1" x14ac:dyDescent="0.25">
      <c r="A467" s="8">
        <f t="shared" si="38"/>
        <v>466</v>
      </c>
      <c r="B467" s="1">
        <v>693</v>
      </c>
      <c r="C467" s="39" t="s">
        <v>26</v>
      </c>
      <c r="D467" s="21">
        <v>45222</v>
      </c>
      <c r="E467" s="6">
        <v>0.44791666666666669</v>
      </c>
      <c r="F467" s="1" t="s">
        <v>1301</v>
      </c>
      <c r="G467" s="3">
        <v>40720</v>
      </c>
      <c r="H467" s="11" t="str">
        <f t="shared" si="39"/>
        <v>12 г. 3 мес. 27 дн.</v>
      </c>
      <c r="I467" s="20" t="s">
        <v>120</v>
      </c>
      <c r="J467" s="20"/>
      <c r="K467" s="1" t="s">
        <v>1302</v>
      </c>
      <c r="L467" s="1" t="s">
        <v>1140</v>
      </c>
      <c r="M467" s="1" t="s">
        <v>55</v>
      </c>
      <c r="N467" s="7"/>
      <c r="O467" s="20" t="s">
        <v>89</v>
      </c>
      <c r="P467" s="7"/>
      <c r="Q467" s="7"/>
      <c r="R467" s="7"/>
      <c r="S467" s="1" t="s">
        <v>26</v>
      </c>
      <c r="T467" s="3">
        <v>45223</v>
      </c>
      <c r="U467" s="6">
        <v>0.45833333333333331</v>
      </c>
      <c r="V467" s="1" t="str">
        <f t="shared" si="36"/>
        <v>0 г. 0 мес. 1 дн.</v>
      </c>
      <c r="W467" s="69"/>
    </row>
    <row r="468" spans="1:23" ht="35.1" customHeight="1" x14ac:dyDescent="0.25">
      <c r="A468" s="1">
        <f t="shared" si="38"/>
        <v>467</v>
      </c>
      <c r="B468" s="1">
        <v>667</v>
      </c>
      <c r="C468" s="39" t="s">
        <v>26</v>
      </c>
      <c r="D468" s="21">
        <v>45216</v>
      </c>
      <c r="E468" s="6">
        <v>0.6020833333333333</v>
      </c>
      <c r="F468" s="1" t="s">
        <v>746</v>
      </c>
      <c r="G468" s="3">
        <v>39339</v>
      </c>
      <c r="H468" s="11" t="str">
        <f t="shared" si="39"/>
        <v>16 г. 1 мес. 3 дн.</v>
      </c>
      <c r="I468" s="20" t="s">
        <v>120</v>
      </c>
      <c r="J468" s="20"/>
      <c r="K468" s="1" t="s">
        <v>734</v>
      </c>
      <c r="L468" s="1" t="s">
        <v>1304</v>
      </c>
      <c r="M468" s="1" t="s">
        <v>43</v>
      </c>
      <c r="N468" s="7"/>
      <c r="O468" s="20" t="s">
        <v>89</v>
      </c>
      <c r="P468" s="7"/>
      <c r="Q468" s="7"/>
      <c r="R468" s="7"/>
      <c r="S468" s="1" t="s">
        <v>26</v>
      </c>
      <c r="T468" s="3">
        <v>45217</v>
      </c>
      <c r="U468" s="6">
        <v>0.4236111111111111</v>
      </c>
      <c r="V468" s="1" t="str">
        <f t="shared" si="36"/>
        <v>0 г. 0 мес. 1 дн.</v>
      </c>
      <c r="W468" s="69"/>
    </row>
    <row r="469" spans="1:23" ht="35.1" customHeight="1" x14ac:dyDescent="0.25">
      <c r="A469" s="8">
        <f t="shared" si="38"/>
        <v>468</v>
      </c>
      <c r="B469" s="1">
        <v>2435</v>
      </c>
      <c r="C469" s="39" t="s">
        <v>77</v>
      </c>
      <c r="D469" s="21">
        <v>45216</v>
      </c>
      <c r="E469" s="6">
        <v>0.68055555555555547</v>
      </c>
      <c r="F469" s="1" t="s">
        <v>516</v>
      </c>
      <c r="G469" s="3">
        <v>38659</v>
      </c>
      <c r="H469" s="11" t="str">
        <f t="shared" si="39"/>
        <v>17 г. 11 мес. 14 дн.</v>
      </c>
      <c r="I469" s="20" t="s">
        <v>121</v>
      </c>
      <c r="J469" s="20" t="s">
        <v>77</v>
      </c>
      <c r="K469" s="1" t="s">
        <v>517</v>
      </c>
      <c r="L469" s="1" t="s">
        <v>1305</v>
      </c>
      <c r="M469" s="1" t="s">
        <v>52</v>
      </c>
      <c r="N469" s="7"/>
      <c r="O469" s="20" t="s">
        <v>89</v>
      </c>
      <c r="P469" s="7"/>
      <c r="Q469" s="7"/>
      <c r="R469" s="7"/>
      <c r="S469" s="1" t="s">
        <v>23</v>
      </c>
      <c r="T469" s="3">
        <v>45217</v>
      </c>
      <c r="U469" s="6">
        <v>0.60486111111111118</v>
      </c>
      <c r="V469" s="1" t="str">
        <f t="shared" si="36"/>
        <v>0 г. 0 мес. 1 дн.</v>
      </c>
      <c r="W469" s="69"/>
    </row>
    <row r="470" spans="1:23" ht="35.1" customHeight="1" x14ac:dyDescent="0.25">
      <c r="A470" s="1">
        <f t="shared" si="38"/>
        <v>469</v>
      </c>
      <c r="B470" s="1">
        <v>633</v>
      </c>
      <c r="C470" s="39" t="s">
        <v>28</v>
      </c>
      <c r="D470" s="21">
        <v>45216</v>
      </c>
      <c r="E470" s="6">
        <v>0.49305555555555558</v>
      </c>
      <c r="F470" s="1" t="s">
        <v>1109</v>
      </c>
      <c r="G470" s="3">
        <v>45072</v>
      </c>
      <c r="H470" s="11" t="str">
        <f t="shared" si="39"/>
        <v>0 г. 4 мес. 21 дн.</v>
      </c>
      <c r="I470" s="20" t="s">
        <v>125</v>
      </c>
      <c r="J470" s="20" t="s">
        <v>28</v>
      </c>
      <c r="K470" s="1" t="s">
        <v>1276</v>
      </c>
      <c r="L470" s="11" t="s">
        <v>1277</v>
      </c>
      <c r="M470" s="1" t="s">
        <v>46</v>
      </c>
      <c r="N470" s="7"/>
      <c r="O470" s="20" t="s">
        <v>89</v>
      </c>
      <c r="P470" s="7"/>
      <c r="Q470" s="7"/>
      <c r="R470" s="7"/>
      <c r="S470" s="1" t="s">
        <v>28</v>
      </c>
      <c r="T470" s="3">
        <v>45217</v>
      </c>
      <c r="U470" s="6">
        <v>0.45902777777777781</v>
      </c>
      <c r="V470" s="1" t="str">
        <f t="shared" si="36"/>
        <v>0 г. 0 мес. 1 дн.</v>
      </c>
      <c r="W470" s="69"/>
    </row>
    <row r="471" spans="1:23" ht="35.1" customHeight="1" x14ac:dyDescent="0.25">
      <c r="A471" s="8">
        <f t="shared" si="38"/>
        <v>470</v>
      </c>
      <c r="B471" s="1">
        <v>2465</v>
      </c>
      <c r="C471" s="39" t="s">
        <v>77</v>
      </c>
      <c r="D471" s="21">
        <v>45217</v>
      </c>
      <c r="E471" s="6">
        <v>0.47222222222222227</v>
      </c>
      <c r="F471" s="1" t="s">
        <v>1329</v>
      </c>
      <c r="G471" s="3">
        <v>45211</v>
      </c>
      <c r="H471" s="11" t="str">
        <f t="shared" si="39"/>
        <v>0 г. 0 мес. 6 дн.</v>
      </c>
      <c r="I471" s="20" t="s">
        <v>124</v>
      </c>
      <c r="J471" s="20"/>
      <c r="K471" s="1" t="s">
        <v>1330</v>
      </c>
      <c r="L471" s="1" t="s">
        <v>671</v>
      </c>
      <c r="M471" s="1" t="s">
        <v>56</v>
      </c>
      <c r="N471" s="7">
        <v>215</v>
      </c>
      <c r="O471" s="20" t="s">
        <v>73</v>
      </c>
      <c r="P471" s="7"/>
      <c r="Q471" s="7"/>
      <c r="R471" s="7"/>
      <c r="S471" s="1" t="s">
        <v>29</v>
      </c>
      <c r="T471" s="3">
        <v>45226</v>
      </c>
      <c r="U471" s="6">
        <v>0.45555555555555555</v>
      </c>
      <c r="V471" s="1" t="str">
        <f t="shared" si="36"/>
        <v>0 г. 0 мес. 9 дн.</v>
      </c>
      <c r="W471" s="69"/>
    </row>
    <row r="472" spans="1:23" ht="35.1" customHeight="1" x14ac:dyDescent="0.25">
      <c r="A472" s="1">
        <f t="shared" si="38"/>
        <v>471</v>
      </c>
      <c r="B472" s="1">
        <v>2484</v>
      </c>
      <c r="C472" s="39" t="s">
        <v>77</v>
      </c>
      <c r="D472" s="21">
        <v>45224</v>
      </c>
      <c r="E472" s="6">
        <v>0.79861111111111116</v>
      </c>
      <c r="F472" s="1" t="s">
        <v>1331</v>
      </c>
      <c r="G472" s="3">
        <v>39035</v>
      </c>
      <c r="H472" s="11" t="str">
        <f t="shared" si="39"/>
        <v>16 г. 11 мес. 11 дн.</v>
      </c>
      <c r="I472" s="20" t="s">
        <v>121</v>
      </c>
      <c r="J472" s="20" t="s">
        <v>77</v>
      </c>
      <c r="K472" s="1" t="s">
        <v>1332</v>
      </c>
      <c r="L472" s="1" t="s">
        <v>1336</v>
      </c>
      <c r="M472" s="1" t="s">
        <v>50</v>
      </c>
      <c r="N472" s="7"/>
      <c r="O472" s="20" t="s">
        <v>89</v>
      </c>
      <c r="P472" s="7"/>
      <c r="Q472" s="7" t="s">
        <v>146</v>
      </c>
      <c r="R472" s="7"/>
      <c r="S472" s="1" t="s">
        <v>77</v>
      </c>
      <c r="T472" s="3">
        <v>45226</v>
      </c>
      <c r="U472" s="6">
        <v>0.46666666666666662</v>
      </c>
      <c r="V472" s="1" t="str">
        <f t="shared" si="36"/>
        <v>0 г. 0 мес. 2 дн.</v>
      </c>
      <c r="W472" s="69"/>
    </row>
    <row r="473" spans="1:23" ht="35.1" customHeight="1" x14ac:dyDescent="0.25">
      <c r="A473" s="8">
        <f t="shared" si="38"/>
        <v>472</v>
      </c>
      <c r="B473" s="1">
        <v>1144</v>
      </c>
      <c r="C473" s="39" t="s">
        <v>27</v>
      </c>
      <c r="D473" s="21">
        <v>45224</v>
      </c>
      <c r="E473" s="6">
        <v>0.91666666666666663</v>
      </c>
      <c r="F473" s="1" t="s">
        <v>1333</v>
      </c>
      <c r="G473" s="3">
        <v>44670</v>
      </c>
      <c r="H473" s="11" t="str">
        <f t="shared" si="39"/>
        <v>1 г. 6 мес. 6 дн.</v>
      </c>
      <c r="I473" s="20" t="s">
        <v>120</v>
      </c>
      <c r="J473" s="20"/>
      <c r="K473" s="1" t="s">
        <v>1334</v>
      </c>
      <c r="L473" s="1" t="s">
        <v>1335</v>
      </c>
      <c r="M473" s="1" t="s">
        <v>48</v>
      </c>
      <c r="N473" s="7"/>
      <c r="O473" s="20" t="s">
        <v>89</v>
      </c>
      <c r="P473" s="7"/>
      <c r="Q473" s="7"/>
      <c r="R473" s="7"/>
      <c r="S473" s="1" t="s">
        <v>27</v>
      </c>
      <c r="T473" s="3">
        <v>45225</v>
      </c>
      <c r="U473" s="6">
        <v>0.45833333333333331</v>
      </c>
      <c r="V473" s="1" t="str">
        <f t="shared" ref="V473:V536" si="40">DATEDIF(D473,T473,"y") &amp; " г. " &amp; DATEDIF(D473,T473,"ym") &amp; " мес. " &amp; DATEDIF(D473,T473,"md") &amp; " дн."</f>
        <v>0 г. 0 мес. 1 дн.</v>
      </c>
      <c r="W473" s="69"/>
    </row>
    <row r="474" spans="1:23" ht="35.1" customHeight="1" x14ac:dyDescent="0.25">
      <c r="A474" s="1">
        <f t="shared" si="38"/>
        <v>473</v>
      </c>
      <c r="B474" s="1">
        <v>706</v>
      </c>
      <c r="C474" s="39" t="s">
        <v>26</v>
      </c>
      <c r="D474" s="21">
        <v>45225</v>
      </c>
      <c r="E474" s="6">
        <v>0.65277777777777779</v>
      </c>
      <c r="F474" s="1" t="s">
        <v>1353</v>
      </c>
      <c r="G474" s="3">
        <v>40592</v>
      </c>
      <c r="H474" s="11" t="str">
        <f t="shared" si="39"/>
        <v>12 г. 8 мес. 8 дн.</v>
      </c>
      <c r="I474" s="20" t="s">
        <v>120</v>
      </c>
      <c r="J474" s="20"/>
      <c r="K474" s="1" t="s">
        <v>1337</v>
      </c>
      <c r="L474" s="1" t="s">
        <v>1338</v>
      </c>
      <c r="M474" s="1" t="s">
        <v>43</v>
      </c>
      <c r="N474" s="7"/>
      <c r="O474" s="20" t="s">
        <v>89</v>
      </c>
      <c r="P474" s="7"/>
      <c r="Q474" s="7"/>
      <c r="R474" s="7"/>
      <c r="S474" s="1" t="s">
        <v>26</v>
      </c>
      <c r="T474" s="3">
        <v>45227</v>
      </c>
      <c r="U474" s="6">
        <v>0.45833333333333331</v>
      </c>
      <c r="V474" s="1" t="str">
        <f t="shared" si="40"/>
        <v>0 г. 0 мес. 2 дн.</v>
      </c>
      <c r="W474" s="69"/>
    </row>
    <row r="475" spans="1:23" ht="35.1" customHeight="1" x14ac:dyDescent="0.25">
      <c r="A475" s="8">
        <f t="shared" si="38"/>
        <v>474</v>
      </c>
      <c r="B475" s="1">
        <v>647</v>
      </c>
      <c r="C475" s="39" t="s">
        <v>28</v>
      </c>
      <c r="D475" s="21">
        <v>45226</v>
      </c>
      <c r="E475" s="6">
        <v>3.8194444444444441E-2</v>
      </c>
      <c r="F475" s="1" t="s">
        <v>1339</v>
      </c>
      <c r="G475" s="3">
        <v>41582</v>
      </c>
      <c r="H475" s="11" t="str">
        <f t="shared" si="39"/>
        <v>9 г. 11 мес. 23 дн.</v>
      </c>
      <c r="I475" s="20" t="s">
        <v>120</v>
      </c>
      <c r="J475" s="20"/>
      <c r="K475" s="1" t="s">
        <v>1340</v>
      </c>
      <c r="L475" s="1" t="s">
        <v>1267</v>
      </c>
      <c r="M475" s="1" t="s">
        <v>46</v>
      </c>
      <c r="N475" s="7">
        <v>75</v>
      </c>
      <c r="O475" s="20" t="s">
        <v>73</v>
      </c>
      <c r="P475" s="7"/>
      <c r="Q475" s="7"/>
      <c r="R475" s="7"/>
      <c r="S475" s="1" t="s">
        <v>29</v>
      </c>
      <c r="T475" s="3">
        <v>45231</v>
      </c>
      <c r="U475" s="6">
        <v>0.54166666666666663</v>
      </c>
      <c r="V475" s="1" t="str">
        <f t="shared" si="40"/>
        <v>0 г. 0 мес. 5 дн.</v>
      </c>
      <c r="W475" s="69"/>
    </row>
    <row r="476" spans="1:23" ht="35.1" customHeight="1" x14ac:dyDescent="0.25">
      <c r="A476" s="1">
        <f t="shared" si="38"/>
        <v>475</v>
      </c>
      <c r="B476" s="1">
        <v>1157</v>
      </c>
      <c r="C476" s="39" t="s">
        <v>27</v>
      </c>
      <c r="D476" s="21">
        <v>45227</v>
      </c>
      <c r="E476" s="6">
        <v>0.58333333333333337</v>
      </c>
      <c r="F476" s="1" t="s">
        <v>1348</v>
      </c>
      <c r="G476" s="3">
        <v>44362</v>
      </c>
      <c r="H476" s="11" t="str">
        <f t="shared" si="39"/>
        <v>2 г. 4 мес. 13 дн.</v>
      </c>
      <c r="I476" s="20" t="s">
        <v>120</v>
      </c>
      <c r="J476" s="20"/>
      <c r="K476" s="1" t="s">
        <v>1341</v>
      </c>
      <c r="L476" s="1" t="s">
        <v>1342</v>
      </c>
      <c r="M476" s="1" t="s">
        <v>48</v>
      </c>
      <c r="N476" s="7"/>
      <c r="O476" s="20" t="s">
        <v>89</v>
      </c>
      <c r="P476" s="7"/>
      <c r="Q476" s="7"/>
      <c r="R476" s="7"/>
      <c r="S476" s="1" t="s">
        <v>27</v>
      </c>
      <c r="T476" s="3">
        <v>45229</v>
      </c>
      <c r="U476" s="6">
        <v>0.5625</v>
      </c>
      <c r="V476" s="1" t="str">
        <f t="shared" si="40"/>
        <v>0 г. 0 мес. 2 дн.</v>
      </c>
      <c r="W476" s="69"/>
    </row>
    <row r="477" spans="1:23" ht="35.1" customHeight="1" x14ac:dyDescent="0.25">
      <c r="A477" s="8">
        <f t="shared" si="38"/>
        <v>476</v>
      </c>
      <c r="B477" s="1">
        <v>714</v>
      </c>
      <c r="C477" s="39" t="s">
        <v>26</v>
      </c>
      <c r="D477" s="21">
        <v>45227</v>
      </c>
      <c r="E477" s="6">
        <v>0.80208333333333337</v>
      </c>
      <c r="F477" s="1" t="s">
        <v>1343</v>
      </c>
      <c r="G477" s="3">
        <v>39791</v>
      </c>
      <c r="H477" s="11" t="str">
        <f t="shared" si="39"/>
        <v>14 г. 10 мес. 19 дн.</v>
      </c>
      <c r="I477" s="20" t="s">
        <v>120</v>
      </c>
      <c r="J477" s="20"/>
      <c r="K477" s="1" t="s">
        <v>1344</v>
      </c>
      <c r="L477" s="1" t="s">
        <v>575</v>
      </c>
      <c r="M477" s="1" t="s">
        <v>55</v>
      </c>
      <c r="N477" s="7"/>
      <c r="O477" s="20" t="s">
        <v>89</v>
      </c>
      <c r="P477" s="7"/>
      <c r="Q477" s="7"/>
      <c r="R477" s="7"/>
      <c r="S477" s="1" t="s">
        <v>26</v>
      </c>
      <c r="T477" s="3">
        <v>45228</v>
      </c>
      <c r="U477" s="6">
        <v>0.5</v>
      </c>
      <c r="V477" s="1" t="str">
        <f t="shared" si="40"/>
        <v>0 г. 0 мес. 1 дн.</v>
      </c>
      <c r="W477" s="69"/>
    </row>
    <row r="478" spans="1:23" ht="35.1" customHeight="1" x14ac:dyDescent="0.25">
      <c r="A478" s="1">
        <f t="shared" si="38"/>
        <v>477</v>
      </c>
      <c r="B478" s="1">
        <v>713</v>
      </c>
      <c r="C478" s="39" t="s">
        <v>26</v>
      </c>
      <c r="D478" s="21">
        <v>45227</v>
      </c>
      <c r="E478" s="6">
        <v>0.75347222222222221</v>
      </c>
      <c r="F478" s="1" t="s">
        <v>1345</v>
      </c>
      <c r="G478" s="3">
        <v>39791</v>
      </c>
      <c r="H478" s="11" t="str">
        <f t="shared" si="39"/>
        <v>14 г. 10 мес. 19 дн.</v>
      </c>
      <c r="I478" s="20" t="s">
        <v>120</v>
      </c>
      <c r="J478" s="20"/>
      <c r="K478" s="1" t="s">
        <v>1346</v>
      </c>
      <c r="L478" s="1" t="s">
        <v>575</v>
      </c>
      <c r="M478" s="1" t="s">
        <v>55</v>
      </c>
      <c r="N478" s="7"/>
      <c r="O478" s="20" t="s">
        <v>89</v>
      </c>
      <c r="P478" s="7"/>
      <c r="Q478" s="7"/>
      <c r="R478" s="7"/>
      <c r="S478" s="1" t="s">
        <v>26</v>
      </c>
      <c r="T478" s="3">
        <v>45228</v>
      </c>
      <c r="U478" s="6">
        <v>0.5</v>
      </c>
      <c r="V478" s="1" t="str">
        <f t="shared" si="40"/>
        <v>0 г. 0 мес. 1 дн.</v>
      </c>
      <c r="W478" s="69"/>
    </row>
    <row r="479" spans="1:23" ht="35.1" customHeight="1" x14ac:dyDescent="0.25">
      <c r="A479" s="1">
        <f t="shared" si="38"/>
        <v>478</v>
      </c>
      <c r="B479" s="1">
        <v>1515</v>
      </c>
      <c r="C479" s="39" t="s">
        <v>23</v>
      </c>
      <c r="D479" s="21">
        <v>45229</v>
      </c>
      <c r="E479" s="6">
        <v>0.70138888888888884</v>
      </c>
      <c r="F479" s="1" t="s">
        <v>1347</v>
      </c>
      <c r="G479" s="3">
        <v>39653</v>
      </c>
      <c r="H479" s="11" t="str">
        <f t="shared" si="39"/>
        <v>15 г. 3 мес. 6 дн.</v>
      </c>
      <c r="I479" s="20" t="s">
        <v>120</v>
      </c>
      <c r="J479" s="20"/>
      <c r="K479" s="11" t="s">
        <v>847</v>
      </c>
      <c r="L479" s="1" t="s">
        <v>1351</v>
      </c>
      <c r="M479" s="1" t="s">
        <v>52</v>
      </c>
      <c r="O479" s="20" t="s">
        <v>89</v>
      </c>
      <c r="S479" s="1" t="s">
        <v>23</v>
      </c>
      <c r="T479" s="3">
        <v>45233</v>
      </c>
      <c r="U479" s="6">
        <v>0.54166666666666663</v>
      </c>
      <c r="V479" s="1" t="str">
        <f t="shared" si="40"/>
        <v>0 г. 0 мес. 4 дн.</v>
      </c>
      <c r="W479" s="69"/>
    </row>
    <row r="480" spans="1:23" s="8" customFormat="1" ht="35.1" customHeight="1" x14ac:dyDescent="0.25">
      <c r="A480" s="1">
        <f t="shared" si="38"/>
        <v>479</v>
      </c>
      <c r="B480" s="1">
        <v>508</v>
      </c>
      <c r="C480" s="39" t="s">
        <v>27</v>
      </c>
      <c r="D480" s="21">
        <v>45229</v>
      </c>
      <c r="E480" s="6">
        <v>9.7222222222222224E-2</v>
      </c>
      <c r="F480" s="1" t="s">
        <v>1349</v>
      </c>
      <c r="G480" s="3">
        <v>39993</v>
      </c>
      <c r="H480" s="11" t="str">
        <f t="shared" si="39"/>
        <v>14 г. 4 мес. 1 дн.</v>
      </c>
      <c r="I480" s="20" t="s">
        <v>123</v>
      </c>
      <c r="J480" s="20"/>
      <c r="K480" s="1" t="s">
        <v>1350</v>
      </c>
      <c r="L480" s="1" t="s">
        <v>1352</v>
      </c>
      <c r="M480" s="1" t="s">
        <v>48</v>
      </c>
      <c r="N480" s="1"/>
      <c r="O480" s="20" t="s">
        <v>89</v>
      </c>
      <c r="P480" s="1"/>
      <c r="Q480" s="1"/>
      <c r="R480" s="1"/>
      <c r="S480" s="1" t="s">
        <v>27</v>
      </c>
      <c r="T480" s="3">
        <v>45229</v>
      </c>
      <c r="U480" s="6">
        <v>0.5</v>
      </c>
      <c r="V480" s="1" t="str">
        <f t="shared" si="40"/>
        <v>0 г. 0 мес. 0 дн.</v>
      </c>
      <c r="W480" s="73"/>
    </row>
    <row r="481" spans="1:23" ht="35.1" customHeight="1" x14ac:dyDescent="0.25">
      <c r="A481" s="1">
        <f t="shared" si="38"/>
        <v>480</v>
      </c>
      <c r="B481" s="8">
        <v>719</v>
      </c>
      <c r="C481" s="41" t="s">
        <v>26</v>
      </c>
      <c r="D481" s="21">
        <v>45229</v>
      </c>
      <c r="E481" s="10">
        <v>0.90972222222222221</v>
      </c>
      <c r="F481" s="8" t="s">
        <v>1354</v>
      </c>
      <c r="G481" s="9">
        <v>40558</v>
      </c>
      <c r="H481" s="11" t="str">
        <f t="shared" si="39"/>
        <v>12 г. 9 мес. 15 дн.</v>
      </c>
      <c r="I481" s="20" t="s">
        <v>123</v>
      </c>
      <c r="J481" s="20"/>
      <c r="K481" s="8" t="s">
        <v>1355</v>
      </c>
      <c r="L481" s="8" t="s">
        <v>299</v>
      </c>
      <c r="M481" s="8" t="s">
        <v>43</v>
      </c>
      <c r="N481" s="8"/>
      <c r="O481" s="20" t="s">
        <v>89</v>
      </c>
      <c r="P481" s="8"/>
      <c r="Q481" s="8"/>
      <c r="R481" s="8"/>
      <c r="S481" s="8" t="s">
        <v>28</v>
      </c>
      <c r="T481" s="9">
        <v>45231</v>
      </c>
      <c r="U481" s="10">
        <v>0.5</v>
      </c>
      <c r="V481" s="1" t="str">
        <f t="shared" si="40"/>
        <v>0 г. 0 мес. 2 дн.</v>
      </c>
      <c r="W481" s="69"/>
    </row>
    <row r="482" spans="1:23" ht="35.1" customHeight="1" x14ac:dyDescent="0.25">
      <c r="A482" s="1">
        <f t="shared" si="38"/>
        <v>481</v>
      </c>
      <c r="B482" s="1">
        <v>2564</v>
      </c>
      <c r="C482" s="39" t="s">
        <v>77</v>
      </c>
      <c r="D482" s="21">
        <v>45231</v>
      </c>
      <c r="E482" s="6">
        <v>0.125</v>
      </c>
      <c r="F482" s="1" t="s">
        <v>1356</v>
      </c>
      <c r="G482" s="3">
        <v>45189</v>
      </c>
      <c r="H482" s="11" t="str">
        <f t="shared" si="39"/>
        <v>0 г. 1 мес. 12 дн.</v>
      </c>
      <c r="I482" s="20" t="s">
        <v>120</v>
      </c>
      <c r="J482" s="20"/>
      <c r="K482" s="1" t="s">
        <v>1357</v>
      </c>
      <c r="L482" s="1" t="s">
        <v>1358</v>
      </c>
      <c r="M482" s="1" t="s">
        <v>49</v>
      </c>
      <c r="O482" s="20" t="s">
        <v>73</v>
      </c>
      <c r="P482" s="1" t="s">
        <v>96</v>
      </c>
      <c r="S482" s="1" t="s">
        <v>77</v>
      </c>
      <c r="T482" s="3">
        <v>45237</v>
      </c>
      <c r="U482" s="6">
        <v>0.73888888888888893</v>
      </c>
      <c r="V482" s="1" t="str">
        <f t="shared" si="40"/>
        <v>0 г. 0 мес. 6 дн.</v>
      </c>
      <c r="W482" s="69"/>
    </row>
    <row r="483" spans="1:23" ht="35.1" customHeight="1" x14ac:dyDescent="0.25">
      <c r="A483" s="1">
        <f t="shared" si="38"/>
        <v>482</v>
      </c>
      <c r="B483" s="1">
        <v>1173</v>
      </c>
      <c r="C483" s="39" t="s">
        <v>27</v>
      </c>
      <c r="D483" s="21">
        <v>45231</v>
      </c>
      <c r="E483" s="6">
        <v>0.45347222222222222</v>
      </c>
      <c r="F483" s="1" t="s">
        <v>1190</v>
      </c>
      <c r="G483" s="3">
        <v>45140</v>
      </c>
      <c r="H483" s="11" t="str">
        <f t="shared" si="39"/>
        <v>0 г. 2 мес. 30 дн.</v>
      </c>
      <c r="I483" s="20" t="s">
        <v>122</v>
      </c>
      <c r="J483" s="20" t="s">
        <v>27</v>
      </c>
      <c r="K483" s="1" t="s">
        <v>1359</v>
      </c>
      <c r="L483" s="1" t="s">
        <v>1360</v>
      </c>
      <c r="M483" s="1" t="s">
        <v>48</v>
      </c>
      <c r="O483" s="20" t="s">
        <v>89</v>
      </c>
      <c r="Q483" s="1" t="s">
        <v>103</v>
      </c>
      <c r="S483" s="1" t="s">
        <v>27</v>
      </c>
      <c r="T483" s="3">
        <v>45231</v>
      </c>
      <c r="U483" s="6">
        <v>0.82291666666666663</v>
      </c>
      <c r="V483" s="1" t="str">
        <f t="shared" si="40"/>
        <v>0 г. 0 мес. 0 дн.</v>
      </c>
      <c r="W483" s="69"/>
    </row>
    <row r="484" spans="1:23" ht="35.1" customHeight="1" x14ac:dyDescent="0.25">
      <c r="A484" s="1">
        <f t="shared" si="38"/>
        <v>483</v>
      </c>
      <c r="B484" s="7">
        <v>1539</v>
      </c>
      <c r="C484" s="39" t="s">
        <v>23</v>
      </c>
      <c r="D484" s="21">
        <v>45231</v>
      </c>
      <c r="E484" s="6">
        <v>0.78819444444444453</v>
      </c>
      <c r="F484" s="1" t="s">
        <v>1361</v>
      </c>
      <c r="G484" s="3">
        <v>39246</v>
      </c>
      <c r="H484" s="11" t="str">
        <f t="shared" si="39"/>
        <v>16 г. 4 мес. 19 дн.</v>
      </c>
      <c r="I484" s="20" t="s">
        <v>123</v>
      </c>
      <c r="J484" s="20"/>
      <c r="K484" s="1" t="s">
        <v>1362</v>
      </c>
      <c r="L484" s="1" t="s">
        <v>1363</v>
      </c>
      <c r="M484" s="1" t="s">
        <v>52</v>
      </c>
      <c r="N484" s="7"/>
      <c r="O484" s="20" t="s">
        <v>89</v>
      </c>
      <c r="P484" s="7"/>
      <c r="Q484" s="7"/>
      <c r="R484" s="7"/>
      <c r="S484" s="1" t="s">
        <v>23</v>
      </c>
      <c r="T484" s="3">
        <v>45234</v>
      </c>
      <c r="U484" s="6">
        <v>0.5</v>
      </c>
      <c r="V484" s="1" t="str">
        <f t="shared" si="40"/>
        <v>0 г. 0 мес. 3 дн.</v>
      </c>
      <c r="W484" s="69"/>
    </row>
    <row r="485" spans="1:23" ht="35.1" customHeight="1" x14ac:dyDescent="0.25">
      <c r="A485" s="1">
        <f t="shared" si="38"/>
        <v>484</v>
      </c>
      <c r="B485" s="1">
        <v>725</v>
      </c>
      <c r="C485" s="39" t="s">
        <v>26</v>
      </c>
      <c r="D485" s="21">
        <v>45231</v>
      </c>
      <c r="E485" s="6">
        <v>0.97916666666666663</v>
      </c>
      <c r="F485" s="1" t="s">
        <v>195</v>
      </c>
      <c r="G485" s="3">
        <v>39464</v>
      </c>
      <c r="H485" s="11" t="str">
        <f t="shared" si="39"/>
        <v>15 г. 9 мес. 15 дн.</v>
      </c>
      <c r="I485" s="20" t="s">
        <v>123</v>
      </c>
      <c r="J485" s="20"/>
      <c r="K485" s="1" t="s">
        <v>1364</v>
      </c>
      <c r="L485" s="1" t="s">
        <v>1007</v>
      </c>
      <c r="M485" s="1" t="s">
        <v>43</v>
      </c>
      <c r="O485" s="20" t="s">
        <v>89</v>
      </c>
      <c r="S485" s="1" t="s">
        <v>29</v>
      </c>
      <c r="T485" s="3">
        <v>45232</v>
      </c>
      <c r="U485" s="6">
        <v>0.5</v>
      </c>
      <c r="V485" s="1" t="str">
        <f t="shared" si="40"/>
        <v>0 г. 0 мес. 1 дн.</v>
      </c>
      <c r="W485" s="69"/>
    </row>
    <row r="486" spans="1:23" ht="35.1" customHeight="1" x14ac:dyDescent="0.25">
      <c r="A486" s="1">
        <f t="shared" si="38"/>
        <v>485</v>
      </c>
      <c r="B486" s="1">
        <v>415</v>
      </c>
      <c r="C486" s="39" t="s">
        <v>77</v>
      </c>
      <c r="D486" s="21">
        <v>45233</v>
      </c>
      <c r="E486" s="6">
        <v>0.51388888888888895</v>
      </c>
      <c r="F486" s="1" t="s">
        <v>1382</v>
      </c>
      <c r="G486" s="3">
        <v>39091</v>
      </c>
      <c r="H486" s="11" t="str">
        <f t="shared" si="39"/>
        <v>16 г. 9 мес. 25 дн.</v>
      </c>
      <c r="I486" s="20" t="s">
        <v>121</v>
      </c>
      <c r="J486" s="20" t="s">
        <v>77</v>
      </c>
      <c r="K486" s="1" t="s">
        <v>1383</v>
      </c>
      <c r="L486" s="1" t="s">
        <v>1107</v>
      </c>
      <c r="M486" s="1" t="s">
        <v>49</v>
      </c>
      <c r="O486" s="20" t="s">
        <v>89</v>
      </c>
      <c r="S486" s="1" t="s">
        <v>77</v>
      </c>
      <c r="T486" s="3">
        <v>45234</v>
      </c>
      <c r="U486" s="6">
        <v>0.45833333333333331</v>
      </c>
      <c r="V486" s="1" t="str">
        <f t="shared" si="40"/>
        <v>0 г. 0 мес. 1 дн.</v>
      </c>
      <c r="W486" s="69"/>
    </row>
    <row r="487" spans="1:23" ht="35.1" customHeight="1" x14ac:dyDescent="0.25">
      <c r="A487" s="1">
        <f t="shared" si="38"/>
        <v>486</v>
      </c>
      <c r="B487" s="1">
        <v>735</v>
      </c>
      <c r="C487" s="39" t="s">
        <v>26</v>
      </c>
      <c r="D487" s="21">
        <v>45233</v>
      </c>
      <c r="E487" s="6">
        <v>0.99652777777777779</v>
      </c>
      <c r="F487" s="1" t="s">
        <v>1365</v>
      </c>
      <c r="G487" s="3">
        <v>40091</v>
      </c>
      <c r="H487" s="11" t="str">
        <f t="shared" si="39"/>
        <v>14 г. 0 мес. 29 дн.</v>
      </c>
      <c r="I487" s="20" t="s">
        <v>120</v>
      </c>
      <c r="J487" s="20"/>
      <c r="K487" s="1" t="s">
        <v>1366</v>
      </c>
      <c r="L487" s="1" t="s">
        <v>773</v>
      </c>
      <c r="M487" s="1" t="s">
        <v>55</v>
      </c>
      <c r="O487" s="20" t="s">
        <v>89</v>
      </c>
      <c r="S487" s="1" t="s">
        <v>26</v>
      </c>
      <c r="T487" s="3">
        <v>45234</v>
      </c>
      <c r="U487" s="6">
        <v>0.45833333333333331</v>
      </c>
      <c r="V487" s="1" t="str">
        <f t="shared" si="40"/>
        <v>0 г. 0 мес. 1 дн.</v>
      </c>
      <c r="W487" s="69"/>
    </row>
    <row r="488" spans="1:23" ht="35.1" customHeight="1" x14ac:dyDescent="0.25">
      <c r="A488" s="1">
        <f t="shared" si="38"/>
        <v>487</v>
      </c>
      <c r="B488" s="1">
        <v>1549</v>
      </c>
      <c r="C488" s="39" t="s">
        <v>23</v>
      </c>
      <c r="D488" s="21">
        <v>45234</v>
      </c>
      <c r="E488" s="6">
        <v>9.375E-2</v>
      </c>
      <c r="F488" s="1" t="s">
        <v>1367</v>
      </c>
      <c r="G488" s="3">
        <v>38849</v>
      </c>
      <c r="H488" s="11" t="str">
        <f t="shared" si="39"/>
        <v>17 г. 5 мес. 23 дн.</v>
      </c>
      <c r="I488" s="20" t="s">
        <v>120</v>
      </c>
      <c r="J488" s="20"/>
      <c r="K488" s="1" t="s">
        <v>1368</v>
      </c>
      <c r="L488" s="1" t="s">
        <v>1369</v>
      </c>
      <c r="M488" s="1" t="s">
        <v>52</v>
      </c>
      <c r="O488" s="20" t="s">
        <v>89</v>
      </c>
      <c r="S488" s="1" t="s">
        <v>23</v>
      </c>
      <c r="T488" s="3">
        <v>45234</v>
      </c>
      <c r="U488" s="6">
        <v>0.75</v>
      </c>
      <c r="V488" s="1" t="str">
        <f t="shared" si="40"/>
        <v>0 г. 0 мес. 0 дн.</v>
      </c>
      <c r="W488" s="69"/>
    </row>
    <row r="489" spans="1:23" ht="35.1" customHeight="1" x14ac:dyDescent="0.25">
      <c r="A489" s="1">
        <f t="shared" si="38"/>
        <v>488</v>
      </c>
      <c r="B489" s="1">
        <v>737</v>
      </c>
      <c r="C489" s="39" t="s">
        <v>26</v>
      </c>
      <c r="D489" s="21">
        <v>45234</v>
      </c>
      <c r="E489" s="6">
        <v>0.83333333333333337</v>
      </c>
      <c r="F489" s="1" t="s">
        <v>1370</v>
      </c>
      <c r="G489" s="3">
        <v>39898</v>
      </c>
      <c r="H489" s="11" t="str">
        <f t="shared" si="39"/>
        <v>14 г. 7 мес. 9 дн.</v>
      </c>
      <c r="I489" s="20" t="s">
        <v>120</v>
      </c>
      <c r="J489" s="20"/>
      <c r="K489" s="1" t="s">
        <v>1371</v>
      </c>
      <c r="L489" s="1" t="s">
        <v>1372</v>
      </c>
      <c r="M489" s="1" t="s">
        <v>55</v>
      </c>
      <c r="O489" s="20" t="s">
        <v>89</v>
      </c>
      <c r="S489" s="1" t="s">
        <v>26</v>
      </c>
      <c r="T489" s="3">
        <v>45236</v>
      </c>
      <c r="U489" s="6">
        <v>0.58333333333333337</v>
      </c>
      <c r="V489" s="1" t="str">
        <f t="shared" si="40"/>
        <v>0 г. 0 мес. 2 дн.</v>
      </c>
      <c r="W489" s="69"/>
    </row>
    <row r="490" spans="1:23" ht="35.1" customHeight="1" x14ac:dyDescent="0.25">
      <c r="A490" s="1">
        <f t="shared" si="38"/>
        <v>489</v>
      </c>
      <c r="B490" s="1">
        <v>743</v>
      </c>
      <c r="C490" s="39" t="s">
        <v>26</v>
      </c>
      <c r="D490" s="21">
        <v>45236</v>
      </c>
      <c r="E490" s="6">
        <v>0.83680555555555547</v>
      </c>
      <c r="F490" s="1" t="s">
        <v>303</v>
      </c>
      <c r="G490" s="3">
        <v>40406</v>
      </c>
      <c r="H490" s="11" t="str">
        <f t="shared" si="39"/>
        <v>13 г. 2 мес. 21 дн.</v>
      </c>
      <c r="I490" s="20" t="s">
        <v>120</v>
      </c>
      <c r="J490" s="20"/>
      <c r="K490" s="1" t="s">
        <v>304</v>
      </c>
      <c r="L490" s="1" t="s">
        <v>735</v>
      </c>
      <c r="M490" s="1" t="s">
        <v>43</v>
      </c>
      <c r="O490" s="20" t="s">
        <v>89</v>
      </c>
      <c r="S490" s="1" t="s">
        <v>29</v>
      </c>
      <c r="T490" s="3">
        <v>45238</v>
      </c>
      <c r="U490" s="6">
        <v>0.5</v>
      </c>
      <c r="V490" s="1" t="str">
        <f t="shared" si="40"/>
        <v>0 г. 0 мес. 2 дн.</v>
      </c>
      <c r="W490" s="69"/>
    </row>
    <row r="491" spans="1:23" ht="35.1" customHeight="1" x14ac:dyDescent="0.25">
      <c r="A491" s="1">
        <f t="shared" si="38"/>
        <v>490</v>
      </c>
      <c r="B491" s="1">
        <v>2604</v>
      </c>
      <c r="C491" s="39" t="s">
        <v>77</v>
      </c>
      <c r="D491" s="21">
        <v>45239</v>
      </c>
      <c r="E491" s="6">
        <v>0.5</v>
      </c>
      <c r="F491" s="1" t="s">
        <v>1384</v>
      </c>
      <c r="G491" s="3">
        <v>39371</v>
      </c>
      <c r="H491" s="11" t="str">
        <f t="shared" si="39"/>
        <v>16 г. 0 мес. 24 дн.</v>
      </c>
      <c r="I491" s="20" t="s">
        <v>121</v>
      </c>
      <c r="J491" s="20" t="s">
        <v>77</v>
      </c>
      <c r="K491" s="1" t="s">
        <v>1385</v>
      </c>
      <c r="L491" s="1" t="s">
        <v>979</v>
      </c>
      <c r="M491" s="1" t="s">
        <v>49</v>
      </c>
      <c r="O491" s="20" t="s">
        <v>89</v>
      </c>
      <c r="S491" s="1" t="s">
        <v>77</v>
      </c>
      <c r="T491" s="3">
        <v>45240</v>
      </c>
      <c r="U491" s="6">
        <v>0.44375000000000003</v>
      </c>
      <c r="V491" s="1" t="str">
        <f t="shared" si="40"/>
        <v>0 г. 0 мес. 1 дн.</v>
      </c>
      <c r="W491" s="69"/>
    </row>
    <row r="492" spans="1:23" ht="35.1" customHeight="1" x14ac:dyDescent="0.25">
      <c r="A492" s="1">
        <f t="shared" si="38"/>
        <v>491</v>
      </c>
      <c r="B492" s="1">
        <v>1216</v>
      </c>
      <c r="C492" s="39" t="s">
        <v>27</v>
      </c>
      <c r="D492" s="21">
        <v>45239</v>
      </c>
      <c r="E492" s="6">
        <v>0.68055555555555547</v>
      </c>
      <c r="F492" s="1" t="s">
        <v>1373</v>
      </c>
      <c r="G492" s="3">
        <v>40698</v>
      </c>
      <c r="H492" s="11" t="str">
        <f t="shared" si="39"/>
        <v>12 г. 5 мес. 5 дн.</v>
      </c>
      <c r="I492" s="20" t="s">
        <v>120</v>
      </c>
      <c r="J492" s="20"/>
      <c r="K492" s="1" t="s">
        <v>1374</v>
      </c>
      <c r="L492" s="1" t="s">
        <v>1375</v>
      </c>
      <c r="M492" s="1" t="s">
        <v>48</v>
      </c>
      <c r="O492" s="20" t="s">
        <v>89</v>
      </c>
      <c r="S492" s="1" t="s">
        <v>27</v>
      </c>
      <c r="T492" s="3">
        <v>45243</v>
      </c>
      <c r="U492" s="6">
        <v>0.5</v>
      </c>
      <c r="V492" s="1" t="str">
        <f t="shared" si="40"/>
        <v>0 г. 0 мес. 4 дн.</v>
      </c>
      <c r="W492" s="69"/>
    </row>
    <row r="493" spans="1:23" ht="35.1" customHeight="1" x14ac:dyDescent="0.25">
      <c r="A493" s="1">
        <f t="shared" si="38"/>
        <v>492</v>
      </c>
      <c r="B493" s="1">
        <v>758</v>
      </c>
      <c r="C493" s="39" t="s">
        <v>26</v>
      </c>
      <c r="D493" s="21">
        <v>45239</v>
      </c>
      <c r="E493" s="6">
        <v>0.85416666666666663</v>
      </c>
      <c r="F493" s="1" t="s">
        <v>1117</v>
      </c>
      <c r="G493" s="3">
        <v>41694</v>
      </c>
      <c r="H493" s="11" t="str">
        <f t="shared" si="39"/>
        <v>9 г. 8 мес. 16 дн.</v>
      </c>
      <c r="I493" s="20" t="s">
        <v>123</v>
      </c>
      <c r="J493" s="20"/>
      <c r="K493" s="1" t="s">
        <v>1376</v>
      </c>
      <c r="L493" s="1" t="s">
        <v>1377</v>
      </c>
      <c r="M493" s="1" t="s">
        <v>41</v>
      </c>
      <c r="O493" s="20" t="s">
        <v>89</v>
      </c>
      <c r="S493" s="1" t="s">
        <v>82</v>
      </c>
      <c r="T493" s="3">
        <v>45244</v>
      </c>
      <c r="U493" s="6">
        <v>0.54166666666666663</v>
      </c>
      <c r="V493" s="1" t="str">
        <f t="shared" si="40"/>
        <v>0 г. 0 мес. 5 дн.</v>
      </c>
      <c r="W493" s="69"/>
    </row>
    <row r="494" spans="1:23" ht="35.1" customHeight="1" x14ac:dyDescent="0.25">
      <c r="A494" s="1">
        <f t="shared" si="38"/>
        <v>493</v>
      </c>
      <c r="B494" s="1">
        <v>2625</v>
      </c>
      <c r="C494" s="39" t="s">
        <v>77</v>
      </c>
      <c r="D494" s="21">
        <v>45239</v>
      </c>
      <c r="E494" s="6">
        <v>0.88194444444444453</v>
      </c>
      <c r="F494" s="1" t="s">
        <v>1378</v>
      </c>
      <c r="G494" s="3">
        <v>45198</v>
      </c>
      <c r="H494" s="11" t="str">
        <f t="shared" si="39"/>
        <v>0 г. 1 мес. 11 дн.</v>
      </c>
      <c r="I494" s="20" t="s">
        <v>122</v>
      </c>
      <c r="J494" s="20"/>
      <c r="K494" s="1" t="s">
        <v>1379</v>
      </c>
      <c r="L494" s="1" t="s">
        <v>502</v>
      </c>
      <c r="M494" s="1" t="s">
        <v>49</v>
      </c>
      <c r="O494" s="20" t="s">
        <v>89</v>
      </c>
      <c r="S494" s="1" t="s">
        <v>29</v>
      </c>
      <c r="T494" s="3">
        <v>45245</v>
      </c>
      <c r="U494" s="6">
        <v>0.20833333333333334</v>
      </c>
      <c r="V494" s="1" t="str">
        <f t="shared" si="40"/>
        <v>0 г. 0 мес. 6 дн.</v>
      </c>
      <c r="W494" s="69"/>
    </row>
    <row r="495" spans="1:23" ht="35.1" customHeight="1" x14ac:dyDescent="0.25">
      <c r="A495" s="1">
        <f t="shared" si="38"/>
        <v>494</v>
      </c>
      <c r="B495" s="1">
        <v>2638</v>
      </c>
      <c r="C495" s="39" t="s">
        <v>77</v>
      </c>
      <c r="D495" s="21">
        <v>45241</v>
      </c>
      <c r="E495" s="6">
        <v>0.42708333333333331</v>
      </c>
      <c r="F495" s="1" t="s">
        <v>1380</v>
      </c>
      <c r="G495" s="3">
        <v>44882</v>
      </c>
      <c r="H495" s="11" t="str">
        <f t="shared" si="39"/>
        <v>0 г. 11 мес. 25 дн.</v>
      </c>
      <c r="I495" s="20" t="s">
        <v>120</v>
      </c>
      <c r="J495" s="20"/>
      <c r="K495" s="1" t="s">
        <v>1381</v>
      </c>
      <c r="L495" s="1" t="s">
        <v>260</v>
      </c>
      <c r="M495" s="1" t="s">
        <v>54</v>
      </c>
      <c r="O495" s="20" t="s">
        <v>73</v>
      </c>
      <c r="S495" s="1" t="s">
        <v>77</v>
      </c>
      <c r="T495" s="3">
        <v>45244</v>
      </c>
      <c r="U495" s="6">
        <v>0.5</v>
      </c>
      <c r="V495" s="1" t="str">
        <f t="shared" si="40"/>
        <v>0 г. 0 мес. 3 дн.</v>
      </c>
      <c r="W495" s="69"/>
    </row>
    <row r="496" spans="1:23" ht="35.1" customHeight="1" x14ac:dyDescent="0.25">
      <c r="A496" s="1">
        <f t="shared" si="38"/>
        <v>495</v>
      </c>
      <c r="B496" s="1">
        <v>766</v>
      </c>
      <c r="C496" s="39" t="s">
        <v>82</v>
      </c>
      <c r="D496" s="21">
        <v>45242</v>
      </c>
      <c r="E496" s="6">
        <v>3.472222222222222E-3</v>
      </c>
      <c r="F496" s="1" t="s">
        <v>660</v>
      </c>
      <c r="G496" s="3">
        <v>45024</v>
      </c>
      <c r="H496" s="11" t="str">
        <f t="shared" si="39"/>
        <v>0 г. 7 мес. 4 дн.</v>
      </c>
      <c r="I496" s="20" t="s">
        <v>125</v>
      </c>
      <c r="J496" s="20" t="s">
        <v>82</v>
      </c>
      <c r="K496" s="11" t="s">
        <v>1054</v>
      </c>
      <c r="L496" s="1" t="s">
        <v>423</v>
      </c>
      <c r="M496" s="1" t="s">
        <v>56</v>
      </c>
      <c r="N496" s="1">
        <v>720</v>
      </c>
      <c r="O496" s="20" t="s">
        <v>73</v>
      </c>
      <c r="S496" s="1" t="s">
        <v>26</v>
      </c>
      <c r="T496" s="3">
        <v>45271</v>
      </c>
      <c r="U496" s="6">
        <v>0.99930555555555556</v>
      </c>
      <c r="V496" s="1" t="str">
        <f t="shared" si="40"/>
        <v>0 г. 0 мес. 29 дн.</v>
      </c>
      <c r="W496" s="69"/>
    </row>
    <row r="497" spans="1:23" ht="35.1" customHeight="1" x14ac:dyDescent="0.25">
      <c r="A497" s="1">
        <f t="shared" si="38"/>
        <v>496</v>
      </c>
      <c r="B497" s="1">
        <v>763</v>
      </c>
      <c r="C497" s="39" t="s">
        <v>26</v>
      </c>
      <c r="D497" s="21">
        <v>45240</v>
      </c>
      <c r="E497" s="6">
        <v>0.74305555555555547</v>
      </c>
      <c r="F497" s="1" t="s">
        <v>1386</v>
      </c>
      <c r="G497" s="3">
        <v>40340</v>
      </c>
      <c r="H497" s="11" t="str">
        <f t="shared" si="39"/>
        <v>13 г. 4 мес. 30 дн.</v>
      </c>
      <c r="I497" s="20" t="s">
        <v>123</v>
      </c>
      <c r="J497" s="20"/>
      <c r="K497" s="1" t="s">
        <v>1387</v>
      </c>
      <c r="L497" s="1" t="s">
        <v>1388</v>
      </c>
      <c r="M497" s="1" t="s">
        <v>47</v>
      </c>
      <c r="O497" s="20" t="s">
        <v>89</v>
      </c>
      <c r="S497" s="1" t="s">
        <v>29</v>
      </c>
      <c r="T497" s="3">
        <v>45243</v>
      </c>
      <c r="U497" s="6">
        <v>0.5</v>
      </c>
      <c r="V497" s="1" t="str">
        <f t="shared" si="40"/>
        <v>0 г. 0 мес. 3 дн.</v>
      </c>
      <c r="W497" s="69"/>
    </row>
    <row r="498" spans="1:23" ht="35.1" customHeight="1" x14ac:dyDescent="0.25">
      <c r="A498" s="96">
        <f t="shared" si="38"/>
        <v>497</v>
      </c>
      <c r="B498" s="96">
        <v>768</v>
      </c>
      <c r="C498" s="97" t="s">
        <v>82</v>
      </c>
      <c r="D498" s="98">
        <v>45243</v>
      </c>
      <c r="E498" s="99">
        <v>3.472222222222222E-3</v>
      </c>
      <c r="F498" s="96" t="s">
        <v>1008</v>
      </c>
      <c r="G498" s="98">
        <v>45113</v>
      </c>
      <c r="H498" s="96" t="str">
        <f t="shared" si="39"/>
        <v>0 г. 4 мес. 7 дн.</v>
      </c>
      <c r="I498" s="96" t="s">
        <v>125</v>
      </c>
      <c r="J498" s="96" t="s">
        <v>82</v>
      </c>
      <c r="K498" s="96" t="s">
        <v>1009</v>
      </c>
      <c r="L498" s="96" t="s">
        <v>423</v>
      </c>
      <c r="M498" s="96" t="s">
        <v>56</v>
      </c>
      <c r="N498" s="96">
        <v>515</v>
      </c>
      <c r="O498" s="96" t="s">
        <v>73</v>
      </c>
      <c r="P498" s="96"/>
      <c r="Q498" s="96"/>
      <c r="R498" s="96"/>
      <c r="S498" s="96" t="s">
        <v>30</v>
      </c>
      <c r="T498" s="98">
        <v>45264</v>
      </c>
      <c r="U498" s="99">
        <v>0.61111111111111105</v>
      </c>
      <c r="V498" s="96" t="str">
        <f t="shared" si="40"/>
        <v>0 г. 0 мес. 21 дн.</v>
      </c>
      <c r="W498" s="69"/>
    </row>
    <row r="499" spans="1:23" ht="35.1" customHeight="1" x14ac:dyDescent="0.25">
      <c r="A499" s="1">
        <f t="shared" si="38"/>
        <v>498</v>
      </c>
      <c r="B499" s="1">
        <v>2658</v>
      </c>
      <c r="C499" s="39" t="s">
        <v>77</v>
      </c>
      <c r="D499" s="21">
        <v>45243</v>
      </c>
      <c r="E499" s="6">
        <v>0.73263888888888884</v>
      </c>
      <c r="F499" s="1" t="s">
        <v>1389</v>
      </c>
      <c r="G499" s="3">
        <v>44392</v>
      </c>
      <c r="H499" s="11" t="str">
        <f t="shared" si="39"/>
        <v>2 г. 3 мес. 29 дн.</v>
      </c>
      <c r="I499" s="20" t="s">
        <v>120</v>
      </c>
      <c r="J499" s="20"/>
      <c r="K499" s="1" t="s">
        <v>1390</v>
      </c>
      <c r="L499" s="1" t="s">
        <v>1391</v>
      </c>
      <c r="M499" s="1" t="s">
        <v>46</v>
      </c>
      <c r="O499" s="20" t="s">
        <v>89</v>
      </c>
      <c r="S499" s="1" t="s">
        <v>77</v>
      </c>
      <c r="T499" s="3">
        <v>45244</v>
      </c>
      <c r="U499" s="6">
        <v>0.5</v>
      </c>
      <c r="V499" s="1" t="str">
        <f t="shared" si="40"/>
        <v>0 г. 0 мес. 1 дн.</v>
      </c>
      <c r="W499" s="69"/>
    </row>
    <row r="500" spans="1:23" ht="35.1" customHeight="1" x14ac:dyDescent="0.25">
      <c r="A500" s="1">
        <f t="shared" si="38"/>
        <v>499</v>
      </c>
      <c r="B500" s="1">
        <v>2654</v>
      </c>
      <c r="C500" s="39" t="s">
        <v>77</v>
      </c>
      <c r="D500" s="21">
        <v>45244</v>
      </c>
      <c r="E500" s="6">
        <v>0.45833333333333331</v>
      </c>
      <c r="F500" s="1" t="s">
        <v>1392</v>
      </c>
      <c r="G500" s="3">
        <v>45276</v>
      </c>
      <c r="H500" s="11" t="e">
        <f t="shared" si="39"/>
        <v>#NUM!</v>
      </c>
      <c r="I500" s="20" t="s">
        <v>121</v>
      </c>
      <c r="J500" s="20"/>
      <c r="K500" s="1" t="s">
        <v>1393</v>
      </c>
      <c r="L500" s="1" t="s">
        <v>1394</v>
      </c>
      <c r="M500" s="1" t="s">
        <v>49</v>
      </c>
      <c r="O500" s="20" t="s">
        <v>89</v>
      </c>
      <c r="S500" s="1" t="s">
        <v>77</v>
      </c>
      <c r="T500" s="3">
        <v>45244</v>
      </c>
      <c r="U500" s="6">
        <v>0.75</v>
      </c>
      <c r="V500" s="1" t="str">
        <f t="shared" si="40"/>
        <v>0 г. 0 мес. 0 дн.</v>
      </c>
      <c r="W500" s="69"/>
    </row>
    <row r="501" spans="1:23" ht="35.1" customHeight="1" x14ac:dyDescent="0.25">
      <c r="A501" s="1">
        <f t="shared" si="38"/>
        <v>500</v>
      </c>
      <c r="B501" s="1">
        <v>598</v>
      </c>
      <c r="C501" s="39" t="s">
        <v>25</v>
      </c>
      <c r="D501" s="21">
        <v>45243</v>
      </c>
      <c r="E501" s="6">
        <v>0.64583333333333337</v>
      </c>
      <c r="F501" s="1" t="s">
        <v>1395</v>
      </c>
      <c r="G501" s="3">
        <v>45216</v>
      </c>
      <c r="H501" s="11" t="str">
        <f t="shared" si="39"/>
        <v>0 г. 0 мес. 27 дн.</v>
      </c>
      <c r="I501" s="20" t="s">
        <v>123</v>
      </c>
      <c r="J501" s="20"/>
      <c r="K501" s="1" t="s">
        <v>509</v>
      </c>
      <c r="L501" s="1" t="s">
        <v>1396</v>
      </c>
      <c r="M501" s="1" t="s">
        <v>42</v>
      </c>
      <c r="N501" s="1">
        <v>525</v>
      </c>
      <c r="O501" s="20" t="s">
        <v>73</v>
      </c>
      <c r="Q501" s="1" t="s">
        <v>102</v>
      </c>
      <c r="S501" s="1" t="s">
        <v>27</v>
      </c>
      <c r="T501" s="3">
        <v>45265</v>
      </c>
      <c r="U501" s="6">
        <v>0.99652777777777779</v>
      </c>
      <c r="V501" s="1" t="str">
        <f t="shared" si="40"/>
        <v>0 г. 0 мес. 22 дн.</v>
      </c>
      <c r="W501" s="69"/>
    </row>
    <row r="502" spans="1:23" ht="35.1" customHeight="1" x14ac:dyDescent="0.25">
      <c r="A502" s="1">
        <f t="shared" si="38"/>
        <v>501</v>
      </c>
      <c r="B502" s="1">
        <v>2680</v>
      </c>
      <c r="C502" s="39" t="s">
        <v>77</v>
      </c>
      <c r="D502" s="21">
        <v>45247</v>
      </c>
      <c r="E502" s="6">
        <v>0.5</v>
      </c>
      <c r="F502" s="1" t="s">
        <v>1434</v>
      </c>
      <c r="G502" s="3">
        <v>40007</v>
      </c>
      <c r="H502" s="11" t="str">
        <f t="shared" si="39"/>
        <v>14 г. 4 мес. 4 дн.</v>
      </c>
      <c r="I502" s="20" t="s">
        <v>121</v>
      </c>
      <c r="J502" s="20" t="s">
        <v>77</v>
      </c>
      <c r="K502" s="1" t="s">
        <v>1287</v>
      </c>
      <c r="L502" s="1" t="s">
        <v>1397</v>
      </c>
      <c r="M502" s="1" t="s">
        <v>49</v>
      </c>
      <c r="O502" s="20" t="s">
        <v>89</v>
      </c>
      <c r="S502" s="1" t="s">
        <v>77</v>
      </c>
      <c r="T502" s="3">
        <v>45248</v>
      </c>
      <c r="U502" s="6">
        <v>0.45833333333333331</v>
      </c>
      <c r="V502" s="1" t="str">
        <f t="shared" si="40"/>
        <v>0 г. 0 мес. 1 дн.</v>
      </c>
      <c r="W502" s="69"/>
    </row>
    <row r="503" spans="1:23" ht="35.1" customHeight="1" x14ac:dyDescent="0.25">
      <c r="A503" s="1">
        <f t="shared" si="38"/>
        <v>502</v>
      </c>
      <c r="B503" s="1">
        <v>784</v>
      </c>
      <c r="C503" s="39" t="s">
        <v>26</v>
      </c>
      <c r="D503" s="21">
        <v>45247</v>
      </c>
      <c r="E503" s="6">
        <v>0.4548611111111111</v>
      </c>
      <c r="F503" s="1" t="s">
        <v>1386</v>
      </c>
      <c r="G503" s="3">
        <v>40340</v>
      </c>
      <c r="H503" s="11" t="str">
        <f t="shared" si="39"/>
        <v>13 г. 5 мес. 6 дн.</v>
      </c>
      <c r="I503" s="20" t="s">
        <v>123</v>
      </c>
      <c r="J503" s="20"/>
      <c r="K503" s="1" t="s">
        <v>509</v>
      </c>
      <c r="L503" s="1" t="s">
        <v>1388</v>
      </c>
      <c r="M503" s="1" t="s">
        <v>47</v>
      </c>
      <c r="O503" s="20" t="s">
        <v>89</v>
      </c>
      <c r="S503" s="1" t="s">
        <v>29</v>
      </c>
      <c r="T503" s="3">
        <v>45250</v>
      </c>
      <c r="U503" s="6">
        <v>0.54166666666666663</v>
      </c>
      <c r="V503" s="1" t="str">
        <f t="shared" si="40"/>
        <v>0 г. 0 мес. 3 дн.</v>
      </c>
      <c r="W503" s="69"/>
    </row>
    <row r="504" spans="1:23" ht="35.1" customHeight="1" x14ac:dyDescent="0.25">
      <c r="A504" s="1">
        <f t="shared" si="38"/>
        <v>503</v>
      </c>
      <c r="B504" s="1">
        <v>787</v>
      </c>
      <c r="C504" s="39" t="s">
        <v>26</v>
      </c>
      <c r="D504" s="21">
        <v>45248</v>
      </c>
      <c r="E504" s="6">
        <v>0.18055555555555555</v>
      </c>
      <c r="F504" s="1" t="s">
        <v>1398</v>
      </c>
      <c r="G504" s="3">
        <v>39497</v>
      </c>
      <c r="H504" s="11" t="str">
        <f t="shared" si="39"/>
        <v>15 г. 8 мес. 30 дн.</v>
      </c>
      <c r="I504" s="20" t="s">
        <v>120</v>
      </c>
      <c r="J504" s="20"/>
      <c r="K504" s="1" t="s">
        <v>1399</v>
      </c>
      <c r="L504" s="1" t="s">
        <v>1400</v>
      </c>
      <c r="M504" s="1" t="s">
        <v>55</v>
      </c>
      <c r="O504" s="20" t="s">
        <v>92</v>
      </c>
      <c r="S504" s="1" t="s">
        <v>26</v>
      </c>
      <c r="T504" s="3">
        <v>45253</v>
      </c>
      <c r="U504" s="6">
        <v>0.625</v>
      </c>
      <c r="V504" s="1" t="str">
        <f t="shared" si="40"/>
        <v>0 г. 0 мес. 5 дн.</v>
      </c>
      <c r="W504" s="69"/>
    </row>
    <row r="505" spans="1:23" ht="35.1" customHeight="1" x14ac:dyDescent="0.25">
      <c r="A505" s="1">
        <f t="shared" si="38"/>
        <v>504</v>
      </c>
      <c r="B505" s="1">
        <v>770</v>
      </c>
      <c r="C505" s="39" t="s">
        <v>26</v>
      </c>
      <c r="D505" s="21">
        <v>45248</v>
      </c>
      <c r="E505" s="6">
        <v>0.79861111111111116</v>
      </c>
      <c r="F505" s="1" t="s">
        <v>1433</v>
      </c>
      <c r="G505" s="3">
        <v>39965</v>
      </c>
      <c r="H505" s="11" t="str">
        <f t="shared" si="39"/>
        <v>14 г. 5 мес. 17 дн.</v>
      </c>
      <c r="I505" s="20" t="s">
        <v>120</v>
      </c>
      <c r="J505" s="20"/>
      <c r="K505" s="1" t="s">
        <v>1401</v>
      </c>
      <c r="L505" s="1" t="s">
        <v>725</v>
      </c>
      <c r="M505" s="1" t="s">
        <v>55</v>
      </c>
      <c r="O505" s="20" t="s">
        <v>89</v>
      </c>
      <c r="S505" s="1" t="s">
        <v>26</v>
      </c>
      <c r="T505" s="3">
        <v>45249</v>
      </c>
      <c r="U505" s="6">
        <v>0.4826388888888889</v>
      </c>
      <c r="V505" s="1" t="str">
        <f t="shared" si="40"/>
        <v>0 г. 0 мес. 1 дн.</v>
      </c>
      <c r="W505" s="69"/>
    </row>
    <row r="506" spans="1:23" s="8" customFormat="1" ht="35.1" customHeight="1" x14ac:dyDescent="0.25">
      <c r="A506" s="1">
        <f t="shared" si="38"/>
        <v>505</v>
      </c>
      <c r="B506" s="1">
        <v>793</v>
      </c>
      <c r="C506" s="39" t="s">
        <v>26</v>
      </c>
      <c r="D506" s="21">
        <v>45249</v>
      </c>
      <c r="E506" s="6">
        <v>0.85069444444444453</v>
      </c>
      <c r="F506" s="1" t="s">
        <v>801</v>
      </c>
      <c r="G506" s="3">
        <v>40461</v>
      </c>
      <c r="H506" s="11" t="str">
        <f t="shared" si="39"/>
        <v>13 г. 1 мес. 9 дн.</v>
      </c>
      <c r="I506" s="20" t="s">
        <v>120</v>
      </c>
      <c r="J506" s="20"/>
      <c r="K506" s="1" t="s">
        <v>509</v>
      </c>
      <c r="L506" s="1" t="s">
        <v>725</v>
      </c>
      <c r="M506" s="1" t="s">
        <v>55</v>
      </c>
      <c r="N506" s="1"/>
      <c r="O506" s="20" t="s">
        <v>89</v>
      </c>
      <c r="P506" s="1"/>
      <c r="Q506" s="1"/>
      <c r="R506" s="1"/>
      <c r="S506" s="1" t="s">
        <v>26</v>
      </c>
      <c r="T506" s="3">
        <v>45250</v>
      </c>
      <c r="U506" s="6">
        <v>0.5</v>
      </c>
      <c r="V506" s="1" t="str">
        <f t="shared" si="40"/>
        <v>0 г. 0 мес. 1 дн.</v>
      </c>
      <c r="W506" s="73"/>
    </row>
    <row r="507" spans="1:23" ht="35.1" customHeight="1" x14ac:dyDescent="0.25">
      <c r="A507" s="1">
        <f t="shared" si="38"/>
        <v>506</v>
      </c>
      <c r="B507" s="8">
        <v>794</v>
      </c>
      <c r="C507" s="39" t="s">
        <v>26</v>
      </c>
      <c r="D507" s="21">
        <v>45250</v>
      </c>
      <c r="E507" s="10">
        <v>9.7222222222222224E-2</v>
      </c>
      <c r="F507" s="8" t="s">
        <v>1429</v>
      </c>
      <c r="G507" s="9">
        <v>43770</v>
      </c>
      <c r="H507" s="11" t="str">
        <f t="shared" si="39"/>
        <v>4 г. 0 мес. 19 дн.</v>
      </c>
      <c r="I507" s="20" t="s">
        <v>123</v>
      </c>
      <c r="J507" s="20"/>
      <c r="K507" s="8" t="s">
        <v>1430</v>
      </c>
      <c r="L507" s="8" t="s">
        <v>1403</v>
      </c>
      <c r="M507" s="1" t="s">
        <v>55</v>
      </c>
      <c r="N507" s="8"/>
      <c r="O507" s="20" t="s">
        <v>89</v>
      </c>
      <c r="P507" s="8"/>
      <c r="Q507" s="8"/>
      <c r="R507" s="8"/>
      <c r="S507" s="8" t="s">
        <v>26</v>
      </c>
      <c r="T507" s="9">
        <v>45250</v>
      </c>
      <c r="U507" s="10">
        <v>0.47916666666666669</v>
      </c>
      <c r="V507" s="1" t="str">
        <f t="shared" si="40"/>
        <v>0 г. 0 мес. 0 дн.</v>
      </c>
      <c r="W507" s="69"/>
    </row>
    <row r="508" spans="1:23" ht="35.1" customHeight="1" x14ac:dyDescent="0.25">
      <c r="A508" s="1">
        <f t="shared" si="38"/>
        <v>507</v>
      </c>
      <c r="B508" s="1">
        <v>795</v>
      </c>
      <c r="C508" s="39" t="s">
        <v>82</v>
      </c>
      <c r="D508" s="21">
        <v>45251</v>
      </c>
      <c r="E508" s="6">
        <v>0.28819444444444448</v>
      </c>
      <c r="F508" s="1" t="s">
        <v>343</v>
      </c>
      <c r="G508" s="3">
        <v>40323</v>
      </c>
      <c r="H508" s="11" t="str">
        <f t="shared" si="39"/>
        <v>13 г. 5 мес. 27 дн.</v>
      </c>
      <c r="I508" s="20" t="s">
        <v>120</v>
      </c>
      <c r="J508" s="20"/>
      <c r="K508" s="1" t="s">
        <v>509</v>
      </c>
      <c r="L508" s="1" t="s">
        <v>1404</v>
      </c>
      <c r="M508" s="1" t="s">
        <v>48</v>
      </c>
      <c r="N508" s="1">
        <v>720</v>
      </c>
      <c r="O508" s="20" t="s">
        <v>73</v>
      </c>
      <c r="Q508" s="1" t="s">
        <v>149</v>
      </c>
      <c r="S508" s="1" t="s">
        <v>82</v>
      </c>
      <c r="T508" s="3">
        <v>45280</v>
      </c>
      <c r="U508" s="6">
        <v>0.99930555555555556</v>
      </c>
      <c r="V508" s="1" t="str">
        <f t="shared" si="40"/>
        <v>0 г. 0 мес. 29 дн.</v>
      </c>
      <c r="W508" s="69"/>
    </row>
    <row r="509" spans="1:23" ht="35.1" customHeight="1" x14ac:dyDescent="0.25">
      <c r="A509" s="1">
        <f t="shared" si="38"/>
        <v>508</v>
      </c>
      <c r="B509" s="1">
        <v>2704</v>
      </c>
      <c r="C509" s="39" t="s">
        <v>77</v>
      </c>
      <c r="D509" s="21">
        <v>45251</v>
      </c>
      <c r="E509" s="6">
        <v>0.63888888888888895</v>
      </c>
      <c r="F509" s="1" t="s">
        <v>538</v>
      </c>
      <c r="G509" s="3">
        <v>40456</v>
      </c>
      <c r="H509" s="11" t="str">
        <f t="shared" si="39"/>
        <v>13 г. 1 мес. 16 дн.</v>
      </c>
      <c r="I509" s="20" t="s">
        <v>121</v>
      </c>
      <c r="J509" s="20" t="s">
        <v>77</v>
      </c>
      <c r="K509" s="1" t="s">
        <v>952</v>
      </c>
      <c r="L509" s="1" t="s">
        <v>1405</v>
      </c>
      <c r="M509" s="1" t="s">
        <v>46</v>
      </c>
      <c r="O509" s="20" t="s">
        <v>89</v>
      </c>
      <c r="S509" s="1" t="s">
        <v>77</v>
      </c>
      <c r="T509" s="3">
        <v>45252</v>
      </c>
      <c r="U509" s="6">
        <v>0.91666666666666663</v>
      </c>
      <c r="V509" s="1" t="str">
        <f t="shared" si="40"/>
        <v>0 г. 0 мес. 1 дн.</v>
      </c>
      <c r="W509" s="69"/>
    </row>
    <row r="510" spans="1:23" ht="35.1" customHeight="1" x14ac:dyDescent="0.25">
      <c r="A510" s="1">
        <f t="shared" si="38"/>
        <v>509</v>
      </c>
      <c r="B510" s="1">
        <v>800</v>
      </c>
      <c r="C510" s="39" t="s">
        <v>82</v>
      </c>
      <c r="D510" s="21">
        <v>45252</v>
      </c>
      <c r="E510" s="6">
        <v>0.20833333333333334</v>
      </c>
      <c r="F510" s="1" t="s">
        <v>1432</v>
      </c>
      <c r="G510" s="3">
        <v>42859</v>
      </c>
      <c r="H510" s="11" t="str">
        <f t="shared" si="39"/>
        <v>6 г. 6 мес. 18 дн.</v>
      </c>
      <c r="I510" s="20" t="s">
        <v>123</v>
      </c>
      <c r="J510" s="20"/>
      <c r="K510" s="1" t="s">
        <v>509</v>
      </c>
      <c r="L510" s="1" t="s">
        <v>1406</v>
      </c>
      <c r="M510" s="1" t="s">
        <v>56</v>
      </c>
      <c r="O510" s="20" t="s">
        <v>73</v>
      </c>
      <c r="S510" s="1" t="s">
        <v>82</v>
      </c>
      <c r="T510" s="3">
        <v>45253</v>
      </c>
      <c r="U510" s="6">
        <v>0.54166666666666663</v>
      </c>
      <c r="V510" s="1" t="str">
        <f t="shared" si="40"/>
        <v>0 г. 0 мес. 1 дн.</v>
      </c>
      <c r="W510" s="69"/>
    </row>
    <row r="511" spans="1:23" ht="35.1" customHeight="1" x14ac:dyDescent="0.25">
      <c r="A511" s="1">
        <f t="shared" si="38"/>
        <v>510</v>
      </c>
      <c r="B511" s="1">
        <v>1620</v>
      </c>
      <c r="C511" s="39" t="s">
        <v>23</v>
      </c>
      <c r="D511" s="21">
        <v>45252</v>
      </c>
      <c r="E511" s="6">
        <v>0.5</v>
      </c>
      <c r="F511" s="1" t="s">
        <v>1437</v>
      </c>
      <c r="G511" s="3">
        <v>40204</v>
      </c>
      <c r="H511" s="11" t="str">
        <f t="shared" si="39"/>
        <v>13 г. 9 мес. 27 дн.</v>
      </c>
      <c r="I511" s="20" t="s">
        <v>121</v>
      </c>
      <c r="J511" s="20" t="s">
        <v>23</v>
      </c>
      <c r="K511" s="1" t="s">
        <v>1407</v>
      </c>
      <c r="L511" s="1" t="s">
        <v>1408</v>
      </c>
      <c r="M511" s="1" t="s">
        <v>51</v>
      </c>
      <c r="O511" s="20" t="s">
        <v>89</v>
      </c>
      <c r="P511" s="1" t="s">
        <v>96</v>
      </c>
      <c r="S511" s="1" t="s">
        <v>77</v>
      </c>
      <c r="T511" s="3">
        <v>45253</v>
      </c>
      <c r="U511" s="6">
        <v>0.5</v>
      </c>
      <c r="V511" s="1" t="str">
        <f t="shared" si="40"/>
        <v>0 г. 0 мес. 1 дн.</v>
      </c>
      <c r="W511" s="69"/>
    </row>
    <row r="512" spans="1:23" ht="35.1" customHeight="1" x14ac:dyDescent="0.25">
      <c r="A512" s="1">
        <f t="shared" si="38"/>
        <v>511</v>
      </c>
      <c r="B512" s="1">
        <v>1621</v>
      </c>
      <c r="C512" s="39" t="s">
        <v>23</v>
      </c>
      <c r="D512" s="21">
        <v>45252</v>
      </c>
      <c r="E512" s="6">
        <v>0.60416666666666663</v>
      </c>
      <c r="F512" s="1" t="s">
        <v>411</v>
      </c>
      <c r="G512" s="3">
        <v>41377</v>
      </c>
      <c r="H512" s="11" t="str">
        <f t="shared" si="39"/>
        <v>10 г. 7 мес. 9 дн.</v>
      </c>
      <c r="I512" s="20" t="s">
        <v>121</v>
      </c>
      <c r="J512" s="20" t="s">
        <v>23</v>
      </c>
      <c r="K512" s="1" t="s">
        <v>1409</v>
      </c>
      <c r="L512" s="1" t="s">
        <v>1410</v>
      </c>
      <c r="M512" s="1" t="s">
        <v>51</v>
      </c>
      <c r="O512" s="20" t="s">
        <v>89</v>
      </c>
      <c r="P512" s="1" t="s">
        <v>96</v>
      </c>
      <c r="S512" s="1" t="s">
        <v>23</v>
      </c>
      <c r="T512" s="3">
        <v>45253</v>
      </c>
      <c r="U512" s="6">
        <v>0.45833333333333331</v>
      </c>
      <c r="V512" s="1" t="str">
        <f t="shared" si="40"/>
        <v>0 г. 0 мес. 1 дн.</v>
      </c>
      <c r="W512" s="69"/>
    </row>
    <row r="513" spans="1:23" ht="35.1" customHeight="1" x14ac:dyDescent="0.25">
      <c r="A513" s="1">
        <f t="shared" ref="A513:A576" si="41">ROW(A512)</f>
        <v>512</v>
      </c>
      <c r="B513" s="1">
        <v>769</v>
      </c>
      <c r="C513" s="39" t="s">
        <v>82</v>
      </c>
      <c r="D513" s="21">
        <v>45252</v>
      </c>
      <c r="E513" s="6">
        <v>0.4861111111111111</v>
      </c>
      <c r="F513" s="1" t="s">
        <v>1435</v>
      </c>
      <c r="G513" s="3">
        <v>44218</v>
      </c>
      <c r="H513" s="11" t="str">
        <f t="shared" ref="H513:H576" si="42">DATEDIF(G513,D513,"y") &amp; " г. " &amp; DATEDIF(G513,D513,"ym") &amp; " мес. " &amp; DATEDIF(G513,D513,"md") &amp; " дн."</f>
        <v>2 г. 10 мес. 0 дн.</v>
      </c>
      <c r="I513" s="20" t="s">
        <v>122</v>
      </c>
      <c r="J513" s="20" t="s">
        <v>82</v>
      </c>
      <c r="K513" s="1" t="s">
        <v>839</v>
      </c>
      <c r="L513" s="1" t="s">
        <v>1411</v>
      </c>
      <c r="M513" s="1" t="s">
        <v>46</v>
      </c>
      <c r="O513" s="20" t="s">
        <v>89</v>
      </c>
      <c r="S513" s="1" t="s">
        <v>82</v>
      </c>
      <c r="T513" s="3">
        <v>45257</v>
      </c>
      <c r="U513" s="6">
        <v>0.5</v>
      </c>
      <c r="V513" s="1" t="str">
        <f t="shared" si="40"/>
        <v>0 г. 0 мес. 5 дн.</v>
      </c>
      <c r="W513" s="69"/>
    </row>
    <row r="514" spans="1:23" ht="35.1" customHeight="1" x14ac:dyDescent="0.25">
      <c r="A514" s="1">
        <f t="shared" si="41"/>
        <v>513</v>
      </c>
      <c r="B514" s="1">
        <v>1229</v>
      </c>
      <c r="C514" s="39" t="s">
        <v>27</v>
      </c>
      <c r="D514" s="21">
        <v>45253</v>
      </c>
      <c r="E514" s="6">
        <v>0.60416666666666663</v>
      </c>
      <c r="F514" s="1" t="s">
        <v>1436</v>
      </c>
      <c r="G514" s="3">
        <v>45184</v>
      </c>
      <c r="H514" s="11" t="str">
        <f t="shared" si="42"/>
        <v>0 г. 2 мес. 8 дн.</v>
      </c>
      <c r="I514" s="20" t="s">
        <v>122</v>
      </c>
      <c r="J514" s="20" t="s">
        <v>27</v>
      </c>
      <c r="L514" s="1" t="s">
        <v>1412</v>
      </c>
      <c r="M514" s="1" t="s">
        <v>47</v>
      </c>
      <c r="O514" s="20" t="s">
        <v>89</v>
      </c>
      <c r="Q514" s="1" t="s">
        <v>103</v>
      </c>
      <c r="S514" s="1" t="s">
        <v>27</v>
      </c>
      <c r="T514" s="3">
        <v>45253</v>
      </c>
      <c r="U514" s="6">
        <v>0.89583333333333337</v>
      </c>
      <c r="V514" s="1" t="str">
        <f t="shared" si="40"/>
        <v>0 г. 0 мес. 0 дн.</v>
      </c>
      <c r="W514" s="69"/>
    </row>
    <row r="515" spans="1:23" ht="35.1" customHeight="1" x14ac:dyDescent="0.25">
      <c r="A515" s="1">
        <f t="shared" si="41"/>
        <v>514</v>
      </c>
      <c r="B515" s="1">
        <v>2765</v>
      </c>
      <c r="C515" s="39" t="s">
        <v>77</v>
      </c>
      <c r="D515" s="21">
        <v>45255</v>
      </c>
      <c r="E515" s="6">
        <v>0.1388888888888889</v>
      </c>
      <c r="F515" s="1" t="s">
        <v>1413</v>
      </c>
      <c r="G515" s="3">
        <v>39614</v>
      </c>
      <c r="H515" s="11" t="str">
        <f>DATEDIF(G515,D515,"y") &amp; " г. " &amp; DATEDIF(G515,D515,"ym") &amp; " мес. " &amp; DATEDIF(G515,D515,"md") &amp; " дн."</f>
        <v>15 г. 5 мес. 10 дн.</v>
      </c>
      <c r="I515" s="20" t="s">
        <v>121</v>
      </c>
      <c r="J515" s="20" t="s">
        <v>77</v>
      </c>
      <c r="K515" s="1" t="s">
        <v>1414</v>
      </c>
      <c r="L515" s="1" t="s">
        <v>1442</v>
      </c>
      <c r="M515" s="1" t="s">
        <v>50</v>
      </c>
      <c r="O515" s="20" t="s">
        <v>89</v>
      </c>
      <c r="Q515" s="1" t="s">
        <v>102</v>
      </c>
      <c r="S515" s="1" t="s">
        <v>77</v>
      </c>
      <c r="T515" s="3">
        <v>45255</v>
      </c>
      <c r="U515" s="6">
        <v>0.91666666666666663</v>
      </c>
      <c r="V515" s="1" t="str">
        <f>DATEDIF(D515,T515,"y") &amp; " г. " &amp; DATEDIF(D515,T515,"ym") &amp; " мес. " &amp; DATEDIF(D515,T515,"md") &amp; " дн."</f>
        <v>0 г. 0 мес. 0 дн.</v>
      </c>
      <c r="W515" s="69"/>
    </row>
    <row r="516" spans="1:23" s="8" customFormat="1" ht="35.1" customHeight="1" x14ac:dyDescent="0.25">
      <c r="A516" s="1">
        <f t="shared" si="41"/>
        <v>515</v>
      </c>
      <c r="B516" s="1">
        <v>813</v>
      </c>
      <c r="C516" s="39" t="s">
        <v>26</v>
      </c>
      <c r="D516" s="21">
        <v>45256</v>
      </c>
      <c r="E516" s="6">
        <v>0.47222222222222227</v>
      </c>
      <c r="F516" s="1" t="s">
        <v>1428</v>
      </c>
      <c r="G516" s="3">
        <v>39672</v>
      </c>
      <c r="H516" s="11" t="str">
        <f t="shared" si="42"/>
        <v>15 г. 3 мес. 14 дн.</v>
      </c>
      <c r="I516" s="20" t="s">
        <v>123</v>
      </c>
      <c r="J516" s="20"/>
      <c r="K516" s="1" t="s">
        <v>1415</v>
      </c>
      <c r="L516" s="1" t="s">
        <v>1417</v>
      </c>
      <c r="M516" s="1" t="s">
        <v>43</v>
      </c>
      <c r="N516" s="1"/>
      <c r="O516" s="20" t="s">
        <v>89</v>
      </c>
      <c r="P516" s="1"/>
      <c r="Q516" s="1"/>
      <c r="R516" s="1"/>
      <c r="S516" s="1" t="s">
        <v>27</v>
      </c>
      <c r="T516" s="3">
        <v>45259</v>
      </c>
      <c r="U516" s="6">
        <v>0.5</v>
      </c>
      <c r="V516" s="1" t="str">
        <f t="shared" si="40"/>
        <v>0 г. 0 мес. 3 дн.</v>
      </c>
      <c r="W516" s="73"/>
    </row>
    <row r="517" spans="1:23" ht="35.1" customHeight="1" x14ac:dyDescent="0.25">
      <c r="A517" s="1">
        <f t="shared" si="41"/>
        <v>516</v>
      </c>
      <c r="B517" s="8">
        <v>1280</v>
      </c>
      <c r="C517" s="41" t="s">
        <v>27</v>
      </c>
      <c r="D517" s="21">
        <v>45256</v>
      </c>
      <c r="E517" s="10">
        <v>0.63194444444444442</v>
      </c>
      <c r="F517" s="8" t="s">
        <v>1431</v>
      </c>
      <c r="G517" s="9">
        <v>43852</v>
      </c>
      <c r="H517" s="11" t="str">
        <f t="shared" si="42"/>
        <v>3 г. 10 мес. 4 дн.</v>
      </c>
      <c r="I517" s="20" t="s">
        <v>123</v>
      </c>
      <c r="J517" s="20"/>
      <c r="K517" s="8" t="s">
        <v>1402</v>
      </c>
      <c r="L517" s="8" t="s">
        <v>1416</v>
      </c>
      <c r="M517" s="8" t="s">
        <v>48</v>
      </c>
      <c r="N517" s="8"/>
      <c r="O517" s="20" t="s">
        <v>89</v>
      </c>
      <c r="P517" s="8"/>
      <c r="Q517" s="8"/>
      <c r="R517" s="8"/>
      <c r="S517" s="8" t="s">
        <v>27</v>
      </c>
      <c r="T517" s="9">
        <v>45257</v>
      </c>
      <c r="U517" s="10">
        <v>0.5</v>
      </c>
      <c r="V517" s="1" t="str">
        <f t="shared" si="40"/>
        <v>0 г. 0 мес. 1 дн.</v>
      </c>
      <c r="W517" s="69"/>
    </row>
    <row r="518" spans="1:23" ht="35.1" customHeight="1" x14ac:dyDescent="0.25">
      <c r="A518" s="1">
        <f t="shared" si="41"/>
        <v>517</v>
      </c>
      <c r="B518" s="1">
        <v>818</v>
      </c>
      <c r="C518" s="39" t="s">
        <v>26</v>
      </c>
      <c r="D518" s="21">
        <v>45257</v>
      </c>
      <c r="E518" s="6">
        <v>0.24305555555555555</v>
      </c>
      <c r="F518" s="1" t="s">
        <v>1427</v>
      </c>
      <c r="G518" s="3"/>
      <c r="H518" s="11" t="str">
        <f t="shared" si="42"/>
        <v>123 г. 10 мес. 27 дн.</v>
      </c>
      <c r="I518" s="20" t="s">
        <v>120</v>
      </c>
      <c r="J518" s="20"/>
      <c r="K518" s="1" t="s">
        <v>856</v>
      </c>
      <c r="L518" s="1" t="s">
        <v>1418</v>
      </c>
      <c r="M518" s="1" t="s">
        <v>43</v>
      </c>
      <c r="O518" s="20" t="s">
        <v>89</v>
      </c>
      <c r="S518" s="1" t="s">
        <v>26</v>
      </c>
      <c r="T518" s="3">
        <v>45259</v>
      </c>
      <c r="U518" s="6">
        <v>0.5</v>
      </c>
      <c r="V518" s="1" t="str">
        <f t="shared" si="40"/>
        <v>0 г. 0 мес. 2 дн.</v>
      </c>
      <c r="W518" s="69"/>
    </row>
    <row r="519" spans="1:23" ht="35.1" customHeight="1" x14ac:dyDescent="0.25">
      <c r="A519" s="1">
        <f t="shared" si="41"/>
        <v>518</v>
      </c>
      <c r="B519" s="1">
        <v>2794</v>
      </c>
      <c r="C519" s="39" t="s">
        <v>77</v>
      </c>
      <c r="D519" s="21">
        <v>45258</v>
      </c>
      <c r="E519" s="6">
        <v>0.92708333333333337</v>
      </c>
      <c r="F519" s="1" t="s">
        <v>1426</v>
      </c>
      <c r="G519" s="3">
        <v>42925</v>
      </c>
      <c r="H519" s="11" t="str">
        <f t="shared" si="42"/>
        <v>6 г. 4 мес. 19 дн.</v>
      </c>
      <c r="I519" s="20" t="s">
        <v>120</v>
      </c>
      <c r="J519" s="20"/>
      <c r="K519" s="1" t="s">
        <v>509</v>
      </c>
      <c r="L519" s="1" t="s">
        <v>1419</v>
      </c>
      <c r="M519" s="1" t="s">
        <v>54</v>
      </c>
      <c r="O519" s="20" t="s">
        <v>89</v>
      </c>
      <c r="S519" s="1" t="s">
        <v>77</v>
      </c>
      <c r="T519" s="3">
        <v>45259</v>
      </c>
      <c r="U519" s="6">
        <v>0.5</v>
      </c>
      <c r="V519" s="1" t="str">
        <f t="shared" si="40"/>
        <v>0 г. 0 мес. 1 дн.</v>
      </c>
      <c r="W519" s="69"/>
    </row>
    <row r="520" spans="1:23" ht="35.1" customHeight="1" x14ac:dyDescent="0.25">
      <c r="A520" s="1">
        <f t="shared" si="41"/>
        <v>519</v>
      </c>
      <c r="B520" s="1">
        <v>1654</v>
      </c>
      <c r="C520" s="39" t="s">
        <v>23</v>
      </c>
      <c r="D520" s="21">
        <v>45259</v>
      </c>
      <c r="E520" s="6">
        <v>0.60416666666666663</v>
      </c>
      <c r="F520" s="1" t="s">
        <v>1420</v>
      </c>
      <c r="G520" s="3">
        <v>40009</v>
      </c>
      <c r="H520" s="11" t="str">
        <f t="shared" si="42"/>
        <v>14 г. 4 мес. 14 дн.</v>
      </c>
      <c r="I520" s="20" t="s">
        <v>121</v>
      </c>
      <c r="J520" s="20" t="s">
        <v>77</v>
      </c>
      <c r="K520" s="1" t="s">
        <v>1421</v>
      </c>
      <c r="L520" s="1" t="s">
        <v>1422</v>
      </c>
      <c r="M520" s="1" t="s">
        <v>51</v>
      </c>
      <c r="O520" s="20" t="s">
        <v>89</v>
      </c>
      <c r="P520" s="1" t="s">
        <v>96</v>
      </c>
      <c r="S520" s="1" t="s">
        <v>23</v>
      </c>
      <c r="T520" s="3">
        <v>45262</v>
      </c>
      <c r="U520" s="6">
        <v>0.5</v>
      </c>
      <c r="V520" s="1" t="str">
        <f t="shared" si="40"/>
        <v>0 г. 0 мес. 3 дн.</v>
      </c>
      <c r="W520" s="69"/>
    </row>
    <row r="521" spans="1:23" ht="35.1" customHeight="1" x14ac:dyDescent="0.25">
      <c r="A521" s="1">
        <f t="shared" si="41"/>
        <v>520</v>
      </c>
      <c r="B521" s="1">
        <v>823</v>
      </c>
      <c r="C521" s="39" t="s">
        <v>26</v>
      </c>
      <c r="D521" s="21">
        <v>45259</v>
      </c>
      <c r="E521" s="6">
        <v>0.96875</v>
      </c>
      <c r="F521" s="1" t="s">
        <v>1423</v>
      </c>
      <c r="G521" s="3">
        <v>39677</v>
      </c>
      <c r="H521" s="11" t="str">
        <f t="shared" si="42"/>
        <v>15 г. 3 мес. 12 дн.</v>
      </c>
      <c r="I521" s="20" t="s">
        <v>120</v>
      </c>
      <c r="J521" s="20"/>
      <c r="K521" s="1" t="s">
        <v>1424</v>
      </c>
      <c r="L521" s="1" t="s">
        <v>1425</v>
      </c>
      <c r="M521" s="1" t="s">
        <v>55</v>
      </c>
      <c r="O521" s="20" t="s">
        <v>89</v>
      </c>
      <c r="S521" s="1" t="s">
        <v>26</v>
      </c>
      <c r="T521" s="3">
        <v>45261</v>
      </c>
      <c r="U521" s="6">
        <v>0.5</v>
      </c>
      <c r="V521" s="1" t="str">
        <f t="shared" si="40"/>
        <v>0 г. 0 мес. 2 дн.</v>
      </c>
      <c r="W521" s="69"/>
    </row>
    <row r="522" spans="1:23" ht="35.1" customHeight="1" x14ac:dyDescent="0.25">
      <c r="A522" s="1">
        <f t="shared" si="41"/>
        <v>521</v>
      </c>
      <c r="B522" s="1">
        <v>1661</v>
      </c>
      <c r="C522" s="39" t="s">
        <v>23</v>
      </c>
      <c r="D522" s="21">
        <v>45260</v>
      </c>
      <c r="E522" s="6">
        <v>0.46527777777777773</v>
      </c>
      <c r="F522" s="1" t="s">
        <v>1438</v>
      </c>
      <c r="G522" s="3">
        <v>40093</v>
      </c>
      <c r="H522" s="11" t="str">
        <f t="shared" si="42"/>
        <v>14 г. 1 мес. 23 дн.</v>
      </c>
      <c r="I522" s="20" t="s">
        <v>121</v>
      </c>
      <c r="J522" s="20" t="s">
        <v>77</v>
      </c>
      <c r="K522" s="1" t="s">
        <v>1105</v>
      </c>
      <c r="L522" s="1" t="s">
        <v>1439</v>
      </c>
      <c r="M522" s="1" t="s">
        <v>51</v>
      </c>
      <c r="O522" s="20" t="s">
        <v>89</v>
      </c>
      <c r="P522" s="1" t="s">
        <v>96</v>
      </c>
      <c r="S522" s="1" t="s">
        <v>23</v>
      </c>
      <c r="T522" s="3">
        <v>45262</v>
      </c>
      <c r="U522" s="6">
        <v>0.4861111111111111</v>
      </c>
      <c r="V522" s="1" t="str">
        <f t="shared" si="40"/>
        <v>0 г. 0 мес. 2 дн.</v>
      </c>
      <c r="W522" s="69"/>
    </row>
    <row r="523" spans="1:23" ht="35.1" customHeight="1" x14ac:dyDescent="0.25">
      <c r="A523" s="1">
        <f t="shared" si="41"/>
        <v>522</v>
      </c>
      <c r="B523" s="1">
        <v>544</v>
      </c>
      <c r="C523" s="39" t="s">
        <v>24</v>
      </c>
      <c r="D523" s="21">
        <v>45260</v>
      </c>
      <c r="E523" s="6">
        <v>0.47916666666666669</v>
      </c>
      <c r="F523" s="1" t="s">
        <v>1440</v>
      </c>
      <c r="G523" s="3">
        <v>43290</v>
      </c>
      <c r="H523" s="11" t="str">
        <f t="shared" si="42"/>
        <v>5 г. 4 мес. 21 дн.</v>
      </c>
      <c r="I523" s="20" t="s">
        <v>123</v>
      </c>
      <c r="J523" s="20"/>
      <c r="K523" s="1" t="s">
        <v>509</v>
      </c>
      <c r="L523" s="1" t="s">
        <v>814</v>
      </c>
      <c r="M523" s="1" t="s">
        <v>42</v>
      </c>
      <c r="N523" s="1">
        <v>75</v>
      </c>
      <c r="O523" s="20" t="s">
        <v>73</v>
      </c>
      <c r="Q523" s="1" t="s">
        <v>146</v>
      </c>
      <c r="R523" s="1" t="s">
        <v>107</v>
      </c>
      <c r="S523" s="1" t="s">
        <v>29</v>
      </c>
      <c r="T523" s="3">
        <v>45264</v>
      </c>
      <c r="U523" s="6">
        <v>0.68055555555555547</v>
      </c>
      <c r="V523" s="1" t="str">
        <f t="shared" si="40"/>
        <v>0 г. 0 мес. 4 дн.</v>
      </c>
      <c r="W523" s="69"/>
    </row>
    <row r="524" spans="1:23" ht="35.1" customHeight="1" x14ac:dyDescent="0.25">
      <c r="A524" s="1">
        <f t="shared" si="41"/>
        <v>523</v>
      </c>
      <c r="B524" s="1">
        <v>2816</v>
      </c>
      <c r="C524" s="39" t="s">
        <v>77</v>
      </c>
      <c r="D524" s="21">
        <v>45260</v>
      </c>
      <c r="E524" s="6">
        <v>0.85416666666666663</v>
      </c>
      <c r="F524" s="1" t="s">
        <v>1524</v>
      </c>
      <c r="G524" s="3">
        <v>45086</v>
      </c>
      <c r="H524" s="11" t="str">
        <f t="shared" si="42"/>
        <v>0 г. 5 мес. 21 дн.</v>
      </c>
      <c r="I524" s="20" t="s">
        <v>120</v>
      </c>
      <c r="J524" s="20"/>
      <c r="K524" s="1" t="s">
        <v>1525</v>
      </c>
      <c r="L524" s="1" t="s">
        <v>1441</v>
      </c>
      <c r="M524" s="1" t="s">
        <v>54</v>
      </c>
      <c r="O524" s="20" t="s">
        <v>89</v>
      </c>
      <c r="S524" s="1" t="s">
        <v>77</v>
      </c>
      <c r="T524" s="3">
        <v>45261</v>
      </c>
      <c r="U524" s="6">
        <v>0.5</v>
      </c>
      <c r="V524" s="1" t="str">
        <f t="shared" si="40"/>
        <v>0 г. 0 мес. 1 дн.</v>
      </c>
      <c r="W524" s="69"/>
    </row>
    <row r="525" spans="1:23" ht="35.1" customHeight="1" x14ac:dyDescent="0.25">
      <c r="A525" s="1">
        <f t="shared" si="41"/>
        <v>524</v>
      </c>
      <c r="B525" s="1">
        <v>714</v>
      </c>
      <c r="C525" s="39" t="s">
        <v>28</v>
      </c>
      <c r="D525" s="21">
        <v>45261</v>
      </c>
      <c r="E525" s="6">
        <v>0.66666666666666663</v>
      </c>
      <c r="F525" s="1" t="s">
        <v>1443</v>
      </c>
      <c r="G525" s="3">
        <v>41754</v>
      </c>
      <c r="H525" s="11" t="str">
        <f t="shared" si="42"/>
        <v>9 г. 7 мес. 6 дн.</v>
      </c>
      <c r="I525" s="20" t="s">
        <v>120</v>
      </c>
      <c r="J525" s="20"/>
      <c r="K525" s="1" t="s">
        <v>1444</v>
      </c>
      <c r="L525" s="1" t="s">
        <v>1445</v>
      </c>
      <c r="M525" s="1" t="s">
        <v>52</v>
      </c>
      <c r="O525" s="20" t="s">
        <v>89</v>
      </c>
      <c r="S525" s="1" t="s">
        <v>28</v>
      </c>
      <c r="T525" s="3">
        <v>45262</v>
      </c>
      <c r="U525" s="6">
        <v>0.55555555555555558</v>
      </c>
      <c r="V525" s="1" t="str">
        <f t="shared" si="40"/>
        <v>0 г. 0 мес. 1 дн.</v>
      </c>
      <c r="W525" s="69"/>
    </row>
    <row r="526" spans="1:23" ht="35.1" customHeight="1" x14ac:dyDescent="0.25">
      <c r="A526" s="1">
        <f t="shared" si="41"/>
        <v>525</v>
      </c>
      <c r="B526" s="1">
        <v>2822</v>
      </c>
      <c r="C526" s="39" t="s">
        <v>77</v>
      </c>
      <c r="D526" s="21">
        <v>45262</v>
      </c>
      <c r="E526" s="6">
        <v>0.65625</v>
      </c>
      <c r="F526" s="1" t="s">
        <v>1446</v>
      </c>
      <c r="G526" s="3">
        <v>39261</v>
      </c>
      <c r="H526" s="11" t="str">
        <f t="shared" si="42"/>
        <v>16 г. 5 мес. 4 дн.</v>
      </c>
      <c r="I526" s="20" t="s">
        <v>123</v>
      </c>
      <c r="J526" s="20"/>
      <c r="K526" s="1" t="s">
        <v>1447</v>
      </c>
      <c r="L526" s="1" t="s">
        <v>1448</v>
      </c>
      <c r="M526" s="1" t="s">
        <v>49</v>
      </c>
      <c r="O526" s="20" t="s">
        <v>73</v>
      </c>
      <c r="P526" s="1" t="s">
        <v>96</v>
      </c>
      <c r="S526" s="1" t="s">
        <v>77</v>
      </c>
      <c r="T526" s="3">
        <v>45267</v>
      </c>
      <c r="U526" s="6">
        <v>0.5</v>
      </c>
      <c r="V526" s="1" t="str">
        <f t="shared" si="40"/>
        <v>0 г. 0 мес. 5 дн.</v>
      </c>
      <c r="W526" s="69"/>
    </row>
    <row r="527" spans="1:23" ht="35.1" customHeight="1" x14ac:dyDescent="0.25">
      <c r="A527" s="1">
        <f t="shared" si="41"/>
        <v>526</v>
      </c>
      <c r="B527" s="1">
        <v>834</v>
      </c>
      <c r="C527" s="39" t="s">
        <v>26</v>
      </c>
      <c r="D527" s="21">
        <v>45264</v>
      </c>
      <c r="E527" s="6">
        <v>9.375E-2</v>
      </c>
      <c r="F527" s="1" t="s">
        <v>1449</v>
      </c>
      <c r="G527" s="3">
        <v>41345</v>
      </c>
      <c r="H527" s="11" t="str">
        <f t="shared" si="42"/>
        <v>10 г. 8 мес. 22 дн.</v>
      </c>
      <c r="I527" s="20" t="s">
        <v>120</v>
      </c>
      <c r="J527" s="20"/>
      <c r="K527" s="1" t="s">
        <v>1450</v>
      </c>
      <c r="L527" s="1" t="s">
        <v>299</v>
      </c>
      <c r="M527" s="1" t="s">
        <v>43</v>
      </c>
      <c r="O527" s="20" t="s">
        <v>89</v>
      </c>
      <c r="S527" s="1" t="s">
        <v>29</v>
      </c>
      <c r="T527" s="3">
        <v>45265</v>
      </c>
      <c r="U527" s="6">
        <v>0.41666666666666669</v>
      </c>
      <c r="V527" s="1" t="str">
        <f t="shared" si="40"/>
        <v>0 г. 0 мес. 1 дн.</v>
      </c>
      <c r="W527" s="69"/>
    </row>
    <row r="528" spans="1:23" ht="35.1" customHeight="1" x14ac:dyDescent="0.25">
      <c r="A528" s="1">
        <f t="shared" si="41"/>
        <v>527</v>
      </c>
      <c r="B528" s="1">
        <v>839</v>
      </c>
      <c r="C528" s="39" t="s">
        <v>26</v>
      </c>
      <c r="D528" s="21">
        <v>45265</v>
      </c>
      <c r="E528" s="6">
        <v>1.3888888888888888E-2</v>
      </c>
      <c r="F528" s="1" t="s">
        <v>1451</v>
      </c>
      <c r="G528" s="3">
        <v>38701</v>
      </c>
      <c r="H528" s="11" t="str">
        <f t="shared" si="42"/>
        <v>17 г. 11 мес. 20 дн.</v>
      </c>
      <c r="I528" s="20" t="s">
        <v>120</v>
      </c>
      <c r="J528" s="20"/>
      <c r="K528" s="1" t="s">
        <v>1452</v>
      </c>
      <c r="L528" s="1" t="s">
        <v>1453</v>
      </c>
      <c r="M528" s="1" t="s">
        <v>55</v>
      </c>
      <c r="O528" s="20" t="s">
        <v>89</v>
      </c>
      <c r="S528" s="1" t="s">
        <v>26</v>
      </c>
      <c r="T528" s="3">
        <v>45265</v>
      </c>
      <c r="U528" s="6">
        <v>0.54166666666666663</v>
      </c>
      <c r="V528" s="1" t="str">
        <f t="shared" si="40"/>
        <v>0 г. 0 мес. 0 дн.</v>
      </c>
      <c r="W528" s="69"/>
    </row>
    <row r="529" spans="1:23" ht="35.1" customHeight="1" x14ac:dyDescent="0.25">
      <c r="A529" s="1">
        <f t="shared" si="41"/>
        <v>528</v>
      </c>
      <c r="B529" s="1">
        <v>1321</v>
      </c>
      <c r="C529" s="39" t="s">
        <v>27</v>
      </c>
      <c r="D529" s="21">
        <v>45265</v>
      </c>
      <c r="E529" s="6">
        <v>0.94791666666666663</v>
      </c>
      <c r="F529" s="1" t="s">
        <v>1454</v>
      </c>
      <c r="G529" s="3">
        <v>39103</v>
      </c>
      <c r="H529" s="11" t="str">
        <f t="shared" si="42"/>
        <v>16 г. 10 мес. 14 дн.</v>
      </c>
      <c r="I529" s="20" t="s">
        <v>75</v>
      </c>
      <c r="J529" s="20"/>
      <c r="K529" s="1" t="s">
        <v>1455</v>
      </c>
      <c r="L529" s="1" t="s">
        <v>1456</v>
      </c>
      <c r="M529" s="1" t="s">
        <v>48</v>
      </c>
      <c r="O529" s="20" t="s">
        <v>89</v>
      </c>
      <c r="S529" s="1" t="s">
        <v>29</v>
      </c>
      <c r="T529" s="3">
        <v>45266</v>
      </c>
      <c r="U529" s="6">
        <v>0.58333333333333337</v>
      </c>
      <c r="V529" s="1" t="str">
        <f t="shared" si="40"/>
        <v>0 г. 0 мес. 1 дн.</v>
      </c>
      <c r="W529" s="69"/>
    </row>
    <row r="530" spans="1:23" ht="35.1" customHeight="1" x14ac:dyDescent="0.25">
      <c r="A530" s="1">
        <f t="shared" si="41"/>
        <v>529</v>
      </c>
      <c r="B530" s="1">
        <v>1322</v>
      </c>
      <c r="C530" s="39" t="s">
        <v>27</v>
      </c>
      <c r="D530" s="21">
        <v>45266</v>
      </c>
      <c r="E530" s="6">
        <v>3.472222222222222E-3</v>
      </c>
      <c r="F530" s="1" t="s">
        <v>1395</v>
      </c>
      <c r="G530" s="3">
        <v>45216</v>
      </c>
      <c r="H530" s="11" t="str">
        <f t="shared" si="42"/>
        <v>0 г. 1 мес. 19 дн.</v>
      </c>
      <c r="I530" s="20" t="s">
        <v>125</v>
      </c>
      <c r="J530" s="20" t="s">
        <v>25</v>
      </c>
      <c r="K530" s="1" t="s">
        <v>1457</v>
      </c>
      <c r="L530" s="1" t="s">
        <v>1458</v>
      </c>
      <c r="M530" s="1" t="s">
        <v>48</v>
      </c>
      <c r="O530" s="20" t="s">
        <v>73</v>
      </c>
      <c r="Q530" s="1" t="s">
        <v>149</v>
      </c>
      <c r="T530" s="3"/>
      <c r="V530" s="1" t="e">
        <f t="shared" si="40"/>
        <v>#NUM!</v>
      </c>
      <c r="W530" s="69"/>
    </row>
    <row r="531" spans="1:23" ht="35.1" customHeight="1" x14ac:dyDescent="0.25">
      <c r="A531" s="1">
        <f t="shared" si="41"/>
        <v>530</v>
      </c>
      <c r="B531" s="1">
        <v>2853</v>
      </c>
      <c r="C531" s="39" t="s">
        <v>77</v>
      </c>
      <c r="D531" s="21">
        <v>45267</v>
      </c>
      <c r="E531" s="6">
        <v>0.27083333333333331</v>
      </c>
      <c r="F531" s="1" t="s">
        <v>1459</v>
      </c>
      <c r="G531" s="3">
        <v>39894</v>
      </c>
      <c r="H531" s="11" t="str">
        <f t="shared" si="42"/>
        <v>14 г. 8 мес. 15 дн.</v>
      </c>
      <c r="I531" s="20" t="s">
        <v>121</v>
      </c>
      <c r="J531" s="20" t="s">
        <v>77</v>
      </c>
      <c r="K531" s="1" t="s">
        <v>1460</v>
      </c>
      <c r="L531" s="1" t="s">
        <v>1461</v>
      </c>
      <c r="M531" s="1" t="s">
        <v>52</v>
      </c>
      <c r="O531" s="20" t="s">
        <v>89</v>
      </c>
      <c r="P531" s="1" t="s">
        <v>96</v>
      </c>
      <c r="Q531" s="1" t="s">
        <v>146</v>
      </c>
      <c r="S531" s="1" t="s">
        <v>77</v>
      </c>
      <c r="T531" s="3">
        <v>45268</v>
      </c>
      <c r="U531" s="6">
        <v>0.5</v>
      </c>
      <c r="V531" s="1" t="str">
        <f t="shared" si="40"/>
        <v>0 г. 0 мес. 1 дн.</v>
      </c>
      <c r="W531" s="69"/>
    </row>
    <row r="532" spans="1:23" ht="35.1" customHeight="1" x14ac:dyDescent="0.25">
      <c r="A532" s="1">
        <f t="shared" si="41"/>
        <v>531</v>
      </c>
      <c r="B532" s="1"/>
      <c r="C532" s="39" t="s">
        <v>82</v>
      </c>
      <c r="D532" s="21">
        <v>45266</v>
      </c>
      <c r="E532" s="6">
        <v>0.5</v>
      </c>
      <c r="F532" s="1" t="s">
        <v>381</v>
      </c>
      <c r="G532" s="3">
        <v>39890</v>
      </c>
      <c r="H532" s="11" t="str">
        <f t="shared" si="42"/>
        <v>14 г. 8 мес. 18 дн.</v>
      </c>
      <c r="I532" s="20" t="s">
        <v>121</v>
      </c>
      <c r="J532" s="20" t="s">
        <v>82</v>
      </c>
      <c r="L532" s="1" t="s">
        <v>1462</v>
      </c>
      <c r="M532" s="1" t="s">
        <v>46</v>
      </c>
      <c r="O532" s="20" t="s">
        <v>89</v>
      </c>
      <c r="S532" s="1" t="s">
        <v>82</v>
      </c>
      <c r="T532" s="3">
        <v>45268</v>
      </c>
      <c r="U532" s="6">
        <v>0.5</v>
      </c>
      <c r="V532" s="1" t="str">
        <f t="shared" si="40"/>
        <v>0 г. 0 мес. 2 дн.</v>
      </c>
      <c r="W532" s="69"/>
    </row>
    <row r="533" spans="1:23" ht="35.1" customHeight="1" x14ac:dyDescent="0.25">
      <c r="A533" s="1">
        <f t="shared" si="41"/>
        <v>532</v>
      </c>
      <c r="B533" s="1">
        <v>849</v>
      </c>
      <c r="C533" s="39" t="s">
        <v>26</v>
      </c>
      <c r="D533" s="21">
        <v>45268</v>
      </c>
      <c r="E533" s="6">
        <v>0.89930555555555547</v>
      </c>
      <c r="F533" s="1" t="s">
        <v>1463</v>
      </c>
      <c r="G533" s="3">
        <v>44936</v>
      </c>
      <c r="H533" s="11" t="str">
        <f t="shared" si="42"/>
        <v>0 г. 10 мес. 28 дн.</v>
      </c>
      <c r="I533" s="20" t="s">
        <v>120</v>
      </c>
      <c r="J533" s="20"/>
      <c r="K533" s="1" t="s">
        <v>1464</v>
      </c>
      <c r="L533" s="1" t="s">
        <v>1465</v>
      </c>
      <c r="M533" s="1" t="s">
        <v>48</v>
      </c>
      <c r="O533" s="20" t="s">
        <v>89</v>
      </c>
      <c r="S533" s="1" t="s">
        <v>26</v>
      </c>
      <c r="T533" s="3">
        <v>45270</v>
      </c>
      <c r="U533" s="6">
        <v>0.5</v>
      </c>
      <c r="V533" s="1" t="str">
        <f t="shared" si="40"/>
        <v>0 г. 0 мес. 2 дн.</v>
      </c>
      <c r="W533" s="69"/>
    </row>
    <row r="534" spans="1:23" ht="35.1" customHeight="1" x14ac:dyDescent="0.25">
      <c r="A534" s="1">
        <f t="shared" si="41"/>
        <v>533</v>
      </c>
      <c r="B534" s="1">
        <v>729</v>
      </c>
      <c r="C534" s="39" t="s">
        <v>28</v>
      </c>
      <c r="D534" s="21">
        <v>45268</v>
      </c>
      <c r="E534" s="6">
        <v>0.95833333333333337</v>
      </c>
      <c r="F534" s="1" t="s">
        <v>676</v>
      </c>
      <c r="G534" s="3">
        <v>39732</v>
      </c>
      <c r="H534" s="11" t="str">
        <f t="shared" si="42"/>
        <v>15 г. 1 мес. 27 дн.</v>
      </c>
      <c r="I534" s="20" t="s">
        <v>120</v>
      </c>
      <c r="J534" s="20"/>
      <c r="K534" s="1" t="s">
        <v>1466</v>
      </c>
      <c r="L534" s="1" t="s">
        <v>1467</v>
      </c>
      <c r="M534" s="1" t="s">
        <v>46</v>
      </c>
      <c r="O534" s="20" t="s">
        <v>89</v>
      </c>
      <c r="S534" s="1" t="s">
        <v>28</v>
      </c>
      <c r="T534" s="3">
        <v>45269</v>
      </c>
      <c r="U534" s="6">
        <v>0.45833333333333331</v>
      </c>
      <c r="V534" s="1" t="str">
        <f t="shared" si="40"/>
        <v>0 г. 0 мес. 1 дн.</v>
      </c>
      <c r="W534" s="69"/>
    </row>
    <row r="535" spans="1:23" ht="35.1" customHeight="1" x14ac:dyDescent="0.25">
      <c r="A535" s="1">
        <f t="shared" si="41"/>
        <v>534</v>
      </c>
      <c r="B535" s="1">
        <v>2865</v>
      </c>
      <c r="C535" s="39" t="s">
        <v>77</v>
      </c>
      <c r="D535" s="21">
        <v>45269</v>
      </c>
      <c r="E535" s="6">
        <v>0.86111111111111116</v>
      </c>
      <c r="F535" s="1" t="s">
        <v>1468</v>
      </c>
      <c r="G535" s="3">
        <v>44070</v>
      </c>
      <c r="H535" s="11" t="str">
        <f t="shared" si="42"/>
        <v>3 г. 3 мес. 12 дн.</v>
      </c>
      <c r="I535" s="20" t="s">
        <v>120</v>
      </c>
      <c r="J535" s="20"/>
      <c r="K535" s="1" t="s">
        <v>1469</v>
      </c>
      <c r="L535" s="1" t="s">
        <v>224</v>
      </c>
      <c r="M535" s="1" t="s">
        <v>54</v>
      </c>
      <c r="O535" s="20" t="s">
        <v>90</v>
      </c>
      <c r="S535" s="1" t="s">
        <v>77</v>
      </c>
      <c r="T535" s="3">
        <v>45270</v>
      </c>
      <c r="U535" s="6">
        <v>0.5</v>
      </c>
      <c r="V535" s="1" t="str">
        <f t="shared" si="40"/>
        <v>0 г. 0 мес. 1 дн.</v>
      </c>
      <c r="W535" s="69"/>
    </row>
    <row r="536" spans="1:23" ht="35.1" customHeight="1" x14ac:dyDescent="0.25">
      <c r="A536" s="1">
        <f t="shared" si="41"/>
        <v>535</v>
      </c>
      <c r="B536" s="1">
        <v>853</v>
      </c>
      <c r="C536" s="39" t="s">
        <v>26</v>
      </c>
      <c r="D536" s="21">
        <v>45270</v>
      </c>
      <c r="E536" s="6">
        <v>0.65277777777777779</v>
      </c>
      <c r="F536" s="1" t="s">
        <v>1470</v>
      </c>
      <c r="G536" s="3">
        <v>41436</v>
      </c>
      <c r="H536" s="11" t="str">
        <f t="shared" si="42"/>
        <v>10 г. 5 мес. 29 дн.</v>
      </c>
      <c r="I536" s="20" t="s">
        <v>120</v>
      </c>
      <c r="J536" s="20"/>
      <c r="K536" s="1" t="s">
        <v>1471</v>
      </c>
      <c r="L536" s="1" t="s">
        <v>1472</v>
      </c>
      <c r="M536" s="1" t="s">
        <v>40</v>
      </c>
      <c r="O536" s="20" t="s">
        <v>89</v>
      </c>
      <c r="S536" s="1" t="s">
        <v>29</v>
      </c>
      <c r="T536" s="3">
        <v>45273</v>
      </c>
      <c r="U536" s="6">
        <v>0.5</v>
      </c>
      <c r="V536" s="1" t="str">
        <f t="shared" si="40"/>
        <v>0 г. 0 мес. 3 дн.</v>
      </c>
      <c r="W536" s="69"/>
    </row>
    <row r="537" spans="1:23" ht="35.1" customHeight="1" x14ac:dyDescent="0.25">
      <c r="A537" s="1">
        <f t="shared" si="41"/>
        <v>536</v>
      </c>
      <c r="B537" s="1">
        <v>855</v>
      </c>
      <c r="C537" s="39" t="s">
        <v>26</v>
      </c>
      <c r="D537" s="21">
        <v>45270</v>
      </c>
      <c r="E537" s="6">
        <v>0.72916666666666663</v>
      </c>
      <c r="F537" s="1" t="s">
        <v>1473</v>
      </c>
      <c r="G537" s="3">
        <v>44830</v>
      </c>
      <c r="H537" s="11" t="str">
        <f t="shared" si="42"/>
        <v>1 г. 2 мес. 14 дн.</v>
      </c>
      <c r="I537" s="20" t="s">
        <v>120</v>
      </c>
      <c r="J537" s="20"/>
      <c r="K537" s="1" t="s">
        <v>1474</v>
      </c>
      <c r="L537" s="1" t="s">
        <v>1475</v>
      </c>
      <c r="M537" s="1" t="s">
        <v>42</v>
      </c>
      <c r="O537" s="20" t="s">
        <v>89</v>
      </c>
      <c r="Q537" s="1" t="s">
        <v>103</v>
      </c>
      <c r="S537" s="1" t="s">
        <v>26</v>
      </c>
      <c r="T537" s="3">
        <v>45271</v>
      </c>
      <c r="U537" s="6">
        <v>0.5</v>
      </c>
      <c r="V537" s="1" t="str">
        <f t="shared" ref="V537:V600" si="43">DATEDIF(D537,T537,"y") &amp; " г. " &amp; DATEDIF(D537,T537,"ym") &amp; " мес. " &amp; DATEDIF(D537,T537,"md") &amp; " дн."</f>
        <v>0 г. 0 мес. 1 дн.</v>
      </c>
      <c r="W537" s="69"/>
    </row>
    <row r="538" spans="1:23" ht="35.1" customHeight="1" x14ac:dyDescent="0.25">
      <c r="A538" s="1">
        <f t="shared" si="41"/>
        <v>537</v>
      </c>
      <c r="B538" s="1">
        <v>858</v>
      </c>
      <c r="C538" s="39" t="s">
        <v>26</v>
      </c>
      <c r="D538" s="21">
        <v>45271</v>
      </c>
      <c r="E538" s="6">
        <v>0.71527777777777779</v>
      </c>
      <c r="F538" s="1" t="s">
        <v>1476</v>
      </c>
      <c r="G538" s="3">
        <v>41513</v>
      </c>
      <c r="H538" s="11" t="str">
        <f t="shared" si="42"/>
        <v>10 г. 3 мес. 14 дн.</v>
      </c>
      <c r="I538" s="20" t="s">
        <v>120</v>
      </c>
      <c r="J538" s="20"/>
      <c r="K538" s="1" t="s">
        <v>1477</v>
      </c>
      <c r="L538" s="1" t="s">
        <v>1478</v>
      </c>
      <c r="M538" s="1" t="s">
        <v>48</v>
      </c>
      <c r="O538" s="20" t="s">
        <v>89</v>
      </c>
      <c r="T538" s="3"/>
      <c r="V538" s="1" t="e">
        <f t="shared" si="43"/>
        <v>#NUM!</v>
      </c>
      <c r="W538" s="69"/>
    </row>
    <row r="539" spans="1:23" ht="35.1" customHeight="1" x14ac:dyDescent="0.25">
      <c r="A539" s="1">
        <f t="shared" si="41"/>
        <v>538</v>
      </c>
      <c r="B539" s="1">
        <v>859</v>
      </c>
      <c r="C539" s="39" t="s">
        <v>26</v>
      </c>
      <c r="D539" s="21">
        <v>45271</v>
      </c>
      <c r="E539" s="6">
        <v>0.75</v>
      </c>
      <c r="F539" s="1" t="s">
        <v>1479</v>
      </c>
      <c r="G539" s="3">
        <v>39428</v>
      </c>
      <c r="H539" s="11" t="str">
        <f t="shared" si="42"/>
        <v>15 г. 11 мес. 29 дн.</v>
      </c>
      <c r="I539" s="20" t="s">
        <v>123</v>
      </c>
      <c r="J539" s="20"/>
      <c r="K539" s="1" t="s">
        <v>1480</v>
      </c>
      <c r="L539" s="1" t="s">
        <v>1481</v>
      </c>
      <c r="M539" s="1" t="s">
        <v>42</v>
      </c>
      <c r="O539" s="20" t="s">
        <v>89</v>
      </c>
      <c r="S539" s="1" t="s">
        <v>26</v>
      </c>
      <c r="T539" s="3">
        <v>45273</v>
      </c>
      <c r="U539" s="6">
        <v>0.5</v>
      </c>
      <c r="V539" s="1" t="str">
        <f t="shared" si="43"/>
        <v>0 г. 0 мес. 2 дн.</v>
      </c>
      <c r="W539" s="69"/>
    </row>
    <row r="540" spans="1:23" ht="35.1" customHeight="1" x14ac:dyDescent="0.25">
      <c r="A540" s="1">
        <f t="shared" si="41"/>
        <v>539</v>
      </c>
      <c r="B540" s="1">
        <v>2886</v>
      </c>
      <c r="C540" s="39" t="s">
        <v>77</v>
      </c>
      <c r="D540" s="21">
        <v>45272</v>
      </c>
      <c r="E540" s="6">
        <v>0.48958333333333331</v>
      </c>
      <c r="F540" s="1" t="s">
        <v>1520</v>
      </c>
      <c r="G540" s="3">
        <v>41136</v>
      </c>
      <c r="H540" s="11" t="str">
        <f t="shared" si="42"/>
        <v>11 г. 3 мес. 27 дн.</v>
      </c>
      <c r="I540" s="20" t="s">
        <v>120</v>
      </c>
      <c r="J540" s="20"/>
      <c r="K540" s="1" t="s">
        <v>1482</v>
      </c>
      <c r="L540" s="1" t="s">
        <v>577</v>
      </c>
      <c r="M540" s="1" t="s">
        <v>54</v>
      </c>
      <c r="O540" s="20" t="s">
        <v>89</v>
      </c>
      <c r="S540" s="1" t="s">
        <v>77</v>
      </c>
      <c r="T540" s="3">
        <v>45273</v>
      </c>
      <c r="U540" s="6">
        <v>0.5</v>
      </c>
      <c r="V540" s="1" t="str">
        <f t="shared" si="43"/>
        <v>0 г. 0 мес. 1 дн.</v>
      </c>
      <c r="W540" s="69"/>
    </row>
    <row r="541" spans="1:23" ht="35.1" customHeight="1" x14ac:dyDescent="0.25">
      <c r="A541" s="1">
        <f t="shared" si="41"/>
        <v>540</v>
      </c>
      <c r="B541" s="1">
        <v>2887</v>
      </c>
      <c r="C541" s="39" t="s">
        <v>77</v>
      </c>
      <c r="D541" s="21">
        <v>45272</v>
      </c>
      <c r="E541" s="6">
        <v>0.50555555555555554</v>
      </c>
      <c r="F541" s="1" t="s">
        <v>1545</v>
      </c>
      <c r="G541" s="3">
        <v>41745</v>
      </c>
      <c r="H541" s="11" t="str">
        <f t="shared" si="42"/>
        <v>9 г. 7 мес. 26 дн.</v>
      </c>
      <c r="I541" s="20" t="s">
        <v>120</v>
      </c>
      <c r="J541" s="20"/>
      <c r="K541" s="1" t="s">
        <v>1483</v>
      </c>
      <c r="L541" s="1" t="s">
        <v>1484</v>
      </c>
      <c r="M541" s="1" t="s">
        <v>54</v>
      </c>
      <c r="O541" s="20" t="s">
        <v>89</v>
      </c>
      <c r="S541" s="1" t="s">
        <v>77</v>
      </c>
      <c r="T541" s="3">
        <v>45274</v>
      </c>
      <c r="U541" s="6">
        <v>0.5</v>
      </c>
      <c r="V541" s="1" t="str">
        <f t="shared" si="43"/>
        <v>0 г. 0 мес. 2 дн.</v>
      </c>
      <c r="W541" s="69"/>
    </row>
    <row r="542" spans="1:23" ht="35.1" customHeight="1" x14ac:dyDescent="0.25">
      <c r="A542" s="1">
        <f t="shared" si="41"/>
        <v>541</v>
      </c>
      <c r="B542" s="1">
        <v>2875</v>
      </c>
      <c r="C542" s="39" t="s">
        <v>77</v>
      </c>
      <c r="D542" s="21">
        <v>45272</v>
      </c>
      <c r="E542" s="6">
        <v>0.52083333333333337</v>
      </c>
      <c r="F542" s="1" t="s">
        <v>1526</v>
      </c>
      <c r="G542" s="3">
        <v>39445</v>
      </c>
      <c r="H542" s="11" t="str">
        <f t="shared" si="42"/>
        <v>15 г. 11 мес. 13 дн.</v>
      </c>
      <c r="I542" s="20" t="s">
        <v>121</v>
      </c>
      <c r="J542" s="20"/>
      <c r="K542" s="1" t="s">
        <v>1485</v>
      </c>
      <c r="L542" s="1" t="s">
        <v>247</v>
      </c>
      <c r="M542" s="1" t="s">
        <v>49</v>
      </c>
      <c r="O542" s="20" t="s">
        <v>89</v>
      </c>
      <c r="S542" s="1" t="s">
        <v>77</v>
      </c>
      <c r="T542" s="3">
        <v>45272</v>
      </c>
      <c r="U542" s="6">
        <v>0.77083333333333337</v>
      </c>
      <c r="V542" s="1" t="str">
        <f t="shared" si="43"/>
        <v>0 г. 0 мес. 0 дн.</v>
      </c>
      <c r="W542" s="69"/>
    </row>
    <row r="543" spans="1:23" ht="35.1" customHeight="1" x14ac:dyDescent="0.25">
      <c r="A543" s="1">
        <f t="shared" si="41"/>
        <v>542</v>
      </c>
      <c r="B543" s="1">
        <v>2888</v>
      </c>
      <c r="C543" s="39" t="s">
        <v>77</v>
      </c>
      <c r="D543" s="21">
        <v>45272</v>
      </c>
      <c r="E543" s="6">
        <v>0.64236111111111105</v>
      </c>
      <c r="F543" s="1" t="s">
        <v>1534</v>
      </c>
      <c r="G543" s="3">
        <v>43318</v>
      </c>
      <c r="H543" s="11" t="str">
        <f t="shared" si="42"/>
        <v>5 г. 4 мес. 6 дн.</v>
      </c>
      <c r="I543" s="20" t="s">
        <v>121</v>
      </c>
      <c r="J543" s="20" t="s">
        <v>77</v>
      </c>
      <c r="K543" s="1" t="s">
        <v>1486</v>
      </c>
      <c r="L543" s="1" t="s">
        <v>1487</v>
      </c>
      <c r="M543" s="1" t="s">
        <v>49</v>
      </c>
      <c r="O543" s="20" t="s">
        <v>73</v>
      </c>
      <c r="P543" s="1" t="s">
        <v>96</v>
      </c>
      <c r="S543" s="1" t="s">
        <v>77</v>
      </c>
      <c r="T543" s="3">
        <v>45282</v>
      </c>
      <c r="U543" s="6">
        <v>0.66805555555555562</v>
      </c>
      <c r="V543" s="1" t="str">
        <f t="shared" si="43"/>
        <v>0 г. 0 мес. 10 дн.</v>
      </c>
      <c r="W543" s="69"/>
    </row>
    <row r="544" spans="1:23" ht="35.1" customHeight="1" x14ac:dyDescent="0.25">
      <c r="A544" s="1">
        <f t="shared" si="41"/>
        <v>543</v>
      </c>
      <c r="B544" s="1">
        <v>1341</v>
      </c>
      <c r="C544" s="39" t="s">
        <v>26</v>
      </c>
      <c r="D544" s="21">
        <v>45272</v>
      </c>
      <c r="E544" s="6">
        <v>0.74652777777777779</v>
      </c>
      <c r="F544" s="1" t="s">
        <v>1513</v>
      </c>
      <c r="G544" s="3">
        <v>39850</v>
      </c>
      <c r="H544" s="11" t="str">
        <f t="shared" si="42"/>
        <v>14 г. 10 мес. 6 дн.</v>
      </c>
      <c r="I544" s="20" t="s">
        <v>120</v>
      </c>
      <c r="J544" s="20"/>
      <c r="K544" s="1" t="s">
        <v>1105</v>
      </c>
      <c r="L544" s="1" t="s">
        <v>944</v>
      </c>
      <c r="M544" s="1" t="s">
        <v>48</v>
      </c>
      <c r="O544" s="20" t="s">
        <v>89</v>
      </c>
      <c r="S544" s="1" t="s">
        <v>27</v>
      </c>
      <c r="T544" s="3">
        <v>45274</v>
      </c>
      <c r="U544" s="6">
        <v>0.5</v>
      </c>
      <c r="V544" s="1" t="str">
        <f t="shared" si="43"/>
        <v>0 г. 0 мес. 2 дн.</v>
      </c>
      <c r="W544" s="69"/>
    </row>
    <row r="545" spans="1:23" ht="35.1" customHeight="1" x14ac:dyDescent="0.25">
      <c r="A545" s="1">
        <f t="shared" si="41"/>
        <v>544</v>
      </c>
      <c r="B545" s="1">
        <v>2895</v>
      </c>
      <c r="C545" s="39" t="s">
        <v>77</v>
      </c>
      <c r="D545" s="21">
        <v>45272</v>
      </c>
      <c r="E545" s="6">
        <v>0.83333333333333337</v>
      </c>
      <c r="F545" s="1" t="s">
        <v>1529</v>
      </c>
      <c r="G545" s="3">
        <v>45231</v>
      </c>
      <c r="H545" s="11" t="str">
        <f t="shared" si="42"/>
        <v>0 г. 1 мес. 11 дн.</v>
      </c>
      <c r="I545" s="20" t="s">
        <v>120</v>
      </c>
      <c r="J545" s="20"/>
      <c r="K545" s="1" t="s">
        <v>952</v>
      </c>
      <c r="L545" s="1" t="s">
        <v>1488</v>
      </c>
      <c r="M545" s="1" t="s">
        <v>52</v>
      </c>
      <c r="O545" s="20" t="s">
        <v>89</v>
      </c>
      <c r="S545" s="1" t="s">
        <v>77</v>
      </c>
      <c r="T545" s="3">
        <v>45273</v>
      </c>
      <c r="U545" s="6">
        <v>0.5</v>
      </c>
      <c r="V545" s="1" t="str">
        <f t="shared" si="43"/>
        <v>0 г. 0 мес. 1 дн.</v>
      </c>
      <c r="W545" s="69"/>
    </row>
    <row r="546" spans="1:23" ht="35.1" customHeight="1" x14ac:dyDescent="0.25">
      <c r="A546" s="1">
        <f t="shared" si="41"/>
        <v>545</v>
      </c>
      <c r="B546" s="1">
        <v>863</v>
      </c>
      <c r="C546" s="39" t="s">
        <v>26</v>
      </c>
      <c r="D546" s="21">
        <v>45273</v>
      </c>
      <c r="E546" s="6">
        <v>6.9444444444444434E-2</v>
      </c>
      <c r="F546" s="1" t="s">
        <v>1533</v>
      </c>
      <c r="G546" s="3">
        <v>44831</v>
      </c>
      <c r="H546" s="11" t="str">
        <f t="shared" si="42"/>
        <v>1 г. 2 мес. 16 дн.</v>
      </c>
      <c r="I546" s="20" t="s">
        <v>120</v>
      </c>
      <c r="J546" s="20"/>
      <c r="K546" s="1" t="s">
        <v>509</v>
      </c>
      <c r="L546" s="1" t="s">
        <v>1489</v>
      </c>
      <c r="M546" s="1" t="s">
        <v>48</v>
      </c>
      <c r="O546" s="20" t="s">
        <v>73</v>
      </c>
      <c r="S546" s="1" t="s">
        <v>26</v>
      </c>
      <c r="T546" s="3">
        <v>45273</v>
      </c>
      <c r="U546" s="6">
        <v>0.79166666666666663</v>
      </c>
      <c r="V546" s="1" t="str">
        <f t="shared" si="43"/>
        <v>0 г. 0 мес. 0 дн.</v>
      </c>
      <c r="W546" s="69"/>
    </row>
    <row r="547" spans="1:23" ht="35.1" customHeight="1" x14ac:dyDescent="0.25">
      <c r="A547" s="1">
        <f t="shared" si="41"/>
        <v>546</v>
      </c>
      <c r="B547" s="1">
        <v>743</v>
      </c>
      <c r="C547" s="39" t="s">
        <v>26</v>
      </c>
      <c r="D547" s="21">
        <v>45273</v>
      </c>
      <c r="E547" s="6">
        <v>0.625</v>
      </c>
      <c r="F547" s="1" t="s">
        <v>1528</v>
      </c>
      <c r="G547" s="3">
        <v>41218</v>
      </c>
      <c r="H547" s="11" t="str">
        <f t="shared" si="42"/>
        <v>11 г. 1 мес. 8 дн.</v>
      </c>
      <c r="I547" s="20" t="s">
        <v>120</v>
      </c>
      <c r="J547" s="20"/>
      <c r="K547" s="1" t="s">
        <v>1490</v>
      </c>
      <c r="L547" s="1" t="s">
        <v>1267</v>
      </c>
      <c r="M547" s="1" t="s">
        <v>46</v>
      </c>
      <c r="O547" s="20" t="s">
        <v>73</v>
      </c>
      <c r="S547" s="1" t="s">
        <v>28</v>
      </c>
      <c r="T547" s="3">
        <v>45274</v>
      </c>
      <c r="U547" s="6">
        <v>0.5</v>
      </c>
      <c r="V547" s="1" t="str">
        <f t="shared" si="43"/>
        <v>0 г. 0 мес. 1 дн.</v>
      </c>
      <c r="W547" s="69"/>
    </row>
    <row r="548" spans="1:23" ht="35.1" customHeight="1" x14ac:dyDescent="0.25">
      <c r="A548" s="1">
        <f t="shared" si="41"/>
        <v>547</v>
      </c>
      <c r="B548" s="1">
        <v>2912</v>
      </c>
      <c r="C548" s="39" t="s">
        <v>77</v>
      </c>
      <c r="D548" s="21">
        <v>45275</v>
      </c>
      <c r="E548" s="6">
        <v>0.60416666666666663</v>
      </c>
      <c r="F548" s="1" t="s">
        <v>1491</v>
      </c>
      <c r="G548" s="3">
        <v>38948</v>
      </c>
      <c r="H548" s="11" t="str">
        <f t="shared" si="42"/>
        <v>17 г. 3 мес. 26 дн.</v>
      </c>
      <c r="I548" s="20" t="s">
        <v>123</v>
      </c>
      <c r="J548" s="20"/>
      <c r="K548" s="1" t="s">
        <v>1492</v>
      </c>
      <c r="L548" s="1" t="s">
        <v>1493</v>
      </c>
      <c r="M548" s="1" t="s">
        <v>52</v>
      </c>
      <c r="O548" s="20" t="s">
        <v>89</v>
      </c>
      <c r="S548" s="1" t="s">
        <v>77</v>
      </c>
      <c r="T548" s="3">
        <v>45278</v>
      </c>
      <c r="U548" s="6">
        <v>0.5</v>
      </c>
      <c r="V548" s="1" t="str">
        <f t="shared" si="43"/>
        <v>0 г. 0 мес. 3 дн.</v>
      </c>
      <c r="W548" s="69"/>
    </row>
    <row r="549" spans="1:23" ht="35.1" customHeight="1" x14ac:dyDescent="0.25">
      <c r="A549" s="1">
        <f t="shared" si="41"/>
        <v>548</v>
      </c>
      <c r="B549" s="1">
        <v>872</v>
      </c>
      <c r="C549" s="39" t="s">
        <v>26</v>
      </c>
      <c r="D549" s="21">
        <v>45275</v>
      </c>
      <c r="E549" s="6">
        <v>0.61111111111111105</v>
      </c>
      <c r="F549" s="1" t="s">
        <v>592</v>
      </c>
      <c r="G549" s="3">
        <v>42529</v>
      </c>
      <c r="H549" s="11" t="str">
        <f t="shared" si="42"/>
        <v>7 г. 6 мес. 7 дн.</v>
      </c>
      <c r="I549" s="20" t="s">
        <v>120</v>
      </c>
      <c r="J549" s="20"/>
      <c r="K549" s="1" t="s">
        <v>593</v>
      </c>
      <c r="L549" s="1" t="s">
        <v>1494</v>
      </c>
      <c r="M549" s="1" t="s">
        <v>48</v>
      </c>
      <c r="O549" s="20" t="s">
        <v>89</v>
      </c>
      <c r="S549" s="1" t="s">
        <v>82</v>
      </c>
      <c r="T549" s="3">
        <v>45278</v>
      </c>
      <c r="U549" s="6">
        <v>0.5</v>
      </c>
      <c r="V549" s="1" t="str">
        <f t="shared" si="43"/>
        <v>0 г. 0 мес. 3 дн.</v>
      </c>
      <c r="W549" s="69"/>
    </row>
    <row r="550" spans="1:23" ht="35.1" customHeight="1" x14ac:dyDescent="0.25">
      <c r="A550" s="1">
        <f t="shared" si="41"/>
        <v>549</v>
      </c>
      <c r="B550" s="1">
        <v>873</v>
      </c>
      <c r="C550" s="39" t="s">
        <v>26</v>
      </c>
      <c r="D550" s="21">
        <v>45275</v>
      </c>
      <c r="E550" s="6">
        <v>0.90972222222222221</v>
      </c>
      <c r="F550" s="1" t="s">
        <v>1495</v>
      </c>
      <c r="G550" s="3">
        <v>39161</v>
      </c>
      <c r="H550" s="11" t="str">
        <f t="shared" si="42"/>
        <v>16 г. 8 мес. 25 дн.</v>
      </c>
      <c r="I550" s="20" t="s">
        <v>120</v>
      </c>
      <c r="J550" s="20"/>
      <c r="K550" s="1" t="s">
        <v>1496</v>
      </c>
      <c r="L550" s="1" t="s">
        <v>725</v>
      </c>
      <c r="M550" s="1" t="s">
        <v>55</v>
      </c>
      <c r="O550" s="20" t="s">
        <v>89</v>
      </c>
      <c r="S550" s="1" t="s">
        <v>26</v>
      </c>
      <c r="T550" s="3">
        <v>45276</v>
      </c>
      <c r="U550" s="6">
        <v>0.62638888888888888</v>
      </c>
      <c r="V550" s="1" t="str">
        <f t="shared" si="43"/>
        <v>0 г. 0 мес. 1 дн.</v>
      </c>
      <c r="W550" s="69"/>
    </row>
    <row r="551" spans="1:23" ht="35.1" customHeight="1" x14ac:dyDescent="0.25">
      <c r="A551" s="1">
        <f t="shared" si="41"/>
        <v>550</v>
      </c>
      <c r="B551" s="1">
        <v>1347</v>
      </c>
      <c r="C551" s="39" t="s">
        <v>27</v>
      </c>
      <c r="D551" s="21">
        <v>45275</v>
      </c>
      <c r="E551" s="6">
        <v>0.60416666666666663</v>
      </c>
      <c r="F551" s="1" t="s">
        <v>1497</v>
      </c>
      <c r="G551" s="3">
        <v>45191</v>
      </c>
      <c r="H551" s="11" t="str">
        <f t="shared" si="42"/>
        <v>0 г. 2 мес. 23 дн.</v>
      </c>
      <c r="I551" s="20" t="s">
        <v>122</v>
      </c>
      <c r="J551" s="20"/>
      <c r="K551" s="1" t="s">
        <v>1498</v>
      </c>
      <c r="L551" s="1" t="s">
        <v>467</v>
      </c>
      <c r="M551" s="1" t="s">
        <v>45</v>
      </c>
      <c r="O551" s="20" t="s">
        <v>89</v>
      </c>
      <c r="S551" s="1" t="s">
        <v>27</v>
      </c>
      <c r="T551" s="3">
        <v>45276</v>
      </c>
      <c r="U551" s="6">
        <v>0.41666666666666669</v>
      </c>
      <c r="V551" s="1" t="str">
        <f t="shared" si="43"/>
        <v>0 г. 0 мес. 1 дн.</v>
      </c>
      <c r="W551" s="69"/>
    </row>
    <row r="552" spans="1:23" ht="35.1" customHeight="1" x14ac:dyDescent="0.25">
      <c r="A552" s="1">
        <f t="shared" si="41"/>
        <v>551</v>
      </c>
      <c r="B552" s="1"/>
      <c r="C552" s="39" t="s">
        <v>26</v>
      </c>
      <c r="D552" s="21">
        <v>45276</v>
      </c>
      <c r="E552" s="6">
        <v>0.77083333333333337</v>
      </c>
      <c r="F552" s="1" t="s">
        <v>1499</v>
      </c>
      <c r="G552" s="3">
        <v>39295</v>
      </c>
      <c r="H552" s="11" t="str">
        <f t="shared" si="42"/>
        <v>16 г. 4 мес. 15 дн.</v>
      </c>
      <c r="I552" s="20" t="s">
        <v>120</v>
      </c>
      <c r="J552" s="20"/>
      <c r="K552" s="1" t="s">
        <v>1500</v>
      </c>
      <c r="L552" s="1" t="s">
        <v>355</v>
      </c>
      <c r="M552" s="1" t="s">
        <v>55</v>
      </c>
      <c r="O552" s="20" t="s">
        <v>89</v>
      </c>
      <c r="S552" s="1" t="s">
        <v>26</v>
      </c>
      <c r="T552" s="3">
        <v>45277</v>
      </c>
      <c r="U552" s="6">
        <v>0.41666666666666669</v>
      </c>
      <c r="V552" s="1" t="str">
        <f t="shared" si="43"/>
        <v>0 г. 0 мес. 1 дн.</v>
      </c>
      <c r="W552" s="69"/>
    </row>
    <row r="553" spans="1:23" ht="35.1" customHeight="1" x14ac:dyDescent="0.25">
      <c r="A553" s="1">
        <f t="shared" si="41"/>
        <v>552</v>
      </c>
      <c r="B553" s="1">
        <v>877</v>
      </c>
      <c r="C553" s="39" t="s">
        <v>26</v>
      </c>
      <c r="D553" s="21">
        <v>45277</v>
      </c>
      <c r="E553" s="6">
        <v>0.25694444444444448</v>
      </c>
      <c r="F553" s="1" t="s">
        <v>1501</v>
      </c>
      <c r="G553" s="3">
        <v>44824</v>
      </c>
      <c r="H553" s="11" t="str">
        <f t="shared" si="42"/>
        <v>1 г. 2 мес. 27 дн.</v>
      </c>
      <c r="I553" s="20" t="s">
        <v>120</v>
      </c>
      <c r="J553" s="20"/>
      <c r="K553" s="1" t="s">
        <v>1502</v>
      </c>
      <c r="L553" s="1" t="s">
        <v>1503</v>
      </c>
      <c r="M553" s="1" t="s">
        <v>43</v>
      </c>
      <c r="O553" s="20" t="s">
        <v>73</v>
      </c>
      <c r="S553" s="1" t="s">
        <v>29</v>
      </c>
      <c r="T553" s="3">
        <v>45278</v>
      </c>
      <c r="U553" s="6">
        <v>0.5</v>
      </c>
      <c r="V553" s="1" t="str">
        <f t="shared" si="43"/>
        <v>0 г. 0 мес. 1 дн.</v>
      </c>
      <c r="W553" s="69"/>
    </row>
    <row r="554" spans="1:23" ht="35.1" customHeight="1" x14ac:dyDescent="0.25">
      <c r="A554" s="1">
        <f t="shared" si="41"/>
        <v>553</v>
      </c>
      <c r="B554" s="1">
        <v>2919</v>
      </c>
      <c r="C554" s="39" t="s">
        <v>77</v>
      </c>
      <c r="D554" s="21">
        <v>45278</v>
      </c>
      <c r="E554" s="6">
        <v>8.3333333333333329E-2</v>
      </c>
      <c r="F554" s="1" t="s">
        <v>1504</v>
      </c>
      <c r="G554" s="3">
        <v>44343</v>
      </c>
      <c r="H554" s="11" t="str">
        <f t="shared" si="42"/>
        <v>2 г. 6 мес. 21 дн.</v>
      </c>
      <c r="I554" s="20" t="s">
        <v>121</v>
      </c>
      <c r="J554" s="20"/>
      <c r="K554" s="1" t="s">
        <v>1505</v>
      </c>
      <c r="L554" s="1" t="s">
        <v>776</v>
      </c>
      <c r="M554" s="1" t="s">
        <v>49</v>
      </c>
      <c r="N554" s="1">
        <v>6</v>
      </c>
      <c r="O554" s="20" t="s">
        <v>73</v>
      </c>
      <c r="S554" s="1" t="s">
        <v>27</v>
      </c>
      <c r="T554" s="3">
        <v>45282</v>
      </c>
      <c r="U554" s="6">
        <v>0.52083333333333337</v>
      </c>
      <c r="V554" s="1" t="str">
        <f t="shared" si="43"/>
        <v>0 г. 0 мес. 4 дн.</v>
      </c>
      <c r="W554" s="69"/>
    </row>
    <row r="555" spans="1:23" ht="35.1" customHeight="1" x14ac:dyDescent="0.25">
      <c r="A555" s="1">
        <f t="shared" si="41"/>
        <v>554</v>
      </c>
      <c r="B555" s="1">
        <v>891</v>
      </c>
      <c r="C555" s="39" t="s">
        <v>26</v>
      </c>
      <c r="D555" s="21">
        <v>45282</v>
      </c>
      <c r="E555" s="6">
        <v>9.375E-2</v>
      </c>
      <c r="F555" s="1" t="s">
        <v>1506</v>
      </c>
      <c r="G555" s="3">
        <v>39883</v>
      </c>
      <c r="H555" s="11" t="str">
        <f t="shared" si="42"/>
        <v>14 г. 9 мес. 11 дн.</v>
      </c>
      <c r="I555" s="20" t="s">
        <v>120</v>
      </c>
      <c r="J555" s="20"/>
      <c r="K555" s="1" t="s">
        <v>1507</v>
      </c>
      <c r="L555" s="1" t="s">
        <v>1508</v>
      </c>
      <c r="M555" s="1" t="s">
        <v>48</v>
      </c>
      <c r="O555" s="20" t="s">
        <v>89</v>
      </c>
      <c r="S555" s="1" t="s">
        <v>26</v>
      </c>
      <c r="T555" s="3">
        <v>45282</v>
      </c>
      <c r="U555" s="6">
        <v>0.5625</v>
      </c>
      <c r="V555" s="1" t="str">
        <f t="shared" si="43"/>
        <v>0 г. 0 мес. 0 дн.</v>
      </c>
      <c r="W555" s="69"/>
    </row>
    <row r="556" spans="1:23" ht="35.1" customHeight="1" x14ac:dyDescent="0.25">
      <c r="A556" s="1">
        <f t="shared" si="41"/>
        <v>555</v>
      </c>
      <c r="B556" s="1">
        <v>761</v>
      </c>
      <c r="C556" s="39" t="s">
        <v>28</v>
      </c>
      <c r="D556" s="21">
        <v>45285</v>
      </c>
      <c r="E556" s="6">
        <v>0.57638888888888895</v>
      </c>
      <c r="F556" s="1" t="s">
        <v>1509</v>
      </c>
      <c r="G556" s="3">
        <v>39900</v>
      </c>
      <c r="H556" s="11" t="str">
        <f t="shared" si="42"/>
        <v>14 г. 8 мес. 27 дн.</v>
      </c>
      <c r="I556" s="20" t="s">
        <v>120</v>
      </c>
      <c r="J556" s="20"/>
      <c r="K556" s="1" t="s">
        <v>1510</v>
      </c>
      <c r="L556" s="1" t="s">
        <v>389</v>
      </c>
      <c r="M556" s="1" t="s">
        <v>46</v>
      </c>
      <c r="O556" s="20" t="s">
        <v>89</v>
      </c>
      <c r="S556" s="1" t="s">
        <v>28</v>
      </c>
      <c r="T556" s="3">
        <v>45286</v>
      </c>
      <c r="U556" s="6">
        <v>0.5</v>
      </c>
      <c r="V556" s="1" t="str">
        <f t="shared" si="43"/>
        <v>0 г. 0 мес. 1 дн.</v>
      </c>
      <c r="W556" s="69"/>
    </row>
    <row r="557" spans="1:23" ht="35.1" customHeight="1" x14ac:dyDescent="0.25">
      <c r="A557" s="1">
        <f t="shared" si="41"/>
        <v>556</v>
      </c>
      <c r="B557" s="1">
        <v>2974</v>
      </c>
      <c r="C557" s="39" t="s">
        <v>77</v>
      </c>
      <c r="D557" s="21">
        <v>45285</v>
      </c>
      <c r="E557" s="6">
        <v>0.84722222222222221</v>
      </c>
      <c r="F557" s="1" t="s">
        <v>1511</v>
      </c>
      <c r="G557" s="3">
        <v>41483</v>
      </c>
      <c r="H557" s="11" t="str">
        <f t="shared" si="42"/>
        <v>10 г. 4 мес. 27 дн.</v>
      </c>
      <c r="I557" s="20" t="s">
        <v>120</v>
      </c>
      <c r="J557" s="20"/>
      <c r="K557" s="1" t="s">
        <v>1512</v>
      </c>
      <c r="L557" s="1" t="s">
        <v>224</v>
      </c>
      <c r="M557" s="1" t="s">
        <v>54</v>
      </c>
      <c r="O557" s="20" t="s">
        <v>89</v>
      </c>
      <c r="S557" s="1" t="s">
        <v>77</v>
      </c>
      <c r="T557" s="3">
        <v>45286</v>
      </c>
      <c r="U557" s="6">
        <v>0.47916666666666669</v>
      </c>
      <c r="V557" s="1" t="str">
        <f t="shared" si="43"/>
        <v>0 г. 0 мес. 1 дн.</v>
      </c>
      <c r="W557" s="69"/>
    </row>
    <row r="558" spans="1:23" ht="35.1" customHeight="1" x14ac:dyDescent="0.25">
      <c r="A558" s="1">
        <f t="shared" si="41"/>
        <v>557</v>
      </c>
      <c r="B558" s="1">
        <v>2925</v>
      </c>
      <c r="C558" s="39" t="s">
        <v>77</v>
      </c>
      <c r="D558" s="21">
        <v>45281</v>
      </c>
      <c r="E558" s="6">
        <v>0.58333333333333337</v>
      </c>
      <c r="F558" s="1" t="s">
        <v>1514</v>
      </c>
      <c r="G558" s="3">
        <v>42268</v>
      </c>
      <c r="H558" s="11" t="str">
        <f t="shared" si="42"/>
        <v>8 г. 3 мес. 0 дн.</v>
      </c>
      <c r="I558" s="20" t="s">
        <v>121</v>
      </c>
      <c r="J558" s="20" t="s">
        <v>77</v>
      </c>
      <c r="K558" s="1" t="s">
        <v>1515</v>
      </c>
      <c r="L558" s="1" t="s">
        <v>1516</v>
      </c>
      <c r="M558" s="1" t="s">
        <v>49</v>
      </c>
      <c r="O558" s="20" t="s">
        <v>73</v>
      </c>
      <c r="P558" s="1" t="s">
        <v>96</v>
      </c>
      <c r="S558" s="1" t="s">
        <v>77</v>
      </c>
      <c r="T558" s="3">
        <v>45285</v>
      </c>
      <c r="U558" s="6">
        <v>0.64583333333333337</v>
      </c>
      <c r="V558" s="1" t="str">
        <f t="shared" si="43"/>
        <v>0 г. 0 мес. 4 дн.</v>
      </c>
      <c r="W558" s="69"/>
    </row>
    <row r="559" spans="1:23" ht="35.1" customHeight="1" x14ac:dyDescent="0.25">
      <c r="A559" s="1">
        <f t="shared" si="41"/>
        <v>558</v>
      </c>
      <c r="B559" s="1">
        <v>750</v>
      </c>
      <c r="C559" s="39" t="s">
        <v>28</v>
      </c>
      <c r="D559" s="21">
        <v>45279</v>
      </c>
      <c r="E559" s="6">
        <v>0.51388888888888895</v>
      </c>
      <c r="F559" s="1" t="s">
        <v>1517</v>
      </c>
      <c r="G559" s="3">
        <v>39326</v>
      </c>
      <c r="H559" s="11" t="str">
        <f t="shared" si="42"/>
        <v>16 г. 3 мес. 18 дн.</v>
      </c>
      <c r="I559" s="20" t="s">
        <v>120</v>
      </c>
      <c r="J559" s="20"/>
      <c r="K559" s="1" t="s">
        <v>1518</v>
      </c>
      <c r="L559" s="1" t="s">
        <v>1519</v>
      </c>
      <c r="M559" s="1" t="s">
        <v>46</v>
      </c>
      <c r="O559" s="20" t="s">
        <v>89</v>
      </c>
      <c r="S559" s="1" t="s">
        <v>28</v>
      </c>
      <c r="T559" s="3">
        <v>45279</v>
      </c>
      <c r="U559" s="6">
        <v>0.72083333333333333</v>
      </c>
      <c r="V559" s="1" t="str">
        <f t="shared" si="43"/>
        <v>0 г. 0 мес. 0 дн.</v>
      </c>
      <c r="W559" s="69"/>
    </row>
    <row r="560" spans="1:23" ht="35.1" customHeight="1" x14ac:dyDescent="0.25">
      <c r="A560" s="1">
        <f t="shared" si="41"/>
        <v>559</v>
      </c>
      <c r="B560" s="1">
        <v>2953</v>
      </c>
      <c r="C560" s="39" t="s">
        <v>77</v>
      </c>
      <c r="D560" s="21">
        <v>45282</v>
      </c>
      <c r="E560" s="6">
        <v>0.53819444444444442</v>
      </c>
      <c r="F560" s="1" t="s">
        <v>1521</v>
      </c>
      <c r="G560" s="3">
        <v>39436</v>
      </c>
      <c r="H560" s="11" t="str">
        <f t="shared" si="42"/>
        <v>16 г. 0 мес. 2 дн.</v>
      </c>
      <c r="I560" s="20" t="s">
        <v>121</v>
      </c>
      <c r="J560" s="20" t="s">
        <v>77</v>
      </c>
      <c r="K560" s="1" t="s">
        <v>1522</v>
      </c>
      <c r="L560" s="1" t="s">
        <v>1523</v>
      </c>
      <c r="M560" s="1" t="s">
        <v>49</v>
      </c>
      <c r="O560" s="20" t="s">
        <v>89</v>
      </c>
      <c r="S560" s="1" t="s">
        <v>77</v>
      </c>
      <c r="T560" s="3">
        <v>45282</v>
      </c>
      <c r="U560" s="6">
        <v>0.85416666666666663</v>
      </c>
      <c r="V560" s="1" t="str">
        <f t="shared" si="43"/>
        <v>0 г. 0 мес. 0 дн.</v>
      </c>
      <c r="W560" s="69"/>
    </row>
    <row r="561" spans="1:23" ht="35.1" customHeight="1" x14ac:dyDescent="0.25">
      <c r="A561" s="1">
        <f t="shared" si="41"/>
        <v>560</v>
      </c>
      <c r="B561" s="1">
        <v>860</v>
      </c>
      <c r="C561" s="39" t="s">
        <v>82</v>
      </c>
      <c r="D561" s="21">
        <v>45272</v>
      </c>
      <c r="E561" s="6">
        <v>3.472222222222222E-3</v>
      </c>
      <c r="F561" s="1" t="s">
        <v>660</v>
      </c>
      <c r="G561" s="3">
        <v>45024</v>
      </c>
      <c r="H561" s="11" t="str">
        <f t="shared" si="42"/>
        <v>0 г. 8 мес. 4 дн.</v>
      </c>
      <c r="I561" s="20" t="s">
        <v>125</v>
      </c>
      <c r="J561" s="20" t="s">
        <v>82</v>
      </c>
      <c r="K561" s="1" t="s">
        <v>1278</v>
      </c>
      <c r="L561" s="1" t="s">
        <v>423</v>
      </c>
      <c r="M561" s="1" t="s">
        <v>46</v>
      </c>
      <c r="O561" s="20" t="s">
        <v>73</v>
      </c>
      <c r="T561" s="3"/>
      <c r="U561" s="6"/>
      <c r="V561" s="1" t="e">
        <f t="shared" si="43"/>
        <v>#NUM!</v>
      </c>
      <c r="W561" s="69"/>
    </row>
    <row r="562" spans="1:23" ht="35.1" customHeight="1" x14ac:dyDescent="0.25">
      <c r="A562" s="1">
        <f t="shared" si="41"/>
        <v>561</v>
      </c>
      <c r="B562" s="1">
        <v>746</v>
      </c>
      <c r="C562" s="39" t="s">
        <v>28</v>
      </c>
      <c r="D562" s="21">
        <v>45275</v>
      </c>
      <c r="E562" s="6">
        <v>4.5833333333333337E-2</v>
      </c>
      <c r="F562" s="1" t="s">
        <v>1530</v>
      </c>
      <c r="G562" s="3">
        <v>39024</v>
      </c>
      <c r="H562" s="11" t="str">
        <f t="shared" si="42"/>
        <v>17 г. 1 мес. 12 дн.</v>
      </c>
      <c r="I562" s="20" t="s">
        <v>123</v>
      </c>
      <c r="J562" s="20"/>
      <c r="K562" s="1" t="s">
        <v>1531</v>
      </c>
      <c r="L562" s="1" t="s">
        <v>1532</v>
      </c>
      <c r="M562" s="1" t="s">
        <v>46</v>
      </c>
      <c r="O562" s="20" t="s">
        <v>89</v>
      </c>
      <c r="S562" s="1" t="s">
        <v>28</v>
      </c>
      <c r="T562" s="3">
        <v>45275</v>
      </c>
      <c r="U562" s="6">
        <v>0.50347222222222221</v>
      </c>
      <c r="V562" s="1" t="str">
        <f t="shared" si="43"/>
        <v>0 г. 0 мес. 0 дн.</v>
      </c>
      <c r="W562" s="69"/>
    </row>
    <row r="563" spans="1:23" ht="35.1" customHeight="1" x14ac:dyDescent="0.25">
      <c r="A563" s="1">
        <f t="shared" si="41"/>
        <v>562</v>
      </c>
      <c r="B563" s="1">
        <v>866</v>
      </c>
      <c r="C563" s="39" t="s">
        <v>26</v>
      </c>
      <c r="D563" s="21">
        <v>45278</v>
      </c>
      <c r="E563" s="6">
        <v>0.60138888888888886</v>
      </c>
      <c r="F563" s="1" t="s">
        <v>1535</v>
      </c>
      <c r="G563" s="3">
        <v>39533</v>
      </c>
      <c r="H563" s="11" t="str">
        <f t="shared" si="42"/>
        <v>15 г. 8 мес. 22 дн.</v>
      </c>
      <c r="I563" s="20" t="s">
        <v>120</v>
      </c>
      <c r="J563" s="20"/>
      <c r="K563" s="1" t="s">
        <v>1536</v>
      </c>
      <c r="L563" s="1" t="s">
        <v>1537</v>
      </c>
      <c r="M563" s="1" t="s">
        <v>40</v>
      </c>
      <c r="O563" s="20" t="s">
        <v>89</v>
      </c>
      <c r="S563" s="1" t="s">
        <v>29</v>
      </c>
      <c r="T563" s="3">
        <v>45279</v>
      </c>
      <c r="U563" s="6">
        <v>0.49722222222222223</v>
      </c>
      <c r="V563" s="1" t="s">
        <v>79</v>
      </c>
      <c r="W563" s="69"/>
    </row>
    <row r="564" spans="1:23" ht="35.1" customHeight="1" x14ac:dyDescent="0.25">
      <c r="A564" s="1">
        <f t="shared" si="41"/>
        <v>563</v>
      </c>
      <c r="B564" s="1">
        <v>675</v>
      </c>
      <c r="C564" s="39" t="s">
        <v>25</v>
      </c>
      <c r="D564" s="21">
        <v>45284</v>
      </c>
      <c r="E564" s="6">
        <v>0.74305555555555547</v>
      </c>
      <c r="F564" s="1" t="s">
        <v>1538</v>
      </c>
      <c r="G564" s="3">
        <v>45260</v>
      </c>
      <c r="H564" s="11" t="str">
        <f t="shared" si="42"/>
        <v>0 г. 0 мес. 24 дн.</v>
      </c>
      <c r="I564" s="20" t="s">
        <v>123</v>
      </c>
      <c r="J564" s="20"/>
      <c r="K564" s="1" t="s">
        <v>510</v>
      </c>
      <c r="L564" s="1" t="s">
        <v>1539</v>
      </c>
      <c r="M564" s="1" t="s">
        <v>56</v>
      </c>
      <c r="O564" s="20" t="s">
        <v>73</v>
      </c>
      <c r="Q564" s="1" t="s">
        <v>103</v>
      </c>
      <c r="V564" s="1" t="e">
        <f t="shared" si="43"/>
        <v>#NUM!</v>
      </c>
      <c r="W564" s="69"/>
    </row>
    <row r="565" spans="1:23" ht="35.1" customHeight="1" x14ac:dyDescent="0.25">
      <c r="A565" s="1">
        <f t="shared" si="41"/>
        <v>564</v>
      </c>
      <c r="B565" s="1">
        <v>2887</v>
      </c>
      <c r="C565" s="39" t="s">
        <v>77</v>
      </c>
      <c r="D565" s="21">
        <v>45282</v>
      </c>
      <c r="E565" s="6">
        <v>0.52430555555555558</v>
      </c>
      <c r="F565" s="1" t="s">
        <v>1527</v>
      </c>
      <c r="G565" s="3">
        <v>41745</v>
      </c>
      <c r="H565" s="11" t="str">
        <f t="shared" si="42"/>
        <v>9 г. 8 мес. 6 дн.</v>
      </c>
      <c r="I565" s="20" t="s">
        <v>125</v>
      </c>
      <c r="J565" s="20" t="s">
        <v>77</v>
      </c>
      <c r="K565" s="1" t="s">
        <v>1540</v>
      </c>
      <c r="L565" s="1" t="s">
        <v>1541</v>
      </c>
      <c r="M565" s="1" t="s">
        <v>54</v>
      </c>
      <c r="O565" s="20" t="s">
        <v>73</v>
      </c>
      <c r="P565" s="1" t="s">
        <v>96</v>
      </c>
      <c r="Q565" s="1" t="s">
        <v>146</v>
      </c>
      <c r="V565" s="1" t="e">
        <f t="shared" si="43"/>
        <v>#NUM!</v>
      </c>
      <c r="W565" s="69"/>
    </row>
    <row r="566" spans="1:23" ht="35.1" customHeight="1" x14ac:dyDescent="0.25">
      <c r="A566" s="1">
        <f t="shared" si="41"/>
        <v>565</v>
      </c>
      <c r="B566" s="1">
        <v>886</v>
      </c>
      <c r="C566" s="39" t="s">
        <v>82</v>
      </c>
      <c r="D566" s="21">
        <v>45281</v>
      </c>
      <c r="E566" s="6">
        <v>3.472222222222222E-3</v>
      </c>
      <c r="F566" s="1" t="s">
        <v>343</v>
      </c>
      <c r="G566" s="3">
        <v>40323</v>
      </c>
      <c r="H566" s="11" t="str">
        <f t="shared" si="42"/>
        <v>13 г. 6 мес. 26 дн.</v>
      </c>
      <c r="I566" s="20" t="s">
        <v>125</v>
      </c>
      <c r="J566" s="20" t="s">
        <v>82</v>
      </c>
      <c r="K566" s="1" t="s">
        <v>344</v>
      </c>
      <c r="L566" s="1" t="s">
        <v>442</v>
      </c>
      <c r="M566" s="1" t="s">
        <v>56</v>
      </c>
      <c r="O566" s="20" t="s">
        <v>89</v>
      </c>
      <c r="S566" s="1" t="s">
        <v>31</v>
      </c>
      <c r="T566" s="3">
        <v>45286</v>
      </c>
      <c r="U566" s="6">
        <v>0.41666666666666669</v>
      </c>
      <c r="V566" s="1" t="str">
        <f t="shared" si="43"/>
        <v>0 г. 0 мес. 5 дн.</v>
      </c>
      <c r="W566" s="69"/>
    </row>
    <row r="567" spans="1:23" ht="35.1" customHeight="1" x14ac:dyDescent="0.25">
      <c r="A567" s="1">
        <f t="shared" si="41"/>
        <v>566</v>
      </c>
      <c r="B567" s="1">
        <v>895</v>
      </c>
      <c r="C567" s="39" t="s">
        <v>26</v>
      </c>
      <c r="D567" s="21">
        <v>45284</v>
      </c>
      <c r="E567" s="6">
        <v>0.72916666666666663</v>
      </c>
      <c r="F567" s="1" t="s">
        <v>1542</v>
      </c>
      <c r="G567" s="3">
        <v>39644</v>
      </c>
      <c r="H567" s="11" t="str">
        <f t="shared" si="42"/>
        <v>15 г. 5 мес. 9 дн.</v>
      </c>
      <c r="I567" s="20" t="s">
        <v>120</v>
      </c>
      <c r="J567" s="20"/>
      <c r="K567" s="1" t="s">
        <v>1543</v>
      </c>
      <c r="L567" s="1" t="s">
        <v>1544</v>
      </c>
      <c r="M567" s="1" t="s">
        <v>55</v>
      </c>
      <c r="O567" s="20" t="s">
        <v>89</v>
      </c>
      <c r="S567" s="1" t="s">
        <v>29</v>
      </c>
      <c r="T567" s="3">
        <v>45286</v>
      </c>
      <c r="U567" s="6">
        <v>0.5625</v>
      </c>
      <c r="V567" s="1" t="str">
        <f t="shared" si="43"/>
        <v>0 г. 0 мес. 2 дн.</v>
      </c>
      <c r="W567" s="69"/>
    </row>
    <row r="568" spans="1:23" ht="35.1" customHeight="1" x14ac:dyDescent="0.25">
      <c r="A568" s="1">
        <f t="shared" si="41"/>
        <v>567</v>
      </c>
      <c r="B568" s="1">
        <v>902</v>
      </c>
      <c r="C568" s="39" t="s">
        <v>26</v>
      </c>
      <c r="D568" s="21">
        <v>45287</v>
      </c>
      <c r="E568" s="6">
        <v>4.1666666666666664E-2</v>
      </c>
      <c r="F568" s="1" t="s">
        <v>1546</v>
      </c>
      <c r="G568" s="3">
        <v>44780</v>
      </c>
      <c r="H568" s="11" t="str">
        <f t="shared" si="42"/>
        <v>1 г. 4 мес. 20 дн.</v>
      </c>
      <c r="I568" s="20" t="s">
        <v>120</v>
      </c>
      <c r="J568" s="20"/>
      <c r="K568" s="1" t="s">
        <v>1547</v>
      </c>
      <c r="L568" s="1" t="s">
        <v>1544</v>
      </c>
      <c r="M568" s="1" t="s">
        <v>55</v>
      </c>
      <c r="O568" s="20" t="s">
        <v>89</v>
      </c>
      <c r="S568" s="1" t="s">
        <v>26</v>
      </c>
      <c r="T568" s="3">
        <v>45287</v>
      </c>
      <c r="U568" s="6">
        <v>0.41666666666666669</v>
      </c>
      <c r="V568" s="1" t="str">
        <f t="shared" si="43"/>
        <v>0 г. 0 мес. 0 дн.</v>
      </c>
      <c r="W568" s="69"/>
    </row>
    <row r="569" spans="1:23" ht="35.1" customHeight="1" x14ac:dyDescent="0.25">
      <c r="A569" s="1">
        <f t="shared" si="41"/>
        <v>568</v>
      </c>
      <c r="B569" s="1">
        <v>594</v>
      </c>
      <c r="C569" s="39" t="s">
        <v>24</v>
      </c>
      <c r="D569" s="21">
        <v>45287</v>
      </c>
      <c r="E569" s="6">
        <v>0.55555555555555558</v>
      </c>
      <c r="F569" s="1" t="s">
        <v>1548</v>
      </c>
      <c r="G569" s="3">
        <v>44874</v>
      </c>
      <c r="H569" s="11" t="str">
        <f t="shared" si="42"/>
        <v>1 г. 1 мес. 18 дн.</v>
      </c>
      <c r="I569" s="20" t="s">
        <v>123</v>
      </c>
      <c r="J569" s="20"/>
      <c r="K569" s="1" t="s">
        <v>1549</v>
      </c>
      <c r="L569" s="1" t="s">
        <v>1550</v>
      </c>
      <c r="M569" s="1" t="s">
        <v>50</v>
      </c>
      <c r="O569" s="20" t="s">
        <v>89</v>
      </c>
      <c r="V569" s="1" t="e">
        <f t="shared" si="43"/>
        <v>#NUM!</v>
      </c>
      <c r="W569" s="69"/>
    </row>
    <row r="570" spans="1:23" ht="35.1" customHeight="1" x14ac:dyDescent="0.25">
      <c r="A570" s="1">
        <f t="shared" si="41"/>
        <v>569</v>
      </c>
      <c r="B570" s="1">
        <v>2983</v>
      </c>
      <c r="C570" s="39" t="s">
        <v>77</v>
      </c>
      <c r="D570" s="21">
        <v>45287</v>
      </c>
      <c r="E570" s="6">
        <v>0.99305555555555547</v>
      </c>
      <c r="F570" s="1" t="s">
        <v>1551</v>
      </c>
      <c r="G570" s="3">
        <v>39779</v>
      </c>
      <c r="H570" s="11" t="str">
        <f t="shared" si="42"/>
        <v>15 г. 1 мес. 0 дн.</v>
      </c>
      <c r="I570" s="20" t="s">
        <v>121</v>
      </c>
      <c r="J570" s="20" t="s">
        <v>77</v>
      </c>
      <c r="K570" s="1" t="s">
        <v>1552</v>
      </c>
      <c r="L570" s="1" t="s">
        <v>1553</v>
      </c>
      <c r="M570" s="1" t="s">
        <v>49</v>
      </c>
      <c r="O570" s="20" t="s">
        <v>73</v>
      </c>
      <c r="P570" s="1" t="s">
        <v>96</v>
      </c>
      <c r="V570" s="1" t="e">
        <f t="shared" si="43"/>
        <v>#NUM!</v>
      </c>
      <c r="W570" s="69"/>
    </row>
    <row r="571" spans="1:23" ht="35.1" customHeight="1" x14ac:dyDescent="0.25">
      <c r="A571" s="1">
        <f t="shared" si="41"/>
        <v>570</v>
      </c>
      <c r="B571" s="1"/>
      <c r="C571" s="39"/>
      <c r="D571" s="21"/>
      <c r="G571" s="1"/>
      <c r="H571" s="11" t="str">
        <f t="shared" si="42"/>
        <v>0 г. 0 мес. 0 дн.</v>
      </c>
      <c r="I571" s="20"/>
      <c r="J571" s="20"/>
      <c r="O571" s="20"/>
      <c r="V571" s="1" t="str">
        <f t="shared" si="43"/>
        <v>0 г. 0 мес. 0 дн.</v>
      </c>
      <c r="W571" s="69"/>
    </row>
    <row r="572" spans="1:23" ht="35.1" customHeight="1" x14ac:dyDescent="0.25">
      <c r="A572" s="1">
        <f t="shared" si="41"/>
        <v>571</v>
      </c>
      <c r="B572" s="1"/>
      <c r="C572" s="39"/>
      <c r="D572" s="21"/>
      <c r="G572" s="1"/>
      <c r="H572" s="11" t="str">
        <f t="shared" si="42"/>
        <v>0 г. 0 мес. 0 дн.</v>
      </c>
      <c r="I572" s="20"/>
      <c r="J572" s="20"/>
      <c r="O572" s="20"/>
      <c r="V572" s="1" t="str">
        <f t="shared" si="43"/>
        <v>0 г. 0 мес. 0 дн.</v>
      </c>
      <c r="W572" s="69"/>
    </row>
    <row r="573" spans="1:23" ht="35.1" customHeight="1" x14ac:dyDescent="0.25">
      <c r="A573" s="1">
        <f t="shared" si="41"/>
        <v>572</v>
      </c>
      <c r="B573" s="1"/>
      <c r="C573" s="39"/>
      <c r="D573" s="21"/>
      <c r="G573" s="1"/>
      <c r="H573" s="11" t="str">
        <f t="shared" si="42"/>
        <v>0 г. 0 мес. 0 дн.</v>
      </c>
      <c r="I573" s="20"/>
      <c r="J573" s="20"/>
      <c r="O573" s="20"/>
      <c r="V573" s="1" t="str">
        <f t="shared" si="43"/>
        <v>0 г. 0 мес. 0 дн.</v>
      </c>
      <c r="W573" s="69"/>
    </row>
    <row r="574" spans="1:23" ht="35.1" customHeight="1" x14ac:dyDescent="0.25">
      <c r="A574" s="1">
        <f t="shared" si="41"/>
        <v>573</v>
      </c>
      <c r="B574" s="1"/>
      <c r="C574" s="39"/>
      <c r="D574" s="21"/>
      <c r="G574" s="1"/>
      <c r="H574" s="11" t="str">
        <f t="shared" si="42"/>
        <v>0 г. 0 мес. 0 дн.</v>
      </c>
      <c r="I574" s="20"/>
      <c r="J574" s="20"/>
      <c r="O574" s="20"/>
      <c r="V574" s="1" t="str">
        <f t="shared" si="43"/>
        <v>0 г. 0 мес. 0 дн.</v>
      </c>
      <c r="W574" s="69"/>
    </row>
    <row r="575" spans="1:23" ht="35.1" customHeight="1" x14ac:dyDescent="0.25">
      <c r="A575" s="1">
        <f t="shared" si="41"/>
        <v>574</v>
      </c>
      <c r="B575" s="1"/>
      <c r="C575" s="39"/>
      <c r="D575" s="21"/>
      <c r="G575" s="1"/>
      <c r="H575" s="11" t="str">
        <f t="shared" si="42"/>
        <v>0 г. 0 мес. 0 дн.</v>
      </c>
      <c r="I575" s="20"/>
      <c r="J575" s="20"/>
      <c r="O575" s="20"/>
      <c r="V575" s="1" t="str">
        <f t="shared" si="43"/>
        <v>0 г. 0 мес. 0 дн.</v>
      </c>
      <c r="W575" s="69"/>
    </row>
    <row r="576" spans="1:23" ht="35.1" customHeight="1" x14ac:dyDescent="0.25">
      <c r="A576" s="1">
        <f t="shared" si="41"/>
        <v>575</v>
      </c>
      <c r="B576" s="1"/>
      <c r="C576" s="39"/>
      <c r="D576" s="21"/>
      <c r="G576" s="1"/>
      <c r="H576" s="11" t="str">
        <f t="shared" si="42"/>
        <v>0 г. 0 мес. 0 дн.</v>
      </c>
      <c r="I576" s="20"/>
      <c r="J576" s="20"/>
      <c r="O576" s="20"/>
      <c r="V576" s="1" t="str">
        <f t="shared" si="43"/>
        <v>0 г. 0 мес. 0 дн.</v>
      </c>
      <c r="W576" s="69"/>
    </row>
    <row r="577" spans="1:23" ht="35.1" customHeight="1" x14ac:dyDescent="0.25">
      <c r="A577" s="1">
        <f t="shared" ref="A577:A640" si="44">ROW(A576)</f>
        <v>576</v>
      </c>
      <c r="B577" s="1"/>
      <c r="C577" s="39"/>
      <c r="D577" s="21"/>
      <c r="G577" s="1"/>
      <c r="H577" s="11" t="str">
        <f t="shared" ref="H577:H640" si="45">DATEDIF(G577,D577,"y") &amp; " г. " &amp; DATEDIF(G577,D577,"ym") &amp; " мес. " &amp; DATEDIF(G577,D577,"md") &amp; " дн."</f>
        <v>0 г. 0 мес. 0 дн.</v>
      </c>
      <c r="I577" s="20"/>
      <c r="J577" s="20"/>
      <c r="O577" s="20"/>
      <c r="V577" s="1" t="str">
        <f t="shared" si="43"/>
        <v>0 г. 0 мес. 0 дн.</v>
      </c>
      <c r="W577" s="69"/>
    </row>
    <row r="578" spans="1:23" ht="35.1" customHeight="1" x14ac:dyDescent="0.25">
      <c r="A578" s="1">
        <f t="shared" si="44"/>
        <v>577</v>
      </c>
      <c r="B578" s="1"/>
      <c r="C578" s="39"/>
      <c r="D578" s="21"/>
      <c r="G578" s="1"/>
      <c r="H578" s="11" t="str">
        <f t="shared" si="45"/>
        <v>0 г. 0 мес. 0 дн.</v>
      </c>
      <c r="I578" s="20"/>
      <c r="J578" s="20"/>
      <c r="O578" s="20"/>
      <c r="V578" s="1" t="str">
        <f t="shared" si="43"/>
        <v>0 г. 0 мес. 0 дн.</v>
      </c>
      <c r="W578" s="69"/>
    </row>
    <row r="579" spans="1:23" ht="35.1" customHeight="1" x14ac:dyDescent="0.25">
      <c r="A579" s="1">
        <f t="shared" si="44"/>
        <v>578</v>
      </c>
      <c r="B579" s="1"/>
      <c r="C579" s="39"/>
      <c r="D579" s="21"/>
      <c r="G579" s="1"/>
      <c r="H579" s="11" t="str">
        <f t="shared" si="45"/>
        <v>0 г. 0 мес. 0 дн.</v>
      </c>
      <c r="I579" s="20"/>
      <c r="J579" s="20"/>
      <c r="O579" s="20"/>
      <c r="V579" s="1" t="str">
        <f t="shared" si="43"/>
        <v>0 г. 0 мес. 0 дн.</v>
      </c>
      <c r="W579" s="69"/>
    </row>
    <row r="580" spans="1:23" ht="35.1" customHeight="1" x14ac:dyDescent="0.25">
      <c r="A580" s="1">
        <f t="shared" si="44"/>
        <v>579</v>
      </c>
      <c r="B580" s="1"/>
      <c r="C580" s="39"/>
      <c r="D580" s="21"/>
      <c r="G580" s="1"/>
      <c r="H580" s="11" t="str">
        <f t="shared" si="45"/>
        <v>0 г. 0 мес. 0 дн.</v>
      </c>
      <c r="I580" s="20"/>
      <c r="J580" s="20"/>
      <c r="O580" s="20"/>
      <c r="V580" s="1" t="str">
        <f t="shared" si="43"/>
        <v>0 г. 0 мес. 0 дн.</v>
      </c>
      <c r="W580" s="69"/>
    </row>
    <row r="581" spans="1:23" ht="35.1" customHeight="1" x14ac:dyDescent="0.25">
      <c r="A581" s="1">
        <f t="shared" si="44"/>
        <v>580</v>
      </c>
      <c r="B581" s="1"/>
      <c r="C581" s="39"/>
      <c r="D581" s="21"/>
      <c r="G581" s="1"/>
      <c r="H581" s="11" t="str">
        <f t="shared" si="45"/>
        <v>0 г. 0 мес. 0 дн.</v>
      </c>
      <c r="I581" s="20"/>
      <c r="J581" s="20"/>
      <c r="O581" s="20"/>
      <c r="V581" s="1" t="str">
        <f t="shared" si="43"/>
        <v>0 г. 0 мес. 0 дн.</v>
      </c>
      <c r="W581" s="69"/>
    </row>
    <row r="582" spans="1:23" ht="35.1" customHeight="1" x14ac:dyDescent="0.25">
      <c r="A582" s="1">
        <f t="shared" si="44"/>
        <v>581</v>
      </c>
      <c r="B582" s="1"/>
      <c r="C582" s="39"/>
      <c r="D582" s="21"/>
      <c r="G582" s="1"/>
      <c r="H582" s="11" t="str">
        <f t="shared" si="45"/>
        <v>0 г. 0 мес. 0 дн.</v>
      </c>
      <c r="I582" s="20"/>
      <c r="J582" s="20"/>
      <c r="O582" s="20"/>
      <c r="V582" s="1" t="str">
        <f t="shared" si="43"/>
        <v>0 г. 0 мес. 0 дн.</v>
      </c>
      <c r="W582" s="69"/>
    </row>
    <row r="583" spans="1:23" ht="35.1" customHeight="1" x14ac:dyDescent="0.25">
      <c r="A583" s="1">
        <f t="shared" si="44"/>
        <v>582</v>
      </c>
      <c r="B583" s="1"/>
      <c r="C583" s="39"/>
      <c r="D583" s="21"/>
      <c r="G583" s="1"/>
      <c r="H583" s="11" t="str">
        <f t="shared" si="45"/>
        <v>0 г. 0 мес. 0 дн.</v>
      </c>
      <c r="I583" s="20"/>
      <c r="J583" s="20"/>
      <c r="O583" s="20"/>
      <c r="V583" s="1" t="str">
        <f t="shared" si="43"/>
        <v>0 г. 0 мес. 0 дн.</v>
      </c>
      <c r="W583" s="69"/>
    </row>
    <row r="584" spans="1:23" ht="35.1" customHeight="1" x14ac:dyDescent="0.25">
      <c r="A584" s="1">
        <f t="shared" si="44"/>
        <v>583</v>
      </c>
      <c r="B584" s="1"/>
      <c r="C584" s="39"/>
      <c r="D584" s="21"/>
      <c r="G584" s="1"/>
      <c r="H584" s="11" t="str">
        <f t="shared" si="45"/>
        <v>0 г. 0 мес. 0 дн.</v>
      </c>
      <c r="I584" s="20"/>
      <c r="J584" s="20"/>
      <c r="O584" s="20"/>
      <c r="V584" s="1" t="str">
        <f t="shared" si="43"/>
        <v>0 г. 0 мес. 0 дн.</v>
      </c>
      <c r="W584" s="69"/>
    </row>
    <row r="585" spans="1:23" ht="35.1" customHeight="1" x14ac:dyDescent="0.25">
      <c r="A585" s="1">
        <f t="shared" si="44"/>
        <v>584</v>
      </c>
      <c r="B585" s="1"/>
      <c r="C585" s="39"/>
      <c r="D585" s="21"/>
      <c r="G585" s="1"/>
      <c r="H585" s="11" t="str">
        <f t="shared" si="45"/>
        <v>0 г. 0 мес. 0 дн.</v>
      </c>
      <c r="I585" s="20"/>
      <c r="J585" s="20"/>
      <c r="O585" s="20"/>
      <c r="V585" s="1" t="str">
        <f t="shared" si="43"/>
        <v>0 г. 0 мес. 0 дн.</v>
      </c>
      <c r="W585" s="69"/>
    </row>
    <row r="586" spans="1:23" ht="35.1" customHeight="1" x14ac:dyDescent="0.25">
      <c r="A586" s="1">
        <f t="shared" si="44"/>
        <v>585</v>
      </c>
      <c r="B586" s="1"/>
      <c r="C586" s="39"/>
      <c r="D586" s="21"/>
      <c r="G586" s="1"/>
      <c r="H586" s="11" t="str">
        <f t="shared" si="45"/>
        <v>0 г. 0 мес. 0 дн.</v>
      </c>
      <c r="I586" s="20"/>
      <c r="J586" s="20"/>
      <c r="O586" s="20"/>
      <c r="V586" s="1" t="str">
        <f t="shared" si="43"/>
        <v>0 г. 0 мес. 0 дн.</v>
      </c>
      <c r="W586" s="69"/>
    </row>
    <row r="587" spans="1:23" ht="35.1" customHeight="1" x14ac:dyDescent="0.25">
      <c r="A587" s="1">
        <f t="shared" si="44"/>
        <v>586</v>
      </c>
      <c r="B587" s="1"/>
      <c r="C587" s="39"/>
      <c r="D587" s="21"/>
      <c r="G587" s="1"/>
      <c r="H587" s="11" t="str">
        <f t="shared" si="45"/>
        <v>0 г. 0 мес. 0 дн.</v>
      </c>
      <c r="I587" s="20"/>
      <c r="J587" s="20"/>
      <c r="O587" s="20"/>
      <c r="V587" s="1" t="str">
        <f t="shared" si="43"/>
        <v>0 г. 0 мес. 0 дн.</v>
      </c>
      <c r="W587" s="69"/>
    </row>
    <row r="588" spans="1:23" ht="35.1" customHeight="1" x14ac:dyDescent="0.25">
      <c r="A588" s="1">
        <f t="shared" si="44"/>
        <v>587</v>
      </c>
      <c r="B588" s="1"/>
      <c r="C588" s="39"/>
      <c r="D588" s="21"/>
      <c r="G588" s="1"/>
      <c r="H588" s="11" t="str">
        <f t="shared" si="45"/>
        <v>0 г. 0 мес. 0 дн.</v>
      </c>
      <c r="I588" s="20"/>
      <c r="J588" s="20"/>
      <c r="O588" s="20"/>
      <c r="V588" s="1" t="str">
        <f t="shared" si="43"/>
        <v>0 г. 0 мес. 0 дн.</v>
      </c>
      <c r="W588" s="69"/>
    </row>
    <row r="589" spans="1:23" ht="35.1" customHeight="1" x14ac:dyDescent="0.25">
      <c r="A589" s="1">
        <f t="shared" si="44"/>
        <v>588</v>
      </c>
      <c r="B589" s="1"/>
      <c r="C589" s="39"/>
      <c r="D589" s="21"/>
      <c r="G589" s="1"/>
      <c r="H589" s="11" t="str">
        <f t="shared" si="45"/>
        <v>0 г. 0 мес. 0 дн.</v>
      </c>
      <c r="I589" s="20"/>
      <c r="J589" s="20"/>
      <c r="O589" s="20"/>
      <c r="V589" s="1" t="str">
        <f t="shared" si="43"/>
        <v>0 г. 0 мес. 0 дн.</v>
      </c>
      <c r="W589" s="69"/>
    </row>
    <row r="590" spans="1:23" ht="35.1" customHeight="1" x14ac:dyDescent="0.25">
      <c r="A590" s="1">
        <f t="shared" si="44"/>
        <v>589</v>
      </c>
      <c r="B590" s="1"/>
      <c r="C590" s="39"/>
      <c r="D590" s="21"/>
      <c r="G590" s="1"/>
      <c r="H590" s="11" t="str">
        <f t="shared" si="45"/>
        <v>0 г. 0 мес. 0 дн.</v>
      </c>
      <c r="I590" s="20"/>
      <c r="J590" s="20"/>
      <c r="O590" s="20"/>
      <c r="V590" s="1" t="str">
        <f t="shared" si="43"/>
        <v>0 г. 0 мес. 0 дн.</v>
      </c>
      <c r="W590" s="69"/>
    </row>
    <row r="591" spans="1:23" ht="35.1" customHeight="1" x14ac:dyDescent="0.25">
      <c r="A591" s="1">
        <f t="shared" si="44"/>
        <v>590</v>
      </c>
      <c r="B591" s="1"/>
      <c r="C591" s="39"/>
      <c r="D591" s="21"/>
      <c r="G591" s="1"/>
      <c r="H591" s="11" t="str">
        <f t="shared" si="45"/>
        <v>0 г. 0 мес. 0 дн.</v>
      </c>
      <c r="I591" s="20"/>
      <c r="J591" s="20"/>
      <c r="O591" s="20"/>
      <c r="V591" s="1" t="str">
        <f t="shared" si="43"/>
        <v>0 г. 0 мес. 0 дн.</v>
      </c>
      <c r="W591" s="69"/>
    </row>
    <row r="592" spans="1:23" ht="35.1" customHeight="1" x14ac:dyDescent="0.25">
      <c r="A592" s="1">
        <f t="shared" si="44"/>
        <v>591</v>
      </c>
      <c r="B592" s="1"/>
      <c r="C592" s="39"/>
      <c r="D592" s="21"/>
      <c r="G592" s="1"/>
      <c r="H592" s="11" t="str">
        <f t="shared" si="45"/>
        <v>0 г. 0 мес. 0 дн.</v>
      </c>
      <c r="I592" s="20"/>
      <c r="J592" s="20"/>
      <c r="O592" s="20"/>
      <c r="V592" s="1" t="str">
        <f t="shared" si="43"/>
        <v>0 г. 0 мес. 0 дн.</v>
      </c>
      <c r="W592" s="69"/>
    </row>
    <row r="593" spans="1:23" ht="35.1" customHeight="1" x14ac:dyDescent="0.25">
      <c r="A593" s="1">
        <f t="shared" si="44"/>
        <v>592</v>
      </c>
      <c r="B593" s="1"/>
      <c r="C593" s="39"/>
      <c r="D593" s="21"/>
      <c r="G593" s="1"/>
      <c r="H593" s="11" t="str">
        <f t="shared" si="45"/>
        <v>0 г. 0 мес. 0 дн.</v>
      </c>
      <c r="I593" s="20"/>
      <c r="J593" s="20"/>
      <c r="O593" s="20"/>
      <c r="V593" s="1" t="str">
        <f t="shared" si="43"/>
        <v>0 г. 0 мес. 0 дн.</v>
      </c>
      <c r="W593" s="69"/>
    </row>
    <row r="594" spans="1:23" ht="35.1" customHeight="1" x14ac:dyDescent="0.25">
      <c r="A594" s="1">
        <f t="shared" si="44"/>
        <v>593</v>
      </c>
      <c r="B594" s="1"/>
      <c r="C594" s="39"/>
      <c r="D594" s="21"/>
      <c r="G594" s="1"/>
      <c r="H594" s="11" t="str">
        <f t="shared" si="45"/>
        <v>0 г. 0 мес. 0 дн.</v>
      </c>
      <c r="I594" s="20"/>
      <c r="J594" s="20"/>
      <c r="O594" s="20"/>
      <c r="V594" s="1" t="str">
        <f t="shared" si="43"/>
        <v>0 г. 0 мес. 0 дн.</v>
      </c>
      <c r="W594" s="69"/>
    </row>
    <row r="595" spans="1:23" ht="35.1" customHeight="1" x14ac:dyDescent="0.25">
      <c r="A595" s="1">
        <f t="shared" si="44"/>
        <v>594</v>
      </c>
      <c r="B595" s="1"/>
      <c r="C595" s="39"/>
      <c r="D595" s="21"/>
      <c r="G595" s="1"/>
      <c r="H595" s="11" t="str">
        <f t="shared" si="45"/>
        <v>0 г. 0 мес. 0 дн.</v>
      </c>
      <c r="I595" s="20"/>
      <c r="J595" s="20"/>
      <c r="O595" s="20"/>
      <c r="V595" s="1" t="str">
        <f t="shared" si="43"/>
        <v>0 г. 0 мес. 0 дн.</v>
      </c>
      <c r="W595" s="69"/>
    </row>
    <row r="596" spans="1:23" ht="35.1" customHeight="1" x14ac:dyDescent="0.25">
      <c r="A596" s="1">
        <f t="shared" si="44"/>
        <v>595</v>
      </c>
      <c r="B596" s="1"/>
      <c r="C596" s="39"/>
      <c r="D596" s="21"/>
      <c r="G596" s="1"/>
      <c r="H596" s="11" t="str">
        <f t="shared" si="45"/>
        <v>0 г. 0 мес. 0 дн.</v>
      </c>
      <c r="I596" s="20"/>
      <c r="J596" s="20"/>
      <c r="O596" s="20"/>
      <c r="V596" s="1" t="str">
        <f t="shared" si="43"/>
        <v>0 г. 0 мес. 0 дн.</v>
      </c>
      <c r="W596" s="69"/>
    </row>
    <row r="597" spans="1:23" ht="35.1" customHeight="1" x14ac:dyDescent="0.25">
      <c r="A597" s="1">
        <f t="shared" si="44"/>
        <v>596</v>
      </c>
      <c r="B597" s="1"/>
      <c r="C597" s="39"/>
      <c r="D597" s="21"/>
      <c r="G597" s="1"/>
      <c r="H597" s="11" t="str">
        <f t="shared" si="45"/>
        <v>0 г. 0 мес. 0 дн.</v>
      </c>
      <c r="I597" s="20"/>
      <c r="J597" s="20"/>
      <c r="O597" s="20"/>
      <c r="V597" s="1" t="str">
        <f t="shared" si="43"/>
        <v>0 г. 0 мес. 0 дн.</v>
      </c>
      <c r="W597" s="69"/>
    </row>
    <row r="598" spans="1:23" ht="35.1" customHeight="1" x14ac:dyDescent="0.25">
      <c r="A598" s="1">
        <f t="shared" si="44"/>
        <v>597</v>
      </c>
      <c r="B598" s="1"/>
      <c r="C598" s="39"/>
      <c r="D598" s="21"/>
      <c r="G598" s="1"/>
      <c r="H598" s="11" t="str">
        <f t="shared" si="45"/>
        <v>0 г. 0 мес. 0 дн.</v>
      </c>
      <c r="I598" s="20"/>
      <c r="J598" s="20"/>
      <c r="O598" s="20"/>
      <c r="V598" s="1" t="str">
        <f t="shared" si="43"/>
        <v>0 г. 0 мес. 0 дн.</v>
      </c>
      <c r="W598" s="69"/>
    </row>
    <row r="599" spans="1:23" ht="35.1" customHeight="1" x14ac:dyDescent="0.25">
      <c r="A599" s="1">
        <f t="shared" si="44"/>
        <v>598</v>
      </c>
      <c r="B599" s="1"/>
      <c r="C599" s="39"/>
      <c r="D599" s="21"/>
      <c r="G599" s="1"/>
      <c r="H599" s="11" t="str">
        <f t="shared" si="45"/>
        <v>0 г. 0 мес. 0 дн.</v>
      </c>
      <c r="I599" s="20"/>
      <c r="J599" s="20"/>
      <c r="O599" s="20"/>
      <c r="V599" s="1" t="str">
        <f t="shared" si="43"/>
        <v>0 г. 0 мес. 0 дн.</v>
      </c>
      <c r="W599" s="69"/>
    </row>
    <row r="600" spans="1:23" ht="35.1" customHeight="1" x14ac:dyDescent="0.25">
      <c r="A600" s="1">
        <f t="shared" si="44"/>
        <v>599</v>
      </c>
      <c r="B600" s="1"/>
      <c r="C600" s="39"/>
      <c r="D600" s="21"/>
      <c r="G600" s="1"/>
      <c r="H600" s="11" t="str">
        <f t="shared" si="45"/>
        <v>0 г. 0 мес. 0 дн.</v>
      </c>
      <c r="I600" s="20"/>
      <c r="J600" s="20"/>
      <c r="O600" s="20"/>
      <c r="V600" s="1" t="str">
        <f t="shared" si="43"/>
        <v>0 г. 0 мес. 0 дн.</v>
      </c>
      <c r="W600" s="69"/>
    </row>
    <row r="601" spans="1:23" ht="35.1" customHeight="1" x14ac:dyDescent="0.25">
      <c r="A601" s="1">
        <f t="shared" si="44"/>
        <v>600</v>
      </c>
      <c r="B601" s="1"/>
      <c r="C601" s="39"/>
      <c r="D601" s="21"/>
      <c r="G601" s="1"/>
      <c r="H601" s="11" t="str">
        <f t="shared" si="45"/>
        <v>0 г. 0 мес. 0 дн.</v>
      </c>
      <c r="I601" s="20"/>
      <c r="J601" s="20"/>
      <c r="O601" s="20"/>
      <c r="V601" s="1" t="str">
        <f t="shared" ref="V601:V664" si="46">DATEDIF(D601,T601,"y") &amp; " г. " &amp; DATEDIF(D601,T601,"ym") &amp; " мес. " &amp; DATEDIF(D601,T601,"md") &amp; " дн."</f>
        <v>0 г. 0 мес. 0 дн.</v>
      </c>
      <c r="W601" s="69"/>
    </row>
    <row r="602" spans="1:23" ht="35.1" customHeight="1" x14ac:dyDescent="0.25">
      <c r="A602" s="1">
        <f t="shared" si="44"/>
        <v>601</v>
      </c>
      <c r="B602" s="1"/>
      <c r="C602" s="39"/>
      <c r="D602" s="21"/>
      <c r="G602" s="1"/>
      <c r="H602" s="11" t="str">
        <f t="shared" si="45"/>
        <v>0 г. 0 мес. 0 дн.</v>
      </c>
      <c r="I602" s="20"/>
      <c r="J602" s="20"/>
      <c r="O602" s="20"/>
      <c r="V602" s="1" t="str">
        <f t="shared" si="46"/>
        <v>0 г. 0 мес. 0 дн.</v>
      </c>
      <c r="W602" s="69"/>
    </row>
    <row r="603" spans="1:23" ht="35.1" customHeight="1" x14ac:dyDescent="0.25">
      <c r="A603" s="1">
        <f t="shared" si="44"/>
        <v>602</v>
      </c>
      <c r="B603" s="1"/>
      <c r="C603" s="39"/>
      <c r="D603" s="21"/>
      <c r="G603" s="1"/>
      <c r="H603" s="11" t="str">
        <f t="shared" si="45"/>
        <v>0 г. 0 мес. 0 дн.</v>
      </c>
      <c r="I603" s="20"/>
      <c r="J603" s="20"/>
      <c r="O603" s="20"/>
      <c r="V603" s="1" t="str">
        <f t="shared" si="46"/>
        <v>0 г. 0 мес. 0 дн.</v>
      </c>
      <c r="W603" s="69"/>
    </row>
    <row r="604" spans="1:23" ht="35.1" customHeight="1" x14ac:dyDescent="0.25">
      <c r="A604" s="1">
        <f t="shared" si="44"/>
        <v>603</v>
      </c>
      <c r="B604" s="1"/>
      <c r="C604" s="39"/>
      <c r="D604" s="21"/>
      <c r="G604" s="1"/>
      <c r="H604" s="11" t="str">
        <f t="shared" si="45"/>
        <v>0 г. 0 мес. 0 дн.</v>
      </c>
      <c r="I604" s="20"/>
      <c r="J604" s="20"/>
      <c r="O604" s="20"/>
      <c r="V604" s="1" t="str">
        <f t="shared" si="46"/>
        <v>0 г. 0 мес. 0 дн.</v>
      </c>
      <c r="W604" s="69"/>
    </row>
    <row r="605" spans="1:23" ht="35.1" customHeight="1" x14ac:dyDescent="0.25">
      <c r="A605" s="1">
        <f t="shared" si="44"/>
        <v>604</v>
      </c>
      <c r="B605" s="1"/>
      <c r="C605" s="39"/>
      <c r="D605" s="21"/>
      <c r="G605" s="1"/>
      <c r="H605" s="11" t="str">
        <f t="shared" si="45"/>
        <v>0 г. 0 мес. 0 дн.</v>
      </c>
      <c r="I605" s="20"/>
      <c r="J605" s="20"/>
      <c r="O605" s="20"/>
      <c r="V605" s="1" t="str">
        <f t="shared" si="46"/>
        <v>0 г. 0 мес. 0 дн.</v>
      </c>
      <c r="W605" s="69"/>
    </row>
    <row r="606" spans="1:23" ht="35.1" customHeight="1" x14ac:dyDescent="0.25">
      <c r="A606" s="1">
        <f t="shared" si="44"/>
        <v>605</v>
      </c>
      <c r="B606" s="1"/>
      <c r="C606" s="39"/>
      <c r="D606" s="21"/>
      <c r="G606" s="1"/>
      <c r="H606" s="11" t="str">
        <f t="shared" si="45"/>
        <v>0 г. 0 мес. 0 дн.</v>
      </c>
      <c r="I606" s="20"/>
      <c r="J606" s="20"/>
      <c r="O606" s="20"/>
      <c r="V606" s="1" t="str">
        <f t="shared" si="46"/>
        <v>0 г. 0 мес. 0 дн.</v>
      </c>
      <c r="W606" s="69"/>
    </row>
    <row r="607" spans="1:23" ht="35.1" customHeight="1" x14ac:dyDescent="0.25">
      <c r="A607" s="1">
        <f t="shared" si="44"/>
        <v>606</v>
      </c>
      <c r="B607" s="1"/>
      <c r="C607" s="39"/>
      <c r="D607" s="21"/>
      <c r="G607" s="1"/>
      <c r="H607" s="11" t="str">
        <f t="shared" si="45"/>
        <v>0 г. 0 мес. 0 дн.</v>
      </c>
      <c r="I607" s="20"/>
      <c r="J607" s="20"/>
      <c r="O607" s="20"/>
      <c r="V607" s="1" t="str">
        <f t="shared" si="46"/>
        <v>0 г. 0 мес. 0 дн.</v>
      </c>
      <c r="W607" s="69"/>
    </row>
    <row r="608" spans="1:23" ht="35.1" customHeight="1" x14ac:dyDescent="0.25">
      <c r="A608" s="1">
        <f t="shared" si="44"/>
        <v>607</v>
      </c>
      <c r="B608" s="1"/>
      <c r="C608" s="39"/>
      <c r="D608" s="21"/>
      <c r="G608" s="1"/>
      <c r="H608" s="11" t="str">
        <f t="shared" si="45"/>
        <v>0 г. 0 мес. 0 дн.</v>
      </c>
      <c r="I608" s="20"/>
      <c r="J608" s="20"/>
      <c r="O608" s="20"/>
      <c r="V608" s="1" t="str">
        <f t="shared" si="46"/>
        <v>0 г. 0 мес. 0 дн.</v>
      </c>
      <c r="W608" s="69"/>
    </row>
    <row r="609" spans="1:23" ht="35.1" customHeight="1" x14ac:dyDescent="0.25">
      <c r="A609" s="1">
        <f t="shared" si="44"/>
        <v>608</v>
      </c>
      <c r="B609" s="1"/>
      <c r="C609" s="39"/>
      <c r="D609" s="21"/>
      <c r="G609" s="1"/>
      <c r="H609" s="11" t="str">
        <f t="shared" si="45"/>
        <v>0 г. 0 мес. 0 дн.</v>
      </c>
      <c r="I609" s="20"/>
      <c r="J609" s="20"/>
      <c r="O609" s="20"/>
      <c r="V609" s="1" t="str">
        <f t="shared" si="46"/>
        <v>0 г. 0 мес. 0 дн.</v>
      </c>
      <c r="W609" s="69"/>
    </row>
    <row r="610" spans="1:23" ht="35.1" customHeight="1" x14ac:dyDescent="0.25">
      <c r="A610" s="1">
        <f t="shared" si="44"/>
        <v>609</v>
      </c>
      <c r="B610" s="1"/>
      <c r="C610" s="39"/>
      <c r="D610" s="21"/>
      <c r="G610" s="1"/>
      <c r="H610" s="11" t="str">
        <f t="shared" si="45"/>
        <v>0 г. 0 мес. 0 дн.</v>
      </c>
      <c r="I610" s="20"/>
      <c r="J610" s="20"/>
      <c r="O610" s="20"/>
      <c r="V610" s="1" t="str">
        <f t="shared" si="46"/>
        <v>0 г. 0 мес. 0 дн.</v>
      </c>
      <c r="W610" s="69"/>
    </row>
    <row r="611" spans="1:23" ht="35.1" customHeight="1" x14ac:dyDescent="0.25">
      <c r="A611" s="1">
        <f t="shared" si="44"/>
        <v>610</v>
      </c>
      <c r="B611" s="1"/>
      <c r="C611" s="39"/>
      <c r="D611" s="21"/>
      <c r="G611" s="1"/>
      <c r="H611" s="11" t="str">
        <f t="shared" si="45"/>
        <v>0 г. 0 мес. 0 дн.</v>
      </c>
      <c r="I611" s="20"/>
      <c r="J611" s="20"/>
      <c r="O611" s="20"/>
      <c r="V611" s="1" t="str">
        <f t="shared" si="46"/>
        <v>0 г. 0 мес. 0 дн.</v>
      </c>
      <c r="W611" s="69"/>
    </row>
    <row r="612" spans="1:23" ht="35.1" customHeight="1" x14ac:dyDescent="0.25">
      <c r="A612" s="1">
        <f t="shared" si="44"/>
        <v>611</v>
      </c>
      <c r="B612" s="1"/>
      <c r="C612" s="39"/>
      <c r="D612" s="21"/>
      <c r="G612" s="1"/>
      <c r="H612" s="11" t="str">
        <f t="shared" si="45"/>
        <v>0 г. 0 мес. 0 дн.</v>
      </c>
      <c r="I612" s="20"/>
      <c r="J612" s="20"/>
      <c r="O612" s="20"/>
      <c r="V612" s="1" t="str">
        <f t="shared" si="46"/>
        <v>0 г. 0 мес. 0 дн.</v>
      </c>
      <c r="W612" s="69"/>
    </row>
    <row r="613" spans="1:23" ht="35.1" customHeight="1" x14ac:dyDescent="0.25">
      <c r="A613" s="1">
        <f t="shared" si="44"/>
        <v>612</v>
      </c>
      <c r="B613" s="1"/>
      <c r="C613" s="39"/>
      <c r="D613" s="21"/>
      <c r="G613" s="1"/>
      <c r="H613" s="11" t="str">
        <f t="shared" si="45"/>
        <v>0 г. 0 мес. 0 дн.</v>
      </c>
      <c r="I613" s="20"/>
      <c r="J613" s="20"/>
      <c r="O613" s="20"/>
      <c r="V613" s="1" t="str">
        <f t="shared" si="46"/>
        <v>0 г. 0 мес. 0 дн.</v>
      </c>
      <c r="W613" s="69"/>
    </row>
    <row r="614" spans="1:23" ht="35.1" customHeight="1" x14ac:dyDescent="0.25">
      <c r="A614" s="1">
        <f t="shared" si="44"/>
        <v>613</v>
      </c>
      <c r="B614" s="1"/>
      <c r="C614" s="39"/>
      <c r="D614" s="21"/>
      <c r="G614" s="1"/>
      <c r="H614" s="11" t="str">
        <f t="shared" si="45"/>
        <v>0 г. 0 мес. 0 дн.</v>
      </c>
      <c r="I614" s="20"/>
      <c r="J614" s="20"/>
      <c r="O614" s="20"/>
      <c r="V614" s="1" t="str">
        <f t="shared" si="46"/>
        <v>0 г. 0 мес. 0 дн.</v>
      </c>
      <c r="W614" s="69"/>
    </row>
    <row r="615" spans="1:23" ht="35.1" customHeight="1" x14ac:dyDescent="0.25">
      <c r="A615" s="1">
        <f t="shared" si="44"/>
        <v>614</v>
      </c>
      <c r="B615" s="1"/>
      <c r="C615" s="39"/>
      <c r="D615" s="21"/>
      <c r="G615" s="1"/>
      <c r="H615" s="11" t="str">
        <f t="shared" si="45"/>
        <v>0 г. 0 мес. 0 дн.</v>
      </c>
      <c r="I615" s="20"/>
      <c r="J615" s="20"/>
      <c r="O615" s="20"/>
      <c r="V615" s="1" t="str">
        <f t="shared" si="46"/>
        <v>0 г. 0 мес. 0 дн.</v>
      </c>
      <c r="W615" s="69"/>
    </row>
    <row r="616" spans="1:23" ht="35.1" customHeight="1" x14ac:dyDescent="0.25">
      <c r="A616" s="1">
        <f t="shared" si="44"/>
        <v>615</v>
      </c>
      <c r="B616" s="1"/>
      <c r="C616" s="39"/>
      <c r="D616" s="21"/>
      <c r="G616" s="1"/>
      <c r="H616" s="11" t="str">
        <f t="shared" si="45"/>
        <v>0 г. 0 мес. 0 дн.</v>
      </c>
      <c r="I616" s="20"/>
      <c r="J616" s="20"/>
      <c r="O616" s="20"/>
      <c r="V616" s="1" t="str">
        <f t="shared" si="46"/>
        <v>0 г. 0 мес. 0 дн.</v>
      </c>
      <c r="W616" s="69"/>
    </row>
    <row r="617" spans="1:23" ht="35.1" customHeight="1" x14ac:dyDescent="0.25">
      <c r="A617" s="1">
        <f t="shared" si="44"/>
        <v>616</v>
      </c>
      <c r="B617" s="1"/>
      <c r="C617" s="39"/>
      <c r="D617" s="21"/>
      <c r="G617" s="1"/>
      <c r="H617" s="11" t="str">
        <f t="shared" si="45"/>
        <v>0 г. 0 мес. 0 дн.</v>
      </c>
      <c r="I617" s="20"/>
      <c r="J617" s="20"/>
      <c r="O617" s="20"/>
      <c r="V617" s="1" t="str">
        <f t="shared" si="46"/>
        <v>0 г. 0 мес. 0 дн.</v>
      </c>
      <c r="W617" s="69"/>
    </row>
    <row r="618" spans="1:23" ht="35.1" customHeight="1" x14ac:dyDescent="0.25">
      <c r="A618" s="1">
        <f t="shared" si="44"/>
        <v>617</v>
      </c>
      <c r="B618" s="1"/>
      <c r="C618" s="39"/>
      <c r="D618" s="21"/>
      <c r="G618" s="1"/>
      <c r="H618" s="11" t="str">
        <f t="shared" si="45"/>
        <v>0 г. 0 мес. 0 дн.</v>
      </c>
      <c r="I618" s="20"/>
      <c r="J618" s="20"/>
      <c r="O618" s="20"/>
      <c r="V618" s="1" t="str">
        <f t="shared" si="46"/>
        <v>0 г. 0 мес. 0 дн.</v>
      </c>
      <c r="W618" s="69"/>
    </row>
    <row r="619" spans="1:23" ht="35.1" customHeight="1" x14ac:dyDescent="0.25">
      <c r="A619" s="1">
        <f t="shared" si="44"/>
        <v>618</v>
      </c>
      <c r="B619" s="1"/>
      <c r="C619" s="39"/>
      <c r="D619" s="21"/>
      <c r="G619" s="1"/>
      <c r="H619" s="11" t="str">
        <f t="shared" si="45"/>
        <v>0 г. 0 мес. 0 дн.</v>
      </c>
      <c r="I619" s="20"/>
      <c r="J619" s="20"/>
      <c r="O619" s="20"/>
      <c r="V619" s="1" t="str">
        <f t="shared" si="46"/>
        <v>0 г. 0 мес. 0 дн.</v>
      </c>
      <c r="W619" s="69"/>
    </row>
    <row r="620" spans="1:23" ht="35.1" customHeight="1" x14ac:dyDescent="0.25">
      <c r="A620" s="1">
        <f t="shared" si="44"/>
        <v>619</v>
      </c>
      <c r="B620" s="1"/>
      <c r="C620" s="39"/>
      <c r="D620" s="21"/>
      <c r="G620" s="1"/>
      <c r="H620" s="11" t="str">
        <f t="shared" si="45"/>
        <v>0 г. 0 мес. 0 дн.</v>
      </c>
      <c r="I620" s="20"/>
      <c r="J620" s="20"/>
      <c r="O620" s="20"/>
      <c r="V620" s="1" t="str">
        <f t="shared" si="46"/>
        <v>0 г. 0 мес. 0 дн.</v>
      </c>
      <c r="W620" s="69"/>
    </row>
    <row r="621" spans="1:23" ht="35.1" customHeight="1" x14ac:dyDescent="0.25">
      <c r="A621" s="1">
        <f t="shared" si="44"/>
        <v>620</v>
      </c>
      <c r="B621" s="1"/>
      <c r="C621" s="39"/>
      <c r="D621" s="21"/>
      <c r="G621" s="1"/>
      <c r="H621" s="11" t="str">
        <f t="shared" si="45"/>
        <v>0 г. 0 мес. 0 дн.</v>
      </c>
      <c r="I621" s="20"/>
      <c r="J621" s="20"/>
      <c r="O621" s="20"/>
      <c r="V621" s="1" t="str">
        <f t="shared" si="46"/>
        <v>0 г. 0 мес. 0 дн.</v>
      </c>
      <c r="W621" s="69"/>
    </row>
    <row r="622" spans="1:23" ht="35.1" customHeight="1" x14ac:dyDescent="0.25">
      <c r="A622" s="1">
        <f t="shared" si="44"/>
        <v>621</v>
      </c>
      <c r="B622" s="1"/>
      <c r="C622" s="39"/>
      <c r="D622" s="21"/>
      <c r="G622" s="1"/>
      <c r="H622" s="11" t="str">
        <f t="shared" si="45"/>
        <v>0 г. 0 мес. 0 дн.</v>
      </c>
      <c r="I622" s="20"/>
      <c r="J622" s="20"/>
      <c r="O622" s="20"/>
      <c r="V622" s="1" t="str">
        <f t="shared" si="46"/>
        <v>0 г. 0 мес. 0 дн.</v>
      </c>
      <c r="W622" s="69"/>
    </row>
    <row r="623" spans="1:23" ht="35.1" customHeight="1" x14ac:dyDescent="0.25">
      <c r="A623" s="1">
        <f t="shared" si="44"/>
        <v>622</v>
      </c>
      <c r="B623" s="1"/>
      <c r="C623" s="39"/>
      <c r="D623" s="21"/>
      <c r="G623" s="1"/>
      <c r="H623" s="11" t="str">
        <f t="shared" si="45"/>
        <v>0 г. 0 мес. 0 дн.</v>
      </c>
      <c r="I623" s="20"/>
      <c r="J623" s="20"/>
      <c r="O623" s="20"/>
      <c r="V623" s="1" t="str">
        <f t="shared" si="46"/>
        <v>0 г. 0 мес. 0 дн.</v>
      </c>
      <c r="W623" s="69"/>
    </row>
    <row r="624" spans="1:23" ht="35.1" customHeight="1" x14ac:dyDescent="0.25">
      <c r="A624" s="1">
        <f t="shared" si="44"/>
        <v>623</v>
      </c>
      <c r="B624" s="1"/>
      <c r="C624" s="39"/>
      <c r="D624" s="21"/>
      <c r="G624" s="1"/>
      <c r="H624" s="11" t="str">
        <f t="shared" si="45"/>
        <v>0 г. 0 мес. 0 дн.</v>
      </c>
      <c r="I624" s="20"/>
      <c r="J624" s="20"/>
      <c r="O624" s="20"/>
      <c r="V624" s="1" t="str">
        <f t="shared" si="46"/>
        <v>0 г. 0 мес. 0 дн.</v>
      </c>
      <c r="W624" s="69"/>
    </row>
    <row r="625" spans="1:23" ht="35.1" customHeight="1" x14ac:dyDescent="0.25">
      <c r="A625" s="1">
        <f t="shared" si="44"/>
        <v>624</v>
      </c>
      <c r="B625" s="1"/>
      <c r="C625" s="39"/>
      <c r="D625" s="21"/>
      <c r="G625" s="1"/>
      <c r="H625" s="11" t="str">
        <f t="shared" si="45"/>
        <v>0 г. 0 мес. 0 дн.</v>
      </c>
      <c r="I625" s="20"/>
      <c r="J625" s="20"/>
      <c r="O625" s="20"/>
      <c r="V625" s="1" t="str">
        <f t="shared" si="46"/>
        <v>0 г. 0 мес. 0 дн.</v>
      </c>
      <c r="W625" s="69"/>
    </row>
    <row r="626" spans="1:23" ht="35.1" customHeight="1" x14ac:dyDescent="0.25">
      <c r="A626" s="1">
        <f t="shared" si="44"/>
        <v>625</v>
      </c>
      <c r="B626" s="1"/>
      <c r="C626" s="39"/>
      <c r="D626" s="21"/>
      <c r="G626" s="1"/>
      <c r="H626" s="11" t="str">
        <f t="shared" si="45"/>
        <v>0 г. 0 мес. 0 дн.</v>
      </c>
      <c r="I626" s="20"/>
      <c r="J626" s="20"/>
      <c r="O626" s="20"/>
      <c r="V626" s="1" t="str">
        <f t="shared" si="46"/>
        <v>0 г. 0 мес. 0 дн.</v>
      </c>
      <c r="W626" s="69"/>
    </row>
    <row r="627" spans="1:23" ht="35.1" customHeight="1" x14ac:dyDescent="0.25">
      <c r="A627" s="1">
        <f t="shared" si="44"/>
        <v>626</v>
      </c>
      <c r="B627" s="1"/>
      <c r="C627" s="39"/>
      <c r="D627" s="21"/>
      <c r="G627" s="1"/>
      <c r="H627" s="11" t="str">
        <f t="shared" si="45"/>
        <v>0 г. 0 мес. 0 дн.</v>
      </c>
      <c r="I627" s="20"/>
      <c r="J627" s="20"/>
      <c r="O627" s="20"/>
      <c r="V627" s="1" t="str">
        <f t="shared" si="46"/>
        <v>0 г. 0 мес. 0 дн.</v>
      </c>
      <c r="W627" s="69"/>
    </row>
    <row r="628" spans="1:23" ht="35.1" customHeight="1" x14ac:dyDescent="0.25">
      <c r="A628" s="1">
        <f t="shared" si="44"/>
        <v>627</v>
      </c>
      <c r="B628" s="1"/>
      <c r="C628" s="39"/>
      <c r="D628" s="21"/>
      <c r="G628" s="1"/>
      <c r="H628" s="11" t="str">
        <f t="shared" si="45"/>
        <v>0 г. 0 мес. 0 дн.</v>
      </c>
      <c r="I628" s="20"/>
      <c r="J628" s="20"/>
      <c r="O628" s="20"/>
      <c r="V628" s="1" t="str">
        <f t="shared" si="46"/>
        <v>0 г. 0 мес. 0 дн.</v>
      </c>
      <c r="W628" s="69"/>
    </row>
    <row r="629" spans="1:23" ht="35.1" customHeight="1" x14ac:dyDescent="0.25">
      <c r="A629" s="1">
        <f t="shared" si="44"/>
        <v>628</v>
      </c>
      <c r="B629" s="1"/>
      <c r="C629" s="39"/>
      <c r="D629" s="21"/>
      <c r="G629" s="1"/>
      <c r="H629" s="11" t="str">
        <f t="shared" si="45"/>
        <v>0 г. 0 мес. 0 дн.</v>
      </c>
      <c r="I629" s="20"/>
      <c r="J629" s="20"/>
      <c r="O629" s="20"/>
      <c r="V629" s="1" t="str">
        <f t="shared" si="46"/>
        <v>0 г. 0 мес. 0 дн.</v>
      </c>
      <c r="W629" s="69"/>
    </row>
    <row r="630" spans="1:23" ht="35.1" customHeight="1" x14ac:dyDescent="0.25">
      <c r="A630" s="1">
        <f t="shared" si="44"/>
        <v>629</v>
      </c>
      <c r="B630" s="1"/>
      <c r="C630" s="39"/>
      <c r="D630" s="21"/>
      <c r="G630" s="1"/>
      <c r="H630" s="11" t="str">
        <f t="shared" si="45"/>
        <v>0 г. 0 мес. 0 дн.</v>
      </c>
      <c r="I630" s="20"/>
      <c r="J630" s="20"/>
      <c r="O630" s="20"/>
      <c r="V630" s="1" t="str">
        <f t="shared" si="46"/>
        <v>0 г. 0 мес. 0 дн.</v>
      </c>
      <c r="W630" s="69"/>
    </row>
    <row r="631" spans="1:23" ht="35.1" customHeight="1" x14ac:dyDescent="0.25">
      <c r="A631" s="1">
        <f t="shared" si="44"/>
        <v>630</v>
      </c>
      <c r="B631" s="1"/>
      <c r="C631" s="39"/>
      <c r="D631" s="21"/>
      <c r="G631" s="1"/>
      <c r="H631" s="11" t="str">
        <f t="shared" si="45"/>
        <v>0 г. 0 мес. 0 дн.</v>
      </c>
      <c r="I631" s="20"/>
      <c r="J631" s="20"/>
      <c r="O631" s="20"/>
      <c r="V631" s="1" t="str">
        <f t="shared" si="46"/>
        <v>0 г. 0 мес. 0 дн.</v>
      </c>
      <c r="W631" s="69"/>
    </row>
    <row r="632" spans="1:23" ht="35.1" customHeight="1" x14ac:dyDescent="0.25">
      <c r="A632" s="1">
        <f t="shared" si="44"/>
        <v>631</v>
      </c>
      <c r="B632" s="1"/>
      <c r="C632" s="39"/>
      <c r="D632" s="21"/>
      <c r="G632" s="1"/>
      <c r="H632" s="11" t="str">
        <f t="shared" si="45"/>
        <v>0 г. 0 мес. 0 дн.</v>
      </c>
      <c r="I632" s="20"/>
      <c r="J632" s="20"/>
      <c r="O632" s="20"/>
      <c r="V632" s="1" t="str">
        <f t="shared" si="46"/>
        <v>0 г. 0 мес. 0 дн.</v>
      </c>
      <c r="W632" s="69"/>
    </row>
    <row r="633" spans="1:23" ht="35.1" customHeight="1" x14ac:dyDescent="0.25">
      <c r="A633" s="1">
        <f t="shared" si="44"/>
        <v>632</v>
      </c>
      <c r="B633" s="1"/>
      <c r="C633" s="39"/>
      <c r="D633" s="21"/>
      <c r="G633" s="1"/>
      <c r="H633" s="11" t="str">
        <f t="shared" si="45"/>
        <v>0 г. 0 мес. 0 дн.</v>
      </c>
      <c r="I633" s="20"/>
      <c r="J633" s="20"/>
      <c r="O633" s="20"/>
      <c r="V633" s="1" t="str">
        <f t="shared" si="46"/>
        <v>0 г. 0 мес. 0 дн.</v>
      </c>
      <c r="W633" s="69"/>
    </row>
    <row r="634" spans="1:23" ht="35.1" customHeight="1" x14ac:dyDescent="0.25">
      <c r="A634" s="1">
        <f t="shared" si="44"/>
        <v>633</v>
      </c>
      <c r="B634" s="1"/>
      <c r="C634" s="39"/>
      <c r="D634" s="21"/>
      <c r="G634" s="1"/>
      <c r="H634" s="11" t="str">
        <f t="shared" si="45"/>
        <v>0 г. 0 мес. 0 дн.</v>
      </c>
      <c r="I634" s="20"/>
      <c r="J634" s="20"/>
      <c r="O634" s="20"/>
      <c r="V634" s="1" t="str">
        <f t="shared" si="46"/>
        <v>0 г. 0 мес. 0 дн.</v>
      </c>
      <c r="W634" s="69"/>
    </row>
    <row r="635" spans="1:23" ht="35.1" customHeight="1" x14ac:dyDescent="0.25">
      <c r="A635" s="1">
        <f t="shared" si="44"/>
        <v>634</v>
      </c>
      <c r="B635" s="1"/>
      <c r="C635" s="39"/>
      <c r="D635" s="21"/>
      <c r="G635" s="1"/>
      <c r="H635" s="11" t="str">
        <f t="shared" si="45"/>
        <v>0 г. 0 мес. 0 дн.</v>
      </c>
      <c r="I635" s="20"/>
      <c r="J635" s="20"/>
      <c r="O635" s="20"/>
      <c r="V635" s="1" t="str">
        <f t="shared" si="46"/>
        <v>0 г. 0 мес. 0 дн.</v>
      </c>
      <c r="W635" s="69"/>
    </row>
    <row r="636" spans="1:23" ht="35.1" customHeight="1" x14ac:dyDescent="0.25">
      <c r="A636" s="1">
        <f t="shared" si="44"/>
        <v>635</v>
      </c>
      <c r="B636" s="1"/>
      <c r="C636" s="39"/>
      <c r="D636" s="21"/>
      <c r="G636" s="1"/>
      <c r="H636" s="11" t="str">
        <f t="shared" si="45"/>
        <v>0 г. 0 мес. 0 дн.</v>
      </c>
      <c r="I636" s="20"/>
      <c r="J636" s="20"/>
      <c r="O636" s="20"/>
      <c r="V636" s="1" t="str">
        <f t="shared" si="46"/>
        <v>0 г. 0 мес. 0 дн.</v>
      </c>
      <c r="W636" s="69"/>
    </row>
    <row r="637" spans="1:23" ht="35.1" customHeight="1" x14ac:dyDescent="0.25">
      <c r="A637" s="1">
        <f t="shared" si="44"/>
        <v>636</v>
      </c>
      <c r="B637" s="1"/>
      <c r="C637" s="39"/>
      <c r="D637" s="21"/>
      <c r="G637" s="1"/>
      <c r="H637" s="11" t="str">
        <f t="shared" si="45"/>
        <v>0 г. 0 мес. 0 дн.</v>
      </c>
      <c r="I637" s="20"/>
      <c r="J637" s="20"/>
      <c r="O637" s="20"/>
      <c r="V637" s="1" t="str">
        <f t="shared" si="46"/>
        <v>0 г. 0 мес. 0 дн.</v>
      </c>
      <c r="W637" s="69"/>
    </row>
    <row r="638" spans="1:23" ht="35.1" customHeight="1" x14ac:dyDescent="0.25">
      <c r="A638" s="1">
        <f t="shared" si="44"/>
        <v>637</v>
      </c>
      <c r="B638" s="1"/>
      <c r="C638" s="39"/>
      <c r="D638" s="21"/>
      <c r="G638" s="1"/>
      <c r="H638" s="11" t="str">
        <f t="shared" si="45"/>
        <v>0 г. 0 мес. 0 дн.</v>
      </c>
      <c r="I638" s="20"/>
      <c r="J638" s="20"/>
      <c r="O638" s="20"/>
      <c r="V638" s="1" t="str">
        <f t="shared" si="46"/>
        <v>0 г. 0 мес. 0 дн.</v>
      </c>
      <c r="W638" s="69"/>
    </row>
    <row r="639" spans="1:23" ht="35.1" customHeight="1" x14ac:dyDescent="0.25">
      <c r="A639" s="1">
        <f t="shared" si="44"/>
        <v>638</v>
      </c>
      <c r="B639" s="1"/>
      <c r="C639" s="39"/>
      <c r="D639" s="21"/>
      <c r="G639" s="1"/>
      <c r="H639" s="11" t="str">
        <f t="shared" si="45"/>
        <v>0 г. 0 мес. 0 дн.</v>
      </c>
      <c r="I639" s="20"/>
      <c r="J639" s="20"/>
      <c r="O639" s="20"/>
      <c r="V639" s="1" t="str">
        <f t="shared" si="46"/>
        <v>0 г. 0 мес. 0 дн.</v>
      </c>
      <c r="W639" s="69"/>
    </row>
    <row r="640" spans="1:23" ht="35.1" customHeight="1" x14ac:dyDescent="0.25">
      <c r="A640" s="1">
        <f t="shared" si="44"/>
        <v>639</v>
      </c>
      <c r="B640" s="1"/>
      <c r="C640" s="39"/>
      <c r="D640" s="21"/>
      <c r="G640" s="1"/>
      <c r="H640" s="11" t="str">
        <f t="shared" si="45"/>
        <v>0 г. 0 мес. 0 дн.</v>
      </c>
      <c r="I640" s="20"/>
      <c r="J640" s="20"/>
      <c r="O640" s="20"/>
      <c r="V640" s="1" t="str">
        <f t="shared" si="46"/>
        <v>0 г. 0 мес. 0 дн.</v>
      </c>
      <c r="W640" s="69"/>
    </row>
    <row r="641" spans="1:23" ht="35.1" customHeight="1" x14ac:dyDescent="0.25">
      <c r="A641" s="1">
        <f t="shared" ref="A641:A704" si="47">ROW(A640)</f>
        <v>640</v>
      </c>
      <c r="B641" s="1"/>
      <c r="C641" s="39"/>
      <c r="D641" s="21"/>
      <c r="G641" s="1"/>
      <c r="H641" s="11" t="str">
        <f t="shared" ref="H641:H704" si="48">DATEDIF(G641,D641,"y") &amp; " г. " &amp; DATEDIF(G641,D641,"ym") &amp; " мес. " &amp; DATEDIF(G641,D641,"md") &amp; " дн."</f>
        <v>0 г. 0 мес. 0 дн.</v>
      </c>
      <c r="I641" s="20"/>
      <c r="J641" s="20"/>
      <c r="O641" s="20"/>
      <c r="V641" s="1" t="str">
        <f t="shared" si="46"/>
        <v>0 г. 0 мес. 0 дн.</v>
      </c>
      <c r="W641" s="69"/>
    </row>
    <row r="642" spans="1:23" ht="35.1" customHeight="1" x14ac:dyDescent="0.25">
      <c r="A642" s="1">
        <f t="shared" si="47"/>
        <v>641</v>
      </c>
      <c r="B642" s="1"/>
      <c r="C642" s="39"/>
      <c r="D642" s="21"/>
      <c r="G642" s="1"/>
      <c r="H642" s="11" t="str">
        <f t="shared" si="48"/>
        <v>0 г. 0 мес. 0 дн.</v>
      </c>
      <c r="I642" s="20"/>
      <c r="J642" s="20"/>
      <c r="O642" s="20"/>
      <c r="V642" s="1" t="str">
        <f t="shared" si="46"/>
        <v>0 г. 0 мес. 0 дн.</v>
      </c>
      <c r="W642" s="69"/>
    </row>
    <row r="643" spans="1:23" ht="35.1" customHeight="1" x14ac:dyDescent="0.25">
      <c r="A643" s="1">
        <f t="shared" si="47"/>
        <v>642</v>
      </c>
      <c r="B643" s="1"/>
      <c r="C643" s="39"/>
      <c r="D643" s="21"/>
      <c r="G643" s="1"/>
      <c r="H643" s="11" t="str">
        <f t="shared" si="48"/>
        <v>0 г. 0 мес. 0 дн.</v>
      </c>
      <c r="I643" s="20"/>
      <c r="J643" s="20"/>
      <c r="O643" s="20"/>
      <c r="V643" s="1" t="str">
        <f t="shared" si="46"/>
        <v>0 г. 0 мес. 0 дн.</v>
      </c>
      <c r="W643" s="69"/>
    </row>
    <row r="644" spans="1:23" ht="35.1" customHeight="1" x14ac:dyDescent="0.25">
      <c r="A644" s="1">
        <f t="shared" si="47"/>
        <v>643</v>
      </c>
      <c r="B644" s="1"/>
      <c r="C644" s="39"/>
      <c r="D644" s="21"/>
      <c r="G644" s="1"/>
      <c r="H644" s="11" t="str">
        <f t="shared" si="48"/>
        <v>0 г. 0 мес. 0 дн.</v>
      </c>
      <c r="I644" s="20"/>
      <c r="J644" s="20"/>
      <c r="O644" s="20"/>
      <c r="V644" s="1" t="str">
        <f t="shared" si="46"/>
        <v>0 г. 0 мес. 0 дн.</v>
      </c>
      <c r="W644" s="69"/>
    </row>
    <row r="645" spans="1:23" ht="35.1" customHeight="1" x14ac:dyDescent="0.25">
      <c r="A645" s="1">
        <f t="shared" si="47"/>
        <v>644</v>
      </c>
      <c r="B645" s="1"/>
      <c r="C645" s="39"/>
      <c r="D645" s="21"/>
      <c r="G645" s="1"/>
      <c r="H645" s="11" t="str">
        <f t="shared" si="48"/>
        <v>0 г. 0 мес. 0 дн.</v>
      </c>
      <c r="I645" s="20"/>
      <c r="J645" s="20"/>
      <c r="O645" s="20"/>
      <c r="V645" s="1" t="str">
        <f t="shared" si="46"/>
        <v>0 г. 0 мес. 0 дн.</v>
      </c>
      <c r="W645" s="69"/>
    </row>
    <row r="646" spans="1:23" ht="35.1" customHeight="1" x14ac:dyDescent="0.25">
      <c r="A646" s="1">
        <f t="shared" si="47"/>
        <v>645</v>
      </c>
      <c r="B646" s="1"/>
      <c r="C646" s="39"/>
      <c r="D646" s="21"/>
      <c r="G646" s="1"/>
      <c r="H646" s="11" t="str">
        <f t="shared" si="48"/>
        <v>0 г. 0 мес. 0 дн.</v>
      </c>
      <c r="I646" s="20"/>
      <c r="J646" s="20"/>
      <c r="O646" s="20"/>
      <c r="V646" s="1" t="str">
        <f t="shared" si="46"/>
        <v>0 г. 0 мес. 0 дн.</v>
      </c>
      <c r="W646" s="69"/>
    </row>
    <row r="647" spans="1:23" ht="35.1" customHeight="1" x14ac:dyDescent="0.25">
      <c r="A647" s="1">
        <f t="shared" si="47"/>
        <v>646</v>
      </c>
      <c r="B647" s="1"/>
      <c r="C647" s="39"/>
      <c r="D647" s="21"/>
      <c r="G647" s="1"/>
      <c r="H647" s="11" t="str">
        <f t="shared" si="48"/>
        <v>0 г. 0 мес. 0 дн.</v>
      </c>
      <c r="I647" s="20"/>
      <c r="J647" s="20"/>
      <c r="O647" s="20"/>
      <c r="V647" s="1" t="str">
        <f t="shared" si="46"/>
        <v>0 г. 0 мес. 0 дн.</v>
      </c>
      <c r="W647" s="69"/>
    </row>
    <row r="648" spans="1:23" ht="35.1" customHeight="1" x14ac:dyDescent="0.25">
      <c r="A648" s="1">
        <f t="shared" si="47"/>
        <v>647</v>
      </c>
      <c r="B648" s="1"/>
      <c r="C648" s="39"/>
      <c r="D648" s="21"/>
      <c r="G648" s="1"/>
      <c r="H648" s="11" t="str">
        <f t="shared" si="48"/>
        <v>0 г. 0 мес. 0 дн.</v>
      </c>
      <c r="I648" s="20"/>
      <c r="J648" s="20"/>
      <c r="O648" s="20"/>
      <c r="V648" s="1" t="str">
        <f t="shared" si="46"/>
        <v>0 г. 0 мес. 0 дн.</v>
      </c>
      <c r="W648" s="69"/>
    </row>
    <row r="649" spans="1:23" ht="35.1" customHeight="1" x14ac:dyDescent="0.25">
      <c r="A649" s="1">
        <f t="shared" si="47"/>
        <v>648</v>
      </c>
      <c r="B649" s="1"/>
      <c r="C649" s="39"/>
      <c r="D649" s="21"/>
      <c r="G649" s="1"/>
      <c r="H649" s="11" t="str">
        <f t="shared" si="48"/>
        <v>0 г. 0 мес. 0 дн.</v>
      </c>
      <c r="I649" s="20"/>
      <c r="J649" s="20"/>
      <c r="O649" s="20"/>
      <c r="V649" s="1" t="str">
        <f t="shared" si="46"/>
        <v>0 г. 0 мес. 0 дн.</v>
      </c>
      <c r="W649" s="69"/>
    </row>
    <row r="650" spans="1:23" ht="35.1" customHeight="1" x14ac:dyDescent="0.25">
      <c r="A650" s="1">
        <f t="shared" si="47"/>
        <v>649</v>
      </c>
      <c r="B650" s="1"/>
      <c r="C650" s="39"/>
      <c r="D650" s="21"/>
      <c r="G650" s="1"/>
      <c r="H650" s="11" t="str">
        <f t="shared" si="48"/>
        <v>0 г. 0 мес. 0 дн.</v>
      </c>
      <c r="I650" s="20"/>
      <c r="J650" s="20"/>
      <c r="O650" s="20"/>
      <c r="V650" s="1" t="str">
        <f t="shared" si="46"/>
        <v>0 г. 0 мес. 0 дн.</v>
      </c>
      <c r="W650" s="69"/>
    </row>
    <row r="651" spans="1:23" ht="35.1" customHeight="1" x14ac:dyDescent="0.25">
      <c r="A651" s="1">
        <f t="shared" si="47"/>
        <v>650</v>
      </c>
      <c r="B651" s="1"/>
      <c r="C651" s="39"/>
      <c r="D651" s="21"/>
      <c r="G651" s="1"/>
      <c r="H651" s="11" t="str">
        <f t="shared" si="48"/>
        <v>0 г. 0 мес. 0 дн.</v>
      </c>
      <c r="I651" s="20"/>
      <c r="J651" s="20"/>
      <c r="O651" s="20"/>
      <c r="V651" s="1" t="str">
        <f t="shared" si="46"/>
        <v>0 г. 0 мес. 0 дн.</v>
      </c>
      <c r="W651" s="69"/>
    </row>
    <row r="652" spans="1:23" ht="35.1" customHeight="1" x14ac:dyDescent="0.25">
      <c r="A652" s="1">
        <f t="shared" si="47"/>
        <v>651</v>
      </c>
      <c r="B652" s="1"/>
      <c r="C652" s="39"/>
      <c r="D652" s="21"/>
      <c r="G652" s="1"/>
      <c r="H652" s="11" t="str">
        <f t="shared" si="48"/>
        <v>0 г. 0 мес. 0 дн.</v>
      </c>
      <c r="I652" s="20"/>
      <c r="J652" s="20"/>
      <c r="O652" s="20"/>
      <c r="V652" s="1" t="str">
        <f t="shared" si="46"/>
        <v>0 г. 0 мес. 0 дн.</v>
      </c>
      <c r="W652" s="69"/>
    </row>
    <row r="653" spans="1:23" ht="35.1" customHeight="1" x14ac:dyDescent="0.25">
      <c r="A653" s="1">
        <f t="shared" si="47"/>
        <v>652</v>
      </c>
      <c r="B653" s="1"/>
      <c r="C653" s="39"/>
      <c r="D653" s="21"/>
      <c r="G653" s="1"/>
      <c r="H653" s="11" t="str">
        <f t="shared" si="48"/>
        <v>0 г. 0 мес. 0 дн.</v>
      </c>
      <c r="I653" s="20"/>
      <c r="J653" s="20"/>
      <c r="O653" s="20"/>
      <c r="V653" s="1" t="str">
        <f t="shared" si="46"/>
        <v>0 г. 0 мес. 0 дн.</v>
      </c>
      <c r="W653" s="69"/>
    </row>
    <row r="654" spans="1:23" ht="35.1" customHeight="1" x14ac:dyDescent="0.25">
      <c r="A654" s="1">
        <f t="shared" si="47"/>
        <v>653</v>
      </c>
      <c r="B654" s="1"/>
      <c r="C654" s="39"/>
      <c r="D654" s="21"/>
      <c r="G654" s="1"/>
      <c r="H654" s="11" t="str">
        <f t="shared" si="48"/>
        <v>0 г. 0 мес. 0 дн.</v>
      </c>
      <c r="I654" s="20"/>
      <c r="J654" s="20"/>
      <c r="O654" s="20"/>
      <c r="V654" s="1" t="str">
        <f t="shared" si="46"/>
        <v>0 г. 0 мес. 0 дн.</v>
      </c>
      <c r="W654" s="69"/>
    </row>
    <row r="655" spans="1:23" ht="35.1" customHeight="1" x14ac:dyDescent="0.25">
      <c r="A655" s="1">
        <f t="shared" si="47"/>
        <v>654</v>
      </c>
      <c r="B655" s="1"/>
      <c r="C655" s="39"/>
      <c r="D655" s="21"/>
      <c r="G655" s="1"/>
      <c r="H655" s="11" t="str">
        <f t="shared" si="48"/>
        <v>0 г. 0 мес. 0 дн.</v>
      </c>
      <c r="I655" s="20"/>
      <c r="J655" s="20"/>
      <c r="O655" s="20"/>
      <c r="V655" s="1" t="str">
        <f t="shared" si="46"/>
        <v>0 г. 0 мес. 0 дн.</v>
      </c>
      <c r="W655" s="69"/>
    </row>
    <row r="656" spans="1:23" ht="35.1" customHeight="1" x14ac:dyDescent="0.25">
      <c r="A656" s="1">
        <f t="shared" si="47"/>
        <v>655</v>
      </c>
      <c r="B656" s="1"/>
      <c r="C656" s="39"/>
      <c r="D656" s="21"/>
      <c r="G656" s="1"/>
      <c r="H656" s="11" t="str">
        <f t="shared" si="48"/>
        <v>0 г. 0 мес. 0 дн.</v>
      </c>
      <c r="I656" s="20"/>
      <c r="J656" s="20"/>
      <c r="O656" s="20"/>
      <c r="V656" s="1" t="str">
        <f t="shared" si="46"/>
        <v>0 г. 0 мес. 0 дн.</v>
      </c>
      <c r="W656" s="69"/>
    </row>
    <row r="657" spans="1:23" ht="35.1" customHeight="1" x14ac:dyDescent="0.25">
      <c r="A657" s="1">
        <f t="shared" si="47"/>
        <v>656</v>
      </c>
      <c r="B657" s="1"/>
      <c r="C657" s="39"/>
      <c r="D657" s="21"/>
      <c r="G657" s="1"/>
      <c r="H657" s="11" t="str">
        <f t="shared" si="48"/>
        <v>0 г. 0 мес. 0 дн.</v>
      </c>
      <c r="I657" s="20"/>
      <c r="J657" s="20"/>
      <c r="O657" s="20"/>
      <c r="V657" s="1" t="str">
        <f t="shared" si="46"/>
        <v>0 г. 0 мес. 0 дн.</v>
      </c>
      <c r="W657" s="69"/>
    </row>
    <row r="658" spans="1:23" ht="35.1" customHeight="1" x14ac:dyDescent="0.25">
      <c r="A658" s="1">
        <f t="shared" si="47"/>
        <v>657</v>
      </c>
      <c r="B658" s="1"/>
      <c r="C658" s="39"/>
      <c r="D658" s="21"/>
      <c r="G658" s="1"/>
      <c r="H658" s="11" t="str">
        <f t="shared" si="48"/>
        <v>0 г. 0 мес. 0 дн.</v>
      </c>
      <c r="I658" s="20"/>
      <c r="J658" s="20"/>
      <c r="O658" s="20"/>
      <c r="V658" s="1" t="str">
        <f t="shared" si="46"/>
        <v>0 г. 0 мес. 0 дн.</v>
      </c>
      <c r="W658" s="69"/>
    </row>
    <row r="659" spans="1:23" ht="35.1" customHeight="1" x14ac:dyDescent="0.25">
      <c r="A659" s="1">
        <f t="shared" si="47"/>
        <v>658</v>
      </c>
      <c r="B659" s="1"/>
      <c r="C659" s="39"/>
      <c r="D659" s="21"/>
      <c r="G659" s="1"/>
      <c r="H659" s="11" t="str">
        <f t="shared" si="48"/>
        <v>0 г. 0 мес. 0 дн.</v>
      </c>
      <c r="I659" s="20"/>
      <c r="J659" s="20"/>
      <c r="O659" s="20"/>
      <c r="V659" s="1" t="str">
        <f t="shared" si="46"/>
        <v>0 г. 0 мес. 0 дн.</v>
      </c>
      <c r="W659" s="69"/>
    </row>
    <row r="660" spans="1:23" ht="35.1" customHeight="1" x14ac:dyDescent="0.25">
      <c r="A660" s="1">
        <f t="shared" si="47"/>
        <v>659</v>
      </c>
      <c r="B660" s="1"/>
      <c r="C660" s="39"/>
      <c r="D660" s="21"/>
      <c r="G660" s="1"/>
      <c r="H660" s="11" t="str">
        <f t="shared" si="48"/>
        <v>0 г. 0 мес. 0 дн.</v>
      </c>
      <c r="I660" s="20"/>
      <c r="J660" s="20"/>
      <c r="O660" s="20"/>
      <c r="V660" s="1" t="str">
        <f t="shared" si="46"/>
        <v>0 г. 0 мес. 0 дн.</v>
      </c>
      <c r="W660" s="69"/>
    </row>
    <row r="661" spans="1:23" ht="35.1" customHeight="1" x14ac:dyDescent="0.25">
      <c r="A661" s="1">
        <f t="shared" si="47"/>
        <v>660</v>
      </c>
      <c r="B661" s="1"/>
      <c r="C661" s="39"/>
      <c r="D661" s="21"/>
      <c r="G661" s="1"/>
      <c r="H661" s="11" t="str">
        <f t="shared" si="48"/>
        <v>0 г. 0 мес. 0 дн.</v>
      </c>
      <c r="I661" s="20"/>
      <c r="J661" s="20"/>
      <c r="O661" s="20"/>
      <c r="V661" s="1" t="str">
        <f t="shared" si="46"/>
        <v>0 г. 0 мес. 0 дн.</v>
      </c>
      <c r="W661" s="69"/>
    </row>
    <row r="662" spans="1:23" ht="35.1" customHeight="1" x14ac:dyDescent="0.25">
      <c r="A662" s="1">
        <f t="shared" si="47"/>
        <v>661</v>
      </c>
      <c r="B662" s="1"/>
      <c r="C662" s="39"/>
      <c r="D662" s="21"/>
      <c r="G662" s="1"/>
      <c r="H662" s="11" t="str">
        <f t="shared" si="48"/>
        <v>0 г. 0 мес. 0 дн.</v>
      </c>
      <c r="I662" s="20"/>
      <c r="J662" s="20"/>
      <c r="O662" s="20"/>
      <c r="V662" s="1" t="str">
        <f t="shared" si="46"/>
        <v>0 г. 0 мес. 0 дн.</v>
      </c>
      <c r="W662" s="69"/>
    </row>
    <row r="663" spans="1:23" ht="35.1" customHeight="1" x14ac:dyDescent="0.25">
      <c r="A663" s="1">
        <f t="shared" si="47"/>
        <v>662</v>
      </c>
      <c r="B663" s="1"/>
      <c r="C663" s="39"/>
      <c r="D663" s="21"/>
      <c r="G663" s="1"/>
      <c r="H663" s="11" t="str">
        <f t="shared" si="48"/>
        <v>0 г. 0 мес. 0 дн.</v>
      </c>
      <c r="I663" s="20"/>
      <c r="J663" s="20"/>
      <c r="O663" s="20"/>
      <c r="V663" s="1" t="str">
        <f t="shared" si="46"/>
        <v>0 г. 0 мес. 0 дн.</v>
      </c>
      <c r="W663" s="69"/>
    </row>
    <row r="664" spans="1:23" ht="35.1" customHeight="1" x14ac:dyDescent="0.25">
      <c r="A664" s="1">
        <f t="shared" si="47"/>
        <v>663</v>
      </c>
      <c r="B664" s="1"/>
      <c r="C664" s="39"/>
      <c r="D664" s="21"/>
      <c r="G664" s="1"/>
      <c r="H664" s="11" t="str">
        <f t="shared" si="48"/>
        <v>0 г. 0 мес. 0 дн.</v>
      </c>
      <c r="I664" s="20"/>
      <c r="J664" s="20"/>
      <c r="O664" s="20"/>
      <c r="V664" s="1" t="str">
        <f t="shared" si="46"/>
        <v>0 г. 0 мес. 0 дн.</v>
      </c>
      <c r="W664" s="69"/>
    </row>
    <row r="665" spans="1:23" ht="35.1" customHeight="1" x14ac:dyDescent="0.25">
      <c r="A665" s="1">
        <f t="shared" si="47"/>
        <v>664</v>
      </c>
      <c r="B665" s="1"/>
      <c r="C665" s="39"/>
      <c r="D665" s="21"/>
      <c r="G665" s="1"/>
      <c r="H665" s="11" t="str">
        <f t="shared" si="48"/>
        <v>0 г. 0 мес. 0 дн.</v>
      </c>
      <c r="I665" s="20"/>
      <c r="J665" s="20"/>
      <c r="O665" s="20"/>
      <c r="V665" s="1" t="str">
        <f t="shared" ref="V665:V728" si="49">DATEDIF(D665,T665,"y") &amp; " г. " &amp; DATEDIF(D665,T665,"ym") &amp; " мес. " &amp; DATEDIF(D665,T665,"md") &amp; " дн."</f>
        <v>0 г. 0 мес. 0 дн.</v>
      </c>
      <c r="W665" s="69"/>
    </row>
    <row r="666" spans="1:23" ht="35.1" customHeight="1" x14ac:dyDescent="0.25">
      <c r="A666" s="1">
        <f t="shared" si="47"/>
        <v>665</v>
      </c>
      <c r="B666" s="1"/>
      <c r="C666" s="39"/>
      <c r="D666" s="21"/>
      <c r="G666" s="1"/>
      <c r="H666" s="11" t="str">
        <f t="shared" si="48"/>
        <v>0 г. 0 мес. 0 дн.</v>
      </c>
      <c r="I666" s="20"/>
      <c r="J666" s="20"/>
      <c r="O666" s="20"/>
      <c r="V666" s="1" t="str">
        <f t="shared" si="49"/>
        <v>0 г. 0 мес. 0 дн.</v>
      </c>
      <c r="W666" s="69"/>
    </row>
    <row r="667" spans="1:23" ht="35.1" customHeight="1" x14ac:dyDescent="0.25">
      <c r="A667" s="1">
        <f t="shared" si="47"/>
        <v>666</v>
      </c>
      <c r="B667" s="1"/>
      <c r="C667" s="39"/>
      <c r="D667" s="21"/>
      <c r="G667" s="1"/>
      <c r="H667" s="11" t="str">
        <f t="shared" si="48"/>
        <v>0 г. 0 мес. 0 дн.</v>
      </c>
      <c r="I667" s="20"/>
      <c r="J667" s="20"/>
      <c r="O667" s="20"/>
      <c r="V667" s="1" t="str">
        <f t="shared" si="49"/>
        <v>0 г. 0 мес. 0 дн.</v>
      </c>
      <c r="W667" s="69"/>
    </row>
    <row r="668" spans="1:23" ht="35.1" customHeight="1" x14ac:dyDescent="0.25">
      <c r="A668" s="1">
        <f t="shared" si="47"/>
        <v>667</v>
      </c>
      <c r="B668" s="1"/>
      <c r="C668" s="39"/>
      <c r="D668" s="21"/>
      <c r="G668" s="1"/>
      <c r="H668" s="11" t="str">
        <f t="shared" si="48"/>
        <v>0 г. 0 мес. 0 дн.</v>
      </c>
      <c r="I668" s="20"/>
      <c r="J668" s="20"/>
      <c r="O668" s="20"/>
      <c r="V668" s="1" t="str">
        <f t="shared" si="49"/>
        <v>0 г. 0 мес. 0 дн.</v>
      </c>
      <c r="W668" s="69"/>
    </row>
    <row r="669" spans="1:23" ht="35.1" customHeight="1" x14ac:dyDescent="0.25">
      <c r="A669" s="1">
        <f t="shared" si="47"/>
        <v>668</v>
      </c>
      <c r="B669" s="1"/>
      <c r="C669" s="39"/>
      <c r="D669" s="21"/>
      <c r="G669" s="1"/>
      <c r="H669" s="11" t="str">
        <f t="shared" si="48"/>
        <v>0 г. 0 мес. 0 дн.</v>
      </c>
      <c r="I669" s="20"/>
      <c r="J669" s="20"/>
      <c r="O669" s="20"/>
      <c r="V669" s="1" t="str">
        <f t="shared" si="49"/>
        <v>0 г. 0 мес. 0 дн.</v>
      </c>
      <c r="W669" s="69"/>
    </row>
    <row r="670" spans="1:23" ht="35.1" customHeight="1" x14ac:dyDescent="0.25">
      <c r="A670" s="1">
        <f t="shared" si="47"/>
        <v>669</v>
      </c>
      <c r="B670" s="1"/>
      <c r="C670" s="39"/>
      <c r="D670" s="21"/>
      <c r="G670" s="1"/>
      <c r="H670" s="11" t="str">
        <f t="shared" si="48"/>
        <v>0 г. 0 мес. 0 дн.</v>
      </c>
      <c r="I670" s="20"/>
      <c r="J670" s="20"/>
      <c r="O670" s="20"/>
      <c r="V670" s="1" t="str">
        <f t="shared" si="49"/>
        <v>0 г. 0 мес. 0 дн.</v>
      </c>
      <c r="W670" s="69"/>
    </row>
    <row r="671" spans="1:23" ht="35.1" customHeight="1" x14ac:dyDescent="0.25">
      <c r="A671" s="1">
        <f t="shared" si="47"/>
        <v>670</v>
      </c>
      <c r="B671" s="1"/>
      <c r="C671" s="39"/>
      <c r="D671" s="21"/>
      <c r="G671" s="1"/>
      <c r="H671" s="11" t="str">
        <f t="shared" si="48"/>
        <v>0 г. 0 мес. 0 дн.</v>
      </c>
      <c r="I671" s="20"/>
      <c r="J671" s="20"/>
      <c r="O671" s="20"/>
      <c r="V671" s="1" t="str">
        <f t="shared" si="49"/>
        <v>0 г. 0 мес. 0 дн.</v>
      </c>
      <c r="W671" s="69"/>
    </row>
    <row r="672" spans="1:23" ht="35.1" customHeight="1" x14ac:dyDescent="0.25">
      <c r="A672" s="1">
        <f t="shared" si="47"/>
        <v>671</v>
      </c>
      <c r="B672" s="1"/>
      <c r="C672" s="39"/>
      <c r="D672" s="21"/>
      <c r="G672" s="1"/>
      <c r="H672" s="11" t="str">
        <f t="shared" si="48"/>
        <v>0 г. 0 мес. 0 дн.</v>
      </c>
      <c r="I672" s="20"/>
      <c r="J672" s="20"/>
      <c r="O672" s="20"/>
      <c r="V672" s="1" t="str">
        <f t="shared" si="49"/>
        <v>0 г. 0 мес. 0 дн.</v>
      </c>
      <c r="W672" s="69"/>
    </row>
    <row r="673" spans="1:23" ht="35.1" customHeight="1" x14ac:dyDescent="0.25">
      <c r="A673" s="1">
        <f t="shared" si="47"/>
        <v>672</v>
      </c>
      <c r="B673" s="1"/>
      <c r="C673" s="39"/>
      <c r="D673" s="21"/>
      <c r="G673" s="1"/>
      <c r="H673" s="11" t="str">
        <f t="shared" si="48"/>
        <v>0 г. 0 мес. 0 дн.</v>
      </c>
      <c r="I673" s="20"/>
      <c r="J673" s="20"/>
      <c r="O673" s="20"/>
      <c r="V673" s="1" t="str">
        <f t="shared" si="49"/>
        <v>0 г. 0 мес. 0 дн.</v>
      </c>
      <c r="W673" s="69"/>
    </row>
    <row r="674" spans="1:23" ht="35.1" customHeight="1" x14ac:dyDescent="0.25">
      <c r="A674" s="1">
        <f t="shared" si="47"/>
        <v>673</v>
      </c>
      <c r="B674" s="1"/>
      <c r="C674" s="39"/>
      <c r="D674" s="21"/>
      <c r="G674" s="1"/>
      <c r="H674" s="11" t="str">
        <f t="shared" si="48"/>
        <v>0 г. 0 мес. 0 дн.</v>
      </c>
      <c r="I674" s="20"/>
      <c r="J674" s="20"/>
      <c r="O674" s="20"/>
      <c r="V674" s="1" t="str">
        <f t="shared" si="49"/>
        <v>0 г. 0 мес. 0 дн.</v>
      </c>
      <c r="W674" s="69"/>
    </row>
    <row r="675" spans="1:23" ht="35.1" customHeight="1" x14ac:dyDescent="0.25">
      <c r="A675" s="1">
        <f t="shared" si="47"/>
        <v>674</v>
      </c>
      <c r="B675" s="1"/>
      <c r="C675" s="39"/>
      <c r="D675" s="21"/>
      <c r="G675" s="1"/>
      <c r="H675" s="11" t="str">
        <f t="shared" si="48"/>
        <v>0 г. 0 мес. 0 дн.</v>
      </c>
      <c r="I675" s="20"/>
      <c r="J675" s="20"/>
      <c r="O675" s="20"/>
      <c r="V675" s="1" t="str">
        <f t="shared" si="49"/>
        <v>0 г. 0 мес. 0 дн.</v>
      </c>
      <c r="W675" s="69"/>
    </row>
    <row r="676" spans="1:23" ht="35.1" customHeight="1" x14ac:dyDescent="0.25">
      <c r="A676" s="1">
        <f t="shared" si="47"/>
        <v>675</v>
      </c>
      <c r="B676" s="1"/>
      <c r="C676" s="39"/>
      <c r="D676" s="21"/>
      <c r="G676" s="1"/>
      <c r="H676" s="11" t="str">
        <f t="shared" si="48"/>
        <v>0 г. 0 мес. 0 дн.</v>
      </c>
      <c r="I676" s="20"/>
      <c r="J676" s="20"/>
      <c r="O676" s="20"/>
      <c r="V676" s="1" t="str">
        <f t="shared" si="49"/>
        <v>0 г. 0 мес. 0 дн.</v>
      </c>
      <c r="W676" s="69"/>
    </row>
    <row r="677" spans="1:23" ht="35.1" customHeight="1" x14ac:dyDescent="0.25">
      <c r="A677" s="1">
        <f t="shared" si="47"/>
        <v>676</v>
      </c>
      <c r="B677" s="1"/>
      <c r="C677" s="39"/>
      <c r="D677" s="21"/>
      <c r="G677" s="1"/>
      <c r="H677" s="11" t="str">
        <f t="shared" si="48"/>
        <v>0 г. 0 мес. 0 дн.</v>
      </c>
      <c r="I677" s="20"/>
      <c r="J677" s="20"/>
      <c r="O677" s="20"/>
      <c r="V677" s="1" t="str">
        <f t="shared" si="49"/>
        <v>0 г. 0 мес. 0 дн.</v>
      </c>
      <c r="W677" s="69"/>
    </row>
    <row r="678" spans="1:23" ht="35.1" customHeight="1" x14ac:dyDescent="0.25">
      <c r="A678" s="1">
        <f t="shared" si="47"/>
        <v>677</v>
      </c>
      <c r="B678" s="1"/>
      <c r="C678" s="39"/>
      <c r="D678" s="21"/>
      <c r="G678" s="1"/>
      <c r="H678" s="11" t="str">
        <f t="shared" si="48"/>
        <v>0 г. 0 мес. 0 дн.</v>
      </c>
      <c r="I678" s="20"/>
      <c r="J678" s="20"/>
      <c r="O678" s="20"/>
      <c r="V678" s="1" t="str">
        <f t="shared" si="49"/>
        <v>0 г. 0 мес. 0 дн.</v>
      </c>
      <c r="W678" s="69"/>
    </row>
    <row r="679" spans="1:23" ht="35.1" customHeight="1" x14ac:dyDescent="0.25">
      <c r="A679" s="1">
        <f t="shared" si="47"/>
        <v>678</v>
      </c>
      <c r="B679" s="1"/>
      <c r="C679" s="39"/>
      <c r="D679" s="21"/>
      <c r="G679" s="1"/>
      <c r="H679" s="11" t="str">
        <f t="shared" si="48"/>
        <v>0 г. 0 мес. 0 дн.</v>
      </c>
      <c r="I679" s="20"/>
      <c r="J679" s="20"/>
      <c r="O679" s="20"/>
      <c r="V679" s="1" t="str">
        <f t="shared" si="49"/>
        <v>0 г. 0 мес. 0 дн.</v>
      </c>
      <c r="W679" s="69"/>
    </row>
    <row r="680" spans="1:23" ht="35.1" customHeight="1" x14ac:dyDescent="0.25">
      <c r="A680" s="1">
        <f t="shared" si="47"/>
        <v>679</v>
      </c>
      <c r="B680" s="1"/>
      <c r="C680" s="39"/>
      <c r="D680" s="21"/>
      <c r="G680" s="1"/>
      <c r="H680" s="11" t="str">
        <f t="shared" si="48"/>
        <v>0 г. 0 мес. 0 дн.</v>
      </c>
      <c r="I680" s="20"/>
      <c r="J680" s="20"/>
      <c r="O680" s="20"/>
      <c r="V680" s="1" t="str">
        <f t="shared" si="49"/>
        <v>0 г. 0 мес. 0 дн.</v>
      </c>
      <c r="W680" s="69"/>
    </row>
    <row r="681" spans="1:23" ht="35.1" customHeight="1" x14ac:dyDescent="0.25">
      <c r="A681" s="1">
        <f t="shared" si="47"/>
        <v>680</v>
      </c>
      <c r="B681" s="1"/>
      <c r="C681" s="39"/>
      <c r="D681" s="21"/>
      <c r="G681" s="1"/>
      <c r="H681" s="11" t="str">
        <f t="shared" si="48"/>
        <v>0 г. 0 мес. 0 дн.</v>
      </c>
      <c r="I681" s="20"/>
      <c r="J681" s="20"/>
      <c r="O681" s="20"/>
      <c r="V681" s="1" t="str">
        <f t="shared" si="49"/>
        <v>0 г. 0 мес. 0 дн.</v>
      </c>
      <c r="W681" s="69"/>
    </row>
    <row r="682" spans="1:23" ht="35.1" customHeight="1" x14ac:dyDescent="0.25">
      <c r="A682" s="1">
        <f t="shared" si="47"/>
        <v>681</v>
      </c>
      <c r="B682" s="1"/>
      <c r="C682" s="39"/>
      <c r="D682" s="21"/>
      <c r="G682" s="1"/>
      <c r="H682" s="11" t="str">
        <f t="shared" si="48"/>
        <v>0 г. 0 мес. 0 дн.</v>
      </c>
      <c r="I682" s="20"/>
      <c r="J682" s="20"/>
      <c r="O682" s="20"/>
      <c r="V682" s="1" t="str">
        <f t="shared" si="49"/>
        <v>0 г. 0 мес. 0 дн.</v>
      </c>
      <c r="W682" s="69"/>
    </row>
    <row r="683" spans="1:23" ht="35.1" customHeight="1" x14ac:dyDescent="0.25">
      <c r="A683" s="1">
        <f t="shared" si="47"/>
        <v>682</v>
      </c>
      <c r="B683" s="1"/>
      <c r="C683" s="39"/>
      <c r="D683" s="21"/>
      <c r="G683" s="1"/>
      <c r="H683" s="11" t="str">
        <f t="shared" si="48"/>
        <v>0 г. 0 мес. 0 дн.</v>
      </c>
      <c r="I683" s="20"/>
      <c r="J683" s="20"/>
      <c r="O683" s="20"/>
      <c r="V683" s="1" t="str">
        <f t="shared" si="49"/>
        <v>0 г. 0 мес. 0 дн.</v>
      </c>
      <c r="W683" s="69"/>
    </row>
    <row r="684" spans="1:23" ht="35.1" customHeight="1" x14ac:dyDescent="0.25">
      <c r="A684" s="1">
        <f t="shared" si="47"/>
        <v>683</v>
      </c>
      <c r="B684" s="1"/>
      <c r="C684" s="39"/>
      <c r="D684" s="21"/>
      <c r="G684" s="1"/>
      <c r="H684" s="11" t="str">
        <f t="shared" si="48"/>
        <v>0 г. 0 мес. 0 дн.</v>
      </c>
      <c r="I684" s="20"/>
      <c r="J684" s="20"/>
      <c r="O684" s="20"/>
      <c r="V684" s="1" t="str">
        <f t="shared" si="49"/>
        <v>0 г. 0 мес. 0 дн.</v>
      </c>
      <c r="W684" s="69"/>
    </row>
    <row r="685" spans="1:23" ht="35.1" customHeight="1" x14ac:dyDescent="0.25">
      <c r="A685" s="1">
        <f t="shared" si="47"/>
        <v>684</v>
      </c>
      <c r="B685" s="1"/>
      <c r="C685" s="39"/>
      <c r="D685" s="21"/>
      <c r="G685" s="1"/>
      <c r="H685" s="11" t="str">
        <f t="shared" si="48"/>
        <v>0 г. 0 мес. 0 дн.</v>
      </c>
      <c r="I685" s="20"/>
      <c r="J685" s="20"/>
      <c r="O685" s="20"/>
      <c r="V685" s="1" t="str">
        <f t="shared" si="49"/>
        <v>0 г. 0 мес. 0 дн.</v>
      </c>
      <c r="W685" s="69"/>
    </row>
    <row r="686" spans="1:23" ht="35.1" customHeight="1" x14ac:dyDescent="0.25">
      <c r="A686" s="1">
        <f t="shared" si="47"/>
        <v>685</v>
      </c>
      <c r="B686" s="1"/>
      <c r="C686" s="39"/>
      <c r="D686" s="21"/>
      <c r="G686" s="1"/>
      <c r="H686" s="11" t="str">
        <f t="shared" si="48"/>
        <v>0 г. 0 мес. 0 дн.</v>
      </c>
      <c r="I686" s="20"/>
      <c r="J686" s="20"/>
      <c r="O686" s="20"/>
      <c r="V686" s="1" t="str">
        <f t="shared" si="49"/>
        <v>0 г. 0 мес. 0 дн.</v>
      </c>
      <c r="W686" s="69"/>
    </row>
    <row r="687" spans="1:23" ht="35.1" customHeight="1" x14ac:dyDescent="0.25">
      <c r="A687" s="1">
        <f t="shared" si="47"/>
        <v>686</v>
      </c>
      <c r="B687" s="1"/>
      <c r="C687" s="39"/>
      <c r="D687" s="21"/>
      <c r="G687" s="1"/>
      <c r="H687" s="11" t="str">
        <f t="shared" si="48"/>
        <v>0 г. 0 мес. 0 дн.</v>
      </c>
      <c r="I687" s="20"/>
      <c r="J687" s="20"/>
      <c r="O687" s="20"/>
      <c r="V687" s="1" t="str">
        <f t="shared" si="49"/>
        <v>0 г. 0 мес. 0 дн.</v>
      </c>
      <c r="W687" s="69"/>
    </row>
    <row r="688" spans="1:23" ht="35.1" customHeight="1" x14ac:dyDescent="0.25">
      <c r="A688" s="1">
        <f t="shared" si="47"/>
        <v>687</v>
      </c>
      <c r="B688" s="1"/>
      <c r="C688" s="39"/>
      <c r="D688" s="21"/>
      <c r="G688" s="1"/>
      <c r="H688" s="11" t="str">
        <f t="shared" si="48"/>
        <v>0 г. 0 мес. 0 дн.</v>
      </c>
      <c r="I688" s="20"/>
      <c r="J688" s="20"/>
      <c r="O688" s="20"/>
      <c r="V688" s="1" t="str">
        <f t="shared" si="49"/>
        <v>0 г. 0 мес. 0 дн.</v>
      </c>
      <c r="W688" s="69"/>
    </row>
    <row r="689" spans="1:23" ht="35.1" customHeight="1" x14ac:dyDescent="0.25">
      <c r="A689" s="1">
        <f t="shared" si="47"/>
        <v>688</v>
      </c>
      <c r="B689" s="1"/>
      <c r="C689" s="39"/>
      <c r="D689" s="21"/>
      <c r="G689" s="1"/>
      <c r="H689" s="11" t="str">
        <f t="shared" si="48"/>
        <v>0 г. 0 мес. 0 дн.</v>
      </c>
      <c r="I689" s="20"/>
      <c r="J689" s="20"/>
      <c r="O689" s="20"/>
      <c r="V689" s="1" t="str">
        <f t="shared" si="49"/>
        <v>0 г. 0 мес. 0 дн.</v>
      </c>
      <c r="W689" s="69"/>
    </row>
    <row r="690" spans="1:23" ht="35.1" customHeight="1" x14ac:dyDescent="0.25">
      <c r="A690" s="1">
        <f t="shared" si="47"/>
        <v>689</v>
      </c>
      <c r="B690" s="1"/>
      <c r="C690" s="39"/>
      <c r="D690" s="21"/>
      <c r="G690" s="1"/>
      <c r="H690" s="11" t="str">
        <f t="shared" si="48"/>
        <v>0 г. 0 мес. 0 дн.</v>
      </c>
      <c r="I690" s="20"/>
      <c r="J690" s="20"/>
      <c r="O690" s="20"/>
      <c r="V690" s="1" t="str">
        <f t="shared" si="49"/>
        <v>0 г. 0 мес. 0 дн.</v>
      </c>
      <c r="W690" s="69"/>
    </row>
    <row r="691" spans="1:23" ht="35.1" customHeight="1" x14ac:dyDescent="0.25">
      <c r="A691" s="1">
        <f t="shared" si="47"/>
        <v>690</v>
      </c>
      <c r="B691" s="1"/>
      <c r="C691" s="39"/>
      <c r="D691" s="21"/>
      <c r="G691" s="1"/>
      <c r="H691" s="11" t="str">
        <f t="shared" si="48"/>
        <v>0 г. 0 мес. 0 дн.</v>
      </c>
      <c r="I691" s="20"/>
      <c r="J691" s="20"/>
      <c r="O691" s="20"/>
      <c r="V691" s="1" t="str">
        <f t="shared" si="49"/>
        <v>0 г. 0 мес. 0 дн.</v>
      </c>
      <c r="W691" s="69"/>
    </row>
    <row r="692" spans="1:23" ht="35.1" customHeight="1" x14ac:dyDescent="0.25">
      <c r="A692" s="1">
        <f t="shared" si="47"/>
        <v>691</v>
      </c>
      <c r="B692" s="1"/>
      <c r="C692" s="39"/>
      <c r="D692" s="21"/>
      <c r="G692" s="1"/>
      <c r="H692" s="11" t="str">
        <f t="shared" si="48"/>
        <v>0 г. 0 мес. 0 дн.</v>
      </c>
      <c r="I692" s="20"/>
      <c r="J692" s="20"/>
      <c r="O692" s="20"/>
      <c r="V692" s="1" t="str">
        <f t="shared" si="49"/>
        <v>0 г. 0 мес. 0 дн.</v>
      </c>
      <c r="W692" s="69"/>
    </row>
    <row r="693" spans="1:23" ht="35.1" customHeight="1" x14ac:dyDescent="0.25">
      <c r="A693" s="1">
        <f t="shared" si="47"/>
        <v>692</v>
      </c>
      <c r="B693" s="1"/>
      <c r="C693" s="39"/>
      <c r="D693" s="21"/>
      <c r="G693" s="1"/>
      <c r="H693" s="11" t="str">
        <f t="shared" si="48"/>
        <v>0 г. 0 мес. 0 дн.</v>
      </c>
      <c r="I693" s="20"/>
      <c r="J693" s="20"/>
      <c r="O693" s="20"/>
      <c r="V693" s="1" t="str">
        <f t="shared" si="49"/>
        <v>0 г. 0 мес. 0 дн.</v>
      </c>
      <c r="W693" s="69"/>
    </row>
    <row r="694" spans="1:23" ht="35.1" customHeight="1" x14ac:dyDescent="0.25">
      <c r="A694" s="1">
        <f t="shared" si="47"/>
        <v>693</v>
      </c>
      <c r="B694" s="1"/>
      <c r="C694" s="39"/>
      <c r="D694" s="21"/>
      <c r="G694" s="1"/>
      <c r="H694" s="11" t="str">
        <f t="shared" si="48"/>
        <v>0 г. 0 мес. 0 дн.</v>
      </c>
      <c r="I694" s="20"/>
      <c r="J694" s="20"/>
      <c r="O694" s="20"/>
      <c r="V694" s="1" t="str">
        <f t="shared" si="49"/>
        <v>0 г. 0 мес. 0 дн.</v>
      </c>
      <c r="W694" s="69"/>
    </row>
    <row r="695" spans="1:23" ht="35.1" customHeight="1" x14ac:dyDescent="0.25">
      <c r="A695" s="1">
        <f t="shared" si="47"/>
        <v>694</v>
      </c>
      <c r="B695" s="1"/>
      <c r="C695" s="39"/>
      <c r="D695" s="21"/>
      <c r="G695" s="1"/>
      <c r="H695" s="11" t="str">
        <f t="shared" si="48"/>
        <v>0 г. 0 мес. 0 дн.</v>
      </c>
      <c r="I695" s="20"/>
      <c r="J695" s="20"/>
      <c r="O695" s="20"/>
      <c r="V695" s="1" t="str">
        <f t="shared" si="49"/>
        <v>0 г. 0 мес. 0 дн.</v>
      </c>
      <c r="W695" s="69"/>
    </row>
    <row r="696" spans="1:23" ht="35.1" customHeight="1" x14ac:dyDescent="0.25">
      <c r="A696" s="1">
        <f t="shared" si="47"/>
        <v>695</v>
      </c>
      <c r="B696" s="1"/>
      <c r="C696" s="39"/>
      <c r="D696" s="21"/>
      <c r="G696" s="1"/>
      <c r="H696" s="11" t="str">
        <f t="shared" si="48"/>
        <v>0 г. 0 мес. 0 дн.</v>
      </c>
      <c r="I696" s="20"/>
      <c r="J696" s="20"/>
      <c r="O696" s="20"/>
      <c r="V696" s="1" t="str">
        <f t="shared" si="49"/>
        <v>0 г. 0 мес. 0 дн.</v>
      </c>
      <c r="W696" s="69"/>
    </row>
    <row r="697" spans="1:23" ht="35.1" customHeight="1" x14ac:dyDescent="0.25">
      <c r="A697" s="1">
        <f t="shared" si="47"/>
        <v>696</v>
      </c>
      <c r="B697" s="1"/>
      <c r="C697" s="39"/>
      <c r="D697" s="21"/>
      <c r="G697" s="1"/>
      <c r="H697" s="11" t="str">
        <f t="shared" si="48"/>
        <v>0 г. 0 мес. 0 дн.</v>
      </c>
      <c r="I697" s="20"/>
      <c r="J697" s="20"/>
      <c r="O697" s="20"/>
      <c r="V697" s="1" t="str">
        <f t="shared" si="49"/>
        <v>0 г. 0 мес. 0 дн.</v>
      </c>
      <c r="W697" s="69"/>
    </row>
    <row r="698" spans="1:23" ht="35.1" customHeight="1" x14ac:dyDescent="0.25">
      <c r="A698" s="1">
        <f t="shared" si="47"/>
        <v>697</v>
      </c>
      <c r="B698" s="1"/>
      <c r="C698" s="39"/>
      <c r="D698" s="21"/>
      <c r="G698" s="1"/>
      <c r="H698" s="11" t="str">
        <f t="shared" si="48"/>
        <v>0 г. 0 мес. 0 дн.</v>
      </c>
      <c r="I698" s="20"/>
      <c r="J698" s="20"/>
      <c r="O698" s="20"/>
      <c r="V698" s="1" t="str">
        <f t="shared" si="49"/>
        <v>0 г. 0 мес. 0 дн.</v>
      </c>
      <c r="W698" s="69"/>
    </row>
    <row r="699" spans="1:23" ht="35.1" customHeight="1" x14ac:dyDescent="0.25">
      <c r="A699" s="1">
        <f t="shared" si="47"/>
        <v>698</v>
      </c>
      <c r="B699" s="1"/>
      <c r="C699" s="39"/>
      <c r="D699" s="21"/>
      <c r="G699" s="1"/>
      <c r="H699" s="11" t="str">
        <f t="shared" si="48"/>
        <v>0 г. 0 мес. 0 дн.</v>
      </c>
      <c r="I699" s="20"/>
      <c r="J699" s="20"/>
      <c r="O699" s="20"/>
      <c r="V699" s="1" t="str">
        <f t="shared" si="49"/>
        <v>0 г. 0 мес. 0 дн.</v>
      </c>
      <c r="W699" s="69"/>
    </row>
    <row r="700" spans="1:23" ht="35.1" customHeight="1" x14ac:dyDescent="0.25">
      <c r="A700" s="1">
        <f t="shared" si="47"/>
        <v>699</v>
      </c>
      <c r="B700" s="1"/>
      <c r="C700" s="39"/>
      <c r="D700" s="21"/>
      <c r="G700" s="1"/>
      <c r="H700" s="11" t="str">
        <f t="shared" si="48"/>
        <v>0 г. 0 мес. 0 дн.</v>
      </c>
      <c r="I700" s="20"/>
      <c r="J700" s="20"/>
      <c r="O700" s="20"/>
      <c r="V700" s="1" t="str">
        <f t="shared" si="49"/>
        <v>0 г. 0 мес. 0 дн.</v>
      </c>
      <c r="W700" s="69"/>
    </row>
    <row r="701" spans="1:23" ht="35.1" customHeight="1" x14ac:dyDescent="0.25">
      <c r="A701" s="1">
        <f t="shared" si="47"/>
        <v>700</v>
      </c>
      <c r="B701" s="1"/>
      <c r="C701" s="39"/>
      <c r="D701" s="21"/>
      <c r="G701" s="1"/>
      <c r="H701" s="11" t="str">
        <f t="shared" si="48"/>
        <v>0 г. 0 мес. 0 дн.</v>
      </c>
      <c r="I701" s="20"/>
      <c r="J701" s="20"/>
      <c r="O701" s="20"/>
      <c r="V701" s="1" t="str">
        <f t="shared" si="49"/>
        <v>0 г. 0 мес. 0 дн.</v>
      </c>
      <c r="W701" s="69"/>
    </row>
    <row r="702" spans="1:23" ht="35.1" customHeight="1" x14ac:dyDescent="0.25">
      <c r="A702" s="1">
        <f t="shared" si="47"/>
        <v>701</v>
      </c>
      <c r="B702" s="1"/>
      <c r="C702" s="39"/>
      <c r="D702" s="21"/>
      <c r="G702" s="1"/>
      <c r="H702" s="11" t="str">
        <f t="shared" si="48"/>
        <v>0 г. 0 мес. 0 дн.</v>
      </c>
      <c r="I702" s="20"/>
      <c r="J702" s="20"/>
      <c r="O702" s="20"/>
      <c r="V702" s="1" t="str">
        <f t="shared" si="49"/>
        <v>0 г. 0 мес. 0 дн.</v>
      </c>
      <c r="W702" s="69"/>
    </row>
    <row r="703" spans="1:23" ht="35.1" customHeight="1" x14ac:dyDescent="0.25">
      <c r="A703" s="1">
        <f t="shared" si="47"/>
        <v>702</v>
      </c>
      <c r="B703" s="1"/>
      <c r="C703" s="39"/>
      <c r="D703" s="21"/>
      <c r="G703" s="1"/>
      <c r="H703" s="11" t="str">
        <f t="shared" si="48"/>
        <v>0 г. 0 мес. 0 дн.</v>
      </c>
      <c r="I703" s="20"/>
      <c r="J703" s="20"/>
      <c r="O703" s="20"/>
      <c r="V703" s="1" t="str">
        <f t="shared" si="49"/>
        <v>0 г. 0 мес. 0 дн.</v>
      </c>
      <c r="W703" s="69"/>
    </row>
    <row r="704" spans="1:23" ht="35.1" customHeight="1" x14ac:dyDescent="0.25">
      <c r="A704" s="1">
        <f t="shared" si="47"/>
        <v>703</v>
      </c>
      <c r="B704" s="1"/>
      <c r="C704" s="39"/>
      <c r="D704" s="21"/>
      <c r="G704" s="1"/>
      <c r="H704" s="11" t="str">
        <f t="shared" si="48"/>
        <v>0 г. 0 мес. 0 дн.</v>
      </c>
      <c r="I704" s="20"/>
      <c r="J704" s="20"/>
      <c r="O704" s="20"/>
      <c r="V704" s="1" t="str">
        <f t="shared" si="49"/>
        <v>0 г. 0 мес. 0 дн.</v>
      </c>
      <c r="W704" s="69"/>
    </row>
    <row r="705" spans="1:23" ht="35.1" customHeight="1" x14ac:dyDescent="0.25">
      <c r="A705" s="1">
        <f t="shared" ref="A705:A768" si="50">ROW(A704)</f>
        <v>704</v>
      </c>
      <c r="B705" s="1"/>
      <c r="C705" s="39"/>
      <c r="D705" s="21"/>
      <c r="G705" s="1"/>
      <c r="H705" s="11" t="str">
        <f t="shared" ref="H705:H768" si="51">DATEDIF(G705,D705,"y") &amp; " г. " &amp; DATEDIF(G705,D705,"ym") &amp; " мес. " &amp; DATEDIF(G705,D705,"md") &amp; " дн."</f>
        <v>0 г. 0 мес. 0 дн.</v>
      </c>
      <c r="I705" s="20"/>
      <c r="J705" s="20"/>
      <c r="O705" s="20"/>
      <c r="V705" s="1" t="str">
        <f t="shared" si="49"/>
        <v>0 г. 0 мес. 0 дн.</v>
      </c>
      <c r="W705" s="69"/>
    </row>
    <row r="706" spans="1:23" ht="35.1" customHeight="1" x14ac:dyDescent="0.25">
      <c r="A706" s="1">
        <f t="shared" si="50"/>
        <v>705</v>
      </c>
      <c r="B706" s="1"/>
      <c r="C706" s="39"/>
      <c r="D706" s="21"/>
      <c r="G706" s="1"/>
      <c r="H706" s="11" t="str">
        <f t="shared" si="51"/>
        <v>0 г. 0 мес. 0 дн.</v>
      </c>
      <c r="I706" s="20"/>
      <c r="J706" s="20"/>
      <c r="O706" s="20"/>
      <c r="V706" s="1" t="str">
        <f t="shared" si="49"/>
        <v>0 г. 0 мес. 0 дн.</v>
      </c>
      <c r="W706" s="69"/>
    </row>
    <row r="707" spans="1:23" ht="35.1" customHeight="1" x14ac:dyDescent="0.25">
      <c r="A707" s="1">
        <f t="shared" si="50"/>
        <v>706</v>
      </c>
      <c r="B707" s="1"/>
      <c r="C707" s="39"/>
      <c r="D707" s="21"/>
      <c r="G707" s="1"/>
      <c r="H707" s="11" t="str">
        <f t="shared" si="51"/>
        <v>0 г. 0 мес. 0 дн.</v>
      </c>
      <c r="I707" s="20"/>
      <c r="J707" s="20"/>
      <c r="O707" s="20"/>
      <c r="V707" s="1" t="str">
        <f t="shared" si="49"/>
        <v>0 г. 0 мес. 0 дн.</v>
      </c>
      <c r="W707" s="69"/>
    </row>
    <row r="708" spans="1:23" ht="35.1" customHeight="1" x14ac:dyDescent="0.25">
      <c r="A708" s="1">
        <f t="shared" si="50"/>
        <v>707</v>
      </c>
      <c r="B708" s="1"/>
      <c r="C708" s="39"/>
      <c r="D708" s="21"/>
      <c r="G708" s="1"/>
      <c r="H708" s="11" t="str">
        <f t="shared" si="51"/>
        <v>0 г. 0 мес. 0 дн.</v>
      </c>
      <c r="I708" s="20"/>
      <c r="J708" s="20"/>
      <c r="O708" s="20"/>
      <c r="V708" s="1" t="str">
        <f t="shared" si="49"/>
        <v>0 г. 0 мес. 0 дн.</v>
      </c>
      <c r="W708" s="69"/>
    </row>
    <row r="709" spans="1:23" ht="35.1" customHeight="1" x14ac:dyDescent="0.25">
      <c r="A709" s="1">
        <f t="shared" si="50"/>
        <v>708</v>
      </c>
      <c r="B709" s="1"/>
      <c r="C709" s="39"/>
      <c r="D709" s="21"/>
      <c r="G709" s="1"/>
      <c r="H709" s="11" t="str">
        <f t="shared" si="51"/>
        <v>0 г. 0 мес. 0 дн.</v>
      </c>
      <c r="I709" s="20"/>
      <c r="J709" s="20"/>
      <c r="O709" s="20"/>
      <c r="V709" s="1" t="str">
        <f t="shared" si="49"/>
        <v>0 г. 0 мес. 0 дн.</v>
      </c>
      <c r="W709" s="69"/>
    </row>
    <row r="710" spans="1:23" ht="35.1" customHeight="1" x14ac:dyDescent="0.25">
      <c r="A710" s="1">
        <f t="shared" si="50"/>
        <v>709</v>
      </c>
      <c r="B710" s="1"/>
      <c r="C710" s="39"/>
      <c r="D710" s="21"/>
      <c r="G710" s="1"/>
      <c r="H710" s="11" t="str">
        <f t="shared" si="51"/>
        <v>0 г. 0 мес. 0 дн.</v>
      </c>
      <c r="I710" s="20"/>
      <c r="J710" s="20"/>
      <c r="O710" s="20"/>
      <c r="V710" s="1" t="str">
        <f t="shared" si="49"/>
        <v>0 г. 0 мес. 0 дн.</v>
      </c>
      <c r="W710" s="69"/>
    </row>
    <row r="711" spans="1:23" ht="35.1" customHeight="1" x14ac:dyDescent="0.25">
      <c r="A711" s="1">
        <f t="shared" si="50"/>
        <v>710</v>
      </c>
      <c r="B711" s="1"/>
      <c r="C711" s="39"/>
      <c r="D711" s="21"/>
      <c r="G711" s="1"/>
      <c r="H711" s="11" t="str">
        <f t="shared" si="51"/>
        <v>0 г. 0 мес. 0 дн.</v>
      </c>
      <c r="I711" s="20"/>
      <c r="J711" s="20"/>
      <c r="O711" s="20"/>
      <c r="V711" s="1" t="str">
        <f t="shared" si="49"/>
        <v>0 г. 0 мес. 0 дн.</v>
      </c>
      <c r="W711" s="69"/>
    </row>
    <row r="712" spans="1:23" ht="35.1" customHeight="1" x14ac:dyDescent="0.25">
      <c r="A712" s="1">
        <f t="shared" si="50"/>
        <v>711</v>
      </c>
      <c r="B712" s="1"/>
      <c r="C712" s="39"/>
      <c r="D712" s="21"/>
      <c r="G712" s="1"/>
      <c r="H712" s="11" t="str">
        <f t="shared" si="51"/>
        <v>0 г. 0 мес. 0 дн.</v>
      </c>
      <c r="I712" s="20"/>
      <c r="J712" s="20"/>
      <c r="O712" s="20"/>
      <c r="V712" s="1" t="str">
        <f t="shared" si="49"/>
        <v>0 г. 0 мес. 0 дн.</v>
      </c>
      <c r="W712" s="69"/>
    </row>
    <row r="713" spans="1:23" ht="35.1" customHeight="1" x14ac:dyDescent="0.25">
      <c r="A713" s="1">
        <f t="shared" si="50"/>
        <v>712</v>
      </c>
      <c r="B713" s="1"/>
      <c r="C713" s="39"/>
      <c r="D713" s="21"/>
      <c r="G713" s="1"/>
      <c r="H713" s="11" t="str">
        <f t="shared" si="51"/>
        <v>0 г. 0 мес. 0 дн.</v>
      </c>
      <c r="I713" s="20"/>
      <c r="J713" s="20"/>
      <c r="O713" s="20"/>
      <c r="V713" s="1" t="str">
        <f t="shared" si="49"/>
        <v>0 г. 0 мес. 0 дн.</v>
      </c>
      <c r="W713" s="69"/>
    </row>
    <row r="714" spans="1:23" ht="35.1" customHeight="1" x14ac:dyDescent="0.25">
      <c r="A714" s="1">
        <f t="shared" si="50"/>
        <v>713</v>
      </c>
      <c r="B714" s="1"/>
      <c r="C714" s="39"/>
      <c r="D714" s="21"/>
      <c r="G714" s="1"/>
      <c r="H714" s="11" t="str">
        <f t="shared" si="51"/>
        <v>0 г. 0 мес. 0 дн.</v>
      </c>
      <c r="I714" s="20"/>
      <c r="J714" s="20"/>
      <c r="O714" s="20"/>
      <c r="V714" s="1" t="str">
        <f t="shared" si="49"/>
        <v>0 г. 0 мес. 0 дн.</v>
      </c>
      <c r="W714" s="69"/>
    </row>
    <row r="715" spans="1:23" ht="35.1" customHeight="1" x14ac:dyDescent="0.25">
      <c r="A715" s="1">
        <f t="shared" si="50"/>
        <v>714</v>
      </c>
      <c r="B715" s="1"/>
      <c r="C715" s="39"/>
      <c r="D715" s="21"/>
      <c r="G715" s="1"/>
      <c r="H715" s="11" t="str">
        <f t="shared" si="51"/>
        <v>0 г. 0 мес. 0 дн.</v>
      </c>
      <c r="I715" s="20"/>
      <c r="J715" s="20"/>
      <c r="O715" s="20"/>
      <c r="V715" s="1" t="str">
        <f t="shared" si="49"/>
        <v>0 г. 0 мес. 0 дн.</v>
      </c>
      <c r="W715" s="69"/>
    </row>
    <row r="716" spans="1:23" ht="35.1" customHeight="1" x14ac:dyDescent="0.25">
      <c r="A716" s="1">
        <f t="shared" si="50"/>
        <v>715</v>
      </c>
      <c r="B716" s="1"/>
      <c r="C716" s="39"/>
      <c r="D716" s="21"/>
      <c r="G716" s="1"/>
      <c r="H716" s="11" t="str">
        <f t="shared" si="51"/>
        <v>0 г. 0 мес. 0 дн.</v>
      </c>
      <c r="I716" s="20"/>
      <c r="J716" s="20"/>
      <c r="O716" s="20"/>
      <c r="V716" s="1" t="str">
        <f t="shared" si="49"/>
        <v>0 г. 0 мес. 0 дн.</v>
      </c>
      <c r="W716" s="69"/>
    </row>
    <row r="717" spans="1:23" ht="35.1" customHeight="1" x14ac:dyDescent="0.25">
      <c r="A717" s="1">
        <f t="shared" si="50"/>
        <v>716</v>
      </c>
      <c r="B717" s="1"/>
      <c r="C717" s="39"/>
      <c r="D717" s="21"/>
      <c r="G717" s="1"/>
      <c r="H717" s="11" t="str">
        <f t="shared" si="51"/>
        <v>0 г. 0 мес. 0 дн.</v>
      </c>
      <c r="I717" s="20"/>
      <c r="J717" s="20"/>
      <c r="O717" s="20"/>
      <c r="V717" s="1" t="str">
        <f t="shared" si="49"/>
        <v>0 г. 0 мес. 0 дн.</v>
      </c>
      <c r="W717" s="69"/>
    </row>
    <row r="718" spans="1:23" ht="35.1" customHeight="1" x14ac:dyDescent="0.25">
      <c r="A718" s="1">
        <f t="shared" si="50"/>
        <v>717</v>
      </c>
      <c r="B718" s="1"/>
      <c r="C718" s="39"/>
      <c r="D718" s="21"/>
      <c r="G718" s="1"/>
      <c r="H718" s="11" t="str">
        <f t="shared" si="51"/>
        <v>0 г. 0 мес. 0 дн.</v>
      </c>
      <c r="I718" s="20"/>
      <c r="J718" s="20"/>
      <c r="O718" s="20"/>
      <c r="V718" s="1" t="str">
        <f t="shared" si="49"/>
        <v>0 г. 0 мес. 0 дн.</v>
      </c>
      <c r="W718" s="69"/>
    </row>
    <row r="719" spans="1:23" ht="35.1" customHeight="1" x14ac:dyDescent="0.25">
      <c r="A719" s="1">
        <f t="shared" si="50"/>
        <v>718</v>
      </c>
      <c r="B719" s="1"/>
      <c r="C719" s="39"/>
      <c r="D719" s="21"/>
      <c r="G719" s="1"/>
      <c r="H719" s="11" t="str">
        <f t="shared" si="51"/>
        <v>0 г. 0 мес. 0 дн.</v>
      </c>
      <c r="I719" s="20"/>
      <c r="J719" s="20"/>
      <c r="O719" s="20"/>
      <c r="V719" s="1" t="str">
        <f t="shared" si="49"/>
        <v>0 г. 0 мес. 0 дн.</v>
      </c>
      <c r="W719" s="69"/>
    </row>
    <row r="720" spans="1:23" ht="35.1" customHeight="1" x14ac:dyDescent="0.25">
      <c r="A720" s="1">
        <f t="shared" si="50"/>
        <v>719</v>
      </c>
      <c r="B720" s="1"/>
      <c r="C720" s="39"/>
      <c r="D720" s="21"/>
      <c r="G720" s="1"/>
      <c r="H720" s="11" t="str">
        <f t="shared" si="51"/>
        <v>0 г. 0 мес. 0 дн.</v>
      </c>
      <c r="I720" s="20"/>
      <c r="J720" s="20"/>
      <c r="O720" s="20"/>
      <c r="V720" s="1" t="str">
        <f t="shared" si="49"/>
        <v>0 г. 0 мес. 0 дн.</v>
      </c>
      <c r="W720" s="69"/>
    </row>
    <row r="721" spans="1:23" ht="35.1" customHeight="1" x14ac:dyDescent="0.25">
      <c r="A721" s="1">
        <f t="shared" si="50"/>
        <v>720</v>
      </c>
      <c r="B721" s="1"/>
      <c r="C721" s="39"/>
      <c r="D721" s="21"/>
      <c r="G721" s="1"/>
      <c r="H721" s="11" t="str">
        <f t="shared" si="51"/>
        <v>0 г. 0 мес. 0 дн.</v>
      </c>
      <c r="I721" s="20"/>
      <c r="J721" s="20"/>
      <c r="O721" s="20"/>
      <c r="V721" s="1" t="str">
        <f t="shared" si="49"/>
        <v>0 г. 0 мес. 0 дн.</v>
      </c>
      <c r="W721" s="69"/>
    </row>
    <row r="722" spans="1:23" ht="35.1" customHeight="1" x14ac:dyDescent="0.25">
      <c r="A722" s="1">
        <f t="shared" si="50"/>
        <v>721</v>
      </c>
      <c r="B722" s="1"/>
      <c r="C722" s="39"/>
      <c r="D722" s="21"/>
      <c r="G722" s="1"/>
      <c r="H722" s="11" t="str">
        <f t="shared" si="51"/>
        <v>0 г. 0 мес. 0 дн.</v>
      </c>
      <c r="I722" s="20"/>
      <c r="J722" s="20"/>
      <c r="O722" s="20"/>
      <c r="V722" s="1" t="str">
        <f t="shared" si="49"/>
        <v>0 г. 0 мес. 0 дн.</v>
      </c>
      <c r="W722" s="69"/>
    </row>
    <row r="723" spans="1:23" ht="35.1" customHeight="1" x14ac:dyDescent="0.25">
      <c r="A723" s="1">
        <f t="shared" si="50"/>
        <v>722</v>
      </c>
      <c r="B723" s="1"/>
      <c r="C723" s="39"/>
      <c r="D723" s="21"/>
      <c r="G723" s="1"/>
      <c r="H723" s="11" t="str">
        <f t="shared" si="51"/>
        <v>0 г. 0 мес. 0 дн.</v>
      </c>
      <c r="I723" s="20"/>
      <c r="J723" s="20"/>
      <c r="O723" s="20"/>
      <c r="V723" s="1" t="str">
        <f t="shared" si="49"/>
        <v>0 г. 0 мес. 0 дн.</v>
      </c>
      <c r="W723" s="69"/>
    </row>
    <row r="724" spans="1:23" ht="35.1" customHeight="1" x14ac:dyDescent="0.25">
      <c r="A724" s="1">
        <f t="shared" si="50"/>
        <v>723</v>
      </c>
      <c r="B724" s="1"/>
      <c r="C724" s="39"/>
      <c r="D724" s="21"/>
      <c r="G724" s="1"/>
      <c r="H724" s="11" t="str">
        <f t="shared" si="51"/>
        <v>0 г. 0 мес. 0 дн.</v>
      </c>
      <c r="I724" s="20"/>
      <c r="J724" s="20"/>
      <c r="O724" s="20"/>
      <c r="V724" s="1" t="str">
        <f t="shared" si="49"/>
        <v>0 г. 0 мес. 0 дн.</v>
      </c>
      <c r="W724" s="69"/>
    </row>
    <row r="725" spans="1:23" ht="35.1" customHeight="1" x14ac:dyDescent="0.25">
      <c r="A725" s="1">
        <f t="shared" si="50"/>
        <v>724</v>
      </c>
      <c r="B725" s="1"/>
      <c r="C725" s="39"/>
      <c r="D725" s="21"/>
      <c r="G725" s="1"/>
      <c r="H725" s="11" t="str">
        <f t="shared" si="51"/>
        <v>0 г. 0 мес. 0 дн.</v>
      </c>
      <c r="I725" s="20"/>
      <c r="J725" s="20"/>
      <c r="O725" s="20"/>
      <c r="V725" s="1" t="str">
        <f t="shared" si="49"/>
        <v>0 г. 0 мес. 0 дн.</v>
      </c>
      <c r="W725" s="69"/>
    </row>
    <row r="726" spans="1:23" ht="35.1" customHeight="1" x14ac:dyDescent="0.25">
      <c r="A726" s="1">
        <f t="shared" si="50"/>
        <v>725</v>
      </c>
      <c r="B726" s="1"/>
      <c r="C726" s="39"/>
      <c r="D726" s="21"/>
      <c r="G726" s="1"/>
      <c r="H726" s="11" t="str">
        <f t="shared" si="51"/>
        <v>0 г. 0 мес. 0 дн.</v>
      </c>
      <c r="I726" s="20"/>
      <c r="J726" s="20"/>
      <c r="O726" s="20"/>
      <c r="V726" s="1" t="str">
        <f t="shared" si="49"/>
        <v>0 г. 0 мес. 0 дн.</v>
      </c>
      <c r="W726" s="69"/>
    </row>
    <row r="727" spans="1:23" ht="35.1" customHeight="1" x14ac:dyDescent="0.25">
      <c r="A727" s="1">
        <f t="shared" si="50"/>
        <v>726</v>
      </c>
      <c r="B727" s="1"/>
      <c r="C727" s="39"/>
      <c r="D727" s="21"/>
      <c r="G727" s="1"/>
      <c r="H727" s="11" t="str">
        <f t="shared" si="51"/>
        <v>0 г. 0 мес. 0 дн.</v>
      </c>
      <c r="I727" s="20"/>
      <c r="J727" s="20"/>
      <c r="O727" s="20"/>
      <c r="V727" s="1" t="str">
        <f t="shared" si="49"/>
        <v>0 г. 0 мес. 0 дн.</v>
      </c>
      <c r="W727" s="69"/>
    </row>
    <row r="728" spans="1:23" ht="35.1" customHeight="1" x14ac:dyDescent="0.25">
      <c r="A728" s="1">
        <f t="shared" si="50"/>
        <v>727</v>
      </c>
      <c r="B728" s="1"/>
      <c r="C728" s="39"/>
      <c r="D728" s="21"/>
      <c r="G728" s="1"/>
      <c r="H728" s="11" t="str">
        <f t="shared" si="51"/>
        <v>0 г. 0 мес. 0 дн.</v>
      </c>
      <c r="I728" s="20"/>
      <c r="J728" s="20"/>
      <c r="O728" s="20"/>
      <c r="V728" s="1" t="str">
        <f t="shared" si="49"/>
        <v>0 г. 0 мес. 0 дн.</v>
      </c>
      <c r="W728" s="69"/>
    </row>
    <row r="729" spans="1:23" ht="35.1" customHeight="1" x14ac:dyDescent="0.25">
      <c r="A729" s="1">
        <f t="shared" si="50"/>
        <v>728</v>
      </c>
      <c r="B729" s="1"/>
      <c r="C729" s="39"/>
      <c r="D729" s="21"/>
      <c r="G729" s="1"/>
      <c r="H729" s="11" t="str">
        <f t="shared" si="51"/>
        <v>0 г. 0 мес. 0 дн.</v>
      </c>
      <c r="I729" s="20"/>
      <c r="J729" s="20"/>
      <c r="O729" s="20"/>
      <c r="V729" s="1" t="str">
        <f t="shared" ref="V729:V792" si="52">DATEDIF(D729,T729,"y") &amp; " г. " &amp; DATEDIF(D729,T729,"ym") &amp; " мес. " &amp; DATEDIF(D729,T729,"md") &amp; " дн."</f>
        <v>0 г. 0 мес. 0 дн.</v>
      </c>
      <c r="W729" s="69"/>
    </row>
    <row r="730" spans="1:23" ht="35.1" customHeight="1" x14ac:dyDescent="0.25">
      <c r="A730" s="1">
        <f t="shared" si="50"/>
        <v>729</v>
      </c>
      <c r="B730" s="1"/>
      <c r="C730" s="39"/>
      <c r="D730" s="21"/>
      <c r="G730" s="1"/>
      <c r="H730" s="11" t="str">
        <f t="shared" si="51"/>
        <v>0 г. 0 мес. 0 дн.</v>
      </c>
      <c r="I730" s="20"/>
      <c r="J730" s="20"/>
      <c r="O730" s="20"/>
      <c r="V730" s="1" t="str">
        <f t="shared" si="52"/>
        <v>0 г. 0 мес. 0 дн.</v>
      </c>
      <c r="W730" s="69"/>
    </row>
    <row r="731" spans="1:23" ht="35.1" customHeight="1" x14ac:dyDescent="0.25">
      <c r="A731" s="1">
        <f t="shared" si="50"/>
        <v>730</v>
      </c>
      <c r="B731" s="1"/>
      <c r="C731" s="39"/>
      <c r="D731" s="21"/>
      <c r="G731" s="1"/>
      <c r="H731" s="11" t="str">
        <f t="shared" si="51"/>
        <v>0 г. 0 мес. 0 дн.</v>
      </c>
      <c r="I731" s="20"/>
      <c r="J731" s="20"/>
      <c r="O731" s="20"/>
      <c r="V731" s="1" t="str">
        <f t="shared" si="52"/>
        <v>0 г. 0 мес. 0 дн.</v>
      </c>
      <c r="W731" s="69"/>
    </row>
    <row r="732" spans="1:23" ht="35.1" customHeight="1" x14ac:dyDescent="0.25">
      <c r="A732" s="1">
        <f t="shared" si="50"/>
        <v>731</v>
      </c>
      <c r="B732" s="1"/>
      <c r="C732" s="39"/>
      <c r="D732" s="21"/>
      <c r="G732" s="1"/>
      <c r="H732" s="11" t="str">
        <f t="shared" si="51"/>
        <v>0 г. 0 мес. 0 дн.</v>
      </c>
      <c r="I732" s="20"/>
      <c r="J732" s="20"/>
      <c r="O732" s="20"/>
      <c r="V732" s="1" t="str">
        <f t="shared" si="52"/>
        <v>0 г. 0 мес. 0 дн.</v>
      </c>
      <c r="W732" s="69"/>
    </row>
    <row r="733" spans="1:23" ht="35.1" customHeight="1" x14ac:dyDescent="0.25">
      <c r="A733" s="1">
        <f t="shared" si="50"/>
        <v>732</v>
      </c>
      <c r="B733" s="1"/>
      <c r="C733" s="39"/>
      <c r="D733" s="21"/>
      <c r="G733" s="1"/>
      <c r="H733" s="11" t="str">
        <f t="shared" si="51"/>
        <v>0 г. 0 мес. 0 дн.</v>
      </c>
      <c r="I733" s="20"/>
      <c r="J733" s="20"/>
      <c r="O733" s="20"/>
      <c r="V733" s="1" t="str">
        <f t="shared" si="52"/>
        <v>0 г. 0 мес. 0 дн.</v>
      </c>
      <c r="W733" s="69"/>
    </row>
    <row r="734" spans="1:23" ht="35.1" customHeight="1" x14ac:dyDescent="0.25">
      <c r="A734" s="1">
        <f t="shared" si="50"/>
        <v>733</v>
      </c>
      <c r="B734" s="1"/>
      <c r="C734" s="39"/>
      <c r="D734" s="21"/>
      <c r="G734" s="1"/>
      <c r="H734" s="11" t="str">
        <f t="shared" si="51"/>
        <v>0 г. 0 мес. 0 дн.</v>
      </c>
      <c r="I734" s="20"/>
      <c r="J734" s="20"/>
      <c r="O734" s="20"/>
      <c r="V734" s="1" t="str">
        <f t="shared" si="52"/>
        <v>0 г. 0 мес. 0 дн.</v>
      </c>
      <c r="W734" s="69"/>
    </row>
    <row r="735" spans="1:23" ht="35.1" customHeight="1" x14ac:dyDescent="0.25">
      <c r="A735" s="1">
        <f t="shared" si="50"/>
        <v>734</v>
      </c>
      <c r="B735" s="1"/>
      <c r="C735" s="39"/>
      <c r="D735" s="21"/>
      <c r="G735" s="1"/>
      <c r="H735" s="11" t="str">
        <f t="shared" si="51"/>
        <v>0 г. 0 мес. 0 дн.</v>
      </c>
      <c r="I735" s="20"/>
      <c r="J735" s="20"/>
      <c r="O735" s="20"/>
      <c r="V735" s="1" t="str">
        <f t="shared" si="52"/>
        <v>0 г. 0 мес. 0 дн.</v>
      </c>
      <c r="W735" s="69"/>
    </row>
    <row r="736" spans="1:23" ht="35.1" customHeight="1" x14ac:dyDescent="0.25">
      <c r="A736" s="1">
        <f t="shared" si="50"/>
        <v>735</v>
      </c>
      <c r="B736" s="1"/>
      <c r="C736" s="39"/>
      <c r="D736" s="21"/>
      <c r="G736" s="1"/>
      <c r="H736" s="11" t="str">
        <f t="shared" si="51"/>
        <v>0 г. 0 мес. 0 дн.</v>
      </c>
      <c r="I736" s="20"/>
      <c r="J736" s="20"/>
      <c r="O736" s="20"/>
      <c r="V736" s="1" t="str">
        <f t="shared" si="52"/>
        <v>0 г. 0 мес. 0 дн.</v>
      </c>
      <c r="W736" s="69"/>
    </row>
    <row r="737" spans="1:23" ht="35.1" customHeight="1" x14ac:dyDescent="0.25">
      <c r="A737" s="1">
        <f t="shared" si="50"/>
        <v>736</v>
      </c>
      <c r="B737" s="1"/>
      <c r="C737" s="39"/>
      <c r="D737" s="21"/>
      <c r="G737" s="1"/>
      <c r="H737" s="11" t="str">
        <f t="shared" si="51"/>
        <v>0 г. 0 мес. 0 дн.</v>
      </c>
      <c r="I737" s="20"/>
      <c r="J737" s="20"/>
      <c r="O737" s="20"/>
      <c r="V737" s="1" t="str">
        <f t="shared" si="52"/>
        <v>0 г. 0 мес. 0 дн.</v>
      </c>
      <c r="W737" s="69"/>
    </row>
    <row r="738" spans="1:23" ht="35.1" customHeight="1" x14ac:dyDescent="0.25">
      <c r="A738" s="1">
        <f t="shared" si="50"/>
        <v>737</v>
      </c>
      <c r="B738" s="1"/>
      <c r="C738" s="39"/>
      <c r="D738" s="21"/>
      <c r="G738" s="1"/>
      <c r="H738" s="11" t="str">
        <f t="shared" si="51"/>
        <v>0 г. 0 мес. 0 дн.</v>
      </c>
      <c r="I738" s="20"/>
      <c r="J738" s="20"/>
      <c r="O738" s="20"/>
      <c r="V738" s="1" t="str">
        <f t="shared" si="52"/>
        <v>0 г. 0 мес. 0 дн.</v>
      </c>
      <c r="W738" s="69"/>
    </row>
    <row r="739" spans="1:23" ht="35.1" customHeight="1" x14ac:dyDescent="0.25">
      <c r="A739" s="1">
        <f t="shared" si="50"/>
        <v>738</v>
      </c>
      <c r="B739" s="1"/>
      <c r="C739" s="39"/>
      <c r="D739" s="21"/>
      <c r="G739" s="1"/>
      <c r="H739" s="11" t="str">
        <f t="shared" si="51"/>
        <v>0 г. 0 мес. 0 дн.</v>
      </c>
      <c r="I739" s="20"/>
      <c r="J739" s="20"/>
      <c r="O739" s="20"/>
      <c r="V739" s="1" t="str">
        <f t="shared" si="52"/>
        <v>0 г. 0 мес. 0 дн.</v>
      </c>
      <c r="W739" s="69"/>
    </row>
    <row r="740" spans="1:23" ht="35.1" customHeight="1" x14ac:dyDescent="0.25">
      <c r="A740" s="1">
        <f t="shared" si="50"/>
        <v>739</v>
      </c>
      <c r="B740" s="1"/>
      <c r="C740" s="39"/>
      <c r="D740" s="21"/>
      <c r="G740" s="1"/>
      <c r="H740" s="11" t="str">
        <f t="shared" si="51"/>
        <v>0 г. 0 мес. 0 дн.</v>
      </c>
      <c r="I740" s="20"/>
      <c r="J740" s="20"/>
      <c r="O740" s="20"/>
      <c r="V740" s="1" t="str">
        <f t="shared" si="52"/>
        <v>0 г. 0 мес. 0 дн.</v>
      </c>
      <c r="W740" s="69"/>
    </row>
    <row r="741" spans="1:23" ht="35.1" customHeight="1" x14ac:dyDescent="0.25">
      <c r="A741" s="1">
        <f t="shared" si="50"/>
        <v>740</v>
      </c>
      <c r="B741" s="1"/>
      <c r="C741" s="39"/>
      <c r="D741" s="21"/>
      <c r="G741" s="1"/>
      <c r="H741" s="11" t="str">
        <f t="shared" si="51"/>
        <v>0 г. 0 мес. 0 дн.</v>
      </c>
      <c r="I741" s="20"/>
      <c r="J741" s="20"/>
      <c r="O741" s="20"/>
      <c r="V741" s="1" t="str">
        <f t="shared" si="52"/>
        <v>0 г. 0 мес. 0 дн.</v>
      </c>
      <c r="W741" s="69"/>
    </row>
    <row r="742" spans="1:23" ht="35.1" customHeight="1" x14ac:dyDescent="0.25">
      <c r="A742" s="1">
        <f t="shared" si="50"/>
        <v>741</v>
      </c>
      <c r="B742" s="1"/>
      <c r="C742" s="39"/>
      <c r="D742" s="21"/>
      <c r="G742" s="1"/>
      <c r="H742" s="11" t="str">
        <f t="shared" si="51"/>
        <v>0 г. 0 мес. 0 дн.</v>
      </c>
      <c r="I742" s="20"/>
      <c r="J742" s="20"/>
      <c r="O742" s="20"/>
      <c r="V742" s="1" t="str">
        <f t="shared" si="52"/>
        <v>0 г. 0 мес. 0 дн.</v>
      </c>
      <c r="W742" s="69"/>
    </row>
    <row r="743" spans="1:23" ht="35.1" customHeight="1" x14ac:dyDescent="0.25">
      <c r="A743" s="1">
        <f t="shared" si="50"/>
        <v>742</v>
      </c>
      <c r="B743" s="1"/>
      <c r="C743" s="39"/>
      <c r="D743" s="21"/>
      <c r="G743" s="1"/>
      <c r="H743" s="11" t="str">
        <f t="shared" si="51"/>
        <v>0 г. 0 мес. 0 дн.</v>
      </c>
      <c r="I743" s="20"/>
      <c r="J743" s="20"/>
      <c r="O743" s="20"/>
      <c r="V743" s="1" t="str">
        <f t="shared" si="52"/>
        <v>0 г. 0 мес. 0 дн.</v>
      </c>
      <c r="W743" s="69"/>
    </row>
    <row r="744" spans="1:23" ht="35.1" customHeight="1" x14ac:dyDescent="0.25">
      <c r="A744" s="1">
        <f t="shared" si="50"/>
        <v>743</v>
      </c>
      <c r="B744" s="1"/>
      <c r="C744" s="39"/>
      <c r="D744" s="21"/>
      <c r="G744" s="1"/>
      <c r="H744" s="11" t="str">
        <f t="shared" si="51"/>
        <v>0 г. 0 мес. 0 дн.</v>
      </c>
      <c r="I744" s="20"/>
      <c r="J744" s="20"/>
      <c r="O744" s="20"/>
      <c r="V744" s="1" t="str">
        <f t="shared" si="52"/>
        <v>0 г. 0 мес. 0 дн.</v>
      </c>
      <c r="W744" s="69"/>
    </row>
    <row r="745" spans="1:23" ht="35.1" customHeight="1" x14ac:dyDescent="0.25">
      <c r="A745" s="1">
        <f t="shared" si="50"/>
        <v>744</v>
      </c>
      <c r="B745" s="1"/>
      <c r="C745" s="39"/>
      <c r="D745" s="21"/>
      <c r="G745" s="1"/>
      <c r="H745" s="11" t="str">
        <f t="shared" si="51"/>
        <v>0 г. 0 мес. 0 дн.</v>
      </c>
      <c r="I745" s="20"/>
      <c r="J745" s="20"/>
      <c r="O745" s="20"/>
      <c r="V745" s="1" t="str">
        <f t="shared" si="52"/>
        <v>0 г. 0 мес. 0 дн.</v>
      </c>
      <c r="W745" s="69"/>
    </row>
    <row r="746" spans="1:23" ht="35.1" customHeight="1" x14ac:dyDescent="0.25">
      <c r="A746" s="1">
        <f t="shared" si="50"/>
        <v>745</v>
      </c>
      <c r="B746" s="1"/>
      <c r="C746" s="39"/>
      <c r="D746" s="21"/>
      <c r="G746" s="1"/>
      <c r="H746" s="11" t="str">
        <f t="shared" si="51"/>
        <v>0 г. 0 мес. 0 дн.</v>
      </c>
      <c r="I746" s="20"/>
      <c r="J746" s="20"/>
      <c r="O746" s="20"/>
      <c r="V746" s="1" t="str">
        <f t="shared" si="52"/>
        <v>0 г. 0 мес. 0 дн.</v>
      </c>
      <c r="W746" s="69"/>
    </row>
    <row r="747" spans="1:23" ht="35.1" customHeight="1" x14ac:dyDescent="0.25">
      <c r="A747" s="1">
        <f t="shared" si="50"/>
        <v>746</v>
      </c>
      <c r="B747" s="1"/>
      <c r="C747" s="39"/>
      <c r="D747" s="21"/>
      <c r="G747" s="1"/>
      <c r="H747" s="11" t="str">
        <f t="shared" si="51"/>
        <v>0 г. 0 мес. 0 дн.</v>
      </c>
      <c r="I747" s="20"/>
      <c r="J747" s="20"/>
      <c r="O747" s="20"/>
      <c r="V747" s="1" t="str">
        <f t="shared" si="52"/>
        <v>0 г. 0 мес. 0 дн.</v>
      </c>
      <c r="W747" s="69"/>
    </row>
    <row r="748" spans="1:23" ht="35.1" customHeight="1" x14ac:dyDescent="0.25">
      <c r="A748" s="1">
        <f t="shared" si="50"/>
        <v>747</v>
      </c>
      <c r="B748" s="1"/>
      <c r="C748" s="39"/>
      <c r="D748" s="21"/>
      <c r="G748" s="1"/>
      <c r="H748" s="11" t="str">
        <f t="shared" si="51"/>
        <v>0 г. 0 мес. 0 дн.</v>
      </c>
      <c r="I748" s="20"/>
      <c r="J748" s="20"/>
      <c r="O748" s="20"/>
      <c r="V748" s="1" t="str">
        <f t="shared" si="52"/>
        <v>0 г. 0 мес. 0 дн.</v>
      </c>
      <c r="W748" s="69"/>
    </row>
    <row r="749" spans="1:23" ht="35.1" customHeight="1" x14ac:dyDescent="0.25">
      <c r="A749" s="1">
        <f t="shared" si="50"/>
        <v>748</v>
      </c>
      <c r="B749" s="1"/>
      <c r="C749" s="39"/>
      <c r="D749" s="21"/>
      <c r="G749" s="1"/>
      <c r="H749" s="11" t="str">
        <f t="shared" si="51"/>
        <v>0 г. 0 мес. 0 дн.</v>
      </c>
      <c r="I749" s="20"/>
      <c r="J749" s="20"/>
      <c r="O749" s="20"/>
      <c r="V749" s="1" t="str">
        <f t="shared" si="52"/>
        <v>0 г. 0 мес. 0 дн.</v>
      </c>
      <c r="W749" s="69"/>
    </row>
    <row r="750" spans="1:23" ht="35.1" customHeight="1" x14ac:dyDescent="0.25">
      <c r="A750" s="1">
        <f t="shared" si="50"/>
        <v>749</v>
      </c>
      <c r="B750" s="1"/>
      <c r="C750" s="39"/>
      <c r="D750" s="21"/>
      <c r="G750" s="1"/>
      <c r="H750" s="11" t="str">
        <f t="shared" si="51"/>
        <v>0 г. 0 мес. 0 дн.</v>
      </c>
      <c r="I750" s="20"/>
      <c r="J750" s="20"/>
      <c r="O750" s="20"/>
      <c r="V750" s="1" t="str">
        <f t="shared" si="52"/>
        <v>0 г. 0 мес. 0 дн.</v>
      </c>
      <c r="W750" s="69"/>
    </row>
    <row r="751" spans="1:23" ht="35.1" customHeight="1" x14ac:dyDescent="0.25">
      <c r="A751" s="1">
        <f t="shared" si="50"/>
        <v>750</v>
      </c>
      <c r="B751" s="1"/>
      <c r="C751" s="39"/>
      <c r="D751" s="21"/>
      <c r="G751" s="1"/>
      <c r="H751" s="11" t="str">
        <f t="shared" si="51"/>
        <v>0 г. 0 мес. 0 дн.</v>
      </c>
      <c r="I751" s="20"/>
      <c r="J751" s="20"/>
      <c r="O751" s="20"/>
      <c r="V751" s="1" t="str">
        <f t="shared" si="52"/>
        <v>0 г. 0 мес. 0 дн.</v>
      </c>
      <c r="W751" s="69"/>
    </row>
    <row r="752" spans="1:23" ht="35.1" customHeight="1" x14ac:dyDescent="0.25">
      <c r="A752" s="1">
        <f t="shared" si="50"/>
        <v>751</v>
      </c>
      <c r="B752" s="1"/>
      <c r="C752" s="39"/>
      <c r="D752" s="21"/>
      <c r="G752" s="1"/>
      <c r="H752" s="11" t="str">
        <f t="shared" si="51"/>
        <v>0 г. 0 мес. 0 дн.</v>
      </c>
      <c r="I752" s="20"/>
      <c r="J752" s="20"/>
      <c r="O752" s="20"/>
      <c r="V752" s="1" t="str">
        <f t="shared" si="52"/>
        <v>0 г. 0 мес. 0 дн.</v>
      </c>
      <c r="W752" s="69"/>
    </row>
    <row r="753" spans="1:23" ht="35.1" customHeight="1" x14ac:dyDescent="0.25">
      <c r="A753" s="1">
        <f t="shared" si="50"/>
        <v>752</v>
      </c>
      <c r="B753" s="1"/>
      <c r="C753" s="39"/>
      <c r="D753" s="21"/>
      <c r="G753" s="1"/>
      <c r="H753" s="11" t="str">
        <f t="shared" si="51"/>
        <v>0 г. 0 мес. 0 дн.</v>
      </c>
      <c r="I753" s="20"/>
      <c r="J753" s="20"/>
      <c r="O753" s="20"/>
      <c r="V753" s="1" t="str">
        <f t="shared" si="52"/>
        <v>0 г. 0 мес. 0 дн.</v>
      </c>
      <c r="W753" s="69"/>
    </row>
    <row r="754" spans="1:23" ht="35.1" customHeight="1" x14ac:dyDescent="0.25">
      <c r="A754" s="1">
        <f t="shared" si="50"/>
        <v>753</v>
      </c>
      <c r="B754" s="1"/>
      <c r="C754" s="39"/>
      <c r="D754" s="21"/>
      <c r="G754" s="1"/>
      <c r="H754" s="11" t="str">
        <f t="shared" si="51"/>
        <v>0 г. 0 мес. 0 дн.</v>
      </c>
      <c r="I754" s="20"/>
      <c r="J754" s="20"/>
      <c r="O754" s="20"/>
      <c r="V754" s="1" t="str">
        <f t="shared" si="52"/>
        <v>0 г. 0 мес. 0 дн.</v>
      </c>
      <c r="W754" s="69"/>
    </row>
    <row r="755" spans="1:23" ht="35.1" customHeight="1" x14ac:dyDescent="0.25">
      <c r="A755" s="1">
        <f t="shared" si="50"/>
        <v>754</v>
      </c>
      <c r="B755" s="1"/>
      <c r="C755" s="39"/>
      <c r="D755" s="21"/>
      <c r="G755" s="1"/>
      <c r="H755" s="11" t="str">
        <f t="shared" si="51"/>
        <v>0 г. 0 мес. 0 дн.</v>
      </c>
      <c r="I755" s="20"/>
      <c r="J755" s="20"/>
      <c r="O755" s="20"/>
      <c r="V755" s="1" t="str">
        <f t="shared" si="52"/>
        <v>0 г. 0 мес. 0 дн.</v>
      </c>
      <c r="W755" s="69"/>
    </row>
    <row r="756" spans="1:23" ht="35.1" customHeight="1" x14ac:dyDescent="0.25">
      <c r="A756" s="1">
        <f t="shared" si="50"/>
        <v>755</v>
      </c>
      <c r="B756" s="1"/>
      <c r="C756" s="39"/>
      <c r="D756" s="21"/>
      <c r="G756" s="1"/>
      <c r="H756" s="11" t="str">
        <f t="shared" si="51"/>
        <v>0 г. 0 мес. 0 дн.</v>
      </c>
      <c r="I756" s="20"/>
      <c r="J756" s="20"/>
      <c r="O756" s="20"/>
      <c r="V756" s="1" t="str">
        <f t="shared" si="52"/>
        <v>0 г. 0 мес. 0 дн.</v>
      </c>
      <c r="W756" s="69"/>
    </row>
    <row r="757" spans="1:23" ht="35.1" customHeight="1" x14ac:dyDescent="0.25">
      <c r="A757" s="1">
        <f t="shared" si="50"/>
        <v>756</v>
      </c>
      <c r="B757" s="1"/>
      <c r="C757" s="39"/>
      <c r="D757" s="21"/>
      <c r="G757" s="1"/>
      <c r="H757" s="11" t="str">
        <f t="shared" si="51"/>
        <v>0 г. 0 мес. 0 дн.</v>
      </c>
      <c r="I757" s="20"/>
      <c r="J757" s="20"/>
      <c r="O757" s="20"/>
      <c r="V757" s="1" t="str">
        <f t="shared" si="52"/>
        <v>0 г. 0 мес. 0 дн.</v>
      </c>
      <c r="W757" s="69"/>
    </row>
    <row r="758" spans="1:23" ht="35.1" customHeight="1" x14ac:dyDescent="0.25">
      <c r="A758" s="1">
        <f t="shared" si="50"/>
        <v>757</v>
      </c>
      <c r="B758" s="1"/>
      <c r="C758" s="39"/>
      <c r="D758" s="21"/>
      <c r="G758" s="1"/>
      <c r="H758" s="11" t="str">
        <f t="shared" si="51"/>
        <v>0 г. 0 мес. 0 дн.</v>
      </c>
      <c r="I758" s="20"/>
      <c r="J758" s="20"/>
      <c r="O758" s="20"/>
      <c r="V758" s="1" t="str">
        <f t="shared" si="52"/>
        <v>0 г. 0 мес. 0 дн.</v>
      </c>
      <c r="W758" s="69"/>
    </row>
    <row r="759" spans="1:23" ht="35.1" customHeight="1" x14ac:dyDescent="0.25">
      <c r="A759" s="1">
        <f t="shared" si="50"/>
        <v>758</v>
      </c>
      <c r="B759" s="1"/>
      <c r="C759" s="39"/>
      <c r="D759" s="21"/>
      <c r="G759" s="1"/>
      <c r="H759" s="11" t="str">
        <f t="shared" si="51"/>
        <v>0 г. 0 мес. 0 дн.</v>
      </c>
      <c r="I759" s="20"/>
      <c r="J759" s="20"/>
      <c r="O759" s="20"/>
      <c r="V759" s="1" t="str">
        <f t="shared" si="52"/>
        <v>0 г. 0 мес. 0 дн.</v>
      </c>
      <c r="W759" s="69"/>
    </row>
    <row r="760" spans="1:23" ht="35.1" customHeight="1" x14ac:dyDescent="0.25">
      <c r="A760" s="1">
        <f t="shared" si="50"/>
        <v>759</v>
      </c>
      <c r="B760" s="1"/>
      <c r="C760" s="39"/>
      <c r="D760" s="21"/>
      <c r="G760" s="1"/>
      <c r="H760" s="11" t="str">
        <f t="shared" si="51"/>
        <v>0 г. 0 мес. 0 дн.</v>
      </c>
      <c r="I760" s="20"/>
      <c r="J760" s="20"/>
      <c r="O760" s="20"/>
      <c r="V760" s="1" t="str">
        <f t="shared" si="52"/>
        <v>0 г. 0 мес. 0 дн.</v>
      </c>
      <c r="W760" s="69"/>
    </row>
    <row r="761" spans="1:23" ht="35.1" customHeight="1" x14ac:dyDescent="0.25">
      <c r="A761" s="1">
        <f t="shared" si="50"/>
        <v>760</v>
      </c>
      <c r="B761" s="1"/>
      <c r="C761" s="39"/>
      <c r="D761" s="21"/>
      <c r="G761" s="1"/>
      <c r="H761" s="11" t="str">
        <f t="shared" si="51"/>
        <v>0 г. 0 мес. 0 дн.</v>
      </c>
      <c r="I761" s="20"/>
      <c r="J761" s="20"/>
      <c r="O761" s="20"/>
      <c r="V761" s="1" t="str">
        <f t="shared" si="52"/>
        <v>0 г. 0 мес. 0 дн.</v>
      </c>
      <c r="W761" s="69"/>
    </row>
    <row r="762" spans="1:23" ht="35.1" customHeight="1" x14ac:dyDescent="0.25">
      <c r="A762" s="1">
        <f t="shared" si="50"/>
        <v>761</v>
      </c>
      <c r="B762" s="1"/>
      <c r="C762" s="39"/>
      <c r="D762" s="21"/>
      <c r="G762" s="1"/>
      <c r="H762" s="11" t="str">
        <f t="shared" si="51"/>
        <v>0 г. 0 мес. 0 дн.</v>
      </c>
      <c r="I762" s="20"/>
      <c r="J762" s="20"/>
      <c r="O762" s="20"/>
      <c r="V762" s="1" t="str">
        <f t="shared" si="52"/>
        <v>0 г. 0 мес. 0 дн.</v>
      </c>
      <c r="W762" s="69"/>
    </row>
    <row r="763" spans="1:23" ht="35.1" customHeight="1" x14ac:dyDescent="0.25">
      <c r="A763" s="1">
        <f t="shared" si="50"/>
        <v>762</v>
      </c>
      <c r="B763" s="1"/>
      <c r="C763" s="39"/>
      <c r="D763" s="21"/>
      <c r="G763" s="1"/>
      <c r="H763" s="11" t="str">
        <f t="shared" si="51"/>
        <v>0 г. 0 мес. 0 дн.</v>
      </c>
      <c r="I763" s="20"/>
      <c r="J763" s="20"/>
      <c r="O763" s="20"/>
      <c r="V763" s="1" t="str">
        <f t="shared" si="52"/>
        <v>0 г. 0 мес. 0 дн.</v>
      </c>
      <c r="W763" s="69"/>
    </row>
    <row r="764" spans="1:23" ht="35.1" customHeight="1" x14ac:dyDescent="0.25">
      <c r="A764" s="1">
        <f t="shared" si="50"/>
        <v>763</v>
      </c>
      <c r="B764" s="1"/>
      <c r="C764" s="39"/>
      <c r="D764" s="21"/>
      <c r="G764" s="1"/>
      <c r="H764" s="11" t="str">
        <f t="shared" si="51"/>
        <v>0 г. 0 мес. 0 дн.</v>
      </c>
      <c r="I764" s="20"/>
      <c r="J764" s="20"/>
      <c r="O764" s="20"/>
      <c r="V764" s="1" t="str">
        <f t="shared" si="52"/>
        <v>0 г. 0 мес. 0 дн.</v>
      </c>
      <c r="W764" s="69"/>
    </row>
    <row r="765" spans="1:23" ht="35.1" customHeight="1" x14ac:dyDescent="0.25">
      <c r="A765" s="1">
        <f t="shared" si="50"/>
        <v>764</v>
      </c>
      <c r="B765" s="1"/>
      <c r="C765" s="39"/>
      <c r="D765" s="21"/>
      <c r="G765" s="1"/>
      <c r="H765" s="11" t="str">
        <f t="shared" si="51"/>
        <v>0 г. 0 мес. 0 дн.</v>
      </c>
      <c r="I765" s="20"/>
      <c r="J765" s="20"/>
      <c r="O765" s="20"/>
      <c r="V765" s="1" t="str">
        <f t="shared" si="52"/>
        <v>0 г. 0 мес. 0 дн.</v>
      </c>
      <c r="W765" s="69"/>
    </row>
    <row r="766" spans="1:23" ht="35.1" customHeight="1" x14ac:dyDescent="0.25">
      <c r="A766" s="1">
        <f t="shared" si="50"/>
        <v>765</v>
      </c>
      <c r="B766" s="1"/>
      <c r="C766" s="39"/>
      <c r="D766" s="21"/>
      <c r="G766" s="1"/>
      <c r="H766" s="11" t="str">
        <f t="shared" si="51"/>
        <v>0 г. 0 мес. 0 дн.</v>
      </c>
      <c r="I766" s="20"/>
      <c r="J766" s="20"/>
      <c r="O766" s="20"/>
      <c r="V766" s="1" t="str">
        <f t="shared" si="52"/>
        <v>0 г. 0 мес. 0 дн.</v>
      </c>
      <c r="W766" s="69"/>
    </row>
    <row r="767" spans="1:23" ht="35.1" customHeight="1" x14ac:dyDescent="0.25">
      <c r="A767" s="1">
        <f t="shared" si="50"/>
        <v>766</v>
      </c>
      <c r="B767" s="1"/>
      <c r="C767" s="39"/>
      <c r="D767" s="21"/>
      <c r="G767" s="1"/>
      <c r="H767" s="11" t="str">
        <f t="shared" si="51"/>
        <v>0 г. 0 мес. 0 дн.</v>
      </c>
      <c r="I767" s="20"/>
      <c r="J767" s="20"/>
      <c r="O767" s="20"/>
      <c r="V767" s="1" t="str">
        <f t="shared" si="52"/>
        <v>0 г. 0 мес. 0 дн.</v>
      </c>
      <c r="W767" s="69"/>
    </row>
    <row r="768" spans="1:23" ht="35.1" customHeight="1" x14ac:dyDescent="0.25">
      <c r="A768" s="1">
        <f t="shared" si="50"/>
        <v>767</v>
      </c>
      <c r="B768" s="1"/>
      <c r="C768" s="39"/>
      <c r="D768" s="21"/>
      <c r="G768" s="1"/>
      <c r="H768" s="11" t="str">
        <f t="shared" si="51"/>
        <v>0 г. 0 мес. 0 дн.</v>
      </c>
      <c r="I768" s="20"/>
      <c r="J768" s="20"/>
      <c r="O768" s="20"/>
      <c r="V768" s="1" t="str">
        <f t="shared" si="52"/>
        <v>0 г. 0 мес. 0 дн.</v>
      </c>
      <c r="W768" s="69"/>
    </row>
    <row r="769" spans="1:23" ht="35.1" customHeight="1" x14ac:dyDescent="0.25">
      <c r="A769" s="1">
        <f t="shared" ref="A769:A832" si="53">ROW(A768)</f>
        <v>768</v>
      </c>
      <c r="B769" s="1"/>
      <c r="C769" s="39"/>
      <c r="D769" s="21"/>
      <c r="G769" s="1"/>
      <c r="H769" s="11" t="str">
        <f t="shared" ref="H769:H832" si="54">DATEDIF(G769,D769,"y") &amp; " г. " &amp; DATEDIF(G769,D769,"ym") &amp; " мес. " &amp; DATEDIF(G769,D769,"md") &amp; " дн."</f>
        <v>0 г. 0 мес. 0 дн.</v>
      </c>
      <c r="I769" s="20"/>
      <c r="J769" s="20"/>
      <c r="O769" s="20"/>
      <c r="V769" s="1" t="str">
        <f t="shared" si="52"/>
        <v>0 г. 0 мес. 0 дн.</v>
      </c>
      <c r="W769" s="69"/>
    </row>
    <row r="770" spans="1:23" ht="35.1" customHeight="1" x14ac:dyDescent="0.25">
      <c r="A770" s="1">
        <f t="shared" si="53"/>
        <v>769</v>
      </c>
      <c r="B770" s="1"/>
      <c r="C770" s="39"/>
      <c r="D770" s="21"/>
      <c r="G770" s="1"/>
      <c r="H770" s="11" t="str">
        <f t="shared" si="54"/>
        <v>0 г. 0 мес. 0 дн.</v>
      </c>
      <c r="I770" s="20"/>
      <c r="J770" s="20"/>
      <c r="O770" s="20"/>
      <c r="V770" s="1" t="str">
        <f t="shared" si="52"/>
        <v>0 г. 0 мес. 0 дн.</v>
      </c>
      <c r="W770" s="69"/>
    </row>
    <row r="771" spans="1:23" ht="35.1" customHeight="1" x14ac:dyDescent="0.25">
      <c r="A771" s="1">
        <f t="shared" si="53"/>
        <v>770</v>
      </c>
      <c r="B771" s="1"/>
      <c r="C771" s="39"/>
      <c r="D771" s="21"/>
      <c r="G771" s="1"/>
      <c r="H771" s="11" t="str">
        <f t="shared" si="54"/>
        <v>0 г. 0 мес. 0 дн.</v>
      </c>
      <c r="I771" s="20"/>
      <c r="J771" s="20"/>
      <c r="O771" s="20"/>
      <c r="V771" s="1" t="str">
        <f t="shared" si="52"/>
        <v>0 г. 0 мес. 0 дн.</v>
      </c>
      <c r="W771" s="69"/>
    </row>
    <row r="772" spans="1:23" ht="35.1" customHeight="1" x14ac:dyDescent="0.25">
      <c r="A772" s="1">
        <f t="shared" si="53"/>
        <v>771</v>
      </c>
      <c r="B772" s="1"/>
      <c r="C772" s="39"/>
      <c r="D772" s="21"/>
      <c r="G772" s="1"/>
      <c r="H772" s="11" t="str">
        <f t="shared" si="54"/>
        <v>0 г. 0 мес. 0 дн.</v>
      </c>
      <c r="I772" s="20"/>
      <c r="J772" s="20"/>
      <c r="O772" s="20"/>
      <c r="V772" s="1" t="str">
        <f t="shared" si="52"/>
        <v>0 г. 0 мес. 0 дн.</v>
      </c>
      <c r="W772" s="69"/>
    </row>
    <row r="773" spans="1:23" ht="35.1" customHeight="1" x14ac:dyDescent="0.25">
      <c r="A773" s="1">
        <f t="shared" si="53"/>
        <v>772</v>
      </c>
      <c r="B773" s="1"/>
      <c r="C773" s="39"/>
      <c r="D773" s="21"/>
      <c r="G773" s="1"/>
      <c r="H773" s="11" t="str">
        <f t="shared" si="54"/>
        <v>0 г. 0 мес. 0 дн.</v>
      </c>
      <c r="I773" s="20"/>
      <c r="J773" s="20"/>
      <c r="O773" s="20"/>
      <c r="V773" s="1" t="str">
        <f t="shared" si="52"/>
        <v>0 г. 0 мес. 0 дн.</v>
      </c>
      <c r="W773" s="69"/>
    </row>
    <row r="774" spans="1:23" ht="35.1" customHeight="1" x14ac:dyDescent="0.25">
      <c r="A774" s="1">
        <f t="shared" si="53"/>
        <v>773</v>
      </c>
      <c r="B774" s="1"/>
      <c r="C774" s="39"/>
      <c r="D774" s="21"/>
      <c r="G774" s="1"/>
      <c r="H774" s="11" t="str">
        <f t="shared" si="54"/>
        <v>0 г. 0 мес. 0 дн.</v>
      </c>
      <c r="I774" s="20"/>
      <c r="J774" s="20"/>
      <c r="O774" s="20"/>
      <c r="V774" s="1" t="str">
        <f t="shared" si="52"/>
        <v>0 г. 0 мес. 0 дн.</v>
      </c>
      <c r="W774" s="69"/>
    </row>
    <row r="775" spans="1:23" ht="35.1" customHeight="1" x14ac:dyDescent="0.25">
      <c r="A775" s="1">
        <f t="shared" si="53"/>
        <v>774</v>
      </c>
      <c r="B775" s="1"/>
      <c r="C775" s="39"/>
      <c r="D775" s="21"/>
      <c r="G775" s="1"/>
      <c r="H775" s="11" t="str">
        <f t="shared" si="54"/>
        <v>0 г. 0 мес. 0 дн.</v>
      </c>
      <c r="I775" s="20"/>
      <c r="J775" s="20"/>
      <c r="O775" s="20"/>
      <c r="V775" s="1" t="str">
        <f t="shared" si="52"/>
        <v>0 г. 0 мес. 0 дн.</v>
      </c>
      <c r="W775" s="69"/>
    </row>
    <row r="776" spans="1:23" ht="35.1" customHeight="1" x14ac:dyDescent="0.25">
      <c r="A776" s="1">
        <f t="shared" si="53"/>
        <v>775</v>
      </c>
      <c r="B776" s="1"/>
      <c r="C776" s="39"/>
      <c r="D776" s="21"/>
      <c r="G776" s="1"/>
      <c r="H776" s="11" t="str">
        <f t="shared" si="54"/>
        <v>0 г. 0 мес. 0 дн.</v>
      </c>
      <c r="I776" s="20"/>
      <c r="J776" s="20"/>
      <c r="O776" s="20"/>
      <c r="V776" s="1" t="str">
        <f t="shared" si="52"/>
        <v>0 г. 0 мес. 0 дн.</v>
      </c>
      <c r="W776" s="69"/>
    </row>
    <row r="777" spans="1:23" ht="35.1" customHeight="1" x14ac:dyDescent="0.25">
      <c r="A777" s="1">
        <f t="shared" si="53"/>
        <v>776</v>
      </c>
      <c r="B777" s="1"/>
      <c r="C777" s="39"/>
      <c r="D777" s="21"/>
      <c r="G777" s="1"/>
      <c r="H777" s="11" t="str">
        <f t="shared" si="54"/>
        <v>0 г. 0 мес. 0 дн.</v>
      </c>
      <c r="I777" s="20"/>
      <c r="J777" s="20"/>
      <c r="O777" s="20"/>
      <c r="V777" s="1" t="str">
        <f t="shared" si="52"/>
        <v>0 г. 0 мес. 0 дн.</v>
      </c>
      <c r="W777" s="69"/>
    </row>
    <row r="778" spans="1:23" ht="35.1" customHeight="1" x14ac:dyDescent="0.25">
      <c r="A778" s="1">
        <f t="shared" si="53"/>
        <v>777</v>
      </c>
      <c r="B778" s="1"/>
      <c r="C778" s="39"/>
      <c r="D778" s="21"/>
      <c r="G778" s="1"/>
      <c r="H778" s="11" t="str">
        <f t="shared" si="54"/>
        <v>0 г. 0 мес. 0 дн.</v>
      </c>
      <c r="I778" s="20"/>
      <c r="J778" s="20"/>
      <c r="O778" s="20"/>
      <c r="V778" s="1" t="str">
        <f t="shared" si="52"/>
        <v>0 г. 0 мес. 0 дн.</v>
      </c>
      <c r="W778" s="69"/>
    </row>
    <row r="779" spans="1:23" ht="35.1" customHeight="1" x14ac:dyDescent="0.25">
      <c r="A779" s="1">
        <f t="shared" si="53"/>
        <v>778</v>
      </c>
      <c r="B779" s="1"/>
      <c r="C779" s="39"/>
      <c r="D779" s="21"/>
      <c r="G779" s="1"/>
      <c r="H779" s="11" t="str">
        <f t="shared" si="54"/>
        <v>0 г. 0 мес. 0 дн.</v>
      </c>
      <c r="I779" s="20"/>
      <c r="J779" s="20"/>
      <c r="O779" s="20"/>
      <c r="V779" s="1" t="str">
        <f t="shared" si="52"/>
        <v>0 г. 0 мес. 0 дн.</v>
      </c>
      <c r="W779" s="69"/>
    </row>
    <row r="780" spans="1:23" ht="35.1" customHeight="1" x14ac:dyDescent="0.25">
      <c r="A780" s="1">
        <f t="shared" si="53"/>
        <v>779</v>
      </c>
      <c r="B780" s="1"/>
      <c r="C780" s="39"/>
      <c r="D780" s="21"/>
      <c r="G780" s="1"/>
      <c r="H780" s="11" t="str">
        <f t="shared" si="54"/>
        <v>0 г. 0 мес. 0 дн.</v>
      </c>
      <c r="I780" s="20"/>
      <c r="J780" s="20"/>
      <c r="O780" s="20"/>
      <c r="V780" s="1" t="str">
        <f t="shared" si="52"/>
        <v>0 г. 0 мес. 0 дн.</v>
      </c>
      <c r="W780" s="69"/>
    </row>
    <row r="781" spans="1:23" ht="35.1" customHeight="1" x14ac:dyDescent="0.25">
      <c r="A781" s="1">
        <f t="shared" si="53"/>
        <v>780</v>
      </c>
      <c r="B781" s="1"/>
      <c r="C781" s="39"/>
      <c r="D781" s="21"/>
      <c r="G781" s="1"/>
      <c r="H781" s="11" t="str">
        <f t="shared" si="54"/>
        <v>0 г. 0 мес. 0 дн.</v>
      </c>
      <c r="I781" s="20"/>
      <c r="J781" s="20"/>
      <c r="O781" s="20"/>
      <c r="V781" s="1" t="str">
        <f t="shared" si="52"/>
        <v>0 г. 0 мес. 0 дн.</v>
      </c>
      <c r="W781" s="69"/>
    </row>
    <row r="782" spans="1:23" ht="35.1" customHeight="1" x14ac:dyDescent="0.25">
      <c r="A782" s="1">
        <f t="shared" si="53"/>
        <v>781</v>
      </c>
      <c r="B782" s="1"/>
      <c r="C782" s="39"/>
      <c r="D782" s="21"/>
      <c r="G782" s="1"/>
      <c r="H782" s="11" t="str">
        <f t="shared" si="54"/>
        <v>0 г. 0 мес. 0 дн.</v>
      </c>
      <c r="I782" s="20"/>
      <c r="J782" s="20"/>
      <c r="O782" s="20"/>
      <c r="V782" s="1" t="str">
        <f t="shared" si="52"/>
        <v>0 г. 0 мес. 0 дн.</v>
      </c>
      <c r="W782" s="69"/>
    </row>
    <row r="783" spans="1:23" ht="35.1" customHeight="1" x14ac:dyDescent="0.25">
      <c r="A783" s="1">
        <f t="shared" si="53"/>
        <v>782</v>
      </c>
      <c r="B783" s="1"/>
      <c r="C783" s="39"/>
      <c r="D783" s="21"/>
      <c r="G783" s="1"/>
      <c r="H783" s="11" t="str">
        <f t="shared" si="54"/>
        <v>0 г. 0 мес. 0 дн.</v>
      </c>
      <c r="I783" s="20"/>
      <c r="J783" s="20"/>
      <c r="O783" s="20"/>
      <c r="V783" s="1" t="str">
        <f t="shared" si="52"/>
        <v>0 г. 0 мес. 0 дн.</v>
      </c>
      <c r="W783" s="69"/>
    </row>
    <row r="784" spans="1:23" ht="35.1" customHeight="1" x14ac:dyDescent="0.25">
      <c r="A784" s="1">
        <f t="shared" si="53"/>
        <v>783</v>
      </c>
      <c r="B784" s="1"/>
      <c r="C784" s="39"/>
      <c r="D784" s="21"/>
      <c r="G784" s="1"/>
      <c r="H784" s="11" t="str">
        <f t="shared" si="54"/>
        <v>0 г. 0 мес. 0 дн.</v>
      </c>
      <c r="I784" s="20"/>
      <c r="J784" s="20"/>
      <c r="O784" s="20"/>
      <c r="V784" s="1" t="str">
        <f t="shared" si="52"/>
        <v>0 г. 0 мес. 0 дн.</v>
      </c>
      <c r="W784" s="69"/>
    </row>
    <row r="785" spans="1:23" ht="35.1" customHeight="1" x14ac:dyDescent="0.25">
      <c r="A785" s="1">
        <f t="shared" si="53"/>
        <v>784</v>
      </c>
      <c r="B785" s="1"/>
      <c r="C785" s="39"/>
      <c r="D785" s="21"/>
      <c r="G785" s="1"/>
      <c r="H785" s="11" t="str">
        <f t="shared" si="54"/>
        <v>0 г. 0 мес. 0 дн.</v>
      </c>
      <c r="I785" s="20"/>
      <c r="J785" s="20"/>
      <c r="O785" s="20"/>
      <c r="V785" s="1" t="str">
        <f t="shared" si="52"/>
        <v>0 г. 0 мес. 0 дн.</v>
      </c>
      <c r="W785" s="69"/>
    </row>
    <row r="786" spans="1:23" ht="35.1" customHeight="1" x14ac:dyDescent="0.25">
      <c r="A786" s="1">
        <f t="shared" si="53"/>
        <v>785</v>
      </c>
      <c r="B786" s="1"/>
      <c r="C786" s="39"/>
      <c r="D786" s="21"/>
      <c r="G786" s="1"/>
      <c r="H786" s="11" t="str">
        <f t="shared" si="54"/>
        <v>0 г. 0 мес. 0 дн.</v>
      </c>
      <c r="I786" s="20"/>
      <c r="J786" s="20"/>
      <c r="O786" s="20"/>
      <c r="V786" s="1" t="str">
        <f t="shared" si="52"/>
        <v>0 г. 0 мес. 0 дн.</v>
      </c>
      <c r="W786" s="69"/>
    </row>
    <row r="787" spans="1:23" ht="35.1" customHeight="1" x14ac:dyDescent="0.25">
      <c r="A787" s="1">
        <f t="shared" si="53"/>
        <v>786</v>
      </c>
      <c r="B787" s="1"/>
      <c r="C787" s="39"/>
      <c r="D787" s="21"/>
      <c r="G787" s="1"/>
      <c r="H787" s="11" t="str">
        <f t="shared" si="54"/>
        <v>0 г. 0 мес. 0 дн.</v>
      </c>
      <c r="I787" s="20"/>
      <c r="J787" s="20"/>
      <c r="O787" s="20"/>
      <c r="V787" s="1" t="str">
        <f t="shared" si="52"/>
        <v>0 г. 0 мес. 0 дн.</v>
      </c>
      <c r="W787" s="69"/>
    </row>
    <row r="788" spans="1:23" ht="35.1" customHeight="1" x14ac:dyDescent="0.25">
      <c r="A788" s="1">
        <f t="shared" si="53"/>
        <v>787</v>
      </c>
      <c r="B788" s="1"/>
      <c r="C788" s="39"/>
      <c r="D788" s="21"/>
      <c r="G788" s="1"/>
      <c r="H788" s="11" t="str">
        <f t="shared" si="54"/>
        <v>0 г. 0 мес. 0 дн.</v>
      </c>
      <c r="I788" s="20"/>
      <c r="J788" s="20"/>
      <c r="O788" s="20"/>
      <c r="V788" s="1" t="str">
        <f t="shared" si="52"/>
        <v>0 г. 0 мес. 0 дн.</v>
      </c>
      <c r="W788" s="69"/>
    </row>
    <row r="789" spans="1:23" ht="35.1" customHeight="1" x14ac:dyDescent="0.25">
      <c r="A789" s="1">
        <f t="shared" si="53"/>
        <v>788</v>
      </c>
      <c r="B789" s="1"/>
      <c r="C789" s="39"/>
      <c r="D789" s="21"/>
      <c r="G789" s="1"/>
      <c r="H789" s="11" t="str">
        <f t="shared" si="54"/>
        <v>0 г. 0 мес. 0 дн.</v>
      </c>
      <c r="I789" s="20"/>
      <c r="J789" s="20"/>
      <c r="O789" s="20"/>
      <c r="V789" s="1" t="str">
        <f t="shared" si="52"/>
        <v>0 г. 0 мес. 0 дн.</v>
      </c>
      <c r="W789" s="69"/>
    </row>
    <row r="790" spans="1:23" ht="35.1" customHeight="1" x14ac:dyDescent="0.25">
      <c r="A790" s="1">
        <f t="shared" si="53"/>
        <v>789</v>
      </c>
      <c r="B790" s="1"/>
      <c r="C790" s="39"/>
      <c r="D790" s="21"/>
      <c r="G790" s="1"/>
      <c r="H790" s="11" t="str">
        <f t="shared" si="54"/>
        <v>0 г. 0 мес. 0 дн.</v>
      </c>
      <c r="I790" s="20"/>
      <c r="J790" s="20"/>
      <c r="O790" s="20"/>
      <c r="V790" s="1" t="str">
        <f t="shared" si="52"/>
        <v>0 г. 0 мес. 0 дн.</v>
      </c>
      <c r="W790" s="69"/>
    </row>
    <row r="791" spans="1:23" ht="35.1" customHeight="1" x14ac:dyDescent="0.25">
      <c r="A791" s="1">
        <f t="shared" si="53"/>
        <v>790</v>
      </c>
      <c r="B791" s="1"/>
      <c r="C791" s="39"/>
      <c r="D791" s="21"/>
      <c r="G791" s="1"/>
      <c r="H791" s="11" t="str">
        <f t="shared" si="54"/>
        <v>0 г. 0 мес. 0 дн.</v>
      </c>
      <c r="I791" s="20"/>
      <c r="J791" s="20"/>
      <c r="O791" s="20"/>
      <c r="V791" s="1" t="str">
        <f t="shared" si="52"/>
        <v>0 г. 0 мес. 0 дн.</v>
      </c>
      <c r="W791" s="69"/>
    </row>
    <row r="792" spans="1:23" ht="35.1" customHeight="1" x14ac:dyDescent="0.25">
      <c r="A792" s="1">
        <f t="shared" si="53"/>
        <v>791</v>
      </c>
      <c r="B792" s="1"/>
      <c r="C792" s="39"/>
      <c r="D792" s="21"/>
      <c r="G792" s="1"/>
      <c r="H792" s="11" t="str">
        <f t="shared" si="54"/>
        <v>0 г. 0 мес. 0 дн.</v>
      </c>
      <c r="I792" s="20"/>
      <c r="J792" s="20"/>
      <c r="O792" s="20"/>
      <c r="V792" s="1" t="str">
        <f t="shared" si="52"/>
        <v>0 г. 0 мес. 0 дн.</v>
      </c>
      <c r="W792" s="69"/>
    </row>
    <row r="793" spans="1:23" ht="35.1" customHeight="1" x14ac:dyDescent="0.25">
      <c r="A793" s="1">
        <f t="shared" si="53"/>
        <v>792</v>
      </c>
      <c r="B793" s="1"/>
      <c r="C793" s="39"/>
      <c r="D793" s="21"/>
      <c r="G793" s="1"/>
      <c r="H793" s="11" t="str">
        <f t="shared" si="54"/>
        <v>0 г. 0 мес. 0 дн.</v>
      </c>
      <c r="I793" s="20"/>
      <c r="J793" s="20"/>
      <c r="O793" s="20"/>
      <c r="V793" s="1" t="str">
        <f t="shared" ref="V793:V856" si="55">DATEDIF(D793,T793,"y") &amp; " г. " &amp; DATEDIF(D793,T793,"ym") &amp; " мес. " &amp; DATEDIF(D793,T793,"md") &amp; " дн."</f>
        <v>0 г. 0 мес. 0 дн.</v>
      </c>
      <c r="W793" s="69"/>
    </row>
    <row r="794" spans="1:23" ht="35.1" customHeight="1" x14ac:dyDescent="0.25">
      <c r="A794" s="1">
        <f t="shared" si="53"/>
        <v>793</v>
      </c>
      <c r="B794" s="1"/>
      <c r="C794" s="39"/>
      <c r="D794" s="21"/>
      <c r="G794" s="1"/>
      <c r="H794" s="11" t="str">
        <f t="shared" si="54"/>
        <v>0 г. 0 мес. 0 дн.</v>
      </c>
      <c r="I794" s="20"/>
      <c r="J794" s="20"/>
      <c r="O794" s="20"/>
      <c r="V794" s="1" t="str">
        <f t="shared" si="55"/>
        <v>0 г. 0 мес. 0 дн.</v>
      </c>
      <c r="W794" s="69"/>
    </row>
    <row r="795" spans="1:23" ht="35.1" customHeight="1" x14ac:dyDescent="0.25">
      <c r="A795" s="1">
        <f t="shared" si="53"/>
        <v>794</v>
      </c>
      <c r="B795" s="1"/>
      <c r="C795" s="39"/>
      <c r="D795" s="21"/>
      <c r="G795" s="1"/>
      <c r="H795" s="11" t="str">
        <f t="shared" si="54"/>
        <v>0 г. 0 мес. 0 дн.</v>
      </c>
      <c r="I795" s="20"/>
      <c r="J795" s="20"/>
      <c r="O795" s="20"/>
      <c r="V795" s="1" t="str">
        <f t="shared" si="55"/>
        <v>0 г. 0 мес. 0 дн.</v>
      </c>
      <c r="W795" s="69"/>
    </row>
    <row r="796" spans="1:23" ht="35.1" customHeight="1" x14ac:dyDescent="0.25">
      <c r="A796" s="1">
        <f t="shared" si="53"/>
        <v>795</v>
      </c>
      <c r="B796" s="1"/>
      <c r="C796" s="39"/>
      <c r="D796" s="21"/>
      <c r="G796" s="1"/>
      <c r="H796" s="11" t="str">
        <f t="shared" si="54"/>
        <v>0 г. 0 мес. 0 дн.</v>
      </c>
      <c r="I796" s="20"/>
      <c r="J796" s="20"/>
      <c r="O796" s="20"/>
      <c r="V796" s="1" t="str">
        <f t="shared" si="55"/>
        <v>0 г. 0 мес. 0 дн.</v>
      </c>
      <c r="W796" s="69"/>
    </row>
    <row r="797" spans="1:23" ht="35.1" customHeight="1" x14ac:dyDescent="0.25">
      <c r="A797" s="1">
        <f t="shared" si="53"/>
        <v>796</v>
      </c>
      <c r="B797" s="1"/>
      <c r="C797" s="39"/>
      <c r="D797" s="21"/>
      <c r="G797" s="1"/>
      <c r="H797" s="11" t="str">
        <f t="shared" si="54"/>
        <v>0 г. 0 мес. 0 дн.</v>
      </c>
      <c r="I797" s="20"/>
      <c r="J797" s="20"/>
      <c r="O797" s="20"/>
      <c r="V797" s="1" t="str">
        <f t="shared" si="55"/>
        <v>0 г. 0 мес. 0 дн.</v>
      </c>
      <c r="W797" s="69"/>
    </row>
    <row r="798" spans="1:23" ht="35.1" customHeight="1" x14ac:dyDescent="0.25">
      <c r="A798" s="1">
        <f t="shared" si="53"/>
        <v>797</v>
      </c>
      <c r="B798" s="1"/>
      <c r="C798" s="39"/>
      <c r="D798" s="21"/>
      <c r="G798" s="1"/>
      <c r="H798" s="11" t="str">
        <f t="shared" si="54"/>
        <v>0 г. 0 мес. 0 дн.</v>
      </c>
      <c r="I798" s="20"/>
      <c r="J798" s="20"/>
      <c r="O798" s="20"/>
      <c r="V798" s="1" t="str">
        <f t="shared" si="55"/>
        <v>0 г. 0 мес. 0 дн.</v>
      </c>
      <c r="W798" s="69"/>
    </row>
    <row r="799" spans="1:23" ht="35.1" customHeight="1" x14ac:dyDescent="0.25">
      <c r="A799" s="1">
        <f t="shared" si="53"/>
        <v>798</v>
      </c>
      <c r="B799" s="1"/>
      <c r="C799" s="39"/>
      <c r="D799" s="21"/>
      <c r="G799" s="1"/>
      <c r="H799" s="11" t="str">
        <f t="shared" si="54"/>
        <v>0 г. 0 мес. 0 дн.</v>
      </c>
      <c r="I799" s="20"/>
      <c r="J799" s="20"/>
      <c r="O799" s="20"/>
      <c r="V799" s="1" t="str">
        <f t="shared" si="55"/>
        <v>0 г. 0 мес. 0 дн.</v>
      </c>
      <c r="W799" s="69"/>
    </row>
    <row r="800" spans="1:23" ht="35.1" customHeight="1" x14ac:dyDescent="0.25">
      <c r="A800" s="1">
        <f t="shared" si="53"/>
        <v>799</v>
      </c>
      <c r="B800" s="1"/>
      <c r="C800" s="39"/>
      <c r="D800" s="21"/>
      <c r="G800" s="1"/>
      <c r="H800" s="11" t="str">
        <f t="shared" si="54"/>
        <v>0 г. 0 мес. 0 дн.</v>
      </c>
      <c r="I800" s="20"/>
      <c r="J800" s="20"/>
      <c r="O800" s="20"/>
      <c r="V800" s="1" t="str">
        <f t="shared" si="55"/>
        <v>0 г. 0 мес. 0 дн.</v>
      </c>
      <c r="W800" s="69"/>
    </row>
    <row r="801" spans="1:23" ht="35.1" customHeight="1" x14ac:dyDescent="0.25">
      <c r="A801" s="1">
        <f t="shared" si="53"/>
        <v>800</v>
      </c>
      <c r="B801" s="1"/>
      <c r="C801" s="39"/>
      <c r="D801" s="21"/>
      <c r="G801" s="1"/>
      <c r="H801" s="11" t="str">
        <f t="shared" si="54"/>
        <v>0 г. 0 мес. 0 дн.</v>
      </c>
      <c r="I801" s="20"/>
      <c r="J801" s="20"/>
      <c r="O801" s="20"/>
      <c r="V801" s="1" t="str">
        <f t="shared" si="55"/>
        <v>0 г. 0 мес. 0 дн.</v>
      </c>
      <c r="W801" s="69"/>
    </row>
    <row r="802" spans="1:23" ht="35.1" customHeight="1" x14ac:dyDescent="0.25">
      <c r="A802" s="1">
        <f t="shared" si="53"/>
        <v>801</v>
      </c>
      <c r="B802" s="1"/>
      <c r="C802" s="39"/>
      <c r="D802" s="21"/>
      <c r="G802" s="1"/>
      <c r="H802" s="11" t="str">
        <f t="shared" si="54"/>
        <v>0 г. 0 мес. 0 дн.</v>
      </c>
      <c r="I802" s="20"/>
      <c r="J802" s="20"/>
      <c r="O802" s="20"/>
      <c r="V802" s="1" t="str">
        <f t="shared" si="55"/>
        <v>0 г. 0 мес. 0 дн.</v>
      </c>
      <c r="W802" s="69"/>
    </row>
    <row r="803" spans="1:23" ht="35.1" customHeight="1" x14ac:dyDescent="0.25">
      <c r="A803" s="1">
        <f t="shared" si="53"/>
        <v>802</v>
      </c>
      <c r="B803" s="1"/>
      <c r="C803" s="39"/>
      <c r="D803" s="21"/>
      <c r="G803" s="1"/>
      <c r="H803" s="11" t="str">
        <f t="shared" si="54"/>
        <v>0 г. 0 мес. 0 дн.</v>
      </c>
      <c r="I803" s="20"/>
      <c r="J803" s="20"/>
      <c r="O803" s="20"/>
      <c r="V803" s="1" t="str">
        <f t="shared" si="55"/>
        <v>0 г. 0 мес. 0 дн.</v>
      </c>
      <c r="W803" s="69"/>
    </row>
    <row r="804" spans="1:23" ht="35.1" customHeight="1" x14ac:dyDescent="0.25">
      <c r="A804" s="1">
        <f t="shared" si="53"/>
        <v>803</v>
      </c>
      <c r="B804" s="1"/>
      <c r="C804" s="39"/>
      <c r="D804" s="21"/>
      <c r="G804" s="1"/>
      <c r="H804" s="11" t="str">
        <f t="shared" si="54"/>
        <v>0 г. 0 мес. 0 дн.</v>
      </c>
      <c r="I804" s="20"/>
      <c r="J804" s="20"/>
      <c r="O804" s="20"/>
      <c r="V804" s="1" t="str">
        <f t="shared" si="55"/>
        <v>0 г. 0 мес. 0 дн.</v>
      </c>
      <c r="W804" s="69"/>
    </row>
    <row r="805" spans="1:23" ht="35.1" customHeight="1" x14ac:dyDescent="0.25">
      <c r="A805" s="1">
        <f t="shared" si="53"/>
        <v>804</v>
      </c>
      <c r="B805" s="1"/>
      <c r="C805" s="39"/>
      <c r="D805" s="21"/>
      <c r="G805" s="1"/>
      <c r="H805" s="11" t="str">
        <f t="shared" si="54"/>
        <v>0 г. 0 мес. 0 дн.</v>
      </c>
      <c r="I805" s="20"/>
      <c r="J805" s="20"/>
      <c r="O805" s="20"/>
      <c r="V805" s="1" t="str">
        <f t="shared" si="55"/>
        <v>0 г. 0 мес. 0 дн.</v>
      </c>
      <c r="W805" s="69"/>
    </row>
    <row r="806" spans="1:23" ht="35.1" customHeight="1" x14ac:dyDescent="0.25">
      <c r="A806" s="1">
        <f t="shared" si="53"/>
        <v>805</v>
      </c>
      <c r="B806" s="1"/>
      <c r="C806" s="39"/>
      <c r="D806" s="21"/>
      <c r="G806" s="1"/>
      <c r="H806" s="11" t="str">
        <f t="shared" si="54"/>
        <v>0 г. 0 мес. 0 дн.</v>
      </c>
      <c r="I806" s="20"/>
      <c r="J806" s="20"/>
      <c r="O806" s="20"/>
      <c r="V806" s="1" t="str">
        <f t="shared" si="55"/>
        <v>0 г. 0 мес. 0 дн.</v>
      </c>
      <c r="W806" s="69"/>
    </row>
    <row r="807" spans="1:23" ht="35.1" customHeight="1" x14ac:dyDescent="0.25">
      <c r="A807" s="1">
        <f t="shared" si="53"/>
        <v>806</v>
      </c>
      <c r="B807" s="1"/>
      <c r="C807" s="39"/>
      <c r="D807" s="21"/>
      <c r="G807" s="1"/>
      <c r="H807" s="11" t="str">
        <f t="shared" si="54"/>
        <v>0 г. 0 мес. 0 дн.</v>
      </c>
      <c r="I807" s="20"/>
      <c r="J807" s="20"/>
      <c r="O807" s="20"/>
      <c r="V807" s="1" t="str">
        <f t="shared" si="55"/>
        <v>0 г. 0 мес. 0 дн.</v>
      </c>
      <c r="W807" s="69"/>
    </row>
    <row r="808" spans="1:23" ht="35.1" customHeight="1" x14ac:dyDescent="0.25">
      <c r="A808" s="1">
        <f t="shared" si="53"/>
        <v>807</v>
      </c>
      <c r="B808" s="1"/>
      <c r="C808" s="39"/>
      <c r="D808" s="21"/>
      <c r="G808" s="1"/>
      <c r="H808" s="11" t="str">
        <f t="shared" si="54"/>
        <v>0 г. 0 мес. 0 дн.</v>
      </c>
      <c r="I808" s="20"/>
      <c r="J808" s="20"/>
      <c r="O808" s="20"/>
      <c r="V808" s="1" t="str">
        <f t="shared" si="55"/>
        <v>0 г. 0 мес. 0 дн.</v>
      </c>
      <c r="W808" s="69"/>
    </row>
    <row r="809" spans="1:23" ht="35.1" customHeight="1" x14ac:dyDescent="0.25">
      <c r="A809" s="1">
        <f t="shared" si="53"/>
        <v>808</v>
      </c>
      <c r="B809" s="1"/>
      <c r="C809" s="39"/>
      <c r="D809" s="21"/>
      <c r="G809" s="1"/>
      <c r="H809" s="11" t="str">
        <f t="shared" si="54"/>
        <v>0 г. 0 мес. 0 дн.</v>
      </c>
      <c r="I809" s="20"/>
      <c r="J809" s="20"/>
      <c r="O809" s="20"/>
      <c r="V809" s="1" t="str">
        <f t="shared" si="55"/>
        <v>0 г. 0 мес. 0 дн.</v>
      </c>
      <c r="W809" s="69"/>
    </row>
    <row r="810" spans="1:23" ht="35.1" customHeight="1" x14ac:dyDescent="0.25">
      <c r="A810" s="1">
        <f t="shared" si="53"/>
        <v>809</v>
      </c>
      <c r="B810" s="1"/>
      <c r="C810" s="39"/>
      <c r="D810" s="21"/>
      <c r="G810" s="1"/>
      <c r="H810" s="11" t="str">
        <f t="shared" si="54"/>
        <v>0 г. 0 мес. 0 дн.</v>
      </c>
      <c r="I810" s="20"/>
      <c r="J810" s="20"/>
      <c r="O810" s="20"/>
      <c r="V810" s="1" t="str">
        <f t="shared" si="55"/>
        <v>0 г. 0 мес. 0 дн.</v>
      </c>
      <c r="W810" s="69"/>
    </row>
    <row r="811" spans="1:23" ht="35.1" customHeight="1" x14ac:dyDescent="0.25">
      <c r="A811" s="1">
        <f t="shared" si="53"/>
        <v>810</v>
      </c>
      <c r="B811" s="1"/>
      <c r="C811" s="39"/>
      <c r="D811" s="21"/>
      <c r="G811" s="1"/>
      <c r="H811" s="11" t="str">
        <f t="shared" si="54"/>
        <v>0 г. 0 мес. 0 дн.</v>
      </c>
      <c r="I811" s="20"/>
      <c r="J811" s="20"/>
      <c r="O811" s="20"/>
      <c r="V811" s="1" t="str">
        <f t="shared" si="55"/>
        <v>0 г. 0 мес. 0 дн.</v>
      </c>
      <c r="W811" s="69"/>
    </row>
    <row r="812" spans="1:23" ht="35.1" customHeight="1" x14ac:dyDescent="0.25">
      <c r="A812" s="1">
        <f t="shared" si="53"/>
        <v>811</v>
      </c>
      <c r="B812" s="1"/>
      <c r="C812" s="39"/>
      <c r="D812" s="21"/>
      <c r="G812" s="1"/>
      <c r="H812" s="11" t="str">
        <f t="shared" si="54"/>
        <v>0 г. 0 мес. 0 дн.</v>
      </c>
      <c r="I812" s="20"/>
      <c r="J812" s="20"/>
      <c r="O812" s="20"/>
      <c r="V812" s="1" t="str">
        <f t="shared" si="55"/>
        <v>0 г. 0 мес. 0 дн.</v>
      </c>
      <c r="W812" s="69"/>
    </row>
    <row r="813" spans="1:23" ht="35.1" customHeight="1" x14ac:dyDescent="0.25">
      <c r="A813" s="1">
        <f t="shared" si="53"/>
        <v>812</v>
      </c>
      <c r="B813" s="1"/>
      <c r="C813" s="39"/>
      <c r="D813" s="21"/>
      <c r="G813" s="1"/>
      <c r="H813" s="11" t="str">
        <f t="shared" si="54"/>
        <v>0 г. 0 мес. 0 дн.</v>
      </c>
      <c r="I813" s="20"/>
      <c r="J813" s="20"/>
      <c r="O813" s="20"/>
      <c r="V813" s="1" t="str">
        <f t="shared" si="55"/>
        <v>0 г. 0 мес. 0 дн.</v>
      </c>
      <c r="W813" s="69"/>
    </row>
    <row r="814" spans="1:23" ht="35.1" customHeight="1" x14ac:dyDescent="0.25">
      <c r="A814" s="1">
        <f t="shared" si="53"/>
        <v>813</v>
      </c>
      <c r="B814" s="1"/>
      <c r="C814" s="39"/>
      <c r="D814" s="21"/>
      <c r="G814" s="1"/>
      <c r="H814" s="11" t="str">
        <f t="shared" si="54"/>
        <v>0 г. 0 мес. 0 дн.</v>
      </c>
      <c r="I814" s="20"/>
      <c r="J814" s="20"/>
      <c r="O814" s="20"/>
      <c r="V814" s="1" t="str">
        <f t="shared" si="55"/>
        <v>0 г. 0 мес. 0 дн.</v>
      </c>
      <c r="W814" s="69"/>
    </row>
    <row r="815" spans="1:23" ht="35.1" customHeight="1" x14ac:dyDescent="0.25">
      <c r="A815" s="1">
        <f t="shared" si="53"/>
        <v>814</v>
      </c>
      <c r="B815" s="1"/>
      <c r="C815" s="39"/>
      <c r="D815" s="21"/>
      <c r="G815" s="1"/>
      <c r="H815" s="11" t="str">
        <f t="shared" si="54"/>
        <v>0 г. 0 мес. 0 дн.</v>
      </c>
      <c r="I815" s="20"/>
      <c r="J815" s="20"/>
      <c r="O815" s="20"/>
      <c r="V815" s="1" t="str">
        <f t="shared" si="55"/>
        <v>0 г. 0 мес. 0 дн.</v>
      </c>
      <c r="W815" s="69"/>
    </row>
    <row r="816" spans="1:23" ht="35.1" customHeight="1" x14ac:dyDescent="0.25">
      <c r="A816" s="1">
        <f t="shared" si="53"/>
        <v>815</v>
      </c>
      <c r="B816" s="1"/>
      <c r="C816" s="39"/>
      <c r="D816" s="21"/>
      <c r="G816" s="1"/>
      <c r="H816" s="11" t="str">
        <f t="shared" si="54"/>
        <v>0 г. 0 мес. 0 дн.</v>
      </c>
      <c r="I816" s="20"/>
      <c r="J816" s="20"/>
      <c r="O816" s="20"/>
      <c r="V816" s="1" t="str">
        <f t="shared" si="55"/>
        <v>0 г. 0 мес. 0 дн.</v>
      </c>
      <c r="W816" s="69"/>
    </row>
    <row r="817" spans="1:23" ht="35.1" customHeight="1" x14ac:dyDescent="0.25">
      <c r="A817" s="1">
        <f t="shared" si="53"/>
        <v>816</v>
      </c>
      <c r="B817" s="1"/>
      <c r="C817" s="39"/>
      <c r="D817" s="21"/>
      <c r="G817" s="1"/>
      <c r="H817" s="11" t="str">
        <f t="shared" si="54"/>
        <v>0 г. 0 мес. 0 дн.</v>
      </c>
      <c r="I817" s="20"/>
      <c r="J817" s="20"/>
      <c r="O817" s="20"/>
      <c r="V817" s="1" t="str">
        <f t="shared" si="55"/>
        <v>0 г. 0 мес. 0 дн.</v>
      </c>
      <c r="W817" s="69"/>
    </row>
    <row r="818" spans="1:23" ht="35.1" customHeight="1" x14ac:dyDescent="0.25">
      <c r="A818" s="1">
        <f t="shared" si="53"/>
        <v>817</v>
      </c>
      <c r="B818" s="1"/>
      <c r="C818" s="39"/>
      <c r="D818" s="21"/>
      <c r="G818" s="1"/>
      <c r="H818" s="11" t="str">
        <f t="shared" si="54"/>
        <v>0 г. 0 мес. 0 дн.</v>
      </c>
      <c r="I818" s="20"/>
      <c r="J818" s="20"/>
      <c r="O818" s="20"/>
      <c r="V818" s="1" t="str">
        <f t="shared" si="55"/>
        <v>0 г. 0 мес. 0 дн.</v>
      </c>
      <c r="W818" s="69"/>
    </row>
    <row r="819" spans="1:23" ht="35.1" customHeight="1" x14ac:dyDescent="0.25">
      <c r="A819" s="1">
        <f t="shared" si="53"/>
        <v>818</v>
      </c>
      <c r="B819" s="1"/>
      <c r="C819" s="39"/>
      <c r="D819" s="21"/>
      <c r="G819" s="1"/>
      <c r="H819" s="11" t="str">
        <f t="shared" si="54"/>
        <v>0 г. 0 мес. 0 дн.</v>
      </c>
      <c r="I819" s="20"/>
      <c r="J819" s="20"/>
      <c r="O819" s="20"/>
      <c r="V819" s="1" t="str">
        <f t="shared" si="55"/>
        <v>0 г. 0 мес. 0 дн.</v>
      </c>
      <c r="W819" s="69"/>
    </row>
    <row r="820" spans="1:23" ht="35.1" customHeight="1" x14ac:dyDescent="0.25">
      <c r="A820" s="1">
        <f t="shared" si="53"/>
        <v>819</v>
      </c>
      <c r="B820" s="1"/>
      <c r="C820" s="39"/>
      <c r="D820" s="21"/>
      <c r="G820" s="1"/>
      <c r="H820" s="11" t="str">
        <f t="shared" si="54"/>
        <v>0 г. 0 мес. 0 дн.</v>
      </c>
      <c r="I820" s="20"/>
      <c r="J820" s="20"/>
      <c r="O820" s="20"/>
      <c r="V820" s="1" t="str">
        <f t="shared" si="55"/>
        <v>0 г. 0 мес. 0 дн.</v>
      </c>
      <c r="W820" s="69"/>
    </row>
    <row r="821" spans="1:23" ht="35.1" customHeight="1" x14ac:dyDescent="0.25">
      <c r="A821" s="1">
        <f t="shared" si="53"/>
        <v>820</v>
      </c>
      <c r="B821" s="1"/>
      <c r="C821" s="39"/>
      <c r="D821" s="21"/>
      <c r="G821" s="1"/>
      <c r="H821" s="11" t="str">
        <f t="shared" si="54"/>
        <v>0 г. 0 мес. 0 дн.</v>
      </c>
      <c r="I821" s="20"/>
      <c r="J821" s="20"/>
      <c r="O821" s="20"/>
      <c r="V821" s="1" t="str">
        <f t="shared" si="55"/>
        <v>0 г. 0 мес. 0 дн.</v>
      </c>
      <c r="W821" s="69"/>
    </row>
    <row r="822" spans="1:23" ht="35.1" customHeight="1" x14ac:dyDescent="0.25">
      <c r="A822" s="1">
        <f t="shared" si="53"/>
        <v>821</v>
      </c>
      <c r="B822" s="1"/>
      <c r="C822" s="39"/>
      <c r="D822" s="21"/>
      <c r="G822" s="1"/>
      <c r="H822" s="11" t="str">
        <f t="shared" si="54"/>
        <v>0 г. 0 мес. 0 дн.</v>
      </c>
      <c r="I822" s="20"/>
      <c r="J822" s="20"/>
      <c r="O822" s="20"/>
      <c r="V822" s="1" t="str">
        <f t="shared" si="55"/>
        <v>0 г. 0 мес. 0 дн.</v>
      </c>
      <c r="W822" s="69"/>
    </row>
    <row r="823" spans="1:23" ht="35.1" customHeight="1" x14ac:dyDescent="0.25">
      <c r="A823" s="1">
        <f t="shared" si="53"/>
        <v>822</v>
      </c>
      <c r="B823" s="1"/>
      <c r="C823" s="39"/>
      <c r="D823" s="21"/>
      <c r="G823" s="1"/>
      <c r="H823" s="11" t="str">
        <f t="shared" si="54"/>
        <v>0 г. 0 мес. 0 дн.</v>
      </c>
      <c r="I823" s="20"/>
      <c r="J823" s="20"/>
      <c r="O823" s="20"/>
      <c r="V823" s="1" t="str">
        <f t="shared" si="55"/>
        <v>0 г. 0 мес. 0 дн.</v>
      </c>
      <c r="W823" s="69"/>
    </row>
    <row r="824" spans="1:23" ht="35.1" customHeight="1" x14ac:dyDescent="0.25">
      <c r="A824" s="1">
        <f t="shared" si="53"/>
        <v>823</v>
      </c>
      <c r="B824" s="1"/>
      <c r="C824" s="39"/>
      <c r="D824" s="21"/>
      <c r="G824" s="1"/>
      <c r="H824" s="11" t="str">
        <f t="shared" si="54"/>
        <v>0 г. 0 мес. 0 дн.</v>
      </c>
      <c r="I824" s="20"/>
      <c r="J824" s="20"/>
      <c r="O824" s="20"/>
      <c r="V824" s="1" t="str">
        <f t="shared" si="55"/>
        <v>0 г. 0 мес. 0 дн.</v>
      </c>
      <c r="W824" s="69"/>
    </row>
    <row r="825" spans="1:23" ht="35.1" customHeight="1" x14ac:dyDescent="0.25">
      <c r="A825" s="1">
        <f t="shared" si="53"/>
        <v>824</v>
      </c>
      <c r="B825" s="1"/>
      <c r="C825" s="39"/>
      <c r="D825" s="21"/>
      <c r="G825" s="1"/>
      <c r="H825" s="11" t="str">
        <f t="shared" si="54"/>
        <v>0 г. 0 мес. 0 дн.</v>
      </c>
      <c r="I825" s="20"/>
      <c r="J825" s="20"/>
      <c r="O825" s="20"/>
      <c r="V825" s="1" t="str">
        <f t="shared" si="55"/>
        <v>0 г. 0 мес. 0 дн.</v>
      </c>
      <c r="W825" s="69"/>
    </row>
    <row r="826" spans="1:23" ht="35.1" customHeight="1" x14ac:dyDescent="0.25">
      <c r="A826" s="1">
        <f t="shared" si="53"/>
        <v>825</v>
      </c>
      <c r="B826" s="1"/>
      <c r="C826" s="39"/>
      <c r="D826" s="21"/>
      <c r="G826" s="1"/>
      <c r="H826" s="11" t="str">
        <f t="shared" si="54"/>
        <v>0 г. 0 мес. 0 дн.</v>
      </c>
      <c r="I826" s="20"/>
      <c r="J826" s="20"/>
      <c r="O826" s="20"/>
      <c r="V826" s="1" t="str">
        <f t="shared" si="55"/>
        <v>0 г. 0 мес. 0 дн.</v>
      </c>
      <c r="W826" s="69"/>
    </row>
    <row r="827" spans="1:23" ht="35.1" customHeight="1" x14ac:dyDescent="0.25">
      <c r="A827" s="1">
        <f t="shared" si="53"/>
        <v>826</v>
      </c>
      <c r="B827" s="1"/>
      <c r="C827" s="39"/>
      <c r="D827" s="21"/>
      <c r="G827" s="1"/>
      <c r="H827" s="11" t="str">
        <f t="shared" si="54"/>
        <v>0 г. 0 мес. 0 дн.</v>
      </c>
      <c r="I827" s="20"/>
      <c r="J827" s="20"/>
      <c r="O827" s="20"/>
      <c r="V827" s="1" t="str">
        <f t="shared" si="55"/>
        <v>0 г. 0 мес. 0 дн.</v>
      </c>
      <c r="W827" s="69"/>
    </row>
    <row r="828" spans="1:23" ht="35.1" customHeight="1" x14ac:dyDescent="0.25">
      <c r="A828" s="1">
        <f t="shared" si="53"/>
        <v>827</v>
      </c>
      <c r="B828" s="1"/>
      <c r="C828" s="39"/>
      <c r="D828" s="21"/>
      <c r="G828" s="1"/>
      <c r="H828" s="11" t="str">
        <f t="shared" si="54"/>
        <v>0 г. 0 мес. 0 дн.</v>
      </c>
      <c r="I828" s="20"/>
      <c r="J828" s="20"/>
      <c r="O828" s="20"/>
      <c r="V828" s="1" t="str">
        <f t="shared" si="55"/>
        <v>0 г. 0 мес. 0 дн.</v>
      </c>
      <c r="W828" s="69"/>
    </row>
    <row r="829" spans="1:23" ht="35.1" customHeight="1" x14ac:dyDescent="0.25">
      <c r="A829" s="1">
        <f t="shared" si="53"/>
        <v>828</v>
      </c>
      <c r="B829" s="1"/>
      <c r="C829" s="39"/>
      <c r="D829" s="21"/>
      <c r="G829" s="1"/>
      <c r="H829" s="11" t="str">
        <f t="shared" si="54"/>
        <v>0 г. 0 мес. 0 дн.</v>
      </c>
      <c r="I829" s="20"/>
      <c r="J829" s="20"/>
      <c r="O829" s="20"/>
      <c r="V829" s="1" t="str">
        <f t="shared" si="55"/>
        <v>0 г. 0 мес. 0 дн.</v>
      </c>
      <c r="W829" s="69"/>
    </row>
    <row r="830" spans="1:23" ht="35.1" customHeight="1" x14ac:dyDescent="0.25">
      <c r="A830" s="1">
        <f t="shared" si="53"/>
        <v>829</v>
      </c>
      <c r="B830" s="1"/>
      <c r="C830" s="39"/>
      <c r="D830" s="21"/>
      <c r="G830" s="1"/>
      <c r="H830" s="11" t="str">
        <f t="shared" si="54"/>
        <v>0 г. 0 мес. 0 дн.</v>
      </c>
      <c r="I830" s="20"/>
      <c r="J830" s="20"/>
      <c r="O830" s="20"/>
      <c r="V830" s="1" t="str">
        <f t="shared" si="55"/>
        <v>0 г. 0 мес. 0 дн.</v>
      </c>
      <c r="W830" s="69"/>
    </row>
    <row r="831" spans="1:23" ht="35.1" customHeight="1" x14ac:dyDescent="0.25">
      <c r="A831" s="1">
        <f t="shared" si="53"/>
        <v>830</v>
      </c>
      <c r="B831" s="1"/>
      <c r="C831" s="39"/>
      <c r="D831" s="21"/>
      <c r="G831" s="1"/>
      <c r="H831" s="11" t="str">
        <f t="shared" si="54"/>
        <v>0 г. 0 мес. 0 дн.</v>
      </c>
      <c r="I831" s="20"/>
      <c r="J831" s="20"/>
      <c r="O831" s="20"/>
      <c r="V831" s="1" t="str">
        <f t="shared" si="55"/>
        <v>0 г. 0 мес. 0 дн.</v>
      </c>
      <c r="W831" s="69"/>
    </row>
    <row r="832" spans="1:23" ht="35.1" customHeight="1" x14ac:dyDescent="0.25">
      <c r="A832" s="1">
        <f t="shared" si="53"/>
        <v>831</v>
      </c>
      <c r="B832" s="1"/>
      <c r="C832" s="39"/>
      <c r="D832" s="21"/>
      <c r="G832" s="1"/>
      <c r="H832" s="11" t="str">
        <f t="shared" si="54"/>
        <v>0 г. 0 мес. 0 дн.</v>
      </c>
      <c r="I832" s="20"/>
      <c r="J832" s="20"/>
      <c r="O832" s="20"/>
      <c r="V832" s="1" t="str">
        <f t="shared" si="55"/>
        <v>0 г. 0 мес. 0 дн.</v>
      </c>
      <c r="W832" s="69"/>
    </row>
    <row r="833" spans="1:23" ht="35.1" customHeight="1" x14ac:dyDescent="0.25">
      <c r="A833" s="1">
        <f t="shared" ref="A833:A896" si="56">ROW(A832)</f>
        <v>832</v>
      </c>
      <c r="B833" s="1"/>
      <c r="C833" s="39"/>
      <c r="D833" s="21"/>
      <c r="G833" s="1"/>
      <c r="H833" s="11" t="str">
        <f t="shared" ref="H833:H896" si="57">DATEDIF(G833,D833,"y") &amp; " г. " &amp; DATEDIF(G833,D833,"ym") &amp; " мес. " &amp; DATEDIF(G833,D833,"md") &amp; " дн."</f>
        <v>0 г. 0 мес. 0 дн.</v>
      </c>
      <c r="I833" s="20"/>
      <c r="J833" s="20"/>
      <c r="O833" s="20"/>
      <c r="V833" s="1" t="str">
        <f t="shared" si="55"/>
        <v>0 г. 0 мес. 0 дн.</v>
      </c>
      <c r="W833" s="69"/>
    </row>
    <row r="834" spans="1:23" ht="35.1" customHeight="1" x14ac:dyDescent="0.25">
      <c r="A834" s="1">
        <f t="shared" si="56"/>
        <v>833</v>
      </c>
      <c r="B834" s="1"/>
      <c r="C834" s="39"/>
      <c r="D834" s="21"/>
      <c r="G834" s="1"/>
      <c r="H834" s="11" t="str">
        <f t="shared" si="57"/>
        <v>0 г. 0 мес. 0 дн.</v>
      </c>
      <c r="I834" s="20"/>
      <c r="J834" s="20"/>
      <c r="O834" s="20"/>
      <c r="V834" s="1" t="str">
        <f t="shared" si="55"/>
        <v>0 г. 0 мес. 0 дн.</v>
      </c>
      <c r="W834" s="69"/>
    </row>
    <row r="835" spans="1:23" ht="35.1" customHeight="1" x14ac:dyDescent="0.25">
      <c r="A835" s="1">
        <f t="shared" si="56"/>
        <v>834</v>
      </c>
      <c r="B835" s="1"/>
      <c r="C835" s="39"/>
      <c r="D835" s="21"/>
      <c r="G835" s="1"/>
      <c r="H835" s="11" t="str">
        <f t="shared" si="57"/>
        <v>0 г. 0 мес. 0 дн.</v>
      </c>
      <c r="I835" s="20"/>
      <c r="J835" s="20"/>
      <c r="O835" s="20"/>
      <c r="V835" s="1" t="str">
        <f t="shared" si="55"/>
        <v>0 г. 0 мес. 0 дн.</v>
      </c>
      <c r="W835" s="69"/>
    </row>
    <row r="836" spans="1:23" ht="35.1" customHeight="1" x14ac:dyDescent="0.25">
      <c r="A836" s="1">
        <f t="shared" si="56"/>
        <v>835</v>
      </c>
      <c r="B836" s="1"/>
      <c r="C836" s="39"/>
      <c r="D836" s="21"/>
      <c r="G836" s="1"/>
      <c r="H836" s="11" t="str">
        <f t="shared" si="57"/>
        <v>0 г. 0 мес. 0 дн.</v>
      </c>
      <c r="I836" s="20"/>
      <c r="J836" s="20"/>
      <c r="O836" s="20"/>
      <c r="V836" s="1" t="str">
        <f t="shared" si="55"/>
        <v>0 г. 0 мес. 0 дн.</v>
      </c>
      <c r="W836" s="69"/>
    </row>
    <row r="837" spans="1:23" ht="35.1" customHeight="1" x14ac:dyDescent="0.25">
      <c r="A837" s="1">
        <f t="shared" si="56"/>
        <v>836</v>
      </c>
      <c r="B837" s="1"/>
      <c r="C837" s="39"/>
      <c r="D837" s="21"/>
      <c r="G837" s="1"/>
      <c r="H837" s="11" t="str">
        <f t="shared" si="57"/>
        <v>0 г. 0 мес. 0 дн.</v>
      </c>
      <c r="I837" s="20"/>
      <c r="J837" s="20"/>
      <c r="O837" s="20"/>
      <c r="V837" s="1" t="str">
        <f t="shared" si="55"/>
        <v>0 г. 0 мес. 0 дн.</v>
      </c>
      <c r="W837" s="69"/>
    </row>
    <row r="838" spans="1:23" ht="35.1" customHeight="1" x14ac:dyDescent="0.25">
      <c r="A838" s="1">
        <f t="shared" si="56"/>
        <v>837</v>
      </c>
      <c r="B838" s="1"/>
      <c r="C838" s="39"/>
      <c r="D838" s="21"/>
      <c r="G838" s="1"/>
      <c r="H838" s="11" t="str">
        <f t="shared" si="57"/>
        <v>0 г. 0 мес. 0 дн.</v>
      </c>
      <c r="I838" s="20"/>
      <c r="J838" s="20"/>
      <c r="O838" s="20"/>
      <c r="V838" s="1" t="str">
        <f t="shared" si="55"/>
        <v>0 г. 0 мес. 0 дн.</v>
      </c>
      <c r="W838" s="69"/>
    </row>
    <row r="839" spans="1:23" ht="35.1" customHeight="1" x14ac:dyDescent="0.25">
      <c r="A839" s="1">
        <f t="shared" si="56"/>
        <v>838</v>
      </c>
      <c r="B839" s="1"/>
      <c r="C839" s="39"/>
      <c r="D839" s="21"/>
      <c r="G839" s="1"/>
      <c r="H839" s="11" t="str">
        <f t="shared" si="57"/>
        <v>0 г. 0 мес. 0 дн.</v>
      </c>
      <c r="I839" s="20"/>
      <c r="J839" s="20"/>
      <c r="O839" s="20"/>
      <c r="V839" s="1" t="str">
        <f t="shared" si="55"/>
        <v>0 г. 0 мес. 0 дн.</v>
      </c>
      <c r="W839" s="69"/>
    </row>
    <row r="840" spans="1:23" ht="35.1" customHeight="1" x14ac:dyDescent="0.25">
      <c r="A840" s="1">
        <f t="shared" si="56"/>
        <v>839</v>
      </c>
      <c r="B840" s="1"/>
      <c r="C840" s="39"/>
      <c r="D840" s="21"/>
      <c r="G840" s="1"/>
      <c r="H840" s="11" t="str">
        <f t="shared" si="57"/>
        <v>0 г. 0 мес. 0 дн.</v>
      </c>
      <c r="I840" s="20"/>
      <c r="J840" s="20"/>
      <c r="O840" s="20"/>
      <c r="V840" s="1" t="str">
        <f t="shared" si="55"/>
        <v>0 г. 0 мес. 0 дн.</v>
      </c>
      <c r="W840" s="69"/>
    </row>
    <row r="841" spans="1:23" ht="35.1" customHeight="1" x14ac:dyDescent="0.25">
      <c r="A841" s="1">
        <f t="shared" si="56"/>
        <v>840</v>
      </c>
      <c r="B841" s="1"/>
      <c r="C841" s="39"/>
      <c r="D841" s="21"/>
      <c r="G841" s="1"/>
      <c r="H841" s="11" t="str">
        <f t="shared" si="57"/>
        <v>0 г. 0 мес. 0 дн.</v>
      </c>
      <c r="I841" s="20"/>
      <c r="J841" s="20"/>
      <c r="O841" s="20"/>
      <c r="V841" s="1" t="str">
        <f t="shared" si="55"/>
        <v>0 г. 0 мес. 0 дн.</v>
      </c>
      <c r="W841" s="69"/>
    </row>
    <row r="842" spans="1:23" ht="35.1" customHeight="1" x14ac:dyDescent="0.25">
      <c r="A842" s="1">
        <f t="shared" si="56"/>
        <v>841</v>
      </c>
      <c r="B842" s="1"/>
      <c r="C842" s="39"/>
      <c r="D842" s="21"/>
      <c r="G842" s="1"/>
      <c r="H842" s="11" t="str">
        <f t="shared" si="57"/>
        <v>0 г. 0 мес. 0 дн.</v>
      </c>
      <c r="I842" s="20"/>
      <c r="J842" s="20"/>
      <c r="O842" s="20"/>
      <c r="V842" s="1" t="str">
        <f t="shared" si="55"/>
        <v>0 г. 0 мес. 0 дн.</v>
      </c>
      <c r="W842" s="69"/>
    </row>
    <row r="843" spans="1:23" ht="35.1" customHeight="1" x14ac:dyDescent="0.25">
      <c r="A843" s="1">
        <f t="shared" si="56"/>
        <v>842</v>
      </c>
      <c r="B843" s="1"/>
      <c r="C843" s="39"/>
      <c r="D843" s="21"/>
      <c r="G843" s="1"/>
      <c r="H843" s="11" t="str">
        <f t="shared" si="57"/>
        <v>0 г. 0 мес. 0 дн.</v>
      </c>
      <c r="I843" s="20"/>
      <c r="J843" s="20"/>
      <c r="O843" s="20"/>
      <c r="V843" s="1" t="str">
        <f t="shared" si="55"/>
        <v>0 г. 0 мес. 0 дн.</v>
      </c>
      <c r="W843" s="69"/>
    </row>
    <row r="844" spans="1:23" ht="35.1" customHeight="1" x14ac:dyDescent="0.25">
      <c r="A844" s="1">
        <f t="shared" si="56"/>
        <v>843</v>
      </c>
      <c r="B844" s="1"/>
      <c r="C844" s="39"/>
      <c r="D844" s="21"/>
      <c r="G844" s="1"/>
      <c r="H844" s="11" t="str">
        <f t="shared" si="57"/>
        <v>0 г. 0 мес. 0 дн.</v>
      </c>
      <c r="I844" s="20"/>
      <c r="J844" s="20"/>
      <c r="O844" s="20"/>
      <c r="V844" s="1" t="str">
        <f t="shared" si="55"/>
        <v>0 г. 0 мес. 0 дн.</v>
      </c>
      <c r="W844" s="69"/>
    </row>
    <row r="845" spans="1:23" ht="35.1" customHeight="1" x14ac:dyDescent="0.25">
      <c r="A845" s="1">
        <f t="shared" si="56"/>
        <v>844</v>
      </c>
      <c r="B845" s="1"/>
      <c r="C845" s="39"/>
      <c r="D845" s="21"/>
      <c r="G845" s="1"/>
      <c r="H845" s="11" t="str">
        <f t="shared" si="57"/>
        <v>0 г. 0 мес. 0 дн.</v>
      </c>
      <c r="I845" s="20"/>
      <c r="J845" s="20"/>
      <c r="O845" s="20"/>
      <c r="V845" s="1" t="str">
        <f t="shared" si="55"/>
        <v>0 г. 0 мес. 0 дн.</v>
      </c>
      <c r="W845" s="69"/>
    </row>
    <row r="846" spans="1:23" ht="35.1" customHeight="1" x14ac:dyDescent="0.25">
      <c r="A846" s="1">
        <f t="shared" si="56"/>
        <v>845</v>
      </c>
      <c r="B846" s="1"/>
      <c r="C846" s="39"/>
      <c r="D846" s="21"/>
      <c r="G846" s="1"/>
      <c r="H846" s="11" t="str">
        <f t="shared" si="57"/>
        <v>0 г. 0 мес. 0 дн.</v>
      </c>
      <c r="I846" s="20"/>
      <c r="J846" s="20"/>
      <c r="O846" s="20"/>
      <c r="V846" s="1" t="str">
        <f t="shared" si="55"/>
        <v>0 г. 0 мес. 0 дн.</v>
      </c>
      <c r="W846" s="69"/>
    </row>
    <row r="847" spans="1:23" ht="35.1" customHeight="1" x14ac:dyDescent="0.25">
      <c r="A847" s="1">
        <f t="shared" si="56"/>
        <v>846</v>
      </c>
      <c r="B847" s="1"/>
      <c r="C847" s="39"/>
      <c r="D847" s="21"/>
      <c r="G847" s="1"/>
      <c r="H847" s="11" t="str">
        <f t="shared" si="57"/>
        <v>0 г. 0 мес. 0 дн.</v>
      </c>
      <c r="I847" s="20"/>
      <c r="J847" s="20"/>
      <c r="O847" s="20"/>
      <c r="V847" s="1" t="str">
        <f t="shared" si="55"/>
        <v>0 г. 0 мес. 0 дн.</v>
      </c>
      <c r="W847" s="69"/>
    </row>
    <row r="848" spans="1:23" ht="35.1" customHeight="1" x14ac:dyDescent="0.25">
      <c r="A848" s="1">
        <f t="shared" si="56"/>
        <v>847</v>
      </c>
      <c r="B848" s="1"/>
      <c r="C848" s="39"/>
      <c r="D848" s="21"/>
      <c r="G848" s="1"/>
      <c r="H848" s="11" t="str">
        <f t="shared" si="57"/>
        <v>0 г. 0 мес. 0 дн.</v>
      </c>
      <c r="I848" s="20"/>
      <c r="J848" s="20"/>
      <c r="O848" s="20"/>
      <c r="V848" s="1" t="str">
        <f t="shared" si="55"/>
        <v>0 г. 0 мес. 0 дн.</v>
      </c>
      <c r="W848" s="69"/>
    </row>
    <row r="849" spans="1:23" ht="35.1" customHeight="1" x14ac:dyDescent="0.25">
      <c r="A849" s="1">
        <f t="shared" si="56"/>
        <v>848</v>
      </c>
      <c r="B849" s="1"/>
      <c r="C849" s="39"/>
      <c r="D849" s="21"/>
      <c r="G849" s="1"/>
      <c r="H849" s="11" t="str">
        <f t="shared" si="57"/>
        <v>0 г. 0 мес. 0 дн.</v>
      </c>
      <c r="I849" s="20"/>
      <c r="J849" s="20"/>
      <c r="O849" s="20"/>
      <c r="V849" s="1" t="str">
        <f t="shared" si="55"/>
        <v>0 г. 0 мес. 0 дн.</v>
      </c>
      <c r="W849" s="69"/>
    </row>
    <row r="850" spans="1:23" ht="35.1" customHeight="1" x14ac:dyDescent="0.25">
      <c r="A850" s="1">
        <f t="shared" si="56"/>
        <v>849</v>
      </c>
      <c r="B850" s="1"/>
      <c r="C850" s="39"/>
      <c r="D850" s="21"/>
      <c r="G850" s="1"/>
      <c r="H850" s="11" t="str">
        <f t="shared" si="57"/>
        <v>0 г. 0 мес. 0 дн.</v>
      </c>
      <c r="I850" s="20"/>
      <c r="J850" s="20"/>
      <c r="O850" s="20"/>
      <c r="V850" s="1" t="str">
        <f t="shared" si="55"/>
        <v>0 г. 0 мес. 0 дн.</v>
      </c>
      <c r="W850" s="69"/>
    </row>
    <row r="851" spans="1:23" ht="35.1" customHeight="1" x14ac:dyDescent="0.25">
      <c r="A851" s="1">
        <f t="shared" si="56"/>
        <v>850</v>
      </c>
      <c r="B851" s="1"/>
      <c r="C851" s="39"/>
      <c r="D851" s="21"/>
      <c r="G851" s="1"/>
      <c r="H851" s="11" t="str">
        <f t="shared" si="57"/>
        <v>0 г. 0 мес. 0 дн.</v>
      </c>
      <c r="I851" s="20"/>
      <c r="J851" s="20"/>
      <c r="O851" s="20"/>
      <c r="V851" s="1" t="str">
        <f t="shared" si="55"/>
        <v>0 г. 0 мес. 0 дн.</v>
      </c>
      <c r="W851" s="69"/>
    </row>
    <row r="852" spans="1:23" ht="35.1" customHeight="1" x14ac:dyDescent="0.25">
      <c r="A852" s="1">
        <f t="shared" si="56"/>
        <v>851</v>
      </c>
      <c r="B852" s="1"/>
      <c r="C852" s="39"/>
      <c r="D852" s="21"/>
      <c r="G852" s="1"/>
      <c r="H852" s="11" t="str">
        <f t="shared" si="57"/>
        <v>0 г. 0 мес. 0 дн.</v>
      </c>
      <c r="I852" s="20"/>
      <c r="J852" s="20"/>
      <c r="O852" s="20"/>
      <c r="V852" s="1" t="str">
        <f t="shared" si="55"/>
        <v>0 г. 0 мес. 0 дн.</v>
      </c>
      <c r="W852" s="69"/>
    </row>
    <row r="853" spans="1:23" ht="35.1" customHeight="1" x14ac:dyDescent="0.25">
      <c r="A853" s="1">
        <f t="shared" si="56"/>
        <v>852</v>
      </c>
      <c r="B853" s="1"/>
      <c r="C853" s="39"/>
      <c r="D853" s="21"/>
      <c r="G853" s="1"/>
      <c r="H853" s="11" t="str">
        <f t="shared" si="57"/>
        <v>0 г. 0 мес. 0 дн.</v>
      </c>
      <c r="I853" s="20"/>
      <c r="J853" s="20"/>
      <c r="O853" s="20"/>
      <c r="V853" s="1" t="str">
        <f t="shared" si="55"/>
        <v>0 г. 0 мес. 0 дн.</v>
      </c>
      <c r="W853" s="69"/>
    </row>
    <row r="854" spans="1:23" ht="35.1" customHeight="1" x14ac:dyDescent="0.25">
      <c r="A854" s="1">
        <f t="shared" si="56"/>
        <v>853</v>
      </c>
      <c r="B854" s="1"/>
      <c r="C854" s="39"/>
      <c r="D854" s="21"/>
      <c r="G854" s="1"/>
      <c r="H854" s="11" t="str">
        <f t="shared" si="57"/>
        <v>0 г. 0 мес. 0 дн.</v>
      </c>
      <c r="I854" s="20"/>
      <c r="J854" s="20"/>
      <c r="O854" s="20"/>
      <c r="V854" s="1" t="str">
        <f t="shared" si="55"/>
        <v>0 г. 0 мес. 0 дн.</v>
      </c>
      <c r="W854" s="69"/>
    </row>
    <row r="855" spans="1:23" ht="35.1" customHeight="1" x14ac:dyDescent="0.25">
      <c r="A855" s="1">
        <f t="shared" si="56"/>
        <v>854</v>
      </c>
      <c r="B855" s="1"/>
      <c r="C855" s="39"/>
      <c r="D855" s="21"/>
      <c r="G855" s="1"/>
      <c r="H855" s="11" t="str">
        <f t="shared" si="57"/>
        <v>0 г. 0 мес. 0 дн.</v>
      </c>
      <c r="I855" s="20"/>
      <c r="J855" s="20"/>
      <c r="O855" s="20"/>
      <c r="V855" s="1" t="str">
        <f t="shared" si="55"/>
        <v>0 г. 0 мес. 0 дн.</v>
      </c>
      <c r="W855" s="69"/>
    </row>
    <row r="856" spans="1:23" ht="35.1" customHeight="1" x14ac:dyDescent="0.25">
      <c r="A856" s="1">
        <f t="shared" si="56"/>
        <v>855</v>
      </c>
      <c r="B856" s="1"/>
      <c r="C856" s="39"/>
      <c r="D856" s="21"/>
      <c r="G856" s="1"/>
      <c r="H856" s="11" t="str">
        <f t="shared" si="57"/>
        <v>0 г. 0 мес. 0 дн.</v>
      </c>
      <c r="I856" s="20"/>
      <c r="J856" s="20"/>
      <c r="O856" s="20"/>
      <c r="V856" s="1" t="str">
        <f t="shared" si="55"/>
        <v>0 г. 0 мес. 0 дн.</v>
      </c>
      <c r="W856" s="69"/>
    </row>
    <row r="857" spans="1:23" ht="35.1" customHeight="1" x14ac:dyDescent="0.25">
      <c r="A857" s="1">
        <f t="shared" si="56"/>
        <v>856</v>
      </c>
      <c r="B857" s="1"/>
      <c r="C857" s="39"/>
      <c r="D857" s="21"/>
      <c r="G857" s="1"/>
      <c r="H857" s="11" t="str">
        <f t="shared" si="57"/>
        <v>0 г. 0 мес. 0 дн.</v>
      </c>
      <c r="I857" s="20"/>
      <c r="J857" s="20"/>
      <c r="O857" s="20"/>
      <c r="V857" s="1" t="str">
        <f t="shared" ref="V857:V920" si="58">DATEDIF(D857,T857,"y") &amp; " г. " &amp; DATEDIF(D857,T857,"ym") &amp; " мес. " &amp; DATEDIF(D857,T857,"md") &amp; " дн."</f>
        <v>0 г. 0 мес. 0 дн.</v>
      </c>
      <c r="W857" s="69"/>
    </row>
    <row r="858" spans="1:23" ht="35.1" customHeight="1" x14ac:dyDescent="0.25">
      <c r="A858" s="1">
        <f t="shared" si="56"/>
        <v>857</v>
      </c>
      <c r="B858" s="1"/>
      <c r="C858" s="39"/>
      <c r="D858" s="21"/>
      <c r="G858" s="1"/>
      <c r="H858" s="11" t="str">
        <f t="shared" si="57"/>
        <v>0 г. 0 мес. 0 дн.</v>
      </c>
      <c r="I858" s="20"/>
      <c r="J858" s="20"/>
      <c r="O858" s="20"/>
      <c r="V858" s="1" t="str">
        <f t="shared" si="58"/>
        <v>0 г. 0 мес. 0 дн.</v>
      </c>
      <c r="W858" s="69"/>
    </row>
    <row r="859" spans="1:23" ht="35.1" customHeight="1" x14ac:dyDescent="0.25">
      <c r="A859" s="1">
        <f t="shared" si="56"/>
        <v>858</v>
      </c>
      <c r="B859" s="1"/>
      <c r="C859" s="39"/>
      <c r="D859" s="21"/>
      <c r="G859" s="1"/>
      <c r="H859" s="11" t="str">
        <f t="shared" si="57"/>
        <v>0 г. 0 мес. 0 дн.</v>
      </c>
      <c r="I859" s="20"/>
      <c r="J859" s="20"/>
      <c r="O859" s="20"/>
      <c r="V859" s="1" t="str">
        <f t="shared" si="58"/>
        <v>0 г. 0 мес. 0 дн.</v>
      </c>
      <c r="W859" s="69"/>
    </row>
    <row r="860" spans="1:23" ht="35.1" customHeight="1" x14ac:dyDescent="0.25">
      <c r="A860" s="1">
        <f t="shared" si="56"/>
        <v>859</v>
      </c>
      <c r="B860" s="1"/>
      <c r="C860" s="39"/>
      <c r="D860" s="21"/>
      <c r="G860" s="1"/>
      <c r="H860" s="11" t="str">
        <f t="shared" si="57"/>
        <v>0 г. 0 мес. 0 дн.</v>
      </c>
      <c r="I860" s="20"/>
      <c r="J860" s="20"/>
      <c r="O860" s="20"/>
      <c r="V860" s="1" t="str">
        <f t="shared" si="58"/>
        <v>0 г. 0 мес. 0 дн.</v>
      </c>
      <c r="W860" s="69"/>
    </row>
    <row r="861" spans="1:23" ht="35.1" customHeight="1" x14ac:dyDescent="0.25">
      <c r="A861" s="1">
        <f t="shared" si="56"/>
        <v>860</v>
      </c>
      <c r="B861" s="1"/>
      <c r="C861" s="39"/>
      <c r="D861" s="21"/>
      <c r="G861" s="1"/>
      <c r="H861" s="11" t="str">
        <f t="shared" si="57"/>
        <v>0 г. 0 мес. 0 дн.</v>
      </c>
      <c r="I861" s="20"/>
      <c r="J861" s="20"/>
      <c r="O861" s="20"/>
      <c r="V861" s="1" t="str">
        <f t="shared" si="58"/>
        <v>0 г. 0 мес. 0 дн.</v>
      </c>
      <c r="W861" s="69"/>
    </row>
    <row r="862" spans="1:23" ht="35.1" customHeight="1" x14ac:dyDescent="0.25">
      <c r="A862" s="1">
        <f t="shared" si="56"/>
        <v>861</v>
      </c>
      <c r="B862" s="1"/>
      <c r="C862" s="39"/>
      <c r="D862" s="21"/>
      <c r="G862" s="1"/>
      <c r="H862" s="11" t="str">
        <f t="shared" si="57"/>
        <v>0 г. 0 мес. 0 дн.</v>
      </c>
      <c r="I862" s="20"/>
      <c r="J862" s="20"/>
      <c r="O862" s="20"/>
      <c r="V862" s="1" t="str">
        <f t="shared" si="58"/>
        <v>0 г. 0 мес. 0 дн.</v>
      </c>
      <c r="W862" s="69"/>
    </row>
    <row r="863" spans="1:23" ht="35.1" customHeight="1" x14ac:dyDescent="0.25">
      <c r="A863" s="1">
        <f t="shared" si="56"/>
        <v>862</v>
      </c>
      <c r="B863" s="1"/>
      <c r="C863" s="39"/>
      <c r="D863" s="21"/>
      <c r="G863" s="1"/>
      <c r="H863" s="11" t="str">
        <f t="shared" si="57"/>
        <v>0 г. 0 мес. 0 дн.</v>
      </c>
      <c r="I863" s="20"/>
      <c r="J863" s="20"/>
      <c r="O863" s="20"/>
      <c r="V863" s="1" t="str">
        <f t="shared" si="58"/>
        <v>0 г. 0 мес. 0 дн.</v>
      </c>
      <c r="W863" s="69"/>
    </row>
    <row r="864" spans="1:23" ht="35.1" customHeight="1" x14ac:dyDescent="0.25">
      <c r="A864" s="1">
        <f t="shared" si="56"/>
        <v>863</v>
      </c>
      <c r="B864" s="1"/>
      <c r="C864" s="39"/>
      <c r="D864" s="21"/>
      <c r="G864" s="1"/>
      <c r="H864" s="11" t="str">
        <f t="shared" si="57"/>
        <v>0 г. 0 мес. 0 дн.</v>
      </c>
      <c r="I864" s="20"/>
      <c r="J864" s="20"/>
      <c r="O864" s="20"/>
      <c r="V864" s="1" t="str">
        <f t="shared" si="58"/>
        <v>0 г. 0 мес. 0 дн.</v>
      </c>
      <c r="W864" s="69"/>
    </row>
    <row r="865" spans="1:23" ht="35.1" customHeight="1" x14ac:dyDescent="0.25">
      <c r="A865" s="1">
        <f t="shared" si="56"/>
        <v>864</v>
      </c>
      <c r="B865" s="1"/>
      <c r="C865" s="39"/>
      <c r="D865" s="21"/>
      <c r="G865" s="1"/>
      <c r="H865" s="11" t="str">
        <f t="shared" si="57"/>
        <v>0 г. 0 мес. 0 дн.</v>
      </c>
      <c r="I865" s="20"/>
      <c r="J865" s="20"/>
      <c r="O865" s="20"/>
      <c r="V865" s="1" t="str">
        <f t="shared" si="58"/>
        <v>0 г. 0 мес. 0 дн.</v>
      </c>
      <c r="W865" s="69"/>
    </row>
    <row r="866" spans="1:23" ht="35.1" customHeight="1" x14ac:dyDescent="0.25">
      <c r="A866" s="1">
        <f t="shared" si="56"/>
        <v>865</v>
      </c>
      <c r="B866" s="1"/>
      <c r="C866" s="39"/>
      <c r="D866" s="21"/>
      <c r="G866" s="1"/>
      <c r="H866" s="11" t="str">
        <f t="shared" si="57"/>
        <v>0 г. 0 мес. 0 дн.</v>
      </c>
      <c r="I866" s="20"/>
      <c r="J866" s="20"/>
      <c r="O866" s="20"/>
      <c r="V866" s="1" t="str">
        <f t="shared" si="58"/>
        <v>0 г. 0 мес. 0 дн.</v>
      </c>
      <c r="W866" s="69"/>
    </row>
    <row r="867" spans="1:23" ht="35.1" customHeight="1" x14ac:dyDescent="0.25">
      <c r="A867" s="1">
        <f t="shared" si="56"/>
        <v>866</v>
      </c>
      <c r="B867" s="1"/>
      <c r="C867" s="39"/>
      <c r="D867" s="21"/>
      <c r="G867" s="1"/>
      <c r="H867" s="11" t="str">
        <f t="shared" si="57"/>
        <v>0 г. 0 мес. 0 дн.</v>
      </c>
      <c r="I867" s="20"/>
      <c r="J867" s="20"/>
      <c r="O867" s="20"/>
      <c r="V867" s="1" t="str">
        <f t="shared" si="58"/>
        <v>0 г. 0 мес. 0 дн.</v>
      </c>
      <c r="W867" s="69"/>
    </row>
    <row r="868" spans="1:23" ht="35.1" customHeight="1" x14ac:dyDescent="0.25">
      <c r="A868" s="1">
        <f t="shared" si="56"/>
        <v>867</v>
      </c>
      <c r="B868" s="1"/>
      <c r="C868" s="39"/>
      <c r="D868" s="21"/>
      <c r="G868" s="1"/>
      <c r="H868" s="11" t="str">
        <f t="shared" si="57"/>
        <v>0 г. 0 мес. 0 дн.</v>
      </c>
      <c r="I868" s="20"/>
      <c r="J868" s="20"/>
      <c r="O868" s="20"/>
      <c r="V868" s="1" t="str">
        <f t="shared" si="58"/>
        <v>0 г. 0 мес. 0 дн.</v>
      </c>
      <c r="W868" s="69"/>
    </row>
    <row r="869" spans="1:23" ht="35.1" customHeight="1" x14ac:dyDescent="0.25">
      <c r="A869" s="1">
        <f t="shared" si="56"/>
        <v>868</v>
      </c>
      <c r="B869" s="1"/>
      <c r="C869" s="39"/>
      <c r="D869" s="21"/>
      <c r="G869" s="1"/>
      <c r="H869" s="11" t="str">
        <f t="shared" si="57"/>
        <v>0 г. 0 мес. 0 дн.</v>
      </c>
      <c r="I869" s="20"/>
      <c r="J869" s="20"/>
      <c r="O869" s="20"/>
      <c r="V869" s="1" t="str">
        <f t="shared" si="58"/>
        <v>0 г. 0 мес. 0 дн.</v>
      </c>
      <c r="W869" s="69"/>
    </row>
    <row r="870" spans="1:23" ht="35.1" customHeight="1" x14ac:dyDescent="0.25">
      <c r="A870" s="1">
        <f t="shared" si="56"/>
        <v>869</v>
      </c>
      <c r="B870" s="1"/>
      <c r="C870" s="39"/>
      <c r="D870" s="21"/>
      <c r="G870" s="1"/>
      <c r="H870" s="11" t="str">
        <f t="shared" si="57"/>
        <v>0 г. 0 мес. 0 дн.</v>
      </c>
      <c r="I870" s="20"/>
      <c r="J870" s="20"/>
      <c r="O870" s="20"/>
      <c r="V870" s="1" t="str">
        <f t="shared" si="58"/>
        <v>0 г. 0 мес. 0 дн.</v>
      </c>
      <c r="W870" s="69"/>
    </row>
    <row r="871" spans="1:23" ht="35.1" customHeight="1" x14ac:dyDescent="0.25">
      <c r="A871" s="1">
        <f t="shared" si="56"/>
        <v>870</v>
      </c>
      <c r="B871" s="1"/>
      <c r="C871" s="39"/>
      <c r="D871" s="21"/>
      <c r="G871" s="1"/>
      <c r="H871" s="11" t="str">
        <f t="shared" si="57"/>
        <v>0 г. 0 мес. 0 дн.</v>
      </c>
      <c r="I871" s="20"/>
      <c r="J871" s="20"/>
      <c r="O871" s="20"/>
      <c r="V871" s="1" t="str">
        <f t="shared" si="58"/>
        <v>0 г. 0 мес. 0 дн.</v>
      </c>
      <c r="W871" s="69"/>
    </row>
    <row r="872" spans="1:23" ht="35.1" customHeight="1" x14ac:dyDescent="0.25">
      <c r="A872" s="1">
        <f t="shared" si="56"/>
        <v>871</v>
      </c>
      <c r="B872" s="1"/>
      <c r="C872" s="39"/>
      <c r="D872" s="21"/>
      <c r="G872" s="1"/>
      <c r="H872" s="11" t="str">
        <f t="shared" si="57"/>
        <v>0 г. 0 мес. 0 дн.</v>
      </c>
      <c r="I872" s="20"/>
      <c r="J872" s="20"/>
      <c r="O872" s="20"/>
      <c r="V872" s="1" t="str">
        <f t="shared" si="58"/>
        <v>0 г. 0 мес. 0 дн.</v>
      </c>
      <c r="W872" s="69"/>
    </row>
    <row r="873" spans="1:23" ht="35.1" customHeight="1" x14ac:dyDescent="0.25">
      <c r="A873" s="1">
        <f t="shared" si="56"/>
        <v>872</v>
      </c>
      <c r="B873" s="1"/>
      <c r="C873" s="39"/>
      <c r="D873" s="21"/>
      <c r="G873" s="1"/>
      <c r="H873" s="11" t="str">
        <f t="shared" si="57"/>
        <v>0 г. 0 мес. 0 дн.</v>
      </c>
      <c r="I873" s="20"/>
      <c r="J873" s="20"/>
      <c r="O873" s="20"/>
      <c r="V873" s="1" t="str">
        <f t="shared" si="58"/>
        <v>0 г. 0 мес. 0 дн.</v>
      </c>
      <c r="W873" s="69"/>
    </row>
    <row r="874" spans="1:23" ht="35.1" customHeight="1" x14ac:dyDescent="0.25">
      <c r="A874" s="1">
        <f t="shared" si="56"/>
        <v>873</v>
      </c>
      <c r="B874" s="1"/>
      <c r="C874" s="39"/>
      <c r="D874" s="21"/>
      <c r="G874" s="1"/>
      <c r="H874" s="11" t="str">
        <f t="shared" si="57"/>
        <v>0 г. 0 мес. 0 дн.</v>
      </c>
      <c r="I874" s="20"/>
      <c r="J874" s="20"/>
      <c r="O874" s="20"/>
      <c r="V874" s="1" t="str">
        <f t="shared" si="58"/>
        <v>0 г. 0 мес. 0 дн.</v>
      </c>
      <c r="W874" s="69"/>
    </row>
    <row r="875" spans="1:23" ht="35.1" customHeight="1" x14ac:dyDescent="0.25">
      <c r="A875" s="1">
        <f t="shared" si="56"/>
        <v>874</v>
      </c>
      <c r="B875" s="1"/>
      <c r="C875" s="39"/>
      <c r="D875" s="21"/>
      <c r="G875" s="1"/>
      <c r="H875" s="11" t="str">
        <f t="shared" si="57"/>
        <v>0 г. 0 мес. 0 дн.</v>
      </c>
      <c r="I875" s="20"/>
      <c r="J875" s="20"/>
      <c r="O875" s="20"/>
      <c r="V875" s="1" t="str">
        <f t="shared" si="58"/>
        <v>0 г. 0 мес. 0 дн.</v>
      </c>
      <c r="W875" s="69"/>
    </row>
    <row r="876" spans="1:23" ht="35.1" customHeight="1" x14ac:dyDescent="0.25">
      <c r="A876" s="1">
        <f t="shared" si="56"/>
        <v>875</v>
      </c>
      <c r="B876" s="1"/>
      <c r="C876" s="39"/>
      <c r="D876" s="21"/>
      <c r="G876" s="1"/>
      <c r="H876" s="11" t="str">
        <f t="shared" si="57"/>
        <v>0 г. 0 мес. 0 дн.</v>
      </c>
      <c r="I876" s="20"/>
      <c r="J876" s="20"/>
      <c r="O876" s="20"/>
      <c r="V876" s="1" t="str">
        <f t="shared" si="58"/>
        <v>0 г. 0 мес. 0 дн.</v>
      </c>
      <c r="W876" s="69"/>
    </row>
    <row r="877" spans="1:23" ht="35.1" customHeight="1" x14ac:dyDescent="0.25">
      <c r="A877" s="1">
        <f t="shared" si="56"/>
        <v>876</v>
      </c>
      <c r="B877" s="1"/>
      <c r="C877" s="39"/>
      <c r="D877" s="21"/>
      <c r="G877" s="1"/>
      <c r="H877" s="11" t="str">
        <f t="shared" si="57"/>
        <v>0 г. 0 мес. 0 дн.</v>
      </c>
      <c r="I877" s="20"/>
      <c r="J877" s="20"/>
      <c r="O877" s="20"/>
      <c r="V877" s="1" t="str">
        <f t="shared" si="58"/>
        <v>0 г. 0 мес. 0 дн.</v>
      </c>
      <c r="W877" s="69"/>
    </row>
    <row r="878" spans="1:23" ht="35.1" customHeight="1" x14ac:dyDescent="0.25">
      <c r="A878" s="1">
        <f t="shared" si="56"/>
        <v>877</v>
      </c>
      <c r="B878" s="1"/>
      <c r="C878" s="39"/>
      <c r="D878" s="21"/>
      <c r="G878" s="1"/>
      <c r="H878" s="11" t="str">
        <f t="shared" si="57"/>
        <v>0 г. 0 мес. 0 дн.</v>
      </c>
      <c r="I878" s="20"/>
      <c r="J878" s="20"/>
      <c r="O878" s="20"/>
      <c r="V878" s="1" t="str">
        <f t="shared" si="58"/>
        <v>0 г. 0 мес. 0 дн.</v>
      </c>
      <c r="W878" s="69"/>
    </row>
    <row r="879" spans="1:23" ht="35.1" customHeight="1" x14ac:dyDescent="0.25">
      <c r="A879" s="1">
        <f t="shared" si="56"/>
        <v>878</v>
      </c>
      <c r="B879" s="1"/>
      <c r="C879" s="39"/>
      <c r="D879" s="21"/>
      <c r="G879" s="1"/>
      <c r="H879" s="11" t="str">
        <f t="shared" si="57"/>
        <v>0 г. 0 мес. 0 дн.</v>
      </c>
      <c r="I879" s="20"/>
      <c r="J879" s="20"/>
      <c r="O879" s="20"/>
      <c r="V879" s="1" t="str">
        <f t="shared" si="58"/>
        <v>0 г. 0 мес. 0 дн.</v>
      </c>
      <c r="W879" s="69"/>
    </row>
    <row r="880" spans="1:23" ht="35.1" customHeight="1" x14ac:dyDescent="0.25">
      <c r="A880" s="1">
        <f t="shared" si="56"/>
        <v>879</v>
      </c>
      <c r="B880" s="1"/>
      <c r="C880" s="39"/>
      <c r="D880" s="21"/>
      <c r="G880" s="1"/>
      <c r="H880" s="11" t="str">
        <f t="shared" si="57"/>
        <v>0 г. 0 мес. 0 дн.</v>
      </c>
      <c r="I880" s="20"/>
      <c r="J880" s="20"/>
      <c r="O880" s="20"/>
      <c r="V880" s="1" t="str">
        <f t="shared" si="58"/>
        <v>0 г. 0 мес. 0 дн.</v>
      </c>
      <c r="W880" s="69"/>
    </row>
    <row r="881" spans="1:23" ht="35.1" customHeight="1" x14ac:dyDescent="0.25">
      <c r="A881" s="1">
        <f t="shared" si="56"/>
        <v>880</v>
      </c>
      <c r="B881" s="1"/>
      <c r="C881" s="39"/>
      <c r="D881" s="21"/>
      <c r="G881" s="1"/>
      <c r="H881" s="11" t="str">
        <f t="shared" si="57"/>
        <v>0 г. 0 мес. 0 дн.</v>
      </c>
      <c r="I881" s="20"/>
      <c r="J881" s="20"/>
      <c r="O881" s="20"/>
      <c r="V881" s="1" t="str">
        <f t="shared" si="58"/>
        <v>0 г. 0 мес. 0 дн.</v>
      </c>
      <c r="W881" s="69"/>
    </row>
    <row r="882" spans="1:23" ht="35.1" customHeight="1" x14ac:dyDescent="0.25">
      <c r="A882" s="1">
        <f t="shared" si="56"/>
        <v>881</v>
      </c>
      <c r="B882" s="1"/>
      <c r="C882" s="39"/>
      <c r="D882" s="21"/>
      <c r="G882" s="1"/>
      <c r="H882" s="11" t="str">
        <f t="shared" si="57"/>
        <v>0 г. 0 мес. 0 дн.</v>
      </c>
      <c r="I882" s="20"/>
      <c r="J882" s="20"/>
      <c r="O882" s="20"/>
      <c r="V882" s="1" t="str">
        <f t="shared" si="58"/>
        <v>0 г. 0 мес. 0 дн.</v>
      </c>
      <c r="W882" s="69"/>
    </row>
    <row r="883" spans="1:23" ht="35.1" customHeight="1" x14ac:dyDescent="0.25">
      <c r="A883" s="1">
        <f t="shared" si="56"/>
        <v>882</v>
      </c>
      <c r="B883" s="1"/>
      <c r="C883" s="39"/>
      <c r="D883" s="21"/>
      <c r="G883" s="1"/>
      <c r="H883" s="11" t="str">
        <f t="shared" si="57"/>
        <v>0 г. 0 мес. 0 дн.</v>
      </c>
      <c r="I883" s="20"/>
      <c r="J883" s="20"/>
      <c r="O883" s="20"/>
      <c r="V883" s="1" t="str">
        <f t="shared" si="58"/>
        <v>0 г. 0 мес. 0 дн.</v>
      </c>
      <c r="W883" s="69"/>
    </row>
    <row r="884" spans="1:23" ht="35.1" customHeight="1" x14ac:dyDescent="0.25">
      <c r="A884" s="1">
        <f t="shared" si="56"/>
        <v>883</v>
      </c>
      <c r="B884" s="1"/>
      <c r="C884" s="39"/>
      <c r="D884" s="21"/>
      <c r="G884" s="1"/>
      <c r="H884" s="11" t="str">
        <f t="shared" si="57"/>
        <v>0 г. 0 мес. 0 дн.</v>
      </c>
      <c r="I884" s="20"/>
      <c r="J884" s="20"/>
      <c r="O884" s="20"/>
      <c r="V884" s="1" t="str">
        <f t="shared" si="58"/>
        <v>0 г. 0 мес. 0 дн.</v>
      </c>
      <c r="W884" s="69"/>
    </row>
    <row r="885" spans="1:23" ht="35.1" customHeight="1" x14ac:dyDescent="0.25">
      <c r="A885" s="1">
        <f t="shared" si="56"/>
        <v>884</v>
      </c>
      <c r="B885" s="1"/>
      <c r="C885" s="39"/>
      <c r="D885" s="21"/>
      <c r="G885" s="1"/>
      <c r="H885" s="11" t="str">
        <f t="shared" si="57"/>
        <v>0 г. 0 мес. 0 дн.</v>
      </c>
      <c r="I885" s="20"/>
      <c r="J885" s="20"/>
      <c r="O885" s="20"/>
      <c r="V885" s="1" t="str">
        <f t="shared" si="58"/>
        <v>0 г. 0 мес. 0 дн.</v>
      </c>
      <c r="W885" s="69"/>
    </row>
    <row r="886" spans="1:23" ht="35.1" customHeight="1" x14ac:dyDescent="0.25">
      <c r="A886" s="1">
        <f t="shared" si="56"/>
        <v>885</v>
      </c>
      <c r="B886" s="1"/>
      <c r="C886" s="39"/>
      <c r="D886" s="21"/>
      <c r="G886" s="1"/>
      <c r="H886" s="11" t="str">
        <f t="shared" si="57"/>
        <v>0 г. 0 мес. 0 дн.</v>
      </c>
      <c r="I886" s="20"/>
      <c r="J886" s="20"/>
      <c r="O886" s="20"/>
      <c r="V886" s="1" t="str">
        <f t="shared" si="58"/>
        <v>0 г. 0 мес. 0 дн.</v>
      </c>
      <c r="W886" s="69"/>
    </row>
    <row r="887" spans="1:23" ht="35.1" customHeight="1" x14ac:dyDescent="0.25">
      <c r="A887" s="1">
        <f t="shared" si="56"/>
        <v>886</v>
      </c>
      <c r="B887" s="1"/>
      <c r="C887" s="39"/>
      <c r="D887" s="21"/>
      <c r="G887" s="1"/>
      <c r="H887" s="11" t="str">
        <f t="shared" si="57"/>
        <v>0 г. 0 мес. 0 дн.</v>
      </c>
      <c r="I887" s="20"/>
      <c r="J887" s="20"/>
      <c r="O887" s="20"/>
      <c r="V887" s="1" t="str">
        <f t="shared" si="58"/>
        <v>0 г. 0 мес. 0 дн.</v>
      </c>
      <c r="W887" s="69"/>
    </row>
    <row r="888" spans="1:23" ht="35.1" customHeight="1" x14ac:dyDescent="0.25">
      <c r="A888" s="1">
        <f t="shared" si="56"/>
        <v>887</v>
      </c>
      <c r="B888" s="1"/>
      <c r="C888" s="39"/>
      <c r="D888" s="21"/>
      <c r="G888" s="1"/>
      <c r="H888" s="11" t="str">
        <f t="shared" si="57"/>
        <v>0 г. 0 мес. 0 дн.</v>
      </c>
      <c r="I888" s="20"/>
      <c r="J888" s="20"/>
      <c r="O888" s="20"/>
      <c r="V888" s="1" t="str">
        <f t="shared" si="58"/>
        <v>0 г. 0 мес. 0 дн.</v>
      </c>
      <c r="W888" s="69"/>
    </row>
    <row r="889" spans="1:23" ht="35.1" customHeight="1" x14ac:dyDescent="0.25">
      <c r="A889" s="1">
        <f t="shared" si="56"/>
        <v>888</v>
      </c>
      <c r="B889" s="1"/>
      <c r="C889" s="39"/>
      <c r="D889" s="21"/>
      <c r="G889" s="1"/>
      <c r="H889" s="11" t="str">
        <f t="shared" si="57"/>
        <v>0 г. 0 мес. 0 дн.</v>
      </c>
      <c r="I889" s="20"/>
      <c r="J889" s="20"/>
      <c r="O889" s="20"/>
      <c r="V889" s="1" t="str">
        <f t="shared" si="58"/>
        <v>0 г. 0 мес. 0 дн.</v>
      </c>
      <c r="W889" s="69"/>
    </row>
    <row r="890" spans="1:23" ht="35.1" customHeight="1" x14ac:dyDescent="0.25">
      <c r="A890" s="1">
        <f t="shared" si="56"/>
        <v>889</v>
      </c>
      <c r="B890" s="1"/>
      <c r="C890" s="39"/>
      <c r="D890" s="21"/>
      <c r="G890" s="1"/>
      <c r="H890" s="11" t="str">
        <f t="shared" si="57"/>
        <v>0 г. 0 мес. 0 дн.</v>
      </c>
      <c r="I890" s="20"/>
      <c r="J890" s="20"/>
      <c r="O890" s="20"/>
      <c r="V890" s="1" t="str">
        <f t="shared" si="58"/>
        <v>0 г. 0 мес. 0 дн.</v>
      </c>
      <c r="W890" s="69"/>
    </row>
    <row r="891" spans="1:23" ht="35.1" customHeight="1" x14ac:dyDescent="0.25">
      <c r="A891" s="1">
        <f t="shared" si="56"/>
        <v>890</v>
      </c>
      <c r="B891" s="1"/>
      <c r="C891" s="39"/>
      <c r="D891" s="21"/>
      <c r="G891" s="1"/>
      <c r="H891" s="11" t="str">
        <f t="shared" si="57"/>
        <v>0 г. 0 мес. 0 дн.</v>
      </c>
      <c r="I891" s="20"/>
      <c r="J891" s="20"/>
      <c r="O891" s="20"/>
      <c r="V891" s="1" t="str">
        <f t="shared" si="58"/>
        <v>0 г. 0 мес. 0 дн.</v>
      </c>
      <c r="W891" s="69"/>
    </row>
    <row r="892" spans="1:23" ht="35.1" customHeight="1" x14ac:dyDescent="0.25">
      <c r="A892" s="1">
        <f t="shared" si="56"/>
        <v>891</v>
      </c>
      <c r="B892" s="1"/>
      <c r="C892" s="39"/>
      <c r="D892" s="21"/>
      <c r="G892" s="1"/>
      <c r="H892" s="11" t="str">
        <f t="shared" si="57"/>
        <v>0 г. 0 мес. 0 дн.</v>
      </c>
      <c r="I892" s="20"/>
      <c r="J892" s="20"/>
      <c r="O892" s="20"/>
      <c r="V892" s="1" t="str">
        <f t="shared" si="58"/>
        <v>0 г. 0 мес. 0 дн.</v>
      </c>
      <c r="W892" s="69"/>
    </row>
    <row r="893" spans="1:23" ht="35.1" customHeight="1" x14ac:dyDescent="0.25">
      <c r="A893" s="1">
        <f t="shared" si="56"/>
        <v>892</v>
      </c>
      <c r="B893" s="1"/>
      <c r="C893" s="39"/>
      <c r="D893" s="21"/>
      <c r="G893" s="1"/>
      <c r="H893" s="11" t="str">
        <f t="shared" si="57"/>
        <v>0 г. 0 мес. 0 дн.</v>
      </c>
      <c r="I893" s="20"/>
      <c r="J893" s="20"/>
      <c r="O893" s="20"/>
      <c r="V893" s="1" t="str">
        <f t="shared" si="58"/>
        <v>0 г. 0 мес. 0 дн.</v>
      </c>
      <c r="W893" s="69"/>
    </row>
    <row r="894" spans="1:23" ht="35.1" customHeight="1" x14ac:dyDescent="0.25">
      <c r="A894" s="1">
        <f t="shared" si="56"/>
        <v>893</v>
      </c>
      <c r="B894" s="1"/>
      <c r="C894" s="39"/>
      <c r="D894" s="21"/>
      <c r="G894" s="1"/>
      <c r="H894" s="11" t="str">
        <f t="shared" si="57"/>
        <v>0 г. 0 мес. 0 дн.</v>
      </c>
      <c r="I894" s="20"/>
      <c r="J894" s="20"/>
      <c r="O894" s="20"/>
      <c r="V894" s="1" t="str">
        <f t="shared" si="58"/>
        <v>0 г. 0 мес. 0 дн.</v>
      </c>
      <c r="W894" s="69"/>
    </row>
    <row r="895" spans="1:23" ht="35.1" customHeight="1" x14ac:dyDescent="0.25">
      <c r="A895" s="1">
        <f t="shared" si="56"/>
        <v>894</v>
      </c>
      <c r="B895" s="1"/>
      <c r="C895" s="39"/>
      <c r="D895" s="21"/>
      <c r="G895" s="1"/>
      <c r="H895" s="11" t="str">
        <f t="shared" si="57"/>
        <v>0 г. 0 мес. 0 дн.</v>
      </c>
      <c r="I895" s="20"/>
      <c r="J895" s="20"/>
      <c r="O895" s="20"/>
      <c r="V895" s="1" t="str">
        <f t="shared" si="58"/>
        <v>0 г. 0 мес. 0 дн.</v>
      </c>
      <c r="W895" s="69"/>
    </row>
    <row r="896" spans="1:23" ht="35.1" customHeight="1" x14ac:dyDescent="0.25">
      <c r="A896" s="1">
        <f t="shared" si="56"/>
        <v>895</v>
      </c>
      <c r="B896" s="1"/>
      <c r="C896" s="39"/>
      <c r="D896" s="21"/>
      <c r="G896" s="1"/>
      <c r="H896" s="11" t="str">
        <f t="shared" si="57"/>
        <v>0 г. 0 мес. 0 дн.</v>
      </c>
      <c r="I896" s="20"/>
      <c r="J896" s="20"/>
      <c r="O896" s="20"/>
      <c r="V896" s="1" t="str">
        <f t="shared" si="58"/>
        <v>0 г. 0 мес. 0 дн.</v>
      </c>
      <c r="W896" s="69"/>
    </row>
    <row r="897" spans="1:23" ht="35.1" customHeight="1" x14ac:dyDescent="0.25">
      <c r="A897" s="1">
        <f t="shared" ref="A897:A960" si="59">ROW(A896)</f>
        <v>896</v>
      </c>
      <c r="B897" s="1"/>
      <c r="C897" s="39"/>
      <c r="D897" s="21"/>
      <c r="G897" s="1"/>
      <c r="H897" s="11" t="str">
        <f t="shared" ref="H897:H960" si="60">DATEDIF(G897,D897,"y") &amp; " г. " &amp; DATEDIF(G897,D897,"ym") &amp; " мес. " &amp; DATEDIF(G897,D897,"md") &amp; " дн."</f>
        <v>0 г. 0 мес. 0 дн.</v>
      </c>
      <c r="I897" s="20"/>
      <c r="J897" s="20"/>
      <c r="O897" s="20"/>
      <c r="V897" s="1" t="str">
        <f t="shared" si="58"/>
        <v>0 г. 0 мес. 0 дн.</v>
      </c>
      <c r="W897" s="69"/>
    </row>
    <row r="898" spans="1:23" ht="35.1" customHeight="1" x14ac:dyDescent="0.25">
      <c r="A898" s="1">
        <f t="shared" si="59"/>
        <v>897</v>
      </c>
      <c r="B898" s="1"/>
      <c r="C898" s="39"/>
      <c r="D898" s="21"/>
      <c r="G898" s="1"/>
      <c r="H898" s="11" t="str">
        <f t="shared" si="60"/>
        <v>0 г. 0 мес. 0 дн.</v>
      </c>
      <c r="I898" s="20"/>
      <c r="J898" s="20"/>
      <c r="O898" s="20"/>
      <c r="V898" s="1" t="str">
        <f t="shared" si="58"/>
        <v>0 г. 0 мес. 0 дн.</v>
      </c>
      <c r="W898" s="69"/>
    </row>
    <row r="899" spans="1:23" ht="35.1" customHeight="1" x14ac:dyDescent="0.25">
      <c r="A899" s="1">
        <f t="shared" si="59"/>
        <v>898</v>
      </c>
      <c r="B899" s="1"/>
      <c r="C899" s="39"/>
      <c r="D899" s="21"/>
      <c r="G899" s="1"/>
      <c r="H899" s="11" t="str">
        <f t="shared" si="60"/>
        <v>0 г. 0 мес. 0 дн.</v>
      </c>
      <c r="I899" s="20"/>
      <c r="J899" s="20"/>
      <c r="O899" s="20"/>
      <c r="V899" s="1" t="str">
        <f t="shared" si="58"/>
        <v>0 г. 0 мес. 0 дн.</v>
      </c>
      <c r="W899" s="69"/>
    </row>
    <row r="900" spans="1:23" ht="35.1" customHeight="1" x14ac:dyDescent="0.25">
      <c r="A900" s="1">
        <f t="shared" si="59"/>
        <v>899</v>
      </c>
      <c r="B900" s="1"/>
      <c r="C900" s="39"/>
      <c r="D900" s="21"/>
      <c r="G900" s="1"/>
      <c r="H900" s="11" t="str">
        <f t="shared" si="60"/>
        <v>0 г. 0 мес. 0 дн.</v>
      </c>
      <c r="I900" s="20"/>
      <c r="J900" s="20"/>
      <c r="O900" s="20"/>
      <c r="V900" s="1" t="str">
        <f t="shared" si="58"/>
        <v>0 г. 0 мес. 0 дн.</v>
      </c>
      <c r="W900" s="69"/>
    </row>
    <row r="901" spans="1:23" ht="35.1" customHeight="1" x14ac:dyDescent="0.25">
      <c r="A901" s="1">
        <f t="shared" si="59"/>
        <v>900</v>
      </c>
      <c r="B901" s="1"/>
      <c r="C901" s="39"/>
      <c r="D901" s="21"/>
      <c r="G901" s="1"/>
      <c r="H901" s="11" t="str">
        <f t="shared" si="60"/>
        <v>0 г. 0 мес. 0 дн.</v>
      </c>
      <c r="I901" s="20"/>
      <c r="J901" s="20"/>
      <c r="O901" s="20"/>
      <c r="V901" s="1" t="str">
        <f t="shared" si="58"/>
        <v>0 г. 0 мес. 0 дн.</v>
      </c>
      <c r="W901" s="69"/>
    </row>
    <row r="902" spans="1:23" ht="35.1" customHeight="1" x14ac:dyDescent="0.25">
      <c r="A902" s="1">
        <f t="shared" si="59"/>
        <v>901</v>
      </c>
      <c r="B902" s="1"/>
      <c r="C902" s="39"/>
      <c r="D902" s="21"/>
      <c r="G902" s="1"/>
      <c r="H902" s="11" t="str">
        <f t="shared" si="60"/>
        <v>0 г. 0 мес. 0 дн.</v>
      </c>
      <c r="I902" s="20"/>
      <c r="J902" s="20"/>
      <c r="O902" s="20"/>
      <c r="V902" s="1" t="str">
        <f t="shared" si="58"/>
        <v>0 г. 0 мес. 0 дн.</v>
      </c>
      <c r="W902" s="69"/>
    </row>
    <row r="903" spans="1:23" ht="35.1" customHeight="1" x14ac:dyDescent="0.25">
      <c r="A903" s="1">
        <f t="shared" si="59"/>
        <v>902</v>
      </c>
      <c r="B903" s="1"/>
      <c r="C903" s="39"/>
      <c r="D903" s="21"/>
      <c r="G903" s="1"/>
      <c r="H903" s="11" t="str">
        <f t="shared" si="60"/>
        <v>0 г. 0 мес. 0 дн.</v>
      </c>
      <c r="I903" s="20"/>
      <c r="J903" s="20"/>
      <c r="O903" s="20"/>
      <c r="V903" s="1" t="str">
        <f t="shared" si="58"/>
        <v>0 г. 0 мес. 0 дн.</v>
      </c>
      <c r="W903" s="69"/>
    </row>
    <row r="904" spans="1:23" ht="35.1" customHeight="1" x14ac:dyDescent="0.25">
      <c r="A904" s="1">
        <f t="shared" si="59"/>
        <v>903</v>
      </c>
      <c r="B904" s="1"/>
      <c r="C904" s="39"/>
      <c r="D904" s="21"/>
      <c r="G904" s="1"/>
      <c r="H904" s="11" t="str">
        <f t="shared" si="60"/>
        <v>0 г. 0 мес. 0 дн.</v>
      </c>
      <c r="I904" s="20"/>
      <c r="J904" s="20"/>
      <c r="O904" s="20"/>
      <c r="V904" s="1" t="str">
        <f t="shared" si="58"/>
        <v>0 г. 0 мес. 0 дн.</v>
      </c>
      <c r="W904" s="69"/>
    </row>
    <row r="905" spans="1:23" ht="35.1" customHeight="1" x14ac:dyDescent="0.25">
      <c r="A905" s="1">
        <f t="shared" si="59"/>
        <v>904</v>
      </c>
      <c r="B905" s="1"/>
      <c r="C905" s="39"/>
      <c r="D905" s="21"/>
      <c r="G905" s="1"/>
      <c r="H905" s="11" t="str">
        <f t="shared" si="60"/>
        <v>0 г. 0 мес. 0 дн.</v>
      </c>
      <c r="I905" s="20"/>
      <c r="J905" s="20"/>
      <c r="O905" s="20"/>
      <c r="V905" s="1" t="str">
        <f t="shared" si="58"/>
        <v>0 г. 0 мес. 0 дн.</v>
      </c>
      <c r="W905" s="69"/>
    </row>
    <row r="906" spans="1:23" ht="35.1" customHeight="1" x14ac:dyDescent="0.25">
      <c r="A906" s="1">
        <f t="shared" si="59"/>
        <v>905</v>
      </c>
      <c r="B906" s="1"/>
      <c r="C906" s="39"/>
      <c r="D906" s="21"/>
      <c r="G906" s="1"/>
      <c r="H906" s="11" t="str">
        <f t="shared" si="60"/>
        <v>0 г. 0 мес. 0 дн.</v>
      </c>
      <c r="I906" s="20"/>
      <c r="J906" s="20"/>
      <c r="O906" s="20"/>
      <c r="V906" s="1" t="str">
        <f t="shared" si="58"/>
        <v>0 г. 0 мес. 0 дн.</v>
      </c>
      <c r="W906" s="69"/>
    </row>
    <row r="907" spans="1:23" ht="35.1" customHeight="1" x14ac:dyDescent="0.25">
      <c r="A907" s="1">
        <f t="shared" si="59"/>
        <v>906</v>
      </c>
      <c r="B907" s="1"/>
      <c r="C907" s="39"/>
      <c r="D907" s="21"/>
      <c r="G907" s="1"/>
      <c r="H907" s="11" t="str">
        <f t="shared" si="60"/>
        <v>0 г. 0 мес. 0 дн.</v>
      </c>
      <c r="I907" s="20"/>
      <c r="J907" s="20"/>
      <c r="O907" s="20"/>
      <c r="V907" s="1" t="str">
        <f t="shared" si="58"/>
        <v>0 г. 0 мес. 0 дн.</v>
      </c>
      <c r="W907" s="69"/>
    </row>
    <row r="908" spans="1:23" ht="35.1" customHeight="1" x14ac:dyDescent="0.25">
      <c r="A908" s="1">
        <f t="shared" si="59"/>
        <v>907</v>
      </c>
      <c r="B908" s="1"/>
      <c r="C908" s="39"/>
      <c r="D908" s="21"/>
      <c r="G908" s="1"/>
      <c r="H908" s="11" t="str">
        <f t="shared" si="60"/>
        <v>0 г. 0 мес. 0 дн.</v>
      </c>
      <c r="I908" s="20"/>
      <c r="J908" s="20"/>
      <c r="O908" s="20"/>
      <c r="V908" s="1" t="str">
        <f t="shared" si="58"/>
        <v>0 г. 0 мес. 0 дн.</v>
      </c>
      <c r="W908" s="69"/>
    </row>
    <row r="909" spans="1:23" ht="35.1" customHeight="1" x14ac:dyDescent="0.25">
      <c r="A909" s="1">
        <f t="shared" si="59"/>
        <v>908</v>
      </c>
      <c r="B909" s="1"/>
      <c r="C909" s="39"/>
      <c r="D909" s="21"/>
      <c r="G909" s="1"/>
      <c r="H909" s="11" t="str">
        <f t="shared" si="60"/>
        <v>0 г. 0 мес. 0 дн.</v>
      </c>
      <c r="I909" s="20"/>
      <c r="J909" s="20"/>
      <c r="O909" s="20"/>
      <c r="V909" s="1" t="str">
        <f t="shared" si="58"/>
        <v>0 г. 0 мес. 0 дн.</v>
      </c>
      <c r="W909" s="69"/>
    </row>
    <row r="910" spans="1:23" ht="35.1" customHeight="1" x14ac:dyDescent="0.25">
      <c r="A910" s="1">
        <f t="shared" si="59"/>
        <v>909</v>
      </c>
      <c r="B910" s="1"/>
      <c r="C910" s="39"/>
      <c r="D910" s="21"/>
      <c r="G910" s="1"/>
      <c r="H910" s="11" t="str">
        <f t="shared" si="60"/>
        <v>0 г. 0 мес. 0 дн.</v>
      </c>
      <c r="I910" s="20"/>
      <c r="J910" s="20"/>
      <c r="O910" s="20"/>
      <c r="V910" s="1" t="str">
        <f t="shared" si="58"/>
        <v>0 г. 0 мес. 0 дн.</v>
      </c>
      <c r="W910" s="69"/>
    </row>
    <row r="911" spans="1:23" ht="35.1" customHeight="1" x14ac:dyDescent="0.25">
      <c r="A911" s="1">
        <f t="shared" si="59"/>
        <v>910</v>
      </c>
      <c r="B911" s="1"/>
      <c r="C911" s="39"/>
      <c r="D911" s="21"/>
      <c r="G911" s="1"/>
      <c r="H911" s="11" t="str">
        <f t="shared" si="60"/>
        <v>0 г. 0 мес. 0 дн.</v>
      </c>
      <c r="I911" s="20"/>
      <c r="J911" s="20"/>
      <c r="O911" s="20"/>
      <c r="V911" s="1" t="str">
        <f t="shared" si="58"/>
        <v>0 г. 0 мес. 0 дн.</v>
      </c>
      <c r="W911" s="69"/>
    </row>
    <row r="912" spans="1:23" ht="35.1" customHeight="1" x14ac:dyDescent="0.25">
      <c r="A912" s="1">
        <f t="shared" si="59"/>
        <v>911</v>
      </c>
      <c r="B912" s="1"/>
      <c r="C912" s="39"/>
      <c r="D912" s="21"/>
      <c r="G912" s="1"/>
      <c r="H912" s="11" t="str">
        <f t="shared" si="60"/>
        <v>0 г. 0 мес. 0 дн.</v>
      </c>
      <c r="I912" s="20"/>
      <c r="J912" s="20"/>
      <c r="O912" s="20"/>
      <c r="V912" s="1" t="str">
        <f t="shared" si="58"/>
        <v>0 г. 0 мес. 0 дн.</v>
      </c>
      <c r="W912" s="69"/>
    </row>
    <row r="913" spans="1:23" ht="35.1" customHeight="1" x14ac:dyDescent="0.25">
      <c r="A913" s="1">
        <f t="shared" si="59"/>
        <v>912</v>
      </c>
      <c r="B913" s="1"/>
      <c r="C913" s="39"/>
      <c r="D913" s="21"/>
      <c r="G913" s="1"/>
      <c r="H913" s="11" t="str">
        <f t="shared" si="60"/>
        <v>0 г. 0 мес. 0 дн.</v>
      </c>
      <c r="I913" s="20"/>
      <c r="J913" s="20"/>
      <c r="O913" s="20"/>
      <c r="V913" s="1" t="str">
        <f t="shared" si="58"/>
        <v>0 г. 0 мес. 0 дн.</v>
      </c>
      <c r="W913" s="69"/>
    </row>
    <row r="914" spans="1:23" ht="35.1" customHeight="1" x14ac:dyDescent="0.25">
      <c r="A914" s="1">
        <f t="shared" si="59"/>
        <v>913</v>
      </c>
      <c r="B914" s="1"/>
      <c r="C914" s="39"/>
      <c r="D914" s="21"/>
      <c r="G914" s="1"/>
      <c r="H914" s="11" t="str">
        <f t="shared" si="60"/>
        <v>0 г. 0 мес. 0 дн.</v>
      </c>
      <c r="I914" s="20"/>
      <c r="J914" s="20"/>
      <c r="O914" s="20"/>
      <c r="V914" s="1" t="str">
        <f t="shared" si="58"/>
        <v>0 г. 0 мес. 0 дн.</v>
      </c>
      <c r="W914" s="69"/>
    </row>
    <row r="915" spans="1:23" ht="35.1" customHeight="1" x14ac:dyDescent="0.25">
      <c r="A915" s="1">
        <f t="shared" si="59"/>
        <v>914</v>
      </c>
      <c r="B915" s="1"/>
      <c r="C915" s="39"/>
      <c r="D915" s="21"/>
      <c r="G915" s="1"/>
      <c r="H915" s="11" t="str">
        <f t="shared" si="60"/>
        <v>0 г. 0 мес. 0 дн.</v>
      </c>
      <c r="I915" s="20"/>
      <c r="J915" s="20"/>
      <c r="O915" s="20"/>
      <c r="V915" s="1" t="str">
        <f t="shared" si="58"/>
        <v>0 г. 0 мес. 0 дн.</v>
      </c>
      <c r="W915" s="69"/>
    </row>
    <row r="916" spans="1:23" ht="35.1" customHeight="1" x14ac:dyDescent="0.25">
      <c r="A916" s="1">
        <f t="shared" si="59"/>
        <v>915</v>
      </c>
      <c r="B916" s="1"/>
      <c r="C916" s="39"/>
      <c r="D916" s="21"/>
      <c r="G916" s="1"/>
      <c r="H916" s="11" t="str">
        <f t="shared" si="60"/>
        <v>0 г. 0 мес. 0 дн.</v>
      </c>
      <c r="I916" s="20"/>
      <c r="J916" s="20"/>
      <c r="O916" s="20"/>
      <c r="V916" s="1" t="str">
        <f t="shared" si="58"/>
        <v>0 г. 0 мес. 0 дн.</v>
      </c>
      <c r="W916" s="69"/>
    </row>
    <row r="917" spans="1:23" ht="35.1" customHeight="1" x14ac:dyDescent="0.25">
      <c r="A917" s="1">
        <f t="shared" si="59"/>
        <v>916</v>
      </c>
      <c r="B917" s="1"/>
      <c r="C917" s="39"/>
      <c r="D917" s="21"/>
      <c r="G917" s="1"/>
      <c r="H917" s="11" t="str">
        <f t="shared" si="60"/>
        <v>0 г. 0 мес. 0 дн.</v>
      </c>
      <c r="I917" s="20"/>
      <c r="J917" s="20"/>
      <c r="O917" s="20"/>
      <c r="V917" s="1" t="str">
        <f t="shared" si="58"/>
        <v>0 г. 0 мес. 0 дн.</v>
      </c>
      <c r="W917" s="69"/>
    </row>
    <row r="918" spans="1:23" ht="35.1" customHeight="1" x14ac:dyDescent="0.25">
      <c r="A918" s="1">
        <f t="shared" si="59"/>
        <v>917</v>
      </c>
      <c r="B918" s="1"/>
      <c r="C918" s="39"/>
      <c r="D918" s="21"/>
      <c r="G918" s="1"/>
      <c r="H918" s="11" t="str">
        <f t="shared" si="60"/>
        <v>0 г. 0 мес. 0 дн.</v>
      </c>
      <c r="I918" s="20"/>
      <c r="J918" s="20"/>
      <c r="O918" s="20"/>
      <c r="V918" s="1" t="str">
        <f t="shared" si="58"/>
        <v>0 г. 0 мес. 0 дн.</v>
      </c>
      <c r="W918" s="69"/>
    </row>
    <row r="919" spans="1:23" ht="35.1" customHeight="1" x14ac:dyDescent="0.25">
      <c r="A919" s="1">
        <f t="shared" si="59"/>
        <v>918</v>
      </c>
      <c r="B919" s="1"/>
      <c r="C919" s="39"/>
      <c r="D919" s="21"/>
      <c r="G919" s="1"/>
      <c r="H919" s="11" t="str">
        <f t="shared" si="60"/>
        <v>0 г. 0 мес. 0 дн.</v>
      </c>
      <c r="I919" s="20"/>
      <c r="J919" s="20"/>
      <c r="O919" s="20"/>
      <c r="V919" s="1" t="str">
        <f t="shared" si="58"/>
        <v>0 г. 0 мес. 0 дн.</v>
      </c>
      <c r="W919" s="69"/>
    </row>
    <row r="920" spans="1:23" ht="35.1" customHeight="1" x14ac:dyDescent="0.25">
      <c r="A920" s="1">
        <f t="shared" si="59"/>
        <v>919</v>
      </c>
      <c r="B920" s="1"/>
      <c r="C920" s="39"/>
      <c r="D920" s="21"/>
      <c r="G920" s="1"/>
      <c r="H920" s="11" t="str">
        <f t="shared" si="60"/>
        <v>0 г. 0 мес. 0 дн.</v>
      </c>
      <c r="I920" s="20"/>
      <c r="J920" s="20"/>
      <c r="O920" s="20"/>
      <c r="V920" s="1" t="str">
        <f t="shared" si="58"/>
        <v>0 г. 0 мес. 0 дн.</v>
      </c>
      <c r="W920" s="69"/>
    </row>
    <row r="921" spans="1:23" ht="35.1" customHeight="1" x14ac:dyDescent="0.25">
      <c r="A921" s="1">
        <f t="shared" si="59"/>
        <v>920</v>
      </c>
      <c r="B921" s="1"/>
      <c r="C921" s="39"/>
      <c r="D921" s="21"/>
      <c r="G921" s="1"/>
      <c r="H921" s="11" t="str">
        <f t="shared" si="60"/>
        <v>0 г. 0 мес. 0 дн.</v>
      </c>
      <c r="I921" s="20"/>
      <c r="J921" s="20"/>
      <c r="O921" s="20"/>
      <c r="V921" s="1" t="str">
        <f t="shared" ref="V921:V984" si="61">DATEDIF(D921,T921,"y") &amp; " г. " &amp; DATEDIF(D921,T921,"ym") &amp; " мес. " &amp; DATEDIF(D921,T921,"md") &amp; " дн."</f>
        <v>0 г. 0 мес. 0 дн.</v>
      </c>
      <c r="W921" s="69"/>
    </row>
    <row r="922" spans="1:23" ht="35.1" customHeight="1" x14ac:dyDescent="0.25">
      <c r="A922" s="1">
        <f t="shared" si="59"/>
        <v>921</v>
      </c>
      <c r="B922" s="1"/>
      <c r="C922" s="39"/>
      <c r="D922" s="21"/>
      <c r="G922" s="1"/>
      <c r="H922" s="11" t="str">
        <f t="shared" si="60"/>
        <v>0 г. 0 мес. 0 дн.</v>
      </c>
      <c r="I922" s="20"/>
      <c r="J922" s="20"/>
      <c r="O922" s="20"/>
      <c r="V922" s="1" t="str">
        <f t="shared" si="61"/>
        <v>0 г. 0 мес. 0 дн.</v>
      </c>
      <c r="W922" s="69"/>
    </row>
    <row r="923" spans="1:23" ht="35.1" customHeight="1" x14ac:dyDescent="0.25">
      <c r="A923" s="1">
        <f t="shared" si="59"/>
        <v>922</v>
      </c>
      <c r="B923" s="1"/>
      <c r="C923" s="39"/>
      <c r="D923" s="21"/>
      <c r="G923" s="1"/>
      <c r="H923" s="11" t="str">
        <f t="shared" si="60"/>
        <v>0 г. 0 мес. 0 дн.</v>
      </c>
      <c r="I923" s="20"/>
      <c r="J923" s="20"/>
      <c r="O923" s="20"/>
      <c r="V923" s="1" t="str">
        <f t="shared" si="61"/>
        <v>0 г. 0 мес. 0 дн.</v>
      </c>
      <c r="W923" s="69"/>
    </row>
    <row r="924" spans="1:23" ht="35.1" customHeight="1" x14ac:dyDescent="0.25">
      <c r="A924" s="1">
        <f t="shared" si="59"/>
        <v>923</v>
      </c>
      <c r="B924" s="1"/>
      <c r="C924" s="39"/>
      <c r="D924" s="21"/>
      <c r="G924" s="1"/>
      <c r="H924" s="11" t="str">
        <f t="shared" si="60"/>
        <v>0 г. 0 мес. 0 дн.</v>
      </c>
      <c r="I924" s="20"/>
      <c r="J924" s="20"/>
      <c r="O924" s="20"/>
      <c r="V924" s="1" t="str">
        <f t="shared" si="61"/>
        <v>0 г. 0 мес. 0 дн.</v>
      </c>
      <c r="W924" s="69"/>
    </row>
    <row r="925" spans="1:23" ht="35.1" customHeight="1" x14ac:dyDescent="0.25">
      <c r="A925" s="1">
        <f t="shared" si="59"/>
        <v>924</v>
      </c>
      <c r="B925" s="1"/>
      <c r="C925" s="39"/>
      <c r="D925" s="21"/>
      <c r="G925" s="1"/>
      <c r="H925" s="11" t="str">
        <f t="shared" si="60"/>
        <v>0 г. 0 мес. 0 дн.</v>
      </c>
      <c r="I925" s="20"/>
      <c r="J925" s="20"/>
      <c r="O925" s="20"/>
      <c r="V925" s="1" t="str">
        <f t="shared" si="61"/>
        <v>0 г. 0 мес. 0 дн.</v>
      </c>
      <c r="W925" s="69"/>
    </row>
    <row r="926" spans="1:23" ht="35.1" customHeight="1" x14ac:dyDescent="0.25">
      <c r="A926" s="1">
        <f t="shared" si="59"/>
        <v>925</v>
      </c>
      <c r="B926" s="1"/>
      <c r="C926" s="39"/>
      <c r="D926" s="21"/>
      <c r="G926" s="1"/>
      <c r="H926" s="11" t="str">
        <f t="shared" si="60"/>
        <v>0 г. 0 мес. 0 дн.</v>
      </c>
      <c r="I926" s="20"/>
      <c r="J926" s="20"/>
      <c r="O926" s="20"/>
      <c r="V926" s="1" t="str">
        <f t="shared" si="61"/>
        <v>0 г. 0 мес. 0 дн.</v>
      </c>
      <c r="W926" s="69"/>
    </row>
    <row r="927" spans="1:23" ht="35.1" customHeight="1" x14ac:dyDescent="0.25">
      <c r="A927" s="1">
        <f t="shared" si="59"/>
        <v>926</v>
      </c>
      <c r="B927" s="1"/>
      <c r="C927" s="39"/>
      <c r="D927" s="21"/>
      <c r="G927" s="1"/>
      <c r="H927" s="11" t="str">
        <f t="shared" si="60"/>
        <v>0 г. 0 мес. 0 дн.</v>
      </c>
      <c r="I927" s="20"/>
      <c r="J927" s="20"/>
      <c r="O927" s="20"/>
      <c r="V927" s="1" t="str">
        <f t="shared" si="61"/>
        <v>0 г. 0 мес. 0 дн.</v>
      </c>
      <c r="W927" s="69"/>
    </row>
    <row r="928" spans="1:23" ht="35.1" customHeight="1" x14ac:dyDescent="0.25">
      <c r="A928" s="1">
        <f t="shared" si="59"/>
        <v>927</v>
      </c>
      <c r="B928" s="1"/>
      <c r="C928" s="39"/>
      <c r="D928" s="21"/>
      <c r="G928" s="1"/>
      <c r="H928" s="11" t="str">
        <f t="shared" si="60"/>
        <v>0 г. 0 мес. 0 дн.</v>
      </c>
      <c r="I928" s="20"/>
      <c r="J928" s="20"/>
      <c r="O928" s="20"/>
      <c r="V928" s="1" t="str">
        <f t="shared" si="61"/>
        <v>0 г. 0 мес. 0 дн.</v>
      </c>
      <c r="W928" s="69"/>
    </row>
    <row r="929" spans="1:23" ht="35.1" customHeight="1" x14ac:dyDescent="0.25">
      <c r="A929" s="1">
        <f t="shared" si="59"/>
        <v>928</v>
      </c>
      <c r="B929" s="1"/>
      <c r="C929" s="39"/>
      <c r="D929" s="21"/>
      <c r="G929" s="1"/>
      <c r="H929" s="11" t="str">
        <f t="shared" si="60"/>
        <v>0 г. 0 мес. 0 дн.</v>
      </c>
      <c r="I929" s="20"/>
      <c r="J929" s="20"/>
      <c r="O929" s="20"/>
      <c r="V929" s="1" t="str">
        <f t="shared" si="61"/>
        <v>0 г. 0 мес. 0 дн.</v>
      </c>
      <c r="W929" s="69"/>
    </row>
    <row r="930" spans="1:23" ht="35.1" customHeight="1" x14ac:dyDescent="0.25">
      <c r="A930" s="1">
        <f t="shared" si="59"/>
        <v>929</v>
      </c>
      <c r="B930" s="1"/>
      <c r="C930" s="39"/>
      <c r="D930" s="21"/>
      <c r="G930" s="1"/>
      <c r="H930" s="11" t="str">
        <f t="shared" si="60"/>
        <v>0 г. 0 мес. 0 дн.</v>
      </c>
      <c r="I930" s="20"/>
      <c r="J930" s="20"/>
      <c r="O930" s="20"/>
      <c r="V930" s="1" t="str">
        <f t="shared" si="61"/>
        <v>0 г. 0 мес. 0 дн.</v>
      </c>
      <c r="W930" s="69"/>
    </row>
    <row r="931" spans="1:23" ht="35.1" customHeight="1" x14ac:dyDescent="0.25">
      <c r="A931" s="1">
        <f t="shared" si="59"/>
        <v>930</v>
      </c>
      <c r="B931" s="1"/>
      <c r="C931" s="39"/>
      <c r="D931" s="21"/>
      <c r="G931" s="1"/>
      <c r="H931" s="11" t="str">
        <f t="shared" si="60"/>
        <v>0 г. 0 мес. 0 дн.</v>
      </c>
      <c r="I931" s="20"/>
      <c r="J931" s="20"/>
      <c r="O931" s="20"/>
      <c r="V931" s="1" t="str">
        <f t="shared" si="61"/>
        <v>0 г. 0 мес. 0 дн.</v>
      </c>
      <c r="W931" s="69"/>
    </row>
    <row r="932" spans="1:23" ht="35.1" customHeight="1" x14ac:dyDescent="0.25">
      <c r="A932" s="1">
        <f t="shared" si="59"/>
        <v>931</v>
      </c>
      <c r="B932" s="1"/>
      <c r="C932" s="39"/>
      <c r="D932" s="21"/>
      <c r="G932" s="1"/>
      <c r="H932" s="11" t="str">
        <f t="shared" si="60"/>
        <v>0 г. 0 мес. 0 дн.</v>
      </c>
      <c r="I932" s="20"/>
      <c r="J932" s="20"/>
      <c r="O932" s="20"/>
      <c r="V932" s="1" t="str">
        <f t="shared" si="61"/>
        <v>0 г. 0 мес. 0 дн.</v>
      </c>
      <c r="W932" s="69"/>
    </row>
    <row r="933" spans="1:23" ht="35.1" customHeight="1" x14ac:dyDescent="0.25">
      <c r="A933" s="1">
        <f t="shared" si="59"/>
        <v>932</v>
      </c>
      <c r="B933" s="1"/>
      <c r="C933" s="39"/>
      <c r="D933" s="21"/>
      <c r="G933" s="1"/>
      <c r="H933" s="11" t="str">
        <f t="shared" si="60"/>
        <v>0 г. 0 мес. 0 дн.</v>
      </c>
      <c r="I933" s="20"/>
      <c r="J933" s="20"/>
      <c r="O933" s="20"/>
      <c r="V933" s="1" t="str">
        <f t="shared" si="61"/>
        <v>0 г. 0 мес. 0 дн.</v>
      </c>
      <c r="W933" s="69"/>
    </row>
    <row r="934" spans="1:23" ht="35.1" customHeight="1" x14ac:dyDescent="0.25">
      <c r="A934" s="1">
        <f t="shared" si="59"/>
        <v>933</v>
      </c>
      <c r="B934" s="1"/>
      <c r="C934" s="39"/>
      <c r="D934" s="21"/>
      <c r="G934" s="1"/>
      <c r="H934" s="11" t="str">
        <f t="shared" si="60"/>
        <v>0 г. 0 мес. 0 дн.</v>
      </c>
      <c r="I934" s="20"/>
      <c r="J934" s="20"/>
      <c r="O934" s="20"/>
      <c r="V934" s="1" t="str">
        <f t="shared" si="61"/>
        <v>0 г. 0 мес. 0 дн.</v>
      </c>
      <c r="W934" s="69"/>
    </row>
    <row r="935" spans="1:23" ht="35.1" customHeight="1" x14ac:dyDescent="0.25">
      <c r="A935" s="1">
        <f t="shared" si="59"/>
        <v>934</v>
      </c>
      <c r="B935" s="1"/>
      <c r="C935" s="39"/>
      <c r="D935" s="21"/>
      <c r="G935" s="1"/>
      <c r="H935" s="11" t="str">
        <f t="shared" si="60"/>
        <v>0 г. 0 мес. 0 дн.</v>
      </c>
      <c r="I935" s="20"/>
      <c r="J935" s="20"/>
      <c r="O935" s="20"/>
      <c r="V935" s="1" t="str">
        <f t="shared" si="61"/>
        <v>0 г. 0 мес. 0 дн.</v>
      </c>
      <c r="W935" s="69"/>
    </row>
    <row r="936" spans="1:23" ht="35.1" customHeight="1" x14ac:dyDescent="0.25">
      <c r="A936" s="1">
        <f t="shared" si="59"/>
        <v>935</v>
      </c>
      <c r="B936" s="1"/>
      <c r="C936" s="39"/>
      <c r="D936" s="21"/>
      <c r="G936" s="1"/>
      <c r="H936" s="11" t="str">
        <f t="shared" si="60"/>
        <v>0 г. 0 мес. 0 дн.</v>
      </c>
      <c r="I936" s="20"/>
      <c r="J936" s="20"/>
      <c r="O936" s="20"/>
      <c r="V936" s="1" t="str">
        <f t="shared" si="61"/>
        <v>0 г. 0 мес. 0 дн.</v>
      </c>
      <c r="W936" s="69"/>
    </row>
    <row r="937" spans="1:23" ht="35.1" customHeight="1" x14ac:dyDescent="0.25">
      <c r="A937" s="1">
        <f t="shared" si="59"/>
        <v>936</v>
      </c>
      <c r="B937" s="1"/>
      <c r="C937" s="39"/>
      <c r="D937" s="21"/>
      <c r="G937" s="1"/>
      <c r="H937" s="11" t="str">
        <f t="shared" si="60"/>
        <v>0 г. 0 мес. 0 дн.</v>
      </c>
      <c r="I937" s="20"/>
      <c r="J937" s="20"/>
      <c r="O937" s="20"/>
      <c r="V937" s="1" t="str">
        <f t="shared" si="61"/>
        <v>0 г. 0 мес. 0 дн.</v>
      </c>
      <c r="W937" s="69"/>
    </row>
    <row r="938" spans="1:23" ht="35.1" customHeight="1" x14ac:dyDescent="0.25">
      <c r="A938" s="1">
        <f t="shared" si="59"/>
        <v>937</v>
      </c>
      <c r="B938" s="1"/>
      <c r="C938" s="39"/>
      <c r="D938" s="21"/>
      <c r="G938" s="1"/>
      <c r="H938" s="11" t="str">
        <f t="shared" si="60"/>
        <v>0 г. 0 мес. 0 дн.</v>
      </c>
      <c r="I938" s="20"/>
      <c r="J938" s="20"/>
      <c r="O938" s="20"/>
      <c r="V938" s="1" t="str">
        <f t="shared" si="61"/>
        <v>0 г. 0 мес. 0 дн.</v>
      </c>
      <c r="W938" s="69"/>
    </row>
    <row r="939" spans="1:23" ht="35.1" customHeight="1" x14ac:dyDescent="0.25">
      <c r="A939" s="1">
        <f t="shared" si="59"/>
        <v>938</v>
      </c>
      <c r="B939" s="1"/>
      <c r="C939" s="39"/>
      <c r="D939" s="21"/>
      <c r="G939" s="1"/>
      <c r="H939" s="11" t="str">
        <f t="shared" si="60"/>
        <v>0 г. 0 мес. 0 дн.</v>
      </c>
      <c r="I939" s="20"/>
      <c r="J939" s="20"/>
      <c r="O939" s="20"/>
      <c r="V939" s="1" t="str">
        <f t="shared" si="61"/>
        <v>0 г. 0 мес. 0 дн.</v>
      </c>
      <c r="W939" s="69"/>
    </row>
    <row r="940" spans="1:23" ht="35.1" customHeight="1" x14ac:dyDescent="0.25">
      <c r="A940" s="1">
        <f t="shared" si="59"/>
        <v>939</v>
      </c>
      <c r="B940" s="1"/>
      <c r="C940" s="39"/>
      <c r="D940" s="21"/>
      <c r="G940" s="1"/>
      <c r="H940" s="11" t="str">
        <f t="shared" si="60"/>
        <v>0 г. 0 мес. 0 дн.</v>
      </c>
      <c r="I940" s="20"/>
      <c r="J940" s="20"/>
      <c r="O940" s="20"/>
      <c r="V940" s="1" t="str">
        <f t="shared" si="61"/>
        <v>0 г. 0 мес. 0 дн.</v>
      </c>
      <c r="W940" s="69"/>
    </row>
    <row r="941" spans="1:23" ht="35.1" customHeight="1" x14ac:dyDescent="0.25">
      <c r="A941" s="1">
        <f t="shared" si="59"/>
        <v>940</v>
      </c>
      <c r="B941" s="1"/>
      <c r="C941" s="39"/>
      <c r="D941" s="21"/>
      <c r="G941" s="1"/>
      <c r="H941" s="11" t="str">
        <f t="shared" si="60"/>
        <v>0 г. 0 мес. 0 дн.</v>
      </c>
      <c r="I941" s="20"/>
      <c r="J941" s="20"/>
      <c r="O941" s="20"/>
      <c r="V941" s="1" t="str">
        <f t="shared" si="61"/>
        <v>0 г. 0 мес. 0 дн.</v>
      </c>
      <c r="W941" s="69"/>
    </row>
    <row r="942" spans="1:23" ht="35.1" customHeight="1" x14ac:dyDescent="0.25">
      <c r="A942" s="1">
        <f t="shared" si="59"/>
        <v>941</v>
      </c>
      <c r="B942" s="1"/>
      <c r="C942" s="39"/>
      <c r="D942" s="21"/>
      <c r="G942" s="1"/>
      <c r="H942" s="11" t="str">
        <f t="shared" si="60"/>
        <v>0 г. 0 мес. 0 дн.</v>
      </c>
      <c r="I942" s="20"/>
      <c r="J942" s="20"/>
      <c r="O942" s="20"/>
      <c r="V942" s="1" t="str">
        <f t="shared" si="61"/>
        <v>0 г. 0 мес. 0 дн.</v>
      </c>
      <c r="W942" s="69"/>
    </row>
    <row r="943" spans="1:23" ht="35.1" customHeight="1" x14ac:dyDescent="0.25">
      <c r="A943" s="1">
        <f t="shared" si="59"/>
        <v>942</v>
      </c>
      <c r="B943" s="1"/>
      <c r="C943" s="39"/>
      <c r="D943" s="21"/>
      <c r="G943" s="1"/>
      <c r="H943" s="11" t="str">
        <f t="shared" si="60"/>
        <v>0 г. 0 мес. 0 дн.</v>
      </c>
      <c r="I943" s="20"/>
      <c r="J943" s="20"/>
      <c r="O943" s="20"/>
      <c r="V943" s="1" t="str">
        <f t="shared" si="61"/>
        <v>0 г. 0 мес. 0 дн.</v>
      </c>
      <c r="W943" s="69"/>
    </row>
    <row r="944" spans="1:23" ht="35.1" customHeight="1" x14ac:dyDescent="0.25">
      <c r="A944" s="1">
        <f t="shared" si="59"/>
        <v>943</v>
      </c>
      <c r="B944" s="1"/>
      <c r="C944" s="39"/>
      <c r="D944" s="21"/>
      <c r="G944" s="1"/>
      <c r="H944" s="11" t="str">
        <f t="shared" si="60"/>
        <v>0 г. 0 мес. 0 дн.</v>
      </c>
      <c r="I944" s="20"/>
      <c r="J944" s="20"/>
      <c r="O944" s="20"/>
      <c r="V944" s="1" t="str">
        <f t="shared" si="61"/>
        <v>0 г. 0 мес. 0 дн.</v>
      </c>
      <c r="W944" s="69"/>
    </row>
    <row r="945" spans="1:23" ht="35.1" customHeight="1" x14ac:dyDescent="0.25">
      <c r="A945" s="1">
        <f t="shared" si="59"/>
        <v>944</v>
      </c>
      <c r="B945" s="1"/>
      <c r="C945" s="39"/>
      <c r="D945" s="21"/>
      <c r="G945" s="1"/>
      <c r="H945" s="11" t="str">
        <f t="shared" si="60"/>
        <v>0 г. 0 мес. 0 дн.</v>
      </c>
      <c r="I945" s="20"/>
      <c r="J945" s="20"/>
      <c r="O945" s="20"/>
      <c r="V945" s="1" t="str">
        <f t="shared" si="61"/>
        <v>0 г. 0 мес. 0 дн.</v>
      </c>
      <c r="W945" s="69"/>
    </row>
    <row r="946" spans="1:23" ht="35.1" customHeight="1" x14ac:dyDescent="0.25">
      <c r="A946" s="1">
        <f t="shared" si="59"/>
        <v>945</v>
      </c>
      <c r="B946" s="1"/>
      <c r="C946" s="39"/>
      <c r="D946" s="21"/>
      <c r="G946" s="1"/>
      <c r="H946" s="11" t="str">
        <f t="shared" si="60"/>
        <v>0 г. 0 мес. 0 дн.</v>
      </c>
      <c r="I946" s="20"/>
      <c r="J946" s="20"/>
      <c r="O946" s="20"/>
      <c r="V946" s="1" t="str">
        <f t="shared" si="61"/>
        <v>0 г. 0 мес. 0 дн.</v>
      </c>
      <c r="W946" s="69"/>
    </row>
    <row r="947" spans="1:23" ht="35.1" customHeight="1" x14ac:dyDescent="0.25">
      <c r="A947" s="1">
        <f t="shared" si="59"/>
        <v>946</v>
      </c>
      <c r="B947" s="1"/>
      <c r="C947" s="39"/>
      <c r="D947" s="21"/>
      <c r="G947" s="1"/>
      <c r="H947" s="11" t="str">
        <f t="shared" si="60"/>
        <v>0 г. 0 мес. 0 дн.</v>
      </c>
      <c r="I947" s="20"/>
      <c r="J947" s="20"/>
      <c r="O947" s="20"/>
      <c r="V947" s="1" t="str">
        <f t="shared" si="61"/>
        <v>0 г. 0 мес. 0 дн.</v>
      </c>
      <c r="W947" s="69"/>
    </row>
    <row r="948" spans="1:23" ht="35.1" customHeight="1" x14ac:dyDescent="0.25">
      <c r="A948" s="1">
        <f t="shared" si="59"/>
        <v>947</v>
      </c>
      <c r="B948" s="1"/>
      <c r="C948" s="39"/>
      <c r="D948" s="21"/>
      <c r="G948" s="1"/>
      <c r="H948" s="11" t="str">
        <f t="shared" si="60"/>
        <v>0 г. 0 мес. 0 дн.</v>
      </c>
      <c r="I948" s="20"/>
      <c r="J948" s="20"/>
      <c r="O948" s="20"/>
      <c r="V948" s="1" t="str">
        <f t="shared" si="61"/>
        <v>0 г. 0 мес. 0 дн.</v>
      </c>
      <c r="W948" s="69"/>
    </row>
    <row r="949" spans="1:23" ht="35.1" customHeight="1" x14ac:dyDescent="0.25">
      <c r="A949" s="1">
        <f t="shared" si="59"/>
        <v>948</v>
      </c>
      <c r="B949" s="1"/>
      <c r="C949" s="39"/>
      <c r="D949" s="21"/>
      <c r="G949" s="1"/>
      <c r="H949" s="11" t="str">
        <f t="shared" si="60"/>
        <v>0 г. 0 мес. 0 дн.</v>
      </c>
      <c r="I949" s="20"/>
      <c r="J949" s="20"/>
      <c r="O949" s="20"/>
      <c r="V949" s="1" t="str">
        <f t="shared" si="61"/>
        <v>0 г. 0 мес. 0 дн.</v>
      </c>
      <c r="W949" s="69"/>
    </row>
    <row r="950" spans="1:23" ht="35.1" customHeight="1" x14ac:dyDescent="0.25">
      <c r="A950" s="1">
        <f t="shared" si="59"/>
        <v>949</v>
      </c>
      <c r="B950" s="1"/>
      <c r="C950" s="39"/>
      <c r="D950" s="21"/>
      <c r="G950" s="1"/>
      <c r="H950" s="11" t="str">
        <f t="shared" si="60"/>
        <v>0 г. 0 мес. 0 дн.</v>
      </c>
      <c r="I950" s="20"/>
      <c r="J950" s="20"/>
      <c r="O950" s="20"/>
      <c r="V950" s="1" t="str">
        <f t="shared" si="61"/>
        <v>0 г. 0 мес. 0 дн.</v>
      </c>
      <c r="W950" s="69"/>
    </row>
    <row r="951" spans="1:23" ht="35.1" customHeight="1" x14ac:dyDescent="0.25">
      <c r="A951" s="1">
        <f t="shared" si="59"/>
        <v>950</v>
      </c>
      <c r="B951" s="1"/>
      <c r="C951" s="39"/>
      <c r="D951" s="21"/>
      <c r="G951" s="1"/>
      <c r="H951" s="11" t="str">
        <f t="shared" si="60"/>
        <v>0 г. 0 мес. 0 дн.</v>
      </c>
      <c r="I951" s="20"/>
      <c r="J951" s="20"/>
      <c r="O951" s="20"/>
      <c r="V951" s="1" t="str">
        <f t="shared" si="61"/>
        <v>0 г. 0 мес. 0 дн.</v>
      </c>
      <c r="W951" s="69"/>
    </row>
    <row r="952" spans="1:23" ht="35.1" customHeight="1" x14ac:dyDescent="0.25">
      <c r="A952" s="1">
        <f t="shared" si="59"/>
        <v>951</v>
      </c>
      <c r="B952" s="1"/>
      <c r="C952" s="39"/>
      <c r="D952" s="21"/>
      <c r="G952" s="1"/>
      <c r="H952" s="11" t="str">
        <f t="shared" si="60"/>
        <v>0 г. 0 мес. 0 дн.</v>
      </c>
      <c r="I952" s="20"/>
      <c r="J952" s="20"/>
      <c r="O952" s="20"/>
      <c r="V952" s="1" t="str">
        <f t="shared" si="61"/>
        <v>0 г. 0 мес. 0 дн.</v>
      </c>
      <c r="W952" s="69"/>
    </row>
    <row r="953" spans="1:23" ht="35.1" customHeight="1" x14ac:dyDescent="0.25">
      <c r="A953" s="1">
        <f t="shared" si="59"/>
        <v>952</v>
      </c>
      <c r="B953" s="1"/>
      <c r="C953" s="39"/>
      <c r="D953" s="21"/>
      <c r="G953" s="1"/>
      <c r="H953" s="11" t="str">
        <f t="shared" si="60"/>
        <v>0 г. 0 мес. 0 дн.</v>
      </c>
      <c r="I953" s="20"/>
      <c r="J953" s="20"/>
      <c r="O953" s="20"/>
      <c r="V953" s="1" t="str">
        <f t="shared" si="61"/>
        <v>0 г. 0 мес. 0 дн.</v>
      </c>
      <c r="W953" s="69"/>
    </row>
    <row r="954" spans="1:23" ht="35.1" customHeight="1" x14ac:dyDescent="0.25">
      <c r="A954" s="1">
        <f t="shared" si="59"/>
        <v>953</v>
      </c>
      <c r="B954" s="1"/>
      <c r="C954" s="39"/>
      <c r="D954" s="21"/>
      <c r="G954" s="1"/>
      <c r="H954" s="11" t="str">
        <f t="shared" si="60"/>
        <v>0 г. 0 мес. 0 дн.</v>
      </c>
      <c r="I954" s="20"/>
      <c r="J954" s="20"/>
      <c r="O954" s="20"/>
      <c r="V954" s="1" t="str">
        <f t="shared" si="61"/>
        <v>0 г. 0 мес. 0 дн.</v>
      </c>
      <c r="W954" s="69"/>
    </row>
    <row r="955" spans="1:23" ht="35.1" customHeight="1" x14ac:dyDescent="0.25">
      <c r="A955" s="1">
        <f t="shared" si="59"/>
        <v>954</v>
      </c>
      <c r="B955" s="1"/>
      <c r="C955" s="39"/>
      <c r="D955" s="21"/>
      <c r="G955" s="1"/>
      <c r="H955" s="11" t="str">
        <f t="shared" si="60"/>
        <v>0 г. 0 мес. 0 дн.</v>
      </c>
      <c r="I955" s="20"/>
      <c r="J955" s="20"/>
      <c r="O955" s="20"/>
      <c r="V955" s="1" t="str">
        <f t="shared" si="61"/>
        <v>0 г. 0 мес. 0 дн.</v>
      </c>
      <c r="W955" s="69"/>
    </row>
    <row r="956" spans="1:23" ht="35.1" customHeight="1" x14ac:dyDescent="0.25">
      <c r="A956" s="1">
        <f t="shared" si="59"/>
        <v>955</v>
      </c>
      <c r="B956" s="1"/>
      <c r="C956" s="39"/>
      <c r="D956" s="21"/>
      <c r="G956" s="1"/>
      <c r="H956" s="11" t="str">
        <f t="shared" si="60"/>
        <v>0 г. 0 мес. 0 дн.</v>
      </c>
      <c r="I956" s="20"/>
      <c r="J956" s="20"/>
      <c r="O956" s="20"/>
      <c r="V956" s="1" t="str">
        <f t="shared" si="61"/>
        <v>0 г. 0 мес. 0 дн.</v>
      </c>
      <c r="W956" s="69"/>
    </row>
    <row r="957" spans="1:23" ht="35.1" customHeight="1" x14ac:dyDescent="0.25">
      <c r="A957" s="1">
        <f t="shared" si="59"/>
        <v>956</v>
      </c>
      <c r="B957" s="1"/>
      <c r="C957" s="39"/>
      <c r="D957" s="21"/>
      <c r="G957" s="1"/>
      <c r="H957" s="11" t="str">
        <f t="shared" si="60"/>
        <v>0 г. 0 мес. 0 дн.</v>
      </c>
      <c r="I957" s="20"/>
      <c r="J957" s="20"/>
      <c r="O957" s="20"/>
      <c r="V957" s="1" t="str">
        <f t="shared" si="61"/>
        <v>0 г. 0 мес. 0 дн.</v>
      </c>
      <c r="W957" s="69"/>
    </row>
    <row r="958" spans="1:23" ht="35.1" customHeight="1" x14ac:dyDescent="0.25">
      <c r="A958" s="1">
        <f t="shared" si="59"/>
        <v>957</v>
      </c>
      <c r="B958" s="1"/>
      <c r="C958" s="39"/>
      <c r="D958" s="21"/>
      <c r="G958" s="1"/>
      <c r="H958" s="11" t="str">
        <f t="shared" si="60"/>
        <v>0 г. 0 мес. 0 дн.</v>
      </c>
      <c r="I958" s="20"/>
      <c r="J958" s="20"/>
      <c r="O958" s="20"/>
      <c r="V958" s="1" t="str">
        <f t="shared" si="61"/>
        <v>0 г. 0 мес. 0 дн.</v>
      </c>
      <c r="W958" s="69"/>
    </row>
    <row r="959" spans="1:23" ht="35.1" customHeight="1" x14ac:dyDescent="0.25">
      <c r="A959" s="1">
        <f t="shared" si="59"/>
        <v>958</v>
      </c>
      <c r="B959" s="1"/>
      <c r="C959" s="39"/>
      <c r="D959" s="21"/>
      <c r="G959" s="1"/>
      <c r="H959" s="11" t="str">
        <f t="shared" si="60"/>
        <v>0 г. 0 мес. 0 дн.</v>
      </c>
      <c r="I959" s="20"/>
      <c r="J959" s="20"/>
      <c r="O959" s="20"/>
      <c r="V959" s="1" t="str">
        <f t="shared" si="61"/>
        <v>0 г. 0 мес. 0 дн.</v>
      </c>
      <c r="W959" s="69"/>
    </row>
    <row r="960" spans="1:23" ht="35.1" customHeight="1" x14ac:dyDescent="0.25">
      <c r="A960" s="1">
        <f t="shared" si="59"/>
        <v>959</v>
      </c>
      <c r="B960" s="1"/>
      <c r="C960" s="39"/>
      <c r="D960" s="21"/>
      <c r="G960" s="1"/>
      <c r="H960" s="11" t="str">
        <f t="shared" si="60"/>
        <v>0 г. 0 мес. 0 дн.</v>
      </c>
      <c r="I960" s="20"/>
      <c r="J960" s="20"/>
      <c r="O960" s="20"/>
      <c r="V960" s="1" t="str">
        <f t="shared" si="61"/>
        <v>0 г. 0 мес. 0 дн.</v>
      </c>
      <c r="W960" s="69"/>
    </row>
    <row r="961" spans="1:23" ht="35.1" customHeight="1" x14ac:dyDescent="0.25">
      <c r="A961" s="1">
        <f t="shared" ref="A961:A1024" si="62">ROW(A960)</f>
        <v>960</v>
      </c>
      <c r="B961" s="1"/>
      <c r="C961" s="39"/>
      <c r="D961" s="21"/>
      <c r="G961" s="1"/>
      <c r="H961" s="11" t="str">
        <f t="shared" ref="H961:H1024" si="63">DATEDIF(G961,D961,"y") &amp; " г. " &amp; DATEDIF(G961,D961,"ym") &amp; " мес. " &amp; DATEDIF(G961,D961,"md") &amp; " дн."</f>
        <v>0 г. 0 мес. 0 дн.</v>
      </c>
      <c r="I961" s="20"/>
      <c r="J961" s="20"/>
      <c r="O961" s="20"/>
      <c r="V961" s="1" t="str">
        <f t="shared" si="61"/>
        <v>0 г. 0 мес. 0 дн.</v>
      </c>
      <c r="W961" s="69"/>
    </row>
    <row r="962" spans="1:23" ht="35.1" customHeight="1" x14ac:dyDescent="0.25">
      <c r="A962" s="1">
        <f t="shared" si="62"/>
        <v>961</v>
      </c>
      <c r="B962" s="1"/>
      <c r="C962" s="39"/>
      <c r="D962" s="21"/>
      <c r="G962" s="1"/>
      <c r="H962" s="11" t="str">
        <f t="shared" si="63"/>
        <v>0 г. 0 мес. 0 дн.</v>
      </c>
      <c r="I962" s="20"/>
      <c r="J962" s="20"/>
      <c r="O962" s="20"/>
      <c r="V962" s="1" t="str">
        <f t="shared" si="61"/>
        <v>0 г. 0 мес. 0 дн.</v>
      </c>
      <c r="W962" s="69"/>
    </row>
    <row r="963" spans="1:23" ht="35.1" customHeight="1" x14ac:dyDescent="0.25">
      <c r="A963" s="1">
        <f t="shared" si="62"/>
        <v>962</v>
      </c>
      <c r="B963" s="1"/>
      <c r="C963" s="39"/>
      <c r="D963" s="21"/>
      <c r="G963" s="1"/>
      <c r="H963" s="11" t="str">
        <f t="shared" si="63"/>
        <v>0 г. 0 мес. 0 дн.</v>
      </c>
      <c r="I963" s="20"/>
      <c r="J963" s="20"/>
      <c r="O963" s="20"/>
      <c r="V963" s="1" t="str">
        <f t="shared" si="61"/>
        <v>0 г. 0 мес. 0 дн.</v>
      </c>
      <c r="W963" s="69"/>
    </row>
    <row r="964" spans="1:23" ht="35.1" customHeight="1" x14ac:dyDescent="0.25">
      <c r="A964" s="1">
        <f t="shared" si="62"/>
        <v>963</v>
      </c>
      <c r="B964" s="1"/>
      <c r="C964" s="39"/>
      <c r="D964" s="21"/>
      <c r="G964" s="1"/>
      <c r="H964" s="11" t="str">
        <f t="shared" si="63"/>
        <v>0 г. 0 мес. 0 дн.</v>
      </c>
      <c r="I964" s="20"/>
      <c r="J964" s="20"/>
      <c r="O964" s="20"/>
      <c r="V964" s="1" t="str">
        <f t="shared" si="61"/>
        <v>0 г. 0 мес. 0 дн.</v>
      </c>
      <c r="W964" s="69"/>
    </row>
    <row r="965" spans="1:23" ht="35.1" customHeight="1" x14ac:dyDescent="0.25">
      <c r="A965" s="1">
        <f t="shared" si="62"/>
        <v>964</v>
      </c>
      <c r="B965" s="1"/>
      <c r="C965" s="39"/>
      <c r="D965" s="21"/>
      <c r="G965" s="1"/>
      <c r="H965" s="11" t="str">
        <f t="shared" si="63"/>
        <v>0 г. 0 мес. 0 дн.</v>
      </c>
      <c r="I965" s="20"/>
      <c r="J965" s="20"/>
      <c r="O965" s="20"/>
      <c r="V965" s="1" t="str">
        <f t="shared" si="61"/>
        <v>0 г. 0 мес. 0 дн.</v>
      </c>
      <c r="W965" s="69"/>
    </row>
    <row r="966" spans="1:23" ht="35.1" customHeight="1" x14ac:dyDescent="0.25">
      <c r="A966" s="1">
        <f t="shared" si="62"/>
        <v>965</v>
      </c>
      <c r="B966" s="1"/>
      <c r="C966" s="39"/>
      <c r="D966" s="21"/>
      <c r="G966" s="1"/>
      <c r="H966" s="11" t="str">
        <f t="shared" si="63"/>
        <v>0 г. 0 мес. 0 дн.</v>
      </c>
      <c r="I966" s="20"/>
      <c r="J966" s="20"/>
      <c r="O966" s="20"/>
      <c r="V966" s="1" t="str">
        <f t="shared" si="61"/>
        <v>0 г. 0 мес. 0 дн.</v>
      </c>
      <c r="W966" s="69"/>
    </row>
    <row r="967" spans="1:23" ht="35.1" customHeight="1" x14ac:dyDescent="0.25">
      <c r="A967" s="1">
        <f t="shared" si="62"/>
        <v>966</v>
      </c>
      <c r="B967" s="1"/>
      <c r="C967" s="39"/>
      <c r="D967" s="21"/>
      <c r="G967" s="1"/>
      <c r="H967" s="11" t="str">
        <f t="shared" si="63"/>
        <v>0 г. 0 мес. 0 дн.</v>
      </c>
      <c r="I967" s="20"/>
      <c r="J967" s="20"/>
      <c r="O967" s="20"/>
      <c r="V967" s="1" t="str">
        <f t="shared" si="61"/>
        <v>0 г. 0 мес. 0 дн.</v>
      </c>
      <c r="W967" s="69"/>
    </row>
    <row r="968" spans="1:23" ht="35.1" customHeight="1" x14ac:dyDescent="0.25">
      <c r="A968" s="1">
        <f t="shared" si="62"/>
        <v>967</v>
      </c>
      <c r="B968" s="1"/>
      <c r="C968" s="39"/>
      <c r="D968" s="21"/>
      <c r="G968" s="1"/>
      <c r="H968" s="11" t="str">
        <f t="shared" si="63"/>
        <v>0 г. 0 мес. 0 дн.</v>
      </c>
      <c r="I968" s="20"/>
      <c r="J968" s="20"/>
      <c r="O968" s="20"/>
      <c r="V968" s="1" t="str">
        <f t="shared" si="61"/>
        <v>0 г. 0 мес. 0 дн.</v>
      </c>
      <c r="W968" s="69"/>
    </row>
    <row r="969" spans="1:23" ht="35.1" customHeight="1" x14ac:dyDescent="0.25">
      <c r="A969" s="1">
        <f t="shared" si="62"/>
        <v>968</v>
      </c>
      <c r="B969" s="1"/>
      <c r="C969" s="39"/>
      <c r="D969" s="21"/>
      <c r="G969" s="1"/>
      <c r="H969" s="11" t="str">
        <f t="shared" si="63"/>
        <v>0 г. 0 мес. 0 дн.</v>
      </c>
      <c r="I969" s="20"/>
      <c r="J969" s="20"/>
      <c r="O969" s="20"/>
      <c r="V969" s="1" t="str">
        <f t="shared" si="61"/>
        <v>0 г. 0 мес. 0 дн.</v>
      </c>
      <c r="W969" s="69"/>
    </row>
    <row r="970" spans="1:23" ht="35.1" customHeight="1" x14ac:dyDescent="0.25">
      <c r="A970" s="1">
        <f t="shared" si="62"/>
        <v>969</v>
      </c>
      <c r="B970" s="1"/>
      <c r="C970" s="39"/>
      <c r="D970" s="21"/>
      <c r="G970" s="1"/>
      <c r="H970" s="11" t="str">
        <f t="shared" si="63"/>
        <v>0 г. 0 мес. 0 дн.</v>
      </c>
      <c r="I970" s="20"/>
      <c r="J970" s="20"/>
      <c r="O970" s="20"/>
      <c r="V970" s="1" t="str">
        <f t="shared" si="61"/>
        <v>0 г. 0 мес. 0 дн.</v>
      </c>
      <c r="W970" s="69"/>
    </row>
    <row r="971" spans="1:23" ht="35.1" customHeight="1" x14ac:dyDescent="0.25">
      <c r="A971" s="1">
        <f t="shared" si="62"/>
        <v>970</v>
      </c>
      <c r="B971" s="1"/>
      <c r="C971" s="39"/>
      <c r="D971" s="21"/>
      <c r="G971" s="1"/>
      <c r="H971" s="11" t="str">
        <f t="shared" si="63"/>
        <v>0 г. 0 мес. 0 дн.</v>
      </c>
      <c r="I971" s="20"/>
      <c r="J971" s="20"/>
      <c r="O971" s="20"/>
      <c r="V971" s="1" t="str">
        <f t="shared" si="61"/>
        <v>0 г. 0 мес. 0 дн.</v>
      </c>
      <c r="W971" s="69"/>
    </row>
    <row r="972" spans="1:23" ht="35.1" customHeight="1" x14ac:dyDescent="0.25">
      <c r="A972" s="1">
        <f t="shared" si="62"/>
        <v>971</v>
      </c>
      <c r="B972" s="1"/>
      <c r="C972" s="39"/>
      <c r="D972" s="21"/>
      <c r="G972" s="1"/>
      <c r="H972" s="11" t="str">
        <f t="shared" si="63"/>
        <v>0 г. 0 мес. 0 дн.</v>
      </c>
      <c r="I972" s="20"/>
      <c r="J972" s="20"/>
      <c r="O972" s="20"/>
      <c r="V972" s="1" t="str">
        <f t="shared" si="61"/>
        <v>0 г. 0 мес. 0 дн.</v>
      </c>
      <c r="W972" s="69"/>
    </row>
    <row r="973" spans="1:23" ht="35.1" customHeight="1" x14ac:dyDescent="0.25">
      <c r="A973" s="1">
        <f t="shared" si="62"/>
        <v>972</v>
      </c>
      <c r="B973" s="1"/>
      <c r="C973" s="39"/>
      <c r="D973" s="21"/>
      <c r="G973" s="1"/>
      <c r="H973" s="11" t="str">
        <f t="shared" si="63"/>
        <v>0 г. 0 мес. 0 дн.</v>
      </c>
      <c r="I973" s="20"/>
      <c r="J973" s="20"/>
      <c r="O973" s="20"/>
      <c r="V973" s="1" t="str">
        <f t="shared" si="61"/>
        <v>0 г. 0 мес. 0 дн.</v>
      </c>
      <c r="W973" s="69"/>
    </row>
    <row r="974" spans="1:23" ht="35.1" customHeight="1" x14ac:dyDescent="0.25">
      <c r="A974" s="1">
        <f t="shared" si="62"/>
        <v>973</v>
      </c>
      <c r="B974" s="1"/>
      <c r="C974" s="39"/>
      <c r="D974" s="21"/>
      <c r="G974" s="1"/>
      <c r="H974" s="11" t="str">
        <f t="shared" si="63"/>
        <v>0 г. 0 мес. 0 дн.</v>
      </c>
      <c r="I974" s="20"/>
      <c r="J974" s="20"/>
      <c r="O974" s="20"/>
      <c r="V974" s="1" t="str">
        <f t="shared" si="61"/>
        <v>0 г. 0 мес. 0 дн.</v>
      </c>
      <c r="W974" s="69"/>
    </row>
    <row r="975" spans="1:23" ht="35.1" customHeight="1" x14ac:dyDescent="0.25">
      <c r="A975" s="1">
        <f t="shared" si="62"/>
        <v>974</v>
      </c>
      <c r="B975" s="1"/>
      <c r="C975" s="39"/>
      <c r="D975" s="21"/>
      <c r="G975" s="1"/>
      <c r="H975" s="11" t="str">
        <f t="shared" si="63"/>
        <v>0 г. 0 мес. 0 дн.</v>
      </c>
      <c r="I975" s="20"/>
      <c r="J975" s="20"/>
      <c r="O975" s="20"/>
      <c r="V975" s="1" t="str">
        <f t="shared" si="61"/>
        <v>0 г. 0 мес. 0 дн.</v>
      </c>
      <c r="W975" s="69"/>
    </row>
    <row r="976" spans="1:23" ht="35.1" customHeight="1" x14ac:dyDescent="0.25">
      <c r="A976" s="1">
        <f t="shared" si="62"/>
        <v>975</v>
      </c>
      <c r="B976" s="1"/>
      <c r="C976" s="39"/>
      <c r="D976" s="21"/>
      <c r="G976" s="1"/>
      <c r="H976" s="11" t="str">
        <f t="shared" si="63"/>
        <v>0 г. 0 мес. 0 дн.</v>
      </c>
      <c r="I976" s="20"/>
      <c r="J976" s="20"/>
      <c r="O976" s="20"/>
      <c r="V976" s="1" t="str">
        <f t="shared" si="61"/>
        <v>0 г. 0 мес. 0 дн.</v>
      </c>
      <c r="W976" s="69"/>
    </row>
    <row r="977" spans="1:23" ht="35.1" customHeight="1" x14ac:dyDescent="0.25">
      <c r="A977" s="1">
        <f t="shared" si="62"/>
        <v>976</v>
      </c>
      <c r="B977" s="1"/>
      <c r="C977" s="39"/>
      <c r="D977" s="21"/>
      <c r="G977" s="1"/>
      <c r="H977" s="11" t="str">
        <f t="shared" si="63"/>
        <v>0 г. 0 мес. 0 дн.</v>
      </c>
      <c r="I977" s="20"/>
      <c r="J977" s="20"/>
      <c r="O977" s="20"/>
      <c r="V977" s="1" t="str">
        <f t="shared" si="61"/>
        <v>0 г. 0 мес. 0 дн.</v>
      </c>
      <c r="W977" s="69"/>
    </row>
    <row r="978" spans="1:23" ht="35.1" customHeight="1" x14ac:dyDescent="0.25">
      <c r="A978" s="1">
        <f t="shared" si="62"/>
        <v>977</v>
      </c>
      <c r="B978" s="1"/>
      <c r="C978" s="39"/>
      <c r="D978" s="21"/>
      <c r="G978" s="1"/>
      <c r="H978" s="11" t="str">
        <f t="shared" si="63"/>
        <v>0 г. 0 мес. 0 дн.</v>
      </c>
      <c r="I978" s="20"/>
      <c r="J978" s="20"/>
      <c r="O978" s="20"/>
      <c r="V978" s="1" t="str">
        <f t="shared" si="61"/>
        <v>0 г. 0 мес. 0 дн.</v>
      </c>
      <c r="W978" s="69"/>
    </row>
    <row r="979" spans="1:23" ht="35.1" customHeight="1" x14ac:dyDescent="0.25">
      <c r="A979" s="1">
        <f t="shared" si="62"/>
        <v>978</v>
      </c>
      <c r="B979" s="1"/>
      <c r="C979" s="39"/>
      <c r="D979" s="21"/>
      <c r="G979" s="1"/>
      <c r="H979" s="11" t="str">
        <f t="shared" si="63"/>
        <v>0 г. 0 мес. 0 дн.</v>
      </c>
      <c r="I979" s="20"/>
      <c r="J979" s="20"/>
      <c r="O979" s="20"/>
      <c r="V979" s="1" t="str">
        <f t="shared" si="61"/>
        <v>0 г. 0 мес. 0 дн.</v>
      </c>
      <c r="W979" s="69"/>
    </row>
    <row r="980" spans="1:23" ht="35.1" customHeight="1" x14ac:dyDescent="0.25">
      <c r="A980" s="1">
        <f t="shared" si="62"/>
        <v>979</v>
      </c>
      <c r="B980" s="1"/>
      <c r="C980" s="39"/>
      <c r="D980" s="21"/>
      <c r="G980" s="1"/>
      <c r="H980" s="11" t="str">
        <f t="shared" si="63"/>
        <v>0 г. 0 мес. 0 дн.</v>
      </c>
      <c r="I980" s="20"/>
      <c r="J980" s="20"/>
      <c r="O980" s="20"/>
      <c r="V980" s="1" t="str">
        <f t="shared" si="61"/>
        <v>0 г. 0 мес. 0 дн.</v>
      </c>
      <c r="W980" s="69"/>
    </row>
    <row r="981" spans="1:23" ht="35.1" customHeight="1" x14ac:dyDescent="0.25">
      <c r="A981" s="1">
        <f t="shared" si="62"/>
        <v>980</v>
      </c>
      <c r="B981" s="1"/>
      <c r="C981" s="39"/>
      <c r="D981" s="21"/>
      <c r="G981" s="1"/>
      <c r="H981" s="11" t="str">
        <f t="shared" si="63"/>
        <v>0 г. 0 мес. 0 дн.</v>
      </c>
      <c r="I981" s="20"/>
      <c r="J981" s="20"/>
      <c r="O981" s="20"/>
      <c r="V981" s="1" t="str">
        <f t="shared" si="61"/>
        <v>0 г. 0 мес. 0 дн.</v>
      </c>
      <c r="W981" s="69"/>
    </row>
    <row r="982" spans="1:23" ht="35.1" customHeight="1" x14ac:dyDescent="0.25">
      <c r="A982" s="1">
        <f t="shared" si="62"/>
        <v>981</v>
      </c>
      <c r="B982" s="1"/>
      <c r="C982" s="39"/>
      <c r="D982" s="21"/>
      <c r="G982" s="1"/>
      <c r="H982" s="11" t="str">
        <f t="shared" si="63"/>
        <v>0 г. 0 мес. 0 дн.</v>
      </c>
      <c r="I982" s="20"/>
      <c r="J982" s="20"/>
      <c r="O982" s="20"/>
      <c r="V982" s="1" t="str">
        <f t="shared" si="61"/>
        <v>0 г. 0 мес. 0 дн.</v>
      </c>
      <c r="W982" s="69"/>
    </row>
    <row r="983" spans="1:23" ht="35.1" customHeight="1" x14ac:dyDescent="0.25">
      <c r="A983" s="1">
        <f t="shared" si="62"/>
        <v>982</v>
      </c>
      <c r="B983" s="1"/>
      <c r="C983" s="39"/>
      <c r="D983" s="21"/>
      <c r="G983" s="1"/>
      <c r="H983" s="11" t="str">
        <f t="shared" si="63"/>
        <v>0 г. 0 мес. 0 дн.</v>
      </c>
      <c r="I983" s="20"/>
      <c r="J983" s="20"/>
      <c r="O983" s="20"/>
      <c r="V983" s="1" t="str">
        <f t="shared" si="61"/>
        <v>0 г. 0 мес. 0 дн.</v>
      </c>
      <c r="W983" s="69"/>
    </row>
    <row r="984" spans="1:23" ht="35.1" customHeight="1" x14ac:dyDescent="0.25">
      <c r="A984" s="1">
        <f t="shared" si="62"/>
        <v>983</v>
      </c>
      <c r="B984" s="1"/>
      <c r="C984" s="39"/>
      <c r="D984" s="21"/>
      <c r="G984" s="1"/>
      <c r="H984" s="11" t="str">
        <f t="shared" si="63"/>
        <v>0 г. 0 мес. 0 дн.</v>
      </c>
      <c r="I984" s="20"/>
      <c r="J984" s="20"/>
      <c r="O984" s="20"/>
      <c r="V984" s="1" t="str">
        <f t="shared" si="61"/>
        <v>0 г. 0 мес. 0 дн.</v>
      </c>
      <c r="W984" s="69"/>
    </row>
    <row r="985" spans="1:23" ht="35.1" customHeight="1" x14ac:dyDescent="0.25">
      <c r="A985" s="1">
        <f t="shared" si="62"/>
        <v>984</v>
      </c>
      <c r="B985" s="1"/>
      <c r="C985" s="39"/>
      <c r="D985" s="21"/>
      <c r="G985" s="1"/>
      <c r="H985" s="11" t="str">
        <f t="shared" si="63"/>
        <v>0 г. 0 мес. 0 дн.</v>
      </c>
      <c r="I985" s="20"/>
      <c r="J985" s="20"/>
      <c r="O985" s="20"/>
      <c r="V985" s="1" t="str">
        <f t="shared" ref="V985:V1048" si="64">DATEDIF(D985,T985,"y") &amp; " г. " &amp; DATEDIF(D985,T985,"ym") &amp; " мес. " &amp; DATEDIF(D985,T985,"md") &amp; " дн."</f>
        <v>0 г. 0 мес. 0 дн.</v>
      </c>
      <c r="W985" s="69"/>
    </row>
    <row r="986" spans="1:23" ht="35.1" customHeight="1" x14ac:dyDescent="0.25">
      <c r="A986" s="1">
        <f t="shared" si="62"/>
        <v>985</v>
      </c>
      <c r="B986" s="1"/>
      <c r="C986" s="39"/>
      <c r="D986" s="21"/>
      <c r="G986" s="1"/>
      <c r="H986" s="11" t="str">
        <f t="shared" si="63"/>
        <v>0 г. 0 мес. 0 дн.</v>
      </c>
      <c r="I986" s="20"/>
      <c r="J986" s="20"/>
      <c r="O986" s="20"/>
      <c r="V986" s="1" t="str">
        <f t="shared" si="64"/>
        <v>0 г. 0 мес. 0 дн.</v>
      </c>
      <c r="W986" s="69"/>
    </row>
    <row r="987" spans="1:23" ht="35.1" customHeight="1" x14ac:dyDescent="0.25">
      <c r="A987" s="1">
        <f t="shared" si="62"/>
        <v>986</v>
      </c>
      <c r="B987" s="1"/>
      <c r="C987" s="39"/>
      <c r="D987" s="21"/>
      <c r="G987" s="1"/>
      <c r="H987" s="11" t="str">
        <f t="shared" si="63"/>
        <v>0 г. 0 мес. 0 дн.</v>
      </c>
      <c r="I987" s="20"/>
      <c r="J987" s="20"/>
      <c r="O987" s="20"/>
      <c r="V987" s="1" t="str">
        <f t="shared" si="64"/>
        <v>0 г. 0 мес. 0 дн.</v>
      </c>
      <c r="W987" s="69"/>
    </row>
    <row r="988" spans="1:23" ht="35.1" customHeight="1" x14ac:dyDescent="0.25">
      <c r="A988" s="1">
        <f t="shared" si="62"/>
        <v>987</v>
      </c>
      <c r="B988" s="1"/>
      <c r="C988" s="39"/>
      <c r="D988" s="21"/>
      <c r="G988" s="1"/>
      <c r="H988" s="11" t="str">
        <f t="shared" si="63"/>
        <v>0 г. 0 мес. 0 дн.</v>
      </c>
      <c r="I988" s="20"/>
      <c r="J988" s="20"/>
      <c r="O988" s="20"/>
      <c r="V988" s="1" t="str">
        <f t="shared" si="64"/>
        <v>0 г. 0 мес. 0 дн.</v>
      </c>
      <c r="W988" s="69"/>
    </row>
    <row r="989" spans="1:23" ht="35.1" customHeight="1" x14ac:dyDescent="0.25">
      <c r="A989" s="1">
        <f t="shared" si="62"/>
        <v>988</v>
      </c>
      <c r="B989" s="1"/>
      <c r="C989" s="39"/>
      <c r="D989" s="21"/>
      <c r="G989" s="1"/>
      <c r="H989" s="11" t="str">
        <f t="shared" si="63"/>
        <v>0 г. 0 мес. 0 дн.</v>
      </c>
      <c r="I989" s="20"/>
      <c r="J989" s="20"/>
      <c r="O989" s="20"/>
      <c r="V989" s="1" t="str">
        <f t="shared" si="64"/>
        <v>0 г. 0 мес. 0 дн.</v>
      </c>
      <c r="W989" s="69"/>
    </row>
    <row r="990" spans="1:23" ht="35.1" customHeight="1" x14ac:dyDescent="0.25">
      <c r="A990" s="1">
        <f t="shared" si="62"/>
        <v>989</v>
      </c>
      <c r="B990" s="1"/>
      <c r="C990" s="39"/>
      <c r="D990" s="21"/>
      <c r="G990" s="1"/>
      <c r="H990" s="11" t="str">
        <f t="shared" si="63"/>
        <v>0 г. 0 мес. 0 дн.</v>
      </c>
      <c r="I990" s="20"/>
      <c r="J990" s="20"/>
      <c r="O990" s="20"/>
      <c r="V990" s="1" t="str">
        <f t="shared" si="64"/>
        <v>0 г. 0 мес. 0 дн.</v>
      </c>
      <c r="W990" s="69"/>
    </row>
    <row r="991" spans="1:23" ht="35.1" customHeight="1" x14ac:dyDescent="0.25">
      <c r="A991" s="1">
        <f t="shared" si="62"/>
        <v>990</v>
      </c>
      <c r="B991" s="1"/>
      <c r="C991" s="39"/>
      <c r="D991" s="21"/>
      <c r="G991" s="1"/>
      <c r="H991" s="11" t="str">
        <f t="shared" si="63"/>
        <v>0 г. 0 мес. 0 дн.</v>
      </c>
      <c r="I991" s="20"/>
      <c r="J991" s="20"/>
      <c r="O991" s="20"/>
      <c r="V991" s="1" t="str">
        <f t="shared" si="64"/>
        <v>0 г. 0 мес. 0 дн.</v>
      </c>
      <c r="W991" s="69"/>
    </row>
    <row r="992" spans="1:23" ht="35.1" customHeight="1" x14ac:dyDescent="0.25">
      <c r="A992" s="1">
        <f t="shared" si="62"/>
        <v>991</v>
      </c>
      <c r="B992" s="1"/>
      <c r="C992" s="39"/>
      <c r="D992" s="21"/>
      <c r="G992" s="1"/>
      <c r="H992" s="11" t="str">
        <f t="shared" si="63"/>
        <v>0 г. 0 мес. 0 дн.</v>
      </c>
      <c r="I992" s="20"/>
      <c r="J992" s="20"/>
      <c r="O992" s="20"/>
      <c r="V992" s="1" t="str">
        <f t="shared" si="64"/>
        <v>0 г. 0 мес. 0 дн.</v>
      </c>
      <c r="W992" s="69"/>
    </row>
    <row r="993" spans="1:23" ht="35.1" customHeight="1" x14ac:dyDescent="0.25">
      <c r="A993" s="1">
        <f t="shared" si="62"/>
        <v>992</v>
      </c>
      <c r="B993" s="1"/>
      <c r="C993" s="39"/>
      <c r="D993" s="21"/>
      <c r="G993" s="1"/>
      <c r="H993" s="11" t="str">
        <f t="shared" si="63"/>
        <v>0 г. 0 мес. 0 дн.</v>
      </c>
      <c r="I993" s="20"/>
      <c r="J993" s="20"/>
      <c r="O993" s="20"/>
      <c r="V993" s="1" t="str">
        <f t="shared" si="64"/>
        <v>0 г. 0 мес. 0 дн.</v>
      </c>
      <c r="W993" s="69"/>
    </row>
    <row r="994" spans="1:23" ht="35.1" customHeight="1" x14ac:dyDescent="0.25">
      <c r="A994" s="1">
        <f t="shared" si="62"/>
        <v>993</v>
      </c>
      <c r="B994" s="1"/>
      <c r="C994" s="39"/>
      <c r="D994" s="21"/>
      <c r="G994" s="1"/>
      <c r="H994" s="11" t="str">
        <f t="shared" si="63"/>
        <v>0 г. 0 мес. 0 дн.</v>
      </c>
      <c r="I994" s="20"/>
      <c r="J994" s="20"/>
      <c r="O994" s="20"/>
      <c r="V994" s="1" t="str">
        <f t="shared" si="64"/>
        <v>0 г. 0 мес. 0 дн.</v>
      </c>
      <c r="W994" s="69"/>
    </row>
    <row r="995" spans="1:23" ht="35.1" customHeight="1" x14ac:dyDescent="0.25">
      <c r="A995" s="1">
        <f t="shared" si="62"/>
        <v>994</v>
      </c>
      <c r="B995" s="1"/>
      <c r="C995" s="39"/>
      <c r="D995" s="21"/>
      <c r="G995" s="1"/>
      <c r="H995" s="11" t="str">
        <f t="shared" si="63"/>
        <v>0 г. 0 мес. 0 дн.</v>
      </c>
      <c r="I995" s="20"/>
      <c r="J995" s="20"/>
      <c r="O995" s="20"/>
      <c r="V995" s="1" t="str">
        <f t="shared" si="64"/>
        <v>0 г. 0 мес. 0 дн.</v>
      </c>
      <c r="W995" s="69"/>
    </row>
    <row r="996" spans="1:23" ht="35.1" customHeight="1" x14ac:dyDescent="0.25">
      <c r="A996" s="1">
        <f t="shared" si="62"/>
        <v>995</v>
      </c>
      <c r="B996" s="1"/>
      <c r="C996" s="39"/>
      <c r="D996" s="21"/>
      <c r="G996" s="1"/>
      <c r="H996" s="11" t="str">
        <f t="shared" si="63"/>
        <v>0 г. 0 мес. 0 дн.</v>
      </c>
      <c r="I996" s="20"/>
      <c r="J996" s="20"/>
      <c r="O996" s="20"/>
      <c r="V996" s="1" t="str">
        <f t="shared" si="64"/>
        <v>0 г. 0 мес. 0 дн.</v>
      </c>
      <c r="W996" s="69"/>
    </row>
    <row r="997" spans="1:23" ht="35.1" customHeight="1" x14ac:dyDescent="0.25">
      <c r="A997" s="1">
        <f t="shared" si="62"/>
        <v>996</v>
      </c>
      <c r="B997" s="1"/>
      <c r="C997" s="39"/>
      <c r="D997" s="21"/>
      <c r="G997" s="1"/>
      <c r="H997" s="11" t="str">
        <f t="shared" si="63"/>
        <v>0 г. 0 мес. 0 дн.</v>
      </c>
      <c r="I997" s="20"/>
      <c r="J997" s="20"/>
      <c r="O997" s="20"/>
      <c r="V997" s="1" t="str">
        <f t="shared" si="64"/>
        <v>0 г. 0 мес. 0 дн.</v>
      </c>
      <c r="W997" s="69"/>
    </row>
    <row r="998" spans="1:23" ht="35.1" customHeight="1" x14ac:dyDescent="0.25">
      <c r="A998" s="1">
        <f t="shared" si="62"/>
        <v>997</v>
      </c>
      <c r="B998" s="1"/>
      <c r="C998" s="39"/>
      <c r="D998" s="21"/>
      <c r="G998" s="1"/>
      <c r="H998" s="11" t="str">
        <f t="shared" si="63"/>
        <v>0 г. 0 мес. 0 дн.</v>
      </c>
      <c r="I998" s="20"/>
      <c r="J998" s="20"/>
      <c r="O998" s="20"/>
      <c r="V998" s="1" t="str">
        <f t="shared" si="64"/>
        <v>0 г. 0 мес. 0 дн.</v>
      </c>
      <c r="W998" s="69"/>
    </row>
    <row r="999" spans="1:23" ht="35.1" customHeight="1" x14ac:dyDescent="0.25">
      <c r="A999" s="1">
        <f t="shared" si="62"/>
        <v>998</v>
      </c>
      <c r="B999" s="1"/>
      <c r="C999" s="39"/>
      <c r="D999" s="21"/>
      <c r="G999" s="1"/>
      <c r="H999" s="11" t="str">
        <f t="shared" si="63"/>
        <v>0 г. 0 мес. 0 дн.</v>
      </c>
      <c r="I999" s="20"/>
      <c r="J999" s="20"/>
      <c r="O999" s="20"/>
      <c r="V999" s="1" t="str">
        <f t="shared" si="64"/>
        <v>0 г. 0 мес. 0 дн.</v>
      </c>
      <c r="W999" s="69"/>
    </row>
    <row r="1000" spans="1:23" ht="35.1" customHeight="1" x14ac:dyDescent="0.25">
      <c r="A1000" s="1">
        <f t="shared" si="62"/>
        <v>999</v>
      </c>
      <c r="B1000" s="1"/>
      <c r="C1000" s="39"/>
      <c r="D1000" s="21"/>
      <c r="G1000" s="1"/>
      <c r="H1000" s="11" t="str">
        <f t="shared" si="63"/>
        <v>0 г. 0 мес. 0 дн.</v>
      </c>
      <c r="I1000" s="20"/>
      <c r="J1000" s="20"/>
      <c r="O1000" s="20"/>
      <c r="V1000" s="1" t="str">
        <f t="shared" si="64"/>
        <v>0 г. 0 мес. 0 дн.</v>
      </c>
      <c r="W1000" s="69"/>
    </row>
    <row r="1001" spans="1:23" ht="35.1" customHeight="1" x14ac:dyDescent="0.25">
      <c r="A1001" s="1">
        <f t="shared" si="62"/>
        <v>1000</v>
      </c>
      <c r="B1001" s="1"/>
      <c r="C1001" s="39"/>
      <c r="D1001" s="21"/>
      <c r="G1001" s="1"/>
      <c r="H1001" s="11" t="str">
        <f t="shared" si="63"/>
        <v>0 г. 0 мес. 0 дн.</v>
      </c>
      <c r="I1001" s="20"/>
      <c r="J1001" s="20"/>
      <c r="O1001" s="20"/>
      <c r="V1001" s="1" t="str">
        <f t="shared" si="64"/>
        <v>0 г. 0 мес. 0 дн.</v>
      </c>
      <c r="W1001" s="69"/>
    </row>
    <row r="1002" spans="1:23" ht="35.1" customHeight="1" x14ac:dyDescent="0.25">
      <c r="A1002" s="1">
        <f t="shared" si="62"/>
        <v>1001</v>
      </c>
      <c r="B1002" s="1"/>
      <c r="C1002" s="39"/>
      <c r="D1002" s="21"/>
      <c r="G1002" s="1"/>
      <c r="H1002" s="11" t="str">
        <f t="shared" si="63"/>
        <v>0 г. 0 мес. 0 дн.</v>
      </c>
      <c r="I1002" s="20"/>
      <c r="J1002" s="20"/>
      <c r="O1002" s="20"/>
      <c r="V1002" s="1" t="str">
        <f t="shared" si="64"/>
        <v>0 г. 0 мес. 0 дн.</v>
      </c>
      <c r="W1002" s="69"/>
    </row>
    <row r="1003" spans="1:23" ht="35.1" customHeight="1" x14ac:dyDescent="0.25">
      <c r="A1003" s="1">
        <f t="shared" si="62"/>
        <v>1002</v>
      </c>
      <c r="B1003" s="1"/>
      <c r="C1003" s="39"/>
      <c r="D1003" s="21"/>
      <c r="G1003" s="1"/>
      <c r="H1003" s="11" t="str">
        <f t="shared" si="63"/>
        <v>0 г. 0 мес. 0 дн.</v>
      </c>
      <c r="I1003" s="20"/>
      <c r="J1003" s="20"/>
      <c r="O1003" s="20"/>
      <c r="V1003" s="1" t="str">
        <f t="shared" si="64"/>
        <v>0 г. 0 мес. 0 дн.</v>
      </c>
      <c r="W1003" s="69"/>
    </row>
    <row r="1004" spans="1:23" ht="35.1" customHeight="1" x14ac:dyDescent="0.25">
      <c r="A1004" s="1">
        <f t="shared" si="62"/>
        <v>1003</v>
      </c>
      <c r="B1004" s="1"/>
      <c r="C1004" s="39"/>
      <c r="D1004" s="21"/>
      <c r="G1004" s="1"/>
      <c r="H1004" s="11" t="str">
        <f t="shared" si="63"/>
        <v>0 г. 0 мес. 0 дн.</v>
      </c>
      <c r="I1004" s="20"/>
      <c r="J1004" s="20"/>
      <c r="O1004" s="20"/>
      <c r="V1004" s="1" t="str">
        <f t="shared" si="64"/>
        <v>0 г. 0 мес. 0 дн.</v>
      </c>
      <c r="W1004" s="69"/>
    </row>
    <row r="1005" spans="1:23" ht="35.1" customHeight="1" x14ac:dyDescent="0.25">
      <c r="A1005" s="1">
        <f t="shared" si="62"/>
        <v>1004</v>
      </c>
      <c r="B1005" s="1"/>
      <c r="C1005" s="39"/>
      <c r="D1005" s="21"/>
      <c r="G1005" s="1"/>
      <c r="H1005" s="11" t="str">
        <f t="shared" si="63"/>
        <v>0 г. 0 мес. 0 дн.</v>
      </c>
      <c r="I1005" s="20"/>
      <c r="J1005" s="20"/>
      <c r="O1005" s="20"/>
      <c r="V1005" s="1" t="str">
        <f t="shared" si="64"/>
        <v>0 г. 0 мес. 0 дн.</v>
      </c>
      <c r="W1005" s="69"/>
    </row>
    <row r="1006" spans="1:23" ht="35.1" customHeight="1" x14ac:dyDescent="0.25">
      <c r="A1006" s="1">
        <f t="shared" si="62"/>
        <v>1005</v>
      </c>
      <c r="B1006" s="1"/>
      <c r="C1006" s="39"/>
      <c r="D1006" s="21"/>
      <c r="G1006" s="1"/>
      <c r="H1006" s="11" t="str">
        <f t="shared" si="63"/>
        <v>0 г. 0 мес. 0 дн.</v>
      </c>
      <c r="I1006" s="20"/>
      <c r="J1006" s="20"/>
      <c r="O1006" s="20"/>
      <c r="V1006" s="1" t="str">
        <f t="shared" si="64"/>
        <v>0 г. 0 мес. 0 дн.</v>
      </c>
      <c r="W1006" s="69"/>
    </row>
    <row r="1007" spans="1:23" ht="35.1" customHeight="1" x14ac:dyDescent="0.25">
      <c r="A1007" s="1">
        <f t="shared" si="62"/>
        <v>1006</v>
      </c>
      <c r="B1007" s="1"/>
      <c r="C1007" s="39"/>
      <c r="D1007" s="21"/>
      <c r="G1007" s="1"/>
      <c r="H1007" s="11" t="str">
        <f t="shared" si="63"/>
        <v>0 г. 0 мес. 0 дн.</v>
      </c>
      <c r="I1007" s="20"/>
      <c r="J1007" s="20"/>
      <c r="O1007" s="20"/>
      <c r="V1007" s="1" t="str">
        <f t="shared" si="64"/>
        <v>0 г. 0 мес. 0 дн.</v>
      </c>
      <c r="W1007" s="69"/>
    </row>
    <row r="1008" spans="1:23" ht="35.1" customHeight="1" x14ac:dyDescent="0.25">
      <c r="A1008" s="1">
        <f t="shared" si="62"/>
        <v>1007</v>
      </c>
      <c r="B1008" s="1"/>
      <c r="C1008" s="39"/>
      <c r="D1008" s="21"/>
      <c r="G1008" s="1"/>
      <c r="H1008" s="11" t="str">
        <f t="shared" si="63"/>
        <v>0 г. 0 мес. 0 дн.</v>
      </c>
      <c r="I1008" s="20"/>
      <c r="J1008" s="20"/>
      <c r="O1008" s="20"/>
      <c r="V1008" s="1" t="str">
        <f t="shared" si="64"/>
        <v>0 г. 0 мес. 0 дн.</v>
      </c>
      <c r="W1008" s="69"/>
    </row>
    <row r="1009" spans="1:23" ht="35.1" customHeight="1" x14ac:dyDescent="0.25">
      <c r="A1009" s="1">
        <f t="shared" si="62"/>
        <v>1008</v>
      </c>
      <c r="B1009" s="1"/>
      <c r="C1009" s="39"/>
      <c r="D1009" s="21"/>
      <c r="G1009" s="1"/>
      <c r="H1009" s="11" t="str">
        <f t="shared" si="63"/>
        <v>0 г. 0 мес. 0 дн.</v>
      </c>
      <c r="I1009" s="20"/>
      <c r="J1009" s="20"/>
      <c r="O1009" s="20"/>
      <c r="V1009" s="1" t="str">
        <f t="shared" si="64"/>
        <v>0 г. 0 мес. 0 дн.</v>
      </c>
      <c r="W1009" s="69"/>
    </row>
    <row r="1010" spans="1:23" ht="35.1" customHeight="1" x14ac:dyDescent="0.25">
      <c r="A1010" s="1">
        <f t="shared" si="62"/>
        <v>1009</v>
      </c>
      <c r="B1010" s="1"/>
      <c r="C1010" s="39"/>
      <c r="D1010" s="21"/>
      <c r="G1010" s="1"/>
      <c r="H1010" s="11" t="str">
        <f t="shared" si="63"/>
        <v>0 г. 0 мес. 0 дн.</v>
      </c>
      <c r="I1010" s="20"/>
      <c r="J1010" s="20"/>
      <c r="O1010" s="20"/>
      <c r="V1010" s="1" t="str">
        <f t="shared" si="64"/>
        <v>0 г. 0 мес. 0 дн.</v>
      </c>
      <c r="W1010" s="69"/>
    </row>
    <row r="1011" spans="1:23" ht="35.1" customHeight="1" x14ac:dyDescent="0.25">
      <c r="A1011" s="1">
        <f t="shared" si="62"/>
        <v>1010</v>
      </c>
      <c r="B1011" s="1"/>
      <c r="C1011" s="39"/>
      <c r="D1011" s="21"/>
      <c r="G1011" s="1"/>
      <c r="H1011" s="11" t="str">
        <f t="shared" si="63"/>
        <v>0 г. 0 мес. 0 дн.</v>
      </c>
      <c r="I1011" s="20"/>
      <c r="J1011" s="20"/>
      <c r="O1011" s="20"/>
      <c r="V1011" s="1" t="str">
        <f t="shared" si="64"/>
        <v>0 г. 0 мес. 0 дн.</v>
      </c>
      <c r="W1011" s="69"/>
    </row>
    <row r="1012" spans="1:23" ht="35.1" customHeight="1" x14ac:dyDescent="0.25">
      <c r="A1012" s="1">
        <f t="shared" si="62"/>
        <v>1011</v>
      </c>
      <c r="B1012" s="1"/>
      <c r="C1012" s="39"/>
      <c r="D1012" s="21"/>
      <c r="G1012" s="1"/>
      <c r="H1012" s="11" t="str">
        <f t="shared" si="63"/>
        <v>0 г. 0 мес. 0 дн.</v>
      </c>
      <c r="I1012" s="20"/>
      <c r="J1012" s="20"/>
      <c r="O1012" s="20"/>
      <c r="V1012" s="1" t="str">
        <f t="shared" si="64"/>
        <v>0 г. 0 мес. 0 дн.</v>
      </c>
      <c r="W1012" s="69"/>
    </row>
    <row r="1013" spans="1:23" ht="35.1" customHeight="1" x14ac:dyDescent="0.25">
      <c r="A1013" s="1">
        <f t="shared" si="62"/>
        <v>1012</v>
      </c>
      <c r="B1013" s="1"/>
      <c r="C1013" s="39"/>
      <c r="D1013" s="21"/>
      <c r="G1013" s="1"/>
      <c r="H1013" s="11" t="str">
        <f t="shared" si="63"/>
        <v>0 г. 0 мес. 0 дн.</v>
      </c>
      <c r="I1013" s="20"/>
      <c r="J1013" s="20"/>
      <c r="O1013" s="20"/>
      <c r="V1013" s="1" t="str">
        <f t="shared" si="64"/>
        <v>0 г. 0 мес. 0 дн.</v>
      </c>
      <c r="W1013" s="69"/>
    </row>
    <row r="1014" spans="1:23" ht="35.1" customHeight="1" x14ac:dyDescent="0.25">
      <c r="A1014" s="1">
        <f t="shared" si="62"/>
        <v>1013</v>
      </c>
      <c r="B1014" s="1"/>
      <c r="C1014" s="39"/>
      <c r="D1014" s="21"/>
      <c r="G1014" s="1"/>
      <c r="H1014" s="11" t="str">
        <f t="shared" si="63"/>
        <v>0 г. 0 мес. 0 дн.</v>
      </c>
      <c r="I1014" s="20"/>
      <c r="J1014" s="20"/>
      <c r="O1014" s="20"/>
      <c r="V1014" s="1" t="str">
        <f t="shared" si="64"/>
        <v>0 г. 0 мес. 0 дн.</v>
      </c>
      <c r="W1014" s="69"/>
    </row>
    <row r="1015" spans="1:23" ht="35.1" customHeight="1" x14ac:dyDescent="0.25">
      <c r="A1015" s="1">
        <f t="shared" si="62"/>
        <v>1014</v>
      </c>
      <c r="B1015" s="1"/>
      <c r="C1015" s="39"/>
      <c r="D1015" s="21"/>
      <c r="G1015" s="1"/>
      <c r="H1015" s="11" t="str">
        <f t="shared" si="63"/>
        <v>0 г. 0 мес. 0 дн.</v>
      </c>
      <c r="I1015" s="20"/>
      <c r="J1015" s="20"/>
      <c r="O1015" s="20"/>
      <c r="V1015" s="1" t="str">
        <f t="shared" si="64"/>
        <v>0 г. 0 мес. 0 дн.</v>
      </c>
      <c r="W1015" s="69"/>
    </row>
    <row r="1016" spans="1:23" ht="35.1" customHeight="1" x14ac:dyDescent="0.25">
      <c r="A1016" s="1">
        <f t="shared" si="62"/>
        <v>1015</v>
      </c>
      <c r="B1016" s="1"/>
      <c r="C1016" s="39"/>
      <c r="D1016" s="21"/>
      <c r="G1016" s="1"/>
      <c r="H1016" s="11" t="str">
        <f t="shared" si="63"/>
        <v>0 г. 0 мес. 0 дн.</v>
      </c>
      <c r="I1016" s="20"/>
      <c r="J1016" s="20"/>
      <c r="O1016" s="20"/>
      <c r="V1016" s="1" t="str">
        <f t="shared" si="64"/>
        <v>0 г. 0 мес. 0 дн.</v>
      </c>
      <c r="W1016" s="69"/>
    </row>
    <row r="1017" spans="1:23" ht="35.1" customHeight="1" x14ac:dyDescent="0.25">
      <c r="A1017" s="1">
        <f t="shared" si="62"/>
        <v>1016</v>
      </c>
      <c r="B1017" s="1"/>
      <c r="C1017" s="39"/>
      <c r="D1017" s="21"/>
      <c r="G1017" s="1"/>
      <c r="H1017" s="11" t="str">
        <f t="shared" si="63"/>
        <v>0 г. 0 мес. 0 дн.</v>
      </c>
      <c r="I1017" s="20"/>
      <c r="J1017" s="20"/>
      <c r="O1017" s="20"/>
      <c r="V1017" s="1" t="str">
        <f t="shared" si="64"/>
        <v>0 г. 0 мес. 0 дн.</v>
      </c>
      <c r="W1017" s="69"/>
    </row>
    <row r="1018" spans="1:23" ht="35.1" customHeight="1" x14ac:dyDescent="0.25">
      <c r="A1018" s="1">
        <f t="shared" si="62"/>
        <v>1017</v>
      </c>
      <c r="B1018" s="1"/>
      <c r="C1018" s="39"/>
      <c r="D1018" s="21"/>
      <c r="G1018" s="1"/>
      <c r="H1018" s="11" t="str">
        <f t="shared" si="63"/>
        <v>0 г. 0 мес. 0 дн.</v>
      </c>
      <c r="I1018" s="20"/>
      <c r="J1018" s="20"/>
      <c r="O1018" s="20"/>
      <c r="V1018" s="1" t="str">
        <f t="shared" si="64"/>
        <v>0 г. 0 мес. 0 дн.</v>
      </c>
      <c r="W1018" s="69"/>
    </row>
    <row r="1019" spans="1:23" ht="35.1" customHeight="1" x14ac:dyDescent="0.25">
      <c r="A1019" s="1">
        <f t="shared" si="62"/>
        <v>1018</v>
      </c>
      <c r="B1019" s="1"/>
      <c r="C1019" s="39"/>
      <c r="D1019" s="21"/>
      <c r="G1019" s="1"/>
      <c r="H1019" s="11" t="str">
        <f t="shared" si="63"/>
        <v>0 г. 0 мес. 0 дн.</v>
      </c>
      <c r="I1019" s="20"/>
      <c r="J1019" s="20"/>
      <c r="O1019" s="20"/>
      <c r="V1019" s="1" t="str">
        <f t="shared" si="64"/>
        <v>0 г. 0 мес. 0 дн.</v>
      </c>
      <c r="W1019" s="69"/>
    </row>
    <row r="1020" spans="1:23" ht="35.1" customHeight="1" x14ac:dyDescent="0.25">
      <c r="A1020" s="1">
        <f t="shared" si="62"/>
        <v>1019</v>
      </c>
      <c r="B1020" s="1"/>
      <c r="C1020" s="39"/>
      <c r="D1020" s="21"/>
      <c r="G1020" s="1"/>
      <c r="H1020" s="11" t="str">
        <f t="shared" si="63"/>
        <v>0 г. 0 мес. 0 дн.</v>
      </c>
      <c r="I1020" s="20"/>
      <c r="J1020" s="20"/>
      <c r="O1020" s="20"/>
      <c r="V1020" s="1" t="str">
        <f t="shared" si="64"/>
        <v>0 г. 0 мес. 0 дн.</v>
      </c>
      <c r="W1020" s="69"/>
    </row>
    <row r="1021" spans="1:23" ht="35.1" customHeight="1" x14ac:dyDescent="0.25">
      <c r="A1021" s="1">
        <f t="shared" si="62"/>
        <v>1020</v>
      </c>
      <c r="B1021" s="1"/>
      <c r="C1021" s="39"/>
      <c r="D1021" s="21"/>
      <c r="G1021" s="1"/>
      <c r="H1021" s="11" t="str">
        <f t="shared" si="63"/>
        <v>0 г. 0 мес. 0 дн.</v>
      </c>
      <c r="I1021" s="20"/>
      <c r="J1021" s="20"/>
      <c r="O1021" s="20"/>
      <c r="V1021" s="1" t="str">
        <f t="shared" si="64"/>
        <v>0 г. 0 мес. 0 дн.</v>
      </c>
      <c r="W1021" s="69"/>
    </row>
    <row r="1022" spans="1:23" ht="35.1" customHeight="1" x14ac:dyDescent="0.25">
      <c r="A1022" s="1">
        <f t="shared" si="62"/>
        <v>1021</v>
      </c>
      <c r="B1022" s="1"/>
      <c r="C1022" s="39"/>
      <c r="D1022" s="21"/>
      <c r="G1022" s="1"/>
      <c r="H1022" s="11" t="str">
        <f t="shared" si="63"/>
        <v>0 г. 0 мес. 0 дн.</v>
      </c>
      <c r="I1022" s="20"/>
      <c r="J1022" s="20"/>
      <c r="O1022" s="20"/>
      <c r="V1022" s="1" t="str">
        <f t="shared" si="64"/>
        <v>0 г. 0 мес. 0 дн.</v>
      </c>
      <c r="W1022" s="69"/>
    </row>
    <row r="1023" spans="1:23" ht="35.1" customHeight="1" x14ac:dyDescent="0.25">
      <c r="A1023" s="1">
        <f t="shared" si="62"/>
        <v>1022</v>
      </c>
      <c r="B1023" s="1"/>
      <c r="C1023" s="39"/>
      <c r="D1023" s="21"/>
      <c r="G1023" s="1"/>
      <c r="H1023" s="11" t="str">
        <f t="shared" si="63"/>
        <v>0 г. 0 мес. 0 дн.</v>
      </c>
      <c r="I1023" s="20"/>
      <c r="J1023" s="20"/>
      <c r="O1023" s="20"/>
      <c r="V1023" s="1" t="str">
        <f t="shared" si="64"/>
        <v>0 г. 0 мес. 0 дн.</v>
      </c>
      <c r="W1023" s="69"/>
    </row>
    <row r="1024" spans="1:23" ht="35.1" customHeight="1" x14ac:dyDescent="0.25">
      <c r="A1024" s="1">
        <f t="shared" si="62"/>
        <v>1023</v>
      </c>
      <c r="B1024" s="1"/>
      <c r="C1024" s="39"/>
      <c r="D1024" s="21"/>
      <c r="G1024" s="1"/>
      <c r="H1024" s="11" t="str">
        <f t="shared" si="63"/>
        <v>0 г. 0 мес. 0 дн.</v>
      </c>
      <c r="I1024" s="20"/>
      <c r="J1024" s="20"/>
      <c r="O1024" s="20"/>
      <c r="V1024" s="1" t="str">
        <f t="shared" si="64"/>
        <v>0 г. 0 мес. 0 дн.</v>
      </c>
      <c r="W1024" s="69"/>
    </row>
    <row r="1025" spans="1:23" ht="35.1" customHeight="1" x14ac:dyDescent="0.25">
      <c r="A1025" s="1">
        <f t="shared" ref="A1025:A1088" si="65">ROW(A1024)</f>
        <v>1024</v>
      </c>
      <c r="B1025" s="1"/>
      <c r="C1025" s="39"/>
      <c r="D1025" s="21"/>
      <c r="G1025" s="1"/>
      <c r="H1025" s="11" t="str">
        <f t="shared" ref="H1025:H1088" si="66">DATEDIF(G1025,D1025,"y") &amp; " г. " &amp; DATEDIF(G1025,D1025,"ym") &amp; " мес. " &amp; DATEDIF(G1025,D1025,"md") &amp; " дн."</f>
        <v>0 г. 0 мес. 0 дн.</v>
      </c>
      <c r="I1025" s="20"/>
      <c r="J1025" s="20"/>
      <c r="O1025" s="20"/>
      <c r="V1025" s="1" t="str">
        <f t="shared" si="64"/>
        <v>0 г. 0 мес. 0 дн.</v>
      </c>
      <c r="W1025" s="69"/>
    </row>
    <row r="1026" spans="1:23" ht="35.1" customHeight="1" x14ac:dyDescent="0.25">
      <c r="A1026" s="1">
        <f t="shared" si="65"/>
        <v>1025</v>
      </c>
      <c r="B1026" s="1"/>
      <c r="C1026" s="39"/>
      <c r="D1026" s="21"/>
      <c r="G1026" s="1"/>
      <c r="H1026" s="11" t="str">
        <f t="shared" si="66"/>
        <v>0 г. 0 мес. 0 дн.</v>
      </c>
      <c r="I1026" s="20"/>
      <c r="J1026" s="20"/>
      <c r="O1026" s="20"/>
      <c r="V1026" s="1" t="str">
        <f t="shared" si="64"/>
        <v>0 г. 0 мес. 0 дн.</v>
      </c>
      <c r="W1026" s="69"/>
    </row>
    <row r="1027" spans="1:23" ht="35.1" customHeight="1" x14ac:dyDescent="0.25">
      <c r="A1027" s="1">
        <f t="shared" si="65"/>
        <v>1026</v>
      </c>
      <c r="B1027" s="1"/>
      <c r="C1027" s="39"/>
      <c r="D1027" s="21"/>
      <c r="G1027" s="1"/>
      <c r="H1027" s="11" t="str">
        <f t="shared" si="66"/>
        <v>0 г. 0 мес. 0 дн.</v>
      </c>
      <c r="I1027" s="20"/>
      <c r="J1027" s="20"/>
      <c r="O1027" s="20"/>
      <c r="V1027" s="1" t="str">
        <f t="shared" si="64"/>
        <v>0 г. 0 мес. 0 дн.</v>
      </c>
      <c r="W1027" s="69"/>
    </row>
    <row r="1028" spans="1:23" ht="35.1" customHeight="1" x14ac:dyDescent="0.25">
      <c r="A1028" s="1">
        <f t="shared" si="65"/>
        <v>1027</v>
      </c>
      <c r="B1028" s="1"/>
      <c r="C1028" s="39"/>
      <c r="D1028" s="21"/>
      <c r="G1028" s="1"/>
      <c r="H1028" s="11" t="str">
        <f t="shared" si="66"/>
        <v>0 г. 0 мес. 0 дн.</v>
      </c>
      <c r="I1028" s="20"/>
      <c r="J1028" s="20"/>
      <c r="O1028" s="20"/>
      <c r="V1028" s="1" t="str">
        <f t="shared" si="64"/>
        <v>0 г. 0 мес. 0 дн.</v>
      </c>
      <c r="W1028" s="69"/>
    </row>
    <row r="1029" spans="1:23" ht="35.1" customHeight="1" x14ac:dyDescent="0.25">
      <c r="A1029" s="1">
        <f t="shared" si="65"/>
        <v>1028</v>
      </c>
      <c r="B1029" s="1"/>
      <c r="C1029" s="39"/>
      <c r="D1029" s="21"/>
      <c r="G1029" s="1"/>
      <c r="H1029" s="11" t="str">
        <f t="shared" si="66"/>
        <v>0 г. 0 мес. 0 дн.</v>
      </c>
      <c r="I1029" s="20"/>
      <c r="J1029" s="20"/>
      <c r="O1029" s="20"/>
      <c r="V1029" s="1" t="str">
        <f t="shared" si="64"/>
        <v>0 г. 0 мес. 0 дн.</v>
      </c>
      <c r="W1029" s="69"/>
    </row>
    <row r="1030" spans="1:23" ht="35.1" customHeight="1" x14ac:dyDescent="0.25">
      <c r="A1030" s="1">
        <f t="shared" si="65"/>
        <v>1029</v>
      </c>
      <c r="B1030" s="1"/>
      <c r="C1030" s="39"/>
      <c r="D1030" s="21"/>
      <c r="G1030" s="1"/>
      <c r="H1030" s="11" t="str">
        <f t="shared" si="66"/>
        <v>0 г. 0 мес. 0 дн.</v>
      </c>
      <c r="I1030" s="20"/>
      <c r="J1030" s="20"/>
      <c r="O1030" s="20"/>
      <c r="V1030" s="1" t="str">
        <f t="shared" si="64"/>
        <v>0 г. 0 мес. 0 дн.</v>
      </c>
      <c r="W1030" s="69"/>
    </row>
    <row r="1031" spans="1:23" ht="35.1" customHeight="1" x14ac:dyDescent="0.25">
      <c r="A1031" s="1">
        <f t="shared" si="65"/>
        <v>1030</v>
      </c>
      <c r="B1031" s="1"/>
      <c r="C1031" s="39"/>
      <c r="D1031" s="21"/>
      <c r="G1031" s="1"/>
      <c r="H1031" s="11" t="str">
        <f t="shared" si="66"/>
        <v>0 г. 0 мес. 0 дн.</v>
      </c>
      <c r="I1031" s="20"/>
      <c r="J1031" s="20"/>
      <c r="O1031" s="20"/>
      <c r="V1031" s="1" t="str">
        <f t="shared" si="64"/>
        <v>0 г. 0 мес. 0 дн.</v>
      </c>
      <c r="W1031" s="69"/>
    </row>
    <row r="1032" spans="1:23" ht="35.1" customHeight="1" x14ac:dyDescent="0.25">
      <c r="A1032" s="1">
        <f t="shared" si="65"/>
        <v>1031</v>
      </c>
      <c r="B1032" s="1"/>
      <c r="C1032" s="39"/>
      <c r="D1032" s="21"/>
      <c r="G1032" s="1"/>
      <c r="H1032" s="11" t="str">
        <f t="shared" si="66"/>
        <v>0 г. 0 мес. 0 дн.</v>
      </c>
      <c r="I1032" s="20"/>
      <c r="J1032" s="20"/>
      <c r="O1032" s="20"/>
      <c r="V1032" s="1" t="str">
        <f t="shared" si="64"/>
        <v>0 г. 0 мес. 0 дн.</v>
      </c>
      <c r="W1032" s="69"/>
    </row>
    <row r="1033" spans="1:23" ht="35.1" customHeight="1" x14ac:dyDescent="0.25">
      <c r="A1033" s="1">
        <f t="shared" si="65"/>
        <v>1032</v>
      </c>
      <c r="B1033" s="1"/>
      <c r="C1033" s="39"/>
      <c r="D1033" s="21"/>
      <c r="G1033" s="1"/>
      <c r="H1033" s="11" t="str">
        <f t="shared" si="66"/>
        <v>0 г. 0 мес. 0 дн.</v>
      </c>
      <c r="I1033" s="20"/>
      <c r="J1033" s="20"/>
      <c r="O1033" s="20"/>
      <c r="V1033" s="1" t="str">
        <f t="shared" si="64"/>
        <v>0 г. 0 мес. 0 дн.</v>
      </c>
      <c r="W1033" s="69"/>
    </row>
    <row r="1034" spans="1:23" ht="35.1" customHeight="1" x14ac:dyDescent="0.25">
      <c r="A1034" s="1">
        <f t="shared" si="65"/>
        <v>1033</v>
      </c>
      <c r="B1034" s="1"/>
      <c r="C1034" s="39"/>
      <c r="D1034" s="21"/>
      <c r="G1034" s="1"/>
      <c r="H1034" s="11" t="str">
        <f t="shared" si="66"/>
        <v>0 г. 0 мес. 0 дн.</v>
      </c>
      <c r="I1034" s="20"/>
      <c r="J1034" s="20"/>
      <c r="O1034" s="20"/>
      <c r="V1034" s="1" t="str">
        <f t="shared" si="64"/>
        <v>0 г. 0 мес. 0 дн.</v>
      </c>
      <c r="W1034" s="69"/>
    </row>
    <row r="1035" spans="1:23" ht="35.1" customHeight="1" x14ac:dyDescent="0.25">
      <c r="A1035" s="1">
        <f t="shared" si="65"/>
        <v>1034</v>
      </c>
      <c r="B1035" s="1"/>
      <c r="C1035" s="39"/>
      <c r="D1035" s="21"/>
      <c r="G1035" s="1"/>
      <c r="H1035" s="11" t="str">
        <f t="shared" si="66"/>
        <v>0 г. 0 мес. 0 дн.</v>
      </c>
      <c r="I1035" s="20"/>
      <c r="J1035" s="20"/>
      <c r="O1035" s="20"/>
      <c r="V1035" s="1" t="str">
        <f t="shared" si="64"/>
        <v>0 г. 0 мес. 0 дн.</v>
      </c>
      <c r="W1035" s="69"/>
    </row>
    <row r="1036" spans="1:23" ht="35.1" customHeight="1" x14ac:dyDescent="0.25">
      <c r="A1036" s="1">
        <f t="shared" si="65"/>
        <v>1035</v>
      </c>
      <c r="B1036" s="1"/>
      <c r="C1036" s="39"/>
      <c r="D1036" s="21"/>
      <c r="G1036" s="1"/>
      <c r="H1036" s="11" t="str">
        <f t="shared" si="66"/>
        <v>0 г. 0 мес. 0 дн.</v>
      </c>
      <c r="I1036" s="20"/>
      <c r="J1036" s="20"/>
      <c r="O1036" s="20"/>
      <c r="V1036" s="1" t="str">
        <f t="shared" si="64"/>
        <v>0 г. 0 мес. 0 дн.</v>
      </c>
      <c r="W1036" s="69"/>
    </row>
    <row r="1037" spans="1:23" ht="35.1" customHeight="1" x14ac:dyDescent="0.25">
      <c r="A1037" s="1">
        <f t="shared" si="65"/>
        <v>1036</v>
      </c>
      <c r="B1037" s="1"/>
      <c r="C1037" s="39"/>
      <c r="D1037" s="21"/>
      <c r="G1037" s="1"/>
      <c r="H1037" s="11" t="str">
        <f t="shared" si="66"/>
        <v>0 г. 0 мес. 0 дн.</v>
      </c>
      <c r="I1037" s="20"/>
      <c r="J1037" s="20"/>
      <c r="O1037" s="20"/>
      <c r="V1037" s="1" t="str">
        <f t="shared" si="64"/>
        <v>0 г. 0 мес. 0 дн.</v>
      </c>
      <c r="W1037" s="69"/>
    </row>
    <row r="1038" spans="1:23" ht="35.1" customHeight="1" x14ac:dyDescent="0.25">
      <c r="A1038" s="1">
        <f t="shared" si="65"/>
        <v>1037</v>
      </c>
      <c r="B1038" s="1"/>
      <c r="C1038" s="39"/>
      <c r="D1038" s="21"/>
      <c r="G1038" s="1"/>
      <c r="H1038" s="11" t="str">
        <f t="shared" si="66"/>
        <v>0 г. 0 мес. 0 дн.</v>
      </c>
      <c r="I1038" s="20"/>
      <c r="J1038" s="20"/>
      <c r="O1038" s="20"/>
      <c r="V1038" s="1" t="str">
        <f t="shared" si="64"/>
        <v>0 г. 0 мес. 0 дн.</v>
      </c>
      <c r="W1038" s="69"/>
    </row>
    <row r="1039" spans="1:23" ht="35.1" customHeight="1" x14ac:dyDescent="0.25">
      <c r="A1039" s="1">
        <f t="shared" si="65"/>
        <v>1038</v>
      </c>
      <c r="B1039" s="1"/>
      <c r="C1039" s="39"/>
      <c r="D1039" s="21"/>
      <c r="G1039" s="1"/>
      <c r="H1039" s="11" t="str">
        <f t="shared" si="66"/>
        <v>0 г. 0 мес. 0 дн.</v>
      </c>
      <c r="I1039" s="20"/>
      <c r="J1039" s="20"/>
      <c r="O1039" s="20"/>
      <c r="V1039" s="1" t="str">
        <f t="shared" si="64"/>
        <v>0 г. 0 мес. 0 дн.</v>
      </c>
      <c r="W1039" s="69"/>
    </row>
    <row r="1040" spans="1:23" ht="35.1" customHeight="1" x14ac:dyDescent="0.25">
      <c r="A1040" s="1">
        <f t="shared" si="65"/>
        <v>1039</v>
      </c>
      <c r="B1040" s="1"/>
      <c r="C1040" s="39"/>
      <c r="D1040" s="21"/>
      <c r="G1040" s="1"/>
      <c r="H1040" s="11" t="str">
        <f t="shared" si="66"/>
        <v>0 г. 0 мес. 0 дн.</v>
      </c>
      <c r="I1040" s="20"/>
      <c r="J1040" s="20"/>
      <c r="O1040" s="20"/>
      <c r="V1040" s="1" t="str">
        <f t="shared" si="64"/>
        <v>0 г. 0 мес. 0 дн.</v>
      </c>
      <c r="W1040" s="69"/>
    </row>
    <row r="1041" spans="1:23" ht="35.1" customHeight="1" x14ac:dyDescent="0.25">
      <c r="A1041" s="1">
        <f t="shared" si="65"/>
        <v>1040</v>
      </c>
      <c r="B1041" s="1"/>
      <c r="C1041" s="39"/>
      <c r="D1041" s="21"/>
      <c r="G1041" s="1"/>
      <c r="H1041" s="11" t="str">
        <f t="shared" si="66"/>
        <v>0 г. 0 мес. 0 дн.</v>
      </c>
      <c r="I1041" s="20"/>
      <c r="J1041" s="20"/>
      <c r="O1041" s="20"/>
      <c r="V1041" s="1" t="str">
        <f t="shared" si="64"/>
        <v>0 г. 0 мес. 0 дн.</v>
      </c>
      <c r="W1041" s="69"/>
    </row>
    <row r="1042" spans="1:23" ht="35.1" customHeight="1" x14ac:dyDescent="0.25">
      <c r="A1042" s="1">
        <f t="shared" si="65"/>
        <v>1041</v>
      </c>
      <c r="B1042" s="1"/>
      <c r="C1042" s="39"/>
      <c r="D1042" s="21"/>
      <c r="G1042" s="1"/>
      <c r="H1042" s="11" t="str">
        <f t="shared" si="66"/>
        <v>0 г. 0 мес. 0 дн.</v>
      </c>
      <c r="I1042" s="20"/>
      <c r="J1042" s="20"/>
      <c r="O1042" s="20"/>
      <c r="V1042" s="1" t="str">
        <f t="shared" si="64"/>
        <v>0 г. 0 мес. 0 дн.</v>
      </c>
      <c r="W1042" s="69"/>
    </row>
    <row r="1043" spans="1:23" ht="35.1" customHeight="1" x14ac:dyDescent="0.25">
      <c r="A1043" s="1">
        <f t="shared" si="65"/>
        <v>1042</v>
      </c>
      <c r="B1043" s="1"/>
      <c r="C1043" s="39"/>
      <c r="D1043" s="21"/>
      <c r="G1043" s="1"/>
      <c r="H1043" s="11" t="str">
        <f t="shared" si="66"/>
        <v>0 г. 0 мес. 0 дн.</v>
      </c>
      <c r="I1043" s="20"/>
      <c r="J1043" s="20"/>
      <c r="O1043" s="20"/>
      <c r="V1043" s="1" t="str">
        <f t="shared" si="64"/>
        <v>0 г. 0 мес. 0 дн.</v>
      </c>
      <c r="W1043" s="69"/>
    </row>
    <row r="1044" spans="1:23" ht="35.1" customHeight="1" x14ac:dyDescent="0.25">
      <c r="A1044" s="1">
        <f t="shared" si="65"/>
        <v>1043</v>
      </c>
      <c r="B1044" s="1"/>
      <c r="C1044" s="39"/>
      <c r="D1044" s="21"/>
      <c r="G1044" s="1"/>
      <c r="H1044" s="11" t="str">
        <f t="shared" si="66"/>
        <v>0 г. 0 мес. 0 дн.</v>
      </c>
      <c r="I1044" s="20"/>
      <c r="J1044" s="20"/>
      <c r="O1044" s="20"/>
      <c r="V1044" s="1" t="str">
        <f t="shared" si="64"/>
        <v>0 г. 0 мес. 0 дн.</v>
      </c>
      <c r="W1044" s="69"/>
    </row>
    <row r="1045" spans="1:23" ht="35.1" customHeight="1" x14ac:dyDescent="0.25">
      <c r="A1045" s="1">
        <f t="shared" si="65"/>
        <v>1044</v>
      </c>
      <c r="B1045" s="1"/>
      <c r="C1045" s="39"/>
      <c r="D1045" s="21"/>
      <c r="G1045" s="1"/>
      <c r="H1045" s="11" t="str">
        <f t="shared" si="66"/>
        <v>0 г. 0 мес. 0 дн.</v>
      </c>
      <c r="I1045" s="20"/>
      <c r="J1045" s="20"/>
      <c r="O1045" s="20"/>
      <c r="V1045" s="1" t="str">
        <f t="shared" si="64"/>
        <v>0 г. 0 мес. 0 дн.</v>
      </c>
      <c r="W1045" s="69"/>
    </row>
    <row r="1046" spans="1:23" ht="35.1" customHeight="1" x14ac:dyDescent="0.25">
      <c r="A1046" s="1">
        <f t="shared" si="65"/>
        <v>1045</v>
      </c>
      <c r="B1046" s="1"/>
      <c r="C1046" s="39"/>
      <c r="D1046" s="21"/>
      <c r="G1046" s="1"/>
      <c r="H1046" s="11" t="str">
        <f t="shared" si="66"/>
        <v>0 г. 0 мес. 0 дн.</v>
      </c>
      <c r="I1046" s="20"/>
      <c r="J1046" s="20"/>
      <c r="O1046" s="20"/>
      <c r="V1046" s="1" t="str">
        <f t="shared" si="64"/>
        <v>0 г. 0 мес. 0 дн.</v>
      </c>
      <c r="W1046" s="69"/>
    </row>
    <row r="1047" spans="1:23" ht="35.1" customHeight="1" x14ac:dyDescent="0.25">
      <c r="A1047" s="1">
        <f t="shared" si="65"/>
        <v>1046</v>
      </c>
      <c r="B1047" s="1"/>
      <c r="C1047" s="39"/>
      <c r="D1047" s="21"/>
      <c r="G1047" s="1"/>
      <c r="H1047" s="11" t="str">
        <f t="shared" si="66"/>
        <v>0 г. 0 мес. 0 дн.</v>
      </c>
      <c r="I1047" s="20"/>
      <c r="J1047" s="20"/>
      <c r="O1047" s="20"/>
      <c r="V1047" s="1" t="str">
        <f t="shared" si="64"/>
        <v>0 г. 0 мес. 0 дн.</v>
      </c>
      <c r="W1047" s="69"/>
    </row>
    <row r="1048" spans="1:23" ht="35.1" customHeight="1" x14ac:dyDescent="0.25">
      <c r="A1048" s="1">
        <f t="shared" si="65"/>
        <v>1047</v>
      </c>
      <c r="B1048" s="1"/>
      <c r="C1048" s="39"/>
      <c r="D1048" s="21"/>
      <c r="G1048" s="1"/>
      <c r="H1048" s="11" t="str">
        <f t="shared" si="66"/>
        <v>0 г. 0 мес. 0 дн.</v>
      </c>
      <c r="I1048" s="20"/>
      <c r="J1048" s="20"/>
      <c r="O1048" s="20"/>
      <c r="V1048" s="1" t="str">
        <f t="shared" si="64"/>
        <v>0 г. 0 мес. 0 дн.</v>
      </c>
      <c r="W1048" s="69"/>
    </row>
    <row r="1049" spans="1:23" ht="35.1" customHeight="1" x14ac:dyDescent="0.25">
      <c r="A1049" s="1">
        <f t="shared" si="65"/>
        <v>1048</v>
      </c>
      <c r="B1049" s="1"/>
      <c r="C1049" s="39"/>
      <c r="D1049" s="21"/>
      <c r="G1049" s="1"/>
      <c r="H1049" s="11" t="str">
        <f t="shared" si="66"/>
        <v>0 г. 0 мес. 0 дн.</v>
      </c>
      <c r="I1049" s="20"/>
      <c r="J1049" s="20"/>
      <c r="O1049" s="20"/>
      <c r="V1049" s="1" t="str">
        <f t="shared" ref="V1049:V1112" si="67">DATEDIF(D1049,T1049,"y") &amp; " г. " &amp; DATEDIF(D1049,T1049,"ym") &amp; " мес. " &amp; DATEDIF(D1049,T1049,"md") &amp; " дн."</f>
        <v>0 г. 0 мес. 0 дн.</v>
      </c>
      <c r="W1049" s="69"/>
    </row>
    <row r="1050" spans="1:23" ht="35.1" customHeight="1" x14ac:dyDescent="0.25">
      <c r="A1050" s="1">
        <f t="shared" si="65"/>
        <v>1049</v>
      </c>
      <c r="B1050" s="1"/>
      <c r="C1050" s="39"/>
      <c r="D1050" s="21"/>
      <c r="G1050" s="1"/>
      <c r="H1050" s="11" t="str">
        <f t="shared" si="66"/>
        <v>0 г. 0 мес. 0 дн.</v>
      </c>
      <c r="I1050" s="20"/>
      <c r="J1050" s="20"/>
      <c r="O1050" s="20"/>
      <c r="V1050" s="1" t="str">
        <f t="shared" si="67"/>
        <v>0 г. 0 мес. 0 дн.</v>
      </c>
      <c r="W1050" s="69"/>
    </row>
    <row r="1051" spans="1:23" ht="35.1" customHeight="1" x14ac:dyDescent="0.25">
      <c r="A1051" s="1">
        <f t="shared" si="65"/>
        <v>1050</v>
      </c>
      <c r="B1051" s="1"/>
      <c r="C1051" s="39"/>
      <c r="D1051" s="21"/>
      <c r="G1051" s="1"/>
      <c r="H1051" s="11" t="str">
        <f t="shared" si="66"/>
        <v>0 г. 0 мес. 0 дн.</v>
      </c>
      <c r="I1051" s="20"/>
      <c r="J1051" s="20"/>
      <c r="O1051" s="20"/>
      <c r="V1051" s="1" t="str">
        <f t="shared" si="67"/>
        <v>0 г. 0 мес. 0 дн.</v>
      </c>
      <c r="W1051" s="69"/>
    </row>
    <row r="1052" spans="1:23" ht="35.1" customHeight="1" x14ac:dyDescent="0.25">
      <c r="A1052" s="1">
        <f t="shared" si="65"/>
        <v>1051</v>
      </c>
      <c r="B1052" s="1"/>
      <c r="C1052" s="39"/>
      <c r="D1052" s="21"/>
      <c r="G1052" s="1"/>
      <c r="H1052" s="11" t="str">
        <f t="shared" si="66"/>
        <v>0 г. 0 мес. 0 дн.</v>
      </c>
      <c r="I1052" s="20"/>
      <c r="J1052" s="20"/>
      <c r="O1052" s="20"/>
      <c r="V1052" s="1" t="str">
        <f t="shared" si="67"/>
        <v>0 г. 0 мес. 0 дн.</v>
      </c>
      <c r="W1052" s="69"/>
    </row>
    <row r="1053" spans="1:23" ht="35.1" customHeight="1" x14ac:dyDescent="0.25">
      <c r="A1053" s="1">
        <f t="shared" si="65"/>
        <v>1052</v>
      </c>
      <c r="B1053" s="1"/>
      <c r="C1053" s="39"/>
      <c r="D1053" s="21"/>
      <c r="G1053" s="1"/>
      <c r="H1053" s="11" t="str">
        <f t="shared" si="66"/>
        <v>0 г. 0 мес. 0 дн.</v>
      </c>
      <c r="I1053" s="20"/>
      <c r="J1053" s="20"/>
      <c r="O1053" s="20"/>
      <c r="V1053" s="1" t="str">
        <f t="shared" si="67"/>
        <v>0 г. 0 мес. 0 дн.</v>
      </c>
      <c r="W1053" s="69"/>
    </row>
    <row r="1054" spans="1:23" ht="35.1" customHeight="1" x14ac:dyDescent="0.25">
      <c r="A1054" s="1">
        <f t="shared" si="65"/>
        <v>1053</v>
      </c>
      <c r="B1054" s="1"/>
      <c r="C1054" s="39"/>
      <c r="D1054" s="21"/>
      <c r="G1054" s="1"/>
      <c r="H1054" s="11" t="str">
        <f t="shared" si="66"/>
        <v>0 г. 0 мес. 0 дн.</v>
      </c>
      <c r="I1054" s="20"/>
      <c r="J1054" s="20"/>
      <c r="O1054" s="20"/>
      <c r="V1054" s="1" t="str">
        <f t="shared" si="67"/>
        <v>0 г. 0 мес. 0 дн.</v>
      </c>
      <c r="W1054" s="69"/>
    </row>
    <row r="1055" spans="1:23" ht="35.1" customHeight="1" x14ac:dyDescent="0.25">
      <c r="A1055" s="1">
        <f t="shared" si="65"/>
        <v>1054</v>
      </c>
      <c r="B1055" s="1"/>
      <c r="C1055" s="39"/>
      <c r="D1055" s="21"/>
      <c r="G1055" s="1"/>
      <c r="H1055" s="11" t="str">
        <f t="shared" si="66"/>
        <v>0 г. 0 мес. 0 дн.</v>
      </c>
      <c r="I1055" s="20"/>
      <c r="J1055" s="20"/>
      <c r="O1055" s="20"/>
      <c r="V1055" s="1" t="str">
        <f t="shared" si="67"/>
        <v>0 г. 0 мес. 0 дн.</v>
      </c>
      <c r="W1055" s="69"/>
    </row>
    <row r="1056" spans="1:23" ht="35.1" customHeight="1" x14ac:dyDescent="0.25">
      <c r="A1056" s="1">
        <f t="shared" si="65"/>
        <v>1055</v>
      </c>
      <c r="B1056" s="1"/>
      <c r="C1056" s="39"/>
      <c r="D1056" s="21"/>
      <c r="G1056" s="1"/>
      <c r="H1056" s="11" t="str">
        <f t="shared" si="66"/>
        <v>0 г. 0 мес. 0 дн.</v>
      </c>
      <c r="I1056" s="20"/>
      <c r="J1056" s="20"/>
      <c r="O1056" s="20"/>
      <c r="V1056" s="1" t="str">
        <f t="shared" si="67"/>
        <v>0 г. 0 мес. 0 дн.</v>
      </c>
      <c r="W1056" s="69"/>
    </row>
    <row r="1057" spans="1:23" ht="35.1" customHeight="1" x14ac:dyDescent="0.25">
      <c r="A1057" s="1">
        <f t="shared" si="65"/>
        <v>1056</v>
      </c>
      <c r="B1057" s="1"/>
      <c r="C1057" s="39"/>
      <c r="D1057" s="21"/>
      <c r="G1057" s="1"/>
      <c r="H1057" s="11" t="str">
        <f t="shared" si="66"/>
        <v>0 г. 0 мес. 0 дн.</v>
      </c>
      <c r="I1057" s="20"/>
      <c r="J1057" s="20"/>
      <c r="O1057" s="20"/>
      <c r="V1057" s="1" t="str">
        <f t="shared" si="67"/>
        <v>0 г. 0 мес. 0 дн.</v>
      </c>
      <c r="W1057" s="69"/>
    </row>
    <row r="1058" spans="1:23" ht="35.1" customHeight="1" x14ac:dyDescent="0.25">
      <c r="A1058" s="1">
        <f t="shared" si="65"/>
        <v>1057</v>
      </c>
      <c r="B1058" s="1"/>
      <c r="C1058" s="39"/>
      <c r="D1058" s="21"/>
      <c r="G1058" s="1"/>
      <c r="H1058" s="11" t="str">
        <f t="shared" si="66"/>
        <v>0 г. 0 мес. 0 дн.</v>
      </c>
      <c r="I1058" s="20"/>
      <c r="J1058" s="20"/>
      <c r="O1058" s="20"/>
      <c r="V1058" s="1" t="str">
        <f t="shared" si="67"/>
        <v>0 г. 0 мес. 0 дн.</v>
      </c>
      <c r="W1058" s="69"/>
    </row>
    <row r="1059" spans="1:23" ht="35.1" customHeight="1" x14ac:dyDescent="0.25">
      <c r="A1059" s="1">
        <f t="shared" si="65"/>
        <v>1058</v>
      </c>
      <c r="B1059" s="1"/>
      <c r="C1059" s="39"/>
      <c r="D1059" s="21"/>
      <c r="G1059" s="1"/>
      <c r="H1059" s="11" t="str">
        <f t="shared" si="66"/>
        <v>0 г. 0 мес. 0 дн.</v>
      </c>
      <c r="I1059" s="20"/>
      <c r="J1059" s="20"/>
      <c r="O1059" s="20"/>
      <c r="V1059" s="1" t="str">
        <f t="shared" si="67"/>
        <v>0 г. 0 мес. 0 дн.</v>
      </c>
      <c r="W1059" s="69"/>
    </row>
    <row r="1060" spans="1:23" ht="35.1" customHeight="1" x14ac:dyDescent="0.25">
      <c r="A1060" s="1">
        <f t="shared" si="65"/>
        <v>1059</v>
      </c>
      <c r="B1060" s="1"/>
      <c r="C1060" s="39"/>
      <c r="D1060" s="21"/>
      <c r="G1060" s="1"/>
      <c r="H1060" s="11" t="str">
        <f t="shared" si="66"/>
        <v>0 г. 0 мес. 0 дн.</v>
      </c>
      <c r="I1060" s="20"/>
      <c r="J1060" s="20"/>
      <c r="O1060" s="20"/>
      <c r="V1060" s="1" t="str">
        <f t="shared" si="67"/>
        <v>0 г. 0 мес. 0 дн.</v>
      </c>
      <c r="W1060" s="69"/>
    </row>
    <row r="1061" spans="1:23" ht="35.1" customHeight="1" x14ac:dyDescent="0.25">
      <c r="A1061" s="1">
        <f t="shared" si="65"/>
        <v>1060</v>
      </c>
      <c r="B1061" s="1"/>
      <c r="C1061" s="39"/>
      <c r="D1061" s="21"/>
      <c r="G1061" s="1"/>
      <c r="H1061" s="11" t="str">
        <f t="shared" si="66"/>
        <v>0 г. 0 мес. 0 дн.</v>
      </c>
      <c r="I1061" s="20"/>
      <c r="J1061" s="20"/>
      <c r="O1061" s="20"/>
      <c r="V1061" s="1" t="str">
        <f t="shared" si="67"/>
        <v>0 г. 0 мес. 0 дн.</v>
      </c>
      <c r="W1061" s="69"/>
    </row>
    <row r="1062" spans="1:23" ht="35.1" customHeight="1" x14ac:dyDescent="0.25">
      <c r="A1062" s="1">
        <f t="shared" si="65"/>
        <v>1061</v>
      </c>
      <c r="B1062" s="1"/>
      <c r="C1062" s="39"/>
      <c r="D1062" s="21"/>
      <c r="G1062" s="1"/>
      <c r="H1062" s="11" t="str">
        <f t="shared" si="66"/>
        <v>0 г. 0 мес. 0 дн.</v>
      </c>
      <c r="I1062" s="20"/>
      <c r="J1062" s="20"/>
      <c r="O1062" s="20"/>
      <c r="V1062" s="1" t="str">
        <f t="shared" si="67"/>
        <v>0 г. 0 мес. 0 дн.</v>
      </c>
      <c r="W1062" s="69"/>
    </row>
    <row r="1063" spans="1:23" ht="35.1" customHeight="1" x14ac:dyDescent="0.25">
      <c r="A1063" s="1">
        <f t="shared" si="65"/>
        <v>1062</v>
      </c>
      <c r="B1063" s="1"/>
      <c r="C1063" s="39"/>
      <c r="D1063" s="21"/>
      <c r="G1063" s="1"/>
      <c r="H1063" s="11" t="str">
        <f t="shared" si="66"/>
        <v>0 г. 0 мес. 0 дн.</v>
      </c>
      <c r="I1063" s="20"/>
      <c r="J1063" s="20"/>
      <c r="O1063" s="20"/>
      <c r="V1063" s="1" t="str">
        <f t="shared" si="67"/>
        <v>0 г. 0 мес. 0 дн.</v>
      </c>
      <c r="W1063" s="69"/>
    </row>
    <row r="1064" spans="1:23" ht="35.1" customHeight="1" x14ac:dyDescent="0.25">
      <c r="A1064" s="1">
        <f t="shared" si="65"/>
        <v>1063</v>
      </c>
      <c r="B1064" s="1"/>
      <c r="C1064" s="39"/>
      <c r="D1064" s="21"/>
      <c r="G1064" s="1"/>
      <c r="H1064" s="11" t="str">
        <f t="shared" si="66"/>
        <v>0 г. 0 мес. 0 дн.</v>
      </c>
      <c r="I1064" s="20"/>
      <c r="J1064" s="20"/>
      <c r="O1064" s="20"/>
      <c r="V1064" s="1" t="str">
        <f t="shared" si="67"/>
        <v>0 г. 0 мес. 0 дн.</v>
      </c>
      <c r="W1064" s="69"/>
    </row>
    <row r="1065" spans="1:23" ht="35.1" customHeight="1" x14ac:dyDescent="0.25">
      <c r="A1065" s="1">
        <f t="shared" si="65"/>
        <v>1064</v>
      </c>
      <c r="B1065" s="1"/>
      <c r="C1065" s="39"/>
      <c r="D1065" s="21"/>
      <c r="G1065" s="1"/>
      <c r="H1065" s="11" t="str">
        <f t="shared" si="66"/>
        <v>0 г. 0 мес. 0 дн.</v>
      </c>
      <c r="I1065" s="20"/>
      <c r="J1065" s="20"/>
      <c r="O1065" s="20"/>
      <c r="V1065" s="1" t="str">
        <f t="shared" si="67"/>
        <v>0 г. 0 мес. 0 дн.</v>
      </c>
      <c r="W1065" s="69"/>
    </row>
    <row r="1066" spans="1:23" ht="35.1" customHeight="1" x14ac:dyDescent="0.25">
      <c r="A1066" s="1">
        <f t="shared" si="65"/>
        <v>1065</v>
      </c>
      <c r="B1066" s="1"/>
      <c r="C1066" s="39"/>
      <c r="D1066" s="21"/>
      <c r="G1066" s="1"/>
      <c r="H1066" s="11" t="str">
        <f t="shared" si="66"/>
        <v>0 г. 0 мес. 0 дн.</v>
      </c>
      <c r="I1066" s="20"/>
      <c r="J1066" s="20"/>
      <c r="O1066" s="20"/>
      <c r="V1066" s="1" t="str">
        <f t="shared" si="67"/>
        <v>0 г. 0 мес. 0 дн.</v>
      </c>
      <c r="W1066" s="69"/>
    </row>
    <row r="1067" spans="1:23" ht="35.1" customHeight="1" x14ac:dyDescent="0.25">
      <c r="A1067" s="1">
        <f t="shared" si="65"/>
        <v>1066</v>
      </c>
      <c r="B1067" s="1"/>
      <c r="C1067" s="39"/>
      <c r="D1067" s="21"/>
      <c r="G1067" s="1"/>
      <c r="H1067" s="11" t="str">
        <f t="shared" si="66"/>
        <v>0 г. 0 мес. 0 дн.</v>
      </c>
      <c r="I1067" s="20"/>
      <c r="J1067" s="20"/>
      <c r="O1067" s="20"/>
      <c r="V1067" s="1" t="str">
        <f t="shared" si="67"/>
        <v>0 г. 0 мес. 0 дн.</v>
      </c>
      <c r="W1067" s="69"/>
    </row>
    <row r="1068" spans="1:23" ht="35.1" customHeight="1" x14ac:dyDescent="0.25">
      <c r="A1068" s="1">
        <f t="shared" si="65"/>
        <v>1067</v>
      </c>
      <c r="B1068" s="1"/>
      <c r="C1068" s="39"/>
      <c r="D1068" s="21"/>
      <c r="G1068" s="1"/>
      <c r="H1068" s="11" t="str">
        <f t="shared" si="66"/>
        <v>0 г. 0 мес. 0 дн.</v>
      </c>
      <c r="I1068" s="20"/>
      <c r="J1068" s="20"/>
      <c r="O1068" s="20"/>
      <c r="V1068" s="1" t="str">
        <f t="shared" si="67"/>
        <v>0 г. 0 мес. 0 дн.</v>
      </c>
      <c r="W1068" s="69"/>
    </row>
    <row r="1069" spans="1:23" ht="35.1" customHeight="1" x14ac:dyDescent="0.25">
      <c r="A1069" s="1">
        <f t="shared" si="65"/>
        <v>1068</v>
      </c>
      <c r="B1069" s="1"/>
      <c r="C1069" s="39"/>
      <c r="D1069" s="21"/>
      <c r="G1069" s="1"/>
      <c r="H1069" s="11" t="str">
        <f t="shared" si="66"/>
        <v>0 г. 0 мес. 0 дн.</v>
      </c>
      <c r="I1069" s="20"/>
      <c r="J1069" s="20"/>
      <c r="O1069" s="20"/>
      <c r="V1069" s="1" t="str">
        <f t="shared" si="67"/>
        <v>0 г. 0 мес. 0 дн.</v>
      </c>
      <c r="W1069" s="69"/>
    </row>
    <row r="1070" spans="1:23" ht="35.1" customHeight="1" x14ac:dyDescent="0.25">
      <c r="A1070" s="1">
        <f t="shared" si="65"/>
        <v>1069</v>
      </c>
      <c r="B1070" s="1"/>
      <c r="C1070" s="39"/>
      <c r="D1070" s="21"/>
      <c r="G1070" s="1"/>
      <c r="H1070" s="11" t="str">
        <f t="shared" si="66"/>
        <v>0 г. 0 мес. 0 дн.</v>
      </c>
      <c r="I1070" s="20"/>
      <c r="J1070" s="20"/>
      <c r="O1070" s="20"/>
      <c r="V1070" s="1" t="str">
        <f t="shared" si="67"/>
        <v>0 г. 0 мес. 0 дн.</v>
      </c>
      <c r="W1070" s="69"/>
    </row>
    <row r="1071" spans="1:23" ht="35.1" customHeight="1" x14ac:dyDescent="0.25">
      <c r="A1071" s="1">
        <f t="shared" si="65"/>
        <v>1070</v>
      </c>
      <c r="B1071" s="1"/>
      <c r="C1071" s="39"/>
      <c r="D1071" s="21"/>
      <c r="G1071" s="1"/>
      <c r="H1071" s="11" t="str">
        <f t="shared" si="66"/>
        <v>0 г. 0 мес. 0 дн.</v>
      </c>
      <c r="I1071" s="20"/>
      <c r="J1071" s="20"/>
      <c r="O1071" s="20"/>
      <c r="V1071" s="1" t="str">
        <f t="shared" si="67"/>
        <v>0 г. 0 мес. 0 дн.</v>
      </c>
      <c r="W1071" s="69"/>
    </row>
    <row r="1072" spans="1:23" ht="35.1" customHeight="1" x14ac:dyDescent="0.25">
      <c r="A1072" s="1">
        <f t="shared" si="65"/>
        <v>1071</v>
      </c>
      <c r="B1072" s="1"/>
      <c r="C1072" s="39"/>
      <c r="D1072" s="21"/>
      <c r="G1072" s="1"/>
      <c r="H1072" s="11" t="str">
        <f t="shared" si="66"/>
        <v>0 г. 0 мес. 0 дн.</v>
      </c>
      <c r="I1072" s="20"/>
      <c r="J1072" s="20"/>
      <c r="O1072" s="20"/>
      <c r="V1072" s="1" t="str">
        <f t="shared" si="67"/>
        <v>0 г. 0 мес. 0 дн.</v>
      </c>
      <c r="W1072" s="69"/>
    </row>
    <row r="1073" spans="1:23" ht="35.1" customHeight="1" x14ac:dyDescent="0.25">
      <c r="A1073" s="1">
        <f t="shared" si="65"/>
        <v>1072</v>
      </c>
      <c r="B1073" s="1"/>
      <c r="C1073" s="39"/>
      <c r="D1073" s="21"/>
      <c r="G1073" s="1"/>
      <c r="H1073" s="11" t="str">
        <f t="shared" si="66"/>
        <v>0 г. 0 мес. 0 дн.</v>
      </c>
      <c r="I1073" s="20"/>
      <c r="J1073" s="20"/>
      <c r="O1073" s="20"/>
      <c r="V1073" s="1" t="str">
        <f t="shared" si="67"/>
        <v>0 г. 0 мес. 0 дн.</v>
      </c>
      <c r="W1073" s="69"/>
    </row>
    <row r="1074" spans="1:23" ht="35.1" customHeight="1" x14ac:dyDescent="0.25">
      <c r="A1074" s="1">
        <f t="shared" si="65"/>
        <v>1073</v>
      </c>
      <c r="B1074" s="1"/>
      <c r="C1074" s="39"/>
      <c r="D1074" s="21"/>
      <c r="G1074" s="1"/>
      <c r="H1074" s="11" t="str">
        <f t="shared" si="66"/>
        <v>0 г. 0 мес. 0 дн.</v>
      </c>
      <c r="I1074" s="20"/>
      <c r="J1074" s="20"/>
      <c r="O1074" s="20"/>
      <c r="V1074" s="1" t="str">
        <f t="shared" si="67"/>
        <v>0 г. 0 мес. 0 дн.</v>
      </c>
      <c r="W1074" s="69"/>
    </row>
    <row r="1075" spans="1:23" ht="35.1" customHeight="1" x14ac:dyDescent="0.25">
      <c r="A1075" s="1">
        <f t="shared" si="65"/>
        <v>1074</v>
      </c>
      <c r="B1075" s="1"/>
      <c r="C1075" s="39"/>
      <c r="D1075" s="21"/>
      <c r="G1075" s="1"/>
      <c r="H1075" s="11" t="str">
        <f t="shared" si="66"/>
        <v>0 г. 0 мес. 0 дн.</v>
      </c>
      <c r="I1075" s="20"/>
      <c r="J1075" s="20"/>
      <c r="O1075" s="20"/>
      <c r="V1075" s="1" t="str">
        <f t="shared" si="67"/>
        <v>0 г. 0 мес. 0 дн.</v>
      </c>
      <c r="W1075" s="69"/>
    </row>
    <row r="1076" spans="1:23" ht="35.1" customHeight="1" x14ac:dyDescent="0.25">
      <c r="A1076" s="1">
        <f t="shared" si="65"/>
        <v>1075</v>
      </c>
      <c r="B1076" s="1"/>
      <c r="C1076" s="39"/>
      <c r="D1076" s="21"/>
      <c r="G1076" s="1"/>
      <c r="H1076" s="11" t="str">
        <f t="shared" si="66"/>
        <v>0 г. 0 мес. 0 дн.</v>
      </c>
      <c r="I1076" s="20"/>
      <c r="J1076" s="20"/>
      <c r="O1076" s="20"/>
      <c r="V1076" s="1" t="str">
        <f t="shared" si="67"/>
        <v>0 г. 0 мес. 0 дн.</v>
      </c>
      <c r="W1076" s="69"/>
    </row>
    <row r="1077" spans="1:23" ht="35.1" customHeight="1" x14ac:dyDescent="0.25">
      <c r="A1077" s="1">
        <f t="shared" si="65"/>
        <v>1076</v>
      </c>
      <c r="B1077" s="1"/>
      <c r="C1077" s="39"/>
      <c r="D1077" s="21"/>
      <c r="G1077" s="1"/>
      <c r="H1077" s="11" t="str">
        <f t="shared" si="66"/>
        <v>0 г. 0 мес. 0 дн.</v>
      </c>
      <c r="I1077" s="20"/>
      <c r="J1077" s="20"/>
      <c r="O1077" s="20"/>
      <c r="V1077" s="1" t="str">
        <f t="shared" si="67"/>
        <v>0 г. 0 мес. 0 дн.</v>
      </c>
      <c r="W1077" s="69"/>
    </row>
    <row r="1078" spans="1:23" ht="35.1" customHeight="1" x14ac:dyDescent="0.25">
      <c r="A1078" s="1">
        <f t="shared" si="65"/>
        <v>1077</v>
      </c>
      <c r="B1078" s="1"/>
      <c r="C1078" s="39"/>
      <c r="D1078" s="21"/>
      <c r="G1078" s="1"/>
      <c r="H1078" s="11" t="str">
        <f t="shared" si="66"/>
        <v>0 г. 0 мес. 0 дн.</v>
      </c>
      <c r="I1078" s="20"/>
      <c r="J1078" s="20"/>
      <c r="O1078" s="20"/>
      <c r="V1078" s="1" t="str">
        <f t="shared" si="67"/>
        <v>0 г. 0 мес. 0 дн.</v>
      </c>
      <c r="W1078" s="69"/>
    </row>
    <row r="1079" spans="1:23" ht="35.1" customHeight="1" x14ac:dyDescent="0.25">
      <c r="A1079" s="1">
        <f t="shared" si="65"/>
        <v>1078</v>
      </c>
      <c r="B1079" s="1"/>
      <c r="C1079" s="39"/>
      <c r="D1079" s="21"/>
      <c r="G1079" s="1"/>
      <c r="H1079" s="11" t="str">
        <f t="shared" si="66"/>
        <v>0 г. 0 мес. 0 дн.</v>
      </c>
      <c r="I1079" s="20"/>
      <c r="J1079" s="20"/>
      <c r="O1079" s="20"/>
      <c r="V1079" s="1" t="str">
        <f t="shared" si="67"/>
        <v>0 г. 0 мес. 0 дн.</v>
      </c>
      <c r="W1079" s="69"/>
    </row>
    <row r="1080" spans="1:23" ht="35.1" customHeight="1" x14ac:dyDescent="0.25">
      <c r="A1080" s="1">
        <f t="shared" si="65"/>
        <v>1079</v>
      </c>
      <c r="B1080" s="1"/>
      <c r="C1080" s="39"/>
      <c r="D1080" s="21"/>
      <c r="G1080" s="1"/>
      <c r="H1080" s="11" t="str">
        <f t="shared" si="66"/>
        <v>0 г. 0 мес. 0 дн.</v>
      </c>
      <c r="I1080" s="20"/>
      <c r="J1080" s="20"/>
      <c r="O1080" s="20"/>
      <c r="V1080" s="1" t="str">
        <f t="shared" si="67"/>
        <v>0 г. 0 мес. 0 дн.</v>
      </c>
      <c r="W1080" s="69"/>
    </row>
    <row r="1081" spans="1:23" ht="35.1" customHeight="1" x14ac:dyDescent="0.25">
      <c r="A1081" s="1">
        <f t="shared" si="65"/>
        <v>1080</v>
      </c>
      <c r="B1081" s="1"/>
      <c r="C1081" s="39"/>
      <c r="D1081" s="21"/>
      <c r="G1081" s="1"/>
      <c r="H1081" s="11" t="str">
        <f t="shared" si="66"/>
        <v>0 г. 0 мес. 0 дн.</v>
      </c>
      <c r="I1081" s="20"/>
      <c r="J1081" s="20"/>
      <c r="O1081" s="20"/>
      <c r="V1081" s="1" t="str">
        <f t="shared" si="67"/>
        <v>0 г. 0 мес. 0 дн.</v>
      </c>
      <c r="W1081" s="69"/>
    </row>
    <row r="1082" spans="1:23" ht="35.1" customHeight="1" x14ac:dyDescent="0.25">
      <c r="A1082" s="1">
        <f t="shared" si="65"/>
        <v>1081</v>
      </c>
      <c r="B1082" s="1"/>
      <c r="C1082" s="39"/>
      <c r="D1082" s="21"/>
      <c r="G1082" s="1"/>
      <c r="H1082" s="11" t="str">
        <f t="shared" si="66"/>
        <v>0 г. 0 мес. 0 дн.</v>
      </c>
      <c r="I1082" s="20"/>
      <c r="J1082" s="20"/>
      <c r="O1082" s="20"/>
      <c r="V1082" s="1" t="str">
        <f t="shared" si="67"/>
        <v>0 г. 0 мес. 0 дн.</v>
      </c>
      <c r="W1082" s="69"/>
    </row>
    <row r="1083" spans="1:23" ht="35.1" customHeight="1" x14ac:dyDescent="0.25">
      <c r="A1083" s="1">
        <f t="shared" si="65"/>
        <v>1082</v>
      </c>
      <c r="B1083" s="1"/>
      <c r="C1083" s="39"/>
      <c r="D1083" s="21"/>
      <c r="G1083" s="1"/>
      <c r="H1083" s="11" t="str">
        <f t="shared" si="66"/>
        <v>0 г. 0 мес. 0 дн.</v>
      </c>
      <c r="I1083" s="20"/>
      <c r="J1083" s="20"/>
      <c r="O1083" s="20"/>
      <c r="V1083" s="1" t="str">
        <f t="shared" si="67"/>
        <v>0 г. 0 мес. 0 дн.</v>
      </c>
      <c r="W1083" s="69"/>
    </row>
    <row r="1084" spans="1:23" ht="35.1" customHeight="1" x14ac:dyDescent="0.25">
      <c r="A1084" s="1">
        <f t="shared" si="65"/>
        <v>1083</v>
      </c>
      <c r="B1084" s="1"/>
      <c r="C1084" s="39"/>
      <c r="D1084" s="21"/>
      <c r="G1084" s="1"/>
      <c r="H1084" s="11" t="str">
        <f t="shared" si="66"/>
        <v>0 г. 0 мес. 0 дн.</v>
      </c>
      <c r="I1084" s="20"/>
      <c r="J1084" s="20"/>
      <c r="O1084" s="20"/>
      <c r="V1084" s="1" t="str">
        <f t="shared" si="67"/>
        <v>0 г. 0 мес. 0 дн.</v>
      </c>
      <c r="W1084" s="69"/>
    </row>
    <row r="1085" spans="1:23" ht="35.1" customHeight="1" x14ac:dyDescent="0.25">
      <c r="A1085" s="1">
        <f t="shared" si="65"/>
        <v>1084</v>
      </c>
      <c r="B1085" s="1"/>
      <c r="C1085" s="39"/>
      <c r="D1085" s="21"/>
      <c r="G1085" s="1"/>
      <c r="H1085" s="11" t="str">
        <f t="shared" si="66"/>
        <v>0 г. 0 мес. 0 дн.</v>
      </c>
      <c r="I1085" s="20"/>
      <c r="J1085" s="20"/>
      <c r="O1085" s="20"/>
      <c r="V1085" s="1" t="str">
        <f t="shared" si="67"/>
        <v>0 г. 0 мес. 0 дн.</v>
      </c>
      <c r="W1085" s="69"/>
    </row>
    <row r="1086" spans="1:23" ht="35.1" customHeight="1" x14ac:dyDescent="0.25">
      <c r="A1086" s="1">
        <f t="shared" si="65"/>
        <v>1085</v>
      </c>
      <c r="B1086" s="1"/>
      <c r="C1086" s="39"/>
      <c r="D1086" s="21"/>
      <c r="G1086" s="1"/>
      <c r="H1086" s="11" t="str">
        <f t="shared" si="66"/>
        <v>0 г. 0 мес. 0 дн.</v>
      </c>
      <c r="I1086" s="20"/>
      <c r="J1086" s="20"/>
      <c r="O1086" s="20"/>
      <c r="V1086" s="1" t="str">
        <f t="shared" si="67"/>
        <v>0 г. 0 мес. 0 дн.</v>
      </c>
      <c r="W1086" s="69"/>
    </row>
    <row r="1087" spans="1:23" ht="35.1" customHeight="1" x14ac:dyDescent="0.25">
      <c r="A1087" s="1">
        <f t="shared" si="65"/>
        <v>1086</v>
      </c>
      <c r="B1087" s="1"/>
      <c r="C1087" s="39"/>
      <c r="D1087" s="21"/>
      <c r="G1087" s="1"/>
      <c r="H1087" s="11" t="str">
        <f t="shared" si="66"/>
        <v>0 г. 0 мес. 0 дн.</v>
      </c>
      <c r="I1087" s="20"/>
      <c r="J1087" s="20"/>
      <c r="O1087" s="20"/>
      <c r="V1087" s="1" t="str">
        <f t="shared" si="67"/>
        <v>0 г. 0 мес. 0 дн.</v>
      </c>
      <c r="W1087" s="69"/>
    </row>
    <row r="1088" spans="1:23" ht="35.1" customHeight="1" x14ac:dyDescent="0.25">
      <c r="A1088" s="1">
        <f t="shared" si="65"/>
        <v>1087</v>
      </c>
      <c r="B1088" s="1"/>
      <c r="C1088" s="39"/>
      <c r="D1088" s="21"/>
      <c r="G1088" s="1"/>
      <c r="H1088" s="11" t="str">
        <f t="shared" si="66"/>
        <v>0 г. 0 мес. 0 дн.</v>
      </c>
      <c r="I1088" s="20"/>
      <c r="J1088" s="20"/>
      <c r="O1088" s="20"/>
      <c r="V1088" s="1" t="str">
        <f t="shared" si="67"/>
        <v>0 г. 0 мес. 0 дн.</v>
      </c>
      <c r="W1088" s="69"/>
    </row>
    <row r="1089" spans="1:23" ht="35.1" customHeight="1" x14ac:dyDescent="0.25">
      <c r="A1089" s="1">
        <f t="shared" ref="A1089:A1152" si="68">ROW(A1088)</f>
        <v>1088</v>
      </c>
      <c r="B1089" s="1"/>
      <c r="C1089" s="39"/>
      <c r="D1089" s="21"/>
      <c r="G1089" s="1"/>
      <c r="H1089" s="11" t="str">
        <f t="shared" ref="H1089:H1152" si="69">DATEDIF(G1089,D1089,"y") &amp; " г. " &amp; DATEDIF(G1089,D1089,"ym") &amp; " мес. " &amp; DATEDIF(G1089,D1089,"md") &amp; " дн."</f>
        <v>0 г. 0 мес. 0 дн.</v>
      </c>
      <c r="I1089" s="20"/>
      <c r="J1089" s="20"/>
      <c r="O1089" s="20"/>
      <c r="V1089" s="1" t="str">
        <f t="shared" si="67"/>
        <v>0 г. 0 мес. 0 дн.</v>
      </c>
      <c r="W1089" s="69"/>
    </row>
    <row r="1090" spans="1:23" ht="35.1" customHeight="1" x14ac:dyDescent="0.25">
      <c r="A1090" s="1">
        <f t="shared" si="68"/>
        <v>1089</v>
      </c>
      <c r="B1090" s="1"/>
      <c r="C1090" s="39"/>
      <c r="D1090" s="21"/>
      <c r="G1090" s="1"/>
      <c r="H1090" s="11" t="str">
        <f t="shared" si="69"/>
        <v>0 г. 0 мес. 0 дн.</v>
      </c>
      <c r="I1090" s="20"/>
      <c r="J1090" s="20"/>
      <c r="O1090" s="20"/>
      <c r="V1090" s="1" t="str">
        <f t="shared" si="67"/>
        <v>0 г. 0 мес. 0 дн.</v>
      </c>
      <c r="W1090" s="69"/>
    </row>
    <row r="1091" spans="1:23" ht="35.1" customHeight="1" x14ac:dyDescent="0.25">
      <c r="A1091" s="1">
        <f t="shared" si="68"/>
        <v>1090</v>
      </c>
      <c r="B1091" s="1"/>
      <c r="C1091" s="39"/>
      <c r="D1091" s="21"/>
      <c r="G1091" s="1"/>
      <c r="H1091" s="11" t="str">
        <f t="shared" si="69"/>
        <v>0 г. 0 мес. 0 дн.</v>
      </c>
      <c r="I1091" s="20"/>
      <c r="J1091" s="20"/>
      <c r="O1091" s="20"/>
      <c r="V1091" s="1" t="str">
        <f t="shared" si="67"/>
        <v>0 г. 0 мес. 0 дн.</v>
      </c>
      <c r="W1091" s="69"/>
    </row>
    <row r="1092" spans="1:23" ht="35.1" customHeight="1" x14ac:dyDescent="0.25">
      <c r="A1092" s="1">
        <f t="shared" si="68"/>
        <v>1091</v>
      </c>
      <c r="B1092" s="1"/>
      <c r="C1092" s="39"/>
      <c r="D1092" s="21"/>
      <c r="G1092" s="1"/>
      <c r="H1092" s="11" t="str">
        <f t="shared" si="69"/>
        <v>0 г. 0 мес. 0 дн.</v>
      </c>
      <c r="I1092" s="20"/>
      <c r="J1092" s="20"/>
      <c r="O1092" s="20"/>
      <c r="V1092" s="1" t="str">
        <f t="shared" si="67"/>
        <v>0 г. 0 мес. 0 дн.</v>
      </c>
      <c r="W1092" s="69"/>
    </row>
    <row r="1093" spans="1:23" ht="35.1" customHeight="1" x14ac:dyDescent="0.25">
      <c r="A1093" s="1">
        <f t="shared" si="68"/>
        <v>1092</v>
      </c>
      <c r="B1093" s="1"/>
      <c r="C1093" s="39"/>
      <c r="D1093" s="21"/>
      <c r="G1093" s="1"/>
      <c r="H1093" s="11" t="str">
        <f t="shared" si="69"/>
        <v>0 г. 0 мес. 0 дн.</v>
      </c>
      <c r="I1093" s="20"/>
      <c r="J1093" s="20"/>
      <c r="O1093" s="20"/>
      <c r="V1093" s="1" t="str">
        <f t="shared" si="67"/>
        <v>0 г. 0 мес. 0 дн.</v>
      </c>
      <c r="W1093" s="69"/>
    </row>
    <row r="1094" spans="1:23" ht="35.1" customHeight="1" x14ac:dyDescent="0.25">
      <c r="A1094" s="1">
        <f t="shared" si="68"/>
        <v>1093</v>
      </c>
      <c r="B1094" s="1"/>
      <c r="C1094" s="39"/>
      <c r="D1094" s="21"/>
      <c r="G1094" s="1"/>
      <c r="H1094" s="11" t="str">
        <f t="shared" si="69"/>
        <v>0 г. 0 мес. 0 дн.</v>
      </c>
      <c r="I1094" s="20"/>
      <c r="J1094" s="20"/>
      <c r="O1094" s="20"/>
      <c r="V1094" s="1" t="str">
        <f t="shared" si="67"/>
        <v>0 г. 0 мес. 0 дн.</v>
      </c>
      <c r="W1094" s="69"/>
    </row>
    <row r="1095" spans="1:23" ht="35.1" customHeight="1" x14ac:dyDescent="0.25">
      <c r="A1095" s="1">
        <f t="shared" si="68"/>
        <v>1094</v>
      </c>
      <c r="B1095" s="1"/>
      <c r="C1095" s="39"/>
      <c r="D1095" s="21"/>
      <c r="G1095" s="1"/>
      <c r="H1095" s="11" t="str">
        <f t="shared" si="69"/>
        <v>0 г. 0 мес. 0 дн.</v>
      </c>
      <c r="I1095" s="20"/>
      <c r="J1095" s="20"/>
      <c r="O1095" s="20"/>
      <c r="V1095" s="1" t="str">
        <f t="shared" si="67"/>
        <v>0 г. 0 мес. 0 дн.</v>
      </c>
      <c r="W1095" s="69"/>
    </row>
    <row r="1096" spans="1:23" ht="35.1" customHeight="1" x14ac:dyDescent="0.25">
      <c r="A1096" s="1">
        <f t="shared" si="68"/>
        <v>1095</v>
      </c>
      <c r="B1096" s="1"/>
      <c r="C1096" s="39"/>
      <c r="D1096" s="21"/>
      <c r="G1096" s="1"/>
      <c r="H1096" s="11" t="str">
        <f t="shared" si="69"/>
        <v>0 г. 0 мес. 0 дн.</v>
      </c>
      <c r="I1096" s="20"/>
      <c r="J1096" s="20"/>
      <c r="O1096" s="20"/>
      <c r="V1096" s="1" t="str">
        <f t="shared" si="67"/>
        <v>0 г. 0 мес. 0 дн.</v>
      </c>
      <c r="W1096" s="69"/>
    </row>
    <row r="1097" spans="1:23" ht="35.1" customHeight="1" x14ac:dyDescent="0.25">
      <c r="A1097" s="1">
        <f t="shared" si="68"/>
        <v>1096</v>
      </c>
      <c r="B1097" s="1"/>
      <c r="C1097" s="39"/>
      <c r="D1097" s="21"/>
      <c r="G1097" s="1"/>
      <c r="H1097" s="11" t="str">
        <f t="shared" si="69"/>
        <v>0 г. 0 мес. 0 дн.</v>
      </c>
      <c r="I1097" s="20"/>
      <c r="J1097" s="20"/>
      <c r="O1097" s="20"/>
      <c r="V1097" s="1" t="str">
        <f t="shared" si="67"/>
        <v>0 г. 0 мес. 0 дн.</v>
      </c>
      <c r="W1097" s="69"/>
    </row>
    <row r="1098" spans="1:23" ht="35.1" customHeight="1" x14ac:dyDescent="0.25">
      <c r="A1098" s="1">
        <f t="shared" si="68"/>
        <v>1097</v>
      </c>
      <c r="B1098" s="1"/>
      <c r="C1098" s="39"/>
      <c r="D1098" s="21"/>
      <c r="G1098" s="1"/>
      <c r="H1098" s="11" t="str">
        <f t="shared" si="69"/>
        <v>0 г. 0 мес. 0 дн.</v>
      </c>
      <c r="I1098" s="20"/>
      <c r="J1098" s="20"/>
      <c r="O1098" s="20"/>
      <c r="V1098" s="1" t="str">
        <f t="shared" si="67"/>
        <v>0 г. 0 мес. 0 дн.</v>
      </c>
      <c r="W1098" s="69"/>
    </row>
    <row r="1099" spans="1:23" ht="35.1" customHeight="1" x14ac:dyDescent="0.25">
      <c r="A1099" s="1">
        <f t="shared" si="68"/>
        <v>1098</v>
      </c>
      <c r="B1099" s="1"/>
      <c r="C1099" s="39"/>
      <c r="D1099" s="21"/>
      <c r="G1099" s="1"/>
      <c r="H1099" s="11" t="str">
        <f t="shared" si="69"/>
        <v>0 г. 0 мес. 0 дн.</v>
      </c>
      <c r="I1099" s="20"/>
      <c r="J1099" s="20"/>
      <c r="O1099" s="20"/>
      <c r="V1099" s="1" t="str">
        <f t="shared" si="67"/>
        <v>0 г. 0 мес. 0 дн.</v>
      </c>
      <c r="W1099" s="69"/>
    </row>
    <row r="1100" spans="1:23" ht="35.1" customHeight="1" x14ac:dyDescent="0.25">
      <c r="A1100" s="1">
        <f t="shared" si="68"/>
        <v>1099</v>
      </c>
      <c r="B1100" s="1"/>
      <c r="C1100" s="39"/>
      <c r="D1100" s="21"/>
      <c r="G1100" s="1"/>
      <c r="H1100" s="11" t="str">
        <f t="shared" si="69"/>
        <v>0 г. 0 мес. 0 дн.</v>
      </c>
      <c r="I1100" s="20"/>
      <c r="J1100" s="20"/>
      <c r="O1100" s="20"/>
      <c r="V1100" s="1" t="str">
        <f t="shared" si="67"/>
        <v>0 г. 0 мес. 0 дн.</v>
      </c>
      <c r="W1100" s="69"/>
    </row>
    <row r="1101" spans="1:23" ht="35.1" customHeight="1" x14ac:dyDescent="0.25">
      <c r="A1101" s="1">
        <f t="shared" si="68"/>
        <v>1100</v>
      </c>
      <c r="B1101" s="1"/>
      <c r="C1101" s="39"/>
      <c r="D1101" s="21"/>
      <c r="G1101" s="1"/>
      <c r="H1101" s="11" t="str">
        <f t="shared" si="69"/>
        <v>0 г. 0 мес. 0 дн.</v>
      </c>
      <c r="I1101" s="20"/>
      <c r="J1101" s="20"/>
      <c r="O1101" s="20"/>
      <c r="V1101" s="1" t="str">
        <f t="shared" si="67"/>
        <v>0 г. 0 мес. 0 дн.</v>
      </c>
      <c r="W1101" s="69"/>
    </row>
    <row r="1102" spans="1:23" ht="35.1" customHeight="1" x14ac:dyDescent="0.25">
      <c r="A1102" s="1">
        <f t="shared" si="68"/>
        <v>1101</v>
      </c>
      <c r="B1102" s="1"/>
      <c r="C1102" s="39"/>
      <c r="D1102" s="21"/>
      <c r="G1102" s="1"/>
      <c r="H1102" s="11" t="str">
        <f t="shared" si="69"/>
        <v>0 г. 0 мес. 0 дн.</v>
      </c>
      <c r="I1102" s="20"/>
      <c r="J1102" s="20"/>
      <c r="O1102" s="20"/>
      <c r="V1102" s="1" t="str">
        <f t="shared" si="67"/>
        <v>0 г. 0 мес. 0 дн.</v>
      </c>
      <c r="W1102" s="69"/>
    </row>
    <row r="1103" spans="1:23" ht="35.1" customHeight="1" x14ac:dyDescent="0.25">
      <c r="A1103" s="1">
        <f t="shared" si="68"/>
        <v>1102</v>
      </c>
      <c r="B1103" s="1"/>
      <c r="C1103" s="39"/>
      <c r="D1103" s="21"/>
      <c r="G1103" s="1"/>
      <c r="H1103" s="11" t="str">
        <f t="shared" si="69"/>
        <v>0 г. 0 мес. 0 дн.</v>
      </c>
      <c r="I1103" s="20"/>
      <c r="J1103" s="20"/>
      <c r="O1103" s="20"/>
      <c r="V1103" s="1" t="str">
        <f t="shared" si="67"/>
        <v>0 г. 0 мес. 0 дн.</v>
      </c>
      <c r="W1103" s="69"/>
    </row>
    <row r="1104" spans="1:23" ht="35.1" customHeight="1" x14ac:dyDescent="0.25">
      <c r="A1104" s="1">
        <f t="shared" si="68"/>
        <v>1103</v>
      </c>
      <c r="B1104" s="1"/>
      <c r="C1104" s="39"/>
      <c r="D1104" s="21"/>
      <c r="G1104" s="1"/>
      <c r="H1104" s="11" t="str">
        <f t="shared" si="69"/>
        <v>0 г. 0 мес. 0 дн.</v>
      </c>
      <c r="I1104" s="20"/>
      <c r="J1104" s="20"/>
      <c r="O1104" s="20"/>
      <c r="V1104" s="1" t="str">
        <f t="shared" si="67"/>
        <v>0 г. 0 мес. 0 дн.</v>
      </c>
      <c r="W1104" s="69"/>
    </row>
    <row r="1105" spans="1:23" ht="35.1" customHeight="1" x14ac:dyDescent="0.25">
      <c r="A1105" s="1">
        <f t="shared" si="68"/>
        <v>1104</v>
      </c>
      <c r="B1105" s="1"/>
      <c r="C1105" s="39"/>
      <c r="D1105" s="21"/>
      <c r="G1105" s="1"/>
      <c r="H1105" s="11" t="str">
        <f t="shared" si="69"/>
        <v>0 г. 0 мес. 0 дн.</v>
      </c>
      <c r="I1105" s="20"/>
      <c r="J1105" s="20"/>
      <c r="O1105" s="20"/>
      <c r="V1105" s="1" t="str">
        <f t="shared" si="67"/>
        <v>0 г. 0 мес. 0 дн.</v>
      </c>
      <c r="W1105" s="69"/>
    </row>
    <row r="1106" spans="1:23" ht="35.1" customHeight="1" x14ac:dyDescent="0.25">
      <c r="A1106" s="1">
        <f t="shared" si="68"/>
        <v>1105</v>
      </c>
      <c r="B1106" s="1"/>
      <c r="C1106" s="39"/>
      <c r="D1106" s="21"/>
      <c r="G1106" s="1"/>
      <c r="H1106" s="11" t="str">
        <f t="shared" si="69"/>
        <v>0 г. 0 мес. 0 дн.</v>
      </c>
      <c r="I1106" s="20"/>
      <c r="J1106" s="20"/>
      <c r="O1106" s="20"/>
      <c r="V1106" s="1" t="str">
        <f t="shared" si="67"/>
        <v>0 г. 0 мес. 0 дн.</v>
      </c>
      <c r="W1106" s="69"/>
    </row>
    <row r="1107" spans="1:23" ht="35.1" customHeight="1" x14ac:dyDescent="0.25">
      <c r="A1107" s="1">
        <f t="shared" si="68"/>
        <v>1106</v>
      </c>
      <c r="B1107" s="1"/>
      <c r="C1107" s="39"/>
      <c r="D1107" s="21"/>
      <c r="G1107" s="1"/>
      <c r="H1107" s="11" t="str">
        <f t="shared" si="69"/>
        <v>0 г. 0 мес. 0 дн.</v>
      </c>
      <c r="I1107" s="20"/>
      <c r="J1107" s="20"/>
      <c r="O1107" s="20"/>
      <c r="V1107" s="1" t="str">
        <f t="shared" si="67"/>
        <v>0 г. 0 мес. 0 дн.</v>
      </c>
      <c r="W1107" s="69"/>
    </row>
    <row r="1108" spans="1:23" ht="35.1" customHeight="1" x14ac:dyDescent="0.25">
      <c r="A1108" s="1">
        <f t="shared" si="68"/>
        <v>1107</v>
      </c>
      <c r="B1108" s="1"/>
      <c r="C1108" s="39"/>
      <c r="D1108" s="21"/>
      <c r="G1108" s="1"/>
      <c r="H1108" s="11" t="str">
        <f t="shared" si="69"/>
        <v>0 г. 0 мес. 0 дн.</v>
      </c>
      <c r="I1108" s="20"/>
      <c r="J1108" s="20"/>
      <c r="O1108" s="20"/>
      <c r="V1108" s="1" t="str">
        <f t="shared" si="67"/>
        <v>0 г. 0 мес. 0 дн.</v>
      </c>
      <c r="W1108" s="69"/>
    </row>
    <row r="1109" spans="1:23" ht="35.1" customHeight="1" x14ac:dyDescent="0.25">
      <c r="A1109" s="1">
        <f t="shared" si="68"/>
        <v>1108</v>
      </c>
      <c r="B1109" s="1"/>
      <c r="C1109" s="39"/>
      <c r="D1109" s="21"/>
      <c r="G1109" s="1"/>
      <c r="H1109" s="11" t="str">
        <f t="shared" si="69"/>
        <v>0 г. 0 мес. 0 дн.</v>
      </c>
      <c r="I1109" s="20"/>
      <c r="J1109" s="20"/>
      <c r="O1109" s="20"/>
      <c r="V1109" s="1" t="str">
        <f t="shared" si="67"/>
        <v>0 г. 0 мес. 0 дн.</v>
      </c>
      <c r="W1109" s="69"/>
    </row>
    <row r="1110" spans="1:23" ht="35.1" customHeight="1" x14ac:dyDescent="0.25">
      <c r="A1110" s="1">
        <f t="shared" si="68"/>
        <v>1109</v>
      </c>
      <c r="B1110" s="1"/>
      <c r="C1110" s="39"/>
      <c r="D1110" s="21"/>
      <c r="G1110" s="1"/>
      <c r="H1110" s="11" t="str">
        <f t="shared" si="69"/>
        <v>0 г. 0 мес. 0 дн.</v>
      </c>
      <c r="I1110" s="20"/>
      <c r="J1110" s="20"/>
      <c r="O1110" s="20"/>
      <c r="V1110" s="1" t="str">
        <f t="shared" si="67"/>
        <v>0 г. 0 мес. 0 дн.</v>
      </c>
      <c r="W1110" s="69"/>
    </row>
    <row r="1111" spans="1:23" ht="35.1" customHeight="1" x14ac:dyDescent="0.25">
      <c r="A1111" s="1">
        <f t="shared" si="68"/>
        <v>1110</v>
      </c>
      <c r="B1111" s="1"/>
      <c r="C1111" s="39"/>
      <c r="D1111" s="21"/>
      <c r="G1111" s="1"/>
      <c r="H1111" s="11" t="str">
        <f t="shared" si="69"/>
        <v>0 г. 0 мес. 0 дн.</v>
      </c>
      <c r="I1111" s="20"/>
      <c r="J1111" s="20"/>
      <c r="O1111" s="20"/>
      <c r="V1111" s="1" t="str">
        <f t="shared" si="67"/>
        <v>0 г. 0 мес. 0 дн.</v>
      </c>
      <c r="W1111" s="69"/>
    </row>
    <row r="1112" spans="1:23" ht="35.1" customHeight="1" x14ac:dyDescent="0.25">
      <c r="A1112" s="1">
        <f t="shared" si="68"/>
        <v>1111</v>
      </c>
      <c r="B1112" s="1"/>
      <c r="C1112" s="39"/>
      <c r="D1112" s="21"/>
      <c r="G1112" s="1"/>
      <c r="H1112" s="11" t="str">
        <f t="shared" si="69"/>
        <v>0 г. 0 мес. 0 дн.</v>
      </c>
      <c r="I1112" s="20"/>
      <c r="J1112" s="20"/>
      <c r="O1112" s="20"/>
      <c r="V1112" s="1" t="str">
        <f t="shared" si="67"/>
        <v>0 г. 0 мес. 0 дн.</v>
      </c>
      <c r="W1112" s="69"/>
    </row>
    <row r="1113" spans="1:23" ht="35.1" customHeight="1" x14ac:dyDescent="0.25">
      <c r="A1113" s="1">
        <f t="shared" si="68"/>
        <v>1112</v>
      </c>
      <c r="B1113" s="1"/>
      <c r="C1113" s="39"/>
      <c r="D1113" s="21"/>
      <c r="G1113" s="1"/>
      <c r="H1113" s="11" t="str">
        <f t="shared" si="69"/>
        <v>0 г. 0 мес. 0 дн.</v>
      </c>
      <c r="I1113" s="20"/>
      <c r="J1113" s="20"/>
      <c r="O1113" s="20"/>
      <c r="V1113" s="1" t="str">
        <f t="shared" ref="V1113:V1176" si="70">DATEDIF(D1113,T1113,"y") &amp; " г. " &amp; DATEDIF(D1113,T1113,"ym") &amp; " мес. " &amp; DATEDIF(D1113,T1113,"md") &amp; " дн."</f>
        <v>0 г. 0 мес. 0 дн.</v>
      </c>
      <c r="W1113" s="69"/>
    </row>
    <row r="1114" spans="1:23" ht="35.1" customHeight="1" x14ac:dyDescent="0.25">
      <c r="A1114" s="1">
        <f t="shared" si="68"/>
        <v>1113</v>
      </c>
      <c r="B1114" s="1"/>
      <c r="C1114" s="39"/>
      <c r="D1114" s="21"/>
      <c r="G1114" s="1"/>
      <c r="H1114" s="11" t="str">
        <f t="shared" si="69"/>
        <v>0 г. 0 мес. 0 дн.</v>
      </c>
      <c r="I1114" s="20"/>
      <c r="J1114" s="20"/>
      <c r="O1114" s="20"/>
      <c r="V1114" s="1" t="str">
        <f t="shared" si="70"/>
        <v>0 г. 0 мес. 0 дн.</v>
      </c>
      <c r="W1114" s="69"/>
    </row>
    <row r="1115" spans="1:23" ht="35.1" customHeight="1" x14ac:dyDescent="0.25">
      <c r="A1115" s="1">
        <f t="shared" si="68"/>
        <v>1114</v>
      </c>
      <c r="B1115" s="1"/>
      <c r="C1115" s="39"/>
      <c r="D1115" s="21"/>
      <c r="G1115" s="1"/>
      <c r="H1115" s="11" t="str">
        <f t="shared" si="69"/>
        <v>0 г. 0 мес. 0 дн.</v>
      </c>
      <c r="I1115" s="20"/>
      <c r="J1115" s="20"/>
      <c r="O1115" s="20"/>
      <c r="V1115" s="1" t="str">
        <f t="shared" si="70"/>
        <v>0 г. 0 мес. 0 дн.</v>
      </c>
      <c r="W1115" s="69"/>
    </row>
    <row r="1116" spans="1:23" ht="35.1" customHeight="1" x14ac:dyDescent="0.25">
      <c r="A1116" s="1">
        <f t="shared" si="68"/>
        <v>1115</v>
      </c>
      <c r="B1116" s="1"/>
      <c r="C1116" s="39"/>
      <c r="D1116" s="21"/>
      <c r="G1116" s="1"/>
      <c r="H1116" s="11" t="str">
        <f t="shared" si="69"/>
        <v>0 г. 0 мес. 0 дн.</v>
      </c>
      <c r="I1116" s="20"/>
      <c r="J1116" s="20"/>
      <c r="O1116" s="20"/>
      <c r="V1116" s="1" t="str">
        <f t="shared" si="70"/>
        <v>0 г. 0 мес. 0 дн.</v>
      </c>
      <c r="W1116" s="69"/>
    </row>
    <row r="1117" spans="1:23" ht="35.1" customHeight="1" x14ac:dyDescent="0.25">
      <c r="A1117" s="1">
        <f t="shared" si="68"/>
        <v>1116</v>
      </c>
      <c r="B1117" s="1"/>
      <c r="C1117" s="39"/>
      <c r="D1117" s="21"/>
      <c r="G1117" s="1"/>
      <c r="H1117" s="11" t="str">
        <f t="shared" si="69"/>
        <v>0 г. 0 мес. 0 дн.</v>
      </c>
      <c r="I1117" s="20"/>
      <c r="J1117" s="20"/>
      <c r="O1117" s="20"/>
      <c r="V1117" s="1" t="str">
        <f t="shared" si="70"/>
        <v>0 г. 0 мес. 0 дн.</v>
      </c>
      <c r="W1117" s="69"/>
    </row>
    <row r="1118" spans="1:23" ht="35.1" customHeight="1" x14ac:dyDescent="0.25">
      <c r="A1118" s="1">
        <f t="shared" si="68"/>
        <v>1117</v>
      </c>
      <c r="B1118" s="1"/>
      <c r="C1118" s="39"/>
      <c r="D1118" s="21"/>
      <c r="G1118" s="1"/>
      <c r="H1118" s="11" t="str">
        <f t="shared" si="69"/>
        <v>0 г. 0 мес. 0 дн.</v>
      </c>
      <c r="I1118" s="20"/>
      <c r="J1118" s="20"/>
      <c r="O1118" s="20"/>
      <c r="V1118" s="1" t="str">
        <f t="shared" si="70"/>
        <v>0 г. 0 мес. 0 дн.</v>
      </c>
      <c r="W1118" s="69"/>
    </row>
    <row r="1119" spans="1:23" ht="35.1" customHeight="1" x14ac:dyDescent="0.25">
      <c r="A1119" s="1">
        <f t="shared" si="68"/>
        <v>1118</v>
      </c>
      <c r="B1119" s="1"/>
      <c r="C1119" s="39"/>
      <c r="D1119" s="21"/>
      <c r="G1119" s="1"/>
      <c r="H1119" s="11" t="str">
        <f t="shared" si="69"/>
        <v>0 г. 0 мес. 0 дн.</v>
      </c>
      <c r="I1119" s="20"/>
      <c r="J1119" s="20"/>
      <c r="O1119" s="20"/>
      <c r="V1119" s="1" t="str">
        <f t="shared" si="70"/>
        <v>0 г. 0 мес. 0 дн.</v>
      </c>
      <c r="W1119" s="69"/>
    </row>
    <row r="1120" spans="1:23" ht="35.1" customHeight="1" x14ac:dyDescent="0.25">
      <c r="A1120" s="1">
        <f t="shared" si="68"/>
        <v>1119</v>
      </c>
      <c r="B1120" s="1"/>
      <c r="C1120" s="39"/>
      <c r="D1120" s="21"/>
      <c r="G1120" s="1"/>
      <c r="H1120" s="11" t="str">
        <f t="shared" si="69"/>
        <v>0 г. 0 мес. 0 дн.</v>
      </c>
      <c r="I1120" s="20"/>
      <c r="J1120" s="20"/>
      <c r="O1120" s="20"/>
      <c r="V1120" s="1" t="str">
        <f t="shared" si="70"/>
        <v>0 г. 0 мес. 0 дн.</v>
      </c>
      <c r="W1120" s="69"/>
    </row>
    <row r="1121" spans="1:23" ht="35.1" customHeight="1" x14ac:dyDescent="0.25">
      <c r="A1121" s="1">
        <f t="shared" si="68"/>
        <v>1120</v>
      </c>
      <c r="B1121" s="1"/>
      <c r="C1121" s="39"/>
      <c r="D1121" s="21"/>
      <c r="G1121" s="1"/>
      <c r="H1121" s="11" t="str">
        <f t="shared" si="69"/>
        <v>0 г. 0 мес. 0 дн.</v>
      </c>
      <c r="I1121" s="20"/>
      <c r="J1121" s="20"/>
      <c r="O1121" s="20"/>
      <c r="V1121" s="1" t="str">
        <f t="shared" si="70"/>
        <v>0 г. 0 мес. 0 дн.</v>
      </c>
      <c r="W1121" s="69"/>
    </row>
    <row r="1122" spans="1:23" ht="35.1" customHeight="1" x14ac:dyDescent="0.25">
      <c r="A1122" s="1">
        <f t="shared" si="68"/>
        <v>1121</v>
      </c>
      <c r="B1122" s="1"/>
      <c r="C1122" s="39"/>
      <c r="D1122" s="21"/>
      <c r="G1122" s="1"/>
      <c r="H1122" s="11" t="str">
        <f t="shared" si="69"/>
        <v>0 г. 0 мес. 0 дн.</v>
      </c>
      <c r="I1122" s="20"/>
      <c r="J1122" s="20"/>
      <c r="O1122" s="20"/>
      <c r="V1122" s="1" t="str">
        <f t="shared" si="70"/>
        <v>0 г. 0 мес. 0 дн.</v>
      </c>
      <c r="W1122" s="69"/>
    </row>
    <row r="1123" spans="1:23" ht="35.1" customHeight="1" x14ac:dyDescent="0.25">
      <c r="A1123" s="1">
        <f t="shared" si="68"/>
        <v>1122</v>
      </c>
      <c r="B1123" s="1"/>
      <c r="C1123" s="39"/>
      <c r="D1123" s="21"/>
      <c r="G1123" s="1"/>
      <c r="H1123" s="11" t="str">
        <f t="shared" si="69"/>
        <v>0 г. 0 мес. 0 дн.</v>
      </c>
      <c r="I1123" s="20"/>
      <c r="J1123" s="20"/>
      <c r="O1123" s="20"/>
      <c r="V1123" s="1" t="str">
        <f t="shared" si="70"/>
        <v>0 г. 0 мес. 0 дн.</v>
      </c>
      <c r="W1123" s="69"/>
    </row>
    <row r="1124" spans="1:23" ht="35.1" customHeight="1" x14ac:dyDescent="0.25">
      <c r="A1124" s="1">
        <f t="shared" si="68"/>
        <v>1123</v>
      </c>
      <c r="B1124" s="1"/>
      <c r="C1124" s="39"/>
      <c r="D1124" s="21"/>
      <c r="G1124" s="1"/>
      <c r="H1124" s="11" t="str">
        <f t="shared" si="69"/>
        <v>0 г. 0 мес. 0 дн.</v>
      </c>
      <c r="I1124" s="20"/>
      <c r="J1124" s="20"/>
      <c r="O1124" s="20"/>
      <c r="V1124" s="1" t="str">
        <f t="shared" si="70"/>
        <v>0 г. 0 мес. 0 дн.</v>
      </c>
      <c r="W1124" s="69"/>
    </row>
    <row r="1125" spans="1:23" ht="35.1" customHeight="1" x14ac:dyDescent="0.25">
      <c r="A1125" s="1">
        <f t="shared" si="68"/>
        <v>1124</v>
      </c>
      <c r="B1125" s="1"/>
      <c r="C1125" s="39"/>
      <c r="D1125" s="21"/>
      <c r="G1125" s="1"/>
      <c r="H1125" s="11" t="str">
        <f t="shared" si="69"/>
        <v>0 г. 0 мес. 0 дн.</v>
      </c>
      <c r="I1125" s="20"/>
      <c r="J1125" s="20"/>
      <c r="O1125" s="20"/>
      <c r="V1125" s="1" t="str">
        <f t="shared" si="70"/>
        <v>0 г. 0 мес. 0 дн.</v>
      </c>
      <c r="W1125" s="69"/>
    </row>
    <row r="1126" spans="1:23" ht="35.1" customHeight="1" x14ac:dyDescent="0.25">
      <c r="A1126" s="1">
        <f t="shared" si="68"/>
        <v>1125</v>
      </c>
      <c r="B1126" s="1"/>
      <c r="C1126" s="39"/>
      <c r="D1126" s="21"/>
      <c r="G1126" s="1"/>
      <c r="H1126" s="11" t="str">
        <f t="shared" si="69"/>
        <v>0 г. 0 мес. 0 дн.</v>
      </c>
      <c r="I1126" s="20"/>
      <c r="J1126" s="20"/>
      <c r="O1126" s="20"/>
      <c r="V1126" s="1" t="str">
        <f t="shared" si="70"/>
        <v>0 г. 0 мес. 0 дн.</v>
      </c>
      <c r="W1126" s="69"/>
    </row>
    <row r="1127" spans="1:23" ht="35.1" customHeight="1" x14ac:dyDescent="0.25">
      <c r="A1127" s="1">
        <f t="shared" si="68"/>
        <v>1126</v>
      </c>
      <c r="B1127" s="1"/>
      <c r="C1127" s="39"/>
      <c r="D1127" s="21"/>
      <c r="G1127" s="1"/>
      <c r="H1127" s="11" t="str">
        <f t="shared" si="69"/>
        <v>0 г. 0 мес. 0 дн.</v>
      </c>
      <c r="I1127" s="20"/>
      <c r="J1127" s="20"/>
      <c r="O1127" s="20"/>
      <c r="V1127" s="1" t="str">
        <f t="shared" si="70"/>
        <v>0 г. 0 мес. 0 дн.</v>
      </c>
      <c r="W1127" s="69"/>
    </row>
    <row r="1128" spans="1:23" ht="35.1" customHeight="1" x14ac:dyDescent="0.25">
      <c r="A1128" s="1">
        <f t="shared" si="68"/>
        <v>1127</v>
      </c>
      <c r="B1128" s="1"/>
      <c r="C1128" s="39"/>
      <c r="D1128" s="21"/>
      <c r="G1128" s="1"/>
      <c r="H1128" s="11" t="str">
        <f t="shared" si="69"/>
        <v>0 г. 0 мес. 0 дн.</v>
      </c>
      <c r="I1128" s="20"/>
      <c r="J1128" s="20"/>
      <c r="O1128" s="20"/>
      <c r="V1128" s="1" t="str">
        <f t="shared" si="70"/>
        <v>0 г. 0 мес. 0 дн.</v>
      </c>
      <c r="W1128" s="69"/>
    </row>
    <row r="1129" spans="1:23" ht="35.1" customHeight="1" x14ac:dyDescent="0.25">
      <c r="A1129" s="1">
        <f t="shared" si="68"/>
        <v>1128</v>
      </c>
      <c r="B1129" s="1"/>
      <c r="C1129" s="39"/>
      <c r="D1129" s="21"/>
      <c r="G1129" s="1"/>
      <c r="H1129" s="11" t="str">
        <f t="shared" si="69"/>
        <v>0 г. 0 мес. 0 дн.</v>
      </c>
      <c r="I1129" s="20"/>
      <c r="J1129" s="20"/>
      <c r="O1129" s="20"/>
      <c r="V1129" s="1" t="str">
        <f t="shared" si="70"/>
        <v>0 г. 0 мес. 0 дн.</v>
      </c>
      <c r="W1129" s="69"/>
    </row>
    <row r="1130" spans="1:23" ht="35.1" customHeight="1" x14ac:dyDescent="0.25">
      <c r="A1130" s="1">
        <f t="shared" si="68"/>
        <v>1129</v>
      </c>
      <c r="B1130" s="1"/>
      <c r="C1130" s="39"/>
      <c r="D1130" s="21"/>
      <c r="G1130" s="1"/>
      <c r="H1130" s="11" t="str">
        <f t="shared" si="69"/>
        <v>0 г. 0 мес. 0 дн.</v>
      </c>
      <c r="I1130" s="20"/>
      <c r="J1130" s="20"/>
      <c r="O1130" s="20"/>
      <c r="V1130" s="1" t="str">
        <f t="shared" si="70"/>
        <v>0 г. 0 мес. 0 дн.</v>
      </c>
      <c r="W1130" s="69"/>
    </row>
    <row r="1131" spans="1:23" ht="35.1" customHeight="1" x14ac:dyDescent="0.25">
      <c r="A1131" s="1">
        <f t="shared" si="68"/>
        <v>1130</v>
      </c>
      <c r="B1131" s="1"/>
      <c r="C1131" s="39"/>
      <c r="D1131" s="21"/>
      <c r="G1131" s="1"/>
      <c r="H1131" s="11" t="str">
        <f t="shared" si="69"/>
        <v>0 г. 0 мес. 0 дн.</v>
      </c>
      <c r="I1131" s="20"/>
      <c r="J1131" s="20"/>
      <c r="O1131" s="20"/>
      <c r="V1131" s="1" t="str">
        <f t="shared" si="70"/>
        <v>0 г. 0 мес. 0 дн.</v>
      </c>
      <c r="W1131" s="69"/>
    </row>
    <row r="1132" spans="1:23" ht="35.1" customHeight="1" x14ac:dyDescent="0.25">
      <c r="A1132" s="1">
        <f t="shared" si="68"/>
        <v>1131</v>
      </c>
      <c r="B1132" s="1"/>
      <c r="C1132" s="39"/>
      <c r="D1132" s="21"/>
      <c r="G1132" s="1"/>
      <c r="H1132" s="11" t="str">
        <f t="shared" si="69"/>
        <v>0 г. 0 мес. 0 дн.</v>
      </c>
      <c r="I1132" s="20"/>
      <c r="J1132" s="20"/>
      <c r="O1132" s="20"/>
      <c r="V1132" s="1" t="str">
        <f t="shared" si="70"/>
        <v>0 г. 0 мес. 0 дн.</v>
      </c>
      <c r="W1132" s="69"/>
    </row>
    <row r="1133" spans="1:23" ht="35.1" customHeight="1" x14ac:dyDescent="0.25">
      <c r="A1133" s="1">
        <f t="shared" si="68"/>
        <v>1132</v>
      </c>
      <c r="B1133" s="1"/>
      <c r="C1133" s="39"/>
      <c r="D1133" s="21"/>
      <c r="G1133" s="1"/>
      <c r="H1133" s="11" t="str">
        <f t="shared" si="69"/>
        <v>0 г. 0 мес. 0 дн.</v>
      </c>
      <c r="I1133" s="20"/>
      <c r="J1133" s="20"/>
      <c r="O1133" s="20"/>
      <c r="V1133" s="1" t="str">
        <f t="shared" si="70"/>
        <v>0 г. 0 мес. 0 дн.</v>
      </c>
      <c r="W1133" s="69"/>
    </row>
    <row r="1134" spans="1:23" ht="35.1" customHeight="1" x14ac:dyDescent="0.25">
      <c r="A1134" s="1">
        <f t="shared" si="68"/>
        <v>1133</v>
      </c>
      <c r="B1134" s="1"/>
      <c r="C1134" s="39"/>
      <c r="D1134" s="21"/>
      <c r="G1134" s="1"/>
      <c r="H1134" s="11" t="str">
        <f t="shared" si="69"/>
        <v>0 г. 0 мес. 0 дн.</v>
      </c>
      <c r="I1134" s="20"/>
      <c r="J1134" s="20"/>
      <c r="O1134" s="20"/>
      <c r="V1134" s="1" t="str">
        <f t="shared" si="70"/>
        <v>0 г. 0 мес. 0 дн.</v>
      </c>
      <c r="W1134" s="69"/>
    </row>
    <row r="1135" spans="1:23" ht="35.1" customHeight="1" x14ac:dyDescent="0.25">
      <c r="A1135" s="1">
        <f t="shared" si="68"/>
        <v>1134</v>
      </c>
      <c r="B1135" s="1"/>
      <c r="C1135" s="39"/>
      <c r="D1135" s="21"/>
      <c r="G1135" s="1"/>
      <c r="H1135" s="11" t="str">
        <f t="shared" si="69"/>
        <v>0 г. 0 мес. 0 дн.</v>
      </c>
      <c r="I1135" s="20"/>
      <c r="J1135" s="20"/>
      <c r="O1135" s="20"/>
      <c r="V1135" s="1" t="str">
        <f t="shared" si="70"/>
        <v>0 г. 0 мес. 0 дн.</v>
      </c>
      <c r="W1135" s="69"/>
    </row>
    <row r="1136" spans="1:23" ht="35.1" customHeight="1" x14ac:dyDescent="0.25">
      <c r="A1136" s="1">
        <f t="shared" si="68"/>
        <v>1135</v>
      </c>
      <c r="B1136" s="1"/>
      <c r="C1136" s="39"/>
      <c r="D1136" s="21"/>
      <c r="G1136" s="1"/>
      <c r="H1136" s="11" t="str">
        <f t="shared" si="69"/>
        <v>0 г. 0 мес. 0 дн.</v>
      </c>
      <c r="I1136" s="20"/>
      <c r="J1136" s="20"/>
      <c r="O1136" s="20"/>
      <c r="V1136" s="1" t="str">
        <f t="shared" si="70"/>
        <v>0 г. 0 мес. 0 дн.</v>
      </c>
      <c r="W1136" s="69"/>
    </row>
    <row r="1137" spans="1:23" ht="35.1" customHeight="1" x14ac:dyDescent="0.25">
      <c r="A1137" s="1">
        <f t="shared" si="68"/>
        <v>1136</v>
      </c>
      <c r="B1137" s="1"/>
      <c r="C1137" s="39"/>
      <c r="D1137" s="21"/>
      <c r="G1137" s="1"/>
      <c r="H1137" s="11" t="str">
        <f t="shared" si="69"/>
        <v>0 г. 0 мес. 0 дн.</v>
      </c>
      <c r="I1137" s="20"/>
      <c r="J1137" s="20"/>
      <c r="O1137" s="20"/>
      <c r="V1137" s="1" t="str">
        <f t="shared" si="70"/>
        <v>0 г. 0 мес. 0 дн.</v>
      </c>
      <c r="W1137" s="69"/>
    </row>
    <row r="1138" spans="1:23" ht="35.1" customHeight="1" x14ac:dyDescent="0.25">
      <c r="A1138" s="1">
        <f t="shared" si="68"/>
        <v>1137</v>
      </c>
      <c r="B1138" s="1"/>
      <c r="C1138" s="39"/>
      <c r="D1138" s="21"/>
      <c r="G1138" s="1"/>
      <c r="H1138" s="11" t="str">
        <f t="shared" si="69"/>
        <v>0 г. 0 мес. 0 дн.</v>
      </c>
      <c r="I1138" s="20"/>
      <c r="J1138" s="20"/>
      <c r="O1138" s="20"/>
      <c r="V1138" s="1" t="str">
        <f t="shared" si="70"/>
        <v>0 г. 0 мес. 0 дн.</v>
      </c>
      <c r="W1138" s="69"/>
    </row>
    <row r="1139" spans="1:23" ht="35.1" customHeight="1" x14ac:dyDescent="0.25">
      <c r="A1139" s="1">
        <f t="shared" si="68"/>
        <v>1138</v>
      </c>
      <c r="B1139" s="1"/>
      <c r="C1139" s="39"/>
      <c r="D1139" s="21"/>
      <c r="G1139" s="1"/>
      <c r="H1139" s="11" t="str">
        <f t="shared" si="69"/>
        <v>0 г. 0 мес. 0 дн.</v>
      </c>
      <c r="I1139" s="20"/>
      <c r="J1139" s="20"/>
      <c r="O1139" s="20"/>
      <c r="V1139" s="1" t="str">
        <f t="shared" si="70"/>
        <v>0 г. 0 мес. 0 дн.</v>
      </c>
      <c r="W1139" s="69"/>
    </row>
    <row r="1140" spans="1:23" ht="35.1" customHeight="1" x14ac:dyDescent="0.25">
      <c r="A1140" s="1">
        <f t="shared" si="68"/>
        <v>1139</v>
      </c>
      <c r="B1140" s="1"/>
      <c r="C1140" s="39"/>
      <c r="D1140" s="21"/>
      <c r="G1140" s="1"/>
      <c r="H1140" s="11" t="str">
        <f t="shared" si="69"/>
        <v>0 г. 0 мес. 0 дн.</v>
      </c>
      <c r="I1140" s="20"/>
      <c r="J1140" s="20"/>
      <c r="O1140" s="20"/>
      <c r="V1140" s="1" t="str">
        <f t="shared" si="70"/>
        <v>0 г. 0 мес. 0 дн.</v>
      </c>
      <c r="W1140" s="69"/>
    </row>
    <row r="1141" spans="1:23" ht="35.1" customHeight="1" x14ac:dyDescent="0.25">
      <c r="A1141" s="1">
        <f t="shared" si="68"/>
        <v>1140</v>
      </c>
      <c r="B1141" s="1"/>
      <c r="C1141" s="39"/>
      <c r="D1141" s="21"/>
      <c r="G1141" s="1"/>
      <c r="H1141" s="11" t="str">
        <f t="shared" si="69"/>
        <v>0 г. 0 мес. 0 дн.</v>
      </c>
      <c r="I1141" s="20"/>
      <c r="J1141" s="20"/>
      <c r="O1141" s="20"/>
      <c r="V1141" s="1" t="str">
        <f t="shared" si="70"/>
        <v>0 г. 0 мес. 0 дн.</v>
      </c>
      <c r="W1141" s="69"/>
    </row>
    <row r="1142" spans="1:23" ht="35.1" customHeight="1" x14ac:dyDescent="0.25">
      <c r="A1142" s="1">
        <f t="shared" si="68"/>
        <v>1141</v>
      </c>
      <c r="B1142" s="1"/>
      <c r="C1142" s="39"/>
      <c r="D1142" s="21"/>
      <c r="G1142" s="1"/>
      <c r="H1142" s="11" t="str">
        <f t="shared" si="69"/>
        <v>0 г. 0 мес. 0 дн.</v>
      </c>
      <c r="I1142" s="20"/>
      <c r="J1142" s="20"/>
      <c r="O1142" s="20"/>
      <c r="V1142" s="1" t="str">
        <f t="shared" si="70"/>
        <v>0 г. 0 мес. 0 дн.</v>
      </c>
      <c r="W1142" s="69"/>
    </row>
    <row r="1143" spans="1:23" ht="35.1" customHeight="1" x14ac:dyDescent="0.25">
      <c r="A1143" s="1">
        <f t="shared" si="68"/>
        <v>1142</v>
      </c>
      <c r="B1143" s="1"/>
      <c r="C1143" s="39"/>
      <c r="D1143" s="21"/>
      <c r="G1143" s="1"/>
      <c r="H1143" s="11" t="str">
        <f t="shared" si="69"/>
        <v>0 г. 0 мес. 0 дн.</v>
      </c>
      <c r="I1143" s="20"/>
      <c r="J1143" s="20"/>
      <c r="O1143" s="20"/>
      <c r="V1143" s="1" t="str">
        <f t="shared" si="70"/>
        <v>0 г. 0 мес. 0 дн.</v>
      </c>
      <c r="W1143" s="69"/>
    </row>
    <row r="1144" spans="1:23" ht="35.1" customHeight="1" x14ac:dyDescent="0.25">
      <c r="A1144" s="1">
        <f t="shared" si="68"/>
        <v>1143</v>
      </c>
      <c r="B1144" s="1"/>
      <c r="C1144" s="39"/>
      <c r="D1144" s="21"/>
      <c r="G1144" s="1"/>
      <c r="H1144" s="11" t="str">
        <f t="shared" si="69"/>
        <v>0 г. 0 мес. 0 дн.</v>
      </c>
      <c r="I1144" s="20"/>
      <c r="J1144" s="20"/>
      <c r="O1144" s="20"/>
      <c r="V1144" s="1" t="str">
        <f t="shared" si="70"/>
        <v>0 г. 0 мес. 0 дн.</v>
      </c>
      <c r="W1144" s="69"/>
    </row>
    <row r="1145" spans="1:23" ht="35.1" customHeight="1" x14ac:dyDescent="0.25">
      <c r="A1145" s="1">
        <f t="shared" si="68"/>
        <v>1144</v>
      </c>
      <c r="B1145" s="1"/>
      <c r="C1145" s="39"/>
      <c r="D1145" s="21"/>
      <c r="G1145" s="1"/>
      <c r="H1145" s="11" t="str">
        <f t="shared" si="69"/>
        <v>0 г. 0 мес. 0 дн.</v>
      </c>
      <c r="I1145" s="20"/>
      <c r="J1145" s="20"/>
      <c r="O1145" s="20"/>
      <c r="V1145" s="1" t="str">
        <f t="shared" si="70"/>
        <v>0 г. 0 мес. 0 дн.</v>
      </c>
      <c r="W1145" s="69"/>
    </row>
    <row r="1146" spans="1:23" ht="35.1" customHeight="1" x14ac:dyDescent="0.25">
      <c r="A1146" s="1">
        <f t="shared" si="68"/>
        <v>1145</v>
      </c>
      <c r="B1146" s="1"/>
      <c r="C1146" s="39"/>
      <c r="D1146" s="21"/>
      <c r="G1146" s="1"/>
      <c r="H1146" s="11" t="str">
        <f t="shared" si="69"/>
        <v>0 г. 0 мес. 0 дн.</v>
      </c>
      <c r="I1146" s="20"/>
      <c r="J1146" s="20"/>
      <c r="O1146" s="20"/>
      <c r="V1146" s="1" t="str">
        <f t="shared" si="70"/>
        <v>0 г. 0 мес. 0 дн.</v>
      </c>
      <c r="W1146" s="69"/>
    </row>
    <row r="1147" spans="1:23" ht="35.1" customHeight="1" x14ac:dyDescent="0.25">
      <c r="A1147" s="1">
        <f t="shared" si="68"/>
        <v>1146</v>
      </c>
      <c r="B1147" s="1"/>
      <c r="C1147" s="39"/>
      <c r="D1147" s="21"/>
      <c r="G1147" s="1"/>
      <c r="H1147" s="11" t="str">
        <f t="shared" si="69"/>
        <v>0 г. 0 мес. 0 дн.</v>
      </c>
      <c r="I1147" s="20"/>
      <c r="J1147" s="20"/>
      <c r="O1147" s="20"/>
      <c r="V1147" s="1" t="str">
        <f t="shared" si="70"/>
        <v>0 г. 0 мес. 0 дн.</v>
      </c>
      <c r="W1147" s="69"/>
    </row>
    <row r="1148" spans="1:23" ht="35.1" customHeight="1" x14ac:dyDescent="0.25">
      <c r="A1148" s="1">
        <f t="shared" si="68"/>
        <v>1147</v>
      </c>
      <c r="B1148" s="1"/>
      <c r="C1148" s="39"/>
      <c r="D1148" s="21"/>
      <c r="G1148" s="1"/>
      <c r="H1148" s="11" t="str">
        <f t="shared" si="69"/>
        <v>0 г. 0 мес. 0 дн.</v>
      </c>
      <c r="I1148" s="20"/>
      <c r="J1148" s="20"/>
      <c r="O1148" s="20"/>
      <c r="V1148" s="1" t="str">
        <f t="shared" si="70"/>
        <v>0 г. 0 мес. 0 дн.</v>
      </c>
      <c r="W1148" s="69"/>
    </row>
    <row r="1149" spans="1:23" ht="35.1" customHeight="1" x14ac:dyDescent="0.25">
      <c r="A1149" s="1">
        <f t="shared" si="68"/>
        <v>1148</v>
      </c>
      <c r="B1149" s="1"/>
      <c r="C1149" s="39"/>
      <c r="D1149" s="21"/>
      <c r="G1149" s="1"/>
      <c r="H1149" s="11" t="str">
        <f t="shared" si="69"/>
        <v>0 г. 0 мес. 0 дн.</v>
      </c>
      <c r="I1149" s="20"/>
      <c r="J1149" s="20"/>
      <c r="O1149" s="20"/>
      <c r="V1149" s="1" t="str">
        <f t="shared" si="70"/>
        <v>0 г. 0 мес. 0 дн.</v>
      </c>
      <c r="W1149" s="69"/>
    </row>
    <row r="1150" spans="1:23" ht="35.1" customHeight="1" x14ac:dyDescent="0.25">
      <c r="A1150" s="1">
        <f t="shared" si="68"/>
        <v>1149</v>
      </c>
      <c r="B1150" s="1"/>
      <c r="C1150" s="39"/>
      <c r="D1150" s="21"/>
      <c r="G1150" s="1"/>
      <c r="H1150" s="11" t="str">
        <f t="shared" si="69"/>
        <v>0 г. 0 мес. 0 дн.</v>
      </c>
      <c r="I1150" s="20"/>
      <c r="J1150" s="20"/>
      <c r="O1150" s="20"/>
      <c r="V1150" s="1" t="str">
        <f t="shared" si="70"/>
        <v>0 г. 0 мес. 0 дн.</v>
      </c>
      <c r="W1150" s="69"/>
    </row>
    <row r="1151" spans="1:23" ht="35.1" customHeight="1" x14ac:dyDescent="0.25">
      <c r="A1151" s="1">
        <f t="shared" si="68"/>
        <v>1150</v>
      </c>
      <c r="B1151" s="1"/>
      <c r="C1151" s="39"/>
      <c r="D1151" s="21"/>
      <c r="G1151" s="1"/>
      <c r="H1151" s="11" t="str">
        <f t="shared" si="69"/>
        <v>0 г. 0 мес. 0 дн.</v>
      </c>
      <c r="I1151" s="20"/>
      <c r="J1151" s="20"/>
      <c r="O1151" s="20"/>
      <c r="V1151" s="1" t="str">
        <f t="shared" si="70"/>
        <v>0 г. 0 мес. 0 дн.</v>
      </c>
      <c r="W1151" s="69"/>
    </row>
    <row r="1152" spans="1:23" ht="35.1" customHeight="1" x14ac:dyDescent="0.25">
      <c r="A1152" s="1">
        <f t="shared" si="68"/>
        <v>1151</v>
      </c>
      <c r="B1152" s="1"/>
      <c r="C1152" s="39"/>
      <c r="D1152" s="21"/>
      <c r="G1152" s="1"/>
      <c r="H1152" s="11" t="str">
        <f t="shared" si="69"/>
        <v>0 г. 0 мес. 0 дн.</v>
      </c>
      <c r="I1152" s="20"/>
      <c r="J1152" s="20"/>
      <c r="O1152" s="20"/>
      <c r="V1152" s="1" t="str">
        <f t="shared" si="70"/>
        <v>0 г. 0 мес. 0 дн.</v>
      </c>
      <c r="W1152" s="69"/>
    </row>
    <row r="1153" spans="1:23" ht="35.1" customHeight="1" x14ac:dyDescent="0.25">
      <c r="A1153" s="1">
        <f t="shared" ref="A1153:A1216" si="71">ROW(A1152)</f>
        <v>1152</v>
      </c>
      <c r="B1153" s="1"/>
      <c r="C1153" s="39"/>
      <c r="D1153" s="21"/>
      <c r="G1153" s="1"/>
      <c r="H1153" s="11" t="str">
        <f t="shared" ref="H1153:H1216" si="72">DATEDIF(G1153,D1153,"y") &amp; " г. " &amp; DATEDIF(G1153,D1153,"ym") &amp; " мес. " &amp; DATEDIF(G1153,D1153,"md") &amp; " дн."</f>
        <v>0 г. 0 мес. 0 дн.</v>
      </c>
      <c r="I1153" s="20"/>
      <c r="J1153" s="20"/>
      <c r="O1153" s="20"/>
      <c r="V1153" s="1" t="str">
        <f t="shared" si="70"/>
        <v>0 г. 0 мес. 0 дн.</v>
      </c>
      <c r="W1153" s="69"/>
    </row>
    <row r="1154" spans="1:23" ht="35.1" customHeight="1" x14ac:dyDescent="0.25">
      <c r="A1154" s="1">
        <f t="shared" si="71"/>
        <v>1153</v>
      </c>
      <c r="B1154" s="1"/>
      <c r="C1154" s="39"/>
      <c r="D1154" s="21"/>
      <c r="G1154" s="1"/>
      <c r="H1154" s="11" t="str">
        <f t="shared" si="72"/>
        <v>0 г. 0 мес. 0 дн.</v>
      </c>
      <c r="I1154" s="20"/>
      <c r="J1154" s="20"/>
      <c r="O1154" s="20"/>
      <c r="V1154" s="1" t="str">
        <f t="shared" si="70"/>
        <v>0 г. 0 мес. 0 дн.</v>
      </c>
      <c r="W1154" s="69"/>
    </row>
    <row r="1155" spans="1:23" ht="35.1" customHeight="1" x14ac:dyDescent="0.25">
      <c r="A1155" s="1">
        <f t="shared" si="71"/>
        <v>1154</v>
      </c>
      <c r="B1155" s="1"/>
      <c r="C1155" s="39"/>
      <c r="D1155" s="21"/>
      <c r="G1155" s="1"/>
      <c r="H1155" s="11" t="str">
        <f t="shared" si="72"/>
        <v>0 г. 0 мес. 0 дн.</v>
      </c>
      <c r="I1155" s="20"/>
      <c r="J1155" s="20"/>
      <c r="O1155" s="20"/>
      <c r="V1155" s="1" t="str">
        <f t="shared" si="70"/>
        <v>0 г. 0 мес. 0 дн.</v>
      </c>
      <c r="W1155" s="69"/>
    </row>
    <row r="1156" spans="1:23" ht="35.1" customHeight="1" x14ac:dyDescent="0.25">
      <c r="A1156" s="1">
        <f t="shared" si="71"/>
        <v>1155</v>
      </c>
      <c r="B1156" s="1"/>
      <c r="C1156" s="39"/>
      <c r="D1156" s="21"/>
      <c r="G1156" s="1"/>
      <c r="H1156" s="11" t="str">
        <f t="shared" si="72"/>
        <v>0 г. 0 мес. 0 дн.</v>
      </c>
      <c r="I1156" s="20"/>
      <c r="J1156" s="20"/>
      <c r="O1156" s="20"/>
      <c r="V1156" s="1" t="str">
        <f t="shared" si="70"/>
        <v>0 г. 0 мес. 0 дн.</v>
      </c>
      <c r="W1156" s="69"/>
    </row>
    <row r="1157" spans="1:23" ht="35.1" customHeight="1" x14ac:dyDescent="0.25">
      <c r="A1157" s="1">
        <f t="shared" si="71"/>
        <v>1156</v>
      </c>
      <c r="B1157" s="1"/>
      <c r="C1157" s="39"/>
      <c r="D1157" s="21"/>
      <c r="G1157" s="1"/>
      <c r="H1157" s="11" t="str">
        <f t="shared" si="72"/>
        <v>0 г. 0 мес. 0 дн.</v>
      </c>
      <c r="I1157" s="20"/>
      <c r="J1157" s="20"/>
      <c r="O1157" s="20"/>
      <c r="V1157" s="1" t="str">
        <f t="shared" si="70"/>
        <v>0 г. 0 мес. 0 дн.</v>
      </c>
      <c r="W1157" s="69"/>
    </row>
    <row r="1158" spans="1:23" ht="35.1" customHeight="1" x14ac:dyDescent="0.25">
      <c r="A1158" s="1">
        <f t="shared" si="71"/>
        <v>1157</v>
      </c>
      <c r="B1158" s="1"/>
      <c r="C1158" s="39"/>
      <c r="D1158" s="21"/>
      <c r="G1158" s="1"/>
      <c r="H1158" s="11" t="str">
        <f t="shared" si="72"/>
        <v>0 г. 0 мес. 0 дн.</v>
      </c>
      <c r="I1158" s="20"/>
      <c r="J1158" s="20"/>
      <c r="O1158" s="20"/>
      <c r="V1158" s="1" t="str">
        <f t="shared" si="70"/>
        <v>0 г. 0 мес. 0 дн.</v>
      </c>
      <c r="W1158" s="69"/>
    </row>
    <row r="1159" spans="1:23" ht="35.1" customHeight="1" x14ac:dyDescent="0.25">
      <c r="A1159" s="1">
        <f t="shared" si="71"/>
        <v>1158</v>
      </c>
      <c r="B1159" s="1"/>
      <c r="C1159" s="39"/>
      <c r="D1159" s="21"/>
      <c r="G1159" s="1"/>
      <c r="H1159" s="11" t="str">
        <f t="shared" si="72"/>
        <v>0 г. 0 мес. 0 дн.</v>
      </c>
      <c r="I1159" s="20"/>
      <c r="J1159" s="20"/>
      <c r="O1159" s="20"/>
      <c r="V1159" s="1" t="str">
        <f t="shared" si="70"/>
        <v>0 г. 0 мес. 0 дн.</v>
      </c>
      <c r="W1159" s="69"/>
    </row>
    <row r="1160" spans="1:23" ht="35.1" customHeight="1" x14ac:dyDescent="0.25">
      <c r="A1160" s="1">
        <f t="shared" si="71"/>
        <v>1159</v>
      </c>
      <c r="B1160" s="1"/>
      <c r="C1160" s="39"/>
      <c r="D1160" s="21"/>
      <c r="G1160" s="1"/>
      <c r="H1160" s="11" t="str">
        <f t="shared" si="72"/>
        <v>0 г. 0 мес. 0 дн.</v>
      </c>
      <c r="I1160" s="20"/>
      <c r="J1160" s="20"/>
      <c r="O1160" s="20"/>
      <c r="V1160" s="1" t="str">
        <f t="shared" si="70"/>
        <v>0 г. 0 мес. 0 дн.</v>
      </c>
      <c r="W1160" s="69"/>
    </row>
    <row r="1161" spans="1:23" ht="35.1" customHeight="1" x14ac:dyDescent="0.25">
      <c r="A1161" s="1">
        <f t="shared" si="71"/>
        <v>1160</v>
      </c>
      <c r="B1161" s="1"/>
      <c r="C1161" s="39"/>
      <c r="D1161" s="21"/>
      <c r="G1161" s="1"/>
      <c r="H1161" s="11" t="str">
        <f t="shared" si="72"/>
        <v>0 г. 0 мес. 0 дн.</v>
      </c>
      <c r="I1161" s="20"/>
      <c r="J1161" s="20"/>
      <c r="O1161" s="20"/>
      <c r="V1161" s="1" t="str">
        <f t="shared" si="70"/>
        <v>0 г. 0 мес. 0 дн.</v>
      </c>
      <c r="W1161" s="69"/>
    </row>
    <row r="1162" spans="1:23" ht="35.1" customHeight="1" x14ac:dyDescent="0.25">
      <c r="A1162" s="1">
        <f t="shared" si="71"/>
        <v>1161</v>
      </c>
      <c r="B1162" s="1"/>
      <c r="C1162" s="39"/>
      <c r="D1162" s="21"/>
      <c r="G1162" s="1"/>
      <c r="H1162" s="11" t="str">
        <f t="shared" si="72"/>
        <v>0 г. 0 мес. 0 дн.</v>
      </c>
      <c r="I1162" s="20"/>
      <c r="J1162" s="20"/>
      <c r="O1162" s="20"/>
      <c r="V1162" s="1" t="str">
        <f t="shared" si="70"/>
        <v>0 г. 0 мес. 0 дн.</v>
      </c>
      <c r="W1162" s="69"/>
    </row>
    <row r="1163" spans="1:23" ht="35.1" customHeight="1" x14ac:dyDescent="0.25">
      <c r="A1163" s="1">
        <f t="shared" si="71"/>
        <v>1162</v>
      </c>
      <c r="B1163" s="1"/>
      <c r="C1163" s="39"/>
      <c r="D1163" s="21"/>
      <c r="G1163" s="1"/>
      <c r="H1163" s="11" t="str">
        <f t="shared" si="72"/>
        <v>0 г. 0 мес. 0 дн.</v>
      </c>
      <c r="I1163" s="20"/>
      <c r="J1163" s="20"/>
      <c r="O1163" s="20"/>
      <c r="V1163" s="1" t="str">
        <f t="shared" si="70"/>
        <v>0 г. 0 мес. 0 дн.</v>
      </c>
      <c r="W1163" s="69"/>
    </row>
    <row r="1164" spans="1:23" ht="35.1" customHeight="1" x14ac:dyDescent="0.25">
      <c r="A1164" s="1">
        <f t="shared" si="71"/>
        <v>1163</v>
      </c>
      <c r="B1164" s="1"/>
      <c r="C1164" s="39"/>
      <c r="D1164" s="21"/>
      <c r="G1164" s="1"/>
      <c r="H1164" s="11" t="str">
        <f t="shared" si="72"/>
        <v>0 г. 0 мес. 0 дн.</v>
      </c>
      <c r="I1164" s="20"/>
      <c r="J1164" s="20"/>
      <c r="O1164" s="20"/>
      <c r="V1164" s="1" t="str">
        <f t="shared" si="70"/>
        <v>0 г. 0 мес. 0 дн.</v>
      </c>
      <c r="W1164" s="69"/>
    </row>
    <row r="1165" spans="1:23" ht="35.1" customHeight="1" x14ac:dyDescent="0.25">
      <c r="A1165" s="1">
        <f t="shared" si="71"/>
        <v>1164</v>
      </c>
      <c r="B1165" s="1"/>
      <c r="C1165" s="39"/>
      <c r="D1165" s="21"/>
      <c r="G1165" s="1"/>
      <c r="H1165" s="11" t="str">
        <f t="shared" si="72"/>
        <v>0 г. 0 мес. 0 дн.</v>
      </c>
      <c r="I1165" s="20"/>
      <c r="J1165" s="20"/>
      <c r="O1165" s="20"/>
      <c r="V1165" s="1" t="str">
        <f t="shared" si="70"/>
        <v>0 г. 0 мес. 0 дн.</v>
      </c>
      <c r="W1165" s="69"/>
    </row>
    <row r="1166" spans="1:23" ht="35.1" customHeight="1" x14ac:dyDescent="0.25">
      <c r="A1166" s="1">
        <f t="shared" si="71"/>
        <v>1165</v>
      </c>
      <c r="B1166" s="1"/>
      <c r="C1166" s="39"/>
      <c r="D1166" s="21"/>
      <c r="G1166" s="1"/>
      <c r="H1166" s="11" t="str">
        <f t="shared" si="72"/>
        <v>0 г. 0 мес. 0 дн.</v>
      </c>
      <c r="I1166" s="20"/>
      <c r="J1166" s="20"/>
      <c r="O1166" s="20"/>
      <c r="V1166" s="1" t="str">
        <f t="shared" si="70"/>
        <v>0 г. 0 мес. 0 дн.</v>
      </c>
      <c r="W1166" s="69"/>
    </row>
    <row r="1167" spans="1:23" ht="35.1" customHeight="1" x14ac:dyDescent="0.25">
      <c r="A1167" s="1">
        <f t="shared" si="71"/>
        <v>1166</v>
      </c>
      <c r="B1167" s="1"/>
      <c r="C1167" s="39"/>
      <c r="D1167" s="21"/>
      <c r="G1167" s="1"/>
      <c r="H1167" s="11" t="str">
        <f t="shared" si="72"/>
        <v>0 г. 0 мес. 0 дн.</v>
      </c>
      <c r="I1167" s="20"/>
      <c r="J1167" s="20"/>
      <c r="O1167" s="20"/>
      <c r="V1167" s="1" t="str">
        <f t="shared" si="70"/>
        <v>0 г. 0 мес. 0 дн.</v>
      </c>
      <c r="W1167" s="69"/>
    </row>
    <row r="1168" spans="1:23" ht="35.1" customHeight="1" x14ac:dyDescent="0.25">
      <c r="A1168" s="1">
        <f t="shared" si="71"/>
        <v>1167</v>
      </c>
      <c r="B1168" s="1"/>
      <c r="C1168" s="39"/>
      <c r="D1168" s="21"/>
      <c r="G1168" s="1"/>
      <c r="H1168" s="11" t="str">
        <f t="shared" si="72"/>
        <v>0 г. 0 мес. 0 дн.</v>
      </c>
      <c r="I1168" s="20"/>
      <c r="J1168" s="20"/>
      <c r="O1168" s="20"/>
      <c r="V1168" s="1" t="str">
        <f t="shared" si="70"/>
        <v>0 г. 0 мес. 0 дн.</v>
      </c>
      <c r="W1168" s="69"/>
    </row>
    <row r="1169" spans="1:23" ht="35.1" customHeight="1" x14ac:dyDescent="0.25">
      <c r="A1169" s="1">
        <f t="shared" si="71"/>
        <v>1168</v>
      </c>
      <c r="B1169" s="1"/>
      <c r="C1169" s="39"/>
      <c r="D1169" s="21"/>
      <c r="G1169" s="1"/>
      <c r="H1169" s="11" t="str">
        <f t="shared" si="72"/>
        <v>0 г. 0 мес. 0 дн.</v>
      </c>
      <c r="I1169" s="20"/>
      <c r="J1169" s="20"/>
      <c r="O1169" s="20"/>
      <c r="V1169" s="1" t="str">
        <f t="shared" si="70"/>
        <v>0 г. 0 мес. 0 дн.</v>
      </c>
      <c r="W1169" s="69"/>
    </row>
    <row r="1170" spans="1:23" ht="35.1" customHeight="1" x14ac:dyDescent="0.25">
      <c r="A1170" s="1">
        <f t="shared" si="71"/>
        <v>1169</v>
      </c>
      <c r="B1170" s="1"/>
      <c r="C1170" s="39"/>
      <c r="D1170" s="21"/>
      <c r="G1170" s="1"/>
      <c r="H1170" s="11" t="str">
        <f t="shared" si="72"/>
        <v>0 г. 0 мес. 0 дн.</v>
      </c>
      <c r="I1170" s="20"/>
      <c r="J1170" s="20"/>
      <c r="O1170" s="20"/>
      <c r="V1170" s="1" t="str">
        <f t="shared" si="70"/>
        <v>0 г. 0 мес. 0 дн.</v>
      </c>
      <c r="W1170" s="69"/>
    </row>
    <row r="1171" spans="1:23" ht="35.1" customHeight="1" x14ac:dyDescent="0.25">
      <c r="A1171" s="1">
        <f t="shared" si="71"/>
        <v>1170</v>
      </c>
      <c r="B1171" s="1"/>
      <c r="C1171" s="39"/>
      <c r="D1171" s="21"/>
      <c r="G1171" s="1"/>
      <c r="H1171" s="11" t="str">
        <f t="shared" si="72"/>
        <v>0 г. 0 мес. 0 дн.</v>
      </c>
      <c r="I1171" s="20"/>
      <c r="J1171" s="20"/>
      <c r="O1171" s="20"/>
      <c r="V1171" s="1" t="str">
        <f t="shared" si="70"/>
        <v>0 г. 0 мес. 0 дн.</v>
      </c>
      <c r="W1171" s="69"/>
    </row>
    <row r="1172" spans="1:23" ht="35.1" customHeight="1" x14ac:dyDescent="0.25">
      <c r="A1172" s="1">
        <f t="shared" si="71"/>
        <v>1171</v>
      </c>
      <c r="B1172" s="1"/>
      <c r="C1172" s="39"/>
      <c r="D1172" s="21"/>
      <c r="G1172" s="1"/>
      <c r="H1172" s="11" t="str">
        <f t="shared" si="72"/>
        <v>0 г. 0 мес. 0 дн.</v>
      </c>
      <c r="I1172" s="20"/>
      <c r="J1172" s="20"/>
      <c r="O1172" s="20"/>
      <c r="V1172" s="1" t="str">
        <f t="shared" si="70"/>
        <v>0 г. 0 мес. 0 дн.</v>
      </c>
      <c r="W1172" s="69"/>
    </row>
    <row r="1173" spans="1:23" ht="35.1" customHeight="1" x14ac:dyDescent="0.25">
      <c r="A1173" s="1">
        <f t="shared" si="71"/>
        <v>1172</v>
      </c>
      <c r="B1173" s="1"/>
      <c r="C1173" s="39"/>
      <c r="D1173" s="21"/>
      <c r="G1173" s="1"/>
      <c r="H1173" s="11" t="str">
        <f t="shared" si="72"/>
        <v>0 г. 0 мес. 0 дн.</v>
      </c>
      <c r="I1173" s="20"/>
      <c r="J1173" s="20"/>
      <c r="O1173" s="20"/>
      <c r="V1173" s="1" t="str">
        <f t="shared" si="70"/>
        <v>0 г. 0 мес. 0 дн.</v>
      </c>
      <c r="W1173" s="69"/>
    </row>
    <row r="1174" spans="1:23" ht="35.1" customHeight="1" x14ac:dyDescent="0.25">
      <c r="A1174" s="1">
        <f t="shared" si="71"/>
        <v>1173</v>
      </c>
      <c r="B1174" s="1"/>
      <c r="C1174" s="39"/>
      <c r="D1174" s="21"/>
      <c r="G1174" s="1"/>
      <c r="H1174" s="11" t="str">
        <f t="shared" si="72"/>
        <v>0 г. 0 мес. 0 дн.</v>
      </c>
      <c r="I1174" s="20"/>
      <c r="J1174" s="20"/>
      <c r="O1174" s="20"/>
      <c r="V1174" s="1" t="str">
        <f t="shared" si="70"/>
        <v>0 г. 0 мес. 0 дн.</v>
      </c>
      <c r="W1174" s="69"/>
    </row>
    <row r="1175" spans="1:23" ht="35.1" customHeight="1" x14ac:dyDescent="0.25">
      <c r="A1175" s="1">
        <f t="shared" si="71"/>
        <v>1174</v>
      </c>
      <c r="B1175" s="1"/>
      <c r="C1175" s="39"/>
      <c r="D1175" s="21"/>
      <c r="G1175" s="1"/>
      <c r="H1175" s="11" t="str">
        <f t="shared" si="72"/>
        <v>0 г. 0 мес. 0 дн.</v>
      </c>
      <c r="I1175" s="20"/>
      <c r="J1175" s="20"/>
      <c r="O1175" s="20"/>
      <c r="V1175" s="1" t="str">
        <f t="shared" si="70"/>
        <v>0 г. 0 мес. 0 дн.</v>
      </c>
      <c r="W1175" s="69"/>
    </row>
    <row r="1176" spans="1:23" ht="35.1" customHeight="1" x14ac:dyDescent="0.25">
      <c r="A1176" s="1">
        <f t="shared" si="71"/>
        <v>1175</v>
      </c>
      <c r="B1176" s="1"/>
      <c r="C1176" s="39"/>
      <c r="D1176" s="21"/>
      <c r="G1176" s="1"/>
      <c r="H1176" s="11" t="str">
        <f t="shared" si="72"/>
        <v>0 г. 0 мес. 0 дн.</v>
      </c>
      <c r="I1176" s="20"/>
      <c r="J1176" s="20"/>
      <c r="O1176" s="20"/>
      <c r="V1176" s="1" t="str">
        <f t="shared" si="70"/>
        <v>0 г. 0 мес. 0 дн.</v>
      </c>
      <c r="W1176" s="69"/>
    </row>
    <row r="1177" spans="1:23" ht="35.1" customHeight="1" x14ac:dyDescent="0.25">
      <c r="A1177" s="1">
        <f t="shared" si="71"/>
        <v>1176</v>
      </c>
      <c r="B1177" s="1"/>
      <c r="C1177" s="39"/>
      <c r="D1177" s="21"/>
      <c r="G1177" s="1"/>
      <c r="H1177" s="11" t="str">
        <f t="shared" si="72"/>
        <v>0 г. 0 мес. 0 дн.</v>
      </c>
      <c r="I1177" s="20"/>
      <c r="J1177" s="20"/>
      <c r="O1177" s="20"/>
      <c r="V1177" s="1" t="str">
        <f t="shared" ref="V1177:V1240" si="73">DATEDIF(D1177,T1177,"y") &amp; " г. " &amp; DATEDIF(D1177,T1177,"ym") &amp; " мес. " &amp; DATEDIF(D1177,T1177,"md") &amp; " дн."</f>
        <v>0 г. 0 мес. 0 дн.</v>
      </c>
      <c r="W1177" s="69"/>
    </row>
    <row r="1178" spans="1:23" ht="35.1" customHeight="1" x14ac:dyDescent="0.25">
      <c r="A1178" s="1">
        <f t="shared" si="71"/>
        <v>1177</v>
      </c>
      <c r="B1178" s="1"/>
      <c r="C1178" s="39"/>
      <c r="D1178" s="21"/>
      <c r="G1178" s="1"/>
      <c r="H1178" s="11" t="str">
        <f t="shared" si="72"/>
        <v>0 г. 0 мес. 0 дн.</v>
      </c>
      <c r="I1178" s="20"/>
      <c r="J1178" s="20"/>
      <c r="O1178" s="20"/>
      <c r="V1178" s="1" t="str">
        <f t="shared" si="73"/>
        <v>0 г. 0 мес. 0 дн.</v>
      </c>
      <c r="W1178" s="69"/>
    </row>
    <row r="1179" spans="1:23" ht="35.1" customHeight="1" x14ac:dyDescent="0.25">
      <c r="A1179" s="1">
        <f t="shared" si="71"/>
        <v>1178</v>
      </c>
      <c r="B1179" s="1"/>
      <c r="C1179" s="39"/>
      <c r="D1179" s="21"/>
      <c r="G1179" s="1"/>
      <c r="H1179" s="11" t="str">
        <f t="shared" si="72"/>
        <v>0 г. 0 мес. 0 дн.</v>
      </c>
      <c r="I1179" s="20"/>
      <c r="J1179" s="20"/>
      <c r="O1179" s="20"/>
      <c r="V1179" s="1" t="str">
        <f t="shared" si="73"/>
        <v>0 г. 0 мес. 0 дн.</v>
      </c>
      <c r="W1179" s="69"/>
    </row>
    <row r="1180" spans="1:23" ht="35.1" customHeight="1" x14ac:dyDescent="0.25">
      <c r="A1180" s="1">
        <f t="shared" si="71"/>
        <v>1179</v>
      </c>
      <c r="B1180" s="1"/>
      <c r="C1180" s="39"/>
      <c r="D1180" s="21"/>
      <c r="G1180" s="1"/>
      <c r="H1180" s="11" t="str">
        <f t="shared" si="72"/>
        <v>0 г. 0 мес. 0 дн.</v>
      </c>
      <c r="I1180" s="20"/>
      <c r="J1180" s="20"/>
      <c r="O1180" s="20"/>
      <c r="V1180" s="1" t="str">
        <f t="shared" si="73"/>
        <v>0 г. 0 мес. 0 дн.</v>
      </c>
      <c r="W1180" s="69"/>
    </row>
    <row r="1181" spans="1:23" ht="35.1" customHeight="1" x14ac:dyDescent="0.25">
      <c r="A1181" s="1">
        <f t="shared" si="71"/>
        <v>1180</v>
      </c>
      <c r="B1181" s="1"/>
      <c r="C1181" s="39"/>
      <c r="D1181" s="21"/>
      <c r="G1181" s="1"/>
      <c r="H1181" s="11" t="str">
        <f t="shared" si="72"/>
        <v>0 г. 0 мес. 0 дн.</v>
      </c>
      <c r="I1181" s="20"/>
      <c r="J1181" s="20"/>
      <c r="O1181" s="20"/>
      <c r="V1181" s="1" t="str">
        <f t="shared" si="73"/>
        <v>0 г. 0 мес. 0 дн.</v>
      </c>
      <c r="W1181" s="69"/>
    </row>
    <row r="1182" spans="1:23" ht="35.1" customHeight="1" x14ac:dyDescent="0.25">
      <c r="A1182" s="1">
        <f t="shared" si="71"/>
        <v>1181</v>
      </c>
      <c r="B1182" s="1"/>
      <c r="C1182" s="39"/>
      <c r="D1182" s="21"/>
      <c r="G1182" s="1"/>
      <c r="H1182" s="11" t="str">
        <f t="shared" si="72"/>
        <v>0 г. 0 мес. 0 дн.</v>
      </c>
      <c r="I1182" s="20"/>
      <c r="J1182" s="20"/>
      <c r="O1182" s="20"/>
      <c r="V1182" s="1" t="str">
        <f t="shared" si="73"/>
        <v>0 г. 0 мес. 0 дн.</v>
      </c>
      <c r="W1182" s="69"/>
    </row>
    <row r="1183" spans="1:23" ht="35.1" customHeight="1" x14ac:dyDescent="0.25">
      <c r="A1183" s="1">
        <f t="shared" si="71"/>
        <v>1182</v>
      </c>
      <c r="B1183" s="1"/>
      <c r="C1183" s="39"/>
      <c r="D1183" s="21"/>
      <c r="G1183" s="1"/>
      <c r="H1183" s="11" t="str">
        <f t="shared" si="72"/>
        <v>0 г. 0 мес. 0 дн.</v>
      </c>
      <c r="I1183" s="20"/>
      <c r="J1183" s="20"/>
      <c r="O1183" s="20"/>
      <c r="V1183" s="1" t="str">
        <f t="shared" si="73"/>
        <v>0 г. 0 мес. 0 дн.</v>
      </c>
      <c r="W1183" s="69"/>
    </row>
    <row r="1184" spans="1:23" ht="35.1" customHeight="1" x14ac:dyDescent="0.25">
      <c r="A1184" s="1">
        <f t="shared" si="71"/>
        <v>1183</v>
      </c>
      <c r="B1184" s="1"/>
      <c r="C1184" s="39"/>
      <c r="D1184" s="21"/>
      <c r="G1184" s="1"/>
      <c r="H1184" s="11" t="str">
        <f t="shared" si="72"/>
        <v>0 г. 0 мес. 0 дн.</v>
      </c>
      <c r="I1184" s="20"/>
      <c r="J1184" s="20"/>
      <c r="O1184" s="20"/>
      <c r="V1184" s="1" t="str">
        <f t="shared" si="73"/>
        <v>0 г. 0 мес. 0 дн.</v>
      </c>
      <c r="W1184" s="69"/>
    </row>
    <row r="1185" spans="1:23" ht="35.1" customHeight="1" x14ac:dyDescent="0.25">
      <c r="A1185" s="1">
        <f t="shared" si="71"/>
        <v>1184</v>
      </c>
      <c r="B1185" s="1"/>
      <c r="C1185" s="39"/>
      <c r="D1185" s="21"/>
      <c r="G1185" s="1"/>
      <c r="H1185" s="11" t="str">
        <f t="shared" si="72"/>
        <v>0 г. 0 мес. 0 дн.</v>
      </c>
      <c r="I1185" s="20"/>
      <c r="J1185" s="20"/>
      <c r="O1185" s="20"/>
      <c r="V1185" s="1" t="str">
        <f t="shared" si="73"/>
        <v>0 г. 0 мес. 0 дн.</v>
      </c>
      <c r="W1185" s="69"/>
    </row>
    <row r="1186" spans="1:23" ht="35.1" customHeight="1" x14ac:dyDescent="0.25">
      <c r="A1186" s="1">
        <f t="shared" si="71"/>
        <v>1185</v>
      </c>
      <c r="B1186" s="1"/>
      <c r="C1186" s="39"/>
      <c r="D1186" s="21"/>
      <c r="G1186" s="1"/>
      <c r="H1186" s="11" t="str">
        <f t="shared" si="72"/>
        <v>0 г. 0 мес. 0 дн.</v>
      </c>
      <c r="I1186" s="20"/>
      <c r="J1186" s="20"/>
      <c r="O1186" s="20"/>
      <c r="V1186" s="1" t="str">
        <f t="shared" si="73"/>
        <v>0 г. 0 мес. 0 дн.</v>
      </c>
      <c r="W1186" s="69"/>
    </row>
    <row r="1187" spans="1:23" ht="35.1" customHeight="1" x14ac:dyDescent="0.25">
      <c r="A1187" s="1">
        <f t="shared" si="71"/>
        <v>1186</v>
      </c>
      <c r="B1187" s="1"/>
      <c r="C1187" s="39"/>
      <c r="D1187" s="21"/>
      <c r="G1187" s="1"/>
      <c r="H1187" s="11" t="str">
        <f t="shared" si="72"/>
        <v>0 г. 0 мес. 0 дн.</v>
      </c>
      <c r="I1187" s="20"/>
      <c r="J1187" s="20"/>
      <c r="O1187" s="20"/>
      <c r="V1187" s="1" t="str">
        <f t="shared" si="73"/>
        <v>0 г. 0 мес. 0 дн.</v>
      </c>
      <c r="W1187" s="69"/>
    </row>
    <row r="1188" spans="1:23" ht="35.1" customHeight="1" x14ac:dyDescent="0.25">
      <c r="A1188" s="1">
        <f t="shared" si="71"/>
        <v>1187</v>
      </c>
      <c r="B1188" s="1"/>
      <c r="C1188" s="39"/>
      <c r="D1188" s="21"/>
      <c r="G1188" s="1"/>
      <c r="H1188" s="11" t="str">
        <f t="shared" si="72"/>
        <v>0 г. 0 мес. 0 дн.</v>
      </c>
      <c r="I1188" s="20"/>
      <c r="J1188" s="20"/>
      <c r="O1188" s="20"/>
      <c r="V1188" s="1" t="str">
        <f t="shared" si="73"/>
        <v>0 г. 0 мес. 0 дн.</v>
      </c>
      <c r="W1188" s="69"/>
    </row>
    <row r="1189" spans="1:23" ht="35.1" customHeight="1" x14ac:dyDescent="0.25">
      <c r="A1189" s="1">
        <f t="shared" si="71"/>
        <v>1188</v>
      </c>
      <c r="B1189" s="1"/>
      <c r="C1189" s="39"/>
      <c r="D1189" s="21"/>
      <c r="G1189" s="1"/>
      <c r="H1189" s="11" t="str">
        <f t="shared" si="72"/>
        <v>0 г. 0 мес. 0 дн.</v>
      </c>
      <c r="I1189" s="20"/>
      <c r="J1189" s="20"/>
      <c r="O1189" s="20"/>
      <c r="V1189" s="1" t="str">
        <f t="shared" si="73"/>
        <v>0 г. 0 мес. 0 дн.</v>
      </c>
      <c r="W1189" s="69"/>
    </row>
    <row r="1190" spans="1:23" ht="35.1" customHeight="1" x14ac:dyDescent="0.25">
      <c r="A1190" s="1">
        <f t="shared" si="71"/>
        <v>1189</v>
      </c>
      <c r="B1190" s="1"/>
      <c r="C1190" s="39"/>
      <c r="D1190" s="21"/>
      <c r="G1190" s="1"/>
      <c r="H1190" s="11" t="str">
        <f t="shared" si="72"/>
        <v>0 г. 0 мес. 0 дн.</v>
      </c>
      <c r="I1190" s="20"/>
      <c r="J1190" s="20"/>
      <c r="O1190" s="20"/>
      <c r="V1190" s="1" t="str">
        <f t="shared" si="73"/>
        <v>0 г. 0 мес. 0 дн.</v>
      </c>
      <c r="W1190" s="69"/>
    </row>
    <row r="1191" spans="1:23" ht="35.1" customHeight="1" x14ac:dyDescent="0.25">
      <c r="A1191" s="1">
        <f t="shared" si="71"/>
        <v>1190</v>
      </c>
      <c r="B1191" s="1"/>
      <c r="C1191" s="39"/>
      <c r="D1191" s="21"/>
      <c r="G1191" s="1"/>
      <c r="H1191" s="11" t="str">
        <f t="shared" si="72"/>
        <v>0 г. 0 мес. 0 дн.</v>
      </c>
      <c r="I1191" s="20"/>
      <c r="J1191" s="20"/>
      <c r="O1191" s="20"/>
      <c r="V1191" s="1" t="str">
        <f t="shared" si="73"/>
        <v>0 г. 0 мес. 0 дн.</v>
      </c>
      <c r="W1191" s="69"/>
    </row>
    <row r="1192" spans="1:23" ht="35.1" customHeight="1" x14ac:dyDescent="0.25">
      <c r="A1192" s="1">
        <f t="shared" si="71"/>
        <v>1191</v>
      </c>
      <c r="B1192" s="1"/>
      <c r="C1192" s="39"/>
      <c r="D1192" s="21"/>
      <c r="G1192" s="1"/>
      <c r="H1192" s="11" t="str">
        <f t="shared" si="72"/>
        <v>0 г. 0 мес. 0 дн.</v>
      </c>
      <c r="I1192" s="20"/>
      <c r="J1192" s="20"/>
      <c r="O1192" s="20"/>
      <c r="V1192" s="1" t="str">
        <f t="shared" si="73"/>
        <v>0 г. 0 мес. 0 дн.</v>
      </c>
      <c r="W1192" s="69"/>
    </row>
    <row r="1193" spans="1:23" ht="35.1" customHeight="1" x14ac:dyDescent="0.25">
      <c r="A1193" s="1">
        <f t="shared" si="71"/>
        <v>1192</v>
      </c>
      <c r="B1193" s="1"/>
      <c r="C1193" s="39"/>
      <c r="D1193" s="21"/>
      <c r="G1193" s="1"/>
      <c r="H1193" s="11" t="str">
        <f t="shared" si="72"/>
        <v>0 г. 0 мес. 0 дн.</v>
      </c>
      <c r="I1193" s="20"/>
      <c r="J1193" s="20"/>
      <c r="O1193" s="20"/>
      <c r="V1193" s="1" t="str">
        <f t="shared" si="73"/>
        <v>0 г. 0 мес. 0 дн.</v>
      </c>
      <c r="W1193" s="69"/>
    </row>
    <row r="1194" spans="1:23" ht="35.1" customHeight="1" x14ac:dyDescent="0.25">
      <c r="A1194" s="1">
        <f t="shared" si="71"/>
        <v>1193</v>
      </c>
      <c r="B1194" s="1"/>
      <c r="C1194" s="39"/>
      <c r="D1194" s="21"/>
      <c r="G1194" s="1"/>
      <c r="H1194" s="11" t="str">
        <f t="shared" si="72"/>
        <v>0 г. 0 мес. 0 дн.</v>
      </c>
      <c r="I1194" s="20"/>
      <c r="J1194" s="20"/>
      <c r="O1194" s="20"/>
      <c r="V1194" s="1" t="str">
        <f t="shared" si="73"/>
        <v>0 г. 0 мес. 0 дн.</v>
      </c>
      <c r="W1194" s="69"/>
    </row>
    <row r="1195" spans="1:23" ht="35.1" customHeight="1" x14ac:dyDescent="0.25">
      <c r="A1195" s="1">
        <f t="shared" si="71"/>
        <v>1194</v>
      </c>
      <c r="B1195" s="1"/>
      <c r="C1195" s="39"/>
      <c r="D1195" s="21"/>
      <c r="G1195" s="1"/>
      <c r="H1195" s="11" t="str">
        <f t="shared" si="72"/>
        <v>0 г. 0 мес. 0 дн.</v>
      </c>
      <c r="I1195" s="20"/>
      <c r="J1195" s="20"/>
      <c r="O1195" s="20"/>
      <c r="V1195" s="1" t="str">
        <f t="shared" si="73"/>
        <v>0 г. 0 мес. 0 дн.</v>
      </c>
      <c r="W1195" s="69"/>
    </row>
    <row r="1196" spans="1:23" ht="35.1" customHeight="1" x14ac:dyDescent="0.25">
      <c r="A1196" s="1">
        <f t="shared" si="71"/>
        <v>1195</v>
      </c>
      <c r="B1196" s="1"/>
      <c r="C1196" s="39"/>
      <c r="D1196" s="21"/>
      <c r="G1196" s="1"/>
      <c r="H1196" s="11" t="str">
        <f t="shared" si="72"/>
        <v>0 г. 0 мес. 0 дн.</v>
      </c>
      <c r="I1196" s="20"/>
      <c r="J1196" s="20"/>
      <c r="O1196" s="20"/>
      <c r="V1196" s="1" t="str">
        <f t="shared" si="73"/>
        <v>0 г. 0 мес. 0 дн.</v>
      </c>
      <c r="W1196" s="69"/>
    </row>
    <row r="1197" spans="1:23" ht="35.1" customHeight="1" x14ac:dyDescent="0.25">
      <c r="A1197" s="1">
        <f t="shared" si="71"/>
        <v>1196</v>
      </c>
      <c r="B1197" s="1"/>
      <c r="C1197" s="39"/>
      <c r="D1197" s="21"/>
      <c r="G1197" s="1"/>
      <c r="H1197" s="11" t="str">
        <f t="shared" si="72"/>
        <v>0 г. 0 мес. 0 дн.</v>
      </c>
      <c r="I1197" s="20"/>
      <c r="J1197" s="20"/>
      <c r="O1197" s="20"/>
      <c r="V1197" s="1" t="str">
        <f t="shared" si="73"/>
        <v>0 г. 0 мес. 0 дн.</v>
      </c>
      <c r="W1197" s="69"/>
    </row>
    <row r="1198" spans="1:23" ht="35.1" customHeight="1" x14ac:dyDescent="0.25">
      <c r="A1198" s="1">
        <f t="shared" si="71"/>
        <v>1197</v>
      </c>
      <c r="B1198" s="1"/>
      <c r="C1198" s="39"/>
      <c r="D1198" s="21"/>
      <c r="G1198" s="1"/>
      <c r="H1198" s="11" t="str">
        <f t="shared" si="72"/>
        <v>0 г. 0 мес. 0 дн.</v>
      </c>
      <c r="I1198" s="20"/>
      <c r="J1198" s="20"/>
      <c r="O1198" s="20"/>
      <c r="V1198" s="1" t="str">
        <f t="shared" si="73"/>
        <v>0 г. 0 мес. 0 дн.</v>
      </c>
      <c r="W1198" s="69"/>
    </row>
    <row r="1199" spans="1:23" ht="35.1" customHeight="1" x14ac:dyDescent="0.25">
      <c r="A1199" s="1">
        <f t="shared" si="71"/>
        <v>1198</v>
      </c>
      <c r="B1199" s="1"/>
      <c r="C1199" s="39"/>
      <c r="D1199" s="21"/>
      <c r="G1199" s="1"/>
      <c r="H1199" s="11" t="str">
        <f t="shared" si="72"/>
        <v>0 г. 0 мес. 0 дн.</v>
      </c>
      <c r="I1199" s="20"/>
      <c r="J1199" s="20"/>
      <c r="O1199" s="20"/>
      <c r="V1199" s="1" t="str">
        <f t="shared" si="73"/>
        <v>0 г. 0 мес. 0 дн.</v>
      </c>
      <c r="W1199" s="69"/>
    </row>
    <row r="1200" spans="1:23" ht="35.1" customHeight="1" x14ac:dyDescent="0.25">
      <c r="A1200" s="1">
        <f t="shared" si="71"/>
        <v>1199</v>
      </c>
      <c r="B1200" s="1"/>
      <c r="C1200" s="39"/>
      <c r="D1200" s="21"/>
      <c r="G1200" s="1"/>
      <c r="H1200" s="11" t="str">
        <f t="shared" si="72"/>
        <v>0 г. 0 мес. 0 дн.</v>
      </c>
      <c r="I1200" s="20"/>
      <c r="J1200" s="20"/>
      <c r="O1200" s="20"/>
      <c r="V1200" s="1" t="str">
        <f t="shared" si="73"/>
        <v>0 г. 0 мес. 0 дн.</v>
      </c>
      <c r="W1200" s="69"/>
    </row>
    <row r="1201" spans="1:23" ht="35.1" customHeight="1" x14ac:dyDescent="0.25">
      <c r="A1201" s="1">
        <f t="shared" si="71"/>
        <v>1200</v>
      </c>
      <c r="B1201" s="1"/>
      <c r="C1201" s="39"/>
      <c r="D1201" s="21"/>
      <c r="G1201" s="1"/>
      <c r="H1201" s="11" t="str">
        <f t="shared" si="72"/>
        <v>0 г. 0 мес. 0 дн.</v>
      </c>
      <c r="I1201" s="20"/>
      <c r="J1201" s="20"/>
      <c r="O1201" s="20"/>
      <c r="V1201" s="1" t="str">
        <f t="shared" si="73"/>
        <v>0 г. 0 мес. 0 дн.</v>
      </c>
      <c r="W1201" s="69"/>
    </row>
    <row r="1202" spans="1:23" ht="35.1" customHeight="1" x14ac:dyDescent="0.25">
      <c r="A1202" s="1">
        <f t="shared" si="71"/>
        <v>1201</v>
      </c>
      <c r="B1202" s="1"/>
      <c r="C1202" s="39"/>
      <c r="D1202" s="21"/>
      <c r="G1202" s="1"/>
      <c r="H1202" s="11" t="str">
        <f t="shared" si="72"/>
        <v>0 г. 0 мес. 0 дн.</v>
      </c>
      <c r="I1202" s="20"/>
      <c r="J1202" s="20"/>
      <c r="O1202" s="20"/>
      <c r="V1202" s="1" t="str">
        <f t="shared" si="73"/>
        <v>0 г. 0 мес. 0 дн.</v>
      </c>
      <c r="W1202" s="69"/>
    </row>
    <row r="1203" spans="1:23" ht="35.1" customHeight="1" x14ac:dyDescent="0.25">
      <c r="A1203" s="1">
        <f t="shared" si="71"/>
        <v>1202</v>
      </c>
      <c r="B1203" s="1"/>
      <c r="C1203" s="39"/>
      <c r="D1203" s="21"/>
      <c r="G1203" s="1"/>
      <c r="H1203" s="11" t="str">
        <f t="shared" si="72"/>
        <v>0 г. 0 мес. 0 дн.</v>
      </c>
      <c r="I1203" s="20"/>
      <c r="J1203" s="20"/>
      <c r="O1203" s="20"/>
      <c r="V1203" s="1" t="str">
        <f t="shared" si="73"/>
        <v>0 г. 0 мес. 0 дн.</v>
      </c>
      <c r="W1203" s="69"/>
    </row>
    <row r="1204" spans="1:23" ht="35.1" customHeight="1" x14ac:dyDescent="0.25">
      <c r="A1204" s="1">
        <f t="shared" si="71"/>
        <v>1203</v>
      </c>
      <c r="B1204" s="1"/>
      <c r="C1204" s="39"/>
      <c r="D1204" s="21"/>
      <c r="G1204" s="1"/>
      <c r="H1204" s="11" t="str">
        <f t="shared" si="72"/>
        <v>0 г. 0 мес. 0 дн.</v>
      </c>
      <c r="I1204" s="20"/>
      <c r="J1204" s="20"/>
      <c r="O1204" s="20"/>
      <c r="V1204" s="1" t="str">
        <f t="shared" si="73"/>
        <v>0 г. 0 мес. 0 дн.</v>
      </c>
      <c r="W1204" s="69"/>
    </row>
    <row r="1205" spans="1:23" ht="35.1" customHeight="1" x14ac:dyDescent="0.25">
      <c r="A1205" s="1">
        <f t="shared" si="71"/>
        <v>1204</v>
      </c>
      <c r="B1205" s="1"/>
      <c r="C1205" s="39"/>
      <c r="D1205" s="21"/>
      <c r="G1205" s="1"/>
      <c r="H1205" s="11" t="str">
        <f t="shared" si="72"/>
        <v>0 г. 0 мес. 0 дн.</v>
      </c>
      <c r="I1205" s="20"/>
      <c r="J1205" s="20"/>
      <c r="O1205" s="20"/>
      <c r="V1205" s="1" t="str">
        <f t="shared" si="73"/>
        <v>0 г. 0 мес. 0 дн.</v>
      </c>
      <c r="W1205" s="69"/>
    </row>
    <row r="1206" spans="1:23" ht="35.1" customHeight="1" x14ac:dyDescent="0.25">
      <c r="A1206" s="1">
        <f t="shared" si="71"/>
        <v>1205</v>
      </c>
      <c r="B1206" s="1"/>
      <c r="C1206" s="39"/>
      <c r="D1206" s="21"/>
      <c r="G1206" s="1"/>
      <c r="H1206" s="11" t="str">
        <f t="shared" si="72"/>
        <v>0 г. 0 мес. 0 дн.</v>
      </c>
      <c r="I1206" s="20"/>
      <c r="J1206" s="20"/>
      <c r="O1206" s="20"/>
      <c r="V1206" s="1" t="str">
        <f t="shared" si="73"/>
        <v>0 г. 0 мес. 0 дн.</v>
      </c>
      <c r="W1206" s="69"/>
    </row>
    <row r="1207" spans="1:23" ht="35.1" customHeight="1" x14ac:dyDescent="0.25">
      <c r="A1207" s="1">
        <f t="shared" si="71"/>
        <v>1206</v>
      </c>
      <c r="B1207" s="1"/>
      <c r="C1207" s="39"/>
      <c r="D1207" s="21"/>
      <c r="G1207" s="1"/>
      <c r="H1207" s="11" t="str">
        <f t="shared" si="72"/>
        <v>0 г. 0 мес. 0 дн.</v>
      </c>
      <c r="I1207" s="20"/>
      <c r="J1207" s="20"/>
      <c r="O1207" s="20"/>
      <c r="V1207" s="1" t="str">
        <f t="shared" si="73"/>
        <v>0 г. 0 мес. 0 дн.</v>
      </c>
      <c r="W1207" s="69"/>
    </row>
    <row r="1208" spans="1:23" ht="35.1" customHeight="1" x14ac:dyDescent="0.25">
      <c r="A1208" s="1">
        <f t="shared" si="71"/>
        <v>1207</v>
      </c>
      <c r="B1208" s="1"/>
      <c r="C1208" s="39"/>
      <c r="D1208" s="21"/>
      <c r="G1208" s="1"/>
      <c r="H1208" s="11" t="str">
        <f t="shared" si="72"/>
        <v>0 г. 0 мес. 0 дн.</v>
      </c>
      <c r="I1208" s="20"/>
      <c r="J1208" s="20"/>
      <c r="O1208" s="20"/>
      <c r="V1208" s="1" t="str">
        <f t="shared" si="73"/>
        <v>0 г. 0 мес. 0 дн.</v>
      </c>
      <c r="W1208" s="69"/>
    </row>
    <row r="1209" spans="1:23" ht="35.1" customHeight="1" x14ac:dyDescent="0.25">
      <c r="A1209" s="1">
        <f t="shared" si="71"/>
        <v>1208</v>
      </c>
      <c r="B1209" s="1"/>
      <c r="C1209" s="39"/>
      <c r="D1209" s="21"/>
      <c r="G1209" s="1"/>
      <c r="H1209" s="11" t="str">
        <f t="shared" si="72"/>
        <v>0 г. 0 мес. 0 дн.</v>
      </c>
      <c r="I1209" s="20"/>
      <c r="J1209" s="20"/>
      <c r="O1209" s="20"/>
      <c r="V1209" s="1" t="str">
        <f t="shared" si="73"/>
        <v>0 г. 0 мес. 0 дн.</v>
      </c>
      <c r="W1209" s="69"/>
    </row>
    <row r="1210" spans="1:23" ht="35.1" customHeight="1" x14ac:dyDescent="0.25">
      <c r="A1210" s="1">
        <f t="shared" si="71"/>
        <v>1209</v>
      </c>
      <c r="B1210" s="1"/>
      <c r="C1210" s="39"/>
      <c r="D1210" s="21"/>
      <c r="G1210" s="1"/>
      <c r="H1210" s="11" t="str">
        <f t="shared" si="72"/>
        <v>0 г. 0 мес. 0 дн.</v>
      </c>
      <c r="I1210" s="20"/>
      <c r="J1210" s="20"/>
      <c r="O1210" s="20"/>
      <c r="V1210" s="1" t="str">
        <f t="shared" si="73"/>
        <v>0 г. 0 мес. 0 дн.</v>
      </c>
      <c r="W1210" s="69"/>
    </row>
    <row r="1211" spans="1:23" ht="35.1" customHeight="1" x14ac:dyDescent="0.25">
      <c r="A1211" s="1">
        <f t="shared" si="71"/>
        <v>1210</v>
      </c>
      <c r="B1211" s="1"/>
      <c r="C1211" s="39"/>
      <c r="D1211" s="21"/>
      <c r="G1211" s="1"/>
      <c r="H1211" s="11" t="str">
        <f t="shared" si="72"/>
        <v>0 г. 0 мес. 0 дн.</v>
      </c>
      <c r="I1211" s="20"/>
      <c r="J1211" s="20"/>
      <c r="O1211" s="20"/>
      <c r="V1211" s="1" t="str">
        <f t="shared" si="73"/>
        <v>0 г. 0 мес. 0 дн.</v>
      </c>
      <c r="W1211" s="69"/>
    </row>
    <row r="1212" spans="1:23" ht="35.1" customHeight="1" x14ac:dyDescent="0.25">
      <c r="A1212" s="1">
        <f t="shared" si="71"/>
        <v>1211</v>
      </c>
      <c r="B1212" s="1"/>
      <c r="C1212" s="39"/>
      <c r="D1212" s="21"/>
      <c r="G1212" s="1"/>
      <c r="H1212" s="11" t="str">
        <f t="shared" si="72"/>
        <v>0 г. 0 мес. 0 дн.</v>
      </c>
      <c r="I1212" s="20"/>
      <c r="J1212" s="20"/>
      <c r="O1212" s="20"/>
      <c r="V1212" s="1" t="str">
        <f t="shared" si="73"/>
        <v>0 г. 0 мес. 0 дн.</v>
      </c>
      <c r="W1212" s="69"/>
    </row>
    <row r="1213" spans="1:23" ht="35.1" customHeight="1" x14ac:dyDescent="0.25">
      <c r="A1213" s="1">
        <f t="shared" si="71"/>
        <v>1212</v>
      </c>
      <c r="B1213" s="1"/>
      <c r="C1213" s="39"/>
      <c r="D1213" s="21"/>
      <c r="G1213" s="1"/>
      <c r="H1213" s="11" t="str">
        <f t="shared" si="72"/>
        <v>0 г. 0 мес. 0 дн.</v>
      </c>
      <c r="I1213" s="20"/>
      <c r="J1213" s="20"/>
      <c r="O1213" s="20"/>
      <c r="V1213" s="1" t="str">
        <f t="shared" si="73"/>
        <v>0 г. 0 мес. 0 дн.</v>
      </c>
      <c r="W1213" s="69"/>
    </row>
    <row r="1214" spans="1:23" ht="35.1" customHeight="1" x14ac:dyDescent="0.25">
      <c r="A1214" s="1">
        <f t="shared" si="71"/>
        <v>1213</v>
      </c>
      <c r="B1214" s="1"/>
      <c r="C1214" s="39"/>
      <c r="D1214" s="21"/>
      <c r="G1214" s="1"/>
      <c r="H1214" s="11" t="str">
        <f t="shared" si="72"/>
        <v>0 г. 0 мес. 0 дн.</v>
      </c>
      <c r="I1214" s="20"/>
      <c r="J1214" s="20"/>
      <c r="O1214" s="20"/>
      <c r="V1214" s="1" t="str">
        <f t="shared" si="73"/>
        <v>0 г. 0 мес. 0 дн.</v>
      </c>
      <c r="W1214" s="69"/>
    </row>
    <row r="1215" spans="1:23" ht="35.1" customHeight="1" x14ac:dyDescent="0.25">
      <c r="A1215" s="1">
        <f t="shared" si="71"/>
        <v>1214</v>
      </c>
      <c r="B1215" s="1"/>
      <c r="C1215" s="39"/>
      <c r="D1215" s="21"/>
      <c r="G1215" s="1"/>
      <c r="H1215" s="11" t="str">
        <f t="shared" si="72"/>
        <v>0 г. 0 мес. 0 дн.</v>
      </c>
      <c r="I1215" s="20"/>
      <c r="J1215" s="20"/>
      <c r="O1215" s="20"/>
      <c r="V1215" s="1" t="str">
        <f t="shared" si="73"/>
        <v>0 г. 0 мес. 0 дн.</v>
      </c>
      <c r="W1215" s="69"/>
    </row>
    <row r="1216" spans="1:23" ht="35.1" customHeight="1" x14ac:dyDescent="0.25">
      <c r="A1216" s="1">
        <f t="shared" si="71"/>
        <v>1215</v>
      </c>
      <c r="B1216" s="1"/>
      <c r="C1216" s="39"/>
      <c r="D1216" s="21"/>
      <c r="G1216" s="1"/>
      <c r="H1216" s="11" t="str">
        <f t="shared" si="72"/>
        <v>0 г. 0 мес. 0 дн.</v>
      </c>
      <c r="I1216" s="20"/>
      <c r="J1216" s="20"/>
      <c r="O1216" s="20"/>
      <c r="V1216" s="1" t="str">
        <f t="shared" si="73"/>
        <v>0 г. 0 мес. 0 дн.</v>
      </c>
      <c r="W1216" s="69"/>
    </row>
    <row r="1217" spans="1:23" ht="35.1" customHeight="1" x14ac:dyDescent="0.25">
      <c r="A1217" s="1">
        <f t="shared" ref="A1217:A1280" si="74">ROW(A1216)</f>
        <v>1216</v>
      </c>
      <c r="B1217" s="1"/>
      <c r="C1217" s="39"/>
      <c r="D1217" s="21"/>
      <c r="G1217" s="1"/>
      <c r="H1217" s="11" t="str">
        <f t="shared" ref="H1217:H1280" si="75">DATEDIF(G1217,D1217,"y") &amp; " г. " &amp; DATEDIF(G1217,D1217,"ym") &amp; " мес. " &amp; DATEDIF(G1217,D1217,"md") &amp; " дн."</f>
        <v>0 г. 0 мес. 0 дн.</v>
      </c>
      <c r="I1217" s="20"/>
      <c r="J1217" s="20"/>
      <c r="O1217" s="20"/>
      <c r="V1217" s="1" t="str">
        <f t="shared" si="73"/>
        <v>0 г. 0 мес. 0 дн.</v>
      </c>
      <c r="W1217" s="69"/>
    </row>
    <row r="1218" spans="1:23" ht="35.1" customHeight="1" x14ac:dyDescent="0.25">
      <c r="A1218" s="1">
        <f t="shared" si="74"/>
        <v>1217</v>
      </c>
      <c r="B1218" s="1"/>
      <c r="C1218" s="39"/>
      <c r="D1218" s="21"/>
      <c r="G1218" s="1"/>
      <c r="H1218" s="11" t="str">
        <f t="shared" si="75"/>
        <v>0 г. 0 мес. 0 дн.</v>
      </c>
      <c r="I1218" s="20"/>
      <c r="J1218" s="20"/>
      <c r="O1218" s="20"/>
      <c r="V1218" s="1" t="str">
        <f t="shared" si="73"/>
        <v>0 г. 0 мес. 0 дн.</v>
      </c>
      <c r="W1218" s="69"/>
    </row>
    <row r="1219" spans="1:23" ht="35.1" customHeight="1" x14ac:dyDescent="0.25">
      <c r="A1219" s="1">
        <f t="shared" si="74"/>
        <v>1218</v>
      </c>
      <c r="B1219" s="1"/>
      <c r="C1219" s="39"/>
      <c r="D1219" s="21"/>
      <c r="G1219" s="1"/>
      <c r="H1219" s="11" t="str">
        <f t="shared" si="75"/>
        <v>0 г. 0 мес. 0 дн.</v>
      </c>
      <c r="I1219" s="20"/>
      <c r="J1219" s="20"/>
      <c r="O1219" s="20"/>
      <c r="V1219" s="1" t="str">
        <f t="shared" si="73"/>
        <v>0 г. 0 мес. 0 дн.</v>
      </c>
      <c r="W1219" s="69"/>
    </row>
    <row r="1220" spans="1:23" ht="35.1" customHeight="1" x14ac:dyDescent="0.25">
      <c r="A1220" s="1">
        <f t="shared" si="74"/>
        <v>1219</v>
      </c>
      <c r="B1220" s="1"/>
      <c r="C1220" s="39"/>
      <c r="D1220" s="21"/>
      <c r="G1220" s="1"/>
      <c r="H1220" s="11" t="str">
        <f t="shared" si="75"/>
        <v>0 г. 0 мес. 0 дн.</v>
      </c>
      <c r="I1220" s="20"/>
      <c r="J1220" s="20"/>
      <c r="O1220" s="20"/>
      <c r="V1220" s="1" t="str">
        <f t="shared" si="73"/>
        <v>0 г. 0 мес. 0 дн.</v>
      </c>
      <c r="W1220" s="69"/>
    </row>
    <row r="1221" spans="1:23" ht="35.1" customHeight="1" x14ac:dyDescent="0.25">
      <c r="A1221" s="1">
        <f t="shared" si="74"/>
        <v>1220</v>
      </c>
      <c r="B1221" s="1"/>
      <c r="C1221" s="39"/>
      <c r="D1221" s="21"/>
      <c r="G1221" s="1"/>
      <c r="H1221" s="11" t="str">
        <f t="shared" si="75"/>
        <v>0 г. 0 мес. 0 дн.</v>
      </c>
      <c r="I1221" s="20"/>
      <c r="J1221" s="20"/>
      <c r="O1221" s="20"/>
      <c r="V1221" s="1" t="str">
        <f t="shared" si="73"/>
        <v>0 г. 0 мес. 0 дн.</v>
      </c>
      <c r="W1221" s="69"/>
    </row>
    <row r="1222" spans="1:23" ht="35.1" customHeight="1" x14ac:dyDescent="0.25">
      <c r="A1222" s="1">
        <f t="shared" si="74"/>
        <v>1221</v>
      </c>
      <c r="B1222" s="1"/>
      <c r="C1222" s="39"/>
      <c r="D1222" s="21"/>
      <c r="G1222" s="1"/>
      <c r="H1222" s="11" t="str">
        <f t="shared" si="75"/>
        <v>0 г. 0 мес. 0 дн.</v>
      </c>
      <c r="I1222" s="20"/>
      <c r="J1222" s="20"/>
      <c r="O1222" s="20"/>
      <c r="V1222" s="1" t="str">
        <f t="shared" si="73"/>
        <v>0 г. 0 мес. 0 дн.</v>
      </c>
      <c r="W1222" s="69"/>
    </row>
    <row r="1223" spans="1:23" ht="35.1" customHeight="1" x14ac:dyDescent="0.25">
      <c r="A1223" s="1">
        <f t="shared" si="74"/>
        <v>1222</v>
      </c>
      <c r="B1223" s="1"/>
      <c r="C1223" s="39"/>
      <c r="D1223" s="21"/>
      <c r="G1223" s="1"/>
      <c r="H1223" s="11" t="str">
        <f t="shared" si="75"/>
        <v>0 г. 0 мес. 0 дн.</v>
      </c>
      <c r="I1223" s="20"/>
      <c r="J1223" s="20"/>
      <c r="O1223" s="20"/>
      <c r="V1223" s="1" t="str">
        <f t="shared" si="73"/>
        <v>0 г. 0 мес. 0 дн.</v>
      </c>
      <c r="W1223" s="69"/>
    </row>
    <row r="1224" spans="1:23" ht="35.1" customHeight="1" x14ac:dyDescent="0.25">
      <c r="A1224" s="1">
        <f t="shared" si="74"/>
        <v>1223</v>
      </c>
      <c r="B1224" s="1"/>
      <c r="C1224" s="39"/>
      <c r="D1224" s="21"/>
      <c r="G1224" s="1"/>
      <c r="H1224" s="11" t="str">
        <f t="shared" si="75"/>
        <v>0 г. 0 мес. 0 дн.</v>
      </c>
      <c r="I1224" s="20"/>
      <c r="J1224" s="20"/>
      <c r="O1224" s="20"/>
      <c r="V1224" s="1" t="str">
        <f t="shared" si="73"/>
        <v>0 г. 0 мес. 0 дн.</v>
      </c>
      <c r="W1224" s="69"/>
    </row>
    <row r="1225" spans="1:23" ht="35.1" customHeight="1" x14ac:dyDescent="0.25">
      <c r="A1225" s="1">
        <f t="shared" si="74"/>
        <v>1224</v>
      </c>
      <c r="B1225" s="1"/>
      <c r="C1225" s="39"/>
      <c r="D1225" s="21"/>
      <c r="G1225" s="1"/>
      <c r="H1225" s="11" t="str">
        <f t="shared" si="75"/>
        <v>0 г. 0 мес. 0 дн.</v>
      </c>
      <c r="I1225" s="20"/>
      <c r="J1225" s="20"/>
      <c r="O1225" s="20"/>
      <c r="V1225" s="1" t="str">
        <f t="shared" si="73"/>
        <v>0 г. 0 мес. 0 дн.</v>
      </c>
      <c r="W1225" s="69"/>
    </row>
    <row r="1226" spans="1:23" ht="35.1" customHeight="1" x14ac:dyDescent="0.25">
      <c r="A1226" s="1">
        <f t="shared" si="74"/>
        <v>1225</v>
      </c>
      <c r="B1226" s="1"/>
      <c r="C1226" s="39"/>
      <c r="D1226" s="21"/>
      <c r="G1226" s="1"/>
      <c r="H1226" s="11" t="str">
        <f t="shared" si="75"/>
        <v>0 г. 0 мес. 0 дн.</v>
      </c>
      <c r="I1226" s="20"/>
      <c r="J1226" s="20"/>
      <c r="O1226" s="20"/>
      <c r="V1226" s="1" t="str">
        <f t="shared" si="73"/>
        <v>0 г. 0 мес. 0 дн.</v>
      </c>
      <c r="W1226" s="69"/>
    </row>
    <row r="1227" spans="1:23" ht="35.1" customHeight="1" x14ac:dyDescent="0.25">
      <c r="A1227" s="1">
        <f t="shared" si="74"/>
        <v>1226</v>
      </c>
      <c r="B1227" s="1"/>
      <c r="C1227" s="39"/>
      <c r="D1227" s="21"/>
      <c r="G1227" s="1"/>
      <c r="H1227" s="11" t="str">
        <f t="shared" si="75"/>
        <v>0 г. 0 мес. 0 дн.</v>
      </c>
      <c r="I1227" s="20"/>
      <c r="J1227" s="20"/>
      <c r="O1227" s="20"/>
      <c r="V1227" s="1" t="str">
        <f t="shared" si="73"/>
        <v>0 г. 0 мес. 0 дн.</v>
      </c>
      <c r="W1227" s="69"/>
    </row>
    <row r="1228" spans="1:23" ht="35.1" customHeight="1" x14ac:dyDescent="0.25">
      <c r="A1228" s="1">
        <f t="shared" si="74"/>
        <v>1227</v>
      </c>
      <c r="B1228" s="1"/>
      <c r="C1228" s="39"/>
      <c r="D1228" s="21"/>
      <c r="G1228" s="1"/>
      <c r="H1228" s="11" t="str">
        <f t="shared" si="75"/>
        <v>0 г. 0 мес. 0 дн.</v>
      </c>
      <c r="I1228" s="20"/>
      <c r="J1228" s="20"/>
      <c r="O1228" s="20"/>
      <c r="V1228" s="1" t="str">
        <f t="shared" si="73"/>
        <v>0 г. 0 мес. 0 дн.</v>
      </c>
      <c r="W1228" s="69"/>
    </row>
    <row r="1229" spans="1:23" ht="35.1" customHeight="1" x14ac:dyDescent="0.25">
      <c r="A1229" s="1">
        <f t="shared" si="74"/>
        <v>1228</v>
      </c>
      <c r="B1229" s="1"/>
      <c r="C1229" s="39"/>
      <c r="D1229" s="21"/>
      <c r="G1229" s="1"/>
      <c r="H1229" s="11" t="str">
        <f t="shared" si="75"/>
        <v>0 г. 0 мес. 0 дн.</v>
      </c>
      <c r="I1229" s="20"/>
      <c r="J1229" s="20"/>
      <c r="O1229" s="20"/>
      <c r="V1229" s="1" t="str">
        <f t="shared" si="73"/>
        <v>0 г. 0 мес. 0 дн.</v>
      </c>
      <c r="W1229" s="69"/>
    </row>
    <row r="1230" spans="1:23" ht="35.1" customHeight="1" x14ac:dyDescent="0.25">
      <c r="A1230" s="1">
        <f t="shared" si="74"/>
        <v>1229</v>
      </c>
      <c r="B1230" s="1"/>
      <c r="C1230" s="39"/>
      <c r="D1230" s="21"/>
      <c r="G1230" s="1"/>
      <c r="H1230" s="11" t="str">
        <f t="shared" si="75"/>
        <v>0 г. 0 мес. 0 дн.</v>
      </c>
      <c r="I1230" s="20"/>
      <c r="J1230" s="20"/>
      <c r="O1230" s="20"/>
      <c r="V1230" s="1" t="str">
        <f t="shared" si="73"/>
        <v>0 г. 0 мес. 0 дн.</v>
      </c>
      <c r="W1230" s="69"/>
    </row>
    <row r="1231" spans="1:23" ht="35.1" customHeight="1" x14ac:dyDescent="0.25">
      <c r="A1231" s="1">
        <f t="shared" si="74"/>
        <v>1230</v>
      </c>
      <c r="B1231" s="1"/>
      <c r="C1231" s="39"/>
      <c r="D1231" s="21"/>
      <c r="G1231" s="1"/>
      <c r="H1231" s="11" t="str">
        <f t="shared" si="75"/>
        <v>0 г. 0 мес. 0 дн.</v>
      </c>
      <c r="I1231" s="20"/>
      <c r="J1231" s="20"/>
      <c r="O1231" s="20"/>
      <c r="V1231" s="1" t="str">
        <f t="shared" si="73"/>
        <v>0 г. 0 мес. 0 дн.</v>
      </c>
      <c r="W1231" s="69"/>
    </row>
    <row r="1232" spans="1:23" ht="35.1" customHeight="1" x14ac:dyDescent="0.25">
      <c r="A1232" s="1">
        <f t="shared" si="74"/>
        <v>1231</v>
      </c>
      <c r="B1232" s="1"/>
      <c r="C1232" s="39"/>
      <c r="D1232" s="21"/>
      <c r="G1232" s="1"/>
      <c r="H1232" s="11" t="str">
        <f t="shared" si="75"/>
        <v>0 г. 0 мес. 0 дн.</v>
      </c>
      <c r="I1232" s="20"/>
      <c r="J1232" s="20"/>
      <c r="O1232" s="20"/>
      <c r="V1232" s="1" t="str">
        <f t="shared" si="73"/>
        <v>0 г. 0 мес. 0 дн.</v>
      </c>
      <c r="W1232" s="69"/>
    </row>
    <row r="1233" spans="1:23" ht="35.1" customHeight="1" x14ac:dyDescent="0.25">
      <c r="A1233" s="1">
        <f t="shared" si="74"/>
        <v>1232</v>
      </c>
      <c r="B1233" s="1"/>
      <c r="C1233" s="39"/>
      <c r="D1233" s="21"/>
      <c r="G1233" s="1"/>
      <c r="H1233" s="11" t="str">
        <f t="shared" si="75"/>
        <v>0 г. 0 мес. 0 дн.</v>
      </c>
      <c r="I1233" s="20"/>
      <c r="J1233" s="20"/>
      <c r="O1233" s="20"/>
      <c r="V1233" s="1" t="str">
        <f t="shared" si="73"/>
        <v>0 г. 0 мес. 0 дн.</v>
      </c>
      <c r="W1233" s="69"/>
    </row>
    <row r="1234" spans="1:23" ht="35.1" customHeight="1" x14ac:dyDescent="0.25">
      <c r="A1234" s="1">
        <f t="shared" si="74"/>
        <v>1233</v>
      </c>
      <c r="B1234" s="1"/>
      <c r="C1234" s="39"/>
      <c r="D1234" s="21"/>
      <c r="G1234" s="1"/>
      <c r="H1234" s="11" t="str">
        <f t="shared" si="75"/>
        <v>0 г. 0 мес. 0 дн.</v>
      </c>
      <c r="I1234" s="20"/>
      <c r="J1234" s="20"/>
      <c r="O1234" s="20"/>
      <c r="V1234" s="1" t="str">
        <f t="shared" si="73"/>
        <v>0 г. 0 мес. 0 дн.</v>
      </c>
      <c r="W1234" s="69"/>
    </row>
    <row r="1235" spans="1:23" ht="35.1" customHeight="1" x14ac:dyDescent="0.25">
      <c r="A1235" s="1">
        <f t="shared" si="74"/>
        <v>1234</v>
      </c>
      <c r="B1235" s="1"/>
      <c r="C1235" s="39"/>
      <c r="D1235" s="21"/>
      <c r="G1235" s="1"/>
      <c r="H1235" s="11" t="str">
        <f t="shared" si="75"/>
        <v>0 г. 0 мес. 0 дн.</v>
      </c>
      <c r="I1235" s="20"/>
      <c r="J1235" s="20"/>
      <c r="O1235" s="20"/>
      <c r="V1235" s="1" t="str">
        <f t="shared" si="73"/>
        <v>0 г. 0 мес. 0 дн.</v>
      </c>
      <c r="W1235" s="69"/>
    </row>
    <row r="1236" spans="1:23" ht="35.1" customHeight="1" x14ac:dyDescent="0.25">
      <c r="A1236" s="1">
        <f t="shared" si="74"/>
        <v>1235</v>
      </c>
      <c r="B1236" s="1"/>
      <c r="C1236" s="39"/>
      <c r="D1236" s="21"/>
      <c r="G1236" s="1"/>
      <c r="H1236" s="11" t="str">
        <f t="shared" si="75"/>
        <v>0 г. 0 мес. 0 дн.</v>
      </c>
      <c r="I1236" s="20"/>
      <c r="J1236" s="20"/>
      <c r="O1236" s="20"/>
      <c r="V1236" s="1" t="str">
        <f t="shared" si="73"/>
        <v>0 г. 0 мес. 0 дн.</v>
      </c>
      <c r="W1236" s="69"/>
    </row>
    <row r="1237" spans="1:23" ht="35.1" customHeight="1" x14ac:dyDescent="0.25">
      <c r="A1237" s="1">
        <f t="shared" si="74"/>
        <v>1236</v>
      </c>
      <c r="B1237" s="1"/>
      <c r="C1237" s="39"/>
      <c r="D1237" s="21"/>
      <c r="G1237" s="1"/>
      <c r="H1237" s="11" t="str">
        <f t="shared" si="75"/>
        <v>0 г. 0 мес. 0 дн.</v>
      </c>
      <c r="I1237" s="20"/>
      <c r="J1237" s="20"/>
      <c r="O1237" s="20"/>
      <c r="V1237" s="1" t="str">
        <f t="shared" si="73"/>
        <v>0 г. 0 мес. 0 дн.</v>
      </c>
      <c r="W1237" s="69"/>
    </row>
    <row r="1238" spans="1:23" ht="35.1" customHeight="1" x14ac:dyDescent="0.25">
      <c r="A1238" s="1">
        <f t="shared" si="74"/>
        <v>1237</v>
      </c>
      <c r="B1238" s="1"/>
      <c r="C1238" s="39"/>
      <c r="D1238" s="21"/>
      <c r="G1238" s="1"/>
      <c r="H1238" s="11" t="str">
        <f t="shared" si="75"/>
        <v>0 г. 0 мес. 0 дн.</v>
      </c>
      <c r="I1238" s="20"/>
      <c r="J1238" s="20"/>
      <c r="O1238" s="20"/>
      <c r="V1238" s="1" t="str">
        <f t="shared" si="73"/>
        <v>0 г. 0 мес. 0 дн.</v>
      </c>
      <c r="W1238" s="69"/>
    </row>
    <row r="1239" spans="1:23" ht="35.1" customHeight="1" x14ac:dyDescent="0.25">
      <c r="A1239" s="1">
        <f t="shared" si="74"/>
        <v>1238</v>
      </c>
      <c r="B1239" s="1"/>
      <c r="C1239" s="39"/>
      <c r="D1239" s="21"/>
      <c r="G1239" s="1"/>
      <c r="H1239" s="11" t="str">
        <f t="shared" si="75"/>
        <v>0 г. 0 мес. 0 дн.</v>
      </c>
      <c r="I1239" s="20"/>
      <c r="J1239" s="20"/>
      <c r="O1239" s="20"/>
      <c r="V1239" s="1" t="str">
        <f t="shared" si="73"/>
        <v>0 г. 0 мес. 0 дн.</v>
      </c>
      <c r="W1239" s="69"/>
    </row>
    <row r="1240" spans="1:23" ht="35.1" customHeight="1" x14ac:dyDescent="0.25">
      <c r="A1240" s="1">
        <f t="shared" si="74"/>
        <v>1239</v>
      </c>
      <c r="B1240" s="1"/>
      <c r="C1240" s="39"/>
      <c r="D1240" s="21"/>
      <c r="G1240" s="1"/>
      <c r="H1240" s="11" t="str">
        <f t="shared" si="75"/>
        <v>0 г. 0 мес. 0 дн.</v>
      </c>
      <c r="I1240" s="20"/>
      <c r="J1240" s="20"/>
      <c r="O1240" s="20"/>
      <c r="V1240" s="1" t="str">
        <f t="shared" si="73"/>
        <v>0 г. 0 мес. 0 дн.</v>
      </c>
      <c r="W1240" s="69"/>
    </row>
    <row r="1241" spans="1:23" ht="35.1" customHeight="1" x14ac:dyDescent="0.25">
      <c r="A1241" s="1">
        <f t="shared" si="74"/>
        <v>1240</v>
      </c>
      <c r="B1241" s="1"/>
      <c r="C1241" s="39"/>
      <c r="D1241" s="21"/>
      <c r="G1241" s="1"/>
      <c r="H1241" s="11" t="str">
        <f t="shared" si="75"/>
        <v>0 г. 0 мес. 0 дн.</v>
      </c>
      <c r="I1241" s="20"/>
      <c r="J1241" s="20"/>
      <c r="O1241" s="20"/>
      <c r="V1241" s="1" t="str">
        <f t="shared" ref="V1241:V1304" si="76">DATEDIF(D1241,T1241,"y") &amp; " г. " &amp; DATEDIF(D1241,T1241,"ym") &amp; " мес. " &amp; DATEDIF(D1241,T1241,"md") &amp; " дн."</f>
        <v>0 г. 0 мес. 0 дн.</v>
      </c>
      <c r="W1241" s="69"/>
    </row>
    <row r="1242" spans="1:23" ht="35.1" customHeight="1" x14ac:dyDescent="0.25">
      <c r="A1242" s="1">
        <f t="shared" si="74"/>
        <v>1241</v>
      </c>
      <c r="B1242" s="1"/>
      <c r="C1242" s="39"/>
      <c r="D1242" s="21"/>
      <c r="G1242" s="1"/>
      <c r="H1242" s="11" t="str">
        <f t="shared" si="75"/>
        <v>0 г. 0 мес. 0 дн.</v>
      </c>
      <c r="I1242" s="20"/>
      <c r="J1242" s="20"/>
      <c r="O1242" s="20"/>
      <c r="V1242" s="1" t="str">
        <f t="shared" si="76"/>
        <v>0 г. 0 мес. 0 дн.</v>
      </c>
      <c r="W1242" s="69"/>
    </row>
    <row r="1243" spans="1:23" ht="35.1" customHeight="1" x14ac:dyDescent="0.25">
      <c r="A1243" s="1">
        <f t="shared" si="74"/>
        <v>1242</v>
      </c>
      <c r="B1243" s="1"/>
      <c r="C1243" s="39"/>
      <c r="D1243" s="21"/>
      <c r="G1243" s="1"/>
      <c r="H1243" s="11" t="str">
        <f t="shared" si="75"/>
        <v>0 г. 0 мес. 0 дн.</v>
      </c>
      <c r="I1243" s="20"/>
      <c r="J1243" s="20"/>
      <c r="O1243" s="20"/>
      <c r="V1243" s="1" t="str">
        <f t="shared" si="76"/>
        <v>0 г. 0 мес. 0 дн.</v>
      </c>
      <c r="W1243" s="69"/>
    </row>
    <row r="1244" spans="1:23" ht="35.1" customHeight="1" x14ac:dyDescent="0.25">
      <c r="A1244" s="1">
        <f t="shared" si="74"/>
        <v>1243</v>
      </c>
      <c r="B1244" s="1"/>
      <c r="C1244" s="39"/>
      <c r="D1244" s="21"/>
      <c r="G1244" s="1"/>
      <c r="H1244" s="11" t="str">
        <f t="shared" si="75"/>
        <v>0 г. 0 мес. 0 дн.</v>
      </c>
      <c r="I1244" s="20"/>
      <c r="J1244" s="20"/>
      <c r="O1244" s="20"/>
      <c r="V1244" s="1" t="str">
        <f t="shared" si="76"/>
        <v>0 г. 0 мес. 0 дн.</v>
      </c>
      <c r="W1244" s="69"/>
    </row>
    <row r="1245" spans="1:23" ht="35.1" customHeight="1" x14ac:dyDescent="0.25">
      <c r="A1245" s="1">
        <f t="shared" si="74"/>
        <v>1244</v>
      </c>
      <c r="B1245" s="1"/>
      <c r="C1245" s="39"/>
      <c r="D1245" s="21"/>
      <c r="G1245" s="1"/>
      <c r="H1245" s="11" t="str">
        <f t="shared" si="75"/>
        <v>0 г. 0 мес. 0 дн.</v>
      </c>
      <c r="I1245" s="20"/>
      <c r="J1245" s="20"/>
      <c r="O1245" s="20"/>
      <c r="V1245" s="1" t="str">
        <f t="shared" si="76"/>
        <v>0 г. 0 мес. 0 дн.</v>
      </c>
      <c r="W1245" s="69"/>
    </row>
    <row r="1246" spans="1:23" ht="35.1" customHeight="1" x14ac:dyDescent="0.25">
      <c r="A1246" s="1">
        <f t="shared" si="74"/>
        <v>1245</v>
      </c>
      <c r="B1246" s="1"/>
      <c r="C1246" s="39"/>
      <c r="D1246" s="21"/>
      <c r="G1246" s="1"/>
      <c r="H1246" s="11" t="str">
        <f t="shared" si="75"/>
        <v>0 г. 0 мес. 0 дн.</v>
      </c>
      <c r="I1246" s="20"/>
      <c r="J1246" s="20"/>
      <c r="O1246" s="20"/>
      <c r="V1246" s="1" t="str">
        <f t="shared" si="76"/>
        <v>0 г. 0 мес. 0 дн.</v>
      </c>
      <c r="W1246" s="69"/>
    </row>
    <row r="1247" spans="1:23" ht="35.1" customHeight="1" x14ac:dyDescent="0.25">
      <c r="A1247" s="1">
        <f t="shared" si="74"/>
        <v>1246</v>
      </c>
      <c r="B1247" s="1"/>
      <c r="C1247" s="39"/>
      <c r="D1247" s="21"/>
      <c r="G1247" s="1"/>
      <c r="H1247" s="11" t="str">
        <f t="shared" si="75"/>
        <v>0 г. 0 мес. 0 дн.</v>
      </c>
      <c r="I1247" s="20"/>
      <c r="J1247" s="20"/>
      <c r="O1247" s="20"/>
      <c r="V1247" s="1" t="str">
        <f t="shared" si="76"/>
        <v>0 г. 0 мес. 0 дн.</v>
      </c>
      <c r="W1247" s="69"/>
    </row>
    <row r="1248" spans="1:23" ht="35.1" customHeight="1" x14ac:dyDescent="0.25">
      <c r="A1248" s="1">
        <f t="shared" si="74"/>
        <v>1247</v>
      </c>
      <c r="B1248" s="1"/>
      <c r="C1248" s="39"/>
      <c r="D1248" s="21"/>
      <c r="G1248" s="1"/>
      <c r="H1248" s="11" t="str">
        <f t="shared" si="75"/>
        <v>0 г. 0 мес. 0 дн.</v>
      </c>
      <c r="I1248" s="20"/>
      <c r="J1248" s="20"/>
      <c r="O1248" s="20"/>
      <c r="V1248" s="1" t="str">
        <f t="shared" si="76"/>
        <v>0 г. 0 мес. 0 дн.</v>
      </c>
      <c r="W1248" s="69"/>
    </row>
    <row r="1249" spans="1:23" ht="35.1" customHeight="1" x14ac:dyDescent="0.25">
      <c r="A1249" s="1">
        <f t="shared" si="74"/>
        <v>1248</v>
      </c>
      <c r="B1249" s="1"/>
      <c r="C1249" s="39"/>
      <c r="D1249" s="21"/>
      <c r="G1249" s="1"/>
      <c r="H1249" s="11" t="str">
        <f t="shared" si="75"/>
        <v>0 г. 0 мес. 0 дн.</v>
      </c>
      <c r="I1249" s="20"/>
      <c r="J1249" s="20"/>
      <c r="O1249" s="20"/>
      <c r="V1249" s="1" t="str">
        <f t="shared" si="76"/>
        <v>0 г. 0 мес. 0 дн.</v>
      </c>
      <c r="W1249" s="69"/>
    </row>
    <row r="1250" spans="1:23" ht="35.1" customHeight="1" x14ac:dyDescent="0.25">
      <c r="A1250" s="1">
        <f t="shared" si="74"/>
        <v>1249</v>
      </c>
      <c r="B1250" s="1"/>
      <c r="C1250" s="39"/>
      <c r="D1250" s="21"/>
      <c r="G1250" s="1"/>
      <c r="H1250" s="11" t="str">
        <f t="shared" si="75"/>
        <v>0 г. 0 мес. 0 дн.</v>
      </c>
      <c r="I1250" s="20"/>
      <c r="J1250" s="20"/>
      <c r="O1250" s="20"/>
      <c r="V1250" s="1" t="str">
        <f t="shared" si="76"/>
        <v>0 г. 0 мес. 0 дн.</v>
      </c>
      <c r="W1250" s="69"/>
    </row>
    <row r="1251" spans="1:23" ht="35.1" customHeight="1" x14ac:dyDescent="0.25">
      <c r="A1251" s="1">
        <f t="shared" si="74"/>
        <v>1250</v>
      </c>
      <c r="B1251" s="1"/>
      <c r="C1251" s="39"/>
      <c r="D1251" s="21"/>
      <c r="G1251" s="1"/>
      <c r="H1251" s="11" t="str">
        <f t="shared" si="75"/>
        <v>0 г. 0 мес. 0 дн.</v>
      </c>
      <c r="I1251" s="20"/>
      <c r="J1251" s="20"/>
      <c r="O1251" s="20"/>
      <c r="V1251" s="1" t="str">
        <f t="shared" si="76"/>
        <v>0 г. 0 мес. 0 дн.</v>
      </c>
      <c r="W1251" s="69"/>
    </row>
    <row r="1252" spans="1:23" ht="35.1" customHeight="1" x14ac:dyDescent="0.25">
      <c r="A1252" s="1">
        <f t="shared" si="74"/>
        <v>1251</v>
      </c>
      <c r="B1252" s="1"/>
      <c r="C1252" s="39"/>
      <c r="D1252" s="21"/>
      <c r="G1252" s="1"/>
      <c r="H1252" s="11" t="str">
        <f t="shared" si="75"/>
        <v>0 г. 0 мес. 0 дн.</v>
      </c>
      <c r="I1252" s="20"/>
      <c r="J1252" s="20"/>
      <c r="O1252" s="20"/>
      <c r="V1252" s="1" t="str">
        <f t="shared" si="76"/>
        <v>0 г. 0 мес. 0 дн.</v>
      </c>
      <c r="W1252" s="69"/>
    </row>
    <row r="1253" spans="1:23" ht="35.1" customHeight="1" x14ac:dyDescent="0.25">
      <c r="A1253" s="1">
        <f t="shared" si="74"/>
        <v>1252</v>
      </c>
      <c r="B1253" s="1"/>
      <c r="C1253" s="39"/>
      <c r="D1253" s="21"/>
      <c r="G1253" s="1"/>
      <c r="H1253" s="11" t="str">
        <f t="shared" si="75"/>
        <v>0 г. 0 мес. 0 дн.</v>
      </c>
      <c r="I1253" s="20"/>
      <c r="J1253" s="20"/>
      <c r="O1253" s="20"/>
      <c r="V1253" s="1" t="str">
        <f t="shared" si="76"/>
        <v>0 г. 0 мес. 0 дн.</v>
      </c>
      <c r="W1253" s="69"/>
    </row>
    <row r="1254" spans="1:23" ht="35.1" customHeight="1" x14ac:dyDescent="0.25">
      <c r="A1254" s="1">
        <f t="shared" si="74"/>
        <v>1253</v>
      </c>
      <c r="B1254" s="1"/>
      <c r="C1254" s="39"/>
      <c r="D1254" s="21"/>
      <c r="G1254" s="1"/>
      <c r="H1254" s="11" t="str">
        <f t="shared" si="75"/>
        <v>0 г. 0 мес. 0 дн.</v>
      </c>
      <c r="I1254" s="20"/>
      <c r="J1254" s="20"/>
      <c r="O1254" s="20"/>
      <c r="V1254" s="1" t="str">
        <f t="shared" si="76"/>
        <v>0 г. 0 мес. 0 дн.</v>
      </c>
      <c r="W1254" s="69"/>
    </row>
    <row r="1255" spans="1:23" ht="35.1" customHeight="1" x14ac:dyDescent="0.25">
      <c r="A1255" s="1">
        <f t="shared" si="74"/>
        <v>1254</v>
      </c>
      <c r="B1255" s="1"/>
      <c r="C1255" s="39"/>
      <c r="D1255" s="21"/>
      <c r="G1255" s="1"/>
      <c r="H1255" s="11" t="str">
        <f t="shared" si="75"/>
        <v>0 г. 0 мес. 0 дн.</v>
      </c>
      <c r="I1255" s="20"/>
      <c r="J1255" s="20"/>
      <c r="O1255" s="20"/>
      <c r="V1255" s="1" t="str">
        <f t="shared" si="76"/>
        <v>0 г. 0 мес. 0 дн.</v>
      </c>
      <c r="W1255" s="69"/>
    </row>
    <row r="1256" spans="1:23" ht="35.1" customHeight="1" x14ac:dyDescent="0.25">
      <c r="A1256" s="1">
        <f t="shared" si="74"/>
        <v>1255</v>
      </c>
      <c r="B1256" s="1"/>
      <c r="C1256" s="39"/>
      <c r="D1256" s="21"/>
      <c r="G1256" s="1"/>
      <c r="H1256" s="11" t="str">
        <f t="shared" si="75"/>
        <v>0 г. 0 мес. 0 дн.</v>
      </c>
      <c r="I1256" s="20"/>
      <c r="J1256" s="20"/>
      <c r="O1256" s="20"/>
      <c r="V1256" s="1" t="str">
        <f t="shared" si="76"/>
        <v>0 г. 0 мес. 0 дн.</v>
      </c>
      <c r="W1256" s="69"/>
    </row>
    <row r="1257" spans="1:23" ht="35.1" customHeight="1" x14ac:dyDescent="0.25">
      <c r="A1257" s="1">
        <f t="shared" si="74"/>
        <v>1256</v>
      </c>
      <c r="B1257" s="1"/>
      <c r="C1257" s="39"/>
      <c r="D1257" s="21"/>
      <c r="G1257" s="1"/>
      <c r="H1257" s="11" t="str">
        <f t="shared" si="75"/>
        <v>0 г. 0 мес. 0 дн.</v>
      </c>
      <c r="I1257" s="20"/>
      <c r="J1257" s="20"/>
      <c r="O1257" s="20"/>
      <c r="V1257" s="1" t="str">
        <f t="shared" si="76"/>
        <v>0 г. 0 мес. 0 дн.</v>
      </c>
      <c r="W1257" s="69"/>
    </row>
    <row r="1258" spans="1:23" ht="35.1" customHeight="1" x14ac:dyDescent="0.25">
      <c r="A1258" s="1">
        <f t="shared" si="74"/>
        <v>1257</v>
      </c>
      <c r="B1258" s="1"/>
      <c r="C1258" s="39"/>
      <c r="D1258" s="21"/>
      <c r="G1258" s="1"/>
      <c r="H1258" s="11" t="str">
        <f t="shared" si="75"/>
        <v>0 г. 0 мес. 0 дн.</v>
      </c>
      <c r="I1258" s="20"/>
      <c r="J1258" s="20"/>
      <c r="O1258" s="20"/>
      <c r="V1258" s="1" t="str">
        <f t="shared" si="76"/>
        <v>0 г. 0 мес. 0 дн.</v>
      </c>
      <c r="W1258" s="69"/>
    </row>
    <row r="1259" spans="1:23" ht="35.1" customHeight="1" x14ac:dyDescent="0.25">
      <c r="A1259" s="1">
        <f t="shared" si="74"/>
        <v>1258</v>
      </c>
      <c r="B1259" s="1"/>
      <c r="C1259" s="39"/>
      <c r="D1259" s="21"/>
      <c r="G1259" s="1"/>
      <c r="H1259" s="11" t="str">
        <f t="shared" si="75"/>
        <v>0 г. 0 мес. 0 дн.</v>
      </c>
      <c r="I1259" s="20"/>
      <c r="J1259" s="20"/>
      <c r="O1259" s="20"/>
      <c r="V1259" s="1" t="str">
        <f t="shared" si="76"/>
        <v>0 г. 0 мес. 0 дн.</v>
      </c>
      <c r="W1259" s="69"/>
    </row>
    <row r="1260" spans="1:23" ht="35.1" customHeight="1" x14ac:dyDescent="0.25">
      <c r="A1260" s="1">
        <f t="shared" si="74"/>
        <v>1259</v>
      </c>
      <c r="B1260" s="1"/>
      <c r="C1260" s="39"/>
      <c r="D1260" s="21"/>
      <c r="G1260" s="1"/>
      <c r="H1260" s="11" t="str">
        <f t="shared" si="75"/>
        <v>0 г. 0 мес. 0 дн.</v>
      </c>
      <c r="I1260" s="20"/>
      <c r="J1260" s="20"/>
      <c r="O1260" s="20"/>
      <c r="V1260" s="1" t="str">
        <f t="shared" si="76"/>
        <v>0 г. 0 мес. 0 дн.</v>
      </c>
      <c r="W1260" s="69"/>
    </row>
    <row r="1261" spans="1:23" ht="35.1" customHeight="1" x14ac:dyDescent="0.25">
      <c r="A1261" s="1">
        <f t="shared" si="74"/>
        <v>1260</v>
      </c>
      <c r="B1261" s="1"/>
      <c r="C1261" s="39"/>
      <c r="D1261" s="21"/>
      <c r="G1261" s="1"/>
      <c r="H1261" s="11" t="str">
        <f t="shared" si="75"/>
        <v>0 г. 0 мес. 0 дн.</v>
      </c>
      <c r="I1261" s="20"/>
      <c r="J1261" s="20"/>
      <c r="O1261" s="20"/>
      <c r="V1261" s="1" t="str">
        <f t="shared" si="76"/>
        <v>0 г. 0 мес. 0 дн.</v>
      </c>
      <c r="W1261" s="69"/>
    </row>
    <row r="1262" spans="1:23" ht="35.1" customHeight="1" x14ac:dyDescent="0.25">
      <c r="A1262" s="1">
        <f t="shared" si="74"/>
        <v>1261</v>
      </c>
      <c r="B1262" s="1"/>
      <c r="C1262" s="39"/>
      <c r="D1262" s="21"/>
      <c r="G1262" s="1"/>
      <c r="H1262" s="11" t="str">
        <f t="shared" si="75"/>
        <v>0 г. 0 мес. 0 дн.</v>
      </c>
      <c r="I1262" s="20"/>
      <c r="J1262" s="20"/>
      <c r="O1262" s="20"/>
      <c r="V1262" s="1" t="str">
        <f t="shared" si="76"/>
        <v>0 г. 0 мес. 0 дн.</v>
      </c>
      <c r="W1262" s="69"/>
    </row>
    <row r="1263" spans="1:23" ht="35.1" customHeight="1" x14ac:dyDescent="0.25">
      <c r="A1263" s="1">
        <f t="shared" si="74"/>
        <v>1262</v>
      </c>
      <c r="B1263" s="1"/>
      <c r="C1263" s="39"/>
      <c r="D1263" s="21"/>
      <c r="G1263" s="1"/>
      <c r="H1263" s="11" t="str">
        <f t="shared" si="75"/>
        <v>0 г. 0 мес. 0 дн.</v>
      </c>
      <c r="I1263" s="20"/>
      <c r="J1263" s="20"/>
      <c r="O1263" s="20"/>
      <c r="V1263" s="1" t="str">
        <f t="shared" si="76"/>
        <v>0 г. 0 мес. 0 дн.</v>
      </c>
      <c r="W1263" s="69"/>
    </row>
    <row r="1264" spans="1:23" ht="35.1" customHeight="1" x14ac:dyDescent="0.25">
      <c r="A1264" s="1">
        <f t="shared" si="74"/>
        <v>1263</v>
      </c>
      <c r="B1264" s="1"/>
      <c r="C1264" s="39"/>
      <c r="D1264" s="21"/>
      <c r="G1264" s="1"/>
      <c r="H1264" s="11" t="str">
        <f t="shared" si="75"/>
        <v>0 г. 0 мес. 0 дн.</v>
      </c>
      <c r="I1264" s="20"/>
      <c r="J1264" s="20"/>
      <c r="O1264" s="20"/>
      <c r="V1264" s="1" t="str">
        <f t="shared" si="76"/>
        <v>0 г. 0 мес. 0 дн.</v>
      </c>
      <c r="W1264" s="69"/>
    </row>
    <row r="1265" spans="1:23" ht="35.1" customHeight="1" x14ac:dyDescent="0.25">
      <c r="A1265" s="1">
        <f t="shared" si="74"/>
        <v>1264</v>
      </c>
      <c r="B1265" s="1"/>
      <c r="C1265" s="39"/>
      <c r="D1265" s="21"/>
      <c r="G1265" s="1"/>
      <c r="H1265" s="11" t="str">
        <f t="shared" si="75"/>
        <v>0 г. 0 мес. 0 дн.</v>
      </c>
      <c r="I1265" s="20"/>
      <c r="J1265" s="20"/>
      <c r="O1265" s="20"/>
      <c r="V1265" s="1" t="str">
        <f t="shared" si="76"/>
        <v>0 г. 0 мес. 0 дн.</v>
      </c>
      <c r="W1265" s="69"/>
    </row>
    <row r="1266" spans="1:23" ht="35.1" customHeight="1" x14ac:dyDescent="0.25">
      <c r="A1266" s="1">
        <f t="shared" si="74"/>
        <v>1265</v>
      </c>
      <c r="B1266" s="1"/>
      <c r="C1266" s="39"/>
      <c r="D1266" s="21"/>
      <c r="G1266" s="1"/>
      <c r="H1266" s="11" t="str">
        <f t="shared" si="75"/>
        <v>0 г. 0 мес. 0 дн.</v>
      </c>
      <c r="I1266" s="20"/>
      <c r="J1266" s="20"/>
      <c r="O1266" s="20"/>
      <c r="V1266" s="1" t="str">
        <f t="shared" si="76"/>
        <v>0 г. 0 мес. 0 дн.</v>
      </c>
      <c r="W1266" s="69"/>
    </row>
    <row r="1267" spans="1:23" ht="35.1" customHeight="1" x14ac:dyDescent="0.25">
      <c r="A1267" s="1">
        <f t="shared" si="74"/>
        <v>1266</v>
      </c>
      <c r="B1267" s="1"/>
      <c r="C1267" s="39"/>
      <c r="D1267" s="21"/>
      <c r="G1267" s="1"/>
      <c r="H1267" s="11" t="str">
        <f t="shared" si="75"/>
        <v>0 г. 0 мес. 0 дн.</v>
      </c>
      <c r="I1267" s="20"/>
      <c r="J1267" s="20"/>
      <c r="O1267" s="20"/>
      <c r="V1267" s="1" t="str">
        <f t="shared" si="76"/>
        <v>0 г. 0 мес. 0 дн.</v>
      </c>
      <c r="W1267" s="69"/>
    </row>
    <row r="1268" spans="1:23" ht="35.1" customHeight="1" x14ac:dyDescent="0.25">
      <c r="A1268" s="1">
        <f t="shared" si="74"/>
        <v>1267</v>
      </c>
      <c r="B1268" s="1"/>
      <c r="C1268" s="39"/>
      <c r="D1268" s="21"/>
      <c r="G1268" s="1"/>
      <c r="H1268" s="11" t="str">
        <f t="shared" si="75"/>
        <v>0 г. 0 мес. 0 дн.</v>
      </c>
      <c r="I1268" s="20"/>
      <c r="J1268" s="20"/>
      <c r="O1268" s="20"/>
      <c r="V1268" s="1" t="str">
        <f t="shared" si="76"/>
        <v>0 г. 0 мес. 0 дн.</v>
      </c>
      <c r="W1268" s="69"/>
    </row>
    <row r="1269" spans="1:23" ht="35.1" customHeight="1" x14ac:dyDescent="0.25">
      <c r="A1269" s="1">
        <f t="shared" si="74"/>
        <v>1268</v>
      </c>
      <c r="B1269" s="1"/>
      <c r="C1269" s="39"/>
      <c r="D1269" s="21"/>
      <c r="G1269" s="1"/>
      <c r="H1269" s="11" t="str">
        <f t="shared" si="75"/>
        <v>0 г. 0 мес. 0 дн.</v>
      </c>
      <c r="I1269" s="20"/>
      <c r="J1269" s="20"/>
      <c r="O1269" s="20"/>
      <c r="V1269" s="1" t="str">
        <f t="shared" si="76"/>
        <v>0 г. 0 мес. 0 дн.</v>
      </c>
      <c r="W1269" s="69"/>
    </row>
    <row r="1270" spans="1:23" ht="35.1" customHeight="1" x14ac:dyDescent="0.25">
      <c r="A1270" s="1">
        <f t="shared" si="74"/>
        <v>1269</v>
      </c>
      <c r="B1270" s="1"/>
      <c r="C1270" s="39"/>
      <c r="D1270" s="21"/>
      <c r="G1270" s="1"/>
      <c r="H1270" s="11" t="str">
        <f t="shared" si="75"/>
        <v>0 г. 0 мес. 0 дн.</v>
      </c>
      <c r="I1270" s="20"/>
      <c r="J1270" s="20"/>
      <c r="O1270" s="20"/>
      <c r="V1270" s="1" t="str">
        <f t="shared" si="76"/>
        <v>0 г. 0 мес. 0 дн.</v>
      </c>
      <c r="W1270" s="69"/>
    </row>
    <row r="1271" spans="1:23" ht="35.1" customHeight="1" x14ac:dyDescent="0.25">
      <c r="A1271" s="1">
        <f t="shared" si="74"/>
        <v>1270</v>
      </c>
      <c r="B1271" s="1"/>
      <c r="C1271" s="39"/>
      <c r="D1271" s="21"/>
      <c r="G1271" s="1"/>
      <c r="H1271" s="11" t="str">
        <f t="shared" si="75"/>
        <v>0 г. 0 мес. 0 дн.</v>
      </c>
      <c r="I1271" s="20"/>
      <c r="J1271" s="20"/>
      <c r="O1271" s="20"/>
      <c r="V1271" s="1" t="str">
        <f t="shared" si="76"/>
        <v>0 г. 0 мес. 0 дн.</v>
      </c>
      <c r="W1271" s="69"/>
    </row>
    <row r="1272" spans="1:23" ht="35.1" customHeight="1" x14ac:dyDescent="0.25">
      <c r="A1272" s="1">
        <f t="shared" si="74"/>
        <v>1271</v>
      </c>
      <c r="B1272" s="1"/>
      <c r="C1272" s="39"/>
      <c r="D1272" s="21"/>
      <c r="G1272" s="1"/>
      <c r="H1272" s="11" t="str">
        <f t="shared" si="75"/>
        <v>0 г. 0 мес. 0 дн.</v>
      </c>
      <c r="I1272" s="20"/>
      <c r="J1272" s="20"/>
      <c r="O1272" s="20"/>
      <c r="V1272" s="1" t="str">
        <f t="shared" si="76"/>
        <v>0 г. 0 мес. 0 дн.</v>
      </c>
      <c r="W1272" s="69"/>
    </row>
    <row r="1273" spans="1:23" ht="35.1" customHeight="1" x14ac:dyDescent="0.25">
      <c r="A1273" s="1">
        <f t="shared" si="74"/>
        <v>1272</v>
      </c>
      <c r="B1273" s="1"/>
      <c r="C1273" s="39"/>
      <c r="D1273" s="21"/>
      <c r="G1273" s="1"/>
      <c r="H1273" s="11" t="str">
        <f t="shared" si="75"/>
        <v>0 г. 0 мес. 0 дн.</v>
      </c>
      <c r="I1273" s="20"/>
      <c r="J1273" s="20"/>
      <c r="O1273" s="20"/>
      <c r="V1273" s="1" t="str">
        <f t="shared" si="76"/>
        <v>0 г. 0 мес. 0 дн.</v>
      </c>
      <c r="W1273" s="69"/>
    </row>
    <row r="1274" spans="1:23" ht="35.1" customHeight="1" x14ac:dyDescent="0.25">
      <c r="A1274" s="1">
        <f t="shared" si="74"/>
        <v>1273</v>
      </c>
      <c r="B1274" s="1"/>
      <c r="C1274" s="39"/>
      <c r="D1274" s="21"/>
      <c r="G1274" s="1"/>
      <c r="H1274" s="11" t="str">
        <f t="shared" si="75"/>
        <v>0 г. 0 мес. 0 дн.</v>
      </c>
      <c r="I1274" s="20"/>
      <c r="J1274" s="20"/>
      <c r="O1274" s="20"/>
      <c r="V1274" s="1" t="str">
        <f t="shared" si="76"/>
        <v>0 г. 0 мес. 0 дн.</v>
      </c>
      <c r="W1274" s="69"/>
    </row>
    <row r="1275" spans="1:23" ht="35.1" customHeight="1" x14ac:dyDescent="0.25">
      <c r="A1275" s="1">
        <f t="shared" si="74"/>
        <v>1274</v>
      </c>
      <c r="B1275" s="1"/>
      <c r="C1275" s="39"/>
      <c r="D1275" s="21"/>
      <c r="G1275" s="1"/>
      <c r="H1275" s="11" t="str">
        <f t="shared" si="75"/>
        <v>0 г. 0 мес. 0 дн.</v>
      </c>
      <c r="I1275" s="20"/>
      <c r="J1275" s="20"/>
      <c r="O1275" s="20"/>
      <c r="V1275" s="1" t="str">
        <f t="shared" si="76"/>
        <v>0 г. 0 мес. 0 дн.</v>
      </c>
      <c r="W1275" s="69"/>
    </row>
    <row r="1276" spans="1:23" ht="35.1" customHeight="1" x14ac:dyDescent="0.25">
      <c r="A1276" s="1">
        <f t="shared" si="74"/>
        <v>1275</v>
      </c>
      <c r="B1276" s="1"/>
      <c r="C1276" s="39"/>
      <c r="D1276" s="21"/>
      <c r="G1276" s="1"/>
      <c r="H1276" s="11" t="str">
        <f t="shared" si="75"/>
        <v>0 г. 0 мес. 0 дн.</v>
      </c>
      <c r="I1276" s="20"/>
      <c r="J1276" s="20"/>
      <c r="O1276" s="20"/>
      <c r="V1276" s="1" t="str">
        <f t="shared" si="76"/>
        <v>0 г. 0 мес. 0 дн.</v>
      </c>
      <c r="W1276" s="69"/>
    </row>
    <row r="1277" spans="1:23" ht="35.1" customHeight="1" x14ac:dyDescent="0.25">
      <c r="A1277" s="1">
        <f t="shared" si="74"/>
        <v>1276</v>
      </c>
      <c r="B1277" s="1"/>
      <c r="C1277" s="39"/>
      <c r="D1277" s="21"/>
      <c r="G1277" s="1"/>
      <c r="H1277" s="11" t="str">
        <f t="shared" si="75"/>
        <v>0 г. 0 мес. 0 дн.</v>
      </c>
      <c r="I1277" s="20"/>
      <c r="J1277" s="20"/>
      <c r="O1277" s="20"/>
      <c r="V1277" s="1" t="str">
        <f t="shared" si="76"/>
        <v>0 г. 0 мес. 0 дн.</v>
      </c>
      <c r="W1277" s="69"/>
    </row>
    <row r="1278" spans="1:23" ht="35.1" customHeight="1" x14ac:dyDescent="0.25">
      <c r="A1278" s="1">
        <f t="shared" si="74"/>
        <v>1277</v>
      </c>
      <c r="B1278" s="1"/>
      <c r="C1278" s="39"/>
      <c r="D1278" s="21"/>
      <c r="G1278" s="1"/>
      <c r="H1278" s="11" t="str">
        <f t="shared" si="75"/>
        <v>0 г. 0 мес. 0 дн.</v>
      </c>
      <c r="I1278" s="20"/>
      <c r="J1278" s="20"/>
      <c r="O1278" s="20"/>
      <c r="V1278" s="1" t="str">
        <f t="shared" si="76"/>
        <v>0 г. 0 мес. 0 дн.</v>
      </c>
      <c r="W1278" s="69"/>
    </row>
    <row r="1279" spans="1:23" ht="35.1" customHeight="1" x14ac:dyDescent="0.25">
      <c r="A1279" s="1">
        <f t="shared" si="74"/>
        <v>1278</v>
      </c>
      <c r="B1279" s="1"/>
      <c r="C1279" s="39"/>
      <c r="D1279" s="21"/>
      <c r="G1279" s="1"/>
      <c r="H1279" s="11" t="str">
        <f t="shared" si="75"/>
        <v>0 г. 0 мес. 0 дн.</v>
      </c>
      <c r="I1279" s="20"/>
      <c r="J1279" s="20"/>
      <c r="O1279" s="20"/>
      <c r="V1279" s="1" t="str">
        <f t="shared" si="76"/>
        <v>0 г. 0 мес. 0 дн.</v>
      </c>
      <c r="W1279" s="69"/>
    </row>
    <row r="1280" spans="1:23" ht="35.1" customHeight="1" x14ac:dyDescent="0.25">
      <c r="A1280" s="1">
        <f t="shared" si="74"/>
        <v>1279</v>
      </c>
      <c r="B1280" s="1"/>
      <c r="C1280" s="39"/>
      <c r="D1280" s="21"/>
      <c r="G1280" s="1"/>
      <c r="H1280" s="11" t="str">
        <f t="shared" si="75"/>
        <v>0 г. 0 мес. 0 дн.</v>
      </c>
      <c r="I1280" s="20"/>
      <c r="J1280" s="20"/>
      <c r="O1280" s="20"/>
      <c r="V1280" s="1" t="str">
        <f t="shared" si="76"/>
        <v>0 г. 0 мес. 0 дн.</v>
      </c>
      <c r="W1280" s="69"/>
    </row>
    <row r="1281" spans="1:23" ht="35.1" customHeight="1" x14ac:dyDescent="0.25">
      <c r="A1281" s="1">
        <f t="shared" ref="A1281:A1344" si="77">ROW(A1280)</f>
        <v>1280</v>
      </c>
      <c r="B1281" s="1"/>
      <c r="C1281" s="39"/>
      <c r="D1281" s="21"/>
      <c r="G1281" s="1"/>
      <c r="H1281" s="11" t="str">
        <f t="shared" ref="H1281:H1344" si="78">DATEDIF(G1281,D1281,"y") &amp; " г. " &amp; DATEDIF(G1281,D1281,"ym") &amp; " мес. " &amp; DATEDIF(G1281,D1281,"md") &amp; " дн."</f>
        <v>0 г. 0 мес. 0 дн.</v>
      </c>
      <c r="I1281" s="20"/>
      <c r="J1281" s="20"/>
      <c r="O1281" s="20"/>
      <c r="V1281" s="1" t="str">
        <f t="shared" si="76"/>
        <v>0 г. 0 мес. 0 дн.</v>
      </c>
      <c r="W1281" s="69"/>
    </row>
    <row r="1282" spans="1:23" ht="35.1" customHeight="1" x14ac:dyDescent="0.25">
      <c r="A1282" s="1">
        <f t="shared" si="77"/>
        <v>1281</v>
      </c>
      <c r="B1282" s="1"/>
      <c r="C1282" s="39"/>
      <c r="D1282" s="21"/>
      <c r="G1282" s="1"/>
      <c r="H1282" s="11" t="str">
        <f t="shared" si="78"/>
        <v>0 г. 0 мес. 0 дн.</v>
      </c>
      <c r="I1282" s="20"/>
      <c r="J1282" s="20"/>
      <c r="O1282" s="20"/>
      <c r="V1282" s="1" t="str">
        <f t="shared" si="76"/>
        <v>0 г. 0 мес. 0 дн.</v>
      </c>
      <c r="W1282" s="69"/>
    </row>
    <row r="1283" spans="1:23" ht="35.1" customHeight="1" x14ac:dyDescent="0.25">
      <c r="A1283" s="1">
        <f t="shared" si="77"/>
        <v>1282</v>
      </c>
      <c r="B1283" s="1"/>
      <c r="C1283" s="39"/>
      <c r="D1283" s="21"/>
      <c r="G1283" s="1"/>
      <c r="H1283" s="11" t="str">
        <f t="shared" si="78"/>
        <v>0 г. 0 мес. 0 дн.</v>
      </c>
      <c r="I1283" s="20"/>
      <c r="J1283" s="20"/>
      <c r="O1283" s="20"/>
      <c r="V1283" s="1" t="str">
        <f t="shared" si="76"/>
        <v>0 г. 0 мес. 0 дн.</v>
      </c>
      <c r="W1283" s="69"/>
    </row>
    <row r="1284" spans="1:23" ht="35.1" customHeight="1" x14ac:dyDescent="0.25">
      <c r="A1284" s="1">
        <f t="shared" si="77"/>
        <v>1283</v>
      </c>
      <c r="B1284" s="1"/>
      <c r="C1284" s="39"/>
      <c r="D1284" s="21"/>
      <c r="G1284" s="1"/>
      <c r="H1284" s="11" t="str">
        <f t="shared" si="78"/>
        <v>0 г. 0 мес. 0 дн.</v>
      </c>
      <c r="I1284" s="20"/>
      <c r="J1284" s="20"/>
      <c r="O1284" s="20"/>
      <c r="V1284" s="1" t="str">
        <f t="shared" si="76"/>
        <v>0 г. 0 мес. 0 дн.</v>
      </c>
      <c r="W1284" s="69"/>
    </row>
    <row r="1285" spans="1:23" ht="35.1" customHeight="1" x14ac:dyDescent="0.25">
      <c r="A1285" s="1">
        <f t="shared" si="77"/>
        <v>1284</v>
      </c>
      <c r="B1285" s="1"/>
      <c r="C1285" s="39"/>
      <c r="D1285" s="21"/>
      <c r="G1285" s="1"/>
      <c r="H1285" s="11" t="str">
        <f t="shared" si="78"/>
        <v>0 г. 0 мес. 0 дн.</v>
      </c>
      <c r="I1285" s="20"/>
      <c r="J1285" s="20"/>
      <c r="O1285" s="20"/>
      <c r="V1285" s="1" t="str">
        <f t="shared" si="76"/>
        <v>0 г. 0 мес. 0 дн.</v>
      </c>
      <c r="W1285" s="69"/>
    </row>
    <row r="1286" spans="1:23" ht="35.1" customHeight="1" x14ac:dyDescent="0.25">
      <c r="A1286" s="1">
        <f t="shared" si="77"/>
        <v>1285</v>
      </c>
      <c r="B1286" s="1"/>
      <c r="C1286" s="39"/>
      <c r="D1286" s="21"/>
      <c r="G1286" s="1"/>
      <c r="H1286" s="11" t="str">
        <f t="shared" si="78"/>
        <v>0 г. 0 мес. 0 дн.</v>
      </c>
      <c r="I1286" s="20"/>
      <c r="J1286" s="20"/>
      <c r="O1286" s="20"/>
      <c r="V1286" s="1" t="str">
        <f t="shared" si="76"/>
        <v>0 г. 0 мес. 0 дн.</v>
      </c>
      <c r="W1286" s="69"/>
    </row>
    <row r="1287" spans="1:23" ht="35.1" customHeight="1" x14ac:dyDescent="0.25">
      <c r="A1287" s="1">
        <f t="shared" si="77"/>
        <v>1286</v>
      </c>
      <c r="B1287" s="1"/>
      <c r="C1287" s="39"/>
      <c r="D1287" s="21"/>
      <c r="G1287" s="1"/>
      <c r="H1287" s="11" t="str">
        <f t="shared" si="78"/>
        <v>0 г. 0 мес. 0 дн.</v>
      </c>
      <c r="I1287" s="20"/>
      <c r="J1287" s="20"/>
      <c r="O1287" s="20"/>
      <c r="V1287" s="1" t="str">
        <f t="shared" si="76"/>
        <v>0 г. 0 мес. 0 дн.</v>
      </c>
      <c r="W1287" s="69"/>
    </row>
    <row r="1288" spans="1:23" ht="35.1" customHeight="1" x14ac:dyDescent="0.25">
      <c r="A1288" s="1">
        <f t="shared" si="77"/>
        <v>1287</v>
      </c>
      <c r="B1288" s="1"/>
      <c r="C1288" s="39"/>
      <c r="D1288" s="21"/>
      <c r="G1288" s="1"/>
      <c r="H1288" s="11" t="str">
        <f t="shared" si="78"/>
        <v>0 г. 0 мес. 0 дн.</v>
      </c>
      <c r="I1288" s="20"/>
      <c r="J1288" s="20"/>
      <c r="O1288" s="20"/>
      <c r="V1288" s="1" t="str">
        <f t="shared" si="76"/>
        <v>0 г. 0 мес. 0 дн.</v>
      </c>
      <c r="W1288" s="69"/>
    </row>
    <row r="1289" spans="1:23" ht="35.1" customHeight="1" x14ac:dyDescent="0.25">
      <c r="A1289" s="1">
        <f t="shared" si="77"/>
        <v>1288</v>
      </c>
      <c r="B1289" s="1"/>
      <c r="C1289" s="39"/>
      <c r="D1289" s="21"/>
      <c r="G1289" s="1"/>
      <c r="H1289" s="11" t="str">
        <f t="shared" si="78"/>
        <v>0 г. 0 мес. 0 дн.</v>
      </c>
      <c r="I1289" s="20"/>
      <c r="J1289" s="20"/>
      <c r="O1289" s="20"/>
      <c r="V1289" s="1" t="str">
        <f t="shared" si="76"/>
        <v>0 г. 0 мес. 0 дн.</v>
      </c>
      <c r="W1289" s="69"/>
    </row>
    <row r="1290" spans="1:23" ht="35.1" customHeight="1" x14ac:dyDescent="0.25">
      <c r="A1290" s="1">
        <f t="shared" si="77"/>
        <v>1289</v>
      </c>
      <c r="B1290" s="1"/>
      <c r="C1290" s="39"/>
      <c r="D1290" s="21"/>
      <c r="G1290" s="1"/>
      <c r="H1290" s="11" t="str">
        <f t="shared" si="78"/>
        <v>0 г. 0 мес. 0 дн.</v>
      </c>
      <c r="I1290" s="20"/>
      <c r="J1290" s="20"/>
      <c r="O1290" s="20"/>
      <c r="V1290" s="1" t="str">
        <f t="shared" si="76"/>
        <v>0 г. 0 мес. 0 дн.</v>
      </c>
      <c r="W1290" s="69"/>
    </row>
    <row r="1291" spans="1:23" ht="35.1" customHeight="1" x14ac:dyDescent="0.25">
      <c r="A1291" s="1">
        <f t="shared" si="77"/>
        <v>1290</v>
      </c>
      <c r="B1291" s="1"/>
      <c r="C1291" s="39"/>
      <c r="D1291" s="21"/>
      <c r="G1291" s="1"/>
      <c r="H1291" s="11" t="str">
        <f t="shared" si="78"/>
        <v>0 г. 0 мес. 0 дн.</v>
      </c>
      <c r="I1291" s="20"/>
      <c r="J1291" s="20"/>
      <c r="O1291" s="20"/>
      <c r="V1291" s="1" t="str">
        <f t="shared" si="76"/>
        <v>0 г. 0 мес. 0 дн.</v>
      </c>
      <c r="W1291" s="69"/>
    </row>
    <row r="1292" spans="1:23" ht="35.1" customHeight="1" x14ac:dyDescent="0.25">
      <c r="A1292" s="1">
        <f t="shared" si="77"/>
        <v>1291</v>
      </c>
      <c r="B1292" s="1"/>
      <c r="C1292" s="39"/>
      <c r="D1292" s="21"/>
      <c r="G1292" s="1"/>
      <c r="H1292" s="11" t="str">
        <f t="shared" si="78"/>
        <v>0 г. 0 мес. 0 дн.</v>
      </c>
      <c r="I1292" s="20"/>
      <c r="J1292" s="20"/>
      <c r="O1292" s="20"/>
      <c r="V1292" s="1" t="str">
        <f t="shared" si="76"/>
        <v>0 г. 0 мес. 0 дн.</v>
      </c>
      <c r="W1292" s="69"/>
    </row>
    <row r="1293" spans="1:23" ht="35.1" customHeight="1" x14ac:dyDescent="0.25">
      <c r="A1293" s="1">
        <f t="shared" si="77"/>
        <v>1292</v>
      </c>
      <c r="B1293" s="1"/>
      <c r="C1293" s="39"/>
      <c r="D1293" s="21"/>
      <c r="G1293" s="1"/>
      <c r="H1293" s="11" t="str">
        <f t="shared" si="78"/>
        <v>0 г. 0 мес. 0 дн.</v>
      </c>
      <c r="I1293" s="20"/>
      <c r="J1293" s="20"/>
      <c r="O1293" s="20"/>
      <c r="V1293" s="1" t="str">
        <f t="shared" si="76"/>
        <v>0 г. 0 мес. 0 дн.</v>
      </c>
      <c r="W1293" s="69"/>
    </row>
    <row r="1294" spans="1:23" ht="35.1" customHeight="1" x14ac:dyDescent="0.25">
      <c r="A1294" s="1">
        <f t="shared" si="77"/>
        <v>1293</v>
      </c>
      <c r="B1294" s="1"/>
      <c r="C1294" s="39"/>
      <c r="D1294" s="21"/>
      <c r="G1294" s="1"/>
      <c r="H1294" s="11" t="str">
        <f t="shared" si="78"/>
        <v>0 г. 0 мес. 0 дн.</v>
      </c>
      <c r="I1294" s="20"/>
      <c r="J1294" s="20"/>
      <c r="O1294" s="20"/>
      <c r="V1294" s="1" t="str">
        <f t="shared" si="76"/>
        <v>0 г. 0 мес. 0 дн.</v>
      </c>
      <c r="W1294" s="69"/>
    </row>
    <row r="1295" spans="1:23" ht="35.1" customHeight="1" x14ac:dyDescent="0.25">
      <c r="A1295" s="1">
        <f t="shared" si="77"/>
        <v>1294</v>
      </c>
      <c r="B1295" s="1"/>
      <c r="C1295" s="39"/>
      <c r="D1295" s="21"/>
      <c r="G1295" s="1"/>
      <c r="H1295" s="11" t="str">
        <f t="shared" si="78"/>
        <v>0 г. 0 мес. 0 дн.</v>
      </c>
      <c r="I1295" s="20"/>
      <c r="J1295" s="20"/>
      <c r="O1295" s="20"/>
      <c r="V1295" s="1" t="str">
        <f t="shared" si="76"/>
        <v>0 г. 0 мес. 0 дн.</v>
      </c>
      <c r="W1295" s="69"/>
    </row>
    <row r="1296" spans="1:23" ht="35.1" customHeight="1" x14ac:dyDescent="0.25">
      <c r="A1296" s="1">
        <f t="shared" si="77"/>
        <v>1295</v>
      </c>
      <c r="B1296" s="1"/>
      <c r="C1296" s="39"/>
      <c r="D1296" s="21"/>
      <c r="G1296" s="1"/>
      <c r="H1296" s="11" t="str">
        <f t="shared" si="78"/>
        <v>0 г. 0 мес. 0 дн.</v>
      </c>
      <c r="I1296" s="20"/>
      <c r="J1296" s="20"/>
      <c r="O1296" s="20"/>
      <c r="V1296" s="1" t="str">
        <f t="shared" si="76"/>
        <v>0 г. 0 мес. 0 дн.</v>
      </c>
      <c r="W1296" s="69"/>
    </row>
    <row r="1297" spans="1:23" ht="35.1" customHeight="1" x14ac:dyDescent="0.25">
      <c r="A1297" s="1">
        <f t="shared" si="77"/>
        <v>1296</v>
      </c>
      <c r="B1297" s="1"/>
      <c r="C1297" s="39"/>
      <c r="D1297" s="21"/>
      <c r="G1297" s="1"/>
      <c r="H1297" s="11" t="str">
        <f t="shared" si="78"/>
        <v>0 г. 0 мес. 0 дн.</v>
      </c>
      <c r="I1297" s="20"/>
      <c r="J1297" s="20"/>
      <c r="O1297" s="20"/>
      <c r="V1297" s="1" t="str">
        <f t="shared" si="76"/>
        <v>0 г. 0 мес. 0 дн.</v>
      </c>
      <c r="W1297" s="69"/>
    </row>
    <row r="1298" spans="1:23" ht="35.1" customHeight="1" x14ac:dyDescent="0.25">
      <c r="A1298" s="1">
        <f t="shared" si="77"/>
        <v>1297</v>
      </c>
      <c r="B1298" s="1"/>
      <c r="C1298" s="39"/>
      <c r="D1298" s="21"/>
      <c r="G1298" s="1"/>
      <c r="H1298" s="11" t="str">
        <f t="shared" si="78"/>
        <v>0 г. 0 мес. 0 дн.</v>
      </c>
      <c r="I1298" s="20"/>
      <c r="J1298" s="20"/>
      <c r="O1298" s="20"/>
      <c r="V1298" s="1" t="str">
        <f t="shared" si="76"/>
        <v>0 г. 0 мес. 0 дн.</v>
      </c>
      <c r="W1298" s="69"/>
    </row>
    <row r="1299" spans="1:23" ht="35.1" customHeight="1" x14ac:dyDescent="0.25">
      <c r="A1299" s="1">
        <f t="shared" si="77"/>
        <v>1298</v>
      </c>
      <c r="B1299" s="1"/>
      <c r="C1299" s="39"/>
      <c r="D1299" s="21"/>
      <c r="G1299" s="1"/>
      <c r="H1299" s="11" t="str">
        <f t="shared" si="78"/>
        <v>0 г. 0 мес. 0 дн.</v>
      </c>
      <c r="I1299" s="20"/>
      <c r="J1299" s="20"/>
      <c r="O1299" s="20"/>
      <c r="V1299" s="1" t="str">
        <f t="shared" si="76"/>
        <v>0 г. 0 мес. 0 дн.</v>
      </c>
      <c r="W1299" s="69"/>
    </row>
    <row r="1300" spans="1:23" ht="35.1" customHeight="1" x14ac:dyDescent="0.25">
      <c r="A1300" s="1">
        <f t="shared" si="77"/>
        <v>1299</v>
      </c>
      <c r="B1300" s="1"/>
      <c r="C1300" s="39"/>
      <c r="D1300" s="21"/>
      <c r="G1300" s="1"/>
      <c r="H1300" s="11" t="str">
        <f t="shared" si="78"/>
        <v>0 г. 0 мес. 0 дн.</v>
      </c>
      <c r="I1300" s="20"/>
      <c r="J1300" s="20"/>
      <c r="O1300" s="20"/>
      <c r="V1300" s="1" t="str">
        <f t="shared" si="76"/>
        <v>0 г. 0 мес. 0 дн.</v>
      </c>
      <c r="W1300" s="69"/>
    </row>
    <row r="1301" spans="1:23" ht="35.1" customHeight="1" x14ac:dyDescent="0.25">
      <c r="A1301" s="1">
        <f t="shared" si="77"/>
        <v>1300</v>
      </c>
      <c r="B1301" s="1"/>
      <c r="C1301" s="39"/>
      <c r="D1301" s="21"/>
      <c r="G1301" s="1"/>
      <c r="H1301" s="11" t="str">
        <f t="shared" si="78"/>
        <v>0 г. 0 мес. 0 дн.</v>
      </c>
      <c r="I1301" s="20"/>
      <c r="J1301" s="20"/>
      <c r="O1301" s="20"/>
      <c r="V1301" s="1" t="str">
        <f t="shared" si="76"/>
        <v>0 г. 0 мес. 0 дн.</v>
      </c>
      <c r="W1301" s="69"/>
    </row>
    <row r="1302" spans="1:23" ht="35.1" customHeight="1" x14ac:dyDescent="0.25">
      <c r="A1302" s="1">
        <f t="shared" si="77"/>
        <v>1301</v>
      </c>
      <c r="B1302" s="1"/>
      <c r="C1302" s="39"/>
      <c r="D1302" s="21"/>
      <c r="G1302" s="1"/>
      <c r="H1302" s="11" t="str">
        <f t="shared" si="78"/>
        <v>0 г. 0 мес. 0 дн.</v>
      </c>
      <c r="I1302" s="20"/>
      <c r="J1302" s="20"/>
      <c r="O1302" s="20"/>
      <c r="V1302" s="1" t="str">
        <f t="shared" si="76"/>
        <v>0 г. 0 мес. 0 дн.</v>
      </c>
      <c r="W1302" s="69"/>
    </row>
    <row r="1303" spans="1:23" ht="35.1" customHeight="1" x14ac:dyDescent="0.25">
      <c r="A1303" s="1">
        <f t="shared" si="77"/>
        <v>1302</v>
      </c>
      <c r="B1303" s="1"/>
      <c r="C1303" s="39"/>
      <c r="D1303" s="21"/>
      <c r="G1303" s="1"/>
      <c r="H1303" s="11" t="str">
        <f t="shared" si="78"/>
        <v>0 г. 0 мес. 0 дн.</v>
      </c>
      <c r="I1303" s="20"/>
      <c r="J1303" s="20"/>
      <c r="O1303" s="20"/>
      <c r="V1303" s="1" t="str">
        <f t="shared" si="76"/>
        <v>0 г. 0 мес. 0 дн.</v>
      </c>
      <c r="W1303" s="69"/>
    </row>
    <row r="1304" spans="1:23" ht="35.1" customHeight="1" x14ac:dyDescent="0.25">
      <c r="A1304" s="1">
        <f t="shared" si="77"/>
        <v>1303</v>
      </c>
      <c r="B1304" s="1"/>
      <c r="C1304" s="39"/>
      <c r="D1304" s="21"/>
      <c r="G1304" s="1"/>
      <c r="H1304" s="11" t="str">
        <f t="shared" si="78"/>
        <v>0 г. 0 мес. 0 дн.</v>
      </c>
      <c r="I1304" s="20"/>
      <c r="J1304" s="20"/>
      <c r="O1304" s="20"/>
      <c r="V1304" s="1" t="str">
        <f t="shared" si="76"/>
        <v>0 г. 0 мес. 0 дн.</v>
      </c>
      <c r="W1304" s="69"/>
    </row>
    <row r="1305" spans="1:23" ht="35.1" customHeight="1" x14ac:dyDescent="0.25">
      <c r="A1305" s="1">
        <f t="shared" si="77"/>
        <v>1304</v>
      </c>
      <c r="B1305" s="1"/>
      <c r="C1305" s="39"/>
      <c r="D1305" s="21"/>
      <c r="G1305" s="1"/>
      <c r="H1305" s="11" t="str">
        <f t="shared" si="78"/>
        <v>0 г. 0 мес. 0 дн.</v>
      </c>
      <c r="I1305" s="20"/>
      <c r="J1305" s="20"/>
      <c r="O1305" s="20"/>
      <c r="V1305" s="1" t="str">
        <f t="shared" ref="V1305:V1368" si="79">DATEDIF(D1305,T1305,"y") &amp; " г. " &amp; DATEDIF(D1305,T1305,"ym") &amp; " мес. " &amp; DATEDIF(D1305,T1305,"md") &amp; " дн."</f>
        <v>0 г. 0 мес. 0 дн.</v>
      </c>
      <c r="W1305" s="69"/>
    </row>
    <row r="1306" spans="1:23" ht="35.1" customHeight="1" x14ac:dyDescent="0.25">
      <c r="A1306" s="1">
        <f t="shared" si="77"/>
        <v>1305</v>
      </c>
      <c r="B1306" s="1"/>
      <c r="C1306" s="39"/>
      <c r="D1306" s="21"/>
      <c r="G1306" s="1"/>
      <c r="H1306" s="11" t="str">
        <f t="shared" si="78"/>
        <v>0 г. 0 мес. 0 дн.</v>
      </c>
      <c r="I1306" s="20"/>
      <c r="J1306" s="20"/>
      <c r="O1306" s="20"/>
      <c r="V1306" s="1" t="str">
        <f t="shared" si="79"/>
        <v>0 г. 0 мес. 0 дн.</v>
      </c>
      <c r="W1306" s="69"/>
    </row>
    <row r="1307" spans="1:23" ht="35.1" customHeight="1" x14ac:dyDescent="0.25">
      <c r="A1307" s="1">
        <f t="shared" si="77"/>
        <v>1306</v>
      </c>
      <c r="B1307" s="1"/>
      <c r="C1307" s="39"/>
      <c r="D1307" s="21"/>
      <c r="G1307" s="1"/>
      <c r="H1307" s="11" t="str">
        <f t="shared" si="78"/>
        <v>0 г. 0 мес. 0 дн.</v>
      </c>
      <c r="I1307" s="20"/>
      <c r="J1307" s="20"/>
      <c r="O1307" s="20"/>
      <c r="V1307" s="1" t="str">
        <f t="shared" si="79"/>
        <v>0 г. 0 мес. 0 дн.</v>
      </c>
      <c r="W1307" s="69"/>
    </row>
    <row r="1308" spans="1:23" ht="35.1" customHeight="1" x14ac:dyDescent="0.25">
      <c r="A1308" s="1">
        <f t="shared" si="77"/>
        <v>1307</v>
      </c>
      <c r="B1308" s="1"/>
      <c r="C1308" s="39"/>
      <c r="D1308" s="21"/>
      <c r="G1308" s="1"/>
      <c r="H1308" s="11" t="str">
        <f t="shared" si="78"/>
        <v>0 г. 0 мес. 0 дн.</v>
      </c>
      <c r="I1308" s="20"/>
      <c r="J1308" s="20"/>
      <c r="O1308" s="20"/>
      <c r="V1308" s="1" t="str">
        <f t="shared" si="79"/>
        <v>0 г. 0 мес. 0 дн.</v>
      </c>
      <c r="W1308" s="69"/>
    </row>
    <row r="1309" spans="1:23" ht="35.1" customHeight="1" x14ac:dyDescent="0.25">
      <c r="A1309" s="1">
        <f t="shared" si="77"/>
        <v>1308</v>
      </c>
      <c r="B1309" s="1"/>
      <c r="C1309" s="39"/>
      <c r="D1309" s="21"/>
      <c r="G1309" s="1"/>
      <c r="H1309" s="11" t="str">
        <f t="shared" si="78"/>
        <v>0 г. 0 мес. 0 дн.</v>
      </c>
      <c r="I1309" s="20"/>
      <c r="J1309" s="20"/>
      <c r="O1309" s="20"/>
      <c r="V1309" s="1" t="str">
        <f t="shared" si="79"/>
        <v>0 г. 0 мес. 0 дн.</v>
      </c>
      <c r="W1309" s="69"/>
    </row>
    <row r="1310" spans="1:23" ht="35.1" customHeight="1" x14ac:dyDescent="0.25">
      <c r="A1310" s="1">
        <f t="shared" si="77"/>
        <v>1309</v>
      </c>
      <c r="B1310" s="1"/>
      <c r="C1310" s="39"/>
      <c r="D1310" s="21"/>
      <c r="G1310" s="1"/>
      <c r="H1310" s="11" t="str">
        <f t="shared" si="78"/>
        <v>0 г. 0 мес. 0 дн.</v>
      </c>
      <c r="I1310" s="20"/>
      <c r="J1310" s="20"/>
      <c r="O1310" s="20"/>
      <c r="V1310" s="1" t="str">
        <f t="shared" si="79"/>
        <v>0 г. 0 мес. 0 дн.</v>
      </c>
      <c r="W1310" s="69"/>
    </row>
    <row r="1311" spans="1:23" ht="35.1" customHeight="1" x14ac:dyDescent="0.25">
      <c r="A1311" s="1">
        <f t="shared" si="77"/>
        <v>1310</v>
      </c>
      <c r="B1311" s="1"/>
      <c r="C1311" s="39"/>
      <c r="D1311" s="21"/>
      <c r="G1311" s="1"/>
      <c r="H1311" s="11" t="str">
        <f t="shared" si="78"/>
        <v>0 г. 0 мес. 0 дн.</v>
      </c>
      <c r="I1311" s="20"/>
      <c r="J1311" s="20"/>
      <c r="O1311" s="20"/>
      <c r="V1311" s="1" t="str">
        <f t="shared" si="79"/>
        <v>0 г. 0 мес. 0 дн.</v>
      </c>
      <c r="W1311" s="69"/>
    </row>
    <row r="1312" spans="1:23" ht="35.1" customHeight="1" x14ac:dyDescent="0.25">
      <c r="A1312" s="1">
        <f t="shared" si="77"/>
        <v>1311</v>
      </c>
      <c r="B1312" s="1"/>
      <c r="C1312" s="39"/>
      <c r="D1312" s="21"/>
      <c r="G1312" s="1"/>
      <c r="H1312" s="11" t="str">
        <f t="shared" si="78"/>
        <v>0 г. 0 мес. 0 дн.</v>
      </c>
      <c r="I1312" s="20"/>
      <c r="J1312" s="20"/>
      <c r="O1312" s="20"/>
      <c r="V1312" s="1" t="str">
        <f t="shared" si="79"/>
        <v>0 г. 0 мес. 0 дн.</v>
      </c>
      <c r="W1312" s="69"/>
    </row>
    <row r="1313" spans="1:23" ht="35.1" customHeight="1" x14ac:dyDescent="0.25">
      <c r="A1313" s="1">
        <f t="shared" si="77"/>
        <v>1312</v>
      </c>
      <c r="B1313" s="1"/>
      <c r="C1313" s="39"/>
      <c r="D1313" s="21"/>
      <c r="G1313" s="1"/>
      <c r="H1313" s="11" t="str">
        <f t="shared" si="78"/>
        <v>0 г. 0 мес. 0 дн.</v>
      </c>
      <c r="I1313" s="20"/>
      <c r="J1313" s="20"/>
      <c r="O1313" s="20"/>
      <c r="V1313" s="1" t="str">
        <f t="shared" si="79"/>
        <v>0 г. 0 мес. 0 дн.</v>
      </c>
      <c r="W1313" s="69"/>
    </row>
    <row r="1314" spans="1:23" ht="35.1" customHeight="1" x14ac:dyDescent="0.25">
      <c r="A1314" s="1">
        <f t="shared" si="77"/>
        <v>1313</v>
      </c>
      <c r="B1314" s="1"/>
      <c r="C1314" s="39"/>
      <c r="D1314" s="21"/>
      <c r="G1314" s="1"/>
      <c r="H1314" s="11" t="str">
        <f t="shared" si="78"/>
        <v>0 г. 0 мес. 0 дн.</v>
      </c>
      <c r="I1314" s="20"/>
      <c r="J1314" s="20"/>
      <c r="O1314" s="20"/>
      <c r="V1314" s="1" t="str">
        <f t="shared" si="79"/>
        <v>0 г. 0 мес. 0 дн.</v>
      </c>
      <c r="W1314" s="69"/>
    </row>
    <row r="1315" spans="1:23" ht="35.1" customHeight="1" x14ac:dyDescent="0.25">
      <c r="A1315" s="1">
        <f t="shared" si="77"/>
        <v>1314</v>
      </c>
      <c r="B1315" s="1"/>
      <c r="C1315" s="39"/>
      <c r="D1315" s="21"/>
      <c r="G1315" s="1"/>
      <c r="H1315" s="11" t="str">
        <f t="shared" si="78"/>
        <v>0 г. 0 мес. 0 дн.</v>
      </c>
      <c r="I1315" s="20"/>
      <c r="J1315" s="20"/>
      <c r="O1315" s="20"/>
      <c r="V1315" s="1" t="str">
        <f t="shared" si="79"/>
        <v>0 г. 0 мес. 0 дн.</v>
      </c>
      <c r="W1315" s="69"/>
    </row>
    <row r="1316" spans="1:23" ht="35.1" customHeight="1" x14ac:dyDescent="0.25">
      <c r="A1316" s="1">
        <f t="shared" si="77"/>
        <v>1315</v>
      </c>
      <c r="B1316" s="1"/>
      <c r="C1316" s="39"/>
      <c r="D1316" s="21"/>
      <c r="G1316" s="1"/>
      <c r="H1316" s="11" t="str">
        <f t="shared" si="78"/>
        <v>0 г. 0 мес. 0 дн.</v>
      </c>
      <c r="I1316" s="20"/>
      <c r="J1316" s="20"/>
      <c r="O1316" s="20"/>
      <c r="V1316" s="1" t="str">
        <f t="shared" si="79"/>
        <v>0 г. 0 мес. 0 дн.</v>
      </c>
      <c r="W1316" s="69"/>
    </row>
    <row r="1317" spans="1:23" ht="35.1" customHeight="1" x14ac:dyDescent="0.25">
      <c r="A1317" s="1">
        <f t="shared" si="77"/>
        <v>1316</v>
      </c>
      <c r="B1317" s="1"/>
      <c r="C1317" s="39"/>
      <c r="D1317" s="21"/>
      <c r="G1317" s="1"/>
      <c r="H1317" s="11" t="str">
        <f t="shared" si="78"/>
        <v>0 г. 0 мес. 0 дн.</v>
      </c>
      <c r="I1317" s="20"/>
      <c r="J1317" s="20"/>
      <c r="O1317" s="20"/>
      <c r="V1317" s="1" t="str">
        <f t="shared" si="79"/>
        <v>0 г. 0 мес. 0 дн.</v>
      </c>
      <c r="W1317" s="69"/>
    </row>
    <row r="1318" spans="1:23" ht="35.1" customHeight="1" x14ac:dyDescent="0.25">
      <c r="A1318" s="1">
        <f t="shared" si="77"/>
        <v>1317</v>
      </c>
      <c r="B1318" s="1"/>
      <c r="C1318" s="39"/>
      <c r="D1318" s="21"/>
      <c r="G1318" s="1"/>
      <c r="H1318" s="11" t="str">
        <f t="shared" si="78"/>
        <v>0 г. 0 мес. 0 дн.</v>
      </c>
      <c r="I1318" s="20"/>
      <c r="J1318" s="20"/>
      <c r="O1318" s="20"/>
      <c r="V1318" s="1" t="str">
        <f t="shared" si="79"/>
        <v>0 г. 0 мес. 0 дн.</v>
      </c>
      <c r="W1318" s="69"/>
    </row>
    <row r="1319" spans="1:23" ht="35.1" customHeight="1" x14ac:dyDescent="0.25">
      <c r="A1319" s="1">
        <f t="shared" si="77"/>
        <v>1318</v>
      </c>
      <c r="B1319" s="1"/>
      <c r="C1319" s="39"/>
      <c r="D1319" s="21"/>
      <c r="G1319" s="1"/>
      <c r="H1319" s="11" t="str">
        <f t="shared" si="78"/>
        <v>0 г. 0 мес. 0 дн.</v>
      </c>
      <c r="I1319" s="20"/>
      <c r="J1319" s="20"/>
      <c r="O1319" s="20"/>
      <c r="V1319" s="1" t="str">
        <f t="shared" si="79"/>
        <v>0 г. 0 мес. 0 дн.</v>
      </c>
      <c r="W1319" s="69"/>
    </row>
    <row r="1320" spans="1:23" ht="35.1" customHeight="1" x14ac:dyDescent="0.25">
      <c r="A1320" s="1">
        <f t="shared" si="77"/>
        <v>1319</v>
      </c>
      <c r="B1320" s="1"/>
      <c r="C1320" s="39"/>
      <c r="D1320" s="21"/>
      <c r="G1320" s="1"/>
      <c r="H1320" s="11" t="str">
        <f t="shared" si="78"/>
        <v>0 г. 0 мес. 0 дн.</v>
      </c>
      <c r="I1320" s="20"/>
      <c r="J1320" s="20"/>
      <c r="O1320" s="20"/>
      <c r="V1320" s="1" t="str">
        <f t="shared" si="79"/>
        <v>0 г. 0 мес. 0 дн.</v>
      </c>
      <c r="W1320" s="69"/>
    </row>
    <row r="1321" spans="1:23" ht="35.1" customHeight="1" x14ac:dyDescent="0.25">
      <c r="A1321" s="1">
        <f t="shared" si="77"/>
        <v>1320</v>
      </c>
      <c r="B1321" s="1"/>
      <c r="C1321" s="39"/>
      <c r="D1321" s="21"/>
      <c r="G1321" s="1"/>
      <c r="H1321" s="11" t="str">
        <f t="shared" si="78"/>
        <v>0 г. 0 мес. 0 дн.</v>
      </c>
      <c r="I1321" s="20"/>
      <c r="J1321" s="20"/>
      <c r="O1321" s="20"/>
      <c r="V1321" s="1" t="str">
        <f t="shared" si="79"/>
        <v>0 г. 0 мес. 0 дн.</v>
      </c>
      <c r="W1321" s="69"/>
    </row>
    <row r="1322" spans="1:23" ht="35.1" customHeight="1" x14ac:dyDescent="0.25">
      <c r="A1322" s="1">
        <f t="shared" si="77"/>
        <v>1321</v>
      </c>
      <c r="B1322" s="1"/>
      <c r="C1322" s="39"/>
      <c r="D1322" s="21"/>
      <c r="G1322" s="1"/>
      <c r="H1322" s="11" t="str">
        <f t="shared" si="78"/>
        <v>0 г. 0 мес. 0 дн.</v>
      </c>
      <c r="I1322" s="20"/>
      <c r="J1322" s="20"/>
      <c r="O1322" s="20"/>
      <c r="V1322" s="1" t="str">
        <f t="shared" si="79"/>
        <v>0 г. 0 мес. 0 дн.</v>
      </c>
      <c r="W1322" s="69"/>
    </row>
    <row r="1323" spans="1:23" ht="35.1" customHeight="1" x14ac:dyDescent="0.25">
      <c r="A1323" s="1">
        <f t="shared" si="77"/>
        <v>1322</v>
      </c>
      <c r="B1323" s="1"/>
      <c r="C1323" s="39"/>
      <c r="D1323" s="21"/>
      <c r="G1323" s="1"/>
      <c r="H1323" s="11" t="str">
        <f t="shared" si="78"/>
        <v>0 г. 0 мес. 0 дн.</v>
      </c>
      <c r="I1323" s="20"/>
      <c r="J1323" s="20"/>
      <c r="O1323" s="20"/>
      <c r="V1323" s="1" t="str">
        <f t="shared" si="79"/>
        <v>0 г. 0 мес. 0 дн.</v>
      </c>
      <c r="W1323" s="69"/>
    </row>
    <row r="1324" spans="1:23" ht="35.1" customHeight="1" x14ac:dyDescent="0.25">
      <c r="A1324" s="1">
        <f t="shared" si="77"/>
        <v>1323</v>
      </c>
      <c r="B1324" s="1"/>
      <c r="C1324" s="39"/>
      <c r="D1324" s="21"/>
      <c r="G1324" s="1"/>
      <c r="H1324" s="11" t="str">
        <f t="shared" si="78"/>
        <v>0 г. 0 мес. 0 дн.</v>
      </c>
      <c r="I1324" s="20"/>
      <c r="J1324" s="20"/>
      <c r="O1324" s="20"/>
      <c r="V1324" s="1" t="str">
        <f t="shared" si="79"/>
        <v>0 г. 0 мес. 0 дн.</v>
      </c>
      <c r="W1324" s="69"/>
    </row>
    <row r="1325" spans="1:23" ht="35.1" customHeight="1" x14ac:dyDescent="0.25">
      <c r="A1325" s="1">
        <f t="shared" si="77"/>
        <v>1324</v>
      </c>
      <c r="B1325" s="1"/>
      <c r="C1325" s="39"/>
      <c r="D1325" s="21"/>
      <c r="G1325" s="1"/>
      <c r="H1325" s="11" t="str">
        <f t="shared" si="78"/>
        <v>0 г. 0 мес. 0 дн.</v>
      </c>
      <c r="I1325" s="20"/>
      <c r="J1325" s="20"/>
      <c r="O1325" s="20"/>
      <c r="V1325" s="1" t="str">
        <f t="shared" si="79"/>
        <v>0 г. 0 мес. 0 дн.</v>
      </c>
      <c r="W1325" s="69"/>
    </row>
    <row r="1326" spans="1:23" ht="35.1" customHeight="1" x14ac:dyDescent="0.25">
      <c r="A1326" s="1">
        <f t="shared" si="77"/>
        <v>1325</v>
      </c>
      <c r="B1326" s="1"/>
      <c r="C1326" s="39"/>
      <c r="D1326" s="21"/>
      <c r="G1326" s="1"/>
      <c r="H1326" s="11" t="str">
        <f t="shared" si="78"/>
        <v>0 г. 0 мес. 0 дн.</v>
      </c>
      <c r="I1326" s="20"/>
      <c r="J1326" s="20"/>
      <c r="O1326" s="20"/>
      <c r="V1326" s="1" t="str">
        <f t="shared" si="79"/>
        <v>0 г. 0 мес. 0 дн.</v>
      </c>
      <c r="W1326" s="69"/>
    </row>
    <row r="1327" spans="1:23" ht="35.1" customHeight="1" x14ac:dyDescent="0.25">
      <c r="A1327" s="1">
        <f t="shared" si="77"/>
        <v>1326</v>
      </c>
      <c r="B1327" s="1"/>
      <c r="C1327" s="39"/>
      <c r="D1327" s="21"/>
      <c r="G1327" s="1"/>
      <c r="H1327" s="11" t="str">
        <f t="shared" si="78"/>
        <v>0 г. 0 мес. 0 дн.</v>
      </c>
      <c r="I1327" s="20"/>
      <c r="J1327" s="20"/>
      <c r="O1327" s="20"/>
      <c r="V1327" s="1" t="str">
        <f t="shared" si="79"/>
        <v>0 г. 0 мес. 0 дн.</v>
      </c>
      <c r="W1327" s="69"/>
    </row>
    <row r="1328" spans="1:23" ht="35.1" customHeight="1" x14ac:dyDescent="0.25">
      <c r="A1328" s="1">
        <f t="shared" si="77"/>
        <v>1327</v>
      </c>
      <c r="B1328" s="1"/>
      <c r="C1328" s="39"/>
      <c r="D1328" s="21"/>
      <c r="G1328" s="1"/>
      <c r="H1328" s="11" t="str">
        <f t="shared" si="78"/>
        <v>0 г. 0 мес. 0 дн.</v>
      </c>
      <c r="I1328" s="20"/>
      <c r="J1328" s="20"/>
      <c r="O1328" s="20"/>
      <c r="V1328" s="1" t="str">
        <f t="shared" si="79"/>
        <v>0 г. 0 мес. 0 дн.</v>
      </c>
      <c r="W1328" s="69"/>
    </row>
    <row r="1329" spans="1:23" ht="35.1" customHeight="1" x14ac:dyDescent="0.25">
      <c r="A1329" s="1">
        <f t="shared" si="77"/>
        <v>1328</v>
      </c>
      <c r="B1329" s="1"/>
      <c r="C1329" s="39"/>
      <c r="D1329" s="21"/>
      <c r="G1329" s="1"/>
      <c r="H1329" s="11" t="str">
        <f t="shared" si="78"/>
        <v>0 г. 0 мес. 0 дн.</v>
      </c>
      <c r="I1329" s="20"/>
      <c r="J1329" s="20"/>
      <c r="O1329" s="20"/>
      <c r="V1329" s="1" t="str">
        <f t="shared" si="79"/>
        <v>0 г. 0 мес. 0 дн.</v>
      </c>
      <c r="W1329" s="69"/>
    </row>
    <row r="1330" spans="1:23" ht="35.1" customHeight="1" x14ac:dyDescent="0.25">
      <c r="A1330" s="1">
        <f t="shared" si="77"/>
        <v>1329</v>
      </c>
      <c r="B1330" s="1"/>
      <c r="C1330" s="39"/>
      <c r="D1330" s="21"/>
      <c r="G1330" s="1"/>
      <c r="H1330" s="11" t="str">
        <f t="shared" si="78"/>
        <v>0 г. 0 мес. 0 дн.</v>
      </c>
      <c r="I1330" s="20"/>
      <c r="J1330" s="20"/>
      <c r="O1330" s="20"/>
      <c r="V1330" s="1" t="str">
        <f t="shared" si="79"/>
        <v>0 г. 0 мес. 0 дн.</v>
      </c>
      <c r="W1330" s="69"/>
    </row>
    <row r="1331" spans="1:23" ht="35.1" customHeight="1" x14ac:dyDescent="0.25">
      <c r="A1331" s="1">
        <f t="shared" si="77"/>
        <v>1330</v>
      </c>
      <c r="B1331" s="1"/>
      <c r="C1331" s="39"/>
      <c r="D1331" s="21"/>
      <c r="G1331" s="1"/>
      <c r="H1331" s="11" t="str">
        <f t="shared" si="78"/>
        <v>0 г. 0 мес. 0 дн.</v>
      </c>
      <c r="I1331" s="20"/>
      <c r="J1331" s="20"/>
      <c r="O1331" s="20"/>
      <c r="V1331" s="1" t="str">
        <f t="shared" si="79"/>
        <v>0 г. 0 мес. 0 дн.</v>
      </c>
      <c r="W1331" s="69"/>
    </row>
    <row r="1332" spans="1:23" ht="35.1" customHeight="1" x14ac:dyDescent="0.25">
      <c r="A1332" s="1">
        <f t="shared" si="77"/>
        <v>1331</v>
      </c>
      <c r="B1332" s="1"/>
      <c r="C1332" s="39"/>
      <c r="D1332" s="21"/>
      <c r="G1332" s="1"/>
      <c r="H1332" s="11" t="str">
        <f t="shared" si="78"/>
        <v>0 г. 0 мес. 0 дн.</v>
      </c>
      <c r="I1332" s="20"/>
      <c r="J1332" s="20"/>
      <c r="O1332" s="20"/>
      <c r="V1332" s="1" t="str">
        <f t="shared" si="79"/>
        <v>0 г. 0 мес. 0 дн.</v>
      </c>
      <c r="W1332" s="69"/>
    </row>
    <row r="1333" spans="1:23" ht="35.1" customHeight="1" x14ac:dyDescent="0.25">
      <c r="A1333" s="1">
        <f t="shared" si="77"/>
        <v>1332</v>
      </c>
      <c r="B1333" s="1"/>
      <c r="C1333" s="39"/>
      <c r="D1333" s="21"/>
      <c r="G1333" s="1"/>
      <c r="H1333" s="11" t="str">
        <f t="shared" si="78"/>
        <v>0 г. 0 мес. 0 дн.</v>
      </c>
      <c r="I1333" s="20"/>
      <c r="J1333" s="20"/>
      <c r="O1333" s="20"/>
      <c r="V1333" s="1" t="str">
        <f t="shared" si="79"/>
        <v>0 г. 0 мес. 0 дн.</v>
      </c>
      <c r="W1333" s="69"/>
    </row>
    <row r="1334" spans="1:23" ht="35.1" customHeight="1" x14ac:dyDescent="0.25">
      <c r="A1334" s="1">
        <f t="shared" si="77"/>
        <v>1333</v>
      </c>
      <c r="B1334" s="1"/>
      <c r="C1334" s="39"/>
      <c r="D1334" s="21"/>
      <c r="G1334" s="1"/>
      <c r="H1334" s="11" t="str">
        <f t="shared" si="78"/>
        <v>0 г. 0 мес. 0 дн.</v>
      </c>
      <c r="I1334" s="20"/>
      <c r="J1334" s="20"/>
      <c r="O1334" s="20"/>
      <c r="V1334" s="1" t="str">
        <f t="shared" si="79"/>
        <v>0 г. 0 мес. 0 дн.</v>
      </c>
      <c r="W1334" s="69"/>
    </row>
    <row r="1335" spans="1:23" ht="35.1" customHeight="1" x14ac:dyDescent="0.25">
      <c r="A1335" s="1">
        <f t="shared" si="77"/>
        <v>1334</v>
      </c>
      <c r="B1335" s="1"/>
      <c r="C1335" s="39"/>
      <c r="D1335" s="21"/>
      <c r="G1335" s="1"/>
      <c r="H1335" s="11" t="str">
        <f t="shared" si="78"/>
        <v>0 г. 0 мес. 0 дн.</v>
      </c>
      <c r="I1335" s="20"/>
      <c r="J1335" s="20"/>
      <c r="O1335" s="20"/>
      <c r="V1335" s="1" t="str">
        <f t="shared" si="79"/>
        <v>0 г. 0 мес. 0 дн.</v>
      </c>
      <c r="W1335" s="69"/>
    </row>
    <row r="1336" spans="1:23" ht="35.1" customHeight="1" x14ac:dyDescent="0.25">
      <c r="A1336" s="1">
        <f t="shared" si="77"/>
        <v>1335</v>
      </c>
      <c r="B1336" s="1"/>
      <c r="C1336" s="39"/>
      <c r="D1336" s="21"/>
      <c r="G1336" s="1"/>
      <c r="H1336" s="11" t="str">
        <f t="shared" si="78"/>
        <v>0 г. 0 мес. 0 дн.</v>
      </c>
      <c r="I1336" s="20"/>
      <c r="J1336" s="20"/>
      <c r="O1336" s="20"/>
      <c r="V1336" s="1" t="str">
        <f t="shared" si="79"/>
        <v>0 г. 0 мес. 0 дн.</v>
      </c>
      <c r="W1336" s="69"/>
    </row>
    <row r="1337" spans="1:23" ht="35.1" customHeight="1" x14ac:dyDescent="0.25">
      <c r="A1337" s="1">
        <f t="shared" si="77"/>
        <v>1336</v>
      </c>
      <c r="B1337" s="1"/>
      <c r="C1337" s="39"/>
      <c r="D1337" s="21"/>
      <c r="G1337" s="1"/>
      <c r="H1337" s="11" t="str">
        <f t="shared" si="78"/>
        <v>0 г. 0 мес. 0 дн.</v>
      </c>
      <c r="I1337" s="20"/>
      <c r="J1337" s="20"/>
      <c r="O1337" s="20"/>
      <c r="V1337" s="1" t="str">
        <f t="shared" si="79"/>
        <v>0 г. 0 мес. 0 дн.</v>
      </c>
      <c r="W1337" s="69"/>
    </row>
    <row r="1338" spans="1:23" ht="35.1" customHeight="1" x14ac:dyDescent="0.25">
      <c r="A1338" s="1">
        <f t="shared" si="77"/>
        <v>1337</v>
      </c>
      <c r="B1338" s="1"/>
      <c r="C1338" s="39"/>
      <c r="D1338" s="21"/>
      <c r="G1338" s="1"/>
      <c r="H1338" s="11" t="str">
        <f t="shared" si="78"/>
        <v>0 г. 0 мес. 0 дн.</v>
      </c>
      <c r="I1338" s="20"/>
      <c r="J1338" s="20"/>
      <c r="O1338" s="20"/>
      <c r="V1338" s="1" t="str">
        <f t="shared" si="79"/>
        <v>0 г. 0 мес. 0 дн.</v>
      </c>
      <c r="W1338" s="69"/>
    </row>
    <row r="1339" spans="1:23" ht="35.1" customHeight="1" x14ac:dyDescent="0.25">
      <c r="A1339" s="1">
        <f t="shared" si="77"/>
        <v>1338</v>
      </c>
      <c r="B1339" s="1"/>
      <c r="C1339" s="39"/>
      <c r="D1339" s="21"/>
      <c r="G1339" s="1"/>
      <c r="H1339" s="11" t="str">
        <f t="shared" si="78"/>
        <v>0 г. 0 мес. 0 дн.</v>
      </c>
      <c r="I1339" s="20"/>
      <c r="J1339" s="20"/>
      <c r="O1339" s="20"/>
      <c r="V1339" s="1" t="str">
        <f t="shared" si="79"/>
        <v>0 г. 0 мес. 0 дн.</v>
      </c>
      <c r="W1339" s="69"/>
    </row>
    <row r="1340" spans="1:23" ht="35.1" customHeight="1" x14ac:dyDescent="0.25">
      <c r="A1340" s="1">
        <f t="shared" si="77"/>
        <v>1339</v>
      </c>
      <c r="B1340" s="1"/>
      <c r="C1340" s="39"/>
      <c r="D1340" s="21"/>
      <c r="G1340" s="1"/>
      <c r="H1340" s="11" t="str">
        <f t="shared" si="78"/>
        <v>0 г. 0 мес. 0 дн.</v>
      </c>
      <c r="I1340" s="20"/>
      <c r="J1340" s="20"/>
      <c r="O1340" s="20"/>
      <c r="V1340" s="1" t="str">
        <f t="shared" si="79"/>
        <v>0 г. 0 мес. 0 дн.</v>
      </c>
      <c r="W1340" s="69"/>
    </row>
    <row r="1341" spans="1:23" ht="35.1" customHeight="1" x14ac:dyDescent="0.25">
      <c r="A1341" s="1">
        <f t="shared" si="77"/>
        <v>1340</v>
      </c>
      <c r="B1341" s="1"/>
      <c r="C1341" s="39"/>
      <c r="D1341" s="21"/>
      <c r="G1341" s="1"/>
      <c r="H1341" s="11" t="str">
        <f t="shared" si="78"/>
        <v>0 г. 0 мес. 0 дн.</v>
      </c>
      <c r="I1341" s="20"/>
      <c r="J1341" s="20"/>
      <c r="O1341" s="20"/>
      <c r="V1341" s="1" t="str">
        <f t="shared" si="79"/>
        <v>0 г. 0 мес. 0 дн.</v>
      </c>
      <c r="W1341" s="69"/>
    </row>
    <row r="1342" spans="1:23" ht="35.1" customHeight="1" x14ac:dyDescent="0.25">
      <c r="A1342" s="1">
        <f t="shared" si="77"/>
        <v>1341</v>
      </c>
      <c r="B1342" s="1"/>
      <c r="C1342" s="39"/>
      <c r="D1342" s="21"/>
      <c r="G1342" s="1"/>
      <c r="H1342" s="11" t="str">
        <f t="shared" si="78"/>
        <v>0 г. 0 мес. 0 дн.</v>
      </c>
      <c r="I1342" s="20"/>
      <c r="J1342" s="20"/>
      <c r="O1342" s="20"/>
      <c r="V1342" s="1" t="str">
        <f t="shared" si="79"/>
        <v>0 г. 0 мес. 0 дн.</v>
      </c>
      <c r="W1342" s="69"/>
    </row>
    <row r="1343" spans="1:23" ht="35.1" customHeight="1" x14ac:dyDescent="0.25">
      <c r="A1343" s="1">
        <f t="shared" si="77"/>
        <v>1342</v>
      </c>
      <c r="B1343" s="1"/>
      <c r="C1343" s="39"/>
      <c r="D1343" s="21"/>
      <c r="G1343" s="1"/>
      <c r="H1343" s="11" t="str">
        <f t="shared" si="78"/>
        <v>0 г. 0 мес. 0 дн.</v>
      </c>
      <c r="I1343" s="20"/>
      <c r="J1343" s="20"/>
      <c r="O1343" s="20"/>
      <c r="V1343" s="1" t="str">
        <f t="shared" si="79"/>
        <v>0 г. 0 мес. 0 дн.</v>
      </c>
      <c r="W1343" s="69"/>
    </row>
    <row r="1344" spans="1:23" ht="35.1" customHeight="1" x14ac:dyDescent="0.25">
      <c r="A1344" s="1">
        <f t="shared" si="77"/>
        <v>1343</v>
      </c>
      <c r="B1344" s="1"/>
      <c r="C1344" s="39"/>
      <c r="D1344" s="21"/>
      <c r="G1344" s="1"/>
      <c r="H1344" s="11" t="str">
        <f t="shared" si="78"/>
        <v>0 г. 0 мес. 0 дн.</v>
      </c>
      <c r="I1344" s="20"/>
      <c r="J1344" s="20"/>
      <c r="O1344" s="20"/>
      <c r="V1344" s="1" t="str">
        <f t="shared" si="79"/>
        <v>0 г. 0 мес. 0 дн.</v>
      </c>
      <c r="W1344" s="69"/>
    </row>
    <row r="1345" spans="1:23" ht="35.1" customHeight="1" x14ac:dyDescent="0.25">
      <c r="A1345" s="1">
        <f t="shared" ref="A1345:A1408" si="80">ROW(A1344)</f>
        <v>1344</v>
      </c>
      <c r="B1345" s="1"/>
      <c r="C1345" s="39"/>
      <c r="D1345" s="21"/>
      <c r="G1345" s="1"/>
      <c r="H1345" s="11" t="str">
        <f t="shared" ref="H1345:H1408" si="81">DATEDIF(G1345,D1345,"y") &amp; " г. " &amp; DATEDIF(G1345,D1345,"ym") &amp; " мес. " &amp; DATEDIF(G1345,D1345,"md") &amp; " дн."</f>
        <v>0 г. 0 мес. 0 дн.</v>
      </c>
      <c r="I1345" s="20"/>
      <c r="J1345" s="20"/>
      <c r="O1345" s="20"/>
      <c r="V1345" s="1" t="str">
        <f t="shared" si="79"/>
        <v>0 г. 0 мес. 0 дн.</v>
      </c>
      <c r="W1345" s="69"/>
    </row>
    <row r="1346" spans="1:23" ht="35.1" customHeight="1" x14ac:dyDescent="0.25">
      <c r="A1346" s="1">
        <f t="shared" si="80"/>
        <v>1345</v>
      </c>
      <c r="B1346" s="1"/>
      <c r="C1346" s="39"/>
      <c r="D1346" s="21"/>
      <c r="G1346" s="1"/>
      <c r="H1346" s="11" t="str">
        <f t="shared" si="81"/>
        <v>0 г. 0 мес. 0 дн.</v>
      </c>
      <c r="I1346" s="20"/>
      <c r="J1346" s="20"/>
      <c r="O1346" s="20"/>
      <c r="V1346" s="1" t="str">
        <f t="shared" si="79"/>
        <v>0 г. 0 мес. 0 дн.</v>
      </c>
      <c r="W1346" s="69"/>
    </row>
    <row r="1347" spans="1:23" ht="35.1" customHeight="1" x14ac:dyDescent="0.25">
      <c r="A1347" s="1">
        <f t="shared" si="80"/>
        <v>1346</v>
      </c>
      <c r="B1347" s="1"/>
      <c r="C1347" s="39"/>
      <c r="D1347" s="21"/>
      <c r="G1347" s="1"/>
      <c r="H1347" s="11" t="str">
        <f t="shared" si="81"/>
        <v>0 г. 0 мес. 0 дн.</v>
      </c>
      <c r="I1347" s="20"/>
      <c r="J1347" s="20"/>
      <c r="O1347" s="20"/>
      <c r="V1347" s="1" t="str">
        <f t="shared" si="79"/>
        <v>0 г. 0 мес. 0 дн.</v>
      </c>
      <c r="W1347" s="69"/>
    </row>
    <row r="1348" spans="1:23" ht="35.1" customHeight="1" x14ac:dyDescent="0.25">
      <c r="A1348" s="1">
        <f t="shared" si="80"/>
        <v>1347</v>
      </c>
      <c r="B1348" s="1"/>
      <c r="C1348" s="39"/>
      <c r="D1348" s="21"/>
      <c r="G1348" s="1"/>
      <c r="H1348" s="11" t="str">
        <f t="shared" si="81"/>
        <v>0 г. 0 мес. 0 дн.</v>
      </c>
      <c r="I1348" s="20"/>
      <c r="J1348" s="20"/>
      <c r="O1348" s="20"/>
      <c r="V1348" s="1" t="str">
        <f t="shared" si="79"/>
        <v>0 г. 0 мес. 0 дн.</v>
      </c>
      <c r="W1348" s="69"/>
    </row>
    <row r="1349" spans="1:23" ht="35.1" customHeight="1" x14ac:dyDescent="0.25">
      <c r="A1349" s="1">
        <f t="shared" si="80"/>
        <v>1348</v>
      </c>
      <c r="B1349" s="1"/>
      <c r="C1349" s="39"/>
      <c r="D1349" s="21"/>
      <c r="G1349" s="1"/>
      <c r="H1349" s="11" t="str">
        <f t="shared" si="81"/>
        <v>0 г. 0 мес. 0 дн.</v>
      </c>
      <c r="I1349" s="20"/>
      <c r="J1349" s="20"/>
      <c r="O1349" s="20"/>
      <c r="V1349" s="1" t="str">
        <f t="shared" si="79"/>
        <v>0 г. 0 мес. 0 дн.</v>
      </c>
      <c r="W1349" s="69"/>
    </row>
    <row r="1350" spans="1:23" ht="35.1" customHeight="1" x14ac:dyDescent="0.25">
      <c r="A1350" s="1">
        <f t="shared" si="80"/>
        <v>1349</v>
      </c>
      <c r="B1350" s="1"/>
      <c r="C1350" s="39"/>
      <c r="D1350" s="21"/>
      <c r="G1350" s="1"/>
      <c r="H1350" s="11" t="str">
        <f t="shared" si="81"/>
        <v>0 г. 0 мес. 0 дн.</v>
      </c>
      <c r="I1350" s="20"/>
      <c r="J1350" s="20"/>
      <c r="O1350" s="20"/>
      <c r="V1350" s="1" t="str">
        <f t="shared" si="79"/>
        <v>0 г. 0 мес. 0 дн.</v>
      </c>
      <c r="W1350" s="69"/>
    </row>
    <row r="1351" spans="1:23" ht="35.1" customHeight="1" x14ac:dyDescent="0.25">
      <c r="A1351" s="1">
        <f t="shared" si="80"/>
        <v>1350</v>
      </c>
      <c r="B1351" s="1"/>
      <c r="C1351" s="39"/>
      <c r="D1351" s="21"/>
      <c r="G1351" s="1"/>
      <c r="H1351" s="11" t="str">
        <f t="shared" si="81"/>
        <v>0 г. 0 мес. 0 дн.</v>
      </c>
      <c r="I1351" s="20"/>
      <c r="J1351" s="20"/>
      <c r="O1351" s="20"/>
      <c r="V1351" s="1" t="str">
        <f t="shared" si="79"/>
        <v>0 г. 0 мес. 0 дн.</v>
      </c>
      <c r="W1351" s="69"/>
    </row>
    <row r="1352" spans="1:23" ht="35.1" customHeight="1" x14ac:dyDescent="0.25">
      <c r="A1352" s="1">
        <f t="shared" si="80"/>
        <v>1351</v>
      </c>
      <c r="B1352" s="1"/>
      <c r="C1352" s="39"/>
      <c r="D1352" s="21"/>
      <c r="G1352" s="1"/>
      <c r="H1352" s="11" t="str">
        <f t="shared" si="81"/>
        <v>0 г. 0 мес. 0 дн.</v>
      </c>
      <c r="I1352" s="20"/>
      <c r="J1352" s="20"/>
      <c r="O1352" s="20"/>
      <c r="V1352" s="1" t="str">
        <f t="shared" si="79"/>
        <v>0 г. 0 мес. 0 дн.</v>
      </c>
      <c r="W1352" s="69"/>
    </row>
    <row r="1353" spans="1:23" ht="35.1" customHeight="1" x14ac:dyDescent="0.25">
      <c r="A1353" s="1">
        <f t="shared" si="80"/>
        <v>1352</v>
      </c>
      <c r="B1353" s="1"/>
      <c r="C1353" s="39"/>
      <c r="D1353" s="21"/>
      <c r="G1353" s="1"/>
      <c r="H1353" s="11" t="str">
        <f t="shared" si="81"/>
        <v>0 г. 0 мес. 0 дн.</v>
      </c>
      <c r="I1353" s="20"/>
      <c r="J1353" s="20"/>
      <c r="O1353" s="20"/>
      <c r="V1353" s="1" t="str">
        <f t="shared" si="79"/>
        <v>0 г. 0 мес. 0 дн.</v>
      </c>
      <c r="W1353" s="69"/>
    </row>
    <row r="1354" spans="1:23" ht="35.1" customHeight="1" x14ac:dyDescent="0.25">
      <c r="A1354" s="1">
        <f t="shared" si="80"/>
        <v>1353</v>
      </c>
      <c r="B1354" s="1"/>
      <c r="C1354" s="39"/>
      <c r="D1354" s="21"/>
      <c r="G1354" s="1"/>
      <c r="H1354" s="11" t="str">
        <f t="shared" si="81"/>
        <v>0 г. 0 мес. 0 дн.</v>
      </c>
      <c r="I1354" s="20"/>
      <c r="J1354" s="20"/>
      <c r="O1354" s="20"/>
      <c r="V1354" s="1" t="str">
        <f t="shared" si="79"/>
        <v>0 г. 0 мес. 0 дн.</v>
      </c>
      <c r="W1354" s="69"/>
    </row>
    <row r="1355" spans="1:23" ht="35.1" customHeight="1" x14ac:dyDescent="0.25">
      <c r="A1355" s="1">
        <f t="shared" si="80"/>
        <v>1354</v>
      </c>
      <c r="B1355" s="1"/>
      <c r="C1355" s="39"/>
      <c r="D1355" s="21"/>
      <c r="G1355" s="1"/>
      <c r="H1355" s="11" t="str">
        <f t="shared" si="81"/>
        <v>0 г. 0 мес. 0 дн.</v>
      </c>
      <c r="I1355" s="20"/>
      <c r="J1355" s="20"/>
      <c r="O1355" s="20"/>
      <c r="V1355" s="1" t="str">
        <f t="shared" si="79"/>
        <v>0 г. 0 мес. 0 дн.</v>
      </c>
      <c r="W1355" s="69"/>
    </row>
    <row r="1356" spans="1:23" ht="35.1" customHeight="1" x14ac:dyDescent="0.25">
      <c r="A1356" s="1">
        <f t="shared" si="80"/>
        <v>1355</v>
      </c>
      <c r="B1356" s="1"/>
      <c r="C1356" s="39"/>
      <c r="D1356" s="21"/>
      <c r="G1356" s="1"/>
      <c r="H1356" s="11" t="str">
        <f t="shared" si="81"/>
        <v>0 г. 0 мес. 0 дн.</v>
      </c>
      <c r="I1356" s="20"/>
      <c r="J1356" s="20"/>
      <c r="O1356" s="20"/>
      <c r="V1356" s="1" t="str">
        <f t="shared" si="79"/>
        <v>0 г. 0 мес. 0 дн.</v>
      </c>
      <c r="W1356" s="69"/>
    </row>
    <row r="1357" spans="1:23" ht="35.1" customHeight="1" x14ac:dyDescent="0.25">
      <c r="A1357" s="1">
        <f t="shared" si="80"/>
        <v>1356</v>
      </c>
      <c r="B1357" s="1"/>
      <c r="C1357" s="39"/>
      <c r="D1357" s="21"/>
      <c r="G1357" s="1"/>
      <c r="H1357" s="11" t="str">
        <f t="shared" si="81"/>
        <v>0 г. 0 мес. 0 дн.</v>
      </c>
      <c r="I1357" s="20"/>
      <c r="J1357" s="20"/>
      <c r="O1357" s="20"/>
      <c r="V1357" s="1" t="str">
        <f t="shared" si="79"/>
        <v>0 г. 0 мес. 0 дн.</v>
      </c>
      <c r="W1357" s="69"/>
    </row>
    <row r="1358" spans="1:23" ht="35.1" customHeight="1" x14ac:dyDescent="0.25">
      <c r="A1358" s="1">
        <f t="shared" si="80"/>
        <v>1357</v>
      </c>
      <c r="B1358" s="1"/>
      <c r="C1358" s="39"/>
      <c r="D1358" s="21"/>
      <c r="G1358" s="1"/>
      <c r="H1358" s="11" t="str">
        <f t="shared" si="81"/>
        <v>0 г. 0 мес. 0 дн.</v>
      </c>
      <c r="I1358" s="20"/>
      <c r="J1358" s="20"/>
      <c r="O1358" s="20"/>
      <c r="V1358" s="1" t="str">
        <f t="shared" si="79"/>
        <v>0 г. 0 мес. 0 дн.</v>
      </c>
      <c r="W1358" s="69"/>
    </row>
    <row r="1359" spans="1:23" ht="35.1" customHeight="1" x14ac:dyDescent="0.25">
      <c r="A1359" s="1">
        <f t="shared" si="80"/>
        <v>1358</v>
      </c>
      <c r="B1359" s="1"/>
      <c r="C1359" s="39"/>
      <c r="D1359" s="21"/>
      <c r="G1359" s="1"/>
      <c r="H1359" s="11" t="str">
        <f t="shared" si="81"/>
        <v>0 г. 0 мес. 0 дн.</v>
      </c>
      <c r="I1359" s="20"/>
      <c r="J1359" s="20"/>
      <c r="O1359" s="20"/>
      <c r="V1359" s="1" t="str">
        <f t="shared" si="79"/>
        <v>0 г. 0 мес. 0 дн.</v>
      </c>
      <c r="W1359" s="69"/>
    </row>
    <row r="1360" spans="1:23" ht="35.1" customHeight="1" x14ac:dyDescent="0.25">
      <c r="A1360" s="1">
        <f t="shared" si="80"/>
        <v>1359</v>
      </c>
      <c r="B1360" s="1"/>
      <c r="C1360" s="39"/>
      <c r="D1360" s="21"/>
      <c r="G1360" s="1"/>
      <c r="H1360" s="11" t="str">
        <f t="shared" si="81"/>
        <v>0 г. 0 мес. 0 дн.</v>
      </c>
      <c r="I1360" s="20"/>
      <c r="J1360" s="20"/>
      <c r="O1360" s="20"/>
      <c r="V1360" s="1" t="str">
        <f t="shared" si="79"/>
        <v>0 г. 0 мес. 0 дн.</v>
      </c>
      <c r="W1360" s="69"/>
    </row>
    <row r="1361" spans="1:23" ht="35.1" customHeight="1" x14ac:dyDescent="0.25">
      <c r="A1361" s="1">
        <f t="shared" si="80"/>
        <v>1360</v>
      </c>
      <c r="B1361" s="1"/>
      <c r="C1361" s="39"/>
      <c r="D1361" s="21"/>
      <c r="G1361" s="1"/>
      <c r="H1361" s="11" t="str">
        <f t="shared" si="81"/>
        <v>0 г. 0 мес. 0 дн.</v>
      </c>
      <c r="I1361" s="20"/>
      <c r="J1361" s="20"/>
      <c r="O1361" s="20"/>
      <c r="V1361" s="1" t="str">
        <f t="shared" si="79"/>
        <v>0 г. 0 мес. 0 дн.</v>
      </c>
      <c r="W1361" s="69"/>
    </row>
    <row r="1362" spans="1:23" ht="35.1" customHeight="1" x14ac:dyDescent="0.25">
      <c r="A1362" s="1">
        <f t="shared" si="80"/>
        <v>1361</v>
      </c>
      <c r="B1362" s="1"/>
      <c r="C1362" s="39"/>
      <c r="D1362" s="21"/>
      <c r="G1362" s="1"/>
      <c r="H1362" s="11" t="str">
        <f t="shared" si="81"/>
        <v>0 г. 0 мес. 0 дн.</v>
      </c>
      <c r="I1362" s="20"/>
      <c r="J1362" s="20"/>
      <c r="O1362" s="20"/>
      <c r="V1362" s="1" t="str">
        <f t="shared" si="79"/>
        <v>0 г. 0 мес. 0 дн.</v>
      </c>
      <c r="W1362" s="69"/>
    </row>
    <row r="1363" spans="1:23" ht="35.1" customHeight="1" x14ac:dyDescent="0.25">
      <c r="A1363" s="1">
        <f t="shared" si="80"/>
        <v>1362</v>
      </c>
      <c r="B1363" s="1"/>
      <c r="C1363" s="39"/>
      <c r="D1363" s="21"/>
      <c r="G1363" s="1"/>
      <c r="H1363" s="11" t="str">
        <f t="shared" si="81"/>
        <v>0 г. 0 мес. 0 дн.</v>
      </c>
      <c r="I1363" s="20"/>
      <c r="J1363" s="20"/>
      <c r="O1363" s="20"/>
      <c r="V1363" s="1" t="str">
        <f t="shared" si="79"/>
        <v>0 г. 0 мес. 0 дн.</v>
      </c>
      <c r="W1363" s="69"/>
    </row>
    <row r="1364" spans="1:23" ht="35.1" customHeight="1" x14ac:dyDescent="0.25">
      <c r="A1364" s="1">
        <f t="shared" si="80"/>
        <v>1363</v>
      </c>
      <c r="B1364" s="1"/>
      <c r="C1364" s="39"/>
      <c r="D1364" s="21"/>
      <c r="G1364" s="1"/>
      <c r="H1364" s="11" t="str">
        <f t="shared" si="81"/>
        <v>0 г. 0 мес. 0 дн.</v>
      </c>
      <c r="I1364" s="20"/>
      <c r="J1364" s="20"/>
      <c r="O1364" s="20"/>
      <c r="V1364" s="1" t="str">
        <f t="shared" si="79"/>
        <v>0 г. 0 мес. 0 дн.</v>
      </c>
      <c r="W1364" s="69"/>
    </row>
    <row r="1365" spans="1:23" ht="35.1" customHeight="1" x14ac:dyDescent="0.25">
      <c r="A1365" s="1">
        <f t="shared" si="80"/>
        <v>1364</v>
      </c>
      <c r="B1365" s="1"/>
      <c r="C1365" s="39"/>
      <c r="D1365" s="21"/>
      <c r="G1365" s="1"/>
      <c r="H1365" s="11" t="str">
        <f t="shared" si="81"/>
        <v>0 г. 0 мес. 0 дн.</v>
      </c>
      <c r="I1365" s="20"/>
      <c r="J1365" s="20"/>
      <c r="O1365" s="20"/>
      <c r="V1365" s="1" t="str">
        <f t="shared" si="79"/>
        <v>0 г. 0 мес. 0 дн.</v>
      </c>
      <c r="W1365" s="69"/>
    </row>
    <row r="1366" spans="1:23" ht="35.1" customHeight="1" x14ac:dyDescent="0.25">
      <c r="A1366" s="1">
        <f t="shared" si="80"/>
        <v>1365</v>
      </c>
      <c r="B1366" s="1"/>
      <c r="C1366" s="39"/>
      <c r="D1366" s="21"/>
      <c r="G1366" s="1"/>
      <c r="H1366" s="11" t="str">
        <f t="shared" si="81"/>
        <v>0 г. 0 мес. 0 дн.</v>
      </c>
      <c r="I1366" s="20"/>
      <c r="J1366" s="20"/>
      <c r="O1366" s="20"/>
      <c r="V1366" s="1" t="str">
        <f t="shared" si="79"/>
        <v>0 г. 0 мес. 0 дн.</v>
      </c>
      <c r="W1366" s="69"/>
    </row>
    <row r="1367" spans="1:23" ht="35.1" customHeight="1" x14ac:dyDescent="0.25">
      <c r="A1367" s="1">
        <f t="shared" si="80"/>
        <v>1366</v>
      </c>
      <c r="B1367" s="1"/>
      <c r="C1367" s="39"/>
      <c r="D1367" s="21"/>
      <c r="G1367" s="1"/>
      <c r="H1367" s="11" t="str">
        <f t="shared" si="81"/>
        <v>0 г. 0 мес. 0 дн.</v>
      </c>
      <c r="I1367" s="20"/>
      <c r="J1367" s="20"/>
      <c r="O1367" s="20"/>
      <c r="V1367" s="1" t="str">
        <f t="shared" si="79"/>
        <v>0 г. 0 мес. 0 дн.</v>
      </c>
      <c r="W1367" s="69"/>
    </row>
    <row r="1368" spans="1:23" ht="35.1" customHeight="1" x14ac:dyDescent="0.25">
      <c r="A1368" s="1">
        <f t="shared" si="80"/>
        <v>1367</v>
      </c>
      <c r="B1368" s="1"/>
      <c r="C1368" s="39"/>
      <c r="D1368" s="21"/>
      <c r="G1368" s="1"/>
      <c r="H1368" s="11" t="str">
        <f t="shared" si="81"/>
        <v>0 г. 0 мес. 0 дн.</v>
      </c>
      <c r="I1368" s="20"/>
      <c r="J1368" s="20"/>
      <c r="O1368" s="20"/>
      <c r="V1368" s="1" t="str">
        <f t="shared" si="79"/>
        <v>0 г. 0 мес. 0 дн.</v>
      </c>
      <c r="W1368" s="69"/>
    </row>
    <row r="1369" spans="1:23" ht="35.1" customHeight="1" x14ac:dyDescent="0.25">
      <c r="A1369" s="1">
        <f t="shared" si="80"/>
        <v>1368</v>
      </c>
      <c r="B1369" s="1"/>
      <c r="C1369" s="39"/>
      <c r="D1369" s="21"/>
      <c r="G1369" s="1"/>
      <c r="H1369" s="11" t="str">
        <f t="shared" si="81"/>
        <v>0 г. 0 мес. 0 дн.</v>
      </c>
      <c r="I1369" s="20"/>
      <c r="J1369" s="20"/>
      <c r="O1369" s="20"/>
      <c r="V1369" s="1" t="str">
        <f t="shared" ref="V1369:V1432" si="82">DATEDIF(D1369,T1369,"y") &amp; " г. " &amp; DATEDIF(D1369,T1369,"ym") &amp; " мес. " &amp; DATEDIF(D1369,T1369,"md") &amp; " дн."</f>
        <v>0 г. 0 мес. 0 дн.</v>
      </c>
      <c r="W1369" s="69"/>
    </row>
    <row r="1370" spans="1:23" ht="35.1" customHeight="1" x14ac:dyDescent="0.25">
      <c r="A1370" s="1">
        <f t="shared" si="80"/>
        <v>1369</v>
      </c>
      <c r="B1370" s="1"/>
      <c r="C1370" s="39"/>
      <c r="D1370" s="21"/>
      <c r="G1370" s="1"/>
      <c r="H1370" s="11" t="str">
        <f t="shared" si="81"/>
        <v>0 г. 0 мес. 0 дн.</v>
      </c>
      <c r="I1370" s="20"/>
      <c r="J1370" s="20"/>
      <c r="O1370" s="20"/>
      <c r="V1370" s="1" t="str">
        <f t="shared" si="82"/>
        <v>0 г. 0 мес. 0 дн.</v>
      </c>
      <c r="W1370" s="69"/>
    </row>
    <row r="1371" spans="1:23" ht="35.1" customHeight="1" x14ac:dyDescent="0.25">
      <c r="A1371" s="1">
        <f t="shared" si="80"/>
        <v>1370</v>
      </c>
      <c r="B1371" s="1"/>
      <c r="C1371" s="39"/>
      <c r="D1371" s="21"/>
      <c r="G1371" s="1"/>
      <c r="H1371" s="11" t="str">
        <f t="shared" si="81"/>
        <v>0 г. 0 мес. 0 дн.</v>
      </c>
      <c r="I1371" s="20"/>
      <c r="J1371" s="20"/>
      <c r="O1371" s="20"/>
      <c r="V1371" s="1" t="str">
        <f t="shared" si="82"/>
        <v>0 г. 0 мес. 0 дн.</v>
      </c>
      <c r="W1371" s="69"/>
    </row>
    <row r="1372" spans="1:23" ht="35.1" customHeight="1" x14ac:dyDescent="0.25">
      <c r="A1372" s="1">
        <f t="shared" si="80"/>
        <v>1371</v>
      </c>
      <c r="B1372" s="1"/>
      <c r="C1372" s="39"/>
      <c r="D1372" s="21"/>
      <c r="G1372" s="1"/>
      <c r="H1372" s="11" t="str">
        <f t="shared" si="81"/>
        <v>0 г. 0 мес. 0 дн.</v>
      </c>
      <c r="I1372" s="20"/>
      <c r="J1372" s="20"/>
      <c r="O1372" s="20"/>
      <c r="V1372" s="1" t="str">
        <f t="shared" si="82"/>
        <v>0 г. 0 мес. 0 дн.</v>
      </c>
      <c r="W1372" s="69"/>
    </row>
    <row r="1373" spans="1:23" ht="35.1" customHeight="1" x14ac:dyDescent="0.25">
      <c r="A1373" s="1">
        <f t="shared" si="80"/>
        <v>1372</v>
      </c>
      <c r="B1373" s="1"/>
      <c r="C1373" s="39"/>
      <c r="D1373" s="21"/>
      <c r="G1373" s="1"/>
      <c r="H1373" s="11" t="str">
        <f t="shared" si="81"/>
        <v>0 г. 0 мес. 0 дн.</v>
      </c>
      <c r="I1373" s="20"/>
      <c r="J1373" s="20"/>
      <c r="O1373" s="20"/>
      <c r="V1373" s="1" t="str">
        <f t="shared" si="82"/>
        <v>0 г. 0 мес. 0 дн.</v>
      </c>
      <c r="W1373" s="69"/>
    </row>
    <row r="1374" spans="1:23" ht="35.1" customHeight="1" x14ac:dyDescent="0.25">
      <c r="A1374" s="1">
        <f t="shared" si="80"/>
        <v>1373</v>
      </c>
      <c r="B1374" s="1"/>
      <c r="C1374" s="39"/>
      <c r="D1374" s="21"/>
      <c r="G1374" s="1"/>
      <c r="H1374" s="11" t="str">
        <f t="shared" si="81"/>
        <v>0 г. 0 мес. 0 дн.</v>
      </c>
      <c r="I1374" s="20"/>
      <c r="J1374" s="20"/>
      <c r="O1374" s="20"/>
      <c r="V1374" s="1" t="str">
        <f t="shared" si="82"/>
        <v>0 г. 0 мес. 0 дн.</v>
      </c>
      <c r="W1374" s="69"/>
    </row>
    <row r="1375" spans="1:23" ht="35.1" customHeight="1" x14ac:dyDescent="0.25">
      <c r="A1375" s="1">
        <f t="shared" si="80"/>
        <v>1374</v>
      </c>
      <c r="B1375" s="1"/>
      <c r="C1375" s="39"/>
      <c r="D1375" s="21"/>
      <c r="G1375" s="1"/>
      <c r="H1375" s="11" t="str">
        <f t="shared" si="81"/>
        <v>0 г. 0 мес. 0 дн.</v>
      </c>
      <c r="I1375" s="20"/>
      <c r="J1375" s="20"/>
      <c r="O1375" s="20"/>
      <c r="V1375" s="1" t="str">
        <f t="shared" si="82"/>
        <v>0 г. 0 мес. 0 дн.</v>
      </c>
      <c r="W1375" s="69"/>
    </row>
    <row r="1376" spans="1:23" ht="35.1" customHeight="1" x14ac:dyDescent="0.25">
      <c r="A1376" s="1">
        <f t="shared" si="80"/>
        <v>1375</v>
      </c>
      <c r="B1376" s="1"/>
      <c r="C1376" s="39"/>
      <c r="D1376" s="21"/>
      <c r="G1376" s="1"/>
      <c r="H1376" s="11" t="str">
        <f t="shared" si="81"/>
        <v>0 г. 0 мес. 0 дн.</v>
      </c>
      <c r="I1376" s="20"/>
      <c r="J1376" s="20"/>
      <c r="O1376" s="20"/>
      <c r="V1376" s="1" t="str">
        <f t="shared" si="82"/>
        <v>0 г. 0 мес. 0 дн.</v>
      </c>
      <c r="W1376" s="69"/>
    </row>
    <row r="1377" spans="1:23" ht="35.1" customHeight="1" x14ac:dyDescent="0.25">
      <c r="A1377" s="1">
        <f t="shared" si="80"/>
        <v>1376</v>
      </c>
      <c r="B1377" s="1"/>
      <c r="C1377" s="39"/>
      <c r="D1377" s="21"/>
      <c r="G1377" s="1"/>
      <c r="H1377" s="11" t="str">
        <f t="shared" si="81"/>
        <v>0 г. 0 мес. 0 дн.</v>
      </c>
      <c r="I1377" s="20"/>
      <c r="J1377" s="20"/>
      <c r="O1377" s="20"/>
      <c r="V1377" s="1" t="str">
        <f t="shared" si="82"/>
        <v>0 г. 0 мес. 0 дн.</v>
      </c>
      <c r="W1377" s="69"/>
    </row>
    <row r="1378" spans="1:23" ht="35.1" customHeight="1" x14ac:dyDescent="0.25">
      <c r="A1378" s="1">
        <f t="shared" si="80"/>
        <v>1377</v>
      </c>
      <c r="B1378" s="1"/>
      <c r="C1378" s="39"/>
      <c r="D1378" s="21"/>
      <c r="G1378" s="1"/>
      <c r="H1378" s="11" t="str">
        <f t="shared" si="81"/>
        <v>0 г. 0 мес. 0 дн.</v>
      </c>
      <c r="I1378" s="20"/>
      <c r="J1378" s="20"/>
      <c r="O1378" s="20"/>
      <c r="V1378" s="1" t="str">
        <f t="shared" si="82"/>
        <v>0 г. 0 мес. 0 дн.</v>
      </c>
      <c r="W1378" s="69"/>
    </row>
    <row r="1379" spans="1:23" ht="35.1" customHeight="1" x14ac:dyDescent="0.25">
      <c r="A1379" s="1">
        <f t="shared" si="80"/>
        <v>1378</v>
      </c>
      <c r="B1379" s="1"/>
      <c r="C1379" s="39"/>
      <c r="D1379" s="21"/>
      <c r="G1379" s="1"/>
      <c r="H1379" s="11" t="str">
        <f t="shared" si="81"/>
        <v>0 г. 0 мес. 0 дн.</v>
      </c>
      <c r="I1379" s="20"/>
      <c r="J1379" s="20"/>
      <c r="O1379" s="20"/>
      <c r="V1379" s="1" t="str">
        <f t="shared" si="82"/>
        <v>0 г. 0 мес. 0 дн.</v>
      </c>
      <c r="W1379" s="69"/>
    </row>
    <row r="1380" spans="1:23" ht="35.1" customHeight="1" x14ac:dyDescent="0.25">
      <c r="A1380" s="1">
        <f t="shared" si="80"/>
        <v>1379</v>
      </c>
      <c r="B1380" s="1"/>
      <c r="C1380" s="39"/>
      <c r="D1380" s="21"/>
      <c r="G1380" s="1"/>
      <c r="H1380" s="11" t="str">
        <f t="shared" si="81"/>
        <v>0 г. 0 мес. 0 дн.</v>
      </c>
      <c r="I1380" s="20"/>
      <c r="J1380" s="20"/>
      <c r="O1380" s="20"/>
      <c r="V1380" s="1" t="str">
        <f t="shared" si="82"/>
        <v>0 г. 0 мес. 0 дн.</v>
      </c>
      <c r="W1380" s="69"/>
    </row>
    <row r="1381" spans="1:23" ht="35.1" customHeight="1" x14ac:dyDescent="0.25">
      <c r="A1381" s="1">
        <f t="shared" si="80"/>
        <v>1380</v>
      </c>
      <c r="B1381" s="1"/>
      <c r="C1381" s="39"/>
      <c r="D1381" s="21"/>
      <c r="G1381" s="1"/>
      <c r="H1381" s="11" t="str">
        <f t="shared" si="81"/>
        <v>0 г. 0 мес. 0 дн.</v>
      </c>
      <c r="I1381" s="20"/>
      <c r="J1381" s="20"/>
      <c r="O1381" s="20"/>
      <c r="V1381" s="1" t="str">
        <f t="shared" si="82"/>
        <v>0 г. 0 мес. 0 дн.</v>
      </c>
      <c r="W1381" s="69"/>
    </row>
    <row r="1382" spans="1:23" ht="35.1" customHeight="1" x14ac:dyDescent="0.25">
      <c r="A1382" s="1">
        <f t="shared" si="80"/>
        <v>1381</v>
      </c>
      <c r="B1382" s="1"/>
      <c r="C1382" s="39"/>
      <c r="D1382" s="21"/>
      <c r="G1382" s="1"/>
      <c r="H1382" s="11" t="str">
        <f t="shared" si="81"/>
        <v>0 г. 0 мес. 0 дн.</v>
      </c>
      <c r="I1382" s="20"/>
      <c r="J1382" s="20"/>
      <c r="O1382" s="20"/>
      <c r="V1382" s="1" t="str">
        <f t="shared" si="82"/>
        <v>0 г. 0 мес. 0 дн.</v>
      </c>
      <c r="W1382" s="69"/>
    </row>
    <row r="1383" spans="1:23" ht="35.1" customHeight="1" x14ac:dyDescent="0.25">
      <c r="A1383" s="1">
        <f t="shared" si="80"/>
        <v>1382</v>
      </c>
      <c r="B1383" s="1"/>
      <c r="C1383" s="39"/>
      <c r="D1383" s="21"/>
      <c r="G1383" s="1"/>
      <c r="H1383" s="11" t="str">
        <f t="shared" si="81"/>
        <v>0 г. 0 мес. 0 дн.</v>
      </c>
      <c r="I1383" s="20"/>
      <c r="J1383" s="20"/>
      <c r="O1383" s="20"/>
      <c r="V1383" s="1" t="str">
        <f t="shared" si="82"/>
        <v>0 г. 0 мес. 0 дн.</v>
      </c>
      <c r="W1383" s="69"/>
    </row>
    <row r="1384" spans="1:23" ht="35.1" customHeight="1" x14ac:dyDescent="0.25">
      <c r="A1384" s="1">
        <f t="shared" si="80"/>
        <v>1383</v>
      </c>
      <c r="B1384" s="1"/>
      <c r="C1384" s="39"/>
      <c r="D1384" s="21"/>
      <c r="G1384" s="1"/>
      <c r="H1384" s="11" t="str">
        <f t="shared" si="81"/>
        <v>0 г. 0 мес. 0 дн.</v>
      </c>
      <c r="I1384" s="20"/>
      <c r="J1384" s="20"/>
      <c r="O1384" s="20"/>
      <c r="V1384" s="1" t="str">
        <f t="shared" si="82"/>
        <v>0 г. 0 мес. 0 дн.</v>
      </c>
      <c r="W1384" s="69"/>
    </row>
    <row r="1385" spans="1:23" ht="35.1" customHeight="1" x14ac:dyDescent="0.25">
      <c r="A1385" s="1">
        <f t="shared" si="80"/>
        <v>1384</v>
      </c>
      <c r="B1385" s="1"/>
      <c r="C1385" s="39"/>
      <c r="D1385" s="21"/>
      <c r="G1385" s="1"/>
      <c r="H1385" s="11" t="str">
        <f t="shared" si="81"/>
        <v>0 г. 0 мес. 0 дн.</v>
      </c>
      <c r="I1385" s="20"/>
      <c r="J1385" s="20"/>
      <c r="O1385" s="20"/>
      <c r="V1385" s="1" t="str">
        <f t="shared" si="82"/>
        <v>0 г. 0 мес. 0 дн.</v>
      </c>
      <c r="W1385" s="69"/>
    </row>
    <row r="1386" spans="1:23" ht="35.1" customHeight="1" x14ac:dyDescent="0.25">
      <c r="A1386" s="1">
        <f t="shared" si="80"/>
        <v>1385</v>
      </c>
      <c r="B1386" s="1"/>
      <c r="C1386" s="39"/>
      <c r="D1386" s="21"/>
      <c r="G1386" s="1"/>
      <c r="H1386" s="11" t="str">
        <f t="shared" si="81"/>
        <v>0 г. 0 мес. 0 дн.</v>
      </c>
      <c r="I1386" s="20"/>
      <c r="J1386" s="20"/>
      <c r="O1386" s="20"/>
      <c r="V1386" s="1" t="str">
        <f t="shared" si="82"/>
        <v>0 г. 0 мес. 0 дн.</v>
      </c>
      <c r="W1386" s="69"/>
    </row>
    <row r="1387" spans="1:23" ht="35.1" customHeight="1" x14ac:dyDescent="0.25">
      <c r="A1387" s="1">
        <f t="shared" si="80"/>
        <v>1386</v>
      </c>
      <c r="B1387" s="1"/>
      <c r="C1387" s="39"/>
      <c r="D1387" s="21"/>
      <c r="G1387" s="1"/>
      <c r="H1387" s="11" t="str">
        <f t="shared" si="81"/>
        <v>0 г. 0 мес. 0 дн.</v>
      </c>
      <c r="I1387" s="20"/>
      <c r="J1387" s="20"/>
      <c r="O1387" s="20"/>
      <c r="V1387" s="1" t="str">
        <f t="shared" si="82"/>
        <v>0 г. 0 мес. 0 дн.</v>
      </c>
      <c r="W1387" s="69"/>
    </row>
    <row r="1388" spans="1:23" ht="35.1" customHeight="1" x14ac:dyDescent="0.25">
      <c r="A1388" s="1">
        <f t="shared" si="80"/>
        <v>1387</v>
      </c>
      <c r="B1388" s="1"/>
      <c r="C1388" s="39"/>
      <c r="D1388" s="21"/>
      <c r="G1388" s="1"/>
      <c r="H1388" s="11" t="str">
        <f t="shared" si="81"/>
        <v>0 г. 0 мес. 0 дн.</v>
      </c>
      <c r="I1388" s="20"/>
      <c r="J1388" s="20"/>
      <c r="O1388" s="20"/>
      <c r="V1388" s="1" t="str">
        <f t="shared" si="82"/>
        <v>0 г. 0 мес. 0 дн.</v>
      </c>
      <c r="W1388" s="69"/>
    </row>
    <row r="1389" spans="1:23" ht="35.1" customHeight="1" x14ac:dyDescent="0.25">
      <c r="A1389" s="1">
        <f t="shared" si="80"/>
        <v>1388</v>
      </c>
      <c r="B1389" s="1"/>
      <c r="C1389" s="39"/>
      <c r="D1389" s="21"/>
      <c r="G1389" s="1"/>
      <c r="H1389" s="11" t="str">
        <f t="shared" si="81"/>
        <v>0 г. 0 мес. 0 дн.</v>
      </c>
      <c r="I1389" s="20"/>
      <c r="J1389" s="20"/>
      <c r="O1389" s="20"/>
      <c r="V1389" s="1" t="str">
        <f t="shared" si="82"/>
        <v>0 г. 0 мес. 0 дн.</v>
      </c>
      <c r="W1389" s="69"/>
    </row>
    <row r="1390" spans="1:23" ht="35.1" customHeight="1" x14ac:dyDescent="0.25">
      <c r="A1390" s="1">
        <f t="shared" si="80"/>
        <v>1389</v>
      </c>
      <c r="B1390" s="1"/>
      <c r="C1390" s="39"/>
      <c r="D1390" s="21"/>
      <c r="G1390" s="1"/>
      <c r="H1390" s="11" t="str">
        <f t="shared" si="81"/>
        <v>0 г. 0 мес. 0 дн.</v>
      </c>
      <c r="I1390" s="20"/>
      <c r="J1390" s="20"/>
      <c r="O1390" s="20"/>
      <c r="V1390" s="1" t="str">
        <f t="shared" si="82"/>
        <v>0 г. 0 мес. 0 дн.</v>
      </c>
      <c r="W1390" s="69"/>
    </row>
    <row r="1391" spans="1:23" ht="35.1" customHeight="1" x14ac:dyDescent="0.25">
      <c r="A1391" s="1">
        <f t="shared" si="80"/>
        <v>1390</v>
      </c>
      <c r="B1391" s="1"/>
      <c r="C1391" s="39"/>
      <c r="D1391" s="21"/>
      <c r="G1391" s="1"/>
      <c r="H1391" s="11" t="str">
        <f t="shared" si="81"/>
        <v>0 г. 0 мес. 0 дн.</v>
      </c>
      <c r="I1391" s="20"/>
      <c r="J1391" s="20"/>
      <c r="O1391" s="20"/>
      <c r="V1391" s="1" t="str">
        <f t="shared" si="82"/>
        <v>0 г. 0 мес. 0 дн.</v>
      </c>
      <c r="W1391" s="69"/>
    </row>
    <row r="1392" spans="1:23" ht="35.1" customHeight="1" x14ac:dyDescent="0.25">
      <c r="A1392" s="1">
        <f t="shared" si="80"/>
        <v>1391</v>
      </c>
      <c r="B1392" s="1"/>
      <c r="C1392" s="39"/>
      <c r="D1392" s="21"/>
      <c r="G1392" s="1"/>
      <c r="H1392" s="11" t="str">
        <f t="shared" si="81"/>
        <v>0 г. 0 мес. 0 дн.</v>
      </c>
      <c r="I1392" s="20"/>
      <c r="J1392" s="20"/>
      <c r="O1392" s="20"/>
      <c r="V1392" s="1" t="str">
        <f t="shared" si="82"/>
        <v>0 г. 0 мес. 0 дн.</v>
      </c>
      <c r="W1392" s="69"/>
    </row>
    <row r="1393" spans="1:23" ht="35.1" customHeight="1" x14ac:dyDescent="0.25">
      <c r="A1393" s="1">
        <f t="shared" si="80"/>
        <v>1392</v>
      </c>
      <c r="B1393" s="1"/>
      <c r="C1393" s="39"/>
      <c r="D1393" s="21"/>
      <c r="G1393" s="1"/>
      <c r="H1393" s="11" t="str">
        <f t="shared" si="81"/>
        <v>0 г. 0 мес. 0 дн.</v>
      </c>
      <c r="I1393" s="20"/>
      <c r="J1393" s="20"/>
      <c r="O1393" s="20"/>
      <c r="V1393" s="1" t="str">
        <f t="shared" si="82"/>
        <v>0 г. 0 мес. 0 дн.</v>
      </c>
      <c r="W1393" s="69"/>
    </row>
    <row r="1394" spans="1:23" ht="35.1" customHeight="1" x14ac:dyDescent="0.25">
      <c r="A1394" s="1">
        <f t="shared" si="80"/>
        <v>1393</v>
      </c>
      <c r="B1394" s="1"/>
      <c r="C1394" s="39"/>
      <c r="D1394" s="21"/>
      <c r="G1394" s="1"/>
      <c r="H1394" s="11" t="str">
        <f t="shared" si="81"/>
        <v>0 г. 0 мес. 0 дн.</v>
      </c>
      <c r="I1394" s="20"/>
      <c r="J1394" s="20"/>
      <c r="O1394" s="20"/>
      <c r="V1394" s="1" t="str">
        <f t="shared" si="82"/>
        <v>0 г. 0 мес. 0 дн.</v>
      </c>
      <c r="W1394" s="69"/>
    </row>
    <row r="1395" spans="1:23" ht="35.1" customHeight="1" x14ac:dyDescent="0.25">
      <c r="A1395" s="1">
        <f t="shared" si="80"/>
        <v>1394</v>
      </c>
      <c r="B1395" s="1"/>
      <c r="C1395" s="39"/>
      <c r="D1395" s="21"/>
      <c r="G1395" s="1"/>
      <c r="H1395" s="11" t="str">
        <f t="shared" si="81"/>
        <v>0 г. 0 мес. 0 дн.</v>
      </c>
      <c r="I1395" s="20"/>
      <c r="J1395" s="20"/>
      <c r="O1395" s="20"/>
      <c r="V1395" s="1" t="str">
        <f t="shared" si="82"/>
        <v>0 г. 0 мес. 0 дн.</v>
      </c>
      <c r="W1395" s="69"/>
    </row>
    <row r="1396" spans="1:23" ht="35.1" customHeight="1" x14ac:dyDescent="0.25">
      <c r="A1396" s="1">
        <f t="shared" si="80"/>
        <v>1395</v>
      </c>
      <c r="B1396" s="1"/>
      <c r="C1396" s="39"/>
      <c r="D1396" s="21"/>
      <c r="G1396" s="1"/>
      <c r="H1396" s="11" t="str">
        <f t="shared" si="81"/>
        <v>0 г. 0 мес. 0 дн.</v>
      </c>
      <c r="I1396" s="20"/>
      <c r="J1396" s="20"/>
      <c r="O1396" s="20"/>
      <c r="V1396" s="1" t="str">
        <f t="shared" si="82"/>
        <v>0 г. 0 мес. 0 дн.</v>
      </c>
      <c r="W1396" s="69"/>
    </row>
    <row r="1397" spans="1:23" ht="35.1" customHeight="1" x14ac:dyDescent="0.25">
      <c r="A1397" s="1">
        <f t="shared" si="80"/>
        <v>1396</v>
      </c>
      <c r="B1397" s="1"/>
      <c r="C1397" s="39"/>
      <c r="D1397" s="21"/>
      <c r="G1397" s="1"/>
      <c r="H1397" s="11" t="str">
        <f t="shared" si="81"/>
        <v>0 г. 0 мес. 0 дн.</v>
      </c>
      <c r="I1397" s="20"/>
      <c r="J1397" s="20"/>
      <c r="O1397" s="20"/>
      <c r="V1397" s="1" t="str">
        <f t="shared" si="82"/>
        <v>0 г. 0 мес. 0 дн.</v>
      </c>
      <c r="W1397" s="69"/>
    </row>
    <row r="1398" spans="1:23" ht="35.1" customHeight="1" x14ac:dyDescent="0.25">
      <c r="A1398" s="1">
        <f t="shared" si="80"/>
        <v>1397</v>
      </c>
      <c r="B1398" s="1"/>
      <c r="C1398" s="39"/>
      <c r="D1398" s="21"/>
      <c r="G1398" s="1"/>
      <c r="H1398" s="11" t="str">
        <f t="shared" si="81"/>
        <v>0 г. 0 мес. 0 дн.</v>
      </c>
      <c r="I1398" s="20"/>
      <c r="J1398" s="20"/>
      <c r="O1398" s="20"/>
      <c r="V1398" s="1" t="str">
        <f t="shared" si="82"/>
        <v>0 г. 0 мес. 0 дн.</v>
      </c>
      <c r="W1398" s="69"/>
    </row>
    <row r="1399" spans="1:23" ht="35.1" customHeight="1" x14ac:dyDescent="0.25">
      <c r="A1399" s="1">
        <f t="shared" si="80"/>
        <v>1398</v>
      </c>
      <c r="B1399" s="1"/>
      <c r="C1399" s="39"/>
      <c r="D1399" s="21"/>
      <c r="G1399" s="1"/>
      <c r="H1399" s="11" t="str">
        <f t="shared" si="81"/>
        <v>0 г. 0 мес. 0 дн.</v>
      </c>
      <c r="I1399" s="20"/>
      <c r="J1399" s="20"/>
      <c r="O1399" s="20"/>
      <c r="V1399" s="1" t="str">
        <f t="shared" si="82"/>
        <v>0 г. 0 мес. 0 дн.</v>
      </c>
      <c r="W1399" s="69"/>
    </row>
    <row r="1400" spans="1:23" ht="35.1" customHeight="1" x14ac:dyDescent="0.25">
      <c r="A1400" s="1">
        <f t="shared" si="80"/>
        <v>1399</v>
      </c>
      <c r="B1400" s="1"/>
      <c r="C1400" s="39"/>
      <c r="D1400" s="21"/>
      <c r="G1400" s="1"/>
      <c r="H1400" s="11" t="str">
        <f t="shared" si="81"/>
        <v>0 г. 0 мес. 0 дн.</v>
      </c>
      <c r="I1400" s="20"/>
      <c r="J1400" s="20"/>
      <c r="O1400" s="20"/>
      <c r="V1400" s="1" t="str">
        <f t="shared" si="82"/>
        <v>0 г. 0 мес. 0 дн.</v>
      </c>
      <c r="W1400" s="69"/>
    </row>
    <row r="1401" spans="1:23" ht="35.1" customHeight="1" x14ac:dyDescent="0.25">
      <c r="A1401" s="1">
        <f t="shared" si="80"/>
        <v>1400</v>
      </c>
      <c r="B1401" s="1"/>
      <c r="C1401" s="39"/>
      <c r="D1401" s="21"/>
      <c r="G1401" s="1"/>
      <c r="H1401" s="11" t="str">
        <f t="shared" si="81"/>
        <v>0 г. 0 мес. 0 дн.</v>
      </c>
      <c r="I1401" s="20"/>
      <c r="J1401" s="20"/>
      <c r="O1401" s="20"/>
      <c r="V1401" s="1" t="str">
        <f t="shared" si="82"/>
        <v>0 г. 0 мес. 0 дн.</v>
      </c>
      <c r="W1401" s="69"/>
    </row>
    <row r="1402" spans="1:23" ht="35.1" customHeight="1" x14ac:dyDescent="0.25">
      <c r="A1402" s="1">
        <f t="shared" si="80"/>
        <v>1401</v>
      </c>
      <c r="B1402" s="1"/>
      <c r="C1402" s="39"/>
      <c r="D1402" s="21"/>
      <c r="G1402" s="1"/>
      <c r="H1402" s="11" t="str">
        <f t="shared" si="81"/>
        <v>0 г. 0 мес. 0 дн.</v>
      </c>
      <c r="I1402" s="20"/>
      <c r="J1402" s="20"/>
      <c r="O1402" s="20"/>
      <c r="V1402" s="1" t="str">
        <f t="shared" si="82"/>
        <v>0 г. 0 мес. 0 дн.</v>
      </c>
      <c r="W1402" s="69"/>
    </row>
    <row r="1403" spans="1:23" ht="35.1" customHeight="1" x14ac:dyDescent="0.25">
      <c r="A1403" s="1">
        <f t="shared" si="80"/>
        <v>1402</v>
      </c>
      <c r="B1403" s="1"/>
      <c r="C1403" s="39"/>
      <c r="D1403" s="21"/>
      <c r="G1403" s="1"/>
      <c r="H1403" s="11" t="str">
        <f t="shared" si="81"/>
        <v>0 г. 0 мес. 0 дн.</v>
      </c>
      <c r="I1403" s="20"/>
      <c r="J1403" s="20"/>
      <c r="O1403" s="20"/>
      <c r="V1403" s="1" t="str">
        <f t="shared" si="82"/>
        <v>0 г. 0 мес. 0 дн.</v>
      </c>
      <c r="W1403" s="69"/>
    </row>
    <row r="1404" spans="1:23" ht="35.1" customHeight="1" x14ac:dyDescent="0.25">
      <c r="A1404" s="1">
        <f t="shared" si="80"/>
        <v>1403</v>
      </c>
      <c r="B1404" s="1"/>
      <c r="C1404" s="39"/>
      <c r="D1404" s="21"/>
      <c r="G1404" s="1"/>
      <c r="H1404" s="11" t="str">
        <f t="shared" si="81"/>
        <v>0 г. 0 мес. 0 дн.</v>
      </c>
      <c r="I1404" s="20"/>
      <c r="J1404" s="20"/>
      <c r="O1404" s="20"/>
      <c r="V1404" s="1" t="str">
        <f t="shared" si="82"/>
        <v>0 г. 0 мес. 0 дн.</v>
      </c>
      <c r="W1404" s="69"/>
    </row>
    <row r="1405" spans="1:23" ht="35.1" customHeight="1" x14ac:dyDescent="0.25">
      <c r="A1405" s="1">
        <f t="shared" si="80"/>
        <v>1404</v>
      </c>
      <c r="B1405" s="1"/>
      <c r="C1405" s="39"/>
      <c r="D1405" s="21"/>
      <c r="G1405" s="1"/>
      <c r="H1405" s="11" t="str">
        <f t="shared" si="81"/>
        <v>0 г. 0 мес. 0 дн.</v>
      </c>
      <c r="I1405" s="20"/>
      <c r="J1405" s="20"/>
      <c r="O1405" s="20"/>
      <c r="V1405" s="1" t="str">
        <f t="shared" si="82"/>
        <v>0 г. 0 мес. 0 дн.</v>
      </c>
      <c r="W1405" s="69"/>
    </row>
    <row r="1406" spans="1:23" ht="35.1" customHeight="1" x14ac:dyDescent="0.25">
      <c r="A1406" s="1">
        <f t="shared" si="80"/>
        <v>1405</v>
      </c>
      <c r="B1406" s="1"/>
      <c r="C1406" s="39"/>
      <c r="D1406" s="21"/>
      <c r="G1406" s="1"/>
      <c r="H1406" s="11" t="str">
        <f t="shared" si="81"/>
        <v>0 г. 0 мес. 0 дн.</v>
      </c>
      <c r="I1406" s="20"/>
      <c r="J1406" s="20"/>
      <c r="O1406" s="20"/>
      <c r="V1406" s="1" t="str">
        <f t="shared" si="82"/>
        <v>0 г. 0 мес. 0 дн.</v>
      </c>
      <c r="W1406" s="69"/>
    </row>
    <row r="1407" spans="1:23" ht="35.1" customHeight="1" x14ac:dyDescent="0.25">
      <c r="A1407" s="1">
        <f t="shared" si="80"/>
        <v>1406</v>
      </c>
      <c r="B1407" s="1"/>
      <c r="C1407" s="39"/>
      <c r="D1407" s="21"/>
      <c r="G1407" s="1"/>
      <c r="H1407" s="11" t="str">
        <f t="shared" si="81"/>
        <v>0 г. 0 мес. 0 дн.</v>
      </c>
      <c r="I1407" s="20"/>
      <c r="J1407" s="20"/>
      <c r="O1407" s="20"/>
      <c r="V1407" s="1" t="str">
        <f t="shared" si="82"/>
        <v>0 г. 0 мес. 0 дн.</v>
      </c>
      <c r="W1407" s="69"/>
    </row>
    <row r="1408" spans="1:23" ht="35.1" customHeight="1" x14ac:dyDescent="0.25">
      <c r="A1408" s="1">
        <f t="shared" si="80"/>
        <v>1407</v>
      </c>
      <c r="B1408" s="1"/>
      <c r="C1408" s="39"/>
      <c r="D1408" s="21"/>
      <c r="G1408" s="1"/>
      <c r="H1408" s="11" t="str">
        <f t="shared" si="81"/>
        <v>0 г. 0 мес. 0 дн.</v>
      </c>
      <c r="I1408" s="20"/>
      <c r="J1408" s="20"/>
      <c r="O1408" s="20"/>
      <c r="V1408" s="1" t="str">
        <f t="shared" si="82"/>
        <v>0 г. 0 мес. 0 дн.</v>
      </c>
      <c r="W1408" s="69"/>
    </row>
    <row r="1409" spans="1:23" ht="35.1" customHeight="1" x14ac:dyDescent="0.25">
      <c r="A1409" s="1">
        <f t="shared" ref="A1409:A1472" si="83">ROW(A1408)</f>
        <v>1408</v>
      </c>
      <c r="B1409" s="1"/>
      <c r="C1409" s="39"/>
      <c r="D1409" s="21"/>
      <c r="G1409" s="1"/>
      <c r="H1409" s="11" t="str">
        <f t="shared" ref="H1409:H1472" si="84">DATEDIF(G1409,D1409,"y") &amp; " г. " &amp; DATEDIF(G1409,D1409,"ym") &amp; " мес. " &amp; DATEDIF(G1409,D1409,"md") &amp; " дн."</f>
        <v>0 г. 0 мес. 0 дн.</v>
      </c>
      <c r="I1409" s="20"/>
      <c r="J1409" s="20"/>
      <c r="O1409" s="20"/>
      <c r="V1409" s="1" t="str">
        <f t="shared" si="82"/>
        <v>0 г. 0 мес. 0 дн.</v>
      </c>
      <c r="W1409" s="69"/>
    </row>
    <row r="1410" spans="1:23" ht="35.1" customHeight="1" x14ac:dyDescent="0.25">
      <c r="A1410" s="1">
        <f t="shared" si="83"/>
        <v>1409</v>
      </c>
      <c r="B1410" s="1"/>
      <c r="C1410" s="39"/>
      <c r="D1410" s="21"/>
      <c r="G1410" s="1"/>
      <c r="H1410" s="11" t="str">
        <f t="shared" si="84"/>
        <v>0 г. 0 мес. 0 дн.</v>
      </c>
      <c r="I1410" s="20"/>
      <c r="J1410" s="20"/>
      <c r="O1410" s="20"/>
      <c r="V1410" s="1" t="str">
        <f t="shared" si="82"/>
        <v>0 г. 0 мес. 0 дн.</v>
      </c>
      <c r="W1410" s="69"/>
    </row>
    <row r="1411" spans="1:23" ht="35.1" customHeight="1" x14ac:dyDescent="0.25">
      <c r="A1411" s="1">
        <f t="shared" si="83"/>
        <v>1410</v>
      </c>
      <c r="B1411" s="1"/>
      <c r="C1411" s="39"/>
      <c r="D1411" s="21"/>
      <c r="G1411" s="1"/>
      <c r="H1411" s="11" t="str">
        <f t="shared" si="84"/>
        <v>0 г. 0 мес. 0 дн.</v>
      </c>
      <c r="I1411" s="20"/>
      <c r="J1411" s="20"/>
      <c r="O1411" s="20"/>
      <c r="V1411" s="1" t="str">
        <f t="shared" si="82"/>
        <v>0 г. 0 мес. 0 дн.</v>
      </c>
      <c r="W1411" s="69"/>
    </row>
    <row r="1412" spans="1:23" ht="35.1" customHeight="1" x14ac:dyDescent="0.25">
      <c r="A1412" s="1">
        <f t="shared" si="83"/>
        <v>1411</v>
      </c>
      <c r="B1412" s="1"/>
      <c r="C1412" s="39"/>
      <c r="D1412" s="21"/>
      <c r="G1412" s="1"/>
      <c r="H1412" s="11" t="str">
        <f t="shared" si="84"/>
        <v>0 г. 0 мес. 0 дн.</v>
      </c>
      <c r="I1412" s="20"/>
      <c r="J1412" s="20"/>
      <c r="O1412" s="20"/>
      <c r="V1412" s="1" t="str">
        <f t="shared" si="82"/>
        <v>0 г. 0 мес. 0 дн.</v>
      </c>
      <c r="W1412" s="69"/>
    </row>
    <row r="1413" spans="1:23" ht="35.1" customHeight="1" x14ac:dyDescent="0.25">
      <c r="A1413" s="1">
        <f t="shared" si="83"/>
        <v>1412</v>
      </c>
      <c r="B1413" s="1"/>
      <c r="C1413" s="39"/>
      <c r="D1413" s="21"/>
      <c r="G1413" s="1"/>
      <c r="H1413" s="11" t="str">
        <f t="shared" si="84"/>
        <v>0 г. 0 мес. 0 дн.</v>
      </c>
      <c r="I1413" s="20"/>
      <c r="J1413" s="20"/>
      <c r="O1413" s="20"/>
      <c r="V1413" s="1" t="str">
        <f t="shared" si="82"/>
        <v>0 г. 0 мес. 0 дн.</v>
      </c>
      <c r="W1413" s="69"/>
    </row>
    <row r="1414" spans="1:23" ht="35.1" customHeight="1" x14ac:dyDescent="0.25">
      <c r="A1414" s="1">
        <f t="shared" si="83"/>
        <v>1413</v>
      </c>
      <c r="B1414" s="1"/>
      <c r="C1414" s="39"/>
      <c r="D1414" s="21"/>
      <c r="G1414" s="1"/>
      <c r="H1414" s="11" t="str">
        <f t="shared" si="84"/>
        <v>0 г. 0 мес. 0 дн.</v>
      </c>
      <c r="I1414" s="20"/>
      <c r="J1414" s="20"/>
      <c r="O1414" s="20"/>
      <c r="V1414" s="1" t="str">
        <f t="shared" si="82"/>
        <v>0 г. 0 мес. 0 дн.</v>
      </c>
      <c r="W1414" s="69"/>
    </row>
    <row r="1415" spans="1:23" ht="35.1" customHeight="1" x14ac:dyDescent="0.25">
      <c r="A1415" s="1">
        <f t="shared" si="83"/>
        <v>1414</v>
      </c>
      <c r="B1415" s="1"/>
      <c r="C1415" s="39"/>
      <c r="D1415" s="21"/>
      <c r="G1415" s="1"/>
      <c r="H1415" s="11" t="str">
        <f t="shared" si="84"/>
        <v>0 г. 0 мес. 0 дн.</v>
      </c>
      <c r="I1415" s="20"/>
      <c r="J1415" s="20"/>
      <c r="O1415" s="20"/>
      <c r="V1415" s="1" t="str">
        <f t="shared" si="82"/>
        <v>0 г. 0 мес. 0 дн.</v>
      </c>
      <c r="W1415" s="69"/>
    </row>
    <row r="1416" spans="1:23" ht="35.1" customHeight="1" x14ac:dyDescent="0.25">
      <c r="A1416" s="1">
        <f t="shared" si="83"/>
        <v>1415</v>
      </c>
      <c r="B1416" s="1"/>
      <c r="C1416" s="39"/>
      <c r="D1416" s="21"/>
      <c r="G1416" s="1"/>
      <c r="H1416" s="11" t="str">
        <f t="shared" si="84"/>
        <v>0 г. 0 мес. 0 дн.</v>
      </c>
      <c r="I1416" s="20"/>
      <c r="J1416" s="20"/>
      <c r="O1416" s="20"/>
      <c r="V1416" s="1" t="str">
        <f t="shared" si="82"/>
        <v>0 г. 0 мес. 0 дн.</v>
      </c>
      <c r="W1416" s="69"/>
    </row>
    <row r="1417" spans="1:23" ht="35.1" customHeight="1" x14ac:dyDescent="0.25">
      <c r="A1417" s="1">
        <f t="shared" si="83"/>
        <v>1416</v>
      </c>
      <c r="B1417" s="1"/>
      <c r="C1417" s="39"/>
      <c r="D1417" s="21"/>
      <c r="G1417" s="1"/>
      <c r="H1417" s="11" t="str">
        <f t="shared" si="84"/>
        <v>0 г. 0 мес. 0 дн.</v>
      </c>
      <c r="I1417" s="20"/>
      <c r="J1417" s="20"/>
      <c r="O1417" s="20"/>
      <c r="V1417" s="1" t="str">
        <f t="shared" si="82"/>
        <v>0 г. 0 мес. 0 дн.</v>
      </c>
      <c r="W1417" s="69"/>
    </row>
    <row r="1418" spans="1:23" ht="35.1" customHeight="1" x14ac:dyDescent="0.25">
      <c r="A1418" s="1">
        <f t="shared" si="83"/>
        <v>1417</v>
      </c>
      <c r="B1418" s="1"/>
      <c r="C1418" s="39"/>
      <c r="D1418" s="21"/>
      <c r="G1418" s="1"/>
      <c r="H1418" s="11" t="str">
        <f t="shared" si="84"/>
        <v>0 г. 0 мес. 0 дн.</v>
      </c>
      <c r="I1418" s="20"/>
      <c r="J1418" s="20"/>
      <c r="O1418" s="20"/>
      <c r="V1418" s="1" t="str">
        <f t="shared" si="82"/>
        <v>0 г. 0 мес. 0 дн.</v>
      </c>
      <c r="W1418" s="69"/>
    </row>
    <row r="1419" spans="1:23" ht="35.1" customHeight="1" x14ac:dyDescent="0.25">
      <c r="A1419" s="1">
        <f t="shared" si="83"/>
        <v>1418</v>
      </c>
      <c r="B1419" s="1"/>
      <c r="C1419" s="39"/>
      <c r="D1419" s="21"/>
      <c r="G1419" s="1"/>
      <c r="H1419" s="11" t="str">
        <f t="shared" si="84"/>
        <v>0 г. 0 мес. 0 дн.</v>
      </c>
      <c r="I1419" s="20"/>
      <c r="J1419" s="20"/>
      <c r="O1419" s="20"/>
      <c r="V1419" s="1" t="str">
        <f t="shared" si="82"/>
        <v>0 г. 0 мес. 0 дн.</v>
      </c>
      <c r="W1419" s="69"/>
    </row>
    <row r="1420" spans="1:23" ht="35.1" customHeight="1" x14ac:dyDescent="0.25">
      <c r="A1420" s="1">
        <f t="shared" si="83"/>
        <v>1419</v>
      </c>
      <c r="B1420" s="1"/>
      <c r="C1420" s="39"/>
      <c r="D1420" s="21"/>
      <c r="G1420" s="1"/>
      <c r="H1420" s="11" t="str">
        <f t="shared" si="84"/>
        <v>0 г. 0 мес. 0 дн.</v>
      </c>
      <c r="I1420" s="20"/>
      <c r="J1420" s="20"/>
      <c r="O1420" s="20"/>
      <c r="V1420" s="1" t="str">
        <f t="shared" si="82"/>
        <v>0 г. 0 мес. 0 дн.</v>
      </c>
      <c r="W1420" s="69"/>
    </row>
    <row r="1421" spans="1:23" ht="35.1" customHeight="1" x14ac:dyDescent="0.25">
      <c r="A1421" s="1">
        <f t="shared" si="83"/>
        <v>1420</v>
      </c>
      <c r="B1421" s="1"/>
      <c r="C1421" s="39"/>
      <c r="D1421" s="21"/>
      <c r="G1421" s="1"/>
      <c r="H1421" s="11" t="str">
        <f t="shared" si="84"/>
        <v>0 г. 0 мес. 0 дн.</v>
      </c>
      <c r="I1421" s="20"/>
      <c r="J1421" s="20"/>
      <c r="O1421" s="20"/>
      <c r="V1421" s="1" t="str">
        <f t="shared" si="82"/>
        <v>0 г. 0 мес. 0 дн.</v>
      </c>
      <c r="W1421" s="69"/>
    </row>
    <row r="1422" spans="1:23" ht="35.1" customHeight="1" x14ac:dyDescent="0.25">
      <c r="A1422" s="1">
        <f t="shared" si="83"/>
        <v>1421</v>
      </c>
      <c r="B1422" s="1"/>
      <c r="C1422" s="39"/>
      <c r="D1422" s="21"/>
      <c r="G1422" s="1"/>
      <c r="H1422" s="11" t="str">
        <f t="shared" si="84"/>
        <v>0 г. 0 мес. 0 дн.</v>
      </c>
      <c r="I1422" s="20"/>
      <c r="J1422" s="20"/>
      <c r="O1422" s="20"/>
      <c r="V1422" s="1" t="str">
        <f t="shared" si="82"/>
        <v>0 г. 0 мес. 0 дн.</v>
      </c>
      <c r="W1422" s="69"/>
    </row>
    <row r="1423" spans="1:23" ht="35.1" customHeight="1" x14ac:dyDescent="0.25">
      <c r="A1423" s="1">
        <f t="shared" si="83"/>
        <v>1422</v>
      </c>
      <c r="B1423" s="1"/>
      <c r="C1423" s="39"/>
      <c r="D1423" s="21"/>
      <c r="G1423" s="1"/>
      <c r="H1423" s="11" t="str">
        <f t="shared" si="84"/>
        <v>0 г. 0 мес. 0 дн.</v>
      </c>
      <c r="I1423" s="20"/>
      <c r="J1423" s="20"/>
      <c r="O1423" s="20"/>
      <c r="V1423" s="1" t="str">
        <f t="shared" si="82"/>
        <v>0 г. 0 мес. 0 дн.</v>
      </c>
      <c r="W1423" s="69"/>
    </row>
    <row r="1424" spans="1:23" ht="35.1" customHeight="1" x14ac:dyDescent="0.25">
      <c r="A1424" s="1">
        <f t="shared" si="83"/>
        <v>1423</v>
      </c>
      <c r="B1424" s="1"/>
      <c r="C1424" s="39"/>
      <c r="D1424" s="21"/>
      <c r="G1424" s="1"/>
      <c r="H1424" s="11" t="str">
        <f t="shared" si="84"/>
        <v>0 г. 0 мес. 0 дн.</v>
      </c>
      <c r="I1424" s="20"/>
      <c r="J1424" s="20"/>
      <c r="O1424" s="20"/>
      <c r="V1424" s="1" t="str">
        <f t="shared" si="82"/>
        <v>0 г. 0 мес. 0 дн.</v>
      </c>
      <c r="W1424" s="69"/>
    </row>
    <row r="1425" spans="1:23" ht="35.1" customHeight="1" x14ac:dyDescent="0.25">
      <c r="A1425" s="1">
        <f t="shared" si="83"/>
        <v>1424</v>
      </c>
      <c r="B1425" s="1"/>
      <c r="C1425" s="39"/>
      <c r="D1425" s="21"/>
      <c r="G1425" s="1"/>
      <c r="H1425" s="11" t="str">
        <f t="shared" si="84"/>
        <v>0 г. 0 мес. 0 дн.</v>
      </c>
      <c r="I1425" s="20"/>
      <c r="J1425" s="20"/>
      <c r="O1425" s="20"/>
      <c r="V1425" s="1" t="str">
        <f t="shared" si="82"/>
        <v>0 г. 0 мес. 0 дн.</v>
      </c>
      <c r="W1425" s="69"/>
    </row>
    <row r="1426" spans="1:23" ht="35.1" customHeight="1" x14ac:dyDescent="0.25">
      <c r="A1426" s="1">
        <f t="shared" si="83"/>
        <v>1425</v>
      </c>
      <c r="B1426" s="1"/>
      <c r="C1426" s="39"/>
      <c r="D1426" s="21"/>
      <c r="G1426" s="1"/>
      <c r="H1426" s="11" t="str">
        <f t="shared" si="84"/>
        <v>0 г. 0 мес. 0 дн.</v>
      </c>
      <c r="I1426" s="20"/>
      <c r="J1426" s="20"/>
      <c r="O1426" s="20"/>
      <c r="V1426" s="1" t="str">
        <f t="shared" si="82"/>
        <v>0 г. 0 мес. 0 дн.</v>
      </c>
      <c r="W1426" s="69"/>
    </row>
    <row r="1427" spans="1:23" ht="35.1" customHeight="1" x14ac:dyDescent="0.25">
      <c r="A1427" s="1">
        <f t="shared" si="83"/>
        <v>1426</v>
      </c>
      <c r="B1427" s="1"/>
      <c r="C1427" s="39"/>
      <c r="D1427" s="21"/>
      <c r="G1427" s="1"/>
      <c r="H1427" s="11" t="str">
        <f t="shared" si="84"/>
        <v>0 г. 0 мес. 0 дн.</v>
      </c>
      <c r="I1427" s="20"/>
      <c r="J1427" s="20"/>
      <c r="O1427" s="20"/>
      <c r="V1427" s="1" t="str">
        <f t="shared" si="82"/>
        <v>0 г. 0 мес. 0 дн.</v>
      </c>
      <c r="W1427" s="69"/>
    </row>
    <row r="1428" spans="1:23" ht="35.1" customHeight="1" x14ac:dyDescent="0.25">
      <c r="A1428" s="1">
        <f t="shared" si="83"/>
        <v>1427</v>
      </c>
      <c r="B1428" s="1"/>
      <c r="C1428" s="39"/>
      <c r="D1428" s="21"/>
      <c r="G1428" s="1"/>
      <c r="H1428" s="11" t="str">
        <f t="shared" si="84"/>
        <v>0 г. 0 мес. 0 дн.</v>
      </c>
      <c r="I1428" s="20"/>
      <c r="J1428" s="20"/>
      <c r="O1428" s="20"/>
      <c r="V1428" s="1" t="str">
        <f t="shared" si="82"/>
        <v>0 г. 0 мес. 0 дн.</v>
      </c>
      <c r="W1428" s="69"/>
    </row>
    <row r="1429" spans="1:23" ht="35.1" customHeight="1" x14ac:dyDescent="0.25">
      <c r="A1429" s="1">
        <f t="shared" si="83"/>
        <v>1428</v>
      </c>
      <c r="B1429" s="1"/>
      <c r="C1429" s="39"/>
      <c r="D1429" s="21"/>
      <c r="G1429" s="1"/>
      <c r="H1429" s="11" t="str">
        <f t="shared" si="84"/>
        <v>0 г. 0 мес. 0 дн.</v>
      </c>
      <c r="I1429" s="20"/>
      <c r="J1429" s="20"/>
      <c r="O1429" s="20"/>
      <c r="V1429" s="1" t="str">
        <f t="shared" si="82"/>
        <v>0 г. 0 мес. 0 дн.</v>
      </c>
      <c r="W1429" s="69"/>
    </row>
    <row r="1430" spans="1:23" ht="35.1" customHeight="1" x14ac:dyDescent="0.25">
      <c r="A1430" s="1">
        <f t="shared" si="83"/>
        <v>1429</v>
      </c>
      <c r="B1430" s="1"/>
      <c r="C1430" s="39"/>
      <c r="D1430" s="21"/>
      <c r="G1430" s="1"/>
      <c r="H1430" s="11" t="str">
        <f t="shared" si="84"/>
        <v>0 г. 0 мес. 0 дн.</v>
      </c>
      <c r="I1430" s="20"/>
      <c r="J1430" s="20"/>
      <c r="O1430" s="20"/>
      <c r="V1430" s="1" t="str">
        <f t="shared" si="82"/>
        <v>0 г. 0 мес. 0 дн.</v>
      </c>
      <c r="W1430" s="69"/>
    </row>
    <row r="1431" spans="1:23" ht="35.1" customHeight="1" x14ac:dyDescent="0.25">
      <c r="A1431" s="1">
        <f t="shared" si="83"/>
        <v>1430</v>
      </c>
      <c r="B1431" s="1"/>
      <c r="C1431" s="39"/>
      <c r="D1431" s="21"/>
      <c r="G1431" s="1"/>
      <c r="H1431" s="11" t="str">
        <f t="shared" si="84"/>
        <v>0 г. 0 мес. 0 дн.</v>
      </c>
      <c r="I1431" s="20"/>
      <c r="J1431" s="20"/>
      <c r="O1431" s="20"/>
      <c r="V1431" s="1" t="str">
        <f t="shared" si="82"/>
        <v>0 г. 0 мес. 0 дн.</v>
      </c>
      <c r="W1431" s="69"/>
    </row>
    <row r="1432" spans="1:23" ht="35.1" customHeight="1" x14ac:dyDescent="0.25">
      <c r="A1432" s="1">
        <f t="shared" si="83"/>
        <v>1431</v>
      </c>
      <c r="B1432" s="1"/>
      <c r="C1432" s="39"/>
      <c r="D1432" s="21"/>
      <c r="G1432" s="1"/>
      <c r="H1432" s="11" t="str">
        <f t="shared" si="84"/>
        <v>0 г. 0 мес. 0 дн.</v>
      </c>
      <c r="I1432" s="20"/>
      <c r="J1432" s="20"/>
      <c r="O1432" s="20"/>
      <c r="V1432" s="1" t="str">
        <f t="shared" si="82"/>
        <v>0 г. 0 мес. 0 дн.</v>
      </c>
      <c r="W1432" s="69"/>
    </row>
    <row r="1433" spans="1:23" ht="35.1" customHeight="1" x14ac:dyDescent="0.25">
      <c r="A1433" s="1">
        <f t="shared" si="83"/>
        <v>1432</v>
      </c>
      <c r="B1433" s="1"/>
      <c r="C1433" s="39"/>
      <c r="D1433" s="21"/>
      <c r="G1433" s="1"/>
      <c r="H1433" s="11" t="str">
        <f t="shared" si="84"/>
        <v>0 г. 0 мес. 0 дн.</v>
      </c>
      <c r="I1433" s="20"/>
      <c r="J1433" s="20"/>
      <c r="O1433" s="20"/>
      <c r="V1433" s="1" t="str">
        <f t="shared" ref="V1433:V1496" si="85">DATEDIF(D1433,T1433,"y") &amp; " г. " &amp; DATEDIF(D1433,T1433,"ym") &amp; " мес. " &amp; DATEDIF(D1433,T1433,"md") &amp; " дн."</f>
        <v>0 г. 0 мес. 0 дн.</v>
      </c>
      <c r="W1433" s="69"/>
    </row>
    <row r="1434" spans="1:23" ht="35.1" customHeight="1" x14ac:dyDescent="0.25">
      <c r="A1434" s="1">
        <f t="shared" si="83"/>
        <v>1433</v>
      </c>
      <c r="B1434" s="1"/>
      <c r="C1434" s="39"/>
      <c r="D1434" s="21"/>
      <c r="G1434" s="1"/>
      <c r="H1434" s="11" t="str">
        <f t="shared" si="84"/>
        <v>0 г. 0 мес. 0 дн.</v>
      </c>
      <c r="I1434" s="20"/>
      <c r="J1434" s="20"/>
      <c r="O1434" s="20"/>
      <c r="V1434" s="1" t="str">
        <f t="shared" si="85"/>
        <v>0 г. 0 мес. 0 дн.</v>
      </c>
      <c r="W1434" s="69"/>
    </row>
    <row r="1435" spans="1:23" ht="35.1" customHeight="1" x14ac:dyDescent="0.25">
      <c r="A1435" s="1">
        <f t="shared" si="83"/>
        <v>1434</v>
      </c>
      <c r="B1435" s="1"/>
      <c r="C1435" s="39"/>
      <c r="D1435" s="21"/>
      <c r="G1435" s="1"/>
      <c r="H1435" s="11" t="str">
        <f t="shared" si="84"/>
        <v>0 г. 0 мес. 0 дн.</v>
      </c>
      <c r="I1435" s="20"/>
      <c r="J1435" s="20"/>
      <c r="O1435" s="20"/>
      <c r="V1435" s="1" t="str">
        <f t="shared" si="85"/>
        <v>0 г. 0 мес. 0 дн.</v>
      </c>
      <c r="W1435" s="69"/>
    </row>
    <row r="1436" spans="1:23" ht="35.1" customHeight="1" x14ac:dyDescent="0.25">
      <c r="A1436" s="1">
        <f t="shared" si="83"/>
        <v>1435</v>
      </c>
      <c r="B1436" s="1"/>
      <c r="C1436" s="39"/>
      <c r="D1436" s="21"/>
      <c r="G1436" s="1"/>
      <c r="H1436" s="11" t="str">
        <f t="shared" si="84"/>
        <v>0 г. 0 мес. 0 дн.</v>
      </c>
      <c r="I1436" s="20"/>
      <c r="J1436" s="20"/>
      <c r="O1436" s="20"/>
      <c r="V1436" s="1" t="str">
        <f t="shared" si="85"/>
        <v>0 г. 0 мес. 0 дн.</v>
      </c>
      <c r="W1436" s="69"/>
    </row>
    <row r="1437" spans="1:23" ht="35.1" customHeight="1" x14ac:dyDescent="0.25">
      <c r="A1437" s="1">
        <f t="shared" si="83"/>
        <v>1436</v>
      </c>
      <c r="B1437" s="1"/>
      <c r="C1437" s="39"/>
      <c r="D1437" s="21"/>
      <c r="G1437" s="1"/>
      <c r="H1437" s="11" t="str">
        <f t="shared" si="84"/>
        <v>0 г. 0 мес. 0 дн.</v>
      </c>
      <c r="I1437" s="20"/>
      <c r="J1437" s="20"/>
      <c r="O1437" s="20"/>
      <c r="V1437" s="1" t="str">
        <f t="shared" si="85"/>
        <v>0 г. 0 мес. 0 дн.</v>
      </c>
      <c r="W1437" s="69"/>
    </row>
    <row r="1438" spans="1:23" ht="35.1" customHeight="1" x14ac:dyDescent="0.25">
      <c r="A1438" s="1">
        <f t="shared" si="83"/>
        <v>1437</v>
      </c>
      <c r="B1438" s="1"/>
      <c r="C1438" s="39"/>
      <c r="D1438" s="21"/>
      <c r="G1438" s="1"/>
      <c r="H1438" s="11" t="str">
        <f t="shared" si="84"/>
        <v>0 г. 0 мес. 0 дн.</v>
      </c>
      <c r="I1438" s="20"/>
      <c r="J1438" s="20"/>
      <c r="O1438" s="20"/>
      <c r="V1438" s="1" t="str">
        <f t="shared" si="85"/>
        <v>0 г. 0 мес. 0 дн.</v>
      </c>
      <c r="W1438" s="69"/>
    </row>
    <row r="1439" spans="1:23" ht="35.1" customHeight="1" x14ac:dyDescent="0.25">
      <c r="A1439" s="1">
        <f t="shared" si="83"/>
        <v>1438</v>
      </c>
      <c r="B1439" s="1"/>
      <c r="C1439" s="39"/>
      <c r="D1439" s="21"/>
      <c r="G1439" s="1"/>
      <c r="H1439" s="11" t="str">
        <f t="shared" si="84"/>
        <v>0 г. 0 мес. 0 дн.</v>
      </c>
      <c r="I1439" s="20"/>
      <c r="J1439" s="20"/>
      <c r="O1439" s="20"/>
      <c r="V1439" s="1" t="str">
        <f t="shared" si="85"/>
        <v>0 г. 0 мес. 0 дн.</v>
      </c>
      <c r="W1439" s="69"/>
    </row>
    <row r="1440" spans="1:23" ht="35.1" customHeight="1" x14ac:dyDescent="0.25">
      <c r="A1440" s="1">
        <f t="shared" si="83"/>
        <v>1439</v>
      </c>
      <c r="B1440" s="1"/>
      <c r="C1440" s="39"/>
      <c r="D1440" s="21"/>
      <c r="G1440" s="1"/>
      <c r="H1440" s="11" t="str">
        <f t="shared" si="84"/>
        <v>0 г. 0 мес. 0 дн.</v>
      </c>
      <c r="I1440" s="20"/>
      <c r="J1440" s="20"/>
      <c r="O1440" s="20"/>
      <c r="V1440" s="1" t="str">
        <f t="shared" si="85"/>
        <v>0 г. 0 мес. 0 дн.</v>
      </c>
      <c r="W1440" s="69"/>
    </row>
    <row r="1441" spans="1:23" ht="35.1" customHeight="1" x14ac:dyDescent="0.25">
      <c r="A1441" s="1">
        <f t="shared" si="83"/>
        <v>1440</v>
      </c>
      <c r="B1441" s="1"/>
      <c r="C1441" s="39"/>
      <c r="D1441" s="21"/>
      <c r="G1441" s="1"/>
      <c r="H1441" s="11" t="str">
        <f t="shared" si="84"/>
        <v>0 г. 0 мес. 0 дн.</v>
      </c>
      <c r="I1441" s="20"/>
      <c r="J1441" s="20"/>
      <c r="O1441" s="20"/>
      <c r="V1441" s="1" t="str">
        <f t="shared" si="85"/>
        <v>0 г. 0 мес. 0 дн.</v>
      </c>
      <c r="W1441" s="69"/>
    </row>
    <row r="1442" spans="1:23" ht="35.1" customHeight="1" x14ac:dyDescent="0.25">
      <c r="A1442" s="1">
        <f t="shared" si="83"/>
        <v>1441</v>
      </c>
      <c r="B1442" s="1"/>
      <c r="C1442" s="39"/>
      <c r="D1442" s="21"/>
      <c r="G1442" s="1"/>
      <c r="H1442" s="11" t="str">
        <f t="shared" si="84"/>
        <v>0 г. 0 мес. 0 дн.</v>
      </c>
      <c r="I1442" s="20"/>
      <c r="J1442" s="20"/>
      <c r="O1442" s="20"/>
      <c r="V1442" s="1" t="str">
        <f t="shared" si="85"/>
        <v>0 г. 0 мес. 0 дн.</v>
      </c>
      <c r="W1442" s="69"/>
    </row>
    <row r="1443" spans="1:23" ht="35.1" customHeight="1" x14ac:dyDescent="0.25">
      <c r="A1443" s="1">
        <f t="shared" si="83"/>
        <v>1442</v>
      </c>
      <c r="B1443" s="1"/>
      <c r="C1443" s="39"/>
      <c r="D1443" s="21"/>
      <c r="G1443" s="1"/>
      <c r="H1443" s="11" t="str">
        <f t="shared" si="84"/>
        <v>0 г. 0 мес. 0 дн.</v>
      </c>
      <c r="I1443" s="20"/>
      <c r="J1443" s="20"/>
      <c r="O1443" s="20"/>
      <c r="V1443" s="1" t="str">
        <f t="shared" si="85"/>
        <v>0 г. 0 мес. 0 дн.</v>
      </c>
      <c r="W1443" s="69"/>
    </row>
    <row r="1444" spans="1:23" ht="35.1" customHeight="1" x14ac:dyDescent="0.25">
      <c r="A1444" s="1">
        <f t="shared" si="83"/>
        <v>1443</v>
      </c>
      <c r="B1444" s="1"/>
      <c r="C1444" s="39"/>
      <c r="D1444" s="21"/>
      <c r="G1444" s="1"/>
      <c r="H1444" s="11" t="str">
        <f t="shared" si="84"/>
        <v>0 г. 0 мес. 0 дн.</v>
      </c>
      <c r="I1444" s="20"/>
      <c r="J1444" s="20"/>
      <c r="O1444" s="20"/>
      <c r="V1444" s="1" t="str">
        <f t="shared" si="85"/>
        <v>0 г. 0 мес. 0 дн.</v>
      </c>
      <c r="W1444" s="69"/>
    </row>
    <row r="1445" spans="1:23" ht="35.1" customHeight="1" x14ac:dyDescent="0.25">
      <c r="A1445" s="1">
        <f t="shared" si="83"/>
        <v>1444</v>
      </c>
      <c r="B1445" s="1"/>
      <c r="C1445" s="39"/>
      <c r="D1445" s="21"/>
      <c r="G1445" s="1"/>
      <c r="H1445" s="11" t="str">
        <f t="shared" si="84"/>
        <v>0 г. 0 мес. 0 дн.</v>
      </c>
      <c r="I1445" s="20"/>
      <c r="J1445" s="20"/>
      <c r="O1445" s="20"/>
      <c r="V1445" s="1" t="str">
        <f t="shared" si="85"/>
        <v>0 г. 0 мес. 0 дн.</v>
      </c>
      <c r="W1445" s="69"/>
    </row>
    <row r="1446" spans="1:23" ht="35.1" customHeight="1" x14ac:dyDescent="0.25">
      <c r="A1446" s="1">
        <f t="shared" si="83"/>
        <v>1445</v>
      </c>
      <c r="B1446" s="1"/>
      <c r="C1446" s="39"/>
      <c r="D1446" s="21"/>
      <c r="G1446" s="1"/>
      <c r="H1446" s="11" t="str">
        <f t="shared" si="84"/>
        <v>0 г. 0 мес. 0 дн.</v>
      </c>
      <c r="I1446" s="20"/>
      <c r="J1446" s="20"/>
      <c r="O1446" s="20"/>
      <c r="V1446" s="1" t="str">
        <f t="shared" si="85"/>
        <v>0 г. 0 мес. 0 дн.</v>
      </c>
      <c r="W1446" s="69"/>
    </row>
    <row r="1447" spans="1:23" ht="35.1" customHeight="1" x14ac:dyDescent="0.25">
      <c r="A1447" s="1">
        <f t="shared" si="83"/>
        <v>1446</v>
      </c>
      <c r="B1447" s="1"/>
      <c r="C1447" s="39"/>
      <c r="D1447" s="21"/>
      <c r="G1447" s="1"/>
      <c r="H1447" s="11" t="str">
        <f t="shared" si="84"/>
        <v>0 г. 0 мес. 0 дн.</v>
      </c>
      <c r="I1447" s="20"/>
      <c r="J1447" s="20"/>
      <c r="O1447" s="20"/>
      <c r="V1447" s="1" t="str">
        <f t="shared" si="85"/>
        <v>0 г. 0 мес. 0 дн.</v>
      </c>
      <c r="W1447" s="69"/>
    </row>
    <row r="1448" spans="1:23" ht="35.1" customHeight="1" x14ac:dyDescent="0.25">
      <c r="A1448" s="1">
        <f t="shared" si="83"/>
        <v>1447</v>
      </c>
      <c r="B1448" s="1"/>
      <c r="C1448" s="39"/>
      <c r="D1448" s="21"/>
      <c r="G1448" s="1"/>
      <c r="H1448" s="11" t="str">
        <f t="shared" si="84"/>
        <v>0 г. 0 мес. 0 дн.</v>
      </c>
      <c r="I1448" s="20"/>
      <c r="J1448" s="20"/>
      <c r="O1448" s="20"/>
      <c r="V1448" s="1" t="str">
        <f t="shared" si="85"/>
        <v>0 г. 0 мес. 0 дн.</v>
      </c>
      <c r="W1448" s="69"/>
    </row>
    <row r="1449" spans="1:23" ht="35.1" customHeight="1" x14ac:dyDescent="0.25">
      <c r="A1449" s="1">
        <f t="shared" si="83"/>
        <v>1448</v>
      </c>
      <c r="B1449" s="1"/>
      <c r="C1449" s="39"/>
      <c r="D1449" s="21"/>
      <c r="G1449" s="1"/>
      <c r="H1449" s="11" t="str">
        <f t="shared" si="84"/>
        <v>0 г. 0 мес. 0 дн.</v>
      </c>
      <c r="I1449" s="20"/>
      <c r="J1449" s="20"/>
      <c r="O1449" s="20"/>
      <c r="V1449" s="1" t="str">
        <f t="shared" si="85"/>
        <v>0 г. 0 мес. 0 дн.</v>
      </c>
      <c r="W1449" s="69"/>
    </row>
    <row r="1450" spans="1:23" ht="35.1" customHeight="1" x14ac:dyDescent="0.25">
      <c r="A1450" s="1">
        <f t="shared" si="83"/>
        <v>1449</v>
      </c>
      <c r="B1450" s="1"/>
      <c r="C1450" s="39"/>
      <c r="D1450" s="21"/>
      <c r="G1450" s="1"/>
      <c r="H1450" s="11" t="str">
        <f t="shared" si="84"/>
        <v>0 г. 0 мес. 0 дн.</v>
      </c>
      <c r="I1450" s="20"/>
      <c r="J1450" s="20"/>
      <c r="O1450" s="20"/>
      <c r="V1450" s="1" t="str">
        <f t="shared" si="85"/>
        <v>0 г. 0 мес. 0 дн.</v>
      </c>
      <c r="W1450" s="69"/>
    </row>
    <row r="1451" spans="1:23" ht="35.1" customHeight="1" x14ac:dyDescent="0.25">
      <c r="A1451" s="1">
        <f t="shared" si="83"/>
        <v>1450</v>
      </c>
      <c r="B1451" s="1"/>
      <c r="C1451" s="39"/>
      <c r="D1451" s="21"/>
      <c r="G1451" s="1"/>
      <c r="H1451" s="11" t="str">
        <f t="shared" si="84"/>
        <v>0 г. 0 мес. 0 дн.</v>
      </c>
      <c r="I1451" s="20"/>
      <c r="J1451" s="20"/>
      <c r="O1451" s="20"/>
      <c r="V1451" s="1" t="str">
        <f t="shared" si="85"/>
        <v>0 г. 0 мес. 0 дн.</v>
      </c>
      <c r="W1451" s="69"/>
    </row>
    <row r="1452" spans="1:23" ht="35.1" customHeight="1" x14ac:dyDescent="0.25">
      <c r="A1452" s="1">
        <f t="shared" si="83"/>
        <v>1451</v>
      </c>
      <c r="B1452" s="1"/>
      <c r="C1452" s="39"/>
      <c r="D1452" s="21"/>
      <c r="G1452" s="1"/>
      <c r="H1452" s="11" t="str">
        <f t="shared" si="84"/>
        <v>0 г. 0 мес. 0 дн.</v>
      </c>
      <c r="I1452" s="20"/>
      <c r="J1452" s="20"/>
      <c r="O1452" s="20"/>
      <c r="V1452" s="1" t="str">
        <f t="shared" si="85"/>
        <v>0 г. 0 мес. 0 дн.</v>
      </c>
      <c r="W1452" s="69"/>
    </row>
    <row r="1453" spans="1:23" ht="35.1" customHeight="1" x14ac:dyDescent="0.25">
      <c r="A1453" s="1">
        <f t="shared" si="83"/>
        <v>1452</v>
      </c>
      <c r="B1453" s="1"/>
      <c r="C1453" s="39"/>
      <c r="D1453" s="21"/>
      <c r="G1453" s="1"/>
      <c r="H1453" s="11" t="str">
        <f t="shared" si="84"/>
        <v>0 г. 0 мес. 0 дн.</v>
      </c>
      <c r="I1453" s="20"/>
      <c r="J1453" s="20"/>
      <c r="O1453" s="20"/>
      <c r="V1453" s="1" t="str">
        <f t="shared" si="85"/>
        <v>0 г. 0 мес. 0 дн.</v>
      </c>
      <c r="W1453" s="69"/>
    </row>
    <row r="1454" spans="1:23" ht="35.1" customHeight="1" x14ac:dyDescent="0.25">
      <c r="A1454" s="1">
        <f t="shared" si="83"/>
        <v>1453</v>
      </c>
      <c r="B1454" s="1"/>
      <c r="C1454" s="39"/>
      <c r="D1454" s="21"/>
      <c r="G1454" s="1"/>
      <c r="H1454" s="11" t="str">
        <f t="shared" si="84"/>
        <v>0 г. 0 мес. 0 дн.</v>
      </c>
      <c r="I1454" s="20"/>
      <c r="J1454" s="20"/>
      <c r="O1454" s="20"/>
      <c r="V1454" s="1" t="str">
        <f t="shared" si="85"/>
        <v>0 г. 0 мес. 0 дн.</v>
      </c>
      <c r="W1454" s="69"/>
    </row>
    <row r="1455" spans="1:23" ht="35.1" customHeight="1" x14ac:dyDescent="0.25">
      <c r="A1455" s="1">
        <f t="shared" si="83"/>
        <v>1454</v>
      </c>
      <c r="B1455" s="1"/>
      <c r="C1455" s="39"/>
      <c r="D1455" s="21"/>
      <c r="G1455" s="1"/>
      <c r="H1455" s="11" t="str">
        <f t="shared" si="84"/>
        <v>0 г. 0 мес. 0 дн.</v>
      </c>
      <c r="I1455" s="20"/>
      <c r="J1455" s="20"/>
      <c r="O1455" s="20"/>
      <c r="V1455" s="1" t="str">
        <f t="shared" si="85"/>
        <v>0 г. 0 мес. 0 дн.</v>
      </c>
      <c r="W1455" s="69"/>
    </row>
    <row r="1456" spans="1:23" ht="35.1" customHeight="1" x14ac:dyDescent="0.25">
      <c r="A1456" s="1">
        <f t="shared" si="83"/>
        <v>1455</v>
      </c>
      <c r="B1456" s="1"/>
      <c r="C1456" s="39"/>
      <c r="D1456" s="21"/>
      <c r="G1456" s="1"/>
      <c r="H1456" s="11" t="str">
        <f t="shared" si="84"/>
        <v>0 г. 0 мес. 0 дн.</v>
      </c>
      <c r="I1456" s="20"/>
      <c r="J1456" s="20"/>
      <c r="O1456" s="20"/>
      <c r="V1456" s="1" t="str">
        <f t="shared" si="85"/>
        <v>0 г. 0 мес. 0 дн.</v>
      </c>
      <c r="W1456" s="69"/>
    </row>
    <row r="1457" spans="1:23" ht="35.1" customHeight="1" x14ac:dyDescent="0.25">
      <c r="A1457" s="1">
        <f t="shared" si="83"/>
        <v>1456</v>
      </c>
      <c r="B1457" s="1"/>
      <c r="C1457" s="39"/>
      <c r="D1457" s="21"/>
      <c r="G1457" s="1"/>
      <c r="H1457" s="11" t="str">
        <f t="shared" si="84"/>
        <v>0 г. 0 мес. 0 дн.</v>
      </c>
      <c r="I1457" s="20"/>
      <c r="J1457" s="20"/>
      <c r="O1457" s="20"/>
      <c r="V1457" s="1" t="str">
        <f t="shared" si="85"/>
        <v>0 г. 0 мес. 0 дн.</v>
      </c>
      <c r="W1457" s="69"/>
    </row>
    <row r="1458" spans="1:23" ht="35.1" customHeight="1" x14ac:dyDescent="0.25">
      <c r="A1458" s="1">
        <f t="shared" si="83"/>
        <v>1457</v>
      </c>
      <c r="B1458" s="1"/>
      <c r="C1458" s="39"/>
      <c r="D1458" s="21"/>
      <c r="G1458" s="1"/>
      <c r="H1458" s="11" t="str">
        <f t="shared" si="84"/>
        <v>0 г. 0 мес. 0 дн.</v>
      </c>
      <c r="I1458" s="20"/>
      <c r="J1458" s="20"/>
      <c r="O1458" s="20"/>
      <c r="V1458" s="1" t="str">
        <f t="shared" si="85"/>
        <v>0 г. 0 мес. 0 дн.</v>
      </c>
      <c r="W1458" s="69"/>
    </row>
    <row r="1459" spans="1:23" ht="35.1" customHeight="1" x14ac:dyDescent="0.25">
      <c r="A1459" s="1">
        <f t="shared" si="83"/>
        <v>1458</v>
      </c>
      <c r="B1459" s="1"/>
      <c r="C1459" s="39"/>
      <c r="D1459" s="21"/>
      <c r="G1459" s="1"/>
      <c r="H1459" s="11" t="str">
        <f t="shared" si="84"/>
        <v>0 г. 0 мес. 0 дн.</v>
      </c>
      <c r="I1459" s="20"/>
      <c r="J1459" s="20"/>
      <c r="O1459" s="20"/>
      <c r="V1459" s="1" t="str">
        <f t="shared" si="85"/>
        <v>0 г. 0 мес. 0 дн.</v>
      </c>
      <c r="W1459" s="69"/>
    </row>
    <row r="1460" spans="1:23" ht="35.1" customHeight="1" x14ac:dyDescent="0.25">
      <c r="A1460" s="1">
        <f t="shared" si="83"/>
        <v>1459</v>
      </c>
      <c r="B1460" s="1"/>
      <c r="C1460" s="39"/>
      <c r="D1460" s="21"/>
      <c r="G1460" s="1"/>
      <c r="H1460" s="11" t="str">
        <f t="shared" si="84"/>
        <v>0 г. 0 мес. 0 дн.</v>
      </c>
      <c r="I1460" s="20"/>
      <c r="J1460" s="20"/>
      <c r="O1460" s="20"/>
      <c r="V1460" s="1" t="str">
        <f t="shared" si="85"/>
        <v>0 г. 0 мес. 0 дн.</v>
      </c>
      <c r="W1460" s="69"/>
    </row>
    <row r="1461" spans="1:23" ht="35.1" customHeight="1" x14ac:dyDescent="0.25">
      <c r="A1461" s="1">
        <f t="shared" si="83"/>
        <v>1460</v>
      </c>
      <c r="B1461" s="1"/>
      <c r="C1461" s="39"/>
      <c r="D1461" s="21"/>
      <c r="G1461" s="1"/>
      <c r="H1461" s="11" t="str">
        <f t="shared" si="84"/>
        <v>0 г. 0 мес. 0 дн.</v>
      </c>
      <c r="I1461" s="20"/>
      <c r="J1461" s="20"/>
      <c r="O1461" s="20"/>
      <c r="V1461" s="1" t="str">
        <f t="shared" si="85"/>
        <v>0 г. 0 мес. 0 дн.</v>
      </c>
      <c r="W1461" s="69"/>
    </row>
    <row r="1462" spans="1:23" ht="35.1" customHeight="1" x14ac:dyDescent="0.25">
      <c r="A1462" s="1">
        <f t="shared" si="83"/>
        <v>1461</v>
      </c>
      <c r="B1462" s="1"/>
      <c r="C1462" s="39"/>
      <c r="D1462" s="21"/>
      <c r="G1462" s="1"/>
      <c r="H1462" s="11" t="str">
        <f t="shared" si="84"/>
        <v>0 г. 0 мес. 0 дн.</v>
      </c>
      <c r="I1462" s="20"/>
      <c r="J1462" s="20"/>
      <c r="O1462" s="20"/>
      <c r="V1462" s="1" t="str">
        <f t="shared" si="85"/>
        <v>0 г. 0 мес. 0 дн.</v>
      </c>
      <c r="W1462" s="69"/>
    </row>
    <row r="1463" spans="1:23" ht="35.1" customHeight="1" x14ac:dyDescent="0.25">
      <c r="A1463" s="1">
        <f t="shared" si="83"/>
        <v>1462</v>
      </c>
      <c r="B1463" s="1"/>
      <c r="C1463" s="39"/>
      <c r="D1463" s="21"/>
      <c r="G1463" s="1"/>
      <c r="H1463" s="11" t="str">
        <f t="shared" si="84"/>
        <v>0 г. 0 мес. 0 дн.</v>
      </c>
      <c r="I1463" s="20"/>
      <c r="J1463" s="20"/>
      <c r="O1463" s="20"/>
      <c r="V1463" s="1" t="str">
        <f t="shared" si="85"/>
        <v>0 г. 0 мес. 0 дн.</v>
      </c>
      <c r="W1463" s="69"/>
    </row>
    <row r="1464" spans="1:23" ht="35.1" customHeight="1" x14ac:dyDescent="0.25">
      <c r="A1464" s="1">
        <f t="shared" si="83"/>
        <v>1463</v>
      </c>
      <c r="B1464" s="1"/>
      <c r="C1464" s="39"/>
      <c r="D1464" s="21"/>
      <c r="G1464" s="1"/>
      <c r="H1464" s="11" t="str">
        <f t="shared" si="84"/>
        <v>0 г. 0 мес. 0 дн.</v>
      </c>
      <c r="I1464" s="20"/>
      <c r="J1464" s="20"/>
      <c r="O1464" s="20"/>
      <c r="V1464" s="1" t="str">
        <f t="shared" si="85"/>
        <v>0 г. 0 мес. 0 дн.</v>
      </c>
      <c r="W1464" s="69"/>
    </row>
    <row r="1465" spans="1:23" ht="35.1" customHeight="1" x14ac:dyDescent="0.25">
      <c r="A1465" s="1">
        <f t="shared" si="83"/>
        <v>1464</v>
      </c>
      <c r="B1465" s="1"/>
      <c r="C1465" s="39"/>
      <c r="D1465" s="21"/>
      <c r="G1465" s="1"/>
      <c r="H1465" s="11" t="str">
        <f t="shared" si="84"/>
        <v>0 г. 0 мес. 0 дн.</v>
      </c>
      <c r="I1465" s="20"/>
      <c r="J1465" s="20"/>
      <c r="O1465" s="20"/>
      <c r="V1465" s="1" t="str">
        <f t="shared" si="85"/>
        <v>0 г. 0 мес. 0 дн.</v>
      </c>
      <c r="W1465" s="69"/>
    </row>
    <row r="1466" spans="1:23" ht="35.1" customHeight="1" x14ac:dyDescent="0.25">
      <c r="A1466" s="1">
        <f t="shared" si="83"/>
        <v>1465</v>
      </c>
      <c r="B1466" s="1"/>
      <c r="C1466" s="39"/>
      <c r="D1466" s="21"/>
      <c r="G1466" s="1"/>
      <c r="H1466" s="11" t="str">
        <f t="shared" si="84"/>
        <v>0 г. 0 мес. 0 дн.</v>
      </c>
      <c r="I1466" s="20"/>
      <c r="J1466" s="20"/>
      <c r="O1466" s="20"/>
      <c r="V1466" s="1" t="str">
        <f t="shared" si="85"/>
        <v>0 г. 0 мес. 0 дн.</v>
      </c>
      <c r="W1466" s="69"/>
    </row>
    <row r="1467" spans="1:23" ht="35.1" customHeight="1" x14ac:dyDescent="0.25">
      <c r="A1467" s="1">
        <f t="shared" si="83"/>
        <v>1466</v>
      </c>
      <c r="B1467" s="1"/>
      <c r="C1467" s="39"/>
      <c r="D1467" s="21"/>
      <c r="G1467" s="1"/>
      <c r="H1467" s="11" t="str">
        <f t="shared" si="84"/>
        <v>0 г. 0 мес. 0 дн.</v>
      </c>
      <c r="I1467" s="20"/>
      <c r="J1467" s="20"/>
      <c r="O1467" s="20"/>
      <c r="V1467" s="1" t="str">
        <f t="shared" si="85"/>
        <v>0 г. 0 мес. 0 дн.</v>
      </c>
      <c r="W1467" s="69"/>
    </row>
    <row r="1468" spans="1:23" ht="35.1" customHeight="1" x14ac:dyDescent="0.25">
      <c r="A1468" s="1">
        <f t="shared" si="83"/>
        <v>1467</v>
      </c>
      <c r="B1468" s="1"/>
      <c r="C1468" s="39"/>
      <c r="D1468" s="21"/>
      <c r="G1468" s="1"/>
      <c r="H1468" s="11" t="str">
        <f t="shared" si="84"/>
        <v>0 г. 0 мес. 0 дн.</v>
      </c>
      <c r="I1468" s="20"/>
      <c r="J1468" s="20"/>
      <c r="O1468" s="20"/>
      <c r="V1468" s="1" t="str">
        <f t="shared" si="85"/>
        <v>0 г. 0 мес. 0 дн.</v>
      </c>
      <c r="W1468" s="69"/>
    </row>
    <row r="1469" spans="1:23" ht="35.1" customHeight="1" x14ac:dyDescent="0.25">
      <c r="A1469" s="1">
        <f t="shared" si="83"/>
        <v>1468</v>
      </c>
      <c r="B1469" s="1"/>
      <c r="C1469" s="39"/>
      <c r="D1469" s="21"/>
      <c r="G1469" s="1"/>
      <c r="H1469" s="11" t="str">
        <f t="shared" si="84"/>
        <v>0 г. 0 мес. 0 дн.</v>
      </c>
      <c r="I1469" s="20"/>
      <c r="J1469" s="20"/>
      <c r="O1469" s="20"/>
      <c r="V1469" s="1" t="str">
        <f t="shared" si="85"/>
        <v>0 г. 0 мес. 0 дн.</v>
      </c>
      <c r="W1469" s="69"/>
    </row>
    <row r="1470" spans="1:23" ht="35.1" customHeight="1" x14ac:dyDescent="0.25">
      <c r="A1470" s="1">
        <f t="shared" si="83"/>
        <v>1469</v>
      </c>
      <c r="B1470" s="1"/>
      <c r="C1470" s="39"/>
      <c r="D1470" s="21"/>
      <c r="G1470" s="1"/>
      <c r="H1470" s="11" t="str">
        <f t="shared" si="84"/>
        <v>0 г. 0 мес. 0 дн.</v>
      </c>
      <c r="I1470" s="20"/>
      <c r="J1470" s="20"/>
      <c r="O1470" s="20"/>
      <c r="V1470" s="1" t="str">
        <f t="shared" si="85"/>
        <v>0 г. 0 мес. 0 дн.</v>
      </c>
      <c r="W1470" s="69"/>
    </row>
    <row r="1471" spans="1:23" ht="35.1" customHeight="1" x14ac:dyDescent="0.25">
      <c r="A1471" s="1">
        <f t="shared" si="83"/>
        <v>1470</v>
      </c>
      <c r="B1471" s="1"/>
      <c r="C1471" s="39"/>
      <c r="D1471" s="21"/>
      <c r="G1471" s="1"/>
      <c r="H1471" s="11" t="str">
        <f t="shared" si="84"/>
        <v>0 г. 0 мес. 0 дн.</v>
      </c>
      <c r="I1471" s="20"/>
      <c r="J1471" s="20"/>
      <c r="O1471" s="20"/>
      <c r="V1471" s="1" t="str">
        <f t="shared" si="85"/>
        <v>0 г. 0 мес. 0 дн.</v>
      </c>
      <c r="W1471" s="69"/>
    </row>
    <row r="1472" spans="1:23" ht="35.1" customHeight="1" x14ac:dyDescent="0.25">
      <c r="A1472" s="1">
        <f t="shared" si="83"/>
        <v>1471</v>
      </c>
      <c r="B1472" s="1"/>
      <c r="C1472" s="39"/>
      <c r="D1472" s="21"/>
      <c r="G1472" s="1"/>
      <c r="H1472" s="11" t="str">
        <f t="shared" si="84"/>
        <v>0 г. 0 мес. 0 дн.</v>
      </c>
      <c r="I1472" s="20"/>
      <c r="J1472" s="20"/>
      <c r="O1472" s="20"/>
      <c r="V1472" s="1" t="str">
        <f t="shared" si="85"/>
        <v>0 г. 0 мес. 0 дн.</v>
      </c>
      <c r="W1472" s="69"/>
    </row>
    <row r="1473" spans="1:23" ht="35.1" customHeight="1" x14ac:dyDescent="0.25">
      <c r="A1473" s="1">
        <f t="shared" ref="A1473:A1536" si="86">ROW(A1472)</f>
        <v>1472</v>
      </c>
      <c r="B1473" s="1"/>
      <c r="C1473" s="39"/>
      <c r="D1473" s="21"/>
      <c r="G1473" s="1"/>
      <c r="H1473" s="11" t="str">
        <f t="shared" ref="H1473:H1536" si="87">DATEDIF(G1473,D1473,"y") &amp; " г. " &amp; DATEDIF(G1473,D1473,"ym") &amp; " мес. " &amp; DATEDIF(G1473,D1473,"md") &amp; " дн."</f>
        <v>0 г. 0 мес. 0 дн.</v>
      </c>
      <c r="I1473" s="20"/>
      <c r="J1473" s="20"/>
      <c r="O1473" s="20"/>
      <c r="V1473" s="1" t="str">
        <f t="shared" si="85"/>
        <v>0 г. 0 мес. 0 дн.</v>
      </c>
      <c r="W1473" s="69"/>
    </row>
    <row r="1474" spans="1:23" ht="35.1" customHeight="1" x14ac:dyDescent="0.25">
      <c r="A1474" s="1">
        <f t="shared" si="86"/>
        <v>1473</v>
      </c>
      <c r="B1474" s="1"/>
      <c r="C1474" s="39"/>
      <c r="D1474" s="21"/>
      <c r="G1474" s="1"/>
      <c r="H1474" s="11" t="str">
        <f t="shared" si="87"/>
        <v>0 г. 0 мес. 0 дн.</v>
      </c>
      <c r="I1474" s="20"/>
      <c r="J1474" s="20"/>
      <c r="O1474" s="20"/>
      <c r="V1474" s="1" t="str">
        <f t="shared" si="85"/>
        <v>0 г. 0 мес. 0 дн.</v>
      </c>
      <c r="W1474" s="69"/>
    </row>
    <row r="1475" spans="1:23" ht="35.1" customHeight="1" x14ac:dyDescent="0.25">
      <c r="A1475" s="1">
        <f t="shared" si="86"/>
        <v>1474</v>
      </c>
      <c r="B1475" s="1"/>
      <c r="C1475" s="39"/>
      <c r="D1475" s="21"/>
      <c r="G1475" s="1"/>
      <c r="H1475" s="11" t="str">
        <f t="shared" si="87"/>
        <v>0 г. 0 мес. 0 дн.</v>
      </c>
      <c r="I1475" s="20"/>
      <c r="J1475" s="20"/>
      <c r="O1475" s="20"/>
      <c r="V1475" s="1" t="str">
        <f t="shared" si="85"/>
        <v>0 г. 0 мес. 0 дн.</v>
      </c>
      <c r="W1475" s="69"/>
    </row>
    <row r="1476" spans="1:23" ht="35.1" customHeight="1" x14ac:dyDescent="0.25">
      <c r="A1476" s="1">
        <f t="shared" si="86"/>
        <v>1475</v>
      </c>
      <c r="B1476" s="1"/>
      <c r="C1476" s="39"/>
      <c r="D1476" s="21"/>
      <c r="G1476" s="1"/>
      <c r="H1476" s="11" t="str">
        <f t="shared" si="87"/>
        <v>0 г. 0 мес. 0 дн.</v>
      </c>
      <c r="I1476" s="20"/>
      <c r="J1476" s="20"/>
      <c r="O1476" s="20"/>
      <c r="V1476" s="1" t="str">
        <f t="shared" si="85"/>
        <v>0 г. 0 мес. 0 дн.</v>
      </c>
      <c r="W1476" s="69"/>
    </row>
    <row r="1477" spans="1:23" ht="35.1" customHeight="1" x14ac:dyDescent="0.25">
      <c r="A1477" s="1">
        <f t="shared" si="86"/>
        <v>1476</v>
      </c>
      <c r="B1477" s="1"/>
      <c r="C1477" s="39"/>
      <c r="D1477" s="21"/>
      <c r="G1477" s="1"/>
      <c r="H1477" s="11" t="str">
        <f t="shared" si="87"/>
        <v>0 г. 0 мес. 0 дн.</v>
      </c>
      <c r="I1477" s="20"/>
      <c r="J1477" s="20"/>
      <c r="O1477" s="20"/>
      <c r="V1477" s="1" t="str">
        <f t="shared" si="85"/>
        <v>0 г. 0 мес. 0 дн.</v>
      </c>
      <c r="W1477" s="69"/>
    </row>
    <row r="1478" spans="1:23" ht="35.1" customHeight="1" x14ac:dyDescent="0.25">
      <c r="A1478" s="1">
        <f t="shared" si="86"/>
        <v>1477</v>
      </c>
      <c r="B1478" s="1"/>
      <c r="C1478" s="39"/>
      <c r="D1478" s="21"/>
      <c r="G1478" s="1"/>
      <c r="H1478" s="11" t="str">
        <f t="shared" si="87"/>
        <v>0 г. 0 мес. 0 дн.</v>
      </c>
      <c r="I1478" s="20"/>
      <c r="J1478" s="20"/>
      <c r="O1478" s="20"/>
      <c r="V1478" s="1" t="str">
        <f t="shared" si="85"/>
        <v>0 г. 0 мес. 0 дн.</v>
      </c>
      <c r="W1478" s="69"/>
    </row>
    <row r="1479" spans="1:23" ht="35.1" customHeight="1" x14ac:dyDescent="0.25">
      <c r="A1479" s="1">
        <f t="shared" si="86"/>
        <v>1478</v>
      </c>
      <c r="B1479" s="1"/>
      <c r="C1479" s="39"/>
      <c r="D1479" s="21"/>
      <c r="G1479" s="1"/>
      <c r="H1479" s="11" t="str">
        <f t="shared" si="87"/>
        <v>0 г. 0 мес. 0 дн.</v>
      </c>
      <c r="I1479" s="20"/>
      <c r="J1479" s="20"/>
      <c r="O1479" s="20"/>
      <c r="V1479" s="1" t="str">
        <f t="shared" si="85"/>
        <v>0 г. 0 мес. 0 дн.</v>
      </c>
      <c r="W1479" s="69"/>
    </row>
    <row r="1480" spans="1:23" ht="35.1" customHeight="1" x14ac:dyDescent="0.25">
      <c r="A1480" s="1">
        <f t="shared" si="86"/>
        <v>1479</v>
      </c>
      <c r="B1480" s="1"/>
      <c r="C1480" s="39"/>
      <c r="D1480" s="21"/>
      <c r="G1480" s="1"/>
      <c r="H1480" s="11" t="str">
        <f t="shared" si="87"/>
        <v>0 г. 0 мес. 0 дн.</v>
      </c>
      <c r="I1480" s="20"/>
      <c r="J1480" s="20"/>
      <c r="O1480" s="20"/>
      <c r="V1480" s="1" t="str">
        <f t="shared" si="85"/>
        <v>0 г. 0 мес. 0 дн.</v>
      </c>
      <c r="W1480" s="69"/>
    </row>
    <row r="1481" spans="1:23" ht="35.1" customHeight="1" x14ac:dyDescent="0.25">
      <c r="A1481" s="1">
        <f t="shared" si="86"/>
        <v>1480</v>
      </c>
      <c r="B1481" s="1"/>
      <c r="C1481" s="39"/>
      <c r="D1481" s="21"/>
      <c r="G1481" s="1"/>
      <c r="H1481" s="11" t="str">
        <f t="shared" si="87"/>
        <v>0 г. 0 мес. 0 дн.</v>
      </c>
      <c r="I1481" s="20"/>
      <c r="J1481" s="20"/>
      <c r="O1481" s="20"/>
      <c r="V1481" s="1" t="str">
        <f t="shared" si="85"/>
        <v>0 г. 0 мес. 0 дн.</v>
      </c>
      <c r="W1481" s="69"/>
    </row>
    <row r="1482" spans="1:23" ht="35.1" customHeight="1" x14ac:dyDescent="0.25">
      <c r="A1482" s="1">
        <f t="shared" si="86"/>
        <v>1481</v>
      </c>
      <c r="B1482" s="1"/>
      <c r="C1482" s="39"/>
      <c r="D1482" s="21"/>
      <c r="G1482" s="1"/>
      <c r="H1482" s="11" t="str">
        <f t="shared" si="87"/>
        <v>0 г. 0 мес. 0 дн.</v>
      </c>
      <c r="I1482" s="20"/>
      <c r="J1482" s="20"/>
      <c r="O1482" s="20"/>
      <c r="V1482" s="1" t="str">
        <f t="shared" si="85"/>
        <v>0 г. 0 мес. 0 дн.</v>
      </c>
      <c r="W1482" s="69"/>
    </row>
    <row r="1483" spans="1:23" ht="35.1" customHeight="1" x14ac:dyDescent="0.25">
      <c r="A1483" s="1">
        <f t="shared" si="86"/>
        <v>1482</v>
      </c>
      <c r="B1483" s="1"/>
      <c r="C1483" s="39"/>
      <c r="D1483" s="21"/>
      <c r="G1483" s="1"/>
      <c r="H1483" s="11" t="str">
        <f t="shared" si="87"/>
        <v>0 г. 0 мес. 0 дн.</v>
      </c>
      <c r="I1483" s="20"/>
      <c r="J1483" s="20"/>
      <c r="O1483" s="20"/>
      <c r="V1483" s="1" t="str">
        <f t="shared" si="85"/>
        <v>0 г. 0 мес. 0 дн.</v>
      </c>
      <c r="W1483" s="69"/>
    </row>
    <row r="1484" spans="1:23" ht="35.1" customHeight="1" x14ac:dyDescent="0.25">
      <c r="A1484" s="1">
        <f t="shared" si="86"/>
        <v>1483</v>
      </c>
      <c r="B1484" s="1"/>
      <c r="C1484" s="39"/>
      <c r="D1484" s="21"/>
      <c r="G1484" s="1"/>
      <c r="H1484" s="11" t="str">
        <f t="shared" si="87"/>
        <v>0 г. 0 мес. 0 дн.</v>
      </c>
      <c r="I1484" s="20"/>
      <c r="J1484" s="20"/>
      <c r="O1484" s="20"/>
      <c r="V1484" s="1" t="str">
        <f t="shared" si="85"/>
        <v>0 г. 0 мес. 0 дн.</v>
      </c>
      <c r="W1484" s="69"/>
    </row>
    <row r="1485" spans="1:23" ht="35.1" customHeight="1" x14ac:dyDescent="0.25">
      <c r="A1485" s="1">
        <f t="shared" si="86"/>
        <v>1484</v>
      </c>
      <c r="B1485" s="1"/>
      <c r="C1485" s="39"/>
      <c r="D1485" s="21"/>
      <c r="G1485" s="1"/>
      <c r="H1485" s="11" t="str">
        <f t="shared" si="87"/>
        <v>0 г. 0 мес. 0 дн.</v>
      </c>
      <c r="I1485" s="20"/>
      <c r="J1485" s="20"/>
      <c r="O1485" s="20"/>
      <c r="V1485" s="1" t="str">
        <f t="shared" si="85"/>
        <v>0 г. 0 мес. 0 дн.</v>
      </c>
      <c r="W1485" s="69"/>
    </row>
    <row r="1486" spans="1:23" ht="35.1" customHeight="1" x14ac:dyDescent="0.25">
      <c r="A1486" s="1">
        <f t="shared" si="86"/>
        <v>1485</v>
      </c>
      <c r="B1486" s="1"/>
      <c r="C1486" s="39"/>
      <c r="D1486" s="21"/>
      <c r="G1486" s="1"/>
      <c r="H1486" s="11" t="str">
        <f t="shared" si="87"/>
        <v>0 г. 0 мес. 0 дн.</v>
      </c>
      <c r="I1486" s="20"/>
      <c r="J1486" s="20"/>
      <c r="O1486" s="20"/>
      <c r="V1486" s="1" t="str">
        <f t="shared" si="85"/>
        <v>0 г. 0 мес. 0 дн.</v>
      </c>
      <c r="W1486" s="69"/>
    </row>
    <row r="1487" spans="1:23" ht="35.1" customHeight="1" x14ac:dyDescent="0.25">
      <c r="A1487" s="1">
        <f t="shared" si="86"/>
        <v>1486</v>
      </c>
      <c r="B1487" s="1"/>
      <c r="C1487" s="39"/>
      <c r="D1487" s="21"/>
      <c r="G1487" s="1"/>
      <c r="H1487" s="11" t="str">
        <f t="shared" si="87"/>
        <v>0 г. 0 мес. 0 дн.</v>
      </c>
      <c r="I1487" s="20"/>
      <c r="J1487" s="20"/>
      <c r="O1487" s="20"/>
      <c r="V1487" s="1" t="str">
        <f t="shared" si="85"/>
        <v>0 г. 0 мес. 0 дн.</v>
      </c>
      <c r="W1487" s="69"/>
    </row>
    <row r="1488" spans="1:23" ht="35.1" customHeight="1" x14ac:dyDescent="0.25">
      <c r="A1488" s="1">
        <f t="shared" si="86"/>
        <v>1487</v>
      </c>
      <c r="B1488" s="1"/>
      <c r="C1488" s="39"/>
      <c r="D1488" s="21"/>
      <c r="G1488" s="1"/>
      <c r="H1488" s="11" t="str">
        <f t="shared" si="87"/>
        <v>0 г. 0 мес. 0 дн.</v>
      </c>
      <c r="I1488" s="20"/>
      <c r="J1488" s="20"/>
      <c r="O1488" s="20"/>
      <c r="V1488" s="1" t="str">
        <f t="shared" si="85"/>
        <v>0 г. 0 мес. 0 дн.</v>
      </c>
      <c r="W1488" s="69"/>
    </row>
    <row r="1489" spans="1:23" ht="35.1" customHeight="1" x14ac:dyDescent="0.25">
      <c r="A1489" s="1">
        <f t="shared" si="86"/>
        <v>1488</v>
      </c>
      <c r="B1489" s="1"/>
      <c r="C1489" s="39"/>
      <c r="D1489" s="21"/>
      <c r="G1489" s="1"/>
      <c r="H1489" s="11" t="str">
        <f t="shared" si="87"/>
        <v>0 г. 0 мес. 0 дн.</v>
      </c>
      <c r="I1489" s="20"/>
      <c r="J1489" s="20"/>
      <c r="O1489" s="20"/>
      <c r="V1489" s="1" t="str">
        <f t="shared" si="85"/>
        <v>0 г. 0 мес. 0 дн.</v>
      </c>
      <c r="W1489" s="69"/>
    </row>
    <row r="1490" spans="1:23" ht="35.1" customHeight="1" x14ac:dyDescent="0.25">
      <c r="A1490" s="1">
        <f t="shared" si="86"/>
        <v>1489</v>
      </c>
      <c r="B1490" s="1"/>
      <c r="C1490" s="39"/>
      <c r="D1490" s="21"/>
      <c r="G1490" s="1"/>
      <c r="H1490" s="11" t="str">
        <f t="shared" si="87"/>
        <v>0 г. 0 мес. 0 дн.</v>
      </c>
      <c r="I1490" s="20"/>
      <c r="J1490" s="20"/>
      <c r="O1490" s="20"/>
      <c r="V1490" s="1" t="str">
        <f t="shared" si="85"/>
        <v>0 г. 0 мес. 0 дн.</v>
      </c>
      <c r="W1490" s="69"/>
    </row>
    <row r="1491" spans="1:23" ht="35.1" customHeight="1" x14ac:dyDescent="0.25">
      <c r="A1491" s="1">
        <f t="shared" si="86"/>
        <v>1490</v>
      </c>
      <c r="B1491" s="1"/>
      <c r="C1491" s="39"/>
      <c r="D1491" s="21"/>
      <c r="G1491" s="1"/>
      <c r="H1491" s="11" t="str">
        <f t="shared" si="87"/>
        <v>0 г. 0 мес. 0 дн.</v>
      </c>
      <c r="I1491" s="20"/>
      <c r="J1491" s="20"/>
      <c r="O1491" s="20"/>
      <c r="V1491" s="1" t="str">
        <f t="shared" si="85"/>
        <v>0 г. 0 мес. 0 дн.</v>
      </c>
      <c r="W1491" s="69"/>
    </row>
    <row r="1492" spans="1:23" ht="35.1" customHeight="1" x14ac:dyDescent="0.25">
      <c r="A1492" s="1">
        <f t="shared" si="86"/>
        <v>1491</v>
      </c>
      <c r="B1492" s="1"/>
      <c r="C1492" s="39"/>
      <c r="D1492" s="21"/>
      <c r="G1492" s="1"/>
      <c r="H1492" s="11" t="str">
        <f t="shared" si="87"/>
        <v>0 г. 0 мес. 0 дн.</v>
      </c>
      <c r="I1492" s="20"/>
      <c r="J1492" s="20"/>
      <c r="O1492" s="20"/>
      <c r="V1492" s="1" t="str">
        <f t="shared" si="85"/>
        <v>0 г. 0 мес. 0 дн.</v>
      </c>
      <c r="W1492" s="69"/>
    </row>
    <row r="1493" spans="1:23" ht="35.1" customHeight="1" x14ac:dyDescent="0.25">
      <c r="A1493" s="1">
        <f t="shared" si="86"/>
        <v>1492</v>
      </c>
      <c r="B1493" s="1"/>
      <c r="C1493" s="39"/>
      <c r="D1493" s="21"/>
      <c r="G1493" s="1"/>
      <c r="H1493" s="11" t="str">
        <f t="shared" si="87"/>
        <v>0 г. 0 мес. 0 дн.</v>
      </c>
      <c r="I1493" s="20"/>
      <c r="J1493" s="20"/>
      <c r="O1493" s="20"/>
      <c r="V1493" s="1" t="str">
        <f t="shared" si="85"/>
        <v>0 г. 0 мес. 0 дн.</v>
      </c>
      <c r="W1493" s="69"/>
    </row>
    <row r="1494" spans="1:23" ht="35.1" customHeight="1" x14ac:dyDescent="0.25">
      <c r="A1494" s="1">
        <f t="shared" si="86"/>
        <v>1493</v>
      </c>
      <c r="B1494" s="1"/>
      <c r="C1494" s="39"/>
      <c r="D1494" s="21"/>
      <c r="G1494" s="1"/>
      <c r="H1494" s="11" t="str">
        <f t="shared" si="87"/>
        <v>0 г. 0 мес. 0 дн.</v>
      </c>
      <c r="I1494" s="20"/>
      <c r="J1494" s="20"/>
      <c r="O1494" s="20"/>
      <c r="V1494" s="1" t="str">
        <f t="shared" si="85"/>
        <v>0 г. 0 мес. 0 дн.</v>
      </c>
      <c r="W1494" s="69"/>
    </row>
    <row r="1495" spans="1:23" ht="35.1" customHeight="1" x14ac:dyDescent="0.25">
      <c r="A1495" s="1">
        <f t="shared" si="86"/>
        <v>1494</v>
      </c>
      <c r="B1495" s="1"/>
      <c r="C1495" s="39"/>
      <c r="D1495" s="21"/>
      <c r="G1495" s="1"/>
      <c r="H1495" s="11" t="str">
        <f t="shared" si="87"/>
        <v>0 г. 0 мес. 0 дн.</v>
      </c>
      <c r="I1495" s="20"/>
      <c r="J1495" s="20"/>
      <c r="O1495" s="20"/>
      <c r="V1495" s="1" t="str">
        <f t="shared" si="85"/>
        <v>0 г. 0 мес. 0 дн.</v>
      </c>
      <c r="W1495" s="69"/>
    </row>
    <row r="1496" spans="1:23" ht="35.1" customHeight="1" x14ac:dyDescent="0.25">
      <c r="A1496" s="1">
        <f t="shared" si="86"/>
        <v>1495</v>
      </c>
      <c r="B1496" s="1"/>
      <c r="C1496" s="39"/>
      <c r="D1496" s="21"/>
      <c r="G1496" s="1"/>
      <c r="H1496" s="11" t="str">
        <f t="shared" si="87"/>
        <v>0 г. 0 мес. 0 дн.</v>
      </c>
      <c r="I1496" s="20"/>
      <c r="J1496" s="20"/>
      <c r="O1496" s="20"/>
      <c r="V1496" s="1" t="str">
        <f t="shared" si="85"/>
        <v>0 г. 0 мес. 0 дн.</v>
      </c>
      <c r="W1496" s="69"/>
    </row>
    <row r="1497" spans="1:23" ht="35.1" customHeight="1" x14ac:dyDescent="0.25">
      <c r="A1497" s="1">
        <f t="shared" si="86"/>
        <v>1496</v>
      </c>
      <c r="B1497" s="1"/>
      <c r="C1497" s="39"/>
      <c r="D1497" s="21"/>
      <c r="G1497" s="1"/>
      <c r="H1497" s="11" t="str">
        <f t="shared" si="87"/>
        <v>0 г. 0 мес. 0 дн.</v>
      </c>
      <c r="I1497" s="20"/>
      <c r="J1497" s="20"/>
      <c r="O1497" s="20"/>
      <c r="V1497" s="1" t="str">
        <f t="shared" ref="V1497:V1560" si="88">DATEDIF(D1497,T1497,"y") &amp; " г. " &amp; DATEDIF(D1497,T1497,"ym") &amp; " мес. " &amp; DATEDIF(D1497,T1497,"md") &amp; " дн."</f>
        <v>0 г. 0 мес. 0 дн.</v>
      </c>
      <c r="W1497" s="69"/>
    </row>
    <row r="1498" spans="1:23" ht="35.1" customHeight="1" x14ac:dyDescent="0.25">
      <c r="A1498" s="1">
        <f t="shared" si="86"/>
        <v>1497</v>
      </c>
      <c r="B1498" s="1"/>
      <c r="C1498" s="39"/>
      <c r="D1498" s="21"/>
      <c r="G1498" s="1"/>
      <c r="H1498" s="11" t="str">
        <f t="shared" si="87"/>
        <v>0 г. 0 мес. 0 дн.</v>
      </c>
      <c r="I1498" s="20"/>
      <c r="J1498" s="20"/>
      <c r="O1498" s="20"/>
      <c r="V1498" s="1" t="str">
        <f t="shared" si="88"/>
        <v>0 г. 0 мес. 0 дн.</v>
      </c>
      <c r="W1498" s="69"/>
    </row>
    <row r="1499" spans="1:23" ht="35.1" customHeight="1" x14ac:dyDescent="0.25">
      <c r="A1499" s="1">
        <f t="shared" si="86"/>
        <v>1498</v>
      </c>
      <c r="B1499" s="1"/>
      <c r="C1499" s="39"/>
      <c r="D1499" s="21"/>
      <c r="G1499" s="1"/>
      <c r="H1499" s="11" t="str">
        <f t="shared" si="87"/>
        <v>0 г. 0 мес. 0 дн.</v>
      </c>
      <c r="I1499" s="20"/>
      <c r="J1499" s="20"/>
      <c r="O1499" s="20"/>
      <c r="V1499" s="1" t="str">
        <f t="shared" si="88"/>
        <v>0 г. 0 мес. 0 дн.</v>
      </c>
      <c r="W1499" s="69"/>
    </row>
    <row r="1500" spans="1:23" ht="35.1" customHeight="1" x14ac:dyDescent="0.25">
      <c r="A1500" s="1">
        <f t="shared" si="86"/>
        <v>1499</v>
      </c>
      <c r="B1500" s="1"/>
      <c r="C1500" s="39"/>
      <c r="D1500" s="21"/>
      <c r="G1500" s="1"/>
      <c r="H1500" s="11" t="str">
        <f t="shared" si="87"/>
        <v>0 г. 0 мес. 0 дн.</v>
      </c>
      <c r="I1500" s="20"/>
      <c r="J1500" s="20"/>
      <c r="O1500" s="20"/>
      <c r="V1500" s="1" t="str">
        <f t="shared" si="88"/>
        <v>0 г. 0 мес. 0 дн.</v>
      </c>
      <c r="W1500" s="69"/>
    </row>
    <row r="1501" spans="1:23" ht="35.1" customHeight="1" x14ac:dyDescent="0.25">
      <c r="A1501" s="1">
        <f t="shared" si="86"/>
        <v>1500</v>
      </c>
      <c r="B1501" s="1"/>
      <c r="C1501" s="39"/>
      <c r="D1501" s="21"/>
      <c r="G1501" s="1"/>
      <c r="H1501" s="11" t="str">
        <f t="shared" si="87"/>
        <v>0 г. 0 мес. 0 дн.</v>
      </c>
      <c r="I1501" s="20"/>
      <c r="J1501" s="20"/>
      <c r="O1501" s="20"/>
      <c r="V1501" s="1" t="str">
        <f t="shared" si="88"/>
        <v>0 г. 0 мес. 0 дн.</v>
      </c>
      <c r="W1501" s="69"/>
    </row>
    <row r="1502" spans="1:23" ht="35.1" customHeight="1" x14ac:dyDescent="0.25">
      <c r="A1502" s="1">
        <f t="shared" si="86"/>
        <v>1501</v>
      </c>
      <c r="B1502" s="1"/>
      <c r="C1502" s="39"/>
      <c r="D1502" s="21"/>
      <c r="G1502" s="1"/>
      <c r="H1502" s="11" t="str">
        <f t="shared" si="87"/>
        <v>0 г. 0 мес. 0 дн.</v>
      </c>
      <c r="I1502" s="20"/>
      <c r="J1502" s="20"/>
      <c r="O1502" s="20"/>
      <c r="V1502" s="1" t="str">
        <f t="shared" si="88"/>
        <v>0 г. 0 мес. 0 дн.</v>
      </c>
      <c r="W1502" s="69"/>
    </row>
    <row r="1503" spans="1:23" ht="35.1" customHeight="1" x14ac:dyDescent="0.25">
      <c r="A1503" s="1">
        <f t="shared" si="86"/>
        <v>1502</v>
      </c>
      <c r="B1503" s="1"/>
      <c r="C1503" s="39"/>
      <c r="D1503" s="21"/>
      <c r="G1503" s="1"/>
      <c r="H1503" s="11" t="str">
        <f t="shared" si="87"/>
        <v>0 г. 0 мес. 0 дн.</v>
      </c>
      <c r="I1503" s="20"/>
      <c r="J1503" s="20"/>
      <c r="O1503" s="20"/>
      <c r="V1503" s="1" t="str">
        <f t="shared" si="88"/>
        <v>0 г. 0 мес. 0 дн.</v>
      </c>
      <c r="W1503" s="69"/>
    </row>
    <row r="1504" spans="1:23" ht="35.1" customHeight="1" x14ac:dyDescent="0.25">
      <c r="A1504" s="1">
        <f t="shared" si="86"/>
        <v>1503</v>
      </c>
      <c r="B1504" s="1"/>
      <c r="C1504" s="39"/>
      <c r="D1504" s="21"/>
      <c r="G1504" s="1"/>
      <c r="H1504" s="11" t="str">
        <f t="shared" si="87"/>
        <v>0 г. 0 мес. 0 дн.</v>
      </c>
      <c r="I1504" s="20"/>
      <c r="J1504" s="20"/>
      <c r="O1504" s="20"/>
      <c r="V1504" s="1" t="str">
        <f t="shared" si="88"/>
        <v>0 г. 0 мес. 0 дн.</v>
      </c>
      <c r="W1504" s="69"/>
    </row>
    <row r="1505" spans="1:23" ht="35.1" customHeight="1" x14ac:dyDescent="0.25">
      <c r="A1505" s="1">
        <f t="shared" si="86"/>
        <v>1504</v>
      </c>
      <c r="B1505" s="1"/>
      <c r="C1505" s="39"/>
      <c r="D1505" s="21"/>
      <c r="G1505" s="1"/>
      <c r="H1505" s="11" t="str">
        <f t="shared" si="87"/>
        <v>0 г. 0 мес. 0 дн.</v>
      </c>
      <c r="I1505" s="20"/>
      <c r="J1505" s="20"/>
      <c r="O1505" s="20"/>
      <c r="V1505" s="1" t="str">
        <f t="shared" si="88"/>
        <v>0 г. 0 мес. 0 дн.</v>
      </c>
      <c r="W1505" s="69"/>
    </row>
    <row r="1506" spans="1:23" ht="35.1" customHeight="1" x14ac:dyDescent="0.25">
      <c r="A1506" s="1">
        <f t="shared" si="86"/>
        <v>1505</v>
      </c>
      <c r="B1506" s="1"/>
      <c r="C1506" s="39"/>
      <c r="D1506" s="21"/>
      <c r="G1506" s="1"/>
      <c r="H1506" s="11" t="str">
        <f t="shared" si="87"/>
        <v>0 г. 0 мес. 0 дн.</v>
      </c>
      <c r="I1506" s="20"/>
      <c r="J1506" s="20"/>
      <c r="O1506" s="20"/>
      <c r="V1506" s="1" t="str">
        <f t="shared" si="88"/>
        <v>0 г. 0 мес. 0 дн.</v>
      </c>
      <c r="W1506" s="69"/>
    </row>
    <row r="1507" spans="1:23" ht="35.1" customHeight="1" x14ac:dyDescent="0.25">
      <c r="A1507" s="1">
        <f t="shared" si="86"/>
        <v>1506</v>
      </c>
      <c r="B1507" s="1"/>
      <c r="C1507" s="39"/>
      <c r="D1507" s="21"/>
      <c r="G1507" s="1"/>
      <c r="H1507" s="11" t="str">
        <f t="shared" si="87"/>
        <v>0 г. 0 мес. 0 дн.</v>
      </c>
      <c r="I1507" s="20"/>
      <c r="J1507" s="20"/>
      <c r="O1507" s="20"/>
      <c r="V1507" s="1" t="str">
        <f t="shared" si="88"/>
        <v>0 г. 0 мес. 0 дн.</v>
      </c>
      <c r="W1507" s="69"/>
    </row>
    <row r="1508" spans="1:23" ht="35.1" customHeight="1" x14ac:dyDescent="0.25">
      <c r="A1508" s="1">
        <f t="shared" si="86"/>
        <v>1507</v>
      </c>
      <c r="B1508" s="1"/>
      <c r="C1508" s="39"/>
      <c r="D1508" s="21"/>
      <c r="G1508" s="1"/>
      <c r="H1508" s="11" t="str">
        <f t="shared" si="87"/>
        <v>0 г. 0 мес. 0 дн.</v>
      </c>
      <c r="I1508" s="20"/>
      <c r="J1508" s="20"/>
      <c r="O1508" s="20"/>
      <c r="V1508" s="1" t="str">
        <f t="shared" si="88"/>
        <v>0 г. 0 мес. 0 дн.</v>
      </c>
      <c r="W1508" s="69"/>
    </row>
    <row r="1509" spans="1:23" ht="35.1" customHeight="1" x14ac:dyDescent="0.25">
      <c r="A1509" s="1">
        <f t="shared" si="86"/>
        <v>1508</v>
      </c>
      <c r="B1509" s="1"/>
      <c r="C1509" s="39"/>
      <c r="D1509" s="21"/>
      <c r="G1509" s="1"/>
      <c r="H1509" s="11" t="str">
        <f t="shared" si="87"/>
        <v>0 г. 0 мес. 0 дн.</v>
      </c>
      <c r="I1509" s="20"/>
      <c r="J1509" s="20"/>
      <c r="O1509" s="20"/>
      <c r="V1509" s="1" t="str">
        <f t="shared" si="88"/>
        <v>0 г. 0 мес. 0 дн.</v>
      </c>
      <c r="W1509" s="69"/>
    </row>
    <row r="1510" spans="1:23" ht="35.1" customHeight="1" x14ac:dyDescent="0.25">
      <c r="A1510" s="1">
        <f t="shared" si="86"/>
        <v>1509</v>
      </c>
      <c r="B1510" s="1"/>
      <c r="C1510" s="39"/>
      <c r="D1510" s="21"/>
      <c r="G1510" s="1"/>
      <c r="H1510" s="11" t="str">
        <f t="shared" si="87"/>
        <v>0 г. 0 мес. 0 дн.</v>
      </c>
      <c r="I1510" s="20"/>
      <c r="J1510" s="20"/>
      <c r="O1510" s="20"/>
      <c r="V1510" s="1" t="str">
        <f t="shared" si="88"/>
        <v>0 г. 0 мес. 0 дн.</v>
      </c>
      <c r="W1510" s="69"/>
    </row>
    <row r="1511" spans="1:23" ht="35.1" customHeight="1" x14ac:dyDescent="0.25">
      <c r="A1511" s="1">
        <f t="shared" si="86"/>
        <v>1510</v>
      </c>
      <c r="B1511" s="1"/>
      <c r="C1511" s="39"/>
      <c r="D1511" s="21"/>
      <c r="G1511" s="1"/>
      <c r="H1511" s="11" t="str">
        <f t="shared" si="87"/>
        <v>0 г. 0 мес. 0 дн.</v>
      </c>
      <c r="I1511" s="20"/>
      <c r="J1511" s="20"/>
      <c r="O1511" s="20"/>
      <c r="V1511" s="1" t="str">
        <f t="shared" si="88"/>
        <v>0 г. 0 мес. 0 дн.</v>
      </c>
      <c r="W1511" s="69"/>
    </row>
    <row r="1512" spans="1:23" ht="35.1" customHeight="1" x14ac:dyDescent="0.25">
      <c r="A1512" s="1">
        <f t="shared" si="86"/>
        <v>1511</v>
      </c>
      <c r="B1512" s="1"/>
      <c r="C1512" s="39"/>
      <c r="D1512" s="21"/>
      <c r="G1512" s="1"/>
      <c r="H1512" s="11" t="str">
        <f t="shared" si="87"/>
        <v>0 г. 0 мес. 0 дн.</v>
      </c>
      <c r="I1512" s="20"/>
      <c r="J1512" s="20"/>
      <c r="O1512" s="20"/>
      <c r="V1512" s="1" t="str">
        <f t="shared" si="88"/>
        <v>0 г. 0 мес. 0 дн.</v>
      </c>
      <c r="W1512" s="69"/>
    </row>
    <row r="1513" spans="1:23" ht="35.1" customHeight="1" x14ac:dyDescent="0.25">
      <c r="A1513" s="1">
        <f t="shared" si="86"/>
        <v>1512</v>
      </c>
      <c r="B1513" s="1"/>
      <c r="C1513" s="39"/>
      <c r="D1513" s="21"/>
      <c r="G1513" s="1"/>
      <c r="H1513" s="11" t="str">
        <f t="shared" si="87"/>
        <v>0 г. 0 мес. 0 дн.</v>
      </c>
      <c r="I1513" s="20"/>
      <c r="J1513" s="20"/>
      <c r="O1513" s="20"/>
      <c r="V1513" s="1" t="str">
        <f t="shared" si="88"/>
        <v>0 г. 0 мес. 0 дн.</v>
      </c>
      <c r="W1513" s="69"/>
    </row>
    <row r="1514" spans="1:23" ht="35.1" customHeight="1" x14ac:dyDescent="0.25">
      <c r="A1514" s="1">
        <f t="shared" si="86"/>
        <v>1513</v>
      </c>
      <c r="B1514" s="1"/>
      <c r="C1514" s="39"/>
      <c r="D1514" s="21"/>
      <c r="G1514" s="1"/>
      <c r="H1514" s="11" t="str">
        <f t="shared" si="87"/>
        <v>0 г. 0 мес. 0 дн.</v>
      </c>
      <c r="I1514" s="20"/>
      <c r="J1514" s="20"/>
      <c r="O1514" s="20"/>
      <c r="V1514" s="1" t="str">
        <f t="shared" si="88"/>
        <v>0 г. 0 мес. 0 дн.</v>
      </c>
      <c r="W1514" s="69"/>
    </row>
    <row r="1515" spans="1:23" ht="35.1" customHeight="1" x14ac:dyDescent="0.25">
      <c r="A1515" s="1">
        <f t="shared" si="86"/>
        <v>1514</v>
      </c>
      <c r="B1515" s="1"/>
      <c r="C1515" s="39"/>
      <c r="D1515" s="21"/>
      <c r="G1515" s="1"/>
      <c r="H1515" s="11" t="str">
        <f t="shared" si="87"/>
        <v>0 г. 0 мес. 0 дн.</v>
      </c>
      <c r="I1515" s="20"/>
      <c r="J1515" s="20"/>
      <c r="O1515" s="20"/>
      <c r="V1515" s="1" t="str">
        <f t="shared" si="88"/>
        <v>0 г. 0 мес. 0 дн.</v>
      </c>
      <c r="W1515" s="69"/>
    </row>
    <row r="1516" spans="1:23" ht="35.1" customHeight="1" x14ac:dyDescent="0.25">
      <c r="A1516" s="1">
        <f t="shared" si="86"/>
        <v>1515</v>
      </c>
      <c r="B1516" s="1"/>
      <c r="C1516" s="39"/>
      <c r="D1516" s="21"/>
      <c r="G1516" s="1"/>
      <c r="H1516" s="11" t="str">
        <f t="shared" si="87"/>
        <v>0 г. 0 мес. 0 дн.</v>
      </c>
      <c r="I1516" s="20"/>
      <c r="J1516" s="20"/>
      <c r="O1516" s="20"/>
      <c r="V1516" s="1" t="str">
        <f t="shared" si="88"/>
        <v>0 г. 0 мес. 0 дн.</v>
      </c>
      <c r="W1516" s="69"/>
    </row>
    <row r="1517" spans="1:23" ht="35.1" customHeight="1" x14ac:dyDescent="0.25">
      <c r="A1517" s="1">
        <f t="shared" si="86"/>
        <v>1516</v>
      </c>
      <c r="B1517" s="1"/>
      <c r="C1517" s="39"/>
      <c r="D1517" s="21"/>
      <c r="G1517" s="1"/>
      <c r="H1517" s="11" t="str">
        <f t="shared" si="87"/>
        <v>0 г. 0 мес. 0 дн.</v>
      </c>
      <c r="I1517" s="20"/>
      <c r="J1517" s="20"/>
      <c r="O1517" s="20"/>
      <c r="V1517" s="1" t="str">
        <f t="shared" si="88"/>
        <v>0 г. 0 мес. 0 дн.</v>
      </c>
      <c r="W1517" s="69"/>
    </row>
    <row r="1518" spans="1:23" ht="35.1" customHeight="1" x14ac:dyDescent="0.25">
      <c r="A1518" s="1">
        <f t="shared" si="86"/>
        <v>1517</v>
      </c>
      <c r="B1518" s="1"/>
      <c r="C1518" s="39"/>
      <c r="D1518" s="21"/>
      <c r="G1518" s="1"/>
      <c r="H1518" s="11" t="str">
        <f t="shared" si="87"/>
        <v>0 г. 0 мес. 0 дн.</v>
      </c>
      <c r="I1518" s="20"/>
      <c r="J1518" s="20"/>
      <c r="O1518" s="20"/>
      <c r="V1518" s="1" t="str">
        <f t="shared" si="88"/>
        <v>0 г. 0 мес. 0 дн.</v>
      </c>
      <c r="W1518" s="69"/>
    </row>
    <row r="1519" spans="1:23" ht="35.1" customHeight="1" x14ac:dyDescent="0.25">
      <c r="A1519" s="1">
        <f t="shared" si="86"/>
        <v>1518</v>
      </c>
      <c r="B1519" s="1"/>
      <c r="C1519" s="39"/>
      <c r="D1519" s="21"/>
      <c r="G1519" s="1"/>
      <c r="H1519" s="11" t="str">
        <f t="shared" si="87"/>
        <v>0 г. 0 мес. 0 дн.</v>
      </c>
      <c r="I1519" s="20"/>
      <c r="J1519" s="20"/>
      <c r="O1519" s="20"/>
      <c r="V1519" s="1" t="str">
        <f t="shared" si="88"/>
        <v>0 г. 0 мес. 0 дн.</v>
      </c>
      <c r="W1519" s="69"/>
    </row>
    <row r="1520" spans="1:23" ht="35.1" customHeight="1" x14ac:dyDescent="0.25">
      <c r="A1520" s="1">
        <f t="shared" si="86"/>
        <v>1519</v>
      </c>
      <c r="B1520" s="1"/>
      <c r="C1520" s="39"/>
      <c r="D1520" s="21"/>
      <c r="G1520" s="1"/>
      <c r="H1520" s="11" t="str">
        <f t="shared" si="87"/>
        <v>0 г. 0 мес. 0 дн.</v>
      </c>
      <c r="I1520" s="20"/>
      <c r="J1520" s="20"/>
      <c r="O1520" s="20"/>
      <c r="V1520" s="1" t="str">
        <f t="shared" si="88"/>
        <v>0 г. 0 мес. 0 дн.</v>
      </c>
      <c r="W1520" s="69"/>
    </row>
    <row r="1521" spans="1:23" ht="35.1" customHeight="1" x14ac:dyDescent="0.25">
      <c r="A1521" s="1">
        <f t="shared" si="86"/>
        <v>1520</v>
      </c>
      <c r="B1521" s="1"/>
      <c r="C1521" s="39"/>
      <c r="D1521" s="21"/>
      <c r="G1521" s="1"/>
      <c r="H1521" s="11" t="str">
        <f t="shared" si="87"/>
        <v>0 г. 0 мес. 0 дн.</v>
      </c>
      <c r="I1521" s="20"/>
      <c r="J1521" s="20"/>
      <c r="O1521" s="20"/>
      <c r="V1521" s="1" t="str">
        <f t="shared" si="88"/>
        <v>0 г. 0 мес. 0 дн.</v>
      </c>
      <c r="W1521" s="69"/>
    </row>
    <row r="1522" spans="1:23" ht="35.1" customHeight="1" x14ac:dyDescent="0.25">
      <c r="A1522" s="1">
        <f t="shared" si="86"/>
        <v>1521</v>
      </c>
      <c r="B1522" s="1"/>
      <c r="C1522" s="39"/>
      <c r="D1522" s="21"/>
      <c r="G1522" s="1"/>
      <c r="H1522" s="11" t="str">
        <f t="shared" si="87"/>
        <v>0 г. 0 мес. 0 дн.</v>
      </c>
      <c r="I1522" s="20"/>
      <c r="J1522" s="20"/>
      <c r="O1522" s="20"/>
      <c r="V1522" s="1" t="str">
        <f t="shared" si="88"/>
        <v>0 г. 0 мес. 0 дн.</v>
      </c>
      <c r="W1522" s="69"/>
    </row>
    <row r="1523" spans="1:23" ht="35.1" customHeight="1" x14ac:dyDescent="0.25">
      <c r="A1523" s="1">
        <f t="shared" si="86"/>
        <v>1522</v>
      </c>
      <c r="B1523" s="1"/>
      <c r="C1523" s="39"/>
      <c r="D1523" s="21"/>
      <c r="G1523" s="1"/>
      <c r="H1523" s="11" t="str">
        <f t="shared" si="87"/>
        <v>0 г. 0 мес. 0 дн.</v>
      </c>
      <c r="I1523" s="20"/>
      <c r="J1523" s="20"/>
      <c r="O1523" s="20"/>
      <c r="V1523" s="1" t="str">
        <f t="shared" si="88"/>
        <v>0 г. 0 мес. 0 дн.</v>
      </c>
      <c r="W1523" s="69"/>
    </row>
    <row r="1524" spans="1:23" ht="35.1" customHeight="1" x14ac:dyDescent="0.25">
      <c r="A1524" s="1">
        <f t="shared" si="86"/>
        <v>1523</v>
      </c>
      <c r="B1524" s="1"/>
      <c r="C1524" s="39"/>
      <c r="D1524" s="21"/>
      <c r="G1524" s="1"/>
      <c r="H1524" s="11" t="str">
        <f t="shared" si="87"/>
        <v>0 г. 0 мес. 0 дн.</v>
      </c>
      <c r="I1524" s="20"/>
      <c r="J1524" s="20"/>
      <c r="O1524" s="20"/>
      <c r="V1524" s="1" t="str">
        <f t="shared" si="88"/>
        <v>0 г. 0 мес. 0 дн.</v>
      </c>
      <c r="W1524" s="69"/>
    </row>
    <row r="1525" spans="1:23" ht="35.1" customHeight="1" x14ac:dyDescent="0.25">
      <c r="A1525" s="1">
        <f t="shared" si="86"/>
        <v>1524</v>
      </c>
      <c r="B1525" s="1"/>
      <c r="C1525" s="39"/>
      <c r="D1525" s="21"/>
      <c r="G1525" s="1"/>
      <c r="H1525" s="11" t="str">
        <f t="shared" si="87"/>
        <v>0 г. 0 мес. 0 дн.</v>
      </c>
      <c r="I1525" s="20"/>
      <c r="J1525" s="20"/>
      <c r="O1525" s="20"/>
      <c r="V1525" s="1" t="str">
        <f t="shared" si="88"/>
        <v>0 г. 0 мес. 0 дн.</v>
      </c>
      <c r="W1525" s="69"/>
    </row>
    <row r="1526" spans="1:23" ht="35.1" customHeight="1" x14ac:dyDescent="0.25">
      <c r="A1526" s="1">
        <f t="shared" si="86"/>
        <v>1525</v>
      </c>
      <c r="B1526" s="1"/>
      <c r="C1526" s="39"/>
      <c r="D1526" s="21"/>
      <c r="G1526" s="1"/>
      <c r="H1526" s="11" t="str">
        <f t="shared" si="87"/>
        <v>0 г. 0 мес. 0 дн.</v>
      </c>
      <c r="I1526" s="20"/>
      <c r="J1526" s="20"/>
      <c r="O1526" s="20"/>
      <c r="V1526" s="1" t="str">
        <f t="shared" si="88"/>
        <v>0 г. 0 мес. 0 дн.</v>
      </c>
      <c r="W1526" s="69"/>
    </row>
    <row r="1527" spans="1:23" ht="35.1" customHeight="1" x14ac:dyDescent="0.25">
      <c r="A1527" s="1">
        <f t="shared" si="86"/>
        <v>1526</v>
      </c>
      <c r="B1527" s="1"/>
      <c r="C1527" s="39"/>
      <c r="D1527" s="21"/>
      <c r="G1527" s="1"/>
      <c r="H1527" s="11" t="str">
        <f t="shared" si="87"/>
        <v>0 г. 0 мес. 0 дн.</v>
      </c>
      <c r="I1527" s="20"/>
      <c r="J1527" s="20"/>
      <c r="O1527" s="20"/>
      <c r="V1527" s="1" t="str">
        <f t="shared" si="88"/>
        <v>0 г. 0 мес. 0 дн.</v>
      </c>
      <c r="W1527" s="69"/>
    </row>
    <row r="1528" spans="1:23" ht="35.1" customHeight="1" x14ac:dyDescent="0.25">
      <c r="A1528" s="1">
        <f t="shared" si="86"/>
        <v>1527</v>
      </c>
      <c r="B1528" s="1"/>
      <c r="C1528" s="39"/>
      <c r="D1528" s="21"/>
      <c r="G1528" s="1"/>
      <c r="H1528" s="11" t="str">
        <f t="shared" si="87"/>
        <v>0 г. 0 мес. 0 дн.</v>
      </c>
      <c r="I1528" s="20"/>
      <c r="J1528" s="20"/>
      <c r="O1528" s="20"/>
      <c r="V1528" s="1" t="str">
        <f t="shared" si="88"/>
        <v>0 г. 0 мес. 0 дн.</v>
      </c>
      <c r="W1528" s="69"/>
    </row>
    <row r="1529" spans="1:23" ht="35.1" customHeight="1" x14ac:dyDescent="0.25">
      <c r="A1529" s="1">
        <f t="shared" si="86"/>
        <v>1528</v>
      </c>
      <c r="B1529" s="1"/>
      <c r="C1529" s="39"/>
      <c r="D1529" s="21"/>
      <c r="G1529" s="1"/>
      <c r="H1529" s="11" t="str">
        <f t="shared" si="87"/>
        <v>0 г. 0 мес. 0 дн.</v>
      </c>
      <c r="I1529" s="20"/>
      <c r="J1529" s="20"/>
      <c r="O1529" s="20"/>
      <c r="V1529" s="1" t="str">
        <f t="shared" si="88"/>
        <v>0 г. 0 мес. 0 дн.</v>
      </c>
      <c r="W1529" s="69"/>
    </row>
    <row r="1530" spans="1:23" ht="35.1" customHeight="1" x14ac:dyDescent="0.25">
      <c r="A1530" s="1">
        <f t="shared" si="86"/>
        <v>1529</v>
      </c>
      <c r="B1530" s="1"/>
      <c r="C1530" s="39"/>
      <c r="D1530" s="21"/>
      <c r="G1530" s="1"/>
      <c r="H1530" s="11" t="str">
        <f t="shared" si="87"/>
        <v>0 г. 0 мес. 0 дн.</v>
      </c>
      <c r="I1530" s="20"/>
      <c r="J1530" s="20"/>
      <c r="O1530" s="20"/>
      <c r="V1530" s="1" t="str">
        <f t="shared" si="88"/>
        <v>0 г. 0 мес. 0 дн.</v>
      </c>
      <c r="W1530" s="69"/>
    </row>
    <row r="1531" spans="1:23" ht="35.1" customHeight="1" x14ac:dyDescent="0.25">
      <c r="A1531" s="1">
        <f t="shared" si="86"/>
        <v>1530</v>
      </c>
      <c r="B1531" s="1"/>
      <c r="C1531" s="39"/>
      <c r="D1531" s="21"/>
      <c r="G1531" s="1"/>
      <c r="H1531" s="11" t="str">
        <f t="shared" si="87"/>
        <v>0 г. 0 мес. 0 дн.</v>
      </c>
      <c r="I1531" s="20"/>
      <c r="J1531" s="20"/>
      <c r="O1531" s="20"/>
      <c r="V1531" s="1" t="str">
        <f t="shared" si="88"/>
        <v>0 г. 0 мес. 0 дн.</v>
      </c>
      <c r="W1531" s="69"/>
    </row>
    <row r="1532" spans="1:23" ht="35.1" customHeight="1" x14ac:dyDescent="0.25">
      <c r="A1532" s="1">
        <f t="shared" si="86"/>
        <v>1531</v>
      </c>
      <c r="B1532" s="1"/>
      <c r="C1532" s="39"/>
      <c r="D1532" s="21"/>
      <c r="G1532" s="1"/>
      <c r="H1532" s="11" t="str">
        <f t="shared" si="87"/>
        <v>0 г. 0 мес. 0 дн.</v>
      </c>
      <c r="I1532" s="20"/>
      <c r="J1532" s="20"/>
      <c r="O1532" s="20"/>
      <c r="V1532" s="1" t="str">
        <f t="shared" si="88"/>
        <v>0 г. 0 мес. 0 дн.</v>
      </c>
      <c r="W1532" s="69"/>
    </row>
    <row r="1533" spans="1:23" ht="35.1" customHeight="1" x14ac:dyDescent="0.25">
      <c r="A1533" s="1">
        <f t="shared" si="86"/>
        <v>1532</v>
      </c>
      <c r="B1533" s="1"/>
      <c r="C1533" s="39"/>
      <c r="D1533" s="21"/>
      <c r="G1533" s="1"/>
      <c r="H1533" s="11" t="str">
        <f t="shared" si="87"/>
        <v>0 г. 0 мес. 0 дн.</v>
      </c>
      <c r="I1533" s="20"/>
      <c r="J1533" s="20"/>
      <c r="O1533" s="20"/>
      <c r="V1533" s="1" t="str">
        <f t="shared" si="88"/>
        <v>0 г. 0 мес. 0 дн.</v>
      </c>
      <c r="W1533" s="69"/>
    </row>
    <row r="1534" spans="1:23" ht="35.1" customHeight="1" x14ac:dyDescent="0.25">
      <c r="A1534" s="1">
        <f t="shared" si="86"/>
        <v>1533</v>
      </c>
      <c r="B1534" s="1"/>
      <c r="C1534" s="39"/>
      <c r="D1534" s="21"/>
      <c r="G1534" s="1"/>
      <c r="H1534" s="11" t="str">
        <f t="shared" si="87"/>
        <v>0 г. 0 мес. 0 дн.</v>
      </c>
      <c r="I1534" s="20"/>
      <c r="J1534" s="20"/>
      <c r="O1534" s="20"/>
      <c r="V1534" s="1" t="str">
        <f t="shared" si="88"/>
        <v>0 г. 0 мес. 0 дн.</v>
      </c>
      <c r="W1534" s="69"/>
    </row>
    <row r="1535" spans="1:23" ht="35.1" customHeight="1" x14ac:dyDescent="0.25">
      <c r="A1535" s="1">
        <f t="shared" si="86"/>
        <v>1534</v>
      </c>
      <c r="B1535" s="1"/>
      <c r="C1535" s="39"/>
      <c r="D1535" s="21"/>
      <c r="G1535" s="1"/>
      <c r="H1535" s="11" t="str">
        <f t="shared" si="87"/>
        <v>0 г. 0 мес. 0 дн.</v>
      </c>
      <c r="I1535" s="20"/>
      <c r="J1535" s="20"/>
      <c r="O1535" s="20"/>
      <c r="V1535" s="1" t="str">
        <f t="shared" si="88"/>
        <v>0 г. 0 мес. 0 дн.</v>
      </c>
      <c r="W1535" s="69"/>
    </row>
    <row r="1536" spans="1:23" ht="35.1" customHeight="1" x14ac:dyDescent="0.25">
      <c r="A1536" s="1">
        <f t="shared" si="86"/>
        <v>1535</v>
      </c>
      <c r="B1536" s="1"/>
      <c r="C1536" s="39"/>
      <c r="D1536" s="21"/>
      <c r="G1536" s="1"/>
      <c r="H1536" s="11" t="str">
        <f t="shared" si="87"/>
        <v>0 г. 0 мес. 0 дн.</v>
      </c>
      <c r="I1536" s="20"/>
      <c r="J1536" s="20"/>
      <c r="O1536" s="20"/>
      <c r="V1536" s="1" t="str">
        <f t="shared" si="88"/>
        <v>0 г. 0 мес. 0 дн.</v>
      </c>
      <c r="W1536" s="69"/>
    </row>
    <row r="1537" spans="1:23" ht="35.1" customHeight="1" x14ac:dyDescent="0.25">
      <c r="A1537" s="1">
        <f t="shared" ref="A1537:A1600" si="89">ROW(A1536)</f>
        <v>1536</v>
      </c>
      <c r="B1537" s="1"/>
      <c r="C1537" s="39"/>
      <c r="D1537" s="21"/>
      <c r="G1537" s="1"/>
      <c r="H1537" s="11" t="str">
        <f t="shared" ref="H1537:H1600" si="90">DATEDIF(G1537,D1537,"y") &amp; " г. " &amp; DATEDIF(G1537,D1537,"ym") &amp; " мес. " &amp; DATEDIF(G1537,D1537,"md") &amp; " дн."</f>
        <v>0 г. 0 мес. 0 дн.</v>
      </c>
      <c r="I1537" s="20"/>
      <c r="J1537" s="20"/>
      <c r="O1537" s="20"/>
      <c r="V1537" s="1" t="str">
        <f t="shared" si="88"/>
        <v>0 г. 0 мес. 0 дн.</v>
      </c>
      <c r="W1537" s="69"/>
    </row>
    <row r="1538" spans="1:23" ht="35.1" customHeight="1" x14ac:dyDescent="0.25">
      <c r="A1538" s="1">
        <f t="shared" si="89"/>
        <v>1537</v>
      </c>
      <c r="B1538" s="1"/>
      <c r="C1538" s="39"/>
      <c r="D1538" s="21"/>
      <c r="G1538" s="1"/>
      <c r="H1538" s="11" t="str">
        <f t="shared" si="90"/>
        <v>0 г. 0 мес. 0 дн.</v>
      </c>
      <c r="I1538" s="20"/>
      <c r="J1538" s="20"/>
      <c r="O1538" s="20"/>
      <c r="V1538" s="1" t="str">
        <f t="shared" si="88"/>
        <v>0 г. 0 мес. 0 дн.</v>
      </c>
      <c r="W1538" s="69"/>
    </row>
    <row r="1539" spans="1:23" ht="35.1" customHeight="1" x14ac:dyDescent="0.25">
      <c r="A1539" s="1">
        <f t="shared" si="89"/>
        <v>1538</v>
      </c>
      <c r="B1539" s="1"/>
      <c r="C1539" s="39"/>
      <c r="D1539" s="21"/>
      <c r="G1539" s="1"/>
      <c r="H1539" s="11" t="str">
        <f t="shared" si="90"/>
        <v>0 г. 0 мес. 0 дн.</v>
      </c>
      <c r="I1539" s="20"/>
      <c r="J1539" s="20"/>
      <c r="O1539" s="20"/>
      <c r="V1539" s="1" t="str">
        <f t="shared" si="88"/>
        <v>0 г. 0 мес. 0 дн.</v>
      </c>
      <c r="W1539" s="69"/>
    </row>
    <row r="1540" spans="1:23" ht="35.1" customHeight="1" x14ac:dyDescent="0.25">
      <c r="A1540" s="1">
        <f t="shared" si="89"/>
        <v>1539</v>
      </c>
      <c r="B1540" s="1"/>
      <c r="C1540" s="39"/>
      <c r="D1540" s="21"/>
      <c r="G1540" s="1"/>
      <c r="H1540" s="11" t="str">
        <f t="shared" si="90"/>
        <v>0 г. 0 мес. 0 дн.</v>
      </c>
      <c r="I1540" s="20"/>
      <c r="J1540" s="20"/>
      <c r="O1540" s="20"/>
      <c r="V1540" s="1" t="str">
        <f t="shared" si="88"/>
        <v>0 г. 0 мес. 0 дн.</v>
      </c>
      <c r="W1540" s="69"/>
    </row>
    <row r="1541" spans="1:23" ht="35.1" customHeight="1" x14ac:dyDescent="0.25">
      <c r="A1541" s="1">
        <f t="shared" si="89"/>
        <v>1540</v>
      </c>
      <c r="B1541" s="1"/>
      <c r="C1541" s="39"/>
      <c r="D1541" s="21"/>
      <c r="G1541" s="1"/>
      <c r="H1541" s="11" t="str">
        <f t="shared" si="90"/>
        <v>0 г. 0 мес. 0 дн.</v>
      </c>
      <c r="I1541" s="20"/>
      <c r="J1541" s="20"/>
      <c r="O1541" s="20"/>
      <c r="V1541" s="1" t="str">
        <f t="shared" si="88"/>
        <v>0 г. 0 мес. 0 дн.</v>
      </c>
      <c r="W1541" s="69"/>
    </row>
    <row r="1542" spans="1:23" ht="35.1" customHeight="1" x14ac:dyDescent="0.25">
      <c r="A1542" s="1">
        <f t="shared" si="89"/>
        <v>1541</v>
      </c>
      <c r="B1542" s="1"/>
      <c r="C1542" s="39"/>
      <c r="D1542" s="21"/>
      <c r="G1542" s="1"/>
      <c r="H1542" s="11" t="str">
        <f t="shared" si="90"/>
        <v>0 г. 0 мес. 0 дн.</v>
      </c>
      <c r="I1542" s="20"/>
      <c r="J1542" s="20"/>
      <c r="O1542" s="20"/>
      <c r="V1542" s="1" t="str">
        <f t="shared" si="88"/>
        <v>0 г. 0 мес. 0 дн.</v>
      </c>
      <c r="W1542" s="69"/>
    </row>
    <row r="1543" spans="1:23" ht="35.1" customHeight="1" x14ac:dyDescent="0.25">
      <c r="A1543" s="1">
        <f t="shared" si="89"/>
        <v>1542</v>
      </c>
      <c r="B1543" s="1"/>
      <c r="C1543" s="39"/>
      <c r="D1543" s="21"/>
      <c r="G1543" s="1"/>
      <c r="H1543" s="11" t="str">
        <f t="shared" si="90"/>
        <v>0 г. 0 мес. 0 дн.</v>
      </c>
      <c r="I1543" s="20"/>
      <c r="J1543" s="20"/>
      <c r="O1543" s="20"/>
      <c r="V1543" s="1" t="str">
        <f t="shared" si="88"/>
        <v>0 г. 0 мес. 0 дн.</v>
      </c>
      <c r="W1543" s="69"/>
    </row>
    <row r="1544" spans="1:23" ht="35.1" customHeight="1" x14ac:dyDescent="0.25">
      <c r="A1544" s="1">
        <f t="shared" si="89"/>
        <v>1543</v>
      </c>
      <c r="B1544" s="1"/>
      <c r="C1544" s="39"/>
      <c r="D1544" s="21"/>
      <c r="G1544" s="1"/>
      <c r="H1544" s="11" t="str">
        <f t="shared" si="90"/>
        <v>0 г. 0 мес. 0 дн.</v>
      </c>
      <c r="I1544" s="20"/>
      <c r="J1544" s="20"/>
      <c r="O1544" s="20"/>
      <c r="V1544" s="1" t="str">
        <f t="shared" si="88"/>
        <v>0 г. 0 мес. 0 дн.</v>
      </c>
      <c r="W1544" s="69"/>
    </row>
    <row r="1545" spans="1:23" ht="35.1" customHeight="1" x14ac:dyDescent="0.25">
      <c r="A1545" s="1">
        <f t="shared" si="89"/>
        <v>1544</v>
      </c>
      <c r="B1545" s="1"/>
      <c r="C1545" s="39"/>
      <c r="D1545" s="21"/>
      <c r="G1545" s="1"/>
      <c r="H1545" s="11" t="str">
        <f t="shared" si="90"/>
        <v>0 г. 0 мес. 0 дн.</v>
      </c>
      <c r="I1545" s="20"/>
      <c r="J1545" s="20"/>
      <c r="O1545" s="20"/>
      <c r="V1545" s="1" t="str">
        <f t="shared" si="88"/>
        <v>0 г. 0 мес. 0 дн.</v>
      </c>
      <c r="W1545" s="69"/>
    </row>
    <row r="1546" spans="1:23" ht="35.1" customHeight="1" x14ac:dyDescent="0.25">
      <c r="A1546" s="1">
        <f t="shared" si="89"/>
        <v>1545</v>
      </c>
      <c r="B1546" s="1"/>
      <c r="C1546" s="39"/>
      <c r="D1546" s="21"/>
      <c r="G1546" s="1"/>
      <c r="H1546" s="11" t="str">
        <f t="shared" si="90"/>
        <v>0 г. 0 мес. 0 дн.</v>
      </c>
      <c r="I1546" s="20"/>
      <c r="J1546" s="20"/>
      <c r="O1546" s="20"/>
      <c r="V1546" s="1" t="str">
        <f t="shared" si="88"/>
        <v>0 г. 0 мес. 0 дн.</v>
      </c>
      <c r="W1546" s="69"/>
    </row>
    <row r="1547" spans="1:23" ht="35.1" customHeight="1" x14ac:dyDescent="0.25">
      <c r="A1547" s="1">
        <f t="shared" si="89"/>
        <v>1546</v>
      </c>
      <c r="B1547" s="1"/>
      <c r="C1547" s="39"/>
      <c r="D1547" s="21"/>
      <c r="G1547" s="1"/>
      <c r="H1547" s="11" t="str">
        <f t="shared" si="90"/>
        <v>0 г. 0 мес. 0 дн.</v>
      </c>
      <c r="I1547" s="20"/>
      <c r="J1547" s="20"/>
      <c r="O1547" s="20"/>
      <c r="V1547" s="1" t="str">
        <f t="shared" si="88"/>
        <v>0 г. 0 мес. 0 дн.</v>
      </c>
      <c r="W1547" s="69"/>
    </row>
    <row r="1548" spans="1:23" ht="35.1" customHeight="1" x14ac:dyDescent="0.25">
      <c r="A1548" s="1">
        <f t="shared" si="89"/>
        <v>1547</v>
      </c>
      <c r="B1548" s="1"/>
      <c r="C1548" s="39"/>
      <c r="D1548" s="21"/>
      <c r="G1548" s="1"/>
      <c r="H1548" s="11" t="str">
        <f t="shared" si="90"/>
        <v>0 г. 0 мес. 0 дн.</v>
      </c>
      <c r="I1548" s="20"/>
      <c r="J1548" s="20"/>
      <c r="O1548" s="20"/>
      <c r="V1548" s="1" t="str">
        <f t="shared" si="88"/>
        <v>0 г. 0 мес. 0 дн.</v>
      </c>
      <c r="W1548" s="69"/>
    </row>
    <row r="1549" spans="1:23" ht="35.1" customHeight="1" x14ac:dyDescent="0.25">
      <c r="A1549" s="1">
        <f t="shared" si="89"/>
        <v>1548</v>
      </c>
      <c r="B1549" s="1"/>
      <c r="C1549" s="39"/>
      <c r="D1549" s="21"/>
      <c r="G1549" s="1"/>
      <c r="H1549" s="11" t="str">
        <f t="shared" si="90"/>
        <v>0 г. 0 мес. 0 дн.</v>
      </c>
      <c r="I1549" s="20"/>
      <c r="J1549" s="20"/>
      <c r="O1549" s="20"/>
      <c r="V1549" s="1" t="str">
        <f t="shared" si="88"/>
        <v>0 г. 0 мес. 0 дн.</v>
      </c>
      <c r="W1549" s="69"/>
    </row>
    <row r="1550" spans="1:23" ht="35.1" customHeight="1" x14ac:dyDescent="0.25">
      <c r="A1550" s="1">
        <f t="shared" si="89"/>
        <v>1549</v>
      </c>
      <c r="B1550" s="1"/>
      <c r="C1550" s="39"/>
      <c r="D1550" s="21"/>
      <c r="G1550" s="1"/>
      <c r="H1550" s="11" t="str">
        <f t="shared" si="90"/>
        <v>0 г. 0 мес. 0 дн.</v>
      </c>
      <c r="I1550" s="20"/>
      <c r="J1550" s="20"/>
      <c r="O1550" s="20"/>
      <c r="V1550" s="1" t="str">
        <f t="shared" si="88"/>
        <v>0 г. 0 мес. 0 дн.</v>
      </c>
      <c r="W1550" s="69"/>
    </row>
    <row r="1551" spans="1:23" ht="35.1" customHeight="1" x14ac:dyDescent="0.25">
      <c r="A1551" s="1">
        <f t="shared" si="89"/>
        <v>1550</v>
      </c>
      <c r="B1551" s="1"/>
      <c r="C1551" s="39"/>
      <c r="D1551" s="21"/>
      <c r="G1551" s="1"/>
      <c r="H1551" s="11" t="str">
        <f t="shared" si="90"/>
        <v>0 г. 0 мес. 0 дн.</v>
      </c>
      <c r="I1551" s="20"/>
      <c r="J1551" s="20"/>
      <c r="O1551" s="20"/>
      <c r="V1551" s="1" t="str">
        <f t="shared" si="88"/>
        <v>0 г. 0 мес. 0 дн.</v>
      </c>
      <c r="W1551" s="69"/>
    </row>
    <row r="1552" spans="1:23" ht="35.1" customHeight="1" x14ac:dyDescent="0.25">
      <c r="A1552" s="1">
        <f t="shared" si="89"/>
        <v>1551</v>
      </c>
      <c r="B1552" s="1"/>
      <c r="C1552" s="39"/>
      <c r="D1552" s="21"/>
      <c r="G1552" s="1"/>
      <c r="H1552" s="11" t="str">
        <f t="shared" si="90"/>
        <v>0 г. 0 мес. 0 дн.</v>
      </c>
      <c r="I1552" s="20"/>
      <c r="J1552" s="20"/>
      <c r="O1552" s="20"/>
      <c r="V1552" s="1" t="str">
        <f t="shared" si="88"/>
        <v>0 г. 0 мес. 0 дн.</v>
      </c>
      <c r="W1552" s="69"/>
    </row>
    <row r="1553" spans="1:23" ht="35.1" customHeight="1" x14ac:dyDescent="0.25">
      <c r="A1553" s="1">
        <f t="shared" si="89"/>
        <v>1552</v>
      </c>
      <c r="B1553" s="1"/>
      <c r="C1553" s="39"/>
      <c r="D1553" s="21"/>
      <c r="G1553" s="1"/>
      <c r="H1553" s="11" t="str">
        <f t="shared" si="90"/>
        <v>0 г. 0 мес. 0 дн.</v>
      </c>
      <c r="I1553" s="20"/>
      <c r="J1553" s="20"/>
      <c r="O1553" s="20"/>
      <c r="V1553" s="1" t="str">
        <f t="shared" si="88"/>
        <v>0 г. 0 мес. 0 дн.</v>
      </c>
      <c r="W1553" s="69"/>
    </row>
    <row r="1554" spans="1:23" ht="35.1" customHeight="1" x14ac:dyDescent="0.25">
      <c r="A1554" s="1">
        <f t="shared" si="89"/>
        <v>1553</v>
      </c>
      <c r="B1554" s="1"/>
      <c r="C1554" s="39"/>
      <c r="D1554" s="21"/>
      <c r="G1554" s="1"/>
      <c r="H1554" s="11" t="str">
        <f t="shared" si="90"/>
        <v>0 г. 0 мес. 0 дн.</v>
      </c>
      <c r="I1554" s="20"/>
      <c r="J1554" s="20"/>
      <c r="O1554" s="20"/>
      <c r="V1554" s="1" t="str">
        <f t="shared" si="88"/>
        <v>0 г. 0 мес. 0 дн.</v>
      </c>
      <c r="W1554" s="69"/>
    </row>
    <row r="1555" spans="1:23" ht="35.1" customHeight="1" x14ac:dyDescent="0.25">
      <c r="A1555" s="1">
        <f t="shared" si="89"/>
        <v>1554</v>
      </c>
      <c r="B1555" s="1"/>
      <c r="C1555" s="39"/>
      <c r="D1555" s="21"/>
      <c r="G1555" s="1"/>
      <c r="H1555" s="11" t="str">
        <f t="shared" si="90"/>
        <v>0 г. 0 мес. 0 дн.</v>
      </c>
      <c r="I1555" s="20"/>
      <c r="J1555" s="20"/>
      <c r="O1555" s="20"/>
      <c r="V1555" s="1" t="str">
        <f t="shared" si="88"/>
        <v>0 г. 0 мес. 0 дн.</v>
      </c>
      <c r="W1555" s="69"/>
    </row>
    <row r="1556" spans="1:23" ht="35.1" customHeight="1" x14ac:dyDescent="0.25">
      <c r="A1556" s="1">
        <f t="shared" si="89"/>
        <v>1555</v>
      </c>
      <c r="B1556" s="1"/>
      <c r="C1556" s="39"/>
      <c r="D1556" s="21"/>
      <c r="G1556" s="1"/>
      <c r="H1556" s="11" t="str">
        <f t="shared" si="90"/>
        <v>0 г. 0 мес. 0 дн.</v>
      </c>
      <c r="I1556" s="20"/>
      <c r="J1556" s="20"/>
      <c r="O1556" s="20"/>
      <c r="V1556" s="1" t="str">
        <f t="shared" si="88"/>
        <v>0 г. 0 мес. 0 дн.</v>
      </c>
      <c r="W1556" s="69"/>
    </row>
    <row r="1557" spans="1:23" ht="35.1" customHeight="1" x14ac:dyDescent="0.25">
      <c r="A1557" s="1">
        <f t="shared" si="89"/>
        <v>1556</v>
      </c>
      <c r="B1557" s="1"/>
      <c r="C1557" s="39"/>
      <c r="D1557" s="21"/>
      <c r="G1557" s="1"/>
      <c r="H1557" s="11" t="str">
        <f t="shared" si="90"/>
        <v>0 г. 0 мес. 0 дн.</v>
      </c>
      <c r="I1557" s="20"/>
      <c r="J1557" s="20"/>
      <c r="O1557" s="20"/>
      <c r="V1557" s="1" t="str">
        <f t="shared" si="88"/>
        <v>0 г. 0 мес. 0 дн.</v>
      </c>
      <c r="W1557" s="69"/>
    </row>
    <row r="1558" spans="1:23" ht="35.1" customHeight="1" x14ac:dyDescent="0.25">
      <c r="A1558" s="1">
        <f t="shared" si="89"/>
        <v>1557</v>
      </c>
      <c r="B1558" s="1"/>
      <c r="C1558" s="39"/>
      <c r="D1558" s="21"/>
      <c r="G1558" s="1"/>
      <c r="H1558" s="11" t="str">
        <f t="shared" si="90"/>
        <v>0 г. 0 мес. 0 дн.</v>
      </c>
      <c r="I1558" s="20"/>
      <c r="J1558" s="20"/>
      <c r="O1558" s="20"/>
      <c r="V1558" s="1" t="str">
        <f t="shared" si="88"/>
        <v>0 г. 0 мес. 0 дн.</v>
      </c>
      <c r="W1558" s="69"/>
    </row>
    <row r="1559" spans="1:23" ht="35.1" customHeight="1" x14ac:dyDescent="0.25">
      <c r="A1559" s="1">
        <f t="shared" si="89"/>
        <v>1558</v>
      </c>
      <c r="B1559" s="1"/>
      <c r="C1559" s="39"/>
      <c r="D1559" s="21"/>
      <c r="G1559" s="1"/>
      <c r="H1559" s="11" t="str">
        <f t="shared" si="90"/>
        <v>0 г. 0 мес. 0 дн.</v>
      </c>
      <c r="I1559" s="20"/>
      <c r="J1559" s="20"/>
      <c r="O1559" s="20"/>
      <c r="V1559" s="1" t="str">
        <f t="shared" si="88"/>
        <v>0 г. 0 мес. 0 дн.</v>
      </c>
      <c r="W1559" s="69"/>
    </row>
    <row r="1560" spans="1:23" ht="35.1" customHeight="1" x14ac:dyDescent="0.25">
      <c r="A1560" s="1">
        <f t="shared" si="89"/>
        <v>1559</v>
      </c>
      <c r="B1560" s="1"/>
      <c r="C1560" s="39"/>
      <c r="D1560" s="21"/>
      <c r="G1560" s="1"/>
      <c r="H1560" s="11" t="str">
        <f t="shared" si="90"/>
        <v>0 г. 0 мес. 0 дн.</v>
      </c>
      <c r="I1560" s="20"/>
      <c r="J1560" s="20"/>
      <c r="O1560" s="20"/>
      <c r="V1560" s="1" t="str">
        <f t="shared" si="88"/>
        <v>0 г. 0 мес. 0 дн.</v>
      </c>
      <c r="W1560" s="69"/>
    </row>
    <row r="1561" spans="1:23" ht="35.1" customHeight="1" x14ac:dyDescent="0.25">
      <c r="A1561" s="1">
        <f t="shared" si="89"/>
        <v>1560</v>
      </c>
      <c r="B1561" s="1"/>
      <c r="C1561" s="39"/>
      <c r="D1561" s="21"/>
      <c r="G1561" s="1"/>
      <c r="H1561" s="11" t="str">
        <f t="shared" si="90"/>
        <v>0 г. 0 мес. 0 дн.</v>
      </c>
      <c r="I1561" s="20"/>
      <c r="J1561" s="20"/>
      <c r="O1561" s="20"/>
      <c r="V1561" s="1" t="str">
        <f t="shared" ref="V1561:V1624" si="91">DATEDIF(D1561,T1561,"y") &amp; " г. " &amp; DATEDIF(D1561,T1561,"ym") &amp; " мес. " &amp; DATEDIF(D1561,T1561,"md") &amp; " дн."</f>
        <v>0 г. 0 мес. 0 дн.</v>
      </c>
      <c r="W1561" s="69"/>
    </row>
    <row r="1562" spans="1:23" ht="35.1" customHeight="1" x14ac:dyDescent="0.25">
      <c r="A1562" s="1">
        <f t="shared" si="89"/>
        <v>1561</v>
      </c>
      <c r="B1562" s="1"/>
      <c r="C1562" s="39"/>
      <c r="D1562" s="21"/>
      <c r="G1562" s="1"/>
      <c r="H1562" s="11" t="str">
        <f t="shared" si="90"/>
        <v>0 г. 0 мес. 0 дн.</v>
      </c>
      <c r="I1562" s="20"/>
      <c r="J1562" s="20"/>
      <c r="O1562" s="20"/>
      <c r="V1562" s="1" t="str">
        <f t="shared" si="91"/>
        <v>0 г. 0 мес. 0 дн.</v>
      </c>
      <c r="W1562" s="69"/>
    </row>
    <row r="1563" spans="1:23" ht="35.1" customHeight="1" x14ac:dyDescent="0.25">
      <c r="A1563" s="1">
        <f t="shared" si="89"/>
        <v>1562</v>
      </c>
      <c r="B1563" s="1"/>
      <c r="C1563" s="39"/>
      <c r="D1563" s="21"/>
      <c r="G1563" s="1"/>
      <c r="H1563" s="11" t="str">
        <f t="shared" si="90"/>
        <v>0 г. 0 мес. 0 дн.</v>
      </c>
      <c r="I1563" s="20"/>
      <c r="J1563" s="20"/>
      <c r="O1563" s="20"/>
      <c r="V1563" s="1" t="str">
        <f t="shared" si="91"/>
        <v>0 г. 0 мес. 0 дн.</v>
      </c>
      <c r="W1563" s="69"/>
    </row>
    <row r="1564" spans="1:23" ht="35.1" customHeight="1" x14ac:dyDescent="0.25">
      <c r="A1564" s="1">
        <f t="shared" si="89"/>
        <v>1563</v>
      </c>
      <c r="B1564" s="1"/>
      <c r="C1564" s="39"/>
      <c r="D1564" s="21"/>
      <c r="G1564" s="1"/>
      <c r="H1564" s="11" t="str">
        <f t="shared" si="90"/>
        <v>0 г. 0 мес. 0 дн.</v>
      </c>
      <c r="I1564" s="20"/>
      <c r="J1564" s="20"/>
      <c r="O1564" s="20"/>
      <c r="V1564" s="1" t="str">
        <f t="shared" si="91"/>
        <v>0 г. 0 мес. 0 дн.</v>
      </c>
      <c r="W1564" s="69"/>
    </row>
    <row r="1565" spans="1:23" ht="35.1" customHeight="1" x14ac:dyDescent="0.25">
      <c r="A1565" s="1">
        <f t="shared" si="89"/>
        <v>1564</v>
      </c>
      <c r="B1565" s="1"/>
      <c r="C1565" s="39"/>
      <c r="D1565" s="21"/>
      <c r="G1565" s="1"/>
      <c r="H1565" s="11" t="str">
        <f t="shared" si="90"/>
        <v>0 г. 0 мес. 0 дн.</v>
      </c>
      <c r="I1565" s="20"/>
      <c r="J1565" s="20"/>
      <c r="O1565" s="20"/>
      <c r="V1565" s="1" t="str">
        <f t="shared" si="91"/>
        <v>0 г. 0 мес. 0 дн.</v>
      </c>
      <c r="W1565" s="69"/>
    </row>
    <row r="1566" spans="1:23" ht="35.1" customHeight="1" x14ac:dyDescent="0.25">
      <c r="A1566" s="1">
        <f t="shared" si="89"/>
        <v>1565</v>
      </c>
      <c r="B1566" s="1"/>
      <c r="C1566" s="39"/>
      <c r="D1566" s="21"/>
      <c r="G1566" s="1"/>
      <c r="H1566" s="11" t="str">
        <f t="shared" si="90"/>
        <v>0 г. 0 мес. 0 дн.</v>
      </c>
      <c r="I1566" s="20"/>
      <c r="J1566" s="20"/>
      <c r="O1566" s="20"/>
      <c r="V1566" s="1" t="str">
        <f t="shared" si="91"/>
        <v>0 г. 0 мес. 0 дн.</v>
      </c>
      <c r="W1566" s="69"/>
    </row>
    <row r="1567" spans="1:23" ht="35.1" customHeight="1" x14ac:dyDescent="0.25">
      <c r="A1567" s="1">
        <f t="shared" si="89"/>
        <v>1566</v>
      </c>
      <c r="B1567" s="1"/>
      <c r="C1567" s="39"/>
      <c r="D1567" s="21"/>
      <c r="G1567" s="1"/>
      <c r="H1567" s="11" t="str">
        <f t="shared" si="90"/>
        <v>0 г. 0 мес. 0 дн.</v>
      </c>
      <c r="I1567" s="20"/>
      <c r="J1567" s="20"/>
      <c r="O1567" s="20"/>
      <c r="V1567" s="1" t="str">
        <f t="shared" si="91"/>
        <v>0 г. 0 мес. 0 дн.</v>
      </c>
      <c r="W1567" s="69"/>
    </row>
    <row r="1568" spans="1:23" ht="35.1" customHeight="1" x14ac:dyDescent="0.25">
      <c r="A1568" s="1">
        <f t="shared" si="89"/>
        <v>1567</v>
      </c>
      <c r="B1568" s="1"/>
      <c r="C1568" s="39"/>
      <c r="D1568" s="21"/>
      <c r="G1568" s="1"/>
      <c r="H1568" s="11" t="str">
        <f t="shared" si="90"/>
        <v>0 г. 0 мес. 0 дн.</v>
      </c>
      <c r="I1568" s="20"/>
      <c r="J1568" s="20"/>
      <c r="O1568" s="20"/>
      <c r="V1568" s="1" t="str">
        <f t="shared" si="91"/>
        <v>0 г. 0 мес. 0 дн.</v>
      </c>
      <c r="W1568" s="69"/>
    </row>
    <row r="1569" spans="1:23" ht="35.1" customHeight="1" x14ac:dyDescent="0.25">
      <c r="A1569" s="1">
        <f t="shared" si="89"/>
        <v>1568</v>
      </c>
      <c r="B1569" s="1"/>
      <c r="C1569" s="39"/>
      <c r="D1569" s="21"/>
      <c r="G1569" s="1"/>
      <c r="H1569" s="11" t="str">
        <f t="shared" si="90"/>
        <v>0 г. 0 мес. 0 дн.</v>
      </c>
      <c r="I1569" s="20"/>
      <c r="J1569" s="20"/>
      <c r="O1569" s="20"/>
      <c r="V1569" s="1" t="str">
        <f t="shared" si="91"/>
        <v>0 г. 0 мес. 0 дн.</v>
      </c>
      <c r="W1569" s="69"/>
    </row>
    <row r="1570" spans="1:23" ht="35.1" customHeight="1" x14ac:dyDescent="0.25">
      <c r="A1570" s="1">
        <f t="shared" si="89"/>
        <v>1569</v>
      </c>
      <c r="B1570" s="1"/>
      <c r="C1570" s="39"/>
      <c r="D1570" s="21"/>
      <c r="G1570" s="1"/>
      <c r="H1570" s="11" t="str">
        <f t="shared" si="90"/>
        <v>0 г. 0 мес. 0 дн.</v>
      </c>
      <c r="I1570" s="20"/>
      <c r="J1570" s="20"/>
      <c r="O1570" s="20"/>
      <c r="V1570" s="1" t="str">
        <f t="shared" si="91"/>
        <v>0 г. 0 мес. 0 дн.</v>
      </c>
      <c r="W1570" s="69"/>
    </row>
    <row r="1571" spans="1:23" ht="35.1" customHeight="1" x14ac:dyDescent="0.25">
      <c r="A1571" s="1">
        <f t="shared" si="89"/>
        <v>1570</v>
      </c>
      <c r="B1571" s="1"/>
      <c r="C1571" s="39"/>
      <c r="D1571" s="21"/>
      <c r="G1571" s="1"/>
      <c r="H1571" s="11" t="str">
        <f t="shared" si="90"/>
        <v>0 г. 0 мес. 0 дн.</v>
      </c>
      <c r="I1571" s="20"/>
      <c r="J1571" s="20"/>
      <c r="O1571" s="20"/>
      <c r="V1571" s="1" t="str">
        <f t="shared" si="91"/>
        <v>0 г. 0 мес. 0 дн.</v>
      </c>
      <c r="W1571" s="69"/>
    </row>
    <row r="1572" spans="1:23" ht="35.1" customHeight="1" x14ac:dyDescent="0.25">
      <c r="A1572" s="1">
        <f t="shared" si="89"/>
        <v>1571</v>
      </c>
      <c r="B1572" s="1"/>
      <c r="C1572" s="39"/>
      <c r="D1572" s="21"/>
      <c r="G1572" s="1"/>
      <c r="H1572" s="11" t="str">
        <f t="shared" si="90"/>
        <v>0 г. 0 мес. 0 дн.</v>
      </c>
      <c r="I1572" s="20"/>
      <c r="J1572" s="20"/>
      <c r="O1572" s="20"/>
      <c r="V1572" s="1" t="str">
        <f t="shared" si="91"/>
        <v>0 г. 0 мес. 0 дн.</v>
      </c>
      <c r="W1572" s="69"/>
    </row>
    <row r="1573" spans="1:23" ht="35.1" customHeight="1" x14ac:dyDescent="0.25">
      <c r="A1573" s="1">
        <f t="shared" si="89"/>
        <v>1572</v>
      </c>
      <c r="B1573" s="1"/>
      <c r="C1573" s="39"/>
      <c r="D1573" s="21"/>
      <c r="G1573" s="1"/>
      <c r="H1573" s="11" t="str">
        <f t="shared" si="90"/>
        <v>0 г. 0 мес. 0 дн.</v>
      </c>
      <c r="I1573" s="20"/>
      <c r="J1573" s="20"/>
      <c r="O1573" s="20"/>
      <c r="V1573" s="1" t="str">
        <f t="shared" si="91"/>
        <v>0 г. 0 мес. 0 дн.</v>
      </c>
      <c r="W1573" s="69"/>
    </row>
    <row r="1574" spans="1:23" ht="35.1" customHeight="1" x14ac:dyDescent="0.25">
      <c r="A1574" s="1">
        <f t="shared" si="89"/>
        <v>1573</v>
      </c>
      <c r="B1574" s="1"/>
      <c r="C1574" s="39"/>
      <c r="D1574" s="21"/>
      <c r="G1574" s="1"/>
      <c r="H1574" s="11" t="str">
        <f t="shared" si="90"/>
        <v>0 г. 0 мес. 0 дн.</v>
      </c>
      <c r="I1574" s="20"/>
      <c r="J1574" s="20"/>
      <c r="O1574" s="20"/>
      <c r="V1574" s="1" t="str">
        <f t="shared" si="91"/>
        <v>0 г. 0 мес. 0 дн.</v>
      </c>
      <c r="W1574" s="69"/>
    </row>
    <row r="1575" spans="1:23" ht="35.1" customHeight="1" x14ac:dyDescent="0.25">
      <c r="A1575" s="1">
        <f t="shared" si="89"/>
        <v>1574</v>
      </c>
      <c r="B1575" s="1"/>
      <c r="C1575" s="39"/>
      <c r="D1575" s="21"/>
      <c r="G1575" s="1"/>
      <c r="H1575" s="11" t="str">
        <f t="shared" si="90"/>
        <v>0 г. 0 мес. 0 дн.</v>
      </c>
      <c r="I1575" s="20"/>
      <c r="J1575" s="20"/>
      <c r="O1575" s="20"/>
      <c r="V1575" s="1" t="str">
        <f t="shared" si="91"/>
        <v>0 г. 0 мес. 0 дн.</v>
      </c>
      <c r="W1575" s="69"/>
    </row>
    <row r="1576" spans="1:23" ht="35.1" customHeight="1" x14ac:dyDescent="0.25">
      <c r="A1576" s="1">
        <f t="shared" si="89"/>
        <v>1575</v>
      </c>
      <c r="B1576" s="1"/>
      <c r="C1576" s="39"/>
      <c r="D1576" s="21"/>
      <c r="G1576" s="1"/>
      <c r="H1576" s="11" t="str">
        <f t="shared" si="90"/>
        <v>0 г. 0 мес. 0 дн.</v>
      </c>
      <c r="I1576" s="20"/>
      <c r="J1576" s="20"/>
      <c r="O1576" s="20"/>
      <c r="V1576" s="1" t="str">
        <f t="shared" si="91"/>
        <v>0 г. 0 мес. 0 дн.</v>
      </c>
      <c r="W1576" s="69"/>
    </row>
    <row r="1577" spans="1:23" ht="35.1" customHeight="1" x14ac:dyDescent="0.25">
      <c r="A1577" s="1">
        <f t="shared" si="89"/>
        <v>1576</v>
      </c>
      <c r="B1577" s="1"/>
      <c r="C1577" s="39"/>
      <c r="D1577" s="21"/>
      <c r="G1577" s="1"/>
      <c r="H1577" s="11" t="str">
        <f t="shared" si="90"/>
        <v>0 г. 0 мес. 0 дн.</v>
      </c>
      <c r="I1577" s="20"/>
      <c r="J1577" s="20"/>
      <c r="O1577" s="20"/>
      <c r="V1577" s="1" t="str">
        <f t="shared" si="91"/>
        <v>0 г. 0 мес. 0 дн.</v>
      </c>
      <c r="W1577" s="69"/>
    </row>
    <row r="1578" spans="1:23" ht="35.1" customHeight="1" x14ac:dyDescent="0.25">
      <c r="A1578" s="1">
        <f t="shared" si="89"/>
        <v>1577</v>
      </c>
      <c r="B1578" s="1"/>
      <c r="C1578" s="39"/>
      <c r="D1578" s="21"/>
      <c r="G1578" s="1"/>
      <c r="H1578" s="11" t="str">
        <f t="shared" si="90"/>
        <v>0 г. 0 мес. 0 дн.</v>
      </c>
      <c r="I1578" s="20"/>
      <c r="J1578" s="20"/>
      <c r="O1578" s="20"/>
      <c r="V1578" s="1" t="str">
        <f t="shared" si="91"/>
        <v>0 г. 0 мес. 0 дн.</v>
      </c>
      <c r="W1578" s="69"/>
    </row>
    <row r="1579" spans="1:23" ht="35.1" customHeight="1" x14ac:dyDescent="0.25">
      <c r="A1579" s="1">
        <f t="shared" si="89"/>
        <v>1578</v>
      </c>
      <c r="B1579" s="1"/>
      <c r="C1579" s="39"/>
      <c r="D1579" s="21"/>
      <c r="G1579" s="1"/>
      <c r="H1579" s="11" t="str">
        <f t="shared" si="90"/>
        <v>0 г. 0 мес. 0 дн.</v>
      </c>
      <c r="I1579" s="20"/>
      <c r="J1579" s="20"/>
      <c r="O1579" s="20"/>
      <c r="V1579" s="1" t="str">
        <f t="shared" si="91"/>
        <v>0 г. 0 мес. 0 дн.</v>
      </c>
      <c r="W1579" s="69"/>
    </row>
    <row r="1580" spans="1:23" ht="35.1" customHeight="1" x14ac:dyDescent="0.25">
      <c r="A1580" s="1">
        <f t="shared" si="89"/>
        <v>1579</v>
      </c>
      <c r="B1580" s="1"/>
      <c r="C1580" s="39"/>
      <c r="D1580" s="21"/>
      <c r="G1580" s="1"/>
      <c r="H1580" s="11" t="str">
        <f t="shared" si="90"/>
        <v>0 г. 0 мес. 0 дн.</v>
      </c>
      <c r="I1580" s="20"/>
      <c r="J1580" s="20"/>
      <c r="O1580" s="20"/>
      <c r="V1580" s="1" t="str">
        <f t="shared" si="91"/>
        <v>0 г. 0 мес. 0 дн.</v>
      </c>
      <c r="W1580" s="69"/>
    </row>
    <row r="1581" spans="1:23" ht="35.1" customHeight="1" x14ac:dyDescent="0.25">
      <c r="A1581" s="1">
        <f t="shared" si="89"/>
        <v>1580</v>
      </c>
      <c r="B1581" s="1"/>
      <c r="C1581" s="39"/>
      <c r="D1581" s="21"/>
      <c r="G1581" s="1"/>
      <c r="H1581" s="11" t="str">
        <f t="shared" si="90"/>
        <v>0 г. 0 мес. 0 дн.</v>
      </c>
      <c r="I1581" s="20"/>
      <c r="J1581" s="20"/>
      <c r="O1581" s="20"/>
      <c r="V1581" s="1" t="str">
        <f t="shared" si="91"/>
        <v>0 г. 0 мес. 0 дн.</v>
      </c>
      <c r="W1581" s="69"/>
    </row>
    <row r="1582" spans="1:23" ht="35.1" customHeight="1" x14ac:dyDescent="0.25">
      <c r="A1582" s="1">
        <f t="shared" si="89"/>
        <v>1581</v>
      </c>
      <c r="B1582" s="1"/>
      <c r="C1582" s="39"/>
      <c r="D1582" s="21"/>
      <c r="G1582" s="1"/>
      <c r="H1582" s="11" t="str">
        <f t="shared" si="90"/>
        <v>0 г. 0 мес. 0 дн.</v>
      </c>
      <c r="I1582" s="20"/>
      <c r="J1582" s="20"/>
      <c r="O1582" s="20"/>
      <c r="V1582" s="1" t="str">
        <f t="shared" si="91"/>
        <v>0 г. 0 мес. 0 дн.</v>
      </c>
      <c r="W1582" s="69"/>
    </row>
    <row r="1583" spans="1:23" ht="35.1" customHeight="1" x14ac:dyDescent="0.25">
      <c r="A1583" s="1">
        <f t="shared" si="89"/>
        <v>1582</v>
      </c>
      <c r="B1583" s="1"/>
      <c r="C1583" s="39"/>
      <c r="D1583" s="21"/>
      <c r="G1583" s="1"/>
      <c r="H1583" s="11" t="str">
        <f t="shared" si="90"/>
        <v>0 г. 0 мес. 0 дн.</v>
      </c>
      <c r="I1583" s="20"/>
      <c r="J1583" s="20"/>
      <c r="O1583" s="20"/>
      <c r="V1583" s="1" t="str">
        <f t="shared" si="91"/>
        <v>0 г. 0 мес. 0 дн.</v>
      </c>
      <c r="W1583" s="69"/>
    </row>
    <row r="1584" spans="1:23" ht="35.1" customHeight="1" x14ac:dyDescent="0.25">
      <c r="A1584" s="1">
        <f t="shared" si="89"/>
        <v>1583</v>
      </c>
      <c r="B1584" s="1"/>
      <c r="C1584" s="39"/>
      <c r="D1584" s="21"/>
      <c r="G1584" s="1"/>
      <c r="H1584" s="11" t="str">
        <f t="shared" si="90"/>
        <v>0 г. 0 мес. 0 дн.</v>
      </c>
      <c r="I1584" s="20"/>
      <c r="J1584" s="20"/>
      <c r="O1584" s="20"/>
      <c r="V1584" s="1" t="str">
        <f t="shared" si="91"/>
        <v>0 г. 0 мес. 0 дн.</v>
      </c>
      <c r="W1584" s="69"/>
    </row>
    <row r="1585" spans="1:23" ht="35.1" customHeight="1" x14ac:dyDescent="0.25">
      <c r="A1585" s="1">
        <f t="shared" si="89"/>
        <v>1584</v>
      </c>
      <c r="B1585" s="1"/>
      <c r="C1585" s="39"/>
      <c r="D1585" s="21"/>
      <c r="G1585" s="1"/>
      <c r="H1585" s="11" t="str">
        <f t="shared" si="90"/>
        <v>0 г. 0 мес. 0 дн.</v>
      </c>
      <c r="I1585" s="20"/>
      <c r="J1585" s="20"/>
      <c r="O1585" s="20"/>
      <c r="V1585" s="1" t="str">
        <f t="shared" si="91"/>
        <v>0 г. 0 мес. 0 дн.</v>
      </c>
      <c r="W1585" s="69"/>
    </row>
    <row r="1586" spans="1:23" ht="35.1" customHeight="1" x14ac:dyDescent="0.25">
      <c r="A1586" s="1">
        <f t="shared" si="89"/>
        <v>1585</v>
      </c>
      <c r="B1586" s="1"/>
      <c r="C1586" s="39"/>
      <c r="D1586" s="21"/>
      <c r="G1586" s="1"/>
      <c r="H1586" s="11" t="str">
        <f t="shared" si="90"/>
        <v>0 г. 0 мес. 0 дн.</v>
      </c>
      <c r="I1586" s="20"/>
      <c r="J1586" s="20"/>
      <c r="O1586" s="20"/>
      <c r="V1586" s="1" t="str">
        <f t="shared" si="91"/>
        <v>0 г. 0 мес. 0 дн.</v>
      </c>
      <c r="W1586" s="69"/>
    </row>
    <row r="1587" spans="1:23" ht="35.1" customHeight="1" x14ac:dyDescent="0.25">
      <c r="A1587" s="1">
        <f t="shared" si="89"/>
        <v>1586</v>
      </c>
      <c r="B1587" s="1"/>
      <c r="C1587" s="39"/>
      <c r="D1587" s="21"/>
      <c r="G1587" s="1"/>
      <c r="H1587" s="11" t="str">
        <f t="shared" si="90"/>
        <v>0 г. 0 мес. 0 дн.</v>
      </c>
      <c r="I1587" s="20"/>
      <c r="J1587" s="20"/>
      <c r="O1587" s="20"/>
      <c r="V1587" s="1" t="str">
        <f t="shared" si="91"/>
        <v>0 г. 0 мес. 0 дн.</v>
      </c>
      <c r="W1587" s="69"/>
    </row>
    <row r="1588" spans="1:23" ht="35.1" customHeight="1" x14ac:dyDescent="0.25">
      <c r="A1588" s="1">
        <f t="shared" si="89"/>
        <v>1587</v>
      </c>
      <c r="B1588" s="1"/>
      <c r="C1588" s="39"/>
      <c r="D1588" s="21"/>
      <c r="G1588" s="1"/>
      <c r="H1588" s="11" t="str">
        <f t="shared" si="90"/>
        <v>0 г. 0 мес. 0 дн.</v>
      </c>
      <c r="I1588" s="20"/>
      <c r="J1588" s="20"/>
      <c r="O1588" s="20"/>
      <c r="V1588" s="1" t="str">
        <f t="shared" si="91"/>
        <v>0 г. 0 мес. 0 дн.</v>
      </c>
      <c r="W1588" s="69"/>
    </row>
    <row r="1589" spans="1:23" ht="35.1" customHeight="1" x14ac:dyDescent="0.25">
      <c r="A1589" s="1">
        <f t="shared" si="89"/>
        <v>1588</v>
      </c>
      <c r="B1589" s="1"/>
      <c r="C1589" s="39"/>
      <c r="D1589" s="21"/>
      <c r="G1589" s="1"/>
      <c r="H1589" s="11" t="str">
        <f t="shared" si="90"/>
        <v>0 г. 0 мес. 0 дн.</v>
      </c>
      <c r="I1589" s="20"/>
      <c r="J1589" s="20"/>
      <c r="O1589" s="20"/>
      <c r="V1589" s="1" t="str">
        <f t="shared" si="91"/>
        <v>0 г. 0 мес. 0 дн.</v>
      </c>
      <c r="W1589" s="69"/>
    </row>
    <row r="1590" spans="1:23" ht="35.1" customHeight="1" x14ac:dyDescent="0.25">
      <c r="A1590" s="1">
        <f t="shared" si="89"/>
        <v>1589</v>
      </c>
      <c r="B1590" s="1"/>
      <c r="C1590" s="39"/>
      <c r="D1590" s="21"/>
      <c r="G1590" s="1"/>
      <c r="H1590" s="11" t="str">
        <f t="shared" si="90"/>
        <v>0 г. 0 мес. 0 дн.</v>
      </c>
      <c r="I1590" s="20"/>
      <c r="J1590" s="20"/>
      <c r="O1590" s="20"/>
      <c r="V1590" s="1" t="str">
        <f t="shared" si="91"/>
        <v>0 г. 0 мес. 0 дн.</v>
      </c>
      <c r="W1590" s="69"/>
    </row>
    <row r="1591" spans="1:23" ht="35.1" customHeight="1" x14ac:dyDescent="0.25">
      <c r="A1591" s="1">
        <f t="shared" si="89"/>
        <v>1590</v>
      </c>
      <c r="B1591" s="1"/>
      <c r="C1591" s="39"/>
      <c r="D1591" s="21"/>
      <c r="G1591" s="1"/>
      <c r="H1591" s="11" t="str">
        <f t="shared" si="90"/>
        <v>0 г. 0 мес. 0 дн.</v>
      </c>
      <c r="I1591" s="20"/>
      <c r="J1591" s="20"/>
      <c r="O1591" s="20"/>
      <c r="V1591" s="1" t="str">
        <f t="shared" si="91"/>
        <v>0 г. 0 мес. 0 дн.</v>
      </c>
      <c r="W1591" s="69"/>
    </row>
    <row r="1592" spans="1:23" ht="35.1" customHeight="1" x14ac:dyDescent="0.25">
      <c r="A1592" s="1">
        <f t="shared" si="89"/>
        <v>1591</v>
      </c>
      <c r="B1592" s="1"/>
      <c r="C1592" s="39"/>
      <c r="D1592" s="21"/>
      <c r="G1592" s="1"/>
      <c r="H1592" s="11" t="str">
        <f t="shared" si="90"/>
        <v>0 г. 0 мес. 0 дн.</v>
      </c>
      <c r="I1592" s="20"/>
      <c r="J1592" s="20"/>
      <c r="O1592" s="20"/>
      <c r="V1592" s="1" t="str">
        <f t="shared" si="91"/>
        <v>0 г. 0 мес. 0 дн.</v>
      </c>
      <c r="W1592" s="69"/>
    </row>
    <row r="1593" spans="1:23" ht="35.1" customHeight="1" x14ac:dyDescent="0.25">
      <c r="A1593" s="1">
        <f t="shared" si="89"/>
        <v>1592</v>
      </c>
      <c r="B1593" s="1"/>
      <c r="C1593" s="39"/>
      <c r="D1593" s="21"/>
      <c r="G1593" s="1"/>
      <c r="H1593" s="11" t="str">
        <f t="shared" si="90"/>
        <v>0 г. 0 мес. 0 дн.</v>
      </c>
      <c r="I1593" s="20"/>
      <c r="J1593" s="20"/>
      <c r="O1593" s="20"/>
      <c r="V1593" s="1" t="str">
        <f t="shared" si="91"/>
        <v>0 г. 0 мес. 0 дн.</v>
      </c>
      <c r="W1593" s="69"/>
    </row>
    <row r="1594" spans="1:23" ht="35.1" customHeight="1" x14ac:dyDescent="0.25">
      <c r="A1594" s="1">
        <f t="shared" si="89"/>
        <v>1593</v>
      </c>
      <c r="B1594" s="1"/>
      <c r="C1594" s="39"/>
      <c r="D1594" s="21"/>
      <c r="G1594" s="1"/>
      <c r="H1594" s="11" t="str">
        <f t="shared" si="90"/>
        <v>0 г. 0 мес. 0 дн.</v>
      </c>
      <c r="I1594" s="20"/>
      <c r="J1594" s="20"/>
      <c r="O1594" s="20"/>
      <c r="V1594" s="1" t="str">
        <f t="shared" si="91"/>
        <v>0 г. 0 мес. 0 дн.</v>
      </c>
      <c r="W1594" s="69"/>
    </row>
    <row r="1595" spans="1:23" ht="35.1" customHeight="1" x14ac:dyDescent="0.25">
      <c r="A1595" s="1">
        <f t="shared" si="89"/>
        <v>1594</v>
      </c>
      <c r="B1595" s="1"/>
      <c r="C1595" s="39"/>
      <c r="D1595" s="21"/>
      <c r="G1595" s="1"/>
      <c r="H1595" s="11" t="str">
        <f t="shared" si="90"/>
        <v>0 г. 0 мес. 0 дн.</v>
      </c>
      <c r="I1595" s="20"/>
      <c r="J1595" s="20"/>
      <c r="O1595" s="20"/>
      <c r="V1595" s="1" t="str">
        <f t="shared" si="91"/>
        <v>0 г. 0 мес. 0 дн.</v>
      </c>
      <c r="W1595" s="69"/>
    </row>
    <row r="1596" spans="1:23" ht="35.1" customHeight="1" x14ac:dyDescent="0.25">
      <c r="A1596" s="1">
        <f t="shared" si="89"/>
        <v>1595</v>
      </c>
      <c r="B1596" s="1"/>
      <c r="C1596" s="39"/>
      <c r="D1596" s="21"/>
      <c r="G1596" s="1"/>
      <c r="H1596" s="11" t="str">
        <f t="shared" si="90"/>
        <v>0 г. 0 мес. 0 дн.</v>
      </c>
      <c r="I1596" s="20"/>
      <c r="J1596" s="20"/>
      <c r="O1596" s="20"/>
      <c r="V1596" s="1" t="str">
        <f t="shared" si="91"/>
        <v>0 г. 0 мес. 0 дн.</v>
      </c>
      <c r="W1596" s="69"/>
    </row>
    <row r="1597" spans="1:23" ht="35.1" customHeight="1" x14ac:dyDescent="0.25">
      <c r="A1597" s="1">
        <f t="shared" si="89"/>
        <v>1596</v>
      </c>
      <c r="B1597" s="1"/>
      <c r="C1597" s="39"/>
      <c r="D1597" s="21"/>
      <c r="G1597" s="1"/>
      <c r="H1597" s="11" t="str">
        <f t="shared" si="90"/>
        <v>0 г. 0 мес. 0 дн.</v>
      </c>
      <c r="I1597" s="20"/>
      <c r="J1597" s="20"/>
      <c r="O1597" s="20"/>
      <c r="V1597" s="1" t="str">
        <f t="shared" si="91"/>
        <v>0 г. 0 мес. 0 дн.</v>
      </c>
      <c r="W1597" s="69"/>
    </row>
    <row r="1598" spans="1:23" ht="35.1" customHeight="1" x14ac:dyDescent="0.25">
      <c r="A1598" s="1">
        <f t="shared" si="89"/>
        <v>1597</v>
      </c>
      <c r="B1598" s="1"/>
      <c r="C1598" s="39"/>
      <c r="D1598" s="21"/>
      <c r="G1598" s="1"/>
      <c r="H1598" s="11" t="str">
        <f t="shared" si="90"/>
        <v>0 г. 0 мес. 0 дн.</v>
      </c>
      <c r="I1598" s="20"/>
      <c r="J1598" s="20"/>
      <c r="O1598" s="20"/>
      <c r="V1598" s="1" t="str">
        <f t="shared" si="91"/>
        <v>0 г. 0 мес. 0 дн.</v>
      </c>
      <c r="W1598" s="69"/>
    </row>
    <row r="1599" spans="1:23" ht="35.1" customHeight="1" x14ac:dyDescent="0.25">
      <c r="A1599" s="1">
        <f t="shared" si="89"/>
        <v>1598</v>
      </c>
      <c r="B1599" s="1"/>
      <c r="C1599" s="39"/>
      <c r="D1599" s="21"/>
      <c r="G1599" s="1"/>
      <c r="H1599" s="11" t="str">
        <f t="shared" si="90"/>
        <v>0 г. 0 мес. 0 дн.</v>
      </c>
      <c r="I1599" s="20"/>
      <c r="J1599" s="20"/>
      <c r="O1599" s="20"/>
      <c r="V1599" s="1" t="str">
        <f t="shared" si="91"/>
        <v>0 г. 0 мес. 0 дн.</v>
      </c>
      <c r="W1599" s="69"/>
    </row>
    <row r="1600" spans="1:23" ht="35.1" customHeight="1" x14ac:dyDescent="0.25">
      <c r="A1600" s="1">
        <f t="shared" si="89"/>
        <v>1599</v>
      </c>
      <c r="B1600" s="1"/>
      <c r="C1600" s="39"/>
      <c r="D1600" s="21"/>
      <c r="G1600" s="1"/>
      <c r="H1600" s="11" t="str">
        <f t="shared" si="90"/>
        <v>0 г. 0 мес. 0 дн.</v>
      </c>
      <c r="I1600" s="20"/>
      <c r="J1600" s="20"/>
      <c r="O1600" s="20"/>
      <c r="V1600" s="1" t="str">
        <f t="shared" si="91"/>
        <v>0 г. 0 мес. 0 дн.</v>
      </c>
      <c r="W1600" s="69"/>
    </row>
    <row r="1601" spans="1:23" ht="35.1" customHeight="1" x14ac:dyDescent="0.25">
      <c r="A1601" s="1">
        <f t="shared" ref="A1601:A1664" si="92">ROW(A1600)</f>
        <v>1600</v>
      </c>
      <c r="B1601" s="1"/>
      <c r="C1601" s="39"/>
      <c r="D1601" s="21"/>
      <c r="G1601" s="1"/>
      <c r="H1601" s="11" t="str">
        <f t="shared" ref="H1601:H1664" si="93">DATEDIF(G1601,D1601,"y") &amp; " г. " &amp; DATEDIF(G1601,D1601,"ym") &amp; " мес. " &amp; DATEDIF(G1601,D1601,"md") &amp; " дн."</f>
        <v>0 г. 0 мес. 0 дн.</v>
      </c>
      <c r="I1601" s="20"/>
      <c r="J1601" s="20"/>
      <c r="O1601" s="20"/>
      <c r="V1601" s="1" t="str">
        <f t="shared" si="91"/>
        <v>0 г. 0 мес. 0 дн.</v>
      </c>
      <c r="W1601" s="69"/>
    </row>
    <row r="1602" spans="1:23" ht="35.1" customHeight="1" x14ac:dyDescent="0.25">
      <c r="A1602" s="1">
        <f t="shared" si="92"/>
        <v>1601</v>
      </c>
      <c r="B1602" s="1"/>
      <c r="C1602" s="39"/>
      <c r="D1602" s="21"/>
      <c r="G1602" s="1"/>
      <c r="H1602" s="11" t="str">
        <f t="shared" si="93"/>
        <v>0 г. 0 мес. 0 дн.</v>
      </c>
      <c r="I1602" s="20"/>
      <c r="J1602" s="20"/>
      <c r="O1602" s="20"/>
      <c r="V1602" s="1" t="str">
        <f t="shared" si="91"/>
        <v>0 г. 0 мес. 0 дн.</v>
      </c>
      <c r="W1602" s="69"/>
    </row>
    <row r="1603" spans="1:23" ht="35.1" customHeight="1" x14ac:dyDescent="0.25">
      <c r="A1603" s="1">
        <f t="shared" si="92"/>
        <v>1602</v>
      </c>
      <c r="B1603" s="1"/>
      <c r="C1603" s="39"/>
      <c r="D1603" s="21"/>
      <c r="G1603" s="1"/>
      <c r="H1603" s="11" t="str">
        <f t="shared" si="93"/>
        <v>0 г. 0 мес. 0 дн.</v>
      </c>
      <c r="I1603" s="20"/>
      <c r="J1603" s="20"/>
      <c r="O1603" s="20"/>
      <c r="V1603" s="1" t="str">
        <f t="shared" si="91"/>
        <v>0 г. 0 мес. 0 дн.</v>
      </c>
      <c r="W1603" s="69"/>
    </row>
    <row r="1604" spans="1:23" ht="35.1" customHeight="1" x14ac:dyDescent="0.25">
      <c r="A1604" s="1">
        <f t="shared" si="92"/>
        <v>1603</v>
      </c>
      <c r="B1604" s="1"/>
      <c r="C1604" s="39"/>
      <c r="D1604" s="21"/>
      <c r="G1604" s="1"/>
      <c r="H1604" s="11" t="str">
        <f t="shared" si="93"/>
        <v>0 г. 0 мес. 0 дн.</v>
      </c>
      <c r="I1604" s="20"/>
      <c r="J1604" s="20"/>
      <c r="O1604" s="20"/>
      <c r="V1604" s="1" t="str">
        <f t="shared" si="91"/>
        <v>0 г. 0 мес. 0 дн.</v>
      </c>
      <c r="W1604" s="69"/>
    </row>
    <row r="1605" spans="1:23" ht="35.1" customHeight="1" x14ac:dyDescent="0.25">
      <c r="A1605" s="1">
        <f t="shared" si="92"/>
        <v>1604</v>
      </c>
      <c r="B1605" s="1"/>
      <c r="C1605" s="39"/>
      <c r="D1605" s="21"/>
      <c r="G1605" s="1"/>
      <c r="H1605" s="11" t="str">
        <f t="shared" si="93"/>
        <v>0 г. 0 мес. 0 дн.</v>
      </c>
      <c r="I1605" s="20"/>
      <c r="J1605" s="20"/>
      <c r="O1605" s="20"/>
      <c r="V1605" s="1" t="str">
        <f t="shared" si="91"/>
        <v>0 г. 0 мес. 0 дн.</v>
      </c>
      <c r="W1605" s="69"/>
    </row>
    <row r="1606" spans="1:23" ht="35.1" customHeight="1" x14ac:dyDescent="0.25">
      <c r="A1606" s="1">
        <f t="shared" si="92"/>
        <v>1605</v>
      </c>
      <c r="B1606" s="1"/>
      <c r="C1606" s="39"/>
      <c r="D1606" s="21"/>
      <c r="G1606" s="1"/>
      <c r="H1606" s="11" t="str">
        <f t="shared" si="93"/>
        <v>0 г. 0 мес. 0 дн.</v>
      </c>
      <c r="I1606" s="20"/>
      <c r="J1606" s="20"/>
      <c r="O1606" s="20"/>
      <c r="V1606" s="1" t="str">
        <f t="shared" si="91"/>
        <v>0 г. 0 мес. 0 дн.</v>
      </c>
      <c r="W1606" s="69"/>
    </row>
    <row r="1607" spans="1:23" ht="35.1" customHeight="1" x14ac:dyDescent="0.25">
      <c r="A1607" s="1">
        <f t="shared" si="92"/>
        <v>1606</v>
      </c>
      <c r="B1607" s="1"/>
      <c r="C1607" s="39"/>
      <c r="D1607" s="21"/>
      <c r="G1607" s="1"/>
      <c r="H1607" s="11" t="str">
        <f t="shared" si="93"/>
        <v>0 г. 0 мес. 0 дн.</v>
      </c>
      <c r="I1607" s="20"/>
      <c r="J1607" s="20"/>
      <c r="O1607" s="20"/>
      <c r="V1607" s="1" t="str">
        <f t="shared" si="91"/>
        <v>0 г. 0 мес. 0 дн.</v>
      </c>
      <c r="W1607" s="69"/>
    </row>
    <row r="1608" spans="1:23" ht="35.1" customHeight="1" x14ac:dyDescent="0.25">
      <c r="A1608" s="1">
        <f t="shared" si="92"/>
        <v>1607</v>
      </c>
      <c r="B1608" s="1"/>
      <c r="C1608" s="39"/>
      <c r="D1608" s="21"/>
      <c r="G1608" s="1"/>
      <c r="H1608" s="11" t="str">
        <f t="shared" si="93"/>
        <v>0 г. 0 мес. 0 дн.</v>
      </c>
      <c r="I1608" s="20"/>
      <c r="J1608" s="20"/>
      <c r="O1608" s="20"/>
      <c r="V1608" s="1" t="str">
        <f t="shared" si="91"/>
        <v>0 г. 0 мес. 0 дн.</v>
      </c>
      <c r="W1608" s="69"/>
    </row>
    <row r="1609" spans="1:23" ht="35.1" customHeight="1" x14ac:dyDescent="0.25">
      <c r="A1609" s="1">
        <f t="shared" si="92"/>
        <v>1608</v>
      </c>
      <c r="B1609" s="1"/>
      <c r="C1609" s="39"/>
      <c r="D1609" s="21"/>
      <c r="G1609" s="1"/>
      <c r="H1609" s="11" t="str">
        <f t="shared" si="93"/>
        <v>0 г. 0 мес. 0 дн.</v>
      </c>
      <c r="I1609" s="20"/>
      <c r="J1609" s="20"/>
      <c r="O1609" s="20"/>
      <c r="V1609" s="1" t="str">
        <f t="shared" si="91"/>
        <v>0 г. 0 мес. 0 дн.</v>
      </c>
      <c r="W1609" s="69"/>
    </row>
    <row r="1610" spans="1:23" ht="35.1" customHeight="1" x14ac:dyDescent="0.25">
      <c r="A1610" s="1">
        <f t="shared" si="92"/>
        <v>1609</v>
      </c>
      <c r="B1610" s="1"/>
      <c r="C1610" s="39"/>
      <c r="D1610" s="21"/>
      <c r="G1610" s="1"/>
      <c r="H1610" s="11" t="str">
        <f t="shared" si="93"/>
        <v>0 г. 0 мес. 0 дн.</v>
      </c>
      <c r="I1610" s="20"/>
      <c r="J1610" s="20"/>
      <c r="O1610" s="20"/>
      <c r="V1610" s="1" t="str">
        <f t="shared" si="91"/>
        <v>0 г. 0 мес. 0 дн.</v>
      </c>
      <c r="W1610" s="69"/>
    </row>
    <row r="1611" spans="1:23" ht="35.1" customHeight="1" x14ac:dyDescent="0.25">
      <c r="A1611" s="1">
        <f t="shared" si="92"/>
        <v>1610</v>
      </c>
      <c r="B1611" s="1"/>
      <c r="C1611" s="39"/>
      <c r="D1611" s="21"/>
      <c r="G1611" s="1"/>
      <c r="H1611" s="11" t="str">
        <f t="shared" si="93"/>
        <v>0 г. 0 мес. 0 дн.</v>
      </c>
      <c r="I1611" s="20"/>
      <c r="J1611" s="20"/>
      <c r="O1611" s="20"/>
      <c r="V1611" s="1" t="str">
        <f t="shared" si="91"/>
        <v>0 г. 0 мес. 0 дн.</v>
      </c>
      <c r="W1611" s="69"/>
    </row>
    <row r="1612" spans="1:23" ht="35.1" customHeight="1" x14ac:dyDescent="0.25">
      <c r="A1612" s="1">
        <f t="shared" si="92"/>
        <v>1611</v>
      </c>
      <c r="B1612" s="1"/>
      <c r="C1612" s="39"/>
      <c r="D1612" s="21"/>
      <c r="G1612" s="1"/>
      <c r="H1612" s="11" t="str">
        <f t="shared" si="93"/>
        <v>0 г. 0 мес. 0 дн.</v>
      </c>
      <c r="I1612" s="20"/>
      <c r="J1612" s="20"/>
      <c r="O1612" s="20"/>
      <c r="V1612" s="1" t="str">
        <f t="shared" si="91"/>
        <v>0 г. 0 мес. 0 дн.</v>
      </c>
      <c r="W1612" s="69"/>
    </row>
    <row r="1613" spans="1:23" ht="35.1" customHeight="1" x14ac:dyDescent="0.25">
      <c r="A1613" s="1">
        <f t="shared" si="92"/>
        <v>1612</v>
      </c>
      <c r="B1613" s="1"/>
      <c r="C1613" s="39"/>
      <c r="D1613" s="21"/>
      <c r="G1613" s="1"/>
      <c r="H1613" s="11" t="str">
        <f t="shared" si="93"/>
        <v>0 г. 0 мес. 0 дн.</v>
      </c>
      <c r="I1613" s="20"/>
      <c r="J1613" s="20"/>
      <c r="O1613" s="20"/>
      <c r="V1613" s="1" t="str">
        <f t="shared" si="91"/>
        <v>0 г. 0 мес. 0 дн.</v>
      </c>
      <c r="W1613" s="69"/>
    </row>
    <row r="1614" spans="1:23" ht="35.1" customHeight="1" x14ac:dyDescent="0.25">
      <c r="A1614" s="1">
        <f t="shared" si="92"/>
        <v>1613</v>
      </c>
      <c r="B1614" s="1"/>
      <c r="C1614" s="39"/>
      <c r="D1614" s="21"/>
      <c r="G1614" s="1"/>
      <c r="H1614" s="11" t="str">
        <f t="shared" si="93"/>
        <v>0 г. 0 мес. 0 дн.</v>
      </c>
      <c r="I1614" s="20"/>
      <c r="J1614" s="20"/>
      <c r="O1614" s="20"/>
      <c r="V1614" s="1" t="str">
        <f t="shared" si="91"/>
        <v>0 г. 0 мес. 0 дн.</v>
      </c>
      <c r="W1614" s="69"/>
    </row>
    <row r="1615" spans="1:23" ht="35.1" customHeight="1" x14ac:dyDescent="0.25">
      <c r="A1615" s="1">
        <f t="shared" si="92"/>
        <v>1614</v>
      </c>
      <c r="B1615" s="1"/>
      <c r="C1615" s="39"/>
      <c r="D1615" s="21"/>
      <c r="G1615" s="1"/>
      <c r="H1615" s="11" t="str">
        <f t="shared" si="93"/>
        <v>0 г. 0 мес. 0 дн.</v>
      </c>
      <c r="I1615" s="20"/>
      <c r="J1615" s="20"/>
      <c r="O1615" s="20"/>
      <c r="V1615" s="1" t="str">
        <f t="shared" si="91"/>
        <v>0 г. 0 мес. 0 дн.</v>
      </c>
      <c r="W1615" s="69"/>
    </row>
    <row r="1616" spans="1:23" ht="35.1" customHeight="1" x14ac:dyDescent="0.25">
      <c r="A1616" s="1">
        <f t="shared" si="92"/>
        <v>1615</v>
      </c>
      <c r="B1616" s="1"/>
      <c r="C1616" s="39"/>
      <c r="D1616" s="21"/>
      <c r="G1616" s="1"/>
      <c r="H1616" s="11" t="str">
        <f t="shared" si="93"/>
        <v>0 г. 0 мес. 0 дн.</v>
      </c>
      <c r="I1616" s="20"/>
      <c r="J1616" s="20"/>
      <c r="O1616" s="20"/>
      <c r="V1616" s="1" t="str">
        <f t="shared" si="91"/>
        <v>0 г. 0 мес. 0 дн.</v>
      </c>
      <c r="W1616" s="69"/>
    </row>
    <row r="1617" spans="1:23" ht="35.1" customHeight="1" x14ac:dyDescent="0.25">
      <c r="A1617" s="1">
        <f t="shared" si="92"/>
        <v>1616</v>
      </c>
      <c r="B1617" s="1"/>
      <c r="C1617" s="39"/>
      <c r="D1617" s="21"/>
      <c r="G1617" s="1"/>
      <c r="H1617" s="11" t="str">
        <f t="shared" si="93"/>
        <v>0 г. 0 мес. 0 дн.</v>
      </c>
      <c r="I1617" s="20"/>
      <c r="J1617" s="20"/>
      <c r="O1617" s="20"/>
      <c r="V1617" s="1" t="str">
        <f t="shared" si="91"/>
        <v>0 г. 0 мес. 0 дн.</v>
      </c>
      <c r="W1617" s="69"/>
    </row>
    <row r="1618" spans="1:23" ht="35.1" customHeight="1" x14ac:dyDescent="0.25">
      <c r="A1618" s="1">
        <f t="shared" si="92"/>
        <v>1617</v>
      </c>
      <c r="B1618" s="1"/>
      <c r="C1618" s="39"/>
      <c r="D1618" s="21"/>
      <c r="G1618" s="1"/>
      <c r="H1618" s="11" t="str">
        <f t="shared" si="93"/>
        <v>0 г. 0 мес. 0 дн.</v>
      </c>
      <c r="I1618" s="20"/>
      <c r="J1618" s="20"/>
      <c r="O1618" s="20"/>
      <c r="V1618" s="1" t="str">
        <f t="shared" si="91"/>
        <v>0 г. 0 мес. 0 дн.</v>
      </c>
      <c r="W1618" s="69"/>
    </row>
    <row r="1619" spans="1:23" ht="35.1" customHeight="1" x14ac:dyDescent="0.25">
      <c r="A1619" s="1">
        <f t="shared" si="92"/>
        <v>1618</v>
      </c>
      <c r="B1619" s="1"/>
      <c r="C1619" s="39"/>
      <c r="D1619" s="21"/>
      <c r="G1619" s="1"/>
      <c r="H1619" s="11" t="str">
        <f t="shared" si="93"/>
        <v>0 г. 0 мес. 0 дн.</v>
      </c>
      <c r="I1619" s="20"/>
      <c r="J1619" s="20"/>
      <c r="O1619" s="20"/>
      <c r="V1619" s="1" t="str">
        <f t="shared" si="91"/>
        <v>0 г. 0 мес. 0 дн.</v>
      </c>
      <c r="W1619" s="69"/>
    </row>
    <row r="1620" spans="1:23" ht="35.1" customHeight="1" x14ac:dyDescent="0.25">
      <c r="A1620" s="1">
        <f t="shared" si="92"/>
        <v>1619</v>
      </c>
      <c r="B1620" s="1"/>
      <c r="C1620" s="39"/>
      <c r="D1620" s="21"/>
      <c r="G1620" s="1"/>
      <c r="H1620" s="11" t="str">
        <f t="shared" si="93"/>
        <v>0 г. 0 мес. 0 дн.</v>
      </c>
      <c r="I1620" s="20"/>
      <c r="J1620" s="20"/>
      <c r="O1620" s="20"/>
      <c r="V1620" s="1" t="str">
        <f t="shared" si="91"/>
        <v>0 г. 0 мес. 0 дн.</v>
      </c>
      <c r="W1620" s="69"/>
    </row>
    <row r="1621" spans="1:23" ht="35.1" customHeight="1" x14ac:dyDescent="0.25">
      <c r="A1621" s="1">
        <f t="shared" si="92"/>
        <v>1620</v>
      </c>
      <c r="B1621" s="1"/>
      <c r="C1621" s="39"/>
      <c r="D1621" s="21"/>
      <c r="G1621" s="1"/>
      <c r="H1621" s="11" t="str">
        <f t="shared" si="93"/>
        <v>0 г. 0 мес. 0 дн.</v>
      </c>
      <c r="I1621" s="20"/>
      <c r="J1621" s="20"/>
      <c r="O1621" s="20"/>
      <c r="V1621" s="1" t="str">
        <f t="shared" si="91"/>
        <v>0 г. 0 мес. 0 дн.</v>
      </c>
      <c r="W1621" s="69"/>
    </row>
    <row r="1622" spans="1:23" ht="35.1" customHeight="1" x14ac:dyDescent="0.25">
      <c r="A1622" s="1">
        <f t="shared" si="92"/>
        <v>1621</v>
      </c>
      <c r="B1622" s="1"/>
      <c r="C1622" s="39"/>
      <c r="D1622" s="21"/>
      <c r="G1622" s="1"/>
      <c r="H1622" s="11" t="str">
        <f t="shared" si="93"/>
        <v>0 г. 0 мес. 0 дн.</v>
      </c>
      <c r="I1622" s="20"/>
      <c r="J1622" s="20"/>
      <c r="O1622" s="20"/>
      <c r="V1622" s="1" t="str">
        <f t="shared" si="91"/>
        <v>0 г. 0 мес. 0 дн.</v>
      </c>
      <c r="W1622" s="69"/>
    </row>
    <row r="1623" spans="1:23" ht="35.1" customHeight="1" x14ac:dyDescent="0.25">
      <c r="A1623" s="1">
        <f t="shared" si="92"/>
        <v>1622</v>
      </c>
      <c r="B1623" s="1"/>
      <c r="C1623" s="39"/>
      <c r="D1623" s="21"/>
      <c r="G1623" s="1"/>
      <c r="H1623" s="11" t="str">
        <f t="shared" si="93"/>
        <v>0 г. 0 мес. 0 дн.</v>
      </c>
      <c r="I1623" s="20"/>
      <c r="J1623" s="20"/>
      <c r="O1623" s="20"/>
      <c r="V1623" s="1" t="str">
        <f t="shared" si="91"/>
        <v>0 г. 0 мес. 0 дн.</v>
      </c>
      <c r="W1623" s="69"/>
    </row>
    <row r="1624" spans="1:23" ht="35.1" customHeight="1" x14ac:dyDescent="0.25">
      <c r="A1624" s="1">
        <f t="shared" si="92"/>
        <v>1623</v>
      </c>
      <c r="B1624" s="1"/>
      <c r="C1624" s="39"/>
      <c r="D1624" s="21"/>
      <c r="G1624" s="1"/>
      <c r="H1624" s="11" t="str">
        <f t="shared" si="93"/>
        <v>0 г. 0 мес. 0 дн.</v>
      </c>
      <c r="I1624" s="20"/>
      <c r="J1624" s="20"/>
      <c r="O1624" s="20"/>
      <c r="V1624" s="1" t="str">
        <f t="shared" si="91"/>
        <v>0 г. 0 мес. 0 дн.</v>
      </c>
      <c r="W1624" s="69"/>
    </row>
    <row r="1625" spans="1:23" ht="35.1" customHeight="1" x14ac:dyDescent="0.25">
      <c r="A1625" s="1">
        <f t="shared" si="92"/>
        <v>1624</v>
      </c>
      <c r="B1625" s="1"/>
      <c r="C1625" s="39"/>
      <c r="D1625" s="21"/>
      <c r="G1625" s="1"/>
      <c r="H1625" s="11" t="str">
        <f t="shared" si="93"/>
        <v>0 г. 0 мес. 0 дн.</v>
      </c>
      <c r="I1625" s="20"/>
      <c r="J1625" s="20"/>
      <c r="O1625" s="20"/>
      <c r="V1625" s="1" t="str">
        <f t="shared" ref="V1625:V1688" si="94">DATEDIF(D1625,T1625,"y") &amp; " г. " &amp; DATEDIF(D1625,T1625,"ym") &amp; " мес. " &amp; DATEDIF(D1625,T1625,"md") &amp; " дн."</f>
        <v>0 г. 0 мес. 0 дн.</v>
      </c>
      <c r="W1625" s="69"/>
    </row>
    <row r="1626" spans="1:23" ht="35.1" customHeight="1" x14ac:dyDescent="0.25">
      <c r="A1626" s="1">
        <f t="shared" si="92"/>
        <v>1625</v>
      </c>
      <c r="B1626" s="1"/>
      <c r="C1626" s="39"/>
      <c r="D1626" s="21"/>
      <c r="G1626" s="1"/>
      <c r="H1626" s="11" t="str">
        <f t="shared" si="93"/>
        <v>0 г. 0 мес. 0 дн.</v>
      </c>
      <c r="I1626" s="20"/>
      <c r="J1626" s="20"/>
      <c r="O1626" s="20"/>
      <c r="V1626" s="1" t="str">
        <f t="shared" si="94"/>
        <v>0 г. 0 мес. 0 дн.</v>
      </c>
      <c r="W1626" s="69"/>
    </row>
    <row r="1627" spans="1:23" ht="35.1" customHeight="1" x14ac:dyDescent="0.25">
      <c r="A1627" s="1">
        <f t="shared" si="92"/>
        <v>1626</v>
      </c>
      <c r="B1627" s="1"/>
      <c r="C1627" s="39"/>
      <c r="D1627" s="21"/>
      <c r="G1627" s="1"/>
      <c r="H1627" s="11" t="str">
        <f t="shared" si="93"/>
        <v>0 г. 0 мес. 0 дн.</v>
      </c>
      <c r="I1627" s="20"/>
      <c r="J1627" s="20"/>
      <c r="O1627" s="20"/>
      <c r="V1627" s="1" t="str">
        <f t="shared" si="94"/>
        <v>0 г. 0 мес. 0 дн.</v>
      </c>
      <c r="W1627" s="69"/>
    </row>
    <row r="1628" spans="1:23" ht="35.1" customHeight="1" x14ac:dyDescent="0.25">
      <c r="A1628" s="1">
        <f t="shared" si="92"/>
        <v>1627</v>
      </c>
      <c r="B1628" s="1"/>
      <c r="C1628" s="39"/>
      <c r="D1628" s="21"/>
      <c r="G1628" s="1"/>
      <c r="H1628" s="11" t="str">
        <f t="shared" si="93"/>
        <v>0 г. 0 мес. 0 дн.</v>
      </c>
      <c r="I1628" s="20"/>
      <c r="J1628" s="20"/>
      <c r="O1628" s="20"/>
      <c r="V1628" s="1" t="str">
        <f t="shared" si="94"/>
        <v>0 г. 0 мес. 0 дн.</v>
      </c>
      <c r="W1628" s="69"/>
    </row>
    <row r="1629" spans="1:23" ht="35.1" customHeight="1" x14ac:dyDescent="0.25">
      <c r="A1629" s="1">
        <f t="shared" si="92"/>
        <v>1628</v>
      </c>
      <c r="B1629" s="1"/>
      <c r="C1629" s="39"/>
      <c r="D1629" s="21"/>
      <c r="G1629" s="1"/>
      <c r="H1629" s="11" t="str">
        <f t="shared" si="93"/>
        <v>0 г. 0 мес. 0 дн.</v>
      </c>
      <c r="I1629" s="20"/>
      <c r="J1629" s="20"/>
      <c r="O1629" s="20"/>
      <c r="V1629" s="1" t="str">
        <f t="shared" si="94"/>
        <v>0 г. 0 мес. 0 дн.</v>
      </c>
      <c r="W1629" s="69"/>
    </row>
    <row r="1630" spans="1:23" ht="35.1" customHeight="1" x14ac:dyDescent="0.25">
      <c r="A1630" s="1">
        <f t="shared" si="92"/>
        <v>1629</v>
      </c>
      <c r="B1630" s="1"/>
      <c r="C1630" s="39"/>
      <c r="D1630" s="21"/>
      <c r="G1630" s="1"/>
      <c r="H1630" s="11" t="str">
        <f t="shared" si="93"/>
        <v>0 г. 0 мес. 0 дн.</v>
      </c>
      <c r="I1630" s="20"/>
      <c r="J1630" s="20"/>
      <c r="O1630" s="20"/>
      <c r="V1630" s="1" t="str">
        <f t="shared" si="94"/>
        <v>0 г. 0 мес. 0 дн.</v>
      </c>
      <c r="W1630" s="69"/>
    </row>
    <row r="1631" spans="1:23" ht="35.1" customHeight="1" x14ac:dyDescent="0.25">
      <c r="A1631" s="1">
        <f t="shared" si="92"/>
        <v>1630</v>
      </c>
      <c r="B1631" s="1"/>
      <c r="C1631" s="39"/>
      <c r="D1631" s="21"/>
      <c r="G1631" s="1"/>
      <c r="H1631" s="11" t="str">
        <f t="shared" si="93"/>
        <v>0 г. 0 мес. 0 дн.</v>
      </c>
      <c r="I1631" s="20"/>
      <c r="J1631" s="20"/>
      <c r="O1631" s="20"/>
      <c r="V1631" s="1" t="str">
        <f t="shared" si="94"/>
        <v>0 г. 0 мес. 0 дн.</v>
      </c>
      <c r="W1631" s="69"/>
    </row>
    <row r="1632" spans="1:23" ht="35.1" customHeight="1" x14ac:dyDescent="0.25">
      <c r="A1632" s="1">
        <f t="shared" si="92"/>
        <v>1631</v>
      </c>
      <c r="B1632" s="1"/>
      <c r="C1632" s="39"/>
      <c r="D1632" s="21"/>
      <c r="G1632" s="1"/>
      <c r="H1632" s="11" t="str">
        <f t="shared" si="93"/>
        <v>0 г. 0 мес. 0 дн.</v>
      </c>
      <c r="I1632" s="20"/>
      <c r="J1632" s="20"/>
      <c r="O1632" s="20"/>
      <c r="V1632" s="1" t="str">
        <f t="shared" si="94"/>
        <v>0 г. 0 мес. 0 дн.</v>
      </c>
      <c r="W1632" s="69"/>
    </row>
    <row r="1633" spans="1:23" ht="35.1" customHeight="1" x14ac:dyDescent="0.25">
      <c r="A1633" s="1">
        <f t="shared" si="92"/>
        <v>1632</v>
      </c>
      <c r="B1633" s="1"/>
      <c r="C1633" s="39"/>
      <c r="D1633" s="21"/>
      <c r="G1633" s="1"/>
      <c r="H1633" s="11" t="str">
        <f t="shared" si="93"/>
        <v>0 г. 0 мес. 0 дн.</v>
      </c>
      <c r="I1633" s="20"/>
      <c r="J1633" s="20"/>
      <c r="O1633" s="20"/>
      <c r="V1633" s="1" t="str">
        <f t="shared" si="94"/>
        <v>0 г. 0 мес. 0 дн.</v>
      </c>
      <c r="W1633" s="69"/>
    </row>
    <row r="1634" spans="1:23" ht="35.1" customHeight="1" x14ac:dyDescent="0.25">
      <c r="A1634" s="1">
        <f t="shared" si="92"/>
        <v>1633</v>
      </c>
      <c r="B1634" s="1"/>
      <c r="C1634" s="39"/>
      <c r="D1634" s="21"/>
      <c r="G1634" s="1"/>
      <c r="H1634" s="11" t="str">
        <f t="shared" si="93"/>
        <v>0 г. 0 мес. 0 дн.</v>
      </c>
      <c r="I1634" s="20"/>
      <c r="J1634" s="20"/>
      <c r="O1634" s="20"/>
      <c r="V1634" s="1" t="str">
        <f t="shared" si="94"/>
        <v>0 г. 0 мес. 0 дн.</v>
      </c>
      <c r="W1634" s="69"/>
    </row>
    <row r="1635" spans="1:23" ht="35.1" customHeight="1" x14ac:dyDescent="0.25">
      <c r="A1635" s="1">
        <f t="shared" si="92"/>
        <v>1634</v>
      </c>
      <c r="B1635" s="1"/>
      <c r="C1635" s="39"/>
      <c r="D1635" s="21"/>
      <c r="G1635" s="1"/>
      <c r="H1635" s="11" t="str">
        <f t="shared" si="93"/>
        <v>0 г. 0 мес. 0 дн.</v>
      </c>
      <c r="I1635" s="20"/>
      <c r="J1635" s="20"/>
      <c r="O1635" s="20"/>
      <c r="V1635" s="1" t="str">
        <f t="shared" si="94"/>
        <v>0 г. 0 мес. 0 дн.</v>
      </c>
      <c r="W1635" s="69"/>
    </row>
    <row r="1636" spans="1:23" ht="35.1" customHeight="1" x14ac:dyDescent="0.25">
      <c r="A1636" s="1">
        <f t="shared" si="92"/>
        <v>1635</v>
      </c>
      <c r="B1636" s="1"/>
      <c r="C1636" s="39"/>
      <c r="D1636" s="21"/>
      <c r="G1636" s="1"/>
      <c r="H1636" s="11" t="str">
        <f t="shared" si="93"/>
        <v>0 г. 0 мес. 0 дн.</v>
      </c>
      <c r="I1636" s="20"/>
      <c r="J1636" s="20"/>
      <c r="O1636" s="20"/>
      <c r="V1636" s="1" t="str">
        <f t="shared" si="94"/>
        <v>0 г. 0 мес. 0 дн.</v>
      </c>
      <c r="W1636" s="69"/>
    </row>
    <row r="1637" spans="1:23" ht="35.1" customHeight="1" x14ac:dyDescent="0.25">
      <c r="A1637" s="1">
        <f t="shared" si="92"/>
        <v>1636</v>
      </c>
      <c r="B1637" s="1"/>
      <c r="C1637" s="39"/>
      <c r="D1637" s="21"/>
      <c r="G1637" s="1"/>
      <c r="H1637" s="11" t="str">
        <f t="shared" si="93"/>
        <v>0 г. 0 мес. 0 дн.</v>
      </c>
      <c r="I1637" s="20"/>
      <c r="J1637" s="20"/>
      <c r="O1637" s="20"/>
      <c r="V1637" s="1" t="str">
        <f t="shared" si="94"/>
        <v>0 г. 0 мес. 0 дн.</v>
      </c>
      <c r="W1637" s="69"/>
    </row>
    <row r="1638" spans="1:23" ht="35.1" customHeight="1" x14ac:dyDescent="0.25">
      <c r="A1638" s="1">
        <f t="shared" si="92"/>
        <v>1637</v>
      </c>
      <c r="B1638" s="1"/>
      <c r="C1638" s="39"/>
      <c r="D1638" s="21"/>
      <c r="G1638" s="1"/>
      <c r="H1638" s="11" t="str">
        <f t="shared" si="93"/>
        <v>0 г. 0 мес. 0 дн.</v>
      </c>
      <c r="I1638" s="20"/>
      <c r="J1638" s="20"/>
      <c r="O1638" s="20"/>
      <c r="V1638" s="1" t="str">
        <f t="shared" si="94"/>
        <v>0 г. 0 мес. 0 дн.</v>
      </c>
      <c r="W1638" s="69"/>
    </row>
    <row r="1639" spans="1:23" ht="35.1" customHeight="1" x14ac:dyDescent="0.25">
      <c r="A1639" s="1">
        <f t="shared" si="92"/>
        <v>1638</v>
      </c>
      <c r="B1639" s="1"/>
      <c r="C1639" s="39"/>
      <c r="D1639" s="21"/>
      <c r="G1639" s="1"/>
      <c r="H1639" s="11" t="str">
        <f t="shared" si="93"/>
        <v>0 г. 0 мес. 0 дн.</v>
      </c>
      <c r="I1639" s="20"/>
      <c r="J1639" s="20"/>
      <c r="O1639" s="20"/>
      <c r="V1639" s="1" t="str">
        <f t="shared" si="94"/>
        <v>0 г. 0 мес. 0 дн.</v>
      </c>
      <c r="W1639" s="69"/>
    </row>
    <row r="1640" spans="1:23" ht="35.1" customHeight="1" x14ac:dyDescent="0.25">
      <c r="A1640" s="1">
        <f t="shared" si="92"/>
        <v>1639</v>
      </c>
      <c r="B1640" s="1"/>
      <c r="C1640" s="39"/>
      <c r="D1640" s="21"/>
      <c r="G1640" s="1"/>
      <c r="H1640" s="11" t="str">
        <f t="shared" si="93"/>
        <v>0 г. 0 мес. 0 дн.</v>
      </c>
      <c r="I1640" s="20"/>
      <c r="J1640" s="20"/>
      <c r="O1640" s="20"/>
      <c r="V1640" s="1" t="str">
        <f t="shared" si="94"/>
        <v>0 г. 0 мес. 0 дн.</v>
      </c>
      <c r="W1640" s="69"/>
    </row>
    <row r="1641" spans="1:23" ht="35.1" customHeight="1" x14ac:dyDescent="0.25">
      <c r="A1641" s="1">
        <f t="shared" si="92"/>
        <v>1640</v>
      </c>
      <c r="B1641" s="1"/>
      <c r="C1641" s="39"/>
      <c r="D1641" s="21"/>
      <c r="G1641" s="1"/>
      <c r="H1641" s="11" t="str">
        <f t="shared" si="93"/>
        <v>0 г. 0 мес. 0 дн.</v>
      </c>
      <c r="I1641" s="20"/>
      <c r="J1641" s="20"/>
      <c r="O1641" s="20"/>
      <c r="V1641" s="1" t="str">
        <f t="shared" si="94"/>
        <v>0 г. 0 мес. 0 дн.</v>
      </c>
      <c r="W1641" s="69"/>
    </row>
    <row r="1642" spans="1:23" ht="35.1" customHeight="1" x14ac:dyDescent="0.25">
      <c r="A1642" s="1">
        <f t="shared" si="92"/>
        <v>1641</v>
      </c>
      <c r="B1642" s="1"/>
      <c r="C1642" s="39"/>
      <c r="D1642" s="21"/>
      <c r="G1642" s="1"/>
      <c r="H1642" s="11" t="str">
        <f t="shared" si="93"/>
        <v>0 г. 0 мес. 0 дн.</v>
      </c>
      <c r="I1642" s="20"/>
      <c r="J1642" s="20"/>
      <c r="O1642" s="20"/>
      <c r="V1642" s="1" t="str">
        <f t="shared" si="94"/>
        <v>0 г. 0 мес. 0 дн.</v>
      </c>
      <c r="W1642" s="69"/>
    </row>
    <row r="1643" spans="1:23" ht="35.1" customHeight="1" x14ac:dyDescent="0.25">
      <c r="A1643" s="1">
        <f t="shared" si="92"/>
        <v>1642</v>
      </c>
      <c r="B1643" s="1"/>
      <c r="C1643" s="39"/>
      <c r="D1643" s="21"/>
      <c r="G1643" s="1"/>
      <c r="H1643" s="11" t="str">
        <f t="shared" si="93"/>
        <v>0 г. 0 мес. 0 дн.</v>
      </c>
      <c r="I1643" s="20"/>
      <c r="J1643" s="20"/>
      <c r="O1643" s="20"/>
      <c r="V1643" s="1" t="str">
        <f t="shared" si="94"/>
        <v>0 г. 0 мес. 0 дн.</v>
      </c>
      <c r="W1643" s="69"/>
    </row>
    <row r="1644" spans="1:23" ht="35.1" customHeight="1" x14ac:dyDescent="0.25">
      <c r="A1644" s="1">
        <f t="shared" si="92"/>
        <v>1643</v>
      </c>
      <c r="B1644" s="1"/>
      <c r="C1644" s="39"/>
      <c r="D1644" s="21"/>
      <c r="G1644" s="1"/>
      <c r="H1644" s="11" t="str">
        <f t="shared" si="93"/>
        <v>0 г. 0 мес. 0 дн.</v>
      </c>
      <c r="I1644" s="20"/>
      <c r="J1644" s="20"/>
      <c r="O1644" s="20"/>
      <c r="V1644" s="1" t="str">
        <f t="shared" si="94"/>
        <v>0 г. 0 мес. 0 дн.</v>
      </c>
      <c r="W1644" s="69"/>
    </row>
    <row r="1645" spans="1:23" ht="35.1" customHeight="1" x14ac:dyDescent="0.25">
      <c r="A1645" s="1">
        <f t="shared" si="92"/>
        <v>1644</v>
      </c>
      <c r="B1645" s="1"/>
      <c r="C1645" s="39"/>
      <c r="D1645" s="21"/>
      <c r="G1645" s="1"/>
      <c r="H1645" s="11" t="str">
        <f t="shared" si="93"/>
        <v>0 г. 0 мес. 0 дн.</v>
      </c>
      <c r="I1645" s="20"/>
      <c r="J1645" s="20"/>
      <c r="O1645" s="20"/>
      <c r="V1645" s="1" t="str">
        <f t="shared" si="94"/>
        <v>0 г. 0 мес. 0 дн.</v>
      </c>
      <c r="W1645" s="69"/>
    </row>
    <row r="1646" spans="1:23" ht="35.1" customHeight="1" x14ac:dyDescent="0.25">
      <c r="A1646" s="1">
        <f t="shared" si="92"/>
        <v>1645</v>
      </c>
      <c r="B1646" s="1"/>
      <c r="C1646" s="39"/>
      <c r="D1646" s="21"/>
      <c r="G1646" s="1"/>
      <c r="H1646" s="11" t="str">
        <f t="shared" si="93"/>
        <v>0 г. 0 мес. 0 дн.</v>
      </c>
      <c r="I1646" s="20"/>
      <c r="J1646" s="20"/>
      <c r="O1646" s="20"/>
      <c r="V1646" s="1" t="str">
        <f t="shared" si="94"/>
        <v>0 г. 0 мес. 0 дн.</v>
      </c>
      <c r="W1646" s="69"/>
    </row>
    <row r="1647" spans="1:23" ht="35.1" customHeight="1" x14ac:dyDescent="0.25">
      <c r="A1647" s="1">
        <f t="shared" si="92"/>
        <v>1646</v>
      </c>
      <c r="B1647" s="1"/>
      <c r="C1647" s="39"/>
      <c r="D1647" s="21"/>
      <c r="G1647" s="1"/>
      <c r="H1647" s="11" t="str">
        <f t="shared" si="93"/>
        <v>0 г. 0 мес. 0 дн.</v>
      </c>
      <c r="I1647" s="20"/>
      <c r="J1647" s="20"/>
      <c r="O1647" s="20"/>
      <c r="V1647" s="1" t="str">
        <f t="shared" si="94"/>
        <v>0 г. 0 мес. 0 дн.</v>
      </c>
      <c r="W1647" s="69"/>
    </row>
    <row r="1648" spans="1:23" ht="35.1" customHeight="1" x14ac:dyDescent="0.25">
      <c r="A1648" s="1">
        <f t="shared" si="92"/>
        <v>1647</v>
      </c>
      <c r="B1648" s="1"/>
      <c r="C1648" s="39"/>
      <c r="D1648" s="21"/>
      <c r="G1648" s="1"/>
      <c r="H1648" s="11" t="str">
        <f t="shared" si="93"/>
        <v>0 г. 0 мес. 0 дн.</v>
      </c>
      <c r="I1648" s="20"/>
      <c r="J1648" s="20"/>
      <c r="O1648" s="20"/>
      <c r="V1648" s="1" t="str">
        <f t="shared" si="94"/>
        <v>0 г. 0 мес. 0 дн.</v>
      </c>
      <c r="W1648" s="69"/>
    </row>
    <row r="1649" spans="1:23" ht="35.1" customHeight="1" x14ac:dyDescent="0.25">
      <c r="A1649" s="1">
        <f t="shared" si="92"/>
        <v>1648</v>
      </c>
      <c r="B1649" s="1"/>
      <c r="C1649" s="39"/>
      <c r="D1649" s="21"/>
      <c r="G1649" s="1"/>
      <c r="H1649" s="11" t="str">
        <f t="shared" si="93"/>
        <v>0 г. 0 мес. 0 дн.</v>
      </c>
      <c r="I1649" s="20"/>
      <c r="J1649" s="20"/>
      <c r="O1649" s="20"/>
      <c r="V1649" s="1" t="str">
        <f t="shared" si="94"/>
        <v>0 г. 0 мес. 0 дн.</v>
      </c>
      <c r="W1649" s="69"/>
    </row>
    <row r="1650" spans="1:23" ht="35.1" customHeight="1" x14ac:dyDescent="0.25">
      <c r="A1650" s="1">
        <f t="shared" si="92"/>
        <v>1649</v>
      </c>
      <c r="B1650" s="1"/>
      <c r="C1650" s="39"/>
      <c r="D1650" s="21"/>
      <c r="G1650" s="1"/>
      <c r="H1650" s="11" t="str">
        <f t="shared" si="93"/>
        <v>0 г. 0 мес. 0 дн.</v>
      </c>
      <c r="I1650" s="20"/>
      <c r="J1650" s="20"/>
      <c r="O1650" s="20"/>
      <c r="V1650" s="1" t="str">
        <f t="shared" si="94"/>
        <v>0 г. 0 мес. 0 дн.</v>
      </c>
      <c r="W1650" s="69"/>
    </row>
    <row r="1651" spans="1:23" ht="35.1" customHeight="1" x14ac:dyDescent="0.25">
      <c r="A1651" s="1">
        <f t="shared" si="92"/>
        <v>1650</v>
      </c>
      <c r="B1651" s="1"/>
      <c r="C1651" s="39"/>
      <c r="D1651" s="21"/>
      <c r="G1651" s="1"/>
      <c r="H1651" s="11" t="str">
        <f t="shared" si="93"/>
        <v>0 г. 0 мес. 0 дн.</v>
      </c>
      <c r="I1651" s="20"/>
      <c r="J1651" s="20"/>
      <c r="O1651" s="20"/>
      <c r="V1651" s="1" t="str">
        <f t="shared" si="94"/>
        <v>0 г. 0 мес. 0 дн.</v>
      </c>
      <c r="W1651" s="69"/>
    </row>
    <row r="1652" spans="1:23" ht="35.1" customHeight="1" x14ac:dyDescent="0.25">
      <c r="A1652" s="1">
        <f t="shared" si="92"/>
        <v>1651</v>
      </c>
      <c r="B1652" s="1"/>
      <c r="C1652" s="39"/>
      <c r="D1652" s="21"/>
      <c r="G1652" s="1"/>
      <c r="H1652" s="11" t="str">
        <f t="shared" si="93"/>
        <v>0 г. 0 мес. 0 дн.</v>
      </c>
      <c r="I1652" s="20"/>
      <c r="J1652" s="20"/>
      <c r="O1652" s="20"/>
      <c r="V1652" s="1" t="str">
        <f t="shared" si="94"/>
        <v>0 г. 0 мес. 0 дн.</v>
      </c>
      <c r="W1652" s="69"/>
    </row>
    <row r="1653" spans="1:23" ht="35.1" customHeight="1" x14ac:dyDescent="0.25">
      <c r="A1653" s="1">
        <f t="shared" si="92"/>
        <v>1652</v>
      </c>
      <c r="B1653" s="1"/>
      <c r="C1653" s="39"/>
      <c r="D1653" s="21"/>
      <c r="G1653" s="1"/>
      <c r="H1653" s="11" t="str">
        <f t="shared" si="93"/>
        <v>0 г. 0 мес. 0 дн.</v>
      </c>
      <c r="I1653" s="20"/>
      <c r="J1653" s="20"/>
      <c r="O1653" s="20"/>
      <c r="V1653" s="1" t="str">
        <f t="shared" si="94"/>
        <v>0 г. 0 мес. 0 дн.</v>
      </c>
      <c r="W1653" s="69"/>
    </row>
    <row r="1654" spans="1:23" ht="35.1" customHeight="1" x14ac:dyDescent="0.25">
      <c r="A1654" s="1">
        <f t="shared" si="92"/>
        <v>1653</v>
      </c>
      <c r="B1654" s="1"/>
      <c r="C1654" s="39"/>
      <c r="D1654" s="21"/>
      <c r="G1654" s="1"/>
      <c r="H1654" s="11" t="str">
        <f t="shared" si="93"/>
        <v>0 г. 0 мес. 0 дн.</v>
      </c>
      <c r="I1654" s="20"/>
      <c r="J1654" s="20"/>
      <c r="O1654" s="20"/>
      <c r="V1654" s="1" t="str">
        <f t="shared" si="94"/>
        <v>0 г. 0 мес. 0 дн.</v>
      </c>
      <c r="W1654" s="69"/>
    </row>
    <row r="1655" spans="1:23" ht="35.1" customHeight="1" x14ac:dyDescent="0.25">
      <c r="A1655" s="1">
        <f t="shared" si="92"/>
        <v>1654</v>
      </c>
      <c r="B1655" s="1"/>
      <c r="C1655" s="39"/>
      <c r="D1655" s="21"/>
      <c r="G1655" s="1"/>
      <c r="H1655" s="11" t="str">
        <f t="shared" si="93"/>
        <v>0 г. 0 мес. 0 дн.</v>
      </c>
      <c r="I1655" s="20"/>
      <c r="J1655" s="20"/>
      <c r="O1655" s="20"/>
      <c r="V1655" s="1" t="str">
        <f t="shared" si="94"/>
        <v>0 г. 0 мес. 0 дн.</v>
      </c>
      <c r="W1655" s="69"/>
    </row>
    <row r="1656" spans="1:23" ht="35.1" customHeight="1" x14ac:dyDescent="0.25">
      <c r="A1656" s="1">
        <f t="shared" si="92"/>
        <v>1655</v>
      </c>
      <c r="B1656" s="1"/>
      <c r="C1656" s="39"/>
      <c r="D1656" s="21"/>
      <c r="G1656" s="1"/>
      <c r="H1656" s="11" t="str">
        <f t="shared" si="93"/>
        <v>0 г. 0 мес. 0 дн.</v>
      </c>
      <c r="I1656" s="20"/>
      <c r="J1656" s="20"/>
      <c r="O1656" s="20"/>
      <c r="V1656" s="1" t="str">
        <f t="shared" si="94"/>
        <v>0 г. 0 мес. 0 дн.</v>
      </c>
      <c r="W1656" s="69"/>
    </row>
    <row r="1657" spans="1:23" ht="35.1" customHeight="1" x14ac:dyDescent="0.25">
      <c r="A1657" s="1">
        <f t="shared" si="92"/>
        <v>1656</v>
      </c>
      <c r="B1657" s="1"/>
      <c r="C1657" s="39"/>
      <c r="D1657" s="21"/>
      <c r="G1657" s="1"/>
      <c r="H1657" s="11" t="str">
        <f t="shared" si="93"/>
        <v>0 г. 0 мес. 0 дн.</v>
      </c>
      <c r="I1657" s="20"/>
      <c r="J1657" s="20"/>
      <c r="O1657" s="20"/>
      <c r="V1657" s="1" t="str">
        <f t="shared" si="94"/>
        <v>0 г. 0 мес. 0 дн.</v>
      </c>
      <c r="W1657" s="69"/>
    </row>
    <row r="1658" spans="1:23" ht="35.1" customHeight="1" x14ac:dyDescent="0.25">
      <c r="A1658" s="1">
        <f t="shared" si="92"/>
        <v>1657</v>
      </c>
      <c r="B1658" s="1"/>
      <c r="C1658" s="39"/>
      <c r="D1658" s="21"/>
      <c r="G1658" s="1"/>
      <c r="H1658" s="11" t="str">
        <f t="shared" si="93"/>
        <v>0 г. 0 мес. 0 дн.</v>
      </c>
      <c r="I1658" s="20"/>
      <c r="J1658" s="20"/>
      <c r="O1658" s="20"/>
      <c r="V1658" s="1" t="str">
        <f t="shared" si="94"/>
        <v>0 г. 0 мес. 0 дн.</v>
      </c>
      <c r="W1658" s="69"/>
    </row>
    <row r="1659" spans="1:23" ht="35.1" customHeight="1" x14ac:dyDescent="0.25">
      <c r="A1659" s="1">
        <f t="shared" si="92"/>
        <v>1658</v>
      </c>
      <c r="B1659" s="1"/>
      <c r="C1659" s="39"/>
      <c r="D1659" s="21"/>
      <c r="G1659" s="1"/>
      <c r="H1659" s="11" t="str">
        <f t="shared" si="93"/>
        <v>0 г. 0 мес. 0 дн.</v>
      </c>
      <c r="I1659" s="20"/>
      <c r="J1659" s="20"/>
      <c r="O1659" s="20"/>
      <c r="V1659" s="1" t="str">
        <f t="shared" si="94"/>
        <v>0 г. 0 мес. 0 дн.</v>
      </c>
      <c r="W1659" s="69"/>
    </row>
    <row r="1660" spans="1:23" ht="35.1" customHeight="1" x14ac:dyDescent="0.25">
      <c r="A1660" s="1">
        <f t="shared" si="92"/>
        <v>1659</v>
      </c>
      <c r="B1660" s="1"/>
      <c r="C1660" s="39"/>
      <c r="D1660" s="21"/>
      <c r="G1660" s="1"/>
      <c r="H1660" s="11" t="str">
        <f t="shared" si="93"/>
        <v>0 г. 0 мес. 0 дн.</v>
      </c>
      <c r="I1660" s="20"/>
      <c r="J1660" s="20"/>
      <c r="O1660" s="20"/>
      <c r="V1660" s="1" t="str">
        <f t="shared" si="94"/>
        <v>0 г. 0 мес. 0 дн.</v>
      </c>
      <c r="W1660" s="69"/>
    </row>
    <row r="1661" spans="1:23" ht="35.1" customHeight="1" x14ac:dyDescent="0.25">
      <c r="A1661" s="1">
        <f t="shared" si="92"/>
        <v>1660</v>
      </c>
      <c r="B1661" s="1"/>
      <c r="C1661" s="39"/>
      <c r="D1661" s="21"/>
      <c r="G1661" s="1"/>
      <c r="H1661" s="11" t="str">
        <f t="shared" si="93"/>
        <v>0 г. 0 мес. 0 дн.</v>
      </c>
      <c r="I1661" s="20"/>
      <c r="J1661" s="20"/>
      <c r="O1661" s="20"/>
      <c r="V1661" s="1" t="str">
        <f t="shared" si="94"/>
        <v>0 г. 0 мес. 0 дн.</v>
      </c>
      <c r="W1661" s="69"/>
    </row>
    <row r="1662" spans="1:23" ht="35.1" customHeight="1" x14ac:dyDescent="0.25">
      <c r="A1662" s="1">
        <f t="shared" si="92"/>
        <v>1661</v>
      </c>
      <c r="B1662" s="1"/>
      <c r="C1662" s="39"/>
      <c r="D1662" s="21"/>
      <c r="G1662" s="1"/>
      <c r="H1662" s="11" t="str">
        <f t="shared" si="93"/>
        <v>0 г. 0 мес. 0 дн.</v>
      </c>
      <c r="I1662" s="20"/>
      <c r="J1662" s="20"/>
      <c r="O1662" s="20"/>
      <c r="V1662" s="1" t="str">
        <f t="shared" si="94"/>
        <v>0 г. 0 мес. 0 дн.</v>
      </c>
      <c r="W1662" s="69"/>
    </row>
    <row r="1663" spans="1:23" ht="35.1" customHeight="1" x14ac:dyDescent="0.25">
      <c r="A1663" s="1">
        <f t="shared" si="92"/>
        <v>1662</v>
      </c>
      <c r="B1663" s="1"/>
      <c r="C1663" s="39"/>
      <c r="D1663" s="21"/>
      <c r="G1663" s="1"/>
      <c r="H1663" s="11" t="str">
        <f t="shared" si="93"/>
        <v>0 г. 0 мес. 0 дн.</v>
      </c>
      <c r="I1663" s="20"/>
      <c r="J1663" s="20"/>
      <c r="O1663" s="20"/>
      <c r="V1663" s="1" t="str">
        <f t="shared" si="94"/>
        <v>0 г. 0 мес. 0 дн.</v>
      </c>
      <c r="W1663" s="69"/>
    </row>
    <row r="1664" spans="1:23" ht="35.1" customHeight="1" x14ac:dyDescent="0.25">
      <c r="A1664" s="1">
        <f t="shared" si="92"/>
        <v>1663</v>
      </c>
      <c r="B1664" s="1"/>
      <c r="C1664" s="39"/>
      <c r="D1664" s="21"/>
      <c r="G1664" s="1"/>
      <c r="H1664" s="11" t="str">
        <f t="shared" si="93"/>
        <v>0 г. 0 мес. 0 дн.</v>
      </c>
      <c r="I1664" s="20"/>
      <c r="J1664" s="20"/>
      <c r="O1664" s="20"/>
      <c r="V1664" s="1" t="str">
        <f t="shared" si="94"/>
        <v>0 г. 0 мес. 0 дн.</v>
      </c>
      <c r="W1664" s="69"/>
    </row>
    <row r="1665" spans="1:23" ht="35.1" customHeight="1" x14ac:dyDescent="0.25">
      <c r="A1665" s="1">
        <f t="shared" ref="A1665:A1728" si="95">ROW(A1664)</f>
        <v>1664</v>
      </c>
      <c r="B1665" s="1"/>
      <c r="C1665" s="39"/>
      <c r="D1665" s="21"/>
      <c r="G1665" s="1"/>
      <c r="H1665" s="11" t="str">
        <f t="shared" ref="H1665:H1728" si="96">DATEDIF(G1665,D1665,"y") &amp; " г. " &amp; DATEDIF(G1665,D1665,"ym") &amp; " мес. " &amp; DATEDIF(G1665,D1665,"md") &amp; " дн."</f>
        <v>0 г. 0 мес. 0 дн.</v>
      </c>
      <c r="I1665" s="20"/>
      <c r="J1665" s="20"/>
      <c r="O1665" s="20"/>
      <c r="V1665" s="1" t="str">
        <f t="shared" si="94"/>
        <v>0 г. 0 мес. 0 дн.</v>
      </c>
      <c r="W1665" s="69"/>
    </row>
    <row r="1666" spans="1:23" ht="35.1" customHeight="1" x14ac:dyDescent="0.25">
      <c r="A1666" s="1">
        <f t="shared" si="95"/>
        <v>1665</v>
      </c>
      <c r="B1666" s="1"/>
      <c r="C1666" s="39"/>
      <c r="D1666" s="21"/>
      <c r="G1666" s="1"/>
      <c r="H1666" s="11" t="str">
        <f t="shared" si="96"/>
        <v>0 г. 0 мес. 0 дн.</v>
      </c>
      <c r="I1666" s="20"/>
      <c r="J1666" s="20"/>
      <c r="O1666" s="20"/>
      <c r="V1666" s="1" t="str">
        <f t="shared" si="94"/>
        <v>0 г. 0 мес. 0 дн.</v>
      </c>
      <c r="W1666" s="69"/>
    </row>
    <row r="1667" spans="1:23" ht="35.1" customHeight="1" x14ac:dyDescent="0.25">
      <c r="A1667" s="1">
        <f t="shared" si="95"/>
        <v>1666</v>
      </c>
      <c r="B1667" s="1"/>
      <c r="C1667" s="39"/>
      <c r="D1667" s="21"/>
      <c r="G1667" s="1"/>
      <c r="H1667" s="11" t="str">
        <f t="shared" si="96"/>
        <v>0 г. 0 мес. 0 дн.</v>
      </c>
      <c r="I1667" s="20"/>
      <c r="J1667" s="20"/>
      <c r="O1667" s="20"/>
      <c r="V1667" s="1" t="str">
        <f t="shared" si="94"/>
        <v>0 г. 0 мес. 0 дн.</v>
      </c>
      <c r="W1667" s="69"/>
    </row>
    <row r="1668" spans="1:23" ht="35.1" customHeight="1" x14ac:dyDescent="0.25">
      <c r="A1668" s="1">
        <f t="shared" si="95"/>
        <v>1667</v>
      </c>
      <c r="B1668" s="1"/>
      <c r="C1668" s="39"/>
      <c r="D1668" s="21"/>
      <c r="G1668" s="1"/>
      <c r="H1668" s="11" t="str">
        <f t="shared" si="96"/>
        <v>0 г. 0 мес. 0 дн.</v>
      </c>
      <c r="I1668" s="20"/>
      <c r="J1668" s="20"/>
      <c r="O1668" s="20"/>
      <c r="V1668" s="1" t="str">
        <f t="shared" si="94"/>
        <v>0 г. 0 мес. 0 дн.</v>
      </c>
      <c r="W1668" s="69"/>
    </row>
    <row r="1669" spans="1:23" ht="35.1" customHeight="1" x14ac:dyDescent="0.25">
      <c r="A1669" s="1">
        <f t="shared" si="95"/>
        <v>1668</v>
      </c>
      <c r="B1669" s="1"/>
      <c r="C1669" s="39"/>
      <c r="D1669" s="21"/>
      <c r="G1669" s="1"/>
      <c r="H1669" s="11" t="str">
        <f t="shared" si="96"/>
        <v>0 г. 0 мес. 0 дн.</v>
      </c>
      <c r="I1669" s="20"/>
      <c r="J1669" s="20"/>
      <c r="O1669" s="20"/>
      <c r="V1669" s="1" t="str">
        <f t="shared" si="94"/>
        <v>0 г. 0 мес. 0 дн.</v>
      </c>
      <c r="W1669" s="69"/>
    </row>
    <row r="1670" spans="1:23" ht="35.1" customHeight="1" x14ac:dyDescent="0.25">
      <c r="A1670" s="1">
        <f t="shared" si="95"/>
        <v>1669</v>
      </c>
      <c r="B1670" s="1"/>
      <c r="C1670" s="39"/>
      <c r="D1670" s="21"/>
      <c r="G1670" s="1"/>
      <c r="H1670" s="11" t="str">
        <f t="shared" si="96"/>
        <v>0 г. 0 мес. 0 дн.</v>
      </c>
      <c r="I1670" s="20"/>
      <c r="J1670" s="20"/>
      <c r="O1670" s="20"/>
      <c r="V1670" s="1" t="str">
        <f t="shared" si="94"/>
        <v>0 г. 0 мес. 0 дн.</v>
      </c>
      <c r="W1670" s="69"/>
    </row>
    <row r="1671" spans="1:23" ht="35.1" customHeight="1" x14ac:dyDescent="0.25">
      <c r="A1671" s="1">
        <f t="shared" si="95"/>
        <v>1670</v>
      </c>
      <c r="B1671" s="1"/>
      <c r="C1671" s="39"/>
      <c r="D1671" s="21"/>
      <c r="G1671" s="1"/>
      <c r="H1671" s="11" t="str">
        <f t="shared" si="96"/>
        <v>0 г. 0 мес. 0 дн.</v>
      </c>
      <c r="I1671" s="20"/>
      <c r="J1671" s="20"/>
      <c r="O1671" s="20"/>
      <c r="V1671" s="1" t="str">
        <f t="shared" si="94"/>
        <v>0 г. 0 мес. 0 дн.</v>
      </c>
      <c r="W1671" s="69"/>
    </row>
    <row r="1672" spans="1:23" ht="35.1" customHeight="1" x14ac:dyDescent="0.25">
      <c r="A1672" s="1">
        <f t="shared" si="95"/>
        <v>1671</v>
      </c>
      <c r="B1672" s="1"/>
      <c r="C1672" s="39"/>
      <c r="D1672" s="21"/>
      <c r="G1672" s="1"/>
      <c r="H1672" s="11" t="str">
        <f t="shared" si="96"/>
        <v>0 г. 0 мес. 0 дн.</v>
      </c>
      <c r="I1672" s="20"/>
      <c r="J1672" s="20"/>
      <c r="O1672" s="20"/>
      <c r="V1672" s="1" t="str">
        <f t="shared" si="94"/>
        <v>0 г. 0 мес. 0 дн.</v>
      </c>
      <c r="W1672" s="69"/>
    </row>
    <row r="1673" spans="1:23" ht="35.1" customHeight="1" x14ac:dyDescent="0.25">
      <c r="A1673" s="1">
        <f t="shared" si="95"/>
        <v>1672</v>
      </c>
      <c r="B1673" s="1"/>
      <c r="C1673" s="39"/>
      <c r="D1673" s="21"/>
      <c r="G1673" s="1"/>
      <c r="H1673" s="11" t="str">
        <f t="shared" si="96"/>
        <v>0 г. 0 мес. 0 дн.</v>
      </c>
      <c r="I1673" s="20"/>
      <c r="J1673" s="20"/>
      <c r="O1673" s="20"/>
      <c r="V1673" s="1" t="str">
        <f t="shared" si="94"/>
        <v>0 г. 0 мес. 0 дн.</v>
      </c>
      <c r="W1673" s="69"/>
    </row>
    <row r="1674" spans="1:23" ht="35.1" customHeight="1" x14ac:dyDescent="0.25">
      <c r="A1674" s="1">
        <f t="shared" si="95"/>
        <v>1673</v>
      </c>
      <c r="B1674" s="1"/>
      <c r="C1674" s="39"/>
      <c r="D1674" s="21"/>
      <c r="G1674" s="1"/>
      <c r="H1674" s="11" t="str">
        <f t="shared" si="96"/>
        <v>0 г. 0 мес. 0 дн.</v>
      </c>
      <c r="I1674" s="20"/>
      <c r="J1674" s="20"/>
      <c r="O1674" s="20"/>
      <c r="V1674" s="1" t="str">
        <f t="shared" si="94"/>
        <v>0 г. 0 мес. 0 дн.</v>
      </c>
      <c r="W1674" s="69"/>
    </row>
    <row r="1675" spans="1:23" ht="35.1" customHeight="1" x14ac:dyDescent="0.25">
      <c r="A1675" s="1">
        <f t="shared" si="95"/>
        <v>1674</v>
      </c>
      <c r="B1675" s="1"/>
      <c r="C1675" s="39"/>
      <c r="D1675" s="21"/>
      <c r="G1675" s="1"/>
      <c r="H1675" s="11" t="str">
        <f t="shared" si="96"/>
        <v>0 г. 0 мес. 0 дн.</v>
      </c>
      <c r="I1675" s="20"/>
      <c r="J1675" s="20"/>
      <c r="O1675" s="20"/>
      <c r="V1675" s="1" t="str">
        <f t="shared" si="94"/>
        <v>0 г. 0 мес. 0 дн.</v>
      </c>
      <c r="W1675" s="69"/>
    </row>
    <row r="1676" spans="1:23" ht="35.1" customHeight="1" x14ac:dyDescent="0.25">
      <c r="A1676" s="1">
        <f t="shared" si="95"/>
        <v>1675</v>
      </c>
      <c r="B1676" s="1"/>
      <c r="C1676" s="39"/>
      <c r="D1676" s="21"/>
      <c r="G1676" s="1"/>
      <c r="H1676" s="11" t="str">
        <f t="shared" si="96"/>
        <v>0 г. 0 мес. 0 дн.</v>
      </c>
      <c r="I1676" s="20"/>
      <c r="J1676" s="20"/>
      <c r="O1676" s="20"/>
      <c r="V1676" s="1" t="str">
        <f t="shared" si="94"/>
        <v>0 г. 0 мес. 0 дн.</v>
      </c>
      <c r="W1676" s="69"/>
    </row>
    <row r="1677" spans="1:23" ht="35.1" customHeight="1" x14ac:dyDescent="0.25">
      <c r="A1677" s="1">
        <f t="shared" si="95"/>
        <v>1676</v>
      </c>
      <c r="B1677" s="1"/>
      <c r="C1677" s="39"/>
      <c r="D1677" s="21"/>
      <c r="G1677" s="1"/>
      <c r="H1677" s="11" t="str">
        <f t="shared" si="96"/>
        <v>0 г. 0 мес. 0 дн.</v>
      </c>
      <c r="I1677" s="20"/>
      <c r="J1677" s="20"/>
      <c r="O1677" s="20"/>
      <c r="V1677" s="1" t="str">
        <f t="shared" si="94"/>
        <v>0 г. 0 мес. 0 дн.</v>
      </c>
      <c r="W1677" s="69"/>
    </row>
    <row r="1678" spans="1:23" ht="35.1" customHeight="1" x14ac:dyDescent="0.25">
      <c r="A1678" s="1">
        <f t="shared" si="95"/>
        <v>1677</v>
      </c>
      <c r="B1678" s="1"/>
      <c r="C1678" s="39"/>
      <c r="D1678" s="21"/>
      <c r="G1678" s="1"/>
      <c r="H1678" s="11" t="str">
        <f t="shared" si="96"/>
        <v>0 г. 0 мес. 0 дн.</v>
      </c>
      <c r="I1678" s="20"/>
      <c r="J1678" s="20"/>
      <c r="O1678" s="20"/>
      <c r="V1678" s="1" t="str">
        <f t="shared" si="94"/>
        <v>0 г. 0 мес. 0 дн.</v>
      </c>
      <c r="W1678" s="69"/>
    </row>
    <row r="1679" spans="1:23" ht="35.1" customHeight="1" x14ac:dyDescent="0.25">
      <c r="A1679" s="1">
        <f t="shared" si="95"/>
        <v>1678</v>
      </c>
      <c r="B1679" s="1"/>
      <c r="C1679" s="39"/>
      <c r="D1679" s="21"/>
      <c r="G1679" s="1"/>
      <c r="H1679" s="11" t="str">
        <f t="shared" si="96"/>
        <v>0 г. 0 мес. 0 дн.</v>
      </c>
      <c r="I1679" s="20"/>
      <c r="J1679" s="20"/>
      <c r="O1679" s="20"/>
      <c r="V1679" s="1" t="str">
        <f t="shared" si="94"/>
        <v>0 г. 0 мес. 0 дн.</v>
      </c>
      <c r="W1679" s="69"/>
    </row>
    <row r="1680" spans="1:23" ht="35.1" customHeight="1" x14ac:dyDescent="0.25">
      <c r="A1680" s="1">
        <f t="shared" si="95"/>
        <v>1679</v>
      </c>
      <c r="B1680" s="1"/>
      <c r="C1680" s="39"/>
      <c r="D1680" s="21"/>
      <c r="G1680" s="1"/>
      <c r="H1680" s="11" t="str">
        <f t="shared" si="96"/>
        <v>0 г. 0 мес. 0 дн.</v>
      </c>
      <c r="I1680" s="20"/>
      <c r="J1680" s="20"/>
      <c r="O1680" s="20"/>
      <c r="V1680" s="1" t="str">
        <f t="shared" si="94"/>
        <v>0 г. 0 мес. 0 дн.</v>
      </c>
      <c r="W1680" s="69"/>
    </row>
    <row r="1681" spans="1:23" ht="35.1" customHeight="1" x14ac:dyDescent="0.25">
      <c r="A1681" s="1">
        <f t="shared" si="95"/>
        <v>1680</v>
      </c>
      <c r="B1681" s="1"/>
      <c r="C1681" s="39"/>
      <c r="D1681" s="21"/>
      <c r="G1681" s="1"/>
      <c r="H1681" s="11" t="str">
        <f t="shared" si="96"/>
        <v>0 г. 0 мес. 0 дн.</v>
      </c>
      <c r="I1681" s="20"/>
      <c r="J1681" s="20"/>
      <c r="O1681" s="20"/>
      <c r="V1681" s="1" t="str">
        <f t="shared" si="94"/>
        <v>0 г. 0 мес. 0 дн.</v>
      </c>
      <c r="W1681" s="69"/>
    </row>
    <row r="1682" spans="1:23" ht="35.1" customHeight="1" x14ac:dyDescent="0.25">
      <c r="A1682" s="1">
        <f t="shared" si="95"/>
        <v>1681</v>
      </c>
      <c r="B1682" s="1"/>
      <c r="C1682" s="39"/>
      <c r="D1682" s="21"/>
      <c r="G1682" s="1"/>
      <c r="H1682" s="11" t="str">
        <f t="shared" si="96"/>
        <v>0 г. 0 мес. 0 дн.</v>
      </c>
      <c r="I1682" s="20"/>
      <c r="J1682" s="20"/>
      <c r="O1682" s="20"/>
      <c r="V1682" s="1" t="str">
        <f t="shared" si="94"/>
        <v>0 г. 0 мес. 0 дн.</v>
      </c>
      <c r="W1682" s="69"/>
    </row>
    <row r="1683" spans="1:23" ht="35.1" customHeight="1" x14ac:dyDescent="0.25">
      <c r="A1683" s="1">
        <f t="shared" si="95"/>
        <v>1682</v>
      </c>
      <c r="B1683" s="1"/>
      <c r="C1683" s="39"/>
      <c r="D1683" s="21"/>
      <c r="G1683" s="1"/>
      <c r="H1683" s="11" t="str">
        <f t="shared" si="96"/>
        <v>0 г. 0 мес. 0 дн.</v>
      </c>
      <c r="I1683" s="20"/>
      <c r="J1683" s="20"/>
      <c r="O1683" s="20"/>
      <c r="V1683" s="1" t="str">
        <f t="shared" si="94"/>
        <v>0 г. 0 мес. 0 дн.</v>
      </c>
      <c r="W1683" s="69"/>
    </row>
    <row r="1684" spans="1:23" ht="35.1" customHeight="1" x14ac:dyDescent="0.25">
      <c r="A1684" s="1">
        <f t="shared" si="95"/>
        <v>1683</v>
      </c>
      <c r="B1684" s="1"/>
      <c r="C1684" s="39"/>
      <c r="D1684" s="21"/>
      <c r="G1684" s="1"/>
      <c r="H1684" s="11" t="str">
        <f t="shared" si="96"/>
        <v>0 г. 0 мес. 0 дн.</v>
      </c>
      <c r="I1684" s="20"/>
      <c r="J1684" s="20"/>
      <c r="O1684" s="20"/>
      <c r="V1684" s="1" t="str">
        <f t="shared" si="94"/>
        <v>0 г. 0 мес. 0 дн.</v>
      </c>
      <c r="W1684" s="69"/>
    </row>
    <row r="1685" spans="1:23" ht="35.1" customHeight="1" x14ac:dyDescent="0.25">
      <c r="A1685" s="1">
        <f t="shared" si="95"/>
        <v>1684</v>
      </c>
      <c r="B1685" s="1"/>
      <c r="C1685" s="39"/>
      <c r="D1685" s="21"/>
      <c r="G1685" s="1"/>
      <c r="H1685" s="11" t="str">
        <f t="shared" si="96"/>
        <v>0 г. 0 мес. 0 дн.</v>
      </c>
      <c r="I1685" s="20"/>
      <c r="J1685" s="20"/>
      <c r="O1685" s="20"/>
      <c r="V1685" s="1" t="str">
        <f t="shared" si="94"/>
        <v>0 г. 0 мес. 0 дн.</v>
      </c>
      <c r="W1685" s="69"/>
    </row>
    <row r="1686" spans="1:23" ht="35.1" customHeight="1" x14ac:dyDescent="0.25">
      <c r="A1686" s="1">
        <f t="shared" si="95"/>
        <v>1685</v>
      </c>
      <c r="B1686" s="1"/>
      <c r="C1686" s="39"/>
      <c r="D1686" s="21"/>
      <c r="G1686" s="1"/>
      <c r="H1686" s="11" t="str">
        <f t="shared" si="96"/>
        <v>0 г. 0 мес. 0 дн.</v>
      </c>
      <c r="I1686" s="20"/>
      <c r="J1686" s="20"/>
      <c r="O1686" s="20"/>
      <c r="V1686" s="1" t="str">
        <f t="shared" si="94"/>
        <v>0 г. 0 мес. 0 дн.</v>
      </c>
      <c r="W1686" s="69"/>
    </row>
    <row r="1687" spans="1:23" ht="35.1" customHeight="1" x14ac:dyDescent="0.25">
      <c r="A1687" s="1">
        <f t="shared" si="95"/>
        <v>1686</v>
      </c>
      <c r="B1687" s="1"/>
      <c r="C1687" s="39"/>
      <c r="D1687" s="21"/>
      <c r="G1687" s="1"/>
      <c r="H1687" s="11" t="str">
        <f t="shared" si="96"/>
        <v>0 г. 0 мес. 0 дн.</v>
      </c>
      <c r="I1687" s="20"/>
      <c r="J1687" s="20"/>
      <c r="O1687" s="20"/>
      <c r="V1687" s="1" t="str">
        <f t="shared" si="94"/>
        <v>0 г. 0 мес. 0 дн.</v>
      </c>
      <c r="W1687" s="69"/>
    </row>
    <row r="1688" spans="1:23" ht="35.1" customHeight="1" x14ac:dyDescent="0.25">
      <c r="A1688" s="1">
        <f t="shared" si="95"/>
        <v>1687</v>
      </c>
      <c r="B1688" s="1"/>
      <c r="C1688" s="39"/>
      <c r="D1688" s="21"/>
      <c r="G1688" s="1"/>
      <c r="H1688" s="11" t="str">
        <f t="shared" si="96"/>
        <v>0 г. 0 мес. 0 дн.</v>
      </c>
      <c r="I1688" s="20"/>
      <c r="J1688" s="20"/>
      <c r="O1688" s="20"/>
      <c r="V1688" s="1" t="str">
        <f t="shared" si="94"/>
        <v>0 г. 0 мес. 0 дн.</v>
      </c>
      <c r="W1688" s="69"/>
    </row>
    <row r="1689" spans="1:23" ht="35.1" customHeight="1" x14ac:dyDescent="0.25">
      <c r="A1689" s="1">
        <f t="shared" si="95"/>
        <v>1688</v>
      </c>
      <c r="B1689" s="1"/>
      <c r="C1689" s="39"/>
      <c r="D1689" s="21"/>
      <c r="G1689" s="1"/>
      <c r="H1689" s="11" t="str">
        <f t="shared" si="96"/>
        <v>0 г. 0 мес. 0 дн.</v>
      </c>
      <c r="I1689" s="20"/>
      <c r="J1689" s="20"/>
      <c r="O1689" s="20"/>
      <c r="V1689" s="1" t="str">
        <f t="shared" ref="V1689:V1752" si="97">DATEDIF(D1689,T1689,"y") &amp; " г. " &amp; DATEDIF(D1689,T1689,"ym") &amp; " мес. " &amp; DATEDIF(D1689,T1689,"md") &amp; " дн."</f>
        <v>0 г. 0 мес. 0 дн.</v>
      </c>
      <c r="W1689" s="69"/>
    </row>
    <row r="1690" spans="1:23" ht="35.1" customHeight="1" x14ac:dyDescent="0.25">
      <c r="A1690" s="1">
        <f t="shared" si="95"/>
        <v>1689</v>
      </c>
      <c r="B1690" s="1"/>
      <c r="C1690" s="39"/>
      <c r="D1690" s="21"/>
      <c r="G1690" s="1"/>
      <c r="H1690" s="11" t="str">
        <f t="shared" si="96"/>
        <v>0 г. 0 мес. 0 дн.</v>
      </c>
      <c r="I1690" s="20"/>
      <c r="J1690" s="20"/>
      <c r="O1690" s="20"/>
      <c r="V1690" s="1" t="str">
        <f t="shared" si="97"/>
        <v>0 г. 0 мес. 0 дн.</v>
      </c>
      <c r="W1690" s="69"/>
    </row>
    <row r="1691" spans="1:23" ht="35.1" customHeight="1" x14ac:dyDescent="0.25">
      <c r="A1691" s="1">
        <f t="shared" si="95"/>
        <v>1690</v>
      </c>
      <c r="B1691" s="1"/>
      <c r="C1691" s="39"/>
      <c r="D1691" s="21"/>
      <c r="G1691" s="1"/>
      <c r="H1691" s="11" t="str">
        <f t="shared" si="96"/>
        <v>0 г. 0 мес. 0 дн.</v>
      </c>
      <c r="I1691" s="20"/>
      <c r="J1691" s="20"/>
      <c r="O1691" s="20"/>
      <c r="V1691" s="1" t="str">
        <f t="shared" si="97"/>
        <v>0 г. 0 мес. 0 дн.</v>
      </c>
      <c r="W1691" s="69"/>
    </row>
    <row r="1692" spans="1:23" ht="35.1" customHeight="1" x14ac:dyDescent="0.25">
      <c r="A1692" s="1">
        <f t="shared" si="95"/>
        <v>1691</v>
      </c>
      <c r="B1692" s="1"/>
      <c r="C1692" s="39"/>
      <c r="D1692" s="21"/>
      <c r="G1692" s="1"/>
      <c r="H1692" s="11" t="str">
        <f t="shared" si="96"/>
        <v>0 г. 0 мес. 0 дн.</v>
      </c>
      <c r="I1692" s="20"/>
      <c r="J1692" s="20"/>
      <c r="O1692" s="20"/>
      <c r="V1692" s="1" t="str">
        <f t="shared" si="97"/>
        <v>0 г. 0 мес. 0 дн.</v>
      </c>
      <c r="W1692" s="69"/>
    </row>
    <row r="1693" spans="1:23" ht="35.1" customHeight="1" x14ac:dyDescent="0.25">
      <c r="A1693" s="1">
        <f t="shared" si="95"/>
        <v>1692</v>
      </c>
      <c r="B1693" s="1"/>
      <c r="C1693" s="39"/>
      <c r="D1693" s="21"/>
      <c r="G1693" s="1"/>
      <c r="H1693" s="11" t="str">
        <f t="shared" si="96"/>
        <v>0 г. 0 мес. 0 дн.</v>
      </c>
      <c r="I1693" s="20"/>
      <c r="J1693" s="20"/>
      <c r="O1693" s="20"/>
      <c r="V1693" s="1" t="str">
        <f t="shared" si="97"/>
        <v>0 г. 0 мес. 0 дн.</v>
      </c>
      <c r="W1693" s="69"/>
    </row>
    <row r="1694" spans="1:23" ht="35.1" customHeight="1" x14ac:dyDescent="0.25">
      <c r="A1694" s="1">
        <f t="shared" si="95"/>
        <v>1693</v>
      </c>
      <c r="B1694" s="1"/>
      <c r="C1694" s="39"/>
      <c r="D1694" s="21"/>
      <c r="G1694" s="1"/>
      <c r="H1694" s="11" t="str">
        <f t="shared" si="96"/>
        <v>0 г. 0 мес. 0 дн.</v>
      </c>
      <c r="I1694" s="20"/>
      <c r="J1694" s="20"/>
      <c r="O1694" s="20"/>
      <c r="V1694" s="1" t="str">
        <f t="shared" si="97"/>
        <v>0 г. 0 мес. 0 дн.</v>
      </c>
      <c r="W1694" s="69"/>
    </row>
    <row r="1695" spans="1:23" ht="35.1" customHeight="1" x14ac:dyDescent="0.25">
      <c r="A1695" s="1">
        <f t="shared" si="95"/>
        <v>1694</v>
      </c>
      <c r="B1695" s="1"/>
      <c r="C1695" s="39"/>
      <c r="D1695" s="21"/>
      <c r="G1695" s="1"/>
      <c r="H1695" s="11" t="str">
        <f t="shared" si="96"/>
        <v>0 г. 0 мес. 0 дн.</v>
      </c>
      <c r="I1695" s="20"/>
      <c r="J1695" s="20"/>
      <c r="O1695" s="20"/>
      <c r="V1695" s="1" t="str">
        <f t="shared" si="97"/>
        <v>0 г. 0 мес. 0 дн.</v>
      </c>
      <c r="W1695" s="69"/>
    </row>
    <row r="1696" spans="1:23" ht="35.1" customHeight="1" x14ac:dyDescent="0.25">
      <c r="A1696" s="1">
        <f t="shared" si="95"/>
        <v>1695</v>
      </c>
      <c r="B1696" s="1"/>
      <c r="C1696" s="39"/>
      <c r="D1696" s="21"/>
      <c r="G1696" s="1"/>
      <c r="H1696" s="11" t="str">
        <f t="shared" si="96"/>
        <v>0 г. 0 мес. 0 дн.</v>
      </c>
      <c r="I1696" s="20"/>
      <c r="J1696" s="20"/>
      <c r="O1696" s="20"/>
      <c r="V1696" s="1" t="str">
        <f t="shared" si="97"/>
        <v>0 г. 0 мес. 0 дн.</v>
      </c>
      <c r="W1696" s="69"/>
    </row>
    <row r="1697" spans="1:23" ht="35.1" customHeight="1" x14ac:dyDescent="0.25">
      <c r="A1697" s="1">
        <f t="shared" si="95"/>
        <v>1696</v>
      </c>
      <c r="B1697" s="1"/>
      <c r="C1697" s="39"/>
      <c r="D1697" s="21"/>
      <c r="G1697" s="1"/>
      <c r="H1697" s="11" t="str">
        <f t="shared" si="96"/>
        <v>0 г. 0 мес. 0 дн.</v>
      </c>
      <c r="I1697" s="20"/>
      <c r="J1697" s="20"/>
      <c r="O1697" s="20"/>
      <c r="V1697" s="1" t="str">
        <f t="shared" si="97"/>
        <v>0 г. 0 мес. 0 дн.</v>
      </c>
      <c r="W1697" s="69"/>
    </row>
    <row r="1698" spans="1:23" ht="35.1" customHeight="1" x14ac:dyDescent="0.25">
      <c r="A1698" s="1">
        <f t="shared" si="95"/>
        <v>1697</v>
      </c>
      <c r="B1698" s="1"/>
      <c r="C1698" s="39"/>
      <c r="D1698" s="21"/>
      <c r="G1698" s="1"/>
      <c r="H1698" s="11" t="str">
        <f t="shared" si="96"/>
        <v>0 г. 0 мес. 0 дн.</v>
      </c>
      <c r="I1698" s="20"/>
      <c r="J1698" s="20"/>
      <c r="O1698" s="20"/>
      <c r="V1698" s="1" t="str">
        <f t="shared" si="97"/>
        <v>0 г. 0 мес. 0 дн.</v>
      </c>
      <c r="W1698" s="69"/>
    </row>
    <row r="1699" spans="1:23" ht="35.1" customHeight="1" x14ac:dyDescent="0.25">
      <c r="A1699" s="1">
        <f t="shared" si="95"/>
        <v>1698</v>
      </c>
      <c r="B1699" s="1"/>
      <c r="C1699" s="39"/>
      <c r="D1699" s="21"/>
      <c r="G1699" s="1"/>
      <c r="H1699" s="11" t="str">
        <f t="shared" si="96"/>
        <v>0 г. 0 мес. 0 дн.</v>
      </c>
      <c r="I1699" s="20"/>
      <c r="J1699" s="20"/>
      <c r="O1699" s="20"/>
      <c r="V1699" s="1" t="str">
        <f t="shared" si="97"/>
        <v>0 г. 0 мес. 0 дн.</v>
      </c>
      <c r="W1699" s="69"/>
    </row>
    <row r="1700" spans="1:23" ht="35.1" customHeight="1" x14ac:dyDescent="0.25">
      <c r="A1700" s="1">
        <f t="shared" si="95"/>
        <v>1699</v>
      </c>
      <c r="B1700" s="1"/>
      <c r="C1700" s="39"/>
      <c r="D1700" s="21"/>
      <c r="G1700" s="1"/>
      <c r="H1700" s="11" t="str">
        <f t="shared" si="96"/>
        <v>0 г. 0 мес. 0 дн.</v>
      </c>
      <c r="I1700" s="20"/>
      <c r="J1700" s="20"/>
      <c r="O1700" s="20"/>
      <c r="V1700" s="1" t="str">
        <f t="shared" si="97"/>
        <v>0 г. 0 мес. 0 дн.</v>
      </c>
      <c r="W1700" s="69"/>
    </row>
    <row r="1701" spans="1:23" ht="35.1" customHeight="1" x14ac:dyDescent="0.25">
      <c r="A1701" s="1">
        <f t="shared" si="95"/>
        <v>1700</v>
      </c>
      <c r="B1701" s="1"/>
      <c r="C1701" s="39"/>
      <c r="D1701" s="21"/>
      <c r="G1701" s="1"/>
      <c r="H1701" s="11" t="str">
        <f t="shared" si="96"/>
        <v>0 г. 0 мес. 0 дн.</v>
      </c>
      <c r="I1701" s="20"/>
      <c r="J1701" s="20"/>
      <c r="O1701" s="20"/>
      <c r="V1701" s="1" t="str">
        <f t="shared" si="97"/>
        <v>0 г. 0 мес. 0 дн.</v>
      </c>
      <c r="W1701" s="69"/>
    </row>
    <row r="1702" spans="1:23" ht="35.1" customHeight="1" x14ac:dyDescent="0.25">
      <c r="A1702" s="1">
        <f t="shared" si="95"/>
        <v>1701</v>
      </c>
      <c r="B1702" s="1"/>
      <c r="C1702" s="39"/>
      <c r="D1702" s="21"/>
      <c r="G1702" s="1"/>
      <c r="H1702" s="11" t="str">
        <f t="shared" si="96"/>
        <v>0 г. 0 мес. 0 дн.</v>
      </c>
      <c r="I1702" s="20"/>
      <c r="J1702" s="20"/>
      <c r="O1702" s="20"/>
      <c r="V1702" s="1" t="str">
        <f t="shared" si="97"/>
        <v>0 г. 0 мес. 0 дн.</v>
      </c>
      <c r="W1702" s="69"/>
    </row>
    <row r="1703" spans="1:23" ht="35.1" customHeight="1" x14ac:dyDescent="0.25">
      <c r="A1703" s="1">
        <f t="shared" si="95"/>
        <v>1702</v>
      </c>
      <c r="B1703" s="1"/>
      <c r="C1703" s="39"/>
      <c r="D1703" s="21"/>
      <c r="G1703" s="1"/>
      <c r="H1703" s="11" t="str">
        <f t="shared" si="96"/>
        <v>0 г. 0 мес. 0 дн.</v>
      </c>
      <c r="I1703" s="20"/>
      <c r="J1703" s="20"/>
      <c r="O1703" s="20"/>
      <c r="V1703" s="1" t="str">
        <f t="shared" si="97"/>
        <v>0 г. 0 мес. 0 дн.</v>
      </c>
      <c r="W1703" s="69"/>
    </row>
    <row r="1704" spans="1:23" ht="35.1" customHeight="1" x14ac:dyDescent="0.25">
      <c r="A1704" s="1">
        <f t="shared" si="95"/>
        <v>1703</v>
      </c>
      <c r="B1704" s="1"/>
      <c r="C1704" s="39"/>
      <c r="D1704" s="21"/>
      <c r="G1704" s="1"/>
      <c r="H1704" s="11" t="str">
        <f t="shared" si="96"/>
        <v>0 г. 0 мес. 0 дн.</v>
      </c>
      <c r="I1704" s="20"/>
      <c r="J1704" s="20"/>
      <c r="O1704" s="20"/>
      <c r="V1704" s="1" t="str">
        <f t="shared" si="97"/>
        <v>0 г. 0 мес. 0 дн.</v>
      </c>
      <c r="W1704" s="69"/>
    </row>
    <row r="1705" spans="1:23" ht="35.1" customHeight="1" x14ac:dyDescent="0.25">
      <c r="A1705" s="1">
        <f t="shared" si="95"/>
        <v>1704</v>
      </c>
      <c r="B1705" s="1"/>
      <c r="C1705" s="39"/>
      <c r="D1705" s="21"/>
      <c r="G1705" s="1"/>
      <c r="H1705" s="11" t="str">
        <f t="shared" si="96"/>
        <v>0 г. 0 мес. 0 дн.</v>
      </c>
      <c r="I1705" s="20"/>
      <c r="J1705" s="20"/>
      <c r="O1705" s="20"/>
      <c r="V1705" s="1" t="str">
        <f t="shared" si="97"/>
        <v>0 г. 0 мес. 0 дн.</v>
      </c>
      <c r="W1705" s="69"/>
    </row>
    <row r="1706" spans="1:23" ht="35.1" customHeight="1" x14ac:dyDescent="0.25">
      <c r="A1706" s="1">
        <f t="shared" si="95"/>
        <v>1705</v>
      </c>
      <c r="B1706" s="1"/>
      <c r="C1706" s="39"/>
      <c r="D1706" s="21"/>
      <c r="G1706" s="1"/>
      <c r="H1706" s="11" t="str">
        <f t="shared" si="96"/>
        <v>0 г. 0 мес. 0 дн.</v>
      </c>
      <c r="I1706" s="20"/>
      <c r="J1706" s="20"/>
      <c r="O1706" s="20"/>
      <c r="V1706" s="1" t="str">
        <f t="shared" si="97"/>
        <v>0 г. 0 мес. 0 дн.</v>
      </c>
      <c r="W1706" s="69"/>
    </row>
    <row r="1707" spans="1:23" ht="35.1" customHeight="1" x14ac:dyDescent="0.25">
      <c r="A1707" s="1">
        <f t="shared" si="95"/>
        <v>1706</v>
      </c>
      <c r="B1707" s="1"/>
      <c r="C1707" s="39"/>
      <c r="D1707" s="21"/>
      <c r="G1707" s="1"/>
      <c r="H1707" s="11" t="str">
        <f t="shared" si="96"/>
        <v>0 г. 0 мес. 0 дн.</v>
      </c>
      <c r="I1707" s="20"/>
      <c r="J1707" s="20"/>
      <c r="O1707" s="20"/>
      <c r="V1707" s="1" t="str">
        <f t="shared" si="97"/>
        <v>0 г. 0 мес. 0 дн.</v>
      </c>
      <c r="W1707" s="69"/>
    </row>
    <row r="1708" spans="1:23" ht="35.1" customHeight="1" x14ac:dyDescent="0.25">
      <c r="A1708" s="1">
        <f t="shared" si="95"/>
        <v>1707</v>
      </c>
      <c r="B1708" s="1"/>
      <c r="C1708" s="39"/>
      <c r="D1708" s="21"/>
      <c r="G1708" s="1"/>
      <c r="H1708" s="11" t="str">
        <f t="shared" si="96"/>
        <v>0 г. 0 мес. 0 дн.</v>
      </c>
      <c r="I1708" s="20"/>
      <c r="J1708" s="20"/>
      <c r="O1708" s="20"/>
      <c r="V1708" s="1" t="str">
        <f t="shared" si="97"/>
        <v>0 г. 0 мес. 0 дн.</v>
      </c>
      <c r="W1708" s="69"/>
    </row>
    <row r="1709" spans="1:23" ht="35.1" customHeight="1" x14ac:dyDescent="0.25">
      <c r="A1709" s="1">
        <f t="shared" si="95"/>
        <v>1708</v>
      </c>
      <c r="B1709" s="1"/>
      <c r="C1709" s="39"/>
      <c r="D1709" s="21"/>
      <c r="G1709" s="1"/>
      <c r="H1709" s="11" t="str">
        <f t="shared" si="96"/>
        <v>0 г. 0 мес. 0 дн.</v>
      </c>
      <c r="I1709" s="20"/>
      <c r="J1709" s="20"/>
      <c r="O1709" s="20"/>
      <c r="V1709" s="1" t="str">
        <f t="shared" si="97"/>
        <v>0 г. 0 мес. 0 дн.</v>
      </c>
      <c r="W1709" s="69"/>
    </row>
    <row r="1710" spans="1:23" ht="35.1" customHeight="1" x14ac:dyDescent="0.25">
      <c r="A1710" s="1">
        <f t="shared" si="95"/>
        <v>1709</v>
      </c>
      <c r="B1710" s="1"/>
      <c r="C1710" s="39"/>
      <c r="D1710" s="21"/>
      <c r="G1710" s="1"/>
      <c r="H1710" s="11" t="str">
        <f t="shared" si="96"/>
        <v>0 г. 0 мес. 0 дн.</v>
      </c>
      <c r="I1710" s="20"/>
      <c r="J1710" s="20"/>
      <c r="O1710" s="20"/>
      <c r="V1710" s="1" t="str">
        <f t="shared" si="97"/>
        <v>0 г. 0 мес. 0 дн.</v>
      </c>
      <c r="W1710" s="69"/>
    </row>
    <row r="1711" spans="1:23" ht="35.1" customHeight="1" x14ac:dyDescent="0.25">
      <c r="A1711" s="1">
        <f t="shared" si="95"/>
        <v>1710</v>
      </c>
      <c r="B1711" s="1"/>
      <c r="C1711" s="39"/>
      <c r="D1711" s="21"/>
      <c r="G1711" s="1"/>
      <c r="H1711" s="11" t="str">
        <f t="shared" si="96"/>
        <v>0 г. 0 мес. 0 дн.</v>
      </c>
      <c r="I1711" s="20"/>
      <c r="J1711" s="20"/>
      <c r="O1711" s="20"/>
      <c r="V1711" s="1" t="str">
        <f t="shared" si="97"/>
        <v>0 г. 0 мес. 0 дн.</v>
      </c>
      <c r="W1711" s="69"/>
    </row>
    <row r="1712" spans="1:23" ht="35.1" customHeight="1" x14ac:dyDescent="0.25">
      <c r="A1712" s="1">
        <f t="shared" si="95"/>
        <v>1711</v>
      </c>
      <c r="B1712" s="1"/>
      <c r="C1712" s="39"/>
      <c r="D1712" s="21"/>
      <c r="G1712" s="1"/>
      <c r="H1712" s="11" t="str">
        <f t="shared" si="96"/>
        <v>0 г. 0 мес. 0 дн.</v>
      </c>
      <c r="I1712" s="20"/>
      <c r="J1712" s="20"/>
      <c r="O1712" s="20"/>
      <c r="V1712" s="1" t="str">
        <f t="shared" si="97"/>
        <v>0 г. 0 мес. 0 дн.</v>
      </c>
      <c r="W1712" s="69"/>
    </row>
    <row r="1713" spans="1:23" ht="35.1" customHeight="1" x14ac:dyDescent="0.25">
      <c r="A1713" s="1">
        <f t="shared" si="95"/>
        <v>1712</v>
      </c>
      <c r="B1713" s="1"/>
      <c r="C1713" s="39"/>
      <c r="D1713" s="21"/>
      <c r="G1713" s="1"/>
      <c r="H1713" s="11" t="str">
        <f t="shared" si="96"/>
        <v>0 г. 0 мес. 0 дн.</v>
      </c>
      <c r="I1713" s="20"/>
      <c r="J1713" s="20"/>
      <c r="O1713" s="20"/>
      <c r="V1713" s="1" t="str">
        <f t="shared" si="97"/>
        <v>0 г. 0 мес. 0 дн.</v>
      </c>
      <c r="W1713" s="69"/>
    </row>
    <row r="1714" spans="1:23" ht="35.1" customHeight="1" x14ac:dyDescent="0.25">
      <c r="A1714" s="1">
        <f t="shared" si="95"/>
        <v>1713</v>
      </c>
      <c r="B1714" s="1"/>
      <c r="C1714" s="39"/>
      <c r="D1714" s="21"/>
      <c r="G1714" s="1"/>
      <c r="H1714" s="11" t="str">
        <f t="shared" si="96"/>
        <v>0 г. 0 мес. 0 дн.</v>
      </c>
      <c r="I1714" s="20"/>
      <c r="J1714" s="20"/>
      <c r="O1714" s="20"/>
      <c r="V1714" s="1" t="str">
        <f t="shared" si="97"/>
        <v>0 г. 0 мес. 0 дн.</v>
      </c>
      <c r="W1714" s="69"/>
    </row>
    <row r="1715" spans="1:23" ht="35.1" customHeight="1" x14ac:dyDescent="0.25">
      <c r="A1715" s="1">
        <f t="shared" si="95"/>
        <v>1714</v>
      </c>
      <c r="B1715" s="1"/>
      <c r="C1715" s="39"/>
      <c r="D1715" s="21"/>
      <c r="G1715" s="1"/>
      <c r="H1715" s="11" t="str">
        <f t="shared" si="96"/>
        <v>0 г. 0 мес. 0 дн.</v>
      </c>
      <c r="I1715" s="20"/>
      <c r="J1715" s="20"/>
      <c r="O1715" s="20"/>
      <c r="V1715" s="1" t="str">
        <f t="shared" si="97"/>
        <v>0 г. 0 мес. 0 дн.</v>
      </c>
      <c r="W1715" s="69"/>
    </row>
    <row r="1716" spans="1:23" ht="35.1" customHeight="1" x14ac:dyDescent="0.25">
      <c r="A1716" s="1">
        <f t="shared" si="95"/>
        <v>1715</v>
      </c>
      <c r="B1716" s="1"/>
      <c r="C1716" s="39"/>
      <c r="D1716" s="21"/>
      <c r="G1716" s="1"/>
      <c r="H1716" s="11" t="str">
        <f t="shared" si="96"/>
        <v>0 г. 0 мес. 0 дн.</v>
      </c>
      <c r="I1716" s="20"/>
      <c r="J1716" s="20"/>
      <c r="O1716" s="20"/>
      <c r="V1716" s="1" t="str">
        <f t="shared" si="97"/>
        <v>0 г. 0 мес. 0 дн.</v>
      </c>
      <c r="W1716" s="69"/>
    </row>
    <row r="1717" spans="1:23" ht="35.1" customHeight="1" x14ac:dyDescent="0.25">
      <c r="A1717" s="1">
        <f t="shared" si="95"/>
        <v>1716</v>
      </c>
      <c r="B1717" s="1"/>
      <c r="C1717" s="39"/>
      <c r="D1717" s="21"/>
      <c r="G1717" s="1"/>
      <c r="H1717" s="11" t="str">
        <f t="shared" si="96"/>
        <v>0 г. 0 мес. 0 дн.</v>
      </c>
      <c r="I1717" s="20"/>
      <c r="J1717" s="20"/>
      <c r="O1717" s="20"/>
      <c r="V1717" s="1" t="str">
        <f t="shared" si="97"/>
        <v>0 г. 0 мес. 0 дн.</v>
      </c>
      <c r="W1717" s="69"/>
    </row>
    <row r="1718" spans="1:23" ht="35.1" customHeight="1" x14ac:dyDescent="0.25">
      <c r="A1718" s="1">
        <f t="shared" si="95"/>
        <v>1717</v>
      </c>
      <c r="B1718" s="1"/>
      <c r="C1718" s="39"/>
      <c r="D1718" s="21"/>
      <c r="G1718" s="1"/>
      <c r="H1718" s="11" t="str">
        <f t="shared" si="96"/>
        <v>0 г. 0 мес. 0 дн.</v>
      </c>
      <c r="I1718" s="20"/>
      <c r="J1718" s="20"/>
      <c r="O1718" s="20"/>
      <c r="V1718" s="1" t="str">
        <f t="shared" si="97"/>
        <v>0 г. 0 мес. 0 дн.</v>
      </c>
      <c r="W1718" s="69"/>
    </row>
    <row r="1719" spans="1:23" ht="35.1" customHeight="1" x14ac:dyDescent="0.25">
      <c r="A1719" s="1">
        <f t="shared" si="95"/>
        <v>1718</v>
      </c>
      <c r="B1719" s="1"/>
      <c r="C1719" s="39"/>
      <c r="D1719" s="21"/>
      <c r="G1719" s="1"/>
      <c r="H1719" s="11" t="str">
        <f t="shared" si="96"/>
        <v>0 г. 0 мес. 0 дн.</v>
      </c>
      <c r="I1719" s="20"/>
      <c r="J1719" s="20"/>
      <c r="O1719" s="20"/>
      <c r="V1719" s="1" t="str">
        <f t="shared" si="97"/>
        <v>0 г. 0 мес. 0 дн.</v>
      </c>
      <c r="W1719" s="69"/>
    </row>
    <row r="1720" spans="1:23" ht="35.1" customHeight="1" x14ac:dyDescent="0.25">
      <c r="A1720" s="1">
        <f t="shared" si="95"/>
        <v>1719</v>
      </c>
      <c r="B1720" s="1"/>
      <c r="C1720" s="39"/>
      <c r="D1720" s="21"/>
      <c r="G1720" s="1"/>
      <c r="H1720" s="11" t="str">
        <f t="shared" si="96"/>
        <v>0 г. 0 мес. 0 дн.</v>
      </c>
      <c r="I1720" s="20"/>
      <c r="J1720" s="20"/>
      <c r="O1720" s="20"/>
      <c r="V1720" s="1" t="str">
        <f t="shared" si="97"/>
        <v>0 г. 0 мес. 0 дн.</v>
      </c>
      <c r="W1720" s="69"/>
    </row>
    <row r="1721" spans="1:23" ht="35.1" customHeight="1" x14ac:dyDescent="0.25">
      <c r="A1721" s="1">
        <f t="shared" si="95"/>
        <v>1720</v>
      </c>
      <c r="B1721" s="1"/>
      <c r="C1721" s="39"/>
      <c r="D1721" s="21"/>
      <c r="G1721" s="1"/>
      <c r="H1721" s="11" t="str">
        <f t="shared" si="96"/>
        <v>0 г. 0 мес. 0 дн.</v>
      </c>
      <c r="I1721" s="20"/>
      <c r="J1721" s="20"/>
      <c r="O1721" s="20"/>
      <c r="V1721" s="1" t="str">
        <f t="shared" si="97"/>
        <v>0 г. 0 мес. 0 дн.</v>
      </c>
      <c r="W1721" s="69"/>
    </row>
    <row r="1722" spans="1:23" ht="35.1" customHeight="1" x14ac:dyDescent="0.25">
      <c r="A1722" s="1">
        <f t="shared" si="95"/>
        <v>1721</v>
      </c>
      <c r="B1722" s="1"/>
      <c r="C1722" s="39"/>
      <c r="D1722" s="21"/>
      <c r="G1722" s="1"/>
      <c r="H1722" s="11" t="str">
        <f t="shared" si="96"/>
        <v>0 г. 0 мес. 0 дн.</v>
      </c>
      <c r="I1722" s="20"/>
      <c r="J1722" s="20"/>
      <c r="O1722" s="20"/>
      <c r="V1722" s="1" t="str">
        <f t="shared" si="97"/>
        <v>0 г. 0 мес. 0 дн.</v>
      </c>
      <c r="W1722" s="69"/>
    </row>
    <row r="1723" spans="1:23" ht="35.1" customHeight="1" x14ac:dyDescent="0.25">
      <c r="A1723" s="1">
        <f t="shared" si="95"/>
        <v>1722</v>
      </c>
      <c r="B1723" s="1"/>
      <c r="C1723" s="39"/>
      <c r="D1723" s="21"/>
      <c r="G1723" s="1"/>
      <c r="H1723" s="11" t="str">
        <f t="shared" si="96"/>
        <v>0 г. 0 мес. 0 дн.</v>
      </c>
      <c r="I1723" s="20"/>
      <c r="J1723" s="20"/>
      <c r="O1723" s="20"/>
      <c r="V1723" s="1" t="str">
        <f t="shared" si="97"/>
        <v>0 г. 0 мес. 0 дн.</v>
      </c>
      <c r="W1723" s="69"/>
    </row>
    <row r="1724" spans="1:23" ht="35.1" customHeight="1" x14ac:dyDescent="0.25">
      <c r="A1724" s="1">
        <f t="shared" si="95"/>
        <v>1723</v>
      </c>
      <c r="B1724" s="1"/>
      <c r="C1724" s="39"/>
      <c r="D1724" s="21"/>
      <c r="G1724" s="1"/>
      <c r="H1724" s="11" t="str">
        <f t="shared" si="96"/>
        <v>0 г. 0 мес. 0 дн.</v>
      </c>
      <c r="I1724" s="20"/>
      <c r="J1724" s="20"/>
      <c r="O1724" s="20"/>
      <c r="V1724" s="1" t="str">
        <f t="shared" si="97"/>
        <v>0 г. 0 мес. 0 дн.</v>
      </c>
      <c r="W1724" s="69"/>
    </row>
    <row r="1725" spans="1:23" ht="35.1" customHeight="1" x14ac:dyDescent="0.25">
      <c r="A1725" s="1">
        <f t="shared" si="95"/>
        <v>1724</v>
      </c>
      <c r="B1725" s="1"/>
      <c r="C1725" s="39"/>
      <c r="D1725" s="21"/>
      <c r="G1725" s="1"/>
      <c r="H1725" s="11" t="str">
        <f t="shared" si="96"/>
        <v>0 г. 0 мес. 0 дн.</v>
      </c>
      <c r="I1725" s="20"/>
      <c r="J1725" s="20"/>
      <c r="O1725" s="20"/>
      <c r="V1725" s="1" t="str">
        <f t="shared" si="97"/>
        <v>0 г. 0 мес. 0 дн.</v>
      </c>
      <c r="W1725" s="69"/>
    </row>
    <row r="1726" spans="1:23" ht="35.1" customHeight="1" x14ac:dyDescent="0.25">
      <c r="A1726" s="1">
        <f t="shared" si="95"/>
        <v>1725</v>
      </c>
      <c r="B1726" s="1"/>
      <c r="C1726" s="39"/>
      <c r="D1726" s="21"/>
      <c r="G1726" s="1"/>
      <c r="H1726" s="11" t="str">
        <f t="shared" si="96"/>
        <v>0 г. 0 мес. 0 дн.</v>
      </c>
      <c r="I1726" s="20"/>
      <c r="J1726" s="20"/>
      <c r="O1726" s="20"/>
      <c r="V1726" s="1" t="str">
        <f t="shared" si="97"/>
        <v>0 г. 0 мес. 0 дн.</v>
      </c>
      <c r="W1726" s="69"/>
    </row>
    <row r="1727" spans="1:23" ht="35.1" customHeight="1" x14ac:dyDescent="0.25">
      <c r="A1727" s="1">
        <f t="shared" si="95"/>
        <v>1726</v>
      </c>
      <c r="B1727" s="1"/>
      <c r="C1727" s="39"/>
      <c r="D1727" s="21"/>
      <c r="G1727" s="1"/>
      <c r="H1727" s="11" t="str">
        <f t="shared" si="96"/>
        <v>0 г. 0 мес. 0 дн.</v>
      </c>
      <c r="I1727" s="20"/>
      <c r="J1727" s="20"/>
      <c r="O1727" s="20"/>
      <c r="V1727" s="1" t="str">
        <f t="shared" si="97"/>
        <v>0 г. 0 мес. 0 дн.</v>
      </c>
      <c r="W1727" s="69"/>
    </row>
    <row r="1728" spans="1:23" ht="35.1" customHeight="1" x14ac:dyDescent="0.25">
      <c r="A1728" s="1">
        <f t="shared" si="95"/>
        <v>1727</v>
      </c>
      <c r="B1728" s="1"/>
      <c r="C1728" s="39"/>
      <c r="D1728" s="21"/>
      <c r="G1728" s="1"/>
      <c r="H1728" s="11" t="str">
        <f t="shared" si="96"/>
        <v>0 г. 0 мес. 0 дн.</v>
      </c>
      <c r="I1728" s="20"/>
      <c r="J1728" s="20"/>
      <c r="O1728" s="20"/>
      <c r="V1728" s="1" t="str">
        <f t="shared" si="97"/>
        <v>0 г. 0 мес. 0 дн.</v>
      </c>
      <c r="W1728" s="69"/>
    </row>
    <row r="1729" spans="1:23" ht="35.1" customHeight="1" x14ac:dyDescent="0.25">
      <c r="A1729" s="1">
        <f t="shared" ref="A1729:A1792" si="98">ROW(A1728)</f>
        <v>1728</v>
      </c>
      <c r="B1729" s="1"/>
      <c r="C1729" s="39"/>
      <c r="D1729" s="21"/>
      <c r="G1729" s="1"/>
      <c r="H1729" s="11" t="str">
        <f t="shared" ref="H1729:H1792" si="99">DATEDIF(G1729,D1729,"y") &amp; " г. " &amp; DATEDIF(G1729,D1729,"ym") &amp; " мес. " &amp; DATEDIF(G1729,D1729,"md") &amp; " дн."</f>
        <v>0 г. 0 мес. 0 дн.</v>
      </c>
      <c r="I1729" s="20"/>
      <c r="J1729" s="20"/>
      <c r="O1729" s="20"/>
      <c r="V1729" s="1" t="str">
        <f t="shared" si="97"/>
        <v>0 г. 0 мес. 0 дн.</v>
      </c>
      <c r="W1729" s="69"/>
    </row>
    <row r="1730" spans="1:23" ht="35.1" customHeight="1" x14ac:dyDescent="0.25">
      <c r="A1730" s="1">
        <f t="shared" si="98"/>
        <v>1729</v>
      </c>
      <c r="B1730" s="1"/>
      <c r="C1730" s="39"/>
      <c r="D1730" s="21"/>
      <c r="G1730" s="1"/>
      <c r="H1730" s="11" t="str">
        <f t="shared" si="99"/>
        <v>0 г. 0 мес. 0 дн.</v>
      </c>
      <c r="I1730" s="20"/>
      <c r="J1730" s="20"/>
      <c r="O1730" s="20"/>
      <c r="V1730" s="1" t="str">
        <f t="shared" si="97"/>
        <v>0 г. 0 мес. 0 дн.</v>
      </c>
      <c r="W1730" s="69"/>
    </row>
    <row r="1731" spans="1:23" ht="35.1" customHeight="1" x14ac:dyDescent="0.25">
      <c r="A1731" s="1">
        <f t="shared" si="98"/>
        <v>1730</v>
      </c>
      <c r="B1731" s="1"/>
      <c r="C1731" s="39"/>
      <c r="D1731" s="21"/>
      <c r="G1731" s="1"/>
      <c r="H1731" s="11" t="str">
        <f t="shared" si="99"/>
        <v>0 г. 0 мес. 0 дн.</v>
      </c>
      <c r="I1731" s="20"/>
      <c r="J1731" s="20"/>
      <c r="O1731" s="20"/>
      <c r="V1731" s="1" t="str">
        <f t="shared" si="97"/>
        <v>0 г. 0 мес. 0 дн.</v>
      </c>
      <c r="W1731" s="69"/>
    </row>
    <row r="1732" spans="1:23" ht="35.1" customHeight="1" x14ac:dyDescent="0.25">
      <c r="A1732" s="1">
        <f t="shared" si="98"/>
        <v>1731</v>
      </c>
      <c r="B1732" s="1"/>
      <c r="C1732" s="39"/>
      <c r="D1732" s="21"/>
      <c r="G1732" s="1"/>
      <c r="H1732" s="11" t="str">
        <f t="shared" si="99"/>
        <v>0 г. 0 мес. 0 дн.</v>
      </c>
      <c r="I1732" s="20"/>
      <c r="J1732" s="20"/>
      <c r="O1732" s="20"/>
      <c r="V1732" s="1" t="str">
        <f t="shared" si="97"/>
        <v>0 г. 0 мес. 0 дн.</v>
      </c>
      <c r="W1732" s="69"/>
    </row>
    <row r="1733" spans="1:23" ht="35.1" customHeight="1" x14ac:dyDescent="0.25">
      <c r="A1733" s="1">
        <f t="shared" si="98"/>
        <v>1732</v>
      </c>
      <c r="B1733" s="1"/>
      <c r="C1733" s="39"/>
      <c r="D1733" s="21"/>
      <c r="G1733" s="1"/>
      <c r="H1733" s="11" t="str">
        <f t="shared" si="99"/>
        <v>0 г. 0 мес. 0 дн.</v>
      </c>
      <c r="I1733" s="20"/>
      <c r="J1733" s="20"/>
      <c r="O1733" s="20"/>
      <c r="V1733" s="1" t="str">
        <f t="shared" si="97"/>
        <v>0 г. 0 мес. 0 дн.</v>
      </c>
      <c r="W1733" s="69"/>
    </row>
    <row r="1734" spans="1:23" ht="35.1" customHeight="1" x14ac:dyDescent="0.25">
      <c r="A1734" s="1">
        <f t="shared" si="98"/>
        <v>1733</v>
      </c>
      <c r="B1734" s="1"/>
      <c r="C1734" s="39"/>
      <c r="D1734" s="21"/>
      <c r="G1734" s="1"/>
      <c r="H1734" s="11" t="str">
        <f t="shared" si="99"/>
        <v>0 г. 0 мес. 0 дн.</v>
      </c>
      <c r="I1734" s="20"/>
      <c r="J1734" s="20"/>
      <c r="O1734" s="20"/>
      <c r="V1734" s="1" t="str">
        <f t="shared" si="97"/>
        <v>0 г. 0 мес. 0 дн.</v>
      </c>
      <c r="W1734" s="69"/>
    </row>
    <row r="1735" spans="1:23" ht="35.1" customHeight="1" x14ac:dyDescent="0.25">
      <c r="A1735" s="1">
        <f t="shared" si="98"/>
        <v>1734</v>
      </c>
      <c r="B1735" s="1"/>
      <c r="C1735" s="39"/>
      <c r="D1735" s="21"/>
      <c r="G1735" s="1"/>
      <c r="H1735" s="11" t="str">
        <f t="shared" si="99"/>
        <v>0 г. 0 мес. 0 дн.</v>
      </c>
      <c r="I1735" s="20"/>
      <c r="J1735" s="20"/>
      <c r="O1735" s="20"/>
      <c r="V1735" s="1" t="str">
        <f t="shared" si="97"/>
        <v>0 г. 0 мес. 0 дн.</v>
      </c>
      <c r="W1735" s="69"/>
    </row>
    <row r="1736" spans="1:23" ht="35.1" customHeight="1" x14ac:dyDescent="0.25">
      <c r="A1736" s="1">
        <f t="shared" si="98"/>
        <v>1735</v>
      </c>
      <c r="B1736" s="1"/>
      <c r="C1736" s="39"/>
      <c r="D1736" s="21"/>
      <c r="G1736" s="1"/>
      <c r="H1736" s="11" t="str">
        <f t="shared" si="99"/>
        <v>0 г. 0 мес. 0 дн.</v>
      </c>
      <c r="I1736" s="20"/>
      <c r="J1736" s="20"/>
      <c r="O1736" s="20"/>
      <c r="V1736" s="1" t="str">
        <f t="shared" si="97"/>
        <v>0 г. 0 мес. 0 дн.</v>
      </c>
      <c r="W1736" s="69"/>
    </row>
    <row r="1737" spans="1:23" ht="35.1" customHeight="1" x14ac:dyDescent="0.25">
      <c r="A1737" s="1">
        <f t="shared" si="98"/>
        <v>1736</v>
      </c>
      <c r="B1737" s="1"/>
      <c r="C1737" s="39"/>
      <c r="D1737" s="21"/>
      <c r="G1737" s="1"/>
      <c r="H1737" s="11" t="str">
        <f t="shared" si="99"/>
        <v>0 г. 0 мес. 0 дн.</v>
      </c>
      <c r="I1737" s="20"/>
      <c r="J1737" s="20"/>
      <c r="O1737" s="20"/>
      <c r="V1737" s="1" t="str">
        <f t="shared" si="97"/>
        <v>0 г. 0 мес. 0 дн.</v>
      </c>
      <c r="W1737" s="69"/>
    </row>
    <row r="1738" spans="1:23" ht="35.1" customHeight="1" x14ac:dyDescent="0.25">
      <c r="A1738" s="1">
        <f t="shared" si="98"/>
        <v>1737</v>
      </c>
      <c r="B1738" s="1"/>
      <c r="C1738" s="39"/>
      <c r="D1738" s="21"/>
      <c r="G1738" s="1"/>
      <c r="H1738" s="11" t="str">
        <f t="shared" si="99"/>
        <v>0 г. 0 мес. 0 дн.</v>
      </c>
      <c r="I1738" s="20"/>
      <c r="J1738" s="20"/>
      <c r="O1738" s="20"/>
      <c r="V1738" s="1" t="str">
        <f t="shared" si="97"/>
        <v>0 г. 0 мес. 0 дн.</v>
      </c>
      <c r="W1738" s="69"/>
    </row>
    <row r="1739" spans="1:23" ht="35.1" customHeight="1" x14ac:dyDescent="0.25">
      <c r="A1739" s="1">
        <f t="shared" si="98"/>
        <v>1738</v>
      </c>
      <c r="B1739" s="1"/>
      <c r="C1739" s="39"/>
      <c r="D1739" s="21"/>
      <c r="G1739" s="1"/>
      <c r="H1739" s="11" t="str">
        <f t="shared" si="99"/>
        <v>0 г. 0 мес. 0 дн.</v>
      </c>
      <c r="I1739" s="20"/>
      <c r="J1739" s="20"/>
      <c r="O1739" s="20"/>
      <c r="V1739" s="1" t="str">
        <f t="shared" si="97"/>
        <v>0 г. 0 мес. 0 дн.</v>
      </c>
      <c r="W1739" s="69"/>
    </row>
    <row r="1740" spans="1:23" ht="35.1" customHeight="1" x14ac:dyDescent="0.25">
      <c r="A1740" s="1">
        <f t="shared" si="98"/>
        <v>1739</v>
      </c>
      <c r="B1740" s="1"/>
      <c r="C1740" s="39"/>
      <c r="D1740" s="21"/>
      <c r="G1740" s="1"/>
      <c r="H1740" s="11" t="str">
        <f t="shared" si="99"/>
        <v>0 г. 0 мес. 0 дн.</v>
      </c>
      <c r="I1740" s="20"/>
      <c r="J1740" s="20"/>
      <c r="O1740" s="20"/>
      <c r="V1740" s="1" t="str">
        <f t="shared" si="97"/>
        <v>0 г. 0 мес. 0 дн.</v>
      </c>
      <c r="W1740" s="69"/>
    </row>
    <row r="1741" spans="1:23" ht="35.1" customHeight="1" x14ac:dyDescent="0.25">
      <c r="A1741" s="1">
        <f t="shared" si="98"/>
        <v>1740</v>
      </c>
      <c r="B1741" s="1"/>
      <c r="C1741" s="39"/>
      <c r="D1741" s="21"/>
      <c r="G1741" s="1"/>
      <c r="H1741" s="11" t="str">
        <f t="shared" si="99"/>
        <v>0 г. 0 мес. 0 дн.</v>
      </c>
      <c r="I1741" s="20"/>
      <c r="J1741" s="20"/>
      <c r="O1741" s="20"/>
      <c r="V1741" s="1" t="str">
        <f t="shared" si="97"/>
        <v>0 г. 0 мес. 0 дн.</v>
      </c>
      <c r="W1741" s="69"/>
    </row>
    <row r="1742" spans="1:23" ht="35.1" customHeight="1" x14ac:dyDescent="0.25">
      <c r="A1742" s="1">
        <f t="shared" si="98"/>
        <v>1741</v>
      </c>
      <c r="B1742" s="1"/>
      <c r="C1742" s="39"/>
      <c r="D1742" s="21"/>
      <c r="G1742" s="1"/>
      <c r="H1742" s="11" t="str">
        <f t="shared" si="99"/>
        <v>0 г. 0 мес. 0 дн.</v>
      </c>
      <c r="I1742" s="20"/>
      <c r="J1742" s="20"/>
      <c r="O1742" s="20"/>
      <c r="V1742" s="1" t="str">
        <f t="shared" si="97"/>
        <v>0 г. 0 мес. 0 дн.</v>
      </c>
      <c r="W1742" s="69"/>
    </row>
    <row r="1743" spans="1:23" ht="35.1" customHeight="1" x14ac:dyDescent="0.25">
      <c r="A1743" s="1">
        <f t="shared" si="98"/>
        <v>1742</v>
      </c>
      <c r="B1743" s="1"/>
      <c r="C1743" s="39"/>
      <c r="D1743" s="21"/>
      <c r="G1743" s="1"/>
      <c r="H1743" s="11" t="str">
        <f t="shared" si="99"/>
        <v>0 г. 0 мес. 0 дн.</v>
      </c>
      <c r="I1743" s="20"/>
      <c r="J1743" s="20"/>
      <c r="O1743" s="20"/>
      <c r="V1743" s="1" t="str">
        <f t="shared" si="97"/>
        <v>0 г. 0 мес. 0 дн.</v>
      </c>
      <c r="W1743" s="69"/>
    </row>
    <row r="1744" spans="1:23" ht="35.1" customHeight="1" x14ac:dyDescent="0.25">
      <c r="A1744" s="1">
        <f t="shared" si="98"/>
        <v>1743</v>
      </c>
      <c r="B1744" s="1"/>
      <c r="C1744" s="39"/>
      <c r="D1744" s="21"/>
      <c r="G1744" s="1"/>
      <c r="H1744" s="11" t="str">
        <f t="shared" si="99"/>
        <v>0 г. 0 мес. 0 дн.</v>
      </c>
      <c r="I1744" s="20"/>
      <c r="J1744" s="20"/>
      <c r="O1744" s="20"/>
      <c r="V1744" s="1" t="str">
        <f t="shared" si="97"/>
        <v>0 г. 0 мес. 0 дн.</v>
      </c>
      <c r="W1744" s="69"/>
    </row>
    <row r="1745" spans="1:23" ht="35.1" customHeight="1" x14ac:dyDescent="0.25">
      <c r="A1745" s="1">
        <f t="shared" si="98"/>
        <v>1744</v>
      </c>
      <c r="B1745" s="1"/>
      <c r="C1745" s="39"/>
      <c r="D1745" s="21"/>
      <c r="G1745" s="1"/>
      <c r="H1745" s="11" t="str">
        <f t="shared" si="99"/>
        <v>0 г. 0 мес. 0 дн.</v>
      </c>
      <c r="I1745" s="20"/>
      <c r="J1745" s="20"/>
      <c r="O1745" s="20"/>
      <c r="V1745" s="1" t="str">
        <f t="shared" si="97"/>
        <v>0 г. 0 мес. 0 дн.</v>
      </c>
      <c r="W1745" s="69"/>
    </row>
    <row r="1746" spans="1:23" ht="35.1" customHeight="1" x14ac:dyDescent="0.25">
      <c r="A1746" s="1">
        <f t="shared" si="98"/>
        <v>1745</v>
      </c>
      <c r="B1746" s="1"/>
      <c r="C1746" s="39"/>
      <c r="D1746" s="21"/>
      <c r="G1746" s="1"/>
      <c r="H1746" s="11" t="str">
        <f t="shared" si="99"/>
        <v>0 г. 0 мес. 0 дн.</v>
      </c>
      <c r="I1746" s="20"/>
      <c r="J1746" s="20"/>
      <c r="O1746" s="20"/>
      <c r="V1746" s="1" t="str">
        <f t="shared" si="97"/>
        <v>0 г. 0 мес. 0 дн.</v>
      </c>
      <c r="W1746" s="69"/>
    </row>
    <row r="1747" spans="1:23" ht="35.1" customHeight="1" x14ac:dyDescent="0.25">
      <c r="A1747" s="1">
        <f t="shared" si="98"/>
        <v>1746</v>
      </c>
      <c r="B1747" s="1"/>
      <c r="C1747" s="39"/>
      <c r="D1747" s="21"/>
      <c r="G1747" s="1"/>
      <c r="H1747" s="11" t="str">
        <f t="shared" si="99"/>
        <v>0 г. 0 мес. 0 дн.</v>
      </c>
      <c r="I1747" s="20"/>
      <c r="J1747" s="20"/>
      <c r="O1747" s="20"/>
      <c r="V1747" s="1" t="str">
        <f t="shared" si="97"/>
        <v>0 г. 0 мес. 0 дн.</v>
      </c>
      <c r="W1747" s="69"/>
    </row>
    <row r="1748" spans="1:23" ht="35.1" customHeight="1" x14ac:dyDescent="0.25">
      <c r="A1748" s="1">
        <f t="shared" si="98"/>
        <v>1747</v>
      </c>
      <c r="B1748" s="1"/>
      <c r="C1748" s="39"/>
      <c r="D1748" s="21"/>
      <c r="G1748" s="1"/>
      <c r="H1748" s="11" t="str">
        <f t="shared" si="99"/>
        <v>0 г. 0 мес. 0 дн.</v>
      </c>
      <c r="I1748" s="20"/>
      <c r="J1748" s="20"/>
      <c r="O1748" s="20"/>
      <c r="V1748" s="1" t="str">
        <f t="shared" si="97"/>
        <v>0 г. 0 мес. 0 дн.</v>
      </c>
      <c r="W1748" s="69"/>
    </row>
    <row r="1749" spans="1:23" ht="35.1" customHeight="1" x14ac:dyDescent="0.25">
      <c r="A1749" s="1">
        <f t="shared" si="98"/>
        <v>1748</v>
      </c>
      <c r="B1749" s="1"/>
      <c r="C1749" s="39"/>
      <c r="D1749" s="21"/>
      <c r="G1749" s="1"/>
      <c r="H1749" s="11" t="str">
        <f t="shared" si="99"/>
        <v>0 г. 0 мес. 0 дн.</v>
      </c>
      <c r="I1749" s="20"/>
      <c r="J1749" s="20"/>
      <c r="O1749" s="20"/>
      <c r="V1749" s="1" t="str">
        <f t="shared" si="97"/>
        <v>0 г. 0 мес. 0 дн.</v>
      </c>
      <c r="W1749" s="69"/>
    </row>
    <row r="1750" spans="1:23" ht="35.1" customHeight="1" x14ac:dyDescent="0.25">
      <c r="A1750" s="1">
        <f t="shared" si="98"/>
        <v>1749</v>
      </c>
      <c r="B1750" s="1"/>
      <c r="C1750" s="39"/>
      <c r="D1750" s="21"/>
      <c r="G1750" s="1"/>
      <c r="H1750" s="11" t="str">
        <f t="shared" si="99"/>
        <v>0 г. 0 мес. 0 дн.</v>
      </c>
      <c r="I1750" s="20"/>
      <c r="J1750" s="20"/>
      <c r="O1750" s="20"/>
      <c r="V1750" s="1" t="str">
        <f t="shared" si="97"/>
        <v>0 г. 0 мес. 0 дн.</v>
      </c>
      <c r="W1750" s="69"/>
    </row>
    <row r="1751" spans="1:23" ht="35.1" customHeight="1" x14ac:dyDescent="0.25">
      <c r="A1751" s="1">
        <f t="shared" si="98"/>
        <v>1750</v>
      </c>
      <c r="B1751" s="1"/>
      <c r="C1751" s="39"/>
      <c r="D1751" s="21"/>
      <c r="G1751" s="1"/>
      <c r="H1751" s="11" t="str">
        <f t="shared" si="99"/>
        <v>0 г. 0 мес. 0 дн.</v>
      </c>
      <c r="I1751" s="20"/>
      <c r="J1751" s="20"/>
      <c r="O1751" s="20"/>
      <c r="V1751" s="1" t="str">
        <f t="shared" si="97"/>
        <v>0 г. 0 мес. 0 дн.</v>
      </c>
      <c r="W1751" s="69"/>
    </row>
    <row r="1752" spans="1:23" ht="35.1" customHeight="1" x14ac:dyDescent="0.25">
      <c r="A1752" s="1">
        <f t="shared" si="98"/>
        <v>1751</v>
      </c>
      <c r="B1752" s="1"/>
      <c r="C1752" s="39"/>
      <c r="D1752" s="21"/>
      <c r="G1752" s="1"/>
      <c r="H1752" s="11" t="str">
        <f t="shared" si="99"/>
        <v>0 г. 0 мес. 0 дн.</v>
      </c>
      <c r="I1752" s="20"/>
      <c r="J1752" s="20"/>
      <c r="O1752" s="20"/>
      <c r="V1752" s="1" t="str">
        <f t="shared" si="97"/>
        <v>0 г. 0 мес. 0 дн.</v>
      </c>
      <c r="W1752" s="69"/>
    </row>
    <row r="1753" spans="1:23" ht="35.1" customHeight="1" x14ac:dyDescent="0.25">
      <c r="A1753" s="1">
        <f t="shared" si="98"/>
        <v>1752</v>
      </c>
      <c r="B1753" s="1"/>
      <c r="C1753" s="39"/>
      <c r="D1753" s="21"/>
      <c r="G1753" s="1"/>
      <c r="H1753" s="11" t="str">
        <f t="shared" si="99"/>
        <v>0 г. 0 мес. 0 дн.</v>
      </c>
      <c r="I1753" s="20"/>
      <c r="J1753" s="20"/>
      <c r="O1753" s="20"/>
      <c r="V1753" s="1" t="str">
        <f t="shared" ref="V1753:V1816" si="100">DATEDIF(D1753,T1753,"y") &amp; " г. " &amp; DATEDIF(D1753,T1753,"ym") &amp; " мес. " &amp; DATEDIF(D1753,T1753,"md") &amp; " дн."</f>
        <v>0 г. 0 мес. 0 дн.</v>
      </c>
      <c r="W1753" s="69"/>
    </row>
    <row r="1754" spans="1:23" ht="35.1" customHeight="1" x14ac:dyDescent="0.25">
      <c r="A1754" s="1">
        <f t="shared" si="98"/>
        <v>1753</v>
      </c>
      <c r="B1754" s="1"/>
      <c r="C1754" s="39"/>
      <c r="D1754" s="21"/>
      <c r="G1754" s="1"/>
      <c r="H1754" s="11" t="str">
        <f t="shared" si="99"/>
        <v>0 г. 0 мес. 0 дн.</v>
      </c>
      <c r="I1754" s="20"/>
      <c r="J1754" s="20"/>
      <c r="O1754" s="20"/>
      <c r="V1754" s="1" t="str">
        <f t="shared" si="100"/>
        <v>0 г. 0 мес. 0 дн.</v>
      </c>
      <c r="W1754" s="69"/>
    </row>
    <row r="1755" spans="1:23" ht="35.1" customHeight="1" x14ac:dyDescent="0.25">
      <c r="A1755" s="1">
        <f t="shared" si="98"/>
        <v>1754</v>
      </c>
      <c r="B1755" s="1"/>
      <c r="C1755" s="39"/>
      <c r="D1755" s="21"/>
      <c r="G1755" s="1"/>
      <c r="H1755" s="11" t="str">
        <f t="shared" si="99"/>
        <v>0 г. 0 мес. 0 дн.</v>
      </c>
      <c r="I1755" s="20"/>
      <c r="J1755" s="20"/>
      <c r="O1755" s="20"/>
      <c r="V1755" s="1" t="str">
        <f t="shared" si="100"/>
        <v>0 г. 0 мес. 0 дн.</v>
      </c>
      <c r="W1755" s="69"/>
    </row>
    <row r="1756" spans="1:23" ht="35.1" customHeight="1" x14ac:dyDescent="0.25">
      <c r="A1756" s="1">
        <f t="shared" si="98"/>
        <v>1755</v>
      </c>
      <c r="B1756" s="1"/>
      <c r="C1756" s="39"/>
      <c r="D1756" s="21"/>
      <c r="G1756" s="1"/>
      <c r="H1756" s="11" t="str">
        <f t="shared" si="99"/>
        <v>0 г. 0 мес. 0 дн.</v>
      </c>
      <c r="I1756" s="20"/>
      <c r="J1756" s="20"/>
      <c r="O1756" s="20"/>
      <c r="V1756" s="1" t="str">
        <f t="shared" si="100"/>
        <v>0 г. 0 мес. 0 дн.</v>
      </c>
      <c r="W1756" s="69"/>
    </row>
    <row r="1757" spans="1:23" ht="35.1" customHeight="1" x14ac:dyDescent="0.25">
      <c r="A1757" s="1">
        <f t="shared" si="98"/>
        <v>1756</v>
      </c>
      <c r="B1757" s="1"/>
      <c r="C1757" s="39"/>
      <c r="D1757" s="21"/>
      <c r="G1757" s="1"/>
      <c r="H1757" s="11" t="str">
        <f t="shared" si="99"/>
        <v>0 г. 0 мес. 0 дн.</v>
      </c>
      <c r="I1757" s="20"/>
      <c r="J1757" s="20"/>
      <c r="O1757" s="20"/>
      <c r="V1757" s="1" t="str">
        <f t="shared" si="100"/>
        <v>0 г. 0 мес. 0 дн.</v>
      </c>
      <c r="W1757" s="69"/>
    </row>
    <row r="1758" spans="1:23" ht="35.1" customHeight="1" x14ac:dyDescent="0.25">
      <c r="A1758" s="1">
        <f t="shared" si="98"/>
        <v>1757</v>
      </c>
      <c r="B1758" s="1"/>
      <c r="C1758" s="39"/>
      <c r="D1758" s="21"/>
      <c r="G1758" s="1"/>
      <c r="H1758" s="11" t="str">
        <f t="shared" si="99"/>
        <v>0 г. 0 мес. 0 дн.</v>
      </c>
      <c r="I1758" s="20"/>
      <c r="J1758" s="20"/>
      <c r="O1758" s="20"/>
      <c r="V1758" s="1" t="str">
        <f t="shared" si="100"/>
        <v>0 г. 0 мес. 0 дн.</v>
      </c>
      <c r="W1758" s="69"/>
    </row>
    <row r="1759" spans="1:23" ht="35.1" customHeight="1" x14ac:dyDescent="0.25">
      <c r="A1759" s="1">
        <f t="shared" si="98"/>
        <v>1758</v>
      </c>
      <c r="B1759" s="1"/>
      <c r="C1759" s="39"/>
      <c r="D1759" s="21"/>
      <c r="G1759" s="1"/>
      <c r="H1759" s="11" t="str">
        <f t="shared" si="99"/>
        <v>0 г. 0 мес. 0 дн.</v>
      </c>
      <c r="I1759" s="20"/>
      <c r="J1759" s="20"/>
      <c r="O1759" s="20"/>
      <c r="V1759" s="1" t="str">
        <f t="shared" si="100"/>
        <v>0 г. 0 мес. 0 дн.</v>
      </c>
      <c r="W1759" s="69"/>
    </row>
    <row r="1760" spans="1:23" ht="35.1" customHeight="1" x14ac:dyDescent="0.25">
      <c r="A1760" s="1">
        <f t="shared" si="98"/>
        <v>1759</v>
      </c>
      <c r="B1760" s="1"/>
      <c r="C1760" s="39"/>
      <c r="D1760" s="21"/>
      <c r="G1760" s="1"/>
      <c r="H1760" s="11" t="str">
        <f t="shared" si="99"/>
        <v>0 г. 0 мес. 0 дн.</v>
      </c>
      <c r="I1760" s="20"/>
      <c r="J1760" s="20"/>
      <c r="O1760" s="20"/>
      <c r="V1760" s="1" t="str">
        <f t="shared" si="100"/>
        <v>0 г. 0 мес. 0 дн.</v>
      </c>
      <c r="W1760" s="69"/>
    </row>
    <row r="1761" spans="1:23" ht="35.1" customHeight="1" x14ac:dyDescent="0.25">
      <c r="A1761" s="1">
        <f t="shared" si="98"/>
        <v>1760</v>
      </c>
      <c r="B1761" s="1"/>
      <c r="C1761" s="39"/>
      <c r="D1761" s="21"/>
      <c r="G1761" s="1"/>
      <c r="H1761" s="11" t="str">
        <f t="shared" si="99"/>
        <v>0 г. 0 мес. 0 дн.</v>
      </c>
      <c r="I1761" s="20"/>
      <c r="J1761" s="20"/>
      <c r="O1761" s="20"/>
      <c r="V1761" s="1" t="str">
        <f t="shared" si="100"/>
        <v>0 г. 0 мес. 0 дн.</v>
      </c>
      <c r="W1761" s="69"/>
    </row>
    <row r="1762" spans="1:23" ht="35.1" customHeight="1" x14ac:dyDescent="0.25">
      <c r="A1762" s="1">
        <f t="shared" si="98"/>
        <v>1761</v>
      </c>
      <c r="B1762" s="1"/>
      <c r="C1762" s="39"/>
      <c r="D1762" s="21"/>
      <c r="G1762" s="1"/>
      <c r="H1762" s="11" t="str">
        <f t="shared" si="99"/>
        <v>0 г. 0 мес. 0 дн.</v>
      </c>
      <c r="I1762" s="20"/>
      <c r="J1762" s="20"/>
      <c r="O1762" s="20"/>
      <c r="V1762" s="1" t="str">
        <f t="shared" si="100"/>
        <v>0 г. 0 мес. 0 дн.</v>
      </c>
      <c r="W1762" s="69"/>
    </row>
    <row r="1763" spans="1:23" ht="35.1" customHeight="1" x14ac:dyDescent="0.25">
      <c r="A1763" s="1">
        <f t="shared" si="98"/>
        <v>1762</v>
      </c>
      <c r="B1763" s="1"/>
      <c r="C1763" s="39"/>
      <c r="D1763" s="21"/>
      <c r="G1763" s="1"/>
      <c r="H1763" s="11" t="str">
        <f t="shared" si="99"/>
        <v>0 г. 0 мес. 0 дн.</v>
      </c>
      <c r="I1763" s="20"/>
      <c r="J1763" s="20"/>
      <c r="O1763" s="20"/>
      <c r="V1763" s="1" t="str">
        <f t="shared" si="100"/>
        <v>0 г. 0 мес. 0 дн.</v>
      </c>
      <c r="W1763" s="69"/>
    </row>
    <row r="1764" spans="1:23" ht="35.1" customHeight="1" x14ac:dyDescent="0.25">
      <c r="A1764" s="1">
        <f t="shared" si="98"/>
        <v>1763</v>
      </c>
      <c r="B1764" s="1"/>
      <c r="C1764" s="39"/>
      <c r="D1764" s="21"/>
      <c r="G1764" s="1"/>
      <c r="H1764" s="11" t="str">
        <f t="shared" si="99"/>
        <v>0 г. 0 мес. 0 дн.</v>
      </c>
      <c r="I1764" s="20"/>
      <c r="J1764" s="20"/>
      <c r="O1764" s="20"/>
      <c r="V1764" s="1" t="str">
        <f t="shared" si="100"/>
        <v>0 г. 0 мес. 0 дн.</v>
      </c>
      <c r="W1764" s="69"/>
    </row>
    <row r="1765" spans="1:23" ht="35.1" customHeight="1" x14ac:dyDescent="0.25">
      <c r="A1765" s="1">
        <f t="shared" si="98"/>
        <v>1764</v>
      </c>
      <c r="B1765" s="1"/>
      <c r="C1765" s="39"/>
      <c r="D1765" s="21"/>
      <c r="G1765" s="1"/>
      <c r="H1765" s="11" t="str">
        <f t="shared" si="99"/>
        <v>0 г. 0 мес. 0 дн.</v>
      </c>
      <c r="I1765" s="20"/>
      <c r="J1765" s="20"/>
      <c r="O1765" s="20"/>
      <c r="V1765" s="1" t="str">
        <f t="shared" si="100"/>
        <v>0 г. 0 мес. 0 дн.</v>
      </c>
      <c r="W1765" s="69"/>
    </row>
    <row r="1766" spans="1:23" ht="35.1" customHeight="1" x14ac:dyDescent="0.25">
      <c r="A1766" s="1">
        <f t="shared" si="98"/>
        <v>1765</v>
      </c>
      <c r="B1766" s="1"/>
      <c r="C1766" s="39"/>
      <c r="D1766" s="21"/>
      <c r="G1766" s="1"/>
      <c r="H1766" s="11" t="str">
        <f t="shared" si="99"/>
        <v>0 г. 0 мес. 0 дн.</v>
      </c>
      <c r="I1766" s="20"/>
      <c r="J1766" s="20"/>
      <c r="O1766" s="20"/>
      <c r="V1766" s="1" t="str">
        <f t="shared" si="100"/>
        <v>0 г. 0 мес. 0 дн.</v>
      </c>
      <c r="W1766" s="69"/>
    </row>
    <row r="1767" spans="1:23" ht="35.1" customHeight="1" x14ac:dyDescent="0.25">
      <c r="A1767" s="1">
        <f t="shared" si="98"/>
        <v>1766</v>
      </c>
      <c r="B1767" s="1"/>
      <c r="C1767" s="39"/>
      <c r="D1767" s="21"/>
      <c r="G1767" s="1"/>
      <c r="H1767" s="11" t="str">
        <f t="shared" si="99"/>
        <v>0 г. 0 мес. 0 дн.</v>
      </c>
      <c r="I1767" s="20"/>
      <c r="J1767" s="20"/>
      <c r="O1767" s="20"/>
      <c r="V1767" s="1" t="str">
        <f t="shared" si="100"/>
        <v>0 г. 0 мес. 0 дн.</v>
      </c>
      <c r="W1767" s="69"/>
    </row>
    <row r="1768" spans="1:23" ht="35.1" customHeight="1" x14ac:dyDescent="0.25">
      <c r="A1768" s="1">
        <f t="shared" si="98"/>
        <v>1767</v>
      </c>
      <c r="B1768" s="1"/>
      <c r="C1768" s="39"/>
      <c r="D1768" s="21"/>
      <c r="G1768" s="1"/>
      <c r="H1768" s="11" t="str">
        <f t="shared" si="99"/>
        <v>0 г. 0 мес. 0 дн.</v>
      </c>
      <c r="I1768" s="20"/>
      <c r="J1768" s="20"/>
      <c r="O1768" s="20"/>
      <c r="V1768" s="1" t="str">
        <f t="shared" si="100"/>
        <v>0 г. 0 мес. 0 дн.</v>
      </c>
      <c r="W1768" s="69"/>
    </row>
    <row r="1769" spans="1:23" ht="35.1" customHeight="1" x14ac:dyDescent="0.25">
      <c r="A1769" s="1">
        <f t="shared" si="98"/>
        <v>1768</v>
      </c>
      <c r="B1769" s="1"/>
      <c r="C1769" s="39"/>
      <c r="D1769" s="21"/>
      <c r="G1769" s="1"/>
      <c r="H1769" s="11" t="str">
        <f t="shared" si="99"/>
        <v>0 г. 0 мес. 0 дн.</v>
      </c>
      <c r="I1769" s="20"/>
      <c r="J1769" s="20"/>
      <c r="O1769" s="20"/>
      <c r="V1769" s="1" t="str">
        <f t="shared" si="100"/>
        <v>0 г. 0 мес. 0 дн.</v>
      </c>
      <c r="W1769" s="69"/>
    </row>
    <row r="1770" spans="1:23" ht="35.1" customHeight="1" x14ac:dyDescent="0.25">
      <c r="A1770" s="1">
        <f t="shared" si="98"/>
        <v>1769</v>
      </c>
      <c r="B1770" s="1"/>
      <c r="C1770" s="39"/>
      <c r="D1770" s="21"/>
      <c r="G1770" s="1"/>
      <c r="H1770" s="11" t="str">
        <f t="shared" si="99"/>
        <v>0 г. 0 мес. 0 дн.</v>
      </c>
      <c r="I1770" s="20"/>
      <c r="J1770" s="20"/>
      <c r="O1770" s="20"/>
      <c r="V1770" s="1" t="str">
        <f t="shared" si="100"/>
        <v>0 г. 0 мес. 0 дн.</v>
      </c>
      <c r="W1770" s="69"/>
    </row>
    <row r="1771" spans="1:23" ht="35.1" customHeight="1" x14ac:dyDescent="0.25">
      <c r="A1771" s="1">
        <f t="shared" si="98"/>
        <v>1770</v>
      </c>
      <c r="B1771" s="1"/>
      <c r="C1771" s="39"/>
      <c r="D1771" s="21"/>
      <c r="G1771" s="1"/>
      <c r="H1771" s="11" t="str">
        <f t="shared" si="99"/>
        <v>0 г. 0 мес. 0 дн.</v>
      </c>
      <c r="I1771" s="20"/>
      <c r="J1771" s="20"/>
      <c r="O1771" s="20"/>
      <c r="V1771" s="1" t="str">
        <f t="shared" si="100"/>
        <v>0 г. 0 мес. 0 дн.</v>
      </c>
      <c r="W1771" s="69"/>
    </row>
    <row r="1772" spans="1:23" ht="35.1" customHeight="1" x14ac:dyDescent="0.25">
      <c r="A1772" s="1">
        <f t="shared" si="98"/>
        <v>1771</v>
      </c>
      <c r="B1772" s="1"/>
      <c r="C1772" s="39"/>
      <c r="D1772" s="21"/>
      <c r="G1772" s="1"/>
      <c r="H1772" s="11" t="str">
        <f t="shared" si="99"/>
        <v>0 г. 0 мес. 0 дн.</v>
      </c>
      <c r="I1772" s="20"/>
      <c r="J1772" s="20"/>
      <c r="O1772" s="20"/>
      <c r="V1772" s="1" t="str">
        <f t="shared" si="100"/>
        <v>0 г. 0 мес. 0 дн.</v>
      </c>
      <c r="W1772" s="69"/>
    </row>
    <row r="1773" spans="1:23" ht="35.1" customHeight="1" x14ac:dyDescent="0.25">
      <c r="A1773" s="1">
        <f t="shared" si="98"/>
        <v>1772</v>
      </c>
      <c r="B1773" s="1"/>
      <c r="C1773" s="39"/>
      <c r="D1773" s="21"/>
      <c r="G1773" s="1"/>
      <c r="H1773" s="11" t="str">
        <f t="shared" si="99"/>
        <v>0 г. 0 мес. 0 дн.</v>
      </c>
      <c r="I1773" s="20"/>
      <c r="J1773" s="20"/>
      <c r="O1773" s="20"/>
      <c r="V1773" s="1" t="str">
        <f t="shared" si="100"/>
        <v>0 г. 0 мес. 0 дн.</v>
      </c>
      <c r="W1773" s="69"/>
    </row>
    <row r="1774" spans="1:23" ht="35.1" customHeight="1" x14ac:dyDescent="0.25">
      <c r="A1774" s="1">
        <f t="shared" si="98"/>
        <v>1773</v>
      </c>
      <c r="B1774" s="1"/>
      <c r="C1774" s="39"/>
      <c r="D1774" s="21"/>
      <c r="G1774" s="1"/>
      <c r="H1774" s="11" t="str">
        <f t="shared" si="99"/>
        <v>0 г. 0 мес. 0 дн.</v>
      </c>
      <c r="I1774" s="20"/>
      <c r="J1774" s="20"/>
      <c r="O1774" s="20"/>
      <c r="V1774" s="1" t="str">
        <f t="shared" si="100"/>
        <v>0 г. 0 мес. 0 дн.</v>
      </c>
      <c r="W1774" s="69"/>
    </row>
    <row r="1775" spans="1:23" ht="35.1" customHeight="1" x14ac:dyDescent="0.25">
      <c r="A1775" s="1">
        <f t="shared" si="98"/>
        <v>1774</v>
      </c>
      <c r="B1775" s="1"/>
      <c r="C1775" s="39"/>
      <c r="D1775" s="21"/>
      <c r="G1775" s="1"/>
      <c r="H1775" s="11" t="str">
        <f t="shared" si="99"/>
        <v>0 г. 0 мес. 0 дн.</v>
      </c>
      <c r="I1775" s="20"/>
      <c r="J1775" s="20"/>
      <c r="O1775" s="20"/>
      <c r="V1775" s="1" t="str">
        <f t="shared" si="100"/>
        <v>0 г. 0 мес. 0 дн.</v>
      </c>
      <c r="W1775" s="69"/>
    </row>
    <row r="1776" spans="1:23" ht="35.1" customHeight="1" x14ac:dyDescent="0.25">
      <c r="A1776" s="1">
        <f t="shared" si="98"/>
        <v>1775</v>
      </c>
      <c r="B1776" s="1"/>
      <c r="C1776" s="39"/>
      <c r="D1776" s="21"/>
      <c r="G1776" s="1"/>
      <c r="H1776" s="11" t="str">
        <f t="shared" si="99"/>
        <v>0 г. 0 мес. 0 дн.</v>
      </c>
      <c r="I1776" s="20"/>
      <c r="J1776" s="20"/>
      <c r="O1776" s="20"/>
      <c r="V1776" s="1" t="str">
        <f t="shared" si="100"/>
        <v>0 г. 0 мес. 0 дн.</v>
      </c>
      <c r="W1776" s="69"/>
    </row>
    <row r="1777" spans="1:23" ht="35.1" customHeight="1" x14ac:dyDescent="0.25">
      <c r="A1777" s="1">
        <f t="shared" si="98"/>
        <v>1776</v>
      </c>
      <c r="B1777" s="1"/>
      <c r="C1777" s="39"/>
      <c r="D1777" s="21"/>
      <c r="G1777" s="1"/>
      <c r="H1777" s="11" t="str">
        <f t="shared" si="99"/>
        <v>0 г. 0 мес. 0 дн.</v>
      </c>
      <c r="I1777" s="20"/>
      <c r="J1777" s="20"/>
      <c r="O1777" s="20"/>
      <c r="V1777" s="1" t="str">
        <f t="shared" si="100"/>
        <v>0 г. 0 мес. 0 дн.</v>
      </c>
      <c r="W1777" s="69"/>
    </row>
    <row r="1778" spans="1:23" ht="35.1" customHeight="1" x14ac:dyDescent="0.25">
      <c r="A1778" s="1">
        <f t="shared" si="98"/>
        <v>1777</v>
      </c>
      <c r="B1778" s="1"/>
      <c r="C1778" s="39"/>
      <c r="D1778" s="21"/>
      <c r="G1778" s="1"/>
      <c r="H1778" s="11" t="str">
        <f t="shared" si="99"/>
        <v>0 г. 0 мес. 0 дн.</v>
      </c>
      <c r="I1778" s="20"/>
      <c r="J1778" s="20"/>
      <c r="O1778" s="20"/>
      <c r="V1778" s="1" t="str">
        <f t="shared" si="100"/>
        <v>0 г. 0 мес. 0 дн.</v>
      </c>
      <c r="W1778" s="69"/>
    </row>
    <row r="1779" spans="1:23" ht="35.1" customHeight="1" x14ac:dyDescent="0.25">
      <c r="A1779" s="1">
        <f t="shared" si="98"/>
        <v>1778</v>
      </c>
      <c r="B1779" s="1"/>
      <c r="C1779" s="39"/>
      <c r="D1779" s="21"/>
      <c r="G1779" s="1"/>
      <c r="H1779" s="11" t="str">
        <f t="shared" si="99"/>
        <v>0 г. 0 мес. 0 дн.</v>
      </c>
      <c r="I1779" s="20"/>
      <c r="J1779" s="20"/>
      <c r="O1779" s="20"/>
      <c r="V1779" s="1" t="str">
        <f t="shared" si="100"/>
        <v>0 г. 0 мес. 0 дн.</v>
      </c>
      <c r="W1779" s="69"/>
    </row>
    <row r="1780" spans="1:23" ht="35.1" customHeight="1" x14ac:dyDescent="0.25">
      <c r="A1780" s="1">
        <f t="shared" si="98"/>
        <v>1779</v>
      </c>
      <c r="B1780" s="1"/>
      <c r="C1780" s="39"/>
      <c r="D1780" s="21"/>
      <c r="G1780" s="1"/>
      <c r="H1780" s="11" t="str">
        <f t="shared" si="99"/>
        <v>0 г. 0 мес. 0 дн.</v>
      </c>
      <c r="I1780" s="20"/>
      <c r="J1780" s="20"/>
      <c r="O1780" s="20"/>
      <c r="V1780" s="1" t="str">
        <f t="shared" si="100"/>
        <v>0 г. 0 мес. 0 дн.</v>
      </c>
      <c r="W1780" s="69"/>
    </row>
    <row r="1781" spans="1:23" ht="35.1" customHeight="1" x14ac:dyDescent="0.25">
      <c r="A1781" s="1">
        <f t="shared" si="98"/>
        <v>1780</v>
      </c>
      <c r="B1781" s="1"/>
      <c r="C1781" s="39"/>
      <c r="D1781" s="21"/>
      <c r="G1781" s="1"/>
      <c r="H1781" s="11" t="str">
        <f t="shared" si="99"/>
        <v>0 г. 0 мес. 0 дн.</v>
      </c>
      <c r="I1781" s="20"/>
      <c r="J1781" s="20"/>
      <c r="O1781" s="20"/>
      <c r="V1781" s="1" t="str">
        <f t="shared" si="100"/>
        <v>0 г. 0 мес. 0 дн.</v>
      </c>
      <c r="W1781" s="69"/>
    </row>
    <row r="1782" spans="1:23" ht="35.1" customHeight="1" x14ac:dyDescent="0.25">
      <c r="A1782" s="1">
        <f t="shared" si="98"/>
        <v>1781</v>
      </c>
      <c r="B1782" s="1"/>
      <c r="C1782" s="39"/>
      <c r="D1782" s="21"/>
      <c r="G1782" s="1"/>
      <c r="H1782" s="11" t="str">
        <f t="shared" si="99"/>
        <v>0 г. 0 мес. 0 дн.</v>
      </c>
      <c r="I1782" s="20"/>
      <c r="J1782" s="20"/>
      <c r="O1782" s="20"/>
      <c r="V1782" s="1" t="str">
        <f t="shared" si="100"/>
        <v>0 г. 0 мес. 0 дн.</v>
      </c>
      <c r="W1782" s="69"/>
    </row>
    <row r="1783" spans="1:23" ht="35.1" customHeight="1" x14ac:dyDescent="0.25">
      <c r="A1783" s="1">
        <f t="shared" si="98"/>
        <v>1782</v>
      </c>
      <c r="B1783" s="1"/>
      <c r="C1783" s="39"/>
      <c r="D1783" s="21"/>
      <c r="G1783" s="1"/>
      <c r="H1783" s="11" t="str">
        <f t="shared" si="99"/>
        <v>0 г. 0 мес. 0 дн.</v>
      </c>
      <c r="I1783" s="20"/>
      <c r="J1783" s="20"/>
      <c r="O1783" s="20"/>
      <c r="V1783" s="1" t="str">
        <f t="shared" si="100"/>
        <v>0 г. 0 мес. 0 дн.</v>
      </c>
      <c r="W1783" s="69"/>
    </row>
    <row r="1784" spans="1:23" ht="35.1" customHeight="1" x14ac:dyDescent="0.25">
      <c r="A1784" s="1">
        <f t="shared" si="98"/>
        <v>1783</v>
      </c>
      <c r="B1784" s="1"/>
      <c r="C1784" s="39"/>
      <c r="D1784" s="21"/>
      <c r="G1784" s="1"/>
      <c r="H1784" s="11" t="str">
        <f t="shared" si="99"/>
        <v>0 г. 0 мес. 0 дн.</v>
      </c>
      <c r="I1784" s="20"/>
      <c r="J1784" s="20"/>
      <c r="O1784" s="20"/>
      <c r="V1784" s="1" t="str">
        <f t="shared" si="100"/>
        <v>0 г. 0 мес. 0 дн.</v>
      </c>
      <c r="W1784" s="69"/>
    </row>
    <row r="1785" spans="1:23" ht="35.1" customHeight="1" x14ac:dyDescent="0.25">
      <c r="A1785" s="1">
        <f t="shared" si="98"/>
        <v>1784</v>
      </c>
      <c r="B1785" s="1"/>
      <c r="C1785" s="39"/>
      <c r="D1785" s="21"/>
      <c r="G1785" s="1"/>
      <c r="H1785" s="11" t="str">
        <f t="shared" si="99"/>
        <v>0 г. 0 мес. 0 дн.</v>
      </c>
      <c r="I1785" s="20"/>
      <c r="J1785" s="20"/>
      <c r="O1785" s="20"/>
      <c r="V1785" s="1" t="str">
        <f t="shared" si="100"/>
        <v>0 г. 0 мес. 0 дн.</v>
      </c>
      <c r="W1785" s="69"/>
    </row>
    <row r="1786" spans="1:23" ht="35.1" customHeight="1" x14ac:dyDescent="0.25">
      <c r="A1786" s="1">
        <f t="shared" si="98"/>
        <v>1785</v>
      </c>
      <c r="B1786" s="1"/>
      <c r="C1786" s="39"/>
      <c r="D1786" s="21"/>
      <c r="G1786" s="1"/>
      <c r="H1786" s="11" t="str">
        <f t="shared" si="99"/>
        <v>0 г. 0 мес. 0 дн.</v>
      </c>
      <c r="I1786" s="20"/>
      <c r="J1786" s="20"/>
      <c r="O1786" s="20"/>
      <c r="V1786" s="1" t="str">
        <f t="shared" si="100"/>
        <v>0 г. 0 мес. 0 дн.</v>
      </c>
      <c r="W1786" s="69"/>
    </row>
    <row r="1787" spans="1:23" ht="35.1" customHeight="1" x14ac:dyDescent="0.25">
      <c r="A1787" s="1">
        <f t="shared" si="98"/>
        <v>1786</v>
      </c>
      <c r="B1787" s="1"/>
      <c r="C1787" s="39"/>
      <c r="D1787" s="21"/>
      <c r="G1787" s="1"/>
      <c r="H1787" s="11" t="str">
        <f t="shared" si="99"/>
        <v>0 г. 0 мес. 0 дн.</v>
      </c>
      <c r="I1787" s="20"/>
      <c r="J1787" s="20"/>
      <c r="O1787" s="20"/>
      <c r="V1787" s="1" t="str">
        <f t="shared" si="100"/>
        <v>0 г. 0 мес. 0 дн.</v>
      </c>
      <c r="W1787" s="69"/>
    </row>
    <row r="1788" spans="1:23" ht="35.1" customHeight="1" x14ac:dyDescent="0.25">
      <c r="A1788" s="1">
        <f t="shared" si="98"/>
        <v>1787</v>
      </c>
      <c r="B1788" s="1"/>
      <c r="C1788" s="39"/>
      <c r="D1788" s="21"/>
      <c r="G1788" s="1"/>
      <c r="H1788" s="11" t="str">
        <f t="shared" si="99"/>
        <v>0 г. 0 мес. 0 дн.</v>
      </c>
      <c r="I1788" s="20"/>
      <c r="J1788" s="20"/>
      <c r="O1788" s="20"/>
      <c r="V1788" s="1" t="str">
        <f t="shared" si="100"/>
        <v>0 г. 0 мес. 0 дн.</v>
      </c>
      <c r="W1788" s="69"/>
    </row>
    <row r="1789" spans="1:23" ht="35.1" customHeight="1" x14ac:dyDescent="0.25">
      <c r="A1789" s="1">
        <f t="shared" si="98"/>
        <v>1788</v>
      </c>
      <c r="B1789" s="1"/>
      <c r="C1789" s="39"/>
      <c r="D1789" s="21"/>
      <c r="G1789" s="1"/>
      <c r="H1789" s="11" t="str">
        <f t="shared" si="99"/>
        <v>0 г. 0 мес. 0 дн.</v>
      </c>
      <c r="I1789" s="20"/>
      <c r="J1789" s="20"/>
      <c r="O1789" s="20"/>
      <c r="V1789" s="1" t="str">
        <f t="shared" si="100"/>
        <v>0 г. 0 мес. 0 дн.</v>
      </c>
      <c r="W1789" s="69"/>
    </row>
    <row r="1790" spans="1:23" ht="35.1" customHeight="1" x14ac:dyDescent="0.25">
      <c r="A1790" s="1">
        <f t="shared" si="98"/>
        <v>1789</v>
      </c>
      <c r="B1790" s="1"/>
      <c r="C1790" s="39"/>
      <c r="D1790" s="21"/>
      <c r="G1790" s="1"/>
      <c r="H1790" s="11" t="str">
        <f t="shared" si="99"/>
        <v>0 г. 0 мес. 0 дн.</v>
      </c>
      <c r="I1790" s="20"/>
      <c r="J1790" s="20"/>
      <c r="O1790" s="20"/>
      <c r="V1790" s="1" t="str">
        <f t="shared" si="100"/>
        <v>0 г. 0 мес. 0 дн.</v>
      </c>
      <c r="W1790" s="69"/>
    </row>
    <row r="1791" spans="1:23" ht="35.1" customHeight="1" x14ac:dyDescent="0.25">
      <c r="A1791" s="1">
        <f t="shared" si="98"/>
        <v>1790</v>
      </c>
      <c r="B1791" s="1"/>
      <c r="C1791" s="39"/>
      <c r="D1791" s="21"/>
      <c r="G1791" s="1"/>
      <c r="H1791" s="11" t="str">
        <f t="shared" si="99"/>
        <v>0 г. 0 мес. 0 дн.</v>
      </c>
      <c r="I1791" s="20"/>
      <c r="J1791" s="20"/>
      <c r="O1791" s="20"/>
      <c r="V1791" s="1" t="str">
        <f t="shared" si="100"/>
        <v>0 г. 0 мес. 0 дн.</v>
      </c>
      <c r="W1791" s="69"/>
    </row>
    <row r="1792" spans="1:23" ht="35.1" customHeight="1" x14ac:dyDescent="0.25">
      <c r="A1792" s="1">
        <f t="shared" si="98"/>
        <v>1791</v>
      </c>
      <c r="B1792" s="1"/>
      <c r="C1792" s="39"/>
      <c r="D1792" s="21"/>
      <c r="G1792" s="1"/>
      <c r="H1792" s="11" t="str">
        <f t="shared" si="99"/>
        <v>0 г. 0 мес. 0 дн.</v>
      </c>
      <c r="I1792" s="20"/>
      <c r="J1792" s="20"/>
      <c r="O1792" s="20"/>
      <c r="V1792" s="1" t="str">
        <f t="shared" si="100"/>
        <v>0 г. 0 мес. 0 дн.</v>
      </c>
      <c r="W1792" s="69"/>
    </row>
    <row r="1793" spans="1:23" ht="35.1" customHeight="1" x14ac:dyDescent="0.25">
      <c r="A1793" s="1">
        <f t="shared" ref="A1793:A1856" si="101">ROW(A1792)</f>
        <v>1792</v>
      </c>
      <c r="B1793" s="1"/>
      <c r="C1793" s="39"/>
      <c r="D1793" s="21"/>
      <c r="G1793" s="1"/>
      <c r="H1793" s="11" t="str">
        <f t="shared" ref="H1793:H1856" si="102">DATEDIF(G1793,D1793,"y") &amp; " г. " &amp; DATEDIF(G1793,D1793,"ym") &amp; " мес. " &amp; DATEDIF(G1793,D1793,"md") &amp; " дн."</f>
        <v>0 г. 0 мес. 0 дн.</v>
      </c>
      <c r="I1793" s="20"/>
      <c r="J1793" s="20"/>
      <c r="O1793" s="20"/>
      <c r="V1793" s="1" t="str">
        <f t="shared" si="100"/>
        <v>0 г. 0 мес. 0 дн.</v>
      </c>
      <c r="W1793" s="69"/>
    </row>
    <row r="1794" spans="1:23" ht="35.1" customHeight="1" x14ac:dyDescent="0.25">
      <c r="A1794" s="1">
        <f t="shared" si="101"/>
        <v>1793</v>
      </c>
      <c r="B1794" s="1"/>
      <c r="C1794" s="39"/>
      <c r="D1794" s="21"/>
      <c r="G1794" s="1"/>
      <c r="H1794" s="11" t="str">
        <f t="shared" si="102"/>
        <v>0 г. 0 мес. 0 дн.</v>
      </c>
      <c r="I1794" s="20"/>
      <c r="J1794" s="20"/>
      <c r="O1794" s="20"/>
      <c r="V1794" s="1" t="str">
        <f t="shared" si="100"/>
        <v>0 г. 0 мес. 0 дн.</v>
      </c>
      <c r="W1794" s="69"/>
    </row>
    <row r="1795" spans="1:23" ht="35.1" customHeight="1" x14ac:dyDescent="0.25">
      <c r="A1795" s="1">
        <f t="shared" si="101"/>
        <v>1794</v>
      </c>
      <c r="B1795" s="1"/>
      <c r="C1795" s="39"/>
      <c r="D1795" s="21"/>
      <c r="G1795" s="1"/>
      <c r="H1795" s="11" t="str">
        <f t="shared" si="102"/>
        <v>0 г. 0 мес. 0 дн.</v>
      </c>
      <c r="I1795" s="20"/>
      <c r="J1795" s="20"/>
      <c r="O1795" s="20"/>
      <c r="V1795" s="1" t="str">
        <f t="shared" si="100"/>
        <v>0 г. 0 мес. 0 дн.</v>
      </c>
      <c r="W1795" s="69"/>
    </row>
    <row r="1796" spans="1:23" ht="35.1" customHeight="1" x14ac:dyDescent="0.25">
      <c r="A1796" s="1">
        <f t="shared" si="101"/>
        <v>1795</v>
      </c>
      <c r="B1796" s="1"/>
      <c r="C1796" s="39"/>
      <c r="D1796" s="21"/>
      <c r="G1796" s="1"/>
      <c r="H1796" s="11" t="str">
        <f t="shared" si="102"/>
        <v>0 г. 0 мес. 0 дн.</v>
      </c>
      <c r="I1796" s="20"/>
      <c r="J1796" s="20"/>
      <c r="O1796" s="20"/>
      <c r="V1796" s="1" t="str">
        <f t="shared" si="100"/>
        <v>0 г. 0 мес. 0 дн.</v>
      </c>
      <c r="W1796" s="69"/>
    </row>
    <row r="1797" spans="1:23" ht="35.1" customHeight="1" x14ac:dyDescent="0.25">
      <c r="A1797" s="1">
        <f t="shared" si="101"/>
        <v>1796</v>
      </c>
      <c r="B1797" s="1"/>
      <c r="C1797" s="39"/>
      <c r="D1797" s="21"/>
      <c r="G1797" s="1"/>
      <c r="H1797" s="11" t="str">
        <f t="shared" si="102"/>
        <v>0 г. 0 мес. 0 дн.</v>
      </c>
      <c r="I1797" s="20"/>
      <c r="J1797" s="20"/>
      <c r="O1797" s="20"/>
      <c r="V1797" s="1" t="str">
        <f t="shared" si="100"/>
        <v>0 г. 0 мес. 0 дн.</v>
      </c>
      <c r="W1797" s="69"/>
    </row>
    <row r="1798" spans="1:23" ht="35.1" customHeight="1" x14ac:dyDescent="0.25">
      <c r="A1798" s="1">
        <f t="shared" si="101"/>
        <v>1797</v>
      </c>
      <c r="B1798" s="1"/>
      <c r="C1798" s="39"/>
      <c r="D1798" s="21"/>
      <c r="G1798" s="1"/>
      <c r="H1798" s="11" t="str">
        <f t="shared" si="102"/>
        <v>0 г. 0 мес. 0 дн.</v>
      </c>
      <c r="I1798" s="20"/>
      <c r="J1798" s="20"/>
      <c r="O1798" s="20"/>
      <c r="V1798" s="1" t="str">
        <f t="shared" si="100"/>
        <v>0 г. 0 мес. 0 дн.</v>
      </c>
      <c r="W1798" s="69"/>
    </row>
    <row r="1799" spans="1:23" ht="35.1" customHeight="1" x14ac:dyDescent="0.25">
      <c r="A1799" s="1">
        <f t="shared" si="101"/>
        <v>1798</v>
      </c>
      <c r="B1799" s="1"/>
      <c r="C1799" s="39"/>
      <c r="D1799" s="21"/>
      <c r="G1799" s="1"/>
      <c r="H1799" s="11" t="str">
        <f t="shared" si="102"/>
        <v>0 г. 0 мес. 0 дн.</v>
      </c>
      <c r="I1799" s="20"/>
      <c r="J1799" s="20"/>
      <c r="O1799" s="20"/>
      <c r="V1799" s="1" t="str">
        <f t="shared" si="100"/>
        <v>0 г. 0 мес. 0 дн.</v>
      </c>
      <c r="W1799" s="69"/>
    </row>
    <row r="1800" spans="1:23" ht="35.1" customHeight="1" x14ac:dyDescent="0.25">
      <c r="A1800" s="1">
        <f t="shared" si="101"/>
        <v>1799</v>
      </c>
      <c r="B1800" s="1"/>
      <c r="C1800" s="39"/>
      <c r="D1800" s="21"/>
      <c r="G1800" s="1"/>
      <c r="H1800" s="11" t="str">
        <f t="shared" si="102"/>
        <v>0 г. 0 мес. 0 дн.</v>
      </c>
      <c r="I1800" s="20"/>
      <c r="J1800" s="20"/>
      <c r="O1800" s="20"/>
      <c r="V1800" s="1" t="str">
        <f t="shared" si="100"/>
        <v>0 г. 0 мес. 0 дн.</v>
      </c>
      <c r="W1800" s="69"/>
    </row>
    <row r="1801" spans="1:23" ht="35.1" customHeight="1" x14ac:dyDescent="0.25">
      <c r="A1801" s="1">
        <f t="shared" si="101"/>
        <v>1800</v>
      </c>
      <c r="B1801" s="1"/>
      <c r="C1801" s="39"/>
      <c r="D1801" s="21"/>
      <c r="G1801" s="1"/>
      <c r="H1801" s="11" t="str">
        <f t="shared" si="102"/>
        <v>0 г. 0 мес. 0 дн.</v>
      </c>
      <c r="I1801" s="20"/>
      <c r="J1801" s="20"/>
      <c r="O1801" s="20"/>
      <c r="V1801" s="1" t="str">
        <f t="shared" si="100"/>
        <v>0 г. 0 мес. 0 дн.</v>
      </c>
      <c r="W1801" s="69"/>
    </row>
    <row r="1802" spans="1:23" ht="35.1" customHeight="1" x14ac:dyDescent="0.25">
      <c r="A1802" s="1">
        <f t="shared" si="101"/>
        <v>1801</v>
      </c>
      <c r="B1802" s="1"/>
      <c r="C1802" s="39"/>
      <c r="D1802" s="21"/>
      <c r="G1802" s="1"/>
      <c r="H1802" s="11" t="str">
        <f t="shared" si="102"/>
        <v>0 г. 0 мес. 0 дн.</v>
      </c>
      <c r="I1802" s="20"/>
      <c r="J1802" s="20"/>
      <c r="O1802" s="20"/>
      <c r="V1802" s="1" t="str">
        <f t="shared" si="100"/>
        <v>0 г. 0 мес. 0 дн.</v>
      </c>
      <c r="W1802" s="69"/>
    </row>
    <row r="1803" spans="1:23" ht="35.1" customHeight="1" x14ac:dyDescent="0.25">
      <c r="A1803" s="1">
        <f t="shared" si="101"/>
        <v>1802</v>
      </c>
      <c r="B1803" s="1"/>
      <c r="C1803" s="39"/>
      <c r="D1803" s="21"/>
      <c r="G1803" s="1"/>
      <c r="H1803" s="11" t="str">
        <f t="shared" si="102"/>
        <v>0 г. 0 мес. 0 дн.</v>
      </c>
      <c r="I1803" s="20"/>
      <c r="J1803" s="20"/>
      <c r="O1803" s="20"/>
      <c r="V1803" s="1" t="str">
        <f t="shared" si="100"/>
        <v>0 г. 0 мес. 0 дн.</v>
      </c>
      <c r="W1803" s="69"/>
    </row>
    <row r="1804" spans="1:23" ht="35.1" customHeight="1" x14ac:dyDescent="0.25">
      <c r="A1804" s="1">
        <f t="shared" si="101"/>
        <v>1803</v>
      </c>
      <c r="B1804" s="1"/>
      <c r="C1804" s="39"/>
      <c r="D1804" s="21"/>
      <c r="G1804" s="1"/>
      <c r="H1804" s="11" t="str">
        <f t="shared" si="102"/>
        <v>0 г. 0 мес. 0 дн.</v>
      </c>
      <c r="I1804" s="20"/>
      <c r="J1804" s="20"/>
      <c r="O1804" s="20"/>
      <c r="V1804" s="1" t="str">
        <f t="shared" si="100"/>
        <v>0 г. 0 мес. 0 дн.</v>
      </c>
      <c r="W1804" s="69"/>
    </row>
    <row r="1805" spans="1:23" ht="35.1" customHeight="1" x14ac:dyDescent="0.25">
      <c r="A1805" s="1">
        <f t="shared" si="101"/>
        <v>1804</v>
      </c>
      <c r="B1805" s="1"/>
      <c r="C1805" s="39"/>
      <c r="D1805" s="21"/>
      <c r="G1805" s="1"/>
      <c r="H1805" s="11" t="str">
        <f t="shared" si="102"/>
        <v>0 г. 0 мес. 0 дн.</v>
      </c>
      <c r="I1805" s="20"/>
      <c r="J1805" s="20"/>
      <c r="O1805" s="20"/>
      <c r="V1805" s="1" t="str">
        <f t="shared" si="100"/>
        <v>0 г. 0 мес. 0 дн.</v>
      </c>
      <c r="W1805" s="69"/>
    </row>
    <row r="1806" spans="1:23" ht="35.1" customHeight="1" x14ac:dyDescent="0.25">
      <c r="A1806" s="1">
        <f t="shared" si="101"/>
        <v>1805</v>
      </c>
      <c r="B1806" s="1"/>
      <c r="C1806" s="39"/>
      <c r="D1806" s="21"/>
      <c r="G1806" s="1"/>
      <c r="H1806" s="11" t="str">
        <f t="shared" si="102"/>
        <v>0 г. 0 мес. 0 дн.</v>
      </c>
      <c r="I1806" s="20"/>
      <c r="J1806" s="20"/>
      <c r="O1806" s="20"/>
      <c r="V1806" s="1" t="str">
        <f t="shared" si="100"/>
        <v>0 г. 0 мес. 0 дн.</v>
      </c>
      <c r="W1806" s="69"/>
    </row>
    <row r="1807" spans="1:23" ht="35.1" customHeight="1" x14ac:dyDescent="0.25">
      <c r="A1807" s="1">
        <f t="shared" si="101"/>
        <v>1806</v>
      </c>
      <c r="B1807" s="1"/>
      <c r="C1807" s="39"/>
      <c r="D1807" s="21"/>
      <c r="G1807" s="1"/>
      <c r="H1807" s="11" t="str">
        <f t="shared" si="102"/>
        <v>0 г. 0 мес. 0 дн.</v>
      </c>
      <c r="I1807" s="20"/>
      <c r="J1807" s="20"/>
      <c r="O1807" s="20"/>
      <c r="V1807" s="1" t="str">
        <f t="shared" si="100"/>
        <v>0 г. 0 мес. 0 дн.</v>
      </c>
      <c r="W1807" s="69"/>
    </row>
    <row r="1808" spans="1:23" ht="35.1" customHeight="1" x14ac:dyDescent="0.25">
      <c r="A1808" s="1">
        <f t="shared" si="101"/>
        <v>1807</v>
      </c>
      <c r="B1808" s="1"/>
      <c r="C1808" s="39"/>
      <c r="D1808" s="21"/>
      <c r="G1808" s="1"/>
      <c r="H1808" s="11" t="str">
        <f t="shared" si="102"/>
        <v>0 г. 0 мес. 0 дн.</v>
      </c>
      <c r="I1808" s="20"/>
      <c r="J1808" s="20"/>
      <c r="O1808" s="20"/>
      <c r="V1808" s="1" t="str">
        <f t="shared" si="100"/>
        <v>0 г. 0 мес. 0 дн.</v>
      </c>
      <c r="W1808" s="69"/>
    </row>
    <row r="1809" spans="1:23" ht="35.1" customHeight="1" x14ac:dyDescent="0.25">
      <c r="A1809" s="1">
        <f t="shared" si="101"/>
        <v>1808</v>
      </c>
      <c r="B1809" s="1"/>
      <c r="C1809" s="39"/>
      <c r="D1809" s="21"/>
      <c r="G1809" s="1"/>
      <c r="H1809" s="11" t="str">
        <f t="shared" si="102"/>
        <v>0 г. 0 мес. 0 дн.</v>
      </c>
      <c r="I1809" s="20"/>
      <c r="J1809" s="20"/>
      <c r="O1809" s="20"/>
      <c r="V1809" s="1" t="str">
        <f t="shared" si="100"/>
        <v>0 г. 0 мес. 0 дн.</v>
      </c>
      <c r="W1809" s="69"/>
    </row>
    <row r="1810" spans="1:23" ht="35.1" customHeight="1" x14ac:dyDescent="0.25">
      <c r="A1810" s="1">
        <f t="shared" si="101"/>
        <v>1809</v>
      </c>
      <c r="B1810" s="1"/>
      <c r="C1810" s="39"/>
      <c r="D1810" s="21"/>
      <c r="G1810" s="1"/>
      <c r="H1810" s="11" t="str">
        <f t="shared" si="102"/>
        <v>0 г. 0 мес. 0 дн.</v>
      </c>
      <c r="I1810" s="20"/>
      <c r="J1810" s="20"/>
      <c r="O1810" s="20"/>
      <c r="V1810" s="1" t="str">
        <f t="shared" si="100"/>
        <v>0 г. 0 мес. 0 дн.</v>
      </c>
      <c r="W1810" s="69"/>
    </row>
    <row r="1811" spans="1:23" ht="35.1" customHeight="1" x14ac:dyDescent="0.25">
      <c r="A1811" s="1">
        <f t="shared" si="101"/>
        <v>1810</v>
      </c>
      <c r="B1811" s="1"/>
      <c r="C1811" s="39"/>
      <c r="D1811" s="21"/>
      <c r="G1811" s="1"/>
      <c r="H1811" s="11" t="str">
        <f t="shared" si="102"/>
        <v>0 г. 0 мес. 0 дн.</v>
      </c>
      <c r="I1811" s="20"/>
      <c r="J1811" s="20"/>
      <c r="O1811" s="20"/>
      <c r="V1811" s="1" t="str">
        <f t="shared" si="100"/>
        <v>0 г. 0 мес. 0 дн.</v>
      </c>
      <c r="W1811" s="69"/>
    </row>
    <row r="1812" spans="1:23" ht="35.1" customHeight="1" x14ac:dyDescent="0.25">
      <c r="A1812" s="1">
        <f t="shared" si="101"/>
        <v>1811</v>
      </c>
      <c r="B1812" s="1"/>
      <c r="C1812" s="39"/>
      <c r="D1812" s="21"/>
      <c r="G1812" s="1"/>
      <c r="H1812" s="11" t="str">
        <f t="shared" si="102"/>
        <v>0 г. 0 мес. 0 дн.</v>
      </c>
      <c r="I1812" s="20"/>
      <c r="J1812" s="20"/>
      <c r="O1812" s="20"/>
      <c r="V1812" s="1" t="str">
        <f t="shared" si="100"/>
        <v>0 г. 0 мес. 0 дн.</v>
      </c>
      <c r="W1812" s="69"/>
    </row>
    <row r="1813" spans="1:23" ht="35.1" customHeight="1" x14ac:dyDescent="0.25">
      <c r="A1813" s="1">
        <f t="shared" si="101"/>
        <v>1812</v>
      </c>
      <c r="B1813" s="1"/>
      <c r="C1813" s="39"/>
      <c r="D1813" s="21"/>
      <c r="G1813" s="1"/>
      <c r="H1813" s="11" t="str">
        <f t="shared" si="102"/>
        <v>0 г. 0 мес. 0 дн.</v>
      </c>
      <c r="I1813" s="20"/>
      <c r="J1813" s="20"/>
      <c r="O1813" s="20"/>
      <c r="V1813" s="1" t="str">
        <f t="shared" si="100"/>
        <v>0 г. 0 мес. 0 дн.</v>
      </c>
      <c r="W1813" s="69"/>
    </row>
    <row r="1814" spans="1:23" ht="35.1" customHeight="1" x14ac:dyDescent="0.25">
      <c r="A1814" s="1">
        <f t="shared" si="101"/>
        <v>1813</v>
      </c>
      <c r="B1814" s="1"/>
      <c r="C1814" s="39"/>
      <c r="D1814" s="21"/>
      <c r="G1814" s="1"/>
      <c r="H1814" s="11" t="str">
        <f t="shared" si="102"/>
        <v>0 г. 0 мес. 0 дн.</v>
      </c>
      <c r="I1814" s="20"/>
      <c r="J1814" s="20"/>
      <c r="O1814" s="20"/>
      <c r="V1814" s="1" t="str">
        <f t="shared" si="100"/>
        <v>0 г. 0 мес. 0 дн.</v>
      </c>
      <c r="W1814" s="69"/>
    </row>
    <row r="1815" spans="1:23" ht="35.1" customHeight="1" x14ac:dyDescent="0.25">
      <c r="A1815" s="1">
        <f t="shared" si="101"/>
        <v>1814</v>
      </c>
      <c r="B1815" s="1"/>
      <c r="C1815" s="39"/>
      <c r="D1815" s="21"/>
      <c r="G1815" s="1"/>
      <c r="H1815" s="11" t="str">
        <f t="shared" si="102"/>
        <v>0 г. 0 мес. 0 дн.</v>
      </c>
      <c r="I1815" s="20"/>
      <c r="J1815" s="20"/>
      <c r="O1815" s="20"/>
      <c r="V1815" s="1" t="str">
        <f t="shared" si="100"/>
        <v>0 г. 0 мес. 0 дн.</v>
      </c>
      <c r="W1815" s="69"/>
    </row>
    <row r="1816" spans="1:23" ht="35.1" customHeight="1" x14ac:dyDescent="0.25">
      <c r="A1816" s="1">
        <f t="shared" si="101"/>
        <v>1815</v>
      </c>
      <c r="B1816" s="1"/>
      <c r="C1816" s="39"/>
      <c r="D1816" s="21"/>
      <c r="G1816" s="1"/>
      <c r="H1816" s="11" t="str">
        <f t="shared" si="102"/>
        <v>0 г. 0 мес. 0 дн.</v>
      </c>
      <c r="I1816" s="20"/>
      <c r="J1816" s="20"/>
      <c r="O1816" s="20"/>
      <c r="V1816" s="1" t="str">
        <f t="shared" si="100"/>
        <v>0 г. 0 мес. 0 дн.</v>
      </c>
      <c r="W1816" s="69"/>
    </row>
    <row r="1817" spans="1:23" ht="35.1" customHeight="1" x14ac:dyDescent="0.25">
      <c r="A1817" s="1">
        <f t="shared" si="101"/>
        <v>1816</v>
      </c>
      <c r="B1817" s="1"/>
      <c r="C1817" s="39"/>
      <c r="D1817" s="21"/>
      <c r="G1817" s="1"/>
      <c r="H1817" s="11" t="str">
        <f t="shared" si="102"/>
        <v>0 г. 0 мес. 0 дн.</v>
      </c>
      <c r="I1817" s="20"/>
      <c r="J1817" s="20"/>
      <c r="O1817" s="20"/>
      <c r="V1817" s="1" t="str">
        <f t="shared" ref="V1817:V1880" si="103">DATEDIF(D1817,T1817,"y") &amp; " г. " &amp; DATEDIF(D1817,T1817,"ym") &amp; " мес. " &amp; DATEDIF(D1817,T1817,"md") &amp; " дн."</f>
        <v>0 г. 0 мес. 0 дн.</v>
      </c>
      <c r="W1817" s="69"/>
    </row>
    <row r="1818" spans="1:23" ht="35.1" customHeight="1" x14ac:dyDescent="0.25">
      <c r="A1818" s="1">
        <f t="shared" si="101"/>
        <v>1817</v>
      </c>
      <c r="B1818" s="1"/>
      <c r="C1818" s="39"/>
      <c r="D1818" s="21"/>
      <c r="G1818" s="1"/>
      <c r="H1818" s="11" t="str">
        <f t="shared" si="102"/>
        <v>0 г. 0 мес. 0 дн.</v>
      </c>
      <c r="I1818" s="20"/>
      <c r="J1818" s="20"/>
      <c r="O1818" s="20"/>
      <c r="V1818" s="1" t="str">
        <f t="shared" si="103"/>
        <v>0 г. 0 мес. 0 дн.</v>
      </c>
      <c r="W1818" s="69"/>
    </row>
    <row r="1819" spans="1:23" ht="35.1" customHeight="1" x14ac:dyDescent="0.25">
      <c r="A1819" s="1">
        <f t="shared" si="101"/>
        <v>1818</v>
      </c>
      <c r="B1819" s="1"/>
      <c r="C1819" s="39"/>
      <c r="D1819" s="21"/>
      <c r="G1819" s="1"/>
      <c r="H1819" s="11" t="str">
        <f t="shared" si="102"/>
        <v>0 г. 0 мес. 0 дн.</v>
      </c>
      <c r="I1819" s="20"/>
      <c r="J1819" s="20"/>
      <c r="O1819" s="20"/>
      <c r="V1819" s="1" t="str">
        <f t="shared" si="103"/>
        <v>0 г. 0 мес. 0 дн.</v>
      </c>
      <c r="W1819" s="69"/>
    </row>
    <row r="1820" spans="1:23" ht="35.1" customHeight="1" x14ac:dyDescent="0.25">
      <c r="A1820" s="1">
        <f t="shared" si="101"/>
        <v>1819</v>
      </c>
      <c r="B1820" s="1"/>
      <c r="C1820" s="39"/>
      <c r="D1820" s="21"/>
      <c r="G1820" s="1"/>
      <c r="H1820" s="11" t="str">
        <f t="shared" si="102"/>
        <v>0 г. 0 мес. 0 дн.</v>
      </c>
      <c r="I1820" s="20"/>
      <c r="J1820" s="20"/>
      <c r="O1820" s="20"/>
      <c r="V1820" s="1" t="str">
        <f t="shared" si="103"/>
        <v>0 г. 0 мес. 0 дн.</v>
      </c>
      <c r="W1820" s="69"/>
    </row>
    <row r="1821" spans="1:23" ht="35.1" customHeight="1" x14ac:dyDescent="0.25">
      <c r="A1821" s="1">
        <f t="shared" si="101"/>
        <v>1820</v>
      </c>
      <c r="B1821" s="1"/>
      <c r="C1821" s="39"/>
      <c r="D1821" s="21"/>
      <c r="G1821" s="1"/>
      <c r="H1821" s="11" t="str">
        <f t="shared" si="102"/>
        <v>0 г. 0 мес. 0 дн.</v>
      </c>
      <c r="I1821" s="20"/>
      <c r="J1821" s="20"/>
      <c r="O1821" s="20"/>
      <c r="V1821" s="1" t="str">
        <f t="shared" si="103"/>
        <v>0 г. 0 мес. 0 дн.</v>
      </c>
      <c r="W1821" s="69"/>
    </row>
    <row r="1822" spans="1:23" ht="35.1" customHeight="1" x14ac:dyDescent="0.25">
      <c r="A1822" s="1">
        <f t="shared" si="101"/>
        <v>1821</v>
      </c>
      <c r="B1822" s="1"/>
      <c r="C1822" s="39"/>
      <c r="D1822" s="21"/>
      <c r="G1822" s="1"/>
      <c r="H1822" s="11" t="str">
        <f t="shared" si="102"/>
        <v>0 г. 0 мес. 0 дн.</v>
      </c>
      <c r="I1822" s="20"/>
      <c r="J1822" s="20"/>
      <c r="O1822" s="20"/>
      <c r="V1822" s="1" t="str">
        <f t="shared" si="103"/>
        <v>0 г. 0 мес. 0 дн.</v>
      </c>
      <c r="W1822" s="69"/>
    </row>
    <row r="1823" spans="1:23" ht="35.1" customHeight="1" x14ac:dyDescent="0.25">
      <c r="A1823" s="1">
        <f t="shared" si="101"/>
        <v>1822</v>
      </c>
      <c r="B1823" s="1"/>
      <c r="C1823" s="39"/>
      <c r="D1823" s="21"/>
      <c r="G1823" s="1"/>
      <c r="H1823" s="11" t="str">
        <f t="shared" si="102"/>
        <v>0 г. 0 мес. 0 дн.</v>
      </c>
      <c r="I1823" s="20"/>
      <c r="J1823" s="20"/>
      <c r="O1823" s="20"/>
      <c r="V1823" s="1" t="str">
        <f t="shared" si="103"/>
        <v>0 г. 0 мес. 0 дн.</v>
      </c>
      <c r="W1823" s="69"/>
    </row>
    <row r="1824" spans="1:23" ht="35.1" customHeight="1" x14ac:dyDescent="0.25">
      <c r="A1824" s="1">
        <f t="shared" si="101"/>
        <v>1823</v>
      </c>
      <c r="B1824" s="1"/>
      <c r="C1824" s="39"/>
      <c r="D1824" s="21"/>
      <c r="G1824" s="1"/>
      <c r="H1824" s="11" t="str">
        <f t="shared" si="102"/>
        <v>0 г. 0 мес. 0 дн.</v>
      </c>
      <c r="I1824" s="20"/>
      <c r="J1824" s="20"/>
      <c r="O1824" s="20"/>
      <c r="V1824" s="1" t="str">
        <f t="shared" si="103"/>
        <v>0 г. 0 мес. 0 дн.</v>
      </c>
      <c r="W1824" s="69"/>
    </row>
    <row r="1825" spans="1:23" ht="35.1" customHeight="1" x14ac:dyDescent="0.25">
      <c r="A1825" s="1">
        <f t="shared" si="101"/>
        <v>1824</v>
      </c>
      <c r="B1825" s="1"/>
      <c r="C1825" s="39"/>
      <c r="D1825" s="21"/>
      <c r="G1825" s="1"/>
      <c r="H1825" s="11" t="str">
        <f t="shared" si="102"/>
        <v>0 г. 0 мес. 0 дн.</v>
      </c>
      <c r="I1825" s="20"/>
      <c r="J1825" s="20"/>
      <c r="O1825" s="20"/>
      <c r="V1825" s="1" t="str">
        <f t="shared" si="103"/>
        <v>0 г. 0 мес. 0 дн.</v>
      </c>
      <c r="W1825" s="69"/>
    </row>
    <row r="1826" spans="1:23" ht="35.1" customHeight="1" x14ac:dyDescent="0.25">
      <c r="A1826" s="1">
        <f t="shared" si="101"/>
        <v>1825</v>
      </c>
      <c r="B1826" s="1"/>
      <c r="C1826" s="39"/>
      <c r="D1826" s="21"/>
      <c r="G1826" s="1"/>
      <c r="H1826" s="11" t="str">
        <f t="shared" si="102"/>
        <v>0 г. 0 мес. 0 дн.</v>
      </c>
      <c r="I1826" s="20"/>
      <c r="J1826" s="20"/>
      <c r="O1826" s="20"/>
      <c r="V1826" s="1" t="str">
        <f t="shared" si="103"/>
        <v>0 г. 0 мес. 0 дн.</v>
      </c>
      <c r="W1826" s="69"/>
    </row>
    <row r="1827" spans="1:23" ht="35.1" customHeight="1" x14ac:dyDescent="0.25">
      <c r="A1827" s="1">
        <f t="shared" si="101"/>
        <v>1826</v>
      </c>
      <c r="B1827" s="1"/>
      <c r="C1827" s="39"/>
      <c r="D1827" s="21"/>
      <c r="G1827" s="1"/>
      <c r="H1827" s="11" t="str">
        <f t="shared" si="102"/>
        <v>0 г. 0 мес. 0 дн.</v>
      </c>
      <c r="I1827" s="20"/>
      <c r="J1827" s="20"/>
      <c r="O1827" s="20"/>
      <c r="V1827" s="1" t="str">
        <f t="shared" si="103"/>
        <v>0 г. 0 мес. 0 дн.</v>
      </c>
      <c r="W1827" s="69"/>
    </row>
    <row r="1828" spans="1:23" ht="35.1" customHeight="1" x14ac:dyDescent="0.25">
      <c r="A1828" s="1">
        <f t="shared" si="101"/>
        <v>1827</v>
      </c>
      <c r="B1828" s="1"/>
      <c r="C1828" s="39"/>
      <c r="D1828" s="21"/>
      <c r="G1828" s="1"/>
      <c r="H1828" s="11" t="str">
        <f t="shared" si="102"/>
        <v>0 г. 0 мес. 0 дн.</v>
      </c>
      <c r="I1828" s="20"/>
      <c r="J1828" s="20"/>
      <c r="O1828" s="20"/>
      <c r="V1828" s="1" t="str">
        <f t="shared" si="103"/>
        <v>0 г. 0 мес. 0 дн.</v>
      </c>
      <c r="W1828" s="69"/>
    </row>
    <row r="1829" spans="1:23" ht="35.1" customHeight="1" x14ac:dyDescent="0.25">
      <c r="A1829" s="1">
        <f t="shared" si="101"/>
        <v>1828</v>
      </c>
      <c r="B1829" s="1"/>
      <c r="C1829" s="39"/>
      <c r="D1829" s="21"/>
      <c r="G1829" s="1"/>
      <c r="H1829" s="11" t="str">
        <f t="shared" si="102"/>
        <v>0 г. 0 мес. 0 дн.</v>
      </c>
      <c r="I1829" s="20"/>
      <c r="J1829" s="20"/>
      <c r="O1829" s="20"/>
      <c r="V1829" s="1" t="str">
        <f t="shared" si="103"/>
        <v>0 г. 0 мес. 0 дн.</v>
      </c>
      <c r="W1829" s="69"/>
    </row>
    <row r="1830" spans="1:23" ht="35.1" customHeight="1" x14ac:dyDescent="0.25">
      <c r="A1830" s="1">
        <f t="shared" si="101"/>
        <v>1829</v>
      </c>
      <c r="B1830" s="1"/>
      <c r="C1830" s="39"/>
      <c r="D1830" s="21"/>
      <c r="G1830" s="1"/>
      <c r="H1830" s="11" t="str">
        <f t="shared" si="102"/>
        <v>0 г. 0 мес. 0 дн.</v>
      </c>
      <c r="I1830" s="20"/>
      <c r="J1830" s="20"/>
      <c r="O1830" s="20"/>
      <c r="V1830" s="1" t="str">
        <f t="shared" si="103"/>
        <v>0 г. 0 мес. 0 дн.</v>
      </c>
      <c r="W1830" s="69"/>
    </row>
    <row r="1831" spans="1:23" ht="35.1" customHeight="1" x14ac:dyDescent="0.25">
      <c r="A1831" s="1">
        <f t="shared" si="101"/>
        <v>1830</v>
      </c>
      <c r="B1831" s="1"/>
      <c r="C1831" s="39"/>
      <c r="D1831" s="21"/>
      <c r="G1831" s="1"/>
      <c r="H1831" s="11" t="str">
        <f t="shared" si="102"/>
        <v>0 г. 0 мес. 0 дн.</v>
      </c>
      <c r="I1831" s="20"/>
      <c r="J1831" s="20"/>
      <c r="O1831" s="20"/>
      <c r="V1831" s="1" t="str">
        <f t="shared" si="103"/>
        <v>0 г. 0 мес. 0 дн.</v>
      </c>
      <c r="W1831" s="69"/>
    </row>
    <row r="1832" spans="1:23" ht="35.1" customHeight="1" x14ac:dyDescent="0.25">
      <c r="A1832" s="1">
        <f t="shared" si="101"/>
        <v>1831</v>
      </c>
      <c r="B1832" s="1"/>
      <c r="C1832" s="39"/>
      <c r="D1832" s="21"/>
      <c r="G1832" s="1"/>
      <c r="H1832" s="11" t="str">
        <f t="shared" si="102"/>
        <v>0 г. 0 мес. 0 дн.</v>
      </c>
      <c r="I1832" s="20"/>
      <c r="J1832" s="20"/>
      <c r="O1832" s="20"/>
      <c r="V1832" s="1" t="str">
        <f t="shared" si="103"/>
        <v>0 г. 0 мес. 0 дн.</v>
      </c>
      <c r="W1832" s="69"/>
    </row>
    <row r="1833" spans="1:23" ht="35.1" customHeight="1" x14ac:dyDescent="0.25">
      <c r="A1833" s="1">
        <f t="shared" si="101"/>
        <v>1832</v>
      </c>
      <c r="B1833" s="1"/>
      <c r="C1833" s="39"/>
      <c r="D1833" s="21"/>
      <c r="G1833" s="1"/>
      <c r="H1833" s="11" t="str">
        <f t="shared" si="102"/>
        <v>0 г. 0 мес. 0 дн.</v>
      </c>
      <c r="I1833" s="20"/>
      <c r="J1833" s="20"/>
      <c r="O1833" s="20"/>
      <c r="V1833" s="1" t="str">
        <f t="shared" si="103"/>
        <v>0 г. 0 мес. 0 дн.</v>
      </c>
      <c r="W1833" s="69"/>
    </row>
    <row r="1834" spans="1:23" ht="35.1" customHeight="1" x14ac:dyDescent="0.25">
      <c r="A1834" s="1">
        <f t="shared" si="101"/>
        <v>1833</v>
      </c>
      <c r="B1834" s="1"/>
      <c r="C1834" s="39"/>
      <c r="D1834" s="21"/>
      <c r="G1834" s="1"/>
      <c r="H1834" s="11" t="str">
        <f t="shared" si="102"/>
        <v>0 г. 0 мес. 0 дн.</v>
      </c>
      <c r="I1834" s="20"/>
      <c r="J1834" s="20"/>
      <c r="O1834" s="20"/>
      <c r="V1834" s="1" t="str">
        <f t="shared" si="103"/>
        <v>0 г. 0 мес. 0 дн.</v>
      </c>
      <c r="W1834" s="69"/>
    </row>
    <row r="1835" spans="1:23" ht="35.1" customHeight="1" x14ac:dyDescent="0.25">
      <c r="A1835" s="1">
        <f t="shared" si="101"/>
        <v>1834</v>
      </c>
      <c r="B1835" s="1"/>
      <c r="C1835" s="39"/>
      <c r="D1835" s="21"/>
      <c r="G1835" s="1"/>
      <c r="H1835" s="11" t="str">
        <f t="shared" si="102"/>
        <v>0 г. 0 мес. 0 дн.</v>
      </c>
      <c r="I1835" s="20"/>
      <c r="J1835" s="20"/>
      <c r="O1835" s="20"/>
      <c r="V1835" s="1" t="str">
        <f t="shared" si="103"/>
        <v>0 г. 0 мес. 0 дн.</v>
      </c>
      <c r="W1835" s="69"/>
    </row>
    <row r="1836" spans="1:23" ht="35.1" customHeight="1" x14ac:dyDescent="0.25">
      <c r="A1836" s="1">
        <f t="shared" si="101"/>
        <v>1835</v>
      </c>
      <c r="B1836" s="1"/>
      <c r="C1836" s="39"/>
      <c r="D1836" s="21"/>
      <c r="G1836" s="1"/>
      <c r="H1836" s="11" t="str">
        <f t="shared" si="102"/>
        <v>0 г. 0 мес. 0 дн.</v>
      </c>
      <c r="I1836" s="20"/>
      <c r="J1836" s="20"/>
      <c r="O1836" s="20"/>
      <c r="V1836" s="1" t="str">
        <f t="shared" si="103"/>
        <v>0 г. 0 мес. 0 дн.</v>
      </c>
      <c r="W1836" s="69"/>
    </row>
    <row r="1837" spans="1:23" ht="35.1" customHeight="1" x14ac:dyDescent="0.25">
      <c r="A1837" s="1">
        <f t="shared" si="101"/>
        <v>1836</v>
      </c>
      <c r="B1837" s="1"/>
      <c r="C1837" s="39"/>
      <c r="D1837" s="21"/>
      <c r="G1837" s="1"/>
      <c r="H1837" s="11" t="str">
        <f t="shared" si="102"/>
        <v>0 г. 0 мес. 0 дн.</v>
      </c>
      <c r="I1837" s="20"/>
      <c r="J1837" s="20"/>
      <c r="O1837" s="20"/>
      <c r="V1837" s="1" t="str">
        <f t="shared" si="103"/>
        <v>0 г. 0 мес. 0 дн.</v>
      </c>
      <c r="W1837" s="69"/>
    </row>
    <row r="1838" spans="1:23" ht="35.1" customHeight="1" x14ac:dyDescent="0.25">
      <c r="A1838" s="1">
        <f t="shared" si="101"/>
        <v>1837</v>
      </c>
      <c r="B1838" s="1"/>
      <c r="C1838" s="39"/>
      <c r="D1838" s="21"/>
      <c r="G1838" s="1"/>
      <c r="H1838" s="11" t="str">
        <f t="shared" si="102"/>
        <v>0 г. 0 мес. 0 дн.</v>
      </c>
      <c r="I1838" s="20"/>
      <c r="J1838" s="20"/>
      <c r="O1838" s="20"/>
      <c r="V1838" s="1" t="str">
        <f t="shared" si="103"/>
        <v>0 г. 0 мес. 0 дн.</v>
      </c>
      <c r="W1838" s="69"/>
    </row>
    <row r="1839" spans="1:23" ht="35.1" customHeight="1" x14ac:dyDescent="0.25">
      <c r="A1839" s="1">
        <f t="shared" si="101"/>
        <v>1838</v>
      </c>
      <c r="B1839" s="1"/>
      <c r="C1839" s="39"/>
      <c r="D1839" s="21"/>
      <c r="G1839" s="1"/>
      <c r="H1839" s="11" t="str">
        <f t="shared" si="102"/>
        <v>0 г. 0 мес. 0 дн.</v>
      </c>
      <c r="I1839" s="20"/>
      <c r="J1839" s="20"/>
      <c r="O1839" s="20"/>
      <c r="V1839" s="1" t="str">
        <f t="shared" si="103"/>
        <v>0 г. 0 мес. 0 дн.</v>
      </c>
      <c r="W1839" s="69"/>
    </row>
    <row r="1840" spans="1:23" ht="35.1" customHeight="1" x14ac:dyDescent="0.25">
      <c r="A1840" s="1">
        <f t="shared" si="101"/>
        <v>1839</v>
      </c>
      <c r="B1840" s="1"/>
      <c r="C1840" s="39"/>
      <c r="D1840" s="21"/>
      <c r="G1840" s="1"/>
      <c r="H1840" s="11" t="str">
        <f t="shared" si="102"/>
        <v>0 г. 0 мес. 0 дн.</v>
      </c>
      <c r="I1840" s="20"/>
      <c r="J1840" s="20"/>
      <c r="O1840" s="20"/>
      <c r="V1840" s="1" t="str">
        <f t="shared" si="103"/>
        <v>0 г. 0 мес. 0 дн.</v>
      </c>
      <c r="W1840" s="69"/>
    </row>
    <row r="1841" spans="1:23" ht="35.1" customHeight="1" x14ac:dyDescent="0.25">
      <c r="A1841" s="1">
        <f t="shared" si="101"/>
        <v>1840</v>
      </c>
      <c r="B1841" s="1"/>
      <c r="C1841" s="39"/>
      <c r="D1841" s="21"/>
      <c r="G1841" s="1"/>
      <c r="H1841" s="11" t="str">
        <f t="shared" si="102"/>
        <v>0 г. 0 мес. 0 дн.</v>
      </c>
      <c r="I1841" s="20"/>
      <c r="J1841" s="20"/>
      <c r="O1841" s="20"/>
      <c r="V1841" s="1" t="str">
        <f t="shared" si="103"/>
        <v>0 г. 0 мес. 0 дн.</v>
      </c>
      <c r="W1841" s="69"/>
    </row>
    <row r="1842" spans="1:23" ht="35.1" customHeight="1" x14ac:dyDescent="0.25">
      <c r="A1842" s="1">
        <f t="shared" si="101"/>
        <v>1841</v>
      </c>
      <c r="B1842" s="1"/>
      <c r="C1842" s="39"/>
      <c r="D1842" s="21"/>
      <c r="G1842" s="1"/>
      <c r="H1842" s="11" t="str">
        <f t="shared" si="102"/>
        <v>0 г. 0 мес. 0 дн.</v>
      </c>
      <c r="I1842" s="20"/>
      <c r="J1842" s="20"/>
      <c r="O1842" s="20"/>
      <c r="V1842" s="1" t="str">
        <f t="shared" si="103"/>
        <v>0 г. 0 мес. 0 дн.</v>
      </c>
      <c r="W1842" s="69"/>
    </row>
    <row r="1843" spans="1:23" ht="35.1" customHeight="1" x14ac:dyDescent="0.25">
      <c r="A1843" s="1">
        <f t="shared" si="101"/>
        <v>1842</v>
      </c>
      <c r="B1843" s="1"/>
      <c r="C1843" s="39"/>
      <c r="D1843" s="21"/>
      <c r="G1843" s="1"/>
      <c r="H1843" s="11" t="str">
        <f t="shared" si="102"/>
        <v>0 г. 0 мес. 0 дн.</v>
      </c>
      <c r="I1843" s="20"/>
      <c r="J1843" s="20"/>
      <c r="O1843" s="20"/>
      <c r="V1843" s="1" t="str">
        <f t="shared" si="103"/>
        <v>0 г. 0 мес. 0 дн.</v>
      </c>
      <c r="W1843" s="69"/>
    </row>
    <row r="1844" spans="1:23" ht="35.1" customHeight="1" x14ac:dyDescent="0.25">
      <c r="A1844" s="1">
        <f t="shared" si="101"/>
        <v>1843</v>
      </c>
      <c r="B1844" s="1"/>
      <c r="C1844" s="39"/>
      <c r="D1844" s="21"/>
      <c r="G1844" s="1"/>
      <c r="H1844" s="11" t="str">
        <f t="shared" si="102"/>
        <v>0 г. 0 мес. 0 дн.</v>
      </c>
      <c r="I1844" s="20"/>
      <c r="J1844" s="20"/>
      <c r="O1844" s="20"/>
      <c r="V1844" s="1" t="str">
        <f t="shared" si="103"/>
        <v>0 г. 0 мес. 0 дн.</v>
      </c>
      <c r="W1844" s="69"/>
    </row>
    <row r="1845" spans="1:23" ht="35.1" customHeight="1" x14ac:dyDescent="0.25">
      <c r="A1845" s="1">
        <f t="shared" si="101"/>
        <v>1844</v>
      </c>
      <c r="B1845" s="1"/>
      <c r="C1845" s="39"/>
      <c r="D1845" s="21"/>
      <c r="G1845" s="1"/>
      <c r="H1845" s="11" t="str">
        <f t="shared" si="102"/>
        <v>0 г. 0 мес. 0 дн.</v>
      </c>
      <c r="I1845" s="20"/>
      <c r="J1845" s="20"/>
      <c r="O1845" s="20"/>
      <c r="V1845" s="1" t="str">
        <f t="shared" si="103"/>
        <v>0 г. 0 мес. 0 дн.</v>
      </c>
      <c r="W1845" s="69"/>
    </row>
    <row r="1846" spans="1:23" ht="35.1" customHeight="1" x14ac:dyDescent="0.25">
      <c r="A1846" s="1">
        <f t="shared" si="101"/>
        <v>1845</v>
      </c>
      <c r="B1846" s="1"/>
      <c r="C1846" s="39"/>
      <c r="D1846" s="21"/>
      <c r="G1846" s="1"/>
      <c r="H1846" s="11" t="str">
        <f t="shared" si="102"/>
        <v>0 г. 0 мес. 0 дн.</v>
      </c>
      <c r="I1846" s="20"/>
      <c r="J1846" s="20"/>
      <c r="O1846" s="20"/>
      <c r="V1846" s="1" t="str">
        <f t="shared" si="103"/>
        <v>0 г. 0 мес. 0 дн.</v>
      </c>
      <c r="W1846" s="69"/>
    </row>
    <row r="1847" spans="1:23" ht="35.1" customHeight="1" x14ac:dyDescent="0.25">
      <c r="A1847" s="1">
        <f t="shared" si="101"/>
        <v>1846</v>
      </c>
      <c r="B1847" s="1"/>
      <c r="C1847" s="39"/>
      <c r="D1847" s="21"/>
      <c r="G1847" s="1"/>
      <c r="H1847" s="11" t="str">
        <f t="shared" si="102"/>
        <v>0 г. 0 мес. 0 дн.</v>
      </c>
      <c r="I1847" s="20"/>
      <c r="J1847" s="20"/>
      <c r="O1847" s="20"/>
      <c r="V1847" s="1" t="str">
        <f t="shared" si="103"/>
        <v>0 г. 0 мес. 0 дн.</v>
      </c>
      <c r="W1847" s="69"/>
    </row>
    <row r="1848" spans="1:23" ht="35.1" customHeight="1" x14ac:dyDescent="0.25">
      <c r="A1848" s="1">
        <f t="shared" si="101"/>
        <v>1847</v>
      </c>
      <c r="B1848" s="1"/>
      <c r="C1848" s="39"/>
      <c r="D1848" s="21"/>
      <c r="G1848" s="1"/>
      <c r="H1848" s="11" t="str">
        <f t="shared" si="102"/>
        <v>0 г. 0 мес. 0 дн.</v>
      </c>
      <c r="I1848" s="20"/>
      <c r="J1848" s="20"/>
      <c r="O1848" s="20"/>
      <c r="V1848" s="1" t="str">
        <f t="shared" si="103"/>
        <v>0 г. 0 мес. 0 дн.</v>
      </c>
      <c r="W1848" s="69"/>
    </row>
    <row r="1849" spans="1:23" ht="35.1" customHeight="1" x14ac:dyDescent="0.25">
      <c r="A1849" s="1">
        <f t="shared" si="101"/>
        <v>1848</v>
      </c>
      <c r="B1849" s="1"/>
      <c r="C1849" s="39"/>
      <c r="D1849" s="21"/>
      <c r="G1849" s="1"/>
      <c r="H1849" s="11" t="str">
        <f t="shared" si="102"/>
        <v>0 г. 0 мес. 0 дн.</v>
      </c>
      <c r="I1849" s="20"/>
      <c r="J1849" s="20"/>
      <c r="O1849" s="20"/>
      <c r="V1849" s="1" t="str">
        <f t="shared" si="103"/>
        <v>0 г. 0 мес. 0 дн.</v>
      </c>
      <c r="W1849" s="69"/>
    </row>
    <row r="1850" spans="1:23" ht="35.1" customHeight="1" x14ac:dyDescent="0.25">
      <c r="A1850" s="1">
        <f t="shared" si="101"/>
        <v>1849</v>
      </c>
      <c r="B1850" s="1"/>
      <c r="C1850" s="39"/>
      <c r="D1850" s="21"/>
      <c r="G1850" s="1"/>
      <c r="H1850" s="11" t="str">
        <f t="shared" si="102"/>
        <v>0 г. 0 мес. 0 дн.</v>
      </c>
      <c r="I1850" s="20"/>
      <c r="J1850" s="20"/>
      <c r="O1850" s="20"/>
      <c r="V1850" s="1" t="str">
        <f t="shared" si="103"/>
        <v>0 г. 0 мес. 0 дн.</v>
      </c>
      <c r="W1850" s="69"/>
    </row>
    <row r="1851" spans="1:23" ht="35.1" customHeight="1" x14ac:dyDescent="0.25">
      <c r="A1851" s="1">
        <f t="shared" si="101"/>
        <v>1850</v>
      </c>
      <c r="B1851" s="1"/>
      <c r="C1851" s="39"/>
      <c r="D1851" s="21"/>
      <c r="G1851" s="1"/>
      <c r="H1851" s="11" t="str">
        <f t="shared" si="102"/>
        <v>0 г. 0 мес. 0 дн.</v>
      </c>
      <c r="I1851" s="20"/>
      <c r="J1851" s="20"/>
      <c r="O1851" s="20"/>
      <c r="V1851" s="1" t="str">
        <f t="shared" si="103"/>
        <v>0 г. 0 мес. 0 дн.</v>
      </c>
      <c r="W1851" s="69"/>
    </row>
    <row r="1852" spans="1:23" ht="35.1" customHeight="1" x14ac:dyDescent="0.25">
      <c r="A1852" s="1">
        <f t="shared" si="101"/>
        <v>1851</v>
      </c>
      <c r="B1852" s="1"/>
      <c r="C1852" s="39"/>
      <c r="D1852" s="21"/>
      <c r="G1852" s="1"/>
      <c r="H1852" s="11" t="str">
        <f t="shared" si="102"/>
        <v>0 г. 0 мес. 0 дн.</v>
      </c>
      <c r="I1852" s="20"/>
      <c r="J1852" s="20"/>
      <c r="O1852" s="20"/>
      <c r="V1852" s="1" t="str">
        <f t="shared" si="103"/>
        <v>0 г. 0 мес. 0 дн.</v>
      </c>
      <c r="W1852" s="69"/>
    </row>
    <row r="1853" spans="1:23" ht="35.1" customHeight="1" x14ac:dyDescent="0.25">
      <c r="A1853" s="1">
        <f t="shared" si="101"/>
        <v>1852</v>
      </c>
      <c r="B1853" s="1"/>
      <c r="C1853" s="39"/>
      <c r="D1853" s="21"/>
      <c r="G1853" s="1"/>
      <c r="H1853" s="11" t="str">
        <f t="shared" si="102"/>
        <v>0 г. 0 мес. 0 дн.</v>
      </c>
      <c r="I1853" s="20"/>
      <c r="J1853" s="20"/>
      <c r="O1853" s="20"/>
      <c r="V1853" s="1" t="str">
        <f t="shared" si="103"/>
        <v>0 г. 0 мес. 0 дн.</v>
      </c>
      <c r="W1853" s="69"/>
    </row>
    <row r="1854" spans="1:23" ht="35.1" customHeight="1" x14ac:dyDescent="0.25">
      <c r="A1854" s="1">
        <f t="shared" si="101"/>
        <v>1853</v>
      </c>
      <c r="B1854" s="1"/>
      <c r="C1854" s="39"/>
      <c r="D1854" s="21"/>
      <c r="G1854" s="1"/>
      <c r="H1854" s="11" t="str">
        <f t="shared" si="102"/>
        <v>0 г. 0 мес. 0 дн.</v>
      </c>
      <c r="I1854" s="20"/>
      <c r="J1854" s="20"/>
      <c r="O1854" s="20"/>
      <c r="V1854" s="1" t="str">
        <f t="shared" si="103"/>
        <v>0 г. 0 мес. 0 дн.</v>
      </c>
      <c r="W1854" s="69"/>
    </row>
    <row r="1855" spans="1:23" ht="35.1" customHeight="1" x14ac:dyDescent="0.25">
      <c r="A1855" s="1">
        <f t="shared" si="101"/>
        <v>1854</v>
      </c>
      <c r="B1855" s="1"/>
      <c r="C1855" s="39"/>
      <c r="D1855" s="21"/>
      <c r="G1855" s="1"/>
      <c r="H1855" s="11" t="str">
        <f t="shared" si="102"/>
        <v>0 г. 0 мес. 0 дн.</v>
      </c>
      <c r="I1855" s="20"/>
      <c r="J1855" s="20"/>
      <c r="O1855" s="20"/>
      <c r="V1855" s="1" t="str">
        <f t="shared" si="103"/>
        <v>0 г. 0 мес. 0 дн.</v>
      </c>
      <c r="W1855" s="69"/>
    </row>
    <row r="1856" spans="1:23" ht="35.1" customHeight="1" x14ac:dyDescent="0.25">
      <c r="A1856" s="1">
        <f t="shared" si="101"/>
        <v>1855</v>
      </c>
      <c r="B1856" s="1"/>
      <c r="C1856" s="39"/>
      <c r="D1856" s="21"/>
      <c r="G1856" s="1"/>
      <c r="H1856" s="11" t="str">
        <f t="shared" si="102"/>
        <v>0 г. 0 мес. 0 дн.</v>
      </c>
      <c r="I1856" s="20"/>
      <c r="J1856" s="20"/>
      <c r="O1856" s="20"/>
      <c r="V1856" s="1" t="str">
        <f t="shared" si="103"/>
        <v>0 г. 0 мес. 0 дн.</v>
      </c>
      <c r="W1856" s="69"/>
    </row>
    <row r="1857" spans="1:23" ht="35.1" customHeight="1" x14ac:dyDescent="0.25">
      <c r="A1857" s="1">
        <f t="shared" ref="A1857:A1920" si="104">ROW(A1856)</f>
        <v>1856</v>
      </c>
      <c r="B1857" s="1"/>
      <c r="C1857" s="39"/>
      <c r="D1857" s="21"/>
      <c r="G1857" s="1"/>
      <c r="H1857" s="11" t="str">
        <f t="shared" ref="H1857:H1920" si="105">DATEDIF(G1857,D1857,"y") &amp; " г. " &amp; DATEDIF(G1857,D1857,"ym") &amp; " мес. " &amp; DATEDIF(G1857,D1857,"md") &amp; " дн."</f>
        <v>0 г. 0 мес. 0 дн.</v>
      </c>
      <c r="I1857" s="20"/>
      <c r="J1857" s="20"/>
      <c r="O1857" s="20"/>
      <c r="V1857" s="1" t="str">
        <f t="shared" si="103"/>
        <v>0 г. 0 мес. 0 дн.</v>
      </c>
      <c r="W1857" s="69"/>
    </row>
    <row r="1858" spans="1:23" ht="35.1" customHeight="1" x14ac:dyDescent="0.25">
      <c r="A1858" s="1">
        <f t="shared" si="104"/>
        <v>1857</v>
      </c>
      <c r="B1858" s="1"/>
      <c r="C1858" s="39"/>
      <c r="D1858" s="21"/>
      <c r="G1858" s="1"/>
      <c r="H1858" s="11" t="str">
        <f t="shared" si="105"/>
        <v>0 г. 0 мес. 0 дн.</v>
      </c>
      <c r="I1858" s="20"/>
      <c r="J1858" s="20"/>
      <c r="O1858" s="20"/>
      <c r="V1858" s="1" t="str">
        <f t="shared" si="103"/>
        <v>0 г. 0 мес. 0 дн.</v>
      </c>
      <c r="W1858" s="69"/>
    </row>
    <row r="1859" spans="1:23" ht="35.1" customHeight="1" x14ac:dyDescent="0.25">
      <c r="A1859" s="1">
        <f t="shared" si="104"/>
        <v>1858</v>
      </c>
      <c r="B1859" s="1"/>
      <c r="C1859" s="39"/>
      <c r="D1859" s="21"/>
      <c r="G1859" s="1"/>
      <c r="H1859" s="11" t="str">
        <f t="shared" si="105"/>
        <v>0 г. 0 мес. 0 дн.</v>
      </c>
      <c r="I1859" s="20"/>
      <c r="J1859" s="20"/>
      <c r="O1859" s="20"/>
      <c r="V1859" s="1" t="str">
        <f t="shared" si="103"/>
        <v>0 г. 0 мес. 0 дн.</v>
      </c>
      <c r="W1859" s="69"/>
    </row>
    <row r="1860" spans="1:23" ht="35.1" customHeight="1" x14ac:dyDescent="0.25">
      <c r="A1860" s="1">
        <f t="shared" si="104"/>
        <v>1859</v>
      </c>
      <c r="B1860" s="1"/>
      <c r="C1860" s="39"/>
      <c r="D1860" s="21"/>
      <c r="G1860" s="1"/>
      <c r="H1860" s="11" t="str">
        <f t="shared" si="105"/>
        <v>0 г. 0 мес. 0 дн.</v>
      </c>
      <c r="I1860" s="20"/>
      <c r="J1860" s="20"/>
      <c r="O1860" s="20"/>
      <c r="V1860" s="1" t="str">
        <f t="shared" si="103"/>
        <v>0 г. 0 мес. 0 дн.</v>
      </c>
      <c r="W1860" s="69"/>
    </row>
    <row r="1861" spans="1:23" ht="35.1" customHeight="1" x14ac:dyDescent="0.25">
      <c r="A1861" s="1">
        <f t="shared" si="104"/>
        <v>1860</v>
      </c>
      <c r="B1861" s="1"/>
      <c r="C1861" s="39"/>
      <c r="D1861" s="21"/>
      <c r="G1861" s="1"/>
      <c r="H1861" s="11" t="str">
        <f t="shared" si="105"/>
        <v>0 г. 0 мес. 0 дн.</v>
      </c>
      <c r="I1861" s="20"/>
      <c r="J1861" s="20"/>
      <c r="O1861" s="20"/>
      <c r="V1861" s="1" t="str">
        <f t="shared" si="103"/>
        <v>0 г. 0 мес. 0 дн.</v>
      </c>
      <c r="W1861" s="69"/>
    </row>
    <row r="1862" spans="1:23" ht="35.1" customHeight="1" x14ac:dyDescent="0.25">
      <c r="A1862" s="1">
        <f t="shared" si="104"/>
        <v>1861</v>
      </c>
      <c r="B1862" s="1"/>
      <c r="C1862" s="39"/>
      <c r="D1862" s="21"/>
      <c r="G1862" s="1"/>
      <c r="H1862" s="11" t="str">
        <f t="shared" si="105"/>
        <v>0 г. 0 мес. 0 дн.</v>
      </c>
      <c r="I1862" s="20"/>
      <c r="J1862" s="20"/>
      <c r="O1862" s="20"/>
      <c r="V1862" s="1" t="str">
        <f t="shared" si="103"/>
        <v>0 г. 0 мес. 0 дн.</v>
      </c>
      <c r="W1862" s="69"/>
    </row>
    <row r="1863" spans="1:23" ht="35.1" customHeight="1" x14ac:dyDescent="0.25">
      <c r="A1863" s="1">
        <f t="shared" si="104"/>
        <v>1862</v>
      </c>
      <c r="B1863" s="1"/>
      <c r="C1863" s="39"/>
      <c r="D1863" s="21"/>
      <c r="G1863" s="1"/>
      <c r="H1863" s="11" t="str">
        <f t="shared" si="105"/>
        <v>0 г. 0 мес. 0 дн.</v>
      </c>
      <c r="I1863" s="20"/>
      <c r="J1863" s="20"/>
      <c r="O1863" s="20"/>
      <c r="V1863" s="1" t="str">
        <f t="shared" si="103"/>
        <v>0 г. 0 мес. 0 дн.</v>
      </c>
      <c r="W1863" s="69"/>
    </row>
    <row r="1864" spans="1:23" ht="35.1" customHeight="1" x14ac:dyDescent="0.25">
      <c r="A1864" s="1">
        <f t="shared" si="104"/>
        <v>1863</v>
      </c>
      <c r="B1864" s="1"/>
      <c r="C1864" s="39"/>
      <c r="D1864" s="21"/>
      <c r="G1864" s="1"/>
      <c r="H1864" s="11" t="str">
        <f t="shared" si="105"/>
        <v>0 г. 0 мес. 0 дн.</v>
      </c>
      <c r="I1864" s="20"/>
      <c r="J1864" s="20"/>
      <c r="O1864" s="20"/>
      <c r="V1864" s="1" t="str">
        <f t="shared" si="103"/>
        <v>0 г. 0 мес. 0 дн.</v>
      </c>
      <c r="W1864" s="69"/>
    </row>
    <row r="1865" spans="1:23" ht="35.1" customHeight="1" x14ac:dyDescent="0.25">
      <c r="A1865" s="1">
        <f t="shared" si="104"/>
        <v>1864</v>
      </c>
      <c r="B1865" s="1"/>
      <c r="C1865" s="39"/>
      <c r="D1865" s="21"/>
      <c r="G1865" s="1"/>
      <c r="H1865" s="11" t="str">
        <f t="shared" si="105"/>
        <v>0 г. 0 мес. 0 дн.</v>
      </c>
      <c r="I1865" s="20"/>
      <c r="J1865" s="20"/>
      <c r="O1865" s="20"/>
      <c r="V1865" s="1" t="str">
        <f t="shared" si="103"/>
        <v>0 г. 0 мес. 0 дн.</v>
      </c>
      <c r="W1865" s="69"/>
    </row>
    <row r="1866" spans="1:23" ht="35.1" customHeight="1" x14ac:dyDescent="0.25">
      <c r="A1866" s="1">
        <f t="shared" si="104"/>
        <v>1865</v>
      </c>
      <c r="B1866" s="1"/>
      <c r="C1866" s="39"/>
      <c r="D1866" s="21"/>
      <c r="G1866" s="1"/>
      <c r="H1866" s="11" t="str">
        <f t="shared" si="105"/>
        <v>0 г. 0 мес. 0 дн.</v>
      </c>
      <c r="I1866" s="20"/>
      <c r="J1866" s="20"/>
      <c r="O1866" s="20"/>
      <c r="V1866" s="1" t="str">
        <f t="shared" si="103"/>
        <v>0 г. 0 мес. 0 дн.</v>
      </c>
      <c r="W1866" s="69"/>
    </row>
    <row r="1867" spans="1:23" ht="35.1" customHeight="1" x14ac:dyDescent="0.25">
      <c r="A1867" s="1">
        <f t="shared" si="104"/>
        <v>1866</v>
      </c>
      <c r="B1867" s="1"/>
      <c r="C1867" s="39"/>
      <c r="D1867" s="21"/>
      <c r="G1867" s="1"/>
      <c r="H1867" s="11" t="str">
        <f t="shared" si="105"/>
        <v>0 г. 0 мес. 0 дн.</v>
      </c>
      <c r="I1867" s="20"/>
      <c r="J1867" s="20"/>
      <c r="O1867" s="20"/>
      <c r="V1867" s="1" t="str">
        <f t="shared" si="103"/>
        <v>0 г. 0 мес. 0 дн.</v>
      </c>
      <c r="W1867" s="69"/>
    </row>
    <row r="1868" spans="1:23" ht="35.1" customHeight="1" x14ac:dyDescent="0.25">
      <c r="A1868" s="1">
        <f t="shared" si="104"/>
        <v>1867</v>
      </c>
      <c r="B1868" s="1"/>
      <c r="C1868" s="39"/>
      <c r="D1868" s="21"/>
      <c r="G1868" s="1"/>
      <c r="H1868" s="11" t="str">
        <f t="shared" si="105"/>
        <v>0 г. 0 мес. 0 дн.</v>
      </c>
      <c r="I1868" s="20"/>
      <c r="J1868" s="20"/>
      <c r="O1868" s="20"/>
      <c r="V1868" s="1" t="str">
        <f t="shared" si="103"/>
        <v>0 г. 0 мес. 0 дн.</v>
      </c>
      <c r="W1868" s="69"/>
    </row>
    <row r="1869" spans="1:23" ht="35.1" customHeight="1" x14ac:dyDescent="0.25">
      <c r="A1869" s="1">
        <f t="shared" si="104"/>
        <v>1868</v>
      </c>
      <c r="B1869" s="1"/>
      <c r="C1869" s="39"/>
      <c r="D1869" s="21"/>
      <c r="G1869" s="1"/>
      <c r="H1869" s="11" t="str">
        <f t="shared" si="105"/>
        <v>0 г. 0 мес. 0 дн.</v>
      </c>
      <c r="I1869" s="20"/>
      <c r="J1869" s="20"/>
      <c r="O1869" s="20"/>
      <c r="V1869" s="1" t="str">
        <f t="shared" si="103"/>
        <v>0 г. 0 мес. 0 дн.</v>
      </c>
      <c r="W1869" s="69"/>
    </row>
    <row r="1870" spans="1:23" ht="35.1" customHeight="1" x14ac:dyDescent="0.25">
      <c r="A1870" s="1">
        <f t="shared" si="104"/>
        <v>1869</v>
      </c>
      <c r="B1870" s="1"/>
      <c r="C1870" s="39"/>
      <c r="D1870" s="21"/>
      <c r="G1870" s="1"/>
      <c r="H1870" s="11" t="str">
        <f t="shared" si="105"/>
        <v>0 г. 0 мес. 0 дн.</v>
      </c>
      <c r="I1870" s="20"/>
      <c r="J1870" s="20"/>
      <c r="O1870" s="20"/>
      <c r="V1870" s="1" t="str">
        <f t="shared" si="103"/>
        <v>0 г. 0 мес. 0 дн.</v>
      </c>
      <c r="W1870" s="69"/>
    </row>
    <row r="1871" spans="1:23" ht="35.1" customHeight="1" x14ac:dyDescent="0.25">
      <c r="A1871" s="1">
        <f t="shared" si="104"/>
        <v>1870</v>
      </c>
      <c r="B1871" s="1"/>
      <c r="C1871" s="39"/>
      <c r="D1871" s="21"/>
      <c r="G1871" s="1"/>
      <c r="H1871" s="11" t="str">
        <f t="shared" si="105"/>
        <v>0 г. 0 мес. 0 дн.</v>
      </c>
      <c r="I1871" s="20"/>
      <c r="J1871" s="20"/>
      <c r="O1871" s="20"/>
      <c r="V1871" s="1" t="str">
        <f t="shared" si="103"/>
        <v>0 г. 0 мес. 0 дн.</v>
      </c>
      <c r="W1871" s="69"/>
    </row>
    <row r="1872" spans="1:23" ht="35.1" customHeight="1" x14ac:dyDescent="0.25">
      <c r="A1872" s="1">
        <f t="shared" si="104"/>
        <v>1871</v>
      </c>
      <c r="B1872" s="1"/>
      <c r="C1872" s="39"/>
      <c r="D1872" s="21"/>
      <c r="G1872" s="1"/>
      <c r="H1872" s="11" t="str">
        <f t="shared" si="105"/>
        <v>0 г. 0 мес. 0 дн.</v>
      </c>
      <c r="I1872" s="20"/>
      <c r="J1872" s="20"/>
      <c r="O1872" s="20"/>
      <c r="V1872" s="1" t="str">
        <f t="shared" si="103"/>
        <v>0 г. 0 мес. 0 дн.</v>
      </c>
      <c r="W1872" s="69"/>
    </row>
    <row r="1873" spans="1:23" ht="35.1" customHeight="1" x14ac:dyDescent="0.25">
      <c r="A1873" s="1">
        <f t="shared" si="104"/>
        <v>1872</v>
      </c>
      <c r="B1873" s="1"/>
      <c r="C1873" s="39"/>
      <c r="D1873" s="21"/>
      <c r="G1873" s="1"/>
      <c r="H1873" s="11" t="str">
        <f t="shared" si="105"/>
        <v>0 г. 0 мес. 0 дн.</v>
      </c>
      <c r="I1873" s="20"/>
      <c r="J1873" s="20"/>
      <c r="O1873" s="20"/>
      <c r="V1873" s="1" t="str">
        <f t="shared" si="103"/>
        <v>0 г. 0 мес. 0 дн.</v>
      </c>
      <c r="W1873" s="69"/>
    </row>
    <row r="1874" spans="1:23" ht="35.1" customHeight="1" x14ac:dyDescent="0.25">
      <c r="A1874" s="1">
        <f t="shared" si="104"/>
        <v>1873</v>
      </c>
      <c r="B1874" s="1"/>
      <c r="C1874" s="39"/>
      <c r="D1874" s="21"/>
      <c r="G1874" s="1"/>
      <c r="H1874" s="11" t="str">
        <f t="shared" si="105"/>
        <v>0 г. 0 мес. 0 дн.</v>
      </c>
      <c r="I1874" s="20"/>
      <c r="J1874" s="20"/>
      <c r="O1874" s="20"/>
      <c r="V1874" s="1" t="str">
        <f t="shared" si="103"/>
        <v>0 г. 0 мес. 0 дн.</v>
      </c>
      <c r="W1874" s="69"/>
    </row>
    <row r="1875" spans="1:23" ht="35.1" customHeight="1" x14ac:dyDescent="0.25">
      <c r="A1875" s="1">
        <f t="shared" si="104"/>
        <v>1874</v>
      </c>
      <c r="B1875" s="1"/>
      <c r="C1875" s="39"/>
      <c r="D1875" s="21"/>
      <c r="G1875" s="1"/>
      <c r="H1875" s="11" t="str">
        <f t="shared" si="105"/>
        <v>0 г. 0 мес. 0 дн.</v>
      </c>
      <c r="I1875" s="20"/>
      <c r="J1875" s="20"/>
      <c r="O1875" s="20"/>
      <c r="V1875" s="1" t="str">
        <f t="shared" si="103"/>
        <v>0 г. 0 мес. 0 дн.</v>
      </c>
      <c r="W1875" s="69"/>
    </row>
    <row r="1876" spans="1:23" ht="35.1" customHeight="1" x14ac:dyDescent="0.25">
      <c r="A1876" s="1">
        <f t="shared" si="104"/>
        <v>1875</v>
      </c>
      <c r="B1876" s="1"/>
      <c r="C1876" s="39"/>
      <c r="D1876" s="21"/>
      <c r="G1876" s="1"/>
      <c r="H1876" s="11" t="str">
        <f t="shared" si="105"/>
        <v>0 г. 0 мес. 0 дн.</v>
      </c>
      <c r="I1876" s="20"/>
      <c r="J1876" s="20"/>
      <c r="O1876" s="20"/>
      <c r="V1876" s="1" t="str">
        <f t="shared" si="103"/>
        <v>0 г. 0 мес. 0 дн.</v>
      </c>
      <c r="W1876" s="69"/>
    </row>
    <row r="1877" spans="1:23" ht="35.1" customHeight="1" x14ac:dyDescent="0.25">
      <c r="A1877" s="1">
        <f t="shared" si="104"/>
        <v>1876</v>
      </c>
      <c r="B1877" s="1"/>
      <c r="C1877" s="39"/>
      <c r="D1877" s="21"/>
      <c r="G1877" s="1"/>
      <c r="H1877" s="11" t="str">
        <f t="shared" si="105"/>
        <v>0 г. 0 мес. 0 дн.</v>
      </c>
      <c r="I1877" s="20"/>
      <c r="J1877" s="20"/>
      <c r="O1877" s="20"/>
      <c r="V1877" s="1" t="str">
        <f t="shared" si="103"/>
        <v>0 г. 0 мес. 0 дн.</v>
      </c>
      <c r="W1877" s="69"/>
    </row>
    <row r="1878" spans="1:23" ht="35.1" customHeight="1" x14ac:dyDescent="0.25">
      <c r="A1878" s="1">
        <f t="shared" si="104"/>
        <v>1877</v>
      </c>
      <c r="B1878" s="1"/>
      <c r="C1878" s="39"/>
      <c r="D1878" s="21"/>
      <c r="G1878" s="1"/>
      <c r="H1878" s="11" t="str">
        <f t="shared" si="105"/>
        <v>0 г. 0 мес. 0 дн.</v>
      </c>
      <c r="I1878" s="20"/>
      <c r="J1878" s="20"/>
      <c r="O1878" s="20"/>
      <c r="V1878" s="1" t="str">
        <f t="shared" si="103"/>
        <v>0 г. 0 мес. 0 дн.</v>
      </c>
      <c r="W1878" s="69"/>
    </row>
    <row r="1879" spans="1:23" ht="35.1" customHeight="1" x14ac:dyDescent="0.25">
      <c r="A1879" s="1">
        <f t="shared" si="104"/>
        <v>1878</v>
      </c>
      <c r="B1879" s="1"/>
      <c r="C1879" s="39"/>
      <c r="D1879" s="21"/>
      <c r="G1879" s="1"/>
      <c r="H1879" s="11" t="str">
        <f t="shared" si="105"/>
        <v>0 г. 0 мес. 0 дн.</v>
      </c>
      <c r="I1879" s="20"/>
      <c r="J1879" s="20"/>
      <c r="O1879" s="20"/>
      <c r="V1879" s="1" t="str">
        <f t="shared" si="103"/>
        <v>0 г. 0 мес. 0 дн.</v>
      </c>
      <c r="W1879" s="69"/>
    </row>
    <row r="1880" spans="1:23" ht="35.1" customHeight="1" x14ac:dyDescent="0.25">
      <c r="A1880" s="1">
        <f t="shared" si="104"/>
        <v>1879</v>
      </c>
      <c r="B1880" s="1"/>
      <c r="C1880" s="39"/>
      <c r="D1880" s="21"/>
      <c r="G1880" s="1"/>
      <c r="H1880" s="11" t="str">
        <f t="shared" si="105"/>
        <v>0 г. 0 мес. 0 дн.</v>
      </c>
      <c r="I1880" s="20"/>
      <c r="J1880" s="20"/>
      <c r="O1880" s="20"/>
      <c r="V1880" s="1" t="str">
        <f t="shared" si="103"/>
        <v>0 г. 0 мес. 0 дн.</v>
      </c>
      <c r="W1880" s="69"/>
    </row>
    <row r="1881" spans="1:23" ht="35.1" customHeight="1" x14ac:dyDescent="0.25">
      <c r="A1881" s="1">
        <f t="shared" si="104"/>
        <v>1880</v>
      </c>
      <c r="B1881" s="1"/>
      <c r="C1881" s="39"/>
      <c r="D1881" s="21"/>
      <c r="G1881" s="1"/>
      <c r="H1881" s="11" t="str">
        <f t="shared" si="105"/>
        <v>0 г. 0 мес. 0 дн.</v>
      </c>
      <c r="I1881" s="20"/>
      <c r="J1881" s="20"/>
      <c r="O1881" s="20"/>
      <c r="V1881" s="1" t="str">
        <f t="shared" ref="V1881:V1944" si="106">DATEDIF(D1881,T1881,"y") &amp; " г. " &amp; DATEDIF(D1881,T1881,"ym") &amp; " мес. " &amp; DATEDIF(D1881,T1881,"md") &amp; " дн."</f>
        <v>0 г. 0 мес. 0 дн.</v>
      </c>
      <c r="W1881" s="69"/>
    </row>
    <row r="1882" spans="1:23" ht="35.1" customHeight="1" x14ac:dyDescent="0.25">
      <c r="A1882" s="1">
        <f t="shared" si="104"/>
        <v>1881</v>
      </c>
      <c r="B1882" s="1"/>
      <c r="C1882" s="39"/>
      <c r="D1882" s="21"/>
      <c r="G1882" s="1"/>
      <c r="H1882" s="11" t="str">
        <f t="shared" si="105"/>
        <v>0 г. 0 мес. 0 дн.</v>
      </c>
      <c r="I1882" s="20"/>
      <c r="J1882" s="20"/>
      <c r="O1882" s="20"/>
      <c r="V1882" s="1" t="str">
        <f t="shared" si="106"/>
        <v>0 г. 0 мес. 0 дн.</v>
      </c>
      <c r="W1882" s="69"/>
    </row>
    <row r="1883" spans="1:23" ht="35.1" customHeight="1" x14ac:dyDescent="0.25">
      <c r="A1883" s="1">
        <f t="shared" si="104"/>
        <v>1882</v>
      </c>
      <c r="B1883" s="1"/>
      <c r="C1883" s="39"/>
      <c r="D1883" s="21"/>
      <c r="G1883" s="1"/>
      <c r="H1883" s="11" t="str">
        <f t="shared" si="105"/>
        <v>0 г. 0 мес. 0 дн.</v>
      </c>
      <c r="I1883" s="20"/>
      <c r="J1883" s="20"/>
      <c r="O1883" s="20"/>
      <c r="V1883" s="1" t="str">
        <f t="shared" si="106"/>
        <v>0 г. 0 мес. 0 дн.</v>
      </c>
      <c r="W1883" s="69"/>
    </row>
    <row r="1884" spans="1:23" ht="35.1" customHeight="1" x14ac:dyDescent="0.25">
      <c r="A1884" s="1">
        <f t="shared" si="104"/>
        <v>1883</v>
      </c>
      <c r="B1884" s="1"/>
      <c r="C1884" s="39"/>
      <c r="D1884" s="21"/>
      <c r="G1884" s="1"/>
      <c r="H1884" s="11" t="str">
        <f t="shared" si="105"/>
        <v>0 г. 0 мес. 0 дн.</v>
      </c>
      <c r="I1884" s="20"/>
      <c r="J1884" s="20"/>
      <c r="O1884" s="20"/>
      <c r="V1884" s="1" t="str">
        <f t="shared" si="106"/>
        <v>0 г. 0 мес. 0 дн.</v>
      </c>
      <c r="W1884" s="69"/>
    </row>
    <row r="1885" spans="1:23" ht="35.1" customHeight="1" x14ac:dyDescent="0.25">
      <c r="A1885" s="1">
        <f t="shared" si="104"/>
        <v>1884</v>
      </c>
      <c r="B1885" s="1"/>
      <c r="C1885" s="39"/>
      <c r="D1885" s="21"/>
      <c r="G1885" s="1"/>
      <c r="H1885" s="11" t="str">
        <f t="shared" si="105"/>
        <v>0 г. 0 мес. 0 дн.</v>
      </c>
      <c r="I1885" s="20"/>
      <c r="J1885" s="20"/>
      <c r="O1885" s="20"/>
      <c r="V1885" s="1" t="str">
        <f t="shared" si="106"/>
        <v>0 г. 0 мес. 0 дн.</v>
      </c>
      <c r="W1885" s="69"/>
    </row>
    <row r="1886" spans="1:23" ht="35.1" customHeight="1" x14ac:dyDescent="0.25">
      <c r="A1886" s="1">
        <f t="shared" si="104"/>
        <v>1885</v>
      </c>
      <c r="B1886" s="1"/>
      <c r="C1886" s="39"/>
      <c r="D1886" s="21"/>
      <c r="G1886" s="1"/>
      <c r="H1886" s="11" t="str">
        <f t="shared" si="105"/>
        <v>0 г. 0 мес. 0 дн.</v>
      </c>
      <c r="I1886" s="20"/>
      <c r="J1886" s="20"/>
      <c r="O1886" s="20"/>
      <c r="V1886" s="1" t="str">
        <f t="shared" si="106"/>
        <v>0 г. 0 мес. 0 дн.</v>
      </c>
      <c r="W1886" s="69"/>
    </row>
    <row r="1887" spans="1:23" ht="35.1" customHeight="1" x14ac:dyDescent="0.25">
      <c r="A1887" s="1">
        <f t="shared" si="104"/>
        <v>1886</v>
      </c>
      <c r="B1887" s="1"/>
      <c r="C1887" s="39"/>
      <c r="D1887" s="21"/>
      <c r="G1887" s="1"/>
      <c r="H1887" s="11" t="str">
        <f t="shared" si="105"/>
        <v>0 г. 0 мес. 0 дн.</v>
      </c>
      <c r="I1887" s="20"/>
      <c r="J1887" s="20"/>
      <c r="O1887" s="20"/>
      <c r="V1887" s="1" t="str">
        <f t="shared" si="106"/>
        <v>0 г. 0 мес. 0 дн.</v>
      </c>
      <c r="W1887" s="69"/>
    </row>
    <row r="1888" spans="1:23" ht="35.1" customHeight="1" x14ac:dyDescent="0.25">
      <c r="A1888" s="1">
        <f t="shared" si="104"/>
        <v>1887</v>
      </c>
      <c r="B1888" s="1"/>
      <c r="C1888" s="39"/>
      <c r="D1888" s="21"/>
      <c r="G1888" s="1"/>
      <c r="H1888" s="11" t="str">
        <f t="shared" si="105"/>
        <v>0 г. 0 мес. 0 дн.</v>
      </c>
      <c r="I1888" s="20"/>
      <c r="J1888" s="20"/>
      <c r="O1888" s="20"/>
      <c r="V1888" s="1" t="str">
        <f t="shared" si="106"/>
        <v>0 г. 0 мес. 0 дн.</v>
      </c>
      <c r="W1888" s="69"/>
    </row>
    <row r="1889" spans="1:23" ht="35.1" customHeight="1" x14ac:dyDescent="0.25">
      <c r="A1889" s="1">
        <f t="shared" si="104"/>
        <v>1888</v>
      </c>
      <c r="B1889" s="1"/>
      <c r="C1889" s="39"/>
      <c r="D1889" s="21"/>
      <c r="G1889" s="1"/>
      <c r="H1889" s="11" t="str">
        <f t="shared" si="105"/>
        <v>0 г. 0 мес. 0 дн.</v>
      </c>
      <c r="I1889" s="20"/>
      <c r="J1889" s="20"/>
      <c r="O1889" s="20"/>
      <c r="V1889" s="1" t="str">
        <f t="shared" si="106"/>
        <v>0 г. 0 мес. 0 дн.</v>
      </c>
      <c r="W1889" s="69"/>
    </row>
    <row r="1890" spans="1:23" ht="35.1" customHeight="1" x14ac:dyDescent="0.25">
      <c r="A1890" s="1">
        <f t="shared" si="104"/>
        <v>1889</v>
      </c>
      <c r="B1890" s="1"/>
      <c r="C1890" s="39"/>
      <c r="D1890" s="21"/>
      <c r="G1890" s="1"/>
      <c r="H1890" s="11" t="str">
        <f t="shared" si="105"/>
        <v>0 г. 0 мес. 0 дн.</v>
      </c>
      <c r="I1890" s="20"/>
      <c r="J1890" s="20"/>
      <c r="O1890" s="20"/>
      <c r="V1890" s="1" t="str">
        <f t="shared" si="106"/>
        <v>0 г. 0 мес. 0 дн.</v>
      </c>
      <c r="W1890" s="69"/>
    </row>
    <row r="1891" spans="1:23" ht="35.1" customHeight="1" x14ac:dyDescent="0.25">
      <c r="A1891" s="1">
        <f t="shared" si="104"/>
        <v>1890</v>
      </c>
      <c r="B1891" s="1"/>
      <c r="C1891" s="39"/>
      <c r="D1891" s="21"/>
      <c r="G1891" s="1"/>
      <c r="H1891" s="11" t="str">
        <f t="shared" si="105"/>
        <v>0 г. 0 мес. 0 дн.</v>
      </c>
      <c r="I1891" s="20"/>
      <c r="J1891" s="20"/>
      <c r="O1891" s="20"/>
      <c r="V1891" s="1" t="str">
        <f t="shared" si="106"/>
        <v>0 г. 0 мес. 0 дн.</v>
      </c>
      <c r="W1891" s="69"/>
    </row>
    <row r="1892" spans="1:23" ht="35.1" customHeight="1" x14ac:dyDescent="0.25">
      <c r="A1892" s="1">
        <f t="shared" si="104"/>
        <v>1891</v>
      </c>
      <c r="B1892" s="1"/>
      <c r="C1892" s="39"/>
      <c r="D1892" s="21"/>
      <c r="G1892" s="1"/>
      <c r="H1892" s="11" t="str">
        <f t="shared" si="105"/>
        <v>0 г. 0 мес. 0 дн.</v>
      </c>
      <c r="I1892" s="20"/>
      <c r="J1892" s="20"/>
      <c r="O1892" s="20"/>
      <c r="V1892" s="1" t="str">
        <f t="shared" si="106"/>
        <v>0 г. 0 мес. 0 дн.</v>
      </c>
      <c r="W1892" s="69"/>
    </row>
    <row r="1893" spans="1:23" ht="35.1" customHeight="1" x14ac:dyDescent="0.25">
      <c r="A1893" s="1">
        <f t="shared" si="104"/>
        <v>1892</v>
      </c>
      <c r="B1893" s="1"/>
      <c r="C1893" s="39"/>
      <c r="D1893" s="21"/>
      <c r="G1893" s="1"/>
      <c r="H1893" s="11" t="str">
        <f t="shared" si="105"/>
        <v>0 г. 0 мес. 0 дн.</v>
      </c>
      <c r="I1893" s="20"/>
      <c r="J1893" s="20"/>
      <c r="O1893" s="20"/>
      <c r="V1893" s="1" t="str">
        <f t="shared" si="106"/>
        <v>0 г. 0 мес. 0 дн.</v>
      </c>
      <c r="W1893" s="69"/>
    </row>
    <row r="1894" spans="1:23" ht="35.1" customHeight="1" x14ac:dyDescent="0.25">
      <c r="A1894" s="1">
        <f t="shared" si="104"/>
        <v>1893</v>
      </c>
      <c r="B1894" s="1"/>
      <c r="C1894" s="39"/>
      <c r="D1894" s="21"/>
      <c r="G1894" s="1"/>
      <c r="H1894" s="11" t="str">
        <f t="shared" si="105"/>
        <v>0 г. 0 мес. 0 дн.</v>
      </c>
      <c r="I1894" s="20"/>
      <c r="J1894" s="20"/>
      <c r="O1894" s="20"/>
      <c r="V1894" s="1" t="str">
        <f t="shared" si="106"/>
        <v>0 г. 0 мес. 0 дн.</v>
      </c>
      <c r="W1894" s="69"/>
    </row>
    <row r="1895" spans="1:23" ht="35.1" customHeight="1" x14ac:dyDescent="0.25">
      <c r="A1895" s="1">
        <f t="shared" si="104"/>
        <v>1894</v>
      </c>
      <c r="B1895" s="1"/>
      <c r="C1895" s="39"/>
      <c r="D1895" s="21"/>
      <c r="G1895" s="1"/>
      <c r="H1895" s="11" t="str">
        <f t="shared" si="105"/>
        <v>0 г. 0 мес. 0 дн.</v>
      </c>
      <c r="I1895" s="20"/>
      <c r="J1895" s="20"/>
      <c r="O1895" s="20"/>
      <c r="V1895" s="1" t="str">
        <f t="shared" si="106"/>
        <v>0 г. 0 мес. 0 дн.</v>
      </c>
      <c r="W1895" s="69"/>
    </row>
    <row r="1896" spans="1:23" ht="35.1" customHeight="1" x14ac:dyDescent="0.25">
      <c r="A1896" s="1">
        <f t="shared" si="104"/>
        <v>1895</v>
      </c>
      <c r="B1896" s="1"/>
      <c r="C1896" s="39"/>
      <c r="D1896" s="21"/>
      <c r="G1896" s="1"/>
      <c r="H1896" s="11" t="str">
        <f t="shared" si="105"/>
        <v>0 г. 0 мес. 0 дн.</v>
      </c>
      <c r="I1896" s="20"/>
      <c r="J1896" s="20"/>
      <c r="O1896" s="20"/>
      <c r="V1896" s="1" t="str">
        <f t="shared" si="106"/>
        <v>0 г. 0 мес. 0 дн.</v>
      </c>
      <c r="W1896" s="69"/>
    </row>
    <row r="1897" spans="1:23" ht="35.1" customHeight="1" x14ac:dyDescent="0.25">
      <c r="A1897" s="1">
        <f t="shared" si="104"/>
        <v>1896</v>
      </c>
      <c r="B1897" s="1"/>
      <c r="C1897" s="39"/>
      <c r="D1897" s="21"/>
      <c r="G1897" s="1"/>
      <c r="H1897" s="11" t="str">
        <f t="shared" si="105"/>
        <v>0 г. 0 мес. 0 дн.</v>
      </c>
      <c r="I1897" s="20"/>
      <c r="J1897" s="20"/>
      <c r="O1897" s="20"/>
      <c r="V1897" s="1" t="str">
        <f t="shared" si="106"/>
        <v>0 г. 0 мес. 0 дн.</v>
      </c>
      <c r="W1897" s="69"/>
    </row>
    <row r="1898" spans="1:23" ht="35.1" customHeight="1" x14ac:dyDescent="0.25">
      <c r="A1898" s="1">
        <f t="shared" si="104"/>
        <v>1897</v>
      </c>
      <c r="B1898" s="1"/>
      <c r="C1898" s="39"/>
      <c r="D1898" s="21"/>
      <c r="G1898" s="1"/>
      <c r="H1898" s="11" t="str">
        <f t="shared" si="105"/>
        <v>0 г. 0 мес. 0 дн.</v>
      </c>
      <c r="I1898" s="20"/>
      <c r="J1898" s="20"/>
      <c r="O1898" s="20"/>
      <c r="V1898" s="1" t="str">
        <f t="shared" si="106"/>
        <v>0 г. 0 мес. 0 дн.</v>
      </c>
      <c r="W1898" s="69"/>
    </row>
    <row r="1899" spans="1:23" ht="35.1" customHeight="1" x14ac:dyDescent="0.25">
      <c r="A1899" s="1">
        <f t="shared" si="104"/>
        <v>1898</v>
      </c>
      <c r="B1899" s="1"/>
      <c r="C1899" s="39"/>
      <c r="D1899" s="21"/>
      <c r="G1899" s="1"/>
      <c r="H1899" s="11" t="str">
        <f t="shared" si="105"/>
        <v>0 г. 0 мес. 0 дн.</v>
      </c>
      <c r="I1899" s="20"/>
      <c r="J1899" s="20"/>
      <c r="O1899" s="20"/>
      <c r="V1899" s="1" t="str">
        <f t="shared" si="106"/>
        <v>0 г. 0 мес. 0 дн.</v>
      </c>
      <c r="W1899" s="69"/>
    </row>
    <row r="1900" spans="1:23" ht="35.1" customHeight="1" x14ac:dyDescent="0.25">
      <c r="A1900" s="1">
        <f t="shared" si="104"/>
        <v>1899</v>
      </c>
      <c r="B1900" s="1"/>
      <c r="C1900" s="39"/>
      <c r="D1900" s="21"/>
      <c r="G1900" s="1"/>
      <c r="H1900" s="11" t="str">
        <f t="shared" si="105"/>
        <v>0 г. 0 мес. 0 дн.</v>
      </c>
      <c r="I1900" s="20"/>
      <c r="J1900" s="20"/>
      <c r="O1900" s="20"/>
      <c r="V1900" s="1" t="str">
        <f t="shared" si="106"/>
        <v>0 г. 0 мес. 0 дн.</v>
      </c>
      <c r="W1900" s="69"/>
    </row>
    <row r="1901" spans="1:23" ht="35.1" customHeight="1" x14ac:dyDescent="0.25">
      <c r="A1901" s="1">
        <f t="shared" si="104"/>
        <v>1900</v>
      </c>
      <c r="B1901" s="1"/>
      <c r="C1901" s="39"/>
      <c r="D1901" s="21"/>
      <c r="G1901" s="1"/>
      <c r="H1901" s="11" t="str">
        <f t="shared" si="105"/>
        <v>0 г. 0 мес. 0 дн.</v>
      </c>
      <c r="I1901" s="20"/>
      <c r="J1901" s="20"/>
      <c r="O1901" s="20"/>
      <c r="V1901" s="1" t="str">
        <f t="shared" si="106"/>
        <v>0 г. 0 мес. 0 дн.</v>
      </c>
      <c r="W1901" s="69"/>
    </row>
    <row r="1902" spans="1:23" ht="35.1" customHeight="1" x14ac:dyDescent="0.25">
      <c r="A1902" s="1">
        <f t="shared" si="104"/>
        <v>1901</v>
      </c>
      <c r="B1902" s="1"/>
      <c r="C1902" s="39"/>
      <c r="D1902" s="21"/>
      <c r="G1902" s="1"/>
      <c r="H1902" s="11" t="str">
        <f t="shared" si="105"/>
        <v>0 г. 0 мес. 0 дн.</v>
      </c>
      <c r="I1902" s="20"/>
      <c r="J1902" s="20"/>
      <c r="O1902" s="20"/>
      <c r="V1902" s="1" t="str">
        <f t="shared" si="106"/>
        <v>0 г. 0 мес. 0 дн.</v>
      </c>
      <c r="W1902" s="69"/>
    </row>
    <row r="1903" spans="1:23" ht="35.1" customHeight="1" x14ac:dyDescent="0.25">
      <c r="A1903" s="1">
        <f t="shared" si="104"/>
        <v>1902</v>
      </c>
      <c r="B1903" s="1"/>
      <c r="C1903" s="39"/>
      <c r="D1903" s="21"/>
      <c r="G1903" s="1"/>
      <c r="H1903" s="11" t="str">
        <f t="shared" si="105"/>
        <v>0 г. 0 мес. 0 дн.</v>
      </c>
      <c r="I1903" s="20"/>
      <c r="J1903" s="20"/>
      <c r="O1903" s="20"/>
      <c r="V1903" s="1" t="str">
        <f t="shared" si="106"/>
        <v>0 г. 0 мес. 0 дн.</v>
      </c>
      <c r="W1903" s="69"/>
    </row>
    <row r="1904" spans="1:23" ht="35.1" customHeight="1" x14ac:dyDescent="0.25">
      <c r="A1904" s="1">
        <f t="shared" si="104"/>
        <v>1903</v>
      </c>
      <c r="B1904" s="1"/>
      <c r="C1904" s="39"/>
      <c r="D1904" s="21"/>
      <c r="G1904" s="1"/>
      <c r="H1904" s="11" t="str">
        <f t="shared" si="105"/>
        <v>0 г. 0 мес. 0 дн.</v>
      </c>
      <c r="I1904" s="20"/>
      <c r="J1904" s="20"/>
      <c r="O1904" s="20"/>
      <c r="V1904" s="1" t="str">
        <f t="shared" si="106"/>
        <v>0 г. 0 мес. 0 дн.</v>
      </c>
      <c r="W1904" s="69"/>
    </row>
    <row r="1905" spans="1:23" ht="35.1" customHeight="1" x14ac:dyDescent="0.25">
      <c r="A1905" s="1">
        <f t="shared" si="104"/>
        <v>1904</v>
      </c>
      <c r="B1905" s="1"/>
      <c r="C1905" s="39"/>
      <c r="D1905" s="21"/>
      <c r="G1905" s="1"/>
      <c r="H1905" s="11" t="str">
        <f t="shared" si="105"/>
        <v>0 г. 0 мес. 0 дн.</v>
      </c>
      <c r="I1905" s="20"/>
      <c r="J1905" s="20"/>
      <c r="O1905" s="20"/>
      <c r="V1905" s="1" t="str">
        <f t="shared" si="106"/>
        <v>0 г. 0 мес. 0 дн.</v>
      </c>
      <c r="W1905" s="69"/>
    </row>
    <row r="1906" spans="1:23" ht="35.1" customHeight="1" x14ac:dyDescent="0.25">
      <c r="A1906" s="1">
        <f t="shared" si="104"/>
        <v>1905</v>
      </c>
      <c r="B1906" s="1"/>
      <c r="C1906" s="39"/>
      <c r="D1906" s="21"/>
      <c r="G1906" s="1"/>
      <c r="H1906" s="11" t="str">
        <f t="shared" si="105"/>
        <v>0 г. 0 мес. 0 дн.</v>
      </c>
      <c r="I1906" s="20"/>
      <c r="J1906" s="20"/>
      <c r="O1906" s="20"/>
      <c r="V1906" s="1" t="str">
        <f t="shared" si="106"/>
        <v>0 г. 0 мес. 0 дн.</v>
      </c>
      <c r="W1906" s="69"/>
    </row>
    <row r="1907" spans="1:23" ht="35.1" customHeight="1" x14ac:dyDescent="0.25">
      <c r="A1907" s="1">
        <f t="shared" si="104"/>
        <v>1906</v>
      </c>
      <c r="B1907" s="1"/>
      <c r="C1907" s="39"/>
      <c r="D1907" s="21"/>
      <c r="G1907" s="1"/>
      <c r="H1907" s="11" t="str">
        <f t="shared" si="105"/>
        <v>0 г. 0 мес. 0 дн.</v>
      </c>
      <c r="I1907" s="20"/>
      <c r="J1907" s="20"/>
      <c r="O1907" s="20"/>
      <c r="V1907" s="1" t="str">
        <f t="shared" si="106"/>
        <v>0 г. 0 мес. 0 дн.</v>
      </c>
      <c r="W1907" s="69"/>
    </row>
    <row r="1908" spans="1:23" ht="35.1" customHeight="1" x14ac:dyDescent="0.25">
      <c r="A1908" s="1">
        <f t="shared" si="104"/>
        <v>1907</v>
      </c>
      <c r="B1908" s="1"/>
      <c r="C1908" s="39"/>
      <c r="D1908" s="21"/>
      <c r="G1908" s="1"/>
      <c r="H1908" s="11" t="str">
        <f t="shared" si="105"/>
        <v>0 г. 0 мес. 0 дн.</v>
      </c>
      <c r="I1908" s="20"/>
      <c r="J1908" s="20"/>
      <c r="O1908" s="20"/>
      <c r="V1908" s="1" t="str">
        <f t="shared" si="106"/>
        <v>0 г. 0 мес. 0 дн.</v>
      </c>
      <c r="W1908" s="69"/>
    </row>
    <row r="1909" spans="1:23" ht="35.1" customHeight="1" x14ac:dyDescent="0.25">
      <c r="A1909" s="1">
        <f t="shared" si="104"/>
        <v>1908</v>
      </c>
      <c r="B1909" s="1"/>
      <c r="C1909" s="39"/>
      <c r="D1909" s="21"/>
      <c r="G1909" s="1"/>
      <c r="H1909" s="11" t="str">
        <f t="shared" si="105"/>
        <v>0 г. 0 мес. 0 дн.</v>
      </c>
      <c r="I1909" s="20"/>
      <c r="J1909" s="20"/>
      <c r="O1909" s="20"/>
      <c r="V1909" s="1" t="str">
        <f t="shared" si="106"/>
        <v>0 г. 0 мес. 0 дн.</v>
      </c>
      <c r="W1909" s="69"/>
    </row>
    <row r="1910" spans="1:23" ht="35.1" customHeight="1" x14ac:dyDescent="0.25">
      <c r="A1910" s="1">
        <f t="shared" si="104"/>
        <v>1909</v>
      </c>
      <c r="B1910" s="1"/>
      <c r="C1910" s="39"/>
      <c r="D1910" s="21"/>
      <c r="G1910" s="1"/>
      <c r="H1910" s="11" t="str">
        <f t="shared" si="105"/>
        <v>0 г. 0 мес. 0 дн.</v>
      </c>
      <c r="I1910" s="20"/>
      <c r="J1910" s="20"/>
      <c r="O1910" s="20"/>
      <c r="V1910" s="1" t="str">
        <f t="shared" si="106"/>
        <v>0 г. 0 мес. 0 дн.</v>
      </c>
      <c r="W1910" s="69"/>
    </row>
    <row r="1911" spans="1:23" ht="35.1" customHeight="1" x14ac:dyDescent="0.25">
      <c r="A1911" s="1">
        <f t="shared" si="104"/>
        <v>1910</v>
      </c>
      <c r="B1911" s="1"/>
      <c r="C1911" s="39"/>
      <c r="D1911" s="21"/>
      <c r="G1911" s="1"/>
      <c r="H1911" s="11" t="str">
        <f t="shared" si="105"/>
        <v>0 г. 0 мес. 0 дн.</v>
      </c>
      <c r="I1911" s="20"/>
      <c r="J1911" s="20"/>
      <c r="O1911" s="20"/>
      <c r="V1911" s="1" t="str">
        <f t="shared" si="106"/>
        <v>0 г. 0 мес. 0 дн.</v>
      </c>
      <c r="W1911" s="69"/>
    </row>
    <row r="1912" spans="1:23" ht="35.1" customHeight="1" x14ac:dyDescent="0.25">
      <c r="A1912" s="1">
        <f t="shared" si="104"/>
        <v>1911</v>
      </c>
      <c r="B1912" s="1"/>
      <c r="C1912" s="39"/>
      <c r="D1912" s="21"/>
      <c r="G1912" s="1"/>
      <c r="H1912" s="11" t="str">
        <f t="shared" si="105"/>
        <v>0 г. 0 мес. 0 дн.</v>
      </c>
      <c r="I1912" s="20"/>
      <c r="J1912" s="20"/>
      <c r="O1912" s="20"/>
      <c r="V1912" s="1" t="str">
        <f t="shared" si="106"/>
        <v>0 г. 0 мес. 0 дн.</v>
      </c>
      <c r="W1912" s="69"/>
    </row>
    <row r="1913" spans="1:23" ht="35.1" customHeight="1" x14ac:dyDescent="0.25">
      <c r="A1913" s="1">
        <f t="shared" si="104"/>
        <v>1912</v>
      </c>
      <c r="B1913" s="1"/>
      <c r="C1913" s="39"/>
      <c r="D1913" s="21"/>
      <c r="G1913" s="1"/>
      <c r="H1913" s="11" t="str">
        <f t="shared" si="105"/>
        <v>0 г. 0 мес. 0 дн.</v>
      </c>
      <c r="I1913" s="20"/>
      <c r="J1913" s="20"/>
      <c r="O1913" s="20"/>
      <c r="V1913" s="1" t="str">
        <f t="shared" si="106"/>
        <v>0 г. 0 мес. 0 дн.</v>
      </c>
      <c r="W1913" s="69"/>
    </row>
    <row r="1914" spans="1:23" ht="35.1" customHeight="1" x14ac:dyDescent="0.25">
      <c r="A1914" s="1">
        <f t="shared" si="104"/>
        <v>1913</v>
      </c>
      <c r="B1914" s="1"/>
      <c r="C1914" s="39"/>
      <c r="D1914" s="21"/>
      <c r="G1914" s="1"/>
      <c r="H1914" s="11" t="str">
        <f t="shared" si="105"/>
        <v>0 г. 0 мес. 0 дн.</v>
      </c>
      <c r="I1914" s="20"/>
      <c r="J1914" s="20"/>
      <c r="O1914" s="20"/>
      <c r="V1914" s="1" t="str">
        <f t="shared" si="106"/>
        <v>0 г. 0 мес. 0 дн.</v>
      </c>
      <c r="W1914" s="69"/>
    </row>
    <row r="1915" spans="1:23" ht="35.1" customHeight="1" x14ac:dyDescent="0.25">
      <c r="A1915" s="1">
        <f t="shared" si="104"/>
        <v>1914</v>
      </c>
      <c r="B1915" s="1"/>
      <c r="C1915" s="39"/>
      <c r="D1915" s="21"/>
      <c r="G1915" s="1"/>
      <c r="H1915" s="11" t="str">
        <f t="shared" si="105"/>
        <v>0 г. 0 мес. 0 дн.</v>
      </c>
      <c r="I1915" s="20"/>
      <c r="J1915" s="20"/>
      <c r="O1915" s="20"/>
      <c r="V1915" s="1" t="str">
        <f t="shared" si="106"/>
        <v>0 г. 0 мес. 0 дн.</v>
      </c>
      <c r="W1915" s="69"/>
    </row>
    <row r="1916" spans="1:23" ht="35.1" customHeight="1" x14ac:dyDescent="0.25">
      <c r="A1916" s="1">
        <f t="shared" si="104"/>
        <v>1915</v>
      </c>
      <c r="B1916" s="1"/>
      <c r="C1916" s="39"/>
      <c r="D1916" s="21"/>
      <c r="G1916" s="1"/>
      <c r="H1916" s="11" t="str">
        <f t="shared" si="105"/>
        <v>0 г. 0 мес. 0 дн.</v>
      </c>
      <c r="I1916" s="20"/>
      <c r="J1916" s="20"/>
      <c r="O1916" s="20"/>
      <c r="V1916" s="1" t="str">
        <f t="shared" si="106"/>
        <v>0 г. 0 мес. 0 дн.</v>
      </c>
      <c r="W1916" s="69"/>
    </row>
    <row r="1917" spans="1:23" ht="35.1" customHeight="1" x14ac:dyDescent="0.25">
      <c r="A1917" s="1">
        <f t="shared" si="104"/>
        <v>1916</v>
      </c>
      <c r="B1917" s="1"/>
      <c r="C1917" s="39"/>
      <c r="D1917" s="21"/>
      <c r="G1917" s="1"/>
      <c r="H1917" s="11" t="str">
        <f t="shared" si="105"/>
        <v>0 г. 0 мес. 0 дн.</v>
      </c>
      <c r="I1917" s="20"/>
      <c r="J1917" s="20"/>
      <c r="O1917" s="20"/>
      <c r="V1917" s="1" t="str">
        <f t="shared" si="106"/>
        <v>0 г. 0 мес. 0 дн.</v>
      </c>
      <c r="W1917" s="69"/>
    </row>
    <row r="1918" spans="1:23" ht="35.1" customHeight="1" x14ac:dyDescent="0.25">
      <c r="A1918" s="1">
        <f t="shared" si="104"/>
        <v>1917</v>
      </c>
      <c r="B1918" s="1"/>
      <c r="C1918" s="39"/>
      <c r="D1918" s="21"/>
      <c r="G1918" s="1"/>
      <c r="H1918" s="11" t="str">
        <f t="shared" si="105"/>
        <v>0 г. 0 мес. 0 дн.</v>
      </c>
      <c r="I1918" s="20"/>
      <c r="J1918" s="20"/>
      <c r="O1918" s="20"/>
      <c r="V1918" s="1" t="str">
        <f t="shared" si="106"/>
        <v>0 г. 0 мес. 0 дн.</v>
      </c>
      <c r="W1918" s="69"/>
    </row>
    <row r="1919" spans="1:23" ht="35.1" customHeight="1" x14ac:dyDescent="0.25">
      <c r="A1919" s="1">
        <f t="shared" si="104"/>
        <v>1918</v>
      </c>
      <c r="B1919" s="1"/>
      <c r="C1919" s="39"/>
      <c r="D1919" s="21"/>
      <c r="G1919" s="1"/>
      <c r="H1919" s="11" t="str">
        <f t="shared" si="105"/>
        <v>0 г. 0 мес. 0 дн.</v>
      </c>
      <c r="I1919" s="20"/>
      <c r="J1919" s="20"/>
      <c r="O1919" s="20"/>
      <c r="V1919" s="1" t="str">
        <f t="shared" si="106"/>
        <v>0 г. 0 мес. 0 дн.</v>
      </c>
      <c r="W1919" s="69"/>
    </row>
    <row r="1920" spans="1:23" ht="35.1" customHeight="1" x14ac:dyDescent="0.25">
      <c r="A1920" s="1">
        <f t="shared" si="104"/>
        <v>1919</v>
      </c>
      <c r="B1920" s="1"/>
      <c r="C1920" s="39"/>
      <c r="D1920" s="21"/>
      <c r="G1920" s="1"/>
      <c r="H1920" s="11" t="str">
        <f t="shared" si="105"/>
        <v>0 г. 0 мес. 0 дн.</v>
      </c>
      <c r="I1920" s="20"/>
      <c r="J1920" s="20"/>
      <c r="O1920" s="20"/>
      <c r="V1920" s="1" t="str">
        <f t="shared" si="106"/>
        <v>0 г. 0 мес. 0 дн.</v>
      </c>
      <c r="W1920" s="69"/>
    </row>
    <row r="1921" spans="1:23" ht="35.1" customHeight="1" x14ac:dyDescent="0.25">
      <c r="A1921" s="1">
        <f t="shared" ref="A1921:A1984" si="107">ROW(A1920)</f>
        <v>1920</v>
      </c>
      <c r="B1921" s="1"/>
      <c r="C1921" s="39"/>
      <c r="D1921" s="21"/>
      <c r="G1921" s="1"/>
      <c r="H1921" s="11" t="str">
        <f t="shared" ref="H1921:H1984" si="108">DATEDIF(G1921,D1921,"y") &amp; " г. " &amp; DATEDIF(G1921,D1921,"ym") &amp; " мес. " &amp; DATEDIF(G1921,D1921,"md") &amp; " дн."</f>
        <v>0 г. 0 мес. 0 дн.</v>
      </c>
      <c r="I1921" s="20"/>
      <c r="J1921" s="20"/>
      <c r="O1921" s="20"/>
      <c r="V1921" s="1" t="str">
        <f t="shared" si="106"/>
        <v>0 г. 0 мес. 0 дн.</v>
      </c>
      <c r="W1921" s="69"/>
    </row>
    <row r="1922" spans="1:23" ht="35.1" customHeight="1" x14ac:dyDescent="0.25">
      <c r="A1922" s="1">
        <f t="shared" si="107"/>
        <v>1921</v>
      </c>
      <c r="B1922" s="1"/>
      <c r="C1922" s="39"/>
      <c r="D1922" s="21"/>
      <c r="G1922" s="1"/>
      <c r="H1922" s="11" t="str">
        <f t="shared" si="108"/>
        <v>0 г. 0 мес. 0 дн.</v>
      </c>
      <c r="I1922" s="20"/>
      <c r="J1922" s="20"/>
      <c r="O1922" s="20"/>
      <c r="V1922" s="1" t="str">
        <f t="shared" si="106"/>
        <v>0 г. 0 мес. 0 дн.</v>
      </c>
      <c r="W1922" s="69"/>
    </row>
    <row r="1923" spans="1:23" ht="35.1" customHeight="1" x14ac:dyDescent="0.25">
      <c r="A1923" s="1">
        <f t="shared" si="107"/>
        <v>1922</v>
      </c>
      <c r="B1923" s="1"/>
      <c r="C1923" s="39"/>
      <c r="D1923" s="21"/>
      <c r="G1923" s="1"/>
      <c r="H1923" s="11" t="str">
        <f t="shared" si="108"/>
        <v>0 г. 0 мес. 0 дн.</v>
      </c>
      <c r="I1923" s="20"/>
      <c r="J1923" s="20"/>
      <c r="O1923" s="20"/>
      <c r="V1923" s="1" t="str">
        <f t="shared" si="106"/>
        <v>0 г. 0 мес. 0 дн.</v>
      </c>
      <c r="W1923" s="69"/>
    </row>
    <row r="1924" spans="1:23" ht="35.1" customHeight="1" x14ac:dyDescent="0.25">
      <c r="A1924" s="1">
        <f t="shared" si="107"/>
        <v>1923</v>
      </c>
      <c r="B1924" s="1"/>
      <c r="C1924" s="39"/>
      <c r="D1924" s="21"/>
      <c r="G1924" s="1"/>
      <c r="H1924" s="11" t="str">
        <f t="shared" si="108"/>
        <v>0 г. 0 мес. 0 дн.</v>
      </c>
      <c r="I1924" s="20"/>
      <c r="J1924" s="20"/>
      <c r="O1924" s="20"/>
      <c r="V1924" s="1" t="str">
        <f t="shared" si="106"/>
        <v>0 г. 0 мес. 0 дн.</v>
      </c>
      <c r="W1924" s="69"/>
    </row>
    <row r="1925" spans="1:23" ht="35.1" customHeight="1" x14ac:dyDescent="0.25">
      <c r="A1925" s="1">
        <f t="shared" si="107"/>
        <v>1924</v>
      </c>
      <c r="B1925" s="1"/>
      <c r="C1925" s="39"/>
      <c r="D1925" s="21"/>
      <c r="G1925" s="1"/>
      <c r="H1925" s="11" t="str">
        <f t="shared" si="108"/>
        <v>0 г. 0 мес. 0 дн.</v>
      </c>
      <c r="I1925" s="20"/>
      <c r="J1925" s="20"/>
      <c r="O1925" s="20"/>
      <c r="V1925" s="1" t="str">
        <f t="shared" si="106"/>
        <v>0 г. 0 мес. 0 дн.</v>
      </c>
      <c r="W1925" s="69"/>
    </row>
    <row r="1926" spans="1:23" ht="35.1" customHeight="1" x14ac:dyDescent="0.25">
      <c r="A1926" s="1">
        <f t="shared" si="107"/>
        <v>1925</v>
      </c>
      <c r="B1926" s="1"/>
      <c r="C1926" s="39"/>
      <c r="D1926" s="21"/>
      <c r="G1926" s="1"/>
      <c r="H1926" s="11" t="str">
        <f t="shared" si="108"/>
        <v>0 г. 0 мес. 0 дн.</v>
      </c>
      <c r="I1926" s="20"/>
      <c r="J1926" s="20"/>
      <c r="O1926" s="20"/>
      <c r="V1926" s="1" t="str">
        <f t="shared" si="106"/>
        <v>0 г. 0 мес. 0 дн.</v>
      </c>
      <c r="W1926" s="69"/>
    </row>
    <row r="1927" spans="1:23" ht="35.1" customHeight="1" x14ac:dyDescent="0.25">
      <c r="A1927" s="1">
        <f t="shared" si="107"/>
        <v>1926</v>
      </c>
      <c r="B1927" s="1"/>
      <c r="C1927" s="39"/>
      <c r="D1927" s="21"/>
      <c r="G1927" s="1"/>
      <c r="H1927" s="11" t="str">
        <f t="shared" si="108"/>
        <v>0 г. 0 мес. 0 дн.</v>
      </c>
      <c r="I1927" s="20"/>
      <c r="J1927" s="20"/>
      <c r="O1927" s="20"/>
      <c r="V1927" s="1" t="str">
        <f t="shared" si="106"/>
        <v>0 г. 0 мес. 0 дн.</v>
      </c>
      <c r="W1927" s="69"/>
    </row>
    <row r="1928" spans="1:23" ht="35.1" customHeight="1" x14ac:dyDescent="0.25">
      <c r="A1928" s="1">
        <f t="shared" si="107"/>
        <v>1927</v>
      </c>
      <c r="B1928" s="1"/>
      <c r="C1928" s="39"/>
      <c r="D1928" s="21"/>
      <c r="G1928" s="1"/>
      <c r="H1928" s="11" t="str">
        <f t="shared" si="108"/>
        <v>0 г. 0 мес. 0 дн.</v>
      </c>
      <c r="I1928" s="20"/>
      <c r="J1928" s="20"/>
      <c r="O1928" s="20"/>
      <c r="V1928" s="1" t="str">
        <f t="shared" si="106"/>
        <v>0 г. 0 мес. 0 дн.</v>
      </c>
      <c r="W1928" s="69"/>
    </row>
    <row r="1929" spans="1:23" ht="35.1" customHeight="1" x14ac:dyDescent="0.25">
      <c r="A1929" s="1">
        <f t="shared" si="107"/>
        <v>1928</v>
      </c>
      <c r="B1929" s="1"/>
      <c r="C1929" s="39"/>
      <c r="D1929" s="21"/>
      <c r="G1929" s="1"/>
      <c r="H1929" s="11" t="str">
        <f t="shared" si="108"/>
        <v>0 г. 0 мес. 0 дн.</v>
      </c>
      <c r="I1929" s="20"/>
      <c r="J1929" s="20"/>
      <c r="O1929" s="20"/>
      <c r="V1929" s="1" t="str">
        <f t="shared" si="106"/>
        <v>0 г. 0 мес. 0 дн.</v>
      </c>
      <c r="W1929" s="69"/>
    </row>
    <row r="1930" spans="1:23" ht="35.1" customHeight="1" x14ac:dyDescent="0.25">
      <c r="A1930" s="1">
        <f t="shared" si="107"/>
        <v>1929</v>
      </c>
      <c r="B1930" s="1"/>
      <c r="C1930" s="39"/>
      <c r="D1930" s="21"/>
      <c r="G1930" s="1"/>
      <c r="H1930" s="11" t="str">
        <f t="shared" si="108"/>
        <v>0 г. 0 мес. 0 дн.</v>
      </c>
      <c r="I1930" s="20"/>
      <c r="J1930" s="20"/>
      <c r="O1930" s="20"/>
      <c r="V1930" s="1" t="str">
        <f t="shared" si="106"/>
        <v>0 г. 0 мес. 0 дн.</v>
      </c>
      <c r="W1930" s="69"/>
    </row>
    <row r="1931" spans="1:23" ht="35.1" customHeight="1" x14ac:dyDescent="0.25">
      <c r="A1931" s="1">
        <f t="shared" si="107"/>
        <v>1930</v>
      </c>
      <c r="B1931" s="1"/>
      <c r="C1931" s="39"/>
      <c r="D1931" s="21"/>
      <c r="G1931" s="1"/>
      <c r="H1931" s="11" t="str">
        <f t="shared" si="108"/>
        <v>0 г. 0 мес. 0 дн.</v>
      </c>
      <c r="I1931" s="20"/>
      <c r="J1931" s="20"/>
      <c r="O1931" s="20"/>
      <c r="V1931" s="1" t="str">
        <f t="shared" si="106"/>
        <v>0 г. 0 мес. 0 дн.</v>
      </c>
      <c r="W1931" s="69"/>
    </row>
    <row r="1932" spans="1:23" ht="35.1" customHeight="1" x14ac:dyDescent="0.25">
      <c r="A1932" s="1">
        <f t="shared" si="107"/>
        <v>1931</v>
      </c>
      <c r="B1932" s="1"/>
      <c r="C1932" s="39"/>
      <c r="D1932" s="21"/>
      <c r="G1932" s="1"/>
      <c r="H1932" s="11" t="str">
        <f t="shared" si="108"/>
        <v>0 г. 0 мес. 0 дн.</v>
      </c>
      <c r="I1932" s="20"/>
      <c r="J1932" s="20"/>
      <c r="O1932" s="20"/>
      <c r="V1932" s="1" t="str">
        <f t="shared" si="106"/>
        <v>0 г. 0 мес. 0 дн.</v>
      </c>
      <c r="W1932" s="69"/>
    </row>
    <row r="1933" spans="1:23" ht="35.1" customHeight="1" x14ac:dyDescent="0.25">
      <c r="A1933" s="1">
        <f t="shared" si="107"/>
        <v>1932</v>
      </c>
      <c r="B1933" s="1"/>
      <c r="C1933" s="39"/>
      <c r="D1933" s="21"/>
      <c r="G1933" s="1"/>
      <c r="H1933" s="11" t="str">
        <f t="shared" si="108"/>
        <v>0 г. 0 мес. 0 дн.</v>
      </c>
      <c r="I1933" s="20"/>
      <c r="J1933" s="20"/>
      <c r="O1933" s="20"/>
      <c r="V1933" s="1" t="str">
        <f t="shared" si="106"/>
        <v>0 г. 0 мес. 0 дн.</v>
      </c>
      <c r="W1933" s="69"/>
    </row>
    <row r="1934" spans="1:23" ht="35.1" customHeight="1" x14ac:dyDescent="0.25">
      <c r="A1934" s="1">
        <f t="shared" si="107"/>
        <v>1933</v>
      </c>
      <c r="B1934" s="1"/>
      <c r="C1934" s="39"/>
      <c r="D1934" s="21"/>
      <c r="G1934" s="1"/>
      <c r="H1934" s="11" t="str">
        <f t="shared" si="108"/>
        <v>0 г. 0 мес. 0 дн.</v>
      </c>
      <c r="I1934" s="20"/>
      <c r="J1934" s="20"/>
      <c r="O1934" s="20"/>
      <c r="V1934" s="1" t="str">
        <f t="shared" si="106"/>
        <v>0 г. 0 мес. 0 дн.</v>
      </c>
      <c r="W1934" s="69"/>
    </row>
    <row r="1935" spans="1:23" ht="35.1" customHeight="1" x14ac:dyDescent="0.25">
      <c r="A1935" s="1">
        <f t="shared" si="107"/>
        <v>1934</v>
      </c>
      <c r="B1935" s="1"/>
      <c r="C1935" s="39"/>
      <c r="D1935" s="21"/>
      <c r="G1935" s="1"/>
      <c r="H1935" s="11" t="str">
        <f t="shared" si="108"/>
        <v>0 г. 0 мес. 0 дн.</v>
      </c>
      <c r="I1935" s="20"/>
      <c r="J1935" s="20"/>
      <c r="O1935" s="20"/>
      <c r="V1935" s="1" t="str">
        <f t="shared" si="106"/>
        <v>0 г. 0 мес. 0 дн.</v>
      </c>
      <c r="W1935" s="69"/>
    </row>
    <row r="1936" spans="1:23" ht="35.1" customHeight="1" x14ac:dyDescent="0.25">
      <c r="A1936" s="1">
        <f t="shared" si="107"/>
        <v>1935</v>
      </c>
      <c r="B1936" s="1"/>
      <c r="C1936" s="39"/>
      <c r="D1936" s="21"/>
      <c r="G1936" s="1"/>
      <c r="H1936" s="11" t="str">
        <f t="shared" si="108"/>
        <v>0 г. 0 мес. 0 дн.</v>
      </c>
      <c r="I1936" s="20"/>
      <c r="J1936" s="20"/>
      <c r="O1936" s="20"/>
      <c r="V1936" s="1" t="str">
        <f t="shared" si="106"/>
        <v>0 г. 0 мес. 0 дн.</v>
      </c>
      <c r="W1936" s="69"/>
    </row>
    <row r="1937" spans="1:23" ht="35.1" customHeight="1" x14ac:dyDescent="0.25">
      <c r="A1937" s="1">
        <f t="shared" si="107"/>
        <v>1936</v>
      </c>
      <c r="B1937" s="1"/>
      <c r="C1937" s="39"/>
      <c r="D1937" s="21"/>
      <c r="G1937" s="1"/>
      <c r="H1937" s="11" t="str">
        <f t="shared" si="108"/>
        <v>0 г. 0 мес. 0 дн.</v>
      </c>
      <c r="I1937" s="20"/>
      <c r="J1937" s="20"/>
      <c r="O1937" s="20"/>
      <c r="V1937" s="1" t="str">
        <f t="shared" si="106"/>
        <v>0 г. 0 мес. 0 дн.</v>
      </c>
      <c r="W1937" s="69"/>
    </row>
    <row r="1938" spans="1:23" ht="35.1" customHeight="1" x14ac:dyDescent="0.25">
      <c r="A1938" s="1">
        <f t="shared" si="107"/>
        <v>1937</v>
      </c>
      <c r="B1938" s="1"/>
      <c r="C1938" s="39"/>
      <c r="D1938" s="21"/>
      <c r="G1938" s="1"/>
      <c r="H1938" s="11" t="str">
        <f t="shared" si="108"/>
        <v>0 г. 0 мес. 0 дн.</v>
      </c>
      <c r="I1938" s="20"/>
      <c r="J1938" s="20"/>
      <c r="O1938" s="20"/>
      <c r="V1938" s="1" t="str">
        <f t="shared" si="106"/>
        <v>0 г. 0 мес. 0 дн.</v>
      </c>
      <c r="W1938" s="69"/>
    </row>
    <row r="1939" spans="1:23" ht="35.1" customHeight="1" x14ac:dyDescent="0.25">
      <c r="A1939" s="1">
        <f t="shared" si="107"/>
        <v>1938</v>
      </c>
      <c r="B1939" s="1"/>
      <c r="C1939" s="39"/>
      <c r="D1939" s="21"/>
      <c r="G1939" s="1"/>
      <c r="H1939" s="11" t="str">
        <f t="shared" si="108"/>
        <v>0 г. 0 мес. 0 дн.</v>
      </c>
      <c r="I1939" s="20"/>
      <c r="J1939" s="20"/>
      <c r="O1939" s="20"/>
      <c r="V1939" s="1" t="str">
        <f t="shared" si="106"/>
        <v>0 г. 0 мес. 0 дн.</v>
      </c>
      <c r="W1939" s="69"/>
    </row>
    <row r="1940" spans="1:23" ht="35.1" customHeight="1" x14ac:dyDescent="0.25">
      <c r="A1940" s="1">
        <f t="shared" si="107"/>
        <v>1939</v>
      </c>
      <c r="B1940" s="1"/>
      <c r="C1940" s="39"/>
      <c r="D1940" s="21"/>
      <c r="G1940" s="1"/>
      <c r="H1940" s="11" t="str">
        <f t="shared" si="108"/>
        <v>0 г. 0 мес. 0 дн.</v>
      </c>
      <c r="I1940" s="20"/>
      <c r="J1940" s="20"/>
      <c r="O1940" s="20"/>
      <c r="V1940" s="1" t="str">
        <f t="shared" si="106"/>
        <v>0 г. 0 мес. 0 дн.</v>
      </c>
      <c r="W1940" s="69"/>
    </row>
    <row r="1941" spans="1:23" ht="35.1" customHeight="1" x14ac:dyDescent="0.25">
      <c r="A1941" s="1">
        <f t="shared" si="107"/>
        <v>1940</v>
      </c>
      <c r="B1941" s="1"/>
      <c r="C1941" s="39"/>
      <c r="D1941" s="21"/>
      <c r="G1941" s="1"/>
      <c r="H1941" s="11" t="str">
        <f t="shared" si="108"/>
        <v>0 г. 0 мес. 0 дн.</v>
      </c>
      <c r="I1941" s="20"/>
      <c r="J1941" s="20"/>
      <c r="O1941" s="20"/>
      <c r="V1941" s="1" t="str">
        <f t="shared" si="106"/>
        <v>0 г. 0 мес. 0 дн.</v>
      </c>
      <c r="W1941" s="69"/>
    </row>
    <row r="1942" spans="1:23" ht="35.1" customHeight="1" x14ac:dyDescent="0.25">
      <c r="A1942" s="1">
        <f t="shared" si="107"/>
        <v>1941</v>
      </c>
      <c r="B1942" s="1"/>
      <c r="C1942" s="39"/>
      <c r="D1942" s="21"/>
      <c r="G1942" s="1"/>
      <c r="H1942" s="11" t="str">
        <f t="shared" si="108"/>
        <v>0 г. 0 мес. 0 дн.</v>
      </c>
      <c r="I1942" s="20"/>
      <c r="J1942" s="20"/>
      <c r="O1942" s="20"/>
      <c r="V1942" s="1" t="str">
        <f t="shared" si="106"/>
        <v>0 г. 0 мес. 0 дн.</v>
      </c>
      <c r="W1942" s="69"/>
    </row>
    <row r="1943" spans="1:23" ht="35.1" customHeight="1" x14ac:dyDescent="0.25">
      <c r="A1943" s="1">
        <f t="shared" si="107"/>
        <v>1942</v>
      </c>
      <c r="B1943" s="1"/>
      <c r="C1943" s="39"/>
      <c r="D1943" s="21"/>
      <c r="G1943" s="1"/>
      <c r="H1943" s="11" t="str">
        <f t="shared" si="108"/>
        <v>0 г. 0 мес. 0 дн.</v>
      </c>
      <c r="I1943" s="20"/>
      <c r="J1943" s="20"/>
      <c r="O1943" s="20"/>
      <c r="V1943" s="1" t="str">
        <f t="shared" si="106"/>
        <v>0 г. 0 мес. 0 дн.</v>
      </c>
      <c r="W1943" s="69"/>
    </row>
    <row r="1944" spans="1:23" ht="35.1" customHeight="1" x14ac:dyDescent="0.25">
      <c r="A1944" s="1">
        <f t="shared" si="107"/>
        <v>1943</v>
      </c>
      <c r="B1944" s="1"/>
      <c r="C1944" s="39"/>
      <c r="D1944" s="21"/>
      <c r="G1944" s="1"/>
      <c r="H1944" s="11" t="str">
        <f t="shared" si="108"/>
        <v>0 г. 0 мес. 0 дн.</v>
      </c>
      <c r="I1944" s="20"/>
      <c r="J1944" s="20"/>
      <c r="O1944" s="20"/>
      <c r="V1944" s="1" t="str">
        <f t="shared" si="106"/>
        <v>0 г. 0 мес. 0 дн.</v>
      </c>
      <c r="W1944" s="69"/>
    </row>
    <row r="1945" spans="1:23" ht="35.1" customHeight="1" x14ac:dyDescent="0.25">
      <c r="A1945" s="1">
        <f t="shared" si="107"/>
        <v>1944</v>
      </c>
      <c r="B1945" s="1"/>
      <c r="C1945" s="39"/>
      <c r="D1945" s="21"/>
      <c r="G1945" s="1"/>
      <c r="H1945" s="11" t="str">
        <f t="shared" si="108"/>
        <v>0 г. 0 мес. 0 дн.</v>
      </c>
      <c r="I1945" s="20"/>
      <c r="J1945" s="20"/>
      <c r="O1945" s="20"/>
      <c r="V1945" s="1" t="str">
        <f t="shared" ref="V1945:V2008" si="109">DATEDIF(D1945,T1945,"y") &amp; " г. " &amp; DATEDIF(D1945,T1945,"ym") &amp; " мес. " &amp; DATEDIF(D1945,T1945,"md") &amp; " дн."</f>
        <v>0 г. 0 мес. 0 дн.</v>
      </c>
      <c r="W1945" s="69"/>
    </row>
    <row r="1946" spans="1:23" ht="35.1" customHeight="1" x14ac:dyDescent="0.25">
      <c r="A1946" s="1">
        <f t="shared" si="107"/>
        <v>1945</v>
      </c>
      <c r="B1946" s="1"/>
      <c r="C1946" s="39"/>
      <c r="D1946" s="21"/>
      <c r="G1946" s="1"/>
      <c r="H1946" s="11" t="str">
        <f t="shared" si="108"/>
        <v>0 г. 0 мес. 0 дн.</v>
      </c>
      <c r="I1946" s="20"/>
      <c r="J1946" s="20"/>
      <c r="O1946" s="20"/>
      <c r="V1946" s="1" t="str">
        <f t="shared" si="109"/>
        <v>0 г. 0 мес. 0 дн.</v>
      </c>
      <c r="W1946" s="69"/>
    </row>
    <row r="1947" spans="1:23" ht="35.1" customHeight="1" x14ac:dyDescent="0.25">
      <c r="A1947" s="1">
        <f t="shared" si="107"/>
        <v>1946</v>
      </c>
      <c r="B1947" s="1"/>
      <c r="C1947" s="39"/>
      <c r="D1947" s="21"/>
      <c r="G1947" s="1"/>
      <c r="H1947" s="11" t="str">
        <f t="shared" si="108"/>
        <v>0 г. 0 мес. 0 дн.</v>
      </c>
      <c r="I1947" s="20"/>
      <c r="J1947" s="20"/>
      <c r="O1947" s="20"/>
      <c r="V1947" s="1" t="str">
        <f t="shared" si="109"/>
        <v>0 г. 0 мес. 0 дн.</v>
      </c>
      <c r="W1947" s="69"/>
    </row>
    <row r="1948" spans="1:23" ht="35.1" customHeight="1" x14ac:dyDescent="0.25">
      <c r="A1948" s="1">
        <f t="shared" si="107"/>
        <v>1947</v>
      </c>
      <c r="B1948" s="1"/>
      <c r="C1948" s="39"/>
      <c r="D1948" s="21"/>
      <c r="G1948" s="1"/>
      <c r="H1948" s="11" t="str">
        <f t="shared" si="108"/>
        <v>0 г. 0 мес. 0 дн.</v>
      </c>
      <c r="I1948" s="20"/>
      <c r="J1948" s="20"/>
      <c r="O1948" s="20"/>
      <c r="V1948" s="1" t="str">
        <f t="shared" si="109"/>
        <v>0 г. 0 мес. 0 дн.</v>
      </c>
      <c r="W1948" s="69"/>
    </row>
    <row r="1949" spans="1:23" ht="35.1" customHeight="1" x14ac:dyDescent="0.25">
      <c r="A1949" s="1">
        <f t="shared" si="107"/>
        <v>1948</v>
      </c>
      <c r="B1949" s="1"/>
      <c r="C1949" s="39"/>
      <c r="D1949" s="21"/>
      <c r="G1949" s="1"/>
      <c r="H1949" s="11" t="str">
        <f t="shared" si="108"/>
        <v>0 г. 0 мес. 0 дн.</v>
      </c>
      <c r="I1949" s="20"/>
      <c r="J1949" s="20"/>
      <c r="O1949" s="20"/>
      <c r="V1949" s="1" t="str">
        <f t="shared" si="109"/>
        <v>0 г. 0 мес. 0 дн.</v>
      </c>
      <c r="W1949" s="69"/>
    </row>
    <row r="1950" spans="1:23" ht="35.1" customHeight="1" x14ac:dyDescent="0.25">
      <c r="A1950" s="1">
        <f t="shared" si="107"/>
        <v>1949</v>
      </c>
      <c r="B1950" s="1"/>
      <c r="C1950" s="39"/>
      <c r="D1950" s="21"/>
      <c r="G1950" s="1"/>
      <c r="H1950" s="11" t="str">
        <f t="shared" si="108"/>
        <v>0 г. 0 мес. 0 дн.</v>
      </c>
      <c r="I1950" s="20"/>
      <c r="J1950" s="20"/>
      <c r="O1950" s="20"/>
      <c r="V1950" s="1" t="str">
        <f t="shared" si="109"/>
        <v>0 г. 0 мес. 0 дн.</v>
      </c>
      <c r="W1950" s="69"/>
    </row>
    <row r="1951" spans="1:23" ht="35.1" customHeight="1" x14ac:dyDescent="0.25">
      <c r="A1951" s="1">
        <f t="shared" si="107"/>
        <v>1950</v>
      </c>
      <c r="B1951" s="1"/>
      <c r="C1951" s="39"/>
      <c r="D1951" s="21"/>
      <c r="G1951" s="1"/>
      <c r="H1951" s="11" t="str">
        <f t="shared" si="108"/>
        <v>0 г. 0 мес. 0 дн.</v>
      </c>
      <c r="I1951" s="20"/>
      <c r="J1951" s="20"/>
      <c r="O1951" s="20"/>
      <c r="V1951" s="1" t="str">
        <f t="shared" si="109"/>
        <v>0 г. 0 мес. 0 дн.</v>
      </c>
      <c r="W1951" s="69"/>
    </row>
    <row r="1952" spans="1:23" ht="35.1" customHeight="1" x14ac:dyDescent="0.25">
      <c r="A1952" s="1">
        <f t="shared" si="107"/>
        <v>1951</v>
      </c>
      <c r="B1952" s="1"/>
      <c r="C1952" s="39"/>
      <c r="D1952" s="21"/>
      <c r="G1952" s="1"/>
      <c r="H1952" s="11" t="str">
        <f t="shared" si="108"/>
        <v>0 г. 0 мес. 0 дн.</v>
      </c>
      <c r="I1952" s="20"/>
      <c r="J1952" s="20"/>
      <c r="O1952" s="20"/>
      <c r="V1952" s="1" t="str">
        <f t="shared" si="109"/>
        <v>0 г. 0 мес. 0 дн.</v>
      </c>
      <c r="W1952" s="69"/>
    </row>
    <row r="1953" spans="1:23" ht="35.1" customHeight="1" x14ac:dyDescent="0.25">
      <c r="A1953" s="1">
        <f t="shared" si="107"/>
        <v>1952</v>
      </c>
      <c r="B1953" s="1"/>
      <c r="C1953" s="39"/>
      <c r="D1953" s="21"/>
      <c r="G1953" s="1"/>
      <c r="H1953" s="11" t="str">
        <f t="shared" si="108"/>
        <v>0 г. 0 мес. 0 дн.</v>
      </c>
      <c r="I1953" s="20"/>
      <c r="J1953" s="20"/>
      <c r="O1953" s="20"/>
      <c r="V1953" s="1" t="str">
        <f t="shared" si="109"/>
        <v>0 г. 0 мес. 0 дн.</v>
      </c>
      <c r="W1953" s="69"/>
    </row>
    <row r="1954" spans="1:23" ht="35.1" customHeight="1" x14ac:dyDescent="0.25">
      <c r="A1954" s="1">
        <f t="shared" si="107"/>
        <v>1953</v>
      </c>
      <c r="B1954" s="1"/>
      <c r="C1954" s="39"/>
      <c r="D1954" s="21"/>
      <c r="G1954" s="1"/>
      <c r="H1954" s="11" t="str">
        <f t="shared" si="108"/>
        <v>0 г. 0 мес. 0 дн.</v>
      </c>
      <c r="I1954" s="20"/>
      <c r="J1954" s="20"/>
      <c r="O1954" s="20"/>
      <c r="V1954" s="1" t="str">
        <f t="shared" si="109"/>
        <v>0 г. 0 мес. 0 дн.</v>
      </c>
      <c r="W1954" s="69"/>
    </row>
    <row r="1955" spans="1:23" ht="35.1" customHeight="1" x14ac:dyDescent="0.25">
      <c r="A1955" s="1">
        <f t="shared" si="107"/>
        <v>1954</v>
      </c>
      <c r="B1955" s="1"/>
      <c r="C1955" s="39"/>
      <c r="D1955" s="21"/>
      <c r="G1955" s="1"/>
      <c r="H1955" s="11" t="str">
        <f t="shared" si="108"/>
        <v>0 г. 0 мес. 0 дн.</v>
      </c>
      <c r="I1955" s="20"/>
      <c r="J1955" s="20"/>
      <c r="O1955" s="20"/>
      <c r="V1955" s="1" t="str">
        <f t="shared" si="109"/>
        <v>0 г. 0 мес. 0 дн.</v>
      </c>
      <c r="W1955" s="69"/>
    </row>
    <row r="1956" spans="1:23" ht="35.1" customHeight="1" x14ac:dyDescent="0.25">
      <c r="A1956" s="1">
        <f t="shared" si="107"/>
        <v>1955</v>
      </c>
      <c r="B1956" s="1"/>
      <c r="C1956" s="39"/>
      <c r="D1956" s="21"/>
      <c r="G1956" s="1"/>
      <c r="H1956" s="11" t="str">
        <f t="shared" si="108"/>
        <v>0 г. 0 мес. 0 дн.</v>
      </c>
      <c r="I1956" s="20"/>
      <c r="J1956" s="20"/>
      <c r="O1956" s="20"/>
      <c r="V1956" s="1" t="str">
        <f t="shared" si="109"/>
        <v>0 г. 0 мес. 0 дн.</v>
      </c>
      <c r="W1956" s="69"/>
    </row>
    <row r="1957" spans="1:23" ht="35.1" customHeight="1" x14ac:dyDescent="0.25">
      <c r="A1957" s="1">
        <f t="shared" si="107"/>
        <v>1956</v>
      </c>
      <c r="B1957" s="1"/>
      <c r="C1957" s="39"/>
      <c r="D1957" s="21"/>
      <c r="G1957" s="1"/>
      <c r="H1957" s="11" t="str">
        <f t="shared" si="108"/>
        <v>0 г. 0 мес. 0 дн.</v>
      </c>
      <c r="I1957" s="20"/>
      <c r="J1957" s="20"/>
      <c r="O1957" s="20"/>
      <c r="V1957" s="1" t="str">
        <f t="shared" si="109"/>
        <v>0 г. 0 мес. 0 дн.</v>
      </c>
      <c r="W1957" s="69"/>
    </row>
    <row r="1958" spans="1:23" ht="35.1" customHeight="1" x14ac:dyDescent="0.25">
      <c r="A1958" s="1">
        <f t="shared" si="107"/>
        <v>1957</v>
      </c>
      <c r="B1958" s="1"/>
      <c r="C1958" s="39"/>
      <c r="D1958" s="21"/>
      <c r="G1958" s="1"/>
      <c r="H1958" s="11" t="str">
        <f t="shared" si="108"/>
        <v>0 г. 0 мес. 0 дн.</v>
      </c>
      <c r="I1958" s="20"/>
      <c r="J1958" s="20"/>
      <c r="O1958" s="20"/>
      <c r="V1958" s="1" t="str">
        <f t="shared" si="109"/>
        <v>0 г. 0 мес. 0 дн.</v>
      </c>
      <c r="W1958" s="69"/>
    </row>
    <row r="1959" spans="1:23" ht="35.1" customHeight="1" x14ac:dyDescent="0.25">
      <c r="A1959" s="1">
        <f t="shared" si="107"/>
        <v>1958</v>
      </c>
      <c r="B1959" s="1"/>
      <c r="C1959" s="39"/>
      <c r="D1959" s="21"/>
      <c r="G1959" s="1"/>
      <c r="H1959" s="11" t="str">
        <f t="shared" si="108"/>
        <v>0 г. 0 мес. 0 дн.</v>
      </c>
      <c r="I1959" s="20"/>
      <c r="J1959" s="20"/>
      <c r="O1959" s="20"/>
      <c r="V1959" s="1" t="str">
        <f t="shared" si="109"/>
        <v>0 г. 0 мес. 0 дн.</v>
      </c>
      <c r="W1959" s="69"/>
    </row>
    <row r="1960" spans="1:23" ht="35.1" customHeight="1" x14ac:dyDescent="0.25">
      <c r="A1960" s="1">
        <f t="shared" si="107"/>
        <v>1959</v>
      </c>
      <c r="B1960" s="1"/>
      <c r="C1960" s="39"/>
      <c r="D1960" s="21"/>
      <c r="G1960" s="1"/>
      <c r="H1960" s="11" t="str">
        <f t="shared" si="108"/>
        <v>0 г. 0 мес. 0 дн.</v>
      </c>
      <c r="I1960" s="20"/>
      <c r="J1960" s="20"/>
      <c r="O1960" s="20"/>
      <c r="V1960" s="1" t="str">
        <f t="shared" si="109"/>
        <v>0 г. 0 мес. 0 дн.</v>
      </c>
      <c r="W1960" s="69"/>
    </row>
    <row r="1961" spans="1:23" ht="35.1" customHeight="1" x14ac:dyDescent="0.25">
      <c r="A1961" s="1">
        <f t="shared" si="107"/>
        <v>1960</v>
      </c>
      <c r="B1961" s="1"/>
      <c r="C1961" s="39"/>
      <c r="D1961" s="21"/>
      <c r="G1961" s="1"/>
      <c r="H1961" s="11" t="str">
        <f t="shared" si="108"/>
        <v>0 г. 0 мес. 0 дн.</v>
      </c>
      <c r="I1961" s="20"/>
      <c r="J1961" s="20"/>
      <c r="O1961" s="20"/>
      <c r="V1961" s="1" t="str">
        <f t="shared" si="109"/>
        <v>0 г. 0 мес. 0 дн.</v>
      </c>
      <c r="W1961" s="69"/>
    </row>
    <row r="1962" spans="1:23" ht="35.1" customHeight="1" x14ac:dyDescent="0.25">
      <c r="A1962" s="1">
        <f t="shared" si="107"/>
        <v>1961</v>
      </c>
      <c r="B1962" s="1"/>
      <c r="C1962" s="39"/>
      <c r="D1962" s="21"/>
      <c r="G1962" s="1"/>
      <c r="H1962" s="11" t="str">
        <f t="shared" si="108"/>
        <v>0 г. 0 мес. 0 дн.</v>
      </c>
      <c r="I1962" s="20"/>
      <c r="J1962" s="20"/>
      <c r="O1962" s="20"/>
      <c r="V1962" s="1" t="str">
        <f t="shared" si="109"/>
        <v>0 г. 0 мес. 0 дн.</v>
      </c>
      <c r="W1962" s="69"/>
    </row>
    <row r="1963" spans="1:23" ht="35.1" customHeight="1" x14ac:dyDescent="0.25">
      <c r="A1963" s="1">
        <f t="shared" si="107"/>
        <v>1962</v>
      </c>
      <c r="B1963" s="1"/>
      <c r="C1963" s="39"/>
      <c r="D1963" s="21"/>
      <c r="G1963" s="1"/>
      <c r="H1963" s="11" t="str">
        <f t="shared" si="108"/>
        <v>0 г. 0 мес. 0 дн.</v>
      </c>
      <c r="I1963" s="20"/>
      <c r="J1963" s="20"/>
      <c r="O1963" s="20"/>
      <c r="V1963" s="1" t="str">
        <f t="shared" si="109"/>
        <v>0 г. 0 мес. 0 дн.</v>
      </c>
      <c r="W1963" s="69"/>
    </row>
    <row r="1964" spans="1:23" ht="35.1" customHeight="1" x14ac:dyDescent="0.25">
      <c r="A1964" s="1">
        <f t="shared" si="107"/>
        <v>1963</v>
      </c>
      <c r="B1964" s="1"/>
      <c r="C1964" s="39"/>
      <c r="D1964" s="21"/>
      <c r="G1964" s="1"/>
      <c r="H1964" s="11" t="str">
        <f t="shared" si="108"/>
        <v>0 г. 0 мес. 0 дн.</v>
      </c>
      <c r="I1964" s="20"/>
      <c r="J1964" s="20"/>
      <c r="O1964" s="20"/>
      <c r="V1964" s="1" t="str">
        <f t="shared" si="109"/>
        <v>0 г. 0 мес. 0 дн.</v>
      </c>
      <c r="W1964" s="69"/>
    </row>
    <row r="1965" spans="1:23" ht="35.1" customHeight="1" x14ac:dyDescent="0.25">
      <c r="A1965" s="1">
        <f t="shared" si="107"/>
        <v>1964</v>
      </c>
      <c r="B1965" s="1"/>
      <c r="C1965" s="39"/>
      <c r="D1965" s="21"/>
      <c r="G1965" s="1"/>
      <c r="H1965" s="11" t="str">
        <f t="shared" si="108"/>
        <v>0 г. 0 мес. 0 дн.</v>
      </c>
      <c r="I1965" s="20"/>
      <c r="J1965" s="20"/>
      <c r="O1965" s="20"/>
      <c r="V1965" s="1" t="str">
        <f t="shared" si="109"/>
        <v>0 г. 0 мес. 0 дн.</v>
      </c>
      <c r="W1965" s="69"/>
    </row>
    <row r="1966" spans="1:23" ht="35.1" customHeight="1" x14ac:dyDescent="0.25">
      <c r="A1966" s="1">
        <f t="shared" si="107"/>
        <v>1965</v>
      </c>
      <c r="B1966" s="1"/>
      <c r="C1966" s="39"/>
      <c r="D1966" s="21"/>
      <c r="G1966" s="1"/>
      <c r="H1966" s="11" t="str">
        <f t="shared" si="108"/>
        <v>0 г. 0 мес. 0 дн.</v>
      </c>
      <c r="I1966" s="20"/>
      <c r="J1966" s="20"/>
      <c r="O1966" s="20"/>
      <c r="V1966" s="1" t="str">
        <f t="shared" si="109"/>
        <v>0 г. 0 мес. 0 дн.</v>
      </c>
      <c r="W1966" s="69"/>
    </row>
    <row r="1967" spans="1:23" ht="35.1" customHeight="1" x14ac:dyDescent="0.25">
      <c r="A1967" s="1">
        <f t="shared" si="107"/>
        <v>1966</v>
      </c>
      <c r="B1967" s="1"/>
      <c r="C1967" s="39"/>
      <c r="D1967" s="21"/>
      <c r="G1967" s="1"/>
      <c r="H1967" s="11" t="str">
        <f t="shared" si="108"/>
        <v>0 г. 0 мес. 0 дн.</v>
      </c>
      <c r="I1967" s="20"/>
      <c r="J1967" s="20"/>
      <c r="O1967" s="20"/>
      <c r="V1967" s="1" t="str">
        <f t="shared" si="109"/>
        <v>0 г. 0 мес. 0 дн.</v>
      </c>
      <c r="W1967" s="69"/>
    </row>
    <row r="1968" spans="1:23" ht="35.1" customHeight="1" x14ac:dyDescent="0.25">
      <c r="A1968" s="1">
        <f t="shared" si="107"/>
        <v>1967</v>
      </c>
      <c r="B1968" s="1"/>
      <c r="C1968" s="39"/>
      <c r="D1968" s="21"/>
      <c r="G1968" s="1"/>
      <c r="H1968" s="11" t="str">
        <f t="shared" si="108"/>
        <v>0 г. 0 мес. 0 дн.</v>
      </c>
      <c r="I1968" s="20"/>
      <c r="J1968" s="20"/>
      <c r="O1968" s="20"/>
      <c r="V1968" s="1" t="str">
        <f t="shared" si="109"/>
        <v>0 г. 0 мес. 0 дн.</v>
      </c>
      <c r="W1968" s="69"/>
    </row>
    <row r="1969" spans="1:23" ht="35.1" customHeight="1" x14ac:dyDescent="0.25">
      <c r="A1969" s="1">
        <f t="shared" si="107"/>
        <v>1968</v>
      </c>
      <c r="B1969" s="1"/>
      <c r="C1969" s="39"/>
      <c r="D1969" s="21"/>
      <c r="G1969" s="1"/>
      <c r="H1969" s="11" t="str">
        <f t="shared" si="108"/>
        <v>0 г. 0 мес. 0 дн.</v>
      </c>
      <c r="I1969" s="20"/>
      <c r="J1969" s="20"/>
      <c r="O1969" s="20"/>
      <c r="V1969" s="1" t="str">
        <f t="shared" si="109"/>
        <v>0 г. 0 мес. 0 дн.</v>
      </c>
      <c r="W1969" s="69"/>
    </row>
    <row r="1970" spans="1:23" ht="35.1" customHeight="1" x14ac:dyDescent="0.25">
      <c r="A1970" s="1">
        <f t="shared" si="107"/>
        <v>1969</v>
      </c>
      <c r="B1970" s="1"/>
      <c r="C1970" s="39"/>
      <c r="D1970" s="21"/>
      <c r="G1970" s="1"/>
      <c r="H1970" s="11" t="str">
        <f t="shared" si="108"/>
        <v>0 г. 0 мес. 0 дн.</v>
      </c>
      <c r="I1970" s="20"/>
      <c r="J1970" s="20"/>
      <c r="O1970" s="20"/>
      <c r="V1970" s="1" t="str">
        <f t="shared" si="109"/>
        <v>0 г. 0 мес. 0 дн.</v>
      </c>
      <c r="W1970" s="69"/>
    </row>
    <row r="1971" spans="1:23" ht="35.1" customHeight="1" x14ac:dyDescent="0.25">
      <c r="A1971" s="1">
        <f t="shared" si="107"/>
        <v>1970</v>
      </c>
      <c r="B1971" s="1"/>
      <c r="C1971" s="39"/>
      <c r="D1971" s="21"/>
      <c r="G1971" s="1"/>
      <c r="H1971" s="11" t="str">
        <f t="shared" si="108"/>
        <v>0 г. 0 мес. 0 дн.</v>
      </c>
      <c r="I1971" s="20"/>
      <c r="J1971" s="20"/>
      <c r="O1971" s="20"/>
      <c r="V1971" s="1" t="str">
        <f t="shared" si="109"/>
        <v>0 г. 0 мес. 0 дн.</v>
      </c>
      <c r="W1971" s="69"/>
    </row>
    <row r="1972" spans="1:23" ht="35.1" customHeight="1" x14ac:dyDescent="0.25">
      <c r="A1972" s="1">
        <f t="shared" si="107"/>
        <v>1971</v>
      </c>
      <c r="B1972" s="1"/>
      <c r="C1972" s="39"/>
      <c r="D1972" s="21"/>
      <c r="G1972" s="1"/>
      <c r="H1972" s="11" t="str">
        <f t="shared" si="108"/>
        <v>0 г. 0 мес. 0 дн.</v>
      </c>
      <c r="I1972" s="20"/>
      <c r="J1972" s="20"/>
      <c r="O1972" s="20"/>
      <c r="V1972" s="1" t="str">
        <f t="shared" si="109"/>
        <v>0 г. 0 мес. 0 дн.</v>
      </c>
      <c r="W1972" s="69"/>
    </row>
    <row r="1973" spans="1:23" ht="35.1" customHeight="1" x14ac:dyDescent="0.25">
      <c r="A1973" s="1">
        <f t="shared" si="107"/>
        <v>1972</v>
      </c>
      <c r="B1973" s="1"/>
      <c r="C1973" s="39"/>
      <c r="D1973" s="21"/>
      <c r="G1973" s="1"/>
      <c r="H1973" s="11" t="str">
        <f t="shared" si="108"/>
        <v>0 г. 0 мес. 0 дн.</v>
      </c>
      <c r="I1973" s="20"/>
      <c r="J1973" s="20"/>
      <c r="O1973" s="20"/>
      <c r="V1973" s="1" t="str">
        <f t="shared" si="109"/>
        <v>0 г. 0 мес. 0 дн.</v>
      </c>
      <c r="W1973" s="69"/>
    </row>
    <row r="1974" spans="1:23" ht="35.1" customHeight="1" x14ac:dyDescent="0.25">
      <c r="A1974" s="1">
        <f t="shared" si="107"/>
        <v>1973</v>
      </c>
      <c r="B1974" s="1"/>
      <c r="C1974" s="39"/>
      <c r="D1974" s="21"/>
      <c r="G1974" s="1"/>
      <c r="H1974" s="11" t="str">
        <f t="shared" si="108"/>
        <v>0 г. 0 мес. 0 дн.</v>
      </c>
      <c r="I1974" s="20"/>
      <c r="J1974" s="20"/>
      <c r="O1974" s="20"/>
      <c r="V1974" s="1" t="str">
        <f t="shared" si="109"/>
        <v>0 г. 0 мес. 0 дн.</v>
      </c>
      <c r="W1974" s="69"/>
    </row>
    <row r="1975" spans="1:23" ht="35.1" customHeight="1" x14ac:dyDescent="0.25">
      <c r="A1975" s="1">
        <f t="shared" si="107"/>
        <v>1974</v>
      </c>
      <c r="B1975" s="1"/>
      <c r="C1975" s="39"/>
      <c r="D1975" s="21"/>
      <c r="G1975" s="1"/>
      <c r="H1975" s="11" t="str">
        <f t="shared" si="108"/>
        <v>0 г. 0 мес. 0 дн.</v>
      </c>
      <c r="I1975" s="20"/>
      <c r="J1975" s="20"/>
      <c r="O1975" s="20"/>
      <c r="V1975" s="1" t="str">
        <f t="shared" si="109"/>
        <v>0 г. 0 мес. 0 дн.</v>
      </c>
      <c r="W1975" s="69"/>
    </row>
    <row r="1976" spans="1:23" ht="35.1" customHeight="1" x14ac:dyDescent="0.25">
      <c r="A1976" s="1">
        <f t="shared" si="107"/>
        <v>1975</v>
      </c>
      <c r="B1976" s="1"/>
      <c r="C1976" s="39"/>
      <c r="D1976" s="21"/>
      <c r="G1976" s="1"/>
      <c r="H1976" s="11" t="str">
        <f t="shared" si="108"/>
        <v>0 г. 0 мес. 0 дн.</v>
      </c>
      <c r="I1976" s="20"/>
      <c r="J1976" s="20"/>
      <c r="O1976" s="20"/>
      <c r="V1976" s="1" t="str">
        <f t="shared" si="109"/>
        <v>0 г. 0 мес. 0 дн.</v>
      </c>
      <c r="W1976" s="69"/>
    </row>
    <row r="1977" spans="1:23" ht="35.1" customHeight="1" x14ac:dyDescent="0.25">
      <c r="A1977" s="1">
        <f t="shared" si="107"/>
        <v>1976</v>
      </c>
      <c r="B1977" s="1"/>
      <c r="C1977" s="39"/>
      <c r="D1977" s="21"/>
      <c r="G1977" s="1"/>
      <c r="H1977" s="11" t="str">
        <f t="shared" si="108"/>
        <v>0 г. 0 мес. 0 дн.</v>
      </c>
      <c r="I1977" s="20"/>
      <c r="J1977" s="20"/>
      <c r="O1977" s="20"/>
      <c r="V1977" s="1" t="str">
        <f t="shared" si="109"/>
        <v>0 г. 0 мес. 0 дн.</v>
      </c>
      <c r="W1977" s="69"/>
    </row>
    <row r="1978" spans="1:23" ht="35.1" customHeight="1" x14ac:dyDescent="0.25">
      <c r="A1978" s="1">
        <f t="shared" si="107"/>
        <v>1977</v>
      </c>
      <c r="B1978" s="1"/>
      <c r="C1978" s="39"/>
      <c r="D1978" s="21"/>
      <c r="G1978" s="1"/>
      <c r="H1978" s="11" t="str">
        <f t="shared" si="108"/>
        <v>0 г. 0 мес. 0 дн.</v>
      </c>
      <c r="I1978" s="20"/>
      <c r="J1978" s="20"/>
      <c r="O1978" s="20"/>
      <c r="V1978" s="1" t="str">
        <f t="shared" si="109"/>
        <v>0 г. 0 мес. 0 дн.</v>
      </c>
      <c r="W1978" s="69"/>
    </row>
    <row r="1979" spans="1:23" ht="35.1" customHeight="1" x14ac:dyDescent="0.25">
      <c r="A1979" s="1">
        <f t="shared" si="107"/>
        <v>1978</v>
      </c>
      <c r="B1979" s="1"/>
      <c r="C1979" s="39"/>
      <c r="D1979" s="21"/>
      <c r="G1979" s="1"/>
      <c r="H1979" s="11" t="str">
        <f t="shared" si="108"/>
        <v>0 г. 0 мес. 0 дн.</v>
      </c>
      <c r="I1979" s="20"/>
      <c r="J1979" s="20"/>
      <c r="O1979" s="20"/>
      <c r="V1979" s="1" t="str">
        <f t="shared" si="109"/>
        <v>0 г. 0 мес. 0 дн.</v>
      </c>
      <c r="W1979" s="69"/>
    </row>
    <row r="1980" spans="1:23" ht="35.1" customHeight="1" x14ac:dyDescent="0.25">
      <c r="A1980" s="1">
        <f t="shared" si="107"/>
        <v>1979</v>
      </c>
      <c r="B1980" s="1"/>
      <c r="C1980" s="39"/>
      <c r="D1980" s="21"/>
      <c r="G1980" s="1"/>
      <c r="H1980" s="11" t="str">
        <f t="shared" si="108"/>
        <v>0 г. 0 мес. 0 дн.</v>
      </c>
      <c r="I1980" s="20"/>
      <c r="J1980" s="20"/>
      <c r="O1980" s="20"/>
      <c r="V1980" s="1" t="str">
        <f t="shared" si="109"/>
        <v>0 г. 0 мес. 0 дн.</v>
      </c>
      <c r="W1980" s="69"/>
    </row>
    <row r="1981" spans="1:23" ht="35.1" customHeight="1" x14ac:dyDescent="0.25">
      <c r="A1981" s="1">
        <f t="shared" si="107"/>
        <v>1980</v>
      </c>
      <c r="B1981" s="1"/>
      <c r="C1981" s="39"/>
      <c r="D1981" s="21"/>
      <c r="G1981" s="1"/>
      <c r="H1981" s="11" t="str">
        <f t="shared" si="108"/>
        <v>0 г. 0 мес. 0 дн.</v>
      </c>
      <c r="I1981" s="20"/>
      <c r="J1981" s="20"/>
      <c r="O1981" s="20"/>
      <c r="V1981" s="1" t="str">
        <f t="shared" si="109"/>
        <v>0 г. 0 мес. 0 дн.</v>
      </c>
      <c r="W1981" s="69"/>
    </row>
    <row r="1982" spans="1:23" ht="35.1" customHeight="1" x14ac:dyDescent="0.25">
      <c r="A1982" s="1">
        <f t="shared" si="107"/>
        <v>1981</v>
      </c>
      <c r="B1982" s="1"/>
      <c r="C1982" s="39"/>
      <c r="D1982" s="21"/>
      <c r="G1982" s="1"/>
      <c r="H1982" s="11" t="str">
        <f t="shared" si="108"/>
        <v>0 г. 0 мес. 0 дн.</v>
      </c>
      <c r="I1982" s="20"/>
      <c r="J1982" s="20"/>
      <c r="O1982" s="20"/>
      <c r="V1982" s="1" t="str">
        <f t="shared" si="109"/>
        <v>0 г. 0 мес. 0 дн.</v>
      </c>
      <c r="W1982" s="69"/>
    </row>
    <row r="1983" spans="1:23" ht="35.1" customHeight="1" x14ac:dyDescent="0.25">
      <c r="A1983" s="1">
        <f t="shared" si="107"/>
        <v>1982</v>
      </c>
      <c r="B1983" s="1"/>
      <c r="C1983" s="39"/>
      <c r="D1983" s="21"/>
      <c r="G1983" s="1"/>
      <c r="H1983" s="11" t="str">
        <f t="shared" si="108"/>
        <v>0 г. 0 мес. 0 дн.</v>
      </c>
      <c r="I1983" s="20"/>
      <c r="J1983" s="20"/>
      <c r="O1983" s="20"/>
      <c r="V1983" s="1" t="str">
        <f t="shared" si="109"/>
        <v>0 г. 0 мес. 0 дн.</v>
      </c>
      <c r="W1983" s="69"/>
    </row>
    <row r="1984" spans="1:23" ht="35.1" customHeight="1" x14ac:dyDescent="0.25">
      <c r="A1984" s="1">
        <f t="shared" si="107"/>
        <v>1983</v>
      </c>
      <c r="B1984" s="1"/>
      <c r="C1984" s="39"/>
      <c r="D1984" s="21"/>
      <c r="G1984" s="1"/>
      <c r="H1984" s="11" t="str">
        <f t="shared" si="108"/>
        <v>0 г. 0 мес. 0 дн.</v>
      </c>
      <c r="I1984" s="20"/>
      <c r="J1984" s="20"/>
      <c r="O1984" s="20"/>
      <c r="V1984" s="1" t="str">
        <f t="shared" si="109"/>
        <v>0 г. 0 мес. 0 дн.</v>
      </c>
      <c r="W1984" s="69"/>
    </row>
    <row r="1985" spans="1:23" ht="35.1" customHeight="1" x14ac:dyDescent="0.25">
      <c r="A1985" s="1">
        <f t="shared" ref="A1985:A2048" si="110">ROW(A1984)</f>
        <v>1984</v>
      </c>
      <c r="B1985" s="1"/>
      <c r="C1985" s="39"/>
      <c r="D1985" s="21"/>
      <c r="G1985" s="1"/>
      <c r="H1985" s="11" t="str">
        <f t="shared" ref="H1985:H2048" si="111">DATEDIF(G1985,D1985,"y") &amp; " г. " &amp; DATEDIF(G1985,D1985,"ym") &amp; " мес. " &amp; DATEDIF(G1985,D1985,"md") &amp; " дн."</f>
        <v>0 г. 0 мес. 0 дн.</v>
      </c>
      <c r="I1985" s="20"/>
      <c r="J1985" s="20"/>
      <c r="O1985" s="20"/>
      <c r="V1985" s="1" t="str">
        <f t="shared" si="109"/>
        <v>0 г. 0 мес. 0 дн.</v>
      </c>
      <c r="W1985" s="69"/>
    </row>
    <row r="1986" spans="1:23" ht="35.1" customHeight="1" x14ac:dyDescent="0.25">
      <c r="A1986" s="1">
        <f t="shared" si="110"/>
        <v>1985</v>
      </c>
      <c r="B1986" s="1"/>
      <c r="C1986" s="39"/>
      <c r="D1986" s="21"/>
      <c r="G1986" s="1"/>
      <c r="H1986" s="11" t="str">
        <f t="shared" si="111"/>
        <v>0 г. 0 мес. 0 дн.</v>
      </c>
      <c r="I1986" s="20"/>
      <c r="J1986" s="20"/>
      <c r="O1986" s="20"/>
      <c r="V1986" s="1" t="str">
        <f t="shared" si="109"/>
        <v>0 г. 0 мес. 0 дн.</v>
      </c>
      <c r="W1986" s="69"/>
    </row>
    <row r="1987" spans="1:23" ht="35.1" customHeight="1" x14ac:dyDescent="0.25">
      <c r="A1987" s="1">
        <f t="shared" si="110"/>
        <v>1986</v>
      </c>
      <c r="B1987" s="1"/>
      <c r="C1987" s="39"/>
      <c r="D1987" s="21"/>
      <c r="G1987" s="1"/>
      <c r="H1987" s="11" t="str">
        <f t="shared" si="111"/>
        <v>0 г. 0 мес. 0 дн.</v>
      </c>
      <c r="I1987" s="20"/>
      <c r="J1987" s="20"/>
      <c r="O1987" s="20"/>
      <c r="V1987" s="1" t="str">
        <f t="shared" si="109"/>
        <v>0 г. 0 мес. 0 дн.</v>
      </c>
      <c r="W1987" s="69"/>
    </row>
    <row r="1988" spans="1:23" ht="35.1" customHeight="1" x14ac:dyDescent="0.25">
      <c r="A1988" s="1">
        <f t="shared" si="110"/>
        <v>1987</v>
      </c>
      <c r="B1988" s="1"/>
      <c r="C1988" s="39"/>
      <c r="D1988" s="21"/>
      <c r="G1988" s="1"/>
      <c r="H1988" s="11" t="str">
        <f t="shared" si="111"/>
        <v>0 г. 0 мес. 0 дн.</v>
      </c>
      <c r="I1988" s="20"/>
      <c r="J1988" s="20"/>
      <c r="O1988" s="20"/>
      <c r="V1988" s="1" t="str">
        <f t="shared" si="109"/>
        <v>0 г. 0 мес. 0 дн.</v>
      </c>
      <c r="W1988" s="69"/>
    </row>
    <row r="1989" spans="1:23" ht="35.1" customHeight="1" x14ac:dyDescent="0.25">
      <c r="A1989" s="1">
        <f t="shared" si="110"/>
        <v>1988</v>
      </c>
      <c r="B1989" s="1"/>
      <c r="C1989" s="39"/>
      <c r="D1989" s="21"/>
      <c r="G1989" s="1"/>
      <c r="H1989" s="11" t="str">
        <f t="shared" si="111"/>
        <v>0 г. 0 мес. 0 дн.</v>
      </c>
      <c r="I1989" s="20"/>
      <c r="J1989" s="20"/>
      <c r="O1989" s="20"/>
      <c r="V1989" s="1" t="str">
        <f t="shared" si="109"/>
        <v>0 г. 0 мес. 0 дн.</v>
      </c>
      <c r="W1989" s="69"/>
    </row>
    <row r="1990" spans="1:23" ht="35.1" customHeight="1" x14ac:dyDescent="0.25">
      <c r="A1990" s="1">
        <f t="shared" si="110"/>
        <v>1989</v>
      </c>
      <c r="B1990" s="1"/>
      <c r="C1990" s="39"/>
      <c r="D1990" s="21"/>
      <c r="G1990" s="1"/>
      <c r="H1990" s="11" t="str">
        <f t="shared" si="111"/>
        <v>0 г. 0 мес. 0 дн.</v>
      </c>
      <c r="I1990" s="20"/>
      <c r="J1990" s="20"/>
      <c r="O1990" s="20"/>
      <c r="V1990" s="1" t="str">
        <f t="shared" si="109"/>
        <v>0 г. 0 мес. 0 дн.</v>
      </c>
      <c r="W1990" s="69"/>
    </row>
    <row r="1991" spans="1:23" ht="35.1" customHeight="1" x14ac:dyDescent="0.25">
      <c r="A1991" s="1">
        <f t="shared" si="110"/>
        <v>1990</v>
      </c>
      <c r="B1991" s="1"/>
      <c r="C1991" s="39"/>
      <c r="D1991" s="21"/>
      <c r="G1991" s="1"/>
      <c r="H1991" s="11" t="str">
        <f t="shared" si="111"/>
        <v>0 г. 0 мес. 0 дн.</v>
      </c>
      <c r="I1991" s="20"/>
      <c r="J1991" s="20"/>
      <c r="O1991" s="20"/>
      <c r="V1991" s="1" t="str">
        <f t="shared" si="109"/>
        <v>0 г. 0 мес. 0 дн.</v>
      </c>
      <c r="W1991" s="69"/>
    </row>
    <row r="1992" spans="1:23" ht="35.1" customHeight="1" x14ac:dyDescent="0.25">
      <c r="A1992" s="1">
        <f t="shared" si="110"/>
        <v>1991</v>
      </c>
      <c r="B1992" s="1"/>
      <c r="C1992" s="39"/>
      <c r="D1992" s="21"/>
      <c r="G1992" s="1"/>
      <c r="H1992" s="11" t="str">
        <f t="shared" si="111"/>
        <v>0 г. 0 мес. 0 дн.</v>
      </c>
      <c r="I1992" s="20"/>
      <c r="J1992" s="20"/>
      <c r="O1992" s="20"/>
      <c r="V1992" s="1" t="str">
        <f t="shared" si="109"/>
        <v>0 г. 0 мес. 0 дн.</v>
      </c>
      <c r="W1992" s="69"/>
    </row>
    <row r="1993" spans="1:23" ht="35.1" customHeight="1" x14ac:dyDescent="0.25">
      <c r="A1993" s="1">
        <f t="shared" si="110"/>
        <v>1992</v>
      </c>
      <c r="B1993" s="1"/>
      <c r="C1993" s="39"/>
      <c r="D1993" s="21"/>
      <c r="G1993" s="1"/>
      <c r="H1993" s="11" t="str">
        <f t="shared" si="111"/>
        <v>0 г. 0 мес. 0 дн.</v>
      </c>
      <c r="I1993" s="20"/>
      <c r="J1993" s="20"/>
      <c r="O1993" s="20"/>
      <c r="V1993" s="1" t="str">
        <f t="shared" si="109"/>
        <v>0 г. 0 мес. 0 дн.</v>
      </c>
      <c r="W1993" s="69"/>
    </row>
    <row r="1994" spans="1:23" ht="35.1" customHeight="1" x14ac:dyDescent="0.25">
      <c r="A1994" s="1">
        <f t="shared" si="110"/>
        <v>1993</v>
      </c>
      <c r="B1994" s="1"/>
      <c r="C1994" s="39"/>
      <c r="D1994" s="21"/>
      <c r="G1994" s="1"/>
      <c r="H1994" s="11" t="str">
        <f t="shared" si="111"/>
        <v>0 г. 0 мес. 0 дн.</v>
      </c>
      <c r="I1994" s="20"/>
      <c r="J1994" s="20"/>
      <c r="O1994" s="20"/>
      <c r="V1994" s="1" t="str">
        <f t="shared" si="109"/>
        <v>0 г. 0 мес. 0 дн.</v>
      </c>
      <c r="W1994" s="69"/>
    </row>
    <row r="1995" spans="1:23" ht="35.1" customHeight="1" x14ac:dyDescent="0.25">
      <c r="A1995" s="1">
        <f t="shared" si="110"/>
        <v>1994</v>
      </c>
      <c r="B1995" s="1"/>
      <c r="C1995" s="39"/>
      <c r="D1995" s="21"/>
      <c r="G1995" s="1"/>
      <c r="H1995" s="11" t="str">
        <f t="shared" si="111"/>
        <v>0 г. 0 мес. 0 дн.</v>
      </c>
      <c r="I1995" s="20"/>
      <c r="J1995" s="20"/>
      <c r="O1995" s="20"/>
      <c r="V1995" s="1" t="str">
        <f t="shared" si="109"/>
        <v>0 г. 0 мес. 0 дн.</v>
      </c>
      <c r="W1995" s="69"/>
    </row>
    <row r="1996" spans="1:23" ht="35.1" customHeight="1" x14ac:dyDescent="0.25">
      <c r="A1996" s="1">
        <f t="shared" si="110"/>
        <v>1995</v>
      </c>
      <c r="B1996" s="1"/>
      <c r="C1996" s="39"/>
      <c r="D1996" s="21"/>
      <c r="G1996" s="1"/>
      <c r="H1996" s="11" t="str">
        <f t="shared" si="111"/>
        <v>0 г. 0 мес. 0 дн.</v>
      </c>
      <c r="I1996" s="20"/>
      <c r="J1996" s="20"/>
      <c r="O1996" s="20"/>
      <c r="V1996" s="1" t="str">
        <f t="shared" si="109"/>
        <v>0 г. 0 мес. 0 дн.</v>
      </c>
      <c r="W1996" s="69"/>
    </row>
    <row r="1997" spans="1:23" ht="35.1" customHeight="1" x14ac:dyDescent="0.25">
      <c r="A1997" s="1">
        <f t="shared" si="110"/>
        <v>1996</v>
      </c>
      <c r="B1997" s="1"/>
      <c r="C1997" s="39"/>
      <c r="D1997" s="21"/>
      <c r="G1997" s="1"/>
      <c r="H1997" s="11" t="str">
        <f t="shared" si="111"/>
        <v>0 г. 0 мес. 0 дн.</v>
      </c>
      <c r="I1997" s="20"/>
      <c r="J1997" s="20"/>
      <c r="O1997" s="20"/>
      <c r="V1997" s="1" t="str">
        <f t="shared" si="109"/>
        <v>0 г. 0 мес. 0 дн.</v>
      </c>
      <c r="W1997" s="69"/>
    </row>
    <row r="1998" spans="1:23" ht="35.1" customHeight="1" x14ac:dyDescent="0.25">
      <c r="A1998" s="1">
        <f t="shared" si="110"/>
        <v>1997</v>
      </c>
      <c r="B1998" s="1"/>
      <c r="C1998" s="39"/>
      <c r="D1998" s="21"/>
      <c r="G1998" s="1"/>
      <c r="H1998" s="11" t="str">
        <f t="shared" si="111"/>
        <v>0 г. 0 мес. 0 дн.</v>
      </c>
      <c r="I1998" s="20"/>
      <c r="J1998" s="20"/>
      <c r="O1998" s="20"/>
      <c r="V1998" s="1" t="str">
        <f t="shared" si="109"/>
        <v>0 г. 0 мес. 0 дн.</v>
      </c>
      <c r="W1998" s="69"/>
    </row>
    <row r="1999" spans="1:23" ht="35.1" customHeight="1" x14ac:dyDescent="0.25">
      <c r="A1999" s="1">
        <f t="shared" si="110"/>
        <v>1998</v>
      </c>
      <c r="B1999" s="1"/>
      <c r="C1999" s="39"/>
      <c r="D1999" s="21"/>
      <c r="G1999" s="1"/>
      <c r="H1999" s="11" t="str">
        <f t="shared" si="111"/>
        <v>0 г. 0 мес. 0 дн.</v>
      </c>
      <c r="I1999" s="20"/>
      <c r="J1999" s="20"/>
      <c r="O1999" s="20"/>
      <c r="V1999" s="1" t="str">
        <f t="shared" si="109"/>
        <v>0 г. 0 мес. 0 дн.</v>
      </c>
      <c r="W1999" s="69"/>
    </row>
    <row r="2000" spans="1:23" ht="35.1" customHeight="1" x14ac:dyDescent="0.25">
      <c r="A2000" s="1">
        <f t="shared" si="110"/>
        <v>1999</v>
      </c>
      <c r="B2000" s="1"/>
      <c r="C2000" s="39"/>
      <c r="D2000" s="21"/>
      <c r="G2000" s="1"/>
      <c r="H2000" s="11" t="str">
        <f t="shared" si="111"/>
        <v>0 г. 0 мес. 0 дн.</v>
      </c>
      <c r="I2000" s="20"/>
      <c r="J2000" s="20"/>
      <c r="O2000" s="20"/>
      <c r="V2000" s="1" t="str">
        <f t="shared" si="109"/>
        <v>0 г. 0 мес. 0 дн.</v>
      </c>
      <c r="W2000" s="69"/>
    </row>
    <row r="2001" spans="1:23" ht="35.1" customHeight="1" x14ac:dyDescent="0.25">
      <c r="A2001" s="1">
        <f t="shared" si="110"/>
        <v>2000</v>
      </c>
      <c r="B2001" s="1"/>
      <c r="C2001" s="39"/>
      <c r="D2001" s="21"/>
      <c r="G2001" s="1"/>
      <c r="H2001" s="11" t="str">
        <f t="shared" si="111"/>
        <v>0 г. 0 мес. 0 дн.</v>
      </c>
      <c r="I2001" s="20"/>
      <c r="J2001" s="20"/>
      <c r="O2001" s="20"/>
      <c r="V2001" s="1" t="str">
        <f t="shared" si="109"/>
        <v>0 г. 0 мес. 0 дн.</v>
      </c>
      <c r="W2001" s="69"/>
    </row>
    <row r="2002" spans="1:23" ht="35.1" customHeight="1" x14ac:dyDescent="0.25">
      <c r="A2002" s="1">
        <f t="shared" si="110"/>
        <v>2001</v>
      </c>
      <c r="B2002" s="1"/>
      <c r="C2002" s="39"/>
      <c r="D2002" s="21"/>
      <c r="G2002" s="1"/>
      <c r="H2002" s="11" t="str">
        <f t="shared" si="111"/>
        <v>0 г. 0 мес. 0 дн.</v>
      </c>
      <c r="I2002" s="20"/>
      <c r="J2002" s="20"/>
      <c r="O2002" s="20"/>
      <c r="V2002" s="1" t="str">
        <f t="shared" si="109"/>
        <v>0 г. 0 мес. 0 дн.</v>
      </c>
      <c r="W2002" s="69"/>
    </row>
    <row r="2003" spans="1:23" ht="35.1" customHeight="1" x14ac:dyDescent="0.25">
      <c r="A2003" s="1">
        <f t="shared" si="110"/>
        <v>2002</v>
      </c>
      <c r="B2003" s="1"/>
      <c r="C2003" s="39"/>
      <c r="D2003" s="21"/>
      <c r="G2003" s="1"/>
      <c r="H2003" s="11" t="str">
        <f t="shared" si="111"/>
        <v>0 г. 0 мес. 0 дн.</v>
      </c>
      <c r="I2003" s="20"/>
      <c r="J2003" s="20"/>
      <c r="O2003" s="20"/>
      <c r="V2003" s="1" t="str">
        <f t="shared" si="109"/>
        <v>0 г. 0 мес. 0 дн.</v>
      </c>
      <c r="W2003" s="69"/>
    </row>
    <row r="2004" spans="1:23" ht="35.1" customHeight="1" x14ac:dyDescent="0.25">
      <c r="A2004" s="1">
        <f t="shared" si="110"/>
        <v>2003</v>
      </c>
      <c r="B2004" s="1"/>
      <c r="C2004" s="39"/>
      <c r="D2004" s="21"/>
      <c r="G2004" s="1"/>
      <c r="H2004" s="11" t="str">
        <f t="shared" si="111"/>
        <v>0 г. 0 мес. 0 дн.</v>
      </c>
      <c r="I2004" s="20"/>
      <c r="J2004" s="20"/>
      <c r="O2004" s="20"/>
      <c r="V2004" s="1" t="str">
        <f t="shared" si="109"/>
        <v>0 г. 0 мес. 0 дн.</v>
      </c>
      <c r="W2004" s="69"/>
    </row>
    <row r="2005" spans="1:23" ht="35.1" customHeight="1" x14ac:dyDescent="0.25">
      <c r="A2005" s="1">
        <f t="shared" si="110"/>
        <v>2004</v>
      </c>
      <c r="B2005" s="1"/>
      <c r="C2005" s="39"/>
      <c r="D2005" s="21"/>
      <c r="G2005" s="1"/>
      <c r="H2005" s="11" t="str">
        <f t="shared" si="111"/>
        <v>0 г. 0 мес. 0 дн.</v>
      </c>
      <c r="I2005" s="20"/>
      <c r="J2005" s="20"/>
      <c r="O2005" s="20"/>
      <c r="V2005" s="1" t="str">
        <f t="shared" si="109"/>
        <v>0 г. 0 мес. 0 дн.</v>
      </c>
      <c r="W2005" s="69"/>
    </row>
    <row r="2006" spans="1:23" ht="35.1" customHeight="1" x14ac:dyDescent="0.25">
      <c r="A2006" s="1">
        <f t="shared" si="110"/>
        <v>2005</v>
      </c>
      <c r="B2006" s="1"/>
      <c r="C2006" s="39"/>
      <c r="D2006" s="21"/>
      <c r="G2006" s="1"/>
      <c r="H2006" s="11" t="str">
        <f t="shared" si="111"/>
        <v>0 г. 0 мес. 0 дн.</v>
      </c>
      <c r="I2006" s="20"/>
      <c r="J2006" s="20"/>
      <c r="O2006" s="20"/>
      <c r="V2006" s="1" t="str">
        <f t="shared" si="109"/>
        <v>0 г. 0 мес. 0 дн.</v>
      </c>
      <c r="W2006" s="69"/>
    </row>
    <row r="2007" spans="1:23" ht="35.1" customHeight="1" x14ac:dyDescent="0.25">
      <c r="A2007" s="1">
        <f t="shared" si="110"/>
        <v>2006</v>
      </c>
      <c r="B2007" s="1"/>
      <c r="C2007" s="39"/>
      <c r="D2007" s="21"/>
      <c r="G2007" s="1"/>
      <c r="H2007" s="11" t="str">
        <f t="shared" si="111"/>
        <v>0 г. 0 мес. 0 дн.</v>
      </c>
      <c r="I2007" s="20"/>
      <c r="J2007" s="20"/>
      <c r="O2007" s="20"/>
      <c r="V2007" s="1" t="str">
        <f t="shared" si="109"/>
        <v>0 г. 0 мес. 0 дн.</v>
      </c>
      <c r="W2007" s="69"/>
    </row>
    <row r="2008" spans="1:23" ht="35.1" customHeight="1" x14ac:dyDescent="0.25">
      <c r="A2008" s="1">
        <f t="shared" si="110"/>
        <v>2007</v>
      </c>
      <c r="B2008" s="1"/>
      <c r="C2008" s="39"/>
      <c r="D2008" s="21"/>
      <c r="G2008" s="1"/>
      <c r="H2008" s="11" t="str">
        <f t="shared" si="111"/>
        <v>0 г. 0 мес. 0 дн.</v>
      </c>
      <c r="I2008" s="20"/>
      <c r="J2008" s="20"/>
      <c r="O2008" s="20"/>
      <c r="V2008" s="1" t="str">
        <f t="shared" si="109"/>
        <v>0 г. 0 мес. 0 дн.</v>
      </c>
      <c r="W2008" s="69"/>
    </row>
    <row r="2009" spans="1:23" ht="35.1" customHeight="1" x14ac:dyDescent="0.25">
      <c r="A2009" s="1">
        <f t="shared" si="110"/>
        <v>2008</v>
      </c>
      <c r="B2009" s="1"/>
      <c r="C2009" s="39"/>
      <c r="D2009" s="21"/>
      <c r="G2009" s="1"/>
      <c r="H2009" s="11" t="str">
        <f t="shared" si="111"/>
        <v>0 г. 0 мес. 0 дн.</v>
      </c>
      <c r="I2009" s="20"/>
      <c r="J2009" s="20"/>
      <c r="O2009" s="20"/>
      <c r="V2009" s="1" t="str">
        <f t="shared" ref="V2009:V2072" si="112">DATEDIF(D2009,T2009,"y") &amp; " г. " &amp; DATEDIF(D2009,T2009,"ym") &amp; " мес. " &amp; DATEDIF(D2009,T2009,"md") &amp; " дн."</f>
        <v>0 г. 0 мес. 0 дн.</v>
      </c>
      <c r="W2009" s="69"/>
    </row>
    <row r="2010" spans="1:23" ht="35.1" customHeight="1" x14ac:dyDescent="0.25">
      <c r="A2010" s="1">
        <f t="shared" si="110"/>
        <v>2009</v>
      </c>
      <c r="B2010" s="1"/>
      <c r="C2010" s="39"/>
      <c r="D2010" s="21"/>
      <c r="G2010" s="1"/>
      <c r="H2010" s="11" t="str">
        <f t="shared" si="111"/>
        <v>0 г. 0 мес. 0 дн.</v>
      </c>
      <c r="I2010" s="20"/>
      <c r="J2010" s="20"/>
      <c r="O2010" s="20"/>
      <c r="V2010" s="1" t="str">
        <f t="shared" si="112"/>
        <v>0 г. 0 мес. 0 дн.</v>
      </c>
      <c r="W2010" s="69"/>
    </row>
    <row r="2011" spans="1:23" ht="35.1" customHeight="1" x14ac:dyDescent="0.25">
      <c r="A2011" s="1">
        <f t="shared" si="110"/>
        <v>2010</v>
      </c>
      <c r="B2011" s="1"/>
      <c r="C2011" s="39"/>
      <c r="D2011" s="21"/>
      <c r="G2011" s="1"/>
      <c r="H2011" s="11" t="str">
        <f t="shared" si="111"/>
        <v>0 г. 0 мес. 0 дн.</v>
      </c>
      <c r="I2011" s="20"/>
      <c r="J2011" s="20"/>
      <c r="O2011" s="20"/>
      <c r="V2011" s="1" t="str">
        <f t="shared" si="112"/>
        <v>0 г. 0 мес. 0 дн.</v>
      </c>
      <c r="W2011" s="69"/>
    </row>
    <row r="2012" spans="1:23" ht="35.1" customHeight="1" x14ac:dyDescent="0.25">
      <c r="A2012" s="1">
        <f t="shared" si="110"/>
        <v>2011</v>
      </c>
      <c r="B2012" s="1"/>
      <c r="C2012" s="39"/>
      <c r="D2012" s="21"/>
      <c r="G2012" s="1"/>
      <c r="H2012" s="11" t="str">
        <f t="shared" si="111"/>
        <v>0 г. 0 мес. 0 дн.</v>
      </c>
      <c r="I2012" s="20"/>
      <c r="J2012" s="20"/>
      <c r="O2012" s="20"/>
      <c r="V2012" s="1" t="str">
        <f t="shared" si="112"/>
        <v>0 г. 0 мес. 0 дн.</v>
      </c>
      <c r="W2012" s="69"/>
    </row>
    <row r="2013" spans="1:23" ht="35.1" customHeight="1" x14ac:dyDescent="0.25">
      <c r="A2013" s="1">
        <f t="shared" si="110"/>
        <v>2012</v>
      </c>
      <c r="B2013" s="1"/>
      <c r="C2013" s="39"/>
      <c r="D2013" s="21"/>
      <c r="G2013" s="1"/>
      <c r="H2013" s="11" t="str">
        <f t="shared" si="111"/>
        <v>0 г. 0 мес. 0 дн.</v>
      </c>
      <c r="I2013" s="20"/>
      <c r="J2013" s="20"/>
      <c r="O2013" s="20"/>
      <c r="V2013" s="1" t="str">
        <f t="shared" si="112"/>
        <v>0 г. 0 мес. 0 дн.</v>
      </c>
      <c r="W2013" s="69"/>
    </row>
    <row r="2014" spans="1:23" ht="35.1" customHeight="1" x14ac:dyDescent="0.25">
      <c r="A2014" s="1">
        <f t="shared" si="110"/>
        <v>2013</v>
      </c>
      <c r="B2014" s="1"/>
      <c r="C2014" s="39"/>
      <c r="D2014" s="21"/>
      <c r="G2014" s="1"/>
      <c r="H2014" s="11" t="str">
        <f t="shared" si="111"/>
        <v>0 г. 0 мес. 0 дн.</v>
      </c>
      <c r="I2014" s="20"/>
      <c r="J2014" s="20"/>
      <c r="O2014" s="20"/>
      <c r="V2014" s="1" t="str">
        <f t="shared" si="112"/>
        <v>0 г. 0 мес. 0 дн.</v>
      </c>
      <c r="W2014" s="69"/>
    </row>
    <row r="2015" spans="1:23" ht="35.1" customHeight="1" x14ac:dyDescent="0.25">
      <c r="A2015" s="1">
        <f t="shared" si="110"/>
        <v>2014</v>
      </c>
      <c r="B2015" s="1"/>
      <c r="C2015" s="39"/>
      <c r="D2015" s="21"/>
      <c r="G2015" s="1"/>
      <c r="H2015" s="11" t="str">
        <f t="shared" si="111"/>
        <v>0 г. 0 мес. 0 дн.</v>
      </c>
      <c r="I2015" s="20"/>
      <c r="J2015" s="20"/>
      <c r="O2015" s="20"/>
      <c r="V2015" s="1" t="str">
        <f t="shared" si="112"/>
        <v>0 г. 0 мес. 0 дн.</v>
      </c>
      <c r="W2015" s="69"/>
    </row>
    <row r="2016" spans="1:23" ht="35.1" customHeight="1" x14ac:dyDescent="0.25">
      <c r="A2016" s="1">
        <f t="shared" si="110"/>
        <v>2015</v>
      </c>
      <c r="B2016" s="1"/>
      <c r="C2016" s="39"/>
      <c r="D2016" s="21"/>
      <c r="G2016" s="1"/>
      <c r="H2016" s="11" t="str">
        <f t="shared" si="111"/>
        <v>0 г. 0 мес. 0 дн.</v>
      </c>
      <c r="I2016" s="20"/>
      <c r="J2016" s="20"/>
      <c r="O2016" s="20"/>
      <c r="V2016" s="1" t="str">
        <f t="shared" si="112"/>
        <v>0 г. 0 мес. 0 дн.</v>
      </c>
      <c r="W2016" s="69"/>
    </row>
    <row r="2017" spans="1:23" ht="35.1" customHeight="1" x14ac:dyDescent="0.25">
      <c r="A2017" s="1">
        <f t="shared" si="110"/>
        <v>2016</v>
      </c>
      <c r="B2017" s="1"/>
      <c r="C2017" s="39"/>
      <c r="D2017" s="21"/>
      <c r="G2017" s="1"/>
      <c r="H2017" s="11" t="str">
        <f t="shared" si="111"/>
        <v>0 г. 0 мес. 0 дн.</v>
      </c>
      <c r="I2017" s="20"/>
      <c r="J2017" s="20"/>
      <c r="O2017" s="20"/>
      <c r="V2017" s="1" t="str">
        <f t="shared" si="112"/>
        <v>0 г. 0 мес. 0 дн.</v>
      </c>
      <c r="W2017" s="69"/>
    </row>
    <row r="2018" spans="1:23" ht="35.1" customHeight="1" x14ac:dyDescent="0.25">
      <c r="A2018" s="1">
        <f t="shared" si="110"/>
        <v>2017</v>
      </c>
      <c r="B2018" s="1"/>
      <c r="C2018" s="39"/>
      <c r="D2018" s="21"/>
      <c r="G2018" s="1"/>
      <c r="H2018" s="11" t="str">
        <f t="shared" si="111"/>
        <v>0 г. 0 мес. 0 дн.</v>
      </c>
      <c r="I2018" s="20"/>
      <c r="J2018" s="20"/>
      <c r="O2018" s="20"/>
      <c r="V2018" s="1" t="str">
        <f t="shared" si="112"/>
        <v>0 г. 0 мес. 0 дн.</v>
      </c>
      <c r="W2018" s="69"/>
    </row>
    <row r="2019" spans="1:23" ht="35.1" customHeight="1" x14ac:dyDescent="0.25">
      <c r="A2019" s="1">
        <f t="shared" si="110"/>
        <v>2018</v>
      </c>
      <c r="B2019" s="1"/>
      <c r="C2019" s="39"/>
      <c r="D2019" s="21"/>
      <c r="G2019" s="1"/>
      <c r="H2019" s="11" t="str">
        <f t="shared" si="111"/>
        <v>0 г. 0 мес. 0 дн.</v>
      </c>
      <c r="I2019" s="20"/>
      <c r="J2019" s="20"/>
      <c r="O2019" s="20"/>
      <c r="V2019" s="1" t="str">
        <f t="shared" si="112"/>
        <v>0 г. 0 мес. 0 дн.</v>
      </c>
      <c r="W2019" s="69"/>
    </row>
    <row r="2020" spans="1:23" ht="35.1" customHeight="1" x14ac:dyDescent="0.25">
      <c r="A2020" s="1">
        <f t="shared" si="110"/>
        <v>2019</v>
      </c>
      <c r="B2020" s="1"/>
      <c r="C2020" s="39"/>
      <c r="D2020" s="21"/>
      <c r="G2020" s="1"/>
      <c r="H2020" s="11" t="str">
        <f t="shared" si="111"/>
        <v>0 г. 0 мес. 0 дн.</v>
      </c>
      <c r="I2020" s="20"/>
      <c r="J2020" s="20"/>
      <c r="O2020" s="20"/>
      <c r="V2020" s="1" t="str">
        <f t="shared" si="112"/>
        <v>0 г. 0 мес. 0 дн.</v>
      </c>
      <c r="W2020" s="69"/>
    </row>
    <row r="2021" spans="1:23" ht="35.1" customHeight="1" x14ac:dyDescent="0.25">
      <c r="A2021" s="1">
        <f t="shared" si="110"/>
        <v>2020</v>
      </c>
      <c r="B2021" s="1"/>
      <c r="C2021" s="39"/>
      <c r="D2021" s="21"/>
      <c r="G2021" s="1"/>
      <c r="H2021" s="11" t="str">
        <f t="shared" si="111"/>
        <v>0 г. 0 мес. 0 дн.</v>
      </c>
      <c r="I2021" s="20"/>
      <c r="J2021" s="20"/>
      <c r="O2021" s="20"/>
      <c r="V2021" s="1" t="str">
        <f t="shared" si="112"/>
        <v>0 г. 0 мес. 0 дн.</v>
      </c>
      <c r="W2021" s="69"/>
    </row>
    <row r="2022" spans="1:23" ht="35.1" customHeight="1" x14ac:dyDescent="0.25">
      <c r="A2022" s="1">
        <f t="shared" si="110"/>
        <v>2021</v>
      </c>
      <c r="B2022" s="1"/>
      <c r="C2022" s="39"/>
      <c r="D2022" s="21"/>
      <c r="G2022" s="1"/>
      <c r="H2022" s="11" t="str">
        <f t="shared" si="111"/>
        <v>0 г. 0 мес. 0 дн.</v>
      </c>
      <c r="I2022" s="20"/>
      <c r="J2022" s="20"/>
      <c r="O2022" s="20"/>
      <c r="V2022" s="1" t="str">
        <f t="shared" si="112"/>
        <v>0 г. 0 мес. 0 дн.</v>
      </c>
      <c r="W2022" s="69"/>
    </row>
    <row r="2023" spans="1:23" ht="35.1" customHeight="1" x14ac:dyDescent="0.25">
      <c r="A2023" s="1">
        <f t="shared" si="110"/>
        <v>2022</v>
      </c>
      <c r="B2023" s="1"/>
      <c r="C2023" s="39"/>
      <c r="D2023" s="21"/>
      <c r="G2023" s="1"/>
      <c r="H2023" s="11" t="str">
        <f t="shared" si="111"/>
        <v>0 г. 0 мес. 0 дн.</v>
      </c>
      <c r="I2023" s="20"/>
      <c r="J2023" s="20"/>
      <c r="O2023" s="20"/>
      <c r="V2023" s="1" t="str">
        <f t="shared" si="112"/>
        <v>0 г. 0 мес. 0 дн.</v>
      </c>
      <c r="W2023" s="69"/>
    </row>
    <row r="2024" spans="1:23" ht="35.1" customHeight="1" x14ac:dyDescent="0.25">
      <c r="A2024" s="1">
        <f t="shared" si="110"/>
        <v>2023</v>
      </c>
      <c r="B2024" s="1"/>
      <c r="C2024" s="39"/>
      <c r="D2024" s="21"/>
      <c r="G2024" s="1"/>
      <c r="H2024" s="11" t="str">
        <f t="shared" si="111"/>
        <v>0 г. 0 мес. 0 дн.</v>
      </c>
      <c r="I2024" s="20"/>
      <c r="J2024" s="20"/>
      <c r="O2024" s="20"/>
      <c r="V2024" s="1" t="str">
        <f t="shared" si="112"/>
        <v>0 г. 0 мес. 0 дн.</v>
      </c>
      <c r="W2024" s="69"/>
    </row>
    <row r="2025" spans="1:23" ht="35.1" customHeight="1" x14ac:dyDescent="0.25">
      <c r="A2025" s="1">
        <f t="shared" si="110"/>
        <v>2024</v>
      </c>
      <c r="B2025" s="1"/>
      <c r="C2025" s="39"/>
      <c r="D2025" s="21"/>
      <c r="G2025" s="1"/>
      <c r="H2025" s="11" t="str">
        <f t="shared" si="111"/>
        <v>0 г. 0 мес. 0 дн.</v>
      </c>
      <c r="I2025" s="20"/>
      <c r="J2025" s="20"/>
      <c r="O2025" s="20"/>
      <c r="V2025" s="1" t="str">
        <f t="shared" si="112"/>
        <v>0 г. 0 мес. 0 дн.</v>
      </c>
      <c r="W2025" s="69"/>
    </row>
    <row r="2026" spans="1:23" ht="35.1" customHeight="1" x14ac:dyDescent="0.25">
      <c r="A2026" s="1">
        <f t="shared" si="110"/>
        <v>2025</v>
      </c>
      <c r="B2026" s="1"/>
      <c r="C2026" s="39"/>
      <c r="D2026" s="21"/>
      <c r="G2026" s="1"/>
      <c r="H2026" s="11" t="str">
        <f t="shared" si="111"/>
        <v>0 г. 0 мес. 0 дн.</v>
      </c>
      <c r="I2026" s="20"/>
      <c r="J2026" s="20"/>
      <c r="O2026" s="20"/>
      <c r="V2026" s="1" t="str">
        <f t="shared" si="112"/>
        <v>0 г. 0 мес. 0 дн.</v>
      </c>
      <c r="W2026" s="69"/>
    </row>
    <row r="2027" spans="1:23" ht="35.1" customHeight="1" x14ac:dyDescent="0.25">
      <c r="A2027" s="1">
        <f t="shared" si="110"/>
        <v>2026</v>
      </c>
      <c r="B2027" s="1"/>
      <c r="C2027" s="39"/>
      <c r="D2027" s="21"/>
      <c r="G2027" s="1"/>
      <c r="H2027" s="11" t="str">
        <f t="shared" si="111"/>
        <v>0 г. 0 мес. 0 дн.</v>
      </c>
      <c r="I2027" s="20"/>
      <c r="J2027" s="20"/>
      <c r="O2027" s="20"/>
      <c r="V2027" s="1" t="str">
        <f t="shared" si="112"/>
        <v>0 г. 0 мес. 0 дн.</v>
      </c>
      <c r="W2027" s="69"/>
    </row>
    <row r="2028" spans="1:23" ht="35.1" customHeight="1" x14ac:dyDescent="0.25">
      <c r="A2028" s="1">
        <f t="shared" si="110"/>
        <v>2027</v>
      </c>
      <c r="B2028" s="1"/>
      <c r="C2028" s="39"/>
      <c r="D2028" s="21"/>
      <c r="G2028" s="1"/>
      <c r="H2028" s="11" t="str">
        <f t="shared" si="111"/>
        <v>0 г. 0 мес. 0 дн.</v>
      </c>
      <c r="I2028" s="20"/>
      <c r="J2028" s="20"/>
      <c r="O2028" s="20"/>
      <c r="V2028" s="1" t="str">
        <f t="shared" si="112"/>
        <v>0 г. 0 мес. 0 дн.</v>
      </c>
      <c r="W2028" s="69"/>
    </row>
    <row r="2029" spans="1:23" ht="35.1" customHeight="1" x14ac:dyDescent="0.25">
      <c r="A2029" s="1">
        <f t="shared" si="110"/>
        <v>2028</v>
      </c>
      <c r="B2029" s="1"/>
      <c r="C2029" s="39"/>
      <c r="D2029" s="21"/>
      <c r="G2029" s="1"/>
      <c r="H2029" s="11" t="str">
        <f t="shared" si="111"/>
        <v>0 г. 0 мес. 0 дн.</v>
      </c>
      <c r="I2029" s="20"/>
      <c r="J2029" s="20"/>
      <c r="O2029" s="20"/>
      <c r="V2029" s="1" t="str">
        <f t="shared" si="112"/>
        <v>0 г. 0 мес. 0 дн.</v>
      </c>
      <c r="W2029" s="69"/>
    </row>
    <row r="2030" spans="1:23" ht="35.1" customHeight="1" x14ac:dyDescent="0.25">
      <c r="A2030" s="1">
        <f t="shared" si="110"/>
        <v>2029</v>
      </c>
      <c r="B2030" s="1"/>
      <c r="C2030" s="39"/>
      <c r="D2030" s="21"/>
      <c r="G2030" s="1"/>
      <c r="H2030" s="11" t="str">
        <f t="shared" si="111"/>
        <v>0 г. 0 мес. 0 дн.</v>
      </c>
      <c r="I2030" s="20"/>
      <c r="J2030" s="20"/>
      <c r="O2030" s="20"/>
      <c r="V2030" s="1" t="str">
        <f t="shared" si="112"/>
        <v>0 г. 0 мес. 0 дн.</v>
      </c>
      <c r="W2030" s="69"/>
    </row>
    <row r="2031" spans="1:23" ht="35.1" customHeight="1" x14ac:dyDescent="0.25">
      <c r="A2031" s="1">
        <f t="shared" si="110"/>
        <v>2030</v>
      </c>
      <c r="B2031" s="1"/>
      <c r="C2031" s="39"/>
      <c r="D2031" s="21"/>
      <c r="G2031" s="1"/>
      <c r="H2031" s="11" t="str">
        <f t="shared" si="111"/>
        <v>0 г. 0 мес. 0 дн.</v>
      </c>
      <c r="I2031" s="20"/>
      <c r="J2031" s="20"/>
      <c r="O2031" s="20"/>
      <c r="V2031" s="1" t="str">
        <f t="shared" si="112"/>
        <v>0 г. 0 мес. 0 дн.</v>
      </c>
      <c r="W2031" s="69"/>
    </row>
    <row r="2032" spans="1:23" ht="35.1" customHeight="1" x14ac:dyDescent="0.25">
      <c r="A2032" s="1">
        <f t="shared" si="110"/>
        <v>2031</v>
      </c>
      <c r="B2032" s="1"/>
      <c r="C2032" s="39"/>
      <c r="D2032" s="21"/>
      <c r="G2032" s="1"/>
      <c r="H2032" s="11" t="str">
        <f t="shared" si="111"/>
        <v>0 г. 0 мес. 0 дн.</v>
      </c>
      <c r="I2032" s="20"/>
      <c r="J2032" s="20"/>
      <c r="O2032" s="20"/>
      <c r="V2032" s="1" t="str">
        <f t="shared" si="112"/>
        <v>0 г. 0 мес. 0 дн.</v>
      </c>
      <c r="W2032" s="69"/>
    </row>
    <row r="2033" spans="1:23" ht="35.1" customHeight="1" x14ac:dyDescent="0.25">
      <c r="A2033" s="1">
        <f t="shared" si="110"/>
        <v>2032</v>
      </c>
      <c r="B2033" s="1"/>
      <c r="C2033" s="39"/>
      <c r="D2033" s="21"/>
      <c r="G2033" s="1"/>
      <c r="H2033" s="11" t="str">
        <f t="shared" si="111"/>
        <v>0 г. 0 мес. 0 дн.</v>
      </c>
      <c r="I2033" s="20"/>
      <c r="J2033" s="20"/>
      <c r="O2033" s="20"/>
      <c r="V2033" s="1" t="str">
        <f t="shared" si="112"/>
        <v>0 г. 0 мес. 0 дн.</v>
      </c>
      <c r="W2033" s="69"/>
    </row>
    <row r="2034" spans="1:23" ht="35.1" customHeight="1" x14ac:dyDescent="0.25">
      <c r="A2034" s="1">
        <f t="shared" si="110"/>
        <v>2033</v>
      </c>
      <c r="B2034" s="1"/>
      <c r="C2034" s="39"/>
      <c r="D2034" s="21"/>
      <c r="G2034" s="1"/>
      <c r="H2034" s="11" t="str">
        <f t="shared" si="111"/>
        <v>0 г. 0 мес. 0 дн.</v>
      </c>
      <c r="I2034" s="20"/>
      <c r="J2034" s="20"/>
      <c r="O2034" s="20"/>
      <c r="V2034" s="1" t="str">
        <f t="shared" si="112"/>
        <v>0 г. 0 мес. 0 дн.</v>
      </c>
      <c r="W2034" s="69"/>
    </row>
    <row r="2035" spans="1:23" ht="35.1" customHeight="1" x14ac:dyDescent="0.25">
      <c r="A2035" s="1">
        <f t="shared" si="110"/>
        <v>2034</v>
      </c>
      <c r="B2035" s="1"/>
      <c r="C2035" s="39"/>
      <c r="D2035" s="21"/>
      <c r="G2035" s="1"/>
      <c r="H2035" s="11" t="str">
        <f t="shared" si="111"/>
        <v>0 г. 0 мес. 0 дн.</v>
      </c>
      <c r="I2035" s="20"/>
      <c r="J2035" s="20"/>
      <c r="O2035" s="20"/>
      <c r="V2035" s="1" t="str">
        <f t="shared" si="112"/>
        <v>0 г. 0 мес. 0 дн.</v>
      </c>
      <c r="W2035" s="69"/>
    </row>
    <row r="2036" spans="1:23" ht="35.1" customHeight="1" x14ac:dyDescent="0.25">
      <c r="A2036" s="1">
        <f t="shared" si="110"/>
        <v>2035</v>
      </c>
      <c r="B2036" s="1"/>
      <c r="C2036" s="39"/>
      <c r="D2036" s="21"/>
      <c r="G2036" s="1"/>
      <c r="H2036" s="11" t="str">
        <f t="shared" si="111"/>
        <v>0 г. 0 мес. 0 дн.</v>
      </c>
      <c r="I2036" s="20"/>
      <c r="J2036" s="20"/>
      <c r="O2036" s="20"/>
      <c r="V2036" s="1" t="str">
        <f t="shared" si="112"/>
        <v>0 г. 0 мес. 0 дн.</v>
      </c>
      <c r="W2036" s="69"/>
    </row>
    <row r="2037" spans="1:23" ht="35.1" customHeight="1" x14ac:dyDescent="0.25">
      <c r="A2037" s="1">
        <f t="shared" si="110"/>
        <v>2036</v>
      </c>
      <c r="B2037" s="1"/>
      <c r="C2037" s="39"/>
      <c r="D2037" s="21"/>
      <c r="G2037" s="1"/>
      <c r="H2037" s="11" t="str">
        <f t="shared" si="111"/>
        <v>0 г. 0 мес. 0 дн.</v>
      </c>
      <c r="I2037" s="20"/>
      <c r="J2037" s="20"/>
      <c r="O2037" s="20"/>
      <c r="V2037" s="1" t="str">
        <f t="shared" si="112"/>
        <v>0 г. 0 мес. 0 дн.</v>
      </c>
      <c r="W2037" s="69"/>
    </row>
    <row r="2038" spans="1:23" ht="35.1" customHeight="1" x14ac:dyDescent="0.25">
      <c r="A2038" s="1">
        <f t="shared" si="110"/>
        <v>2037</v>
      </c>
      <c r="B2038" s="1"/>
      <c r="C2038" s="39"/>
      <c r="D2038" s="21"/>
      <c r="G2038" s="1"/>
      <c r="H2038" s="11" t="str">
        <f t="shared" si="111"/>
        <v>0 г. 0 мес. 0 дн.</v>
      </c>
      <c r="I2038" s="20"/>
      <c r="J2038" s="20"/>
      <c r="O2038" s="20"/>
      <c r="V2038" s="1" t="str">
        <f t="shared" si="112"/>
        <v>0 г. 0 мес. 0 дн.</v>
      </c>
      <c r="W2038" s="69"/>
    </row>
    <row r="2039" spans="1:23" ht="35.1" customHeight="1" x14ac:dyDescent="0.25">
      <c r="A2039" s="1">
        <f t="shared" si="110"/>
        <v>2038</v>
      </c>
      <c r="B2039" s="1"/>
      <c r="C2039" s="39"/>
      <c r="D2039" s="21"/>
      <c r="G2039" s="1"/>
      <c r="H2039" s="11" t="str">
        <f t="shared" si="111"/>
        <v>0 г. 0 мес. 0 дн.</v>
      </c>
      <c r="I2039" s="20"/>
      <c r="J2039" s="20"/>
      <c r="O2039" s="20"/>
      <c r="V2039" s="1" t="str">
        <f t="shared" si="112"/>
        <v>0 г. 0 мес. 0 дн.</v>
      </c>
      <c r="W2039" s="69"/>
    </row>
    <row r="2040" spans="1:23" ht="35.1" customHeight="1" x14ac:dyDescent="0.25">
      <c r="A2040" s="1">
        <f t="shared" si="110"/>
        <v>2039</v>
      </c>
      <c r="B2040" s="1"/>
      <c r="C2040" s="39"/>
      <c r="D2040" s="21"/>
      <c r="G2040" s="1"/>
      <c r="H2040" s="11" t="str">
        <f t="shared" si="111"/>
        <v>0 г. 0 мес. 0 дн.</v>
      </c>
      <c r="I2040" s="20"/>
      <c r="J2040" s="20"/>
      <c r="O2040" s="20"/>
      <c r="V2040" s="1" t="str">
        <f t="shared" si="112"/>
        <v>0 г. 0 мес. 0 дн.</v>
      </c>
      <c r="W2040" s="69"/>
    </row>
    <row r="2041" spans="1:23" ht="35.1" customHeight="1" x14ac:dyDescent="0.25">
      <c r="A2041" s="1">
        <f t="shared" si="110"/>
        <v>2040</v>
      </c>
      <c r="B2041" s="1"/>
      <c r="C2041" s="39"/>
      <c r="D2041" s="21"/>
      <c r="G2041" s="1"/>
      <c r="H2041" s="11" t="str">
        <f t="shared" si="111"/>
        <v>0 г. 0 мес. 0 дн.</v>
      </c>
      <c r="I2041" s="20"/>
      <c r="J2041" s="20"/>
      <c r="O2041" s="20"/>
      <c r="V2041" s="1" t="str">
        <f t="shared" si="112"/>
        <v>0 г. 0 мес. 0 дн.</v>
      </c>
      <c r="W2041" s="69"/>
    </row>
    <row r="2042" spans="1:23" ht="35.1" customHeight="1" x14ac:dyDescent="0.25">
      <c r="A2042" s="1">
        <f t="shared" si="110"/>
        <v>2041</v>
      </c>
      <c r="B2042" s="1"/>
      <c r="C2042" s="39"/>
      <c r="D2042" s="21"/>
      <c r="G2042" s="1"/>
      <c r="H2042" s="11" t="str">
        <f t="shared" si="111"/>
        <v>0 г. 0 мес. 0 дн.</v>
      </c>
      <c r="I2042" s="20"/>
      <c r="J2042" s="20"/>
      <c r="O2042" s="20"/>
      <c r="V2042" s="1" t="str">
        <f t="shared" si="112"/>
        <v>0 г. 0 мес. 0 дн.</v>
      </c>
      <c r="W2042" s="69"/>
    </row>
    <row r="2043" spans="1:23" ht="35.1" customHeight="1" x14ac:dyDescent="0.25">
      <c r="A2043" s="1">
        <f t="shared" si="110"/>
        <v>2042</v>
      </c>
      <c r="B2043" s="1"/>
      <c r="C2043" s="39"/>
      <c r="D2043" s="21"/>
      <c r="G2043" s="1"/>
      <c r="H2043" s="11" t="str">
        <f t="shared" si="111"/>
        <v>0 г. 0 мес. 0 дн.</v>
      </c>
      <c r="I2043" s="20"/>
      <c r="J2043" s="20"/>
      <c r="O2043" s="20"/>
      <c r="V2043" s="1" t="str">
        <f t="shared" si="112"/>
        <v>0 г. 0 мес. 0 дн.</v>
      </c>
      <c r="W2043" s="69"/>
    </row>
    <row r="2044" spans="1:23" ht="35.1" customHeight="1" x14ac:dyDescent="0.25">
      <c r="A2044" s="1">
        <f t="shared" si="110"/>
        <v>2043</v>
      </c>
      <c r="B2044" s="1"/>
      <c r="C2044" s="39"/>
      <c r="D2044" s="21"/>
      <c r="G2044" s="1"/>
      <c r="H2044" s="11" t="str">
        <f t="shared" si="111"/>
        <v>0 г. 0 мес. 0 дн.</v>
      </c>
      <c r="I2044" s="20"/>
      <c r="J2044" s="20"/>
      <c r="O2044" s="20"/>
      <c r="V2044" s="1" t="str">
        <f t="shared" si="112"/>
        <v>0 г. 0 мес. 0 дн.</v>
      </c>
      <c r="W2044" s="69"/>
    </row>
    <row r="2045" spans="1:23" ht="35.1" customHeight="1" x14ac:dyDescent="0.25">
      <c r="A2045" s="1">
        <f t="shared" si="110"/>
        <v>2044</v>
      </c>
      <c r="B2045" s="1"/>
      <c r="C2045" s="39"/>
      <c r="D2045" s="21"/>
      <c r="G2045" s="1"/>
      <c r="H2045" s="11" t="str">
        <f t="shared" si="111"/>
        <v>0 г. 0 мес. 0 дн.</v>
      </c>
      <c r="I2045" s="20"/>
      <c r="J2045" s="20"/>
      <c r="O2045" s="20"/>
      <c r="V2045" s="1" t="str">
        <f t="shared" si="112"/>
        <v>0 г. 0 мес. 0 дн.</v>
      </c>
      <c r="W2045" s="69"/>
    </row>
    <row r="2046" spans="1:23" ht="35.1" customHeight="1" x14ac:dyDescent="0.25">
      <c r="A2046" s="1">
        <f t="shared" si="110"/>
        <v>2045</v>
      </c>
      <c r="B2046" s="1"/>
      <c r="C2046" s="39"/>
      <c r="D2046" s="21"/>
      <c r="G2046" s="1"/>
      <c r="H2046" s="11" t="str">
        <f t="shared" si="111"/>
        <v>0 г. 0 мес. 0 дн.</v>
      </c>
      <c r="I2046" s="20"/>
      <c r="J2046" s="20"/>
      <c r="O2046" s="20"/>
      <c r="V2046" s="1" t="str">
        <f t="shared" si="112"/>
        <v>0 г. 0 мес. 0 дн.</v>
      </c>
      <c r="W2046" s="69"/>
    </row>
    <row r="2047" spans="1:23" ht="35.1" customHeight="1" x14ac:dyDescent="0.25">
      <c r="A2047" s="1">
        <f t="shared" si="110"/>
        <v>2046</v>
      </c>
      <c r="B2047" s="1"/>
      <c r="C2047" s="39"/>
      <c r="D2047" s="21"/>
      <c r="G2047" s="1"/>
      <c r="H2047" s="11" t="str">
        <f t="shared" si="111"/>
        <v>0 г. 0 мес. 0 дн.</v>
      </c>
      <c r="I2047" s="20"/>
      <c r="J2047" s="20"/>
      <c r="O2047" s="20"/>
      <c r="V2047" s="1" t="str">
        <f t="shared" si="112"/>
        <v>0 г. 0 мес. 0 дн.</v>
      </c>
      <c r="W2047" s="69"/>
    </row>
    <row r="2048" spans="1:23" ht="35.1" customHeight="1" x14ac:dyDescent="0.25">
      <c r="A2048" s="1">
        <f t="shared" si="110"/>
        <v>2047</v>
      </c>
      <c r="B2048" s="1"/>
      <c r="C2048" s="39"/>
      <c r="D2048" s="21"/>
      <c r="G2048" s="1"/>
      <c r="H2048" s="11" t="str">
        <f t="shared" si="111"/>
        <v>0 г. 0 мес. 0 дн.</v>
      </c>
      <c r="I2048" s="20"/>
      <c r="J2048" s="20"/>
      <c r="O2048" s="20"/>
      <c r="V2048" s="1" t="str">
        <f t="shared" si="112"/>
        <v>0 г. 0 мес. 0 дн.</v>
      </c>
      <c r="W2048" s="69"/>
    </row>
    <row r="2049" spans="1:23" ht="35.1" customHeight="1" x14ac:dyDescent="0.25">
      <c r="A2049" s="1">
        <f t="shared" ref="A2049:A2112" si="113">ROW(A2048)</f>
        <v>2048</v>
      </c>
      <c r="B2049" s="1"/>
      <c r="C2049" s="39"/>
      <c r="D2049" s="21"/>
      <c r="G2049" s="1"/>
      <c r="H2049" s="11" t="str">
        <f t="shared" ref="H2049:H2112" si="114">DATEDIF(G2049,D2049,"y") &amp; " г. " &amp; DATEDIF(G2049,D2049,"ym") &amp; " мес. " &amp; DATEDIF(G2049,D2049,"md") &amp; " дн."</f>
        <v>0 г. 0 мес. 0 дн.</v>
      </c>
      <c r="I2049" s="20"/>
      <c r="J2049" s="20"/>
      <c r="O2049" s="20"/>
      <c r="V2049" s="1" t="str">
        <f t="shared" si="112"/>
        <v>0 г. 0 мес. 0 дн.</v>
      </c>
      <c r="W2049" s="69"/>
    </row>
    <row r="2050" spans="1:23" ht="35.1" customHeight="1" x14ac:dyDescent="0.25">
      <c r="A2050" s="1">
        <f t="shared" si="113"/>
        <v>2049</v>
      </c>
      <c r="B2050" s="1"/>
      <c r="C2050" s="39"/>
      <c r="D2050" s="21"/>
      <c r="G2050" s="1"/>
      <c r="H2050" s="11" t="str">
        <f t="shared" si="114"/>
        <v>0 г. 0 мес. 0 дн.</v>
      </c>
      <c r="I2050" s="20"/>
      <c r="J2050" s="20"/>
      <c r="O2050" s="20"/>
      <c r="V2050" s="1" t="str">
        <f t="shared" si="112"/>
        <v>0 г. 0 мес. 0 дн.</v>
      </c>
      <c r="W2050" s="69"/>
    </row>
    <row r="2051" spans="1:23" ht="35.1" customHeight="1" x14ac:dyDescent="0.25">
      <c r="A2051" s="1">
        <f t="shared" si="113"/>
        <v>2050</v>
      </c>
      <c r="B2051" s="1"/>
      <c r="C2051" s="39"/>
      <c r="D2051" s="21"/>
      <c r="G2051" s="1"/>
      <c r="H2051" s="11" t="str">
        <f t="shared" si="114"/>
        <v>0 г. 0 мес. 0 дн.</v>
      </c>
      <c r="I2051" s="20"/>
      <c r="J2051" s="20"/>
      <c r="O2051" s="20"/>
      <c r="V2051" s="1" t="str">
        <f t="shared" si="112"/>
        <v>0 г. 0 мес. 0 дн.</v>
      </c>
      <c r="W2051" s="69"/>
    </row>
    <row r="2052" spans="1:23" ht="35.1" customHeight="1" x14ac:dyDescent="0.25">
      <c r="A2052" s="1">
        <f t="shared" si="113"/>
        <v>2051</v>
      </c>
      <c r="B2052" s="1"/>
      <c r="C2052" s="39"/>
      <c r="D2052" s="21"/>
      <c r="G2052" s="1"/>
      <c r="H2052" s="11" t="str">
        <f t="shared" si="114"/>
        <v>0 г. 0 мес. 0 дн.</v>
      </c>
      <c r="I2052" s="20"/>
      <c r="J2052" s="20"/>
      <c r="O2052" s="20"/>
      <c r="V2052" s="1" t="str">
        <f t="shared" si="112"/>
        <v>0 г. 0 мес. 0 дн.</v>
      </c>
      <c r="W2052" s="69"/>
    </row>
    <row r="2053" spans="1:23" ht="35.1" customHeight="1" x14ac:dyDescent="0.25">
      <c r="A2053" s="1">
        <f t="shared" si="113"/>
        <v>2052</v>
      </c>
      <c r="B2053" s="1"/>
      <c r="C2053" s="39"/>
      <c r="D2053" s="21"/>
      <c r="G2053" s="1"/>
      <c r="H2053" s="11" t="str">
        <f t="shared" si="114"/>
        <v>0 г. 0 мес. 0 дн.</v>
      </c>
      <c r="I2053" s="20"/>
      <c r="J2053" s="20"/>
      <c r="O2053" s="20"/>
      <c r="V2053" s="1" t="str">
        <f t="shared" si="112"/>
        <v>0 г. 0 мес. 0 дн.</v>
      </c>
      <c r="W2053" s="69"/>
    </row>
    <row r="2054" spans="1:23" ht="35.1" customHeight="1" x14ac:dyDescent="0.25">
      <c r="A2054" s="1">
        <f t="shared" si="113"/>
        <v>2053</v>
      </c>
      <c r="B2054" s="1"/>
      <c r="C2054" s="39"/>
      <c r="D2054" s="21"/>
      <c r="G2054" s="1"/>
      <c r="H2054" s="11" t="str">
        <f t="shared" si="114"/>
        <v>0 г. 0 мес. 0 дн.</v>
      </c>
      <c r="I2054" s="20"/>
      <c r="J2054" s="20"/>
      <c r="O2054" s="20"/>
      <c r="V2054" s="1" t="str">
        <f t="shared" si="112"/>
        <v>0 г. 0 мес. 0 дн.</v>
      </c>
      <c r="W2054" s="69"/>
    </row>
    <row r="2055" spans="1:23" ht="35.1" customHeight="1" x14ac:dyDescent="0.25">
      <c r="A2055" s="1">
        <f t="shared" si="113"/>
        <v>2054</v>
      </c>
      <c r="B2055" s="1"/>
      <c r="C2055" s="39"/>
      <c r="D2055" s="21"/>
      <c r="G2055" s="1"/>
      <c r="H2055" s="11" t="str">
        <f t="shared" si="114"/>
        <v>0 г. 0 мес. 0 дн.</v>
      </c>
      <c r="I2055" s="20"/>
      <c r="J2055" s="20"/>
      <c r="O2055" s="20"/>
      <c r="V2055" s="1" t="str">
        <f t="shared" si="112"/>
        <v>0 г. 0 мес. 0 дн.</v>
      </c>
      <c r="W2055" s="69"/>
    </row>
    <row r="2056" spans="1:23" ht="35.1" customHeight="1" x14ac:dyDescent="0.25">
      <c r="A2056" s="1">
        <f t="shared" si="113"/>
        <v>2055</v>
      </c>
      <c r="B2056" s="1"/>
      <c r="C2056" s="39"/>
      <c r="D2056" s="21"/>
      <c r="G2056" s="1"/>
      <c r="H2056" s="11" t="str">
        <f t="shared" si="114"/>
        <v>0 г. 0 мес. 0 дн.</v>
      </c>
      <c r="I2056" s="20"/>
      <c r="J2056" s="20"/>
      <c r="O2056" s="20"/>
      <c r="V2056" s="1" t="str">
        <f t="shared" si="112"/>
        <v>0 г. 0 мес. 0 дн.</v>
      </c>
      <c r="W2056" s="69"/>
    </row>
    <row r="2057" spans="1:23" ht="35.1" customHeight="1" x14ac:dyDescent="0.25">
      <c r="A2057" s="1">
        <f t="shared" si="113"/>
        <v>2056</v>
      </c>
      <c r="B2057" s="1"/>
      <c r="C2057" s="39"/>
      <c r="D2057" s="21"/>
      <c r="G2057" s="1"/>
      <c r="H2057" s="11" t="str">
        <f t="shared" si="114"/>
        <v>0 г. 0 мес. 0 дн.</v>
      </c>
      <c r="I2057" s="20"/>
      <c r="J2057" s="20"/>
      <c r="O2057" s="20"/>
      <c r="V2057" s="1" t="str">
        <f t="shared" si="112"/>
        <v>0 г. 0 мес. 0 дн.</v>
      </c>
      <c r="W2057" s="69"/>
    </row>
    <row r="2058" spans="1:23" ht="35.1" customHeight="1" x14ac:dyDescent="0.25">
      <c r="A2058" s="1">
        <f t="shared" si="113"/>
        <v>2057</v>
      </c>
      <c r="B2058" s="1"/>
      <c r="C2058" s="39"/>
      <c r="D2058" s="21"/>
      <c r="G2058" s="1"/>
      <c r="H2058" s="11" t="str">
        <f t="shared" si="114"/>
        <v>0 г. 0 мес. 0 дн.</v>
      </c>
      <c r="I2058" s="20"/>
      <c r="J2058" s="20"/>
      <c r="O2058" s="20"/>
      <c r="V2058" s="1" t="str">
        <f t="shared" si="112"/>
        <v>0 г. 0 мес. 0 дн.</v>
      </c>
      <c r="W2058" s="69"/>
    </row>
    <row r="2059" spans="1:23" ht="35.1" customHeight="1" x14ac:dyDescent="0.25">
      <c r="A2059" s="1">
        <f t="shared" si="113"/>
        <v>2058</v>
      </c>
      <c r="B2059" s="1"/>
      <c r="C2059" s="39"/>
      <c r="D2059" s="21"/>
      <c r="G2059" s="1"/>
      <c r="H2059" s="11" t="str">
        <f t="shared" si="114"/>
        <v>0 г. 0 мес. 0 дн.</v>
      </c>
      <c r="I2059" s="20"/>
      <c r="J2059" s="20"/>
      <c r="O2059" s="20"/>
      <c r="V2059" s="1" t="str">
        <f t="shared" si="112"/>
        <v>0 г. 0 мес. 0 дн.</v>
      </c>
      <c r="W2059" s="69"/>
    </row>
    <row r="2060" spans="1:23" ht="35.1" customHeight="1" x14ac:dyDescent="0.25">
      <c r="A2060" s="1">
        <f t="shared" si="113"/>
        <v>2059</v>
      </c>
      <c r="B2060" s="1"/>
      <c r="C2060" s="39"/>
      <c r="D2060" s="21"/>
      <c r="G2060" s="1"/>
      <c r="H2060" s="11" t="str">
        <f t="shared" si="114"/>
        <v>0 г. 0 мес. 0 дн.</v>
      </c>
      <c r="I2060" s="20"/>
      <c r="J2060" s="20"/>
      <c r="O2060" s="20"/>
      <c r="V2060" s="1" t="str">
        <f t="shared" si="112"/>
        <v>0 г. 0 мес. 0 дн.</v>
      </c>
      <c r="W2060" s="69"/>
    </row>
    <row r="2061" spans="1:23" ht="35.1" customHeight="1" x14ac:dyDescent="0.25">
      <c r="A2061" s="1">
        <f t="shared" si="113"/>
        <v>2060</v>
      </c>
      <c r="B2061" s="1"/>
      <c r="C2061" s="39"/>
      <c r="D2061" s="21"/>
      <c r="G2061" s="1"/>
      <c r="H2061" s="11" t="str">
        <f t="shared" si="114"/>
        <v>0 г. 0 мес. 0 дн.</v>
      </c>
      <c r="I2061" s="20"/>
      <c r="J2061" s="20"/>
      <c r="O2061" s="20"/>
      <c r="V2061" s="1" t="str">
        <f t="shared" si="112"/>
        <v>0 г. 0 мес. 0 дн.</v>
      </c>
      <c r="W2061" s="69"/>
    </row>
    <row r="2062" spans="1:23" ht="35.1" customHeight="1" x14ac:dyDescent="0.25">
      <c r="A2062" s="1">
        <f t="shared" si="113"/>
        <v>2061</v>
      </c>
      <c r="B2062" s="1"/>
      <c r="C2062" s="39"/>
      <c r="D2062" s="21"/>
      <c r="G2062" s="1"/>
      <c r="H2062" s="11" t="str">
        <f t="shared" si="114"/>
        <v>0 г. 0 мес. 0 дн.</v>
      </c>
      <c r="I2062" s="20"/>
      <c r="J2062" s="20"/>
      <c r="O2062" s="20"/>
      <c r="V2062" s="1" t="str">
        <f t="shared" si="112"/>
        <v>0 г. 0 мес. 0 дн.</v>
      </c>
      <c r="W2062" s="69"/>
    </row>
    <row r="2063" spans="1:23" ht="35.1" customHeight="1" x14ac:dyDescent="0.25">
      <c r="A2063" s="1">
        <f t="shared" si="113"/>
        <v>2062</v>
      </c>
      <c r="B2063" s="1"/>
      <c r="C2063" s="39"/>
      <c r="D2063" s="21"/>
      <c r="G2063" s="1"/>
      <c r="H2063" s="11" t="str">
        <f t="shared" si="114"/>
        <v>0 г. 0 мес. 0 дн.</v>
      </c>
      <c r="I2063" s="20"/>
      <c r="J2063" s="20"/>
      <c r="O2063" s="20"/>
      <c r="V2063" s="1" t="str">
        <f t="shared" si="112"/>
        <v>0 г. 0 мес. 0 дн.</v>
      </c>
      <c r="W2063" s="69"/>
    </row>
    <row r="2064" spans="1:23" ht="35.1" customHeight="1" x14ac:dyDescent="0.25">
      <c r="A2064" s="1">
        <f t="shared" si="113"/>
        <v>2063</v>
      </c>
      <c r="B2064" s="1"/>
      <c r="C2064" s="39"/>
      <c r="D2064" s="21"/>
      <c r="G2064" s="1"/>
      <c r="H2064" s="11" t="str">
        <f t="shared" si="114"/>
        <v>0 г. 0 мес. 0 дн.</v>
      </c>
      <c r="I2064" s="20"/>
      <c r="J2064" s="20"/>
      <c r="O2064" s="20"/>
      <c r="V2064" s="1" t="str">
        <f t="shared" si="112"/>
        <v>0 г. 0 мес. 0 дн.</v>
      </c>
      <c r="W2064" s="69"/>
    </row>
    <row r="2065" spans="1:23" ht="35.1" customHeight="1" x14ac:dyDescent="0.25">
      <c r="A2065" s="1">
        <f t="shared" si="113"/>
        <v>2064</v>
      </c>
      <c r="B2065" s="1"/>
      <c r="C2065" s="39"/>
      <c r="D2065" s="21"/>
      <c r="G2065" s="1"/>
      <c r="H2065" s="11" t="str">
        <f t="shared" si="114"/>
        <v>0 г. 0 мес. 0 дн.</v>
      </c>
      <c r="I2065" s="20"/>
      <c r="J2065" s="20"/>
      <c r="O2065" s="20"/>
      <c r="V2065" s="1" t="str">
        <f t="shared" si="112"/>
        <v>0 г. 0 мес. 0 дн.</v>
      </c>
      <c r="W2065" s="69"/>
    </row>
    <row r="2066" spans="1:23" ht="35.1" customHeight="1" x14ac:dyDescent="0.25">
      <c r="A2066" s="1">
        <f t="shared" si="113"/>
        <v>2065</v>
      </c>
      <c r="B2066" s="1"/>
      <c r="C2066" s="39"/>
      <c r="D2066" s="21"/>
      <c r="G2066" s="1"/>
      <c r="H2066" s="11" t="str">
        <f t="shared" si="114"/>
        <v>0 г. 0 мес. 0 дн.</v>
      </c>
      <c r="I2066" s="20"/>
      <c r="J2066" s="20"/>
      <c r="O2066" s="20"/>
      <c r="V2066" s="1" t="str">
        <f t="shared" si="112"/>
        <v>0 г. 0 мес. 0 дн.</v>
      </c>
      <c r="W2066" s="69"/>
    </row>
    <row r="2067" spans="1:23" ht="35.1" customHeight="1" x14ac:dyDescent="0.25">
      <c r="A2067" s="1">
        <f t="shared" si="113"/>
        <v>2066</v>
      </c>
      <c r="B2067" s="1"/>
      <c r="C2067" s="39"/>
      <c r="D2067" s="21"/>
      <c r="G2067" s="1"/>
      <c r="H2067" s="11" t="str">
        <f t="shared" si="114"/>
        <v>0 г. 0 мес. 0 дн.</v>
      </c>
      <c r="I2067" s="20"/>
      <c r="J2067" s="20"/>
      <c r="O2067" s="20"/>
      <c r="V2067" s="1" t="str">
        <f t="shared" si="112"/>
        <v>0 г. 0 мес. 0 дн.</v>
      </c>
      <c r="W2067" s="69"/>
    </row>
    <row r="2068" spans="1:23" ht="35.1" customHeight="1" x14ac:dyDescent="0.25">
      <c r="A2068" s="1">
        <f t="shared" si="113"/>
        <v>2067</v>
      </c>
      <c r="B2068" s="1"/>
      <c r="C2068" s="39"/>
      <c r="D2068" s="21"/>
      <c r="G2068" s="1"/>
      <c r="H2068" s="11" t="str">
        <f t="shared" si="114"/>
        <v>0 г. 0 мес. 0 дн.</v>
      </c>
      <c r="I2068" s="20"/>
      <c r="J2068" s="20"/>
      <c r="O2068" s="20"/>
      <c r="V2068" s="1" t="str">
        <f t="shared" si="112"/>
        <v>0 г. 0 мес. 0 дн.</v>
      </c>
      <c r="W2068" s="69"/>
    </row>
    <row r="2069" spans="1:23" ht="35.1" customHeight="1" x14ac:dyDescent="0.25">
      <c r="A2069" s="1">
        <f t="shared" si="113"/>
        <v>2068</v>
      </c>
      <c r="B2069" s="1"/>
      <c r="C2069" s="39"/>
      <c r="D2069" s="21"/>
      <c r="G2069" s="1"/>
      <c r="H2069" s="11" t="str">
        <f t="shared" si="114"/>
        <v>0 г. 0 мес. 0 дн.</v>
      </c>
      <c r="I2069" s="20"/>
      <c r="J2069" s="20"/>
      <c r="O2069" s="20"/>
      <c r="V2069" s="1" t="str">
        <f t="shared" si="112"/>
        <v>0 г. 0 мес. 0 дн.</v>
      </c>
      <c r="W2069" s="69"/>
    </row>
    <row r="2070" spans="1:23" ht="35.1" customHeight="1" x14ac:dyDescent="0.25">
      <c r="A2070" s="1">
        <f t="shared" si="113"/>
        <v>2069</v>
      </c>
      <c r="B2070" s="1"/>
      <c r="C2070" s="39"/>
      <c r="D2070" s="21"/>
      <c r="G2070" s="1"/>
      <c r="H2070" s="11" t="str">
        <f t="shared" si="114"/>
        <v>0 г. 0 мес. 0 дн.</v>
      </c>
      <c r="I2070" s="20"/>
      <c r="J2070" s="20"/>
      <c r="O2070" s="20"/>
      <c r="V2070" s="1" t="str">
        <f t="shared" si="112"/>
        <v>0 г. 0 мес. 0 дн.</v>
      </c>
      <c r="W2070" s="69"/>
    </row>
    <row r="2071" spans="1:23" ht="35.1" customHeight="1" x14ac:dyDescent="0.25">
      <c r="A2071" s="1">
        <f t="shared" si="113"/>
        <v>2070</v>
      </c>
      <c r="B2071" s="1"/>
      <c r="C2071" s="39"/>
      <c r="D2071" s="21"/>
      <c r="G2071" s="1"/>
      <c r="H2071" s="11" t="str">
        <f t="shared" si="114"/>
        <v>0 г. 0 мес. 0 дн.</v>
      </c>
      <c r="I2071" s="20"/>
      <c r="J2071" s="20"/>
      <c r="O2071" s="20"/>
      <c r="V2071" s="1" t="str">
        <f t="shared" si="112"/>
        <v>0 г. 0 мес. 0 дн.</v>
      </c>
      <c r="W2071" s="69"/>
    </row>
    <row r="2072" spans="1:23" ht="35.1" customHeight="1" x14ac:dyDescent="0.25">
      <c r="A2072" s="1">
        <f t="shared" si="113"/>
        <v>2071</v>
      </c>
      <c r="B2072" s="1"/>
      <c r="C2072" s="39"/>
      <c r="D2072" s="21"/>
      <c r="G2072" s="1"/>
      <c r="H2072" s="11" t="str">
        <f t="shared" si="114"/>
        <v>0 г. 0 мес. 0 дн.</v>
      </c>
      <c r="I2072" s="20"/>
      <c r="J2072" s="20"/>
      <c r="O2072" s="20"/>
      <c r="V2072" s="1" t="str">
        <f t="shared" si="112"/>
        <v>0 г. 0 мес. 0 дн.</v>
      </c>
      <c r="W2072" s="69"/>
    </row>
    <row r="2073" spans="1:23" ht="35.1" customHeight="1" x14ac:dyDescent="0.25">
      <c r="A2073" s="1">
        <f t="shared" si="113"/>
        <v>2072</v>
      </c>
      <c r="B2073" s="1"/>
      <c r="C2073" s="39"/>
      <c r="D2073" s="21"/>
      <c r="G2073" s="1"/>
      <c r="H2073" s="11" t="str">
        <f t="shared" si="114"/>
        <v>0 г. 0 мес. 0 дн.</v>
      </c>
      <c r="I2073" s="20"/>
      <c r="J2073" s="20"/>
      <c r="O2073" s="20"/>
      <c r="V2073" s="1" t="str">
        <f t="shared" ref="V2073:V2136" si="115">DATEDIF(D2073,T2073,"y") &amp; " г. " &amp; DATEDIF(D2073,T2073,"ym") &amp; " мес. " &amp; DATEDIF(D2073,T2073,"md") &amp; " дн."</f>
        <v>0 г. 0 мес. 0 дн.</v>
      </c>
      <c r="W2073" s="69"/>
    </row>
    <row r="2074" spans="1:23" ht="35.1" customHeight="1" x14ac:dyDescent="0.25">
      <c r="A2074" s="1">
        <f t="shared" si="113"/>
        <v>2073</v>
      </c>
      <c r="B2074" s="1"/>
      <c r="C2074" s="39"/>
      <c r="D2074" s="21"/>
      <c r="G2074" s="1"/>
      <c r="H2074" s="11" t="str">
        <f t="shared" si="114"/>
        <v>0 г. 0 мес. 0 дн.</v>
      </c>
      <c r="I2074" s="20"/>
      <c r="J2074" s="20"/>
      <c r="O2074" s="20"/>
      <c r="V2074" s="1" t="str">
        <f t="shared" si="115"/>
        <v>0 г. 0 мес. 0 дн.</v>
      </c>
      <c r="W2074" s="69"/>
    </row>
    <row r="2075" spans="1:23" ht="35.1" customHeight="1" x14ac:dyDescent="0.25">
      <c r="A2075" s="1">
        <f t="shared" si="113"/>
        <v>2074</v>
      </c>
      <c r="B2075" s="1"/>
      <c r="C2075" s="39"/>
      <c r="D2075" s="21"/>
      <c r="G2075" s="1"/>
      <c r="H2075" s="11" t="str">
        <f t="shared" si="114"/>
        <v>0 г. 0 мес. 0 дн.</v>
      </c>
      <c r="I2075" s="20"/>
      <c r="J2075" s="20"/>
      <c r="O2075" s="20"/>
      <c r="V2075" s="1" t="str">
        <f t="shared" si="115"/>
        <v>0 г. 0 мес. 0 дн.</v>
      </c>
      <c r="W2075" s="69"/>
    </row>
    <row r="2076" spans="1:23" ht="35.1" customHeight="1" x14ac:dyDescent="0.25">
      <c r="A2076" s="1">
        <f t="shared" si="113"/>
        <v>2075</v>
      </c>
      <c r="B2076" s="1"/>
      <c r="C2076" s="39"/>
      <c r="D2076" s="21"/>
      <c r="G2076" s="1"/>
      <c r="H2076" s="11" t="str">
        <f t="shared" si="114"/>
        <v>0 г. 0 мес. 0 дн.</v>
      </c>
      <c r="I2076" s="20"/>
      <c r="J2076" s="20"/>
      <c r="O2076" s="20"/>
      <c r="V2076" s="1" t="str">
        <f t="shared" si="115"/>
        <v>0 г. 0 мес. 0 дн.</v>
      </c>
      <c r="W2076" s="69"/>
    </row>
    <row r="2077" spans="1:23" ht="35.1" customHeight="1" x14ac:dyDescent="0.25">
      <c r="A2077" s="1">
        <f t="shared" si="113"/>
        <v>2076</v>
      </c>
      <c r="B2077" s="1"/>
      <c r="C2077" s="39"/>
      <c r="D2077" s="21"/>
      <c r="G2077" s="1"/>
      <c r="H2077" s="11" t="str">
        <f t="shared" si="114"/>
        <v>0 г. 0 мес. 0 дн.</v>
      </c>
      <c r="I2077" s="20"/>
      <c r="J2077" s="20"/>
      <c r="O2077" s="20"/>
      <c r="V2077" s="1" t="str">
        <f t="shared" si="115"/>
        <v>0 г. 0 мес. 0 дн.</v>
      </c>
      <c r="W2077" s="69"/>
    </row>
    <row r="2078" spans="1:23" ht="35.1" customHeight="1" x14ac:dyDescent="0.25">
      <c r="A2078" s="1">
        <f t="shared" si="113"/>
        <v>2077</v>
      </c>
      <c r="B2078" s="1"/>
      <c r="C2078" s="39"/>
      <c r="D2078" s="21"/>
      <c r="G2078" s="1"/>
      <c r="H2078" s="11" t="str">
        <f t="shared" si="114"/>
        <v>0 г. 0 мес. 0 дн.</v>
      </c>
      <c r="I2078" s="20"/>
      <c r="J2078" s="20"/>
      <c r="O2078" s="20"/>
      <c r="V2078" s="1" t="str">
        <f t="shared" si="115"/>
        <v>0 г. 0 мес. 0 дн.</v>
      </c>
      <c r="W2078" s="69"/>
    </row>
    <row r="2079" spans="1:23" ht="35.1" customHeight="1" x14ac:dyDescent="0.25">
      <c r="A2079" s="1">
        <f t="shared" si="113"/>
        <v>2078</v>
      </c>
      <c r="B2079" s="1"/>
      <c r="C2079" s="39"/>
      <c r="D2079" s="21"/>
      <c r="G2079" s="1"/>
      <c r="H2079" s="11" t="str">
        <f t="shared" si="114"/>
        <v>0 г. 0 мес. 0 дн.</v>
      </c>
      <c r="I2079" s="20"/>
      <c r="J2079" s="20"/>
      <c r="O2079" s="20"/>
      <c r="V2079" s="1" t="str">
        <f t="shared" si="115"/>
        <v>0 г. 0 мес. 0 дн.</v>
      </c>
      <c r="W2079" s="69"/>
    </row>
    <row r="2080" spans="1:23" ht="35.1" customHeight="1" x14ac:dyDescent="0.25">
      <c r="A2080" s="1">
        <f t="shared" si="113"/>
        <v>2079</v>
      </c>
      <c r="B2080" s="1"/>
      <c r="C2080" s="39"/>
      <c r="D2080" s="21"/>
      <c r="G2080" s="1"/>
      <c r="H2080" s="11" t="str">
        <f t="shared" si="114"/>
        <v>0 г. 0 мес. 0 дн.</v>
      </c>
      <c r="I2080" s="20"/>
      <c r="J2080" s="20"/>
      <c r="O2080" s="20"/>
      <c r="V2080" s="1" t="str">
        <f t="shared" si="115"/>
        <v>0 г. 0 мес. 0 дн.</v>
      </c>
      <c r="W2080" s="69"/>
    </row>
    <row r="2081" spans="1:23" ht="35.1" customHeight="1" x14ac:dyDescent="0.25">
      <c r="A2081" s="1">
        <f t="shared" si="113"/>
        <v>2080</v>
      </c>
      <c r="B2081" s="1"/>
      <c r="C2081" s="39"/>
      <c r="D2081" s="21"/>
      <c r="G2081" s="1"/>
      <c r="H2081" s="11" t="str">
        <f t="shared" si="114"/>
        <v>0 г. 0 мес. 0 дн.</v>
      </c>
      <c r="I2081" s="20"/>
      <c r="J2081" s="20"/>
      <c r="O2081" s="20"/>
      <c r="V2081" s="1" t="str">
        <f t="shared" si="115"/>
        <v>0 г. 0 мес. 0 дн.</v>
      </c>
      <c r="W2081" s="69"/>
    </row>
    <row r="2082" spans="1:23" ht="35.1" customHeight="1" x14ac:dyDescent="0.25">
      <c r="A2082" s="1">
        <f t="shared" si="113"/>
        <v>2081</v>
      </c>
      <c r="B2082" s="1"/>
      <c r="C2082" s="39"/>
      <c r="D2082" s="21"/>
      <c r="G2082" s="1"/>
      <c r="H2082" s="11" t="str">
        <f t="shared" si="114"/>
        <v>0 г. 0 мес. 0 дн.</v>
      </c>
      <c r="I2082" s="20"/>
      <c r="J2082" s="20"/>
      <c r="O2082" s="20"/>
      <c r="V2082" s="1" t="str">
        <f t="shared" si="115"/>
        <v>0 г. 0 мес. 0 дн.</v>
      </c>
      <c r="W2082" s="69"/>
    </row>
    <row r="2083" spans="1:23" ht="35.1" customHeight="1" x14ac:dyDescent="0.25">
      <c r="A2083" s="1">
        <f t="shared" si="113"/>
        <v>2082</v>
      </c>
      <c r="B2083" s="1"/>
      <c r="C2083" s="39"/>
      <c r="D2083" s="21"/>
      <c r="G2083" s="1"/>
      <c r="H2083" s="11" t="str">
        <f t="shared" si="114"/>
        <v>0 г. 0 мес. 0 дн.</v>
      </c>
      <c r="I2083" s="20"/>
      <c r="J2083" s="20"/>
      <c r="O2083" s="20"/>
      <c r="V2083" s="1" t="str">
        <f t="shared" si="115"/>
        <v>0 г. 0 мес. 0 дн.</v>
      </c>
      <c r="W2083" s="69"/>
    </row>
    <row r="2084" spans="1:23" ht="35.1" customHeight="1" x14ac:dyDescent="0.25">
      <c r="A2084" s="1">
        <f t="shared" si="113"/>
        <v>2083</v>
      </c>
      <c r="B2084" s="1"/>
      <c r="C2084" s="39"/>
      <c r="D2084" s="21"/>
      <c r="G2084" s="1"/>
      <c r="H2084" s="11" t="str">
        <f t="shared" si="114"/>
        <v>0 г. 0 мес. 0 дн.</v>
      </c>
      <c r="I2084" s="20"/>
      <c r="J2084" s="20"/>
      <c r="O2084" s="20"/>
      <c r="V2084" s="1" t="str">
        <f t="shared" si="115"/>
        <v>0 г. 0 мес. 0 дн.</v>
      </c>
      <c r="W2084" s="69"/>
    </row>
    <row r="2085" spans="1:23" ht="35.1" customHeight="1" x14ac:dyDescent="0.25">
      <c r="A2085" s="1">
        <f t="shared" si="113"/>
        <v>2084</v>
      </c>
      <c r="B2085" s="1"/>
      <c r="C2085" s="39"/>
      <c r="D2085" s="21"/>
      <c r="G2085" s="1"/>
      <c r="H2085" s="11" t="str">
        <f t="shared" si="114"/>
        <v>0 г. 0 мес. 0 дн.</v>
      </c>
      <c r="I2085" s="20"/>
      <c r="J2085" s="20"/>
      <c r="O2085" s="20"/>
      <c r="V2085" s="1" t="str">
        <f t="shared" si="115"/>
        <v>0 г. 0 мес. 0 дн.</v>
      </c>
      <c r="W2085" s="69"/>
    </row>
    <row r="2086" spans="1:23" ht="35.1" customHeight="1" x14ac:dyDescent="0.25">
      <c r="A2086" s="1">
        <f t="shared" si="113"/>
        <v>2085</v>
      </c>
      <c r="B2086" s="1"/>
      <c r="C2086" s="39"/>
      <c r="D2086" s="21"/>
      <c r="G2086" s="1"/>
      <c r="H2086" s="11" t="str">
        <f t="shared" si="114"/>
        <v>0 г. 0 мес. 0 дн.</v>
      </c>
      <c r="I2086" s="20"/>
      <c r="J2086" s="20"/>
      <c r="O2086" s="20"/>
      <c r="V2086" s="1" t="str">
        <f t="shared" si="115"/>
        <v>0 г. 0 мес. 0 дн.</v>
      </c>
      <c r="W2086" s="69"/>
    </row>
    <row r="2087" spans="1:23" ht="35.1" customHeight="1" x14ac:dyDescent="0.25">
      <c r="A2087" s="1">
        <f t="shared" si="113"/>
        <v>2086</v>
      </c>
      <c r="B2087" s="1"/>
      <c r="C2087" s="39"/>
      <c r="D2087" s="21"/>
      <c r="G2087" s="1"/>
      <c r="H2087" s="11" t="str">
        <f t="shared" si="114"/>
        <v>0 г. 0 мес. 0 дн.</v>
      </c>
      <c r="I2087" s="20"/>
      <c r="J2087" s="20"/>
      <c r="O2087" s="20"/>
      <c r="V2087" s="1" t="str">
        <f t="shared" si="115"/>
        <v>0 г. 0 мес. 0 дн.</v>
      </c>
      <c r="W2087" s="69"/>
    </row>
    <row r="2088" spans="1:23" ht="35.1" customHeight="1" x14ac:dyDescent="0.25">
      <c r="A2088" s="1">
        <f t="shared" si="113"/>
        <v>2087</v>
      </c>
      <c r="B2088" s="1"/>
      <c r="C2088" s="39"/>
      <c r="D2088" s="21"/>
      <c r="G2088" s="1"/>
      <c r="H2088" s="11" t="str">
        <f t="shared" si="114"/>
        <v>0 г. 0 мес. 0 дн.</v>
      </c>
      <c r="I2088" s="20"/>
      <c r="J2088" s="20"/>
      <c r="O2088" s="20"/>
      <c r="V2088" s="1" t="str">
        <f t="shared" si="115"/>
        <v>0 г. 0 мес. 0 дн.</v>
      </c>
      <c r="W2088" s="69"/>
    </row>
    <row r="2089" spans="1:23" ht="35.1" customHeight="1" x14ac:dyDescent="0.25">
      <c r="A2089" s="1">
        <f t="shared" si="113"/>
        <v>2088</v>
      </c>
      <c r="B2089" s="1"/>
      <c r="C2089" s="39"/>
      <c r="D2089" s="21"/>
      <c r="G2089" s="1"/>
      <c r="H2089" s="11" t="str">
        <f t="shared" si="114"/>
        <v>0 г. 0 мес. 0 дн.</v>
      </c>
      <c r="I2089" s="20"/>
      <c r="J2089" s="20"/>
      <c r="O2089" s="20"/>
      <c r="V2089" s="1" t="str">
        <f t="shared" si="115"/>
        <v>0 г. 0 мес. 0 дн.</v>
      </c>
      <c r="W2089" s="69"/>
    </row>
    <row r="2090" spans="1:23" ht="35.1" customHeight="1" x14ac:dyDescent="0.25">
      <c r="A2090" s="1">
        <f t="shared" si="113"/>
        <v>2089</v>
      </c>
      <c r="B2090" s="1"/>
      <c r="C2090" s="39"/>
      <c r="D2090" s="21"/>
      <c r="G2090" s="1"/>
      <c r="H2090" s="11" t="str">
        <f t="shared" si="114"/>
        <v>0 г. 0 мес. 0 дн.</v>
      </c>
      <c r="I2090" s="20"/>
      <c r="J2090" s="20"/>
      <c r="O2090" s="20"/>
      <c r="V2090" s="1" t="str">
        <f t="shared" si="115"/>
        <v>0 г. 0 мес. 0 дн.</v>
      </c>
      <c r="W2090" s="69"/>
    </row>
    <row r="2091" spans="1:23" ht="35.1" customHeight="1" x14ac:dyDescent="0.25">
      <c r="A2091" s="1">
        <f t="shared" si="113"/>
        <v>2090</v>
      </c>
      <c r="B2091" s="1"/>
      <c r="C2091" s="39"/>
      <c r="D2091" s="21"/>
      <c r="G2091" s="1"/>
      <c r="H2091" s="11" t="str">
        <f t="shared" si="114"/>
        <v>0 г. 0 мес. 0 дн.</v>
      </c>
      <c r="I2091" s="20"/>
      <c r="J2091" s="20"/>
      <c r="O2091" s="20"/>
      <c r="V2091" s="1" t="str">
        <f t="shared" si="115"/>
        <v>0 г. 0 мес. 0 дн.</v>
      </c>
      <c r="W2091" s="69"/>
    </row>
    <row r="2092" spans="1:23" ht="35.1" customHeight="1" x14ac:dyDescent="0.25">
      <c r="A2092" s="1">
        <f t="shared" si="113"/>
        <v>2091</v>
      </c>
      <c r="B2092" s="1"/>
      <c r="C2092" s="39"/>
      <c r="D2092" s="21"/>
      <c r="G2092" s="1"/>
      <c r="H2092" s="11" t="str">
        <f t="shared" si="114"/>
        <v>0 г. 0 мес. 0 дн.</v>
      </c>
      <c r="I2092" s="20"/>
      <c r="J2092" s="20"/>
      <c r="O2092" s="20"/>
      <c r="V2092" s="1" t="str">
        <f t="shared" si="115"/>
        <v>0 г. 0 мес. 0 дн.</v>
      </c>
      <c r="W2092" s="69"/>
    </row>
    <row r="2093" spans="1:23" ht="35.1" customHeight="1" x14ac:dyDescent="0.25">
      <c r="A2093" s="1">
        <f t="shared" si="113"/>
        <v>2092</v>
      </c>
      <c r="B2093" s="1"/>
      <c r="C2093" s="39"/>
      <c r="D2093" s="21"/>
      <c r="G2093" s="1"/>
      <c r="H2093" s="11" t="str">
        <f t="shared" si="114"/>
        <v>0 г. 0 мес. 0 дн.</v>
      </c>
      <c r="I2093" s="20"/>
      <c r="J2093" s="20"/>
      <c r="O2093" s="20"/>
      <c r="V2093" s="1" t="str">
        <f t="shared" si="115"/>
        <v>0 г. 0 мес. 0 дн.</v>
      </c>
      <c r="W2093" s="69"/>
    </row>
    <row r="2094" spans="1:23" ht="35.1" customHeight="1" x14ac:dyDescent="0.25">
      <c r="A2094" s="1">
        <f t="shared" si="113"/>
        <v>2093</v>
      </c>
      <c r="B2094" s="1"/>
      <c r="C2094" s="39"/>
      <c r="D2094" s="21"/>
      <c r="G2094" s="1"/>
      <c r="H2094" s="11" t="str">
        <f t="shared" si="114"/>
        <v>0 г. 0 мес. 0 дн.</v>
      </c>
      <c r="I2094" s="20"/>
      <c r="J2094" s="20"/>
      <c r="O2094" s="20"/>
      <c r="V2094" s="1" t="str">
        <f t="shared" si="115"/>
        <v>0 г. 0 мес. 0 дн.</v>
      </c>
      <c r="W2094" s="69"/>
    </row>
    <row r="2095" spans="1:23" ht="35.1" customHeight="1" x14ac:dyDescent="0.25">
      <c r="A2095" s="1">
        <f t="shared" si="113"/>
        <v>2094</v>
      </c>
      <c r="B2095" s="1"/>
      <c r="C2095" s="39"/>
      <c r="D2095" s="21"/>
      <c r="G2095" s="1"/>
      <c r="H2095" s="11" t="str">
        <f t="shared" si="114"/>
        <v>0 г. 0 мес. 0 дн.</v>
      </c>
      <c r="I2095" s="20"/>
      <c r="J2095" s="20"/>
      <c r="O2095" s="20"/>
      <c r="V2095" s="1" t="str">
        <f t="shared" si="115"/>
        <v>0 г. 0 мес. 0 дн.</v>
      </c>
      <c r="W2095" s="69"/>
    </row>
    <row r="2096" spans="1:23" ht="35.1" customHeight="1" x14ac:dyDescent="0.25">
      <c r="A2096" s="1">
        <f t="shared" si="113"/>
        <v>2095</v>
      </c>
      <c r="B2096" s="1"/>
      <c r="C2096" s="39"/>
      <c r="D2096" s="21"/>
      <c r="G2096" s="1"/>
      <c r="H2096" s="11" t="str">
        <f t="shared" si="114"/>
        <v>0 г. 0 мес. 0 дн.</v>
      </c>
      <c r="I2096" s="20"/>
      <c r="J2096" s="20"/>
      <c r="O2096" s="20"/>
      <c r="V2096" s="1" t="str">
        <f t="shared" si="115"/>
        <v>0 г. 0 мес. 0 дн.</v>
      </c>
      <c r="W2096" s="69"/>
    </row>
    <row r="2097" spans="1:23" ht="35.1" customHeight="1" x14ac:dyDescent="0.25">
      <c r="A2097" s="1">
        <f t="shared" si="113"/>
        <v>2096</v>
      </c>
      <c r="B2097" s="1"/>
      <c r="C2097" s="39"/>
      <c r="D2097" s="21"/>
      <c r="G2097" s="1"/>
      <c r="H2097" s="11" t="str">
        <f t="shared" si="114"/>
        <v>0 г. 0 мес. 0 дн.</v>
      </c>
      <c r="I2097" s="20"/>
      <c r="J2097" s="20"/>
      <c r="O2097" s="20"/>
      <c r="V2097" s="1" t="str">
        <f t="shared" si="115"/>
        <v>0 г. 0 мес. 0 дн.</v>
      </c>
      <c r="W2097" s="69"/>
    </row>
    <row r="2098" spans="1:23" ht="35.1" customHeight="1" x14ac:dyDescent="0.25">
      <c r="A2098" s="1">
        <f t="shared" si="113"/>
        <v>2097</v>
      </c>
      <c r="B2098" s="1"/>
      <c r="C2098" s="39"/>
      <c r="D2098" s="21"/>
      <c r="G2098" s="1"/>
      <c r="H2098" s="11" t="str">
        <f t="shared" si="114"/>
        <v>0 г. 0 мес. 0 дн.</v>
      </c>
      <c r="I2098" s="20"/>
      <c r="J2098" s="20"/>
      <c r="O2098" s="20"/>
      <c r="V2098" s="1" t="str">
        <f t="shared" si="115"/>
        <v>0 г. 0 мес. 0 дн.</v>
      </c>
      <c r="W2098" s="69"/>
    </row>
    <row r="2099" spans="1:23" ht="35.1" customHeight="1" x14ac:dyDescent="0.25">
      <c r="A2099" s="1">
        <f t="shared" si="113"/>
        <v>2098</v>
      </c>
      <c r="B2099" s="1"/>
      <c r="C2099" s="39"/>
      <c r="D2099" s="21"/>
      <c r="G2099" s="1"/>
      <c r="H2099" s="11" t="str">
        <f t="shared" si="114"/>
        <v>0 г. 0 мес. 0 дн.</v>
      </c>
      <c r="I2099" s="20"/>
      <c r="J2099" s="20"/>
      <c r="O2099" s="20"/>
      <c r="V2099" s="1" t="str">
        <f t="shared" si="115"/>
        <v>0 г. 0 мес. 0 дн.</v>
      </c>
      <c r="W2099" s="69"/>
    </row>
    <row r="2100" spans="1:23" ht="35.1" customHeight="1" x14ac:dyDescent="0.25">
      <c r="A2100" s="1">
        <f t="shared" si="113"/>
        <v>2099</v>
      </c>
      <c r="B2100" s="1"/>
      <c r="C2100" s="39"/>
      <c r="D2100" s="21"/>
      <c r="G2100" s="1"/>
      <c r="H2100" s="11" t="str">
        <f t="shared" si="114"/>
        <v>0 г. 0 мес. 0 дн.</v>
      </c>
      <c r="I2100" s="20"/>
      <c r="J2100" s="20"/>
      <c r="O2100" s="20"/>
      <c r="V2100" s="1" t="str">
        <f t="shared" si="115"/>
        <v>0 г. 0 мес. 0 дн.</v>
      </c>
      <c r="W2100" s="69"/>
    </row>
    <row r="2101" spans="1:23" ht="35.1" customHeight="1" x14ac:dyDescent="0.25">
      <c r="A2101" s="1">
        <f t="shared" si="113"/>
        <v>2100</v>
      </c>
      <c r="B2101" s="1"/>
      <c r="C2101" s="39"/>
      <c r="D2101" s="21"/>
      <c r="G2101" s="1"/>
      <c r="H2101" s="11" t="str">
        <f t="shared" si="114"/>
        <v>0 г. 0 мес. 0 дн.</v>
      </c>
      <c r="I2101" s="20"/>
      <c r="J2101" s="20"/>
      <c r="O2101" s="20"/>
      <c r="V2101" s="1" t="str">
        <f t="shared" si="115"/>
        <v>0 г. 0 мес. 0 дн.</v>
      </c>
      <c r="W2101" s="69"/>
    </row>
    <row r="2102" spans="1:23" ht="35.1" customHeight="1" x14ac:dyDescent="0.25">
      <c r="A2102" s="1">
        <f t="shared" si="113"/>
        <v>2101</v>
      </c>
      <c r="B2102" s="1"/>
      <c r="C2102" s="39"/>
      <c r="D2102" s="21"/>
      <c r="G2102" s="1"/>
      <c r="H2102" s="11" t="str">
        <f t="shared" si="114"/>
        <v>0 г. 0 мес. 0 дн.</v>
      </c>
      <c r="I2102" s="20"/>
      <c r="J2102" s="20"/>
      <c r="O2102" s="20"/>
      <c r="V2102" s="1" t="str">
        <f t="shared" si="115"/>
        <v>0 г. 0 мес. 0 дн.</v>
      </c>
      <c r="W2102" s="69"/>
    </row>
    <row r="2103" spans="1:23" ht="35.1" customHeight="1" x14ac:dyDescent="0.25">
      <c r="A2103" s="1">
        <f t="shared" si="113"/>
        <v>2102</v>
      </c>
      <c r="B2103" s="1"/>
      <c r="C2103" s="39"/>
      <c r="D2103" s="21"/>
      <c r="G2103" s="1"/>
      <c r="H2103" s="11" t="str">
        <f t="shared" si="114"/>
        <v>0 г. 0 мес. 0 дн.</v>
      </c>
      <c r="I2103" s="20"/>
      <c r="J2103" s="20"/>
      <c r="O2103" s="20"/>
      <c r="V2103" s="1" t="str">
        <f t="shared" si="115"/>
        <v>0 г. 0 мес. 0 дн.</v>
      </c>
      <c r="W2103" s="69"/>
    </row>
    <row r="2104" spans="1:23" ht="35.1" customHeight="1" x14ac:dyDescent="0.25">
      <c r="A2104" s="1">
        <f t="shared" si="113"/>
        <v>2103</v>
      </c>
      <c r="B2104" s="1"/>
      <c r="C2104" s="39"/>
      <c r="D2104" s="21"/>
      <c r="G2104" s="1"/>
      <c r="H2104" s="11" t="str">
        <f t="shared" si="114"/>
        <v>0 г. 0 мес. 0 дн.</v>
      </c>
      <c r="I2104" s="20"/>
      <c r="J2104" s="20"/>
      <c r="O2104" s="20"/>
      <c r="V2104" s="1" t="str">
        <f t="shared" si="115"/>
        <v>0 г. 0 мес. 0 дн.</v>
      </c>
      <c r="W2104" s="69"/>
    </row>
    <row r="2105" spans="1:23" ht="35.1" customHeight="1" x14ac:dyDescent="0.25">
      <c r="A2105" s="1">
        <f t="shared" si="113"/>
        <v>2104</v>
      </c>
      <c r="B2105" s="1"/>
      <c r="C2105" s="39"/>
      <c r="D2105" s="21"/>
      <c r="G2105" s="1"/>
      <c r="H2105" s="11" t="str">
        <f t="shared" si="114"/>
        <v>0 г. 0 мес. 0 дн.</v>
      </c>
      <c r="I2105" s="20"/>
      <c r="J2105" s="20"/>
      <c r="O2105" s="20"/>
      <c r="V2105" s="1" t="str">
        <f t="shared" si="115"/>
        <v>0 г. 0 мес. 0 дн.</v>
      </c>
      <c r="W2105" s="69"/>
    </row>
    <row r="2106" spans="1:23" ht="35.1" customHeight="1" x14ac:dyDescent="0.25">
      <c r="A2106" s="1">
        <f t="shared" si="113"/>
        <v>2105</v>
      </c>
      <c r="B2106" s="1"/>
      <c r="C2106" s="39"/>
      <c r="D2106" s="21"/>
      <c r="G2106" s="1"/>
      <c r="H2106" s="11" t="str">
        <f t="shared" si="114"/>
        <v>0 г. 0 мес. 0 дн.</v>
      </c>
      <c r="I2106" s="20"/>
      <c r="J2106" s="20"/>
      <c r="O2106" s="20"/>
      <c r="V2106" s="1" t="str">
        <f t="shared" si="115"/>
        <v>0 г. 0 мес. 0 дн.</v>
      </c>
      <c r="W2106" s="69"/>
    </row>
    <row r="2107" spans="1:23" ht="35.1" customHeight="1" x14ac:dyDescent="0.25">
      <c r="A2107" s="1">
        <f t="shared" si="113"/>
        <v>2106</v>
      </c>
      <c r="B2107" s="1"/>
      <c r="C2107" s="39"/>
      <c r="D2107" s="21"/>
      <c r="G2107" s="1"/>
      <c r="H2107" s="11" t="str">
        <f t="shared" si="114"/>
        <v>0 г. 0 мес. 0 дн.</v>
      </c>
      <c r="I2107" s="20"/>
      <c r="J2107" s="20"/>
      <c r="O2107" s="20"/>
      <c r="V2107" s="1" t="str">
        <f t="shared" si="115"/>
        <v>0 г. 0 мес. 0 дн.</v>
      </c>
      <c r="W2107" s="69"/>
    </row>
    <row r="2108" spans="1:23" ht="35.1" customHeight="1" x14ac:dyDescent="0.25">
      <c r="A2108" s="1">
        <f t="shared" si="113"/>
        <v>2107</v>
      </c>
      <c r="B2108" s="1"/>
      <c r="C2108" s="39"/>
      <c r="D2108" s="21"/>
      <c r="G2108" s="1"/>
      <c r="H2108" s="11" t="str">
        <f t="shared" si="114"/>
        <v>0 г. 0 мес. 0 дн.</v>
      </c>
      <c r="I2108" s="20"/>
      <c r="J2108" s="20"/>
      <c r="O2108" s="20"/>
      <c r="V2108" s="1" t="str">
        <f t="shared" si="115"/>
        <v>0 г. 0 мес. 0 дн.</v>
      </c>
      <c r="W2108" s="69"/>
    </row>
    <row r="2109" spans="1:23" ht="35.1" customHeight="1" x14ac:dyDescent="0.25">
      <c r="A2109" s="1">
        <f t="shared" si="113"/>
        <v>2108</v>
      </c>
      <c r="B2109" s="1"/>
      <c r="C2109" s="39"/>
      <c r="D2109" s="21"/>
      <c r="G2109" s="1"/>
      <c r="H2109" s="11" t="str">
        <f t="shared" si="114"/>
        <v>0 г. 0 мес. 0 дн.</v>
      </c>
      <c r="I2109" s="20"/>
      <c r="J2109" s="20"/>
      <c r="O2109" s="20"/>
      <c r="V2109" s="1" t="str">
        <f t="shared" si="115"/>
        <v>0 г. 0 мес. 0 дн.</v>
      </c>
      <c r="W2109" s="69"/>
    </row>
    <row r="2110" spans="1:23" ht="35.1" customHeight="1" x14ac:dyDescent="0.25">
      <c r="A2110" s="1">
        <f t="shared" si="113"/>
        <v>2109</v>
      </c>
      <c r="B2110" s="1"/>
      <c r="C2110" s="39"/>
      <c r="D2110" s="21"/>
      <c r="G2110" s="1"/>
      <c r="H2110" s="11" t="str">
        <f t="shared" si="114"/>
        <v>0 г. 0 мес. 0 дн.</v>
      </c>
      <c r="I2110" s="20"/>
      <c r="J2110" s="20"/>
      <c r="O2110" s="20"/>
      <c r="V2110" s="1" t="str">
        <f t="shared" si="115"/>
        <v>0 г. 0 мес. 0 дн.</v>
      </c>
      <c r="W2110" s="69"/>
    </row>
    <row r="2111" spans="1:23" ht="35.1" customHeight="1" x14ac:dyDescent="0.25">
      <c r="A2111" s="1">
        <f t="shared" si="113"/>
        <v>2110</v>
      </c>
      <c r="B2111" s="1"/>
      <c r="C2111" s="39"/>
      <c r="D2111" s="21"/>
      <c r="G2111" s="1"/>
      <c r="H2111" s="11" t="str">
        <f t="shared" si="114"/>
        <v>0 г. 0 мес. 0 дн.</v>
      </c>
      <c r="I2111" s="20"/>
      <c r="J2111" s="20"/>
      <c r="O2111" s="20"/>
      <c r="V2111" s="1" t="str">
        <f t="shared" si="115"/>
        <v>0 г. 0 мес. 0 дн.</v>
      </c>
      <c r="W2111" s="69"/>
    </row>
    <row r="2112" spans="1:23" ht="35.1" customHeight="1" x14ac:dyDescent="0.25">
      <c r="A2112" s="1">
        <f t="shared" si="113"/>
        <v>2111</v>
      </c>
      <c r="B2112" s="1"/>
      <c r="C2112" s="39"/>
      <c r="D2112" s="21"/>
      <c r="G2112" s="1"/>
      <c r="H2112" s="11" t="str">
        <f t="shared" si="114"/>
        <v>0 г. 0 мес. 0 дн.</v>
      </c>
      <c r="I2112" s="20"/>
      <c r="J2112" s="20"/>
      <c r="O2112" s="20"/>
      <c r="V2112" s="1" t="str">
        <f t="shared" si="115"/>
        <v>0 г. 0 мес. 0 дн.</v>
      </c>
      <c r="W2112" s="69"/>
    </row>
    <row r="2113" spans="1:23" ht="35.1" customHeight="1" x14ac:dyDescent="0.25">
      <c r="A2113" s="1">
        <f t="shared" ref="A2113:A2176" si="116">ROW(A2112)</f>
        <v>2112</v>
      </c>
      <c r="B2113" s="1"/>
      <c r="C2113" s="39"/>
      <c r="D2113" s="21"/>
      <c r="G2113" s="1"/>
      <c r="H2113" s="11" t="str">
        <f t="shared" ref="H2113:H2176" si="117">DATEDIF(G2113,D2113,"y") &amp; " г. " &amp; DATEDIF(G2113,D2113,"ym") &amp; " мес. " &amp; DATEDIF(G2113,D2113,"md") &amp; " дн."</f>
        <v>0 г. 0 мес. 0 дн.</v>
      </c>
      <c r="I2113" s="20"/>
      <c r="J2113" s="20"/>
      <c r="O2113" s="20"/>
      <c r="V2113" s="1" t="str">
        <f t="shared" si="115"/>
        <v>0 г. 0 мес. 0 дн.</v>
      </c>
      <c r="W2113" s="69"/>
    </row>
    <row r="2114" spans="1:23" ht="35.1" customHeight="1" x14ac:dyDescent="0.25">
      <c r="A2114" s="1">
        <f t="shared" si="116"/>
        <v>2113</v>
      </c>
      <c r="B2114" s="1"/>
      <c r="C2114" s="39"/>
      <c r="D2114" s="21"/>
      <c r="G2114" s="1"/>
      <c r="H2114" s="11" t="str">
        <f t="shared" si="117"/>
        <v>0 г. 0 мес. 0 дн.</v>
      </c>
      <c r="I2114" s="20"/>
      <c r="J2114" s="20"/>
      <c r="O2114" s="20"/>
      <c r="V2114" s="1" t="str">
        <f t="shared" si="115"/>
        <v>0 г. 0 мес. 0 дн.</v>
      </c>
      <c r="W2114" s="69"/>
    </row>
    <row r="2115" spans="1:23" ht="35.1" customHeight="1" x14ac:dyDescent="0.25">
      <c r="A2115" s="1">
        <f t="shared" si="116"/>
        <v>2114</v>
      </c>
      <c r="B2115" s="1"/>
      <c r="C2115" s="39"/>
      <c r="D2115" s="21"/>
      <c r="G2115" s="1"/>
      <c r="H2115" s="11" t="str">
        <f t="shared" si="117"/>
        <v>0 г. 0 мес. 0 дн.</v>
      </c>
      <c r="I2115" s="20"/>
      <c r="J2115" s="20"/>
      <c r="O2115" s="20"/>
      <c r="V2115" s="1" t="str">
        <f t="shared" si="115"/>
        <v>0 г. 0 мес. 0 дн.</v>
      </c>
      <c r="W2115" s="69"/>
    </row>
    <row r="2116" spans="1:23" ht="35.1" customHeight="1" x14ac:dyDescent="0.25">
      <c r="A2116" s="1">
        <f t="shared" si="116"/>
        <v>2115</v>
      </c>
      <c r="B2116" s="1"/>
      <c r="C2116" s="39"/>
      <c r="D2116" s="21"/>
      <c r="G2116" s="1"/>
      <c r="H2116" s="11" t="str">
        <f t="shared" si="117"/>
        <v>0 г. 0 мес. 0 дн.</v>
      </c>
      <c r="I2116" s="20"/>
      <c r="J2116" s="20"/>
      <c r="O2116" s="20"/>
      <c r="V2116" s="1" t="str">
        <f t="shared" si="115"/>
        <v>0 г. 0 мес. 0 дн.</v>
      </c>
      <c r="W2116" s="69"/>
    </row>
    <row r="2117" spans="1:23" ht="35.1" customHeight="1" x14ac:dyDescent="0.25">
      <c r="A2117" s="1">
        <f t="shared" si="116"/>
        <v>2116</v>
      </c>
      <c r="B2117" s="1"/>
      <c r="C2117" s="39"/>
      <c r="D2117" s="21"/>
      <c r="G2117" s="1"/>
      <c r="H2117" s="11" t="str">
        <f t="shared" si="117"/>
        <v>0 г. 0 мес. 0 дн.</v>
      </c>
      <c r="I2117" s="20"/>
      <c r="J2117" s="20"/>
      <c r="O2117" s="20"/>
      <c r="V2117" s="1" t="str">
        <f t="shared" si="115"/>
        <v>0 г. 0 мес. 0 дн.</v>
      </c>
      <c r="W2117" s="69"/>
    </row>
    <row r="2118" spans="1:23" ht="35.1" customHeight="1" x14ac:dyDescent="0.25">
      <c r="A2118" s="1">
        <f t="shared" si="116"/>
        <v>2117</v>
      </c>
      <c r="B2118" s="1"/>
      <c r="C2118" s="39"/>
      <c r="D2118" s="21"/>
      <c r="G2118" s="1"/>
      <c r="H2118" s="11" t="str">
        <f t="shared" si="117"/>
        <v>0 г. 0 мес. 0 дн.</v>
      </c>
      <c r="I2118" s="20"/>
      <c r="J2118" s="20"/>
      <c r="O2118" s="20"/>
      <c r="V2118" s="1" t="str">
        <f t="shared" si="115"/>
        <v>0 г. 0 мес. 0 дн.</v>
      </c>
      <c r="W2118" s="69"/>
    </row>
    <row r="2119" spans="1:23" ht="35.1" customHeight="1" x14ac:dyDescent="0.25">
      <c r="A2119" s="1">
        <f t="shared" si="116"/>
        <v>2118</v>
      </c>
      <c r="B2119" s="1"/>
      <c r="C2119" s="39"/>
      <c r="D2119" s="21"/>
      <c r="G2119" s="1"/>
      <c r="H2119" s="11" t="str">
        <f t="shared" si="117"/>
        <v>0 г. 0 мес. 0 дн.</v>
      </c>
      <c r="I2119" s="20"/>
      <c r="J2119" s="20"/>
      <c r="O2119" s="20"/>
      <c r="V2119" s="1" t="str">
        <f t="shared" si="115"/>
        <v>0 г. 0 мес. 0 дн.</v>
      </c>
      <c r="W2119" s="69"/>
    </row>
    <row r="2120" spans="1:23" ht="35.1" customHeight="1" x14ac:dyDescent="0.25">
      <c r="A2120" s="1">
        <f t="shared" si="116"/>
        <v>2119</v>
      </c>
      <c r="B2120" s="1"/>
      <c r="C2120" s="39"/>
      <c r="D2120" s="21"/>
      <c r="G2120" s="1"/>
      <c r="H2120" s="11" t="str">
        <f t="shared" si="117"/>
        <v>0 г. 0 мес. 0 дн.</v>
      </c>
      <c r="I2120" s="20"/>
      <c r="J2120" s="20"/>
      <c r="O2120" s="20"/>
      <c r="V2120" s="1" t="str">
        <f t="shared" si="115"/>
        <v>0 г. 0 мес. 0 дн.</v>
      </c>
      <c r="W2120" s="69"/>
    </row>
    <row r="2121" spans="1:23" ht="35.1" customHeight="1" x14ac:dyDescent="0.25">
      <c r="A2121" s="1">
        <f t="shared" si="116"/>
        <v>2120</v>
      </c>
      <c r="B2121" s="1"/>
      <c r="C2121" s="39"/>
      <c r="D2121" s="21"/>
      <c r="G2121" s="1"/>
      <c r="H2121" s="11" t="str">
        <f t="shared" si="117"/>
        <v>0 г. 0 мес. 0 дн.</v>
      </c>
      <c r="I2121" s="20"/>
      <c r="J2121" s="20"/>
      <c r="O2121" s="20"/>
      <c r="V2121" s="1" t="str">
        <f t="shared" si="115"/>
        <v>0 г. 0 мес. 0 дн.</v>
      </c>
      <c r="W2121" s="69"/>
    </row>
    <row r="2122" spans="1:23" ht="35.1" customHeight="1" x14ac:dyDescent="0.25">
      <c r="A2122" s="1">
        <f t="shared" si="116"/>
        <v>2121</v>
      </c>
      <c r="B2122" s="1"/>
      <c r="C2122" s="39"/>
      <c r="D2122" s="21"/>
      <c r="G2122" s="1"/>
      <c r="H2122" s="11" t="str">
        <f t="shared" si="117"/>
        <v>0 г. 0 мес. 0 дн.</v>
      </c>
      <c r="I2122" s="20"/>
      <c r="J2122" s="20"/>
      <c r="O2122" s="20"/>
      <c r="V2122" s="1" t="str">
        <f t="shared" si="115"/>
        <v>0 г. 0 мес. 0 дн.</v>
      </c>
      <c r="W2122" s="69"/>
    </row>
    <row r="2123" spans="1:23" ht="35.1" customHeight="1" x14ac:dyDescent="0.25">
      <c r="A2123" s="1">
        <f t="shared" si="116"/>
        <v>2122</v>
      </c>
      <c r="B2123" s="1"/>
      <c r="C2123" s="39"/>
      <c r="D2123" s="21"/>
      <c r="G2123" s="1"/>
      <c r="H2123" s="11" t="str">
        <f t="shared" si="117"/>
        <v>0 г. 0 мес. 0 дн.</v>
      </c>
      <c r="I2123" s="20"/>
      <c r="J2123" s="20"/>
      <c r="O2123" s="20"/>
      <c r="V2123" s="1" t="str">
        <f t="shared" si="115"/>
        <v>0 г. 0 мес. 0 дн.</v>
      </c>
      <c r="W2123" s="69"/>
    </row>
    <row r="2124" spans="1:23" ht="35.1" customHeight="1" x14ac:dyDescent="0.25">
      <c r="A2124" s="1">
        <f t="shared" si="116"/>
        <v>2123</v>
      </c>
      <c r="B2124" s="1"/>
      <c r="C2124" s="39"/>
      <c r="D2124" s="21"/>
      <c r="G2124" s="1"/>
      <c r="H2124" s="11" t="str">
        <f t="shared" si="117"/>
        <v>0 г. 0 мес. 0 дн.</v>
      </c>
      <c r="I2124" s="20"/>
      <c r="J2124" s="20"/>
      <c r="O2124" s="20"/>
      <c r="V2124" s="1" t="str">
        <f t="shared" si="115"/>
        <v>0 г. 0 мес. 0 дн.</v>
      </c>
      <c r="W2124" s="69"/>
    </row>
    <row r="2125" spans="1:23" ht="35.1" customHeight="1" x14ac:dyDescent="0.25">
      <c r="A2125" s="1">
        <f t="shared" si="116"/>
        <v>2124</v>
      </c>
      <c r="B2125" s="1"/>
      <c r="C2125" s="39"/>
      <c r="D2125" s="21"/>
      <c r="G2125" s="1"/>
      <c r="H2125" s="11" t="str">
        <f t="shared" si="117"/>
        <v>0 г. 0 мес. 0 дн.</v>
      </c>
      <c r="I2125" s="20"/>
      <c r="J2125" s="20"/>
      <c r="O2125" s="20"/>
      <c r="V2125" s="1" t="str">
        <f t="shared" si="115"/>
        <v>0 г. 0 мес. 0 дн.</v>
      </c>
      <c r="W2125" s="69"/>
    </row>
    <row r="2126" spans="1:23" ht="35.1" customHeight="1" x14ac:dyDescent="0.25">
      <c r="A2126" s="1">
        <f t="shared" si="116"/>
        <v>2125</v>
      </c>
      <c r="B2126" s="1"/>
      <c r="C2126" s="39"/>
      <c r="D2126" s="21"/>
      <c r="G2126" s="1"/>
      <c r="H2126" s="11" t="str">
        <f t="shared" si="117"/>
        <v>0 г. 0 мес. 0 дн.</v>
      </c>
      <c r="I2126" s="20"/>
      <c r="J2126" s="20"/>
      <c r="O2126" s="20"/>
      <c r="V2126" s="1" t="str">
        <f t="shared" si="115"/>
        <v>0 г. 0 мес. 0 дн.</v>
      </c>
      <c r="W2126" s="69"/>
    </row>
    <row r="2127" spans="1:23" ht="35.1" customHeight="1" x14ac:dyDescent="0.25">
      <c r="A2127" s="1">
        <f t="shared" si="116"/>
        <v>2126</v>
      </c>
      <c r="B2127" s="1"/>
      <c r="C2127" s="39"/>
      <c r="D2127" s="21"/>
      <c r="G2127" s="1"/>
      <c r="H2127" s="11" t="str">
        <f t="shared" si="117"/>
        <v>0 г. 0 мес. 0 дн.</v>
      </c>
      <c r="I2127" s="20"/>
      <c r="J2127" s="20"/>
      <c r="O2127" s="20"/>
      <c r="V2127" s="1" t="str">
        <f t="shared" si="115"/>
        <v>0 г. 0 мес. 0 дн.</v>
      </c>
      <c r="W2127" s="69"/>
    </row>
    <row r="2128" spans="1:23" ht="35.1" customHeight="1" x14ac:dyDescent="0.25">
      <c r="A2128" s="1">
        <f t="shared" si="116"/>
        <v>2127</v>
      </c>
      <c r="B2128" s="1"/>
      <c r="C2128" s="39"/>
      <c r="D2128" s="21"/>
      <c r="G2128" s="1"/>
      <c r="H2128" s="11" t="str">
        <f t="shared" si="117"/>
        <v>0 г. 0 мес. 0 дн.</v>
      </c>
      <c r="I2128" s="20"/>
      <c r="J2128" s="20"/>
      <c r="O2128" s="20"/>
      <c r="V2128" s="1" t="str">
        <f t="shared" si="115"/>
        <v>0 г. 0 мес. 0 дн.</v>
      </c>
      <c r="W2128" s="69"/>
    </row>
    <row r="2129" spans="1:23" ht="35.1" customHeight="1" x14ac:dyDescent="0.25">
      <c r="A2129" s="1">
        <f t="shared" si="116"/>
        <v>2128</v>
      </c>
      <c r="B2129" s="1"/>
      <c r="C2129" s="39"/>
      <c r="D2129" s="21"/>
      <c r="G2129" s="1"/>
      <c r="H2129" s="11" t="str">
        <f t="shared" si="117"/>
        <v>0 г. 0 мес. 0 дн.</v>
      </c>
      <c r="I2129" s="20"/>
      <c r="J2129" s="20"/>
      <c r="O2129" s="20"/>
      <c r="V2129" s="1" t="str">
        <f t="shared" si="115"/>
        <v>0 г. 0 мес. 0 дн.</v>
      </c>
      <c r="W2129" s="69"/>
    </row>
    <row r="2130" spans="1:23" ht="35.1" customHeight="1" x14ac:dyDescent="0.25">
      <c r="A2130" s="1">
        <f t="shared" si="116"/>
        <v>2129</v>
      </c>
      <c r="B2130" s="1"/>
      <c r="C2130" s="39"/>
      <c r="D2130" s="21"/>
      <c r="G2130" s="1"/>
      <c r="H2130" s="11" t="str">
        <f t="shared" si="117"/>
        <v>0 г. 0 мес. 0 дн.</v>
      </c>
      <c r="I2130" s="20"/>
      <c r="J2130" s="20"/>
      <c r="O2130" s="20"/>
      <c r="V2130" s="1" t="str">
        <f t="shared" si="115"/>
        <v>0 г. 0 мес. 0 дн.</v>
      </c>
      <c r="W2130" s="69"/>
    </row>
    <row r="2131" spans="1:23" ht="35.1" customHeight="1" x14ac:dyDescent="0.25">
      <c r="A2131" s="1">
        <f t="shared" si="116"/>
        <v>2130</v>
      </c>
      <c r="B2131" s="1"/>
      <c r="C2131" s="39"/>
      <c r="D2131" s="21"/>
      <c r="G2131" s="1"/>
      <c r="H2131" s="11" t="str">
        <f t="shared" si="117"/>
        <v>0 г. 0 мес. 0 дн.</v>
      </c>
      <c r="I2131" s="20"/>
      <c r="J2131" s="20"/>
      <c r="O2131" s="20"/>
      <c r="V2131" s="1" t="str">
        <f t="shared" si="115"/>
        <v>0 г. 0 мес. 0 дн.</v>
      </c>
      <c r="W2131" s="69"/>
    </row>
    <row r="2132" spans="1:23" ht="35.1" customHeight="1" x14ac:dyDescent="0.25">
      <c r="A2132" s="1">
        <f t="shared" si="116"/>
        <v>2131</v>
      </c>
      <c r="B2132" s="1"/>
      <c r="C2132" s="39"/>
      <c r="D2132" s="21"/>
      <c r="G2132" s="1"/>
      <c r="H2132" s="11" t="str">
        <f t="shared" si="117"/>
        <v>0 г. 0 мес. 0 дн.</v>
      </c>
      <c r="I2132" s="20"/>
      <c r="J2132" s="20"/>
      <c r="O2132" s="20"/>
      <c r="V2132" s="1" t="str">
        <f t="shared" si="115"/>
        <v>0 г. 0 мес. 0 дн.</v>
      </c>
      <c r="W2132" s="69"/>
    </row>
    <row r="2133" spans="1:23" ht="35.1" customHeight="1" x14ac:dyDescent="0.25">
      <c r="A2133" s="1">
        <f t="shared" si="116"/>
        <v>2132</v>
      </c>
      <c r="B2133" s="1"/>
      <c r="C2133" s="39"/>
      <c r="D2133" s="21"/>
      <c r="G2133" s="1"/>
      <c r="H2133" s="11" t="str">
        <f t="shared" si="117"/>
        <v>0 г. 0 мес. 0 дн.</v>
      </c>
      <c r="I2133" s="20"/>
      <c r="J2133" s="20"/>
      <c r="O2133" s="20"/>
      <c r="V2133" s="1" t="str">
        <f t="shared" si="115"/>
        <v>0 г. 0 мес. 0 дн.</v>
      </c>
      <c r="W2133" s="69"/>
    </row>
    <row r="2134" spans="1:23" ht="35.1" customHeight="1" x14ac:dyDescent="0.25">
      <c r="A2134" s="1">
        <f t="shared" si="116"/>
        <v>2133</v>
      </c>
      <c r="B2134" s="1"/>
      <c r="C2134" s="39"/>
      <c r="D2134" s="21"/>
      <c r="G2134" s="1"/>
      <c r="H2134" s="11" t="str">
        <f t="shared" si="117"/>
        <v>0 г. 0 мес. 0 дн.</v>
      </c>
      <c r="I2134" s="20"/>
      <c r="J2134" s="20"/>
      <c r="O2134" s="20"/>
      <c r="V2134" s="1" t="str">
        <f t="shared" si="115"/>
        <v>0 г. 0 мес. 0 дн.</v>
      </c>
      <c r="W2134" s="69"/>
    </row>
    <row r="2135" spans="1:23" ht="35.1" customHeight="1" x14ac:dyDescent="0.25">
      <c r="A2135" s="1">
        <f t="shared" si="116"/>
        <v>2134</v>
      </c>
      <c r="B2135" s="1"/>
      <c r="C2135" s="39"/>
      <c r="D2135" s="21"/>
      <c r="G2135" s="1"/>
      <c r="H2135" s="11" t="str">
        <f t="shared" si="117"/>
        <v>0 г. 0 мес. 0 дн.</v>
      </c>
      <c r="I2135" s="20"/>
      <c r="J2135" s="20"/>
      <c r="O2135" s="20"/>
      <c r="V2135" s="1" t="str">
        <f t="shared" si="115"/>
        <v>0 г. 0 мес. 0 дн.</v>
      </c>
      <c r="W2135" s="69"/>
    </row>
    <row r="2136" spans="1:23" ht="35.1" customHeight="1" x14ac:dyDescent="0.25">
      <c r="A2136" s="1">
        <f t="shared" si="116"/>
        <v>2135</v>
      </c>
      <c r="B2136" s="1"/>
      <c r="C2136" s="39"/>
      <c r="D2136" s="21"/>
      <c r="G2136" s="1"/>
      <c r="H2136" s="11" t="str">
        <f t="shared" si="117"/>
        <v>0 г. 0 мес. 0 дн.</v>
      </c>
      <c r="I2136" s="20"/>
      <c r="J2136" s="20"/>
      <c r="O2136" s="20"/>
      <c r="V2136" s="1" t="str">
        <f t="shared" si="115"/>
        <v>0 г. 0 мес. 0 дн.</v>
      </c>
      <c r="W2136" s="69"/>
    </row>
    <row r="2137" spans="1:23" ht="35.1" customHeight="1" x14ac:dyDescent="0.25">
      <c r="A2137" s="1">
        <f t="shared" si="116"/>
        <v>2136</v>
      </c>
      <c r="B2137" s="1"/>
      <c r="C2137" s="39"/>
      <c r="D2137" s="21"/>
      <c r="G2137" s="1"/>
      <c r="H2137" s="11" t="str">
        <f t="shared" si="117"/>
        <v>0 г. 0 мес. 0 дн.</v>
      </c>
      <c r="I2137" s="20"/>
      <c r="J2137" s="20"/>
      <c r="O2137" s="20"/>
      <c r="V2137" s="1" t="str">
        <f t="shared" ref="V2137:V2200" si="118">DATEDIF(D2137,T2137,"y") &amp; " г. " &amp; DATEDIF(D2137,T2137,"ym") &amp; " мес. " &amp; DATEDIF(D2137,T2137,"md") &amp; " дн."</f>
        <v>0 г. 0 мес. 0 дн.</v>
      </c>
      <c r="W2137" s="69"/>
    </row>
    <row r="2138" spans="1:23" ht="35.1" customHeight="1" x14ac:dyDescent="0.25">
      <c r="A2138" s="1">
        <f t="shared" si="116"/>
        <v>2137</v>
      </c>
      <c r="B2138" s="1"/>
      <c r="C2138" s="39"/>
      <c r="D2138" s="21"/>
      <c r="G2138" s="1"/>
      <c r="H2138" s="11" t="str">
        <f t="shared" si="117"/>
        <v>0 г. 0 мес. 0 дн.</v>
      </c>
      <c r="I2138" s="20"/>
      <c r="J2138" s="20"/>
      <c r="O2138" s="20"/>
      <c r="V2138" s="1" t="str">
        <f t="shared" si="118"/>
        <v>0 г. 0 мес. 0 дн.</v>
      </c>
      <c r="W2138" s="69"/>
    </row>
    <row r="2139" spans="1:23" ht="35.1" customHeight="1" x14ac:dyDescent="0.25">
      <c r="A2139" s="1">
        <f t="shared" si="116"/>
        <v>2138</v>
      </c>
      <c r="B2139" s="1"/>
      <c r="C2139" s="39"/>
      <c r="D2139" s="21"/>
      <c r="G2139" s="1"/>
      <c r="H2139" s="11" t="str">
        <f t="shared" si="117"/>
        <v>0 г. 0 мес. 0 дн.</v>
      </c>
      <c r="I2139" s="20"/>
      <c r="J2139" s="20"/>
      <c r="O2139" s="20"/>
      <c r="V2139" s="1" t="str">
        <f t="shared" si="118"/>
        <v>0 г. 0 мес. 0 дн.</v>
      </c>
      <c r="W2139" s="69"/>
    </row>
    <row r="2140" spans="1:23" ht="35.1" customHeight="1" x14ac:dyDescent="0.25">
      <c r="A2140" s="1">
        <f t="shared" si="116"/>
        <v>2139</v>
      </c>
      <c r="B2140" s="1"/>
      <c r="C2140" s="39"/>
      <c r="D2140" s="21"/>
      <c r="G2140" s="1"/>
      <c r="H2140" s="11" t="str">
        <f t="shared" si="117"/>
        <v>0 г. 0 мес. 0 дн.</v>
      </c>
      <c r="I2140" s="20"/>
      <c r="J2140" s="20"/>
      <c r="O2140" s="20"/>
      <c r="V2140" s="1" t="str">
        <f t="shared" si="118"/>
        <v>0 г. 0 мес. 0 дн.</v>
      </c>
      <c r="W2140" s="69"/>
    </row>
    <row r="2141" spans="1:23" ht="35.1" customHeight="1" x14ac:dyDescent="0.25">
      <c r="A2141" s="1">
        <f t="shared" si="116"/>
        <v>2140</v>
      </c>
      <c r="B2141" s="1"/>
      <c r="C2141" s="39"/>
      <c r="D2141" s="21"/>
      <c r="G2141" s="1"/>
      <c r="H2141" s="11" t="str">
        <f t="shared" si="117"/>
        <v>0 г. 0 мес. 0 дн.</v>
      </c>
      <c r="I2141" s="20"/>
      <c r="J2141" s="20"/>
      <c r="O2141" s="20"/>
      <c r="V2141" s="1" t="str">
        <f t="shared" si="118"/>
        <v>0 г. 0 мес. 0 дн.</v>
      </c>
      <c r="W2141" s="69"/>
    </row>
    <row r="2142" spans="1:23" ht="35.1" customHeight="1" x14ac:dyDescent="0.25">
      <c r="A2142" s="1">
        <f t="shared" si="116"/>
        <v>2141</v>
      </c>
      <c r="B2142" s="1"/>
      <c r="C2142" s="39"/>
      <c r="D2142" s="21"/>
      <c r="G2142" s="1"/>
      <c r="H2142" s="11" t="str">
        <f t="shared" si="117"/>
        <v>0 г. 0 мес. 0 дн.</v>
      </c>
      <c r="I2142" s="20"/>
      <c r="J2142" s="20"/>
      <c r="O2142" s="20"/>
      <c r="V2142" s="1" t="str">
        <f t="shared" si="118"/>
        <v>0 г. 0 мес. 0 дн.</v>
      </c>
      <c r="W2142" s="69"/>
    </row>
    <row r="2143" spans="1:23" ht="35.1" customHeight="1" x14ac:dyDescent="0.25">
      <c r="A2143" s="1">
        <f t="shared" si="116"/>
        <v>2142</v>
      </c>
      <c r="B2143" s="1"/>
      <c r="C2143" s="39"/>
      <c r="D2143" s="21"/>
      <c r="G2143" s="1"/>
      <c r="H2143" s="11" t="str">
        <f t="shared" si="117"/>
        <v>0 г. 0 мес. 0 дн.</v>
      </c>
      <c r="I2143" s="20"/>
      <c r="J2143" s="20"/>
      <c r="O2143" s="20"/>
      <c r="V2143" s="1" t="str">
        <f t="shared" si="118"/>
        <v>0 г. 0 мес. 0 дн.</v>
      </c>
      <c r="W2143" s="69"/>
    </row>
    <row r="2144" spans="1:23" ht="35.1" customHeight="1" x14ac:dyDescent="0.25">
      <c r="A2144" s="1">
        <f t="shared" si="116"/>
        <v>2143</v>
      </c>
      <c r="B2144" s="1"/>
      <c r="C2144" s="39"/>
      <c r="D2144" s="21"/>
      <c r="G2144" s="1"/>
      <c r="H2144" s="11" t="str">
        <f t="shared" si="117"/>
        <v>0 г. 0 мес. 0 дн.</v>
      </c>
      <c r="I2144" s="20"/>
      <c r="J2144" s="20"/>
      <c r="O2144" s="20"/>
      <c r="V2144" s="1" t="str">
        <f t="shared" si="118"/>
        <v>0 г. 0 мес. 0 дн.</v>
      </c>
      <c r="W2144" s="69"/>
    </row>
    <row r="2145" spans="1:23" ht="35.1" customHeight="1" x14ac:dyDescent="0.25">
      <c r="A2145" s="1">
        <f t="shared" si="116"/>
        <v>2144</v>
      </c>
      <c r="B2145" s="1"/>
      <c r="C2145" s="39"/>
      <c r="D2145" s="21"/>
      <c r="G2145" s="1"/>
      <c r="H2145" s="11" t="str">
        <f t="shared" si="117"/>
        <v>0 г. 0 мес. 0 дн.</v>
      </c>
      <c r="I2145" s="20"/>
      <c r="J2145" s="20"/>
      <c r="O2145" s="20"/>
      <c r="V2145" s="1" t="str">
        <f t="shared" si="118"/>
        <v>0 г. 0 мес. 0 дн.</v>
      </c>
      <c r="W2145" s="69"/>
    </row>
    <row r="2146" spans="1:23" ht="35.1" customHeight="1" x14ac:dyDescent="0.25">
      <c r="A2146" s="1">
        <f t="shared" si="116"/>
        <v>2145</v>
      </c>
      <c r="B2146" s="1"/>
      <c r="C2146" s="39"/>
      <c r="D2146" s="21"/>
      <c r="G2146" s="1"/>
      <c r="H2146" s="11" t="str">
        <f t="shared" si="117"/>
        <v>0 г. 0 мес. 0 дн.</v>
      </c>
      <c r="I2146" s="20"/>
      <c r="J2146" s="20"/>
      <c r="O2146" s="20"/>
      <c r="V2146" s="1" t="str">
        <f t="shared" si="118"/>
        <v>0 г. 0 мес. 0 дн.</v>
      </c>
      <c r="W2146" s="69"/>
    </row>
    <row r="2147" spans="1:23" ht="35.1" customHeight="1" x14ac:dyDescent="0.25">
      <c r="A2147" s="1">
        <f t="shared" si="116"/>
        <v>2146</v>
      </c>
      <c r="B2147" s="1"/>
      <c r="C2147" s="39"/>
      <c r="D2147" s="21"/>
      <c r="G2147" s="1"/>
      <c r="H2147" s="11" t="str">
        <f t="shared" si="117"/>
        <v>0 г. 0 мес. 0 дн.</v>
      </c>
      <c r="I2147" s="20"/>
      <c r="J2147" s="20"/>
      <c r="O2147" s="20"/>
      <c r="V2147" s="1" t="str">
        <f t="shared" si="118"/>
        <v>0 г. 0 мес. 0 дн.</v>
      </c>
      <c r="W2147" s="69"/>
    </row>
    <row r="2148" spans="1:23" ht="35.1" customHeight="1" x14ac:dyDescent="0.25">
      <c r="A2148" s="1">
        <f t="shared" si="116"/>
        <v>2147</v>
      </c>
      <c r="B2148" s="1"/>
      <c r="C2148" s="39"/>
      <c r="D2148" s="21"/>
      <c r="G2148" s="1"/>
      <c r="H2148" s="11" t="str">
        <f t="shared" si="117"/>
        <v>0 г. 0 мес. 0 дн.</v>
      </c>
      <c r="I2148" s="20"/>
      <c r="J2148" s="20"/>
      <c r="O2148" s="20"/>
      <c r="V2148" s="1" t="str">
        <f t="shared" si="118"/>
        <v>0 г. 0 мес. 0 дн.</v>
      </c>
      <c r="W2148" s="69"/>
    </row>
    <row r="2149" spans="1:23" ht="35.1" customHeight="1" x14ac:dyDescent="0.25">
      <c r="A2149" s="1">
        <f t="shared" si="116"/>
        <v>2148</v>
      </c>
      <c r="B2149" s="1"/>
      <c r="C2149" s="39"/>
      <c r="D2149" s="21"/>
      <c r="G2149" s="1"/>
      <c r="H2149" s="11" t="str">
        <f t="shared" si="117"/>
        <v>0 г. 0 мес. 0 дн.</v>
      </c>
      <c r="I2149" s="20"/>
      <c r="J2149" s="20"/>
      <c r="O2149" s="20"/>
      <c r="V2149" s="1" t="str">
        <f t="shared" si="118"/>
        <v>0 г. 0 мес. 0 дн.</v>
      </c>
      <c r="W2149" s="69"/>
    </row>
    <row r="2150" spans="1:23" ht="35.1" customHeight="1" x14ac:dyDescent="0.25">
      <c r="A2150" s="1">
        <f t="shared" si="116"/>
        <v>2149</v>
      </c>
      <c r="B2150" s="1"/>
      <c r="C2150" s="39"/>
      <c r="D2150" s="21"/>
      <c r="G2150" s="1"/>
      <c r="H2150" s="11" t="str">
        <f t="shared" si="117"/>
        <v>0 г. 0 мес. 0 дн.</v>
      </c>
      <c r="I2150" s="20"/>
      <c r="J2150" s="20"/>
      <c r="O2150" s="20"/>
      <c r="V2150" s="1" t="str">
        <f t="shared" si="118"/>
        <v>0 г. 0 мес. 0 дн.</v>
      </c>
      <c r="W2150" s="69"/>
    </row>
    <row r="2151" spans="1:23" ht="35.1" customHeight="1" x14ac:dyDescent="0.25">
      <c r="A2151" s="1">
        <f t="shared" si="116"/>
        <v>2150</v>
      </c>
      <c r="B2151" s="1"/>
      <c r="C2151" s="39"/>
      <c r="D2151" s="21"/>
      <c r="G2151" s="1"/>
      <c r="H2151" s="11" t="str">
        <f t="shared" si="117"/>
        <v>0 г. 0 мес. 0 дн.</v>
      </c>
      <c r="I2151" s="20"/>
      <c r="J2151" s="20"/>
      <c r="O2151" s="20"/>
      <c r="V2151" s="1" t="str">
        <f t="shared" si="118"/>
        <v>0 г. 0 мес. 0 дн.</v>
      </c>
      <c r="W2151" s="69"/>
    </row>
    <row r="2152" spans="1:23" ht="35.1" customHeight="1" x14ac:dyDescent="0.25">
      <c r="A2152" s="1">
        <f t="shared" si="116"/>
        <v>2151</v>
      </c>
      <c r="B2152" s="1"/>
      <c r="C2152" s="39"/>
      <c r="D2152" s="21"/>
      <c r="G2152" s="1"/>
      <c r="H2152" s="11" t="str">
        <f t="shared" si="117"/>
        <v>0 г. 0 мес. 0 дн.</v>
      </c>
      <c r="I2152" s="20"/>
      <c r="J2152" s="20"/>
      <c r="O2152" s="20"/>
      <c r="V2152" s="1" t="str">
        <f t="shared" si="118"/>
        <v>0 г. 0 мес. 0 дн.</v>
      </c>
      <c r="W2152" s="69"/>
    </row>
    <row r="2153" spans="1:23" ht="35.1" customHeight="1" x14ac:dyDescent="0.25">
      <c r="A2153" s="1">
        <f t="shared" si="116"/>
        <v>2152</v>
      </c>
      <c r="B2153" s="1"/>
      <c r="C2153" s="39"/>
      <c r="D2153" s="21"/>
      <c r="G2153" s="1"/>
      <c r="H2153" s="11" t="str">
        <f t="shared" si="117"/>
        <v>0 г. 0 мес. 0 дн.</v>
      </c>
      <c r="I2153" s="20"/>
      <c r="J2153" s="20"/>
      <c r="O2153" s="20"/>
      <c r="V2153" s="1" t="str">
        <f t="shared" si="118"/>
        <v>0 г. 0 мес. 0 дн.</v>
      </c>
      <c r="W2153" s="69"/>
    </row>
    <row r="2154" spans="1:23" ht="35.1" customHeight="1" x14ac:dyDescent="0.25">
      <c r="A2154" s="1">
        <f t="shared" si="116"/>
        <v>2153</v>
      </c>
      <c r="B2154" s="1"/>
      <c r="C2154" s="39"/>
      <c r="D2154" s="21"/>
      <c r="G2154" s="1"/>
      <c r="H2154" s="11" t="str">
        <f t="shared" si="117"/>
        <v>0 г. 0 мес. 0 дн.</v>
      </c>
      <c r="I2154" s="20"/>
      <c r="J2154" s="20"/>
      <c r="O2154" s="20"/>
      <c r="V2154" s="1" t="str">
        <f t="shared" si="118"/>
        <v>0 г. 0 мес. 0 дн.</v>
      </c>
      <c r="W2154" s="69"/>
    </row>
    <row r="2155" spans="1:23" ht="35.1" customHeight="1" x14ac:dyDescent="0.25">
      <c r="A2155" s="1">
        <f t="shared" si="116"/>
        <v>2154</v>
      </c>
      <c r="B2155" s="1"/>
      <c r="C2155" s="39"/>
      <c r="D2155" s="21"/>
      <c r="G2155" s="1"/>
      <c r="H2155" s="11" t="str">
        <f t="shared" si="117"/>
        <v>0 г. 0 мес. 0 дн.</v>
      </c>
      <c r="I2155" s="20"/>
      <c r="J2155" s="20"/>
      <c r="O2155" s="20"/>
      <c r="V2155" s="1" t="str">
        <f t="shared" si="118"/>
        <v>0 г. 0 мес. 0 дн.</v>
      </c>
      <c r="W2155" s="69"/>
    </row>
    <row r="2156" spans="1:23" ht="35.1" customHeight="1" x14ac:dyDescent="0.25">
      <c r="A2156" s="1">
        <f t="shared" si="116"/>
        <v>2155</v>
      </c>
      <c r="B2156" s="1"/>
      <c r="C2156" s="39"/>
      <c r="D2156" s="21"/>
      <c r="G2156" s="1"/>
      <c r="H2156" s="11" t="str">
        <f t="shared" si="117"/>
        <v>0 г. 0 мес. 0 дн.</v>
      </c>
      <c r="I2156" s="20"/>
      <c r="J2156" s="20"/>
      <c r="O2156" s="20"/>
      <c r="V2156" s="1" t="str">
        <f t="shared" si="118"/>
        <v>0 г. 0 мес. 0 дн.</v>
      </c>
      <c r="W2156" s="69"/>
    </row>
    <row r="2157" spans="1:23" ht="35.1" customHeight="1" x14ac:dyDescent="0.25">
      <c r="A2157" s="1">
        <f t="shared" si="116"/>
        <v>2156</v>
      </c>
      <c r="B2157" s="1"/>
      <c r="C2157" s="39"/>
      <c r="D2157" s="21"/>
      <c r="G2157" s="1"/>
      <c r="H2157" s="11" t="str">
        <f t="shared" si="117"/>
        <v>0 г. 0 мес. 0 дн.</v>
      </c>
      <c r="I2157" s="20"/>
      <c r="J2157" s="20"/>
      <c r="O2157" s="20"/>
      <c r="V2157" s="1" t="str">
        <f t="shared" si="118"/>
        <v>0 г. 0 мес. 0 дн.</v>
      </c>
      <c r="W2157" s="69"/>
    </row>
    <row r="2158" spans="1:23" ht="35.1" customHeight="1" x14ac:dyDescent="0.25">
      <c r="A2158" s="1">
        <f t="shared" si="116"/>
        <v>2157</v>
      </c>
      <c r="B2158" s="1"/>
      <c r="C2158" s="39"/>
      <c r="D2158" s="21"/>
      <c r="G2158" s="1"/>
      <c r="H2158" s="11" t="str">
        <f t="shared" si="117"/>
        <v>0 г. 0 мес. 0 дн.</v>
      </c>
      <c r="I2158" s="20"/>
      <c r="J2158" s="20"/>
      <c r="O2158" s="20"/>
      <c r="V2158" s="1" t="str">
        <f t="shared" si="118"/>
        <v>0 г. 0 мес. 0 дн.</v>
      </c>
      <c r="W2158" s="69"/>
    </row>
    <row r="2159" spans="1:23" ht="35.1" customHeight="1" x14ac:dyDescent="0.25">
      <c r="A2159" s="1">
        <f t="shared" si="116"/>
        <v>2158</v>
      </c>
      <c r="B2159" s="1"/>
      <c r="C2159" s="39"/>
      <c r="D2159" s="21"/>
      <c r="G2159" s="1"/>
      <c r="H2159" s="11" t="str">
        <f t="shared" si="117"/>
        <v>0 г. 0 мес. 0 дн.</v>
      </c>
      <c r="I2159" s="20"/>
      <c r="J2159" s="20"/>
      <c r="O2159" s="20"/>
      <c r="V2159" s="1" t="str">
        <f t="shared" si="118"/>
        <v>0 г. 0 мес. 0 дн.</v>
      </c>
      <c r="W2159" s="69"/>
    </row>
    <row r="2160" spans="1:23" ht="35.1" customHeight="1" x14ac:dyDescent="0.25">
      <c r="A2160" s="1">
        <f t="shared" si="116"/>
        <v>2159</v>
      </c>
      <c r="B2160" s="1"/>
      <c r="C2160" s="39"/>
      <c r="D2160" s="21"/>
      <c r="G2160" s="1"/>
      <c r="H2160" s="11" t="str">
        <f t="shared" si="117"/>
        <v>0 г. 0 мес. 0 дн.</v>
      </c>
      <c r="I2160" s="20"/>
      <c r="J2160" s="20"/>
      <c r="O2160" s="20"/>
      <c r="V2160" s="1" t="str">
        <f t="shared" si="118"/>
        <v>0 г. 0 мес. 0 дн.</v>
      </c>
      <c r="W2160" s="69"/>
    </row>
    <row r="2161" spans="1:23" ht="35.1" customHeight="1" x14ac:dyDescent="0.25">
      <c r="A2161" s="1">
        <f t="shared" si="116"/>
        <v>2160</v>
      </c>
      <c r="B2161" s="1"/>
      <c r="C2161" s="39"/>
      <c r="D2161" s="21"/>
      <c r="G2161" s="1"/>
      <c r="H2161" s="11" t="str">
        <f t="shared" si="117"/>
        <v>0 г. 0 мес. 0 дн.</v>
      </c>
      <c r="I2161" s="20"/>
      <c r="J2161" s="20"/>
      <c r="O2161" s="20"/>
      <c r="V2161" s="1" t="str">
        <f t="shared" si="118"/>
        <v>0 г. 0 мес. 0 дн.</v>
      </c>
      <c r="W2161" s="69"/>
    </row>
    <row r="2162" spans="1:23" ht="35.1" customHeight="1" x14ac:dyDescent="0.25">
      <c r="A2162" s="1">
        <f t="shared" si="116"/>
        <v>2161</v>
      </c>
      <c r="B2162" s="1"/>
      <c r="C2162" s="39"/>
      <c r="D2162" s="21"/>
      <c r="G2162" s="1"/>
      <c r="H2162" s="11" t="str">
        <f t="shared" si="117"/>
        <v>0 г. 0 мес. 0 дн.</v>
      </c>
      <c r="I2162" s="20"/>
      <c r="J2162" s="20"/>
      <c r="O2162" s="20"/>
      <c r="V2162" s="1" t="str">
        <f t="shared" si="118"/>
        <v>0 г. 0 мес. 0 дн.</v>
      </c>
      <c r="W2162" s="69"/>
    </row>
    <row r="2163" spans="1:23" ht="35.1" customHeight="1" x14ac:dyDescent="0.25">
      <c r="A2163" s="1">
        <f t="shared" si="116"/>
        <v>2162</v>
      </c>
      <c r="B2163" s="1"/>
      <c r="C2163" s="39"/>
      <c r="D2163" s="21"/>
      <c r="G2163" s="1"/>
      <c r="H2163" s="11" t="str">
        <f t="shared" si="117"/>
        <v>0 г. 0 мес. 0 дн.</v>
      </c>
      <c r="I2163" s="20"/>
      <c r="J2163" s="20"/>
      <c r="O2163" s="20"/>
      <c r="V2163" s="1" t="str">
        <f t="shared" si="118"/>
        <v>0 г. 0 мес. 0 дн.</v>
      </c>
      <c r="W2163" s="69"/>
    </row>
    <row r="2164" spans="1:23" ht="35.1" customHeight="1" x14ac:dyDescent="0.25">
      <c r="A2164" s="1">
        <f t="shared" si="116"/>
        <v>2163</v>
      </c>
      <c r="B2164" s="1"/>
      <c r="C2164" s="39"/>
      <c r="D2164" s="21"/>
      <c r="G2164" s="1"/>
      <c r="H2164" s="11" t="str">
        <f t="shared" si="117"/>
        <v>0 г. 0 мес. 0 дн.</v>
      </c>
      <c r="I2164" s="20"/>
      <c r="J2164" s="20"/>
      <c r="O2164" s="20"/>
      <c r="V2164" s="1" t="str">
        <f t="shared" si="118"/>
        <v>0 г. 0 мес. 0 дн.</v>
      </c>
      <c r="W2164" s="69"/>
    </row>
    <row r="2165" spans="1:23" ht="35.1" customHeight="1" x14ac:dyDescent="0.25">
      <c r="A2165" s="1">
        <f t="shared" si="116"/>
        <v>2164</v>
      </c>
      <c r="B2165" s="1"/>
      <c r="C2165" s="39"/>
      <c r="D2165" s="21"/>
      <c r="G2165" s="1"/>
      <c r="H2165" s="11" t="str">
        <f t="shared" si="117"/>
        <v>0 г. 0 мес. 0 дн.</v>
      </c>
      <c r="I2165" s="20"/>
      <c r="J2165" s="20"/>
      <c r="O2165" s="20"/>
      <c r="V2165" s="1" t="str">
        <f t="shared" si="118"/>
        <v>0 г. 0 мес. 0 дн.</v>
      </c>
      <c r="W2165" s="69"/>
    </row>
    <row r="2166" spans="1:23" ht="35.1" customHeight="1" x14ac:dyDescent="0.25">
      <c r="A2166" s="1">
        <f t="shared" si="116"/>
        <v>2165</v>
      </c>
      <c r="B2166" s="1"/>
      <c r="C2166" s="39"/>
      <c r="D2166" s="21"/>
      <c r="G2166" s="1"/>
      <c r="H2166" s="11" t="str">
        <f t="shared" si="117"/>
        <v>0 г. 0 мес. 0 дн.</v>
      </c>
      <c r="I2166" s="20"/>
      <c r="J2166" s="20"/>
      <c r="O2166" s="20"/>
      <c r="V2166" s="1" t="str">
        <f t="shared" si="118"/>
        <v>0 г. 0 мес. 0 дн.</v>
      </c>
      <c r="W2166" s="69"/>
    </row>
    <row r="2167" spans="1:23" ht="35.1" customHeight="1" x14ac:dyDescent="0.25">
      <c r="A2167" s="1">
        <f t="shared" si="116"/>
        <v>2166</v>
      </c>
      <c r="B2167" s="1"/>
      <c r="C2167" s="39"/>
      <c r="D2167" s="21"/>
      <c r="G2167" s="1"/>
      <c r="H2167" s="11" t="str">
        <f t="shared" si="117"/>
        <v>0 г. 0 мес. 0 дн.</v>
      </c>
      <c r="I2167" s="20"/>
      <c r="J2167" s="20"/>
      <c r="O2167" s="20"/>
      <c r="V2167" s="1" t="str">
        <f t="shared" si="118"/>
        <v>0 г. 0 мес. 0 дн.</v>
      </c>
      <c r="W2167" s="69"/>
    </row>
    <row r="2168" spans="1:23" ht="35.1" customHeight="1" x14ac:dyDescent="0.25">
      <c r="A2168" s="1">
        <f t="shared" si="116"/>
        <v>2167</v>
      </c>
      <c r="B2168" s="1"/>
      <c r="C2168" s="39"/>
      <c r="D2168" s="21"/>
      <c r="G2168" s="1"/>
      <c r="H2168" s="11" t="str">
        <f t="shared" si="117"/>
        <v>0 г. 0 мес. 0 дн.</v>
      </c>
      <c r="I2168" s="20"/>
      <c r="J2168" s="20"/>
      <c r="O2168" s="20"/>
      <c r="V2168" s="1" t="str">
        <f t="shared" si="118"/>
        <v>0 г. 0 мес. 0 дн.</v>
      </c>
      <c r="W2168" s="69"/>
    </row>
    <row r="2169" spans="1:23" ht="35.1" customHeight="1" x14ac:dyDescent="0.25">
      <c r="A2169" s="1">
        <f t="shared" si="116"/>
        <v>2168</v>
      </c>
      <c r="B2169" s="1"/>
      <c r="C2169" s="39"/>
      <c r="D2169" s="21"/>
      <c r="G2169" s="1"/>
      <c r="H2169" s="11" t="str">
        <f t="shared" si="117"/>
        <v>0 г. 0 мес. 0 дн.</v>
      </c>
      <c r="I2169" s="20"/>
      <c r="J2169" s="20"/>
      <c r="O2169" s="20"/>
      <c r="V2169" s="1" t="str">
        <f t="shared" si="118"/>
        <v>0 г. 0 мес. 0 дн.</v>
      </c>
      <c r="W2169" s="69"/>
    </row>
    <row r="2170" spans="1:23" ht="35.1" customHeight="1" x14ac:dyDescent="0.25">
      <c r="A2170" s="1">
        <f t="shared" si="116"/>
        <v>2169</v>
      </c>
      <c r="B2170" s="1"/>
      <c r="C2170" s="39"/>
      <c r="D2170" s="21"/>
      <c r="G2170" s="1"/>
      <c r="H2170" s="11" t="str">
        <f t="shared" si="117"/>
        <v>0 г. 0 мес. 0 дн.</v>
      </c>
      <c r="I2170" s="20"/>
      <c r="J2170" s="20"/>
      <c r="O2170" s="20"/>
      <c r="V2170" s="1" t="str">
        <f t="shared" si="118"/>
        <v>0 г. 0 мес. 0 дн.</v>
      </c>
      <c r="W2170" s="69"/>
    </row>
    <row r="2171" spans="1:23" ht="35.1" customHeight="1" x14ac:dyDescent="0.25">
      <c r="A2171" s="1">
        <f t="shared" si="116"/>
        <v>2170</v>
      </c>
      <c r="B2171" s="1"/>
      <c r="C2171" s="39"/>
      <c r="D2171" s="21"/>
      <c r="G2171" s="1"/>
      <c r="H2171" s="11" t="str">
        <f t="shared" si="117"/>
        <v>0 г. 0 мес. 0 дн.</v>
      </c>
      <c r="I2171" s="20"/>
      <c r="J2171" s="20"/>
      <c r="O2171" s="20"/>
      <c r="V2171" s="1" t="str">
        <f t="shared" si="118"/>
        <v>0 г. 0 мес. 0 дн.</v>
      </c>
      <c r="W2171" s="69"/>
    </row>
    <row r="2172" spans="1:23" ht="35.1" customHeight="1" x14ac:dyDescent="0.25">
      <c r="A2172" s="1">
        <f t="shared" si="116"/>
        <v>2171</v>
      </c>
      <c r="B2172" s="1"/>
      <c r="C2172" s="39"/>
      <c r="D2172" s="21"/>
      <c r="G2172" s="1"/>
      <c r="H2172" s="11" t="str">
        <f t="shared" si="117"/>
        <v>0 г. 0 мес. 0 дн.</v>
      </c>
      <c r="I2172" s="20"/>
      <c r="J2172" s="20"/>
      <c r="O2172" s="20"/>
      <c r="V2172" s="1" t="str">
        <f t="shared" si="118"/>
        <v>0 г. 0 мес. 0 дн.</v>
      </c>
      <c r="W2172" s="69"/>
    </row>
    <row r="2173" spans="1:23" ht="35.1" customHeight="1" x14ac:dyDescent="0.25">
      <c r="A2173" s="1">
        <f t="shared" si="116"/>
        <v>2172</v>
      </c>
      <c r="B2173" s="1"/>
      <c r="C2173" s="39"/>
      <c r="D2173" s="21"/>
      <c r="G2173" s="1"/>
      <c r="H2173" s="11" t="str">
        <f t="shared" si="117"/>
        <v>0 г. 0 мес. 0 дн.</v>
      </c>
      <c r="I2173" s="20"/>
      <c r="J2173" s="20"/>
      <c r="O2173" s="20"/>
      <c r="V2173" s="1" t="str">
        <f t="shared" si="118"/>
        <v>0 г. 0 мес. 0 дн.</v>
      </c>
      <c r="W2173" s="69"/>
    </row>
    <row r="2174" spans="1:23" ht="35.1" customHeight="1" x14ac:dyDescent="0.25">
      <c r="A2174" s="1">
        <f t="shared" si="116"/>
        <v>2173</v>
      </c>
      <c r="B2174" s="1"/>
      <c r="C2174" s="39"/>
      <c r="D2174" s="21"/>
      <c r="G2174" s="1"/>
      <c r="H2174" s="11" t="str">
        <f t="shared" si="117"/>
        <v>0 г. 0 мес. 0 дн.</v>
      </c>
      <c r="I2174" s="20"/>
      <c r="J2174" s="20"/>
      <c r="O2174" s="20"/>
      <c r="V2174" s="1" t="str">
        <f t="shared" si="118"/>
        <v>0 г. 0 мес. 0 дн.</v>
      </c>
      <c r="W2174" s="69"/>
    </row>
    <row r="2175" spans="1:23" ht="35.1" customHeight="1" x14ac:dyDescent="0.25">
      <c r="A2175" s="1">
        <f t="shared" si="116"/>
        <v>2174</v>
      </c>
      <c r="B2175" s="1"/>
      <c r="C2175" s="39"/>
      <c r="D2175" s="21"/>
      <c r="G2175" s="1"/>
      <c r="H2175" s="11" t="str">
        <f t="shared" si="117"/>
        <v>0 г. 0 мес. 0 дн.</v>
      </c>
      <c r="I2175" s="20"/>
      <c r="J2175" s="20"/>
      <c r="O2175" s="20"/>
      <c r="V2175" s="1" t="str">
        <f t="shared" si="118"/>
        <v>0 г. 0 мес. 0 дн.</v>
      </c>
      <c r="W2175" s="69"/>
    </row>
    <row r="2176" spans="1:23" ht="35.1" customHeight="1" x14ac:dyDescent="0.25">
      <c r="A2176" s="1">
        <f t="shared" si="116"/>
        <v>2175</v>
      </c>
      <c r="B2176" s="1"/>
      <c r="C2176" s="39"/>
      <c r="D2176" s="21"/>
      <c r="G2176" s="1"/>
      <c r="H2176" s="11" t="str">
        <f t="shared" si="117"/>
        <v>0 г. 0 мес. 0 дн.</v>
      </c>
      <c r="I2176" s="20"/>
      <c r="J2176" s="20"/>
      <c r="O2176" s="20"/>
      <c r="V2176" s="1" t="str">
        <f t="shared" si="118"/>
        <v>0 г. 0 мес. 0 дн.</v>
      </c>
      <c r="W2176" s="69"/>
    </row>
    <row r="2177" spans="1:23" ht="35.1" customHeight="1" x14ac:dyDescent="0.25">
      <c r="A2177" s="1">
        <f t="shared" ref="A2177:A2240" si="119">ROW(A2176)</f>
        <v>2176</v>
      </c>
      <c r="B2177" s="1"/>
      <c r="C2177" s="39"/>
      <c r="D2177" s="21"/>
      <c r="G2177" s="1"/>
      <c r="H2177" s="11" t="str">
        <f t="shared" ref="H2177:H2240" si="120">DATEDIF(G2177,D2177,"y") &amp; " г. " &amp; DATEDIF(G2177,D2177,"ym") &amp; " мес. " &amp; DATEDIF(G2177,D2177,"md") &amp; " дн."</f>
        <v>0 г. 0 мес. 0 дн.</v>
      </c>
      <c r="I2177" s="20"/>
      <c r="J2177" s="20"/>
      <c r="O2177" s="20"/>
      <c r="V2177" s="1" t="str">
        <f t="shared" si="118"/>
        <v>0 г. 0 мес. 0 дн.</v>
      </c>
      <c r="W2177" s="69"/>
    </row>
    <row r="2178" spans="1:23" ht="35.1" customHeight="1" x14ac:dyDescent="0.25">
      <c r="A2178" s="1">
        <f t="shared" si="119"/>
        <v>2177</v>
      </c>
      <c r="B2178" s="1"/>
      <c r="C2178" s="39"/>
      <c r="D2178" s="21"/>
      <c r="G2178" s="1"/>
      <c r="H2178" s="11" t="str">
        <f t="shared" si="120"/>
        <v>0 г. 0 мес. 0 дн.</v>
      </c>
      <c r="I2178" s="20"/>
      <c r="J2178" s="20"/>
      <c r="O2178" s="20"/>
      <c r="V2178" s="1" t="str">
        <f t="shared" si="118"/>
        <v>0 г. 0 мес. 0 дн.</v>
      </c>
      <c r="W2178" s="69"/>
    </row>
    <row r="2179" spans="1:23" ht="35.1" customHeight="1" x14ac:dyDescent="0.25">
      <c r="A2179" s="1">
        <f t="shared" si="119"/>
        <v>2178</v>
      </c>
      <c r="B2179" s="1"/>
      <c r="C2179" s="39"/>
      <c r="D2179" s="21"/>
      <c r="G2179" s="1"/>
      <c r="H2179" s="11" t="str">
        <f t="shared" si="120"/>
        <v>0 г. 0 мес. 0 дн.</v>
      </c>
      <c r="I2179" s="20"/>
      <c r="J2179" s="20"/>
      <c r="O2179" s="20"/>
      <c r="V2179" s="1" t="str">
        <f t="shared" si="118"/>
        <v>0 г. 0 мес. 0 дн.</v>
      </c>
      <c r="W2179" s="69"/>
    </row>
    <row r="2180" spans="1:23" ht="35.1" customHeight="1" x14ac:dyDescent="0.25">
      <c r="A2180" s="1">
        <f t="shared" si="119"/>
        <v>2179</v>
      </c>
      <c r="B2180" s="1"/>
      <c r="C2180" s="39"/>
      <c r="D2180" s="21"/>
      <c r="G2180" s="1"/>
      <c r="H2180" s="11" t="str">
        <f t="shared" si="120"/>
        <v>0 г. 0 мес. 0 дн.</v>
      </c>
      <c r="I2180" s="20"/>
      <c r="J2180" s="20"/>
      <c r="O2180" s="20"/>
      <c r="V2180" s="1" t="str">
        <f t="shared" si="118"/>
        <v>0 г. 0 мес. 0 дн.</v>
      </c>
      <c r="W2180" s="69"/>
    </row>
    <row r="2181" spans="1:23" ht="35.1" customHeight="1" x14ac:dyDescent="0.25">
      <c r="A2181" s="1">
        <f t="shared" si="119"/>
        <v>2180</v>
      </c>
      <c r="B2181" s="1"/>
      <c r="C2181" s="39"/>
      <c r="D2181" s="21"/>
      <c r="G2181" s="1"/>
      <c r="H2181" s="11" t="str">
        <f t="shared" si="120"/>
        <v>0 г. 0 мес. 0 дн.</v>
      </c>
      <c r="I2181" s="20"/>
      <c r="J2181" s="20"/>
      <c r="O2181" s="20"/>
      <c r="V2181" s="1" t="str">
        <f t="shared" si="118"/>
        <v>0 г. 0 мес. 0 дн.</v>
      </c>
      <c r="W2181" s="69"/>
    </row>
    <row r="2182" spans="1:23" ht="35.1" customHeight="1" x14ac:dyDescent="0.25">
      <c r="A2182" s="1">
        <f t="shared" si="119"/>
        <v>2181</v>
      </c>
      <c r="B2182" s="1"/>
      <c r="C2182" s="39"/>
      <c r="D2182" s="21"/>
      <c r="G2182" s="1"/>
      <c r="H2182" s="11" t="str">
        <f t="shared" si="120"/>
        <v>0 г. 0 мес. 0 дн.</v>
      </c>
      <c r="I2182" s="20"/>
      <c r="J2182" s="20"/>
      <c r="O2182" s="20"/>
      <c r="V2182" s="1" t="str">
        <f t="shared" si="118"/>
        <v>0 г. 0 мес. 0 дн.</v>
      </c>
      <c r="W2182" s="69"/>
    </row>
    <row r="2183" spans="1:23" ht="35.1" customHeight="1" x14ac:dyDescent="0.25">
      <c r="A2183" s="1">
        <f t="shared" si="119"/>
        <v>2182</v>
      </c>
      <c r="B2183" s="1"/>
      <c r="C2183" s="39"/>
      <c r="D2183" s="21"/>
      <c r="G2183" s="1"/>
      <c r="H2183" s="11" t="str">
        <f t="shared" si="120"/>
        <v>0 г. 0 мес. 0 дн.</v>
      </c>
      <c r="I2183" s="20"/>
      <c r="J2183" s="20"/>
      <c r="O2183" s="20"/>
      <c r="V2183" s="1" t="str">
        <f t="shared" si="118"/>
        <v>0 г. 0 мес. 0 дн.</v>
      </c>
      <c r="W2183" s="69"/>
    </row>
    <row r="2184" spans="1:23" ht="35.1" customHeight="1" x14ac:dyDescent="0.25">
      <c r="A2184" s="1">
        <f t="shared" si="119"/>
        <v>2183</v>
      </c>
      <c r="B2184" s="1"/>
      <c r="C2184" s="39"/>
      <c r="D2184" s="21"/>
      <c r="G2184" s="1"/>
      <c r="H2184" s="11" t="str">
        <f t="shared" si="120"/>
        <v>0 г. 0 мес. 0 дн.</v>
      </c>
      <c r="I2184" s="20"/>
      <c r="J2184" s="20"/>
      <c r="O2184" s="20"/>
      <c r="V2184" s="1" t="str">
        <f t="shared" si="118"/>
        <v>0 г. 0 мес. 0 дн.</v>
      </c>
      <c r="W2184" s="69"/>
    </row>
    <row r="2185" spans="1:23" ht="35.1" customHeight="1" x14ac:dyDescent="0.25">
      <c r="A2185" s="1">
        <f t="shared" si="119"/>
        <v>2184</v>
      </c>
      <c r="B2185" s="1"/>
      <c r="C2185" s="39"/>
      <c r="D2185" s="21"/>
      <c r="G2185" s="1"/>
      <c r="H2185" s="11" t="str">
        <f t="shared" si="120"/>
        <v>0 г. 0 мес. 0 дн.</v>
      </c>
      <c r="I2185" s="20"/>
      <c r="J2185" s="20"/>
      <c r="O2185" s="20"/>
      <c r="V2185" s="1" t="str">
        <f t="shared" si="118"/>
        <v>0 г. 0 мес. 0 дн.</v>
      </c>
      <c r="W2185" s="69"/>
    </row>
    <row r="2186" spans="1:23" ht="35.1" customHeight="1" x14ac:dyDescent="0.25">
      <c r="A2186" s="1">
        <f t="shared" si="119"/>
        <v>2185</v>
      </c>
      <c r="B2186" s="1"/>
      <c r="C2186" s="39"/>
      <c r="D2186" s="21"/>
      <c r="G2186" s="1"/>
      <c r="H2186" s="11" t="str">
        <f t="shared" si="120"/>
        <v>0 г. 0 мес. 0 дн.</v>
      </c>
      <c r="I2186" s="20"/>
      <c r="J2186" s="20"/>
      <c r="O2186" s="20"/>
      <c r="V2186" s="1" t="str">
        <f t="shared" si="118"/>
        <v>0 г. 0 мес. 0 дн.</v>
      </c>
      <c r="W2186" s="69"/>
    </row>
    <row r="2187" spans="1:23" ht="35.1" customHeight="1" x14ac:dyDescent="0.25">
      <c r="A2187" s="1">
        <f t="shared" si="119"/>
        <v>2186</v>
      </c>
      <c r="B2187" s="1"/>
      <c r="C2187" s="39"/>
      <c r="D2187" s="21"/>
      <c r="G2187" s="1"/>
      <c r="H2187" s="11" t="str">
        <f t="shared" si="120"/>
        <v>0 г. 0 мес. 0 дн.</v>
      </c>
      <c r="I2187" s="20"/>
      <c r="J2187" s="20"/>
      <c r="O2187" s="20"/>
      <c r="V2187" s="1" t="str">
        <f t="shared" si="118"/>
        <v>0 г. 0 мес. 0 дн.</v>
      </c>
      <c r="W2187" s="69"/>
    </row>
    <row r="2188" spans="1:23" ht="35.1" customHeight="1" x14ac:dyDescent="0.25">
      <c r="A2188" s="1">
        <f t="shared" si="119"/>
        <v>2187</v>
      </c>
      <c r="B2188" s="1"/>
      <c r="C2188" s="39"/>
      <c r="D2188" s="21"/>
      <c r="G2188" s="1"/>
      <c r="H2188" s="11" t="str">
        <f t="shared" si="120"/>
        <v>0 г. 0 мес. 0 дн.</v>
      </c>
      <c r="I2188" s="20"/>
      <c r="J2188" s="20"/>
      <c r="O2188" s="20"/>
      <c r="V2188" s="1" t="str">
        <f t="shared" si="118"/>
        <v>0 г. 0 мес. 0 дн.</v>
      </c>
      <c r="W2188" s="69"/>
    </row>
    <row r="2189" spans="1:23" ht="35.1" customHeight="1" x14ac:dyDescent="0.25">
      <c r="A2189" s="1">
        <f t="shared" si="119"/>
        <v>2188</v>
      </c>
      <c r="B2189" s="1"/>
      <c r="C2189" s="39"/>
      <c r="D2189" s="21"/>
      <c r="G2189" s="1"/>
      <c r="H2189" s="11" t="str">
        <f t="shared" si="120"/>
        <v>0 г. 0 мес. 0 дн.</v>
      </c>
      <c r="I2189" s="20"/>
      <c r="J2189" s="20"/>
      <c r="O2189" s="20"/>
      <c r="V2189" s="1" t="str">
        <f t="shared" si="118"/>
        <v>0 г. 0 мес. 0 дн.</v>
      </c>
      <c r="W2189" s="69"/>
    </row>
    <row r="2190" spans="1:23" ht="35.1" customHeight="1" x14ac:dyDescent="0.25">
      <c r="A2190" s="1">
        <f t="shared" si="119"/>
        <v>2189</v>
      </c>
      <c r="B2190" s="1"/>
      <c r="C2190" s="39"/>
      <c r="D2190" s="21"/>
      <c r="G2190" s="1"/>
      <c r="H2190" s="11" t="str">
        <f t="shared" si="120"/>
        <v>0 г. 0 мес. 0 дн.</v>
      </c>
      <c r="I2190" s="20"/>
      <c r="J2190" s="20"/>
      <c r="O2190" s="20"/>
      <c r="V2190" s="1" t="str">
        <f t="shared" si="118"/>
        <v>0 г. 0 мес. 0 дн.</v>
      </c>
      <c r="W2190" s="69"/>
    </row>
    <row r="2191" spans="1:23" ht="35.1" customHeight="1" x14ac:dyDescent="0.25">
      <c r="A2191" s="1">
        <f t="shared" si="119"/>
        <v>2190</v>
      </c>
      <c r="B2191" s="1"/>
      <c r="C2191" s="39"/>
      <c r="D2191" s="21"/>
      <c r="G2191" s="1"/>
      <c r="H2191" s="11" t="str">
        <f t="shared" si="120"/>
        <v>0 г. 0 мес. 0 дн.</v>
      </c>
      <c r="I2191" s="20"/>
      <c r="J2191" s="20"/>
      <c r="O2191" s="20"/>
      <c r="V2191" s="1" t="str">
        <f t="shared" si="118"/>
        <v>0 г. 0 мес. 0 дн.</v>
      </c>
      <c r="W2191" s="69"/>
    </row>
    <row r="2192" spans="1:23" ht="35.1" customHeight="1" x14ac:dyDescent="0.25">
      <c r="A2192" s="1">
        <f t="shared" si="119"/>
        <v>2191</v>
      </c>
      <c r="B2192" s="1"/>
      <c r="C2192" s="39"/>
      <c r="D2192" s="21"/>
      <c r="G2192" s="1"/>
      <c r="H2192" s="11" t="str">
        <f t="shared" si="120"/>
        <v>0 г. 0 мес. 0 дн.</v>
      </c>
      <c r="I2192" s="20"/>
      <c r="J2192" s="20"/>
      <c r="O2192" s="20"/>
      <c r="V2192" s="1" t="str">
        <f t="shared" si="118"/>
        <v>0 г. 0 мес. 0 дн.</v>
      </c>
      <c r="W2192" s="69"/>
    </row>
    <row r="2193" spans="1:23" ht="35.1" customHeight="1" x14ac:dyDescent="0.25">
      <c r="A2193" s="1">
        <f t="shared" si="119"/>
        <v>2192</v>
      </c>
      <c r="B2193" s="1"/>
      <c r="C2193" s="39"/>
      <c r="D2193" s="21"/>
      <c r="G2193" s="1"/>
      <c r="H2193" s="11" t="str">
        <f t="shared" si="120"/>
        <v>0 г. 0 мес. 0 дн.</v>
      </c>
      <c r="I2193" s="20"/>
      <c r="J2193" s="20"/>
      <c r="O2193" s="20"/>
      <c r="V2193" s="1" t="str">
        <f t="shared" si="118"/>
        <v>0 г. 0 мес. 0 дн.</v>
      </c>
      <c r="W2193" s="69"/>
    </row>
    <row r="2194" spans="1:23" ht="35.1" customHeight="1" x14ac:dyDescent="0.25">
      <c r="A2194" s="1">
        <f t="shared" si="119"/>
        <v>2193</v>
      </c>
      <c r="B2194" s="1"/>
      <c r="C2194" s="39"/>
      <c r="D2194" s="21"/>
      <c r="G2194" s="1"/>
      <c r="H2194" s="11" t="str">
        <f t="shared" si="120"/>
        <v>0 г. 0 мес. 0 дн.</v>
      </c>
      <c r="I2194" s="20"/>
      <c r="J2194" s="20"/>
      <c r="O2194" s="20"/>
      <c r="V2194" s="1" t="str">
        <f t="shared" si="118"/>
        <v>0 г. 0 мес. 0 дн.</v>
      </c>
      <c r="W2194" s="69"/>
    </row>
    <row r="2195" spans="1:23" ht="35.1" customHeight="1" x14ac:dyDescent="0.25">
      <c r="A2195" s="1">
        <f t="shared" si="119"/>
        <v>2194</v>
      </c>
      <c r="B2195" s="1"/>
      <c r="C2195" s="39"/>
      <c r="D2195" s="21"/>
      <c r="G2195" s="1"/>
      <c r="H2195" s="11" t="str">
        <f t="shared" si="120"/>
        <v>0 г. 0 мес. 0 дн.</v>
      </c>
      <c r="I2195" s="20"/>
      <c r="J2195" s="20"/>
      <c r="O2195" s="20"/>
      <c r="V2195" s="1" t="str">
        <f t="shared" si="118"/>
        <v>0 г. 0 мес. 0 дн.</v>
      </c>
      <c r="W2195" s="69"/>
    </row>
    <row r="2196" spans="1:23" ht="35.1" customHeight="1" x14ac:dyDescent="0.25">
      <c r="A2196" s="1">
        <f t="shared" si="119"/>
        <v>2195</v>
      </c>
      <c r="B2196" s="1"/>
      <c r="C2196" s="39"/>
      <c r="D2196" s="21"/>
      <c r="G2196" s="1"/>
      <c r="H2196" s="11" t="str">
        <f t="shared" si="120"/>
        <v>0 г. 0 мес. 0 дн.</v>
      </c>
      <c r="I2196" s="20"/>
      <c r="J2196" s="20"/>
      <c r="O2196" s="20"/>
      <c r="V2196" s="1" t="str">
        <f t="shared" si="118"/>
        <v>0 г. 0 мес. 0 дн.</v>
      </c>
      <c r="W2196" s="69"/>
    </row>
    <row r="2197" spans="1:23" ht="35.1" customHeight="1" x14ac:dyDescent="0.25">
      <c r="A2197" s="1">
        <f t="shared" si="119"/>
        <v>2196</v>
      </c>
      <c r="B2197" s="1"/>
      <c r="C2197" s="39"/>
      <c r="D2197" s="21"/>
      <c r="G2197" s="1"/>
      <c r="H2197" s="11" t="str">
        <f t="shared" si="120"/>
        <v>0 г. 0 мес. 0 дн.</v>
      </c>
      <c r="I2197" s="20"/>
      <c r="J2197" s="20"/>
      <c r="O2197" s="20"/>
      <c r="V2197" s="1" t="str">
        <f t="shared" si="118"/>
        <v>0 г. 0 мес. 0 дн.</v>
      </c>
      <c r="W2197" s="69"/>
    </row>
    <row r="2198" spans="1:23" ht="35.1" customHeight="1" x14ac:dyDescent="0.25">
      <c r="A2198" s="1">
        <f t="shared" si="119"/>
        <v>2197</v>
      </c>
      <c r="B2198" s="1"/>
      <c r="C2198" s="39"/>
      <c r="D2198" s="21"/>
      <c r="G2198" s="1"/>
      <c r="H2198" s="11" t="str">
        <f t="shared" si="120"/>
        <v>0 г. 0 мес. 0 дн.</v>
      </c>
      <c r="I2198" s="20"/>
      <c r="J2198" s="20"/>
      <c r="O2198" s="20"/>
      <c r="V2198" s="1" t="str">
        <f t="shared" si="118"/>
        <v>0 г. 0 мес. 0 дн.</v>
      </c>
      <c r="W2198" s="69"/>
    </row>
    <row r="2199" spans="1:23" ht="35.1" customHeight="1" x14ac:dyDescent="0.25">
      <c r="A2199" s="1">
        <f t="shared" si="119"/>
        <v>2198</v>
      </c>
      <c r="B2199" s="1"/>
      <c r="C2199" s="39"/>
      <c r="D2199" s="21"/>
      <c r="G2199" s="1"/>
      <c r="H2199" s="11" t="str">
        <f t="shared" si="120"/>
        <v>0 г. 0 мес. 0 дн.</v>
      </c>
      <c r="I2199" s="20"/>
      <c r="J2199" s="20"/>
      <c r="O2199" s="20"/>
      <c r="V2199" s="1" t="str">
        <f t="shared" si="118"/>
        <v>0 г. 0 мес. 0 дн.</v>
      </c>
      <c r="W2199" s="69"/>
    </row>
    <row r="2200" spans="1:23" ht="35.1" customHeight="1" x14ac:dyDescent="0.25">
      <c r="A2200" s="1">
        <f t="shared" si="119"/>
        <v>2199</v>
      </c>
      <c r="B2200" s="1"/>
      <c r="C2200" s="39"/>
      <c r="D2200" s="21"/>
      <c r="G2200" s="1"/>
      <c r="H2200" s="11" t="str">
        <f t="shared" si="120"/>
        <v>0 г. 0 мес. 0 дн.</v>
      </c>
      <c r="I2200" s="20"/>
      <c r="J2200" s="20"/>
      <c r="O2200" s="20"/>
      <c r="V2200" s="1" t="str">
        <f t="shared" si="118"/>
        <v>0 г. 0 мес. 0 дн.</v>
      </c>
      <c r="W2200" s="69"/>
    </row>
    <row r="2201" spans="1:23" ht="35.1" customHeight="1" x14ac:dyDescent="0.25">
      <c r="A2201" s="1">
        <f t="shared" si="119"/>
        <v>2200</v>
      </c>
      <c r="B2201" s="1"/>
      <c r="C2201" s="39"/>
      <c r="D2201" s="21"/>
      <c r="G2201" s="1"/>
      <c r="H2201" s="11" t="str">
        <f t="shared" si="120"/>
        <v>0 г. 0 мес. 0 дн.</v>
      </c>
      <c r="I2201" s="20"/>
      <c r="J2201" s="20"/>
      <c r="O2201" s="20"/>
      <c r="V2201" s="1" t="str">
        <f t="shared" ref="V2201:V2264" si="121">DATEDIF(D2201,T2201,"y") &amp; " г. " &amp; DATEDIF(D2201,T2201,"ym") &amp; " мес. " &amp; DATEDIF(D2201,T2201,"md") &amp; " дн."</f>
        <v>0 г. 0 мес. 0 дн.</v>
      </c>
      <c r="W2201" s="69"/>
    </row>
    <row r="2202" spans="1:23" ht="35.1" customHeight="1" x14ac:dyDescent="0.25">
      <c r="A2202" s="1">
        <f t="shared" si="119"/>
        <v>2201</v>
      </c>
      <c r="B2202" s="1"/>
      <c r="C2202" s="39"/>
      <c r="D2202" s="21"/>
      <c r="G2202" s="1"/>
      <c r="H2202" s="11" t="str">
        <f t="shared" si="120"/>
        <v>0 г. 0 мес. 0 дн.</v>
      </c>
      <c r="I2202" s="20"/>
      <c r="J2202" s="20"/>
      <c r="O2202" s="20"/>
      <c r="V2202" s="1" t="str">
        <f t="shared" si="121"/>
        <v>0 г. 0 мес. 0 дн.</v>
      </c>
      <c r="W2202" s="69"/>
    </row>
    <row r="2203" spans="1:23" ht="35.1" customHeight="1" x14ac:dyDescent="0.25">
      <c r="A2203" s="1">
        <f t="shared" si="119"/>
        <v>2202</v>
      </c>
      <c r="B2203" s="1"/>
      <c r="C2203" s="39"/>
      <c r="D2203" s="21"/>
      <c r="G2203" s="1"/>
      <c r="H2203" s="11" t="str">
        <f t="shared" si="120"/>
        <v>0 г. 0 мес. 0 дн.</v>
      </c>
      <c r="I2203" s="20"/>
      <c r="J2203" s="20"/>
      <c r="O2203" s="20"/>
      <c r="V2203" s="1" t="str">
        <f t="shared" si="121"/>
        <v>0 г. 0 мес. 0 дн.</v>
      </c>
      <c r="W2203" s="69"/>
    </row>
    <row r="2204" spans="1:23" ht="35.1" customHeight="1" x14ac:dyDescent="0.25">
      <c r="A2204" s="1">
        <f t="shared" si="119"/>
        <v>2203</v>
      </c>
      <c r="B2204" s="1"/>
      <c r="C2204" s="39"/>
      <c r="D2204" s="21"/>
      <c r="G2204" s="1"/>
      <c r="H2204" s="11" t="str">
        <f t="shared" si="120"/>
        <v>0 г. 0 мес. 0 дн.</v>
      </c>
      <c r="I2204" s="20"/>
      <c r="J2204" s="20"/>
      <c r="O2204" s="20"/>
      <c r="V2204" s="1" t="str">
        <f t="shared" si="121"/>
        <v>0 г. 0 мес. 0 дн.</v>
      </c>
      <c r="W2204" s="69"/>
    </row>
    <row r="2205" spans="1:23" ht="35.1" customHeight="1" x14ac:dyDescent="0.25">
      <c r="A2205" s="1">
        <f t="shared" si="119"/>
        <v>2204</v>
      </c>
      <c r="B2205" s="1"/>
      <c r="C2205" s="39"/>
      <c r="D2205" s="21"/>
      <c r="G2205" s="1"/>
      <c r="H2205" s="11" t="str">
        <f t="shared" si="120"/>
        <v>0 г. 0 мес. 0 дн.</v>
      </c>
      <c r="I2205" s="20"/>
      <c r="J2205" s="20"/>
      <c r="O2205" s="20"/>
      <c r="V2205" s="1" t="str">
        <f t="shared" si="121"/>
        <v>0 г. 0 мес. 0 дн.</v>
      </c>
      <c r="W2205" s="69"/>
    </row>
    <row r="2206" spans="1:23" ht="35.1" customHeight="1" x14ac:dyDescent="0.25">
      <c r="A2206" s="1">
        <f t="shared" si="119"/>
        <v>2205</v>
      </c>
      <c r="B2206" s="1"/>
      <c r="C2206" s="39"/>
      <c r="D2206" s="21"/>
      <c r="G2206" s="1"/>
      <c r="H2206" s="11" t="str">
        <f t="shared" si="120"/>
        <v>0 г. 0 мес. 0 дн.</v>
      </c>
      <c r="I2206" s="20"/>
      <c r="J2206" s="20"/>
      <c r="O2206" s="20"/>
      <c r="V2206" s="1" t="str">
        <f t="shared" si="121"/>
        <v>0 г. 0 мес. 0 дн.</v>
      </c>
      <c r="W2206" s="69"/>
    </row>
    <row r="2207" spans="1:23" ht="35.1" customHeight="1" x14ac:dyDescent="0.25">
      <c r="A2207" s="1">
        <f t="shared" si="119"/>
        <v>2206</v>
      </c>
      <c r="B2207" s="1"/>
      <c r="C2207" s="39"/>
      <c r="D2207" s="21"/>
      <c r="G2207" s="1"/>
      <c r="H2207" s="11" t="str">
        <f t="shared" si="120"/>
        <v>0 г. 0 мес. 0 дн.</v>
      </c>
      <c r="I2207" s="20"/>
      <c r="J2207" s="20"/>
      <c r="O2207" s="20"/>
      <c r="V2207" s="1" t="str">
        <f t="shared" si="121"/>
        <v>0 г. 0 мес. 0 дн.</v>
      </c>
      <c r="W2207" s="69"/>
    </row>
    <row r="2208" spans="1:23" ht="35.1" customHeight="1" x14ac:dyDescent="0.25">
      <c r="A2208" s="1">
        <f t="shared" si="119"/>
        <v>2207</v>
      </c>
      <c r="B2208" s="1"/>
      <c r="C2208" s="39"/>
      <c r="D2208" s="21"/>
      <c r="G2208" s="1"/>
      <c r="H2208" s="11" t="str">
        <f t="shared" si="120"/>
        <v>0 г. 0 мес. 0 дн.</v>
      </c>
      <c r="I2208" s="20"/>
      <c r="J2208" s="20"/>
      <c r="O2208" s="20"/>
      <c r="V2208" s="1" t="str">
        <f t="shared" si="121"/>
        <v>0 г. 0 мес. 0 дн.</v>
      </c>
      <c r="W2208" s="69"/>
    </row>
    <row r="2209" spans="1:23" ht="35.1" customHeight="1" x14ac:dyDescent="0.25">
      <c r="A2209" s="1">
        <f t="shared" si="119"/>
        <v>2208</v>
      </c>
      <c r="B2209" s="1"/>
      <c r="C2209" s="39"/>
      <c r="D2209" s="21"/>
      <c r="G2209" s="1"/>
      <c r="H2209" s="11" t="str">
        <f t="shared" si="120"/>
        <v>0 г. 0 мес. 0 дн.</v>
      </c>
      <c r="I2209" s="20"/>
      <c r="J2209" s="20"/>
      <c r="O2209" s="20"/>
      <c r="V2209" s="1" t="str">
        <f t="shared" si="121"/>
        <v>0 г. 0 мес. 0 дн.</v>
      </c>
      <c r="W2209" s="69"/>
    </row>
    <row r="2210" spans="1:23" ht="35.1" customHeight="1" x14ac:dyDescent="0.25">
      <c r="A2210" s="1">
        <f t="shared" si="119"/>
        <v>2209</v>
      </c>
      <c r="B2210" s="1"/>
      <c r="C2210" s="39"/>
      <c r="D2210" s="21"/>
      <c r="G2210" s="1"/>
      <c r="H2210" s="11" t="str">
        <f t="shared" si="120"/>
        <v>0 г. 0 мес. 0 дн.</v>
      </c>
      <c r="I2210" s="20"/>
      <c r="J2210" s="20"/>
      <c r="O2210" s="20"/>
      <c r="V2210" s="1" t="str">
        <f t="shared" si="121"/>
        <v>0 г. 0 мес. 0 дн.</v>
      </c>
      <c r="W2210" s="69"/>
    </row>
    <row r="2211" spans="1:23" ht="35.1" customHeight="1" x14ac:dyDescent="0.25">
      <c r="A2211" s="1">
        <f t="shared" si="119"/>
        <v>2210</v>
      </c>
      <c r="B2211" s="1"/>
      <c r="C2211" s="39"/>
      <c r="D2211" s="21"/>
      <c r="G2211" s="1"/>
      <c r="H2211" s="11" t="str">
        <f t="shared" si="120"/>
        <v>0 г. 0 мес. 0 дн.</v>
      </c>
      <c r="I2211" s="20"/>
      <c r="J2211" s="20"/>
      <c r="O2211" s="20"/>
      <c r="V2211" s="1" t="str">
        <f t="shared" si="121"/>
        <v>0 г. 0 мес. 0 дн.</v>
      </c>
      <c r="W2211" s="69"/>
    </row>
    <row r="2212" spans="1:23" ht="35.1" customHeight="1" x14ac:dyDescent="0.25">
      <c r="A2212" s="1">
        <f t="shared" si="119"/>
        <v>2211</v>
      </c>
      <c r="B2212" s="1"/>
      <c r="C2212" s="39"/>
      <c r="D2212" s="21"/>
      <c r="G2212" s="1"/>
      <c r="H2212" s="11" t="str">
        <f t="shared" si="120"/>
        <v>0 г. 0 мес. 0 дн.</v>
      </c>
      <c r="I2212" s="20"/>
      <c r="J2212" s="20"/>
      <c r="O2212" s="20"/>
      <c r="V2212" s="1" t="str">
        <f t="shared" si="121"/>
        <v>0 г. 0 мес. 0 дн.</v>
      </c>
      <c r="W2212" s="69"/>
    </row>
    <row r="2213" spans="1:23" ht="35.1" customHeight="1" x14ac:dyDescent="0.25">
      <c r="A2213" s="1">
        <f t="shared" si="119"/>
        <v>2212</v>
      </c>
      <c r="B2213" s="1"/>
      <c r="C2213" s="39"/>
      <c r="D2213" s="21"/>
      <c r="G2213" s="1"/>
      <c r="H2213" s="11" t="str">
        <f t="shared" si="120"/>
        <v>0 г. 0 мес. 0 дн.</v>
      </c>
      <c r="I2213" s="20"/>
      <c r="J2213" s="20"/>
      <c r="O2213" s="20"/>
      <c r="V2213" s="1" t="str">
        <f t="shared" si="121"/>
        <v>0 г. 0 мес. 0 дн.</v>
      </c>
      <c r="W2213" s="69"/>
    </row>
    <row r="2214" spans="1:23" ht="35.1" customHeight="1" x14ac:dyDescent="0.25">
      <c r="A2214" s="1">
        <f t="shared" si="119"/>
        <v>2213</v>
      </c>
      <c r="B2214" s="1"/>
      <c r="C2214" s="39"/>
      <c r="D2214" s="21"/>
      <c r="G2214" s="1"/>
      <c r="H2214" s="11" t="str">
        <f t="shared" si="120"/>
        <v>0 г. 0 мес. 0 дн.</v>
      </c>
      <c r="I2214" s="20"/>
      <c r="J2214" s="20"/>
      <c r="O2214" s="20"/>
      <c r="V2214" s="1" t="str">
        <f t="shared" si="121"/>
        <v>0 г. 0 мес. 0 дн.</v>
      </c>
      <c r="W2214" s="69"/>
    </row>
    <row r="2215" spans="1:23" ht="35.1" customHeight="1" x14ac:dyDescent="0.25">
      <c r="A2215" s="1">
        <f t="shared" si="119"/>
        <v>2214</v>
      </c>
      <c r="B2215" s="1"/>
      <c r="C2215" s="39"/>
      <c r="D2215" s="21"/>
      <c r="G2215" s="1"/>
      <c r="H2215" s="11" t="str">
        <f t="shared" si="120"/>
        <v>0 г. 0 мес. 0 дн.</v>
      </c>
      <c r="I2215" s="20"/>
      <c r="J2215" s="20"/>
      <c r="O2215" s="20"/>
      <c r="V2215" s="1" t="str">
        <f t="shared" si="121"/>
        <v>0 г. 0 мес. 0 дн.</v>
      </c>
      <c r="W2215" s="69"/>
    </row>
    <row r="2216" spans="1:23" ht="35.1" customHeight="1" x14ac:dyDescent="0.25">
      <c r="A2216" s="1">
        <f t="shared" si="119"/>
        <v>2215</v>
      </c>
      <c r="B2216" s="1"/>
      <c r="C2216" s="39"/>
      <c r="D2216" s="21"/>
      <c r="G2216" s="1"/>
      <c r="H2216" s="11" t="str">
        <f t="shared" si="120"/>
        <v>0 г. 0 мес. 0 дн.</v>
      </c>
      <c r="I2216" s="20"/>
      <c r="J2216" s="20"/>
      <c r="O2216" s="20"/>
      <c r="V2216" s="1" t="str">
        <f t="shared" si="121"/>
        <v>0 г. 0 мес. 0 дн.</v>
      </c>
      <c r="W2216" s="69"/>
    </row>
    <row r="2217" spans="1:23" ht="35.1" customHeight="1" x14ac:dyDescent="0.25">
      <c r="A2217" s="1">
        <f t="shared" si="119"/>
        <v>2216</v>
      </c>
      <c r="B2217" s="1"/>
      <c r="C2217" s="39"/>
      <c r="D2217" s="21"/>
      <c r="G2217" s="1"/>
      <c r="H2217" s="11" t="str">
        <f t="shared" si="120"/>
        <v>0 г. 0 мес. 0 дн.</v>
      </c>
      <c r="I2217" s="20"/>
      <c r="J2217" s="20"/>
      <c r="O2217" s="20"/>
      <c r="V2217" s="1" t="str">
        <f t="shared" si="121"/>
        <v>0 г. 0 мес. 0 дн.</v>
      </c>
      <c r="W2217" s="69"/>
    </row>
    <row r="2218" spans="1:23" ht="35.1" customHeight="1" x14ac:dyDescent="0.25">
      <c r="A2218" s="1">
        <f t="shared" si="119"/>
        <v>2217</v>
      </c>
      <c r="B2218" s="1"/>
      <c r="C2218" s="39"/>
      <c r="D2218" s="21"/>
      <c r="G2218" s="1"/>
      <c r="H2218" s="11" t="str">
        <f t="shared" si="120"/>
        <v>0 г. 0 мес. 0 дн.</v>
      </c>
      <c r="I2218" s="20"/>
      <c r="J2218" s="20"/>
      <c r="O2218" s="20"/>
      <c r="V2218" s="1" t="str">
        <f t="shared" si="121"/>
        <v>0 г. 0 мес. 0 дн.</v>
      </c>
      <c r="W2218" s="69"/>
    </row>
    <row r="2219" spans="1:23" ht="35.1" customHeight="1" x14ac:dyDescent="0.25">
      <c r="A2219" s="1">
        <f t="shared" si="119"/>
        <v>2218</v>
      </c>
      <c r="B2219" s="1"/>
      <c r="C2219" s="39"/>
      <c r="D2219" s="21"/>
      <c r="G2219" s="1"/>
      <c r="H2219" s="11" t="str">
        <f t="shared" si="120"/>
        <v>0 г. 0 мес. 0 дн.</v>
      </c>
      <c r="I2219" s="20"/>
      <c r="J2219" s="20"/>
      <c r="O2219" s="20"/>
      <c r="V2219" s="1" t="str">
        <f t="shared" si="121"/>
        <v>0 г. 0 мес. 0 дн.</v>
      </c>
      <c r="W2219" s="69"/>
    </row>
    <row r="2220" spans="1:23" ht="35.1" customHeight="1" x14ac:dyDescent="0.25">
      <c r="A2220" s="1">
        <f t="shared" si="119"/>
        <v>2219</v>
      </c>
      <c r="B2220" s="1"/>
      <c r="C2220" s="39"/>
      <c r="D2220" s="21"/>
      <c r="G2220" s="1"/>
      <c r="H2220" s="11" t="str">
        <f t="shared" si="120"/>
        <v>0 г. 0 мес. 0 дн.</v>
      </c>
      <c r="I2220" s="20"/>
      <c r="J2220" s="20"/>
      <c r="O2220" s="20"/>
      <c r="V2220" s="1" t="str">
        <f t="shared" si="121"/>
        <v>0 г. 0 мес. 0 дн.</v>
      </c>
      <c r="W2220" s="69"/>
    </row>
    <row r="2221" spans="1:23" ht="35.1" customHeight="1" x14ac:dyDescent="0.25">
      <c r="A2221" s="1">
        <f t="shared" si="119"/>
        <v>2220</v>
      </c>
      <c r="B2221" s="1"/>
      <c r="C2221" s="39"/>
      <c r="D2221" s="21"/>
      <c r="G2221" s="1"/>
      <c r="H2221" s="11" t="str">
        <f t="shared" si="120"/>
        <v>0 г. 0 мес. 0 дн.</v>
      </c>
      <c r="I2221" s="20"/>
      <c r="J2221" s="20"/>
      <c r="O2221" s="20"/>
      <c r="V2221" s="1" t="str">
        <f t="shared" si="121"/>
        <v>0 г. 0 мес. 0 дн.</v>
      </c>
      <c r="W2221" s="69"/>
    </row>
    <row r="2222" spans="1:23" ht="35.1" customHeight="1" x14ac:dyDescent="0.25">
      <c r="A2222" s="1">
        <f t="shared" si="119"/>
        <v>2221</v>
      </c>
      <c r="B2222" s="1"/>
      <c r="C2222" s="39"/>
      <c r="D2222" s="21"/>
      <c r="G2222" s="1"/>
      <c r="H2222" s="11" t="str">
        <f t="shared" si="120"/>
        <v>0 г. 0 мес. 0 дн.</v>
      </c>
      <c r="I2222" s="20"/>
      <c r="J2222" s="20"/>
      <c r="O2222" s="20"/>
      <c r="V2222" s="1" t="str">
        <f t="shared" si="121"/>
        <v>0 г. 0 мес. 0 дн.</v>
      </c>
      <c r="W2222" s="69"/>
    </row>
    <row r="2223" spans="1:23" ht="35.1" customHeight="1" x14ac:dyDescent="0.25">
      <c r="A2223" s="1">
        <f t="shared" si="119"/>
        <v>2222</v>
      </c>
      <c r="B2223" s="1"/>
      <c r="C2223" s="39"/>
      <c r="D2223" s="21"/>
      <c r="G2223" s="1"/>
      <c r="H2223" s="11" t="str">
        <f t="shared" si="120"/>
        <v>0 г. 0 мес. 0 дн.</v>
      </c>
      <c r="I2223" s="20"/>
      <c r="J2223" s="20"/>
      <c r="O2223" s="20"/>
      <c r="V2223" s="1" t="str">
        <f t="shared" si="121"/>
        <v>0 г. 0 мес. 0 дн.</v>
      </c>
      <c r="W2223" s="69"/>
    </row>
    <row r="2224" spans="1:23" ht="35.1" customHeight="1" x14ac:dyDescent="0.25">
      <c r="A2224" s="1">
        <f t="shared" si="119"/>
        <v>2223</v>
      </c>
      <c r="B2224" s="1"/>
      <c r="C2224" s="39"/>
      <c r="D2224" s="21"/>
      <c r="G2224" s="1"/>
      <c r="H2224" s="11" t="str">
        <f t="shared" si="120"/>
        <v>0 г. 0 мес. 0 дн.</v>
      </c>
      <c r="I2224" s="20"/>
      <c r="J2224" s="20"/>
      <c r="O2224" s="20"/>
      <c r="V2224" s="1" t="str">
        <f t="shared" si="121"/>
        <v>0 г. 0 мес. 0 дн.</v>
      </c>
      <c r="W2224" s="69"/>
    </row>
    <row r="2225" spans="1:23" ht="35.1" customHeight="1" x14ac:dyDescent="0.25">
      <c r="A2225" s="1">
        <f t="shared" si="119"/>
        <v>2224</v>
      </c>
      <c r="B2225" s="1"/>
      <c r="C2225" s="39"/>
      <c r="D2225" s="21"/>
      <c r="G2225" s="1"/>
      <c r="H2225" s="11" t="str">
        <f t="shared" si="120"/>
        <v>0 г. 0 мес. 0 дн.</v>
      </c>
      <c r="I2225" s="20"/>
      <c r="J2225" s="20"/>
      <c r="O2225" s="20"/>
      <c r="V2225" s="1" t="str">
        <f t="shared" si="121"/>
        <v>0 г. 0 мес. 0 дн.</v>
      </c>
      <c r="W2225" s="69"/>
    </row>
    <row r="2226" spans="1:23" ht="35.1" customHeight="1" x14ac:dyDescent="0.25">
      <c r="A2226" s="1">
        <f t="shared" si="119"/>
        <v>2225</v>
      </c>
      <c r="B2226" s="1"/>
      <c r="C2226" s="39"/>
      <c r="D2226" s="21"/>
      <c r="G2226" s="1"/>
      <c r="H2226" s="11" t="str">
        <f t="shared" si="120"/>
        <v>0 г. 0 мес. 0 дн.</v>
      </c>
      <c r="I2226" s="20"/>
      <c r="J2226" s="20"/>
      <c r="O2226" s="20"/>
      <c r="V2226" s="1" t="str">
        <f t="shared" si="121"/>
        <v>0 г. 0 мес. 0 дн.</v>
      </c>
      <c r="W2226" s="69"/>
    </row>
    <row r="2227" spans="1:23" ht="35.1" customHeight="1" x14ac:dyDescent="0.25">
      <c r="A2227" s="1">
        <f t="shared" si="119"/>
        <v>2226</v>
      </c>
      <c r="B2227" s="1"/>
      <c r="C2227" s="39"/>
      <c r="D2227" s="21"/>
      <c r="G2227" s="1"/>
      <c r="H2227" s="11" t="str">
        <f t="shared" si="120"/>
        <v>0 г. 0 мес. 0 дн.</v>
      </c>
      <c r="I2227" s="20"/>
      <c r="J2227" s="20"/>
      <c r="O2227" s="20"/>
      <c r="V2227" s="1" t="str">
        <f t="shared" si="121"/>
        <v>0 г. 0 мес. 0 дн.</v>
      </c>
      <c r="W2227" s="69"/>
    </row>
    <row r="2228" spans="1:23" ht="35.1" customHeight="1" x14ac:dyDescent="0.25">
      <c r="A2228" s="1">
        <f t="shared" si="119"/>
        <v>2227</v>
      </c>
      <c r="B2228" s="1"/>
      <c r="C2228" s="39"/>
      <c r="D2228" s="21"/>
      <c r="G2228" s="1"/>
      <c r="H2228" s="11" t="str">
        <f t="shared" si="120"/>
        <v>0 г. 0 мес. 0 дн.</v>
      </c>
      <c r="I2228" s="20"/>
      <c r="J2228" s="20"/>
      <c r="O2228" s="20"/>
      <c r="V2228" s="1" t="str">
        <f t="shared" si="121"/>
        <v>0 г. 0 мес. 0 дн.</v>
      </c>
      <c r="W2228" s="69"/>
    </row>
    <row r="2229" spans="1:23" ht="35.1" customHeight="1" x14ac:dyDescent="0.25">
      <c r="A2229" s="1">
        <f t="shared" si="119"/>
        <v>2228</v>
      </c>
      <c r="B2229" s="1"/>
      <c r="C2229" s="39"/>
      <c r="D2229" s="21"/>
      <c r="G2229" s="1"/>
      <c r="H2229" s="11" t="str">
        <f t="shared" si="120"/>
        <v>0 г. 0 мес. 0 дн.</v>
      </c>
      <c r="I2229" s="20"/>
      <c r="J2229" s="20"/>
      <c r="O2229" s="20"/>
      <c r="V2229" s="1" t="str">
        <f t="shared" si="121"/>
        <v>0 г. 0 мес. 0 дн.</v>
      </c>
      <c r="W2229" s="69"/>
    </row>
    <row r="2230" spans="1:23" ht="35.1" customHeight="1" x14ac:dyDescent="0.25">
      <c r="A2230" s="1">
        <f t="shared" si="119"/>
        <v>2229</v>
      </c>
      <c r="B2230" s="1"/>
      <c r="C2230" s="39"/>
      <c r="D2230" s="21"/>
      <c r="G2230" s="1"/>
      <c r="H2230" s="11" t="str">
        <f t="shared" si="120"/>
        <v>0 г. 0 мес. 0 дн.</v>
      </c>
      <c r="I2230" s="20"/>
      <c r="J2230" s="20"/>
      <c r="O2230" s="20"/>
      <c r="V2230" s="1" t="str">
        <f t="shared" si="121"/>
        <v>0 г. 0 мес. 0 дн.</v>
      </c>
      <c r="W2230" s="69"/>
    </row>
    <row r="2231" spans="1:23" ht="35.1" customHeight="1" x14ac:dyDescent="0.25">
      <c r="A2231" s="1">
        <f t="shared" si="119"/>
        <v>2230</v>
      </c>
      <c r="B2231" s="1"/>
      <c r="C2231" s="39"/>
      <c r="D2231" s="21"/>
      <c r="G2231" s="1"/>
      <c r="H2231" s="11" t="str">
        <f t="shared" si="120"/>
        <v>0 г. 0 мес. 0 дн.</v>
      </c>
      <c r="I2231" s="20"/>
      <c r="J2231" s="20"/>
      <c r="O2231" s="20"/>
      <c r="V2231" s="1" t="str">
        <f t="shared" si="121"/>
        <v>0 г. 0 мес. 0 дн.</v>
      </c>
      <c r="W2231" s="69"/>
    </row>
    <row r="2232" spans="1:23" ht="35.1" customHeight="1" x14ac:dyDescent="0.25">
      <c r="A2232" s="1">
        <f t="shared" si="119"/>
        <v>2231</v>
      </c>
      <c r="B2232" s="1"/>
      <c r="C2232" s="39"/>
      <c r="D2232" s="21"/>
      <c r="G2232" s="1"/>
      <c r="H2232" s="11" t="str">
        <f t="shared" si="120"/>
        <v>0 г. 0 мес. 0 дн.</v>
      </c>
      <c r="I2232" s="20"/>
      <c r="J2232" s="20"/>
      <c r="O2232" s="20"/>
      <c r="V2232" s="1" t="str">
        <f t="shared" si="121"/>
        <v>0 г. 0 мес. 0 дн.</v>
      </c>
      <c r="W2232" s="69"/>
    </row>
    <row r="2233" spans="1:23" ht="35.1" customHeight="1" x14ac:dyDescent="0.25">
      <c r="A2233" s="1">
        <f t="shared" si="119"/>
        <v>2232</v>
      </c>
      <c r="B2233" s="1"/>
      <c r="C2233" s="39"/>
      <c r="D2233" s="21"/>
      <c r="G2233" s="1"/>
      <c r="H2233" s="11" t="str">
        <f t="shared" si="120"/>
        <v>0 г. 0 мес. 0 дн.</v>
      </c>
      <c r="I2233" s="20"/>
      <c r="J2233" s="20"/>
      <c r="O2233" s="20"/>
      <c r="V2233" s="1" t="str">
        <f t="shared" si="121"/>
        <v>0 г. 0 мес. 0 дн.</v>
      </c>
      <c r="W2233" s="69"/>
    </row>
    <row r="2234" spans="1:23" ht="35.1" customHeight="1" x14ac:dyDescent="0.25">
      <c r="A2234" s="1">
        <f t="shared" si="119"/>
        <v>2233</v>
      </c>
      <c r="B2234" s="1"/>
      <c r="C2234" s="39"/>
      <c r="D2234" s="21"/>
      <c r="G2234" s="1"/>
      <c r="H2234" s="11" t="str">
        <f t="shared" si="120"/>
        <v>0 г. 0 мес. 0 дн.</v>
      </c>
      <c r="I2234" s="20"/>
      <c r="J2234" s="20"/>
      <c r="O2234" s="20"/>
      <c r="V2234" s="1" t="str">
        <f t="shared" si="121"/>
        <v>0 г. 0 мес. 0 дн.</v>
      </c>
      <c r="W2234" s="69"/>
    </row>
    <row r="2235" spans="1:23" ht="35.1" customHeight="1" x14ac:dyDescent="0.25">
      <c r="A2235" s="1">
        <f t="shared" si="119"/>
        <v>2234</v>
      </c>
      <c r="B2235" s="1"/>
      <c r="C2235" s="39"/>
      <c r="D2235" s="21"/>
      <c r="G2235" s="1"/>
      <c r="H2235" s="11" t="str">
        <f t="shared" si="120"/>
        <v>0 г. 0 мес. 0 дн.</v>
      </c>
      <c r="I2235" s="20"/>
      <c r="J2235" s="20"/>
      <c r="O2235" s="20"/>
      <c r="V2235" s="1" t="str">
        <f t="shared" si="121"/>
        <v>0 г. 0 мес. 0 дн.</v>
      </c>
      <c r="W2235" s="69"/>
    </row>
    <row r="2236" spans="1:23" ht="35.1" customHeight="1" x14ac:dyDescent="0.25">
      <c r="A2236" s="1">
        <f t="shared" si="119"/>
        <v>2235</v>
      </c>
      <c r="B2236" s="1"/>
      <c r="C2236" s="39"/>
      <c r="D2236" s="21"/>
      <c r="G2236" s="1"/>
      <c r="H2236" s="11" t="str">
        <f t="shared" si="120"/>
        <v>0 г. 0 мес. 0 дн.</v>
      </c>
      <c r="I2236" s="20"/>
      <c r="J2236" s="20"/>
      <c r="O2236" s="20"/>
      <c r="V2236" s="1" t="str">
        <f t="shared" si="121"/>
        <v>0 г. 0 мес. 0 дн.</v>
      </c>
      <c r="W2236" s="69"/>
    </row>
    <row r="2237" spans="1:23" ht="35.1" customHeight="1" x14ac:dyDescent="0.25">
      <c r="A2237" s="1">
        <f t="shared" si="119"/>
        <v>2236</v>
      </c>
      <c r="B2237" s="1"/>
      <c r="C2237" s="39"/>
      <c r="D2237" s="21"/>
      <c r="G2237" s="1"/>
      <c r="H2237" s="11" t="str">
        <f t="shared" si="120"/>
        <v>0 г. 0 мес. 0 дн.</v>
      </c>
      <c r="I2237" s="20"/>
      <c r="J2237" s="20"/>
      <c r="O2237" s="20"/>
      <c r="V2237" s="1" t="str">
        <f t="shared" si="121"/>
        <v>0 г. 0 мес. 0 дн.</v>
      </c>
      <c r="W2237" s="69"/>
    </row>
    <row r="2238" spans="1:23" ht="35.1" customHeight="1" x14ac:dyDescent="0.25">
      <c r="A2238" s="1">
        <f t="shared" si="119"/>
        <v>2237</v>
      </c>
      <c r="B2238" s="1"/>
      <c r="C2238" s="39"/>
      <c r="D2238" s="21"/>
      <c r="G2238" s="1"/>
      <c r="H2238" s="11" t="str">
        <f t="shared" si="120"/>
        <v>0 г. 0 мес. 0 дн.</v>
      </c>
      <c r="I2238" s="20"/>
      <c r="J2238" s="20"/>
      <c r="O2238" s="20"/>
      <c r="V2238" s="1" t="str">
        <f t="shared" si="121"/>
        <v>0 г. 0 мес. 0 дн.</v>
      </c>
      <c r="W2238" s="69"/>
    </row>
    <row r="2239" spans="1:23" ht="35.1" customHeight="1" x14ac:dyDescent="0.25">
      <c r="A2239" s="1">
        <f t="shared" si="119"/>
        <v>2238</v>
      </c>
      <c r="B2239" s="1"/>
      <c r="C2239" s="39"/>
      <c r="D2239" s="21"/>
      <c r="G2239" s="1"/>
      <c r="H2239" s="11" t="str">
        <f t="shared" si="120"/>
        <v>0 г. 0 мес. 0 дн.</v>
      </c>
      <c r="I2239" s="20"/>
      <c r="J2239" s="20"/>
      <c r="O2239" s="20"/>
      <c r="V2239" s="1" t="str">
        <f t="shared" si="121"/>
        <v>0 г. 0 мес. 0 дн.</v>
      </c>
      <c r="W2239" s="69"/>
    </row>
    <row r="2240" spans="1:23" ht="35.1" customHeight="1" x14ac:dyDescent="0.25">
      <c r="A2240" s="1">
        <f t="shared" si="119"/>
        <v>2239</v>
      </c>
      <c r="B2240" s="1"/>
      <c r="C2240" s="39"/>
      <c r="D2240" s="21"/>
      <c r="G2240" s="1"/>
      <c r="H2240" s="11" t="str">
        <f t="shared" si="120"/>
        <v>0 г. 0 мес. 0 дн.</v>
      </c>
      <c r="I2240" s="20"/>
      <c r="J2240" s="20"/>
      <c r="O2240" s="20"/>
      <c r="V2240" s="1" t="str">
        <f t="shared" si="121"/>
        <v>0 г. 0 мес. 0 дн.</v>
      </c>
      <c r="W2240" s="69"/>
    </row>
    <row r="2241" spans="1:23" ht="35.1" customHeight="1" x14ac:dyDescent="0.25">
      <c r="A2241" s="1">
        <f t="shared" ref="A2241:A2304" si="122">ROW(A2240)</f>
        <v>2240</v>
      </c>
      <c r="B2241" s="1"/>
      <c r="C2241" s="39"/>
      <c r="D2241" s="21"/>
      <c r="G2241" s="1"/>
      <c r="H2241" s="11" t="str">
        <f t="shared" ref="H2241:H2304" si="123">DATEDIF(G2241,D2241,"y") &amp; " г. " &amp; DATEDIF(G2241,D2241,"ym") &amp; " мес. " &amp; DATEDIF(G2241,D2241,"md") &amp; " дн."</f>
        <v>0 г. 0 мес. 0 дн.</v>
      </c>
      <c r="I2241" s="20"/>
      <c r="J2241" s="20"/>
      <c r="O2241" s="20"/>
      <c r="V2241" s="1" t="str">
        <f t="shared" si="121"/>
        <v>0 г. 0 мес. 0 дн.</v>
      </c>
      <c r="W2241" s="69"/>
    </row>
    <row r="2242" spans="1:23" ht="35.1" customHeight="1" x14ac:dyDescent="0.25">
      <c r="A2242" s="1">
        <f t="shared" si="122"/>
        <v>2241</v>
      </c>
      <c r="B2242" s="1"/>
      <c r="C2242" s="39"/>
      <c r="D2242" s="21"/>
      <c r="G2242" s="1"/>
      <c r="H2242" s="11" t="str">
        <f t="shared" si="123"/>
        <v>0 г. 0 мес. 0 дн.</v>
      </c>
      <c r="I2242" s="20"/>
      <c r="J2242" s="20"/>
      <c r="O2242" s="20"/>
      <c r="V2242" s="1" t="str">
        <f t="shared" si="121"/>
        <v>0 г. 0 мес. 0 дн.</v>
      </c>
      <c r="W2242" s="69"/>
    </row>
    <row r="2243" spans="1:23" ht="35.1" customHeight="1" x14ac:dyDescent="0.25">
      <c r="A2243" s="1">
        <f t="shared" si="122"/>
        <v>2242</v>
      </c>
      <c r="B2243" s="1"/>
      <c r="C2243" s="39"/>
      <c r="D2243" s="21"/>
      <c r="G2243" s="1"/>
      <c r="H2243" s="11" t="str">
        <f t="shared" si="123"/>
        <v>0 г. 0 мес. 0 дн.</v>
      </c>
      <c r="I2243" s="20"/>
      <c r="J2243" s="20"/>
      <c r="O2243" s="20"/>
      <c r="V2243" s="1" t="str">
        <f t="shared" si="121"/>
        <v>0 г. 0 мес. 0 дн.</v>
      </c>
      <c r="W2243" s="69"/>
    </row>
    <row r="2244" spans="1:23" ht="35.1" customHeight="1" x14ac:dyDescent="0.25">
      <c r="A2244" s="1">
        <f t="shared" si="122"/>
        <v>2243</v>
      </c>
      <c r="B2244" s="1"/>
      <c r="C2244" s="39"/>
      <c r="D2244" s="21"/>
      <c r="G2244" s="1"/>
      <c r="H2244" s="11" t="str">
        <f t="shared" si="123"/>
        <v>0 г. 0 мес. 0 дн.</v>
      </c>
      <c r="I2244" s="20"/>
      <c r="J2244" s="20"/>
      <c r="O2244" s="20"/>
      <c r="V2244" s="1" t="str">
        <f t="shared" si="121"/>
        <v>0 г. 0 мес. 0 дн.</v>
      </c>
      <c r="W2244" s="69"/>
    </row>
    <row r="2245" spans="1:23" ht="35.1" customHeight="1" x14ac:dyDescent="0.25">
      <c r="A2245" s="1">
        <f t="shared" si="122"/>
        <v>2244</v>
      </c>
      <c r="B2245" s="1"/>
      <c r="C2245" s="39"/>
      <c r="D2245" s="21"/>
      <c r="G2245" s="1"/>
      <c r="H2245" s="11" t="str">
        <f t="shared" si="123"/>
        <v>0 г. 0 мес. 0 дн.</v>
      </c>
      <c r="I2245" s="20"/>
      <c r="J2245" s="20"/>
      <c r="O2245" s="20"/>
      <c r="V2245" s="1" t="str">
        <f t="shared" si="121"/>
        <v>0 г. 0 мес. 0 дн.</v>
      </c>
      <c r="W2245" s="69"/>
    </row>
    <row r="2246" spans="1:23" ht="35.1" customHeight="1" x14ac:dyDescent="0.25">
      <c r="A2246" s="1">
        <f t="shared" si="122"/>
        <v>2245</v>
      </c>
      <c r="B2246" s="1"/>
      <c r="C2246" s="39"/>
      <c r="D2246" s="21"/>
      <c r="G2246" s="1"/>
      <c r="H2246" s="11" t="str">
        <f t="shared" si="123"/>
        <v>0 г. 0 мес. 0 дн.</v>
      </c>
      <c r="I2246" s="20"/>
      <c r="J2246" s="20"/>
      <c r="O2246" s="20"/>
      <c r="V2246" s="1" t="str">
        <f t="shared" si="121"/>
        <v>0 г. 0 мес. 0 дн.</v>
      </c>
      <c r="W2246" s="69"/>
    </row>
    <row r="2247" spans="1:23" ht="35.1" customHeight="1" x14ac:dyDescent="0.25">
      <c r="A2247" s="1">
        <f t="shared" si="122"/>
        <v>2246</v>
      </c>
      <c r="B2247" s="1"/>
      <c r="C2247" s="39"/>
      <c r="D2247" s="21"/>
      <c r="G2247" s="1"/>
      <c r="H2247" s="11" t="str">
        <f t="shared" si="123"/>
        <v>0 г. 0 мес. 0 дн.</v>
      </c>
      <c r="I2247" s="20"/>
      <c r="J2247" s="20"/>
      <c r="O2247" s="20"/>
      <c r="V2247" s="1" t="str">
        <f t="shared" si="121"/>
        <v>0 г. 0 мес. 0 дн.</v>
      </c>
      <c r="W2247" s="69"/>
    </row>
    <row r="2248" spans="1:23" ht="35.1" customHeight="1" x14ac:dyDescent="0.25">
      <c r="A2248" s="1">
        <f t="shared" si="122"/>
        <v>2247</v>
      </c>
      <c r="B2248" s="1"/>
      <c r="C2248" s="39"/>
      <c r="D2248" s="21"/>
      <c r="G2248" s="1"/>
      <c r="H2248" s="11" t="str">
        <f t="shared" si="123"/>
        <v>0 г. 0 мес. 0 дн.</v>
      </c>
      <c r="I2248" s="20"/>
      <c r="J2248" s="20"/>
      <c r="O2248" s="20"/>
      <c r="V2248" s="1" t="str">
        <f t="shared" si="121"/>
        <v>0 г. 0 мес. 0 дн.</v>
      </c>
      <c r="W2248" s="69"/>
    </row>
    <row r="2249" spans="1:23" ht="35.1" customHeight="1" x14ac:dyDescent="0.25">
      <c r="A2249" s="1">
        <f t="shared" si="122"/>
        <v>2248</v>
      </c>
      <c r="B2249" s="1"/>
      <c r="C2249" s="39"/>
      <c r="D2249" s="21"/>
      <c r="G2249" s="1"/>
      <c r="H2249" s="11" t="str">
        <f t="shared" si="123"/>
        <v>0 г. 0 мес. 0 дн.</v>
      </c>
      <c r="I2249" s="20"/>
      <c r="J2249" s="20"/>
      <c r="O2249" s="20"/>
      <c r="V2249" s="1" t="str">
        <f t="shared" si="121"/>
        <v>0 г. 0 мес. 0 дн.</v>
      </c>
      <c r="W2249" s="69"/>
    </row>
    <row r="2250" spans="1:23" ht="35.1" customHeight="1" x14ac:dyDescent="0.25">
      <c r="A2250" s="1">
        <f t="shared" si="122"/>
        <v>2249</v>
      </c>
      <c r="B2250" s="1"/>
      <c r="C2250" s="39"/>
      <c r="D2250" s="21"/>
      <c r="G2250" s="1"/>
      <c r="H2250" s="11" t="str">
        <f t="shared" si="123"/>
        <v>0 г. 0 мес. 0 дн.</v>
      </c>
      <c r="I2250" s="20"/>
      <c r="J2250" s="20"/>
      <c r="O2250" s="20"/>
      <c r="V2250" s="1" t="str">
        <f t="shared" si="121"/>
        <v>0 г. 0 мес. 0 дн.</v>
      </c>
      <c r="W2250" s="69"/>
    </row>
    <row r="2251" spans="1:23" ht="35.1" customHeight="1" x14ac:dyDescent="0.25">
      <c r="A2251" s="1">
        <f t="shared" si="122"/>
        <v>2250</v>
      </c>
      <c r="B2251" s="1"/>
      <c r="C2251" s="39"/>
      <c r="D2251" s="21"/>
      <c r="G2251" s="1"/>
      <c r="H2251" s="11" t="str">
        <f t="shared" si="123"/>
        <v>0 г. 0 мес. 0 дн.</v>
      </c>
      <c r="I2251" s="20"/>
      <c r="J2251" s="20"/>
      <c r="O2251" s="20"/>
      <c r="V2251" s="1" t="str">
        <f t="shared" si="121"/>
        <v>0 г. 0 мес. 0 дн.</v>
      </c>
      <c r="W2251" s="69"/>
    </row>
    <row r="2252" spans="1:23" ht="35.1" customHeight="1" x14ac:dyDescent="0.25">
      <c r="A2252" s="1">
        <f t="shared" si="122"/>
        <v>2251</v>
      </c>
      <c r="B2252" s="1"/>
      <c r="C2252" s="39"/>
      <c r="D2252" s="21"/>
      <c r="G2252" s="1"/>
      <c r="H2252" s="11" t="str">
        <f t="shared" si="123"/>
        <v>0 г. 0 мес. 0 дн.</v>
      </c>
      <c r="I2252" s="20"/>
      <c r="J2252" s="20"/>
      <c r="O2252" s="20"/>
      <c r="V2252" s="1" t="str">
        <f t="shared" si="121"/>
        <v>0 г. 0 мес. 0 дн.</v>
      </c>
      <c r="W2252" s="69"/>
    </row>
    <row r="2253" spans="1:23" ht="35.1" customHeight="1" x14ac:dyDescent="0.25">
      <c r="A2253" s="1">
        <f t="shared" si="122"/>
        <v>2252</v>
      </c>
      <c r="B2253" s="1"/>
      <c r="C2253" s="39"/>
      <c r="D2253" s="21"/>
      <c r="G2253" s="1"/>
      <c r="H2253" s="11" t="str">
        <f t="shared" si="123"/>
        <v>0 г. 0 мес. 0 дн.</v>
      </c>
      <c r="I2253" s="20"/>
      <c r="J2253" s="20"/>
      <c r="O2253" s="20"/>
      <c r="V2253" s="1" t="str">
        <f t="shared" si="121"/>
        <v>0 г. 0 мес. 0 дн.</v>
      </c>
      <c r="W2253" s="69"/>
    </row>
    <row r="2254" spans="1:23" ht="35.1" customHeight="1" x14ac:dyDescent="0.25">
      <c r="A2254" s="1">
        <f t="shared" si="122"/>
        <v>2253</v>
      </c>
      <c r="B2254" s="1"/>
      <c r="C2254" s="39"/>
      <c r="D2254" s="21"/>
      <c r="G2254" s="1"/>
      <c r="H2254" s="11" t="str">
        <f t="shared" si="123"/>
        <v>0 г. 0 мес. 0 дн.</v>
      </c>
      <c r="I2254" s="20"/>
      <c r="J2254" s="20"/>
      <c r="O2254" s="20"/>
      <c r="V2254" s="1" t="str">
        <f t="shared" si="121"/>
        <v>0 г. 0 мес. 0 дн.</v>
      </c>
      <c r="W2254" s="69"/>
    </row>
    <row r="2255" spans="1:23" ht="35.1" customHeight="1" x14ac:dyDescent="0.25">
      <c r="A2255" s="1">
        <f t="shared" si="122"/>
        <v>2254</v>
      </c>
      <c r="B2255" s="1"/>
      <c r="C2255" s="39"/>
      <c r="D2255" s="21"/>
      <c r="G2255" s="1"/>
      <c r="H2255" s="11" t="str">
        <f t="shared" si="123"/>
        <v>0 г. 0 мес. 0 дн.</v>
      </c>
      <c r="I2255" s="20"/>
      <c r="J2255" s="20"/>
      <c r="O2255" s="20"/>
      <c r="V2255" s="1" t="str">
        <f t="shared" si="121"/>
        <v>0 г. 0 мес. 0 дн.</v>
      </c>
      <c r="W2255" s="69"/>
    </row>
    <row r="2256" spans="1:23" ht="35.1" customHeight="1" x14ac:dyDescent="0.25">
      <c r="A2256" s="1">
        <f t="shared" si="122"/>
        <v>2255</v>
      </c>
      <c r="B2256" s="1"/>
      <c r="C2256" s="39"/>
      <c r="D2256" s="21"/>
      <c r="G2256" s="1"/>
      <c r="H2256" s="11" t="str">
        <f t="shared" si="123"/>
        <v>0 г. 0 мес. 0 дн.</v>
      </c>
      <c r="I2256" s="20"/>
      <c r="J2256" s="20"/>
      <c r="O2256" s="20"/>
      <c r="V2256" s="1" t="str">
        <f t="shared" si="121"/>
        <v>0 г. 0 мес. 0 дн.</v>
      </c>
      <c r="W2256" s="69"/>
    </row>
    <row r="2257" spans="1:23" ht="35.1" customHeight="1" x14ac:dyDescent="0.25">
      <c r="A2257" s="1">
        <f t="shared" si="122"/>
        <v>2256</v>
      </c>
      <c r="B2257" s="1"/>
      <c r="C2257" s="39"/>
      <c r="D2257" s="21"/>
      <c r="G2257" s="1"/>
      <c r="H2257" s="11" t="str">
        <f t="shared" si="123"/>
        <v>0 г. 0 мес. 0 дн.</v>
      </c>
      <c r="I2257" s="20"/>
      <c r="J2257" s="20"/>
      <c r="O2257" s="20"/>
      <c r="V2257" s="1" t="str">
        <f t="shared" si="121"/>
        <v>0 г. 0 мес. 0 дн.</v>
      </c>
      <c r="W2257" s="69"/>
    </row>
    <row r="2258" spans="1:23" ht="35.1" customHeight="1" x14ac:dyDescent="0.25">
      <c r="A2258" s="1">
        <f t="shared" si="122"/>
        <v>2257</v>
      </c>
      <c r="B2258" s="1"/>
      <c r="C2258" s="39"/>
      <c r="D2258" s="21"/>
      <c r="G2258" s="1"/>
      <c r="H2258" s="11" t="str">
        <f t="shared" si="123"/>
        <v>0 г. 0 мес. 0 дн.</v>
      </c>
      <c r="I2258" s="20"/>
      <c r="J2258" s="20"/>
      <c r="O2258" s="20"/>
      <c r="V2258" s="1" t="str">
        <f t="shared" si="121"/>
        <v>0 г. 0 мес. 0 дн.</v>
      </c>
      <c r="W2258" s="69"/>
    </row>
    <row r="2259" spans="1:23" ht="35.1" customHeight="1" x14ac:dyDescent="0.25">
      <c r="A2259" s="1">
        <f t="shared" si="122"/>
        <v>2258</v>
      </c>
      <c r="B2259" s="1"/>
      <c r="C2259" s="39"/>
      <c r="D2259" s="21"/>
      <c r="G2259" s="1"/>
      <c r="H2259" s="11" t="str">
        <f t="shared" si="123"/>
        <v>0 г. 0 мес. 0 дн.</v>
      </c>
      <c r="I2259" s="20"/>
      <c r="J2259" s="20"/>
      <c r="O2259" s="20"/>
      <c r="V2259" s="1" t="str">
        <f t="shared" si="121"/>
        <v>0 г. 0 мес. 0 дн.</v>
      </c>
      <c r="W2259" s="69"/>
    </row>
    <row r="2260" spans="1:23" ht="35.1" customHeight="1" x14ac:dyDescent="0.25">
      <c r="A2260" s="1">
        <f t="shared" si="122"/>
        <v>2259</v>
      </c>
      <c r="B2260" s="1"/>
      <c r="C2260" s="39"/>
      <c r="D2260" s="21"/>
      <c r="G2260" s="1"/>
      <c r="H2260" s="11" t="str">
        <f t="shared" si="123"/>
        <v>0 г. 0 мес. 0 дн.</v>
      </c>
      <c r="I2260" s="20"/>
      <c r="J2260" s="20"/>
      <c r="O2260" s="20"/>
      <c r="V2260" s="1" t="str">
        <f t="shared" si="121"/>
        <v>0 г. 0 мес. 0 дн.</v>
      </c>
      <c r="W2260" s="69"/>
    </row>
    <row r="2261" spans="1:23" ht="35.1" customHeight="1" x14ac:dyDescent="0.25">
      <c r="A2261" s="1">
        <f t="shared" si="122"/>
        <v>2260</v>
      </c>
      <c r="B2261" s="1"/>
      <c r="C2261" s="39"/>
      <c r="D2261" s="21"/>
      <c r="G2261" s="1"/>
      <c r="H2261" s="11" t="str">
        <f t="shared" si="123"/>
        <v>0 г. 0 мес. 0 дн.</v>
      </c>
      <c r="I2261" s="20"/>
      <c r="J2261" s="20"/>
      <c r="O2261" s="20"/>
      <c r="V2261" s="1" t="str">
        <f t="shared" si="121"/>
        <v>0 г. 0 мес. 0 дн.</v>
      </c>
      <c r="W2261" s="69"/>
    </row>
    <row r="2262" spans="1:23" ht="35.1" customHeight="1" x14ac:dyDescent="0.25">
      <c r="A2262" s="1">
        <f t="shared" si="122"/>
        <v>2261</v>
      </c>
      <c r="B2262" s="1"/>
      <c r="C2262" s="39"/>
      <c r="D2262" s="21"/>
      <c r="G2262" s="1"/>
      <c r="H2262" s="11" t="str">
        <f t="shared" si="123"/>
        <v>0 г. 0 мес. 0 дн.</v>
      </c>
      <c r="I2262" s="20"/>
      <c r="J2262" s="20"/>
      <c r="O2262" s="20"/>
      <c r="V2262" s="1" t="str">
        <f t="shared" si="121"/>
        <v>0 г. 0 мес. 0 дн.</v>
      </c>
      <c r="W2262" s="69"/>
    </row>
    <row r="2263" spans="1:23" ht="35.1" customHeight="1" x14ac:dyDescent="0.25">
      <c r="A2263" s="1">
        <f t="shared" si="122"/>
        <v>2262</v>
      </c>
      <c r="B2263" s="1"/>
      <c r="C2263" s="39"/>
      <c r="D2263" s="21"/>
      <c r="G2263" s="1"/>
      <c r="H2263" s="11" t="str">
        <f t="shared" si="123"/>
        <v>0 г. 0 мес. 0 дн.</v>
      </c>
      <c r="I2263" s="20"/>
      <c r="J2263" s="20"/>
      <c r="O2263" s="20"/>
      <c r="V2263" s="1" t="str">
        <f t="shared" si="121"/>
        <v>0 г. 0 мес. 0 дн.</v>
      </c>
      <c r="W2263" s="69"/>
    </row>
    <row r="2264" spans="1:23" ht="35.1" customHeight="1" x14ac:dyDescent="0.25">
      <c r="A2264" s="1">
        <f t="shared" si="122"/>
        <v>2263</v>
      </c>
      <c r="B2264" s="1"/>
      <c r="C2264" s="39"/>
      <c r="D2264" s="21"/>
      <c r="G2264" s="1"/>
      <c r="H2264" s="11" t="str">
        <f t="shared" si="123"/>
        <v>0 г. 0 мес. 0 дн.</v>
      </c>
      <c r="I2264" s="20"/>
      <c r="J2264" s="20"/>
      <c r="O2264" s="20"/>
      <c r="V2264" s="1" t="str">
        <f t="shared" si="121"/>
        <v>0 г. 0 мес. 0 дн.</v>
      </c>
      <c r="W2264" s="69"/>
    </row>
    <row r="2265" spans="1:23" ht="35.1" customHeight="1" x14ac:dyDescent="0.25">
      <c r="A2265" s="1">
        <f t="shared" si="122"/>
        <v>2264</v>
      </c>
      <c r="B2265" s="1"/>
      <c r="C2265" s="39"/>
      <c r="D2265" s="21"/>
      <c r="G2265" s="1"/>
      <c r="H2265" s="11" t="str">
        <f t="shared" si="123"/>
        <v>0 г. 0 мес. 0 дн.</v>
      </c>
      <c r="I2265" s="20"/>
      <c r="J2265" s="20"/>
      <c r="O2265" s="20"/>
      <c r="V2265" s="1" t="str">
        <f t="shared" ref="V2265:V2328" si="124">DATEDIF(D2265,T2265,"y") &amp; " г. " &amp; DATEDIF(D2265,T2265,"ym") &amp; " мес. " &amp; DATEDIF(D2265,T2265,"md") &amp; " дн."</f>
        <v>0 г. 0 мес. 0 дн.</v>
      </c>
      <c r="W2265" s="69"/>
    </row>
    <row r="2266" spans="1:23" ht="35.1" customHeight="1" x14ac:dyDescent="0.25">
      <c r="A2266" s="1">
        <f t="shared" si="122"/>
        <v>2265</v>
      </c>
      <c r="B2266" s="1"/>
      <c r="C2266" s="39"/>
      <c r="D2266" s="21"/>
      <c r="G2266" s="1"/>
      <c r="H2266" s="11" t="str">
        <f t="shared" si="123"/>
        <v>0 г. 0 мес. 0 дн.</v>
      </c>
      <c r="I2266" s="20"/>
      <c r="J2266" s="20"/>
      <c r="O2266" s="20"/>
      <c r="V2266" s="1" t="str">
        <f t="shared" si="124"/>
        <v>0 г. 0 мес. 0 дн.</v>
      </c>
      <c r="W2266" s="69"/>
    </row>
    <row r="2267" spans="1:23" ht="35.1" customHeight="1" x14ac:dyDescent="0.25">
      <c r="A2267" s="1">
        <f t="shared" si="122"/>
        <v>2266</v>
      </c>
      <c r="B2267" s="1"/>
      <c r="C2267" s="39"/>
      <c r="D2267" s="21"/>
      <c r="G2267" s="1"/>
      <c r="H2267" s="11" t="str">
        <f t="shared" si="123"/>
        <v>0 г. 0 мес. 0 дн.</v>
      </c>
      <c r="I2267" s="20"/>
      <c r="J2267" s="20"/>
      <c r="O2267" s="20"/>
      <c r="V2267" s="1" t="str">
        <f t="shared" si="124"/>
        <v>0 г. 0 мес. 0 дн.</v>
      </c>
      <c r="W2267" s="69"/>
    </row>
    <row r="2268" spans="1:23" ht="35.1" customHeight="1" x14ac:dyDescent="0.25">
      <c r="A2268" s="1">
        <f t="shared" si="122"/>
        <v>2267</v>
      </c>
      <c r="B2268" s="1"/>
      <c r="C2268" s="39"/>
      <c r="D2268" s="21"/>
      <c r="G2268" s="1"/>
      <c r="H2268" s="11" t="str">
        <f t="shared" si="123"/>
        <v>0 г. 0 мес. 0 дн.</v>
      </c>
      <c r="I2268" s="20"/>
      <c r="J2268" s="20"/>
      <c r="O2268" s="20"/>
      <c r="V2268" s="1" t="str">
        <f t="shared" si="124"/>
        <v>0 г. 0 мес. 0 дн.</v>
      </c>
      <c r="W2268" s="69"/>
    </row>
    <row r="2269" spans="1:23" ht="35.1" customHeight="1" x14ac:dyDescent="0.25">
      <c r="A2269" s="1">
        <f t="shared" si="122"/>
        <v>2268</v>
      </c>
      <c r="B2269" s="1"/>
      <c r="C2269" s="39"/>
      <c r="D2269" s="21"/>
      <c r="G2269" s="1"/>
      <c r="H2269" s="11" t="str">
        <f t="shared" si="123"/>
        <v>0 г. 0 мес. 0 дн.</v>
      </c>
      <c r="I2269" s="20"/>
      <c r="J2269" s="20"/>
      <c r="O2269" s="20"/>
      <c r="V2269" s="1" t="str">
        <f t="shared" si="124"/>
        <v>0 г. 0 мес. 0 дн.</v>
      </c>
      <c r="W2269" s="69"/>
    </row>
    <row r="2270" spans="1:23" ht="35.1" customHeight="1" x14ac:dyDescent="0.25">
      <c r="A2270" s="1">
        <f t="shared" si="122"/>
        <v>2269</v>
      </c>
      <c r="B2270" s="1"/>
      <c r="C2270" s="39"/>
      <c r="D2270" s="21"/>
      <c r="G2270" s="1"/>
      <c r="H2270" s="11" t="str">
        <f t="shared" si="123"/>
        <v>0 г. 0 мес. 0 дн.</v>
      </c>
      <c r="I2270" s="20"/>
      <c r="J2270" s="20"/>
      <c r="O2270" s="20"/>
      <c r="V2270" s="1" t="str">
        <f t="shared" si="124"/>
        <v>0 г. 0 мес. 0 дн.</v>
      </c>
      <c r="W2270" s="69"/>
    </row>
    <row r="2271" spans="1:23" ht="35.1" customHeight="1" x14ac:dyDescent="0.25">
      <c r="A2271" s="1">
        <f t="shared" si="122"/>
        <v>2270</v>
      </c>
      <c r="B2271" s="1"/>
      <c r="C2271" s="39"/>
      <c r="D2271" s="21"/>
      <c r="G2271" s="1"/>
      <c r="H2271" s="11" t="str">
        <f t="shared" si="123"/>
        <v>0 г. 0 мес. 0 дн.</v>
      </c>
      <c r="I2271" s="20"/>
      <c r="J2271" s="20"/>
      <c r="O2271" s="20"/>
      <c r="V2271" s="1" t="str">
        <f t="shared" si="124"/>
        <v>0 г. 0 мес. 0 дн.</v>
      </c>
      <c r="W2271" s="69"/>
    </row>
    <row r="2272" spans="1:23" ht="35.1" customHeight="1" x14ac:dyDescent="0.25">
      <c r="A2272" s="1">
        <f t="shared" si="122"/>
        <v>2271</v>
      </c>
      <c r="B2272" s="1"/>
      <c r="C2272" s="39"/>
      <c r="D2272" s="21"/>
      <c r="G2272" s="1"/>
      <c r="H2272" s="11" t="str">
        <f t="shared" si="123"/>
        <v>0 г. 0 мес. 0 дн.</v>
      </c>
      <c r="I2272" s="20"/>
      <c r="J2272" s="20"/>
      <c r="O2272" s="20"/>
      <c r="V2272" s="1" t="str">
        <f t="shared" si="124"/>
        <v>0 г. 0 мес. 0 дн.</v>
      </c>
      <c r="W2272" s="69"/>
    </row>
    <row r="2273" spans="1:23" ht="35.1" customHeight="1" x14ac:dyDescent="0.25">
      <c r="A2273" s="1">
        <f t="shared" si="122"/>
        <v>2272</v>
      </c>
      <c r="B2273" s="1"/>
      <c r="C2273" s="39"/>
      <c r="D2273" s="21"/>
      <c r="G2273" s="1"/>
      <c r="H2273" s="11" t="str">
        <f t="shared" si="123"/>
        <v>0 г. 0 мес. 0 дн.</v>
      </c>
      <c r="I2273" s="20"/>
      <c r="J2273" s="20"/>
      <c r="O2273" s="20"/>
      <c r="V2273" s="1" t="str">
        <f t="shared" si="124"/>
        <v>0 г. 0 мес. 0 дн.</v>
      </c>
      <c r="W2273" s="69"/>
    </row>
    <row r="2274" spans="1:23" ht="35.1" customHeight="1" x14ac:dyDescent="0.25">
      <c r="A2274" s="1">
        <f t="shared" si="122"/>
        <v>2273</v>
      </c>
      <c r="B2274" s="1"/>
      <c r="C2274" s="39"/>
      <c r="D2274" s="21"/>
      <c r="G2274" s="1"/>
      <c r="H2274" s="11" t="str">
        <f t="shared" si="123"/>
        <v>0 г. 0 мес. 0 дн.</v>
      </c>
      <c r="I2274" s="20"/>
      <c r="J2274" s="20"/>
      <c r="O2274" s="20"/>
      <c r="V2274" s="1" t="str">
        <f t="shared" si="124"/>
        <v>0 г. 0 мес. 0 дн.</v>
      </c>
      <c r="W2274" s="69"/>
    </row>
    <row r="2275" spans="1:23" ht="35.1" customHeight="1" x14ac:dyDescent="0.25">
      <c r="A2275" s="1">
        <f t="shared" si="122"/>
        <v>2274</v>
      </c>
      <c r="B2275" s="1"/>
      <c r="C2275" s="39"/>
      <c r="D2275" s="21"/>
      <c r="G2275" s="1"/>
      <c r="H2275" s="11" t="str">
        <f t="shared" si="123"/>
        <v>0 г. 0 мес. 0 дн.</v>
      </c>
      <c r="I2275" s="20"/>
      <c r="J2275" s="20"/>
      <c r="O2275" s="20"/>
      <c r="V2275" s="1" t="str">
        <f t="shared" si="124"/>
        <v>0 г. 0 мес. 0 дн.</v>
      </c>
      <c r="W2275" s="69"/>
    </row>
    <row r="2276" spans="1:23" ht="35.1" customHeight="1" x14ac:dyDescent="0.25">
      <c r="A2276" s="1">
        <f t="shared" si="122"/>
        <v>2275</v>
      </c>
      <c r="B2276" s="1"/>
      <c r="C2276" s="39"/>
      <c r="D2276" s="21"/>
      <c r="G2276" s="1"/>
      <c r="H2276" s="11" t="str">
        <f t="shared" si="123"/>
        <v>0 г. 0 мес. 0 дн.</v>
      </c>
      <c r="I2276" s="20"/>
      <c r="J2276" s="20"/>
      <c r="O2276" s="20"/>
      <c r="V2276" s="1" t="str">
        <f t="shared" si="124"/>
        <v>0 г. 0 мес. 0 дн.</v>
      </c>
      <c r="W2276" s="69"/>
    </row>
    <row r="2277" spans="1:23" ht="35.1" customHeight="1" x14ac:dyDescent="0.25">
      <c r="A2277" s="1">
        <f t="shared" si="122"/>
        <v>2276</v>
      </c>
      <c r="B2277" s="1"/>
      <c r="C2277" s="39"/>
      <c r="D2277" s="21"/>
      <c r="G2277" s="1"/>
      <c r="H2277" s="11" t="str">
        <f t="shared" si="123"/>
        <v>0 г. 0 мес. 0 дн.</v>
      </c>
      <c r="I2277" s="20"/>
      <c r="J2277" s="20"/>
      <c r="O2277" s="20"/>
      <c r="V2277" s="1" t="str">
        <f t="shared" si="124"/>
        <v>0 г. 0 мес. 0 дн.</v>
      </c>
      <c r="W2277" s="69"/>
    </row>
    <row r="2278" spans="1:23" ht="35.1" customHeight="1" x14ac:dyDescent="0.25">
      <c r="A2278" s="1">
        <f t="shared" si="122"/>
        <v>2277</v>
      </c>
      <c r="B2278" s="1"/>
      <c r="C2278" s="39"/>
      <c r="D2278" s="21"/>
      <c r="G2278" s="1"/>
      <c r="H2278" s="11" t="str">
        <f t="shared" si="123"/>
        <v>0 г. 0 мес. 0 дн.</v>
      </c>
      <c r="I2278" s="20"/>
      <c r="J2278" s="20"/>
      <c r="O2278" s="20"/>
      <c r="V2278" s="1" t="str">
        <f t="shared" si="124"/>
        <v>0 г. 0 мес. 0 дн.</v>
      </c>
      <c r="W2278" s="69"/>
    </row>
    <row r="2279" spans="1:23" ht="35.1" customHeight="1" x14ac:dyDescent="0.25">
      <c r="A2279" s="1">
        <f t="shared" si="122"/>
        <v>2278</v>
      </c>
      <c r="B2279" s="1"/>
      <c r="C2279" s="39"/>
      <c r="D2279" s="21"/>
      <c r="G2279" s="1"/>
      <c r="H2279" s="11" t="str">
        <f t="shared" si="123"/>
        <v>0 г. 0 мес. 0 дн.</v>
      </c>
      <c r="I2279" s="20"/>
      <c r="J2279" s="20"/>
      <c r="O2279" s="20"/>
      <c r="V2279" s="1" t="str">
        <f t="shared" si="124"/>
        <v>0 г. 0 мес. 0 дн.</v>
      </c>
      <c r="W2279" s="69"/>
    </row>
    <row r="2280" spans="1:23" ht="35.1" customHeight="1" x14ac:dyDescent="0.25">
      <c r="A2280" s="1">
        <f t="shared" si="122"/>
        <v>2279</v>
      </c>
      <c r="B2280" s="1"/>
      <c r="C2280" s="39"/>
      <c r="D2280" s="21"/>
      <c r="G2280" s="1"/>
      <c r="H2280" s="11" t="str">
        <f t="shared" si="123"/>
        <v>0 г. 0 мес. 0 дн.</v>
      </c>
      <c r="I2280" s="20"/>
      <c r="J2280" s="20"/>
      <c r="O2280" s="20"/>
      <c r="V2280" s="1" t="str">
        <f t="shared" si="124"/>
        <v>0 г. 0 мес. 0 дн.</v>
      </c>
      <c r="W2280" s="69"/>
    </row>
    <row r="2281" spans="1:23" ht="35.1" customHeight="1" x14ac:dyDescent="0.25">
      <c r="A2281" s="1">
        <f t="shared" si="122"/>
        <v>2280</v>
      </c>
      <c r="B2281" s="1"/>
      <c r="C2281" s="39"/>
      <c r="D2281" s="21"/>
      <c r="G2281" s="1"/>
      <c r="H2281" s="11" t="str">
        <f t="shared" si="123"/>
        <v>0 г. 0 мес. 0 дн.</v>
      </c>
      <c r="I2281" s="20"/>
      <c r="J2281" s="20"/>
      <c r="O2281" s="20"/>
      <c r="V2281" s="1" t="str">
        <f t="shared" si="124"/>
        <v>0 г. 0 мес. 0 дн.</v>
      </c>
      <c r="W2281" s="69"/>
    </row>
    <row r="2282" spans="1:23" ht="35.1" customHeight="1" x14ac:dyDescent="0.25">
      <c r="A2282" s="1">
        <f t="shared" si="122"/>
        <v>2281</v>
      </c>
      <c r="B2282" s="1"/>
      <c r="C2282" s="39"/>
      <c r="D2282" s="21"/>
      <c r="G2282" s="1"/>
      <c r="H2282" s="11" t="str">
        <f t="shared" si="123"/>
        <v>0 г. 0 мес. 0 дн.</v>
      </c>
      <c r="I2282" s="20"/>
      <c r="J2282" s="20"/>
      <c r="O2282" s="20"/>
      <c r="V2282" s="1" t="str">
        <f t="shared" si="124"/>
        <v>0 г. 0 мес. 0 дн.</v>
      </c>
      <c r="W2282" s="69"/>
    </row>
    <row r="2283" spans="1:23" ht="35.1" customHeight="1" x14ac:dyDescent="0.25">
      <c r="A2283" s="1">
        <f t="shared" si="122"/>
        <v>2282</v>
      </c>
      <c r="B2283" s="1"/>
      <c r="C2283" s="39"/>
      <c r="D2283" s="21"/>
      <c r="G2283" s="1"/>
      <c r="H2283" s="11" t="str">
        <f t="shared" si="123"/>
        <v>0 г. 0 мес. 0 дн.</v>
      </c>
      <c r="I2283" s="20"/>
      <c r="J2283" s="20"/>
      <c r="O2283" s="20"/>
      <c r="V2283" s="1" t="str">
        <f t="shared" si="124"/>
        <v>0 г. 0 мес. 0 дн.</v>
      </c>
      <c r="W2283" s="69"/>
    </row>
    <row r="2284" spans="1:23" ht="35.1" customHeight="1" x14ac:dyDescent="0.25">
      <c r="A2284" s="1">
        <f t="shared" si="122"/>
        <v>2283</v>
      </c>
      <c r="B2284" s="1"/>
      <c r="C2284" s="39"/>
      <c r="D2284" s="21"/>
      <c r="G2284" s="1"/>
      <c r="H2284" s="11" t="str">
        <f t="shared" si="123"/>
        <v>0 г. 0 мес. 0 дн.</v>
      </c>
      <c r="I2284" s="20"/>
      <c r="J2284" s="20"/>
      <c r="O2284" s="20"/>
      <c r="V2284" s="1" t="str">
        <f t="shared" si="124"/>
        <v>0 г. 0 мес. 0 дн.</v>
      </c>
      <c r="W2284" s="69"/>
    </row>
    <row r="2285" spans="1:23" ht="35.1" customHeight="1" x14ac:dyDescent="0.25">
      <c r="A2285" s="1">
        <f t="shared" si="122"/>
        <v>2284</v>
      </c>
      <c r="B2285" s="1"/>
      <c r="C2285" s="39"/>
      <c r="D2285" s="21"/>
      <c r="G2285" s="1"/>
      <c r="H2285" s="11" t="str">
        <f t="shared" si="123"/>
        <v>0 г. 0 мес. 0 дн.</v>
      </c>
      <c r="I2285" s="20"/>
      <c r="J2285" s="20"/>
      <c r="O2285" s="20"/>
      <c r="V2285" s="1" t="str">
        <f t="shared" si="124"/>
        <v>0 г. 0 мес. 0 дн.</v>
      </c>
      <c r="W2285" s="69"/>
    </row>
    <row r="2286" spans="1:23" ht="35.1" customHeight="1" x14ac:dyDescent="0.25">
      <c r="A2286" s="1">
        <f t="shared" si="122"/>
        <v>2285</v>
      </c>
      <c r="B2286" s="1"/>
      <c r="C2286" s="39"/>
      <c r="D2286" s="21"/>
      <c r="G2286" s="1"/>
      <c r="H2286" s="11" t="str">
        <f t="shared" si="123"/>
        <v>0 г. 0 мес. 0 дн.</v>
      </c>
      <c r="I2286" s="20"/>
      <c r="J2286" s="20"/>
      <c r="O2286" s="20"/>
      <c r="V2286" s="1" t="str">
        <f t="shared" si="124"/>
        <v>0 г. 0 мес. 0 дн.</v>
      </c>
      <c r="W2286" s="69"/>
    </row>
    <row r="2287" spans="1:23" ht="35.1" customHeight="1" x14ac:dyDescent="0.25">
      <c r="A2287" s="1">
        <f t="shared" si="122"/>
        <v>2286</v>
      </c>
      <c r="B2287" s="1"/>
      <c r="C2287" s="39"/>
      <c r="D2287" s="21"/>
      <c r="G2287" s="1"/>
      <c r="H2287" s="11" t="str">
        <f t="shared" si="123"/>
        <v>0 г. 0 мес. 0 дн.</v>
      </c>
      <c r="I2287" s="20"/>
      <c r="J2287" s="20"/>
      <c r="O2287" s="20"/>
      <c r="V2287" s="1" t="str">
        <f t="shared" si="124"/>
        <v>0 г. 0 мес. 0 дн.</v>
      </c>
      <c r="W2287" s="69"/>
    </row>
    <row r="2288" spans="1:23" ht="35.1" customHeight="1" x14ac:dyDescent="0.25">
      <c r="A2288" s="1">
        <f t="shared" si="122"/>
        <v>2287</v>
      </c>
      <c r="B2288" s="1"/>
      <c r="C2288" s="39"/>
      <c r="D2288" s="21"/>
      <c r="G2288" s="1"/>
      <c r="H2288" s="11" t="str">
        <f t="shared" si="123"/>
        <v>0 г. 0 мес. 0 дн.</v>
      </c>
      <c r="I2288" s="20"/>
      <c r="J2288" s="20"/>
      <c r="O2288" s="20"/>
      <c r="V2288" s="1" t="str">
        <f t="shared" si="124"/>
        <v>0 г. 0 мес. 0 дн.</v>
      </c>
      <c r="W2288" s="69"/>
    </row>
    <row r="2289" spans="1:23" ht="35.1" customHeight="1" x14ac:dyDescent="0.25">
      <c r="A2289" s="1">
        <f t="shared" si="122"/>
        <v>2288</v>
      </c>
      <c r="B2289" s="1"/>
      <c r="C2289" s="39"/>
      <c r="D2289" s="21"/>
      <c r="G2289" s="1"/>
      <c r="H2289" s="11" t="str">
        <f t="shared" si="123"/>
        <v>0 г. 0 мес. 0 дн.</v>
      </c>
      <c r="I2289" s="20"/>
      <c r="J2289" s="20"/>
      <c r="O2289" s="20"/>
      <c r="V2289" s="1" t="str">
        <f t="shared" si="124"/>
        <v>0 г. 0 мес. 0 дн.</v>
      </c>
      <c r="W2289" s="69"/>
    </row>
    <row r="2290" spans="1:23" ht="35.1" customHeight="1" x14ac:dyDescent="0.25">
      <c r="A2290" s="1">
        <f t="shared" si="122"/>
        <v>2289</v>
      </c>
      <c r="B2290" s="1"/>
      <c r="C2290" s="39"/>
      <c r="D2290" s="21"/>
      <c r="G2290" s="1"/>
      <c r="H2290" s="11" t="str">
        <f t="shared" si="123"/>
        <v>0 г. 0 мес. 0 дн.</v>
      </c>
      <c r="I2290" s="20"/>
      <c r="J2290" s="20"/>
      <c r="O2290" s="20"/>
      <c r="V2290" s="1" t="str">
        <f t="shared" si="124"/>
        <v>0 г. 0 мес. 0 дн.</v>
      </c>
      <c r="W2290" s="69"/>
    </row>
    <row r="2291" spans="1:23" ht="35.1" customHeight="1" x14ac:dyDescent="0.25">
      <c r="A2291" s="1">
        <f t="shared" si="122"/>
        <v>2290</v>
      </c>
      <c r="B2291" s="1"/>
      <c r="C2291" s="39"/>
      <c r="D2291" s="21"/>
      <c r="G2291" s="1"/>
      <c r="H2291" s="11" t="str">
        <f t="shared" si="123"/>
        <v>0 г. 0 мес. 0 дн.</v>
      </c>
      <c r="I2291" s="20"/>
      <c r="J2291" s="20"/>
      <c r="O2291" s="20"/>
      <c r="V2291" s="1" t="str">
        <f t="shared" si="124"/>
        <v>0 г. 0 мес. 0 дн.</v>
      </c>
      <c r="W2291" s="69"/>
    </row>
    <row r="2292" spans="1:23" ht="35.1" customHeight="1" x14ac:dyDescent="0.25">
      <c r="A2292" s="1">
        <f t="shared" si="122"/>
        <v>2291</v>
      </c>
      <c r="B2292" s="1"/>
      <c r="C2292" s="39"/>
      <c r="D2292" s="21"/>
      <c r="G2292" s="1"/>
      <c r="H2292" s="11" t="str">
        <f t="shared" si="123"/>
        <v>0 г. 0 мес. 0 дн.</v>
      </c>
      <c r="I2292" s="20"/>
      <c r="J2292" s="20"/>
      <c r="O2292" s="20"/>
      <c r="V2292" s="1" t="str">
        <f t="shared" si="124"/>
        <v>0 г. 0 мес. 0 дн.</v>
      </c>
      <c r="W2292" s="69"/>
    </row>
    <row r="2293" spans="1:23" ht="35.1" customHeight="1" x14ac:dyDescent="0.25">
      <c r="A2293" s="1">
        <f t="shared" si="122"/>
        <v>2292</v>
      </c>
      <c r="B2293" s="1"/>
      <c r="C2293" s="39"/>
      <c r="D2293" s="21"/>
      <c r="G2293" s="1"/>
      <c r="H2293" s="11" t="str">
        <f t="shared" si="123"/>
        <v>0 г. 0 мес. 0 дн.</v>
      </c>
      <c r="I2293" s="20"/>
      <c r="J2293" s="20"/>
      <c r="O2293" s="20"/>
      <c r="V2293" s="1" t="str">
        <f t="shared" si="124"/>
        <v>0 г. 0 мес. 0 дн.</v>
      </c>
      <c r="W2293" s="69"/>
    </row>
    <row r="2294" spans="1:23" ht="35.1" customHeight="1" x14ac:dyDescent="0.25">
      <c r="A2294" s="1">
        <f t="shared" si="122"/>
        <v>2293</v>
      </c>
      <c r="B2294" s="1"/>
      <c r="C2294" s="39"/>
      <c r="D2294" s="21"/>
      <c r="G2294" s="1"/>
      <c r="H2294" s="11" t="str">
        <f t="shared" si="123"/>
        <v>0 г. 0 мес. 0 дн.</v>
      </c>
      <c r="I2294" s="20"/>
      <c r="J2294" s="20"/>
      <c r="O2294" s="20"/>
      <c r="V2294" s="1" t="str">
        <f t="shared" si="124"/>
        <v>0 г. 0 мес. 0 дн.</v>
      </c>
      <c r="W2294" s="69"/>
    </row>
    <row r="2295" spans="1:23" ht="35.1" customHeight="1" x14ac:dyDescent="0.25">
      <c r="A2295" s="1">
        <f t="shared" si="122"/>
        <v>2294</v>
      </c>
      <c r="B2295" s="1"/>
      <c r="C2295" s="39"/>
      <c r="D2295" s="21"/>
      <c r="G2295" s="1"/>
      <c r="H2295" s="11" t="str">
        <f t="shared" si="123"/>
        <v>0 г. 0 мес. 0 дн.</v>
      </c>
      <c r="I2295" s="20"/>
      <c r="J2295" s="20"/>
      <c r="O2295" s="20"/>
      <c r="V2295" s="1" t="str">
        <f t="shared" si="124"/>
        <v>0 г. 0 мес. 0 дн.</v>
      </c>
      <c r="W2295" s="69"/>
    </row>
    <row r="2296" spans="1:23" ht="35.1" customHeight="1" x14ac:dyDescent="0.25">
      <c r="A2296" s="1">
        <f t="shared" si="122"/>
        <v>2295</v>
      </c>
      <c r="B2296" s="1"/>
      <c r="C2296" s="39"/>
      <c r="D2296" s="21"/>
      <c r="G2296" s="1"/>
      <c r="H2296" s="11" t="str">
        <f t="shared" si="123"/>
        <v>0 г. 0 мес. 0 дн.</v>
      </c>
      <c r="I2296" s="20"/>
      <c r="J2296" s="20"/>
      <c r="O2296" s="20"/>
      <c r="V2296" s="1" t="str">
        <f t="shared" si="124"/>
        <v>0 г. 0 мес. 0 дн.</v>
      </c>
      <c r="W2296" s="69"/>
    </row>
    <row r="2297" spans="1:23" ht="35.1" customHeight="1" x14ac:dyDescent="0.25">
      <c r="A2297" s="1">
        <f t="shared" si="122"/>
        <v>2296</v>
      </c>
      <c r="B2297" s="1"/>
      <c r="C2297" s="39"/>
      <c r="D2297" s="21"/>
      <c r="G2297" s="1"/>
      <c r="H2297" s="11" t="str">
        <f t="shared" si="123"/>
        <v>0 г. 0 мес. 0 дн.</v>
      </c>
      <c r="I2297" s="20"/>
      <c r="J2297" s="20"/>
      <c r="O2297" s="20"/>
      <c r="V2297" s="1" t="str">
        <f t="shared" si="124"/>
        <v>0 г. 0 мес. 0 дн.</v>
      </c>
      <c r="W2297" s="69"/>
    </row>
    <row r="2298" spans="1:23" ht="35.1" customHeight="1" x14ac:dyDescent="0.25">
      <c r="A2298" s="1">
        <f t="shared" si="122"/>
        <v>2297</v>
      </c>
      <c r="B2298" s="1"/>
      <c r="C2298" s="39"/>
      <c r="D2298" s="21"/>
      <c r="G2298" s="1"/>
      <c r="H2298" s="11" t="str">
        <f t="shared" si="123"/>
        <v>0 г. 0 мес. 0 дн.</v>
      </c>
      <c r="I2298" s="20"/>
      <c r="J2298" s="20"/>
      <c r="O2298" s="20"/>
      <c r="V2298" s="1" t="str">
        <f t="shared" si="124"/>
        <v>0 г. 0 мес. 0 дн.</v>
      </c>
      <c r="W2298" s="69"/>
    </row>
    <row r="2299" spans="1:23" ht="35.1" customHeight="1" x14ac:dyDescent="0.25">
      <c r="A2299" s="1">
        <f t="shared" si="122"/>
        <v>2298</v>
      </c>
      <c r="B2299" s="1"/>
      <c r="C2299" s="39"/>
      <c r="D2299" s="21"/>
      <c r="G2299" s="1"/>
      <c r="H2299" s="11" t="str">
        <f t="shared" si="123"/>
        <v>0 г. 0 мес. 0 дн.</v>
      </c>
      <c r="I2299" s="20"/>
      <c r="J2299" s="20"/>
      <c r="O2299" s="20"/>
      <c r="V2299" s="1" t="str">
        <f t="shared" si="124"/>
        <v>0 г. 0 мес. 0 дн.</v>
      </c>
      <c r="W2299" s="69"/>
    </row>
    <row r="2300" spans="1:23" ht="35.1" customHeight="1" x14ac:dyDescent="0.25">
      <c r="A2300" s="1">
        <f t="shared" si="122"/>
        <v>2299</v>
      </c>
      <c r="B2300" s="1"/>
      <c r="C2300" s="39"/>
      <c r="D2300" s="21"/>
      <c r="G2300" s="1"/>
      <c r="H2300" s="11" t="str">
        <f t="shared" si="123"/>
        <v>0 г. 0 мес. 0 дн.</v>
      </c>
      <c r="I2300" s="20"/>
      <c r="J2300" s="20"/>
      <c r="O2300" s="20"/>
      <c r="V2300" s="1" t="str">
        <f t="shared" si="124"/>
        <v>0 г. 0 мес. 0 дн.</v>
      </c>
      <c r="W2300" s="69"/>
    </row>
    <row r="2301" spans="1:23" ht="35.1" customHeight="1" x14ac:dyDescent="0.25">
      <c r="A2301" s="1">
        <f t="shared" si="122"/>
        <v>2300</v>
      </c>
      <c r="B2301" s="1"/>
      <c r="C2301" s="39"/>
      <c r="D2301" s="21"/>
      <c r="G2301" s="1"/>
      <c r="H2301" s="11" t="str">
        <f t="shared" si="123"/>
        <v>0 г. 0 мес. 0 дн.</v>
      </c>
      <c r="I2301" s="20"/>
      <c r="J2301" s="20"/>
      <c r="O2301" s="20"/>
      <c r="V2301" s="1" t="str">
        <f t="shared" si="124"/>
        <v>0 г. 0 мес. 0 дн.</v>
      </c>
      <c r="W2301" s="69"/>
    </row>
    <row r="2302" spans="1:23" ht="35.1" customHeight="1" x14ac:dyDescent="0.25">
      <c r="A2302" s="1">
        <f t="shared" si="122"/>
        <v>2301</v>
      </c>
      <c r="B2302" s="1"/>
      <c r="C2302" s="39"/>
      <c r="D2302" s="21"/>
      <c r="G2302" s="1"/>
      <c r="H2302" s="11" t="str">
        <f t="shared" si="123"/>
        <v>0 г. 0 мес. 0 дн.</v>
      </c>
      <c r="I2302" s="20"/>
      <c r="J2302" s="20"/>
      <c r="O2302" s="20"/>
      <c r="V2302" s="1" t="str">
        <f t="shared" si="124"/>
        <v>0 г. 0 мес. 0 дн.</v>
      </c>
      <c r="W2302" s="69"/>
    </row>
    <row r="2303" spans="1:23" ht="35.1" customHeight="1" x14ac:dyDescent="0.25">
      <c r="A2303" s="1">
        <f t="shared" si="122"/>
        <v>2302</v>
      </c>
      <c r="B2303" s="1"/>
      <c r="C2303" s="39"/>
      <c r="D2303" s="21"/>
      <c r="G2303" s="1"/>
      <c r="H2303" s="11" t="str">
        <f t="shared" si="123"/>
        <v>0 г. 0 мес. 0 дн.</v>
      </c>
      <c r="I2303" s="20"/>
      <c r="J2303" s="20"/>
      <c r="O2303" s="20"/>
      <c r="V2303" s="1" t="str">
        <f t="shared" si="124"/>
        <v>0 г. 0 мес. 0 дн.</v>
      </c>
      <c r="W2303" s="69"/>
    </row>
    <row r="2304" spans="1:23" ht="35.1" customHeight="1" x14ac:dyDescent="0.25">
      <c r="A2304" s="1">
        <f t="shared" si="122"/>
        <v>2303</v>
      </c>
      <c r="B2304" s="1"/>
      <c r="C2304" s="39"/>
      <c r="D2304" s="21"/>
      <c r="G2304" s="1"/>
      <c r="H2304" s="11" t="str">
        <f t="shared" si="123"/>
        <v>0 г. 0 мес. 0 дн.</v>
      </c>
      <c r="I2304" s="20"/>
      <c r="J2304" s="20"/>
      <c r="O2304" s="20"/>
      <c r="V2304" s="1" t="str">
        <f t="shared" si="124"/>
        <v>0 г. 0 мес. 0 дн.</v>
      </c>
      <c r="W2304" s="69"/>
    </row>
    <row r="2305" spans="1:23" ht="35.1" customHeight="1" x14ac:dyDescent="0.25">
      <c r="A2305" s="1">
        <f t="shared" ref="A2305:A2368" si="125">ROW(A2304)</f>
        <v>2304</v>
      </c>
      <c r="B2305" s="1"/>
      <c r="C2305" s="39"/>
      <c r="D2305" s="21"/>
      <c r="G2305" s="1"/>
      <c r="H2305" s="11" t="str">
        <f t="shared" ref="H2305:H2368" si="126">DATEDIF(G2305,D2305,"y") &amp; " г. " &amp; DATEDIF(G2305,D2305,"ym") &amp; " мес. " &amp; DATEDIF(G2305,D2305,"md") &amp; " дн."</f>
        <v>0 г. 0 мес. 0 дн.</v>
      </c>
      <c r="I2305" s="20"/>
      <c r="J2305" s="20"/>
      <c r="O2305" s="20"/>
      <c r="V2305" s="1" t="str">
        <f t="shared" si="124"/>
        <v>0 г. 0 мес. 0 дн.</v>
      </c>
      <c r="W2305" s="69"/>
    </row>
    <row r="2306" spans="1:23" ht="35.1" customHeight="1" x14ac:dyDescent="0.25">
      <c r="A2306" s="1">
        <f t="shared" si="125"/>
        <v>2305</v>
      </c>
      <c r="B2306" s="1"/>
      <c r="C2306" s="39"/>
      <c r="D2306" s="21"/>
      <c r="G2306" s="1"/>
      <c r="H2306" s="11" t="str">
        <f t="shared" si="126"/>
        <v>0 г. 0 мес. 0 дн.</v>
      </c>
      <c r="I2306" s="20"/>
      <c r="J2306" s="20"/>
      <c r="O2306" s="20"/>
      <c r="V2306" s="1" t="str">
        <f t="shared" si="124"/>
        <v>0 г. 0 мес. 0 дн.</v>
      </c>
      <c r="W2306" s="69"/>
    </row>
    <row r="2307" spans="1:23" ht="35.1" customHeight="1" x14ac:dyDescent="0.25">
      <c r="A2307" s="1">
        <f t="shared" si="125"/>
        <v>2306</v>
      </c>
      <c r="B2307" s="1"/>
      <c r="C2307" s="39"/>
      <c r="D2307" s="21"/>
      <c r="G2307" s="1"/>
      <c r="H2307" s="11" t="str">
        <f t="shared" si="126"/>
        <v>0 г. 0 мес. 0 дн.</v>
      </c>
      <c r="I2307" s="20"/>
      <c r="J2307" s="20"/>
      <c r="O2307" s="20"/>
      <c r="V2307" s="1" t="str">
        <f t="shared" si="124"/>
        <v>0 г. 0 мес. 0 дн.</v>
      </c>
      <c r="W2307" s="69"/>
    </row>
    <row r="2308" spans="1:23" ht="35.1" customHeight="1" x14ac:dyDescent="0.25">
      <c r="A2308" s="1">
        <f t="shared" si="125"/>
        <v>2307</v>
      </c>
      <c r="B2308" s="1"/>
      <c r="C2308" s="39"/>
      <c r="D2308" s="21"/>
      <c r="G2308" s="1"/>
      <c r="H2308" s="11" t="str">
        <f t="shared" si="126"/>
        <v>0 г. 0 мес. 0 дн.</v>
      </c>
      <c r="I2308" s="20"/>
      <c r="J2308" s="20"/>
      <c r="O2308" s="20"/>
      <c r="V2308" s="1" t="str">
        <f t="shared" si="124"/>
        <v>0 г. 0 мес. 0 дн.</v>
      </c>
      <c r="W2308" s="69"/>
    </row>
    <row r="2309" spans="1:23" ht="35.1" customHeight="1" x14ac:dyDescent="0.25">
      <c r="A2309" s="1">
        <f t="shared" si="125"/>
        <v>2308</v>
      </c>
      <c r="B2309" s="1"/>
      <c r="C2309" s="39"/>
      <c r="D2309" s="21"/>
      <c r="G2309" s="1"/>
      <c r="H2309" s="11" t="str">
        <f t="shared" si="126"/>
        <v>0 г. 0 мес. 0 дн.</v>
      </c>
      <c r="I2309" s="20"/>
      <c r="J2309" s="20"/>
      <c r="O2309" s="20"/>
      <c r="V2309" s="1" t="str">
        <f t="shared" si="124"/>
        <v>0 г. 0 мес. 0 дн.</v>
      </c>
      <c r="W2309" s="69"/>
    </row>
    <row r="2310" spans="1:23" ht="35.1" customHeight="1" x14ac:dyDescent="0.25">
      <c r="A2310" s="1">
        <f t="shared" si="125"/>
        <v>2309</v>
      </c>
      <c r="B2310" s="1"/>
      <c r="C2310" s="39"/>
      <c r="D2310" s="21"/>
      <c r="G2310" s="1"/>
      <c r="H2310" s="11" t="str">
        <f t="shared" si="126"/>
        <v>0 г. 0 мес. 0 дн.</v>
      </c>
      <c r="I2310" s="20"/>
      <c r="J2310" s="20"/>
      <c r="O2310" s="20"/>
      <c r="V2310" s="1" t="str">
        <f t="shared" si="124"/>
        <v>0 г. 0 мес. 0 дн.</v>
      </c>
      <c r="W2310" s="69"/>
    </row>
    <row r="2311" spans="1:23" ht="35.1" customHeight="1" x14ac:dyDescent="0.25">
      <c r="A2311" s="1">
        <f t="shared" si="125"/>
        <v>2310</v>
      </c>
      <c r="B2311" s="1"/>
      <c r="C2311" s="39"/>
      <c r="D2311" s="21"/>
      <c r="G2311" s="1"/>
      <c r="H2311" s="11" t="str">
        <f t="shared" si="126"/>
        <v>0 г. 0 мес. 0 дн.</v>
      </c>
      <c r="I2311" s="20"/>
      <c r="J2311" s="20"/>
      <c r="O2311" s="20"/>
      <c r="V2311" s="1" t="str">
        <f t="shared" si="124"/>
        <v>0 г. 0 мес. 0 дн.</v>
      </c>
      <c r="W2311" s="69"/>
    </row>
    <row r="2312" spans="1:23" ht="35.1" customHeight="1" x14ac:dyDescent="0.25">
      <c r="A2312" s="1">
        <f t="shared" si="125"/>
        <v>2311</v>
      </c>
      <c r="B2312" s="1"/>
      <c r="C2312" s="39"/>
      <c r="D2312" s="21"/>
      <c r="G2312" s="1"/>
      <c r="H2312" s="11" t="str">
        <f t="shared" si="126"/>
        <v>0 г. 0 мес. 0 дн.</v>
      </c>
      <c r="I2312" s="20"/>
      <c r="J2312" s="20"/>
      <c r="O2312" s="20"/>
      <c r="V2312" s="1" t="str">
        <f t="shared" si="124"/>
        <v>0 г. 0 мес. 0 дн.</v>
      </c>
      <c r="W2312" s="69"/>
    </row>
    <row r="2313" spans="1:23" ht="35.1" customHeight="1" x14ac:dyDescent="0.25">
      <c r="A2313" s="1">
        <f t="shared" si="125"/>
        <v>2312</v>
      </c>
      <c r="B2313" s="1"/>
      <c r="C2313" s="39"/>
      <c r="D2313" s="21"/>
      <c r="G2313" s="1"/>
      <c r="H2313" s="11" t="str">
        <f t="shared" si="126"/>
        <v>0 г. 0 мес. 0 дн.</v>
      </c>
      <c r="I2313" s="20"/>
      <c r="J2313" s="20"/>
      <c r="O2313" s="20"/>
      <c r="V2313" s="1" t="str">
        <f t="shared" si="124"/>
        <v>0 г. 0 мес. 0 дн.</v>
      </c>
      <c r="W2313" s="69"/>
    </row>
    <row r="2314" spans="1:23" ht="35.1" customHeight="1" x14ac:dyDescent="0.25">
      <c r="A2314" s="1">
        <f t="shared" si="125"/>
        <v>2313</v>
      </c>
      <c r="B2314" s="1"/>
      <c r="C2314" s="39"/>
      <c r="D2314" s="21"/>
      <c r="G2314" s="1"/>
      <c r="H2314" s="11" t="str">
        <f t="shared" si="126"/>
        <v>0 г. 0 мес. 0 дн.</v>
      </c>
      <c r="I2314" s="20"/>
      <c r="J2314" s="20"/>
      <c r="O2314" s="20"/>
      <c r="V2314" s="1" t="str">
        <f t="shared" si="124"/>
        <v>0 г. 0 мес. 0 дн.</v>
      </c>
      <c r="W2314" s="69"/>
    </row>
    <row r="2315" spans="1:23" ht="35.1" customHeight="1" x14ac:dyDescent="0.25">
      <c r="A2315" s="1">
        <f t="shared" si="125"/>
        <v>2314</v>
      </c>
      <c r="B2315" s="1"/>
      <c r="C2315" s="39"/>
      <c r="D2315" s="21"/>
      <c r="G2315" s="1"/>
      <c r="H2315" s="11" t="str">
        <f t="shared" si="126"/>
        <v>0 г. 0 мес. 0 дн.</v>
      </c>
      <c r="I2315" s="20"/>
      <c r="J2315" s="20"/>
      <c r="O2315" s="20"/>
      <c r="V2315" s="1" t="str">
        <f t="shared" si="124"/>
        <v>0 г. 0 мес. 0 дн.</v>
      </c>
      <c r="W2315" s="69"/>
    </row>
    <row r="2316" spans="1:23" ht="35.1" customHeight="1" x14ac:dyDescent="0.25">
      <c r="A2316" s="1">
        <f t="shared" si="125"/>
        <v>2315</v>
      </c>
      <c r="B2316" s="1"/>
      <c r="C2316" s="39"/>
      <c r="D2316" s="21"/>
      <c r="G2316" s="1"/>
      <c r="H2316" s="11" t="str">
        <f t="shared" si="126"/>
        <v>0 г. 0 мес. 0 дн.</v>
      </c>
      <c r="I2316" s="20"/>
      <c r="J2316" s="20"/>
      <c r="O2316" s="20"/>
      <c r="V2316" s="1" t="str">
        <f t="shared" si="124"/>
        <v>0 г. 0 мес. 0 дн.</v>
      </c>
      <c r="W2316" s="69"/>
    </row>
    <row r="2317" spans="1:23" ht="35.1" customHeight="1" x14ac:dyDescent="0.25">
      <c r="A2317" s="1">
        <f t="shared" si="125"/>
        <v>2316</v>
      </c>
      <c r="B2317" s="1"/>
      <c r="C2317" s="39"/>
      <c r="D2317" s="21"/>
      <c r="G2317" s="1"/>
      <c r="H2317" s="11" t="str">
        <f t="shared" si="126"/>
        <v>0 г. 0 мес. 0 дн.</v>
      </c>
      <c r="I2317" s="20"/>
      <c r="J2317" s="20"/>
      <c r="O2317" s="20"/>
      <c r="V2317" s="1" t="str">
        <f t="shared" si="124"/>
        <v>0 г. 0 мес. 0 дн.</v>
      </c>
      <c r="W2317" s="69"/>
    </row>
    <row r="2318" spans="1:23" ht="35.1" customHeight="1" x14ac:dyDescent="0.25">
      <c r="A2318" s="1">
        <f t="shared" si="125"/>
        <v>2317</v>
      </c>
      <c r="B2318" s="1"/>
      <c r="C2318" s="39"/>
      <c r="D2318" s="21"/>
      <c r="G2318" s="1"/>
      <c r="H2318" s="11" t="str">
        <f t="shared" si="126"/>
        <v>0 г. 0 мес. 0 дн.</v>
      </c>
      <c r="I2318" s="20"/>
      <c r="J2318" s="20"/>
      <c r="O2318" s="20"/>
      <c r="V2318" s="1" t="str">
        <f t="shared" si="124"/>
        <v>0 г. 0 мес. 0 дн.</v>
      </c>
      <c r="W2318" s="69"/>
    </row>
    <row r="2319" spans="1:23" ht="35.1" customHeight="1" x14ac:dyDescent="0.25">
      <c r="A2319" s="1">
        <f t="shared" si="125"/>
        <v>2318</v>
      </c>
      <c r="B2319" s="1"/>
      <c r="C2319" s="39"/>
      <c r="D2319" s="21"/>
      <c r="G2319" s="1"/>
      <c r="H2319" s="11" t="str">
        <f t="shared" si="126"/>
        <v>0 г. 0 мес. 0 дн.</v>
      </c>
      <c r="I2319" s="20"/>
      <c r="J2319" s="20"/>
      <c r="O2319" s="20"/>
      <c r="V2319" s="1" t="str">
        <f t="shared" si="124"/>
        <v>0 г. 0 мес. 0 дн.</v>
      </c>
      <c r="W2319" s="69"/>
    </row>
    <row r="2320" spans="1:23" ht="35.1" customHeight="1" x14ac:dyDescent="0.25">
      <c r="A2320" s="1">
        <f t="shared" si="125"/>
        <v>2319</v>
      </c>
      <c r="B2320" s="1"/>
      <c r="C2320" s="39"/>
      <c r="D2320" s="21"/>
      <c r="G2320" s="1"/>
      <c r="H2320" s="11" t="str">
        <f t="shared" si="126"/>
        <v>0 г. 0 мес. 0 дн.</v>
      </c>
      <c r="I2320" s="20"/>
      <c r="J2320" s="20"/>
      <c r="O2320" s="20"/>
      <c r="V2320" s="1" t="str">
        <f t="shared" si="124"/>
        <v>0 г. 0 мес. 0 дн.</v>
      </c>
      <c r="W2320" s="69"/>
    </row>
    <row r="2321" spans="1:23" ht="35.1" customHeight="1" x14ac:dyDescent="0.25">
      <c r="A2321" s="1">
        <f t="shared" si="125"/>
        <v>2320</v>
      </c>
      <c r="B2321" s="1"/>
      <c r="C2321" s="39"/>
      <c r="D2321" s="21"/>
      <c r="G2321" s="1"/>
      <c r="H2321" s="11" t="str">
        <f t="shared" si="126"/>
        <v>0 г. 0 мес. 0 дн.</v>
      </c>
      <c r="I2321" s="20"/>
      <c r="J2321" s="20"/>
      <c r="O2321" s="20"/>
      <c r="V2321" s="1" t="str">
        <f t="shared" si="124"/>
        <v>0 г. 0 мес. 0 дн.</v>
      </c>
      <c r="W2321" s="69"/>
    </row>
    <row r="2322" spans="1:23" ht="35.1" customHeight="1" x14ac:dyDescent="0.25">
      <c r="A2322" s="1">
        <f t="shared" si="125"/>
        <v>2321</v>
      </c>
      <c r="B2322" s="1"/>
      <c r="C2322" s="39"/>
      <c r="D2322" s="21"/>
      <c r="G2322" s="1"/>
      <c r="H2322" s="11" t="str">
        <f t="shared" si="126"/>
        <v>0 г. 0 мес. 0 дн.</v>
      </c>
      <c r="I2322" s="20"/>
      <c r="J2322" s="20"/>
      <c r="O2322" s="20"/>
      <c r="V2322" s="1" t="str">
        <f t="shared" si="124"/>
        <v>0 г. 0 мес. 0 дн.</v>
      </c>
      <c r="W2322" s="69"/>
    </row>
    <row r="2323" spans="1:23" ht="35.1" customHeight="1" x14ac:dyDescent="0.25">
      <c r="A2323" s="1">
        <f t="shared" si="125"/>
        <v>2322</v>
      </c>
      <c r="B2323" s="1"/>
      <c r="C2323" s="39"/>
      <c r="D2323" s="21"/>
      <c r="G2323" s="1"/>
      <c r="H2323" s="11" t="str">
        <f t="shared" si="126"/>
        <v>0 г. 0 мес. 0 дн.</v>
      </c>
      <c r="I2323" s="20"/>
      <c r="J2323" s="20"/>
      <c r="O2323" s="20"/>
      <c r="V2323" s="1" t="str">
        <f t="shared" si="124"/>
        <v>0 г. 0 мес. 0 дн.</v>
      </c>
      <c r="W2323" s="69"/>
    </row>
    <row r="2324" spans="1:23" ht="35.1" customHeight="1" x14ac:dyDescent="0.25">
      <c r="A2324" s="1">
        <f t="shared" si="125"/>
        <v>2323</v>
      </c>
      <c r="B2324" s="1"/>
      <c r="C2324" s="39"/>
      <c r="D2324" s="21"/>
      <c r="G2324" s="1"/>
      <c r="H2324" s="11" t="str">
        <f t="shared" si="126"/>
        <v>0 г. 0 мес. 0 дн.</v>
      </c>
      <c r="I2324" s="20"/>
      <c r="J2324" s="20"/>
      <c r="O2324" s="20"/>
      <c r="V2324" s="1" t="str">
        <f t="shared" si="124"/>
        <v>0 г. 0 мес. 0 дн.</v>
      </c>
      <c r="W2324" s="69"/>
    </row>
    <row r="2325" spans="1:23" ht="35.1" customHeight="1" x14ac:dyDescent="0.25">
      <c r="A2325" s="1">
        <f t="shared" si="125"/>
        <v>2324</v>
      </c>
      <c r="B2325" s="1"/>
      <c r="C2325" s="39"/>
      <c r="D2325" s="21"/>
      <c r="G2325" s="1"/>
      <c r="H2325" s="11" t="str">
        <f t="shared" si="126"/>
        <v>0 г. 0 мес. 0 дн.</v>
      </c>
      <c r="I2325" s="20"/>
      <c r="J2325" s="20"/>
      <c r="O2325" s="20"/>
      <c r="V2325" s="1" t="str">
        <f t="shared" si="124"/>
        <v>0 г. 0 мес. 0 дн.</v>
      </c>
      <c r="W2325" s="69"/>
    </row>
    <row r="2326" spans="1:23" ht="35.1" customHeight="1" x14ac:dyDescent="0.25">
      <c r="A2326" s="1">
        <f t="shared" si="125"/>
        <v>2325</v>
      </c>
      <c r="B2326" s="1"/>
      <c r="C2326" s="39"/>
      <c r="D2326" s="21"/>
      <c r="G2326" s="1"/>
      <c r="H2326" s="11" t="str">
        <f t="shared" si="126"/>
        <v>0 г. 0 мес. 0 дн.</v>
      </c>
      <c r="I2326" s="20"/>
      <c r="J2326" s="20"/>
      <c r="O2326" s="20"/>
      <c r="V2326" s="1" t="str">
        <f t="shared" si="124"/>
        <v>0 г. 0 мес. 0 дн.</v>
      </c>
      <c r="W2326" s="69"/>
    </row>
    <row r="2327" spans="1:23" ht="35.1" customHeight="1" x14ac:dyDescent="0.25">
      <c r="A2327" s="1">
        <f t="shared" si="125"/>
        <v>2326</v>
      </c>
      <c r="B2327" s="1"/>
      <c r="C2327" s="39"/>
      <c r="D2327" s="21"/>
      <c r="G2327" s="1"/>
      <c r="H2327" s="11" t="str">
        <f t="shared" si="126"/>
        <v>0 г. 0 мес. 0 дн.</v>
      </c>
      <c r="I2327" s="20"/>
      <c r="J2327" s="20"/>
      <c r="O2327" s="20"/>
      <c r="V2327" s="1" t="str">
        <f t="shared" si="124"/>
        <v>0 г. 0 мес. 0 дн.</v>
      </c>
      <c r="W2327" s="69"/>
    </row>
    <row r="2328" spans="1:23" ht="35.1" customHeight="1" x14ac:dyDescent="0.25">
      <c r="A2328" s="1">
        <f t="shared" si="125"/>
        <v>2327</v>
      </c>
      <c r="B2328" s="1"/>
      <c r="C2328" s="39"/>
      <c r="D2328" s="21"/>
      <c r="G2328" s="1"/>
      <c r="H2328" s="11" t="str">
        <f t="shared" si="126"/>
        <v>0 г. 0 мес. 0 дн.</v>
      </c>
      <c r="I2328" s="20"/>
      <c r="J2328" s="20"/>
      <c r="O2328" s="20"/>
      <c r="V2328" s="1" t="str">
        <f t="shared" si="124"/>
        <v>0 г. 0 мес. 0 дн.</v>
      </c>
      <c r="W2328" s="69"/>
    </row>
    <row r="2329" spans="1:23" ht="35.1" customHeight="1" x14ac:dyDescent="0.25">
      <c r="A2329" s="1">
        <f t="shared" si="125"/>
        <v>2328</v>
      </c>
      <c r="B2329" s="1"/>
      <c r="C2329" s="39"/>
      <c r="D2329" s="21"/>
      <c r="G2329" s="1"/>
      <c r="H2329" s="11" t="str">
        <f t="shared" si="126"/>
        <v>0 г. 0 мес. 0 дн.</v>
      </c>
      <c r="I2329" s="20"/>
      <c r="J2329" s="20"/>
      <c r="O2329" s="20"/>
      <c r="V2329" s="1" t="str">
        <f t="shared" ref="V2329:V2392" si="127">DATEDIF(D2329,T2329,"y") &amp; " г. " &amp; DATEDIF(D2329,T2329,"ym") &amp; " мес. " &amp; DATEDIF(D2329,T2329,"md") &amp; " дн."</f>
        <v>0 г. 0 мес. 0 дн.</v>
      </c>
      <c r="W2329" s="69"/>
    </row>
    <row r="2330" spans="1:23" ht="35.1" customHeight="1" x14ac:dyDescent="0.25">
      <c r="A2330" s="1">
        <f t="shared" si="125"/>
        <v>2329</v>
      </c>
      <c r="B2330" s="1"/>
      <c r="C2330" s="39"/>
      <c r="D2330" s="21"/>
      <c r="G2330" s="1"/>
      <c r="H2330" s="11" t="str">
        <f t="shared" si="126"/>
        <v>0 г. 0 мес. 0 дн.</v>
      </c>
      <c r="I2330" s="20"/>
      <c r="J2330" s="20"/>
      <c r="O2330" s="20"/>
      <c r="V2330" s="1" t="str">
        <f t="shared" si="127"/>
        <v>0 г. 0 мес. 0 дн.</v>
      </c>
      <c r="W2330" s="69"/>
    </row>
    <row r="2331" spans="1:23" ht="35.1" customHeight="1" x14ac:dyDescent="0.25">
      <c r="A2331" s="1">
        <f t="shared" si="125"/>
        <v>2330</v>
      </c>
      <c r="B2331" s="1"/>
      <c r="C2331" s="39"/>
      <c r="D2331" s="21"/>
      <c r="G2331" s="1"/>
      <c r="H2331" s="11" t="str">
        <f t="shared" si="126"/>
        <v>0 г. 0 мес. 0 дн.</v>
      </c>
      <c r="I2331" s="20"/>
      <c r="J2331" s="20"/>
      <c r="O2331" s="20"/>
      <c r="V2331" s="1" t="str">
        <f t="shared" si="127"/>
        <v>0 г. 0 мес. 0 дн.</v>
      </c>
      <c r="W2331" s="69"/>
    </row>
    <row r="2332" spans="1:23" ht="35.1" customHeight="1" x14ac:dyDescent="0.25">
      <c r="A2332" s="1">
        <f t="shared" si="125"/>
        <v>2331</v>
      </c>
      <c r="B2332" s="1"/>
      <c r="C2332" s="39"/>
      <c r="D2332" s="21"/>
      <c r="G2332" s="1"/>
      <c r="H2332" s="11" t="str">
        <f t="shared" si="126"/>
        <v>0 г. 0 мес. 0 дн.</v>
      </c>
      <c r="I2332" s="20"/>
      <c r="J2332" s="20"/>
      <c r="O2332" s="20"/>
      <c r="V2332" s="1" t="str">
        <f t="shared" si="127"/>
        <v>0 г. 0 мес. 0 дн.</v>
      </c>
      <c r="W2332" s="69"/>
    </row>
    <row r="2333" spans="1:23" ht="35.1" customHeight="1" x14ac:dyDescent="0.25">
      <c r="A2333" s="1">
        <f t="shared" si="125"/>
        <v>2332</v>
      </c>
      <c r="B2333" s="1"/>
      <c r="C2333" s="39"/>
      <c r="D2333" s="21"/>
      <c r="G2333" s="1"/>
      <c r="H2333" s="11" t="str">
        <f t="shared" si="126"/>
        <v>0 г. 0 мес. 0 дн.</v>
      </c>
      <c r="I2333" s="20"/>
      <c r="J2333" s="20"/>
      <c r="O2333" s="20"/>
      <c r="V2333" s="1" t="str">
        <f t="shared" si="127"/>
        <v>0 г. 0 мес. 0 дн.</v>
      </c>
      <c r="W2333" s="69"/>
    </row>
    <row r="2334" spans="1:23" ht="35.1" customHeight="1" x14ac:dyDescent="0.25">
      <c r="A2334" s="1">
        <f t="shared" si="125"/>
        <v>2333</v>
      </c>
      <c r="B2334" s="1"/>
      <c r="C2334" s="39"/>
      <c r="D2334" s="21"/>
      <c r="G2334" s="1"/>
      <c r="H2334" s="11" t="str">
        <f t="shared" si="126"/>
        <v>0 г. 0 мес. 0 дн.</v>
      </c>
      <c r="I2334" s="20"/>
      <c r="J2334" s="20"/>
      <c r="O2334" s="20"/>
      <c r="V2334" s="1" t="str">
        <f t="shared" si="127"/>
        <v>0 г. 0 мес. 0 дн.</v>
      </c>
      <c r="W2334" s="69"/>
    </row>
    <row r="2335" spans="1:23" ht="35.1" customHeight="1" x14ac:dyDescent="0.25">
      <c r="A2335" s="1">
        <f t="shared" si="125"/>
        <v>2334</v>
      </c>
      <c r="B2335" s="1"/>
      <c r="C2335" s="39"/>
      <c r="D2335" s="21"/>
      <c r="G2335" s="1"/>
      <c r="H2335" s="11" t="str">
        <f t="shared" si="126"/>
        <v>0 г. 0 мес. 0 дн.</v>
      </c>
      <c r="I2335" s="20"/>
      <c r="J2335" s="20"/>
      <c r="O2335" s="20"/>
      <c r="V2335" s="1" t="str">
        <f t="shared" si="127"/>
        <v>0 г. 0 мес. 0 дн.</v>
      </c>
      <c r="W2335" s="69"/>
    </row>
    <row r="2336" spans="1:23" ht="35.1" customHeight="1" x14ac:dyDescent="0.25">
      <c r="A2336" s="1">
        <f t="shared" si="125"/>
        <v>2335</v>
      </c>
      <c r="B2336" s="1"/>
      <c r="C2336" s="39"/>
      <c r="D2336" s="21"/>
      <c r="G2336" s="1"/>
      <c r="H2336" s="11" t="str">
        <f t="shared" si="126"/>
        <v>0 г. 0 мес. 0 дн.</v>
      </c>
      <c r="I2336" s="20"/>
      <c r="J2336" s="20"/>
      <c r="O2336" s="20"/>
      <c r="V2336" s="1" t="str">
        <f t="shared" si="127"/>
        <v>0 г. 0 мес. 0 дн.</v>
      </c>
      <c r="W2336" s="69"/>
    </row>
    <row r="2337" spans="1:23" ht="35.1" customHeight="1" x14ac:dyDescent="0.25">
      <c r="A2337" s="1">
        <f t="shared" si="125"/>
        <v>2336</v>
      </c>
      <c r="B2337" s="1"/>
      <c r="C2337" s="39"/>
      <c r="D2337" s="21"/>
      <c r="G2337" s="1"/>
      <c r="H2337" s="11" t="str">
        <f t="shared" si="126"/>
        <v>0 г. 0 мес. 0 дн.</v>
      </c>
      <c r="I2337" s="20"/>
      <c r="J2337" s="20"/>
      <c r="O2337" s="20"/>
      <c r="V2337" s="1" t="str">
        <f t="shared" si="127"/>
        <v>0 г. 0 мес. 0 дн.</v>
      </c>
      <c r="W2337" s="69"/>
    </row>
    <row r="2338" spans="1:23" ht="35.1" customHeight="1" x14ac:dyDescent="0.25">
      <c r="A2338" s="1">
        <f t="shared" si="125"/>
        <v>2337</v>
      </c>
      <c r="B2338" s="1"/>
      <c r="C2338" s="39"/>
      <c r="D2338" s="21"/>
      <c r="G2338" s="1"/>
      <c r="H2338" s="11" t="str">
        <f t="shared" si="126"/>
        <v>0 г. 0 мес. 0 дн.</v>
      </c>
      <c r="I2338" s="20"/>
      <c r="J2338" s="20"/>
      <c r="O2338" s="20"/>
      <c r="V2338" s="1" t="str">
        <f t="shared" si="127"/>
        <v>0 г. 0 мес. 0 дн.</v>
      </c>
      <c r="W2338" s="69"/>
    </row>
    <row r="2339" spans="1:23" ht="35.1" customHeight="1" x14ac:dyDescent="0.25">
      <c r="A2339" s="1">
        <f t="shared" si="125"/>
        <v>2338</v>
      </c>
      <c r="B2339" s="1"/>
      <c r="C2339" s="39"/>
      <c r="D2339" s="21"/>
      <c r="G2339" s="1"/>
      <c r="H2339" s="11" t="str">
        <f t="shared" si="126"/>
        <v>0 г. 0 мес. 0 дн.</v>
      </c>
      <c r="I2339" s="20"/>
      <c r="J2339" s="20"/>
      <c r="O2339" s="20"/>
      <c r="V2339" s="1" t="str">
        <f t="shared" si="127"/>
        <v>0 г. 0 мес. 0 дн.</v>
      </c>
      <c r="W2339" s="69"/>
    </row>
    <row r="2340" spans="1:23" ht="35.1" customHeight="1" x14ac:dyDescent="0.25">
      <c r="A2340" s="1">
        <f t="shared" si="125"/>
        <v>2339</v>
      </c>
      <c r="B2340" s="1"/>
      <c r="C2340" s="39"/>
      <c r="D2340" s="21"/>
      <c r="G2340" s="1"/>
      <c r="H2340" s="11" t="str">
        <f t="shared" si="126"/>
        <v>0 г. 0 мес. 0 дн.</v>
      </c>
      <c r="I2340" s="20"/>
      <c r="J2340" s="20"/>
      <c r="O2340" s="20"/>
      <c r="V2340" s="1" t="str">
        <f t="shared" si="127"/>
        <v>0 г. 0 мес. 0 дн.</v>
      </c>
      <c r="W2340" s="69"/>
    </row>
    <row r="2341" spans="1:23" ht="35.1" customHeight="1" x14ac:dyDescent="0.25">
      <c r="A2341" s="1">
        <f t="shared" si="125"/>
        <v>2340</v>
      </c>
      <c r="B2341" s="1"/>
      <c r="C2341" s="39"/>
      <c r="D2341" s="21"/>
      <c r="G2341" s="1"/>
      <c r="H2341" s="11" t="str">
        <f t="shared" si="126"/>
        <v>0 г. 0 мес. 0 дн.</v>
      </c>
      <c r="I2341" s="20"/>
      <c r="J2341" s="20"/>
      <c r="O2341" s="20"/>
      <c r="V2341" s="1" t="str">
        <f t="shared" si="127"/>
        <v>0 г. 0 мес. 0 дн.</v>
      </c>
      <c r="W2341" s="69"/>
    </row>
    <row r="2342" spans="1:23" ht="35.1" customHeight="1" x14ac:dyDescent="0.25">
      <c r="A2342" s="1">
        <f t="shared" si="125"/>
        <v>2341</v>
      </c>
      <c r="B2342" s="1"/>
      <c r="C2342" s="39"/>
      <c r="D2342" s="21"/>
      <c r="G2342" s="1"/>
      <c r="H2342" s="11" t="str">
        <f t="shared" si="126"/>
        <v>0 г. 0 мес. 0 дн.</v>
      </c>
      <c r="I2342" s="20"/>
      <c r="J2342" s="20"/>
      <c r="O2342" s="20"/>
      <c r="V2342" s="1" t="str">
        <f t="shared" si="127"/>
        <v>0 г. 0 мес. 0 дн.</v>
      </c>
      <c r="W2342" s="69"/>
    </row>
    <row r="2343" spans="1:23" ht="35.1" customHeight="1" x14ac:dyDescent="0.25">
      <c r="A2343" s="1">
        <f t="shared" si="125"/>
        <v>2342</v>
      </c>
      <c r="B2343" s="1"/>
      <c r="C2343" s="39"/>
      <c r="D2343" s="21"/>
      <c r="G2343" s="1"/>
      <c r="H2343" s="11" t="str">
        <f t="shared" si="126"/>
        <v>0 г. 0 мес. 0 дн.</v>
      </c>
      <c r="I2343" s="20"/>
      <c r="J2343" s="20"/>
      <c r="O2343" s="20"/>
      <c r="V2343" s="1" t="str">
        <f t="shared" si="127"/>
        <v>0 г. 0 мес. 0 дн.</v>
      </c>
      <c r="W2343" s="69"/>
    </row>
    <row r="2344" spans="1:23" ht="35.1" customHeight="1" x14ac:dyDescent="0.25">
      <c r="A2344" s="1">
        <f t="shared" si="125"/>
        <v>2343</v>
      </c>
      <c r="B2344" s="1"/>
      <c r="C2344" s="39"/>
      <c r="D2344" s="21"/>
      <c r="G2344" s="1"/>
      <c r="H2344" s="11" t="str">
        <f t="shared" si="126"/>
        <v>0 г. 0 мес. 0 дн.</v>
      </c>
      <c r="I2344" s="20"/>
      <c r="J2344" s="20"/>
      <c r="O2344" s="20"/>
      <c r="V2344" s="1" t="str">
        <f t="shared" si="127"/>
        <v>0 г. 0 мес. 0 дн.</v>
      </c>
      <c r="W2344" s="69"/>
    </row>
    <row r="2345" spans="1:23" ht="35.1" customHeight="1" x14ac:dyDescent="0.25">
      <c r="A2345" s="1">
        <f t="shared" si="125"/>
        <v>2344</v>
      </c>
      <c r="B2345" s="1"/>
      <c r="C2345" s="39"/>
      <c r="D2345" s="21"/>
      <c r="G2345" s="1"/>
      <c r="H2345" s="11" t="str">
        <f t="shared" si="126"/>
        <v>0 г. 0 мес. 0 дн.</v>
      </c>
      <c r="I2345" s="20"/>
      <c r="J2345" s="20"/>
      <c r="O2345" s="20"/>
      <c r="V2345" s="1" t="str">
        <f t="shared" si="127"/>
        <v>0 г. 0 мес. 0 дн.</v>
      </c>
      <c r="W2345" s="69"/>
    </row>
    <row r="2346" spans="1:23" ht="35.1" customHeight="1" x14ac:dyDescent="0.25">
      <c r="A2346" s="1">
        <f t="shared" si="125"/>
        <v>2345</v>
      </c>
      <c r="B2346" s="1"/>
      <c r="C2346" s="39"/>
      <c r="D2346" s="21"/>
      <c r="G2346" s="1"/>
      <c r="H2346" s="11" t="str">
        <f t="shared" si="126"/>
        <v>0 г. 0 мес. 0 дн.</v>
      </c>
      <c r="I2346" s="20"/>
      <c r="J2346" s="20"/>
      <c r="O2346" s="20"/>
      <c r="V2346" s="1" t="str">
        <f t="shared" si="127"/>
        <v>0 г. 0 мес. 0 дн.</v>
      </c>
      <c r="W2346" s="69"/>
    </row>
    <row r="2347" spans="1:23" ht="35.1" customHeight="1" x14ac:dyDescent="0.25">
      <c r="A2347" s="1">
        <f t="shared" si="125"/>
        <v>2346</v>
      </c>
      <c r="B2347" s="1"/>
      <c r="C2347" s="39"/>
      <c r="D2347" s="21"/>
      <c r="G2347" s="1"/>
      <c r="H2347" s="11" t="str">
        <f t="shared" si="126"/>
        <v>0 г. 0 мес. 0 дн.</v>
      </c>
      <c r="I2347" s="20"/>
      <c r="J2347" s="20"/>
      <c r="O2347" s="20"/>
      <c r="V2347" s="1" t="str">
        <f t="shared" si="127"/>
        <v>0 г. 0 мес. 0 дн.</v>
      </c>
      <c r="W2347" s="69"/>
    </row>
    <row r="2348" spans="1:23" ht="35.1" customHeight="1" x14ac:dyDescent="0.25">
      <c r="A2348" s="1">
        <f t="shared" si="125"/>
        <v>2347</v>
      </c>
      <c r="B2348" s="1"/>
      <c r="C2348" s="39"/>
      <c r="D2348" s="21"/>
      <c r="G2348" s="1"/>
      <c r="H2348" s="11" t="str">
        <f t="shared" si="126"/>
        <v>0 г. 0 мес. 0 дн.</v>
      </c>
      <c r="I2348" s="20"/>
      <c r="J2348" s="20"/>
      <c r="O2348" s="20"/>
      <c r="V2348" s="1" t="str">
        <f t="shared" si="127"/>
        <v>0 г. 0 мес. 0 дн.</v>
      </c>
      <c r="W2348" s="69"/>
    </row>
    <row r="2349" spans="1:23" ht="35.1" customHeight="1" x14ac:dyDescent="0.25">
      <c r="A2349" s="1">
        <f t="shared" si="125"/>
        <v>2348</v>
      </c>
      <c r="B2349" s="1"/>
      <c r="C2349" s="39"/>
      <c r="D2349" s="21"/>
      <c r="G2349" s="1"/>
      <c r="H2349" s="11" t="str">
        <f t="shared" si="126"/>
        <v>0 г. 0 мес. 0 дн.</v>
      </c>
      <c r="I2349" s="20"/>
      <c r="J2349" s="20"/>
      <c r="O2349" s="20"/>
      <c r="V2349" s="1" t="str">
        <f t="shared" si="127"/>
        <v>0 г. 0 мес. 0 дн.</v>
      </c>
      <c r="W2349" s="69"/>
    </row>
    <row r="2350" spans="1:23" ht="35.1" customHeight="1" x14ac:dyDescent="0.25">
      <c r="A2350" s="1">
        <f t="shared" si="125"/>
        <v>2349</v>
      </c>
      <c r="B2350" s="1"/>
      <c r="C2350" s="39"/>
      <c r="D2350" s="21"/>
      <c r="G2350" s="1"/>
      <c r="H2350" s="11" t="str">
        <f t="shared" si="126"/>
        <v>0 г. 0 мес. 0 дн.</v>
      </c>
      <c r="I2350" s="20"/>
      <c r="J2350" s="20"/>
      <c r="O2350" s="20"/>
      <c r="V2350" s="1" t="str">
        <f t="shared" si="127"/>
        <v>0 г. 0 мес. 0 дн.</v>
      </c>
      <c r="W2350" s="69"/>
    </row>
    <row r="2351" spans="1:23" ht="35.1" customHeight="1" x14ac:dyDescent="0.25">
      <c r="A2351" s="1">
        <f t="shared" si="125"/>
        <v>2350</v>
      </c>
      <c r="B2351" s="1"/>
      <c r="C2351" s="39"/>
      <c r="D2351" s="21"/>
      <c r="G2351" s="1"/>
      <c r="H2351" s="11" t="str">
        <f t="shared" si="126"/>
        <v>0 г. 0 мес. 0 дн.</v>
      </c>
      <c r="I2351" s="20"/>
      <c r="J2351" s="20"/>
      <c r="O2351" s="20"/>
      <c r="V2351" s="1" t="str">
        <f t="shared" si="127"/>
        <v>0 г. 0 мес. 0 дн.</v>
      </c>
      <c r="W2351" s="69"/>
    </row>
    <row r="2352" spans="1:23" ht="35.1" customHeight="1" x14ac:dyDescent="0.25">
      <c r="A2352" s="1">
        <f t="shared" si="125"/>
        <v>2351</v>
      </c>
      <c r="B2352" s="1"/>
      <c r="C2352" s="39"/>
      <c r="D2352" s="21"/>
      <c r="G2352" s="1"/>
      <c r="H2352" s="11" t="str">
        <f t="shared" si="126"/>
        <v>0 г. 0 мес. 0 дн.</v>
      </c>
      <c r="I2352" s="20"/>
      <c r="J2352" s="20"/>
      <c r="O2352" s="20"/>
      <c r="V2352" s="1" t="str">
        <f t="shared" si="127"/>
        <v>0 г. 0 мес. 0 дн.</v>
      </c>
      <c r="W2352" s="69"/>
    </row>
    <row r="2353" spans="1:23" ht="35.1" customHeight="1" x14ac:dyDescent="0.25">
      <c r="A2353" s="1">
        <f t="shared" si="125"/>
        <v>2352</v>
      </c>
      <c r="B2353" s="1"/>
      <c r="C2353" s="39"/>
      <c r="D2353" s="21"/>
      <c r="G2353" s="1"/>
      <c r="H2353" s="11" t="str">
        <f t="shared" si="126"/>
        <v>0 г. 0 мес. 0 дн.</v>
      </c>
      <c r="I2353" s="20"/>
      <c r="J2353" s="20"/>
      <c r="O2353" s="20"/>
      <c r="V2353" s="1" t="str">
        <f t="shared" si="127"/>
        <v>0 г. 0 мес. 0 дн.</v>
      </c>
      <c r="W2353" s="69"/>
    </row>
    <row r="2354" spans="1:23" ht="35.1" customHeight="1" x14ac:dyDescent="0.25">
      <c r="A2354" s="1">
        <f t="shared" si="125"/>
        <v>2353</v>
      </c>
      <c r="B2354" s="1"/>
      <c r="C2354" s="39"/>
      <c r="D2354" s="21"/>
      <c r="G2354" s="1"/>
      <c r="H2354" s="11" t="str">
        <f t="shared" si="126"/>
        <v>0 г. 0 мес. 0 дн.</v>
      </c>
      <c r="I2354" s="20"/>
      <c r="J2354" s="20"/>
      <c r="O2354" s="20"/>
      <c r="V2354" s="1" t="str">
        <f t="shared" si="127"/>
        <v>0 г. 0 мес. 0 дн.</v>
      </c>
      <c r="W2354" s="69"/>
    </row>
    <row r="2355" spans="1:23" ht="35.1" customHeight="1" x14ac:dyDescent="0.25">
      <c r="A2355" s="1">
        <f t="shared" si="125"/>
        <v>2354</v>
      </c>
      <c r="B2355" s="1"/>
      <c r="C2355" s="39"/>
      <c r="D2355" s="21"/>
      <c r="G2355" s="1"/>
      <c r="H2355" s="11" t="str">
        <f t="shared" si="126"/>
        <v>0 г. 0 мес. 0 дн.</v>
      </c>
      <c r="I2355" s="20"/>
      <c r="J2355" s="20"/>
      <c r="O2355" s="20"/>
      <c r="V2355" s="1" t="str">
        <f t="shared" si="127"/>
        <v>0 г. 0 мес. 0 дн.</v>
      </c>
      <c r="W2355" s="69"/>
    </row>
    <row r="2356" spans="1:23" ht="35.1" customHeight="1" x14ac:dyDescent="0.25">
      <c r="A2356" s="1">
        <f t="shared" si="125"/>
        <v>2355</v>
      </c>
      <c r="B2356" s="1"/>
      <c r="C2356" s="39"/>
      <c r="D2356" s="21"/>
      <c r="G2356" s="1"/>
      <c r="H2356" s="11" t="str">
        <f t="shared" si="126"/>
        <v>0 г. 0 мес. 0 дн.</v>
      </c>
      <c r="I2356" s="20"/>
      <c r="J2356" s="20"/>
      <c r="O2356" s="20"/>
      <c r="V2356" s="1" t="str">
        <f t="shared" si="127"/>
        <v>0 г. 0 мес. 0 дн.</v>
      </c>
      <c r="W2356" s="69"/>
    </row>
    <row r="2357" spans="1:23" ht="35.1" customHeight="1" x14ac:dyDescent="0.25">
      <c r="A2357" s="1">
        <f t="shared" si="125"/>
        <v>2356</v>
      </c>
      <c r="B2357" s="1"/>
      <c r="C2357" s="39"/>
      <c r="D2357" s="21"/>
      <c r="G2357" s="1"/>
      <c r="H2357" s="11" t="str">
        <f t="shared" si="126"/>
        <v>0 г. 0 мес. 0 дн.</v>
      </c>
      <c r="I2357" s="20"/>
      <c r="J2357" s="20"/>
      <c r="O2357" s="20"/>
      <c r="V2357" s="1" t="str">
        <f t="shared" si="127"/>
        <v>0 г. 0 мес. 0 дн.</v>
      </c>
      <c r="W2357" s="69"/>
    </row>
    <row r="2358" spans="1:23" ht="35.1" customHeight="1" x14ac:dyDescent="0.25">
      <c r="A2358" s="1">
        <f t="shared" si="125"/>
        <v>2357</v>
      </c>
      <c r="B2358" s="1"/>
      <c r="C2358" s="39"/>
      <c r="D2358" s="21"/>
      <c r="G2358" s="1"/>
      <c r="H2358" s="11" t="str">
        <f t="shared" si="126"/>
        <v>0 г. 0 мес. 0 дн.</v>
      </c>
      <c r="I2358" s="20"/>
      <c r="J2358" s="20"/>
      <c r="O2358" s="20"/>
      <c r="V2358" s="1" t="str">
        <f t="shared" si="127"/>
        <v>0 г. 0 мес. 0 дн.</v>
      </c>
      <c r="W2358" s="69"/>
    </row>
    <row r="2359" spans="1:23" ht="35.1" customHeight="1" x14ac:dyDescent="0.25">
      <c r="A2359" s="1">
        <f t="shared" si="125"/>
        <v>2358</v>
      </c>
      <c r="B2359" s="1"/>
      <c r="C2359" s="39"/>
      <c r="D2359" s="21"/>
      <c r="G2359" s="1"/>
      <c r="H2359" s="11" t="str">
        <f t="shared" si="126"/>
        <v>0 г. 0 мес. 0 дн.</v>
      </c>
      <c r="I2359" s="20"/>
      <c r="J2359" s="20"/>
      <c r="O2359" s="20"/>
      <c r="V2359" s="1" t="str">
        <f t="shared" si="127"/>
        <v>0 г. 0 мес. 0 дн.</v>
      </c>
      <c r="W2359" s="69"/>
    </row>
    <row r="2360" spans="1:23" ht="35.1" customHeight="1" x14ac:dyDescent="0.25">
      <c r="A2360" s="1">
        <f t="shared" si="125"/>
        <v>2359</v>
      </c>
      <c r="B2360" s="1"/>
      <c r="C2360" s="39"/>
      <c r="D2360" s="21"/>
      <c r="G2360" s="1"/>
      <c r="H2360" s="11" t="str">
        <f t="shared" si="126"/>
        <v>0 г. 0 мес. 0 дн.</v>
      </c>
      <c r="I2360" s="20"/>
      <c r="J2360" s="20"/>
      <c r="O2360" s="20"/>
      <c r="V2360" s="1" t="str">
        <f t="shared" si="127"/>
        <v>0 г. 0 мес. 0 дн.</v>
      </c>
      <c r="W2360" s="69"/>
    </row>
    <row r="2361" spans="1:23" ht="35.1" customHeight="1" x14ac:dyDescent="0.25">
      <c r="A2361" s="1">
        <f t="shared" si="125"/>
        <v>2360</v>
      </c>
      <c r="B2361" s="1"/>
      <c r="C2361" s="39"/>
      <c r="D2361" s="21"/>
      <c r="G2361" s="1"/>
      <c r="H2361" s="11" t="str">
        <f t="shared" si="126"/>
        <v>0 г. 0 мес. 0 дн.</v>
      </c>
      <c r="I2361" s="20"/>
      <c r="J2361" s="20"/>
      <c r="O2361" s="20"/>
      <c r="V2361" s="1" t="str">
        <f t="shared" si="127"/>
        <v>0 г. 0 мес. 0 дн.</v>
      </c>
      <c r="W2361" s="69"/>
    </row>
    <row r="2362" spans="1:23" ht="35.1" customHeight="1" x14ac:dyDescent="0.25">
      <c r="A2362" s="1">
        <f t="shared" si="125"/>
        <v>2361</v>
      </c>
      <c r="B2362" s="1"/>
      <c r="C2362" s="39"/>
      <c r="D2362" s="21"/>
      <c r="G2362" s="1"/>
      <c r="H2362" s="11" t="str">
        <f t="shared" si="126"/>
        <v>0 г. 0 мес. 0 дн.</v>
      </c>
      <c r="I2362" s="20"/>
      <c r="J2362" s="20"/>
      <c r="O2362" s="20"/>
      <c r="V2362" s="1" t="str">
        <f t="shared" si="127"/>
        <v>0 г. 0 мес. 0 дн.</v>
      </c>
      <c r="W2362" s="69"/>
    </row>
    <row r="2363" spans="1:23" ht="35.1" customHeight="1" x14ac:dyDescent="0.25">
      <c r="A2363" s="1">
        <f t="shared" si="125"/>
        <v>2362</v>
      </c>
      <c r="B2363" s="1"/>
      <c r="C2363" s="39"/>
      <c r="D2363" s="21"/>
      <c r="G2363" s="1"/>
      <c r="H2363" s="11" t="str">
        <f t="shared" si="126"/>
        <v>0 г. 0 мес. 0 дн.</v>
      </c>
      <c r="I2363" s="20"/>
      <c r="J2363" s="20"/>
      <c r="O2363" s="20"/>
      <c r="V2363" s="1" t="str">
        <f t="shared" si="127"/>
        <v>0 г. 0 мес. 0 дн.</v>
      </c>
      <c r="W2363" s="69"/>
    </row>
    <row r="2364" spans="1:23" ht="35.1" customHeight="1" x14ac:dyDescent="0.25">
      <c r="A2364" s="1">
        <f t="shared" si="125"/>
        <v>2363</v>
      </c>
      <c r="B2364" s="1"/>
      <c r="C2364" s="39"/>
      <c r="D2364" s="21"/>
      <c r="G2364" s="1"/>
      <c r="H2364" s="11" t="str">
        <f t="shared" si="126"/>
        <v>0 г. 0 мес. 0 дн.</v>
      </c>
      <c r="I2364" s="20"/>
      <c r="J2364" s="20"/>
      <c r="O2364" s="20"/>
      <c r="V2364" s="1" t="str">
        <f t="shared" si="127"/>
        <v>0 г. 0 мес. 0 дн.</v>
      </c>
      <c r="W2364" s="69"/>
    </row>
    <row r="2365" spans="1:23" ht="35.1" customHeight="1" x14ac:dyDescent="0.25">
      <c r="A2365" s="1">
        <f t="shared" si="125"/>
        <v>2364</v>
      </c>
      <c r="B2365" s="1"/>
      <c r="C2365" s="39"/>
      <c r="D2365" s="21"/>
      <c r="G2365" s="1"/>
      <c r="H2365" s="11" t="str">
        <f t="shared" si="126"/>
        <v>0 г. 0 мес. 0 дн.</v>
      </c>
      <c r="I2365" s="20"/>
      <c r="J2365" s="20"/>
      <c r="O2365" s="20"/>
      <c r="V2365" s="1" t="str">
        <f t="shared" si="127"/>
        <v>0 г. 0 мес. 0 дн.</v>
      </c>
      <c r="W2365" s="69"/>
    </row>
    <row r="2366" spans="1:23" ht="35.1" customHeight="1" x14ac:dyDescent="0.25">
      <c r="A2366" s="1">
        <f t="shared" si="125"/>
        <v>2365</v>
      </c>
      <c r="B2366" s="1"/>
      <c r="C2366" s="39"/>
      <c r="D2366" s="21"/>
      <c r="G2366" s="1"/>
      <c r="H2366" s="11" t="str">
        <f t="shared" si="126"/>
        <v>0 г. 0 мес. 0 дн.</v>
      </c>
      <c r="I2366" s="20"/>
      <c r="J2366" s="20"/>
      <c r="O2366" s="20"/>
      <c r="V2366" s="1" t="str">
        <f t="shared" si="127"/>
        <v>0 г. 0 мес. 0 дн.</v>
      </c>
      <c r="W2366" s="69"/>
    </row>
    <row r="2367" spans="1:23" ht="35.1" customHeight="1" x14ac:dyDescent="0.25">
      <c r="A2367" s="1">
        <f t="shared" si="125"/>
        <v>2366</v>
      </c>
      <c r="B2367" s="1"/>
      <c r="C2367" s="39"/>
      <c r="D2367" s="21"/>
      <c r="G2367" s="1"/>
      <c r="H2367" s="11" t="str">
        <f t="shared" si="126"/>
        <v>0 г. 0 мес. 0 дн.</v>
      </c>
      <c r="I2367" s="20"/>
      <c r="J2367" s="20"/>
      <c r="O2367" s="20"/>
      <c r="V2367" s="1" t="str">
        <f t="shared" si="127"/>
        <v>0 г. 0 мес. 0 дн.</v>
      </c>
      <c r="W2367" s="69"/>
    </row>
    <row r="2368" spans="1:23" ht="35.1" customHeight="1" x14ac:dyDescent="0.25">
      <c r="A2368" s="1">
        <f t="shared" si="125"/>
        <v>2367</v>
      </c>
      <c r="B2368" s="1"/>
      <c r="C2368" s="39"/>
      <c r="D2368" s="21"/>
      <c r="G2368" s="1"/>
      <c r="H2368" s="11" t="str">
        <f t="shared" si="126"/>
        <v>0 г. 0 мес. 0 дн.</v>
      </c>
      <c r="I2368" s="20"/>
      <c r="J2368" s="20"/>
      <c r="O2368" s="20"/>
      <c r="V2368" s="1" t="str">
        <f t="shared" si="127"/>
        <v>0 г. 0 мес. 0 дн.</v>
      </c>
      <c r="W2368" s="69"/>
    </row>
    <row r="2369" spans="1:23" ht="35.1" customHeight="1" x14ac:dyDescent="0.25">
      <c r="A2369" s="1">
        <f t="shared" ref="A2369:A2432" si="128">ROW(A2368)</f>
        <v>2368</v>
      </c>
      <c r="B2369" s="1"/>
      <c r="C2369" s="39"/>
      <c r="D2369" s="21"/>
      <c r="G2369" s="1"/>
      <c r="H2369" s="11" t="str">
        <f t="shared" ref="H2369:H2432" si="129">DATEDIF(G2369,D2369,"y") &amp; " г. " &amp; DATEDIF(G2369,D2369,"ym") &amp; " мес. " &amp; DATEDIF(G2369,D2369,"md") &amp; " дн."</f>
        <v>0 г. 0 мес. 0 дн.</v>
      </c>
      <c r="I2369" s="20"/>
      <c r="J2369" s="20"/>
      <c r="O2369" s="20"/>
      <c r="V2369" s="1" t="str">
        <f t="shared" si="127"/>
        <v>0 г. 0 мес. 0 дн.</v>
      </c>
      <c r="W2369" s="69"/>
    </row>
    <row r="2370" spans="1:23" ht="35.1" customHeight="1" x14ac:dyDescent="0.25">
      <c r="A2370" s="1">
        <f t="shared" si="128"/>
        <v>2369</v>
      </c>
      <c r="B2370" s="1"/>
      <c r="C2370" s="39"/>
      <c r="D2370" s="21"/>
      <c r="G2370" s="1"/>
      <c r="H2370" s="11" t="str">
        <f t="shared" si="129"/>
        <v>0 г. 0 мес. 0 дн.</v>
      </c>
      <c r="I2370" s="20"/>
      <c r="J2370" s="20"/>
      <c r="O2370" s="20"/>
      <c r="V2370" s="1" t="str">
        <f t="shared" si="127"/>
        <v>0 г. 0 мес. 0 дн.</v>
      </c>
      <c r="W2370" s="69"/>
    </row>
    <row r="2371" spans="1:23" ht="35.1" customHeight="1" x14ac:dyDescent="0.25">
      <c r="A2371" s="1">
        <f t="shared" si="128"/>
        <v>2370</v>
      </c>
      <c r="B2371" s="1"/>
      <c r="C2371" s="39"/>
      <c r="D2371" s="21"/>
      <c r="G2371" s="1"/>
      <c r="H2371" s="11" t="str">
        <f t="shared" si="129"/>
        <v>0 г. 0 мес. 0 дн.</v>
      </c>
      <c r="I2371" s="20"/>
      <c r="J2371" s="20"/>
      <c r="O2371" s="20"/>
      <c r="V2371" s="1" t="str">
        <f t="shared" si="127"/>
        <v>0 г. 0 мес. 0 дн.</v>
      </c>
      <c r="W2371" s="69"/>
    </row>
    <row r="2372" spans="1:23" ht="35.1" customHeight="1" x14ac:dyDescent="0.25">
      <c r="A2372" s="1">
        <f t="shared" si="128"/>
        <v>2371</v>
      </c>
      <c r="B2372" s="1"/>
      <c r="C2372" s="39"/>
      <c r="D2372" s="21"/>
      <c r="G2372" s="1"/>
      <c r="H2372" s="11" t="str">
        <f t="shared" si="129"/>
        <v>0 г. 0 мес. 0 дн.</v>
      </c>
      <c r="I2372" s="20"/>
      <c r="J2372" s="20"/>
      <c r="O2372" s="20"/>
      <c r="V2372" s="1" t="str">
        <f t="shared" si="127"/>
        <v>0 г. 0 мес. 0 дн.</v>
      </c>
      <c r="W2372" s="69"/>
    </row>
    <row r="2373" spans="1:23" ht="35.1" customHeight="1" x14ac:dyDescent="0.25">
      <c r="A2373" s="1">
        <f t="shared" si="128"/>
        <v>2372</v>
      </c>
      <c r="B2373" s="1"/>
      <c r="C2373" s="39"/>
      <c r="D2373" s="21"/>
      <c r="G2373" s="1"/>
      <c r="H2373" s="11" t="str">
        <f t="shared" si="129"/>
        <v>0 г. 0 мес. 0 дн.</v>
      </c>
      <c r="I2373" s="20"/>
      <c r="J2373" s="20"/>
      <c r="O2373" s="20"/>
      <c r="V2373" s="1" t="str">
        <f t="shared" si="127"/>
        <v>0 г. 0 мес. 0 дн.</v>
      </c>
      <c r="W2373" s="69"/>
    </row>
    <row r="2374" spans="1:23" ht="35.1" customHeight="1" x14ac:dyDescent="0.25">
      <c r="A2374" s="1">
        <f t="shared" si="128"/>
        <v>2373</v>
      </c>
      <c r="B2374" s="1"/>
      <c r="C2374" s="39"/>
      <c r="D2374" s="21"/>
      <c r="G2374" s="1"/>
      <c r="H2374" s="11" t="str">
        <f t="shared" si="129"/>
        <v>0 г. 0 мес. 0 дн.</v>
      </c>
      <c r="I2374" s="20"/>
      <c r="J2374" s="20"/>
      <c r="O2374" s="20"/>
      <c r="V2374" s="1" t="str">
        <f t="shared" si="127"/>
        <v>0 г. 0 мес. 0 дн.</v>
      </c>
      <c r="W2374" s="69"/>
    </row>
    <row r="2375" spans="1:23" ht="35.1" customHeight="1" x14ac:dyDescent="0.25">
      <c r="A2375" s="1">
        <f t="shared" si="128"/>
        <v>2374</v>
      </c>
      <c r="B2375" s="1"/>
      <c r="C2375" s="39"/>
      <c r="D2375" s="21"/>
      <c r="G2375" s="1"/>
      <c r="H2375" s="11" t="str">
        <f t="shared" si="129"/>
        <v>0 г. 0 мес. 0 дн.</v>
      </c>
      <c r="I2375" s="20"/>
      <c r="J2375" s="20"/>
      <c r="O2375" s="20"/>
      <c r="V2375" s="1" t="str">
        <f t="shared" si="127"/>
        <v>0 г. 0 мес. 0 дн.</v>
      </c>
      <c r="W2375" s="69"/>
    </row>
    <row r="2376" spans="1:23" ht="35.1" customHeight="1" x14ac:dyDescent="0.25">
      <c r="A2376" s="1">
        <f t="shared" si="128"/>
        <v>2375</v>
      </c>
      <c r="B2376" s="1"/>
      <c r="C2376" s="39"/>
      <c r="D2376" s="21"/>
      <c r="G2376" s="1"/>
      <c r="H2376" s="11" t="str">
        <f t="shared" si="129"/>
        <v>0 г. 0 мес. 0 дн.</v>
      </c>
      <c r="I2376" s="20"/>
      <c r="J2376" s="20"/>
      <c r="O2376" s="20"/>
      <c r="V2376" s="1" t="str">
        <f t="shared" si="127"/>
        <v>0 г. 0 мес. 0 дн.</v>
      </c>
      <c r="W2376" s="69"/>
    </row>
    <row r="2377" spans="1:23" ht="35.1" customHeight="1" x14ac:dyDescent="0.25">
      <c r="A2377" s="1">
        <f t="shared" si="128"/>
        <v>2376</v>
      </c>
      <c r="B2377" s="1"/>
      <c r="C2377" s="39"/>
      <c r="D2377" s="21"/>
      <c r="G2377" s="1"/>
      <c r="H2377" s="11" t="str">
        <f t="shared" si="129"/>
        <v>0 г. 0 мес. 0 дн.</v>
      </c>
      <c r="I2377" s="20"/>
      <c r="J2377" s="20"/>
      <c r="O2377" s="20"/>
      <c r="V2377" s="1" t="str">
        <f t="shared" si="127"/>
        <v>0 г. 0 мес. 0 дн.</v>
      </c>
      <c r="W2377" s="69"/>
    </row>
    <row r="2378" spans="1:23" ht="35.1" customHeight="1" x14ac:dyDescent="0.25">
      <c r="A2378" s="1">
        <f t="shared" si="128"/>
        <v>2377</v>
      </c>
      <c r="B2378" s="1"/>
      <c r="C2378" s="39"/>
      <c r="D2378" s="21"/>
      <c r="G2378" s="1"/>
      <c r="H2378" s="11" t="str">
        <f t="shared" si="129"/>
        <v>0 г. 0 мес. 0 дн.</v>
      </c>
      <c r="I2378" s="20"/>
      <c r="J2378" s="20"/>
      <c r="O2378" s="20"/>
      <c r="V2378" s="1" t="str">
        <f t="shared" si="127"/>
        <v>0 г. 0 мес. 0 дн.</v>
      </c>
      <c r="W2378" s="69"/>
    </row>
    <row r="2379" spans="1:23" ht="35.1" customHeight="1" x14ac:dyDescent="0.25">
      <c r="A2379" s="1">
        <f t="shared" si="128"/>
        <v>2378</v>
      </c>
      <c r="B2379" s="1"/>
      <c r="C2379" s="39"/>
      <c r="D2379" s="21"/>
      <c r="G2379" s="1"/>
      <c r="H2379" s="11" t="str">
        <f t="shared" si="129"/>
        <v>0 г. 0 мес. 0 дн.</v>
      </c>
      <c r="I2379" s="20"/>
      <c r="J2379" s="20"/>
      <c r="O2379" s="20"/>
      <c r="V2379" s="1" t="str">
        <f t="shared" si="127"/>
        <v>0 г. 0 мес. 0 дн.</v>
      </c>
      <c r="W2379" s="69"/>
    </row>
    <row r="2380" spans="1:23" ht="35.1" customHeight="1" x14ac:dyDescent="0.25">
      <c r="A2380" s="1">
        <f t="shared" si="128"/>
        <v>2379</v>
      </c>
      <c r="B2380" s="1"/>
      <c r="C2380" s="39"/>
      <c r="D2380" s="21"/>
      <c r="G2380" s="1"/>
      <c r="H2380" s="11" t="str">
        <f t="shared" si="129"/>
        <v>0 г. 0 мес. 0 дн.</v>
      </c>
      <c r="I2380" s="20"/>
      <c r="J2380" s="20"/>
      <c r="O2380" s="20"/>
      <c r="V2380" s="1" t="str">
        <f t="shared" si="127"/>
        <v>0 г. 0 мес. 0 дн.</v>
      </c>
      <c r="W2380" s="69"/>
    </row>
    <row r="2381" spans="1:23" ht="35.1" customHeight="1" x14ac:dyDescent="0.25">
      <c r="A2381" s="1">
        <f t="shared" si="128"/>
        <v>2380</v>
      </c>
      <c r="B2381" s="1"/>
      <c r="C2381" s="39"/>
      <c r="D2381" s="21"/>
      <c r="G2381" s="1"/>
      <c r="H2381" s="11" t="str">
        <f t="shared" si="129"/>
        <v>0 г. 0 мес. 0 дн.</v>
      </c>
      <c r="I2381" s="20"/>
      <c r="J2381" s="20"/>
      <c r="O2381" s="20"/>
      <c r="V2381" s="1" t="str">
        <f t="shared" si="127"/>
        <v>0 г. 0 мес. 0 дн.</v>
      </c>
      <c r="W2381" s="69"/>
    </row>
    <row r="2382" spans="1:23" ht="35.1" customHeight="1" x14ac:dyDescent="0.25">
      <c r="A2382" s="1">
        <f t="shared" si="128"/>
        <v>2381</v>
      </c>
      <c r="B2382" s="1"/>
      <c r="C2382" s="39"/>
      <c r="D2382" s="21"/>
      <c r="G2382" s="1"/>
      <c r="H2382" s="11" t="str">
        <f t="shared" si="129"/>
        <v>0 г. 0 мес. 0 дн.</v>
      </c>
      <c r="I2382" s="20"/>
      <c r="J2382" s="20"/>
      <c r="O2382" s="20"/>
      <c r="V2382" s="1" t="str">
        <f t="shared" si="127"/>
        <v>0 г. 0 мес. 0 дн.</v>
      </c>
      <c r="W2382" s="69"/>
    </row>
    <row r="2383" spans="1:23" ht="35.1" customHeight="1" x14ac:dyDescent="0.25">
      <c r="A2383" s="1">
        <f t="shared" si="128"/>
        <v>2382</v>
      </c>
      <c r="B2383" s="1"/>
      <c r="C2383" s="39"/>
      <c r="D2383" s="21"/>
      <c r="G2383" s="1"/>
      <c r="H2383" s="11" t="str">
        <f t="shared" si="129"/>
        <v>0 г. 0 мес. 0 дн.</v>
      </c>
      <c r="I2383" s="20"/>
      <c r="J2383" s="20"/>
      <c r="O2383" s="20"/>
      <c r="V2383" s="1" t="str">
        <f t="shared" si="127"/>
        <v>0 г. 0 мес. 0 дн.</v>
      </c>
      <c r="W2383" s="69"/>
    </row>
    <row r="2384" spans="1:23" ht="35.1" customHeight="1" x14ac:dyDescent="0.25">
      <c r="A2384" s="1">
        <f t="shared" si="128"/>
        <v>2383</v>
      </c>
      <c r="B2384" s="1"/>
      <c r="C2384" s="39"/>
      <c r="D2384" s="21"/>
      <c r="G2384" s="1"/>
      <c r="H2384" s="11" t="str">
        <f t="shared" si="129"/>
        <v>0 г. 0 мес. 0 дн.</v>
      </c>
      <c r="I2384" s="20"/>
      <c r="J2384" s="20"/>
      <c r="O2384" s="20"/>
      <c r="V2384" s="1" t="str">
        <f t="shared" si="127"/>
        <v>0 г. 0 мес. 0 дн.</v>
      </c>
      <c r="W2384" s="69"/>
    </row>
    <row r="2385" spans="1:23" ht="35.1" customHeight="1" x14ac:dyDescent="0.25">
      <c r="A2385" s="1">
        <f t="shared" si="128"/>
        <v>2384</v>
      </c>
      <c r="B2385" s="1"/>
      <c r="C2385" s="39"/>
      <c r="D2385" s="21"/>
      <c r="G2385" s="1"/>
      <c r="H2385" s="11" t="str">
        <f t="shared" si="129"/>
        <v>0 г. 0 мес. 0 дн.</v>
      </c>
      <c r="I2385" s="20"/>
      <c r="J2385" s="20"/>
      <c r="O2385" s="20"/>
      <c r="V2385" s="1" t="str">
        <f t="shared" si="127"/>
        <v>0 г. 0 мес. 0 дн.</v>
      </c>
      <c r="W2385" s="69"/>
    </row>
    <row r="2386" spans="1:23" ht="35.1" customHeight="1" x14ac:dyDescent="0.25">
      <c r="A2386" s="1">
        <f t="shared" si="128"/>
        <v>2385</v>
      </c>
      <c r="B2386" s="1"/>
      <c r="C2386" s="39"/>
      <c r="D2386" s="21"/>
      <c r="G2386" s="1"/>
      <c r="H2386" s="11" t="str">
        <f t="shared" si="129"/>
        <v>0 г. 0 мес. 0 дн.</v>
      </c>
      <c r="I2386" s="20"/>
      <c r="J2386" s="20"/>
      <c r="O2386" s="20"/>
      <c r="V2386" s="1" t="str">
        <f t="shared" si="127"/>
        <v>0 г. 0 мес. 0 дн.</v>
      </c>
      <c r="W2386" s="69"/>
    </row>
    <row r="2387" spans="1:23" ht="35.1" customHeight="1" x14ac:dyDescent="0.25">
      <c r="A2387" s="1">
        <f t="shared" si="128"/>
        <v>2386</v>
      </c>
      <c r="B2387" s="1"/>
      <c r="C2387" s="39"/>
      <c r="D2387" s="21"/>
      <c r="G2387" s="1"/>
      <c r="H2387" s="11" t="str">
        <f t="shared" si="129"/>
        <v>0 г. 0 мес. 0 дн.</v>
      </c>
      <c r="I2387" s="20"/>
      <c r="J2387" s="20"/>
      <c r="O2387" s="20"/>
      <c r="V2387" s="1" t="str">
        <f t="shared" si="127"/>
        <v>0 г. 0 мес. 0 дн.</v>
      </c>
      <c r="W2387" s="69"/>
    </row>
    <row r="2388" spans="1:23" ht="35.1" customHeight="1" x14ac:dyDescent="0.25">
      <c r="A2388" s="1">
        <f t="shared" si="128"/>
        <v>2387</v>
      </c>
      <c r="B2388" s="1"/>
      <c r="C2388" s="39"/>
      <c r="D2388" s="21"/>
      <c r="G2388" s="1"/>
      <c r="H2388" s="11" t="str">
        <f t="shared" si="129"/>
        <v>0 г. 0 мес. 0 дн.</v>
      </c>
      <c r="I2388" s="20"/>
      <c r="J2388" s="20"/>
      <c r="O2388" s="20"/>
      <c r="V2388" s="1" t="str">
        <f t="shared" si="127"/>
        <v>0 г. 0 мес. 0 дн.</v>
      </c>
      <c r="W2388" s="69"/>
    </row>
    <row r="2389" spans="1:23" ht="35.1" customHeight="1" x14ac:dyDescent="0.25">
      <c r="A2389" s="1">
        <f t="shared" si="128"/>
        <v>2388</v>
      </c>
      <c r="B2389" s="1"/>
      <c r="C2389" s="39"/>
      <c r="D2389" s="21"/>
      <c r="G2389" s="1"/>
      <c r="H2389" s="11" t="str">
        <f t="shared" si="129"/>
        <v>0 г. 0 мес. 0 дн.</v>
      </c>
      <c r="I2389" s="20"/>
      <c r="J2389" s="20"/>
      <c r="O2389" s="20"/>
      <c r="V2389" s="1" t="str">
        <f t="shared" si="127"/>
        <v>0 г. 0 мес. 0 дн.</v>
      </c>
      <c r="W2389" s="69"/>
    </row>
    <row r="2390" spans="1:23" ht="35.1" customHeight="1" x14ac:dyDescent="0.25">
      <c r="A2390" s="1">
        <f t="shared" si="128"/>
        <v>2389</v>
      </c>
      <c r="B2390" s="1"/>
      <c r="C2390" s="39"/>
      <c r="D2390" s="21"/>
      <c r="G2390" s="1"/>
      <c r="H2390" s="11" t="str">
        <f t="shared" si="129"/>
        <v>0 г. 0 мес. 0 дн.</v>
      </c>
      <c r="I2390" s="20"/>
      <c r="J2390" s="20"/>
      <c r="O2390" s="20"/>
      <c r="V2390" s="1" t="str">
        <f t="shared" si="127"/>
        <v>0 г. 0 мес. 0 дн.</v>
      </c>
      <c r="W2390" s="69"/>
    </row>
    <row r="2391" spans="1:23" ht="35.1" customHeight="1" x14ac:dyDescent="0.25">
      <c r="A2391" s="1">
        <f t="shared" si="128"/>
        <v>2390</v>
      </c>
      <c r="B2391" s="1"/>
      <c r="C2391" s="39"/>
      <c r="D2391" s="21"/>
      <c r="G2391" s="1"/>
      <c r="H2391" s="11" t="str">
        <f t="shared" si="129"/>
        <v>0 г. 0 мес. 0 дн.</v>
      </c>
      <c r="I2391" s="20"/>
      <c r="J2391" s="20"/>
      <c r="O2391" s="20"/>
      <c r="V2391" s="1" t="str">
        <f t="shared" si="127"/>
        <v>0 г. 0 мес. 0 дн.</v>
      </c>
      <c r="W2391" s="69"/>
    </row>
    <row r="2392" spans="1:23" ht="35.1" customHeight="1" x14ac:dyDescent="0.25">
      <c r="A2392" s="1">
        <f t="shared" si="128"/>
        <v>2391</v>
      </c>
      <c r="B2392" s="1"/>
      <c r="C2392" s="39"/>
      <c r="D2392" s="21"/>
      <c r="G2392" s="1"/>
      <c r="H2392" s="11" t="str">
        <f t="shared" si="129"/>
        <v>0 г. 0 мес. 0 дн.</v>
      </c>
      <c r="I2392" s="20"/>
      <c r="J2392" s="20"/>
      <c r="O2392" s="20"/>
      <c r="V2392" s="1" t="str">
        <f t="shared" si="127"/>
        <v>0 г. 0 мес. 0 дн.</v>
      </c>
      <c r="W2392" s="69"/>
    </row>
    <row r="2393" spans="1:23" ht="35.1" customHeight="1" x14ac:dyDescent="0.25">
      <c r="A2393" s="1">
        <f t="shared" si="128"/>
        <v>2392</v>
      </c>
      <c r="B2393" s="1"/>
      <c r="C2393" s="39"/>
      <c r="D2393" s="21"/>
      <c r="G2393" s="1"/>
      <c r="H2393" s="11" t="str">
        <f t="shared" si="129"/>
        <v>0 г. 0 мес. 0 дн.</v>
      </c>
      <c r="I2393" s="20"/>
      <c r="J2393" s="20"/>
      <c r="O2393" s="20"/>
      <c r="V2393" s="1" t="str">
        <f t="shared" ref="V2393:V2456" si="130">DATEDIF(D2393,T2393,"y") &amp; " г. " &amp; DATEDIF(D2393,T2393,"ym") &amp; " мес. " &amp; DATEDIF(D2393,T2393,"md") &amp; " дн."</f>
        <v>0 г. 0 мес. 0 дн.</v>
      </c>
      <c r="W2393" s="69"/>
    </row>
    <row r="2394" spans="1:23" ht="35.1" customHeight="1" x14ac:dyDescent="0.25">
      <c r="A2394" s="1">
        <f t="shared" si="128"/>
        <v>2393</v>
      </c>
      <c r="B2394" s="1"/>
      <c r="C2394" s="39"/>
      <c r="D2394" s="21"/>
      <c r="G2394" s="1"/>
      <c r="H2394" s="11" t="str">
        <f t="shared" si="129"/>
        <v>0 г. 0 мес. 0 дн.</v>
      </c>
      <c r="I2394" s="20"/>
      <c r="J2394" s="20"/>
      <c r="O2394" s="20"/>
      <c r="V2394" s="1" t="str">
        <f t="shared" si="130"/>
        <v>0 г. 0 мес. 0 дн.</v>
      </c>
      <c r="W2394" s="69"/>
    </row>
    <row r="2395" spans="1:23" ht="35.1" customHeight="1" x14ac:dyDescent="0.25">
      <c r="A2395" s="1">
        <f t="shared" si="128"/>
        <v>2394</v>
      </c>
      <c r="B2395" s="1"/>
      <c r="C2395" s="39"/>
      <c r="D2395" s="21"/>
      <c r="G2395" s="1"/>
      <c r="H2395" s="11" t="str">
        <f t="shared" si="129"/>
        <v>0 г. 0 мес. 0 дн.</v>
      </c>
      <c r="I2395" s="20"/>
      <c r="J2395" s="20"/>
      <c r="O2395" s="20"/>
      <c r="V2395" s="1" t="str">
        <f t="shared" si="130"/>
        <v>0 г. 0 мес. 0 дн.</v>
      </c>
      <c r="W2395" s="69"/>
    </row>
    <row r="2396" spans="1:23" ht="35.1" customHeight="1" x14ac:dyDescent="0.25">
      <c r="A2396" s="1">
        <f t="shared" si="128"/>
        <v>2395</v>
      </c>
      <c r="B2396" s="1"/>
      <c r="C2396" s="39"/>
      <c r="D2396" s="21"/>
      <c r="G2396" s="1"/>
      <c r="H2396" s="11" t="str">
        <f t="shared" si="129"/>
        <v>0 г. 0 мес. 0 дн.</v>
      </c>
      <c r="I2396" s="20"/>
      <c r="J2396" s="20"/>
      <c r="O2396" s="20"/>
      <c r="V2396" s="1" t="str">
        <f t="shared" si="130"/>
        <v>0 г. 0 мес. 0 дн.</v>
      </c>
      <c r="W2396" s="69"/>
    </row>
    <row r="2397" spans="1:23" ht="35.1" customHeight="1" x14ac:dyDescent="0.25">
      <c r="A2397" s="1">
        <f t="shared" si="128"/>
        <v>2396</v>
      </c>
      <c r="B2397" s="1"/>
      <c r="C2397" s="39"/>
      <c r="D2397" s="21"/>
      <c r="G2397" s="1"/>
      <c r="H2397" s="11" t="str">
        <f t="shared" si="129"/>
        <v>0 г. 0 мес. 0 дн.</v>
      </c>
      <c r="I2397" s="20"/>
      <c r="J2397" s="20"/>
      <c r="O2397" s="20"/>
      <c r="V2397" s="1" t="str">
        <f t="shared" si="130"/>
        <v>0 г. 0 мес. 0 дн.</v>
      </c>
      <c r="W2397" s="69"/>
    </row>
    <row r="2398" spans="1:23" ht="35.1" customHeight="1" x14ac:dyDescent="0.25">
      <c r="A2398" s="1">
        <f t="shared" si="128"/>
        <v>2397</v>
      </c>
      <c r="B2398" s="1"/>
      <c r="C2398" s="39"/>
      <c r="D2398" s="21"/>
      <c r="G2398" s="1"/>
      <c r="H2398" s="11" t="str">
        <f t="shared" si="129"/>
        <v>0 г. 0 мес. 0 дн.</v>
      </c>
      <c r="I2398" s="20"/>
      <c r="J2398" s="20"/>
      <c r="O2398" s="20"/>
      <c r="V2398" s="1" t="str">
        <f t="shared" si="130"/>
        <v>0 г. 0 мес. 0 дн.</v>
      </c>
      <c r="W2398" s="69"/>
    </row>
    <row r="2399" spans="1:23" ht="35.1" customHeight="1" x14ac:dyDescent="0.25">
      <c r="A2399" s="1">
        <f t="shared" si="128"/>
        <v>2398</v>
      </c>
      <c r="B2399" s="1"/>
      <c r="C2399" s="39"/>
      <c r="D2399" s="21"/>
      <c r="G2399" s="1"/>
      <c r="H2399" s="11" t="str">
        <f t="shared" si="129"/>
        <v>0 г. 0 мес. 0 дн.</v>
      </c>
      <c r="I2399" s="20"/>
      <c r="J2399" s="20"/>
      <c r="O2399" s="20"/>
      <c r="V2399" s="1" t="str">
        <f t="shared" si="130"/>
        <v>0 г. 0 мес. 0 дн.</v>
      </c>
      <c r="W2399" s="69"/>
    </row>
    <row r="2400" spans="1:23" ht="35.1" customHeight="1" x14ac:dyDescent="0.25">
      <c r="A2400" s="1">
        <f t="shared" si="128"/>
        <v>2399</v>
      </c>
      <c r="B2400" s="1"/>
      <c r="C2400" s="39"/>
      <c r="D2400" s="21"/>
      <c r="G2400" s="1"/>
      <c r="H2400" s="11" t="str">
        <f t="shared" si="129"/>
        <v>0 г. 0 мес. 0 дн.</v>
      </c>
      <c r="I2400" s="20"/>
      <c r="J2400" s="20"/>
      <c r="O2400" s="20"/>
      <c r="V2400" s="1" t="str">
        <f t="shared" si="130"/>
        <v>0 г. 0 мес. 0 дн.</v>
      </c>
      <c r="W2400" s="69"/>
    </row>
    <row r="2401" spans="1:23" ht="35.1" customHeight="1" x14ac:dyDescent="0.25">
      <c r="A2401" s="1">
        <f t="shared" si="128"/>
        <v>2400</v>
      </c>
      <c r="B2401" s="1"/>
      <c r="C2401" s="39"/>
      <c r="D2401" s="21"/>
      <c r="G2401" s="1"/>
      <c r="H2401" s="11" t="str">
        <f t="shared" si="129"/>
        <v>0 г. 0 мес. 0 дн.</v>
      </c>
      <c r="I2401" s="20"/>
      <c r="J2401" s="20"/>
      <c r="O2401" s="20"/>
      <c r="V2401" s="1" t="str">
        <f t="shared" si="130"/>
        <v>0 г. 0 мес. 0 дн.</v>
      </c>
      <c r="W2401" s="69"/>
    </row>
    <row r="2402" spans="1:23" ht="35.1" customHeight="1" x14ac:dyDescent="0.25">
      <c r="A2402" s="1">
        <f t="shared" si="128"/>
        <v>2401</v>
      </c>
      <c r="B2402" s="1"/>
      <c r="C2402" s="39"/>
      <c r="D2402" s="21"/>
      <c r="G2402" s="1"/>
      <c r="H2402" s="11" t="str">
        <f t="shared" si="129"/>
        <v>0 г. 0 мес. 0 дн.</v>
      </c>
      <c r="I2402" s="20"/>
      <c r="J2402" s="20"/>
      <c r="O2402" s="20"/>
      <c r="V2402" s="1" t="str">
        <f t="shared" si="130"/>
        <v>0 г. 0 мес. 0 дн.</v>
      </c>
      <c r="W2402" s="69"/>
    </row>
    <row r="2403" spans="1:23" ht="35.1" customHeight="1" x14ac:dyDescent="0.25">
      <c r="A2403" s="1">
        <f t="shared" si="128"/>
        <v>2402</v>
      </c>
      <c r="B2403" s="1"/>
      <c r="C2403" s="39"/>
      <c r="D2403" s="21"/>
      <c r="G2403" s="1"/>
      <c r="H2403" s="11" t="str">
        <f t="shared" si="129"/>
        <v>0 г. 0 мес. 0 дн.</v>
      </c>
      <c r="I2403" s="20"/>
      <c r="J2403" s="20"/>
      <c r="O2403" s="20"/>
      <c r="V2403" s="1" t="str">
        <f t="shared" si="130"/>
        <v>0 г. 0 мес. 0 дн.</v>
      </c>
      <c r="W2403" s="69"/>
    </row>
    <row r="2404" spans="1:23" ht="35.1" customHeight="1" x14ac:dyDescent="0.25">
      <c r="A2404" s="1">
        <f t="shared" si="128"/>
        <v>2403</v>
      </c>
      <c r="B2404" s="1"/>
      <c r="C2404" s="39"/>
      <c r="D2404" s="21"/>
      <c r="G2404" s="1"/>
      <c r="H2404" s="11" t="str">
        <f t="shared" si="129"/>
        <v>0 г. 0 мес. 0 дн.</v>
      </c>
      <c r="I2404" s="20"/>
      <c r="J2404" s="20"/>
      <c r="O2404" s="20"/>
      <c r="V2404" s="1" t="str">
        <f t="shared" si="130"/>
        <v>0 г. 0 мес. 0 дн.</v>
      </c>
      <c r="W2404" s="69"/>
    </row>
    <row r="2405" spans="1:23" ht="35.1" customHeight="1" x14ac:dyDescent="0.25">
      <c r="A2405" s="1">
        <f t="shared" si="128"/>
        <v>2404</v>
      </c>
      <c r="B2405" s="1"/>
      <c r="C2405" s="39"/>
      <c r="D2405" s="21"/>
      <c r="G2405" s="1"/>
      <c r="H2405" s="11" t="str">
        <f t="shared" si="129"/>
        <v>0 г. 0 мес. 0 дн.</v>
      </c>
      <c r="I2405" s="20"/>
      <c r="J2405" s="20"/>
      <c r="O2405" s="20"/>
      <c r="V2405" s="1" t="str">
        <f t="shared" si="130"/>
        <v>0 г. 0 мес. 0 дн.</v>
      </c>
      <c r="W2405" s="69"/>
    </row>
    <row r="2406" spans="1:23" ht="35.1" customHeight="1" x14ac:dyDescent="0.25">
      <c r="A2406" s="1">
        <f t="shared" si="128"/>
        <v>2405</v>
      </c>
      <c r="B2406" s="1"/>
      <c r="C2406" s="39"/>
      <c r="D2406" s="21"/>
      <c r="G2406" s="1"/>
      <c r="H2406" s="11" t="str">
        <f t="shared" si="129"/>
        <v>0 г. 0 мес. 0 дн.</v>
      </c>
      <c r="I2406" s="20"/>
      <c r="J2406" s="20"/>
      <c r="O2406" s="20"/>
      <c r="V2406" s="1" t="str">
        <f t="shared" si="130"/>
        <v>0 г. 0 мес. 0 дн.</v>
      </c>
      <c r="W2406" s="69"/>
    </row>
    <row r="2407" spans="1:23" ht="35.1" customHeight="1" x14ac:dyDescent="0.25">
      <c r="A2407" s="1">
        <f t="shared" si="128"/>
        <v>2406</v>
      </c>
      <c r="B2407" s="1"/>
      <c r="C2407" s="39"/>
      <c r="D2407" s="21"/>
      <c r="G2407" s="1"/>
      <c r="H2407" s="11" t="str">
        <f t="shared" si="129"/>
        <v>0 г. 0 мес. 0 дн.</v>
      </c>
      <c r="I2407" s="20"/>
      <c r="J2407" s="20"/>
      <c r="O2407" s="20"/>
      <c r="V2407" s="1" t="str">
        <f t="shared" si="130"/>
        <v>0 г. 0 мес. 0 дн.</v>
      </c>
      <c r="W2407" s="69"/>
    </row>
    <row r="2408" spans="1:23" ht="35.1" customHeight="1" x14ac:dyDescent="0.25">
      <c r="A2408" s="1">
        <f t="shared" si="128"/>
        <v>2407</v>
      </c>
      <c r="B2408" s="1"/>
      <c r="C2408" s="39"/>
      <c r="D2408" s="21"/>
      <c r="G2408" s="1"/>
      <c r="H2408" s="11" t="str">
        <f t="shared" si="129"/>
        <v>0 г. 0 мес. 0 дн.</v>
      </c>
      <c r="I2408" s="20"/>
      <c r="J2408" s="20"/>
      <c r="O2408" s="20"/>
      <c r="V2408" s="1" t="str">
        <f t="shared" si="130"/>
        <v>0 г. 0 мес. 0 дн.</v>
      </c>
      <c r="W2408" s="69"/>
    </row>
    <row r="2409" spans="1:23" ht="35.1" customHeight="1" x14ac:dyDescent="0.25">
      <c r="A2409" s="1">
        <f t="shared" si="128"/>
        <v>2408</v>
      </c>
      <c r="B2409" s="1"/>
      <c r="C2409" s="39"/>
      <c r="D2409" s="21"/>
      <c r="G2409" s="1"/>
      <c r="H2409" s="11" t="str">
        <f t="shared" si="129"/>
        <v>0 г. 0 мес. 0 дн.</v>
      </c>
      <c r="I2409" s="20"/>
      <c r="J2409" s="20"/>
      <c r="O2409" s="20"/>
      <c r="V2409" s="1" t="str">
        <f t="shared" si="130"/>
        <v>0 г. 0 мес. 0 дн.</v>
      </c>
      <c r="W2409" s="69"/>
    </row>
    <row r="2410" spans="1:23" ht="35.1" customHeight="1" x14ac:dyDescent="0.25">
      <c r="A2410" s="1">
        <f t="shared" si="128"/>
        <v>2409</v>
      </c>
      <c r="B2410" s="1"/>
      <c r="C2410" s="39"/>
      <c r="D2410" s="21"/>
      <c r="G2410" s="1"/>
      <c r="H2410" s="11" t="str">
        <f t="shared" si="129"/>
        <v>0 г. 0 мес. 0 дн.</v>
      </c>
      <c r="I2410" s="20"/>
      <c r="J2410" s="20"/>
      <c r="O2410" s="20"/>
      <c r="V2410" s="1" t="str">
        <f t="shared" si="130"/>
        <v>0 г. 0 мес. 0 дн.</v>
      </c>
      <c r="W2410" s="69"/>
    </row>
    <row r="2411" spans="1:23" ht="35.1" customHeight="1" x14ac:dyDescent="0.25">
      <c r="A2411" s="1">
        <f t="shared" si="128"/>
        <v>2410</v>
      </c>
      <c r="B2411" s="1"/>
      <c r="C2411" s="39"/>
      <c r="D2411" s="21"/>
      <c r="G2411" s="1"/>
      <c r="H2411" s="11" t="str">
        <f t="shared" si="129"/>
        <v>0 г. 0 мес. 0 дн.</v>
      </c>
      <c r="I2411" s="20"/>
      <c r="J2411" s="20"/>
      <c r="O2411" s="20"/>
      <c r="V2411" s="1" t="str">
        <f t="shared" si="130"/>
        <v>0 г. 0 мес. 0 дн.</v>
      </c>
      <c r="W2411" s="69"/>
    </row>
    <row r="2412" spans="1:23" ht="35.1" customHeight="1" x14ac:dyDescent="0.25">
      <c r="A2412" s="1">
        <f t="shared" si="128"/>
        <v>2411</v>
      </c>
      <c r="B2412" s="1"/>
      <c r="C2412" s="39"/>
      <c r="D2412" s="21"/>
      <c r="G2412" s="1"/>
      <c r="H2412" s="11" t="str">
        <f t="shared" si="129"/>
        <v>0 г. 0 мес. 0 дн.</v>
      </c>
      <c r="I2412" s="20"/>
      <c r="J2412" s="20"/>
      <c r="O2412" s="20"/>
      <c r="V2412" s="1" t="str">
        <f t="shared" si="130"/>
        <v>0 г. 0 мес. 0 дн.</v>
      </c>
      <c r="W2412" s="69"/>
    </row>
    <row r="2413" spans="1:23" ht="35.1" customHeight="1" x14ac:dyDescent="0.25">
      <c r="A2413" s="1">
        <f t="shared" si="128"/>
        <v>2412</v>
      </c>
      <c r="B2413" s="1"/>
      <c r="C2413" s="39"/>
      <c r="D2413" s="21"/>
      <c r="G2413" s="1"/>
      <c r="H2413" s="11" t="str">
        <f t="shared" si="129"/>
        <v>0 г. 0 мес. 0 дн.</v>
      </c>
      <c r="I2413" s="20"/>
      <c r="J2413" s="20"/>
      <c r="O2413" s="20"/>
      <c r="V2413" s="1" t="str">
        <f t="shared" si="130"/>
        <v>0 г. 0 мес. 0 дн.</v>
      </c>
      <c r="W2413" s="69"/>
    </row>
    <row r="2414" spans="1:23" ht="35.1" customHeight="1" x14ac:dyDescent="0.25">
      <c r="A2414" s="1">
        <f t="shared" si="128"/>
        <v>2413</v>
      </c>
      <c r="B2414" s="1"/>
      <c r="C2414" s="39"/>
      <c r="D2414" s="21"/>
      <c r="G2414" s="1"/>
      <c r="H2414" s="11" t="str">
        <f t="shared" si="129"/>
        <v>0 г. 0 мес. 0 дн.</v>
      </c>
      <c r="I2414" s="20"/>
      <c r="J2414" s="20"/>
      <c r="O2414" s="20"/>
      <c r="V2414" s="1" t="str">
        <f t="shared" si="130"/>
        <v>0 г. 0 мес. 0 дн.</v>
      </c>
      <c r="W2414" s="69"/>
    </row>
    <row r="2415" spans="1:23" ht="35.1" customHeight="1" x14ac:dyDescent="0.25">
      <c r="A2415" s="1">
        <f t="shared" si="128"/>
        <v>2414</v>
      </c>
      <c r="B2415" s="1"/>
      <c r="C2415" s="39"/>
      <c r="D2415" s="21"/>
      <c r="G2415" s="1"/>
      <c r="H2415" s="11" t="str">
        <f t="shared" si="129"/>
        <v>0 г. 0 мес. 0 дн.</v>
      </c>
      <c r="I2415" s="20"/>
      <c r="J2415" s="20"/>
      <c r="O2415" s="20"/>
      <c r="V2415" s="1" t="str">
        <f t="shared" si="130"/>
        <v>0 г. 0 мес. 0 дн.</v>
      </c>
      <c r="W2415" s="69"/>
    </row>
    <row r="2416" spans="1:23" ht="35.1" customHeight="1" x14ac:dyDescent="0.25">
      <c r="A2416" s="1">
        <f t="shared" si="128"/>
        <v>2415</v>
      </c>
      <c r="B2416" s="1"/>
      <c r="C2416" s="39"/>
      <c r="D2416" s="21"/>
      <c r="G2416" s="1"/>
      <c r="H2416" s="11" t="str">
        <f t="shared" si="129"/>
        <v>0 г. 0 мес. 0 дн.</v>
      </c>
      <c r="I2416" s="20"/>
      <c r="J2416" s="20"/>
      <c r="O2416" s="20"/>
      <c r="V2416" s="1" t="str">
        <f t="shared" si="130"/>
        <v>0 г. 0 мес. 0 дн.</v>
      </c>
      <c r="W2416" s="69"/>
    </row>
    <row r="2417" spans="1:23" ht="35.1" customHeight="1" x14ac:dyDescent="0.25">
      <c r="A2417" s="1">
        <f t="shared" si="128"/>
        <v>2416</v>
      </c>
      <c r="B2417" s="1"/>
      <c r="C2417" s="39"/>
      <c r="D2417" s="21"/>
      <c r="G2417" s="1"/>
      <c r="H2417" s="11" t="str">
        <f t="shared" si="129"/>
        <v>0 г. 0 мес. 0 дн.</v>
      </c>
      <c r="I2417" s="20"/>
      <c r="J2417" s="20"/>
      <c r="O2417" s="20"/>
      <c r="V2417" s="1" t="str">
        <f t="shared" si="130"/>
        <v>0 г. 0 мес. 0 дн.</v>
      </c>
      <c r="W2417" s="69"/>
    </row>
    <row r="2418" spans="1:23" ht="35.1" customHeight="1" x14ac:dyDescent="0.25">
      <c r="A2418" s="1">
        <f t="shared" si="128"/>
        <v>2417</v>
      </c>
      <c r="B2418" s="1"/>
      <c r="C2418" s="39"/>
      <c r="D2418" s="21"/>
      <c r="G2418" s="1"/>
      <c r="H2418" s="11" t="str">
        <f t="shared" si="129"/>
        <v>0 г. 0 мес. 0 дн.</v>
      </c>
      <c r="I2418" s="20"/>
      <c r="J2418" s="20"/>
      <c r="O2418" s="20"/>
      <c r="V2418" s="1" t="str">
        <f t="shared" si="130"/>
        <v>0 г. 0 мес. 0 дн.</v>
      </c>
      <c r="W2418" s="69"/>
    </row>
    <row r="2419" spans="1:23" ht="35.1" customHeight="1" x14ac:dyDescent="0.25">
      <c r="A2419" s="1">
        <f t="shared" si="128"/>
        <v>2418</v>
      </c>
      <c r="B2419" s="1"/>
      <c r="C2419" s="39"/>
      <c r="D2419" s="21"/>
      <c r="G2419" s="1"/>
      <c r="H2419" s="11" t="str">
        <f t="shared" si="129"/>
        <v>0 г. 0 мес. 0 дн.</v>
      </c>
      <c r="I2419" s="20"/>
      <c r="J2419" s="20"/>
      <c r="O2419" s="20"/>
      <c r="V2419" s="1" t="str">
        <f t="shared" si="130"/>
        <v>0 г. 0 мес. 0 дн.</v>
      </c>
      <c r="W2419" s="69"/>
    </row>
    <row r="2420" spans="1:23" ht="35.1" customHeight="1" x14ac:dyDescent="0.25">
      <c r="A2420" s="1">
        <f t="shared" si="128"/>
        <v>2419</v>
      </c>
      <c r="B2420" s="1"/>
      <c r="C2420" s="39"/>
      <c r="D2420" s="21"/>
      <c r="G2420" s="1"/>
      <c r="H2420" s="11" t="str">
        <f t="shared" si="129"/>
        <v>0 г. 0 мес. 0 дн.</v>
      </c>
      <c r="I2420" s="20"/>
      <c r="J2420" s="20"/>
      <c r="O2420" s="20"/>
      <c r="V2420" s="1" t="str">
        <f t="shared" si="130"/>
        <v>0 г. 0 мес. 0 дн.</v>
      </c>
      <c r="W2420" s="69"/>
    </row>
    <row r="2421" spans="1:23" ht="35.1" customHeight="1" x14ac:dyDescent="0.25">
      <c r="A2421" s="1">
        <f t="shared" si="128"/>
        <v>2420</v>
      </c>
      <c r="B2421" s="1"/>
      <c r="C2421" s="39"/>
      <c r="D2421" s="21"/>
      <c r="G2421" s="1"/>
      <c r="H2421" s="11" t="str">
        <f t="shared" si="129"/>
        <v>0 г. 0 мес. 0 дн.</v>
      </c>
      <c r="I2421" s="20"/>
      <c r="J2421" s="20"/>
      <c r="O2421" s="20"/>
      <c r="V2421" s="1" t="str">
        <f t="shared" si="130"/>
        <v>0 г. 0 мес. 0 дн.</v>
      </c>
      <c r="W2421" s="69"/>
    </row>
    <row r="2422" spans="1:23" ht="35.1" customHeight="1" x14ac:dyDescent="0.25">
      <c r="A2422" s="1">
        <f t="shared" si="128"/>
        <v>2421</v>
      </c>
      <c r="B2422" s="1"/>
      <c r="C2422" s="39"/>
      <c r="D2422" s="21"/>
      <c r="G2422" s="1"/>
      <c r="H2422" s="11" t="str">
        <f t="shared" si="129"/>
        <v>0 г. 0 мес. 0 дн.</v>
      </c>
      <c r="I2422" s="20"/>
      <c r="J2422" s="20"/>
      <c r="O2422" s="20"/>
      <c r="V2422" s="1" t="str">
        <f t="shared" si="130"/>
        <v>0 г. 0 мес. 0 дн.</v>
      </c>
      <c r="W2422" s="69"/>
    </row>
    <row r="2423" spans="1:23" ht="35.1" customHeight="1" x14ac:dyDescent="0.25">
      <c r="A2423" s="1">
        <f t="shared" si="128"/>
        <v>2422</v>
      </c>
      <c r="B2423" s="1"/>
      <c r="C2423" s="39"/>
      <c r="D2423" s="21"/>
      <c r="G2423" s="1"/>
      <c r="H2423" s="11" t="str">
        <f t="shared" si="129"/>
        <v>0 г. 0 мес. 0 дн.</v>
      </c>
      <c r="I2423" s="20"/>
      <c r="J2423" s="20"/>
      <c r="O2423" s="20"/>
      <c r="V2423" s="1" t="str">
        <f t="shared" si="130"/>
        <v>0 г. 0 мес. 0 дн.</v>
      </c>
      <c r="W2423" s="69"/>
    </row>
    <row r="2424" spans="1:23" ht="35.1" customHeight="1" x14ac:dyDescent="0.25">
      <c r="A2424" s="1">
        <f t="shared" si="128"/>
        <v>2423</v>
      </c>
      <c r="B2424" s="1"/>
      <c r="C2424" s="39"/>
      <c r="D2424" s="21"/>
      <c r="G2424" s="1"/>
      <c r="H2424" s="11" t="str">
        <f t="shared" si="129"/>
        <v>0 г. 0 мес. 0 дн.</v>
      </c>
      <c r="I2424" s="20"/>
      <c r="J2424" s="20"/>
      <c r="O2424" s="20"/>
      <c r="V2424" s="1" t="str">
        <f t="shared" si="130"/>
        <v>0 г. 0 мес. 0 дн.</v>
      </c>
      <c r="W2424" s="69"/>
    </row>
    <row r="2425" spans="1:23" ht="35.1" customHeight="1" x14ac:dyDescent="0.25">
      <c r="A2425" s="1">
        <f t="shared" si="128"/>
        <v>2424</v>
      </c>
      <c r="B2425" s="1"/>
      <c r="C2425" s="39"/>
      <c r="D2425" s="21"/>
      <c r="G2425" s="1"/>
      <c r="H2425" s="11" t="str">
        <f t="shared" si="129"/>
        <v>0 г. 0 мес. 0 дн.</v>
      </c>
      <c r="I2425" s="20"/>
      <c r="J2425" s="20"/>
      <c r="O2425" s="20"/>
      <c r="V2425" s="1" t="str">
        <f t="shared" si="130"/>
        <v>0 г. 0 мес. 0 дн.</v>
      </c>
      <c r="W2425" s="69"/>
    </row>
    <row r="2426" spans="1:23" ht="35.1" customHeight="1" x14ac:dyDescent="0.25">
      <c r="A2426" s="1">
        <f t="shared" si="128"/>
        <v>2425</v>
      </c>
      <c r="B2426" s="1"/>
      <c r="C2426" s="39"/>
      <c r="D2426" s="21"/>
      <c r="G2426" s="1"/>
      <c r="H2426" s="11" t="str">
        <f t="shared" si="129"/>
        <v>0 г. 0 мес. 0 дн.</v>
      </c>
      <c r="I2426" s="20"/>
      <c r="J2426" s="20"/>
      <c r="O2426" s="20"/>
      <c r="V2426" s="1" t="str">
        <f t="shared" si="130"/>
        <v>0 г. 0 мес. 0 дн.</v>
      </c>
      <c r="W2426" s="69"/>
    </row>
    <row r="2427" spans="1:23" ht="35.1" customHeight="1" x14ac:dyDescent="0.25">
      <c r="A2427" s="1">
        <f t="shared" si="128"/>
        <v>2426</v>
      </c>
      <c r="B2427" s="1"/>
      <c r="C2427" s="39"/>
      <c r="D2427" s="21"/>
      <c r="G2427" s="1"/>
      <c r="H2427" s="11" t="str">
        <f t="shared" si="129"/>
        <v>0 г. 0 мес. 0 дн.</v>
      </c>
      <c r="I2427" s="20"/>
      <c r="J2427" s="20"/>
      <c r="O2427" s="20"/>
      <c r="V2427" s="1" t="str">
        <f t="shared" si="130"/>
        <v>0 г. 0 мес. 0 дн.</v>
      </c>
      <c r="W2427" s="69"/>
    </row>
    <row r="2428" spans="1:23" ht="35.1" customHeight="1" x14ac:dyDescent="0.25">
      <c r="A2428" s="1">
        <f t="shared" si="128"/>
        <v>2427</v>
      </c>
      <c r="B2428" s="1"/>
      <c r="C2428" s="39"/>
      <c r="D2428" s="21"/>
      <c r="G2428" s="1"/>
      <c r="H2428" s="11" t="str">
        <f t="shared" si="129"/>
        <v>0 г. 0 мес. 0 дн.</v>
      </c>
      <c r="I2428" s="20"/>
      <c r="J2428" s="20"/>
      <c r="O2428" s="20"/>
      <c r="V2428" s="1" t="str">
        <f t="shared" si="130"/>
        <v>0 г. 0 мес. 0 дн.</v>
      </c>
      <c r="W2428" s="69"/>
    </row>
    <row r="2429" spans="1:23" ht="35.1" customHeight="1" x14ac:dyDescent="0.25">
      <c r="A2429" s="1">
        <f t="shared" si="128"/>
        <v>2428</v>
      </c>
      <c r="B2429" s="1"/>
      <c r="C2429" s="39"/>
      <c r="D2429" s="21"/>
      <c r="G2429" s="1"/>
      <c r="H2429" s="11" t="str">
        <f t="shared" si="129"/>
        <v>0 г. 0 мес. 0 дн.</v>
      </c>
      <c r="I2429" s="20"/>
      <c r="J2429" s="20"/>
      <c r="O2429" s="20"/>
      <c r="V2429" s="1" t="str">
        <f t="shared" si="130"/>
        <v>0 г. 0 мес. 0 дн.</v>
      </c>
      <c r="W2429" s="69"/>
    </row>
    <row r="2430" spans="1:23" ht="35.1" customHeight="1" x14ac:dyDescent="0.25">
      <c r="A2430" s="1">
        <f t="shared" si="128"/>
        <v>2429</v>
      </c>
      <c r="B2430" s="1"/>
      <c r="C2430" s="39"/>
      <c r="D2430" s="21"/>
      <c r="G2430" s="1"/>
      <c r="H2430" s="11" t="str">
        <f t="shared" si="129"/>
        <v>0 г. 0 мес. 0 дн.</v>
      </c>
      <c r="I2430" s="20"/>
      <c r="J2430" s="20"/>
      <c r="O2430" s="20"/>
      <c r="V2430" s="1" t="str">
        <f t="shared" si="130"/>
        <v>0 г. 0 мес. 0 дн.</v>
      </c>
      <c r="W2430" s="69"/>
    </row>
    <row r="2431" spans="1:23" ht="35.1" customHeight="1" x14ac:dyDescent="0.25">
      <c r="A2431" s="1">
        <f t="shared" si="128"/>
        <v>2430</v>
      </c>
      <c r="B2431" s="1"/>
      <c r="C2431" s="39"/>
      <c r="D2431" s="21"/>
      <c r="G2431" s="1"/>
      <c r="H2431" s="11" t="str">
        <f t="shared" si="129"/>
        <v>0 г. 0 мес. 0 дн.</v>
      </c>
      <c r="I2431" s="20"/>
      <c r="J2431" s="20"/>
      <c r="O2431" s="20"/>
      <c r="V2431" s="1" t="str">
        <f t="shared" si="130"/>
        <v>0 г. 0 мес. 0 дн.</v>
      </c>
      <c r="W2431" s="69"/>
    </row>
    <row r="2432" spans="1:23" ht="35.1" customHeight="1" x14ac:dyDescent="0.25">
      <c r="A2432" s="1">
        <f t="shared" si="128"/>
        <v>2431</v>
      </c>
      <c r="B2432" s="1"/>
      <c r="C2432" s="39"/>
      <c r="D2432" s="21"/>
      <c r="G2432" s="1"/>
      <c r="H2432" s="11" t="str">
        <f t="shared" si="129"/>
        <v>0 г. 0 мес. 0 дн.</v>
      </c>
      <c r="I2432" s="20"/>
      <c r="J2432" s="20"/>
      <c r="O2432" s="20"/>
      <c r="V2432" s="1" t="str">
        <f t="shared" si="130"/>
        <v>0 г. 0 мес. 0 дн.</v>
      </c>
      <c r="W2432" s="69"/>
    </row>
    <row r="2433" spans="1:23" ht="35.1" customHeight="1" x14ac:dyDescent="0.25">
      <c r="A2433" s="1">
        <f t="shared" ref="A2433:A2496" si="131">ROW(A2432)</f>
        <v>2432</v>
      </c>
      <c r="B2433" s="1"/>
      <c r="C2433" s="39"/>
      <c r="D2433" s="21"/>
      <c r="G2433" s="1"/>
      <c r="H2433" s="11" t="str">
        <f t="shared" ref="H2433:H2496" si="132">DATEDIF(G2433,D2433,"y") &amp; " г. " &amp; DATEDIF(G2433,D2433,"ym") &amp; " мес. " &amp; DATEDIF(G2433,D2433,"md") &amp; " дн."</f>
        <v>0 г. 0 мес. 0 дн.</v>
      </c>
      <c r="I2433" s="20"/>
      <c r="J2433" s="20"/>
      <c r="O2433" s="20"/>
      <c r="V2433" s="1" t="str">
        <f t="shared" si="130"/>
        <v>0 г. 0 мес. 0 дн.</v>
      </c>
      <c r="W2433" s="69"/>
    </row>
    <row r="2434" spans="1:23" ht="35.1" customHeight="1" x14ac:dyDescent="0.25">
      <c r="A2434" s="1">
        <f t="shared" si="131"/>
        <v>2433</v>
      </c>
      <c r="B2434" s="1"/>
      <c r="C2434" s="39"/>
      <c r="D2434" s="21"/>
      <c r="G2434" s="1"/>
      <c r="H2434" s="11" t="str">
        <f t="shared" si="132"/>
        <v>0 г. 0 мес. 0 дн.</v>
      </c>
      <c r="I2434" s="20"/>
      <c r="J2434" s="20"/>
      <c r="O2434" s="20"/>
      <c r="V2434" s="1" t="str">
        <f t="shared" si="130"/>
        <v>0 г. 0 мес. 0 дн.</v>
      </c>
      <c r="W2434" s="69"/>
    </row>
    <row r="2435" spans="1:23" ht="35.1" customHeight="1" x14ac:dyDescent="0.25">
      <c r="A2435" s="1">
        <f t="shared" si="131"/>
        <v>2434</v>
      </c>
      <c r="B2435" s="1"/>
      <c r="C2435" s="39"/>
      <c r="D2435" s="21"/>
      <c r="G2435" s="1"/>
      <c r="H2435" s="11" t="str">
        <f t="shared" si="132"/>
        <v>0 г. 0 мес. 0 дн.</v>
      </c>
      <c r="I2435" s="20"/>
      <c r="J2435" s="20"/>
      <c r="O2435" s="20"/>
      <c r="V2435" s="1" t="str">
        <f t="shared" si="130"/>
        <v>0 г. 0 мес. 0 дн.</v>
      </c>
      <c r="W2435" s="69"/>
    </row>
    <row r="2436" spans="1:23" ht="35.1" customHeight="1" x14ac:dyDescent="0.25">
      <c r="A2436" s="1">
        <f t="shared" si="131"/>
        <v>2435</v>
      </c>
      <c r="B2436" s="1"/>
      <c r="C2436" s="39"/>
      <c r="D2436" s="21"/>
      <c r="G2436" s="1"/>
      <c r="H2436" s="11" t="str">
        <f t="shared" si="132"/>
        <v>0 г. 0 мес. 0 дн.</v>
      </c>
      <c r="I2436" s="20"/>
      <c r="J2436" s="20"/>
      <c r="O2436" s="20"/>
      <c r="V2436" s="1" t="str">
        <f t="shared" si="130"/>
        <v>0 г. 0 мес. 0 дн.</v>
      </c>
      <c r="W2436" s="69"/>
    </row>
    <row r="2437" spans="1:23" ht="35.1" customHeight="1" x14ac:dyDescent="0.25">
      <c r="A2437" s="1">
        <f t="shared" si="131"/>
        <v>2436</v>
      </c>
      <c r="B2437" s="1"/>
      <c r="C2437" s="39"/>
      <c r="D2437" s="21"/>
      <c r="G2437" s="1"/>
      <c r="H2437" s="11" t="str">
        <f t="shared" si="132"/>
        <v>0 г. 0 мес. 0 дн.</v>
      </c>
      <c r="I2437" s="20"/>
      <c r="J2437" s="20"/>
      <c r="O2437" s="20"/>
      <c r="V2437" s="1" t="str">
        <f t="shared" si="130"/>
        <v>0 г. 0 мес. 0 дн.</v>
      </c>
      <c r="W2437" s="69"/>
    </row>
    <row r="2438" spans="1:23" ht="35.1" customHeight="1" x14ac:dyDescent="0.25">
      <c r="A2438" s="1">
        <f t="shared" si="131"/>
        <v>2437</v>
      </c>
      <c r="B2438" s="1"/>
      <c r="C2438" s="39"/>
      <c r="D2438" s="21"/>
      <c r="G2438" s="1"/>
      <c r="H2438" s="11" t="str">
        <f t="shared" si="132"/>
        <v>0 г. 0 мес. 0 дн.</v>
      </c>
      <c r="I2438" s="20"/>
      <c r="J2438" s="20"/>
      <c r="O2438" s="20"/>
      <c r="V2438" s="1" t="str">
        <f t="shared" si="130"/>
        <v>0 г. 0 мес. 0 дн.</v>
      </c>
      <c r="W2438" s="69"/>
    </row>
    <row r="2439" spans="1:23" ht="35.1" customHeight="1" x14ac:dyDescent="0.25">
      <c r="A2439" s="1">
        <f t="shared" si="131"/>
        <v>2438</v>
      </c>
      <c r="B2439" s="1"/>
      <c r="C2439" s="39"/>
      <c r="D2439" s="21"/>
      <c r="G2439" s="1"/>
      <c r="H2439" s="11" t="str">
        <f t="shared" si="132"/>
        <v>0 г. 0 мес. 0 дн.</v>
      </c>
      <c r="I2439" s="20"/>
      <c r="J2439" s="20"/>
      <c r="O2439" s="20"/>
      <c r="V2439" s="1" t="str">
        <f t="shared" si="130"/>
        <v>0 г. 0 мес. 0 дн.</v>
      </c>
      <c r="W2439" s="69"/>
    </row>
    <row r="2440" spans="1:23" ht="35.1" customHeight="1" x14ac:dyDescent="0.25">
      <c r="A2440" s="1">
        <f t="shared" si="131"/>
        <v>2439</v>
      </c>
      <c r="B2440" s="1"/>
      <c r="C2440" s="39"/>
      <c r="D2440" s="21"/>
      <c r="G2440" s="1"/>
      <c r="H2440" s="11" t="str">
        <f t="shared" si="132"/>
        <v>0 г. 0 мес. 0 дн.</v>
      </c>
      <c r="I2440" s="20"/>
      <c r="J2440" s="20"/>
      <c r="O2440" s="20"/>
      <c r="V2440" s="1" t="str">
        <f t="shared" si="130"/>
        <v>0 г. 0 мес. 0 дн.</v>
      </c>
      <c r="W2440" s="69"/>
    </row>
    <row r="2441" spans="1:23" ht="35.1" customHeight="1" x14ac:dyDescent="0.25">
      <c r="A2441" s="1">
        <f t="shared" si="131"/>
        <v>2440</v>
      </c>
      <c r="B2441" s="1"/>
      <c r="C2441" s="39"/>
      <c r="D2441" s="21"/>
      <c r="G2441" s="1"/>
      <c r="H2441" s="11" t="str">
        <f t="shared" si="132"/>
        <v>0 г. 0 мес. 0 дн.</v>
      </c>
      <c r="I2441" s="20"/>
      <c r="J2441" s="20"/>
      <c r="O2441" s="20"/>
      <c r="V2441" s="1" t="str">
        <f t="shared" si="130"/>
        <v>0 г. 0 мес. 0 дн.</v>
      </c>
      <c r="W2441" s="69"/>
    </row>
    <row r="2442" spans="1:23" ht="35.1" customHeight="1" x14ac:dyDescent="0.25">
      <c r="A2442" s="1">
        <f t="shared" si="131"/>
        <v>2441</v>
      </c>
      <c r="B2442" s="1"/>
      <c r="C2442" s="39"/>
      <c r="D2442" s="21"/>
      <c r="G2442" s="1"/>
      <c r="H2442" s="11" t="str">
        <f t="shared" si="132"/>
        <v>0 г. 0 мес. 0 дн.</v>
      </c>
      <c r="I2442" s="20"/>
      <c r="J2442" s="20"/>
      <c r="O2442" s="20"/>
      <c r="V2442" s="1" t="str">
        <f t="shared" si="130"/>
        <v>0 г. 0 мес. 0 дн.</v>
      </c>
      <c r="W2442" s="69"/>
    </row>
    <row r="2443" spans="1:23" ht="35.1" customHeight="1" x14ac:dyDescent="0.25">
      <c r="A2443" s="1">
        <f t="shared" si="131"/>
        <v>2442</v>
      </c>
      <c r="B2443" s="1"/>
      <c r="C2443" s="39"/>
      <c r="D2443" s="21"/>
      <c r="G2443" s="1"/>
      <c r="H2443" s="11" t="str">
        <f t="shared" si="132"/>
        <v>0 г. 0 мес. 0 дн.</v>
      </c>
      <c r="I2443" s="20"/>
      <c r="J2443" s="20"/>
      <c r="O2443" s="20"/>
      <c r="V2443" s="1" t="str">
        <f t="shared" si="130"/>
        <v>0 г. 0 мес. 0 дн.</v>
      </c>
      <c r="W2443" s="69"/>
    </row>
    <row r="2444" spans="1:23" ht="35.1" customHeight="1" x14ac:dyDescent="0.25">
      <c r="A2444" s="1">
        <f t="shared" si="131"/>
        <v>2443</v>
      </c>
      <c r="B2444" s="1"/>
      <c r="C2444" s="39"/>
      <c r="D2444" s="21"/>
      <c r="G2444" s="1"/>
      <c r="H2444" s="11" t="str">
        <f t="shared" si="132"/>
        <v>0 г. 0 мес. 0 дн.</v>
      </c>
      <c r="I2444" s="20"/>
      <c r="J2444" s="20"/>
      <c r="O2444" s="20"/>
      <c r="V2444" s="1" t="str">
        <f t="shared" si="130"/>
        <v>0 г. 0 мес. 0 дн.</v>
      </c>
      <c r="W2444" s="69"/>
    </row>
    <row r="2445" spans="1:23" ht="35.1" customHeight="1" x14ac:dyDescent="0.25">
      <c r="A2445" s="1">
        <f t="shared" si="131"/>
        <v>2444</v>
      </c>
      <c r="B2445" s="1"/>
      <c r="C2445" s="39"/>
      <c r="D2445" s="21"/>
      <c r="G2445" s="1"/>
      <c r="H2445" s="11" t="str">
        <f t="shared" si="132"/>
        <v>0 г. 0 мес. 0 дн.</v>
      </c>
      <c r="I2445" s="20"/>
      <c r="J2445" s="20"/>
      <c r="O2445" s="20"/>
      <c r="V2445" s="1" t="str">
        <f t="shared" si="130"/>
        <v>0 г. 0 мес. 0 дн.</v>
      </c>
      <c r="W2445" s="69"/>
    </row>
    <row r="2446" spans="1:23" ht="35.1" customHeight="1" x14ac:dyDescent="0.25">
      <c r="A2446" s="1">
        <f t="shared" si="131"/>
        <v>2445</v>
      </c>
      <c r="B2446" s="1"/>
      <c r="C2446" s="39"/>
      <c r="D2446" s="21"/>
      <c r="G2446" s="1"/>
      <c r="H2446" s="11" t="str">
        <f t="shared" si="132"/>
        <v>0 г. 0 мес. 0 дн.</v>
      </c>
      <c r="I2446" s="20"/>
      <c r="J2446" s="20"/>
      <c r="O2446" s="20"/>
      <c r="V2446" s="1" t="str">
        <f t="shared" si="130"/>
        <v>0 г. 0 мес. 0 дн.</v>
      </c>
      <c r="W2446" s="69"/>
    </row>
    <row r="2447" spans="1:23" ht="35.1" customHeight="1" x14ac:dyDescent="0.25">
      <c r="A2447" s="1">
        <f t="shared" si="131"/>
        <v>2446</v>
      </c>
      <c r="B2447" s="1"/>
      <c r="C2447" s="39"/>
      <c r="D2447" s="21"/>
      <c r="G2447" s="1"/>
      <c r="H2447" s="11" t="str">
        <f t="shared" si="132"/>
        <v>0 г. 0 мес. 0 дн.</v>
      </c>
      <c r="I2447" s="20"/>
      <c r="J2447" s="20"/>
      <c r="O2447" s="20"/>
      <c r="V2447" s="1" t="str">
        <f t="shared" si="130"/>
        <v>0 г. 0 мес. 0 дн.</v>
      </c>
      <c r="W2447" s="69"/>
    </row>
    <row r="2448" spans="1:23" ht="35.1" customHeight="1" x14ac:dyDescent="0.25">
      <c r="A2448" s="1">
        <f t="shared" si="131"/>
        <v>2447</v>
      </c>
      <c r="B2448" s="1"/>
      <c r="C2448" s="39"/>
      <c r="D2448" s="21"/>
      <c r="G2448" s="1"/>
      <c r="H2448" s="11" t="str">
        <f t="shared" si="132"/>
        <v>0 г. 0 мес. 0 дн.</v>
      </c>
      <c r="I2448" s="20"/>
      <c r="J2448" s="20"/>
      <c r="O2448" s="20"/>
      <c r="V2448" s="1" t="str">
        <f t="shared" si="130"/>
        <v>0 г. 0 мес. 0 дн.</v>
      </c>
      <c r="W2448" s="69"/>
    </row>
    <row r="2449" spans="1:23" ht="35.1" customHeight="1" x14ac:dyDescent="0.25">
      <c r="A2449" s="1">
        <f t="shared" si="131"/>
        <v>2448</v>
      </c>
      <c r="B2449" s="1"/>
      <c r="C2449" s="39"/>
      <c r="D2449" s="21"/>
      <c r="G2449" s="1"/>
      <c r="H2449" s="11" t="str">
        <f t="shared" si="132"/>
        <v>0 г. 0 мес. 0 дн.</v>
      </c>
      <c r="I2449" s="20"/>
      <c r="J2449" s="20"/>
      <c r="O2449" s="20"/>
      <c r="V2449" s="1" t="str">
        <f t="shared" si="130"/>
        <v>0 г. 0 мес. 0 дн.</v>
      </c>
      <c r="W2449" s="69"/>
    </row>
    <row r="2450" spans="1:23" ht="35.1" customHeight="1" x14ac:dyDescent="0.25">
      <c r="A2450" s="1">
        <f t="shared" si="131"/>
        <v>2449</v>
      </c>
      <c r="B2450" s="1"/>
      <c r="C2450" s="39"/>
      <c r="D2450" s="21"/>
      <c r="G2450" s="1"/>
      <c r="H2450" s="11" t="str">
        <f t="shared" si="132"/>
        <v>0 г. 0 мес. 0 дн.</v>
      </c>
      <c r="I2450" s="20"/>
      <c r="J2450" s="20"/>
      <c r="O2450" s="20"/>
      <c r="V2450" s="1" t="str">
        <f t="shared" si="130"/>
        <v>0 г. 0 мес. 0 дн.</v>
      </c>
      <c r="W2450" s="69"/>
    </row>
    <row r="2451" spans="1:23" ht="35.1" customHeight="1" x14ac:dyDescent="0.25">
      <c r="A2451" s="1">
        <f t="shared" si="131"/>
        <v>2450</v>
      </c>
      <c r="B2451" s="1"/>
      <c r="C2451" s="39"/>
      <c r="D2451" s="21"/>
      <c r="G2451" s="1"/>
      <c r="H2451" s="11" t="str">
        <f t="shared" si="132"/>
        <v>0 г. 0 мес. 0 дн.</v>
      </c>
      <c r="I2451" s="20"/>
      <c r="J2451" s="20"/>
      <c r="O2451" s="20"/>
      <c r="V2451" s="1" t="str">
        <f t="shared" si="130"/>
        <v>0 г. 0 мес. 0 дн.</v>
      </c>
      <c r="W2451" s="69"/>
    </row>
    <row r="2452" spans="1:23" ht="35.1" customHeight="1" x14ac:dyDescent="0.25">
      <c r="A2452" s="1">
        <f t="shared" si="131"/>
        <v>2451</v>
      </c>
      <c r="B2452" s="1"/>
      <c r="C2452" s="39"/>
      <c r="D2452" s="21"/>
      <c r="G2452" s="1"/>
      <c r="H2452" s="11" t="str">
        <f t="shared" si="132"/>
        <v>0 г. 0 мес. 0 дн.</v>
      </c>
      <c r="I2452" s="20"/>
      <c r="J2452" s="20"/>
      <c r="O2452" s="20"/>
      <c r="V2452" s="1" t="str">
        <f t="shared" si="130"/>
        <v>0 г. 0 мес. 0 дн.</v>
      </c>
      <c r="W2452" s="69"/>
    </row>
    <row r="2453" spans="1:23" ht="35.1" customHeight="1" x14ac:dyDescent="0.25">
      <c r="A2453" s="1">
        <f t="shared" si="131"/>
        <v>2452</v>
      </c>
      <c r="B2453" s="1"/>
      <c r="C2453" s="39"/>
      <c r="D2453" s="21"/>
      <c r="G2453" s="1"/>
      <c r="H2453" s="11" t="str">
        <f t="shared" si="132"/>
        <v>0 г. 0 мес. 0 дн.</v>
      </c>
      <c r="I2453" s="20"/>
      <c r="J2453" s="20"/>
      <c r="O2453" s="20"/>
      <c r="V2453" s="1" t="str">
        <f t="shared" si="130"/>
        <v>0 г. 0 мес. 0 дн.</v>
      </c>
      <c r="W2453" s="69"/>
    </row>
    <row r="2454" spans="1:23" ht="35.1" customHeight="1" x14ac:dyDescent="0.25">
      <c r="A2454" s="1">
        <f t="shared" si="131"/>
        <v>2453</v>
      </c>
      <c r="B2454" s="1"/>
      <c r="C2454" s="39"/>
      <c r="D2454" s="21"/>
      <c r="G2454" s="1"/>
      <c r="H2454" s="11" t="str">
        <f t="shared" si="132"/>
        <v>0 г. 0 мес. 0 дн.</v>
      </c>
      <c r="I2454" s="20"/>
      <c r="J2454" s="20"/>
      <c r="O2454" s="20"/>
      <c r="V2454" s="1" t="str">
        <f t="shared" si="130"/>
        <v>0 г. 0 мес. 0 дн.</v>
      </c>
      <c r="W2454" s="69"/>
    </row>
    <row r="2455" spans="1:23" ht="35.1" customHeight="1" x14ac:dyDescent="0.25">
      <c r="A2455" s="1">
        <f t="shared" si="131"/>
        <v>2454</v>
      </c>
      <c r="B2455" s="1"/>
      <c r="C2455" s="39"/>
      <c r="D2455" s="21"/>
      <c r="G2455" s="1"/>
      <c r="H2455" s="11" t="str">
        <f t="shared" si="132"/>
        <v>0 г. 0 мес. 0 дн.</v>
      </c>
      <c r="I2455" s="20"/>
      <c r="J2455" s="20"/>
      <c r="O2455" s="20"/>
      <c r="V2455" s="1" t="str">
        <f t="shared" si="130"/>
        <v>0 г. 0 мес. 0 дн.</v>
      </c>
      <c r="W2455" s="69"/>
    </row>
    <row r="2456" spans="1:23" ht="35.1" customHeight="1" x14ac:dyDescent="0.25">
      <c r="A2456" s="1">
        <f t="shared" si="131"/>
        <v>2455</v>
      </c>
      <c r="B2456" s="1"/>
      <c r="C2456" s="39"/>
      <c r="D2456" s="21"/>
      <c r="G2456" s="1"/>
      <c r="H2456" s="11" t="str">
        <f t="shared" si="132"/>
        <v>0 г. 0 мес. 0 дн.</v>
      </c>
      <c r="I2456" s="20"/>
      <c r="J2456" s="20"/>
      <c r="O2456" s="20"/>
      <c r="V2456" s="1" t="str">
        <f t="shared" si="130"/>
        <v>0 г. 0 мес. 0 дн.</v>
      </c>
      <c r="W2456" s="69"/>
    </row>
    <row r="2457" spans="1:23" ht="35.1" customHeight="1" x14ac:dyDescent="0.25">
      <c r="A2457" s="1">
        <f t="shared" si="131"/>
        <v>2456</v>
      </c>
      <c r="B2457" s="1"/>
      <c r="C2457" s="39"/>
      <c r="D2457" s="21"/>
      <c r="G2457" s="1"/>
      <c r="H2457" s="11" t="str">
        <f t="shared" si="132"/>
        <v>0 г. 0 мес. 0 дн.</v>
      </c>
      <c r="I2457" s="20"/>
      <c r="J2457" s="20"/>
      <c r="O2457" s="20"/>
      <c r="V2457" s="1" t="str">
        <f t="shared" ref="V2457:V2510" si="133">DATEDIF(D2457,T2457,"y") &amp; " г. " &amp; DATEDIF(D2457,T2457,"ym") &amp; " мес. " &amp; DATEDIF(D2457,T2457,"md") &amp; " дн."</f>
        <v>0 г. 0 мес. 0 дн.</v>
      </c>
      <c r="W2457" s="69"/>
    </row>
    <row r="2458" spans="1:23" ht="35.1" customHeight="1" x14ac:dyDescent="0.25">
      <c r="A2458" s="1">
        <f t="shared" si="131"/>
        <v>2457</v>
      </c>
      <c r="B2458" s="1"/>
      <c r="C2458" s="39"/>
      <c r="D2458" s="21"/>
      <c r="G2458" s="1"/>
      <c r="H2458" s="11" t="str">
        <f t="shared" si="132"/>
        <v>0 г. 0 мес. 0 дн.</v>
      </c>
      <c r="I2458" s="20"/>
      <c r="J2458" s="20"/>
      <c r="O2458" s="20"/>
      <c r="V2458" s="1" t="str">
        <f t="shared" si="133"/>
        <v>0 г. 0 мес. 0 дн.</v>
      </c>
      <c r="W2458" s="69"/>
    </row>
    <row r="2459" spans="1:23" ht="35.1" customHeight="1" x14ac:dyDescent="0.25">
      <c r="A2459" s="1">
        <f t="shared" si="131"/>
        <v>2458</v>
      </c>
      <c r="B2459" s="1"/>
      <c r="C2459" s="39"/>
      <c r="D2459" s="21"/>
      <c r="G2459" s="1"/>
      <c r="H2459" s="11" t="str">
        <f t="shared" si="132"/>
        <v>0 г. 0 мес. 0 дн.</v>
      </c>
      <c r="I2459" s="20"/>
      <c r="J2459" s="20"/>
      <c r="O2459" s="20"/>
      <c r="V2459" s="1" t="str">
        <f t="shared" si="133"/>
        <v>0 г. 0 мес. 0 дн.</v>
      </c>
      <c r="W2459" s="69"/>
    </row>
    <row r="2460" spans="1:23" ht="35.1" customHeight="1" x14ac:dyDescent="0.25">
      <c r="A2460" s="1">
        <f t="shared" si="131"/>
        <v>2459</v>
      </c>
      <c r="B2460" s="1"/>
      <c r="C2460" s="39"/>
      <c r="D2460" s="21"/>
      <c r="G2460" s="1"/>
      <c r="H2460" s="11" t="str">
        <f t="shared" si="132"/>
        <v>0 г. 0 мес. 0 дн.</v>
      </c>
      <c r="I2460" s="20"/>
      <c r="J2460" s="20"/>
      <c r="O2460" s="20"/>
      <c r="V2460" s="1" t="str">
        <f t="shared" si="133"/>
        <v>0 г. 0 мес. 0 дн.</v>
      </c>
      <c r="W2460" s="69"/>
    </row>
    <row r="2461" spans="1:23" ht="35.1" customHeight="1" x14ac:dyDescent="0.25">
      <c r="A2461" s="1">
        <f t="shared" si="131"/>
        <v>2460</v>
      </c>
      <c r="B2461" s="1"/>
      <c r="C2461" s="39"/>
      <c r="D2461" s="21"/>
      <c r="G2461" s="1"/>
      <c r="H2461" s="11" t="str">
        <f t="shared" si="132"/>
        <v>0 г. 0 мес. 0 дн.</v>
      </c>
      <c r="I2461" s="20"/>
      <c r="J2461" s="20"/>
      <c r="O2461" s="20"/>
      <c r="V2461" s="1" t="str">
        <f t="shared" si="133"/>
        <v>0 г. 0 мес. 0 дн.</v>
      </c>
      <c r="W2461" s="69"/>
    </row>
    <row r="2462" spans="1:23" ht="35.1" customHeight="1" x14ac:dyDescent="0.25">
      <c r="A2462" s="1">
        <f t="shared" si="131"/>
        <v>2461</v>
      </c>
      <c r="B2462" s="1"/>
      <c r="C2462" s="39"/>
      <c r="D2462" s="21"/>
      <c r="G2462" s="1"/>
      <c r="H2462" s="11" t="str">
        <f t="shared" si="132"/>
        <v>0 г. 0 мес. 0 дн.</v>
      </c>
      <c r="I2462" s="20"/>
      <c r="J2462" s="20"/>
      <c r="O2462" s="20"/>
      <c r="V2462" s="1" t="str">
        <f t="shared" si="133"/>
        <v>0 г. 0 мес. 0 дн.</v>
      </c>
      <c r="W2462" s="69"/>
    </row>
    <row r="2463" spans="1:23" ht="35.1" customHeight="1" x14ac:dyDescent="0.25">
      <c r="A2463" s="1">
        <f t="shared" si="131"/>
        <v>2462</v>
      </c>
      <c r="B2463" s="1"/>
      <c r="C2463" s="39"/>
      <c r="D2463" s="21"/>
      <c r="G2463" s="1"/>
      <c r="H2463" s="11" t="str">
        <f t="shared" si="132"/>
        <v>0 г. 0 мес. 0 дн.</v>
      </c>
      <c r="I2463" s="20"/>
      <c r="J2463" s="20"/>
      <c r="O2463" s="20"/>
      <c r="V2463" s="1" t="str">
        <f t="shared" si="133"/>
        <v>0 г. 0 мес. 0 дн.</v>
      </c>
      <c r="W2463" s="69"/>
    </row>
    <row r="2464" spans="1:23" ht="35.1" customHeight="1" x14ac:dyDescent="0.25">
      <c r="A2464" s="1">
        <f t="shared" si="131"/>
        <v>2463</v>
      </c>
      <c r="B2464" s="1"/>
      <c r="C2464" s="39"/>
      <c r="D2464" s="21"/>
      <c r="G2464" s="1"/>
      <c r="H2464" s="11" t="str">
        <f t="shared" si="132"/>
        <v>0 г. 0 мес. 0 дн.</v>
      </c>
      <c r="I2464" s="20"/>
      <c r="J2464" s="20"/>
      <c r="O2464" s="20"/>
      <c r="V2464" s="1" t="str">
        <f t="shared" si="133"/>
        <v>0 г. 0 мес. 0 дн.</v>
      </c>
      <c r="W2464" s="69"/>
    </row>
    <row r="2465" spans="1:23" ht="35.1" customHeight="1" x14ac:dyDescent="0.25">
      <c r="A2465" s="1">
        <f t="shared" si="131"/>
        <v>2464</v>
      </c>
      <c r="B2465" s="1"/>
      <c r="C2465" s="39"/>
      <c r="D2465" s="21"/>
      <c r="G2465" s="1"/>
      <c r="H2465" s="11" t="str">
        <f t="shared" si="132"/>
        <v>0 г. 0 мес. 0 дн.</v>
      </c>
      <c r="I2465" s="20"/>
      <c r="J2465" s="20"/>
      <c r="O2465" s="20"/>
      <c r="V2465" s="1" t="str">
        <f t="shared" si="133"/>
        <v>0 г. 0 мес. 0 дн.</v>
      </c>
      <c r="W2465" s="69"/>
    </row>
    <row r="2466" spans="1:23" ht="35.1" customHeight="1" x14ac:dyDescent="0.25">
      <c r="A2466" s="1">
        <f t="shared" si="131"/>
        <v>2465</v>
      </c>
      <c r="B2466" s="1"/>
      <c r="C2466" s="39"/>
      <c r="D2466" s="21"/>
      <c r="G2466" s="1"/>
      <c r="H2466" s="11" t="str">
        <f t="shared" si="132"/>
        <v>0 г. 0 мес. 0 дн.</v>
      </c>
      <c r="I2466" s="20"/>
      <c r="J2466" s="20"/>
      <c r="O2466" s="20"/>
      <c r="V2466" s="1" t="str">
        <f t="shared" si="133"/>
        <v>0 г. 0 мес. 0 дн.</v>
      </c>
      <c r="W2466" s="69"/>
    </row>
    <row r="2467" spans="1:23" ht="35.1" customHeight="1" x14ac:dyDescent="0.25">
      <c r="A2467" s="1">
        <f t="shared" si="131"/>
        <v>2466</v>
      </c>
      <c r="B2467" s="1"/>
      <c r="C2467" s="39"/>
      <c r="D2467" s="21"/>
      <c r="G2467" s="1"/>
      <c r="H2467" s="11" t="str">
        <f t="shared" si="132"/>
        <v>0 г. 0 мес. 0 дн.</v>
      </c>
      <c r="I2467" s="20"/>
      <c r="J2467" s="20"/>
      <c r="O2467" s="20"/>
      <c r="V2467" s="1" t="str">
        <f t="shared" si="133"/>
        <v>0 г. 0 мес. 0 дн.</v>
      </c>
      <c r="W2467" s="69"/>
    </row>
    <row r="2468" spans="1:23" ht="35.1" customHeight="1" x14ac:dyDescent="0.25">
      <c r="A2468" s="1">
        <f t="shared" si="131"/>
        <v>2467</v>
      </c>
      <c r="B2468" s="1"/>
      <c r="C2468" s="39"/>
      <c r="D2468" s="21"/>
      <c r="G2468" s="1"/>
      <c r="H2468" s="11" t="str">
        <f t="shared" si="132"/>
        <v>0 г. 0 мес. 0 дн.</v>
      </c>
      <c r="I2468" s="20"/>
      <c r="J2468" s="20"/>
      <c r="O2468" s="20"/>
      <c r="V2468" s="1" t="str">
        <f t="shared" si="133"/>
        <v>0 г. 0 мес. 0 дн.</v>
      </c>
      <c r="W2468" s="69"/>
    </row>
    <row r="2469" spans="1:23" ht="35.1" customHeight="1" x14ac:dyDescent="0.25">
      <c r="A2469" s="1">
        <f t="shared" si="131"/>
        <v>2468</v>
      </c>
      <c r="B2469" s="1"/>
      <c r="C2469" s="39"/>
      <c r="D2469" s="21"/>
      <c r="G2469" s="1"/>
      <c r="H2469" s="11" t="str">
        <f t="shared" si="132"/>
        <v>0 г. 0 мес. 0 дн.</v>
      </c>
      <c r="I2469" s="20"/>
      <c r="J2469" s="20"/>
      <c r="O2469" s="20"/>
      <c r="V2469" s="1" t="str">
        <f t="shared" si="133"/>
        <v>0 г. 0 мес. 0 дн.</v>
      </c>
      <c r="W2469" s="69"/>
    </row>
    <row r="2470" spans="1:23" ht="35.1" customHeight="1" x14ac:dyDescent="0.25">
      <c r="A2470" s="1">
        <f t="shared" si="131"/>
        <v>2469</v>
      </c>
      <c r="B2470" s="1"/>
      <c r="C2470" s="39"/>
      <c r="D2470" s="21"/>
      <c r="G2470" s="1"/>
      <c r="H2470" s="11" t="str">
        <f t="shared" si="132"/>
        <v>0 г. 0 мес. 0 дн.</v>
      </c>
      <c r="I2470" s="20"/>
      <c r="J2470" s="20"/>
      <c r="O2470" s="20"/>
      <c r="V2470" s="1" t="str">
        <f t="shared" si="133"/>
        <v>0 г. 0 мес. 0 дн.</v>
      </c>
      <c r="W2470" s="69"/>
    </row>
    <row r="2471" spans="1:23" ht="35.1" customHeight="1" x14ac:dyDescent="0.25">
      <c r="A2471" s="1">
        <f t="shared" si="131"/>
        <v>2470</v>
      </c>
      <c r="B2471" s="1"/>
      <c r="C2471" s="39"/>
      <c r="D2471" s="21"/>
      <c r="G2471" s="1"/>
      <c r="H2471" s="11" t="str">
        <f t="shared" si="132"/>
        <v>0 г. 0 мес. 0 дн.</v>
      </c>
      <c r="I2471" s="20"/>
      <c r="J2471" s="20"/>
      <c r="O2471" s="20"/>
      <c r="V2471" s="1" t="str">
        <f t="shared" si="133"/>
        <v>0 г. 0 мес. 0 дн.</v>
      </c>
      <c r="W2471" s="69"/>
    </row>
    <row r="2472" spans="1:23" ht="35.1" customHeight="1" x14ac:dyDescent="0.25">
      <c r="A2472" s="1">
        <f t="shared" si="131"/>
        <v>2471</v>
      </c>
      <c r="B2472" s="1"/>
      <c r="C2472" s="39"/>
      <c r="D2472" s="21"/>
      <c r="G2472" s="1"/>
      <c r="H2472" s="11" t="str">
        <f t="shared" si="132"/>
        <v>0 г. 0 мес. 0 дн.</v>
      </c>
      <c r="I2472" s="20"/>
      <c r="J2472" s="20"/>
      <c r="O2472" s="20"/>
      <c r="V2472" s="1" t="str">
        <f t="shared" si="133"/>
        <v>0 г. 0 мес. 0 дн.</v>
      </c>
      <c r="W2472" s="69"/>
    </row>
    <row r="2473" spans="1:23" ht="35.1" customHeight="1" x14ac:dyDescent="0.25">
      <c r="A2473" s="1">
        <f t="shared" si="131"/>
        <v>2472</v>
      </c>
      <c r="B2473" s="1"/>
      <c r="C2473" s="39"/>
      <c r="D2473" s="21"/>
      <c r="G2473" s="1"/>
      <c r="H2473" s="11" t="str">
        <f t="shared" si="132"/>
        <v>0 г. 0 мес. 0 дн.</v>
      </c>
      <c r="I2473" s="20"/>
      <c r="J2473" s="20"/>
      <c r="O2473" s="20"/>
      <c r="V2473" s="1" t="str">
        <f t="shared" si="133"/>
        <v>0 г. 0 мес. 0 дн.</v>
      </c>
      <c r="W2473" s="69"/>
    </row>
    <row r="2474" spans="1:23" ht="35.1" customHeight="1" x14ac:dyDescent="0.25">
      <c r="A2474" s="1">
        <f t="shared" si="131"/>
        <v>2473</v>
      </c>
      <c r="B2474" s="1"/>
      <c r="C2474" s="39"/>
      <c r="D2474" s="21"/>
      <c r="G2474" s="1"/>
      <c r="H2474" s="11" t="str">
        <f t="shared" si="132"/>
        <v>0 г. 0 мес. 0 дн.</v>
      </c>
      <c r="I2474" s="20"/>
      <c r="J2474" s="20"/>
      <c r="O2474" s="20"/>
      <c r="V2474" s="1" t="str">
        <f t="shared" si="133"/>
        <v>0 г. 0 мес. 0 дн.</v>
      </c>
      <c r="W2474" s="69"/>
    </row>
    <row r="2475" spans="1:23" ht="35.1" customHeight="1" x14ac:dyDescent="0.25">
      <c r="A2475" s="1">
        <f t="shared" si="131"/>
        <v>2474</v>
      </c>
      <c r="B2475" s="1"/>
      <c r="C2475" s="39"/>
      <c r="D2475" s="21"/>
      <c r="G2475" s="1"/>
      <c r="H2475" s="11" t="str">
        <f t="shared" si="132"/>
        <v>0 г. 0 мес. 0 дн.</v>
      </c>
      <c r="I2475" s="20"/>
      <c r="J2475" s="20"/>
      <c r="O2475" s="20"/>
      <c r="V2475" s="1" t="str">
        <f t="shared" si="133"/>
        <v>0 г. 0 мес. 0 дн.</v>
      </c>
      <c r="W2475" s="69"/>
    </row>
    <row r="2476" spans="1:23" ht="35.1" customHeight="1" x14ac:dyDescent="0.25">
      <c r="A2476" s="1">
        <f t="shared" si="131"/>
        <v>2475</v>
      </c>
      <c r="B2476" s="1"/>
      <c r="C2476" s="39"/>
      <c r="D2476" s="21"/>
      <c r="G2476" s="1"/>
      <c r="H2476" s="11" t="str">
        <f t="shared" si="132"/>
        <v>0 г. 0 мес. 0 дн.</v>
      </c>
      <c r="I2476" s="20"/>
      <c r="J2476" s="20"/>
      <c r="O2476" s="20"/>
      <c r="V2476" s="1" t="str">
        <f t="shared" si="133"/>
        <v>0 г. 0 мес. 0 дн.</v>
      </c>
      <c r="W2476" s="69"/>
    </row>
    <row r="2477" spans="1:23" ht="35.1" customHeight="1" x14ac:dyDescent="0.25">
      <c r="A2477" s="1">
        <f t="shared" si="131"/>
        <v>2476</v>
      </c>
      <c r="B2477" s="1"/>
      <c r="C2477" s="39"/>
      <c r="D2477" s="21"/>
      <c r="G2477" s="1"/>
      <c r="H2477" s="11" t="str">
        <f t="shared" si="132"/>
        <v>0 г. 0 мес. 0 дн.</v>
      </c>
      <c r="I2477" s="20"/>
      <c r="J2477" s="20"/>
      <c r="O2477" s="20"/>
      <c r="V2477" s="1" t="str">
        <f t="shared" si="133"/>
        <v>0 г. 0 мес. 0 дн.</v>
      </c>
      <c r="W2477" s="69"/>
    </row>
    <row r="2478" spans="1:23" ht="35.1" customHeight="1" x14ac:dyDescent="0.25">
      <c r="A2478" s="1">
        <f t="shared" si="131"/>
        <v>2477</v>
      </c>
      <c r="B2478" s="1"/>
      <c r="C2478" s="39"/>
      <c r="D2478" s="21"/>
      <c r="G2478" s="1"/>
      <c r="H2478" s="11" t="str">
        <f t="shared" si="132"/>
        <v>0 г. 0 мес. 0 дн.</v>
      </c>
      <c r="I2478" s="20"/>
      <c r="J2478" s="20"/>
      <c r="O2478" s="20"/>
      <c r="V2478" s="1" t="str">
        <f t="shared" si="133"/>
        <v>0 г. 0 мес. 0 дн.</v>
      </c>
      <c r="W2478" s="69"/>
    </row>
    <row r="2479" spans="1:23" ht="35.1" customHeight="1" x14ac:dyDescent="0.25">
      <c r="A2479" s="1">
        <f t="shared" si="131"/>
        <v>2478</v>
      </c>
      <c r="B2479" s="1"/>
      <c r="C2479" s="39"/>
      <c r="D2479" s="21"/>
      <c r="G2479" s="1"/>
      <c r="H2479" s="11" t="str">
        <f t="shared" si="132"/>
        <v>0 г. 0 мес. 0 дн.</v>
      </c>
      <c r="I2479" s="20"/>
      <c r="J2479" s="20"/>
      <c r="O2479" s="20"/>
      <c r="V2479" s="1" t="str">
        <f t="shared" si="133"/>
        <v>0 г. 0 мес. 0 дн.</v>
      </c>
      <c r="W2479" s="69"/>
    </row>
    <row r="2480" spans="1:23" ht="35.1" customHeight="1" x14ac:dyDescent="0.25">
      <c r="A2480" s="1">
        <f t="shared" si="131"/>
        <v>2479</v>
      </c>
      <c r="B2480" s="1"/>
      <c r="C2480" s="39"/>
      <c r="D2480" s="21"/>
      <c r="G2480" s="1"/>
      <c r="H2480" s="11" t="str">
        <f t="shared" si="132"/>
        <v>0 г. 0 мес. 0 дн.</v>
      </c>
      <c r="I2480" s="20"/>
      <c r="J2480" s="20"/>
      <c r="O2480" s="20"/>
      <c r="V2480" s="1" t="str">
        <f t="shared" si="133"/>
        <v>0 г. 0 мес. 0 дн.</v>
      </c>
      <c r="W2480" s="69"/>
    </row>
    <row r="2481" spans="1:23" ht="35.1" customHeight="1" x14ac:dyDescent="0.25">
      <c r="A2481" s="1">
        <f t="shared" si="131"/>
        <v>2480</v>
      </c>
      <c r="B2481" s="1"/>
      <c r="C2481" s="39"/>
      <c r="D2481" s="21"/>
      <c r="G2481" s="1"/>
      <c r="H2481" s="11" t="str">
        <f t="shared" si="132"/>
        <v>0 г. 0 мес. 0 дн.</v>
      </c>
      <c r="I2481" s="20"/>
      <c r="J2481" s="20"/>
      <c r="O2481" s="20"/>
      <c r="V2481" s="1" t="str">
        <f t="shared" si="133"/>
        <v>0 г. 0 мес. 0 дн.</v>
      </c>
      <c r="W2481" s="69"/>
    </row>
    <row r="2482" spans="1:23" ht="35.1" customHeight="1" x14ac:dyDescent="0.25">
      <c r="A2482" s="1">
        <f t="shared" si="131"/>
        <v>2481</v>
      </c>
      <c r="B2482" s="1"/>
      <c r="C2482" s="39"/>
      <c r="D2482" s="21"/>
      <c r="G2482" s="1"/>
      <c r="H2482" s="11" t="str">
        <f t="shared" si="132"/>
        <v>0 г. 0 мес. 0 дн.</v>
      </c>
      <c r="I2482" s="20"/>
      <c r="J2482" s="20"/>
      <c r="O2482" s="20"/>
      <c r="V2482" s="1" t="str">
        <f t="shared" si="133"/>
        <v>0 г. 0 мес. 0 дн.</v>
      </c>
      <c r="W2482" s="69"/>
    </row>
    <row r="2483" spans="1:23" ht="35.1" customHeight="1" x14ac:dyDescent="0.25">
      <c r="A2483" s="1">
        <f t="shared" si="131"/>
        <v>2482</v>
      </c>
      <c r="B2483" s="1"/>
      <c r="C2483" s="39"/>
      <c r="D2483" s="21"/>
      <c r="G2483" s="1"/>
      <c r="H2483" s="11" t="str">
        <f t="shared" si="132"/>
        <v>0 г. 0 мес. 0 дн.</v>
      </c>
      <c r="I2483" s="20"/>
      <c r="J2483" s="20"/>
      <c r="O2483" s="20"/>
      <c r="V2483" s="1" t="str">
        <f t="shared" si="133"/>
        <v>0 г. 0 мес. 0 дн.</v>
      </c>
      <c r="W2483" s="69"/>
    </row>
    <row r="2484" spans="1:23" ht="35.1" customHeight="1" x14ac:dyDescent="0.25">
      <c r="A2484" s="1">
        <f t="shared" si="131"/>
        <v>2483</v>
      </c>
      <c r="B2484" s="1"/>
      <c r="C2484" s="39"/>
      <c r="D2484" s="21"/>
      <c r="G2484" s="1"/>
      <c r="H2484" s="11" t="str">
        <f t="shared" si="132"/>
        <v>0 г. 0 мес. 0 дн.</v>
      </c>
      <c r="I2484" s="20"/>
      <c r="J2484" s="20"/>
      <c r="O2484" s="20"/>
      <c r="V2484" s="1" t="str">
        <f t="shared" si="133"/>
        <v>0 г. 0 мес. 0 дн.</v>
      </c>
      <c r="W2484" s="69"/>
    </row>
    <row r="2485" spans="1:23" ht="35.1" customHeight="1" x14ac:dyDescent="0.25">
      <c r="A2485" s="1">
        <f t="shared" si="131"/>
        <v>2484</v>
      </c>
      <c r="B2485" s="1"/>
      <c r="C2485" s="39"/>
      <c r="D2485" s="21"/>
      <c r="G2485" s="1"/>
      <c r="H2485" s="11" t="str">
        <f t="shared" si="132"/>
        <v>0 г. 0 мес. 0 дн.</v>
      </c>
      <c r="I2485" s="20"/>
      <c r="J2485" s="20"/>
      <c r="O2485" s="20"/>
      <c r="V2485" s="1" t="str">
        <f t="shared" si="133"/>
        <v>0 г. 0 мес. 0 дн.</v>
      </c>
      <c r="W2485" s="69"/>
    </row>
    <row r="2486" spans="1:23" ht="35.1" customHeight="1" x14ac:dyDescent="0.25">
      <c r="A2486" s="1">
        <f t="shared" si="131"/>
        <v>2485</v>
      </c>
      <c r="B2486" s="1"/>
      <c r="C2486" s="39"/>
      <c r="D2486" s="21"/>
      <c r="G2486" s="1"/>
      <c r="H2486" s="11" t="str">
        <f t="shared" si="132"/>
        <v>0 г. 0 мес. 0 дн.</v>
      </c>
      <c r="I2486" s="20"/>
      <c r="J2486" s="20"/>
      <c r="O2486" s="20"/>
      <c r="V2486" s="1" t="str">
        <f t="shared" si="133"/>
        <v>0 г. 0 мес. 0 дн.</v>
      </c>
      <c r="W2486" s="69"/>
    </row>
    <row r="2487" spans="1:23" ht="35.1" customHeight="1" x14ac:dyDescent="0.25">
      <c r="A2487" s="1">
        <f t="shared" si="131"/>
        <v>2486</v>
      </c>
      <c r="B2487" s="1"/>
      <c r="C2487" s="39"/>
      <c r="D2487" s="21"/>
      <c r="G2487" s="1"/>
      <c r="H2487" s="11" t="str">
        <f t="shared" si="132"/>
        <v>0 г. 0 мес. 0 дн.</v>
      </c>
      <c r="I2487" s="20"/>
      <c r="J2487" s="20"/>
      <c r="O2487" s="20"/>
      <c r="V2487" s="1" t="str">
        <f t="shared" si="133"/>
        <v>0 г. 0 мес. 0 дн.</v>
      </c>
      <c r="W2487" s="69"/>
    </row>
    <row r="2488" spans="1:23" ht="35.1" customHeight="1" x14ac:dyDescent="0.25">
      <c r="A2488" s="1">
        <f t="shared" si="131"/>
        <v>2487</v>
      </c>
      <c r="B2488" s="1"/>
      <c r="C2488" s="39"/>
      <c r="D2488" s="21"/>
      <c r="G2488" s="1"/>
      <c r="H2488" s="11" t="str">
        <f t="shared" si="132"/>
        <v>0 г. 0 мес. 0 дн.</v>
      </c>
      <c r="I2488" s="20"/>
      <c r="J2488" s="20"/>
      <c r="O2488" s="20"/>
      <c r="V2488" s="1" t="str">
        <f t="shared" si="133"/>
        <v>0 г. 0 мес. 0 дн.</v>
      </c>
      <c r="W2488" s="69"/>
    </row>
    <row r="2489" spans="1:23" ht="35.1" customHeight="1" x14ac:dyDescent="0.25">
      <c r="A2489" s="1">
        <f t="shared" si="131"/>
        <v>2488</v>
      </c>
      <c r="B2489" s="1"/>
      <c r="C2489" s="39"/>
      <c r="D2489" s="21"/>
      <c r="G2489" s="1"/>
      <c r="H2489" s="11" t="str">
        <f t="shared" si="132"/>
        <v>0 г. 0 мес. 0 дн.</v>
      </c>
      <c r="I2489" s="20"/>
      <c r="J2489" s="20"/>
      <c r="O2489" s="20"/>
      <c r="V2489" s="1" t="str">
        <f t="shared" si="133"/>
        <v>0 г. 0 мес. 0 дн.</v>
      </c>
      <c r="W2489" s="69"/>
    </row>
    <row r="2490" spans="1:23" ht="35.1" customHeight="1" x14ac:dyDescent="0.25">
      <c r="A2490" s="1">
        <f t="shared" si="131"/>
        <v>2489</v>
      </c>
      <c r="B2490" s="1"/>
      <c r="C2490" s="39"/>
      <c r="D2490" s="21"/>
      <c r="G2490" s="1"/>
      <c r="H2490" s="11" t="str">
        <f t="shared" si="132"/>
        <v>0 г. 0 мес. 0 дн.</v>
      </c>
      <c r="I2490" s="20"/>
      <c r="J2490" s="20"/>
      <c r="O2490" s="20"/>
      <c r="V2490" s="1" t="str">
        <f t="shared" si="133"/>
        <v>0 г. 0 мес. 0 дн.</v>
      </c>
      <c r="W2490" s="69"/>
    </row>
    <row r="2491" spans="1:23" ht="35.1" customHeight="1" x14ac:dyDescent="0.25">
      <c r="A2491" s="1">
        <f t="shared" si="131"/>
        <v>2490</v>
      </c>
      <c r="B2491" s="1"/>
      <c r="C2491" s="39"/>
      <c r="D2491" s="21"/>
      <c r="G2491" s="1"/>
      <c r="H2491" s="11" t="str">
        <f t="shared" si="132"/>
        <v>0 г. 0 мес. 0 дн.</v>
      </c>
      <c r="I2491" s="20"/>
      <c r="J2491" s="20"/>
      <c r="O2491" s="20"/>
      <c r="V2491" s="1" t="str">
        <f t="shared" si="133"/>
        <v>0 г. 0 мес. 0 дн.</v>
      </c>
      <c r="W2491" s="69"/>
    </row>
    <row r="2492" spans="1:23" ht="35.1" customHeight="1" x14ac:dyDescent="0.25">
      <c r="A2492" s="1">
        <f t="shared" si="131"/>
        <v>2491</v>
      </c>
      <c r="B2492" s="1"/>
      <c r="C2492" s="39"/>
      <c r="D2492" s="21"/>
      <c r="G2492" s="1"/>
      <c r="H2492" s="11" t="str">
        <f t="shared" si="132"/>
        <v>0 г. 0 мес. 0 дн.</v>
      </c>
      <c r="I2492" s="20"/>
      <c r="J2492" s="20"/>
      <c r="O2492" s="20"/>
      <c r="V2492" s="1" t="str">
        <f t="shared" si="133"/>
        <v>0 г. 0 мес. 0 дн.</v>
      </c>
      <c r="W2492" s="69"/>
    </row>
    <row r="2493" spans="1:23" ht="35.1" customHeight="1" x14ac:dyDescent="0.25">
      <c r="A2493" s="1">
        <f t="shared" si="131"/>
        <v>2492</v>
      </c>
      <c r="B2493" s="1"/>
      <c r="C2493" s="39"/>
      <c r="D2493" s="21"/>
      <c r="G2493" s="1"/>
      <c r="H2493" s="11" t="str">
        <f t="shared" si="132"/>
        <v>0 г. 0 мес. 0 дн.</v>
      </c>
      <c r="I2493" s="20"/>
      <c r="J2493" s="20"/>
      <c r="O2493" s="20"/>
      <c r="V2493" s="1" t="str">
        <f t="shared" si="133"/>
        <v>0 г. 0 мес. 0 дн.</v>
      </c>
      <c r="W2493" s="69"/>
    </row>
    <row r="2494" spans="1:23" ht="35.1" customHeight="1" x14ac:dyDescent="0.25">
      <c r="A2494" s="1">
        <f t="shared" si="131"/>
        <v>2493</v>
      </c>
      <c r="B2494" s="1"/>
      <c r="C2494" s="39"/>
      <c r="D2494" s="21"/>
      <c r="G2494" s="1"/>
      <c r="H2494" s="11" t="str">
        <f t="shared" si="132"/>
        <v>0 г. 0 мес. 0 дн.</v>
      </c>
      <c r="I2494" s="20"/>
      <c r="J2494" s="20"/>
      <c r="O2494" s="20"/>
      <c r="V2494" s="1" t="str">
        <f t="shared" si="133"/>
        <v>0 г. 0 мес. 0 дн.</v>
      </c>
      <c r="W2494" s="69"/>
    </row>
    <row r="2495" spans="1:23" ht="35.1" customHeight="1" x14ac:dyDescent="0.25">
      <c r="A2495" s="1">
        <f t="shared" si="131"/>
        <v>2494</v>
      </c>
      <c r="B2495" s="1"/>
      <c r="C2495" s="39"/>
      <c r="D2495" s="21"/>
      <c r="G2495" s="1"/>
      <c r="H2495" s="11" t="str">
        <f t="shared" si="132"/>
        <v>0 г. 0 мес. 0 дн.</v>
      </c>
      <c r="I2495" s="20"/>
      <c r="J2495" s="20"/>
      <c r="O2495" s="20"/>
      <c r="V2495" s="1" t="str">
        <f t="shared" si="133"/>
        <v>0 г. 0 мес. 0 дн.</v>
      </c>
      <c r="W2495" s="69"/>
    </row>
    <row r="2496" spans="1:23" ht="35.1" customHeight="1" x14ac:dyDescent="0.25">
      <c r="A2496" s="1">
        <f t="shared" si="131"/>
        <v>2495</v>
      </c>
      <c r="B2496" s="1"/>
      <c r="C2496" s="39"/>
      <c r="D2496" s="21"/>
      <c r="G2496" s="1"/>
      <c r="H2496" s="11" t="str">
        <f t="shared" si="132"/>
        <v>0 г. 0 мес. 0 дн.</v>
      </c>
      <c r="I2496" s="20"/>
      <c r="J2496" s="20"/>
      <c r="O2496" s="20"/>
      <c r="V2496" s="1" t="str">
        <f t="shared" si="133"/>
        <v>0 г. 0 мес. 0 дн.</v>
      </c>
      <c r="W2496" s="69"/>
    </row>
    <row r="2497" spans="1:23" ht="35.1" customHeight="1" x14ac:dyDescent="0.25">
      <c r="A2497" s="1">
        <f t="shared" ref="A2497:A2510" si="134">ROW(A2496)</f>
        <v>2496</v>
      </c>
      <c r="B2497" s="1"/>
      <c r="C2497" s="39"/>
      <c r="D2497" s="21"/>
      <c r="G2497" s="1"/>
      <c r="H2497" s="11" t="str">
        <f t="shared" ref="H2497:H2510" si="135">DATEDIF(G2497,D2497,"y") &amp; " г. " &amp; DATEDIF(G2497,D2497,"ym") &amp; " мес. " &amp; DATEDIF(G2497,D2497,"md") &amp; " дн."</f>
        <v>0 г. 0 мес. 0 дн.</v>
      </c>
      <c r="I2497" s="20"/>
      <c r="J2497" s="20"/>
      <c r="O2497" s="20"/>
      <c r="V2497" s="1" t="str">
        <f t="shared" si="133"/>
        <v>0 г. 0 мес. 0 дн.</v>
      </c>
      <c r="W2497" s="69"/>
    </row>
    <row r="2498" spans="1:23" ht="35.1" customHeight="1" x14ac:dyDescent="0.25">
      <c r="A2498" s="1">
        <f t="shared" si="134"/>
        <v>2497</v>
      </c>
      <c r="B2498" s="1"/>
      <c r="C2498" s="39"/>
      <c r="D2498" s="21"/>
      <c r="G2498" s="1"/>
      <c r="H2498" s="11" t="str">
        <f t="shared" si="135"/>
        <v>0 г. 0 мес. 0 дн.</v>
      </c>
      <c r="I2498" s="20"/>
      <c r="J2498" s="20"/>
      <c r="O2498" s="20"/>
      <c r="V2498" s="1" t="str">
        <f t="shared" si="133"/>
        <v>0 г. 0 мес. 0 дн.</v>
      </c>
      <c r="W2498" s="69"/>
    </row>
    <row r="2499" spans="1:23" ht="35.1" customHeight="1" x14ac:dyDescent="0.25">
      <c r="A2499" s="1">
        <f t="shared" si="134"/>
        <v>2498</v>
      </c>
      <c r="B2499" s="1"/>
      <c r="C2499" s="39"/>
      <c r="D2499" s="21"/>
      <c r="G2499" s="1"/>
      <c r="H2499" s="11" t="str">
        <f t="shared" si="135"/>
        <v>0 г. 0 мес. 0 дн.</v>
      </c>
      <c r="I2499" s="20"/>
      <c r="J2499" s="20"/>
      <c r="O2499" s="20"/>
      <c r="V2499" s="1" t="str">
        <f t="shared" si="133"/>
        <v>0 г. 0 мес. 0 дн.</v>
      </c>
      <c r="W2499" s="69"/>
    </row>
    <row r="2500" spans="1:23" ht="35.1" customHeight="1" x14ac:dyDescent="0.25">
      <c r="A2500" s="1">
        <f t="shared" si="134"/>
        <v>2499</v>
      </c>
      <c r="B2500" s="1"/>
      <c r="C2500" s="39"/>
      <c r="D2500" s="21"/>
      <c r="G2500" s="1"/>
      <c r="H2500" s="11" t="str">
        <f t="shared" si="135"/>
        <v>0 г. 0 мес. 0 дн.</v>
      </c>
      <c r="I2500" s="20"/>
      <c r="J2500" s="20"/>
      <c r="O2500" s="20"/>
      <c r="V2500" s="1" t="str">
        <f t="shared" si="133"/>
        <v>0 г. 0 мес. 0 дн.</v>
      </c>
      <c r="W2500" s="69"/>
    </row>
    <row r="2501" spans="1:23" ht="35.1" customHeight="1" x14ac:dyDescent="0.25">
      <c r="A2501" s="1">
        <f t="shared" si="134"/>
        <v>2500</v>
      </c>
      <c r="B2501" s="1"/>
      <c r="C2501" s="39"/>
      <c r="D2501" s="21"/>
      <c r="G2501" s="1"/>
      <c r="H2501" s="11" t="str">
        <f t="shared" si="135"/>
        <v>0 г. 0 мес. 0 дн.</v>
      </c>
      <c r="I2501" s="20"/>
      <c r="J2501" s="20"/>
      <c r="O2501" s="20"/>
      <c r="V2501" s="1" t="str">
        <f t="shared" si="133"/>
        <v>0 г. 0 мес. 0 дн.</v>
      </c>
      <c r="W2501" s="69"/>
    </row>
    <row r="2502" spans="1:23" ht="35.1" customHeight="1" x14ac:dyDescent="0.25">
      <c r="A2502" s="1">
        <f t="shared" si="134"/>
        <v>2501</v>
      </c>
      <c r="B2502" s="1"/>
      <c r="C2502" s="39"/>
      <c r="D2502" s="21"/>
      <c r="G2502" s="1"/>
      <c r="H2502" s="11" t="str">
        <f t="shared" si="135"/>
        <v>0 г. 0 мес. 0 дн.</v>
      </c>
      <c r="I2502" s="20"/>
      <c r="J2502" s="20"/>
      <c r="O2502" s="20"/>
      <c r="V2502" s="1" t="str">
        <f t="shared" si="133"/>
        <v>0 г. 0 мес. 0 дн.</v>
      </c>
      <c r="W2502" s="69"/>
    </row>
    <row r="2503" spans="1:23" ht="35.1" customHeight="1" x14ac:dyDescent="0.25">
      <c r="A2503" s="1">
        <f t="shared" si="134"/>
        <v>2502</v>
      </c>
      <c r="B2503" s="1"/>
      <c r="C2503" s="39"/>
      <c r="D2503" s="21"/>
      <c r="G2503" s="1"/>
      <c r="H2503" s="11" t="str">
        <f t="shared" si="135"/>
        <v>0 г. 0 мес. 0 дн.</v>
      </c>
      <c r="I2503" s="20"/>
      <c r="J2503" s="20"/>
      <c r="O2503" s="20"/>
      <c r="V2503" s="1" t="str">
        <f t="shared" si="133"/>
        <v>0 г. 0 мес. 0 дн.</v>
      </c>
      <c r="W2503" s="69"/>
    </row>
    <row r="2504" spans="1:23" ht="35.1" customHeight="1" x14ac:dyDescent="0.25">
      <c r="A2504" s="1">
        <f t="shared" si="134"/>
        <v>2503</v>
      </c>
      <c r="B2504" s="1"/>
      <c r="C2504" s="39"/>
      <c r="D2504" s="21"/>
      <c r="G2504" s="1"/>
      <c r="H2504" s="11" t="str">
        <f t="shared" si="135"/>
        <v>0 г. 0 мес. 0 дн.</v>
      </c>
      <c r="I2504" s="20"/>
      <c r="J2504" s="20"/>
      <c r="O2504" s="20"/>
      <c r="V2504" s="1" t="str">
        <f t="shared" si="133"/>
        <v>0 г. 0 мес. 0 дн.</v>
      </c>
      <c r="W2504" s="69"/>
    </row>
    <row r="2505" spans="1:23" ht="35.1" customHeight="1" x14ac:dyDescent="0.25">
      <c r="A2505" s="1">
        <f t="shared" si="134"/>
        <v>2504</v>
      </c>
      <c r="B2505" s="1"/>
      <c r="C2505" s="39"/>
      <c r="D2505" s="21"/>
      <c r="G2505" s="1"/>
      <c r="H2505" s="11" t="str">
        <f t="shared" si="135"/>
        <v>0 г. 0 мес. 0 дн.</v>
      </c>
      <c r="I2505" s="20"/>
      <c r="J2505" s="20"/>
      <c r="O2505" s="20"/>
      <c r="V2505" s="1" t="str">
        <f t="shared" si="133"/>
        <v>0 г. 0 мес. 0 дн.</v>
      </c>
      <c r="W2505" s="69"/>
    </row>
    <row r="2506" spans="1:23" ht="35.1" customHeight="1" x14ac:dyDescent="0.25">
      <c r="A2506" s="1">
        <f t="shared" si="134"/>
        <v>2505</v>
      </c>
      <c r="B2506" s="1"/>
      <c r="C2506" s="39"/>
      <c r="D2506" s="21"/>
      <c r="G2506" s="1"/>
      <c r="H2506" s="11" t="str">
        <f t="shared" si="135"/>
        <v>0 г. 0 мес. 0 дн.</v>
      </c>
      <c r="I2506" s="20"/>
      <c r="J2506" s="20"/>
      <c r="O2506" s="20"/>
      <c r="V2506" s="1" t="str">
        <f t="shared" si="133"/>
        <v>0 г. 0 мес. 0 дн.</v>
      </c>
      <c r="W2506" s="69"/>
    </row>
    <row r="2507" spans="1:23" ht="35.1" customHeight="1" x14ac:dyDescent="0.25">
      <c r="A2507" s="1">
        <f t="shared" si="134"/>
        <v>2506</v>
      </c>
      <c r="B2507" s="1"/>
      <c r="C2507" s="39"/>
      <c r="D2507" s="21"/>
      <c r="G2507" s="1"/>
      <c r="H2507" s="11" t="str">
        <f t="shared" si="135"/>
        <v>0 г. 0 мес. 0 дн.</v>
      </c>
      <c r="I2507" s="20"/>
      <c r="J2507" s="20"/>
      <c r="O2507" s="20"/>
      <c r="V2507" s="1" t="str">
        <f t="shared" si="133"/>
        <v>0 г. 0 мес. 0 дн.</v>
      </c>
      <c r="W2507" s="69"/>
    </row>
    <row r="2508" spans="1:23" ht="35.1" customHeight="1" x14ac:dyDescent="0.25">
      <c r="A2508" s="1">
        <f t="shared" si="134"/>
        <v>2507</v>
      </c>
      <c r="B2508" s="1"/>
      <c r="C2508" s="39"/>
      <c r="D2508" s="21"/>
      <c r="G2508" s="1"/>
      <c r="H2508" s="11" t="str">
        <f t="shared" si="135"/>
        <v>0 г. 0 мес. 0 дн.</v>
      </c>
      <c r="I2508" s="20"/>
      <c r="J2508" s="20"/>
      <c r="O2508" s="20"/>
      <c r="V2508" s="1" t="str">
        <f t="shared" si="133"/>
        <v>0 г. 0 мес. 0 дн.</v>
      </c>
      <c r="W2508" s="69"/>
    </row>
    <row r="2509" spans="1:23" ht="35.1" customHeight="1" x14ac:dyDescent="0.25">
      <c r="A2509" s="1">
        <f t="shared" si="134"/>
        <v>2508</v>
      </c>
      <c r="B2509" s="1"/>
      <c r="C2509" s="39"/>
      <c r="D2509" s="21"/>
      <c r="G2509" s="1"/>
      <c r="H2509" s="11" t="str">
        <f t="shared" si="135"/>
        <v>0 г. 0 мес. 0 дн.</v>
      </c>
      <c r="I2509" s="20"/>
      <c r="J2509" s="20"/>
      <c r="O2509" s="20"/>
      <c r="V2509" s="1" t="str">
        <f t="shared" si="133"/>
        <v>0 г. 0 мес. 0 дн.</v>
      </c>
      <c r="W2509" s="69"/>
    </row>
    <row r="2510" spans="1:23" ht="35.1" customHeight="1" x14ac:dyDescent="0.25">
      <c r="A2510" s="1">
        <f t="shared" si="134"/>
        <v>2509</v>
      </c>
      <c r="B2510" s="1"/>
      <c r="C2510" s="39"/>
      <c r="D2510" s="21"/>
      <c r="G2510" s="1"/>
      <c r="H2510" s="11" t="str">
        <f t="shared" si="135"/>
        <v>0 г. 0 мес. 0 дн.</v>
      </c>
      <c r="I2510" s="20"/>
      <c r="J2510" s="20"/>
      <c r="O2510" s="20"/>
      <c r="V2510" s="1" t="str">
        <f t="shared" si="133"/>
        <v>0 г. 0 мес. 0 дн.</v>
      </c>
      <c r="W2510" s="69"/>
    </row>
  </sheetData>
  <scenarios current="1" show="0">
    <scenario name="I2=Повторное поступление;Другие отделения;Операционная" locked="1" count="1" user="Автор" comment="Автор: Автор , 28.12.2022">
      <inputCells r="J2" val=""/>
    </scenario>
    <scenario name="$I$2=Повторное поступление;Другие отделения;Операционная" locked="1" count="1" user="Автор" comment="Автор: Автор , 28.12.2022">
      <inputCells r="J2" val=""/>
    </scenario>
  </scenarios>
  <dataConsolidate/>
  <dataValidations xWindow="1358" yWindow="605" count="26">
    <dataValidation type="list" allowBlank="1" showInputMessage="1" showErrorMessage="1" prompt="Выбрать из списка" sqref="C1 B2511:B1048576">
      <formula1>Отделения</formula1>
    </dataValidation>
    <dataValidation type="list" allowBlank="1" showInputMessage="1" showErrorMessage="1" prompt="Выбрать из списка при поступлении из профильного отделения (список &quot;Канал поступления&quot;)" sqref="I2511:I1048576 J1">
      <formula1>Отделения</formula1>
    </dataValidation>
    <dataValidation allowBlank="1" showInputMessage="1" showErrorMessage="1" prompt="Номер истории болезни" sqref="F210 B1 A2511:A1048576"/>
    <dataValidation allowBlank="1" showInputMessage="1" showErrorMessage="1" prompt="Указать дату перевода в формате дд.мм.гггг, например, 01.09.2018" sqref="T1 S2511:S1048576"/>
    <dataValidation type="list" allowBlank="1" showInputMessage="1" showErrorMessage="1" prompt="Выбрать из списка" sqref="I1 H2511:H1048576">
      <formula1>Канал_поступления</formula1>
    </dataValidation>
    <dataValidation allowBlank="1" showInputMessage="1" showErrorMessage="1" prompt="Дата в формате дд.мм.гггг, например, 01.01.2018" sqref="F185 D1 C2511:C1048576"/>
    <dataValidation allowBlank="1" showInputMessage="1" showErrorMessage="1" prompt="Дата в формате дд.мм.гггг, например, 27.05.2014" sqref="F2511:F1048576 G1"/>
    <dataValidation type="time" allowBlank="1" showInputMessage="1" showErrorMessage="1" prompt="Время в формате 24 ч. в виде чч:мм, например, 05:07" sqref="E1 D2511:D1048576">
      <formula1>0</formula1>
      <formula2>0.999305555555556</formula2>
    </dataValidation>
    <dataValidation allowBlank="1" showInputMessage="1" prompt="ТОЛЬКО в случае ИВЛ - продолжительность в часах, например, 142" sqref="R1 N1:P1 M2511:O1048576 Q2511:Q1048576"/>
    <dataValidation type="list" allowBlank="1" showInputMessage="1" showErrorMessage="1" prompt="Выбрать маршрут пациента из списка" sqref="S1 R2511:R1048576">
      <formula1>Куда_переведён</formula1>
    </dataValidation>
    <dataValidation type="list" allowBlank="1" showInputMessage="1" showErrorMessage="1" prompt="Выбрать категорию ОСНОВНОГО диагноза _x000a_из списка" sqref="L2511:L1048576 M1">
      <formula1>Категории_диагнозов</formula1>
    </dataValidation>
    <dataValidation allowBlank="1" showInputMessage="1" showErrorMessage="1" prompt="Номер по порядку" sqref="A1"/>
    <dataValidation type="list" allowBlank="1" showInputMessage="1" showErrorMessage="1" error="Выберите из списка" prompt="Выберите из списка" sqref="J13 J32:J37 S238:S239 S234:S236 S220 S259:S261 S391:S392 J443 C2:C2510">
      <formula1>Отделения</formula1>
    </dataValidation>
    <dataValidation type="decimal" allowBlank="1" showInputMessage="1" showErrorMessage="1" error="Введите длительность ИВЛ в пересчёте на часы" prompt="ТОЛЬКО в случае ИВЛ - продолжительность в часах, например, 142" sqref="N2:N19 N21:N2510">
      <formula1>0.1</formula1>
      <formula2>10000</formula2>
    </dataValidation>
    <dataValidation type="date" allowBlank="1" showInputMessage="1" showErrorMessage="1" error="Дата в формате дд.мм.гггг, например, 01.01.2023. Год только 2023й." prompt="Дата в формате дд.мм.гггг, например, 01.01.2023" sqref="T173:T175 T179:T180 T200 T266 T264 T259:U259 T252 U260 T325 T391:T392 D2:D399 T452:T454 T460 D401:D2510">
      <formula1>44896</formula1>
      <formula2>45291</formula2>
    </dataValidation>
    <dataValidation type="time" allowBlank="1" showInputMessage="1" showErrorMessage="1" error="Время в формате 24 ч. в виде чч:мм, например, 05:07" prompt="Время в формате 24 ч. в виде чч:мм, например, 05:07" sqref="E2:E2510">
      <formula1>0</formula1>
      <formula2>0.999988425925926</formula2>
    </dataValidation>
    <dataValidation type="date" allowBlank="1" showInputMessage="1" showErrorMessage="1" error="Дата в формате дд.мм.гггг., например, 12.04.2015" prompt="Дата в формате дд.мм.гггг., например, 12.04.2015" sqref="G2:G2510">
      <formula1>36526</formula1>
      <formula2>73415</formula2>
    </dataValidation>
    <dataValidation type="date" allowBlank="1" showInputMessage="1" showErrorMessage="1" error="Дата в формате дд.мм.гггг., например, 01.02.2023. Год 2023-24й." prompt="Дата в формате дд.мм.гггг., например, 01.02.2023. Год 2023-24й." sqref="T2:T172 T176:T178 T181:T199 T260:T263 T253:T258 T201:T251 T265 T267:T324 T326:T390 T393:T451 T455:T459 T461:T2510">
      <formula1>44927</formula1>
      <formula2>45323</formula2>
    </dataValidation>
    <dataValidation type="time" allowBlank="1" showInputMessage="1" showErrorMessage="1" error="Время перевода в формате чч:мм, например, 12:15." prompt="Время перевода в формате чч:мм, например, 12:15." sqref="U2:U258 U261:U2510">
      <formula1>0</formula1>
      <formula2>0.999988425925926</formula2>
    </dataValidation>
    <dataValidation type="whole" allowBlank="1" showInputMessage="1" showErrorMessage="1" error="Введите целое число - номер истории болезни. Max 5000" prompt="Номер истории болезни" sqref="B2:B296 B300:B2510">
      <formula1>1</formula1>
      <formula2>5000</formula2>
    </dataValidation>
    <dataValidation type="whole" allowBlank="1" showInputMessage="1" showErrorMessage="1" error="Введите целое число. Max 5000." prompt="Номер по порядку" sqref="A2:A2510">
      <formula1>1</formula1>
      <formula2>5000</formula2>
    </dataValidation>
    <dataValidation type="list" allowBlank="1" showInputMessage="1" showErrorMessage="1" error="Выбрать из списка" prompt="Выбрать из списка" sqref="I2:I2510">
      <formula1>Канал_поступления</formula1>
    </dataValidation>
    <dataValidation type="list" allowBlank="1" showInputMessage="1" showErrorMessage="1" error="Выбрать из списка" prompt="Выбрать категорию ОСНОВНОГО диагноза _x000a_из списка" sqref="M2:M2510">
      <formula1>Категории_диагнозов</formula1>
    </dataValidation>
    <dataValidation type="list" allowBlank="1" showInputMessage="1" showErrorMessage="1" error="Выберите из списка." prompt="Маршрут пациента - выберите из списка" sqref="S221:S233 S2:S219 S237 S240:S258 S262:S390 S393:S2510">
      <formula1>Куда_переведён</formula1>
    </dataValidation>
    <dataValidation type="list" allowBlank="1" showInputMessage="1" showErrorMessage="1" error="ТОЛЬКО при поступлении из отделения - выберите из списка" prompt="ТОЛЬКО при поступлении из отделения - выберите из списка." sqref="J2:J12 J14:J31 J38:J442 J444:J2510">
      <formula1>INDIRECT($I2)</formula1>
    </dataValidation>
    <dataValidation allowBlank="1" showInputMessage="1" showErrorMessage="1" prompt="Возраст на момент поступления" sqref="G2511:G1048576 H1:H2510"/>
  </dataValidations>
  <pageMargins left="0.25" right="0.25" top="0.75" bottom="0.75" header="0.3" footer="0.3"/>
  <pageSetup paperSize="9" orientation="landscape" verticalDpi="0" r:id="rId1"/>
  <ignoredErrors>
    <ignoredError sqref="H14558:H1048576 L14558:L1048576 I2511:I1048576 R14558:R1048576" listDataValidation="1"/>
  </ignoredErrors>
  <tableParts count="1">
    <tablePart r:id="rId2"/>
  </tableParts>
  <extLst>
    <ext xmlns:x14="http://schemas.microsoft.com/office/spreadsheetml/2009/9/main" uri="{CCE6A557-97BC-4b89-ADB6-D9C93CAAB3DF}">
      <x14:dataValidations xmlns:xm="http://schemas.microsoft.com/office/excel/2006/main" xWindow="1358" yWindow="605" count="5">
        <x14:dataValidation type="list" allowBlank="1" showInputMessage="1" showErrorMessage="1" error="Выберите из списка" prompt="Выберите из списка">
          <x14:formula1>
            <xm:f>Лист2!$M$2:$M$8</xm:f>
          </x14:formula1>
          <xm:sqref>O2:O2510</xm:sqref>
        </x14:dataValidation>
        <x14:dataValidation type="list" allowBlank="1" showInputMessage="1" showErrorMessage="1" error="Выберите из списка." prompt="При наличии - выберите из списка.">
          <x14:formula1>
            <xm:f>Лист2!$O$2:$O$4</xm:f>
          </x14:formula1>
          <xm:sqref>P2:P2510</xm:sqref>
        </x14:dataValidation>
        <x14:dataValidation type="list" allowBlank="1" showInputMessage="1" showErrorMessage="1" error="Выберите из списка." prompt="При наличии - выберите из списка">
          <x14:formula1>
            <xm:f>Лист2!$S$2:$S$9</xm:f>
          </x14:formula1>
          <xm:sqref>R2:R2510</xm:sqref>
        </x14:dataValidation>
        <x14:dataValidation type="list" allowBlank="1" showInputMessage="1" showErrorMessage="1" error="Выбрать из списка" prompt="Укажите при наличии особенности - выбрать из списка">
          <x14:formula1>
            <xm:f>Лист2!$AD$2:$AD$7</xm:f>
          </x14:formula1>
          <xm:sqref>W2:W2510</xm:sqref>
        </x14:dataValidation>
        <x14:dataValidation type="list" allowBlank="1" showInputMessage="1" showErrorMessage="1" error="Выберите из списка." prompt="При наличии трансфузий - выберите из списка.">
          <x14:formula1>
            <xm:f>Лист2!$Q$2:$Q$8</xm:f>
          </x14:formula1>
          <xm:sqref>P2511:P1048576 Q1:Q2510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514"/>
  <sheetViews>
    <sheetView topLeftCell="I1" workbookViewId="0">
      <selection activeCell="AC2" sqref="AC2"/>
    </sheetView>
  </sheetViews>
  <sheetFormatPr defaultColWidth="9.140625" defaultRowHeight="24.95" customHeight="1" x14ac:dyDescent="0.25"/>
  <cols>
    <col min="1" max="1" width="14.7109375" style="1" customWidth="1"/>
    <col min="2" max="2" width="9.140625" style="1"/>
    <col min="3" max="3" width="9.42578125" style="1" customWidth="1"/>
    <col min="4" max="4" width="9.7109375" style="1" customWidth="1"/>
    <col min="5" max="5" width="18.85546875" style="1" customWidth="1"/>
    <col min="6" max="6" width="9.7109375" style="1" customWidth="1"/>
    <col min="7" max="7" width="15.85546875" style="1" customWidth="1"/>
    <col min="8" max="8" width="9.7109375" style="1" customWidth="1"/>
    <col min="9" max="9" width="21.28515625" style="1" customWidth="1"/>
    <col min="10" max="10" width="9.7109375" style="1" customWidth="1"/>
    <col min="11" max="11" width="15.5703125" style="1" customWidth="1"/>
    <col min="12" max="14" width="9.7109375" style="1" customWidth="1"/>
    <col min="15" max="21" width="9.140625" style="1"/>
    <col min="22" max="22" width="18.5703125" style="1" customWidth="1"/>
    <col min="23" max="23" width="15.140625" style="1" customWidth="1"/>
    <col min="24" max="25" width="9.140625" style="1"/>
    <col min="26" max="26" width="11.7109375" style="1" customWidth="1"/>
    <col min="27" max="29" width="9.140625" style="1"/>
    <col min="30" max="30" width="13.85546875" style="1" customWidth="1"/>
    <col min="31" max="16384" width="9.140625" style="1"/>
  </cols>
  <sheetData>
    <row r="1" spans="1:30" ht="24.95" customHeight="1" x14ac:dyDescent="0.25">
      <c r="A1" s="1" t="s">
        <v>11</v>
      </c>
      <c r="B1" s="1" t="s">
        <v>14</v>
      </c>
      <c r="C1" s="1" t="s">
        <v>5</v>
      </c>
      <c r="D1" s="1" t="s">
        <v>61</v>
      </c>
      <c r="E1" s="1" t="s">
        <v>6</v>
      </c>
      <c r="F1" s="1" t="s">
        <v>62</v>
      </c>
      <c r="G1" s="1" t="s">
        <v>8</v>
      </c>
      <c r="H1" s="1" t="s">
        <v>63</v>
      </c>
      <c r="I1" s="1" t="s">
        <v>32</v>
      </c>
      <c r="J1" s="1" t="s">
        <v>64</v>
      </c>
      <c r="K1" s="1" t="s">
        <v>33</v>
      </c>
      <c r="L1" s="1" t="s">
        <v>65</v>
      </c>
      <c r="M1" s="1" t="s">
        <v>83</v>
      </c>
      <c r="N1" s="1" t="s">
        <v>91</v>
      </c>
      <c r="O1" s="1" t="s">
        <v>99</v>
      </c>
      <c r="P1" s="1" t="s">
        <v>87</v>
      </c>
      <c r="Q1" s="1" t="s">
        <v>85</v>
      </c>
      <c r="R1" s="1" t="s">
        <v>100</v>
      </c>
      <c r="S1" s="1" t="s">
        <v>86</v>
      </c>
      <c r="T1" s="1" t="s">
        <v>101</v>
      </c>
      <c r="U1" s="1" t="s">
        <v>522</v>
      </c>
      <c r="V1" s="1" t="s">
        <v>70</v>
      </c>
      <c r="W1" s="1" t="s">
        <v>71</v>
      </c>
    </row>
    <row r="2" spans="1:30" ht="24.95" customHeight="1" x14ac:dyDescent="0.25">
      <c r="A2" s="1" t="s">
        <v>12</v>
      </c>
      <c r="B2" s="1">
        <f>COUNTIF(V:V, "&gt;=0")-COUNTIF(V:V, "&gt;=1")-COUNTIF(Лист1!S:S, "=0")</f>
        <v>2013</v>
      </c>
      <c r="C2" s="1" t="s">
        <v>16</v>
      </c>
      <c r="D2" s="1">
        <f>COUNTIF(W:W,"&gt;=0")-COUNTIF(W:W, "&gt;=7")-COUNTIF(Лист1!S:S, "=0")</f>
        <v>1952</v>
      </c>
      <c r="E2" s="1" t="s">
        <v>120</v>
      </c>
      <c r="F2" s="1">
        <f>COUNTIF(Лист1!H:H, "Доставлен СМП")</f>
        <v>0</v>
      </c>
      <c r="G2" s="1" t="s">
        <v>82</v>
      </c>
      <c r="H2" s="1">
        <f>COUNTIF(Лист1!R:R, "Пед. паллиатив")</f>
        <v>0</v>
      </c>
      <c r="I2" s="1" t="s">
        <v>16</v>
      </c>
      <c r="J2" s="1" t="e">
        <f>COUNTIFS(W2:W2500,"&lt;7",Лист1!N2:N2499,"&gt;0")</f>
        <v>#VALUE!</v>
      </c>
      <c r="K2" s="1" t="s">
        <v>12</v>
      </c>
      <c r="L2" s="1">
        <f>COUNTIFS(Лист1!N2:N2510,"&lt;24")-COUNTIFS(Лист1!N2:N2510,"=0")</f>
        <v>10</v>
      </c>
      <c r="M2" s="1" t="s">
        <v>90</v>
      </c>
      <c r="N2" s="1">
        <f>COUNTIF(Лист1!N:N,"=Без доступа")</f>
        <v>0</v>
      </c>
      <c r="O2" s="1" t="s">
        <v>96</v>
      </c>
      <c r="P2" s="1">
        <f>T3</f>
        <v>0</v>
      </c>
      <c r="Q2" s="1" t="s">
        <v>102</v>
      </c>
      <c r="R2" s="1">
        <f>COUNTIF(Лист1!P:P,"СЗП+/-крио")</f>
        <v>0</v>
      </c>
      <c r="S2" s="1" t="s">
        <v>105</v>
      </c>
      <c r="T2" s="1">
        <f>COUNTIF(Лист1!Q:Q,"CVVHDF")</f>
        <v>0</v>
      </c>
      <c r="U2" s="1" t="s">
        <v>523</v>
      </c>
      <c r="V2" s="2">
        <f>Таблица1[[#This Row],[Дата перевода]]-Таблица1[[#This Row],[Дата поступления]]</f>
        <v>22</v>
      </c>
      <c r="W2" s="2">
        <f>Таблица1[[#This Row],[Дата поступления]]-Таблица1[[#This Row],[Дата рождения]]</f>
        <v>2854</v>
      </c>
      <c r="Y2" s="4"/>
      <c r="Z2" s="1" t="s">
        <v>90</v>
      </c>
      <c r="AA2" s="1" t="s">
        <v>96</v>
      </c>
      <c r="AB2" s="1" t="s">
        <v>102</v>
      </c>
      <c r="AC2" s="1" t="s">
        <v>105</v>
      </c>
      <c r="AD2" s="1" t="s">
        <v>523</v>
      </c>
    </row>
    <row r="3" spans="1:30" ht="24.95" customHeight="1" x14ac:dyDescent="0.25">
      <c r="A3" s="1" t="s">
        <v>36</v>
      </c>
      <c r="B3" s="1">
        <f>COUNTIF(V:V, "&gt;=1")-COUNTIF(V:V, "&gt;=3")</f>
        <v>315</v>
      </c>
      <c r="C3" s="1" t="s">
        <v>17</v>
      </c>
      <c r="D3" s="1">
        <f>COUNTIF(W:W,"&gt;=7")-COUNTIF(W:W, "&gt;=29")</f>
        <v>10</v>
      </c>
      <c r="E3" s="1" t="s">
        <v>121</v>
      </c>
      <c r="F3" s="1">
        <f>COUNTIF(Лист1!H:H, "Из операционной")</f>
        <v>0</v>
      </c>
      <c r="G3" s="1" t="s">
        <v>77</v>
      </c>
      <c r="H3" s="1">
        <f>COUNTIF(Лист1!R:R, "ДХО")</f>
        <v>0</v>
      </c>
      <c r="I3" s="1" t="s">
        <v>17</v>
      </c>
      <c r="J3" s="1" t="e">
        <f>COUNTIFS(W2:W2500,"&lt;29",Лист1!N2:N2499,"&gt;0")-COUNTIFS(W2:W2500,"&lt;7",Лист1!N2:N2499,"&gt;0")</f>
        <v>#VALUE!</v>
      </c>
      <c r="K3" s="1" t="s">
        <v>36</v>
      </c>
      <c r="L3" s="1">
        <f>COUNTIFS(Лист1!N2:N2510,"&lt;96")-COUNTIFS(Лист1!N2:N2510,"&lt;24")</f>
        <v>14</v>
      </c>
      <c r="M3" s="1" t="s">
        <v>89</v>
      </c>
      <c r="N3" s="1">
        <f>COUNTIF(Лист1!N:N,"=Периф. вен. кат.")</f>
        <v>0</v>
      </c>
      <c r="O3" s="1" t="s">
        <v>97</v>
      </c>
      <c r="P3" s="1">
        <f>COUNTIF(Лист1!O:O,"СМА")</f>
        <v>0</v>
      </c>
      <c r="Q3" s="1" t="s">
        <v>103</v>
      </c>
      <c r="R3" s="1">
        <f>COUNTIF(Лист1!P:P,"Эр. масса")</f>
        <v>0</v>
      </c>
      <c r="S3" s="1" t="s">
        <v>106</v>
      </c>
      <c r="T3" s="1">
        <f>COUNTIF(Лист1!Q:Q,"MPS")</f>
        <v>0</v>
      </c>
      <c r="U3" s="56">
        <f>COUNTIF(Лист1!V:V,"Интестин. зонд")+COUNTIF(Лист1!V:V,"Интестин. Зонд+датчик ВЧД")+COUNTIF(Лист1!V:V,"Интестин. Зонд+датчик ВЧД+инваз. АД")</f>
        <v>0</v>
      </c>
      <c r="V3" s="2">
        <f>Таблица1[[#This Row],[Дата перевода]]-Таблица1[[#This Row],[Дата поступления]]</f>
        <v>4</v>
      </c>
      <c r="W3" s="2">
        <f>Таблица1[[#This Row],[Дата поступления]]-Таблица1[[#This Row],[Дата рождения]]</f>
        <v>1186</v>
      </c>
      <c r="Y3" s="4"/>
      <c r="Z3" s="1" t="s">
        <v>89</v>
      </c>
      <c r="AA3" s="1" t="s">
        <v>97</v>
      </c>
      <c r="AB3" s="1" t="s">
        <v>103</v>
      </c>
      <c r="AC3" s="1" t="s">
        <v>106</v>
      </c>
      <c r="AD3" s="1" t="s">
        <v>524</v>
      </c>
    </row>
    <row r="4" spans="1:30" ht="24.95" customHeight="1" x14ac:dyDescent="0.25">
      <c r="A4" s="1" t="s">
        <v>72</v>
      </c>
      <c r="B4" s="1">
        <f>COUNTIF(V:V, "&gt;=3")-COUNTIF(V:V, "&gt;=30")</f>
        <v>170</v>
      </c>
      <c r="C4" s="1" t="s">
        <v>18</v>
      </c>
      <c r="D4" s="1">
        <f>COUNTIF(W:W,"&gt;=29")-COUNTIF(W:W, "&gt;=365")</f>
        <v>77</v>
      </c>
      <c r="E4" s="1" t="s">
        <v>122</v>
      </c>
      <c r="F4" s="1">
        <f>COUNTIF(Лист1!H:H,"Из профильных отделений")</f>
        <v>0</v>
      </c>
      <c r="G4" s="1" t="s">
        <v>23</v>
      </c>
      <c r="H4" s="1">
        <f>COUNTIF(Лист1!R:R, "ДОТО")</f>
        <v>0</v>
      </c>
      <c r="I4" s="1" t="s">
        <v>18</v>
      </c>
      <c r="J4" s="1" t="e">
        <f>COUNTIFS(W2:W2500,"&lt;365",Лист1!N2:N2499,"&gt;0")-COUNTIFS(W2:W2500,"&lt;29",Лист1!N2:N2499,"&gt;0")</f>
        <v>#VALUE!</v>
      </c>
      <c r="K4" s="1" t="s">
        <v>35</v>
      </c>
      <c r="L4" s="1">
        <f>COUNTIFS(Лист1!N2:N2510,"&lt;168")-COUNTIFS(Лист1!N2:N2510,"&lt;96")</f>
        <v>4</v>
      </c>
      <c r="M4" s="1" t="s">
        <v>73</v>
      </c>
      <c r="N4" s="1">
        <f>COUNTIF(Лист1!N:N,"=ЦВК")</f>
        <v>0</v>
      </c>
      <c r="O4" s="1" t="s">
        <v>98</v>
      </c>
      <c r="P4" s="1">
        <f>COUNTIF(Лист1!O:O,"Блокады сплетений")</f>
        <v>0</v>
      </c>
      <c r="Q4" s="1" t="s">
        <v>104</v>
      </c>
      <c r="R4" s="1">
        <f>COUNTIF(Лист1!P:P,"Тромб.")</f>
        <v>0</v>
      </c>
      <c r="S4" s="1" t="s">
        <v>107</v>
      </c>
      <c r="T4" s="1">
        <f>COUNTIF(Лист1!Q:Q,"PD")</f>
        <v>0</v>
      </c>
      <c r="U4" s="1" t="s">
        <v>524</v>
      </c>
      <c r="V4" s="2">
        <f>Таблица1[[#This Row],[Дата перевода]]-Таблица1[[#This Row],[Дата поступления]]</f>
        <v>6</v>
      </c>
      <c r="W4" s="2">
        <f>Таблица1[[#This Row],[Дата поступления]]-Таблица1[[#This Row],[Дата рождения]]</f>
        <v>1179</v>
      </c>
      <c r="Y4" s="46"/>
      <c r="Z4" s="1" t="s">
        <v>73</v>
      </c>
      <c r="AA4" s="1" t="s">
        <v>98</v>
      </c>
      <c r="AB4" s="1" t="s">
        <v>104</v>
      </c>
      <c r="AC4" s="1" t="s">
        <v>107</v>
      </c>
      <c r="AD4" s="1" t="s">
        <v>525</v>
      </c>
    </row>
    <row r="5" spans="1:30" ht="24.95" customHeight="1" x14ac:dyDescent="0.25">
      <c r="A5" s="1" t="s">
        <v>13</v>
      </c>
      <c r="B5" s="1">
        <f>COUNTIF(V:V, "&gt;=30")</f>
        <v>4</v>
      </c>
      <c r="C5" s="1" t="s">
        <v>19</v>
      </c>
      <c r="D5" s="1">
        <f>COUNTIF(W:W,"&gt;=365")-COUNTIF(W:W, "&gt;=1095")</f>
        <v>76</v>
      </c>
      <c r="E5" s="1" t="s">
        <v>123</v>
      </c>
      <c r="F5" s="1">
        <f>COUNTIF(Лист1!H:H,"Из других больниц")</f>
        <v>0</v>
      </c>
      <c r="G5" s="1" t="s">
        <v>24</v>
      </c>
      <c r="H5" s="1">
        <f>COUNTIF(Лист1!R:R, "Нефро")</f>
        <v>0</v>
      </c>
      <c r="I5" s="1" t="s">
        <v>19</v>
      </c>
      <c r="J5" s="1" t="e">
        <f>COUNTIFS(W2:W2500,"&lt;1095",Лист1!N2:N2499,"&gt;0")-COUNTIFS(W2:W2500,"&lt;365",Лист1!N2:N2499,"&gt;0")</f>
        <v>#VALUE!</v>
      </c>
      <c r="K5" s="1" t="s">
        <v>37</v>
      </c>
      <c r="L5" s="1">
        <f>COUNTIFS(Лист1!N2:N2510,"&lt;480")-COUNTIFS(Лист1!N2:N2510,"&lt;168")</f>
        <v>11</v>
      </c>
      <c r="M5" s="1" t="s">
        <v>92</v>
      </c>
      <c r="N5" s="1">
        <f>COUNTIF(Лист1!N:N,"=ЦВК №2")</f>
        <v>0</v>
      </c>
      <c r="Q5" s="1" t="s">
        <v>146</v>
      </c>
      <c r="R5" s="1">
        <f>COUNTIF(Лист1!P:P,"СЗП+Эр")</f>
        <v>0</v>
      </c>
      <c r="S5" s="1" t="s">
        <v>109</v>
      </c>
      <c r="T5" s="1">
        <f>COUNTIF(Лист1!Q:Q,"Кишеч. лаваж")</f>
        <v>0</v>
      </c>
      <c r="U5" s="56">
        <f>COUNTIF(Лист1!V:V,"Датчик ВЧД")+COUNTIF(Лист1!V:V,"Интестин. Зонд+датчик ВЧД")+COUNTIF(Лист1!V:V,"Датчик ВЧД+Инваз. АД")+COUNTIF(Лист1!V:V,"Интестин. Зонд+датчик ВЧД+инваз. АД")</f>
        <v>0</v>
      </c>
      <c r="V5" s="2">
        <f>Таблица1[[#This Row],[Дата перевода]]-Таблица1[[#This Row],[Дата поступления]]</f>
        <v>2</v>
      </c>
      <c r="W5" s="2">
        <f>Таблица1[[#This Row],[Дата поступления]]-Таблица1[[#This Row],[Дата рождения]]</f>
        <v>3433</v>
      </c>
      <c r="Z5" s="1" t="s">
        <v>92</v>
      </c>
      <c r="AC5" s="1" t="s">
        <v>109</v>
      </c>
      <c r="AD5" s="1" t="s">
        <v>526</v>
      </c>
    </row>
    <row r="6" spans="1:30" ht="24.95" customHeight="1" x14ac:dyDescent="0.25">
      <c r="A6" s="1" t="s">
        <v>15</v>
      </c>
      <c r="B6" s="1">
        <f>SUM(B2:B5)</f>
        <v>2502</v>
      </c>
      <c r="C6" s="1" t="s">
        <v>20</v>
      </c>
      <c r="D6" s="1">
        <f>COUNTIF(W:W,"&gt;=1095")-COUNTIF(W:W, "&gt;=2555")</f>
        <v>67</v>
      </c>
      <c r="E6" s="1" t="s">
        <v>124</v>
      </c>
      <c r="F6" s="1">
        <f>COUNTIF(Лист1!H:H,"Из родильных домов")</f>
        <v>0</v>
      </c>
      <c r="G6" s="1" t="s">
        <v>25</v>
      </c>
      <c r="H6" s="1">
        <f>COUNTIF(Лист1!R:R, "ОПНН")</f>
        <v>0</v>
      </c>
      <c r="I6" s="1" t="s">
        <v>20</v>
      </c>
      <c r="J6" s="1" t="e">
        <f>COUNTIFS(W2:W2500,"&lt;2555",Лист1!N2:N2499,"&gt;0")-COUNTIFS(W2:W2500,"&lt;1095",Лист1!N2:N2499,"&gt;0")</f>
        <v>#VALUE!</v>
      </c>
      <c r="K6" s="1" t="s">
        <v>38</v>
      </c>
      <c r="L6" s="1">
        <f>COUNTIFS(Лист1!N2:N2510,"&gt;480")</f>
        <v>17</v>
      </c>
      <c r="M6" s="1" t="s">
        <v>95</v>
      </c>
      <c r="N6" s="1">
        <f>COUNTIF(Лист1!N:N,"=ЦВК&gt;=3")</f>
        <v>0</v>
      </c>
      <c r="Q6" s="1" t="s">
        <v>147</v>
      </c>
      <c r="R6" s="1">
        <f>COUNTIF(Лист1!P:P,"СЗП+Тр")</f>
        <v>0</v>
      </c>
      <c r="S6" s="1" t="s">
        <v>110</v>
      </c>
      <c r="T6" s="1">
        <f>COUNTIF(Лист1!Q:Q,"CVVHDF+MPS")</f>
        <v>0</v>
      </c>
      <c r="U6" s="56" t="s">
        <v>525</v>
      </c>
      <c r="V6" s="2">
        <f>Таблица1[[#This Row],[Дата перевода]]-Таблица1[[#This Row],[Дата поступления]]</f>
        <v>4</v>
      </c>
      <c r="W6" s="2">
        <f>Таблица1[[#This Row],[Дата поступления]]-Таблица1[[#This Row],[Дата рождения]]</f>
        <v>6537</v>
      </c>
      <c r="Y6" s="46"/>
      <c r="Z6" s="1" t="s">
        <v>93</v>
      </c>
      <c r="AC6" s="1" t="s">
        <v>110</v>
      </c>
      <c r="AD6" s="1" t="s">
        <v>527</v>
      </c>
    </row>
    <row r="7" spans="1:30" ht="24.95" customHeight="1" x14ac:dyDescent="0.25">
      <c r="C7" s="1" t="s">
        <v>21</v>
      </c>
      <c r="D7" s="1">
        <f>COUNTIF(W:W,"&gt;=2555")-COUNTIF(W:W, "&gt;=5475")</f>
        <v>188</v>
      </c>
      <c r="E7" s="1" t="s">
        <v>125</v>
      </c>
      <c r="F7" s="1">
        <f>COUNTIF(Лист1!H:H,"Повторное поступление")</f>
        <v>0</v>
      </c>
      <c r="G7" s="1" t="s">
        <v>27</v>
      </c>
      <c r="H7" s="1">
        <f>COUNTIF(Лист1!R:R, "Пульмо")</f>
        <v>0</v>
      </c>
      <c r="I7" s="1" t="s">
        <v>21</v>
      </c>
      <c r="J7" s="1" t="e">
        <f>COUNTIFS(W2:W2500,"&lt;5475",Лист1!N2:N2499,"&gt;0")-COUNTIFS(W2:W2500,"&lt;2555",Лист1!N2:N2499,"&gt;0")</f>
        <v>#VALUE!</v>
      </c>
      <c r="K7" s="1" t="s">
        <v>34</v>
      </c>
      <c r="L7" s="1" t="e">
        <f>COUNTIFS(W2:W2500,"&lt;=28",Лист1!N2:N2499,"&gt;0")</f>
        <v>#VALUE!</v>
      </c>
      <c r="M7" s="1" t="s">
        <v>88</v>
      </c>
      <c r="N7" s="1">
        <f>COUNTIF(Лист1!N:N,"=Гл. вен. линия")</f>
        <v>0</v>
      </c>
      <c r="Q7" s="1" t="s">
        <v>148</v>
      </c>
      <c r="R7" s="1">
        <f>COUNTIF(Лист1!P:P,"Эр+Тр")</f>
        <v>0</v>
      </c>
      <c r="S7" s="1" t="s">
        <v>111</v>
      </c>
      <c r="T7" s="1">
        <f>COUNTIF(Лист1!Q:Q,"CVVHDF+PD")</f>
        <v>0</v>
      </c>
      <c r="U7" s="56">
        <f>COUNTIF(Лист1!V:V,"Инваз. АД")+COUNTIF(Лист1!V:V,"Датчик ВЧД+Инваз. АД")+COUNTIF(Лист1!V:V,"Интестин. Зонд+датчик ВЧД+инваз. АД")</f>
        <v>0</v>
      </c>
      <c r="V7" s="2">
        <f>Таблица1[[#This Row],[Дата перевода]]-Таблица1[[#This Row],[Дата поступления]]</f>
        <v>1</v>
      </c>
      <c r="W7" s="2">
        <f>Таблица1[[#This Row],[Дата поступления]]-Таблица1[[#This Row],[Дата рождения]]</f>
        <v>631</v>
      </c>
      <c r="Y7" s="46"/>
      <c r="Z7" s="1" t="s">
        <v>88</v>
      </c>
      <c r="AC7" s="1" t="s">
        <v>111</v>
      </c>
      <c r="AD7" s="1" t="s">
        <v>528</v>
      </c>
    </row>
    <row r="8" spans="1:30" ht="24.95" customHeight="1" x14ac:dyDescent="0.25">
      <c r="C8" s="1" t="s">
        <v>22</v>
      </c>
      <c r="D8" s="1">
        <f>COUNTIF(W:W,"&gt;=5475")-COUNTIF(W:W, "&gt;=6575")</f>
        <v>137</v>
      </c>
      <c r="E8" s="1" t="s">
        <v>75</v>
      </c>
      <c r="F8" s="1">
        <f>COUNTIF(Лист1!H:H,"Самотёком")</f>
        <v>0</v>
      </c>
      <c r="G8" s="1" t="s">
        <v>26</v>
      </c>
      <c r="H8" s="1">
        <f>COUNTIF(Лист1!R:R, "Педиатрия")</f>
        <v>0</v>
      </c>
      <c r="I8" s="1" t="s">
        <v>22</v>
      </c>
      <c r="J8" s="1" t="e">
        <f>COUNTIFS(W2:W2500,"&lt;6575",Лист1!N2:N2499,"&gt;0")-COUNTIFS(W2:W2500,"&lt;5475",Лист1!N2:N2499,"&gt;0")</f>
        <v>#VALUE!</v>
      </c>
      <c r="K8" s="1" t="s">
        <v>15</v>
      </c>
      <c r="L8" s="1">
        <f>SUM(L2:L6)</f>
        <v>56</v>
      </c>
      <c r="M8" s="1" t="s">
        <v>94</v>
      </c>
      <c r="N8" s="1">
        <f>COUNTIF(Лист1!N:N,"=Диализ. катетер")</f>
        <v>0</v>
      </c>
      <c r="Q8" s="1" t="s">
        <v>149</v>
      </c>
      <c r="R8" s="1">
        <f>COUNTIF(Лист1!P:P,"СЗП+Эр+Тр")</f>
        <v>0</v>
      </c>
      <c r="S8" s="1" t="s">
        <v>112</v>
      </c>
      <c r="T8" s="1">
        <f>COUNTIF(Лист1!Q:Q,"CVVHDF+Кишеч. лаваж")</f>
        <v>0</v>
      </c>
      <c r="U8" s="56"/>
      <c r="V8" s="2">
        <f>Таблица1[[#This Row],[Дата перевода]]-Таблица1[[#This Row],[Дата поступления]]</f>
        <v>1</v>
      </c>
      <c r="W8" s="2">
        <f>Таблица1[[#This Row],[Дата поступления]]-Таблица1[[#This Row],[Дата рождения]]</f>
        <v>5130</v>
      </c>
      <c r="Y8" s="46"/>
      <c r="Z8" s="1" t="s">
        <v>94</v>
      </c>
      <c r="AC8" s="1" t="s">
        <v>112</v>
      </c>
    </row>
    <row r="9" spans="1:30" ht="24.95" customHeight="1" x14ac:dyDescent="0.25">
      <c r="C9" s="1" t="s">
        <v>15</v>
      </c>
      <c r="D9" s="1">
        <f>SUM(D2:D8)</f>
        <v>2507</v>
      </c>
      <c r="E9" s="1" t="s">
        <v>15</v>
      </c>
      <c r="F9" s="1">
        <f>SUM(F2:F8)</f>
        <v>0</v>
      </c>
      <c r="G9" s="1" t="s">
        <v>28</v>
      </c>
      <c r="H9" s="1">
        <f>COUNTIF(Лист1!R:R, "Неврология")</f>
        <v>0</v>
      </c>
      <c r="I9" s="1" t="s">
        <v>15</v>
      </c>
      <c r="J9" s="1" t="e">
        <f>SUM(J2:J8)</f>
        <v>#VALUE!</v>
      </c>
      <c r="M9" s="1" t="s">
        <v>113</v>
      </c>
      <c r="N9" s="1">
        <f>SUM(N4:N6,N8)</f>
        <v>0</v>
      </c>
      <c r="Q9" s="1" t="s">
        <v>15</v>
      </c>
      <c r="R9" s="1">
        <f>SUM(R2:R8)</f>
        <v>0</v>
      </c>
      <c r="S9" s="1" t="s">
        <v>108</v>
      </c>
      <c r="T9" s="1">
        <f>COUNTIF(Лист1!Q:Q,"Плазмаферез")</f>
        <v>0</v>
      </c>
      <c r="U9" s="56"/>
      <c r="V9" s="2">
        <f>Таблица1[[#This Row],[Дата перевода]]-Таблица1[[#This Row],[Дата поступления]]</f>
        <v>2</v>
      </c>
      <c r="W9" s="2">
        <f>Таблица1[[#This Row],[Дата поступления]]-Таблица1[[#This Row],[Дата рождения]]</f>
        <v>3665</v>
      </c>
      <c r="Y9" s="47"/>
      <c r="AC9" s="1" t="s">
        <v>108</v>
      </c>
    </row>
    <row r="10" spans="1:30" ht="24.95" customHeight="1" x14ac:dyDescent="0.25">
      <c r="G10" s="1" t="s">
        <v>29</v>
      </c>
      <c r="H10" s="1">
        <f>COUNTIF(Лист1!R:R, "Другие больницы")</f>
        <v>0</v>
      </c>
      <c r="Q10" s="1" t="s">
        <v>150</v>
      </c>
      <c r="R10" s="1">
        <f>COUNTIF(Лист1!P:P,"СЗП+/-крио")+COUNTIF(Лист1!P:P,"СЗП+Эр")+COUNTIF(Лист1!P:P,"СЗП+Тр")+COUNTIF(Лист1!P:P,"СЗП+Эр+Тр")</f>
        <v>0</v>
      </c>
      <c r="S10" s="1" t="s">
        <v>115</v>
      </c>
      <c r="T10" s="1">
        <f>SUM(T2,T6:T8)</f>
        <v>0</v>
      </c>
      <c r="U10" s="56"/>
      <c r="V10" s="2">
        <f>Таблица1[[#This Row],[Дата перевода]]-Таблица1[[#This Row],[Дата поступления]]</f>
        <v>3</v>
      </c>
      <c r="W10" s="2">
        <f>Таблица1[[#This Row],[Дата поступления]]-Таблица1[[#This Row],[Дата рождения]]</f>
        <v>464</v>
      </c>
      <c r="Y10" s="46"/>
    </row>
    <row r="11" spans="1:30" ht="24.95" customHeight="1" x14ac:dyDescent="0.25">
      <c r="G11" s="1" t="s">
        <v>30</v>
      </c>
      <c r="H11" s="1">
        <f>COUNTIF(Лист1!R:R, "Летальный исход")</f>
        <v>0</v>
      </c>
      <c r="Q11" s="1" t="s">
        <v>151</v>
      </c>
      <c r="R11" s="1">
        <f>COUNTIF(Лист1!P:P,"Эр. масса")+COUNTIF(Лист1!P:P,"СЗП+Эр")+COUNTIF(Лист1!P:P,"Эр+Тр")+COUNTIF(Лист1!P:P,"СЗП+Эр+Тр")</f>
        <v>0</v>
      </c>
      <c r="S11" s="1" t="s">
        <v>116</v>
      </c>
      <c r="T11" s="1">
        <f>SUM(T3,T6)</f>
        <v>0</v>
      </c>
      <c r="U11" s="56"/>
      <c r="V11" s="2">
        <f>Таблица1[[#This Row],[Дата перевода]]-Таблица1[[#This Row],[Дата поступления]]</f>
        <v>1</v>
      </c>
      <c r="W11" s="2">
        <f>Таблица1[[#This Row],[Дата поступления]]-Таблица1[[#This Row],[Дата рождения]]</f>
        <v>4802</v>
      </c>
      <c r="Y11" s="46"/>
    </row>
    <row r="12" spans="1:30" ht="24.95" customHeight="1" x14ac:dyDescent="0.25">
      <c r="G12" s="1" t="s">
        <v>31</v>
      </c>
      <c r="H12" s="1">
        <f>COUNTIF(Лист1!R:R, "Прочее")</f>
        <v>0</v>
      </c>
      <c r="Q12" s="1" t="s">
        <v>152</v>
      </c>
      <c r="R12" s="1">
        <f>COUNTIF(Лист1!P:P,"Тромб.")+COUNTIF(Лист1!P:P,"СЗП+Тр")+COUNTIF(Лист1!P:P,"Эр+Тр")+COUNTIF(Лист1!P:P,"СЗП+Эр+Тр")</f>
        <v>0</v>
      </c>
      <c r="S12" s="1" t="s">
        <v>117</v>
      </c>
      <c r="T12" s="1">
        <f>SUM(T4,T7)</f>
        <v>0</v>
      </c>
      <c r="U12" s="56"/>
      <c r="V12" s="2">
        <f>Таблица1[[#This Row],[Дата перевода]]-Таблица1[[#This Row],[Дата поступления]]</f>
        <v>1</v>
      </c>
      <c r="W12" s="2">
        <f>Таблица1[[#This Row],[Дата поступления]]-Таблица1[[#This Row],[Дата рождения]]</f>
        <v>416</v>
      </c>
      <c r="Y12" s="8"/>
    </row>
    <row r="13" spans="1:30" ht="24.95" customHeight="1" x14ac:dyDescent="0.25">
      <c r="G13" s="1" t="s">
        <v>15</v>
      </c>
      <c r="H13" s="1">
        <f>SUM(H2:H12)</f>
        <v>0</v>
      </c>
      <c r="S13" s="1" t="s">
        <v>118</v>
      </c>
      <c r="T13" s="1">
        <f>SUM(T5,T8)</f>
        <v>0</v>
      </c>
      <c r="U13" s="56"/>
      <c r="V13" s="2">
        <f>Таблица1[[#This Row],[Дата перевода]]-Таблица1[[#This Row],[Дата поступления]]</f>
        <v>2</v>
      </c>
      <c r="W13" s="2">
        <f>Таблица1[[#This Row],[Дата поступления]]-Таблица1[[#This Row],[Дата рождения]]</f>
        <v>894</v>
      </c>
      <c r="Y13" s="8"/>
    </row>
    <row r="14" spans="1:30" ht="24.95" customHeight="1" x14ac:dyDescent="0.25">
      <c r="A14" s="1" t="s">
        <v>119</v>
      </c>
      <c r="B14" s="7" t="e">
        <f>SUM(V2:V2511)</f>
        <v>#VALUE!</v>
      </c>
      <c r="D14" s="7"/>
      <c r="F14" s="7"/>
      <c r="H14" s="7"/>
      <c r="J14" s="7"/>
      <c r="L14" s="7"/>
      <c r="M14" s="7"/>
      <c r="N14" s="7"/>
      <c r="P14" s="7"/>
      <c r="S14" s="1" t="s">
        <v>114</v>
      </c>
      <c r="T14" s="1">
        <f>SUM(T9:T13)</f>
        <v>0</v>
      </c>
      <c r="U14" s="56"/>
      <c r="V14" s="2">
        <f>Таблица1[[#This Row],[Дата перевода]]-Таблица1[[#This Row],[Дата поступления]]</f>
        <v>1</v>
      </c>
      <c r="W14" s="2">
        <f>Таблица1[[#This Row],[Дата поступления]]-Таблица1[[#This Row],[Дата рождения]]</f>
        <v>2583</v>
      </c>
    </row>
    <row r="15" spans="1:30" ht="24.95" customHeight="1" x14ac:dyDescent="0.25">
      <c r="B15" s="7"/>
      <c r="D15" s="7"/>
      <c r="F15" s="7"/>
      <c r="H15" s="7"/>
      <c r="J15" s="7"/>
      <c r="L15" s="7"/>
      <c r="M15" s="7"/>
      <c r="N15" s="7"/>
      <c r="V15" s="2">
        <f>Таблица1[[#This Row],[Дата перевода]]-Таблица1[[#This Row],[Дата поступления]]</f>
        <v>1</v>
      </c>
      <c r="W15" s="2">
        <f>Таблица1[[#This Row],[Дата поступления]]-Таблица1[[#This Row],[Дата рождения]]</f>
        <v>5708</v>
      </c>
    </row>
    <row r="16" spans="1:30" ht="24.95" customHeight="1" x14ac:dyDescent="0.25">
      <c r="B16" s="7"/>
      <c r="D16" s="7"/>
      <c r="F16" s="7"/>
      <c r="G16" s="48" t="s">
        <v>82</v>
      </c>
      <c r="H16" s="7"/>
      <c r="I16" s="48" t="s">
        <v>82</v>
      </c>
      <c r="J16" s="7"/>
      <c r="K16" s="48" t="s">
        <v>82</v>
      </c>
      <c r="L16" s="7"/>
      <c r="M16" s="7"/>
      <c r="N16" s="7"/>
      <c r="V16" s="2">
        <f>Таблица1[[#This Row],[Дата перевода]]-Таблица1[[#This Row],[Дата поступления]]</f>
        <v>8</v>
      </c>
      <c r="W16" s="2">
        <f>Таблица1[[#This Row],[Дата поступления]]-Таблица1[[#This Row],[Дата рождения]]</f>
        <v>1185</v>
      </c>
    </row>
    <row r="17" spans="2:23" ht="24.95" customHeight="1" x14ac:dyDescent="0.25">
      <c r="B17" s="7"/>
      <c r="D17" s="7"/>
      <c r="F17" s="7"/>
      <c r="G17" s="49" t="s">
        <v>77</v>
      </c>
      <c r="H17" s="7"/>
      <c r="I17" s="49" t="s">
        <v>77</v>
      </c>
      <c r="J17" s="7"/>
      <c r="K17" s="49" t="s">
        <v>77</v>
      </c>
      <c r="L17" s="7"/>
      <c r="M17" s="7"/>
      <c r="N17" s="7"/>
      <c r="V17" s="2">
        <f>Таблица1[[#This Row],[Дата перевода]]-Таблица1[[#This Row],[Дата поступления]]</f>
        <v>6</v>
      </c>
      <c r="W17" s="2">
        <f>Таблица1[[#This Row],[Дата поступления]]-Таблица1[[#This Row],[Дата рождения]]</f>
        <v>6542</v>
      </c>
    </row>
    <row r="18" spans="2:23" ht="24.95" customHeight="1" x14ac:dyDescent="0.25">
      <c r="B18" s="7"/>
      <c r="D18" s="7"/>
      <c r="F18" s="7"/>
      <c r="G18" s="48" t="s">
        <v>23</v>
      </c>
      <c r="H18" s="7"/>
      <c r="I18" s="48" t="s">
        <v>23</v>
      </c>
      <c r="J18" s="7"/>
      <c r="K18" s="48" t="s">
        <v>23</v>
      </c>
      <c r="L18" s="7"/>
      <c r="M18" s="7"/>
      <c r="N18" s="7"/>
      <c r="V18" s="2">
        <f>Таблица1[[#This Row],[Дата перевода]]-Таблица1[[#This Row],[Дата поступления]]</f>
        <v>1</v>
      </c>
      <c r="W18" s="2">
        <f>Таблица1[[#This Row],[Дата поступления]]-Таблица1[[#This Row],[Дата рождения]]</f>
        <v>1656</v>
      </c>
    </row>
    <row r="19" spans="2:23" ht="24.95" customHeight="1" x14ac:dyDescent="0.25">
      <c r="B19" s="7"/>
      <c r="D19" s="7"/>
      <c r="F19" s="7"/>
      <c r="G19" s="49" t="s">
        <v>24</v>
      </c>
      <c r="H19" s="7"/>
      <c r="I19" s="49" t="s">
        <v>24</v>
      </c>
      <c r="J19" s="7"/>
      <c r="K19" s="49" t="s">
        <v>24</v>
      </c>
      <c r="L19" s="7"/>
      <c r="M19" s="7"/>
      <c r="N19" s="7"/>
      <c r="V19" s="2">
        <f>Таблица1[[#This Row],[Дата перевода]]-Таблица1[[#This Row],[Дата поступления]]</f>
        <v>2</v>
      </c>
      <c r="W19" s="2">
        <f>Таблица1[[#This Row],[Дата поступления]]-Таблица1[[#This Row],[Дата рождения]]</f>
        <v>5138</v>
      </c>
    </row>
    <row r="20" spans="2:23" ht="24.95" customHeight="1" x14ac:dyDescent="0.25">
      <c r="B20" s="7"/>
      <c r="D20" s="7"/>
      <c r="F20" s="7"/>
      <c r="G20" s="48" t="s">
        <v>25</v>
      </c>
      <c r="H20" s="7"/>
      <c r="I20" s="48" t="s">
        <v>25</v>
      </c>
      <c r="J20" s="7"/>
      <c r="K20" s="48" t="s">
        <v>25</v>
      </c>
      <c r="L20" s="7"/>
      <c r="M20" s="7"/>
      <c r="N20" s="7"/>
      <c r="V20" s="2">
        <f>Таблица1[[#This Row],[Дата перевода]]-Таблица1[[#This Row],[Дата поступления]]</f>
        <v>1</v>
      </c>
      <c r="W20" s="2">
        <f>Таблица1[[#This Row],[Дата поступления]]-Таблица1[[#This Row],[Дата рождения]]</f>
        <v>1015</v>
      </c>
    </row>
    <row r="21" spans="2:23" ht="24.95" customHeight="1" x14ac:dyDescent="0.25">
      <c r="B21" s="7"/>
      <c r="D21" s="7"/>
      <c r="F21" s="7"/>
      <c r="G21" s="49" t="s">
        <v>27</v>
      </c>
      <c r="H21" s="7"/>
      <c r="I21" s="49" t="s">
        <v>27</v>
      </c>
      <c r="J21" s="7"/>
      <c r="K21" s="49" t="s">
        <v>27</v>
      </c>
      <c r="L21" s="7"/>
      <c r="M21" s="7"/>
      <c r="N21" s="7"/>
      <c r="V21" s="2">
        <f>Таблица1[[#This Row],[Дата перевода]]-Таблица1[[#This Row],[Дата поступления]]</f>
        <v>1</v>
      </c>
      <c r="W21" s="2">
        <f>Таблица1[[#This Row],[Дата поступления]]-Таблица1[[#This Row],[Дата рождения]]</f>
        <v>3673</v>
      </c>
    </row>
    <row r="22" spans="2:23" ht="24.95" customHeight="1" x14ac:dyDescent="0.25">
      <c r="B22" s="7"/>
      <c r="D22" s="7"/>
      <c r="F22" s="7"/>
      <c r="G22" s="48" t="s">
        <v>26</v>
      </c>
      <c r="H22" s="7"/>
      <c r="I22" s="48" t="s">
        <v>26</v>
      </c>
      <c r="J22" s="7"/>
      <c r="K22" s="48" t="s">
        <v>26</v>
      </c>
      <c r="L22" s="7"/>
      <c r="M22" s="7"/>
      <c r="N22" s="7"/>
      <c r="V22" s="2">
        <f>Таблица1[[#This Row],[Дата перевода]]-Таблица1[[#This Row],[Дата поступления]]</f>
        <v>1</v>
      </c>
      <c r="W22" s="2">
        <f>Таблица1[[#This Row],[Дата поступления]]-Таблица1[[#This Row],[Дата рождения]]</f>
        <v>3552</v>
      </c>
    </row>
    <row r="23" spans="2:23" ht="24.95" customHeight="1" x14ac:dyDescent="0.25">
      <c r="B23" s="7"/>
      <c r="D23" s="7"/>
      <c r="F23" s="7"/>
      <c r="G23" s="49" t="s">
        <v>28</v>
      </c>
      <c r="H23" s="7"/>
      <c r="I23" s="49" t="s">
        <v>28</v>
      </c>
      <c r="J23" s="7"/>
      <c r="K23" s="49" t="s">
        <v>28</v>
      </c>
      <c r="L23" s="7"/>
      <c r="M23" s="7"/>
      <c r="N23" s="7"/>
      <c r="V23" s="2">
        <f>Таблица1[[#This Row],[Дата перевода]]-Таблица1[[#This Row],[Дата поступления]]</f>
        <v>5</v>
      </c>
      <c r="W23" s="2">
        <f>Таблица1[[#This Row],[Дата поступления]]-Таблица1[[#This Row],[Дата рождения]]</f>
        <v>1198</v>
      </c>
    </row>
    <row r="24" spans="2:23" ht="24.95" customHeight="1" x14ac:dyDescent="0.25">
      <c r="B24" s="7"/>
      <c r="D24" s="7"/>
      <c r="F24" s="7"/>
      <c r="H24" s="7"/>
      <c r="J24" s="7"/>
      <c r="L24" s="7"/>
      <c r="M24" s="7"/>
      <c r="N24" s="7"/>
      <c r="V24" s="2">
        <f>Таблица1[[#This Row],[Дата перевода]]-Таблица1[[#This Row],[Дата поступления]]</f>
        <v>4</v>
      </c>
      <c r="W24" s="2">
        <f>Таблица1[[#This Row],[Дата поступления]]-Таблица1[[#This Row],[Дата рождения]]</f>
        <v>2502</v>
      </c>
    </row>
    <row r="25" spans="2:23" ht="24.95" customHeight="1" x14ac:dyDescent="0.25">
      <c r="B25" s="7"/>
      <c r="D25" s="7"/>
      <c r="F25" s="7"/>
      <c r="H25" s="7"/>
      <c r="J25" s="7"/>
      <c r="L25" s="7"/>
      <c r="M25" s="7"/>
      <c r="N25" s="7"/>
      <c r="V25" s="2">
        <f>Таблица1[[#This Row],[Дата перевода]]-Таблица1[[#This Row],[Дата поступления]]</f>
        <v>2</v>
      </c>
      <c r="W25" s="2">
        <f>Таблица1[[#This Row],[Дата поступления]]-Таблица1[[#This Row],[Дата рождения]]</f>
        <v>5674</v>
      </c>
    </row>
    <row r="26" spans="2:23" ht="24.95" customHeight="1" x14ac:dyDescent="0.25">
      <c r="B26" s="7"/>
      <c r="D26" s="7"/>
      <c r="F26" s="7"/>
      <c r="H26" s="7"/>
      <c r="J26" s="7"/>
      <c r="L26" s="7"/>
      <c r="M26" s="7"/>
      <c r="N26" s="7"/>
      <c r="V26" s="2">
        <f>Таблица1[[#This Row],[Дата перевода]]-Таблица1[[#This Row],[Дата поступления]]</f>
        <v>23</v>
      </c>
      <c r="W26" s="2">
        <f>Таблица1[[#This Row],[Дата поступления]]-Таблица1[[#This Row],[Дата рождения]]</f>
        <v>1016</v>
      </c>
    </row>
    <row r="27" spans="2:23" ht="24.95" customHeight="1" x14ac:dyDescent="0.25">
      <c r="B27" s="7"/>
      <c r="D27" s="7"/>
      <c r="F27" s="7"/>
      <c r="H27" s="7"/>
      <c r="J27" s="7"/>
      <c r="L27" s="7"/>
      <c r="M27" s="7"/>
      <c r="N27" s="7"/>
      <c r="V27" s="2">
        <f>Таблица1[[#This Row],[Дата перевода]]-Таблица1[[#This Row],[Дата поступления]]</f>
        <v>2</v>
      </c>
      <c r="W27" s="2">
        <f>Таблица1[[#This Row],[Дата поступления]]-Таблица1[[#This Row],[Дата рождения]]</f>
        <v>5477</v>
      </c>
    </row>
    <row r="28" spans="2:23" ht="24.95" customHeight="1" x14ac:dyDescent="0.25">
      <c r="B28" s="7"/>
      <c r="D28" s="7"/>
      <c r="F28" s="7"/>
      <c r="H28" s="7"/>
      <c r="J28" s="7"/>
      <c r="L28" s="7"/>
      <c r="M28" s="7"/>
      <c r="N28" s="7"/>
      <c r="V28" s="2">
        <f>Таблица1[[#This Row],[Дата перевода]]-Таблица1[[#This Row],[Дата поступления]]</f>
        <v>1</v>
      </c>
      <c r="W28" s="2">
        <f>Таблица1[[#This Row],[Дата поступления]]-Таблица1[[#This Row],[Дата рождения]]</f>
        <v>682</v>
      </c>
    </row>
    <row r="29" spans="2:23" ht="24.95" customHeight="1" x14ac:dyDescent="0.25">
      <c r="B29" s="7"/>
      <c r="D29" s="7"/>
      <c r="F29" s="7"/>
      <c r="H29" s="7"/>
      <c r="J29" s="7"/>
      <c r="L29" s="7"/>
      <c r="M29" s="7"/>
      <c r="N29" s="7"/>
      <c r="V29" s="2">
        <f>Таблица1[[#This Row],[Дата перевода]]-Таблица1[[#This Row],[Дата поступления]]</f>
        <v>1</v>
      </c>
      <c r="W29" s="2">
        <f>Таблица1[[#This Row],[Дата поступления]]-Таблица1[[#This Row],[Дата рождения]]</f>
        <v>50</v>
      </c>
    </row>
    <row r="30" spans="2:23" ht="24.95" customHeight="1" x14ac:dyDescent="0.25">
      <c r="B30" s="7"/>
      <c r="D30" s="7"/>
      <c r="F30" s="7"/>
      <c r="H30" s="7"/>
      <c r="J30" s="7"/>
      <c r="L30" s="7"/>
      <c r="M30" s="7"/>
      <c r="N30" s="7"/>
      <c r="V30" s="2">
        <f>Таблица1[[#This Row],[Дата перевода]]-Таблица1[[#This Row],[Дата поступления]]</f>
        <v>1</v>
      </c>
      <c r="W30" s="2">
        <f>Таблица1[[#This Row],[Дата поступления]]-Таблица1[[#This Row],[Дата рождения]]</f>
        <v>70</v>
      </c>
    </row>
    <row r="31" spans="2:23" ht="24.95" customHeight="1" x14ac:dyDescent="0.25">
      <c r="B31" s="7"/>
      <c r="D31" s="7"/>
      <c r="F31" s="7"/>
      <c r="H31" s="7"/>
      <c r="J31" s="7"/>
      <c r="L31" s="7"/>
      <c r="M31" s="7"/>
      <c r="N31" s="7"/>
      <c r="V31" s="2">
        <f>Таблица1[[#This Row],[Дата перевода]]-Таблица1[[#This Row],[Дата поступления]]</f>
        <v>28</v>
      </c>
      <c r="W31" s="2">
        <f>Таблица1[[#This Row],[Дата поступления]]-Таблица1[[#This Row],[Дата рождения]]</f>
        <v>1204</v>
      </c>
    </row>
    <row r="32" spans="2:23" ht="24.95" customHeight="1" x14ac:dyDescent="0.25">
      <c r="B32" s="7"/>
      <c r="D32" s="7"/>
      <c r="F32" s="7"/>
      <c r="H32" s="7"/>
      <c r="J32" s="7"/>
      <c r="L32" s="7"/>
      <c r="M32" s="7"/>
      <c r="N32" s="7"/>
      <c r="V32" s="2">
        <f>Таблица1[[#This Row],[Дата перевода]]-Таблица1[[#This Row],[Дата поступления]]</f>
        <v>2</v>
      </c>
      <c r="W32" s="2">
        <f>Таблица1[[#This Row],[Дата поступления]]-Таблица1[[#This Row],[Дата рождения]]</f>
        <v>3441</v>
      </c>
    </row>
    <row r="33" spans="2:23" ht="24.95" customHeight="1" x14ac:dyDescent="0.25">
      <c r="B33" s="7"/>
      <c r="D33" s="7"/>
      <c r="F33" s="7"/>
      <c r="H33" s="7"/>
      <c r="J33" s="7"/>
      <c r="L33" s="7"/>
      <c r="M33" s="7"/>
      <c r="N33" s="7"/>
      <c r="V33" s="2">
        <f>Таблица1[[#This Row],[Дата перевода]]-Таблица1[[#This Row],[Дата поступления]]</f>
        <v>1</v>
      </c>
      <c r="W33" s="2">
        <f>Таблица1[[#This Row],[Дата поступления]]-Таблица1[[#This Row],[Дата рождения]]</f>
        <v>6321</v>
      </c>
    </row>
    <row r="34" spans="2:23" ht="24.95" customHeight="1" x14ac:dyDescent="0.25">
      <c r="B34" s="7"/>
      <c r="D34" s="7"/>
      <c r="F34" s="7"/>
      <c r="H34" s="7"/>
      <c r="J34" s="7"/>
      <c r="L34" s="7"/>
      <c r="M34" s="7"/>
      <c r="N34" s="7"/>
      <c r="V34" s="2">
        <f>Таблица1[[#This Row],[Дата перевода]]-Таблица1[[#This Row],[Дата поступления]]</f>
        <v>0</v>
      </c>
      <c r="W34" s="2">
        <f>Таблица1[[#This Row],[Дата поступления]]-Таблица1[[#This Row],[Дата рождения]]</f>
        <v>2015</v>
      </c>
    </row>
    <row r="35" spans="2:23" ht="24.95" customHeight="1" x14ac:dyDescent="0.25">
      <c r="B35" s="7"/>
      <c r="D35" s="7"/>
      <c r="F35" s="7"/>
      <c r="H35" s="7"/>
      <c r="J35" s="7"/>
      <c r="L35" s="7"/>
      <c r="M35" s="7"/>
      <c r="N35" s="7"/>
      <c r="V35" s="2">
        <f>Таблица1[[#This Row],[Дата перевода]]-Таблица1[[#This Row],[Дата поступления]]</f>
        <v>4</v>
      </c>
      <c r="W35" s="2">
        <f>Таблица1[[#This Row],[Дата поступления]]-Таблица1[[#This Row],[Дата рождения]]</f>
        <v>5330</v>
      </c>
    </row>
    <row r="36" spans="2:23" ht="24.95" customHeight="1" x14ac:dyDescent="0.25">
      <c r="V36" s="2">
        <f>Таблица1[[#This Row],[Дата перевода]]-Таблица1[[#This Row],[Дата поступления]]</f>
        <v>1</v>
      </c>
      <c r="W36" s="2">
        <f>Таблица1[[#This Row],[Дата поступления]]-Таблица1[[#This Row],[Дата рождения]]</f>
        <v>6054</v>
      </c>
    </row>
    <row r="37" spans="2:23" ht="24.95" customHeight="1" x14ac:dyDescent="0.25">
      <c r="V37" s="2">
        <f>Таблица1[[#This Row],[Дата перевода]]-Таблица1[[#This Row],[Дата поступления]]</f>
        <v>1</v>
      </c>
      <c r="W37" s="2">
        <f>Таблица1[[#This Row],[Дата поступления]]-Таблица1[[#This Row],[Дата рождения]]</f>
        <v>6461</v>
      </c>
    </row>
    <row r="38" spans="2:23" ht="24.95" customHeight="1" x14ac:dyDescent="0.25">
      <c r="V38" s="2">
        <f>Таблица1[[#This Row],[Дата перевода]]-Таблица1[[#This Row],[Дата поступления]]</f>
        <v>1</v>
      </c>
      <c r="W38" s="2">
        <f>Таблица1[[#This Row],[Дата поступления]]-Таблица1[[#This Row],[Дата рождения]]</f>
        <v>6487</v>
      </c>
    </row>
    <row r="39" spans="2:23" ht="24.95" customHeight="1" x14ac:dyDescent="0.25">
      <c r="V39" s="2">
        <f>Таблица1[[#This Row],[Дата перевода]]-Таблица1[[#This Row],[Дата поступления]]</f>
        <v>1</v>
      </c>
      <c r="W39" s="2">
        <f>Таблица1[[#This Row],[Дата поступления]]-Таблица1[[#This Row],[Дата рождения]]</f>
        <v>4202</v>
      </c>
    </row>
    <row r="40" spans="2:23" ht="24.95" customHeight="1" x14ac:dyDescent="0.25">
      <c r="V40" s="2">
        <f>Таблица1[[#This Row],[Дата перевода]]-Таблица1[[#This Row],[Дата поступления]]</f>
        <v>2</v>
      </c>
      <c r="W40" s="2">
        <f>Таблица1[[#This Row],[Дата поступления]]-Таблица1[[#This Row],[Дата рождения]]</f>
        <v>3178</v>
      </c>
    </row>
    <row r="41" spans="2:23" ht="24.95" customHeight="1" x14ac:dyDescent="0.25">
      <c r="V41" s="2">
        <f>Таблица1[[#This Row],[Дата перевода]]-Таблица1[[#This Row],[Дата поступления]]</f>
        <v>0</v>
      </c>
      <c r="W41" s="2">
        <f>Таблица1[[#This Row],[Дата поступления]]-Таблица1[[#This Row],[Дата рождения]]</f>
        <v>75</v>
      </c>
    </row>
    <row r="42" spans="2:23" ht="24.95" customHeight="1" x14ac:dyDescent="0.25">
      <c r="V42" s="2">
        <f>Таблица1[[#This Row],[Дата перевода]]-Таблица1[[#This Row],[Дата поступления]]</f>
        <v>7</v>
      </c>
      <c r="W42" s="2">
        <f>Таблица1[[#This Row],[Дата поступления]]-Таблица1[[#This Row],[Дата рождения]]</f>
        <v>530</v>
      </c>
    </row>
    <row r="43" spans="2:23" ht="24.95" customHeight="1" x14ac:dyDescent="0.25">
      <c r="V43" s="2">
        <f>Таблица1[[#This Row],[Дата перевода]]-Таблица1[[#This Row],[Дата поступления]]</f>
        <v>0</v>
      </c>
      <c r="W43" s="2">
        <f>Таблица1[[#This Row],[Дата поступления]]-Таблица1[[#This Row],[Дата рождения]]</f>
        <v>4</v>
      </c>
    </row>
    <row r="44" spans="2:23" ht="24.95" customHeight="1" x14ac:dyDescent="0.25">
      <c r="V44" s="2">
        <f>Таблица1[[#This Row],[Дата перевода]]-Таблица1[[#This Row],[Дата поступления]]</f>
        <v>1</v>
      </c>
      <c r="W44" s="2">
        <f>Таблица1[[#This Row],[Дата поступления]]-Таблица1[[#This Row],[Дата рождения]]</f>
        <v>6543</v>
      </c>
    </row>
    <row r="45" spans="2:23" ht="24.95" customHeight="1" x14ac:dyDescent="0.25">
      <c r="V45" s="2">
        <f>Таблица1[[#This Row],[Дата перевода]]-Таблица1[[#This Row],[Дата поступления]]</f>
        <v>1</v>
      </c>
      <c r="W45" s="2">
        <f>Таблица1[[#This Row],[Дата поступления]]-Таблица1[[#This Row],[Дата рождения]]</f>
        <v>5513</v>
      </c>
    </row>
    <row r="46" spans="2:23" ht="24.95" customHeight="1" x14ac:dyDescent="0.25">
      <c r="V46" s="2">
        <f>Таблица1[[#This Row],[Дата перевода]]-Таблица1[[#This Row],[Дата поступления]]</f>
        <v>1</v>
      </c>
      <c r="W46" s="2">
        <f>Таблица1[[#This Row],[Дата поступления]]-Таблица1[[#This Row],[Дата рождения]]</f>
        <v>6005</v>
      </c>
    </row>
    <row r="47" spans="2:23" ht="24.95" customHeight="1" x14ac:dyDescent="0.25">
      <c r="V47" s="2">
        <f>Таблица1[[#This Row],[Дата перевода]]-Таблица1[[#This Row],[Дата поступления]]</f>
        <v>1</v>
      </c>
      <c r="W47" s="2">
        <f>Таблица1[[#This Row],[Дата поступления]]-Таблица1[[#This Row],[Дата рождения]]</f>
        <v>4165</v>
      </c>
    </row>
    <row r="48" spans="2:23" ht="24.95" customHeight="1" x14ac:dyDescent="0.25">
      <c r="V48" s="2">
        <f>Таблица1[[#This Row],[Дата перевода]]-Таблица1[[#This Row],[Дата поступления]]</f>
        <v>1</v>
      </c>
      <c r="W48" s="2">
        <f>Таблица1[[#This Row],[Дата поступления]]-Таблица1[[#This Row],[Дата рождения]]</f>
        <v>528</v>
      </c>
    </row>
    <row r="49" spans="22:23" ht="24.95" customHeight="1" x14ac:dyDescent="0.25">
      <c r="V49" s="2">
        <f>Таблица1[[#This Row],[Дата перевода]]-Таблица1[[#This Row],[Дата поступления]]</f>
        <v>1</v>
      </c>
      <c r="W49" s="2">
        <f>Таблица1[[#This Row],[Дата поступления]]-Таблица1[[#This Row],[Дата рождения]]</f>
        <v>6353</v>
      </c>
    </row>
    <row r="50" spans="22:23" ht="24.95" customHeight="1" x14ac:dyDescent="0.25">
      <c r="V50" s="2">
        <f>Таблица1[[#This Row],[Дата перевода]]-Таблица1[[#This Row],[Дата поступления]]</f>
        <v>2</v>
      </c>
      <c r="W50" s="2">
        <f>Таблица1[[#This Row],[Дата поступления]]-Таблица1[[#This Row],[Дата рождения]]</f>
        <v>340</v>
      </c>
    </row>
    <row r="51" spans="22:23" ht="24.95" customHeight="1" x14ac:dyDescent="0.25">
      <c r="V51" s="2">
        <f>Таблица1[[#This Row],[Дата перевода]]-Таблица1[[#This Row],[Дата поступления]]</f>
        <v>2</v>
      </c>
      <c r="W51" s="2">
        <f>Таблица1[[#This Row],[Дата поступления]]-Таблица1[[#This Row],[Дата рождения]]</f>
        <v>786</v>
      </c>
    </row>
    <row r="52" spans="22:23" ht="24.95" customHeight="1" x14ac:dyDescent="0.25">
      <c r="V52" s="2">
        <f>Таблица1[[#This Row],[Дата перевода]]-Таблица1[[#This Row],[Дата поступления]]</f>
        <v>3</v>
      </c>
      <c r="W52" s="2">
        <f>Таблица1[[#This Row],[Дата поступления]]-Таблица1[[#This Row],[Дата рождения]]</f>
        <v>2930</v>
      </c>
    </row>
    <row r="53" spans="22:23" ht="24.95" customHeight="1" x14ac:dyDescent="0.25">
      <c r="V53" s="2">
        <f>Таблица1[[#This Row],[Дата перевода]]-Таблица1[[#This Row],[Дата поступления]]</f>
        <v>1</v>
      </c>
      <c r="W53" s="2">
        <f>Таблица1[[#This Row],[Дата поступления]]-Таблица1[[#This Row],[Дата рождения]]</f>
        <v>6431</v>
      </c>
    </row>
    <row r="54" spans="22:23" ht="24.95" customHeight="1" x14ac:dyDescent="0.25">
      <c r="V54" s="2">
        <f>Таблица1[[#This Row],[Дата перевода]]-Таблица1[[#This Row],[Дата поступления]]</f>
        <v>7</v>
      </c>
      <c r="W54" s="2">
        <f>Таблица1[[#This Row],[Дата поступления]]-Таблица1[[#This Row],[Дата рождения]]</f>
        <v>5129</v>
      </c>
    </row>
    <row r="55" spans="22:23" ht="24.95" customHeight="1" x14ac:dyDescent="0.25">
      <c r="V55" s="2">
        <f>Таблица1[[#This Row],[Дата перевода]]-Таблица1[[#This Row],[Дата поступления]]</f>
        <v>1</v>
      </c>
      <c r="W55" s="2">
        <f>Таблица1[[#This Row],[Дата поступления]]-Таблица1[[#This Row],[Дата рождения]]</f>
        <v>3509</v>
      </c>
    </row>
    <row r="56" spans="22:23" ht="24.95" customHeight="1" x14ac:dyDescent="0.25">
      <c r="V56" s="2">
        <f>Таблица1[[#This Row],[Дата перевода]]-Таблица1[[#This Row],[Дата поступления]]</f>
        <v>8</v>
      </c>
      <c r="W56" s="2">
        <f>Таблица1[[#This Row],[Дата поступления]]-Таблица1[[#This Row],[Дата рождения]]</f>
        <v>537</v>
      </c>
    </row>
    <row r="57" spans="22:23" ht="24.95" customHeight="1" x14ac:dyDescent="0.25">
      <c r="V57" s="2">
        <f>Таблица1[[#This Row],[Дата перевода]]-Таблица1[[#This Row],[Дата поступления]]</f>
        <v>1</v>
      </c>
      <c r="W57" s="2">
        <f>Таблица1[[#This Row],[Дата поступления]]-Таблица1[[#This Row],[Дата рождения]]</f>
        <v>5967</v>
      </c>
    </row>
    <row r="58" spans="22:23" ht="24.95" customHeight="1" x14ac:dyDescent="0.25">
      <c r="V58" s="2">
        <f>Таблица1[[#This Row],[Дата перевода]]-Таблица1[[#This Row],[Дата поступления]]</f>
        <v>1</v>
      </c>
      <c r="W58" s="2">
        <f>Таблица1[[#This Row],[Дата поступления]]-Таблица1[[#This Row],[Дата рождения]]</f>
        <v>2328</v>
      </c>
    </row>
    <row r="59" spans="22:23" ht="24.95" customHeight="1" x14ac:dyDescent="0.25">
      <c r="V59" s="2">
        <f>Таблица1[[#This Row],[Дата перевода]]-Таблица1[[#This Row],[Дата поступления]]</f>
        <v>1</v>
      </c>
      <c r="W59" s="2">
        <f>Таблица1[[#This Row],[Дата поступления]]-Таблица1[[#This Row],[Дата рождения]]</f>
        <v>4176</v>
      </c>
    </row>
    <row r="60" spans="22:23" ht="24.95" customHeight="1" x14ac:dyDescent="0.25">
      <c r="V60" s="2">
        <f>Таблица1[[#This Row],[Дата перевода]]-Таблица1[[#This Row],[Дата поступления]]</f>
        <v>1</v>
      </c>
      <c r="W60" s="2">
        <f>Таблица1[[#This Row],[Дата поступления]]-Таблица1[[#This Row],[Дата рождения]]</f>
        <v>6055</v>
      </c>
    </row>
    <row r="61" spans="22:23" ht="24.95" customHeight="1" x14ac:dyDescent="0.25">
      <c r="V61" s="2">
        <f>Таблица1[[#This Row],[Дата перевода]]-Таблица1[[#This Row],[Дата поступления]]</f>
        <v>1</v>
      </c>
      <c r="W61" s="2">
        <f>Таблица1[[#This Row],[Дата поступления]]-Таблица1[[#This Row],[Дата рождения]]</f>
        <v>5566</v>
      </c>
    </row>
    <row r="62" spans="22:23" ht="24.95" customHeight="1" x14ac:dyDescent="0.25">
      <c r="V62" s="2">
        <f>Таблица1[[#This Row],[Дата перевода]]-Таблица1[[#This Row],[Дата поступления]]</f>
        <v>1</v>
      </c>
      <c r="W62" s="2">
        <f>Таблица1[[#This Row],[Дата поступления]]-Таблица1[[#This Row],[Дата рождения]]</f>
        <v>42</v>
      </c>
    </row>
    <row r="63" spans="22:23" ht="24.95" customHeight="1" x14ac:dyDescent="0.25">
      <c r="V63" s="2">
        <f>Таблица1[[#This Row],[Дата перевода]]-Таблица1[[#This Row],[Дата поступления]]</f>
        <v>1</v>
      </c>
      <c r="W63" s="2">
        <f>Таблица1[[#This Row],[Дата поступления]]-Таблица1[[#This Row],[Дата рождения]]</f>
        <v>3122</v>
      </c>
    </row>
    <row r="64" spans="22:23" ht="24.95" customHeight="1" x14ac:dyDescent="0.25">
      <c r="V64" s="2">
        <f>Таблица1[[#This Row],[Дата перевода]]-Таблица1[[#This Row],[Дата поступления]]</f>
        <v>1</v>
      </c>
      <c r="W64" s="2">
        <f>Таблица1[[#This Row],[Дата поступления]]-Таблица1[[#This Row],[Дата рождения]]</f>
        <v>5846</v>
      </c>
    </row>
    <row r="65" spans="22:23" ht="24.95" customHeight="1" x14ac:dyDescent="0.25">
      <c r="V65" s="2">
        <f>Таблица1[[#This Row],[Дата перевода]]-Таблица1[[#This Row],[Дата поступления]]</f>
        <v>29</v>
      </c>
      <c r="W65" s="2">
        <f>Таблица1[[#This Row],[Дата поступления]]-Таблица1[[#This Row],[Дата рождения]]</f>
        <v>546</v>
      </c>
    </row>
    <row r="66" spans="22:23" ht="24.95" customHeight="1" x14ac:dyDescent="0.25">
      <c r="V66" s="2">
        <f>Таблица1[[#This Row],[Дата перевода]]-Таблица1[[#This Row],[Дата поступления]]</f>
        <v>2</v>
      </c>
      <c r="W66" s="2">
        <f>Таблица1[[#This Row],[Дата поступления]]-Таблица1[[#This Row],[Дата рождения]]</f>
        <v>4562</v>
      </c>
    </row>
    <row r="67" spans="22:23" ht="24.95" customHeight="1" x14ac:dyDescent="0.25">
      <c r="V67" s="2">
        <f>Таблица1[[#This Row],[Дата перевода]]-Таблица1[[#This Row],[Дата поступления]]</f>
        <v>3</v>
      </c>
      <c r="W67" s="2">
        <f>Таблица1[[#This Row],[Дата поступления]]-Таблица1[[#This Row],[Дата рождения]]</f>
        <v>2719</v>
      </c>
    </row>
    <row r="68" spans="22:23" ht="24.95" customHeight="1" x14ac:dyDescent="0.25">
      <c r="V68" s="2">
        <f>Таблица1[[#This Row],[Дата перевода]]-Таблица1[[#This Row],[Дата поступления]]</f>
        <v>0</v>
      </c>
      <c r="W68" s="2">
        <f>Таблица1[[#This Row],[Дата поступления]]-Таблица1[[#This Row],[Дата рождения]]</f>
        <v>542</v>
      </c>
    </row>
    <row r="69" spans="22:23" ht="24.95" customHeight="1" x14ac:dyDescent="0.25">
      <c r="V69" s="2">
        <f>Таблица1[[#This Row],[Дата перевода]]-Таблица1[[#This Row],[Дата поступления]]</f>
        <v>4</v>
      </c>
      <c r="W69" s="2">
        <f>Таблица1[[#This Row],[Дата поступления]]-Таблица1[[#This Row],[Дата рождения]]</f>
        <v>146</v>
      </c>
    </row>
    <row r="70" spans="22:23" ht="24.95" customHeight="1" x14ac:dyDescent="0.25">
      <c r="V70" s="2">
        <f>Таблица1[[#This Row],[Дата перевода]]-Таблица1[[#This Row],[Дата поступления]]</f>
        <v>6</v>
      </c>
      <c r="W70" s="2">
        <f>Таблица1[[#This Row],[Дата поступления]]-Таблица1[[#This Row],[Дата рождения]]</f>
        <v>4380</v>
      </c>
    </row>
    <row r="71" spans="22:23" ht="24.95" customHeight="1" x14ac:dyDescent="0.25">
      <c r="V71" s="2">
        <f>Таблица1[[#This Row],[Дата перевода]]-Таблица1[[#This Row],[Дата поступления]]</f>
        <v>8</v>
      </c>
      <c r="W71" s="2">
        <f>Таблица1[[#This Row],[Дата поступления]]-Таблица1[[#This Row],[Дата рождения]]</f>
        <v>1316</v>
      </c>
    </row>
    <row r="72" spans="22:23" ht="24.95" customHeight="1" x14ac:dyDescent="0.25">
      <c r="V72" s="2">
        <f>Таблица1[[#This Row],[Дата перевода]]-Таблица1[[#This Row],[Дата поступления]]</f>
        <v>1</v>
      </c>
      <c r="W72" s="2">
        <f>Таблица1[[#This Row],[Дата поступления]]-Таблица1[[#This Row],[Дата рождения]]</f>
        <v>6106</v>
      </c>
    </row>
    <row r="73" spans="22:23" ht="24.95" customHeight="1" x14ac:dyDescent="0.25">
      <c r="V73" s="2">
        <f>Таблица1[[#This Row],[Дата перевода]]-Таблица1[[#This Row],[Дата поступления]]</f>
        <v>1</v>
      </c>
      <c r="W73" s="2">
        <f>Таблица1[[#This Row],[Дата поступления]]-Таблица1[[#This Row],[Дата рождения]]</f>
        <v>2488</v>
      </c>
    </row>
    <row r="74" spans="22:23" ht="24.95" customHeight="1" x14ac:dyDescent="0.25">
      <c r="V74" s="2">
        <f>Таблица1[[#This Row],[Дата перевода]]-Таблица1[[#This Row],[Дата поступления]]</f>
        <v>2</v>
      </c>
      <c r="W74" s="2">
        <f>Таблица1[[#This Row],[Дата поступления]]-Таблица1[[#This Row],[Дата рождения]]</f>
        <v>261</v>
      </c>
    </row>
    <row r="75" spans="22:23" ht="24.95" customHeight="1" x14ac:dyDescent="0.25">
      <c r="V75" s="2">
        <f>Таблица1[[#This Row],[Дата перевода]]-Таблица1[[#This Row],[Дата поступления]]</f>
        <v>1</v>
      </c>
      <c r="W75" s="2">
        <f>Таблица1[[#This Row],[Дата поступления]]-Таблица1[[#This Row],[Дата рождения]]</f>
        <v>5942</v>
      </c>
    </row>
    <row r="76" spans="22:23" ht="24.95" customHeight="1" x14ac:dyDescent="0.25">
      <c r="V76" s="2">
        <f>Таблица1[[#This Row],[Дата перевода]]-Таблица1[[#This Row],[Дата поступления]]</f>
        <v>4</v>
      </c>
      <c r="W76" s="2">
        <f>Таблица1[[#This Row],[Дата поступления]]-Таблица1[[#This Row],[Дата рождения]]</f>
        <v>28</v>
      </c>
    </row>
    <row r="77" spans="22:23" ht="24.95" customHeight="1" x14ac:dyDescent="0.25">
      <c r="V77" s="2">
        <f>Таблица1[[#This Row],[Дата перевода]]-Таблица1[[#This Row],[Дата поступления]]</f>
        <v>7</v>
      </c>
      <c r="W77" s="2">
        <f>Таблица1[[#This Row],[Дата поступления]]-Таблица1[[#This Row],[Дата рождения]]</f>
        <v>1</v>
      </c>
    </row>
    <row r="78" spans="22:23" ht="24.95" customHeight="1" x14ac:dyDescent="0.25">
      <c r="V78" s="2">
        <f>Таблица1[[#This Row],[Дата перевода]]-Таблица1[[#This Row],[Дата поступления]]</f>
        <v>2</v>
      </c>
      <c r="W78" s="2">
        <f>Таблица1[[#This Row],[Дата поступления]]-Таблица1[[#This Row],[Дата рождения]]</f>
        <v>5662</v>
      </c>
    </row>
    <row r="79" spans="22:23" ht="24.95" customHeight="1" x14ac:dyDescent="0.25">
      <c r="V79" s="2">
        <f>Таблица1[[#This Row],[Дата перевода]]-Таблица1[[#This Row],[Дата поступления]]</f>
        <v>2</v>
      </c>
      <c r="W79" s="2">
        <f>Таблица1[[#This Row],[Дата поступления]]-Таблица1[[#This Row],[Дата рождения]]</f>
        <v>3075</v>
      </c>
    </row>
    <row r="80" spans="22:23" ht="24.95" customHeight="1" x14ac:dyDescent="0.25">
      <c r="V80" s="2">
        <f>Таблица1[[#This Row],[Дата перевода]]-Таблица1[[#This Row],[Дата поступления]]</f>
        <v>1</v>
      </c>
      <c r="W80" s="2">
        <f>Таблица1[[#This Row],[Дата поступления]]-Таблица1[[#This Row],[Дата рождения]]</f>
        <v>4656</v>
      </c>
    </row>
    <row r="81" spans="22:23" ht="24.95" customHeight="1" x14ac:dyDescent="0.25">
      <c r="V81" s="2">
        <f>Таблица1[[#This Row],[Дата перевода]]-Таблица1[[#This Row],[Дата поступления]]</f>
        <v>2</v>
      </c>
      <c r="W81" s="2">
        <f>Таблица1[[#This Row],[Дата поступления]]-Таблица1[[#This Row],[Дата рождения]]</f>
        <v>772</v>
      </c>
    </row>
    <row r="82" spans="22:23" ht="24.95" customHeight="1" x14ac:dyDescent="0.25">
      <c r="V82" s="2">
        <f>Таблица1[[#This Row],[Дата перевода]]-Таблица1[[#This Row],[Дата поступления]]</f>
        <v>1</v>
      </c>
      <c r="W82" s="2">
        <f>Таблица1[[#This Row],[Дата поступления]]-Таблица1[[#This Row],[Дата рождения]]</f>
        <v>5339</v>
      </c>
    </row>
    <row r="83" spans="22:23" ht="24.95" customHeight="1" x14ac:dyDescent="0.25">
      <c r="V83" s="2">
        <f>Таблица1[[#This Row],[Дата перевода]]-Таблица1[[#This Row],[Дата поступления]]</f>
        <v>1</v>
      </c>
      <c r="W83" s="2">
        <f>Таблица1[[#This Row],[Дата поступления]]-Таблица1[[#This Row],[Дата рождения]]</f>
        <v>6335</v>
      </c>
    </row>
    <row r="84" spans="22:23" ht="24.95" customHeight="1" x14ac:dyDescent="0.25">
      <c r="V84" s="2">
        <f>Таблица1[[#This Row],[Дата перевода]]-Таблица1[[#This Row],[Дата поступления]]</f>
        <v>12</v>
      </c>
      <c r="W84" s="2">
        <f>Таблица1[[#This Row],[Дата поступления]]-Таблица1[[#This Row],[Дата рождения]]</f>
        <v>3012</v>
      </c>
    </row>
    <row r="85" spans="22:23" ht="24.95" customHeight="1" x14ac:dyDescent="0.25">
      <c r="V85" s="2">
        <f>Таблица1[[#This Row],[Дата перевода]]-Таблица1[[#This Row],[Дата поступления]]</f>
        <v>0</v>
      </c>
      <c r="W85" s="2">
        <f>Таблица1[[#This Row],[Дата поступления]]-Таблица1[[#This Row],[Дата рождения]]</f>
        <v>6318</v>
      </c>
    </row>
    <row r="86" spans="22:23" ht="24.95" customHeight="1" x14ac:dyDescent="0.25">
      <c r="V86" s="2">
        <f>Таблица1[[#This Row],[Дата перевода]]-Таблица1[[#This Row],[Дата поступления]]</f>
        <v>0</v>
      </c>
      <c r="W86" s="2">
        <f>Таблица1[[#This Row],[Дата поступления]]-Таблица1[[#This Row],[Дата рождения]]</f>
        <v>5794</v>
      </c>
    </row>
    <row r="87" spans="22:23" ht="24.95" customHeight="1" x14ac:dyDescent="0.25">
      <c r="V87" s="2">
        <f>Таблица1[[#This Row],[Дата перевода]]-Таблица1[[#This Row],[Дата поступления]]</f>
        <v>5</v>
      </c>
      <c r="W87" s="2">
        <f>Таблица1[[#This Row],[Дата поступления]]-Таблица1[[#This Row],[Дата рождения]]</f>
        <v>669</v>
      </c>
    </row>
    <row r="88" spans="22:23" ht="24.95" customHeight="1" x14ac:dyDescent="0.25">
      <c r="V88" s="2">
        <f>Таблица1[[#This Row],[Дата перевода]]-Таблица1[[#This Row],[Дата поступления]]</f>
        <v>18</v>
      </c>
      <c r="W88" s="2">
        <f>Таблица1[[#This Row],[Дата поступления]]-Таблица1[[#This Row],[Дата рождения]]</f>
        <v>4660</v>
      </c>
    </row>
    <row r="89" spans="22:23" ht="24.95" customHeight="1" x14ac:dyDescent="0.25">
      <c r="V89" s="2">
        <f>Таблица1[[#This Row],[Дата перевода]]-Таблица1[[#This Row],[Дата поступления]]</f>
        <v>1</v>
      </c>
      <c r="W89" s="2">
        <f>Таблица1[[#This Row],[Дата поступления]]-Таблица1[[#This Row],[Дата рождения]]</f>
        <v>5155</v>
      </c>
    </row>
    <row r="90" spans="22:23" ht="24.95" customHeight="1" x14ac:dyDescent="0.25">
      <c r="V90" s="2">
        <f>Таблица1[[#This Row],[Дата перевода]]-Таблица1[[#This Row],[Дата поступления]]</f>
        <v>1</v>
      </c>
      <c r="W90" s="2">
        <f>Таблица1[[#This Row],[Дата поступления]]-Таблица1[[#This Row],[Дата рождения]]</f>
        <v>3772</v>
      </c>
    </row>
    <row r="91" spans="22:23" ht="24.95" customHeight="1" x14ac:dyDescent="0.25">
      <c r="V91" s="2">
        <f>Таблица1[[#This Row],[Дата перевода]]-Таблица1[[#This Row],[Дата поступления]]</f>
        <v>3</v>
      </c>
      <c r="W91" s="2">
        <f>Таблица1[[#This Row],[Дата поступления]]-Таблица1[[#This Row],[Дата рождения]]</f>
        <v>3367</v>
      </c>
    </row>
    <row r="92" spans="22:23" ht="24.95" customHeight="1" x14ac:dyDescent="0.25">
      <c r="V92" s="2">
        <f>Таблица1[[#This Row],[Дата перевода]]-Таблица1[[#This Row],[Дата поступления]]</f>
        <v>1</v>
      </c>
      <c r="W92" s="2">
        <f>Таблица1[[#This Row],[Дата поступления]]-Таблица1[[#This Row],[Дата рождения]]</f>
        <v>4223</v>
      </c>
    </row>
    <row r="93" spans="22:23" ht="24.95" customHeight="1" x14ac:dyDescent="0.25">
      <c r="V93" s="2">
        <f>Таблица1[[#This Row],[Дата перевода]]-Таблица1[[#This Row],[Дата поступления]]</f>
        <v>11</v>
      </c>
      <c r="W93" s="2">
        <f>Таблица1[[#This Row],[Дата поступления]]-Таблица1[[#This Row],[Дата рождения]]</f>
        <v>109</v>
      </c>
    </row>
    <row r="94" spans="22:23" ht="24.95" customHeight="1" x14ac:dyDescent="0.25">
      <c r="V94" s="2">
        <f>Таблица1[[#This Row],[Дата перевода]]-Таблица1[[#This Row],[Дата поступления]]</f>
        <v>2</v>
      </c>
      <c r="W94" s="2">
        <f>Таблица1[[#This Row],[Дата поступления]]-Таблица1[[#This Row],[Дата рождения]]</f>
        <v>4912</v>
      </c>
    </row>
    <row r="95" spans="22:23" ht="24.95" customHeight="1" x14ac:dyDescent="0.25">
      <c r="V95" s="2">
        <f>Таблица1[[#This Row],[Дата перевода]]-Таблица1[[#This Row],[Дата поступления]]</f>
        <v>2</v>
      </c>
      <c r="W95" s="2">
        <f>Таблица1[[#This Row],[Дата поступления]]-Таблица1[[#This Row],[Дата рождения]]</f>
        <v>63</v>
      </c>
    </row>
    <row r="96" spans="22:23" ht="24.95" customHeight="1" x14ac:dyDescent="0.25">
      <c r="V96" s="2">
        <f>Таблица1[[#This Row],[Дата перевода]]-Таблица1[[#This Row],[Дата поступления]]</f>
        <v>1</v>
      </c>
      <c r="W96" s="2">
        <f>Таблица1[[#This Row],[Дата поступления]]-Таблица1[[#This Row],[Дата рождения]]</f>
        <v>244</v>
      </c>
    </row>
    <row r="97" spans="22:23" ht="24.95" customHeight="1" x14ac:dyDescent="0.25">
      <c r="V97" s="2">
        <f>Таблица1[[#This Row],[Дата перевода]]-Таблица1[[#This Row],[Дата поступления]]</f>
        <v>1</v>
      </c>
      <c r="W97" s="2">
        <f>Таблица1[[#This Row],[Дата поступления]]-Таблица1[[#This Row],[Дата рождения]]</f>
        <v>5475</v>
      </c>
    </row>
    <row r="98" spans="22:23" ht="24.95" customHeight="1" x14ac:dyDescent="0.25">
      <c r="V98" s="2">
        <f>Таблица1[[#This Row],[Дата перевода]]-Таблица1[[#This Row],[Дата поступления]]</f>
        <v>9</v>
      </c>
      <c r="W98" s="2">
        <f>Таблица1[[#This Row],[Дата поступления]]-Таблица1[[#This Row],[Дата рождения]]</f>
        <v>2419</v>
      </c>
    </row>
    <row r="99" spans="22:23" ht="24.95" customHeight="1" x14ac:dyDescent="0.25">
      <c r="V99" s="2">
        <f>Таблица1[[#This Row],[Дата перевода]]-Таблица1[[#This Row],[Дата поступления]]</f>
        <v>1</v>
      </c>
      <c r="W99" s="2">
        <f>Таблица1[[#This Row],[Дата поступления]]-Таблица1[[#This Row],[Дата рождения]]</f>
        <v>1051</v>
      </c>
    </row>
    <row r="100" spans="22:23" ht="24.95" customHeight="1" x14ac:dyDescent="0.25">
      <c r="V100" s="2">
        <f>Таблица1[[#This Row],[Дата перевода]]-Таблица1[[#This Row],[Дата поступления]]</f>
        <v>2</v>
      </c>
      <c r="W100" s="2">
        <f>Таблица1[[#This Row],[Дата поступления]]-Таблица1[[#This Row],[Дата рождения]]</f>
        <v>42</v>
      </c>
    </row>
    <row r="101" spans="22:23" ht="24.95" customHeight="1" x14ac:dyDescent="0.25">
      <c r="V101" s="2">
        <f>Таблица1[[#This Row],[Дата перевода]]-Таблица1[[#This Row],[Дата поступления]]</f>
        <v>0</v>
      </c>
      <c r="W101" s="2">
        <f>Таблица1[[#This Row],[Дата поступления]]-Таблица1[[#This Row],[Дата рождения]]</f>
        <v>357</v>
      </c>
    </row>
    <row r="102" spans="22:23" ht="24.95" customHeight="1" x14ac:dyDescent="0.25">
      <c r="V102" s="2">
        <f>Таблица1[[#This Row],[Дата перевода]]-Таблица1[[#This Row],[Дата поступления]]</f>
        <v>1</v>
      </c>
      <c r="W102" s="2">
        <f>Таблица1[[#This Row],[Дата поступления]]-Таблица1[[#This Row],[Дата рождения]]</f>
        <v>746</v>
      </c>
    </row>
    <row r="103" spans="22:23" ht="24.95" customHeight="1" x14ac:dyDescent="0.25">
      <c r="V103" s="2">
        <f>Таблица1[[#This Row],[Дата перевода]]-Таблица1[[#This Row],[Дата поступления]]</f>
        <v>8</v>
      </c>
      <c r="W103" s="2">
        <f>Таблица1[[#This Row],[Дата поступления]]-Таблица1[[#This Row],[Дата рождения]]</f>
        <v>2905</v>
      </c>
    </row>
    <row r="104" spans="22:23" ht="24.95" customHeight="1" x14ac:dyDescent="0.25">
      <c r="V104" s="2">
        <f>Таблица1[[#This Row],[Дата перевода]]-Таблица1[[#This Row],[Дата поступления]]</f>
        <v>26</v>
      </c>
      <c r="W104" s="2">
        <f>Таблица1[[#This Row],[Дата поступления]]-Таблица1[[#This Row],[Дата рождения]]</f>
        <v>576</v>
      </c>
    </row>
    <row r="105" spans="22:23" ht="24.95" customHeight="1" x14ac:dyDescent="0.25">
      <c r="V105" s="2">
        <f>Таблица1[[#This Row],[Дата перевода]]-Таблица1[[#This Row],[Дата поступления]]</f>
        <v>2</v>
      </c>
      <c r="W105" s="2">
        <f>Таблица1[[#This Row],[Дата поступления]]-Таблица1[[#This Row],[Дата рождения]]</f>
        <v>3621</v>
      </c>
    </row>
    <row r="106" spans="22:23" ht="24.95" customHeight="1" x14ac:dyDescent="0.25">
      <c r="V106" s="2">
        <f>Таблица1[[#This Row],[Дата перевода]]-Таблица1[[#This Row],[Дата поступления]]</f>
        <v>1</v>
      </c>
      <c r="W106" s="2">
        <f>Таблица1[[#This Row],[Дата поступления]]-Таблица1[[#This Row],[Дата рождения]]</f>
        <v>5902</v>
      </c>
    </row>
    <row r="107" spans="22:23" ht="24.95" customHeight="1" x14ac:dyDescent="0.25">
      <c r="V107" s="2">
        <f>Таблица1[[#This Row],[Дата перевода]]-Таблица1[[#This Row],[Дата поступления]]</f>
        <v>1</v>
      </c>
      <c r="W107" s="2">
        <f>Таблица1[[#This Row],[Дата поступления]]-Таблица1[[#This Row],[Дата рождения]]</f>
        <v>889</v>
      </c>
    </row>
    <row r="108" spans="22:23" ht="24.95" customHeight="1" x14ac:dyDescent="0.25">
      <c r="V108" s="2">
        <f>Таблица1[[#This Row],[Дата перевода]]-Таблица1[[#This Row],[Дата поступления]]</f>
        <v>1</v>
      </c>
      <c r="W108" s="2">
        <f>Таблица1[[#This Row],[Дата поступления]]-Таблица1[[#This Row],[Дата рождения]]</f>
        <v>3875</v>
      </c>
    </row>
    <row r="109" spans="22:23" ht="24.95" customHeight="1" x14ac:dyDescent="0.25">
      <c r="V109" s="2">
        <f>Таблица1[[#This Row],[Дата перевода]]-Таблица1[[#This Row],[Дата поступления]]</f>
        <v>2</v>
      </c>
      <c r="W109" s="2">
        <f>Таблица1[[#This Row],[Дата поступления]]-Таблица1[[#This Row],[Дата рождения]]</f>
        <v>805</v>
      </c>
    </row>
    <row r="110" spans="22:23" ht="24.95" customHeight="1" x14ac:dyDescent="0.25">
      <c r="V110" s="2">
        <f>Таблица1[[#This Row],[Дата перевода]]-Таблица1[[#This Row],[Дата поступления]]</f>
        <v>2</v>
      </c>
      <c r="W110" s="2">
        <f>Таблица1[[#This Row],[Дата поступления]]-Таблица1[[#This Row],[Дата рождения]]</f>
        <v>6044</v>
      </c>
    </row>
    <row r="111" spans="22:23" ht="24.95" customHeight="1" x14ac:dyDescent="0.25">
      <c r="V111" s="2">
        <f>Таблица1[[#This Row],[Дата перевода]]-Таблица1[[#This Row],[Дата поступления]]</f>
        <v>0</v>
      </c>
      <c r="W111" s="2">
        <f>Таблица1[[#This Row],[Дата поступления]]-Таблица1[[#This Row],[Дата рождения]]</f>
        <v>528</v>
      </c>
    </row>
    <row r="112" spans="22:23" ht="24.95" customHeight="1" x14ac:dyDescent="0.25">
      <c r="V112" s="2">
        <f>Таблица1[[#This Row],[Дата перевода]]-Таблица1[[#This Row],[Дата поступления]]</f>
        <v>8</v>
      </c>
      <c r="W112" s="2">
        <f>Таблица1[[#This Row],[Дата поступления]]-Таблица1[[#This Row],[Дата рождения]]</f>
        <v>2428</v>
      </c>
    </row>
    <row r="113" spans="22:23" ht="24.95" customHeight="1" x14ac:dyDescent="0.25">
      <c r="V113" s="2">
        <f>Таблица1[[#This Row],[Дата перевода]]-Таблица1[[#This Row],[Дата поступления]]</f>
        <v>5</v>
      </c>
      <c r="W113" s="2">
        <f>Таблица1[[#This Row],[Дата поступления]]-Таблица1[[#This Row],[Дата рождения]]</f>
        <v>4234</v>
      </c>
    </row>
    <row r="114" spans="22:23" ht="24.95" customHeight="1" x14ac:dyDescent="0.25">
      <c r="V114" s="2">
        <f>Таблица1[[#This Row],[Дата перевода]]-Таблица1[[#This Row],[Дата поступления]]</f>
        <v>1</v>
      </c>
      <c r="W114" s="2">
        <f>Таблица1[[#This Row],[Дата поступления]]-Таблица1[[#This Row],[Дата рождения]]</f>
        <v>4628</v>
      </c>
    </row>
    <row r="115" spans="22:23" ht="24.95" customHeight="1" x14ac:dyDescent="0.25">
      <c r="V115" s="2">
        <f>Таблица1[[#This Row],[Дата перевода]]-Таблица1[[#This Row],[Дата поступления]]</f>
        <v>3</v>
      </c>
      <c r="W115" s="2">
        <f>Таблица1[[#This Row],[Дата поступления]]-Таблица1[[#This Row],[Дата рождения]]</f>
        <v>2300</v>
      </c>
    </row>
    <row r="116" spans="22:23" ht="24.95" customHeight="1" x14ac:dyDescent="0.25">
      <c r="V116" s="2">
        <f>Таблица1[[#This Row],[Дата перевода]]-Таблица1[[#This Row],[Дата поступления]]</f>
        <v>3</v>
      </c>
      <c r="W116" s="2">
        <f>Таблица1[[#This Row],[Дата поступления]]-Таблица1[[#This Row],[Дата рождения]]</f>
        <v>4680</v>
      </c>
    </row>
    <row r="117" spans="22:23" ht="24.95" customHeight="1" x14ac:dyDescent="0.25">
      <c r="V117" s="2">
        <f>Таблица1[[#This Row],[Дата перевода]]-Таблица1[[#This Row],[Дата поступления]]</f>
        <v>1</v>
      </c>
      <c r="W117" s="2">
        <f>Таблица1[[#This Row],[Дата поступления]]-Таблица1[[#This Row],[Дата рождения]]</f>
        <v>486</v>
      </c>
    </row>
    <row r="118" spans="22:23" ht="24.95" customHeight="1" x14ac:dyDescent="0.25">
      <c r="V118" s="2">
        <f>Таблица1[[#This Row],[Дата перевода]]-Таблица1[[#This Row],[Дата поступления]]</f>
        <v>2</v>
      </c>
      <c r="W118" s="2">
        <f>Таблица1[[#This Row],[Дата поступления]]-Таблица1[[#This Row],[Дата рождения]]</f>
        <v>4630</v>
      </c>
    </row>
    <row r="119" spans="22:23" ht="24.95" customHeight="1" x14ac:dyDescent="0.25">
      <c r="V119" s="2">
        <f>Таблица1[[#This Row],[Дата перевода]]-Таблица1[[#This Row],[Дата поступления]]</f>
        <v>4</v>
      </c>
      <c r="W119" s="2">
        <f>Таблица1[[#This Row],[Дата поступления]]-Таблица1[[#This Row],[Дата рождения]]</f>
        <v>4031</v>
      </c>
    </row>
    <row r="120" spans="22:23" ht="24.95" customHeight="1" x14ac:dyDescent="0.25">
      <c r="V120" s="2">
        <f>Таблица1[[#This Row],[Дата перевода]]-Таблица1[[#This Row],[Дата поступления]]</f>
        <v>1</v>
      </c>
      <c r="W120" s="2">
        <f>Таблица1[[#This Row],[Дата поступления]]-Таблица1[[#This Row],[Дата рождения]]</f>
        <v>5235</v>
      </c>
    </row>
    <row r="121" spans="22:23" ht="24.95" customHeight="1" x14ac:dyDescent="0.25">
      <c r="V121" s="2">
        <f>Таблица1[[#This Row],[Дата перевода]]-Таблица1[[#This Row],[Дата поступления]]</f>
        <v>0</v>
      </c>
      <c r="W121" s="2">
        <f>Таблица1[[#This Row],[Дата поступления]]-Таблица1[[#This Row],[Дата рождения]]</f>
        <v>98</v>
      </c>
    </row>
    <row r="122" spans="22:23" ht="24.95" customHeight="1" x14ac:dyDescent="0.25">
      <c r="V122" s="2">
        <f>Таблица1[[#This Row],[Дата перевода]]-Таблица1[[#This Row],[Дата поступления]]</f>
        <v>1</v>
      </c>
      <c r="W122" s="2">
        <f>Таблица1[[#This Row],[Дата поступления]]-Таблица1[[#This Row],[Дата рождения]]</f>
        <v>788</v>
      </c>
    </row>
    <row r="123" spans="22:23" ht="24.95" customHeight="1" x14ac:dyDescent="0.25">
      <c r="V123" s="2">
        <f>Таблица1[[#This Row],[Дата перевода]]-Таблица1[[#This Row],[Дата поступления]]</f>
        <v>1</v>
      </c>
      <c r="W123" s="2">
        <f>Таблица1[[#This Row],[Дата поступления]]-Таблица1[[#This Row],[Дата рождения]]</f>
        <v>101</v>
      </c>
    </row>
    <row r="124" spans="22:23" ht="24.95" customHeight="1" x14ac:dyDescent="0.25">
      <c r="V124" s="2">
        <f>Таблица1[[#This Row],[Дата перевода]]-Таблица1[[#This Row],[Дата поступления]]</f>
        <v>2</v>
      </c>
      <c r="W124" s="2">
        <f>Таблица1[[#This Row],[Дата поступления]]-Таблица1[[#This Row],[Дата рождения]]</f>
        <v>482</v>
      </c>
    </row>
    <row r="125" spans="22:23" ht="24.95" customHeight="1" x14ac:dyDescent="0.25">
      <c r="V125" s="2">
        <f>Таблица1[[#This Row],[Дата перевода]]-Таблица1[[#This Row],[Дата поступления]]</f>
        <v>1</v>
      </c>
      <c r="W125" s="2">
        <f>Таблица1[[#This Row],[Дата поступления]]-Таблица1[[#This Row],[Дата рождения]]</f>
        <v>5495</v>
      </c>
    </row>
    <row r="126" spans="22:23" ht="24.95" customHeight="1" x14ac:dyDescent="0.25">
      <c r="V126" s="2">
        <f>Таблица1[[#This Row],[Дата перевода]]-Таблица1[[#This Row],[Дата поступления]]</f>
        <v>1</v>
      </c>
      <c r="W126" s="2">
        <f>Таблица1[[#This Row],[Дата поступления]]-Таблица1[[#This Row],[Дата рождения]]</f>
        <v>509</v>
      </c>
    </row>
    <row r="127" spans="22:23" ht="24.95" customHeight="1" x14ac:dyDescent="0.25">
      <c r="V127" s="2">
        <f>Таблица1[[#This Row],[Дата перевода]]-Таблица1[[#This Row],[Дата поступления]]</f>
        <v>1</v>
      </c>
      <c r="W127" s="2">
        <f>Таблица1[[#This Row],[Дата поступления]]-Таблица1[[#This Row],[Дата рождения]]</f>
        <v>94</v>
      </c>
    </row>
    <row r="128" spans="22:23" ht="24.95" customHeight="1" x14ac:dyDescent="0.25">
      <c r="V128" s="2">
        <f>Таблица1[[#This Row],[Дата перевода]]-Таблица1[[#This Row],[Дата поступления]]</f>
        <v>0</v>
      </c>
      <c r="W128" s="2">
        <f>Таблица1[[#This Row],[Дата поступления]]-Таблица1[[#This Row],[Дата рождения]]</f>
        <v>5032</v>
      </c>
    </row>
    <row r="129" spans="22:23" ht="24.95" customHeight="1" x14ac:dyDescent="0.25">
      <c r="V129" s="2">
        <f>Таблица1[[#This Row],[Дата перевода]]-Таблица1[[#This Row],[Дата поступления]]</f>
        <v>1</v>
      </c>
      <c r="W129" s="2">
        <f>Таблица1[[#This Row],[Дата поступления]]-Таблица1[[#This Row],[Дата рождения]]</f>
        <v>5872</v>
      </c>
    </row>
    <row r="130" spans="22:23" ht="24.95" customHeight="1" x14ac:dyDescent="0.25">
      <c r="V130" s="2">
        <f>Таблица1[[#This Row],[Дата перевода]]-Таблица1[[#This Row],[Дата поступления]]</f>
        <v>1</v>
      </c>
      <c r="W130" s="2">
        <f>Таблица1[[#This Row],[Дата поступления]]-Таблица1[[#This Row],[Дата рождения]]</f>
        <v>539</v>
      </c>
    </row>
    <row r="131" spans="22:23" ht="24.95" customHeight="1" x14ac:dyDescent="0.25">
      <c r="V131" s="2">
        <f>Таблица1[[#This Row],[Дата перевода]]-Таблица1[[#This Row],[Дата поступления]]</f>
        <v>1</v>
      </c>
      <c r="W131" s="2">
        <f>Таблица1[[#This Row],[Дата поступления]]-Таблица1[[#This Row],[Дата рождения]]</f>
        <v>1876</v>
      </c>
    </row>
    <row r="132" spans="22:23" ht="24.95" customHeight="1" x14ac:dyDescent="0.25">
      <c r="V132" s="2">
        <f>Таблица1[[#This Row],[Дата перевода]]-Таблица1[[#This Row],[Дата поступления]]</f>
        <v>1</v>
      </c>
      <c r="W132" s="2">
        <f>Таблица1[[#This Row],[Дата поступления]]-Таблица1[[#This Row],[Дата рождения]]</f>
        <v>795</v>
      </c>
    </row>
    <row r="133" spans="22:23" ht="24.95" customHeight="1" x14ac:dyDescent="0.25">
      <c r="V133" s="2">
        <f>Таблица1[[#This Row],[Дата перевода]]-Таблица1[[#This Row],[Дата поступления]]</f>
        <v>0</v>
      </c>
      <c r="W133" s="2">
        <f>Таблица1[[#This Row],[Дата поступления]]-Таблица1[[#This Row],[Дата рождения]]</f>
        <v>106</v>
      </c>
    </row>
    <row r="134" spans="22:23" ht="24.95" customHeight="1" x14ac:dyDescent="0.25">
      <c r="V134" s="2">
        <f>Таблица1[[#This Row],[Дата перевода]]-Таблица1[[#This Row],[Дата поступления]]</f>
        <v>1</v>
      </c>
      <c r="W134" s="2">
        <f>Таблица1[[#This Row],[Дата поступления]]-Таблица1[[#This Row],[Дата рождения]]</f>
        <v>4419</v>
      </c>
    </row>
    <row r="135" spans="22:23" ht="24.95" customHeight="1" x14ac:dyDescent="0.25">
      <c r="V135" s="2">
        <f>Таблица1[[#This Row],[Дата перевода]]-Таблица1[[#This Row],[Дата поступления]]</f>
        <v>3</v>
      </c>
      <c r="W135" s="2">
        <f>Таблица1[[#This Row],[Дата поступления]]-Таблица1[[#This Row],[Дата рождения]]</f>
        <v>3415</v>
      </c>
    </row>
    <row r="136" spans="22:23" ht="24.95" customHeight="1" x14ac:dyDescent="0.25">
      <c r="V136" s="2">
        <f>Таблица1[[#This Row],[Дата перевода]]-Таблица1[[#This Row],[Дата поступления]]</f>
        <v>6</v>
      </c>
      <c r="W136" s="2">
        <f>Таблица1[[#This Row],[Дата поступления]]-Таблица1[[#This Row],[Дата рождения]]</f>
        <v>5904</v>
      </c>
    </row>
    <row r="137" spans="22:23" ht="24.95" customHeight="1" x14ac:dyDescent="0.25">
      <c r="V137" s="2">
        <f>Таблица1[[#This Row],[Дата перевода]]-Таблица1[[#This Row],[Дата поступления]]</f>
        <v>1</v>
      </c>
      <c r="W137" s="2">
        <f>Таблица1[[#This Row],[Дата поступления]]-Таблица1[[#This Row],[Дата рождения]]</f>
        <v>6005</v>
      </c>
    </row>
    <row r="138" spans="22:23" ht="24.95" customHeight="1" x14ac:dyDescent="0.25">
      <c r="V138" s="2">
        <f>Таблица1[[#This Row],[Дата перевода]]-Таблица1[[#This Row],[Дата поступления]]</f>
        <v>11</v>
      </c>
      <c r="W138" s="2">
        <f>Таблица1[[#This Row],[Дата поступления]]-Таблица1[[#This Row],[Дата рождения]]</f>
        <v>53</v>
      </c>
    </row>
    <row r="139" spans="22:23" ht="24.95" customHeight="1" x14ac:dyDescent="0.25">
      <c r="V139" s="2">
        <f>Таблица1[[#This Row],[Дата перевода]]-Таблица1[[#This Row],[Дата поступления]]</f>
        <v>1</v>
      </c>
      <c r="W139" s="2">
        <f>Таблица1[[#This Row],[Дата поступления]]-Таблица1[[#This Row],[Дата рождения]]</f>
        <v>6059</v>
      </c>
    </row>
    <row r="140" spans="22:23" ht="24.95" customHeight="1" x14ac:dyDescent="0.25">
      <c r="V140" s="2">
        <f>Таблица1[[#This Row],[Дата перевода]]-Таблица1[[#This Row],[Дата поступления]]</f>
        <v>1</v>
      </c>
      <c r="W140" s="2">
        <f>Таблица1[[#This Row],[Дата поступления]]-Таблица1[[#This Row],[Дата рождения]]</f>
        <v>5783</v>
      </c>
    </row>
    <row r="141" spans="22:23" ht="24.95" customHeight="1" x14ac:dyDescent="0.25">
      <c r="V141" s="2">
        <f>Таблица1[[#This Row],[Дата перевода]]-Таблица1[[#This Row],[Дата поступления]]</f>
        <v>11</v>
      </c>
      <c r="W141" s="2">
        <f>Таблица1[[#This Row],[Дата поступления]]-Таблица1[[#This Row],[Дата рождения]]</f>
        <v>880</v>
      </c>
    </row>
    <row r="142" spans="22:23" ht="24.95" customHeight="1" x14ac:dyDescent="0.25">
      <c r="V142" s="2">
        <f>Таблица1[[#This Row],[Дата перевода]]-Таблица1[[#This Row],[Дата поступления]]</f>
        <v>12</v>
      </c>
      <c r="W142" s="2">
        <f>Таблица1[[#This Row],[Дата поступления]]-Таблица1[[#This Row],[Дата рождения]]</f>
        <v>822</v>
      </c>
    </row>
    <row r="143" spans="22:23" ht="24.95" customHeight="1" x14ac:dyDescent="0.25">
      <c r="V143" s="2">
        <f>Таблица1[[#This Row],[Дата перевода]]-Таблица1[[#This Row],[Дата поступления]]</f>
        <v>1</v>
      </c>
      <c r="W143" s="2">
        <f>Таблица1[[#This Row],[Дата поступления]]-Таблица1[[#This Row],[Дата рождения]]</f>
        <v>2778</v>
      </c>
    </row>
    <row r="144" spans="22:23" ht="24.95" customHeight="1" x14ac:dyDescent="0.25">
      <c r="V144" s="2">
        <f>Таблица1[[#This Row],[Дата перевода]]-Таблица1[[#This Row],[Дата поступления]]</f>
        <v>4</v>
      </c>
      <c r="W144" s="2">
        <f>Таблица1[[#This Row],[Дата поступления]]-Таблица1[[#This Row],[Дата рождения]]</f>
        <v>3</v>
      </c>
    </row>
    <row r="145" spans="22:23" ht="24.95" customHeight="1" x14ac:dyDescent="0.25">
      <c r="V145" s="2">
        <f>Таблица1[[#This Row],[Дата перевода]]-Таблица1[[#This Row],[Дата поступления]]</f>
        <v>1</v>
      </c>
      <c r="W145" s="2">
        <f>Таблица1[[#This Row],[Дата поступления]]-Таблица1[[#This Row],[Дата рождения]]</f>
        <v>6129</v>
      </c>
    </row>
    <row r="146" spans="22:23" ht="24.95" customHeight="1" x14ac:dyDescent="0.25">
      <c r="V146" s="2">
        <f>Таблица1[[#This Row],[Дата перевода]]-Таблица1[[#This Row],[Дата поступления]]</f>
        <v>1</v>
      </c>
      <c r="W146" s="2">
        <f>Таблица1[[#This Row],[Дата поступления]]-Таблица1[[#This Row],[Дата рождения]]</f>
        <v>5656</v>
      </c>
    </row>
    <row r="147" spans="22:23" ht="24.95" customHeight="1" x14ac:dyDescent="0.25">
      <c r="V147" s="2">
        <f>Таблица1[[#This Row],[Дата перевода]]-Таблица1[[#This Row],[Дата поступления]]</f>
        <v>8</v>
      </c>
      <c r="W147" s="2">
        <f>Таблица1[[#This Row],[Дата поступления]]-Таблица1[[#This Row],[Дата рождения]]</f>
        <v>6359</v>
      </c>
    </row>
    <row r="148" spans="22:23" ht="24.95" customHeight="1" x14ac:dyDescent="0.25">
      <c r="V148" s="2">
        <f>Таблица1[[#This Row],[Дата перевода]]-Таблица1[[#This Row],[Дата поступления]]</f>
        <v>1</v>
      </c>
      <c r="W148" s="2">
        <f>Таблица1[[#This Row],[Дата поступления]]-Таблица1[[#This Row],[Дата рождения]]</f>
        <v>1099</v>
      </c>
    </row>
    <row r="149" spans="22:23" ht="24.95" customHeight="1" x14ac:dyDescent="0.25">
      <c r="V149" s="2">
        <f>Таблица1[[#This Row],[Дата перевода]]-Таблица1[[#This Row],[Дата поступления]]</f>
        <v>0</v>
      </c>
      <c r="W149" s="2">
        <f>Таблица1[[#This Row],[Дата поступления]]-Таблица1[[#This Row],[Дата рождения]]</f>
        <v>855</v>
      </c>
    </row>
    <row r="150" spans="22:23" ht="24.95" customHeight="1" x14ac:dyDescent="0.25">
      <c r="V150" s="2">
        <f>Таблица1[[#This Row],[Дата перевода]]-Таблица1[[#This Row],[Дата поступления]]</f>
        <v>10</v>
      </c>
      <c r="W150" s="2">
        <f>Таблица1[[#This Row],[Дата поступления]]-Таблица1[[#This Row],[Дата рождения]]</f>
        <v>4359</v>
      </c>
    </row>
    <row r="151" spans="22:23" ht="24.95" customHeight="1" x14ac:dyDescent="0.25">
      <c r="V151" s="2">
        <f>Таблица1[[#This Row],[Дата перевода]]-Таблица1[[#This Row],[Дата поступления]]</f>
        <v>1</v>
      </c>
      <c r="W151" s="2">
        <f>Таблица1[[#This Row],[Дата поступления]]-Таблица1[[#This Row],[Дата рождения]]</f>
        <v>943</v>
      </c>
    </row>
    <row r="152" spans="22:23" ht="24.95" customHeight="1" x14ac:dyDescent="0.25">
      <c r="V152" s="2">
        <f>Таблица1[[#This Row],[Дата перевода]]-Таблица1[[#This Row],[Дата поступления]]</f>
        <v>21</v>
      </c>
      <c r="W152" s="2">
        <f>Таблица1[[#This Row],[Дата поступления]]-Таблица1[[#This Row],[Дата рождения]]</f>
        <v>4565</v>
      </c>
    </row>
    <row r="153" spans="22:23" ht="24.95" customHeight="1" x14ac:dyDescent="0.25">
      <c r="V153" s="2">
        <f>Таблица1[[#This Row],[Дата перевода]]-Таблица1[[#This Row],[Дата поступления]]</f>
        <v>7</v>
      </c>
      <c r="W153" s="2">
        <f>Таблица1[[#This Row],[Дата поступления]]-Таблица1[[#This Row],[Дата рождения]]</f>
        <v>4320</v>
      </c>
    </row>
    <row r="154" spans="22:23" ht="24.95" customHeight="1" x14ac:dyDescent="0.25">
      <c r="V154" s="2">
        <f>Таблица1[[#This Row],[Дата перевода]]-Таблица1[[#This Row],[Дата поступления]]</f>
        <v>3</v>
      </c>
      <c r="W154" s="2">
        <f>Таблица1[[#This Row],[Дата поступления]]-Таблица1[[#This Row],[Дата рождения]]</f>
        <v>106</v>
      </c>
    </row>
    <row r="155" spans="22:23" ht="24.95" customHeight="1" x14ac:dyDescent="0.25">
      <c r="V155" s="2">
        <f>Таблица1[[#This Row],[Дата перевода]]-Таблица1[[#This Row],[Дата поступления]]</f>
        <v>0</v>
      </c>
      <c r="W155" s="2">
        <f>Таблица1[[#This Row],[Дата поступления]]-Таблица1[[#This Row],[Дата рождения]]</f>
        <v>4234</v>
      </c>
    </row>
    <row r="156" spans="22:23" ht="24.95" customHeight="1" x14ac:dyDescent="0.25">
      <c r="V156" s="2">
        <f>Таблица1[[#This Row],[Дата перевода]]-Таблица1[[#This Row],[Дата поступления]]</f>
        <v>1</v>
      </c>
      <c r="W156" s="2">
        <f>Таблица1[[#This Row],[Дата поступления]]-Таблица1[[#This Row],[Дата рождения]]</f>
        <v>4944</v>
      </c>
    </row>
    <row r="157" spans="22:23" ht="24.95" customHeight="1" x14ac:dyDescent="0.25">
      <c r="V157" s="2">
        <f>Таблица1[[#This Row],[Дата перевода]]-Таблица1[[#This Row],[Дата поступления]]</f>
        <v>1</v>
      </c>
      <c r="W157" s="2">
        <f>Таблица1[[#This Row],[Дата поступления]]-Таблица1[[#This Row],[Дата рождения]]</f>
        <v>6480</v>
      </c>
    </row>
    <row r="158" spans="22:23" ht="24.95" customHeight="1" x14ac:dyDescent="0.25">
      <c r="V158" s="2">
        <f>Таблица1[[#This Row],[Дата перевода]]-Таблица1[[#This Row],[Дата поступления]]</f>
        <v>2</v>
      </c>
      <c r="W158" s="2">
        <f>Таблица1[[#This Row],[Дата поступления]]-Таблица1[[#This Row],[Дата рождения]]</f>
        <v>4299</v>
      </c>
    </row>
    <row r="159" spans="22:23" ht="24.95" customHeight="1" x14ac:dyDescent="0.25">
      <c r="V159" s="2">
        <f>Таблица1[[#This Row],[Дата перевода]]-Таблица1[[#This Row],[Дата поступления]]</f>
        <v>2</v>
      </c>
      <c r="W159" s="2">
        <f>Таблица1[[#This Row],[Дата поступления]]-Таблица1[[#This Row],[Дата рождения]]</f>
        <v>4619</v>
      </c>
    </row>
    <row r="160" spans="22:23" ht="24.95" customHeight="1" x14ac:dyDescent="0.25">
      <c r="V160" s="2">
        <f>Таблица1[[#This Row],[Дата перевода]]-Таблица1[[#This Row],[Дата поступления]]</f>
        <v>1</v>
      </c>
      <c r="W160" s="2">
        <f>Таблица1[[#This Row],[Дата поступления]]-Таблица1[[#This Row],[Дата рождения]]</f>
        <v>6522</v>
      </c>
    </row>
    <row r="161" spans="22:23" ht="24.95" customHeight="1" x14ac:dyDescent="0.25">
      <c r="V161" s="2">
        <f>Таблица1[[#This Row],[Дата перевода]]-Таблица1[[#This Row],[Дата поступления]]</f>
        <v>4</v>
      </c>
      <c r="W161" s="2">
        <f>Таблица1[[#This Row],[Дата поступления]]-Таблица1[[#This Row],[Дата рождения]]</f>
        <v>4328</v>
      </c>
    </row>
    <row r="162" spans="22:23" ht="24.95" customHeight="1" x14ac:dyDescent="0.25">
      <c r="V162" s="2">
        <f>Таблица1[[#This Row],[Дата перевода]]-Таблица1[[#This Row],[Дата поступления]]</f>
        <v>3</v>
      </c>
      <c r="W162" s="2">
        <f>Таблица1[[#This Row],[Дата поступления]]-Таблица1[[#This Row],[Дата рождения]]</f>
        <v>469</v>
      </c>
    </row>
    <row r="163" spans="22:23" ht="24.95" customHeight="1" x14ac:dyDescent="0.25">
      <c r="V163" s="2">
        <f>Таблица1[[#This Row],[Дата перевода]]-Таблица1[[#This Row],[Дата поступления]]</f>
        <v>3</v>
      </c>
      <c r="W163" s="2">
        <f>Таблица1[[#This Row],[Дата поступления]]-Таблица1[[#This Row],[Дата рождения]]</f>
        <v>4816</v>
      </c>
    </row>
    <row r="164" spans="22:23" ht="24.95" customHeight="1" x14ac:dyDescent="0.25">
      <c r="V164" s="2">
        <f>Таблица1[[#This Row],[Дата перевода]]-Таблица1[[#This Row],[Дата поступления]]</f>
        <v>42</v>
      </c>
      <c r="W164" s="2">
        <f>Таблица1[[#This Row],[Дата поступления]]-Таблица1[[#This Row],[Дата рождения]]</f>
        <v>764</v>
      </c>
    </row>
    <row r="165" spans="22:23" ht="24.95" customHeight="1" x14ac:dyDescent="0.25">
      <c r="V165" s="2">
        <f>Таблица1[[#This Row],[Дата перевода]]-Таблица1[[#This Row],[Дата поступления]]</f>
        <v>3</v>
      </c>
      <c r="W165" s="2">
        <f>Таблица1[[#This Row],[Дата поступления]]-Таблица1[[#This Row],[Дата рождения]]</f>
        <v>1255</v>
      </c>
    </row>
    <row r="166" spans="22:23" ht="24.95" customHeight="1" x14ac:dyDescent="0.25">
      <c r="V166" s="2">
        <f>Таблица1[[#This Row],[Дата перевода]]-Таблица1[[#This Row],[Дата поступления]]</f>
        <v>1</v>
      </c>
      <c r="W166" s="2">
        <f>Таблица1[[#This Row],[Дата поступления]]-Таблица1[[#This Row],[Дата рождения]]</f>
        <v>5412</v>
      </c>
    </row>
    <row r="167" spans="22:23" ht="24.95" customHeight="1" x14ac:dyDescent="0.25">
      <c r="V167" s="2">
        <f>Таблица1[[#This Row],[Дата перевода]]-Таблица1[[#This Row],[Дата поступления]]</f>
        <v>1</v>
      </c>
      <c r="W167" s="2">
        <f>Таблица1[[#This Row],[Дата поступления]]-Таблица1[[#This Row],[Дата рождения]]</f>
        <v>782</v>
      </c>
    </row>
    <row r="168" spans="22:23" ht="24.95" customHeight="1" x14ac:dyDescent="0.25">
      <c r="V168" s="2">
        <f>Таблица1[[#This Row],[Дата перевода]]-Таблица1[[#This Row],[Дата поступления]]</f>
        <v>1</v>
      </c>
      <c r="W168" s="2">
        <f>Таблица1[[#This Row],[Дата поступления]]-Таблица1[[#This Row],[Дата рождения]]</f>
        <v>1161</v>
      </c>
    </row>
    <row r="169" spans="22:23" ht="24.95" customHeight="1" x14ac:dyDescent="0.25">
      <c r="V169" s="2">
        <f>Таблица1[[#This Row],[Дата перевода]]-Таблица1[[#This Row],[Дата поступления]]</f>
        <v>1</v>
      </c>
      <c r="W169" s="2">
        <f>Таблица1[[#This Row],[Дата поступления]]-Таблица1[[#This Row],[Дата рождения]]</f>
        <v>120</v>
      </c>
    </row>
    <row r="170" spans="22:23" ht="24.95" customHeight="1" x14ac:dyDescent="0.25">
      <c r="V170" s="2">
        <f>Таблица1[[#This Row],[Дата перевода]]-Таблица1[[#This Row],[Дата поступления]]</f>
        <v>0</v>
      </c>
      <c r="W170" s="2">
        <f>Таблица1[[#This Row],[Дата поступления]]-Таблица1[[#This Row],[Дата рождения]]</f>
        <v>5785</v>
      </c>
    </row>
    <row r="171" spans="22:23" ht="24.95" customHeight="1" x14ac:dyDescent="0.25">
      <c r="V171" s="2">
        <f>Таблица1[[#This Row],[Дата перевода]]-Таблица1[[#This Row],[Дата поступления]]</f>
        <v>3</v>
      </c>
      <c r="W171" s="2">
        <f>Таблица1[[#This Row],[Дата поступления]]-Таблица1[[#This Row],[Дата рождения]]</f>
        <v>4376</v>
      </c>
    </row>
    <row r="172" spans="22:23" ht="24.95" customHeight="1" x14ac:dyDescent="0.25">
      <c r="V172" s="2">
        <f>Таблица1[[#This Row],[Дата перевода]]-Таблица1[[#This Row],[Дата поступления]]</f>
        <v>12</v>
      </c>
      <c r="W172" s="2">
        <f>Таблица1[[#This Row],[Дата поступления]]-Таблица1[[#This Row],[Дата рождения]]</f>
        <v>2511</v>
      </c>
    </row>
    <row r="173" spans="22:23" ht="24.95" customHeight="1" x14ac:dyDescent="0.25">
      <c r="V173" s="2">
        <f>Таблица1[[#This Row],[Дата перевода]]-Таблица1[[#This Row],[Дата поступления]]</f>
        <v>1</v>
      </c>
      <c r="W173" s="2">
        <f>Таблица1[[#This Row],[Дата поступления]]-Таблица1[[#This Row],[Дата рождения]]</f>
        <v>1533</v>
      </c>
    </row>
    <row r="174" spans="22:23" ht="24.95" customHeight="1" x14ac:dyDescent="0.25">
      <c r="V174" s="2">
        <f>Таблица1[[#This Row],[Дата перевода]]-Таблица1[[#This Row],[Дата поступления]]</f>
        <v>1</v>
      </c>
      <c r="W174" s="2">
        <f>Таблица1[[#This Row],[Дата поступления]]-Таблица1[[#This Row],[Дата рождения]]</f>
        <v>158</v>
      </c>
    </row>
    <row r="175" spans="22:23" ht="24.95" customHeight="1" x14ac:dyDescent="0.25">
      <c r="V175" s="2">
        <f>Таблица1[[#This Row],[Дата перевода]]-Таблица1[[#This Row],[Дата поступления]]</f>
        <v>1</v>
      </c>
      <c r="W175" s="2">
        <f>Таблица1[[#This Row],[Дата поступления]]-Таблица1[[#This Row],[Дата рождения]]</f>
        <v>125</v>
      </c>
    </row>
    <row r="176" spans="22:23" ht="24.95" customHeight="1" x14ac:dyDescent="0.25">
      <c r="V176" s="2">
        <f>Таблица1[[#This Row],[Дата перевода]]-Таблица1[[#This Row],[Дата поступления]]</f>
        <v>0</v>
      </c>
      <c r="W176" s="2">
        <f>Таблица1[[#This Row],[Дата поступления]]-Таблица1[[#This Row],[Дата рождения]]</f>
        <v>53</v>
      </c>
    </row>
    <row r="177" spans="22:23" ht="24.95" customHeight="1" x14ac:dyDescent="0.25">
      <c r="V177" s="2">
        <f>Таблица1[[#This Row],[Дата перевода]]-Таблица1[[#This Row],[Дата поступления]]</f>
        <v>3</v>
      </c>
      <c r="W177" s="2">
        <f>Таблица1[[#This Row],[Дата поступления]]-Таблица1[[#This Row],[Дата рождения]]</f>
        <v>3479</v>
      </c>
    </row>
    <row r="178" spans="22:23" ht="24.95" customHeight="1" x14ac:dyDescent="0.25">
      <c r="V178" s="2">
        <f>Таблица1[[#This Row],[Дата перевода]]-Таблица1[[#This Row],[Дата поступления]]</f>
        <v>1</v>
      </c>
      <c r="W178" s="2">
        <f>Таблица1[[#This Row],[Дата поступления]]-Таблица1[[#This Row],[Дата рождения]]</f>
        <v>6232</v>
      </c>
    </row>
    <row r="179" spans="22:23" ht="24.95" customHeight="1" x14ac:dyDescent="0.25">
      <c r="V179" s="2">
        <f>Таблица1[[#This Row],[Дата перевода]]-Таблица1[[#This Row],[Дата поступления]]</f>
        <v>0</v>
      </c>
      <c r="W179" s="2">
        <f>Таблица1[[#This Row],[Дата поступления]]-Таблица1[[#This Row],[Дата рождения]]</f>
        <v>6264</v>
      </c>
    </row>
    <row r="180" spans="22:23" ht="24.95" customHeight="1" x14ac:dyDescent="0.25">
      <c r="V180" s="2">
        <f>Таблица1[[#This Row],[Дата перевода]]-Таблица1[[#This Row],[Дата поступления]]</f>
        <v>0</v>
      </c>
      <c r="W180" s="2">
        <f>Таблица1[[#This Row],[Дата поступления]]-Таблица1[[#This Row],[Дата рождения]]</f>
        <v>791</v>
      </c>
    </row>
    <row r="181" spans="22:23" ht="24.95" customHeight="1" x14ac:dyDescent="0.25">
      <c r="V181" s="2">
        <f>Таблица1[[#This Row],[Дата перевода]]-Таблица1[[#This Row],[Дата поступления]]</f>
        <v>1</v>
      </c>
      <c r="W181" s="2">
        <f>Таблица1[[#This Row],[Дата поступления]]-Таблица1[[#This Row],[Дата рождения]]</f>
        <v>5423</v>
      </c>
    </row>
    <row r="182" spans="22:23" ht="24.95" customHeight="1" x14ac:dyDescent="0.25">
      <c r="V182" s="2">
        <f>Таблица1[[#This Row],[Дата перевода]]-Таблица1[[#This Row],[Дата поступления]]</f>
        <v>1</v>
      </c>
      <c r="W182" s="2">
        <f>Таблица1[[#This Row],[Дата поступления]]-Таблица1[[#This Row],[Дата рождения]]</f>
        <v>1608</v>
      </c>
    </row>
    <row r="183" spans="22:23" ht="24.95" customHeight="1" x14ac:dyDescent="0.25">
      <c r="V183" s="2">
        <f>Таблица1[[#This Row],[Дата перевода]]-Таблица1[[#This Row],[Дата поступления]]</f>
        <v>0</v>
      </c>
      <c r="W183" s="2">
        <f>Таблица1[[#This Row],[Дата поступления]]-Таблица1[[#This Row],[Дата рождения]]</f>
        <v>1185</v>
      </c>
    </row>
    <row r="184" spans="22:23" ht="24.95" customHeight="1" x14ac:dyDescent="0.25">
      <c r="V184" s="2">
        <f>Таблица1[[#This Row],[Дата перевода]]-Таблица1[[#This Row],[Дата поступления]]</f>
        <v>7</v>
      </c>
      <c r="W184" s="2">
        <f>Таблица1[[#This Row],[Дата поступления]]-Таблица1[[#This Row],[Дата рождения]]</f>
        <v>124</v>
      </c>
    </row>
    <row r="185" spans="22:23" ht="24.95" customHeight="1" x14ac:dyDescent="0.25">
      <c r="V185" s="2">
        <f>Таблица1[[#This Row],[Дата перевода]]-Таблица1[[#This Row],[Дата поступления]]</f>
        <v>1</v>
      </c>
      <c r="W185" s="2">
        <f>Таблица1[[#This Row],[Дата поступления]]-Таблица1[[#This Row],[Дата рождения]]</f>
        <v>5995</v>
      </c>
    </row>
    <row r="186" spans="22:23" ht="24.95" customHeight="1" x14ac:dyDescent="0.25">
      <c r="V186" s="2">
        <f>Таблица1[[#This Row],[Дата перевода]]-Таблица1[[#This Row],[Дата поступления]]</f>
        <v>1</v>
      </c>
      <c r="W186" s="2">
        <f>Таблица1[[#This Row],[Дата поступления]]-Таблица1[[#This Row],[Дата рождения]]</f>
        <v>3524</v>
      </c>
    </row>
    <row r="187" spans="22:23" ht="24.95" customHeight="1" x14ac:dyDescent="0.25">
      <c r="V187" s="2">
        <f>Таблица1[[#This Row],[Дата перевода]]-Таблица1[[#This Row],[Дата поступления]]</f>
        <v>1</v>
      </c>
      <c r="W187" s="2">
        <f>Таблица1[[#This Row],[Дата поступления]]-Таблица1[[#This Row],[Дата рождения]]</f>
        <v>3012</v>
      </c>
    </row>
    <row r="188" spans="22:23" ht="24.95" customHeight="1" x14ac:dyDescent="0.25">
      <c r="V188" s="2">
        <f>Таблица1[[#This Row],[Дата перевода]]-Таблица1[[#This Row],[Дата поступления]]</f>
        <v>1</v>
      </c>
      <c r="W188" s="2">
        <f>Таблица1[[#This Row],[Дата поступления]]-Таблица1[[#This Row],[Дата рождения]]</f>
        <v>4798</v>
      </c>
    </row>
    <row r="189" spans="22:23" ht="24.95" customHeight="1" x14ac:dyDescent="0.25">
      <c r="V189" s="2">
        <f>Таблица1[[#This Row],[Дата перевода]]-Таблица1[[#This Row],[Дата поступления]]</f>
        <v>4</v>
      </c>
      <c r="W189" s="2">
        <f>Таблица1[[#This Row],[Дата поступления]]-Таблица1[[#This Row],[Дата рождения]]</f>
        <v>353</v>
      </c>
    </row>
    <row r="190" spans="22:23" ht="24.95" customHeight="1" x14ac:dyDescent="0.25">
      <c r="V190" s="2">
        <f>Таблица1[[#This Row],[Дата перевода]]-Таблица1[[#This Row],[Дата поступления]]</f>
        <v>1</v>
      </c>
      <c r="W190" s="2">
        <f>Таблица1[[#This Row],[Дата поступления]]-Таблица1[[#This Row],[Дата рождения]]</f>
        <v>2906</v>
      </c>
    </row>
    <row r="191" spans="22:23" ht="24.95" customHeight="1" x14ac:dyDescent="0.25">
      <c r="V191" s="2">
        <f>Таблица1[[#This Row],[Дата перевода]]-Таблица1[[#This Row],[Дата поступления]]</f>
        <v>4</v>
      </c>
      <c r="W191" s="2">
        <f>Таблица1[[#This Row],[Дата поступления]]-Таблица1[[#This Row],[Дата рождения]]</f>
        <v>2524</v>
      </c>
    </row>
    <row r="192" spans="22:23" ht="24.95" customHeight="1" x14ac:dyDescent="0.25">
      <c r="V192" s="2">
        <f>Таблица1[[#This Row],[Дата перевода]]-Таблица1[[#This Row],[Дата поступления]]</f>
        <v>3</v>
      </c>
      <c r="W192" s="2">
        <f>Таблица1[[#This Row],[Дата поступления]]-Таблица1[[#This Row],[Дата рождения]]</f>
        <v>125</v>
      </c>
    </row>
    <row r="193" spans="22:23" ht="24.95" customHeight="1" x14ac:dyDescent="0.25">
      <c r="V193" s="2">
        <f>Таблица1[[#This Row],[Дата перевода]]-Таблица1[[#This Row],[Дата поступления]]</f>
        <v>3</v>
      </c>
      <c r="W193" s="2">
        <f>Таблица1[[#This Row],[Дата поступления]]-Таблица1[[#This Row],[Дата рождения]]</f>
        <v>9</v>
      </c>
    </row>
    <row r="194" spans="22:23" ht="24.95" customHeight="1" x14ac:dyDescent="0.25">
      <c r="V194" s="2">
        <f>Таблица1[[#This Row],[Дата перевода]]-Таблица1[[#This Row],[Дата поступления]]</f>
        <v>1</v>
      </c>
      <c r="W194" s="2">
        <f>Таблица1[[#This Row],[Дата поступления]]-Таблица1[[#This Row],[Дата рождения]]</f>
        <v>6285</v>
      </c>
    </row>
    <row r="195" spans="22:23" ht="24.95" customHeight="1" x14ac:dyDescent="0.25">
      <c r="V195" s="2">
        <f>Таблица1[[#This Row],[Дата перевода]]-Таблица1[[#This Row],[Дата поступления]]</f>
        <v>1</v>
      </c>
      <c r="W195" s="2">
        <f>Таблица1[[#This Row],[Дата поступления]]-Таблица1[[#This Row],[Дата рождения]]</f>
        <v>0</v>
      </c>
    </row>
    <row r="196" spans="22:23" ht="24.95" customHeight="1" x14ac:dyDescent="0.25">
      <c r="V196" s="2">
        <f>Таблица1[[#This Row],[Дата перевода]]-Таблица1[[#This Row],[Дата поступления]]</f>
        <v>27</v>
      </c>
      <c r="W196" s="2">
        <f>Таблица1[[#This Row],[Дата поступления]]-Таблица1[[#This Row],[Дата рождения]]</f>
        <v>694</v>
      </c>
    </row>
    <row r="197" spans="22:23" ht="24.95" customHeight="1" x14ac:dyDescent="0.25">
      <c r="V197" s="2">
        <f>Таблица1[[#This Row],[Дата перевода]]-Таблица1[[#This Row],[Дата поступления]]</f>
        <v>34</v>
      </c>
      <c r="W197" s="2">
        <f>Таблица1[[#This Row],[Дата поступления]]-Таблица1[[#This Row],[Дата рождения]]</f>
        <v>33</v>
      </c>
    </row>
    <row r="198" spans="22:23" ht="24.95" customHeight="1" x14ac:dyDescent="0.25">
      <c r="V198" s="2">
        <f>Таблица1[[#This Row],[Дата перевода]]-Таблица1[[#This Row],[Дата поступления]]</f>
        <v>5</v>
      </c>
      <c r="W198" s="2">
        <f>Таблица1[[#This Row],[Дата поступления]]-Таблица1[[#This Row],[Дата рождения]]</f>
        <v>4138</v>
      </c>
    </row>
    <row r="199" spans="22:23" ht="24.95" customHeight="1" x14ac:dyDescent="0.25">
      <c r="V199" s="2">
        <f>Таблица1[[#This Row],[Дата перевода]]-Таблица1[[#This Row],[Дата поступления]]</f>
        <v>1</v>
      </c>
      <c r="W199" s="2">
        <f>Таблица1[[#This Row],[Дата поступления]]-Таблица1[[#This Row],[Дата рождения]]</f>
        <v>4649</v>
      </c>
    </row>
    <row r="200" spans="22:23" ht="24.95" customHeight="1" x14ac:dyDescent="0.25">
      <c r="V200" s="2">
        <f>Таблица1[[#This Row],[Дата перевода]]-Таблица1[[#This Row],[Дата поступления]]</f>
        <v>0</v>
      </c>
      <c r="W200" s="2">
        <f>Таблица1[[#This Row],[Дата поступления]]-Таблица1[[#This Row],[Дата рождения]]</f>
        <v>5327</v>
      </c>
    </row>
    <row r="201" spans="22:23" ht="24.95" customHeight="1" x14ac:dyDescent="0.25">
      <c r="V201" s="2">
        <f>Таблица1[[#This Row],[Дата перевода]]-Таблица1[[#This Row],[Дата поступления]]</f>
        <v>1</v>
      </c>
      <c r="W201" s="2">
        <f>Таблица1[[#This Row],[Дата поступления]]-Таблица1[[#This Row],[Дата рождения]]</f>
        <v>4484</v>
      </c>
    </row>
    <row r="202" spans="22:23" ht="24.95" customHeight="1" x14ac:dyDescent="0.25">
      <c r="V202" s="2">
        <f>Таблица1[[#This Row],[Дата перевода]]-Таблица1[[#This Row],[Дата поступления]]</f>
        <v>12</v>
      </c>
      <c r="W202" s="2">
        <f>Таблица1[[#This Row],[Дата поступления]]-Таблица1[[#This Row],[Дата рождения]]</f>
        <v>5</v>
      </c>
    </row>
    <row r="203" spans="22:23" ht="24.95" customHeight="1" x14ac:dyDescent="0.25">
      <c r="V203" s="2">
        <f>Таблица1[[#This Row],[Дата перевода]]-Таблица1[[#This Row],[Дата поступления]]</f>
        <v>15</v>
      </c>
      <c r="W203" s="2">
        <f>Таблица1[[#This Row],[Дата поступления]]-Таблица1[[#This Row],[Дата рождения]]</f>
        <v>14</v>
      </c>
    </row>
    <row r="204" spans="22:23" ht="24.95" customHeight="1" x14ac:dyDescent="0.25">
      <c r="V204" s="2">
        <f>Таблица1[[#This Row],[Дата перевода]]-Таблица1[[#This Row],[Дата поступления]]</f>
        <v>1</v>
      </c>
      <c r="W204" s="2">
        <f>Таблица1[[#This Row],[Дата поступления]]-Таблица1[[#This Row],[Дата рождения]]</f>
        <v>5726</v>
      </c>
    </row>
    <row r="205" spans="22:23" ht="24.95" customHeight="1" x14ac:dyDescent="0.25">
      <c r="V205" s="2">
        <f>Таблица1[[#This Row],[Дата перевода]]-Таблица1[[#This Row],[Дата поступления]]</f>
        <v>1</v>
      </c>
      <c r="W205" s="2">
        <f>Таблица1[[#This Row],[Дата поступления]]-Таблица1[[#This Row],[Дата рождения]]</f>
        <v>4979</v>
      </c>
    </row>
    <row r="206" spans="22:23" ht="24.95" customHeight="1" x14ac:dyDescent="0.25">
      <c r="V206" s="2">
        <f>Таблица1[[#This Row],[Дата перевода]]-Таблица1[[#This Row],[Дата поступления]]</f>
        <v>0</v>
      </c>
      <c r="W206" s="2">
        <f>Таблица1[[#This Row],[Дата поступления]]-Таблица1[[#This Row],[Дата рождения]]</f>
        <v>56</v>
      </c>
    </row>
    <row r="207" spans="22:23" ht="24.95" customHeight="1" x14ac:dyDescent="0.25">
      <c r="V207" s="2">
        <f>Таблица1[[#This Row],[Дата перевода]]-Таблица1[[#This Row],[Дата поступления]]</f>
        <v>1</v>
      </c>
      <c r="W207" s="2">
        <f>Таблица1[[#This Row],[Дата поступления]]-Таблица1[[#This Row],[Дата рождения]]</f>
        <v>5440</v>
      </c>
    </row>
    <row r="208" spans="22:23" ht="24.95" customHeight="1" x14ac:dyDescent="0.25">
      <c r="V208" s="2">
        <f>Таблица1[[#This Row],[Дата перевода]]-Таблица1[[#This Row],[Дата поступления]]</f>
        <v>0</v>
      </c>
      <c r="W208" s="2">
        <f>Таблица1[[#This Row],[Дата поступления]]-Таблица1[[#This Row],[Дата рождения]]</f>
        <v>753</v>
      </c>
    </row>
    <row r="209" spans="22:23" ht="24.95" customHeight="1" x14ac:dyDescent="0.25">
      <c r="V209" s="2">
        <f>Таблица1[[#This Row],[Дата перевода]]-Таблица1[[#This Row],[Дата поступления]]</f>
        <v>1</v>
      </c>
      <c r="W209" s="2">
        <f>Таблица1[[#This Row],[Дата поступления]]-Таблица1[[#This Row],[Дата рождения]]</f>
        <v>4108</v>
      </c>
    </row>
    <row r="210" spans="22:23" ht="24.95" customHeight="1" x14ac:dyDescent="0.25">
      <c r="V210" s="2">
        <f>Таблица1[[#This Row],[Дата перевода]]-Таблица1[[#This Row],[Дата поступления]]</f>
        <v>5</v>
      </c>
      <c r="W210" s="2">
        <f>Таблица1[[#This Row],[Дата поступления]]-Таблица1[[#This Row],[Дата рождения]]</f>
        <v>5398</v>
      </c>
    </row>
    <row r="211" spans="22:23" ht="24.95" customHeight="1" x14ac:dyDescent="0.25">
      <c r="V211" s="2">
        <f>Таблица1[[#This Row],[Дата перевода]]-Таблица1[[#This Row],[Дата поступления]]</f>
        <v>2</v>
      </c>
      <c r="W211" s="2">
        <f>Таблица1[[#This Row],[Дата поступления]]-Таблица1[[#This Row],[Дата рождения]]</f>
        <v>3541</v>
      </c>
    </row>
    <row r="212" spans="22:23" ht="24.95" customHeight="1" x14ac:dyDescent="0.25">
      <c r="V212" s="2">
        <f>Таблица1[[#This Row],[Дата перевода]]-Таблица1[[#This Row],[Дата поступления]]</f>
        <v>1</v>
      </c>
      <c r="W212" s="2">
        <f>Таблица1[[#This Row],[Дата поступления]]-Таблица1[[#This Row],[Дата рождения]]</f>
        <v>3171</v>
      </c>
    </row>
    <row r="213" spans="22:23" ht="24.95" customHeight="1" x14ac:dyDescent="0.25">
      <c r="V213" s="2">
        <f>Таблица1[[#This Row],[Дата перевода]]-Таблица1[[#This Row],[Дата поступления]]</f>
        <v>0</v>
      </c>
      <c r="W213" s="2">
        <f>Таблица1[[#This Row],[Дата поступления]]-Таблица1[[#This Row],[Дата рождения]]</f>
        <v>59</v>
      </c>
    </row>
    <row r="214" spans="22:23" ht="24.95" customHeight="1" x14ac:dyDescent="0.25">
      <c r="V214" s="2">
        <f>Таблица1[[#This Row],[Дата перевода]]-Таблица1[[#This Row],[Дата поступления]]</f>
        <v>1</v>
      </c>
      <c r="W214" s="2">
        <f>Таблица1[[#This Row],[Дата поступления]]-Таблица1[[#This Row],[Дата рождения]]</f>
        <v>0</v>
      </c>
    </row>
    <row r="215" spans="22:23" ht="24.95" customHeight="1" x14ac:dyDescent="0.25">
      <c r="V215" s="2">
        <f>Таблица1[[#This Row],[Дата перевода]]-Таблица1[[#This Row],[Дата поступления]]</f>
        <v>2</v>
      </c>
      <c r="W215" s="2">
        <f>Таблица1[[#This Row],[Дата поступления]]-Таблица1[[#This Row],[Дата рождения]]</f>
        <v>3953</v>
      </c>
    </row>
    <row r="216" spans="22:23" ht="24.95" customHeight="1" x14ac:dyDescent="0.25">
      <c r="V216" s="2">
        <f>Таблица1[[#This Row],[Дата перевода]]-Таблица1[[#This Row],[Дата поступления]]</f>
        <v>0</v>
      </c>
      <c r="W216" s="2">
        <f>Таблица1[[#This Row],[Дата поступления]]-Таблица1[[#This Row],[Дата рождения]]</f>
        <v>6372</v>
      </c>
    </row>
    <row r="217" spans="22:23" ht="24.95" customHeight="1" x14ac:dyDescent="0.25">
      <c r="V217" s="2">
        <f>Таблица1[[#This Row],[Дата перевода]]-Таблица1[[#This Row],[Дата поступления]]</f>
        <v>0</v>
      </c>
      <c r="W217" s="2">
        <f>Таблица1[[#This Row],[Дата поступления]]-Таблица1[[#This Row],[Дата рождения]]</f>
        <v>6331</v>
      </c>
    </row>
    <row r="218" spans="22:23" ht="24.95" customHeight="1" x14ac:dyDescent="0.25">
      <c r="V218" s="2">
        <f>Таблица1[[#This Row],[Дата перевода]]-Таблица1[[#This Row],[Дата поступления]]</f>
        <v>2</v>
      </c>
      <c r="W218" s="2">
        <f>Таблица1[[#This Row],[Дата поступления]]-Таблица1[[#This Row],[Дата рождения]]</f>
        <v>2215</v>
      </c>
    </row>
    <row r="219" spans="22:23" ht="24.95" customHeight="1" x14ac:dyDescent="0.25">
      <c r="V219" s="2">
        <f>Таблица1[[#This Row],[Дата перевода]]-Таблица1[[#This Row],[Дата поступления]]</f>
        <v>1</v>
      </c>
      <c r="W219" s="2">
        <f>Таблица1[[#This Row],[Дата поступления]]-Таблица1[[#This Row],[Дата рождения]]</f>
        <v>430</v>
      </c>
    </row>
    <row r="220" spans="22:23" ht="24.95" customHeight="1" x14ac:dyDescent="0.25">
      <c r="V220" s="2">
        <f>Таблица1[[#This Row],[Дата перевода]]-Таблица1[[#This Row],[Дата поступления]]</f>
        <v>14</v>
      </c>
      <c r="W220" s="2">
        <f>Таблица1[[#This Row],[Дата поступления]]-Таблица1[[#This Row],[Дата рождения]]</f>
        <v>292</v>
      </c>
    </row>
    <row r="221" spans="22:23" ht="24.95" customHeight="1" x14ac:dyDescent="0.25">
      <c r="V221" s="2">
        <f>Таблица1[[#This Row],[Дата перевода]]-Таблица1[[#This Row],[Дата поступления]]</f>
        <v>1</v>
      </c>
      <c r="W221" s="2">
        <f>Таблица1[[#This Row],[Дата поступления]]-Таблица1[[#This Row],[Дата рождения]]</f>
        <v>6268</v>
      </c>
    </row>
    <row r="222" spans="22:23" ht="24.95" customHeight="1" x14ac:dyDescent="0.25">
      <c r="V222" s="2">
        <f>Таблица1[[#This Row],[Дата перевода]]-Таблица1[[#This Row],[Дата поступления]]</f>
        <v>3</v>
      </c>
      <c r="W222" s="2">
        <f>Таблица1[[#This Row],[Дата поступления]]-Таблица1[[#This Row],[Дата рождения]]</f>
        <v>470</v>
      </c>
    </row>
    <row r="223" spans="22:23" ht="24.95" customHeight="1" x14ac:dyDescent="0.25">
      <c r="V223" s="2">
        <f>Таблица1[[#This Row],[Дата перевода]]-Таблица1[[#This Row],[Дата поступления]]</f>
        <v>2</v>
      </c>
      <c r="W223" s="2">
        <f>Таблица1[[#This Row],[Дата поступления]]-Таблица1[[#This Row],[Дата рождения]]</f>
        <v>29</v>
      </c>
    </row>
    <row r="224" spans="22:23" ht="24.95" customHeight="1" x14ac:dyDescent="0.25">
      <c r="V224" s="2">
        <f>Таблица1[[#This Row],[Дата перевода]]-Таблица1[[#This Row],[Дата поступления]]</f>
        <v>1</v>
      </c>
      <c r="W224" s="2">
        <f>Таблица1[[#This Row],[Дата поступления]]-Таблица1[[#This Row],[Дата рождения]]</f>
        <v>4510</v>
      </c>
    </row>
    <row r="225" spans="22:23" ht="24.95" customHeight="1" x14ac:dyDescent="0.25">
      <c r="V225" s="2">
        <f>Таблица1[[#This Row],[Дата перевода]]-Таблица1[[#This Row],[Дата поступления]]</f>
        <v>1</v>
      </c>
      <c r="W225" s="2">
        <f>Таблица1[[#This Row],[Дата поступления]]-Таблица1[[#This Row],[Дата рождения]]</f>
        <v>5740</v>
      </c>
    </row>
    <row r="226" spans="22:23" ht="24.95" customHeight="1" x14ac:dyDescent="0.25">
      <c r="V226" s="2">
        <f>Таблица1[[#This Row],[Дата перевода]]-Таблица1[[#This Row],[Дата поступления]]</f>
        <v>2</v>
      </c>
      <c r="W226" s="2">
        <f>Таблица1[[#This Row],[Дата поступления]]-Таблица1[[#This Row],[Дата рождения]]</f>
        <v>4038</v>
      </c>
    </row>
    <row r="227" spans="22:23" ht="24.95" customHeight="1" x14ac:dyDescent="0.25">
      <c r="V227" s="2">
        <f>Таблица1[[#This Row],[Дата перевода]]-Таблица1[[#This Row],[Дата поступления]]</f>
        <v>1</v>
      </c>
      <c r="W227" s="2">
        <f>Таблица1[[#This Row],[Дата поступления]]-Таблица1[[#This Row],[Дата рождения]]</f>
        <v>2806</v>
      </c>
    </row>
    <row r="228" spans="22:23" ht="24.95" customHeight="1" x14ac:dyDescent="0.25">
      <c r="V228" s="2">
        <f>Таблица1[[#This Row],[Дата перевода]]-Таблица1[[#This Row],[Дата поступления]]</f>
        <v>0</v>
      </c>
      <c r="W228" s="2">
        <f>Таблица1[[#This Row],[Дата поступления]]-Таблица1[[#This Row],[Дата рождения]]</f>
        <v>808</v>
      </c>
    </row>
    <row r="229" spans="22:23" ht="24.95" customHeight="1" x14ac:dyDescent="0.25">
      <c r="V229" s="2">
        <f>Таблица1[[#This Row],[Дата перевода]]-Таблица1[[#This Row],[Дата поступления]]</f>
        <v>1</v>
      </c>
      <c r="W229" s="2">
        <f>Таблица1[[#This Row],[Дата поступления]]-Таблица1[[#This Row],[Дата рождения]]</f>
        <v>4580</v>
      </c>
    </row>
    <row r="230" spans="22:23" ht="24.95" customHeight="1" x14ac:dyDescent="0.25">
      <c r="V230" s="2">
        <f>Таблица1[[#This Row],[Дата перевода]]-Таблица1[[#This Row],[Дата поступления]]</f>
        <v>2</v>
      </c>
      <c r="W230" s="2">
        <f>Таблица1[[#This Row],[Дата поступления]]-Таблица1[[#This Row],[Дата рождения]]</f>
        <v>4675</v>
      </c>
    </row>
    <row r="231" spans="22:23" ht="24.95" customHeight="1" x14ac:dyDescent="0.25">
      <c r="V231" s="2">
        <f>Таблица1[[#This Row],[Дата перевода]]-Таблица1[[#This Row],[Дата поступления]]</f>
        <v>3</v>
      </c>
      <c r="W231" s="2">
        <f>Таблица1[[#This Row],[Дата поступления]]-Таблица1[[#This Row],[Дата рождения]]</f>
        <v>6252</v>
      </c>
    </row>
    <row r="232" spans="22:23" ht="24.95" customHeight="1" x14ac:dyDescent="0.25">
      <c r="V232" s="2">
        <f>Таблица1[[#This Row],[Дата перевода]]-Таблица1[[#This Row],[Дата поступления]]</f>
        <v>30</v>
      </c>
      <c r="W232" s="2">
        <f>Таблица1[[#This Row],[Дата поступления]]-Таблица1[[#This Row],[Дата рождения]]</f>
        <v>88</v>
      </c>
    </row>
    <row r="233" spans="22:23" ht="24.95" customHeight="1" x14ac:dyDescent="0.25">
      <c r="V233" s="2">
        <f>Таблица1[[#This Row],[Дата перевода]]-Таблица1[[#This Row],[Дата поступления]]</f>
        <v>1</v>
      </c>
      <c r="W233" s="2">
        <f>Таблица1[[#This Row],[Дата поступления]]-Таблица1[[#This Row],[Дата рождения]]</f>
        <v>6030</v>
      </c>
    </row>
    <row r="234" spans="22:23" ht="24.95" customHeight="1" x14ac:dyDescent="0.25">
      <c r="V234" s="2">
        <f>Таблица1[[#This Row],[Дата перевода]]-Таблица1[[#This Row],[Дата поступления]]</f>
        <v>1</v>
      </c>
      <c r="W234" s="2">
        <f>Таблица1[[#This Row],[Дата поступления]]-Таблица1[[#This Row],[Дата рождения]]</f>
        <v>5553</v>
      </c>
    </row>
    <row r="235" spans="22:23" ht="24.95" customHeight="1" x14ac:dyDescent="0.25">
      <c r="V235" s="2">
        <f>Таблица1[[#This Row],[Дата перевода]]-Таблица1[[#This Row],[Дата поступления]]</f>
        <v>6</v>
      </c>
      <c r="W235" s="2">
        <f>Таблица1[[#This Row],[Дата поступления]]-Таблица1[[#This Row],[Дата рождения]]</f>
        <v>912</v>
      </c>
    </row>
    <row r="236" spans="22:23" ht="24.95" customHeight="1" x14ac:dyDescent="0.25">
      <c r="V236" s="2">
        <f>Таблица1[[#This Row],[Дата перевода]]-Таблица1[[#This Row],[Дата поступления]]</f>
        <v>1</v>
      </c>
      <c r="W236" s="2">
        <f>Таблица1[[#This Row],[Дата поступления]]-Таблица1[[#This Row],[Дата рождения]]</f>
        <v>6044</v>
      </c>
    </row>
    <row r="237" spans="22:23" ht="24.95" customHeight="1" x14ac:dyDescent="0.25">
      <c r="V237" s="2">
        <f>Таблица1[[#This Row],[Дата перевода]]-Таблица1[[#This Row],[Дата поступления]]</f>
        <v>2</v>
      </c>
      <c r="W237" s="2">
        <f>Таблица1[[#This Row],[Дата поступления]]-Таблица1[[#This Row],[Дата рождения]]</f>
        <v>5791</v>
      </c>
    </row>
    <row r="238" spans="22:23" ht="24.95" customHeight="1" x14ac:dyDescent="0.25">
      <c r="V238" s="2">
        <f>Таблица1[[#This Row],[Дата перевода]]-Таблица1[[#This Row],[Дата поступления]]</f>
        <v>1</v>
      </c>
      <c r="W238" s="2">
        <f>Таблица1[[#This Row],[Дата поступления]]-Таблица1[[#This Row],[Дата рождения]]</f>
        <v>5025</v>
      </c>
    </row>
    <row r="239" spans="22:23" ht="24.95" customHeight="1" x14ac:dyDescent="0.25">
      <c r="V239" s="2">
        <f>Таблица1[[#This Row],[Дата перевода]]-Таблица1[[#This Row],[Дата поступления]]</f>
        <v>1</v>
      </c>
      <c r="W239" s="2">
        <f>Таблица1[[#This Row],[Дата поступления]]-Таблица1[[#This Row],[Дата рождения]]</f>
        <v>5410</v>
      </c>
    </row>
    <row r="240" spans="22:23" ht="24.95" customHeight="1" x14ac:dyDescent="0.25">
      <c r="V240" s="2">
        <f>Таблица1[[#This Row],[Дата перевода]]-Таблица1[[#This Row],[Дата поступления]]</f>
        <v>5</v>
      </c>
      <c r="W240" s="2">
        <f>Таблица1[[#This Row],[Дата поступления]]-Таблица1[[#This Row],[Дата рождения]]</f>
        <v>501</v>
      </c>
    </row>
    <row r="241" spans="22:23" ht="24.95" customHeight="1" x14ac:dyDescent="0.25">
      <c r="V241" s="2">
        <f>Таблица1[[#This Row],[Дата перевода]]-Таблица1[[#This Row],[Дата поступления]]</f>
        <v>1</v>
      </c>
      <c r="W241" s="2">
        <f>Таблица1[[#This Row],[Дата поступления]]-Таблица1[[#This Row],[Дата рождения]]</f>
        <v>5226</v>
      </c>
    </row>
    <row r="242" spans="22:23" ht="24.95" customHeight="1" x14ac:dyDescent="0.25">
      <c r="V242" s="2">
        <f>Таблица1[[#This Row],[Дата перевода]]-Таблица1[[#This Row],[Дата поступления]]</f>
        <v>1</v>
      </c>
      <c r="W242" s="2">
        <f>Таблица1[[#This Row],[Дата поступления]]-Таблица1[[#This Row],[Дата рождения]]</f>
        <v>459</v>
      </c>
    </row>
    <row r="243" spans="22:23" ht="24.95" customHeight="1" x14ac:dyDescent="0.25">
      <c r="V243" s="2">
        <f>Таблица1[[#This Row],[Дата перевода]]-Таблица1[[#This Row],[Дата поступления]]</f>
        <v>0</v>
      </c>
      <c r="W243" s="2">
        <f>Таблица1[[#This Row],[Дата поступления]]-Таблица1[[#This Row],[Дата рождения]]</f>
        <v>6394</v>
      </c>
    </row>
    <row r="244" spans="22:23" ht="24.95" customHeight="1" x14ac:dyDescent="0.25">
      <c r="V244" s="2">
        <f>Таблица1[[#This Row],[Дата перевода]]-Таблица1[[#This Row],[Дата поступления]]</f>
        <v>3</v>
      </c>
      <c r="W244" s="2">
        <f>Таблица1[[#This Row],[Дата поступления]]-Таблица1[[#This Row],[Дата рождения]]</f>
        <v>6394</v>
      </c>
    </row>
    <row r="245" spans="22:23" ht="24.95" customHeight="1" x14ac:dyDescent="0.25">
      <c r="V245" s="2">
        <f>Таблица1[[#This Row],[Дата перевода]]-Таблица1[[#This Row],[Дата поступления]]</f>
        <v>6</v>
      </c>
      <c r="W245" s="2">
        <f>Таблица1[[#This Row],[Дата поступления]]-Таблица1[[#This Row],[Дата рождения]]</f>
        <v>2985</v>
      </c>
    </row>
    <row r="246" spans="22:23" ht="24.95" customHeight="1" x14ac:dyDescent="0.25">
      <c r="V246" s="2">
        <f>Таблица1[[#This Row],[Дата перевода]]-Таблица1[[#This Row],[Дата поступления]]</f>
        <v>1</v>
      </c>
      <c r="W246" s="2">
        <f>Таблица1[[#This Row],[Дата поступления]]-Таблица1[[#This Row],[Дата рождения]]</f>
        <v>6267</v>
      </c>
    </row>
    <row r="247" spans="22:23" ht="24.95" customHeight="1" x14ac:dyDescent="0.25">
      <c r="V247" s="2">
        <f>Таблица1[[#This Row],[Дата перевода]]-Таблица1[[#This Row],[Дата поступления]]</f>
        <v>1</v>
      </c>
      <c r="W247" s="2">
        <f>Таблица1[[#This Row],[Дата поступления]]-Таблица1[[#This Row],[Дата рождения]]</f>
        <v>5231</v>
      </c>
    </row>
    <row r="248" spans="22:23" ht="24.95" customHeight="1" x14ac:dyDescent="0.25">
      <c r="V248" s="2">
        <f>Таблица1[[#This Row],[Дата перевода]]-Таблица1[[#This Row],[Дата поступления]]</f>
        <v>1</v>
      </c>
      <c r="W248" s="2">
        <f>Таблица1[[#This Row],[Дата поступления]]-Таблица1[[#This Row],[Дата рождения]]</f>
        <v>4208</v>
      </c>
    </row>
    <row r="249" spans="22:23" ht="24.95" customHeight="1" x14ac:dyDescent="0.25">
      <c r="V249" s="2">
        <f>Таблица1[[#This Row],[Дата перевода]]-Таблица1[[#This Row],[Дата поступления]]</f>
        <v>5</v>
      </c>
      <c r="W249" s="2">
        <f>Таблица1[[#This Row],[Дата поступления]]-Таблица1[[#This Row],[Дата рождения]]</f>
        <v>44</v>
      </c>
    </row>
    <row r="250" spans="22:23" ht="24.95" customHeight="1" x14ac:dyDescent="0.25">
      <c r="V250" s="2">
        <f>Таблица1[[#This Row],[Дата перевода]]-Таблица1[[#This Row],[Дата поступления]]</f>
        <v>2</v>
      </c>
      <c r="W250" s="2">
        <f>Таблица1[[#This Row],[Дата поступления]]-Таблица1[[#This Row],[Дата рождения]]</f>
        <v>6530</v>
      </c>
    </row>
    <row r="251" spans="22:23" ht="24.95" customHeight="1" x14ac:dyDescent="0.25">
      <c r="V251" s="2">
        <f>Таблица1[[#This Row],[Дата перевода]]-Таблица1[[#This Row],[Дата поступления]]</f>
        <v>2</v>
      </c>
      <c r="W251" s="2">
        <f>Таблица1[[#This Row],[Дата поступления]]-Таблица1[[#This Row],[Дата рождения]]</f>
        <v>6517</v>
      </c>
    </row>
    <row r="252" spans="22:23" ht="24.95" customHeight="1" x14ac:dyDescent="0.25">
      <c r="V252" s="2">
        <f>Таблица1[[#This Row],[Дата перевода]]-Таблица1[[#This Row],[Дата поступления]]</f>
        <v>10</v>
      </c>
      <c r="W252" s="2">
        <f>Таблица1[[#This Row],[Дата поступления]]-Таблица1[[#This Row],[Дата рождения]]</f>
        <v>6475</v>
      </c>
    </row>
    <row r="253" spans="22:23" ht="24.95" customHeight="1" x14ac:dyDescent="0.25">
      <c r="V253" s="2">
        <f>Таблица1[[#This Row],[Дата перевода]]-Таблица1[[#This Row],[Дата поступления]]</f>
        <v>1</v>
      </c>
      <c r="W253" s="2">
        <f>Таблица1[[#This Row],[Дата поступления]]-Таблица1[[#This Row],[Дата рождения]]</f>
        <v>4377</v>
      </c>
    </row>
    <row r="254" spans="22:23" ht="24.95" customHeight="1" x14ac:dyDescent="0.25">
      <c r="V254" s="2">
        <f>Таблица1[[#This Row],[Дата перевода]]-Таблица1[[#This Row],[Дата поступления]]</f>
        <v>1</v>
      </c>
      <c r="W254" s="2">
        <f>Таблица1[[#This Row],[Дата поступления]]-Таблица1[[#This Row],[Дата рождения]]</f>
        <v>1175</v>
      </c>
    </row>
    <row r="255" spans="22:23" ht="24.95" customHeight="1" x14ac:dyDescent="0.25">
      <c r="V255" s="2">
        <f>Таблица1[[#This Row],[Дата перевода]]-Таблица1[[#This Row],[Дата поступления]]</f>
        <v>1</v>
      </c>
      <c r="W255" s="2">
        <f>Таблица1[[#This Row],[Дата поступления]]-Таблица1[[#This Row],[Дата рождения]]</f>
        <v>6400</v>
      </c>
    </row>
    <row r="256" spans="22:23" ht="24.95" customHeight="1" x14ac:dyDescent="0.25">
      <c r="V256" s="2">
        <f>Таблица1[[#This Row],[Дата перевода]]-Таблица1[[#This Row],[Дата поступления]]</f>
        <v>2</v>
      </c>
      <c r="W256" s="2">
        <f>Таблица1[[#This Row],[Дата поступления]]-Таблица1[[#This Row],[Дата рождения]]</f>
        <v>6045</v>
      </c>
    </row>
    <row r="257" spans="22:23" ht="24.95" customHeight="1" x14ac:dyDescent="0.25">
      <c r="V257" s="2">
        <f>Таблица1[[#This Row],[Дата перевода]]-Таблица1[[#This Row],[Дата поступления]]</f>
        <v>1</v>
      </c>
      <c r="W257" s="2">
        <f>Таблица1[[#This Row],[Дата поступления]]-Таблица1[[#This Row],[Дата рождения]]</f>
        <v>503</v>
      </c>
    </row>
    <row r="258" spans="22:23" ht="24.95" customHeight="1" x14ac:dyDescent="0.25">
      <c r="V258" s="2">
        <f>Таблица1[[#This Row],[Дата перевода]]-Таблица1[[#This Row],[Дата поступления]]</f>
        <v>29</v>
      </c>
      <c r="W258" s="2">
        <f>Таблица1[[#This Row],[Дата поступления]]-Таблица1[[#This Row],[Дата рождения]]</f>
        <v>1444</v>
      </c>
    </row>
    <row r="259" spans="22:23" ht="24.95" customHeight="1" x14ac:dyDescent="0.25">
      <c r="V259" s="2">
        <f>Таблица1[[#This Row],[Дата перевода]]-Таблица1[[#This Row],[Дата поступления]]</f>
        <v>8</v>
      </c>
      <c r="W259" s="2">
        <f>Таблица1[[#This Row],[Дата поступления]]-Таблица1[[#This Row],[Дата рождения]]</f>
        <v>5608</v>
      </c>
    </row>
    <row r="260" spans="22:23" ht="24.95" customHeight="1" x14ac:dyDescent="0.25">
      <c r="V260" s="2">
        <f>Таблица1[[#This Row],[Дата перевода]]-Таблица1[[#This Row],[Дата поступления]]</f>
        <v>1</v>
      </c>
      <c r="W260" s="2">
        <f>Таблица1[[#This Row],[Дата поступления]]-Таблица1[[#This Row],[Дата рождения]]</f>
        <v>3044</v>
      </c>
    </row>
    <row r="261" spans="22:23" ht="24.95" customHeight="1" x14ac:dyDescent="0.25">
      <c r="V261" s="2">
        <f>Таблица1[[#This Row],[Дата перевода]]-Таблица1[[#This Row],[Дата поступления]]</f>
        <v>1</v>
      </c>
      <c r="W261" s="2">
        <f>Таблица1[[#This Row],[Дата поступления]]-Таблица1[[#This Row],[Дата рождения]]</f>
        <v>378</v>
      </c>
    </row>
    <row r="262" spans="22:23" ht="24.95" customHeight="1" x14ac:dyDescent="0.25">
      <c r="V262" s="2">
        <f>Таблица1[[#This Row],[Дата перевода]]-Таблица1[[#This Row],[Дата поступления]]</f>
        <v>2</v>
      </c>
      <c r="W262" s="2">
        <f>Таблица1[[#This Row],[Дата поступления]]-Таблица1[[#This Row],[Дата рождения]]</f>
        <v>5560</v>
      </c>
    </row>
    <row r="263" spans="22:23" ht="24.95" customHeight="1" x14ac:dyDescent="0.25">
      <c r="V263" s="2">
        <f>Таблица1[[#This Row],[Дата перевода]]-Таблица1[[#This Row],[Дата поступления]]</f>
        <v>2</v>
      </c>
      <c r="W263" s="2">
        <f>Таблица1[[#This Row],[Дата поступления]]-Таблица1[[#This Row],[Дата рождения]]</f>
        <v>6531</v>
      </c>
    </row>
    <row r="264" spans="22:23" ht="24.95" customHeight="1" x14ac:dyDescent="0.25">
      <c r="V264" s="2">
        <f>Таблица1[[#This Row],[Дата перевода]]-Таблица1[[#This Row],[Дата поступления]]</f>
        <v>2</v>
      </c>
      <c r="W264" s="2">
        <f>Таблица1[[#This Row],[Дата поступления]]-Таблица1[[#This Row],[Дата рождения]]</f>
        <v>6</v>
      </c>
    </row>
    <row r="265" spans="22:23" ht="24.95" customHeight="1" x14ac:dyDescent="0.25">
      <c r="V265" s="2">
        <f>Таблица1[[#This Row],[Дата перевода]]-Таблица1[[#This Row],[Дата поступления]]</f>
        <v>5</v>
      </c>
      <c r="W265" s="2">
        <f>Таблица1[[#This Row],[Дата поступления]]-Таблица1[[#This Row],[Дата рождения]]</f>
        <v>5564</v>
      </c>
    </row>
    <row r="266" spans="22:23" ht="24.95" customHeight="1" x14ac:dyDescent="0.25">
      <c r="V266" s="2">
        <f>Таблица1[[#This Row],[Дата перевода]]-Таблица1[[#This Row],[Дата поступления]]</f>
        <v>1</v>
      </c>
      <c r="W266" s="2">
        <f>Таблица1[[#This Row],[Дата поступления]]-Таблица1[[#This Row],[Дата рождения]]</f>
        <v>2739</v>
      </c>
    </row>
    <row r="267" spans="22:23" ht="24.95" customHeight="1" x14ac:dyDescent="0.25">
      <c r="V267" s="2">
        <f>Таблица1[[#This Row],[Дата перевода]]-Таблица1[[#This Row],[Дата поступления]]</f>
        <v>2</v>
      </c>
      <c r="W267" s="2">
        <f>Таблица1[[#This Row],[Дата поступления]]-Таблица1[[#This Row],[Дата рождения]]</f>
        <v>3555</v>
      </c>
    </row>
    <row r="268" spans="22:23" ht="24.95" customHeight="1" x14ac:dyDescent="0.25">
      <c r="V268" s="2">
        <f>Таблица1[[#This Row],[Дата перевода]]-Таблица1[[#This Row],[Дата поступления]]</f>
        <v>5</v>
      </c>
      <c r="W268" s="2">
        <f>Таблица1[[#This Row],[Дата поступления]]-Таблица1[[#This Row],[Дата рождения]]</f>
        <v>9</v>
      </c>
    </row>
    <row r="269" spans="22:23" ht="24.95" customHeight="1" x14ac:dyDescent="0.25">
      <c r="V269" s="2">
        <f>Таблица1[[#This Row],[Дата перевода]]-Таблица1[[#This Row],[Дата поступления]]</f>
        <v>2</v>
      </c>
      <c r="W269" s="2">
        <f>Таблица1[[#This Row],[Дата поступления]]-Таблица1[[#This Row],[Дата рождения]]</f>
        <v>3170</v>
      </c>
    </row>
    <row r="270" spans="22:23" ht="24.95" customHeight="1" x14ac:dyDescent="0.25">
      <c r="V270" s="2">
        <f>Таблица1[[#This Row],[Дата перевода]]-Таблица1[[#This Row],[Дата поступления]]</f>
        <v>0</v>
      </c>
      <c r="W270" s="2">
        <f>Таблица1[[#This Row],[Дата поступления]]-Таблица1[[#This Row],[Дата рождения]]</f>
        <v>4736</v>
      </c>
    </row>
    <row r="271" spans="22:23" ht="24.95" customHeight="1" x14ac:dyDescent="0.25">
      <c r="V271" s="2">
        <f>Таблица1[[#This Row],[Дата перевода]]-Таблица1[[#This Row],[Дата поступления]]</f>
        <v>2</v>
      </c>
      <c r="W271" s="2">
        <f>Таблица1[[#This Row],[Дата поступления]]-Таблица1[[#This Row],[Дата рождения]]</f>
        <v>62</v>
      </c>
    </row>
    <row r="272" spans="22:23" ht="24.95" customHeight="1" x14ac:dyDescent="0.25">
      <c r="V272" s="2">
        <f>Таблица1[[#This Row],[Дата перевода]]-Таблица1[[#This Row],[Дата поступления]]</f>
        <v>1</v>
      </c>
      <c r="W272" s="2">
        <f>Таблица1[[#This Row],[Дата поступления]]-Таблица1[[#This Row],[Дата рождения]]</f>
        <v>5707</v>
      </c>
    </row>
    <row r="273" spans="22:23" ht="24.95" customHeight="1" x14ac:dyDescent="0.25">
      <c r="V273" s="2">
        <f>Таблица1[[#This Row],[Дата перевода]]-Таблица1[[#This Row],[Дата поступления]]</f>
        <v>9</v>
      </c>
      <c r="W273" s="2">
        <f>Таблица1[[#This Row],[Дата поступления]]-Таблица1[[#This Row],[Дата рождения]]</f>
        <v>3282</v>
      </c>
    </row>
    <row r="274" spans="22:23" ht="24.95" customHeight="1" x14ac:dyDescent="0.25">
      <c r="V274" s="2">
        <f>Таблица1[[#This Row],[Дата перевода]]-Таблица1[[#This Row],[Дата поступления]]</f>
        <v>7</v>
      </c>
      <c r="W274" s="2">
        <f>Таблица1[[#This Row],[Дата поступления]]-Таблица1[[#This Row],[Дата рождения]]</f>
        <v>37</v>
      </c>
    </row>
    <row r="275" spans="22:23" ht="24.95" customHeight="1" x14ac:dyDescent="0.25">
      <c r="V275" s="2">
        <f>Таблица1[[#This Row],[Дата перевода]]-Таблица1[[#This Row],[Дата поступления]]</f>
        <v>1</v>
      </c>
      <c r="W275" s="2">
        <f>Таблица1[[#This Row],[Дата поступления]]-Таблица1[[#This Row],[Дата рождения]]</f>
        <v>4211</v>
      </c>
    </row>
    <row r="276" spans="22:23" ht="24.95" customHeight="1" x14ac:dyDescent="0.25">
      <c r="V276" s="2">
        <f>Таблица1[[#This Row],[Дата перевода]]-Таблица1[[#This Row],[Дата поступления]]</f>
        <v>0</v>
      </c>
      <c r="W276" s="2">
        <f>Таблица1[[#This Row],[Дата поступления]]-Таблица1[[#This Row],[Дата рождения]]</f>
        <v>365</v>
      </c>
    </row>
    <row r="277" spans="22:23" ht="24.95" customHeight="1" x14ac:dyDescent="0.25">
      <c r="V277" s="2">
        <f>Таблица1[[#This Row],[Дата перевода]]-Таблица1[[#This Row],[Дата поступления]]</f>
        <v>1</v>
      </c>
      <c r="W277" s="2">
        <f>Таблица1[[#This Row],[Дата поступления]]-Таблица1[[#This Row],[Дата рождения]]</f>
        <v>4949</v>
      </c>
    </row>
    <row r="278" spans="22:23" ht="24.95" customHeight="1" x14ac:dyDescent="0.25">
      <c r="V278" s="2">
        <f>Таблица1[[#This Row],[Дата перевода]]-Таблица1[[#This Row],[Дата поступления]]</f>
        <v>29</v>
      </c>
      <c r="W278" s="2">
        <f>Таблица1[[#This Row],[Дата поступления]]-Таблица1[[#This Row],[Дата рождения]]</f>
        <v>68</v>
      </c>
    </row>
    <row r="279" spans="22:23" ht="24.95" customHeight="1" x14ac:dyDescent="0.25">
      <c r="V279" s="2">
        <f>Таблица1[[#This Row],[Дата перевода]]-Таблица1[[#This Row],[Дата поступления]]</f>
        <v>1</v>
      </c>
      <c r="W279" s="2">
        <f>Таблица1[[#This Row],[Дата поступления]]-Таблица1[[#This Row],[Дата рождения]]</f>
        <v>5831</v>
      </c>
    </row>
    <row r="280" spans="22:23" ht="24.95" customHeight="1" x14ac:dyDescent="0.25">
      <c r="V280" s="2">
        <f>Таблица1[[#This Row],[Дата перевода]]-Таблица1[[#This Row],[Дата поступления]]</f>
        <v>0</v>
      </c>
      <c r="W280" s="2">
        <f>Таблица1[[#This Row],[Дата поступления]]-Таблица1[[#This Row],[Дата рождения]]</f>
        <v>6417</v>
      </c>
    </row>
    <row r="281" spans="22:23" ht="24.95" customHeight="1" x14ac:dyDescent="0.25">
      <c r="V281" s="2">
        <f>Таблица1[[#This Row],[Дата перевода]]-Таблица1[[#This Row],[Дата поступления]]</f>
        <v>0</v>
      </c>
      <c r="W281" s="2">
        <f>Таблица1[[#This Row],[Дата поступления]]-Таблица1[[#This Row],[Дата рождения]]</f>
        <v>5670</v>
      </c>
    </row>
    <row r="282" spans="22:23" ht="24.95" customHeight="1" x14ac:dyDescent="0.25">
      <c r="V282" s="2">
        <f>Таблица1[[#This Row],[Дата перевода]]-Таблица1[[#This Row],[Дата поступления]]</f>
        <v>1</v>
      </c>
      <c r="W282" s="2">
        <f>Таблица1[[#This Row],[Дата поступления]]-Таблица1[[#This Row],[Дата рождения]]</f>
        <v>819</v>
      </c>
    </row>
    <row r="283" spans="22:23" ht="24.95" customHeight="1" x14ac:dyDescent="0.25">
      <c r="V283" s="2">
        <f>Таблица1[[#This Row],[Дата перевода]]-Таблица1[[#This Row],[Дата поступления]]</f>
        <v>0</v>
      </c>
      <c r="W283" s="2">
        <f>Таблица1[[#This Row],[Дата поступления]]-Таблица1[[#This Row],[Дата рождения]]</f>
        <v>52</v>
      </c>
    </row>
    <row r="284" spans="22:23" ht="24.95" customHeight="1" x14ac:dyDescent="0.25">
      <c r="V284" s="2">
        <f>Таблица1[[#This Row],[Дата перевода]]-Таблица1[[#This Row],[Дата поступления]]</f>
        <v>1</v>
      </c>
      <c r="W284" s="2">
        <f>Таблица1[[#This Row],[Дата поступления]]-Таблица1[[#This Row],[Дата рождения]]</f>
        <v>5580</v>
      </c>
    </row>
    <row r="285" spans="22:23" ht="24.95" customHeight="1" x14ac:dyDescent="0.25">
      <c r="V285" s="2">
        <f>Таблица1[[#This Row],[Дата перевода]]-Таблица1[[#This Row],[Дата поступления]]</f>
        <v>23</v>
      </c>
      <c r="W285" s="2">
        <f>Таблица1[[#This Row],[Дата поступления]]-Таблица1[[#This Row],[Дата рождения]]</f>
        <v>6419</v>
      </c>
    </row>
    <row r="286" spans="22:23" ht="24.95" customHeight="1" x14ac:dyDescent="0.25">
      <c r="V286" s="2">
        <f>Таблица1[[#This Row],[Дата перевода]]-Таблица1[[#This Row],[Дата поступления]]</f>
        <v>2</v>
      </c>
      <c r="W286" s="2">
        <f>Таблица1[[#This Row],[Дата поступления]]-Таблица1[[#This Row],[Дата рождения]]</f>
        <v>5879</v>
      </c>
    </row>
    <row r="287" spans="22:23" ht="24.95" customHeight="1" x14ac:dyDescent="0.25">
      <c r="V287" s="2">
        <f>Таблица1[[#This Row],[Дата перевода]]-Таблица1[[#This Row],[Дата поступления]]</f>
        <v>0</v>
      </c>
      <c r="W287" s="2">
        <f>Таблица1[[#This Row],[Дата поступления]]-Таблица1[[#This Row],[Дата рождения]]</f>
        <v>15</v>
      </c>
    </row>
    <row r="288" spans="22:23" ht="24.95" customHeight="1" x14ac:dyDescent="0.25">
      <c r="V288" s="2">
        <f>Таблица1[[#This Row],[Дата перевода]]-Таблица1[[#This Row],[Дата поступления]]</f>
        <v>0</v>
      </c>
      <c r="W288" s="2">
        <f>Таблица1[[#This Row],[Дата поступления]]-Таблица1[[#This Row],[Дата рождения]]</f>
        <v>15</v>
      </c>
    </row>
    <row r="289" spans="22:23" ht="24.95" customHeight="1" x14ac:dyDescent="0.25">
      <c r="V289" s="2">
        <f>Таблица1[[#This Row],[Дата перевода]]-Таблица1[[#This Row],[Дата поступления]]</f>
        <v>0</v>
      </c>
      <c r="W289" s="2">
        <f>Таблица1[[#This Row],[Дата поступления]]-Таблица1[[#This Row],[Дата рождения]]</f>
        <v>73</v>
      </c>
    </row>
    <row r="290" spans="22:23" ht="24.95" customHeight="1" x14ac:dyDescent="0.25">
      <c r="V290" s="2">
        <f>Таблица1[[#This Row],[Дата перевода]]-Таблица1[[#This Row],[Дата поступления]]</f>
        <v>0</v>
      </c>
      <c r="W290" s="2">
        <f>Таблица1[[#This Row],[Дата поступления]]-Таблица1[[#This Row],[Дата рождения]]</f>
        <v>1155</v>
      </c>
    </row>
    <row r="291" spans="22:23" ht="24.95" customHeight="1" x14ac:dyDescent="0.25">
      <c r="V291" s="2">
        <f>Таблица1[[#This Row],[Дата перевода]]-Таблица1[[#This Row],[Дата поступления]]</f>
        <v>4</v>
      </c>
      <c r="W291" s="2">
        <f>Таблица1[[#This Row],[Дата поступления]]-Таблица1[[#This Row],[Дата рождения]]</f>
        <v>2745</v>
      </c>
    </row>
    <row r="292" spans="22:23" ht="24.95" customHeight="1" x14ac:dyDescent="0.25">
      <c r="V292" s="2">
        <f>Таблица1[[#This Row],[Дата перевода]]-Таблица1[[#This Row],[Дата поступления]]</f>
        <v>1</v>
      </c>
      <c r="W292" s="2">
        <f>Таблица1[[#This Row],[Дата поступления]]-Таблица1[[#This Row],[Дата рождения]]</f>
        <v>32</v>
      </c>
    </row>
    <row r="293" spans="22:23" ht="24.95" customHeight="1" x14ac:dyDescent="0.25">
      <c r="V293" s="2">
        <f>Таблица1[[#This Row],[Дата перевода]]-Таблица1[[#This Row],[Дата поступления]]</f>
        <v>0</v>
      </c>
      <c r="W293" s="2">
        <f>Таблица1[[#This Row],[Дата поступления]]-Таблица1[[#This Row],[Дата рождения]]</f>
        <v>5661</v>
      </c>
    </row>
    <row r="294" spans="22:23" ht="24.95" customHeight="1" x14ac:dyDescent="0.25">
      <c r="V294" s="2">
        <f>Таблица1[[#This Row],[Дата перевода]]-Таблица1[[#This Row],[Дата поступления]]</f>
        <v>4</v>
      </c>
      <c r="W294" s="2">
        <f>Таблица1[[#This Row],[Дата поступления]]-Таблица1[[#This Row],[Дата рождения]]</f>
        <v>315</v>
      </c>
    </row>
    <row r="295" spans="22:23" ht="24.95" customHeight="1" x14ac:dyDescent="0.25">
      <c r="V295" s="2">
        <f>Таблица1[[#This Row],[Дата перевода]]-Таблица1[[#This Row],[Дата поступления]]</f>
        <v>2</v>
      </c>
      <c r="W295" s="2">
        <f>Таблица1[[#This Row],[Дата поступления]]-Таблица1[[#This Row],[Дата рождения]]</f>
        <v>5886</v>
      </c>
    </row>
    <row r="296" spans="22:23" ht="24.95" customHeight="1" x14ac:dyDescent="0.25">
      <c r="V296" s="2">
        <f>Таблица1[[#This Row],[Дата перевода]]-Таблица1[[#This Row],[Дата поступления]]</f>
        <v>1</v>
      </c>
      <c r="W296" s="2">
        <f>Таблица1[[#This Row],[Дата поступления]]-Таблица1[[#This Row],[Дата рождения]]</f>
        <v>5898</v>
      </c>
    </row>
    <row r="297" spans="22:23" ht="24.95" customHeight="1" x14ac:dyDescent="0.25">
      <c r="V297" s="2">
        <f>Таблица1[[#This Row],[Дата перевода]]-Таблица1[[#This Row],[Дата поступления]]</f>
        <v>0</v>
      </c>
      <c r="W297" s="2">
        <f>Таблица1[[#This Row],[Дата поступления]]-Таблица1[[#This Row],[Дата рождения]]</f>
        <v>5709</v>
      </c>
    </row>
    <row r="298" spans="22:23" ht="24.95" customHeight="1" x14ac:dyDescent="0.25">
      <c r="V298" s="2">
        <f>Таблица1[[#This Row],[Дата перевода]]-Таблица1[[#This Row],[Дата поступления]]</f>
        <v>0</v>
      </c>
      <c r="W298" s="2">
        <f>Таблица1[[#This Row],[Дата поступления]]-Таблица1[[#This Row],[Дата рождения]]</f>
        <v>5348</v>
      </c>
    </row>
    <row r="299" spans="22:23" ht="24.95" customHeight="1" x14ac:dyDescent="0.25">
      <c r="V299" s="2">
        <f>Таблица1[[#This Row],[Дата перевода]]-Таблица1[[#This Row],[Дата поступления]]</f>
        <v>2</v>
      </c>
      <c r="W299" s="2">
        <f>Таблица1[[#This Row],[Дата поступления]]-Таблица1[[#This Row],[Дата рождения]]</f>
        <v>1834</v>
      </c>
    </row>
    <row r="300" spans="22:23" ht="24.95" customHeight="1" x14ac:dyDescent="0.25">
      <c r="V300" s="2">
        <f>Таблица1[[#This Row],[Дата перевода]]-Таблица1[[#This Row],[Дата поступления]]</f>
        <v>2</v>
      </c>
      <c r="W300" s="2">
        <f>Таблица1[[#This Row],[Дата поступления]]-Таблица1[[#This Row],[Дата рождения]]</f>
        <v>62</v>
      </c>
    </row>
    <row r="301" spans="22:23" ht="24.95" customHeight="1" x14ac:dyDescent="0.25">
      <c r="V301" s="2">
        <f>Таблица1[[#This Row],[Дата перевода]]-Таблица1[[#This Row],[Дата поступления]]</f>
        <v>0</v>
      </c>
      <c r="W301" s="2">
        <f>Таблица1[[#This Row],[Дата поступления]]-Таблица1[[#This Row],[Дата рождения]]</f>
        <v>5696</v>
      </c>
    </row>
    <row r="302" spans="22:23" ht="24.95" customHeight="1" x14ac:dyDescent="0.25">
      <c r="V302" s="2">
        <f>Таблица1[[#This Row],[Дата перевода]]-Таблица1[[#This Row],[Дата поступления]]</f>
        <v>1</v>
      </c>
      <c r="W302" s="2">
        <f>Таблица1[[#This Row],[Дата поступления]]-Таблица1[[#This Row],[Дата рождения]]</f>
        <v>0</v>
      </c>
    </row>
    <row r="303" spans="22:23" ht="24.95" customHeight="1" x14ac:dyDescent="0.25">
      <c r="V303" s="2">
        <f>Таблица1[[#This Row],[Дата перевода]]-Таблица1[[#This Row],[Дата поступления]]</f>
        <v>7</v>
      </c>
      <c r="W303" s="2">
        <f>Таблица1[[#This Row],[Дата поступления]]-Таблица1[[#This Row],[Дата рождения]]</f>
        <v>1317</v>
      </c>
    </row>
    <row r="304" spans="22:23" ht="24.95" customHeight="1" x14ac:dyDescent="0.25">
      <c r="V304" s="2">
        <f>Таблица1[[#This Row],[Дата перевода]]-Таблица1[[#This Row],[Дата поступления]]</f>
        <v>24</v>
      </c>
      <c r="W304" s="2">
        <f>Таблица1[[#This Row],[Дата поступления]]-Таблица1[[#This Row],[Дата рождения]]</f>
        <v>98</v>
      </c>
    </row>
    <row r="305" spans="22:23" ht="24.95" customHeight="1" x14ac:dyDescent="0.25">
      <c r="V305" s="2">
        <f>Таблица1[[#This Row],[Дата перевода]]-Таблица1[[#This Row],[Дата поступления]]</f>
        <v>1</v>
      </c>
      <c r="W305" s="2">
        <f>Таблица1[[#This Row],[Дата поступления]]-Таблица1[[#This Row],[Дата рождения]]</f>
        <v>288</v>
      </c>
    </row>
    <row r="306" spans="22:23" ht="24.95" customHeight="1" x14ac:dyDescent="0.25">
      <c r="V306" s="2">
        <f>Таблица1[[#This Row],[Дата перевода]]-Таблица1[[#This Row],[Дата поступления]]</f>
        <v>0</v>
      </c>
      <c r="W306" s="2">
        <f>Таблица1[[#This Row],[Дата поступления]]-Таблица1[[#This Row],[Дата рождения]]</f>
        <v>1497</v>
      </c>
    </row>
    <row r="307" spans="22:23" ht="24.95" customHeight="1" x14ac:dyDescent="0.25">
      <c r="V307" s="2">
        <f>Таблица1[[#This Row],[Дата перевода]]-Таблица1[[#This Row],[Дата поступления]]</f>
        <v>2</v>
      </c>
      <c r="W307" s="2">
        <f>Таблица1[[#This Row],[Дата поступления]]-Таблица1[[#This Row],[Дата рождения]]</f>
        <v>1743</v>
      </c>
    </row>
    <row r="308" spans="22:23" ht="24.95" customHeight="1" x14ac:dyDescent="0.25">
      <c r="V308" s="2">
        <f>Таблица1[[#This Row],[Дата перевода]]-Таблица1[[#This Row],[Дата поступления]]</f>
        <v>6</v>
      </c>
      <c r="W308" s="2">
        <f>Таблица1[[#This Row],[Дата поступления]]-Таблица1[[#This Row],[Дата рождения]]</f>
        <v>5714</v>
      </c>
    </row>
    <row r="309" spans="22:23" ht="24.95" customHeight="1" x14ac:dyDescent="0.25">
      <c r="V309" s="2">
        <f>Таблица1[[#This Row],[Дата перевода]]-Таблица1[[#This Row],[Дата поступления]]</f>
        <v>3</v>
      </c>
      <c r="W309" s="2">
        <f>Таблица1[[#This Row],[Дата поступления]]-Таблица1[[#This Row],[Дата рождения]]</f>
        <v>814</v>
      </c>
    </row>
    <row r="310" spans="22:23" ht="24.95" customHeight="1" x14ac:dyDescent="0.25">
      <c r="V310" s="2">
        <f>Таблица1[[#This Row],[Дата перевода]]-Таблица1[[#This Row],[Дата поступления]]</f>
        <v>1</v>
      </c>
      <c r="W310" s="2">
        <f>Таблица1[[#This Row],[Дата поступления]]-Таблица1[[#This Row],[Дата рождения]]</f>
        <v>5884</v>
      </c>
    </row>
    <row r="311" spans="22:23" ht="24.95" customHeight="1" x14ac:dyDescent="0.25">
      <c r="V311" s="2">
        <f>Таблица1[[#This Row],[Дата перевода]]-Таблица1[[#This Row],[Дата поступления]]</f>
        <v>1</v>
      </c>
      <c r="W311" s="2">
        <f>Таблица1[[#This Row],[Дата поступления]]-Таблица1[[#This Row],[Дата рождения]]</f>
        <v>1619</v>
      </c>
    </row>
    <row r="312" spans="22:23" ht="24.95" customHeight="1" x14ac:dyDescent="0.25">
      <c r="V312" s="2">
        <f>Таблица1[[#This Row],[Дата перевода]]-Таблица1[[#This Row],[Дата поступления]]</f>
        <v>3</v>
      </c>
      <c r="W312" s="2">
        <f>Таблица1[[#This Row],[Дата поступления]]-Таблица1[[#This Row],[Дата рождения]]</f>
        <v>5858</v>
      </c>
    </row>
    <row r="313" spans="22:23" ht="24.95" customHeight="1" x14ac:dyDescent="0.25">
      <c r="V313" s="2">
        <f>Таблица1[[#This Row],[Дата перевода]]-Таблица1[[#This Row],[Дата поступления]]</f>
        <v>6</v>
      </c>
      <c r="W313" s="2">
        <f>Таблица1[[#This Row],[Дата поступления]]-Таблица1[[#This Row],[Дата рождения]]</f>
        <v>11</v>
      </c>
    </row>
    <row r="314" spans="22:23" ht="24.95" customHeight="1" x14ac:dyDescent="0.25">
      <c r="V314" s="2">
        <f>Таблица1[[#This Row],[Дата перевода]]-Таблица1[[#This Row],[Дата поступления]]</f>
        <v>0</v>
      </c>
      <c r="W314" s="2">
        <f>Таблица1[[#This Row],[Дата поступления]]-Таблица1[[#This Row],[Дата рождения]]</f>
        <v>5072</v>
      </c>
    </row>
    <row r="315" spans="22:23" ht="24.95" customHeight="1" x14ac:dyDescent="0.25">
      <c r="V315" s="2">
        <f>Таблица1[[#This Row],[Дата перевода]]-Таблица1[[#This Row],[Дата поступления]]</f>
        <v>2</v>
      </c>
      <c r="W315" s="2">
        <f>Таблица1[[#This Row],[Дата поступления]]-Таблица1[[#This Row],[Дата рождения]]</f>
        <v>3311</v>
      </c>
    </row>
    <row r="316" spans="22:23" ht="24.95" customHeight="1" x14ac:dyDescent="0.25">
      <c r="V316" s="2">
        <f>Таблица1[[#This Row],[Дата перевода]]-Таблица1[[#This Row],[Дата поступления]]</f>
        <v>1</v>
      </c>
      <c r="W316" s="2">
        <f>Таблица1[[#This Row],[Дата поступления]]-Таблица1[[#This Row],[Дата рождения]]</f>
        <v>3287</v>
      </c>
    </row>
    <row r="317" spans="22:23" ht="24.95" customHeight="1" x14ac:dyDescent="0.25">
      <c r="V317" s="2">
        <f>Таблица1[[#This Row],[Дата перевода]]-Таблица1[[#This Row],[Дата поступления]]</f>
        <v>29</v>
      </c>
      <c r="W317" s="2">
        <f>Таблица1[[#This Row],[Дата поступления]]-Таблица1[[#This Row],[Дата рождения]]</f>
        <v>1474</v>
      </c>
    </row>
    <row r="318" spans="22:23" ht="24.95" customHeight="1" x14ac:dyDescent="0.25">
      <c r="V318" s="2">
        <f>Таблица1[[#This Row],[Дата перевода]]-Таблица1[[#This Row],[Дата поступления]]</f>
        <v>1</v>
      </c>
      <c r="W318" s="2">
        <f>Таблица1[[#This Row],[Дата поступления]]-Таблица1[[#This Row],[Дата рождения]]</f>
        <v>2191</v>
      </c>
    </row>
    <row r="319" spans="22:23" ht="24.95" customHeight="1" x14ac:dyDescent="0.25">
      <c r="V319" s="2">
        <f>Таблица1[[#This Row],[Дата перевода]]-Таблица1[[#This Row],[Дата поступления]]</f>
        <v>0</v>
      </c>
      <c r="W319" s="2">
        <f>Таблица1[[#This Row],[Дата поступления]]-Таблица1[[#This Row],[Дата рождения]]</f>
        <v>2191</v>
      </c>
    </row>
    <row r="320" spans="22:23" ht="24.95" customHeight="1" x14ac:dyDescent="0.25">
      <c r="V320" s="2">
        <f>Таблица1[[#This Row],[Дата перевода]]-Таблица1[[#This Row],[Дата поступления]]</f>
        <v>4</v>
      </c>
      <c r="W320" s="2">
        <f>Таблица1[[#This Row],[Дата поступления]]-Таблица1[[#This Row],[Дата рождения]]</f>
        <v>1299</v>
      </c>
    </row>
    <row r="321" spans="22:23" ht="24.95" customHeight="1" x14ac:dyDescent="0.25">
      <c r="V321" s="2">
        <f>Таблица1[[#This Row],[Дата перевода]]-Таблица1[[#This Row],[Дата поступления]]</f>
        <v>9</v>
      </c>
      <c r="W321" s="2">
        <f>Таблица1[[#This Row],[Дата поступления]]-Таблица1[[#This Row],[Дата рождения]]</f>
        <v>2128</v>
      </c>
    </row>
    <row r="322" spans="22:23" ht="24.95" customHeight="1" x14ac:dyDescent="0.25">
      <c r="V322" s="2">
        <f>Таблица1[[#This Row],[Дата перевода]]-Таблица1[[#This Row],[Дата поступления]]</f>
        <v>2</v>
      </c>
      <c r="W322" s="2">
        <f>Таблица1[[#This Row],[Дата поступления]]-Таблица1[[#This Row],[Дата рождения]]</f>
        <v>1391</v>
      </c>
    </row>
    <row r="323" spans="22:23" ht="24.95" customHeight="1" x14ac:dyDescent="0.25">
      <c r="V323" s="2">
        <f>Таблица1[[#This Row],[Дата перевода]]-Таблица1[[#This Row],[Дата поступления]]</f>
        <v>1</v>
      </c>
      <c r="W323" s="2">
        <f>Таблица1[[#This Row],[Дата поступления]]-Таблица1[[#This Row],[Дата рождения]]</f>
        <v>5034</v>
      </c>
    </row>
    <row r="324" spans="22:23" ht="24.95" customHeight="1" x14ac:dyDescent="0.25">
      <c r="V324" s="2">
        <f>Таблица1[[#This Row],[Дата перевода]]-Таблица1[[#This Row],[Дата поступления]]</f>
        <v>0</v>
      </c>
      <c r="W324" s="2">
        <f>Таблица1[[#This Row],[Дата поступления]]-Таблица1[[#This Row],[Дата рождения]]</f>
        <v>1102</v>
      </c>
    </row>
    <row r="325" spans="22:23" ht="24.95" customHeight="1" x14ac:dyDescent="0.25">
      <c r="V325" s="2">
        <f>Таблица1[[#This Row],[Дата перевода]]-Таблица1[[#This Row],[Дата поступления]]</f>
        <v>0</v>
      </c>
      <c r="W325" s="2">
        <f>Таблица1[[#This Row],[Дата поступления]]-Таблица1[[#This Row],[Дата рождения]]</f>
        <v>4847</v>
      </c>
    </row>
    <row r="326" spans="22:23" ht="24.95" customHeight="1" x14ac:dyDescent="0.25">
      <c r="V326" s="2">
        <f>Таблица1[[#This Row],[Дата перевода]]-Таблица1[[#This Row],[Дата поступления]]</f>
        <v>2</v>
      </c>
      <c r="W326" s="2">
        <f>Таблица1[[#This Row],[Дата поступления]]-Таблица1[[#This Row],[Дата рождения]]</f>
        <v>6081</v>
      </c>
    </row>
    <row r="327" spans="22:23" ht="24.95" customHeight="1" x14ac:dyDescent="0.25">
      <c r="V327" s="2">
        <f>Таблица1[[#This Row],[Дата перевода]]-Таблица1[[#This Row],[Дата поступления]]</f>
        <v>5</v>
      </c>
      <c r="W327" s="2">
        <f>Таблица1[[#This Row],[Дата поступления]]-Таблица1[[#This Row],[Дата рождения]]</f>
        <v>1</v>
      </c>
    </row>
    <row r="328" spans="22:23" ht="24.95" customHeight="1" x14ac:dyDescent="0.25">
      <c r="V328" s="2">
        <f>Таблица1[[#This Row],[Дата перевода]]-Таблица1[[#This Row],[Дата поступления]]</f>
        <v>2</v>
      </c>
      <c r="W328" s="2">
        <f>Таблица1[[#This Row],[Дата поступления]]-Таблица1[[#This Row],[Дата рождения]]</f>
        <v>3161</v>
      </c>
    </row>
    <row r="329" spans="22:23" ht="24.95" customHeight="1" x14ac:dyDescent="0.25">
      <c r="V329" s="2">
        <f>Таблица1[[#This Row],[Дата перевода]]-Таблица1[[#This Row],[Дата поступления]]</f>
        <v>3</v>
      </c>
      <c r="W329" s="2">
        <f>Таблица1[[#This Row],[Дата поступления]]-Таблица1[[#This Row],[Дата рождения]]</f>
        <v>6046</v>
      </c>
    </row>
    <row r="330" spans="22:23" ht="24.95" customHeight="1" x14ac:dyDescent="0.25">
      <c r="V330" s="2">
        <f>Таблица1[[#This Row],[Дата перевода]]-Таблица1[[#This Row],[Дата поступления]]</f>
        <v>4</v>
      </c>
      <c r="W330" s="2">
        <f>Таблица1[[#This Row],[Дата поступления]]-Таблица1[[#This Row],[Дата рождения]]</f>
        <v>5468</v>
      </c>
    </row>
    <row r="331" spans="22:23" ht="24.95" customHeight="1" x14ac:dyDescent="0.25">
      <c r="V331" s="2">
        <f>Таблица1[[#This Row],[Дата перевода]]-Таблица1[[#This Row],[Дата поступления]]</f>
        <v>3</v>
      </c>
      <c r="W331" s="2">
        <f>Таблица1[[#This Row],[Дата поступления]]-Таблица1[[#This Row],[Дата рождения]]</f>
        <v>5420</v>
      </c>
    </row>
    <row r="332" spans="22:23" ht="24.95" customHeight="1" x14ac:dyDescent="0.25">
      <c r="V332" s="2">
        <f>Таблица1[[#This Row],[Дата перевода]]-Таблица1[[#This Row],[Дата поступления]]</f>
        <v>1</v>
      </c>
      <c r="W332" s="2">
        <f>Таблица1[[#This Row],[Дата поступления]]-Таблица1[[#This Row],[Дата рождения]]</f>
        <v>5678</v>
      </c>
    </row>
    <row r="333" spans="22:23" ht="24.95" customHeight="1" x14ac:dyDescent="0.25">
      <c r="V333" s="2">
        <f>Таблица1[[#This Row],[Дата перевода]]-Таблица1[[#This Row],[Дата поступления]]</f>
        <v>3</v>
      </c>
      <c r="W333" s="2">
        <f>Таблица1[[#This Row],[Дата поступления]]-Таблица1[[#This Row],[Дата рождения]]</f>
        <v>1201</v>
      </c>
    </row>
    <row r="334" spans="22:23" ht="24.95" customHeight="1" x14ac:dyDescent="0.25">
      <c r="V334" s="2">
        <f>Таблица1[[#This Row],[Дата перевода]]-Таблица1[[#This Row],[Дата поступления]]</f>
        <v>1</v>
      </c>
      <c r="W334" s="2">
        <f>Таблица1[[#This Row],[Дата поступления]]-Таблица1[[#This Row],[Дата рождения]]</f>
        <v>5005</v>
      </c>
    </row>
    <row r="335" spans="22:23" ht="24.95" customHeight="1" x14ac:dyDescent="0.25">
      <c r="V335" s="2">
        <f>Таблица1[[#This Row],[Дата перевода]]-Таблица1[[#This Row],[Дата поступления]]</f>
        <v>2</v>
      </c>
      <c r="W335" s="2">
        <f>Таблица1[[#This Row],[Дата поступления]]-Таблица1[[#This Row],[Дата рождения]]</f>
        <v>6135</v>
      </c>
    </row>
    <row r="336" spans="22:23" ht="24.95" customHeight="1" x14ac:dyDescent="0.25">
      <c r="V336" s="2">
        <f>Таблица1[[#This Row],[Дата перевода]]-Таблица1[[#This Row],[Дата поступления]]</f>
        <v>10</v>
      </c>
      <c r="W336" s="2">
        <f>Таблица1[[#This Row],[Дата поступления]]-Таблица1[[#This Row],[Дата рождения]]</f>
        <v>29</v>
      </c>
    </row>
    <row r="337" spans="22:23" ht="24.95" customHeight="1" x14ac:dyDescent="0.25">
      <c r="V337" s="2">
        <f>Таблица1[[#This Row],[Дата перевода]]-Таблица1[[#This Row],[Дата поступления]]</f>
        <v>9</v>
      </c>
      <c r="W337" s="2">
        <f>Таблица1[[#This Row],[Дата поступления]]-Таблица1[[#This Row],[Дата рождения]]</f>
        <v>2618</v>
      </c>
    </row>
    <row r="338" spans="22:23" ht="24.95" customHeight="1" x14ac:dyDescent="0.25">
      <c r="V338" s="2">
        <f>Таблица1[[#This Row],[Дата перевода]]-Таблица1[[#This Row],[Дата поступления]]</f>
        <v>1</v>
      </c>
      <c r="W338" s="2">
        <f>Таблица1[[#This Row],[Дата поступления]]-Таблица1[[#This Row],[Дата рождения]]</f>
        <v>5224</v>
      </c>
    </row>
    <row r="339" spans="22:23" ht="24.95" customHeight="1" x14ac:dyDescent="0.25">
      <c r="V339" s="2">
        <f>Таблица1[[#This Row],[Дата перевода]]-Таблица1[[#This Row],[Дата поступления]]</f>
        <v>2</v>
      </c>
      <c r="W339" s="2">
        <f>Таблица1[[#This Row],[Дата поступления]]-Таблица1[[#This Row],[Дата рождения]]</f>
        <v>1333</v>
      </c>
    </row>
    <row r="340" spans="22:23" ht="24.95" customHeight="1" x14ac:dyDescent="0.25">
      <c r="V340" s="2">
        <f>Таблица1[[#This Row],[Дата перевода]]-Таблица1[[#This Row],[Дата поступления]]</f>
        <v>1</v>
      </c>
      <c r="W340" s="2">
        <f>Таблица1[[#This Row],[Дата поступления]]-Таблица1[[#This Row],[Дата рождения]]</f>
        <v>1005</v>
      </c>
    </row>
    <row r="341" spans="22:23" ht="24.95" customHeight="1" x14ac:dyDescent="0.25">
      <c r="V341" s="2">
        <f>Таблица1[[#This Row],[Дата перевода]]-Таблица1[[#This Row],[Дата поступления]]</f>
        <v>1</v>
      </c>
      <c r="W341" s="2">
        <f>Таблица1[[#This Row],[Дата поступления]]-Таблица1[[#This Row],[Дата рождения]]</f>
        <v>417</v>
      </c>
    </row>
    <row r="342" spans="22:23" ht="24.95" customHeight="1" x14ac:dyDescent="0.25">
      <c r="V342" s="2">
        <f>Таблица1[[#This Row],[Дата перевода]]-Таблица1[[#This Row],[Дата поступления]]</f>
        <v>1</v>
      </c>
      <c r="W342" s="2">
        <f>Таблица1[[#This Row],[Дата поступления]]-Таблица1[[#This Row],[Дата рождения]]</f>
        <v>6287</v>
      </c>
    </row>
    <row r="343" spans="22:23" ht="24.95" customHeight="1" x14ac:dyDescent="0.25">
      <c r="V343" s="2">
        <f>Таблица1[[#This Row],[Дата перевода]]-Таблица1[[#This Row],[Дата поступления]]</f>
        <v>2</v>
      </c>
      <c r="W343" s="2">
        <f>Таблица1[[#This Row],[Дата поступления]]-Таблица1[[#This Row],[Дата рождения]]</f>
        <v>4977</v>
      </c>
    </row>
    <row r="344" spans="22:23" ht="24.95" customHeight="1" x14ac:dyDescent="0.25">
      <c r="V344" s="2">
        <f>Таблица1[[#This Row],[Дата перевода]]-Таблица1[[#This Row],[Дата поступления]]</f>
        <v>0</v>
      </c>
      <c r="W344" s="2">
        <f>Таблица1[[#This Row],[Дата поступления]]-Таблица1[[#This Row],[Дата рождения]]</f>
        <v>855</v>
      </c>
    </row>
    <row r="345" spans="22:23" ht="24.95" customHeight="1" x14ac:dyDescent="0.25">
      <c r="V345" s="2">
        <f>Таблица1[[#This Row],[Дата перевода]]-Таблица1[[#This Row],[Дата поступления]]</f>
        <v>1</v>
      </c>
      <c r="W345" s="2">
        <f>Таблица1[[#This Row],[Дата поступления]]-Таблица1[[#This Row],[Дата рождения]]</f>
        <v>5227</v>
      </c>
    </row>
    <row r="346" spans="22:23" ht="24.95" customHeight="1" x14ac:dyDescent="0.25">
      <c r="V346" s="2">
        <f>Таблица1[[#This Row],[Дата перевода]]-Таблица1[[#This Row],[Дата поступления]]</f>
        <v>1</v>
      </c>
      <c r="W346" s="2">
        <f>Таблица1[[#This Row],[Дата поступления]]-Таблица1[[#This Row],[Дата рождения]]</f>
        <v>126</v>
      </c>
    </row>
    <row r="347" spans="22:23" ht="24.95" customHeight="1" x14ac:dyDescent="0.25">
      <c r="V347" s="2">
        <f>Таблица1[[#This Row],[Дата перевода]]-Таблица1[[#This Row],[Дата поступления]]</f>
        <v>2</v>
      </c>
      <c r="W347" s="2">
        <f>Таблица1[[#This Row],[Дата поступления]]-Таблица1[[#This Row],[Дата рождения]]</f>
        <v>4423</v>
      </c>
    </row>
    <row r="348" spans="22:23" ht="24.95" customHeight="1" x14ac:dyDescent="0.25">
      <c r="V348" s="2">
        <f>Таблица1[[#This Row],[Дата перевода]]-Таблица1[[#This Row],[Дата поступления]]</f>
        <v>6</v>
      </c>
      <c r="W348" s="2">
        <f>Таблица1[[#This Row],[Дата поступления]]-Таблица1[[#This Row],[Дата рождения]]</f>
        <v>4668</v>
      </c>
    </row>
    <row r="349" spans="22:23" ht="24.95" customHeight="1" x14ac:dyDescent="0.25">
      <c r="V349" s="2">
        <f>Таблица1[[#This Row],[Дата перевода]]-Таблица1[[#This Row],[Дата поступления]]</f>
        <v>4</v>
      </c>
      <c r="W349" s="2">
        <f>Таблица1[[#This Row],[Дата поступления]]-Таблица1[[#This Row],[Дата рождения]]</f>
        <v>499</v>
      </c>
    </row>
    <row r="350" spans="22:23" ht="24.95" customHeight="1" x14ac:dyDescent="0.25">
      <c r="V350" s="2">
        <f>Таблица1[[#This Row],[Дата перевода]]-Таблица1[[#This Row],[Дата поступления]]</f>
        <v>1</v>
      </c>
      <c r="W350" s="2">
        <f>Таблица1[[#This Row],[Дата поступления]]-Таблица1[[#This Row],[Дата рождения]]</f>
        <v>2994</v>
      </c>
    </row>
    <row r="351" spans="22:23" ht="24.95" customHeight="1" x14ac:dyDescent="0.25">
      <c r="V351" s="2">
        <f>Таблица1[[#This Row],[Дата перевода]]-Таблица1[[#This Row],[Дата поступления]]</f>
        <v>12</v>
      </c>
      <c r="W351" s="2">
        <f>Таблица1[[#This Row],[Дата поступления]]-Таблица1[[#This Row],[Дата рождения]]</f>
        <v>2688</v>
      </c>
    </row>
    <row r="352" spans="22:23" ht="24.95" customHeight="1" x14ac:dyDescent="0.25">
      <c r="V352" s="2">
        <f>Таблица1[[#This Row],[Дата перевода]]-Таблица1[[#This Row],[Дата поступления]]</f>
        <v>2</v>
      </c>
      <c r="W352" s="2">
        <f>Таблица1[[#This Row],[Дата поступления]]-Таблица1[[#This Row],[Дата рождения]]</f>
        <v>4289</v>
      </c>
    </row>
    <row r="353" spans="22:23" ht="24.95" customHeight="1" x14ac:dyDescent="0.25">
      <c r="V353" s="2">
        <f>Таблица1[[#This Row],[Дата перевода]]-Таблица1[[#This Row],[Дата поступления]]</f>
        <v>2</v>
      </c>
      <c r="W353" s="2">
        <f>Таблица1[[#This Row],[Дата поступления]]-Таблица1[[#This Row],[Дата рождения]]</f>
        <v>3408</v>
      </c>
    </row>
    <row r="354" spans="22:23" ht="24.95" customHeight="1" x14ac:dyDescent="0.25">
      <c r="V354" s="2">
        <f>Таблица1[[#This Row],[Дата перевода]]-Таблица1[[#This Row],[Дата поступления]]</f>
        <v>29</v>
      </c>
      <c r="W354" s="2">
        <f>Таблица1[[#This Row],[Дата поступления]]-Таблица1[[#This Row],[Дата рождения]]</f>
        <v>40</v>
      </c>
    </row>
    <row r="355" spans="22:23" ht="24.95" customHeight="1" x14ac:dyDescent="0.25">
      <c r="V355" s="2">
        <f>Таблица1[[#This Row],[Дата перевода]]-Таблица1[[#This Row],[Дата поступления]]</f>
        <v>29</v>
      </c>
      <c r="W355" s="2">
        <f>Таблица1[[#This Row],[Дата поступления]]-Таблица1[[#This Row],[Дата рождения]]</f>
        <v>128</v>
      </c>
    </row>
    <row r="356" spans="22:23" ht="24.95" customHeight="1" x14ac:dyDescent="0.25">
      <c r="V356" s="2">
        <f>Таблица1[[#This Row],[Дата перевода]]-Таблица1[[#This Row],[Дата поступления]]</f>
        <v>2</v>
      </c>
      <c r="W356" s="2">
        <f>Таблица1[[#This Row],[Дата поступления]]-Таблица1[[#This Row],[Дата рождения]]</f>
        <v>3156</v>
      </c>
    </row>
    <row r="357" spans="22:23" ht="24.95" customHeight="1" x14ac:dyDescent="0.25">
      <c r="V357" s="2">
        <f>Таблица1[[#This Row],[Дата перевода]]-Таблица1[[#This Row],[Дата поступления]]</f>
        <v>6</v>
      </c>
      <c r="W357" s="2">
        <f>Таблица1[[#This Row],[Дата поступления]]-Таблица1[[#This Row],[Дата рождения]]</f>
        <v>7</v>
      </c>
    </row>
    <row r="358" spans="22:23" ht="24.95" customHeight="1" x14ac:dyDescent="0.25">
      <c r="V358" s="2">
        <f>Таблица1[[#This Row],[Дата перевода]]-Таблица1[[#This Row],[Дата поступления]]</f>
        <v>1</v>
      </c>
      <c r="W358" s="2">
        <f>Таблица1[[#This Row],[Дата поступления]]-Таблица1[[#This Row],[Дата рождения]]</f>
        <v>606</v>
      </c>
    </row>
    <row r="359" spans="22:23" ht="24.95" customHeight="1" x14ac:dyDescent="0.25">
      <c r="V359" s="2">
        <f>Таблица1[[#This Row],[Дата перевода]]-Таблица1[[#This Row],[Дата поступления]]</f>
        <v>1</v>
      </c>
      <c r="W359" s="2">
        <f>Таблица1[[#This Row],[Дата поступления]]-Таблица1[[#This Row],[Дата рождения]]</f>
        <v>6526</v>
      </c>
    </row>
    <row r="360" spans="22:23" ht="24.95" customHeight="1" x14ac:dyDescent="0.25">
      <c r="V360" s="2">
        <f>Таблица1[[#This Row],[Дата перевода]]-Таблица1[[#This Row],[Дата поступления]]</f>
        <v>6</v>
      </c>
      <c r="W360" s="2">
        <f>Таблица1[[#This Row],[Дата поступления]]-Таблица1[[#This Row],[Дата рождения]]</f>
        <v>651</v>
      </c>
    </row>
    <row r="361" spans="22:23" ht="24.95" customHeight="1" x14ac:dyDescent="0.25">
      <c r="V361" s="2">
        <f>Таблица1[[#This Row],[Дата перевода]]-Таблица1[[#This Row],[Дата поступления]]</f>
        <v>3</v>
      </c>
      <c r="W361" s="2">
        <f>Таблица1[[#This Row],[Дата поступления]]-Таблица1[[#This Row],[Дата рождения]]</f>
        <v>723</v>
      </c>
    </row>
    <row r="362" spans="22:23" ht="24.95" customHeight="1" x14ac:dyDescent="0.25">
      <c r="V362" s="2">
        <f>Таблица1[[#This Row],[Дата перевода]]-Таблица1[[#This Row],[Дата поступления]]</f>
        <v>9</v>
      </c>
      <c r="W362" s="2">
        <f>Таблица1[[#This Row],[Дата поступления]]-Таблица1[[#This Row],[Дата рождения]]</f>
        <v>1504</v>
      </c>
    </row>
    <row r="363" spans="22:23" ht="24.95" customHeight="1" x14ac:dyDescent="0.25">
      <c r="V363" s="2">
        <f>Таблица1[[#This Row],[Дата перевода]]-Таблица1[[#This Row],[Дата поступления]]</f>
        <v>1</v>
      </c>
      <c r="W363" s="2">
        <f>Таблица1[[#This Row],[Дата поступления]]-Таблица1[[#This Row],[Дата рождения]]</f>
        <v>325</v>
      </c>
    </row>
    <row r="364" spans="22:23" ht="24.95" customHeight="1" x14ac:dyDescent="0.25">
      <c r="V364" s="2">
        <f>Таблица1[[#This Row],[Дата перевода]]-Таблица1[[#This Row],[Дата поступления]]</f>
        <v>1</v>
      </c>
      <c r="W364" s="2">
        <f>Таблица1[[#This Row],[Дата поступления]]-Таблица1[[#This Row],[Дата рождения]]</f>
        <v>2518</v>
      </c>
    </row>
    <row r="365" spans="22:23" ht="24.95" customHeight="1" x14ac:dyDescent="0.25">
      <c r="V365" s="2">
        <f>Таблица1[[#This Row],[Дата перевода]]-Таблица1[[#This Row],[Дата поступления]]</f>
        <v>1</v>
      </c>
      <c r="W365" s="2">
        <f>Таблица1[[#This Row],[Дата поступления]]-Таблица1[[#This Row],[Дата рождения]]</f>
        <v>851</v>
      </c>
    </row>
    <row r="366" spans="22:23" ht="24.95" customHeight="1" x14ac:dyDescent="0.25">
      <c r="V366" s="2">
        <f>Таблица1[[#This Row],[Дата перевода]]-Таблица1[[#This Row],[Дата поступления]]</f>
        <v>7</v>
      </c>
      <c r="W366" s="2">
        <f>Таблица1[[#This Row],[Дата поступления]]-Таблица1[[#This Row],[Дата рождения]]</f>
        <v>4768</v>
      </c>
    </row>
    <row r="367" spans="22:23" ht="24.95" customHeight="1" x14ac:dyDescent="0.25">
      <c r="V367" s="2">
        <f>Таблица1[[#This Row],[Дата перевода]]-Таблица1[[#This Row],[Дата поступления]]</f>
        <v>8</v>
      </c>
      <c r="W367" s="2">
        <f>Таблица1[[#This Row],[Дата поступления]]-Таблица1[[#This Row],[Дата рождения]]</f>
        <v>2156</v>
      </c>
    </row>
    <row r="368" spans="22:23" ht="24.95" customHeight="1" x14ac:dyDescent="0.25">
      <c r="V368" s="2">
        <f>Таблица1[[#This Row],[Дата перевода]]-Таблица1[[#This Row],[Дата поступления]]</f>
        <v>1</v>
      </c>
      <c r="W368" s="2">
        <f>Таблица1[[#This Row],[Дата поступления]]-Таблица1[[#This Row],[Дата рождения]]</f>
        <v>5068</v>
      </c>
    </row>
    <row r="369" spans="22:23" ht="24.95" customHeight="1" x14ac:dyDescent="0.25">
      <c r="V369" s="2">
        <f>Таблица1[[#This Row],[Дата перевода]]-Таблица1[[#This Row],[Дата поступления]]</f>
        <v>1</v>
      </c>
      <c r="W369" s="2">
        <f>Таблица1[[#This Row],[Дата поступления]]-Таблица1[[#This Row],[Дата рождения]]</f>
        <v>4890</v>
      </c>
    </row>
    <row r="370" spans="22:23" ht="24.95" customHeight="1" x14ac:dyDescent="0.25">
      <c r="V370" s="2">
        <f>Таблица1[[#This Row],[Дата перевода]]-Таблица1[[#This Row],[Дата поступления]]</f>
        <v>1</v>
      </c>
      <c r="W370" s="2">
        <f>Таблица1[[#This Row],[Дата поступления]]-Таблица1[[#This Row],[Дата рождения]]</f>
        <v>650</v>
      </c>
    </row>
    <row r="371" spans="22:23" ht="24.95" customHeight="1" x14ac:dyDescent="0.25">
      <c r="V371" s="2">
        <f>Таблица1[[#This Row],[Дата перевода]]-Таблица1[[#This Row],[Дата поступления]]</f>
        <v>2</v>
      </c>
      <c r="W371" s="2">
        <f>Таблица1[[#This Row],[Дата поступления]]-Таблица1[[#This Row],[Дата рождения]]</f>
        <v>5753</v>
      </c>
    </row>
    <row r="372" spans="22:23" ht="24.95" customHeight="1" x14ac:dyDescent="0.25">
      <c r="V372" s="2">
        <f>Таблица1[[#This Row],[Дата перевода]]-Таблица1[[#This Row],[Дата поступления]]</f>
        <v>1</v>
      </c>
      <c r="W372" s="2">
        <f>Таблица1[[#This Row],[Дата поступления]]-Таблица1[[#This Row],[Дата рождения]]</f>
        <v>4542</v>
      </c>
    </row>
    <row r="373" spans="22:23" ht="24.95" customHeight="1" x14ac:dyDescent="0.25">
      <c r="V373" s="2">
        <f>Таблица1[[#This Row],[Дата перевода]]-Таблица1[[#This Row],[Дата поступления]]</f>
        <v>37</v>
      </c>
      <c r="W373" s="2">
        <f>Таблица1[[#This Row],[Дата поступления]]-Таблица1[[#This Row],[Дата рождения]]</f>
        <v>36</v>
      </c>
    </row>
    <row r="374" spans="22:23" ht="24.95" customHeight="1" x14ac:dyDescent="0.25">
      <c r="V374" s="2">
        <f>Таблица1[[#This Row],[Дата перевода]]-Таблица1[[#This Row],[Дата поступления]]</f>
        <v>1</v>
      </c>
      <c r="W374" s="2">
        <f>Таблица1[[#This Row],[Дата поступления]]-Таблица1[[#This Row],[Дата рождения]]</f>
        <v>2039</v>
      </c>
    </row>
    <row r="375" spans="22:23" ht="24.95" customHeight="1" x14ac:dyDescent="0.25">
      <c r="V375" s="2">
        <f>Таблица1[[#This Row],[Дата перевода]]-Таблица1[[#This Row],[Дата поступления]]</f>
        <v>3</v>
      </c>
      <c r="W375" s="2">
        <f>Таблица1[[#This Row],[Дата поступления]]-Таблица1[[#This Row],[Дата рождения]]</f>
        <v>3629</v>
      </c>
    </row>
    <row r="376" spans="22:23" ht="24.95" customHeight="1" x14ac:dyDescent="0.25">
      <c r="V376" s="2">
        <f>Таблица1[[#This Row],[Дата перевода]]-Таблица1[[#This Row],[Дата поступления]]</f>
        <v>3</v>
      </c>
      <c r="W376" s="2">
        <f>Таблица1[[#This Row],[Дата поступления]]-Таблица1[[#This Row],[Дата рождения]]</f>
        <v>5822</v>
      </c>
    </row>
    <row r="377" spans="22:23" ht="24.95" customHeight="1" x14ac:dyDescent="0.25">
      <c r="V377" s="2">
        <f>Таблица1[[#This Row],[Дата перевода]]-Таблица1[[#This Row],[Дата поступления]]</f>
        <v>21</v>
      </c>
      <c r="W377" s="2">
        <f>Таблица1[[#This Row],[Дата поступления]]-Таблица1[[#This Row],[Дата рождения]]</f>
        <v>98</v>
      </c>
    </row>
    <row r="378" spans="22:23" ht="24.95" customHeight="1" x14ac:dyDescent="0.25">
      <c r="V378" s="2">
        <f>Таблица1[[#This Row],[Дата перевода]]-Таблица1[[#This Row],[Дата поступления]]</f>
        <v>2</v>
      </c>
      <c r="W378" s="2">
        <f>Таблица1[[#This Row],[Дата поступления]]-Таблица1[[#This Row],[Дата рождения]]</f>
        <v>5947</v>
      </c>
    </row>
    <row r="379" spans="22:23" ht="24.95" customHeight="1" x14ac:dyDescent="0.25">
      <c r="V379" s="2">
        <f>Таблица1[[#This Row],[Дата перевода]]-Таблица1[[#This Row],[Дата поступления]]</f>
        <v>1</v>
      </c>
      <c r="W379" s="2">
        <f>Таблица1[[#This Row],[Дата поступления]]-Таблица1[[#This Row],[Дата рождения]]</f>
        <v>3549</v>
      </c>
    </row>
    <row r="380" spans="22:23" ht="24.95" customHeight="1" x14ac:dyDescent="0.25">
      <c r="V380" s="2">
        <f>Таблица1[[#This Row],[Дата перевода]]-Таблица1[[#This Row],[Дата поступления]]</f>
        <v>1</v>
      </c>
      <c r="W380" s="2">
        <f>Таблица1[[#This Row],[Дата поступления]]-Таблица1[[#This Row],[Дата рождения]]</f>
        <v>4974</v>
      </c>
    </row>
    <row r="381" spans="22:23" ht="24.95" customHeight="1" x14ac:dyDescent="0.25">
      <c r="V381" s="2">
        <f>Таблица1[[#This Row],[Дата перевода]]-Таблица1[[#This Row],[Дата поступления]]</f>
        <v>0</v>
      </c>
      <c r="W381" s="2">
        <f>Таблица1[[#This Row],[Дата поступления]]-Таблица1[[#This Row],[Дата рождения]]</f>
        <v>37</v>
      </c>
    </row>
    <row r="382" spans="22:23" ht="24.95" customHeight="1" x14ac:dyDescent="0.25">
      <c r="V382" s="2">
        <f>Таблица1[[#This Row],[Дата перевода]]-Таблица1[[#This Row],[Дата поступления]]</f>
        <v>4</v>
      </c>
      <c r="W382" s="2">
        <f>Таблица1[[#This Row],[Дата поступления]]-Таблица1[[#This Row],[Дата рождения]]</f>
        <v>3482</v>
      </c>
    </row>
    <row r="383" spans="22:23" ht="24.95" customHeight="1" x14ac:dyDescent="0.25">
      <c r="V383" s="2">
        <f>Таблица1[[#This Row],[Дата перевода]]-Таблица1[[#This Row],[Дата поступления]]</f>
        <v>1</v>
      </c>
      <c r="W383" s="2">
        <f>Таблица1[[#This Row],[Дата поступления]]-Таблица1[[#This Row],[Дата рождения]]</f>
        <v>4367</v>
      </c>
    </row>
    <row r="384" spans="22:23" ht="24.95" customHeight="1" x14ac:dyDescent="0.25">
      <c r="V384" s="2">
        <f>Таблица1[[#This Row],[Дата перевода]]-Таблица1[[#This Row],[Дата поступления]]</f>
        <v>3</v>
      </c>
      <c r="W384" s="2">
        <f>Таблица1[[#This Row],[Дата поступления]]-Таблица1[[#This Row],[Дата рождения]]</f>
        <v>1730</v>
      </c>
    </row>
    <row r="385" spans="22:23" ht="24.95" customHeight="1" x14ac:dyDescent="0.25">
      <c r="V385" s="2">
        <f>Таблица1[[#This Row],[Дата перевода]]-Таблица1[[#This Row],[Дата поступления]]</f>
        <v>1</v>
      </c>
      <c r="W385" s="2">
        <f>Таблица1[[#This Row],[Дата поступления]]-Таблица1[[#This Row],[Дата рождения]]</f>
        <v>2529</v>
      </c>
    </row>
    <row r="386" spans="22:23" ht="24.95" customHeight="1" x14ac:dyDescent="0.25">
      <c r="V386" s="2">
        <f>Таблица1[[#This Row],[Дата перевода]]-Таблица1[[#This Row],[Дата поступления]]</f>
        <v>1</v>
      </c>
      <c r="W386" s="2">
        <f>Таблица1[[#This Row],[Дата поступления]]-Таблица1[[#This Row],[Дата рождения]]</f>
        <v>4848</v>
      </c>
    </row>
    <row r="387" spans="22:23" ht="24.95" customHeight="1" x14ac:dyDescent="0.25">
      <c r="V387" s="2">
        <f>Таблица1[[#This Row],[Дата перевода]]-Таблица1[[#This Row],[Дата поступления]]</f>
        <v>0</v>
      </c>
      <c r="W387" s="2">
        <f>Таблица1[[#This Row],[Дата поступления]]-Таблица1[[#This Row],[Дата рождения]]</f>
        <v>5776</v>
      </c>
    </row>
    <row r="388" spans="22:23" ht="24.95" customHeight="1" x14ac:dyDescent="0.25">
      <c r="V388" s="2">
        <f>Таблица1[[#This Row],[Дата перевода]]-Таблица1[[#This Row],[Дата поступления]]</f>
        <v>1</v>
      </c>
      <c r="W388" s="2">
        <f>Таблица1[[#This Row],[Дата поступления]]-Таблица1[[#This Row],[Дата рождения]]</f>
        <v>599</v>
      </c>
    </row>
    <row r="389" spans="22:23" ht="24.95" customHeight="1" x14ac:dyDescent="0.25">
      <c r="V389" s="2">
        <f>Таблица1[[#This Row],[Дата перевода]]-Таблица1[[#This Row],[Дата поступления]]</f>
        <v>1</v>
      </c>
      <c r="W389" s="2">
        <f>Таблица1[[#This Row],[Дата поступления]]-Таблица1[[#This Row],[Дата рождения]]</f>
        <v>5437</v>
      </c>
    </row>
    <row r="390" spans="22:23" ht="24.95" customHeight="1" x14ac:dyDescent="0.25">
      <c r="V390" s="2">
        <f>Таблица1[[#This Row],[Дата перевода]]-Таблица1[[#This Row],[Дата поступления]]</f>
        <v>0</v>
      </c>
      <c r="W390" s="2">
        <f>Таблица1[[#This Row],[Дата поступления]]-Таблица1[[#This Row],[Дата рождения]]</f>
        <v>67</v>
      </c>
    </row>
    <row r="391" spans="22:23" ht="24.95" customHeight="1" x14ac:dyDescent="0.25">
      <c r="V391" s="2">
        <f>Таблица1[[#This Row],[Дата перевода]]-Таблица1[[#This Row],[Дата поступления]]</f>
        <v>0</v>
      </c>
      <c r="W391" s="2">
        <f>Таблица1[[#This Row],[Дата поступления]]-Таблица1[[#This Row],[Дата рождения]]</f>
        <v>685</v>
      </c>
    </row>
    <row r="392" spans="22:23" ht="24.95" customHeight="1" x14ac:dyDescent="0.25">
      <c r="V392" s="2">
        <f>Таблица1[[#This Row],[Дата перевода]]-Таблица1[[#This Row],[Дата поступления]]</f>
        <v>0</v>
      </c>
      <c r="W392" s="2">
        <f>Таблица1[[#This Row],[Дата поступления]]-Таблица1[[#This Row],[Дата рождения]]</f>
        <v>5866</v>
      </c>
    </row>
    <row r="393" spans="22:23" ht="24.95" customHeight="1" x14ac:dyDescent="0.25">
      <c r="V393" s="2">
        <f>Таблица1[[#This Row],[Дата перевода]]-Таблица1[[#This Row],[Дата поступления]]</f>
        <v>1</v>
      </c>
      <c r="W393" s="2">
        <f>Таблица1[[#This Row],[Дата поступления]]-Таблица1[[#This Row],[Дата рождения]]</f>
        <v>5647</v>
      </c>
    </row>
    <row r="394" spans="22:23" ht="24.95" customHeight="1" x14ac:dyDescent="0.25">
      <c r="V394" s="2">
        <f>Таблица1[[#This Row],[Дата перевода]]-Таблица1[[#This Row],[Дата поступления]]</f>
        <v>2</v>
      </c>
      <c r="W394" s="2">
        <f>Таблица1[[#This Row],[Дата поступления]]-Таблица1[[#This Row],[Дата рождения]]</f>
        <v>3689</v>
      </c>
    </row>
    <row r="395" spans="22:23" ht="24.95" customHeight="1" x14ac:dyDescent="0.25">
      <c r="V395" s="2">
        <f>Таблица1[[#This Row],[Дата перевода]]-Таблица1[[#This Row],[Дата поступления]]</f>
        <v>29</v>
      </c>
      <c r="W395" s="2">
        <f>Таблица1[[#This Row],[Дата поступления]]-Таблица1[[#This Row],[Дата рождения]]</f>
        <v>158</v>
      </c>
    </row>
    <row r="396" spans="22:23" ht="24.95" customHeight="1" x14ac:dyDescent="0.25">
      <c r="V396" s="2">
        <f>Таблица1[[#This Row],[Дата перевода]]-Таблица1[[#This Row],[Дата поступления]]</f>
        <v>1</v>
      </c>
      <c r="W396" s="2">
        <f>Таблица1[[#This Row],[Дата поступления]]-Таблица1[[#This Row],[Дата рождения]]</f>
        <v>5747</v>
      </c>
    </row>
    <row r="397" spans="22:23" ht="24.95" customHeight="1" x14ac:dyDescent="0.25">
      <c r="V397" s="2">
        <f>Таблица1[[#This Row],[Дата перевода]]-Таблица1[[#This Row],[Дата поступления]]</f>
        <v>4</v>
      </c>
      <c r="W397" s="2">
        <f>Таблица1[[#This Row],[Дата поступления]]-Таблица1[[#This Row],[Дата рождения]]</f>
        <v>5451</v>
      </c>
    </row>
    <row r="398" spans="22:23" ht="24.95" customHeight="1" x14ac:dyDescent="0.25">
      <c r="V398" s="2">
        <f>Таблица1[[#This Row],[Дата перевода]]-Таблица1[[#This Row],[Дата поступления]]</f>
        <v>29</v>
      </c>
      <c r="W398" s="2">
        <f>Таблица1[[#This Row],[Дата поступления]]-Таблица1[[#This Row],[Дата рождения]]</f>
        <v>70</v>
      </c>
    </row>
    <row r="399" spans="22:23" ht="24.95" customHeight="1" x14ac:dyDescent="0.25">
      <c r="V399" s="2">
        <f>Таблица1[[#This Row],[Дата перевода]]-Таблица1[[#This Row],[Дата поступления]]</f>
        <v>2</v>
      </c>
      <c r="W399" s="2">
        <f>Таблица1[[#This Row],[Дата поступления]]-Таблица1[[#This Row],[Дата рождения]]</f>
        <v>416</v>
      </c>
    </row>
    <row r="400" spans="22:23" ht="24.95" customHeight="1" x14ac:dyDescent="0.25">
      <c r="V400" s="2">
        <f>Таблица1[[#This Row],[Дата перевода]]-Таблица1[[#This Row],[Дата поступления]]</f>
        <v>1</v>
      </c>
      <c r="W400" s="2">
        <f>Таблица1[[#This Row],[Дата поступления]]-Таблица1[[#This Row],[Дата рождения]]</f>
        <v>1655</v>
      </c>
    </row>
    <row r="401" spans="22:23" ht="24.95" customHeight="1" x14ac:dyDescent="0.25">
      <c r="V401" s="2">
        <f>Таблица1[[#This Row],[Дата перевода]]-Таблица1[[#This Row],[Дата поступления]]</f>
        <v>16</v>
      </c>
      <c r="W401" s="2">
        <f>Таблица1[[#This Row],[Дата поступления]]-Таблица1[[#This Row],[Дата рождения]]</f>
        <v>1464</v>
      </c>
    </row>
    <row r="402" spans="22:23" ht="24.95" customHeight="1" x14ac:dyDescent="0.25">
      <c r="V402" s="2">
        <f>Таблица1[[#This Row],[Дата перевода]]-Таблица1[[#This Row],[Дата поступления]]</f>
        <v>7</v>
      </c>
      <c r="W402" s="2">
        <f>Таблица1[[#This Row],[Дата поступления]]-Таблица1[[#This Row],[Дата рождения]]</f>
        <v>461</v>
      </c>
    </row>
    <row r="403" spans="22:23" ht="24.95" customHeight="1" x14ac:dyDescent="0.25">
      <c r="V403" s="2">
        <f>Таблица1[[#This Row],[Дата перевода]]-Таблица1[[#This Row],[Дата поступления]]</f>
        <v>1</v>
      </c>
      <c r="W403" s="2">
        <f>Таблица1[[#This Row],[Дата поступления]]-Таблица1[[#This Row],[Дата рождения]]</f>
        <v>2618</v>
      </c>
    </row>
    <row r="404" spans="22:23" ht="24.95" customHeight="1" x14ac:dyDescent="0.25">
      <c r="V404" s="2">
        <f>Таблица1[[#This Row],[Дата перевода]]-Таблица1[[#This Row],[Дата поступления]]</f>
        <v>0</v>
      </c>
      <c r="W404" s="2">
        <f>Таблица1[[#This Row],[Дата поступления]]-Таблица1[[#This Row],[Дата рождения]]</f>
        <v>2507</v>
      </c>
    </row>
    <row r="405" spans="22:23" ht="24.95" customHeight="1" x14ac:dyDescent="0.25">
      <c r="V405" s="2">
        <f>Таблица1[[#This Row],[Дата перевода]]-Таблица1[[#This Row],[Дата поступления]]</f>
        <v>1</v>
      </c>
      <c r="W405" s="2">
        <f>Таблица1[[#This Row],[Дата поступления]]-Таблица1[[#This Row],[Дата рождения]]</f>
        <v>3605</v>
      </c>
    </row>
    <row r="406" spans="22:23" ht="24.95" customHeight="1" x14ac:dyDescent="0.25">
      <c r="V406" s="2">
        <f>Таблица1[[#This Row],[Дата перевода]]-Таблица1[[#This Row],[Дата поступления]]</f>
        <v>1</v>
      </c>
      <c r="W406" s="2">
        <f>Таблица1[[#This Row],[Дата поступления]]-Таблица1[[#This Row],[Дата рождения]]</f>
        <v>2538</v>
      </c>
    </row>
    <row r="407" spans="22:23" ht="24.95" customHeight="1" x14ac:dyDescent="0.25">
      <c r="V407" s="2">
        <f>Таблица1[[#This Row],[Дата перевода]]-Таблица1[[#This Row],[Дата поступления]]</f>
        <v>1</v>
      </c>
      <c r="W407" s="2">
        <f>Таблица1[[#This Row],[Дата поступления]]-Таблица1[[#This Row],[Дата рождения]]</f>
        <v>29</v>
      </c>
    </row>
    <row r="408" spans="22:23" ht="24.95" customHeight="1" x14ac:dyDescent="0.25">
      <c r="V408" s="2">
        <f>Таблица1[[#This Row],[Дата перевода]]-Таблица1[[#This Row],[Дата поступления]]</f>
        <v>1</v>
      </c>
      <c r="W408" s="2">
        <f>Таблица1[[#This Row],[Дата поступления]]-Таблица1[[#This Row],[Дата рождения]]</f>
        <v>2556</v>
      </c>
    </row>
    <row r="409" spans="22:23" ht="24.95" customHeight="1" x14ac:dyDescent="0.25">
      <c r="V409" s="2">
        <f>Таблица1[[#This Row],[Дата перевода]]-Таблица1[[#This Row],[Дата поступления]]</f>
        <v>1</v>
      </c>
      <c r="W409" s="2">
        <f>Таблица1[[#This Row],[Дата поступления]]-Таблица1[[#This Row],[Дата рождения]]</f>
        <v>50</v>
      </c>
    </row>
    <row r="410" spans="22:23" ht="24.95" customHeight="1" x14ac:dyDescent="0.25">
      <c r="V410" s="2">
        <f>Таблица1[[#This Row],[Дата перевода]]-Таблица1[[#This Row],[Дата поступления]]</f>
        <v>5</v>
      </c>
      <c r="W410" s="2">
        <f>Таблица1[[#This Row],[Дата поступления]]-Таблица1[[#This Row],[Дата рождения]]</f>
        <v>5810</v>
      </c>
    </row>
    <row r="411" spans="22:23" ht="24.95" customHeight="1" x14ac:dyDescent="0.25">
      <c r="V411" s="2">
        <f>Таблица1[[#This Row],[Дата перевода]]-Таблица1[[#This Row],[Дата поступления]]</f>
        <v>1</v>
      </c>
      <c r="W411" s="2">
        <f>Таблица1[[#This Row],[Дата поступления]]-Таблица1[[#This Row],[Дата рождения]]</f>
        <v>4961</v>
      </c>
    </row>
    <row r="412" spans="22:23" ht="24.95" customHeight="1" x14ac:dyDescent="0.25">
      <c r="V412" s="2">
        <f>Таблица1[[#This Row],[Дата перевода]]-Таблица1[[#This Row],[Дата поступления]]</f>
        <v>1</v>
      </c>
      <c r="W412" s="2">
        <f>Таблица1[[#This Row],[Дата поступления]]-Таблица1[[#This Row],[Дата рождения]]</f>
        <v>6265</v>
      </c>
    </row>
    <row r="413" spans="22:23" ht="24.95" customHeight="1" x14ac:dyDescent="0.25">
      <c r="V413" s="2">
        <f>Таблица1[[#This Row],[Дата перевода]]-Таблица1[[#This Row],[Дата поступления]]</f>
        <v>3</v>
      </c>
      <c r="W413" s="2">
        <f>Таблица1[[#This Row],[Дата поступления]]-Таблица1[[#This Row],[Дата рождения]]</f>
        <v>717</v>
      </c>
    </row>
    <row r="414" spans="22:23" ht="24.95" customHeight="1" x14ac:dyDescent="0.25">
      <c r="V414" s="2">
        <f>Таблица1[[#This Row],[Дата перевода]]-Таблица1[[#This Row],[Дата поступления]]</f>
        <v>0</v>
      </c>
      <c r="W414" s="2">
        <f>Таблица1[[#This Row],[Дата поступления]]-Таблица1[[#This Row],[Дата рождения]]</f>
        <v>2846</v>
      </c>
    </row>
    <row r="415" spans="22:23" ht="24.95" customHeight="1" x14ac:dyDescent="0.25">
      <c r="V415" s="2">
        <f>Таблица1[[#This Row],[Дата перевода]]-Таблица1[[#This Row],[Дата поступления]]</f>
        <v>1</v>
      </c>
      <c r="W415" s="2">
        <f>Таблица1[[#This Row],[Дата поступления]]-Таблица1[[#This Row],[Дата рождения]]</f>
        <v>4746</v>
      </c>
    </row>
    <row r="416" spans="22:23" ht="24.95" customHeight="1" x14ac:dyDescent="0.25">
      <c r="V416" s="2">
        <f>Таблица1[[#This Row],[Дата перевода]]-Таблица1[[#This Row],[Дата поступления]]</f>
        <v>1</v>
      </c>
      <c r="W416" s="2">
        <f>Таблица1[[#This Row],[Дата поступления]]-Таблица1[[#This Row],[Дата рождения]]</f>
        <v>773</v>
      </c>
    </row>
    <row r="417" spans="22:23" ht="24.95" customHeight="1" x14ac:dyDescent="0.25">
      <c r="V417" s="2">
        <f>Таблица1[[#This Row],[Дата перевода]]-Таблица1[[#This Row],[Дата поступления]]</f>
        <v>15</v>
      </c>
      <c r="W417" s="2">
        <f>Таблица1[[#This Row],[Дата поступления]]-Таблица1[[#This Row],[Дата рождения]]</f>
        <v>482</v>
      </c>
    </row>
    <row r="418" spans="22:23" ht="24.95" customHeight="1" x14ac:dyDescent="0.25">
      <c r="V418" s="2">
        <f>Таблица1[[#This Row],[Дата перевода]]-Таблица1[[#This Row],[Дата поступления]]</f>
        <v>1</v>
      </c>
      <c r="W418" s="2">
        <f>Таблица1[[#This Row],[Дата поступления]]-Таблица1[[#This Row],[Дата рождения]]</f>
        <v>2392</v>
      </c>
    </row>
    <row r="419" spans="22:23" ht="24.95" customHeight="1" x14ac:dyDescent="0.25">
      <c r="V419" s="2">
        <f>Таблица1[[#This Row],[Дата перевода]]-Таблица1[[#This Row],[Дата поступления]]</f>
        <v>1</v>
      </c>
      <c r="W419" s="2">
        <f>Таблица1[[#This Row],[Дата поступления]]-Таблица1[[#This Row],[Дата рождения]]</f>
        <v>1628</v>
      </c>
    </row>
    <row r="420" spans="22:23" ht="24.95" customHeight="1" x14ac:dyDescent="0.25">
      <c r="V420" s="2">
        <f>Таблица1[[#This Row],[Дата перевода]]-Таблица1[[#This Row],[Дата поступления]]</f>
        <v>2</v>
      </c>
      <c r="W420" s="2">
        <f>Таблица1[[#This Row],[Дата поступления]]-Таблица1[[#This Row],[Дата рождения]]</f>
        <v>5236</v>
      </c>
    </row>
    <row r="421" spans="22:23" ht="24.95" customHeight="1" x14ac:dyDescent="0.25">
      <c r="V421" s="2">
        <f>Таблица1[[#This Row],[Дата перевода]]-Таблица1[[#This Row],[Дата поступления]]</f>
        <v>4</v>
      </c>
      <c r="W421" s="2">
        <f>Таблица1[[#This Row],[Дата поступления]]-Таблица1[[#This Row],[Дата рождения]]</f>
        <v>6298</v>
      </c>
    </row>
    <row r="422" spans="22:23" ht="24.95" customHeight="1" x14ac:dyDescent="0.25">
      <c r="V422" s="2">
        <f>Таблица1[[#This Row],[Дата перевода]]-Таблица1[[#This Row],[Дата поступления]]</f>
        <v>2</v>
      </c>
      <c r="W422" s="2">
        <f>Таблица1[[#This Row],[Дата поступления]]-Таблица1[[#This Row],[Дата рождения]]</f>
        <v>6077</v>
      </c>
    </row>
    <row r="423" spans="22:23" ht="24.95" customHeight="1" x14ac:dyDescent="0.25">
      <c r="V423" s="2">
        <f>Таблица1[[#This Row],[Дата перевода]]-Таблица1[[#This Row],[Дата поступления]]</f>
        <v>1</v>
      </c>
      <c r="W423" s="2">
        <f>Таблица1[[#This Row],[Дата поступления]]-Таблица1[[#This Row],[Дата рождения]]</f>
        <v>6379</v>
      </c>
    </row>
    <row r="424" spans="22:23" ht="24.95" customHeight="1" x14ac:dyDescent="0.25">
      <c r="V424" s="2">
        <f>Таблица1[[#This Row],[Дата перевода]]-Таблица1[[#This Row],[Дата поступления]]</f>
        <v>4</v>
      </c>
      <c r="W424" s="2">
        <f>Таблица1[[#This Row],[Дата поступления]]-Таблица1[[#This Row],[Дата рождения]]</f>
        <v>5076</v>
      </c>
    </row>
    <row r="425" spans="22:23" ht="24.95" customHeight="1" x14ac:dyDescent="0.25">
      <c r="V425" s="2">
        <f>Таблица1[[#This Row],[Дата перевода]]-Таблица1[[#This Row],[Дата поступления]]</f>
        <v>1</v>
      </c>
      <c r="W425" s="2">
        <f>Таблица1[[#This Row],[Дата поступления]]-Таблица1[[#This Row],[Дата рождения]]</f>
        <v>6304</v>
      </c>
    </row>
    <row r="426" spans="22:23" ht="24.95" customHeight="1" x14ac:dyDescent="0.25">
      <c r="V426" s="2">
        <f>Таблица1[[#This Row],[Дата перевода]]-Таблица1[[#This Row],[Дата поступления]]</f>
        <v>1</v>
      </c>
      <c r="W426" s="2">
        <f>Таблица1[[#This Row],[Дата поступления]]-Таблица1[[#This Row],[Дата рождения]]</f>
        <v>5116</v>
      </c>
    </row>
    <row r="427" spans="22:23" ht="24.95" customHeight="1" x14ac:dyDescent="0.25">
      <c r="V427" s="2">
        <f>Таблица1[[#This Row],[Дата перевода]]-Таблица1[[#This Row],[Дата поступления]]</f>
        <v>1</v>
      </c>
      <c r="W427" s="2">
        <f>Таблица1[[#This Row],[Дата поступления]]-Таблица1[[#This Row],[Дата рождения]]</f>
        <v>4345</v>
      </c>
    </row>
    <row r="428" spans="22:23" ht="24.95" customHeight="1" x14ac:dyDescent="0.25">
      <c r="V428" s="2">
        <f>Таблица1[[#This Row],[Дата перевода]]-Таблица1[[#This Row],[Дата поступления]]</f>
        <v>3</v>
      </c>
      <c r="W428" s="2">
        <f>Таблица1[[#This Row],[Дата поступления]]-Таблица1[[#This Row],[Дата рождения]]</f>
        <v>2027</v>
      </c>
    </row>
    <row r="429" spans="22:23" ht="24.95" customHeight="1" x14ac:dyDescent="0.25">
      <c r="V429" s="2">
        <f>Таблица1[[#This Row],[Дата перевода]]-Таблица1[[#This Row],[Дата поступления]]</f>
        <v>2</v>
      </c>
      <c r="W429" s="2">
        <f>Таблица1[[#This Row],[Дата поступления]]-Таблица1[[#This Row],[Дата рождения]]</f>
        <v>3541</v>
      </c>
    </row>
    <row r="430" spans="22:23" ht="24.95" customHeight="1" x14ac:dyDescent="0.25">
      <c r="V430" s="2">
        <f>Таблица1[[#This Row],[Дата перевода]]-Таблица1[[#This Row],[Дата поступления]]</f>
        <v>2</v>
      </c>
      <c r="W430" s="2">
        <f>Таблица1[[#This Row],[Дата поступления]]-Таблица1[[#This Row],[Дата рождения]]</f>
        <v>3245</v>
      </c>
    </row>
    <row r="431" spans="22:23" ht="24.95" customHeight="1" x14ac:dyDescent="0.25">
      <c r="V431" s="2">
        <f>Таблица1[[#This Row],[Дата перевода]]-Таблица1[[#This Row],[Дата поступления]]</f>
        <v>1</v>
      </c>
      <c r="W431" s="2">
        <f>Таблица1[[#This Row],[Дата поступления]]-Таблица1[[#This Row],[Дата рождения]]</f>
        <v>41</v>
      </c>
    </row>
    <row r="432" spans="22:23" ht="24.95" customHeight="1" x14ac:dyDescent="0.25">
      <c r="V432" s="2">
        <f>Таблица1[[#This Row],[Дата перевода]]-Таблица1[[#This Row],[Дата поступления]]</f>
        <v>1</v>
      </c>
      <c r="W432" s="2">
        <f>Таблица1[[#This Row],[Дата поступления]]-Таблица1[[#This Row],[Дата рождения]]</f>
        <v>6258</v>
      </c>
    </row>
    <row r="433" spans="22:23" ht="24.95" customHeight="1" x14ac:dyDescent="0.25">
      <c r="V433" s="2">
        <f>Таблица1[[#This Row],[Дата перевода]]-Таблица1[[#This Row],[Дата поступления]]</f>
        <v>0</v>
      </c>
      <c r="W433" s="2">
        <f>Таблица1[[#This Row],[Дата поступления]]-Таблица1[[#This Row],[Дата рождения]]</f>
        <v>79</v>
      </c>
    </row>
    <row r="434" spans="22:23" ht="24.95" customHeight="1" x14ac:dyDescent="0.25">
      <c r="V434" s="2">
        <f>Таблица1[[#This Row],[Дата перевода]]-Таблица1[[#This Row],[Дата поступления]]</f>
        <v>0</v>
      </c>
      <c r="W434" s="2">
        <f>Таблица1[[#This Row],[Дата поступления]]-Таблица1[[#This Row],[Дата рождения]]</f>
        <v>1482</v>
      </c>
    </row>
    <row r="435" spans="22:23" ht="24.95" customHeight="1" x14ac:dyDescent="0.25">
      <c r="V435" s="2">
        <f>Таблица1[[#This Row],[Дата перевода]]-Таблица1[[#This Row],[Дата поступления]]</f>
        <v>0</v>
      </c>
      <c r="W435" s="2">
        <f>Таблица1[[#This Row],[Дата поступления]]-Таблица1[[#This Row],[Дата рождения]]</f>
        <v>729</v>
      </c>
    </row>
    <row r="436" spans="22:23" ht="24.95" customHeight="1" x14ac:dyDescent="0.25">
      <c r="V436" s="2">
        <f>Таблица1[[#This Row],[Дата перевода]]-Таблица1[[#This Row],[Дата поступления]]</f>
        <v>8</v>
      </c>
      <c r="W436" s="2">
        <f>Таблица1[[#This Row],[Дата поступления]]-Таблица1[[#This Row],[Дата рождения]]</f>
        <v>260</v>
      </c>
    </row>
    <row r="437" spans="22:23" ht="24.95" customHeight="1" x14ac:dyDescent="0.25">
      <c r="V437" s="2">
        <f>Таблица1[[#This Row],[Дата перевода]]-Таблица1[[#This Row],[Дата поступления]]</f>
        <v>5</v>
      </c>
      <c r="W437" s="2">
        <f>Таблица1[[#This Row],[Дата поступления]]-Таблица1[[#This Row],[Дата рождения]]</f>
        <v>73</v>
      </c>
    </row>
    <row r="438" spans="22:23" ht="24.95" customHeight="1" x14ac:dyDescent="0.25">
      <c r="V438" s="2">
        <f>Таблица1[[#This Row],[Дата перевода]]-Таблица1[[#This Row],[Дата поступления]]</f>
        <v>1</v>
      </c>
      <c r="W438" s="2">
        <f>Таблица1[[#This Row],[Дата поступления]]-Таблица1[[#This Row],[Дата рождения]]</f>
        <v>5837</v>
      </c>
    </row>
    <row r="439" spans="22:23" ht="24.95" customHeight="1" x14ac:dyDescent="0.25">
      <c r="V439" s="2">
        <f>Таблица1[[#This Row],[Дата перевода]]-Таблица1[[#This Row],[Дата поступления]]</f>
        <v>4</v>
      </c>
      <c r="W439" s="2">
        <f>Таблица1[[#This Row],[Дата поступления]]-Таблица1[[#This Row],[Дата рождения]]</f>
        <v>1145</v>
      </c>
    </row>
    <row r="440" spans="22:23" ht="24.95" customHeight="1" x14ac:dyDescent="0.25">
      <c r="V440" s="2">
        <f>Таблица1[[#This Row],[Дата перевода]]-Таблица1[[#This Row],[Дата поступления]]</f>
        <v>19</v>
      </c>
      <c r="W440" s="2">
        <f>Таблица1[[#This Row],[Дата поступления]]-Таблица1[[#This Row],[Дата рождения]]</f>
        <v>2477</v>
      </c>
    </row>
    <row r="441" spans="22:23" ht="24.95" customHeight="1" x14ac:dyDescent="0.25">
      <c r="V441" s="2">
        <f>Таблица1[[#This Row],[Дата перевода]]-Таблица1[[#This Row],[Дата поступления]]</f>
        <v>1</v>
      </c>
      <c r="W441" s="2">
        <f>Таблица1[[#This Row],[Дата поступления]]-Таблица1[[#This Row],[Дата рождения]]</f>
        <v>5931</v>
      </c>
    </row>
    <row r="442" spans="22:23" ht="24.95" customHeight="1" x14ac:dyDescent="0.25">
      <c r="V442" s="2">
        <f>Таблица1[[#This Row],[Дата перевода]]-Таблица1[[#This Row],[Дата поступления]]</f>
        <v>1</v>
      </c>
      <c r="W442" s="2">
        <f>Таблица1[[#This Row],[Дата поступления]]-Таблица1[[#This Row],[Дата рождения]]</f>
        <v>5088</v>
      </c>
    </row>
    <row r="443" spans="22:23" ht="24.95" customHeight="1" x14ac:dyDescent="0.25">
      <c r="V443" s="2">
        <f>Таблица1[[#This Row],[Дата перевода]]-Таблица1[[#This Row],[Дата поступления]]</f>
        <v>0</v>
      </c>
      <c r="W443" s="2">
        <f>Таблица1[[#This Row],[Дата поступления]]-Таблица1[[#This Row],[Дата рождения]]</f>
        <v>3273</v>
      </c>
    </row>
    <row r="444" spans="22:23" ht="24.95" customHeight="1" x14ac:dyDescent="0.25">
      <c r="V444" s="2">
        <f>Таблица1[[#This Row],[Дата перевода]]-Таблица1[[#This Row],[Дата поступления]]</f>
        <v>3</v>
      </c>
      <c r="W444" s="2">
        <f>Таблица1[[#This Row],[Дата поступления]]-Таблица1[[#This Row],[Дата рождения]]</f>
        <v>3</v>
      </c>
    </row>
    <row r="445" spans="22:23" ht="24.95" customHeight="1" x14ac:dyDescent="0.25">
      <c r="V445" s="2">
        <f>Таблица1[[#This Row],[Дата перевода]]-Таблица1[[#This Row],[Дата поступления]]</f>
        <v>3</v>
      </c>
      <c r="W445" s="2">
        <f>Таблица1[[#This Row],[Дата поступления]]-Таблица1[[#This Row],[Дата рождения]]</f>
        <v>1120</v>
      </c>
    </row>
    <row r="446" spans="22:23" ht="24.95" customHeight="1" x14ac:dyDescent="0.25">
      <c r="V446" s="2">
        <f>Таблица1[[#This Row],[Дата перевода]]-Таблица1[[#This Row],[Дата поступления]]</f>
        <v>1</v>
      </c>
      <c r="W446" s="2">
        <f>Таблица1[[#This Row],[Дата поступления]]-Таблица1[[#This Row],[Дата рождения]]</f>
        <v>3818</v>
      </c>
    </row>
    <row r="447" spans="22:23" ht="24.95" customHeight="1" x14ac:dyDescent="0.25">
      <c r="V447" s="2">
        <f>Таблица1[[#This Row],[Дата перевода]]-Таблица1[[#This Row],[Дата поступления]]</f>
        <v>1</v>
      </c>
      <c r="W447" s="2">
        <f>Таблица1[[#This Row],[Дата поступления]]-Таблица1[[#This Row],[Дата рождения]]</f>
        <v>140</v>
      </c>
    </row>
    <row r="448" spans="22:23" ht="24.95" customHeight="1" x14ac:dyDescent="0.25">
      <c r="V448" s="2">
        <f>Таблица1[[#This Row],[Дата перевода]]-Таблица1[[#This Row],[Дата поступления]]</f>
        <v>29</v>
      </c>
      <c r="W448" s="2">
        <f>Таблица1[[#This Row],[Дата поступления]]-Таблица1[[#This Row],[Дата рождения]]</f>
        <v>188</v>
      </c>
    </row>
    <row r="449" spans="22:23" ht="24.95" customHeight="1" x14ac:dyDescent="0.25">
      <c r="V449" s="2">
        <f>Таблица1[[#This Row],[Дата перевода]]-Таблица1[[#This Row],[Дата поступления]]</f>
        <v>29</v>
      </c>
      <c r="W449" s="2">
        <f>Таблица1[[#This Row],[Дата поступления]]-Таблица1[[#This Row],[Дата рождения]]</f>
        <v>100</v>
      </c>
    </row>
    <row r="450" spans="22:23" ht="24.95" customHeight="1" x14ac:dyDescent="0.25">
      <c r="V450" s="2">
        <f>Таблица1[[#This Row],[Дата перевода]]-Таблица1[[#This Row],[Дата поступления]]</f>
        <v>5</v>
      </c>
      <c r="W450" s="2">
        <f>Таблица1[[#This Row],[Дата поступления]]-Таблица1[[#This Row],[Дата рождения]]</f>
        <v>4188</v>
      </c>
    </row>
    <row r="451" spans="22:23" ht="24.95" customHeight="1" x14ac:dyDescent="0.25">
      <c r="V451" s="2">
        <f>Таблица1[[#This Row],[Дата перевода]]-Таблица1[[#This Row],[Дата поступления]]</f>
        <v>2</v>
      </c>
      <c r="W451" s="2">
        <f>Таблица1[[#This Row],[Дата поступления]]-Таблица1[[#This Row],[Дата рождения]]</f>
        <v>5228</v>
      </c>
    </row>
    <row r="452" spans="22:23" ht="24.95" customHeight="1" x14ac:dyDescent="0.25">
      <c r="V452" s="2">
        <f>Таблица1[[#This Row],[Дата перевода]]-Таблица1[[#This Row],[Дата поступления]]</f>
        <v>3</v>
      </c>
      <c r="W452" s="2">
        <f>Таблица1[[#This Row],[Дата поступления]]-Таблица1[[#This Row],[Дата рождения]]</f>
        <v>1939</v>
      </c>
    </row>
    <row r="453" spans="22:23" ht="24.95" customHeight="1" x14ac:dyDescent="0.25">
      <c r="V453" s="2">
        <f>Таблица1[[#This Row],[Дата перевода]]-Таблица1[[#This Row],[Дата поступления]]</f>
        <v>4</v>
      </c>
      <c r="W453" s="2">
        <f>Таблица1[[#This Row],[Дата поступления]]-Таблица1[[#This Row],[Дата рождения]]</f>
        <v>6143</v>
      </c>
    </row>
    <row r="454" spans="22:23" ht="24.95" customHeight="1" x14ac:dyDescent="0.25">
      <c r="V454" s="2">
        <f>Таблица1[[#This Row],[Дата перевода]]-Таблица1[[#This Row],[Дата поступления]]</f>
        <v>1</v>
      </c>
      <c r="W454" s="2">
        <f>Таблица1[[#This Row],[Дата поступления]]-Таблица1[[#This Row],[Дата рождения]]</f>
        <v>1050</v>
      </c>
    </row>
    <row r="455" spans="22:23" ht="24.95" customHeight="1" x14ac:dyDescent="0.25">
      <c r="V455" s="2">
        <f>Таблица1[[#This Row],[Дата перевода]]-Таблица1[[#This Row],[Дата поступления]]</f>
        <v>12</v>
      </c>
      <c r="W455" s="2">
        <f>Таблица1[[#This Row],[Дата поступления]]-Таблица1[[#This Row],[Дата рождения]]</f>
        <v>6525</v>
      </c>
    </row>
    <row r="456" spans="22:23" ht="24.95" customHeight="1" x14ac:dyDescent="0.25">
      <c r="V456" s="2">
        <f>Таблица1[[#This Row],[Дата перевода]]-Таблица1[[#This Row],[Дата поступления]]</f>
        <v>4</v>
      </c>
      <c r="W456" s="2">
        <f>Таблица1[[#This Row],[Дата поступления]]-Таблица1[[#This Row],[Дата рождения]]</f>
        <v>4966</v>
      </c>
    </row>
    <row r="457" spans="22:23" ht="24.95" customHeight="1" x14ac:dyDescent="0.25">
      <c r="V457" s="2">
        <f>Таблица1[[#This Row],[Дата перевода]]-Таблица1[[#This Row],[Дата поступления]]</f>
        <v>0</v>
      </c>
      <c r="W457" s="2">
        <f>Таблица1[[#This Row],[Дата поступления]]-Таблица1[[#This Row],[Дата рождения]]</f>
        <v>6386</v>
      </c>
    </row>
    <row r="458" spans="22:23" ht="24.95" customHeight="1" x14ac:dyDescent="0.25">
      <c r="V458" s="2">
        <f>Таблица1[[#This Row],[Дата перевода]]-Таблица1[[#This Row],[Дата поступления]]</f>
        <v>4</v>
      </c>
      <c r="W458" s="2">
        <f>Таблица1[[#This Row],[Дата поступления]]-Таблица1[[#This Row],[Дата рождения]]</f>
        <v>5977</v>
      </c>
    </row>
    <row r="459" spans="22:23" ht="24.95" customHeight="1" x14ac:dyDescent="0.25">
      <c r="V459" s="2">
        <f>Таблица1[[#This Row],[Дата перевода]]-Таблица1[[#This Row],[Дата поступления]]</f>
        <v>3</v>
      </c>
      <c r="W459" s="2">
        <f>Таблица1[[#This Row],[Дата поступления]]-Таблица1[[#This Row],[Дата рождения]]</f>
        <v>3</v>
      </c>
    </row>
    <row r="460" spans="22:23" ht="24.95" customHeight="1" x14ac:dyDescent="0.25">
      <c r="V460" s="2">
        <f>Таблица1[[#This Row],[Дата перевода]]-Таблица1[[#This Row],[Дата поступления]]</f>
        <v>0</v>
      </c>
      <c r="W460" s="2">
        <f>Таблица1[[#This Row],[Дата поступления]]-Таблица1[[#This Row],[Дата рождения]]</f>
        <v>5537</v>
      </c>
    </row>
    <row r="461" spans="22:23" ht="24.95" customHeight="1" x14ac:dyDescent="0.25">
      <c r="V461" s="2">
        <f>Таблица1[[#This Row],[Дата перевода]]-Таблица1[[#This Row],[Дата поступления]]</f>
        <v>1</v>
      </c>
      <c r="W461" s="2">
        <f>Таблица1[[#This Row],[Дата поступления]]-Таблица1[[#This Row],[Дата рождения]]</f>
        <v>5538</v>
      </c>
    </row>
    <row r="462" spans="22:23" ht="24.95" customHeight="1" x14ac:dyDescent="0.25">
      <c r="V462" s="2">
        <f>Таблица1[[#This Row],[Дата перевода]]-Таблица1[[#This Row],[Дата поступления]]</f>
        <v>1</v>
      </c>
      <c r="W462" s="2">
        <f>Таблица1[[#This Row],[Дата поступления]]-Таблица1[[#This Row],[Дата рождения]]</f>
        <v>5873</v>
      </c>
    </row>
    <row r="463" spans="22:23" ht="24.95" customHeight="1" x14ac:dyDescent="0.25">
      <c r="V463" s="2">
        <f>Таблица1[[#This Row],[Дата перевода]]-Таблица1[[#This Row],[Дата поступления]]</f>
        <v>2</v>
      </c>
      <c r="W463" s="2">
        <f>Таблица1[[#This Row],[Дата поступления]]-Таблица1[[#This Row],[Дата рождения]]</f>
        <v>3018</v>
      </c>
    </row>
    <row r="464" spans="22:23" ht="24.95" customHeight="1" x14ac:dyDescent="0.25">
      <c r="V464" s="2">
        <f>Таблица1[[#This Row],[Дата перевода]]-Таблица1[[#This Row],[Дата поступления]]</f>
        <v>1</v>
      </c>
      <c r="W464" s="2">
        <f>Таблица1[[#This Row],[Дата поступления]]-Таблица1[[#This Row],[Дата рождения]]</f>
        <v>1408</v>
      </c>
    </row>
    <row r="465" spans="22:23" ht="24.95" customHeight="1" x14ac:dyDescent="0.25">
      <c r="V465" s="2">
        <f>Таблица1[[#This Row],[Дата перевода]]-Таблица1[[#This Row],[Дата поступления]]</f>
        <v>6</v>
      </c>
      <c r="W465" s="2">
        <f>Таблица1[[#This Row],[Дата поступления]]-Таблица1[[#This Row],[Дата рождения]]</f>
        <v>120</v>
      </c>
    </row>
    <row r="466" spans="22:23" ht="24.95" customHeight="1" x14ac:dyDescent="0.25">
      <c r="V466" s="2">
        <f>Таблица1[[#This Row],[Дата перевода]]-Таблица1[[#This Row],[Дата поступления]]</f>
        <v>1</v>
      </c>
      <c r="W466" s="2">
        <f>Таблица1[[#This Row],[Дата поступления]]-Таблица1[[#This Row],[Дата рождения]]</f>
        <v>4343</v>
      </c>
    </row>
    <row r="467" spans="22:23" ht="24.95" customHeight="1" x14ac:dyDescent="0.25">
      <c r="V467" s="2">
        <f>Таблица1[[#This Row],[Дата перевода]]-Таблица1[[#This Row],[Дата поступления]]</f>
        <v>1</v>
      </c>
      <c r="W467" s="2">
        <f>Таблица1[[#This Row],[Дата поступления]]-Таблица1[[#This Row],[Дата рождения]]</f>
        <v>4502</v>
      </c>
    </row>
    <row r="468" spans="22:23" ht="24.95" customHeight="1" x14ac:dyDescent="0.25">
      <c r="V468" s="2">
        <f>Таблица1[[#This Row],[Дата перевода]]-Таблица1[[#This Row],[Дата поступления]]</f>
        <v>1</v>
      </c>
      <c r="W468" s="2">
        <f>Таблица1[[#This Row],[Дата поступления]]-Таблица1[[#This Row],[Дата рождения]]</f>
        <v>5877</v>
      </c>
    </row>
    <row r="469" spans="22:23" ht="24.95" customHeight="1" x14ac:dyDescent="0.25">
      <c r="V469" s="2">
        <f>Таблица1[[#This Row],[Дата перевода]]-Таблица1[[#This Row],[Дата поступления]]</f>
        <v>1</v>
      </c>
      <c r="W469" s="2">
        <f>Таблица1[[#This Row],[Дата поступления]]-Таблица1[[#This Row],[Дата рождения]]</f>
        <v>6557</v>
      </c>
    </row>
    <row r="470" spans="22:23" ht="24.95" customHeight="1" x14ac:dyDescent="0.25">
      <c r="V470" s="2">
        <f>Таблица1[[#This Row],[Дата перевода]]-Таблица1[[#This Row],[Дата поступления]]</f>
        <v>1</v>
      </c>
      <c r="W470" s="2">
        <f>Таблица1[[#This Row],[Дата поступления]]-Таблица1[[#This Row],[Дата рождения]]</f>
        <v>144</v>
      </c>
    </row>
    <row r="471" spans="22:23" ht="24.95" customHeight="1" x14ac:dyDescent="0.25">
      <c r="V471" s="2">
        <f>Таблица1[[#This Row],[Дата перевода]]-Таблица1[[#This Row],[Дата поступления]]</f>
        <v>9</v>
      </c>
      <c r="W471" s="2">
        <f>Таблица1[[#This Row],[Дата поступления]]-Таблица1[[#This Row],[Дата рождения]]</f>
        <v>6</v>
      </c>
    </row>
    <row r="472" spans="22:23" ht="24.95" customHeight="1" x14ac:dyDescent="0.25">
      <c r="V472" s="2">
        <f>Таблица1[[#This Row],[Дата перевода]]-Таблица1[[#This Row],[Дата поступления]]</f>
        <v>2</v>
      </c>
      <c r="W472" s="2">
        <f>Таблица1[[#This Row],[Дата поступления]]-Таблица1[[#This Row],[Дата рождения]]</f>
        <v>6189</v>
      </c>
    </row>
    <row r="473" spans="22:23" ht="24.95" customHeight="1" x14ac:dyDescent="0.25">
      <c r="V473" s="2">
        <f>Таблица1[[#This Row],[Дата перевода]]-Таблица1[[#This Row],[Дата поступления]]</f>
        <v>1</v>
      </c>
      <c r="W473" s="2">
        <f>Таблица1[[#This Row],[Дата поступления]]-Таблица1[[#This Row],[Дата рождения]]</f>
        <v>554</v>
      </c>
    </row>
    <row r="474" spans="22:23" ht="24.95" customHeight="1" x14ac:dyDescent="0.25">
      <c r="V474" s="2">
        <f>Таблица1[[#This Row],[Дата перевода]]-Таблица1[[#This Row],[Дата поступления]]</f>
        <v>2</v>
      </c>
      <c r="W474" s="2">
        <f>Таблица1[[#This Row],[Дата поступления]]-Таблица1[[#This Row],[Дата рождения]]</f>
        <v>4633</v>
      </c>
    </row>
    <row r="475" spans="22:23" ht="24.95" customHeight="1" x14ac:dyDescent="0.25">
      <c r="V475" s="2">
        <f>Таблица1[[#This Row],[Дата перевода]]-Таблица1[[#This Row],[Дата поступления]]</f>
        <v>5</v>
      </c>
      <c r="W475" s="2">
        <f>Таблица1[[#This Row],[Дата поступления]]-Таблица1[[#This Row],[Дата рождения]]</f>
        <v>3644</v>
      </c>
    </row>
    <row r="476" spans="22:23" ht="24.95" customHeight="1" x14ac:dyDescent="0.25">
      <c r="V476" s="2">
        <f>Таблица1[[#This Row],[Дата перевода]]-Таблица1[[#This Row],[Дата поступления]]</f>
        <v>2</v>
      </c>
      <c r="W476" s="2">
        <f>Таблица1[[#This Row],[Дата поступления]]-Таблица1[[#This Row],[Дата рождения]]</f>
        <v>865</v>
      </c>
    </row>
    <row r="477" spans="22:23" ht="24.95" customHeight="1" x14ac:dyDescent="0.25">
      <c r="V477" s="2">
        <f>Таблица1[[#This Row],[Дата перевода]]-Таблица1[[#This Row],[Дата поступления]]</f>
        <v>1</v>
      </c>
      <c r="W477" s="2">
        <f>Таблица1[[#This Row],[Дата поступления]]-Таблица1[[#This Row],[Дата рождения]]</f>
        <v>5436</v>
      </c>
    </row>
    <row r="478" spans="22:23" ht="24.95" customHeight="1" x14ac:dyDescent="0.25">
      <c r="V478" s="2">
        <f>Таблица1[[#This Row],[Дата перевода]]-Таблица1[[#This Row],[Дата поступления]]</f>
        <v>1</v>
      </c>
      <c r="W478" s="2">
        <f>Таблица1[[#This Row],[Дата поступления]]-Таблица1[[#This Row],[Дата рождения]]</f>
        <v>5436</v>
      </c>
    </row>
    <row r="479" spans="22:23" ht="24.95" customHeight="1" x14ac:dyDescent="0.25">
      <c r="V479" s="2">
        <f>Таблица1[[#This Row],[Дата перевода]]-Таблица1[[#This Row],[Дата поступления]]</f>
        <v>4</v>
      </c>
      <c r="W479" s="2">
        <f>Таблица1[[#This Row],[Дата поступления]]-Таблица1[[#This Row],[Дата рождения]]</f>
        <v>5576</v>
      </c>
    </row>
    <row r="480" spans="22:23" ht="24.95" customHeight="1" x14ac:dyDescent="0.25">
      <c r="V480" s="2">
        <f>Таблица1[[#This Row],[Дата перевода]]-Таблица1[[#This Row],[Дата поступления]]</f>
        <v>0</v>
      </c>
      <c r="W480" s="2">
        <f>Таблица1[[#This Row],[Дата поступления]]-Таблица1[[#This Row],[Дата рождения]]</f>
        <v>5236</v>
      </c>
    </row>
    <row r="481" spans="22:23" ht="24.95" customHeight="1" x14ac:dyDescent="0.25">
      <c r="V481" s="2">
        <f>Таблица1[[#This Row],[Дата перевода]]-Таблица1[[#This Row],[Дата поступления]]</f>
        <v>2</v>
      </c>
      <c r="W481" s="2">
        <f>Таблица1[[#This Row],[Дата поступления]]-Таблица1[[#This Row],[Дата рождения]]</f>
        <v>4671</v>
      </c>
    </row>
    <row r="482" spans="22:23" ht="24.95" customHeight="1" x14ac:dyDescent="0.25">
      <c r="V482" s="2">
        <f>Таблица1[[#This Row],[Дата перевода]]-Таблица1[[#This Row],[Дата поступления]]</f>
        <v>6</v>
      </c>
      <c r="W482" s="2">
        <f>Таблица1[[#This Row],[Дата поступления]]-Таблица1[[#This Row],[Дата рождения]]</f>
        <v>42</v>
      </c>
    </row>
    <row r="483" spans="22:23" ht="24.95" customHeight="1" x14ac:dyDescent="0.25">
      <c r="V483" s="2">
        <f>Таблица1[[#This Row],[Дата перевода]]-Таблица1[[#This Row],[Дата поступления]]</f>
        <v>0</v>
      </c>
      <c r="W483" s="2">
        <f>Таблица1[[#This Row],[Дата поступления]]-Таблица1[[#This Row],[Дата рождения]]</f>
        <v>91</v>
      </c>
    </row>
    <row r="484" spans="22:23" ht="24.95" customHeight="1" x14ac:dyDescent="0.25">
      <c r="V484" s="2">
        <f>Таблица1[[#This Row],[Дата перевода]]-Таблица1[[#This Row],[Дата поступления]]</f>
        <v>3</v>
      </c>
      <c r="W484" s="2">
        <f>Таблица1[[#This Row],[Дата поступления]]-Таблица1[[#This Row],[Дата рождения]]</f>
        <v>5985</v>
      </c>
    </row>
    <row r="485" spans="22:23" ht="24.95" customHeight="1" x14ac:dyDescent="0.25">
      <c r="V485" s="2">
        <f>Таблица1[[#This Row],[Дата перевода]]-Таблица1[[#This Row],[Дата поступления]]</f>
        <v>1</v>
      </c>
      <c r="W485" s="2">
        <f>Таблица1[[#This Row],[Дата поступления]]-Таблица1[[#This Row],[Дата рождения]]</f>
        <v>5767</v>
      </c>
    </row>
    <row r="486" spans="22:23" ht="24.95" customHeight="1" x14ac:dyDescent="0.25">
      <c r="V486" s="2">
        <f>Таблица1[[#This Row],[Дата перевода]]-Таблица1[[#This Row],[Дата поступления]]</f>
        <v>1</v>
      </c>
      <c r="W486" s="2">
        <f>Таблица1[[#This Row],[Дата поступления]]-Таблица1[[#This Row],[Дата рождения]]</f>
        <v>6142</v>
      </c>
    </row>
    <row r="487" spans="22:23" ht="24.95" customHeight="1" x14ac:dyDescent="0.25">
      <c r="V487" s="2">
        <f>Таблица1[[#This Row],[Дата перевода]]-Таблица1[[#This Row],[Дата поступления]]</f>
        <v>1</v>
      </c>
      <c r="W487" s="2">
        <f>Таблица1[[#This Row],[Дата поступления]]-Таблица1[[#This Row],[Дата рождения]]</f>
        <v>5142</v>
      </c>
    </row>
    <row r="488" spans="22:23" ht="24.95" customHeight="1" x14ac:dyDescent="0.25">
      <c r="V488" s="2">
        <f>Таблица1[[#This Row],[Дата перевода]]-Таблица1[[#This Row],[Дата поступления]]</f>
        <v>0</v>
      </c>
      <c r="W488" s="2">
        <f>Таблица1[[#This Row],[Дата поступления]]-Таблица1[[#This Row],[Дата рождения]]</f>
        <v>6385</v>
      </c>
    </row>
    <row r="489" spans="22:23" ht="24.95" customHeight="1" x14ac:dyDescent="0.25">
      <c r="V489" s="2">
        <f>Таблица1[[#This Row],[Дата перевода]]-Таблица1[[#This Row],[Дата поступления]]</f>
        <v>2</v>
      </c>
      <c r="W489" s="2">
        <f>Таблица1[[#This Row],[Дата поступления]]-Таблица1[[#This Row],[Дата рождения]]</f>
        <v>5336</v>
      </c>
    </row>
    <row r="490" spans="22:23" ht="24.95" customHeight="1" x14ac:dyDescent="0.25">
      <c r="V490" s="2">
        <f>Таблица1[[#This Row],[Дата перевода]]-Таблица1[[#This Row],[Дата поступления]]</f>
        <v>2</v>
      </c>
      <c r="W490" s="2">
        <f>Таблица1[[#This Row],[Дата поступления]]-Таблица1[[#This Row],[Дата рождения]]</f>
        <v>4830</v>
      </c>
    </row>
    <row r="491" spans="22:23" ht="24.95" customHeight="1" x14ac:dyDescent="0.25">
      <c r="V491" s="2">
        <f>Таблица1[[#This Row],[Дата перевода]]-Таблица1[[#This Row],[Дата поступления]]</f>
        <v>1</v>
      </c>
      <c r="W491" s="2">
        <f>Таблица1[[#This Row],[Дата поступления]]-Таблица1[[#This Row],[Дата рождения]]</f>
        <v>5868</v>
      </c>
    </row>
    <row r="492" spans="22:23" ht="24.95" customHeight="1" x14ac:dyDescent="0.25">
      <c r="V492" s="2">
        <f>Таблица1[[#This Row],[Дата перевода]]-Таблица1[[#This Row],[Дата поступления]]</f>
        <v>4</v>
      </c>
      <c r="W492" s="2">
        <f>Таблица1[[#This Row],[Дата поступления]]-Таблица1[[#This Row],[Дата рождения]]</f>
        <v>4541</v>
      </c>
    </row>
    <row r="493" spans="22:23" ht="24.95" customHeight="1" x14ac:dyDescent="0.25">
      <c r="V493" s="2">
        <f>Таблица1[[#This Row],[Дата перевода]]-Таблица1[[#This Row],[Дата поступления]]</f>
        <v>5</v>
      </c>
      <c r="W493" s="2">
        <f>Таблица1[[#This Row],[Дата поступления]]-Таблица1[[#This Row],[Дата рождения]]</f>
        <v>3545</v>
      </c>
    </row>
    <row r="494" spans="22:23" ht="24.95" customHeight="1" x14ac:dyDescent="0.25">
      <c r="V494" s="2">
        <f>Таблица1[[#This Row],[Дата перевода]]-Таблица1[[#This Row],[Дата поступления]]</f>
        <v>6</v>
      </c>
      <c r="W494" s="2">
        <f>Таблица1[[#This Row],[Дата поступления]]-Таблица1[[#This Row],[Дата рождения]]</f>
        <v>41</v>
      </c>
    </row>
    <row r="495" spans="22:23" ht="24.95" customHeight="1" x14ac:dyDescent="0.25">
      <c r="V495" s="2">
        <f>Таблица1[[#This Row],[Дата перевода]]-Таблица1[[#This Row],[Дата поступления]]</f>
        <v>3</v>
      </c>
      <c r="W495" s="2">
        <f>Таблица1[[#This Row],[Дата поступления]]-Таблица1[[#This Row],[Дата рождения]]</f>
        <v>359</v>
      </c>
    </row>
    <row r="496" spans="22:23" ht="24.95" customHeight="1" x14ac:dyDescent="0.25">
      <c r="V496" s="2">
        <f>Таблица1[[#This Row],[Дата перевода]]-Таблица1[[#This Row],[Дата поступления]]</f>
        <v>29</v>
      </c>
      <c r="W496" s="2">
        <f>Таблица1[[#This Row],[Дата поступления]]-Таблица1[[#This Row],[Дата рождения]]</f>
        <v>218</v>
      </c>
    </row>
    <row r="497" spans="22:23" ht="24.95" customHeight="1" x14ac:dyDescent="0.25">
      <c r="V497" s="2">
        <f>Таблица1[[#This Row],[Дата перевода]]-Таблица1[[#This Row],[Дата поступления]]</f>
        <v>3</v>
      </c>
      <c r="W497" s="2">
        <f>Таблица1[[#This Row],[Дата поступления]]-Таблица1[[#This Row],[Дата рождения]]</f>
        <v>4900</v>
      </c>
    </row>
    <row r="498" spans="22:23" ht="24.95" customHeight="1" x14ac:dyDescent="0.25">
      <c r="V498" s="2">
        <f>Таблица1[[#This Row],[Дата перевода]]-Таблица1[[#This Row],[Дата поступления]]</f>
        <v>21</v>
      </c>
      <c r="W498" s="2">
        <f>Таблица1[[#This Row],[Дата поступления]]-Таблица1[[#This Row],[Дата рождения]]</f>
        <v>130</v>
      </c>
    </row>
    <row r="499" spans="22:23" ht="24.95" customHeight="1" x14ac:dyDescent="0.25">
      <c r="V499" s="2">
        <f>Таблица1[[#This Row],[Дата перевода]]-Таблица1[[#This Row],[Дата поступления]]</f>
        <v>1</v>
      </c>
      <c r="W499" s="2">
        <f>Таблица1[[#This Row],[Дата поступления]]-Таблица1[[#This Row],[Дата рождения]]</f>
        <v>851</v>
      </c>
    </row>
    <row r="500" spans="22:23" ht="24.95" customHeight="1" x14ac:dyDescent="0.25">
      <c r="V500" s="2">
        <f>Таблица1[[#This Row],[Дата перевода]]-Таблица1[[#This Row],[Дата поступления]]</f>
        <v>0</v>
      </c>
      <c r="W500" s="2">
        <f>Таблица1[[#This Row],[Дата поступления]]-Таблица1[[#This Row],[Дата рождения]]</f>
        <v>-32</v>
      </c>
    </row>
    <row r="501" spans="22:23" ht="24.95" customHeight="1" x14ac:dyDescent="0.25">
      <c r="V501" s="2">
        <f>Таблица1[[#This Row],[Дата перевода]]-Таблица1[[#This Row],[Дата поступления]]</f>
        <v>22</v>
      </c>
      <c r="W501" s="2">
        <f>Таблица1[[#This Row],[Дата поступления]]-Таблица1[[#This Row],[Дата рождения]]</f>
        <v>27</v>
      </c>
    </row>
    <row r="502" spans="22:23" ht="24.95" customHeight="1" x14ac:dyDescent="0.25">
      <c r="V502" s="2">
        <f>Таблица1[[#This Row],[Дата перевода]]-Таблица1[[#This Row],[Дата поступления]]</f>
        <v>1</v>
      </c>
      <c r="W502" s="2">
        <f>Таблица1[[#This Row],[Дата поступления]]-Таблица1[[#This Row],[Дата рождения]]</f>
        <v>5240</v>
      </c>
    </row>
    <row r="503" spans="22:23" ht="24.95" customHeight="1" x14ac:dyDescent="0.25">
      <c r="V503" s="2">
        <f>Таблица1[[#This Row],[Дата перевода]]-Таблица1[[#This Row],[Дата поступления]]</f>
        <v>3</v>
      </c>
      <c r="W503" s="2">
        <f>Таблица1[[#This Row],[Дата поступления]]-Таблица1[[#This Row],[Дата рождения]]</f>
        <v>4907</v>
      </c>
    </row>
    <row r="504" spans="22:23" ht="24.95" customHeight="1" x14ac:dyDescent="0.25">
      <c r="V504" s="2">
        <f>Таблица1[[#This Row],[Дата перевода]]-Таблица1[[#This Row],[Дата поступления]]</f>
        <v>5</v>
      </c>
      <c r="W504" s="2">
        <f>Таблица1[[#This Row],[Дата поступления]]-Таблица1[[#This Row],[Дата рождения]]</f>
        <v>5751</v>
      </c>
    </row>
    <row r="505" spans="22:23" ht="24.95" customHeight="1" x14ac:dyDescent="0.25">
      <c r="V505" s="2">
        <f>Таблица1[[#This Row],[Дата перевода]]-Таблица1[[#This Row],[Дата поступления]]</f>
        <v>1</v>
      </c>
      <c r="W505" s="2">
        <f>Таблица1[[#This Row],[Дата поступления]]-Таблица1[[#This Row],[Дата рождения]]</f>
        <v>5283</v>
      </c>
    </row>
    <row r="506" spans="22:23" ht="24.95" customHeight="1" x14ac:dyDescent="0.25">
      <c r="V506" s="2">
        <f>Таблица1[[#This Row],[Дата перевода]]-Таблица1[[#This Row],[Дата поступления]]</f>
        <v>1</v>
      </c>
      <c r="W506" s="2">
        <f>Таблица1[[#This Row],[Дата поступления]]-Таблица1[[#This Row],[Дата рождения]]</f>
        <v>4788</v>
      </c>
    </row>
    <row r="507" spans="22:23" ht="24.95" customHeight="1" x14ac:dyDescent="0.25">
      <c r="V507" s="2">
        <f>Таблица1[[#This Row],[Дата перевода]]-Таблица1[[#This Row],[Дата поступления]]</f>
        <v>0</v>
      </c>
      <c r="W507" s="2">
        <f>Таблица1[[#This Row],[Дата поступления]]-Таблица1[[#This Row],[Дата рождения]]</f>
        <v>1480</v>
      </c>
    </row>
    <row r="508" spans="22:23" ht="24.95" customHeight="1" x14ac:dyDescent="0.25">
      <c r="V508" s="2">
        <f>Таблица1[[#This Row],[Дата перевода]]-Таблица1[[#This Row],[Дата поступления]]</f>
        <v>29</v>
      </c>
      <c r="W508" s="2">
        <f>Таблица1[[#This Row],[Дата поступления]]-Таблица1[[#This Row],[Дата рождения]]</f>
        <v>4928</v>
      </c>
    </row>
    <row r="509" spans="22:23" ht="24.95" customHeight="1" x14ac:dyDescent="0.25">
      <c r="V509" s="2">
        <f>Таблица1[[#This Row],[Дата перевода]]-Таблица1[[#This Row],[Дата поступления]]</f>
        <v>1</v>
      </c>
      <c r="W509" s="2">
        <f>Таблица1[[#This Row],[Дата поступления]]-Таблица1[[#This Row],[Дата рождения]]</f>
        <v>4795</v>
      </c>
    </row>
    <row r="510" spans="22:23" ht="24.95" customHeight="1" x14ac:dyDescent="0.25">
      <c r="V510" s="2">
        <f>Таблица1[[#This Row],[Дата перевода]]-Таблица1[[#This Row],[Дата поступления]]</f>
        <v>1</v>
      </c>
      <c r="W510" s="2">
        <f>Таблица1[[#This Row],[Дата поступления]]-Таблица1[[#This Row],[Дата рождения]]</f>
        <v>2393</v>
      </c>
    </row>
    <row r="511" spans="22:23" ht="24.95" customHeight="1" x14ac:dyDescent="0.25">
      <c r="V511" s="2">
        <f>Таблица1[[#This Row],[Дата перевода]]-Таблица1[[#This Row],[Дата поступления]]</f>
        <v>1</v>
      </c>
      <c r="W511" s="2">
        <f>Таблица1[[#This Row],[Дата поступления]]-Таблица1[[#This Row],[Дата рождения]]</f>
        <v>5048</v>
      </c>
    </row>
    <row r="512" spans="22:23" ht="24.95" customHeight="1" x14ac:dyDescent="0.25">
      <c r="V512" s="2">
        <f>Таблица1[[#This Row],[Дата перевода]]-Таблица1[[#This Row],[Дата поступления]]</f>
        <v>1</v>
      </c>
      <c r="W512" s="2">
        <f>Таблица1[[#This Row],[Дата поступления]]-Таблица1[[#This Row],[Дата рождения]]</f>
        <v>3875</v>
      </c>
    </row>
    <row r="513" spans="22:23" ht="24.95" customHeight="1" x14ac:dyDescent="0.25">
      <c r="V513" s="2">
        <f>Таблица1[[#This Row],[Дата перевода]]-Таблица1[[#This Row],[Дата поступления]]</f>
        <v>5</v>
      </c>
      <c r="W513" s="2">
        <f>Таблица1[[#This Row],[Дата поступления]]-Таблица1[[#This Row],[Дата рождения]]</f>
        <v>1034</v>
      </c>
    </row>
    <row r="514" spans="22:23" ht="24.95" customHeight="1" x14ac:dyDescent="0.25">
      <c r="V514" s="2">
        <f>Таблица1[[#This Row],[Дата перевода]]-Таблица1[[#This Row],[Дата поступления]]</f>
        <v>0</v>
      </c>
      <c r="W514" s="2">
        <f>Таблица1[[#This Row],[Дата поступления]]-Таблица1[[#This Row],[Дата рождения]]</f>
        <v>69</v>
      </c>
    </row>
    <row r="515" spans="22:23" ht="24.95" customHeight="1" x14ac:dyDescent="0.25">
      <c r="V515" s="2">
        <f>Таблица1[[#This Row],[Дата перевода]]-Таблица1[[#This Row],[Дата поступления]]</f>
        <v>0</v>
      </c>
      <c r="W515" s="2">
        <f>Таблица1[[#This Row],[Дата поступления]]-Таблица1[[#This Row],[Дата рождения]]</f>
        <v>5641</v>
      </c>
    </row>
    <row r="516" spans="22:23" ht="24.95" customHeight="1" x14ac:dyDescent="0.25">
      <c r="V516" s="2">
        <f>Таблица1[[#This Row],[Дата перевода]]-Таблица1[[#This Row],[Дата поступления]]</f>
        <v>3</v>
      </c>
      <c r="W516" s="2">
        <f>Таблица1[[#This Row],[Дата поступления]]-Таблица1[[#This Row],[Дата рождения]]</f>
        <v>5584</v>
      </c>
    </row>
    <row r="517" spans="22:23" ht="24.95" customHeight="1" x14ac:dyDescent="0.25">
      <c r="V517" s="2">
        <f>Таблица1[[#This Row],[Дата перевода]]-Таблица1[[#This Row],[Дата поступления]]</f>
        <v>1</v>
      </c>
      <c r="W517" s="2">
        <f>Таблица1[[#This Row],[Дата поступления]]-Таблица1[[#This Row],[Дата рождения]]</f>
        <v>1404</v>
      </c>
    </row>
    <row r="518" spans="22:23" ht="24.95" customHeight="1" x14ac:dyDescent="0.25">
      <c r="V518" s="2">
        <f>Таблица1[[#This Row],[Дата перевода]]-Таблица1[[#This Row],[Дата поступления]]</f>
        <v>2</v>
      </c>
      <c r="W518" s="2">
        <f>Таблица1[[#This Row],[Дата поступления]]-Таблица1[[#This Row],[Дата рождения]]</f>
        <v>45257</v>
      </c>
    </row>
    <row r="519" spans="22:23" ht="24.95" customHeight="1" x14ac:dyDescent="0.25">
      <c r="V519" s="2">
        <f>Таблица1[[#This Row],[Дата перевода]]-Таблица1[[#This Row],[Дата поступления]]</f>
        <v>1</v>
      </c>
      <c r="W519" s="2">
        <f>Таблица1[[#This Row],[Дата поступления]]-Таблица1[[#This Row],[Дата рождения]]</f>
        <v>2333</v>
      </c>
    </row>
    <row r="520" spans="22:23" ht="24.95" customHeight="1" x14ac:dyDescent="0.25">
      <c r="V520" s="2">
        <f>Таблица1[[#This Row],[Дата перевода]]-Таблица1[[#This Row],[Дата поступления]]</f>
        <v>3</v>
      </c>
      <c r="W520" s="2">
        <f>Таблица1[[#This Row],[Дата поступления]]-Таблица1[[#This Row],[Дата рождения]]</f>
        <v>5250</v>
      </c>
    </row>
    <row r="521" spans="22:23" ht="24.95" customHeight="1" x14ac:dyDescent="0.25">
      <c r="V521" s="2">
        <f>Таблица1[[#This Row],[Дата перевода]]-Таблица1[[#This Row],[Дата поступления]]</f>
        <v>2</v>
      </c>
      <c r="W521" s="2">
        <f>Таблица1[[#This Row],[Дата поступления]]-Таблица1[[#This Row],[Дата рождения]]</f>
        <v>5582</v>
      </c>
    </row>
    <row r="522" spans="22:23" ht="24.95" customHeight="1" x14ac:dyDescent="0.25">
      <c r="V522" s="2">
        <f>Таблица1[[#This Row],[Дата перевода]]-Таблица1[[#This Row],[Дата поступления]]</f>
        <v>2</v>
      </c>
      <c r="W522" s="2">
        <f>Таблица1[[#This Row],[Дата поступления]]-Таблица1[[#This Row],[Дата рождения]]</f>
        <v>5167</v>
      </c>
    </row>
    <row r="523" spans="22:23" ht="24.95" customHeight="1" x14ac:dyDescent="0.25">
      <c r="V523" s="2">
        <f>Таблица1[[#This Row],[Дата перевода]]-Таблица1[[#This Row],[Дата поступления]]</f>
        <v>4</v>
      </c>
      <c r="W523" s="2">
        <f>Таблица1[[#This Row],[Дата поступления]]-Таблица1[[#This Row],[Дата рождения]]</f>
        <v>1970</v>
      </c>
    </row>
    <row r="524" spans="22:23" ht="24.95" customHeight="1" x14ac:dyDescent="0.25">
      <c r="V524" s="2">
        <f>Таблица1[[#This Row],[Дата перевода]]-Таблица1[[#This Row],[Дата поступления]]</f>
        <v>1</v>
      </c>
      <c r="W524" s="2">
        <f>Таблица1[[#This Row],[Дата поступления]]-Таблица1[[#This Row],[Дата рождения]]</f>
        <v>174</v>
      </c>
    </row>
    <row r="525" spans="22:23" ht="24.95" customHeight="1" x14ac:dyDescent="0.25">
      <c r="V525" s="2">
        <f>Таблица1[[#This Row],[Дата перевода]]-Таблица1[[#This Row],[Дата поступления]]</f>
        <v>1</v>
      </c>
      <c r="W525" s="2">
        <f>Таблица1[[#This Row],[Дата поступления]]-Таблица1[[#This Row],[Дата рождения]]</f>
        <v>3507</v>
      </c>
    </row>
    <row r="526" spans="22:23" ht="24.95" customHeight="1" x14ac:dyDescent="0.25">
      <c r="V526" s="2">
        <f>Таблица1[[#This Row],[Дата перевода]]-Таблица1[[#This Row],[Дата поступления]]</f>
        <v>5</v>
      </c>
      <c r="W526" s="2">
        <f>Таблица1[[#This Row],[Дата поступления]]-Таблица1[[#This Row],[Дата рождения]]</f>
        <v>6001</v>
      </c>
    </row>
    <row r="527" spans="22:23" ht="24.95" customHeight="1" x14ac:dyDescent="0.25">
      <c r="V527" s="2">
        <f>Таблица1[[#This Row],[Дата перевода]]-Таблица1[[#This Row],[Дата поступления]]</f>
        <v>1</v>
      </c>
      <c r="W527" s="2">
        <f>Таблица1[[#This Row],[Дата поступления]]-Таблица1[[#This Row],[Дата рождения]]</f>
        <v>3919</v>
      </c>
    </row>
    <row r="528" spans="22:23" ht="24.95" customHeight="1" x14ac:dyDescent="0.25">
      <c r="V528" s="2">
        <f>Таблица1[[#This Row],[Дата перевода]]-Таблица1[[#This Row],[Дата поступления]]</f>
        <v>0</v>
      </c>
      <c r="W528" s="2">
        <f>Таблица1[[#This Row],[Дата поступления]]-Таблица1[[#This Row],[Дата рождения]]</f>
        <v>6564</v>
      </c>
    </row>
    <row r="529" spans="22:23" ht="24.95" customHeight="1" x14ac:dyDescent="0.25">
      <c r="V529" s="2">
        <f>Таблица1[[#This Row],[Дата перевода]]-Таблица1[[#This Row],[Дата поступления]]</f>
        <v>1</v>
      </c>
      <c r="W529" s="2">
        <f>Таблица1[[#This Row],[Дата поступления]]-Таблица1[[#This Row],[Дата рождения]]</f>
        <v>6162</v>
      </c>
    </row>
    <row r="530" spans="22:23" ht="24.95" customHeight="1" x14ac:dyDescent="0.25">
      <c r="V530" s="2">
        <f>Таблица1[[#This Row],[Дата перевода]]-Таблица1[[#This Row],[Дата поступления]]</f>
        <v>-45266</v>
      </c>
      <c r="W530" s="2">
        <f>Таблица1[[#This Row],[Дата поступления]]-Таблица1[[#This Row],[Дата рождения]]</f>
        <v>50</v>
      </c>
    </row>
    <row r="531" spans="22:23" ht="24.95" customHeight="1" x14ac:dyDescent="0.25">
      <c r="V531" s="2">
        <f>Таблица1[[#This Row],[Дата перевода]]-Таблица1[[#This Row],[Дата поступления]]</f>
        <v>1</v>
      </c>
      <c r="W531" s="2">
        <f>Таблица1[[#This Row],[Дата поступления]]-Таблица1[[#This Row],[Дата рождения]]</f>
        <v>5373</v>
      </c>
    </row>
    <row r="532" spans="22:23" ht="24.95" customHeight="1" x14ac:dyDescent="0.25">
      <c r="V532" s="2">
        <f>Таблица1[[#This Row],[Дата перевода]]-Таблица1[[#This Row],[Дата поступления]]</f>
        <v>2</v>
      </c>
      <c r="W532" s="2">
        <f>Таблица1[[#This Row],[Дата поступления]]-Таблица1[[#This Row],[Дата рождения]]</f>
        <v>5376</v>
      </c>
    </row>
    <row r="533" spans="22:23" ht="24.95" customHeight="1" x14ac:dyDescent="0.25">
      <c r="V533" s="2">
        <f>Таблица1[[#This Row],[Дата перевода]]-Таблица1[[#This Row],[Дата поступления]]</f>
        <v>2</v>
      </c>
      <c r="W533" s="2">
        <f>Таблица1[[#This Row],[Дата поступления]]-Таблица1[[#This Row],[Дата рождения]]</f>
        <v>332</v>
      </c>
    </row>
    <row r="534" spans="22:23" ht="24.95" customHeight="1" x14ac:dyDescent="0.25">
      <c r="V534" s="2">
        <f>Таблица1[[#This Row],[Дата перевода]]-Таблица1[[#This Row],[Дата поступления]]</f>
        <v>1</v>
      </c>
      <c r="W534" s="2">
        <f>Таблица1[[#This Row],[Дата поступления]]-Таблица1[[#This Row],[Дата рождения]]</f>
        <v>5536</v>
      </c>
    </row>
    <row r="535" spans="22:23" ht="24.95" customHeight="1" x14ac:dyDescent="0.25">
      <c r="V535" s="2">
        <f>Таблица1[[#This Row],[Дата перевода]]-Таблица1[[#This Row],[Дата поступления]]</f>
        <v>1</v>
      </c>
      <c r="W535" s="2">
        <f>Таблица1[[#This Row],[Дата поступления]]-Таблица1[[#This Row],[Дата рождения]]</f>
        <v>1199</v>
      </c>
    </row>
    <row r="536" spans="22:23" ht="24.95" customHeight="1" x14ac:dyDescent="0.25">
      <c r="V536" s="2">
        <f>Таблица1[[#This Row],[Дата перевода]]-Таблица1[[#This Row],[Дата поступления]]</f>
        <v>3</v>
      </c>
      <c r="W536" s="2">
        <f>Таблица1[[#This Row],[Дата поступления]]-Таблица1[[#This Row],[Дата рождения]]</f>
        <v>3834</v>
      </c>
    </row>
    <row r="537" spans="22:23" ht="24.95" customHeight="1" x14ac:dyDescent="0.25">
      <c r="V537" s="2">
        <f>Таблица1[[#This Row],[Дата перевода]]-Таблица1[[#This Row],[Дата поступления]]</f>
        <v>1</v>
      </c>
      <c r="W537" s="2">
        <f>Таблица1[[#This Row],[Дата поступления]]-Таблица1[[#This Row],[Дата рождения]]</f>
        <v>440</v>
      </c>
    </row>
    <row r="538" spans="22:23" ht="24.95" customHeight="1" x14ac:dyDescent="0.25">
      <c r="V538" s="2">
        <f>Таблица1[[#This Row],[Дата перевода]]-Таблица1[[#This Row],[Дата поступления]]</f>
        <v>-45271</v>
      </c>
      <c r="W538" s="2">
        <f>Таблица1[[#This Row],[Дата поступления]]-Таблица1[[#This Row],[Дата рождения]]</f>
        <v>3758</v>
      </c>
    </row>
    <row r="539" spans="22:23" ht="24.95" customHeight="1" x14ac:dyDescent="0.25">
      <c r="V539" s="2">
        <f>Таблица1[[#This Row],[Дата перевода]]-Таблица1[[#This Row],[Дата поступления]]</f>
        <v>2</v>
      </c>
      <c r="W539" s="2">
        <f>Таблица1[[#This Row],[Дата поступления]]-Таблица1[[#This Row],[Дата рождения]]</f>
        <v>5843</v>
      </c>
    </row>
    <row r="540" spans="22:23" ht="24.95" customHeight="1" x14ac:dyDescent="0.25">
      <c r="V540" s="2">
        <f>Таблица1[[#This Row],[Дата перевода]]-Таблица1[[#This Row],[Дата поступления]]</f>
        <v>1</v>
      </c>
      <c r="W540" s="2">
        <f>Таблица1[[#This Row],[Дата поступления]]-Таблица1[[#This Row],[Дата рождения]]</f>
        <v>4136</v>
      </c>
    </row>
    <row r="541" spans="22:23" ht="24.95" customHeight="1" x14ac:dyDescent="0.25">
      <c r="V541" s="2">
        <f>Таблица1[[#This Row],[Дата перевода]]-Таблица1[[#This Row],[Дата поступления]]</f>
        <v>2</v>
      </c>
      <c r="W541" s="2">
        <f>Таблица1[[#This Row],[Дата поступления]]-Таблица1[[#This Row],[Дата рождения]]</f>
        <v>3527</v>
      </c>
    </row>
    <row r="542" spans="22:23" ht="24.95" customHeight="1" x14ac:dyDescent="0.25">
      <c r="V542" s="2">
        <f>Таблица1[[#This Row],[Дата перевода]]-Таблица1[[#This Row],[Дата поступления]]</f>
        <v>0</v>
      </c>
      <c r="W542" s="2">
        <f>Таблица1[[#This Row],[Дата поступления]]-Таблица1[[#This Row],[Дата рождения]]</f>
        <v>5827</v>
      </c>
    </row>
    <row r="543" spans="22:23" ht="24.95" customHeight="1" x14ac:dyDescent="0.25">
      <c r="V543" s="2">
        <f>Таблица1[[#This Row],[Дата перевода]]-Таблица1[[#This Row],[Дата поступления]]</f>
        <v>10</v>
      </c>
      <c r="W543" s="2">
        <f>Таблица1[[#This Row],[Дата поступления]]-Таблица1[[#This Row],[Дата рождения]]</f>
        <v>1954</v>
      </c>
    </row>
    <row r="544" spans="22:23" ht="24.95" customHeight="1" x14ac:dyDescent="0.25">
      <c r="V544" s="2">
        <f>Таблица1[[#This Row],[Дата перевода]]-Таблица1[[#This Row],[Дата поступления]]</f>
        <v>2</v>
      </c>
      <c r="W544" s="2">
        <f>Таблица1[[#This Row],[Дата поступления]]-Таблица1[[#This Row],[Дата рождения]]</f>
        <v>5422</v>
      </c>
    </row>
    <row r="545" spans="22:23" ht="24.95" customHeight="1" x14ac:dyDescent="0.25">
      <c r="V545" s="2">
        <f>Таблица1[[#This Row],[Дата перевода]]-Таблица1[[#This Row],[Дата поступления]]</f>
        <v>1</v>
      </c>
      <c r="W545" s="2">
        <f>Таблица1[[#This Row],[Дата поступления]]-Таблица1[[#This Row],[Дата рождения]]</f>
        <v>41</v>
      </c>
    </row>
    <row r="546" spans="22:23" ht="24.95" customHeight="1" x14ac:dyDescent="0.25">
      <c r="V546" s="2">
        <f>Таблица1[[#This Row],[Дата перевода]]-Таблица1[[#This Row],[Дата поступления]]</f>
        <v>0</v>
      </c>
      <c r="W546" s="2">
        <f>Таблица1[[#This Row],[Дата поступления]]-Таблица1[[#This Row],[Дата рождения]]</f>
        <v>442</v>
      </c>
    </row>
    <row r="547" spans="22:23" ht="24.95" customHeight="1" x14ac:dyDescent="0.25">
      <c r="V547" s="2">
        <f>Таблица1[[#This Row],[Дата перевода]]-Таблица1[[#This Row],[Дата поступления]]</f>
        <v>1</v>
      </c>
      <c r="W547" s="2">
        <f>Таблица1[[#This Row],[Дата поступления]]-Таблица1[[#This Row],[Дата рождения]]</f>
        <v>4055</v>
      </c>
    </row>
    <row r="548" spans="22:23" ht="24.95" customHeight="1" x14ac:dyDescent="0.25">
      <c r="V548" s="2">
        <f>Таблица1[[#This Row],[Дата перевода]]-Таблица1[[#This Row],[Дата поступления]]</f>
        <v>3</v>
      </c>
      <c r="W548" s="2">
        <f>Таблица1[[#This Row],[Дата поступления]]-Таблица1[[#This Row],[Дата рождения]]</f>
        <v>6327</v>
      </c>
    </row>
    <row r="549" spans="22:23" ht="24.95" customHeight="1" x14ac:dyDescent="0.25">
      <c r="V549" s="2">
        <f>Таблица1[[#This Row],[Дата перевода]]-Таблица1[[#This Row],[Дата поступления]]</f>
        <v>3</v>
      </c>
      <c r="W549" s="2">
        <f>Таблица1[[#This Row],[Дата поступления]]-Таблица1[[#This Row],[Дата рождения]]</f>
        <v>2746</v>
      </c>
    </row>
    <row r="550" spans="22:23" ht="24.95" customHeight="1" x14ac:dyDescent="0.25">
      <c r="V550" s="2">
        <f>Таблица1[[#This Row],[Дата перевода]]-Таблица1[[#This Row],[Дата поступления]]</f>
        <v>1</v>
      </c>
      <c r="W550" s="2">
        <f>Таблица1[[#This Row],[Дата поступления]]-Таблица1[[#This Row],[Дата рождения]]</f>
        <v>6114</v>
      </c>
    </row>
    <row r="551" spans="22:23" ht="24.95" customHeight="1" x14ac:dyDescent="0.25">
      <c r="V551" s="2">
        <f>Таблица1[[#This Row],[Дата перевода]]-Таблица1[[#This Row],[Дата поступления]]</f>
        <v>1</v>
      </c>
      <c r="W551" s="2">
        <f>Таблица1[[#This Row],[Дата поступления]]-Таблица1[[#This Row],[Дата рождения]]</f>
        <v>84</v>
      </c>
    </row>
    <row r="552" spans="22:23" ht="24.95" customHeight="1" x14ac:dyDescent="0.25">
      <c r="V552" s="2">
        <f>Таблица1[[#This Row],[Дата перевода]]-Таблица1[[#This Row],[Дата поступления]]</f>
        <v>1</v>
      </c>
      <c r="W552" s="2">
        <f>Таблица1[[#This Row],[Дата поступления]]-Таблица1[[#This Row],[Дата рождения]]</f>
        <v>5981</v>
      </c>
    </row>
    <row r="553" spans="22:23" ht="24.95" customHeight="1" x14ac:dyDescent="0.25">
      <c r="V553" s="2">
        <f>Таблица1[[#This Row],[Дата перевода]]-Таблица1[[#This Row],[Дата поступления]]</f>
        <v>1</v>
      </c>
      <c r="W553" s="2">
        <f>Таблица1[[#This Row],[Дата поступления]]-Таблица1[[#This Row],[Дата рождения]]</f>
        <v>453</v>
      </c>
    </row>
    <row r="554" spans="22:23" ht="24.95" customHeight="1" x14ac:dyDescent="0.25">
      <c r="V554" s="2">
        <f>Таблица1[[#This Row],[Дата перевода]]-Таблица1[[#This Row],[Дата поступления]]</f>
        <v>4</v>
      </c>
      <c r="W554" s="2">
        <f>Таблица1[[#This Row],[Дата поступления]]-Таблица1[[#This Row],[Дата рождения]]</f>
        <v>935</v>
      </c>
    </row>
    <row r="555" spans="22:23" ht="24.95" customHeight="1" x14ac:dyDescent="0.25">
      <c r="V555" s="2">
        <f>Таблица1[[#This Row],[Дата перевода]]-Таблица1[[#This Row],[Дата поступления]]</f>
        <v>0</v>
      </c>
      <c r="W555" s="2">
        <f>Таблица1[[#This Row],[Дата поступления]]-Таблица1[[#This Row],[Дата рождения]]</f>
        <v>5399</v>
      </c>
    </row>
    <row r="556" spans="22:23" ht="24.95" customHeight="1" x14ac:dyDescent="0.25">
      <c r="V556" s="2">
        <f>Таблица1[[#This Row],[Дата перевода]]-Таблица1[[#This Row],[Дата поступления]]</f>
        <v>1</v>
      </c>
      <c r="W556" s="2">
        <f>Таблица1[[#This Row],[Дата поступления]]-Таблица1[[#This Row],[Дата рождения]]</f>
        <v>5385</v>
      </c>
    </row>
    <row r="557" spans="22:23" ht="24.95" customHeight="1" x14ac:dyDescent="0.25">
      <c r="V557" s="2">
        <f>Таблица1[[#This Row],[Дата перевода]]-Таблица1[[#This Row],[Дата поступления]]</f>
        <v>1</v>
      </c>
      <c r="W557" s="2">
        <f>Таблица1[[#This Row],[Дата поступления]]-Таблица1[[#This Row],[Дата рождения]]</f>
        <v>3802</v>
      </c>
    </row>
    <row r="558" spans="22:23" ht="24.95" customHeight="1" x14ac:dyDescent="0.25">
      <c r="V558" s="2">
        <f>Таблица1[[#This Row],[Дата перевода]]-Таблица1[[#This Row],[Дата поступления]]</f>
        <v>4</v>
      </c>
      <c r="W558" s="2">
        <f>Таблица1[[#This Row],[Дата поступления]]-Таблица1[[#This Row],[Дата рождения]]</f>
        <v>3013</v>
      </c>
    </row>
    <row r="559" spans="22:23" ht="24.95" customHeight="1" x14ac:dyDescent="0.25">
      <c r="V559" s="2">
        <f>Таблица1[[#This Row],[Дата перевода]]-Таблица1[[#This Row],[Дата поступления]]</f>
        <v>0</v>
      </c>
      <c r="W559" s="2">
        <f>Таблица1[[#This Row],[Дата поступления]]-Таблица1[[#This Row],[Дата рождения]]</f>
        <v>5953</v>
      </c>
    </row>
    <row r="560" spans="22:23" ht="24.95" customHeight="1" x14ac:dyDescent="0.25">
      <c r="V560" s="2">
        <f>Таблица1[[#This Row],[Дата перевода]]-Таблица1[[#This Row],[Дата поступления]]</f>
        <v>0</v>
      </c>
      <c r="W560" s="2">
        <f>Таблица1[[#This Row],[Дата поступления]]-Таблица1[[#This Row],[Дата рождения]]</f>
        <v>5846</v>
      </c>
    </row>
    <row r="561" spans="22:23" ht="24.95" customHeight="1" x14ac:dyDescent="0.25">
      <c r="V561" s="2">
        <f>Таблица1[[#This Row],[Дата перевода]]-Таблица1[[#This Row],[Дата поступления]]</f>
        <v>-45272</v>
      </c>
      <c r="W561" s="2">
        <f>Таблица1[[#This Row],[Дата поступления]]-Таблица1[[#This Row],[Дата рождения]]</f>
        <v>248</v>
      </c>
    </row>
    <row r="562" spans="22:23" ht="24.95" customHeight="1" x14ac:dyDescent="0.25">
      <c r="V562" s="2">
        <f>Таблица1[[#This Row],[Дата перевода]]-Таблица1[[#This Row],[Дата поступления]]</f>
        <v>0</v>
      </c>
      <c r="W562" s="2">
        <f>Таблица1[[#This Row],[Дата поступления]]-Таблица1[[#This Row],[Дата рождения]]</f>
        <v>6251</v>
      </c>
    </row>
    <row r="563" spans="22:23" ht="24.95" customHeight="1" x14ac:dyDescent="0.25">
      <c r="V563" s="2">
        <f>Таблица1[[#This Row],[Дата перевода]]-Таблица1[[#This Row],[Дата поступления]]</f>
        <v>1</v>
      </c>
      <c r="W563" s="2">
        <f>Таблица1[[#This Row],[Дата поступления]]-Таблица1[[#This Row],[Дата рождения]]</f>
        <v>5745</v>
      </c>
    </row>
    <row r="564" spans="22:23" ht="24.95" customHeight="1" x14ac:dyDescent="0.25">
      <c r="V564" s="2">
        <f>Таблица1[[#This Row],[Дата перевода]]-Таблица1[[#This Row],[Дата поступления]]</f>
        <v>-45284</v>
      </c>
      <c r="W564" s="2">
        <f>Таблица1[[#This Row],[Дата поступления]]-Таблица1[[#This Row],[Дата рождения]]</f>
        <v>24</v>
      </c>
    </row>
    <row r="565" spans="22:23" ht="24.95" customHeight="1" x14ac:dyDescent="0.25">
      <c r="V565" s="2">
        <f>Таблица1[[#This Row],[Дата перевода]]-Таблица1[[#This Row],[Дата поступления]]</f>
        <v>-45282</v>
      </c>
      <c r="W565" s="2">
        <f>Таблица1[[#This Row],[Дата поступления]]-Таблица1[[#This Row],[Дата рождения]]</f>
        <v>3537</v>
      </c>
    </row>
    <row r="566" spans="22:23" ht="24.95" customHeight="1" x14ac:dyDescent="0.25">
      <c r="V566" s="2">
        <f>Таблица1[[#This Row],[Дата перевода]]-Таблица1[[#This Row],[Дата поступления]]</f>
        <v>5</v>
      </c>
      <c r="W566" s="2">
        <f>Таблица1[[#This Row],[Дата поступления]]-Таблица1[[#This Row],[Дата рождения]]</f>
        <v>4958</v>
      </c>
    </row>
    <row r="567" spans="22:23" ht="24.95" customHeight="1" x14ac:dyDescent="0.25">
      <c r="V567" s="2">
        <f>Таблица1[[#This Row],[Дата перевода]]-Таблица1[[#This Row],[Дата поступления]]</f>
        <v>2</v>
      </c>
      <c r="W567" s="2">
        <f>Таблица1[[#This Row],[Дата поступления]]-Таблица1[[#This Row],[Дата рождения]]</f>
        <v>5640</v>
      </c>
    </row>
    <row r="568" spans="22:23" ht="24.95" customHeight="1" x14ac:dyDescent="0.25">
      <c r="V568" s="2">
        <f>Таблица1[[#This Row],[Дата перевода]]-Таблица1[[#This Row],[Дата поступления]]</f>
        <v>0</v>
      </c>
      <c r="W568" s="2">
        <f>Таблица1[[#This Row],[Дата поступления]]-Таблица1[[#This Row],[Дата рождения]]</f>
        <v>507</v>
      </c>
    </row>
    <row r="569" spans="22:23" ht="24.95" customHeight="1" x14ac:dyDescent="0.25">
      <c r="V569" s="2">
        <f>Таблица1[[#This Row],[Дата перевода]]-Таблица1[[#This Row],[Дата поступления]]</f>
        <v>-45287</v>
      </c>
      <c r="W569" s="2">
        <f>Таблица1[[#This Row],[Дата поступления]]-Таблица1[[#This Row],[Дата рождения]]</f>
        <v>413</v>
      </c>
    </row>
    <row r="570" spans="22:23" ht="24.95" customHeight="1" x14ac:dyDescent="0.25">
      <c r="V570" s="2">
        <f>Таблица1[[#This Row],[Дата перевода]]-Таблица1[[#This Row],[Дата поступления]]</f>
        <v>-45287</v>
      </c>
      <c r="W570" s="2">
        <f>Таблица1[[#This Row],[Дата поступления]]-Таблица1[[#This Row],[Дата рождения]]</f>
        <v>5508</v>
      </c>
    </row>
    <row r="571" spans="22:23" ht="24.95" customHeight="1" x14ac:dyDescent="0.25">
      <c r="V571" s="2">
        <f>Таблица1[[#This Row],[Дата перевода]]-Таблица1[[#This Row],[Дата поступления]]</f>
        <v>0</v>
      </c>
      <c r="W571" s="2">
        <f>Таблица1[[#This Row],[Дата поступления]]-Таблица1[[#This Row],[Дата рождения]]</f>
        <v>0</v>
      </c>
    </row>
    <row r="572" spans="22:23" ht="24.95" customHeight="1" x14ac:dyDescent="0.25">
      <c r="V572" s="2">
        <f>Таблица1[[#This Row],[Дата перевода]]-Таблица1[[#This Row],[Дата поступления]]</f>
        <v>0</v>
      </c>
      <c r="W572" s="2">
        <f>Таблица1[[#This Row],[Дата поступления]]-Таблица1[[#This Row],[Дата рождения]]</f>
        <v>0</v>
      </c>
    </row>
    <row r="573" spans="22:23" ht="24.95" customHeight="1" x14ac:dyDescent="0.25">
      <c r="V573" s="2">
        <f>Таблица1[[#This Row],[Дата перевода]]-Таблица1[[#This Row],[Дата поступления]]</f>
        <v>0</v>
      </c>
      <c r="W573" s="2">
        <f>Таблица1[[#This Row],[Дата поступления]]-Таблица1[[#This Row],[Дата рождения]]</f>
        <v>0</v>
      </c>
    </row>
    <row r="574" spans="22:23" ht="24.95" customHeight="1" x14ac:dyDescent="0.25">
      <c r="V574" s="2">
        <f>Таблица1[[#This Row],[Дата перевода]]-Таблица1[[#This Row],[Дата поступления]]</f>
        <v>0</v>
      </c>
      <c r="W574" s="2">
        <f>Таблица1[[#This Row],[Дата поступления]]-Таблица1[[#This Row],[Дата рождения]]</f>
        <v>0</v>
      </c>
    </row>
    <row r="575" spans="22:23" ht="24.95" customHeight="1" x14ac:dyDescent="0.25">
      <c r="V575" s="2">
        <f>Таблица1[[#This Row],[Дата перевода]]-Таблица1[[#This Row],[Дата поступления]]</f>
        <v>0</v>
      </c>
      <c r="W575" s="2">
        <f>Таблица1[[#This Row],[Дата поступления]]-Таблица1[[#This Row],[Дата рождения]]</f>
        <v>0</v>
      </c>
    </row>
    <row r="576" spans="22:23" ht="24.95" customHeight="1" x14ac:dyDescent="0.25">
      <c r="V576" s="2">
        <f>Таблица1[[#This Row],[Дата перевода]]-Таблица1[[#This Row],[Дата поступления]]</f>
        <v>0</v>
      </c>
      <c r="W576" s="2">
        <f>Таблица1[[#This Row],[Дата поступления]]-Таблица1[[#This Row],[Дата рождения]]</f>
        <v>0</v>
      </c>
    </row>
    <row r="577" spans="22:23" ht="24.95" customHeight="1" x14ac:dyDescent="0.25">
      <c r="V577" s="2">
        <f>Таблица1[[#This Row],[Дата перевода]]-Таблица1[[#This Row],[Дата поступления]]</f>
        <v>0</v>
      </c>
      <c r="W577" s="2">
        <f>Таблица1[[#This Row],[Дата поступления]]-Таблица1[[#This Row],[Дата рождения]]</f>
        <v>0</v>
      </c>
    </row>
    <row r="578" spans="22:23" ht="24.95" customHeight="1" x14ac:dyDescent="0.25">
      <c r="V578" s="2">
        <f>Таблица1[[#This Row],[Дата перевода]]-Таблица1[[#This Row],[Дата поступления]]</f>
        <v>0</v>
      </c>
      <c r="W578" s="2">
        <f>Таблица1[[#This Row],[Дата поступления]]-Таблица1[[#This Row],[Дата рождения]]</f>
        <v>0</v>
      </c>
    </row>
    <row r="579" spans="22:23" ht="24.95" customHeight="1" x14ac:dyDescent="0.25">
      <c r="V579" s="2">
        <f>Таблица1[[#This Row],[Дата перевода]]-Таблица1[[#This Row],[Дата поступления]]</f>
        <v>0</v>
      </c>
      <c r="W579" s="2">
        <f>Таблица1[[#This Row],[Дата поступления]]-Таблица1[[#This Row],[Дата рождения]]</f>
        <v>0</v>
      </c>
    </row>
    <row r="580" spans="22:23" ht="24.95" customHeight="1" x14ac:dyDescent="0.25">
      <c r="V580" s="2">
        <f>Таблица1[[#This Row],[Дата перевода]]-Таблица1[[#This Row],[Дата поступления]]</f>
        <v>0</v>
      </c>
      <c r="W580" s="2">
        <f>Таблица1[[#This Row],[Дата поступления]]-Таблица1[[#This Row],[Дата рождения]]</f>
        <v>0</v>
      </c>
    </row>
    <row r="581" spans="22:23" ht="24.95" customHeight="1" x14ac:dyDescent="0.25">
      <c r="V581" s="2">
        <f>Таблица1[[#This Row],[Дата перевода]]-Таблица1[[#This Row],[Дата поступления]]</f>
        <v>0</v>
      </c>
      <c r="W581" s="2">
        <f>Таблица1[[#This Row],[Дата поступления]]-Таблица1[[#This Row],[Дата рождения]]</f>
        <v>0</v>
      </c>
    </row>
    <row r="582" spans="22:23" ht="24.95" customHeight="1" x14ac:dyDescent="0.25">
      <c r="V582" s="2">
        <f>Таблица1[[#This Row],[Дата перевода]]-Таблица1[[#This Row],[Дата поступления]]</f>
        <v>0</v>
      </c>
      <c r="W582" s="2">
        <f>Таблица1[[#This Row],[Дата поступления]]-Таблица1[[#This Row],[Дата рождения]]</f>
        <v>0</v>
      </c>
    </row>
    <row r="583" spans="22:23" ht="24.95" customHeight="1" x14ac:dyDescent="0.25">
      <c r="V583" s="2">
        <f>Таблица1[[#This Row],[Дата перевода]]-Таблица1[[#This Row],[Дата поступления]]</f>
        <v>0</v>
      </c>
      <c r="W583" s="2">
        <f>Таблица1[[#This Row],[Дата поступления]]-Таблица1[[#This Row],[Дата рождения]]</f>
        <v>0</v>
      </c>
    </row>
    <row r="584" spans="22:23" ht="24.95" customHeight="1" x14ac:dyDescent="0.25">
      <c r="V584" s="2">
        <f>Таблица1[[#This Row],[Дата перевода]]-Таблица1[[#This Row],[Дата поступления]]</f>
        <v>0</v>
      </c>
      <c r="W584" s="2">
        <f>Таблица1[[#This Row],[Дата поступления]]-Таблица1[[#This Row],[Дата рождения]]</f>
        <v>0</v>
      </c>
    </row>
    <row r="585" spans="22:23" ht="24.95" customHeight="1" x14ac:dyDescent="0.25">
      <c r="V585" s="2">
        <f>Таблица1[[#This Row],[Дата перевода]]-Таблица1[[#This Row],[Дата поступления]]</f>
        <v>0</v>
      </c>
      <c r="W585" s="2">
        <f>Таблица1[[#This Row],[Дата поступления]]-Таблица1[[#This Row],[Дата рождения]]</f>
        <v>0</v>
      </c>
    </row>
    <row r="586" spans="22:23" ht="24.95" customHeight="1" x14ac:dyDescent="0.25">
      <c r="V586" s="2">
        <f>Таблица1[[#This Row],[Дата перевода]]-Таблица1[[#This Row],[Дата поступления]]</f>
        <v>0</v>
      </c>
      <c r="W586" s="2">
        <f>Таблица1[[#This Row],[Дата поступления]]-Таблица1[[#This Row],[Дата рождения]]</f>
        <v>0</v>
      </c>
    </row>
    <row r="587" spans="22:23" ht="24.95" customHeight="1" x14ac:dyDescent="0.25">
      <c r="V587" s="2">
        <f>Таблица1[[#This Row],[Дата перевода]]-Таблица1[[#This Row],[Дата поступления]]</f>
        <v>0</v>
      </c>
      <c r="W587" s="2">
        <f>Таблица1[[#This Row],[Дата поступления]]-Таблица1[[#This Row],[Дата рождения]]</f>
        <v>0</v>
      </c>
    </row>
    <row r="588" spans="22:23" ht="24.95" customHeight="1" x14ac:dyDescent="0.25">
      <c r="V588" s="2">
        <f>Таблица1[[#This Row],[Дата перевода]]-Таблица1[[#This Row],[Дата поступления]]</f>
        <v>0</v>
      </c>
      <c r="W588" s="2">
        <f>Таблица1[[#This Row],[Дата поступления]]-Таблица1[[#This Row],[Дата рождения]]</f>
        <v>0</v>
      </c>
    </row>
    <row r="589" spans="22:23" ht="24.95" customHeight="1" x14ac:dyDescent="0.25">
      <c r="V589" s="2">
        <f>Таблица1[[#This Row],[Дата перевода]]-Таблица1[[#This Row],[Дата поступления]]</f>
        <v>0</v>
      </c>
      <c r="W589" s="2">
        <f>Таблица1[[#This Row],[Дата поступления]]-Таблица1[[#This Row],[Дата рождения]]</f>
        <v>0</v>
      </c>
    </row>
    <row r="590" spans="22:23" ht="24.95" customHeight="1" x14ac:dyDescent="0.25">
      <c r="V590" s="2">
        <f>Таблица1[[#This Row],[Дата перевода]]-Таблица1[[#This Row],[Дата поступления]]</f>
        <v>0</v>
      </c>
      <c r="W590" s="2">
        <f>Таблица1[[#This Row],[Дата поступления]]-Таблица1[[#This Row],[Дата рождения]]</f>
        <v>0</v>
      </c>
    </row>
    <row r="591" spans="22:23" ht="24.95" customHeight="1" x14ac:dyDescent="0.25">
      <c r="V591" s="2">
        <f>Таблица1[[#This Row],[Дата перевода]]-Таблица1[[#This Row],[Дата поступления]]</f>
        <v>0</v>
      </c>
      <c r="W591" s="2">
        <f>Таблица1[[#This Row],[Дата поступления]]-Таблица1[[#This Row],[Дата рождения]]</f>
        <v>0</v>
      </c>
    </row>
    <row r="592" spans="22:23" ht="24.95" customHeight="1" x14ac:dyDescent="0.25">
      <c r="V592" s="2">
        <f>Таблица1[[#This Row],[Дата перевода]]-Таблица1[[#This Row],[Дата поступления]]</f>
        <v>0</v>
      </c>
      <c r="W592" s="2">
        <f>Таблица1[[#This Row],[Дата поступления]]-Таблица1[[#This Row],[Дата рождения]]</f>
        <v>0</v>
      </c>
    </row>
    <row r="593" spans="22:23" ht="24.95" customHeight="1" x14ac:dyDescent="0.25">
      <c r="V593" s="2">
        <f>Таблица1[[#This Row],[Дата перевода]]-Таблица1[[#This Row],[Дата поступления]]</f>
        <v>0</v>
      </c>
      <c r="W593" s="2">
        <f>Таблица1[[#This Row],[Дата поступления]]-Таблица1[[#This Row],[Дата рождения]]</f>
        <v>0</v>
      </c>
    </row>
    <row r="594" spans="22:23" ht="24.95" customHeight="1" x14ac:dyDescent="0.25">
      <c r="V594" s="2">
        <f>Таблица1[[#This Row],[Дата перевода]]-Таблица1[[#This Row],[Дата поступления]]</f>
        <v>0</v>
      </c>
      <c r="W594" s="2">
        <f>Таблица1[[#This Row],[Дата поступления]]-Таблица1[[#This Row],[Дата рождения]]</f>
        <v>0</v>
      </c>
    </row>
    <row r="595" spans="22:23" ht="24.95" customHeight="1" x14ac:dyDescent="0.25">
      <c r="V595" s="2">
        <f>Таблица1[[#This Row],[Дата перевода]]-Таблица1[[#This Row],[Дата поступления]]</f>
        <v>0</v>
      </c>
      <c r="W595" s="2">
        <f>Таблица1[[#This Row],[Дата поступления]]-Таблица1[[#This Row],[Дата рождения]]</f>
        <v>0</v>
      </c>
    </row>
    <row r="596" spans="22:23" ht="24.95" customHeight="1" x14ac:dyDescent="0.25">
      <c r="V596" s="2">
        <f>Таблица1[[#This Row],[Дата перевода]]-Таблица1[[#This Row],[Дата поступления]]</f>
        <v>0</v>
      </c>
      <c r="W596" s="2">
        <f>Таблица1[[#This Row],[Дата поступления]]-Таблица1[[#This Row],[Дата рождения]]</f>
        <v>0</v>
      </c>
    </row>
    <row r="597" spans="22:23" ht="24.95" customHeight="1" x14ac:dyDescent="0.25">
      <c r="V597" s="2">
        <f>Таблица1[[#This Row],[Дата перевода]]-Таблица1[[#This Row],[Дата поступления]]</f>
        <v>0</v>
      </c>
      <c r="W597" s="2">
        <f>Таблица1[[#This Row],[Дата поступления]]-Таблица1[[#This Row],[Дата рождения]]</f>
        <v>0</v>
      </c>
    </row>
    <row r="598" spans="22:23" ht="24.95" customHeight="1" x14ac:dyDescent="0.25">
      <c r="V598" s="2">
        <f>Таблица1[[#This Row],[Дата перевода]]-Таблица1[[#This Row],[Дата поступления]]</f>
        <v>0</v>
      </c>
      <c r="W598" s="2">
        <f>Таблица1[[#This Row],[Дата поступления]]-Таблица1[[#This Row],[Дата рождения]]</f>
        <v>0</v>
      </c>
    </row>
    <row r="599" spans="22:23" ht="24.95" customHeight="1" x14ac:dyDescent="0.25">
      <c r="V599" s="2">
        <f>Таблица1[[#This Row],[Дата перевода]]-Таблица1[[#This Row],[Дата поступления]]</f>
        <v>0</v>
      </c>
      <c r="W599" s="2">
        <f>Таблица1[[#This Row],[Дата поступления]]-Таблица1[[#This Row],[Дата рождения]]</f>
        <v>0</v>
      </c>
    </row>
    <row r="600" spans="22:23" ht="24.95" customHeight="1" x14ac:dyDescent="0.25">
      <c r="V600" s="2">
        <f>Таблица1[[#This Row],[Дата перевода]]-Таблица1[[#This Row],[Дата поступления]]</f>
        <v>0</v>
      </c>
      <c r="W600" s="2">
        <f>Таблица1[[#This Row],[Дата поступления]]-Таблица1[[#This Row],[Дата рождения]]</f>
        <v>0</v>
      </c>
    </row>
    <row r="601" spans="22:23" ht="24.95" customHeight="1" x14ac:dyDescent="0.25">
      <c r="V601" s="2">
        <f>Таблица1[[#This Row],[Дата перевода]]-Таблица1[[#This Row],[Дата поступления]]</f>
        <v>0</v>
      </c>
      <c r="W601" s="2">
        <f>Таблица1[[#This Row],[Дата поступления]]-Таблица1[[#This Row],[Дата рождения]]</f>
        <v>0</v>
      </c>
    </row>
    <row r="602" spans="22:23" ht="24.95" customHeight="1" x14ac:dyDescent="0.25">
      <c r="V602" s="2">
        <f>Таблица1[[#This Row],[Дата перевода]]-Таблица1[[#This Row],[Дата поступления]]</f>
        <v>0</v>
      </c>
      <c r="W602" s="2">
        <f>Таблица1[[#This Row],[Дата поступления]]-Таблица1[[#This Row],[Дата рождения]]</f>
        <v>0</v>
      </c>
    </row>
    <row r="603" spans="22:23" ht="24.95" customHeight="1" x14ac:dyDescent="0.25">
      <c r="V603" s="2">
        <f>Таблица1[[#This Row],[Дата перевода]]-Таблица1[[#This Row],[Дата поступления]]</f>
        <v>0</v>
      </c>
      <c r="W603" s="2">
        <f>Таблица1[[#This Row],[Дата поступления]]-Таблица1[[#This Row],[Дата рождения]]</f>
        <v>0</v>
      </c>
    </row>
    <row r="604" spans="22:23" ht="24.95" customHeight="1" x14ac:dyDescent="0.25">
      <c r="V604" s="2">
        <f>Таблица1[[#This Row],[Дата перевода]]-Таблица1[[#This Row],[Дата поступления]]</f>
        <v>0</v>
      </c>
      <c r="W604" s="2">
        <f>Таблица1[[#This Row],[Дата поступления]]-Таблица1[[#This Row],[Дата рождения]]</f>
        <v>0</v>
      </c>
    </row>
    <row r="605" spans="22:23" ht="24.95" customHeight="1" x14ac:dyDescent="0.25">
      <c r="V605" s="2">
        <f>Таблица1[[#This Row],[Дата перевода]]-Таблица1[[#This Row],[Дата поступления]]</f>
        <v>0</v>
      </c>
      <c r="W605" s="2">
        <f>Таблица1[[#This Row],[Дата поступления]]-Таблица1[[#This Row],[Дата рождения]]</f>
        <v>0</v>
      </c>
    </row>
    <row r="606" spans="22:23" ht="24.95" customHeight="1" x14ac:dyDescent="0.25">
      <c r="V606" s="2">
        <f>Таблица1[[#This Row],[Дата перевода]]-Таблица1[[#This Row],[Дата поступления]]</f>
        <v>0</v>
      </c>
      <c r="W606" s="2">
        <f>Таблица1[[#This Row],[Дата поступления]]-Таблица1[[#This Row],[Дата рождения]]</f>
        <v>0</v>
      </c>
    </row>
    <row r="607" spans="22:23" ht="24.95" customHeight="1" x14ac:dyDescent="0.25">
      <c r="V607" s="2">
        <f>Таблица1[[#This Row],[Дата перевода]]-Таблица1[[#This Row],[Дата поступления]]</f>
        <v>0</v>
      </c>
      <c r="W607" s="2">
        <f>Таблица1[[#This Row],[Дата поступления]]-Таблица1[[#This Row],[Дата рождения]]</f>
        <v>0</v>
      </c>
    </row>
    <row r="608" spans="22:23" ht="24.95" customHeight="1" x14ac:dyDescent="0.25">
      <c r="V608" s="2">
        <f>Таблица1[[#This Row],[Дата перевода]]-Таблица1[[#This Row],[Дата поступления]]</f>
        <v>0</v>
      </c>
      <c r="W608" s="2">
        <f>Таблица1[[#This Row],[Дата поступления]]-Таблица1[[#This Row],[Дата рождения]]</f>
        <v>0</v>
      </c>
    </row>
    <row r="609" spans="22:23" ht="24.95" customHeight="1" x14ac:dyDescent="0.25">
      <c r="V609" s="2">
        <f>Таблица1[[#This Row],[Дата перевода]]-Таблица1[[#This Row],[Дата поступления]]</f>
        <v>0</v>
      </c>
      <c r="W609" s="2">
        <f>Таблица1[[#This Row],[Дата поступления]]-Таблица1[[#This Row],[Дата рождения]]</f>
        <v>0</v>
      </c>
    </row>
    <row r="610" spans="22:23" ht="24.95" customHeight="1" x14ac:dyDescent="0.25">
      <c r="V610" s="2">
        <f>Таблица1[[#This Row],[Дата перевода]]-Таблица1[[#This Row],[Дата поступления]]</f>
        <v>0</v>
      </c>
      <c r="W610" s="2">
        <f>Таблица1[[#This Row],[Дата поступления]]-Таблица1[[#This Row],[Дата рождения]]</f>
        <v>0</v>
      </c>
    </row>
    <row r="611" spans="22:23" ht="24.95" customHeight="1" x14ac:dyDescent="0.25">
      <c r="V611" s="2">
        <f>Таблица1[[#This Row],[Дата перевода]]-Таблица1[[#This Row],[Дата поступления]]</f>
        <v>0</v>
      </c>
      <c r="W611" s="2">
        <f>Таблица1[[#This Row],[Дата поступления]]-Таблица1[[#This Row],[Дата рождения]]</f>
        <v>0</v>
      </c>
    </row>
    <row r="612" spans="22:23" ht="24.95" customHeight="1" x14ac:dyDescent="0.25">
      <c r="V612" s="2">
        <f>Таблица1[[#This Row],[Дата перевода]]-Таблица1[[#This Row],[Дата поступления]]</f>
        <v>0</v>
      </c>
      <c r="W612" s="2">
        <f>Таблица1[[#This Row],[Дата поступления]]-Таблица1[[#This Row],[Дата рождения]]</f>
        <v>0</v>
      </c>
    </row>
    <row r="613" spans="22:23" ht="24.95" customHeight="1" x14ac:dyDescent="0.25">
      <c r="V613" s="2">
        <f>Таблица1[[#This Row],[Дата перевода]]-Таблица1[[#This Row],[Дата поступления]]</f>
        <v>0</v>
      </c>
      <c r="W613" s="2">
        <f>Таблица1[[#This Row],[Дата поступления]]-Таблица1[[#This Row],[Дата рождения]]</f>
        <v>0</v>
      </c>
    </row>
    <row r="614" spans="22:23" ht="24.95" customHeight="1" x14ac:dyDescent="0.25">
      <c r="V614" s="2">
        <f>Таблица1[[#This Row],[Дата перевода]]-Таблица1[[#This Row],[Дата поступления]]</f>
        <v>0</v>
      </c>
      <c r="W614" s="2">
        <f>Таблица1[[#This Row],[Дата поступления]]-Таблица1[[#This Row],[Дата рождения]]</f>
        <v>0</v>
      </c>
    </row>
    <row r="615" spans="22:23" ht="24.95" customHeight="1" x14ac:dyDescent="0.25">
      <c r="V615" s="2">
        <f>Таблица1[[#This Row],[Дата перевода]]-Таблица1[[#This Row],[Дата поступления]]</f>
        <v>0</v>
      </c>
      <c r="W615" s="2">
        <f>Таблица1[[#This Row],[Дата поступления]]-Таблица1[[#This Row],[Дата рождения]]</f>
        <v>0</v>
      </c>
    </row>
    <row r="616" spans="22:23" ht="24.95" customHeight="1" x14ac:dyDescent="0.25">
      <c r="V616" s="2">
        <f>Таблица1[[#This Row],[Дата перевода]]-Таблица1[[#This Row],[Дата поступления]]</f>
        <v>0</v>
      </c>
      <c r="W616" s="2">
        <f>Таблица1[[#This Row],[Дата поступления]]-Таблица1[[#This Row],[Дата рождения]]</f>
        <v>0</v>
      </c>
    </row>
    <row r="617" spans="22:23" ht="24.95" customHeight="1" x14ac:dyDescent="0.25">
      <c r="V617" s="2">
        <f>Таблица1[[#This Row],[Дата перевода]]-Таблица1[[#This Row],[Дата поступления]]</f>
        <v>0</v>
      </c>
      <c r="W617" s="2">
        <f>Таблица1[[#This Row],[Дата поступления]]-Таблица1[[#This Row],[Дата рождения]]</f>
        <v>0</v>
      </c>
    </row>
    <row r="618" spans="22:23" ht="24.95" customHeight="1" x14ac:dyDescent="0.25">
      <c r="V618" s="2">
        <f>Таблица1[[#This Row],[Дата перевода]]-Таблица1[[#This Row],[Дата поступления]]</f>
        <v>0</v>
      </c>
      <c r="W618" s="2">
        <f>Таблица1[[#This Row],[Дата поступления]]-Таблица1[[#This Row],[Дата рождения]]</f>
        <v>0</v>
      </c>
    </row>
    <row r="619" spans="22:23" ht="24.95" customHeight="1" x14ac:dyDescent="0.25">
      <c r="V619" s="2">
        <f>Таблица1[[#This Row],[Дата перевода]]-Таблица1[[#This Row],[Дата поступления]]</f>
        <v>0</v>
      </c>
      <c r="W619" s="2">
        <f>Таблица1[[#This Row],[Дата поступления]]-Таблица1[[#This Row],[Дата рождения]]</f>
        <v>0</v>
      </c>
    </row>
    <row r="620" spans="22:23" ht="24.95" customHeight="1" x14ac:dyDescent="0.25">
      <c r="V620" s="2">
        <f>Таблица1[[#This Row],[Дата перевода]]-Таблица1[[#This Row],[Дата поступления]]</f>
        <v>0</v>
      </c>
      <c r="W620" s="2">
        <f>Таблица1[[#This Row],[Дата поступления]]-Таблица1[[#This Row],[Дата рождения]]</f>
        <v>0</v>
      </c>
    </row>
    <row r="621" spans="22:23" ht="24.95" customHeight="1" x14ac:dyDescent="0.25">
      <c r="V621" s="2">
        <f>Таблица1[[#This Row],[Дата перевода]]-Таблица1[[#This Row],[Дата поступления]]</f>
        <v>0</v>
      </c>
      <c r="W621" s="2">
        <f>Таблица1[[#This Row],[Дата поступления]]-Таблица1[[#This Row],[Дата рождения]]</f>
        <v>0</v>
      </c>
    </row>
    <row r="622" spans="22:23" ht="24.95" customHeight="1" x14ac:dyDescent="0.25">
      <c r="V622" s="2">
        <f>Таблица1[[#This Row],[Дата перевода]]-Таблица1[[#This Row],[Дата поступления]]</f>
        <v>0</v>
      </c>
      <c r="W622" s="2">
        <f>Таблица1[[#This Row],[Дата поступления]]-Таблица1[[#This Row],[Дата рождения]]</f>
        <v>0</v>
      </c>
    </row>
    <row r="623" spans="22:23" ht="24.95" customHeight="1" x14ac:dyDescent="0.25">
      <c r="V623" s="2">
        <f>Таблица1[[#This Row],[Дата перевода]]-Таблица1[[#This Row],[Дата поступления]]</f>
        <v>0</v>
      </c>
      <c r="W623" s="2">
        <f>Таблица1[[#This Row],[Дата поступления]]-Таблица1[[#This Row],[Дата рождения]]</f>
        <v>0</v>
      </c>
    </row>
    <row r="624" spans="22:23" ht="24.95" customHeight="1" x14ac:dyDescent="0.25">
      <c r="V624" s="2">
        <f>Таблица1[[#This Row],[Дата перевода]]-Таблица1[[#This Row],[Дата поступления]]</f>
        <v>0</v>
      </c>
      <c r="W624" s="2">
        <f>Таблица1[[#This Row],[Дата поступления]]-Таблица1[[#This Row],[Дата рождения]]</f>
        <v>0</v>
      </c>
    </row>
    <row r="625" spans="22:23" ht="24.95" customHeight="1" x14ac:dyDescent="0.25">
      <c r="V625" s="2">
        <f>Таблица1[[#This Row],[Дата перевода]]-Таблица1[[#This Row],[Дата поступления]]</f>
        <v>0</v>
      </c>
      <c r="W625" s="2">
        <f>Таблица1[[#This Row],[Дата поступления]]-Таблица1[[#This Row],[Дата рождения]]</f>
        <v>0</v>
      </c>
    </row>
    <row r="626" spans="22:23" ht="24.95" customHeight="1" x14ac:dyDescent="0.25">
      <c r="V626" s="2">
        <f>Таблица1[[#This Row],[Дата перевода]]-Таблица1[[#This Row],[Дата поступления]]</f>
        <v>0</v>
      </c>
      <c r="W626" s="2">
        <f>Таблица1[[#This Row],[Дата поступления]]-Таблица1[[#This Row],[Дата рождения]]</f>
        <v>0</v>
      </c>
    </row>
    <row r="627" spans="22:23" ht="24.95" customHeight="1" x14ac:dyDescent="0.25">
      <c r="V627" s="2">
        <f>Таблица1[[#This Row],[Дата перевода]]-Таблица1[[#This Row],[Дата поступления]]</f>
        <v>0</v>
      </c>
      <c r="W627" s="2">
        <f>Таблица1[[#This Row],[Дата поступления]]-Таблица1[[#This Row],[Дата рождения]]</f>
        <v>0</v>
      </c>
    </row>
    <row r="628" spans="22:23" ht="24.95" customHeight="1" x14ac:dyDescent="0.25">
      <c r="V628" s="2">
        <f>Таблица1[[#This Row],[Дата перевода]]-Таблица1[[#This Row],[Дата поступления]]</f>
        <v>0</v>
      </c>
      <c r="W628" s="2">
        <f>Таблица1[[#This Row],[Дата поступления]]-Таблица1[[#This Row],[Дата рождения]]</f>
        <v>0</v>
      </c>
    </row>
    <row r="629" spans="22:23" ht="24.95" customHeight="1" x14ac:dyDescent="0.25">
      <c r="V629" s="2">
        <f>Таблица1[[#This Row],[Дата перевода]]-Таблица1[[#This Row],[Дата поступления]]</f>
        <v>0</v>
      </c>
      <c r="W629" s="2">
        <f>Таблица1[[#This Row],[Дата поступления]]-Таблица1[[#This Row],[Дата рождения]]</f>
        <v>0</v>
      </c>
    </row>
    <row r="630" spans="22:23" ht="24.95" customHeight="1" x14ac:dyDescent="0.25">
      <c r="V630" s="2">
        <f>Таблица1[[#This Row],[Дата перевода]]-Таблица1[[#This Row],[Дата поступления]]</f>
        <v>0</v>
      </c>
      <c r="W630" s="2">
        <f>Таблица1[[#This Row],[Дата поступления]]-Таблица1[[#This Row],[Дата рождения]]</f>
        <v>0</v>
      </c>
    </row>
    <row r="631" spans="22:23" ht="24.95" customHeight="1" x14ac:dyDescent="0.25">
      <c r="V631" s="2">
        <f>Таблица1[[#This Row],[Дата перевода]]-Таблица1[[#This Row],[Дата поступления]]</f>
        <v>0</v>
      </c>
      <c r="W631" s="2">
        <f>Таблица1[[#This Row],[Дата поступления]]-Таблица1[[#This Row],[Дата рождения]]</f>
        <v>0</v>
      </c>
    </row>
    <row r="632" spans="22:23" ht="24.95" customHeight="1" x14ac:dyDescent="0.25">
      <c r="V632" s="2">
        <f>Таблица1[[#This Row],[Дата перевода]]-Таблица1[[#This Row],[Дата поступления]]</f>
        <v>0</v>
      </c>
      <c r="W632" s="2">
        <f>Таблица1[[#This Row],[Дата поступления]]-Таблица1[[#This Row],[Дата рождения]]</f>
        <v>0</v>
      </c>
    </row>
    <row r="633" spans="22:23" ht="24.95" customHeight="1" x14ac:dyDescent="0.25">
      <c r="V633" s="2">
        <f>Таблица1[[#This Row],[Дата перевода]]-Таблица1[[#This Row],[Дата поступления]]</f>
        <v>0</v>
      </c>
      <c r="W633" s="2">
        <f>Таблица1[[#This Row],[Дата поступления]]-Таблица1[[#This Row],[Дата рождения]]</f>
        <v>0</v>
      </c>
    </row>
    <row r="634" spans="22:23" ht="24.95" customHeight="1" x14ac:dyDescent="0.25">
      <c r="V634" s="2">
        <f>Таблица1[[#This Row],[Дата перевода]]-Таблица1[[#This Row],[Дата поступления]]</f>
        <v>0</v>
      </c>
      <c r="W634" s="2">
        <f>Таблица1[[#This Row],[Дата поступления]]-Таблица1[[#This Row],[Дата рождения]]</f>
        <v>0</v>
      </c>
    </row>
    <row r="635" spans="22:23" ht="24.95" customHeight="1" x14ac:dyDescent="0.25">
      <c r="V635" s="2">
        <f>Таблица1[[#This Row],[Дата перевода]]-Таблица1[[#This Row],[Дата поступления]]</f>
        <v>0</v>
      </c>
      <c r="W635" s="2">
        <f>Таблица1[[#This Row],[Дата поступления]]-Таблица1[[#This Row],[Дата рождения]]</f>
        <v>0</v>
      </c>
    </row>
    <row r="636" spans="22:23" ht="24.95" customHeight="1" x14ac:dyDescent="0.25">
      <c r="V636" s="2">
        <f>Таблица1[[#This Row],[Дата перевода]]-Таблица1[[#This Row],[Дата поступления]]</f>
        <v>0</v>
      </c>
      <c r="W636" s="2">
        <f>Таблица1[[#This Row],[Дата поступления]]-Таблица1[[#This Row],[Дата рождения]]</f>
        <v>0</v>
      </c>
    </row>
    <row r="637" spans="22:23" ht="24.95" customHeight="1" x14ac:dyDescent="0.25">
      <c r="V637" s="2">
        <f>Таблица1[[#This Row],[Дата перевода]]-Таблица1[[#This Row],[Дата поступления]]</f>
        <v>0</v>
      </c>
      <c r="W637" s="2">
        <f>Таблица1[[#This Row],[Дата поступления]]-Таблица1[[#This Row],[Дата рождения]]</f>
        <v>0</v>
      </c>
    </row>
    <row r="638" spans="22:23" ht="24.95" customHeight="1" x14ac:dyDescent="0.25">
      <c r="V638" s="2">
        <f>Таблица1[[#This Row],[Дата перевода]]-Таблица1[[#This Row],[Дата поступления]]</f>
        <v>0</v>
      </c>
      <c r="W638" s="2">
        <f>Таблица1[[#This Row],[Дата поступления]]-Таблица1[[#This Row],[Дата рождения]]</f>
        <v>0</v>
      </c>
    </row>
    <row r="639" spans="22:23" ht="24.95" customHeight="1" x14ac:dyDescent="0.25">
      <c r="V639" s="2">
        <f>Таблица1[[#This Row],[Дата перевода]]-Таблица1[[#This Row],[Дата поступления]]</f>
        <v>0</v>
      </c>
      <c r="W639" s="2">
        <f>Таблица1[[#This Row],[Дата поступления]]-Таблица1[[#This Row],[Дата рождения]]</f>
        <v>0</v>
      </c>
    </row>
    <row r="640" spans="22:23" ht="24.95" customHeight="1" x14ac:dyDescent="0.25">
      <c r="V640" s="2">
        <f>Таблица1[[#This Row],[Дата перевода]]-Таблица1[[#This Row],[Дата поступления]]</f>
        <v>0</v>
      </c>
      <c r="W640" s="2">
        <f>Таблица1[[#This Row],[Дата поступления]]-Таблица1[[#This Row],[Дата рождения]]</f>
        <v>0</v>
      </c>
    </row>
    <row r="641" spans="22:23" ht="24.95" customHeight="1" x14ac:dyDescent="0.25">
      <c r="V641" s="2">
        <f>Таблица1[[#This Row],[Дата перевода]]-Таблица1[[#This Row],[Дата поступления]]</f>
        <v>0</v>
      </c>
      <c r="W641" s="2">
        <f>Таблица1[[#This Row],[Дата поступления]]-Таблица1[[#This Row],[Дата рождения]]</f>
        <v>0</v>
      </c>
    </row>
    <row r="642" spans="22:23" ht="24.95" customHeight="1" x14ac:dyDescent="0.25">
      <c r="V642" s="2">
        <f>Таблица1[[#This Row],[Дата перевода]]-Таблица1[[#This Row],[Дата поступления]]</f>
        <v>0</v>
      </c>
      <c r="W642" s="2">
        <f>Таблица1[[#This Row],[Дата поступления]]-Таблица1[[#This Row],[Дата рождения]]</f>
        <v>0</v>
      </c>
    </row>
    <row r="643" spans="22:23" ht="24.95" customHeight="1" x14ac:dyDescent="0.25">
      <c r="V643" s="2">
        <f>Таблица1[[#This Row],[Дата перевода]]-Таблица1[[#This Row],[Дата поступления]]</f>
        <v>0</v>
      </c>
      <c r="W643" s="2">
        <f>Таблица1[[#This Row],[Дата поступления]]-Таблица1[[#This Row],[Дата рождения]]</f>
        <v>0</v>
      </c>
    </row>
    <row r="644" spans="22:23" ht="24.95" customHeight="1" x14ac:dyDescent="0.25">
      <c r="V644" s="2">
        <f>Таблица1[[#This Row],[Дата перевода]]-Таблица1[[#This Row],[Дата поступления]]</f>
        <v>0</v>
      </c>
      <c r="W644" s="2">
        <f>Таблица1[[#This Row],[Дата поступления]]-Таблица1[[#This Row],[Дата рождения]]</f>
        <v>0</v>
      </c>
    </row>
    <row r="645" spans="22:23" ht="24.95" customHeight="1" x14ac:dyDescent="0.25">
      <c r="V645" s="2">
        <f>Таблица1[[#This Row],[Дата перевода]]-Таблица1[[#This Row],[Дата поступления]]</f>
        <v>0</v>
      </c>
      <c r="W645" s="2">
        <f>Таблица1[[#This Row],[Дата поступления]]-Таблица1[[#This Row],[Дата рождения]]</f>
        <v>0</v>
      </c>
    </row>
    <row r="646" spans="22:23" ht="24.95" customHeight="1" x14ac:dyDescent="0.25">
      <c r="V646" s="2">
        <f>Таблица1[[#This Row],[Дата перевода]]-Таблица1[[#This Row],[Дата поступления]]</f>
        <v>0</v>
      </c>
      <c r="W646" s="2">
        <f>Таблица1[[#This Row],[Дата поступления]]-Таблица1[[#This Row],[Дата рождения]]</f>
        <v>0</v>
      </c>
    </row>
    <row r="647" spans="22:23" ht="24.95" customHeight="1" x14ac:dyDescent="0.25">
      <c r="V647" s="2">
        <f>Таблица1[[#This Row],[Дата перевода]]-Таблица1[[#This Row],[Дата поступления]]</f>
        <v>0</v>
      </c>
      <c r="W647" s="2">
        <f>Таблица1[[#This Row],[Дата поступления]]-Таблица1[[#This Row],[Дата рождения]]</f>
        <v>0</v>
      </c>
    </row>
    <row r="648" spans="22:23" ht="24.95" customHeight="1" x14ac:dyDescent="0.25">
      <c r="V648" s="2">
        <f>Таблица1[[#This Row],[Дата перевода]]-Таблица1[[#This Row],[Дата поступления]]</f>
        <v>0</v>
      </c>
      <c r="W648" s="2">
        <f>Таблица1[[#This Row],[Дата поступления]]-Таблица1[[#This Row],[Дата рождения]]</f>
        <v>0</v>
      </c>
    </row>
    <row r="649" spans="22:23" ht="24.95" customHeight="1" x14ac:dyDescent="0.25">
      <c r="V649" s="2">
        <f>Таблица1[[#This Row],[Дата перевода]]-Таблица1[[#This Row],[Дата поступления]]</f>
        <v>0</v>
      </c>
      <c r="W649" s="2">
        <f>Таблица1[[#This Row],[Дата поступления]]-Таблица1[[#This Row],[Дата рождения]]</f>
        <v>0</v>
      </c>
    </row>
    <row r="650" spans="22:23" ht="24.95" customHeight="1" x14ac:dyDescent="0.25">
      <c r="V650" s="2">
        <f>Таблица1[[#This Row],[Дата перевода]]-Таблица1[[#This Row],[Дата поступления]]</f>
        <v>0</v>
      </c>
      <c r="W650" s="2">
        <f>Таблица1[[#This Row],[Дата поступления]]-Таблица1[[#This Row],[Дата рождения]]</f>
        <v>0</v>
      </c>
    </row>
    <row r="651" spans="22:23" ht="24.95" customHeight="1" x14ac:dyDescent="0.25">
      <c r="V651" s="2">
        <f>Таблица1[[#This Row],[Дата перевода]]-Таблица1[[#This Row],[Дата поступления]]</f>
        <v>0</v>
      </c>
      <c r="W651" s="2">
        <f>Таблица1[[#This Row],[Дата поступления]]-Таблица1[[#This Row],[Дата рождения]]</f>
        <v>0</v>
      </c>
    </row>
    <row r="652" spans="22:23" ht="24.95" customHeight="1" x14ac:dyDescent="0.25">
      <c r="V652" s="2">
        <f>Таблица1[[#This Row],[Дата перевода]]-Таблица1[[#This Row],[Дата поступления]]</f>
        <v>0</v>
      </c>
      <c r="W652" s="2">
        <f>Таблица1[[#This Row],[Дата поступления]]-Таблица1[[#This Row],[Дата рождения]]</f>
        <v>0</v>
      </c>
    </row>
    <row r="653" spans="22:23" ht="24.95" customHeight="1" x14ac:dyDescent="0.25">
      <c r="V653" s="2">
        <f>Таблица1[[#This Row],[Дата перевода]]-Таблица1[[#This Row],[Дата поступления]]</f>
        <v>0</v>
      </c>
      <c r="W653" s="2">
        <f>Таблица1[[#This Row],[Дата поступления]]-Таблица1[[#This Row],[Дата рождения]]</f>
        <v>0</v>
      </c>
    </row>
    <row r="654" spans="22:23" ht="24.95" customHeight="1" x14ac:dyDescent="0.25">
      <c r="V654" s="2">
        <f>Таблица1[[#This Row],[Дата перевода]]-Таблица1[[#This Row],[Дата поступления]]</f>
        <v>0</v>
      </c>
      <c r="W654" s="2">
        <f>Таблица1[[#This Row],[Дата поступления]]-Таблица1[[#This Row],[Дата рождения]]</f>
        <v>0</v>
      </c>
    </row>
    <row r="655" spans="22:23" ht="24.95" customHeight="1" x14ac:dyDescent="0.25">
      <c r="V655" s="2">
        <f>Таблица1[[#This Row],[Дата перевода]]-Таблица1[[#This Row],[Дата поступления]]</f>
        <v>0</v>
      </c>
      <c r="W655" s="2">
        <f>Таблица1[[#This Row],[Дата поступления]]-Таблица1[[#This Row],[Дата рождения]]</f>
        <v>0</v>
      </c>
    </row>
    <row r="656" spans="22:23" ht="24.95" customHeight="1" x14ac:dyDescent="0.25">
      <c r="V656" s="2">
        <f>Таблица1[[#This Row],[Дата перевода]]-Таблица1[[#This Row],[Дата поступления]]</f>
        <v>0</v>
      </c>
      <c r="W656" s="2">
        <f>Таблица1[[#This Row],[Дата поступления]]-Таблица1[[#This Row],[Дата рождения]]</f>
        <v>0</v>
      </c>
    </row>
    <row r="657" spans="22:23" ht="24.95" customHeight="1" x14ac:dyDescent="0.25">
      <c r="V657" s="2">
        <f>Таблица1[[#This Row],[Дата перевода]]-Таблица1[[#This Row],[Дата поступления]]</f>
        <v>0</v>
      </c>
      <c r="W657" s="2">
        <f>Таблица1[[#This Row],[Дата поступления]]-Таблица1[[#This Row],[Дата рождения]]</f>
        <v>0</v>
      </c>
    </row>
    <row r="658" spans="22:23" ht="24.95" customHeight="1" x14ac:dyDescent="0.25">
      <c r="V658" s="2">
        <f>Таблица1[[#This Row],[Дата перевода]]-Таблица1[[#This Row],[Дата поступления]]</f>
        <v>0</v>
      </c>
      <c r="W658" s="2">
        <f>Таблица1[[#This Row],[Дата поступления]]-Таблица1[[#This Row],[Дата рождения]]</f>
        <v>0</v>
      </c>
    </row>
    <row r="659" spans="22:23" ht="24.95" customHeight="1" x14ac:dyDescent="0.25">
      <c r="V659" s="2">
        <f>Таблица1[[#This Row],[Дата перевода]]-Таблица1[[#This Row],[Дата поступления]]</f>
        <v>0</v>
      </c>
      <c r="W659" s="2">
        <f>Таблица1[[#This Row],[Дата поступления]]-Таблица1[[#This Row],[Дата рождения]]</f>
        <v>0</v>
      </c>
    </row>
    <row r="660" spans="22:23" ht="24.95" customHeight="1" x14ac:dyDescent="0.25">
      <c r="V660" s="2">
        <f>Таблица1[[#This Row],[Дата перевода]]-Таблица1[[#This Row],[Дата поступления]]</f>
        <v>0</v>
      </c>
      <c r="W660" s="2">
        <f>Таблица1[[#This Row],[Дата поступления]]-Таблица1[[#This Row],[Дата рождения]]</f>
        <v>0</v>
      </c>
    </row>
    <row r="661" spans="22:23" ht="24.95" customHeight="1" x14ac:dyDescent="0.25">
      <c r="V661" s="2">
        <f>Таблица1[[#This Row],[Дата перевода]]-Таблица1[[#This Row],[Дата поступления]]</f>
        <v>0</v>
      </c>
      <c r="W661" s="2">
        <f>Таблица1[[#This Row],[Дата поступления]]-Таблица1[[#This Row],[Дата рождения]]</f>
        <v>0</v>
      </c>
    </row>
    <row r="662" spans="22:23" ht="24.95" customHeight="1" x14ac:dyDescent="0.25">
      <c r="V662" s="2">
        <f>Таблица1[[#This Row],[Дата перевода]]-Таблица1[[#This Row],[Дата поступления]]</f>
        <v>0</v>
      </c>
      <c r="W662" s="2">
        <f>Таблица1[[#This Row],[Дата поступления]]-Таблица1[[#This Row],[Дата рождения]]</f>
        <v>0</v>
      </c>
    </row>
    <row r="663" spans="22:23" ht="24.95" customHeight="1" x14ac:dyDescent="0.25">
      <c r="V663" s="2">
        <f>Таблица1[[#This Row],[Дата перевода]]-Таблица1[[#This Row],[Дата поступления]]</f>
        <v>0</v>
      </c>
      <c r="W663" s="2">
        <f>Таблица1[[#This Row],[Дата поступления]]-Таблица1[[#This Row],[Дата рождения]]</f>
        <v>0</v>
      </c>
    </row>
    <row r="664" spans="22:23" ht="24.95" customHeight="1" x14ac:dyDescent="0.25">
      <c r="V664" s="2">
        <f>Таблица1[[#This Row],[Дата перевода]]-Таблица1[[#This Row],[Дата поступления]]</f>
        <v>0</v>
      </c>
      <c r="W664" s="2">
        <f>Таблица1[[#This Row],[Дата поступления]]-Таблица1[[#This Row],[Дата рождения]]</f>
        <v>0</v>
      </c>
    </row>
    <row r="665" spans="22:23" ht="24.95" customHeight="1" x14ac:dyDescent="0.25">
      <c r="V665" s="2">
        <f>Таблица1[[#This Row],[Дата перевода]]-Таблица1[[#This Row],[Дата поступления]]</f>
        <v>0</v>
      </c>
      <c r="W665" s="2">
        <f>Таблица1[[#This Row],[Дата поступления]]-Таблица1[[#This Row],[Дата рождения]]</f>
        <v>0</v>
      </c>
    </row>
    <row r="666" spans="22:23" ht="24.95" customHeight="1" x14ac:dyDescent="0.25">
      <c r="V666" s="2">
        <f>Таблица1[[#This Row],[Дата перевода]]-Таблица1[[#This Row],[Дата поступления]]</f>
        <v>0</v>
      </c>
      <c r="W666" s="2">
        <f>Таблица1[[#This Row],[Дата поступления]]-Таблица1[[#This Row],[Дата рождения]]</f>
        <v>0</v>
      </c>
    </row>
    <row r="667" spans="22:23" ht="24.95" customHeight="1" x14ac:dyDescent="0.25">
      <c r="V667" s="2">
        <f>Таблица1[[#This Row],[Дата перевода]]-Таблица1[[#This Row],[Дата поступления]]</f>
        <v>0</v>
      </c>
      <c r="W667" s="2">
        <f>Таблица1[[#This Row],[Дата поступления]]-Таблица1[[#This Row],[Дата рождения]]</f>
        <v>0</v>
      </c>
    </row>
    <row r="668" spans="22:23" ht="24.95" customHeight="1" x14ac:dyDescent="0.25">
      <c r="V668" s="2">
        <f>Таблица1[[#This Row],[Дата перевода]]-Таблица1[[#This Row],[Дата поступления]]</f>
        <v>0</v>
      </c>
      <c r="W668" s="2">
        <f>Таблица1[[#This Row],[Дата поступления]]-Таблица1[[#This Row],[Дата рождения]]</f>
        <v>0</v>
      </c>
    </row>
    <row r="669" spans="22:23" ht="24.95" customHeight="1" x14ac:dyDescent="0.25">
      <c r="V669" s="2">
        <f>Таблица1[[#This Row],[Дата перевода]]-Таблица1[[#This Row],[Дата поступления]]</f>
        <v>0</v>
      </c>
      <c r="W669" s="2">
        <f>Таблица1[[#This Row],[Дата поступления]]-Таблица1[[#This Row],[Дата рождения]]</f>
        <v>0</v>
      </c>
    </row>
    <row r="670" spans="22:23" ht="24.95" customHeight="1" x14ac:dyDescent="0.25">
      <c r="V670" s="2">
        <f>Таблица1[[#This Row],[Дата перевода]]-Таблица1[[#This Row],[Дата поступления]]</f>
        <v>0</v>
      </c>
      <c r="W670" s="2">
        <f>Таблица1[[#This Row],[Дата поступления]]-Таблица1[[#This Row],[Дата рождения]]</f>
        <v>0</v>
      </c>
    </row>
    <row r="671" spans="22:23" ht="24.95" customHeight="1" x14ac:dyDescent="0.25">
      <c r="V671" s="2">
        <f>Таблица1[[#This Row],[Дата перевода]]-Таблица1[[#This Row],[Дата поступления]]</f>
        <v>0</v>
      </c>
      <c r="W671" s="2">
        <f>Таблица1[[#This Row],[Дата поступления]]-Таблица1[[#This Row],[Дата рождения]]</f>
        <v>0</v>
      </c>
    </row>
    <row r="672" spans="22:23" ht="24.95" customHeight="1" x14ac:dyDescent="0.25">
      <c r="V672" s="2">
        <f>Таблица1[[#This Row],[Дата перевода]]-Таблица1[[#This Row],[Дата поступления]]</f>
        <v>0</v>
      </c>
      <c r="W672" s="2">
        <f>Таблица1[[#This Row],[Дата поступления]]-Таблица1[[#This Row],[Дата рождения]]</f>
        <v>0</v>
      </c>
    </row>
    <row r="673" spans="22:23" ht="24.95" customHeight="1" x14ac:dyDescent="0.25">
      <c r="V673" s="2">
        <f>Таблица1[[#This Row],[Дата перевода]]-Таблица1[[#This Row],[Дата поступления]]</f>
        <v>0</v>
      </c>
      <c r="W673" s="2">
        <f>Таблица1[[#This Row],[Дата поступления]]-Таблица1[[#This Row],[Дата рождения]]</f>
        <v>0</v>
      </c>
    </row>
    <row r="674" spans="22:23" ht="24.95" customHeight="1" x14ac:dyDescent="0.25">
      <c r="V674" s="2">
        <f>Таблица1[[#This Row],[Дата перевода]]-Таблица1[[#This Row],[Дата поступления]]</f>
        <v>0</v>
      </c>
      <c r="W674" s="2">
        <f>Таблица1[[#This Row],[Дата поступления]]-Таблица1[[#This Row],[Дата рождения]]</f>
        <v>0</v>
      </c>
    </row>
    <row r="675" spans="22:23" ht="24.95" customHeight="1" x14ac:dyDescent="0.25">
      <c r="V675" s="2">
        <f>Таблица1[[#This Row],[Дата перевода]]-Таблица1[[#This Row],[Дата поступления]]</f>
        <v>0</v>
      </c>
      <c r="W675" s="2">
        <f>Таблица1[[#This Row],[Дата поступления]]-Таблица1[[#This Row],[Дата рождения]]</f>
        <v>0</v>
      </c>
    </row>
    <row r="676" spans="22:23" ht="24.95" customHeight="1" x14ac:dyDescent="0.25">
      <c r="V676" s="2">
        <f>Таблица1[[#This Row],[Дата перевода]]-Таблица1[[#This Row],[Дата поступления]]</f>
        <v>0</v>
      </c>
      <c r="W676" s="2">
        <f>Таблица1[[#This Row],[Дата поступления]]-Таблица1[[#This Row],[Дата рождения]]</f>
        <v>0</v>
      </c>
    </row>
    <row r="677" spans="22:23" ht="24.95" customHeight="1" x14ac:dyDescent="0.25">
      <c r="V677" s="2">
        <f>Таблица1[[#This Row],[Дата перевода]]-Таблица1[[#This Row],[Дата поступления]]</f>
        <v>0</v>
      </c>
      <c r="W677" s="2">
        <f>Таблица1[[#This Row],[Дата поступления]]-Таблица1[[#This Row],[Дата рождения]]</f>
        <v>0</v>
      </c>
    </row>
    <row r="678" spans="22:23" ht="24.95" customHeight="1" x14ac:dyDescent="0.25">
      <c r="V678" s="2">
        <f>Таблица1[[#This Row],[Дата перевода]]-Таблица1[[#This Row],[Дата поступления]]</f>
        <v>0</v>
      </c>
      <c r="W678" s="2">
        <f>Таблица1[[#This Row],[Дата поступления]]-Таблица1[[#This Row],[Дата рождения]]</f>
        <v>0</v>
      </c>
    </row>
    <row r="679" spans="22:23" ht="24.95" customHeight="1" x14ac:dyDescent="0.25">
      <c r="V679" s="2">
        <f>Таблица1[[#This Row],[Дата перевода]]-Таблица1[[#This Row],[Дата поступления]]</f>
        <v>0</v>
      </c>
      <c r="W679" s="2">
        <f>Таблица1[[#This Row],[Дата поступления]]-Таблица1[[#This Row],[Дата рождения]]</f>
        <v>0</v>
      </c>
    </row>
    <row r="680" spans="22:23" ht="24.95" customHeight="1" x14ac:dyDescent="0.25">
      <c r="V680" s="2">
        <f>Таблица1[[#This Row],[Дата перевода]]-Таблица1[[#This Row],[Дата поступления]]</f>
        <v>0</v>
      </c>
      <c r="W680" s="2">
        <f>Таблица1[[#This Row],[Дата поступления]]-Таблица1[[#This Row],[Дата рождения]]</f>
        <v>0</v>
      </c>
    </row>
    <row r="681" spans="22:23" ht="24.95" customHeight="1" x14ac:dyDescent="0.25">
      <c r="V681" s="2">
        <f>Таблица1[[#This Row],[Дата перевода]]-Таблица1[[#This Row],[Дата поступления]]</f>
        <v>0</v>
      </c>
      <c r="W681" s="2">
        <f>Таблица1[[#This Row],[Дата поступления]]-Таблица1[[#This Row],[Дата рождения]]</f>
        <v>0</v>
      </c>
    </row>
    <row r="682" spans="22:23" ht="24.95" customHeight="1" x14ac:dyDescent="0.25">
      <c r="V682" s="2">
        <f>Таблица1[[#This Row],[Дата перевода]]-Таблица1[[#This Row],[Дата поступления]]</f>
        <v>0</v>
      </c>
      <c r="W682" s="2">
        <f>Таблица1[[#This Row],[Дата поступления]]-Таблица1[[#This Row],[Дата рождения]]</f>
        <v>0</v>
      </c>
    </row>
    <row r="683" spans="22:23" ht="24.95" customHeight="1" x14ac:dyDescent="0.25">
      <c r="V683" s="2">
        <f>Таблица1[[#This Row],[Дата перевода]]-Таблица1[[#This Row],[Дата поступления]]</f>
        <v>0</v>
      </c>
      <c r="W683" s="2">
        <f>Таблица1[[#This Row],[Дата поступления]]-Таблица1[[#This Row],[Дата рождения]]</f>
        <v>0</v>
      </c>
    </row>
    <row r="684" spans="22:23" ht="24.95" customHeight="1" x14ac:dyDescent="0.25">
      <c r="V684" s="2">
        <f>Таблица1[[#This Row],[Дата перевода]]-Таблица1[[#This Row],[Дата поступления]]</f>
        <v>0</v>
      </c>
      <c r="W684" s="2">
        <f>Таблица1[[#This Row],[Дата поступления]]-Таблица1[[#This Row],[Дата рождения]]</f>
        <v>0</v>
      </c>
    </row>
    <row r="685" spans="22:23" ht="24.95" customHeight="1" x14ac:dyDescent="0.25">
      <c r="V685" s="2">
        <f>Таблица1[[#This Row],[Дата перевода]]-Таблица1[[#This Row],[Дата поступления]]</f>
        <v>0</v>
      </c>
      <c r="W685" s="2">
        <f>Таблица1[[#This Row],[Дата поступления]]-Таблица1[[#This Row],[Дата рождения]]</f>
        <v>0</v>
      </c>
    </row>
    <row r="686" spans="22:23" ht="24.95" customHeight="1" x14ac:dyDescent="0.25">
      <c r="V686" s="2">
        <f>Таблица1[[#This Row],[Дата перевода]]-Таблица1[[#This Row],[Дата поступления]]</f>
        <v>0</v>
      </c>
      <c r="W686" s="2">
        <f>Таблица1[[#This Row],[Дата поступления]]-Таблица1[[#This Row],[Дата рождения]]</f>
        <v>0</v>
      </c>
    </row>
    <row r="687" spans="22:23" ht="24.95" customHeight="1" x14ac:dyDescent="0.25">
      <c r="V687" s="2">
        <f>Таблица1[[#This Row],[Дата перевода]]-Таблица1[[#This Row],[Дата поступления]]</f>
        <v>0</v>
      </c>
      <c r="W687" s="2">
        <f>Таблица1[[#This Row],[Дата поступления]]-Таблица1[[#This Row],[Дата рождения]]</f>
        <v>0</v>
      </c>
    </row>
    <row r="688" spans="22:23" ht="24.95" customHeight="1" x14ac:dyDescent="0.25">
      <c r="V688" s="2">
        <f>Таблица1[[#This Row],[Дата перевода]]-Таблица1[[#This Row],[Дата поступления]]</f>
        <v>0</v>
      </c>
      <c r="W688" s="2">
        <f>Таблица1[[#This Row],[Дата поступления]]-Таблица1[[#This Row],[Дата рождения]]</f>
        <v>0</v>
      </c>
    </row>
    <row r="689" spans="22:23" ht="24.95" customHeight="1" x14ac:dyDescent="0.25">
      <c r="V689" s="2">
        <f>Таблица1[[#This Row],[Дата перевода]]-Таблица1[[#This Row],[Дата поступления]]</f>
        <v>0</v>
      </c>
      <c r="W689" s="2">
        <f>Таблица1[[#This Row],[Дата поступления]]-Таблица1[[#This Row],[Дата рождения]]</f>
        <v>0</v>
      </c>
    </row>
    <row r="690" spans="22:23" ht="24.95" customHeight="1" x14ac:dyDescent="0.25">
      <c r="V690" s="2">
        <f>Таблица1[[#This Row],[Дата перевода]]-Таблица1[[#This Row],[Дата поступления]]</f>
        <v>0</v>
      </c>
      <c r="W690" s="2">
        <f>Таблица1[[#This Row],[Дата поступления]]-Таблица1[[#This Row],[Дата рождения]]</f>
        <v>0</v>
      </c>
    </row>
    <row r="691" spans="22:23" ht="24.95" customHeight="1" x14ac:dyDescent="0.25">
      <c r="V691" s="2">
        <f>Таблица1[[#This Row],[Дата перевода]]-Таблица1[[#This Row],[Дата поступления]]</f>
        <v>0</v>
      </c>
      <c r="W691" s="2">
        <f>Таблица1[[#This Row],[Дата поступления]]-Таблица1[[#This Row],[Дата рождения]]</f>
        <v>0</v>
      </c>
    </row>
    <row r="692" spans="22:23" ht="24.95" customHeight="1" x14ac:dyDescent="0.25">
      <c r="V692" s="2">
        <f>Таблица1[[#This Row],[Дата перевода]]-Таблица1[[#This Row],[Дата поступления]]</f>
        <v>0</v>
      </c>
      <c r="W692" s="2">
        <f>Таблица1[[#This Row],[Дата поступления]]-Таблица1[[#This Row],[Дата рождения]]</f>
        <v>0</v>
      </c>
    </row>
    <row r="693" spans="22:23" ht="24.95" customHeight="1" x14ac:dyDescent="0.25">
      <c r="V693" s="2">
        <f>Таблица1[[#This Row],[Дата перевода]]-Таблица1[[#This Row],[Дата поступления]]</f>
        <v>0</v>
      </c>
      <c r="W693" s="2">
        <f>Таблица1[[#This Row],[Дата поступления]]-Таблица1[[#This Row],[Дата рождения]]</f>
        <v>0</v>
      </c>
    </row>
    <row r="694" spans="22:23" ht="24.95" customHeight="1" x14ac:dyDescent="0.25">
      <c r="V694" s="2">
        <f>Таблица1[[#This Row],[Дата перевода]]-Таблица1[[#This Row],[Дата поступления]]</f>
        <v>0</v>
      </c>
      <c r="W694" s="2">
        <f>Таблица1[[#This Row],[Дата поступления]]-Таблица1[[#This Row],[Дата рождения]]</f>
        <v>0</v>
      </c>
    </row>
    <row r="695" spans="22:23" ht="24.95" customHeight="1" x14ac:dyDescent="0.25">
      <c r="V695" s="2">
        <f>Таблица1[[#This Row],[Дата перевода]]-Таблица1[[#This Row],[Дата поступления]]</f>
        <v>0</v>
      </c>
      <c r="W695" s="2">
        <f>Таблица1[[#This Row],[Дата поступления]]-Таблица1[[#This Row],[Дата рождения]]</f>
        <v>0</v>
      </c>
    </row>
    <row r="696" spans="22:23" ht="24.95" customHeight="1" x14ac:dyDescent="0.25">
      <c r="V696" s="2">
        <f>Таблица1[[#This Row],[Дата перевода]]-Таблица1[[#This Row],[Дата поступления]]</f>
        <v>0</v>
      </c>
      <c r="W696" s="2">
        <f>Таблица1[[#This Row],[Дата поступления]]-Таблица1[[#This Row],[Дата рождения]]</f>
        <v>0</v>
      </c>
    </row>
    <row r="697" spans="22:23" ht="24.95" customHeight="1" x14ac:dyDescent="0.25">
      <c r="V697" s="2">
        <f>Таблица1[[#This Row],[Дата перевода]]-Таблица1[[#This Row],[Дата поступления]]</f>
        <v>0</v>
      </c>
      <c r="W697" s="2">
        <f>Таблица1[[#This Row],[Дата поступления]]-Таблица1[[#This Row],[Дата рождения]]</f>
        <v>0</v>
      </c>
    </row>
    <row r="698" spans="22:23" ht="24.95" customHeight="1" x14ac:dyDescent="0.25">
      <c r="V698" s="2">
        <f>Таблица1[[#This Row],[Дата перевода]]-Таблица1[[#This Row],[Дата поступления]]</f>
        <v>0</v>
      </c>
      <c r="W698" s="2">
        <f>Таблица1[[#This Row],[Дата поступления]]-Таблица1[[#This Row],[Дата рождения]]</f>
        <v>0</v>
      </c>
    </row>
    <row r="699" spans="22:23" ht="24.95" customHeight="1" x14ac:dyDescent="0.25">
      <c r="V699" s="2">
        <f>Таблица1[[#This Row],[Дата перевода]]-Таблица1[[#This Row],[Дата поступления]]</f>
        <v>0</v>
      </c>
      <c r="W699" s="2">
        <f>Таблица1[[#This Row],[Дата поступления]]-Таблица1[[#This Row],[Дата рождения]]</f>
        <v>0</v>
      </c>
    </row>
    <row r="700" spans="22:23" ht="24.95" customHeight="1" x14ac:dyDescent="0.25">
      <c r="V700" s="2">
        <f>Таблица1[[#This Row],[Дата перевода]]-Таблица1[[#This Row],[Дата поступления]]</f>
        <v>0</v>
      </c>
      <c r="W700" s="2">
        <f>Таблица1[[#This Row],[Дата поступления]]-Таблица1[[#This Row],[Дата рождения]]</f>
        <v>0</v>
      </c>
    </row>
    <row r="701" spans="22:23" ht="24.95" customHeight="1" x14ac:dyDescent="0.25">
      <c r="V701" s="2">
        <f>Таблица1[[#This Row],[Дата перевода]]-Таблица1[[#This Row],[Дата поступления]]</f>
        <v>0</v>
      </c>
      <c r="W701" s="2">
        <f>Таблица1[[#This Row],[Дата поступления]]-Таблица1[[#This Row],[Дата рождения]]</f>
        <v>0</v>
      </c>
    </row>
    <row r="702" spans="22:23" ht="24.95" customHeight="1" x14ac:dyDescent="0.25">
      <c r="V702" s="2">
        <f>Таблица1[[#This Row],[Дата перевода]]-Таблица1[[#This Row],[Дата поступления]]</f>
        <v>0</v>
      </c>
      <c r="W702" s="2">
        <f>Таблица1[[#This Row],[Дата поступления]]-Таблица1[[#This Row],[Дата рождения]]</f>
        <v>0</v>
      </c>
    </row>
    <row r="703" spans="22:23" ht="24.95" customHeight="1" x14ac:dyDescent="0.25">
      <c r="V703" s="2">
        <f>Таблица1[[#This Row],[Дата перевода]]-Таблица1[[#This Row],[Дата поступления]]</f>
        <v>0</v>
      </c>
      <c r="W703" s="2">
        <f>Таблица1[[#This Row],[Дата поступления]]-Таблица1[[#This Row],[Дата рождения]]</f>
        <v>0</v>
      </c>
    </row>
    <row r="704" spans="22:23" ht="24.95" customHeight="1" x14ac:dyDescent="0.25">
      <c r="V704" s="2">
        <f>Таблица1[[#This Row],[Дата перевода]]-Таблица1[[#This Row],[Дата поступления]]</f>
        <v>0</v>
      </c>
      <c r="W704" s="2">
        <f>Таблица1[[#This Row],[Дата поступления]]-Таблица1[[#This Row],[Дата рождения]]</f>
        <v>0</v>
      </c>
    </row>
    <row r="705" spans="22:23" ht="24.95" customHeight="1" x14ac:dyDescent="0.25">
      <c r="V705" s="2">
        <f>Таблица1[[#This Row],[Дата перевода]]-Таблица1[[#This Row],[Дата поступления]]</f>
        <v>0</v>
      </c>
      <c r="W705" s="2">
        <f>Таблица1[[#This Row],[Дата поступления]]-Таблица1[[#This Row],[Дата рождения]]</f>
        <v>0</v>
      </c>
    </row>
    <row r="706" spans="22:23" ht="24.95" customHeight="1" x14ac:dyDescent="0.25">
      <c r="V706" s="2">
        <f>Таблица1[[#This Row],[Дата перевода]]-Таблица1[[#This Row],[Дата поступления]]</f>
        <v>0</v>
      </c>
      <c r="W706" s="2">
        <f>Таблица1[[#This Row],[Дата поступления]]-Таблица1[[#This Row],[Дата рождения]]</f>
        <v>0</v>
      </c>
    </row>
    <row r="707" spans="22:23" ht="24.95" customHeight="1" x14ac:dyDescent="0.25">
      <c r="V707" s="2">
        <f>Таблица1[[#This Row],[Дата перевода]]-Таблица1[[#This Row],[Дата поступления]]</f>
        <v>0</v>
      </c>
      <c r="W707" s="2">
        <f>Таблица1[[#This Row],[Дата поступления]]-Таблица1[[#This Row],[Дата рождения]]</f>
        <v>0</v>
      </c>
    </row>
    <row r="708" spans="22:23" ht="24.95" customHeight="1" x14ac:dyDescent="0.25">
      <c r="V708" s="2">
        <f>Таблица1[[#This Row],[Дата перевода]]-Таблица1[[#This Row],[Дата поступления]]</f>
        <v>0</v>
      </c>
      <c r="W708" s="2">
        <f>Таблица1[[#This Row],[Дата поступления]]-Таблица1[[#This Row],[Дата рождения]]</f>
        <v>0</v>
      </c>
    </row>
    <row r="709" spans="22:23" ht="24.95" customHeight="1" x14ac:dyDescent="0.25">
      <c r="V709" s="2">
        <f>Таблица1[[#This Row],[Дата перевода]]-Таблица1[[#This Row],[Дата поступления]]</f>
        <v>0</v>
      </c>
      <c r="W709" s="2">
        <f>Таблица1[[#This Row],[Дата поступления]]-Таблица1[[#This Row],[Дата рождения]]</f>
        <v>0</v>
      </c>
    </row>
    <row r="710" spans="22:23" ht="24.95" customHeight="1" x14ac:dyDescent="0.25">
      <c r="V710" s="2">
        <f>Таблица1[[#This Row],[Дата перевода]]-Таблица1[[#This Row],[Дата поступления]]</f>
        <v>0</v>
      </c>
      <c r="W710" s="2">
        <f>Таблица1[[#This Row],[Дата поступления]]-Таблица1[[#This Row],[Дата рождения]]</f>
        <v>0</v>
      </c>
    </row>
    <row r="711" spans="22:23" ht="24.95" customHeight="1" x14ac:dyDescent="0.25">
      <c r="V711" s="2">
        <f>Таблица1[[#This Row],[Дата перевода]]-Таблица1[[#This Row],[Дата поступления]]</f>
        <v>0</v>
      </c>
      <c r="W711" s="2">
        <f>Таблица1[[#This Row],[Дата поступления]]-Таблица1[[#This Row],[Дата рождения]]</f>
        <v>0</v>
      </c>
    </row>
    <row r="712" spans="22:23" ht="24.95" customHeight="1" x14ac:dyDescent="0.25">
      <c r="V712" s="2">
        <f>Таблица1[[#This Row],[Дата перевода]]-Таблица1[[#This Row],[Дата поступления]]</f>
        <v>0</v>
      </c>
      <c r="W712" s="2">
        <f>Таблица1[[#This Row],[Дата поступления]]-Таблица1[[#This Row],[Дата рождения]]</f>
        <v>0</v>
      </c>
    </row>
    <row r="713" spans="22:23" ht="24.95" customHeight="1" x14ac:dyDescent="0.25">
      <c r="V713" s="2">
        <f>Таблица1[[#This Row],[Дата перевода]]-Таблица1[[#This Row],[Дата поступления]]</f>
        <v>0</v>
      </c>
      <c r="W713" s="2">
        <f>Таблица1[[#This Row],[Дата поступления]]-Таблица1[[#This Row],[Дата рождения]]</f>
        <v>0</v>
      </c>
    </row>
    <row r="714" spans="22:23" ht="24.95" customHeight="1" x14ac:dyDescent="0.25">
      <c r="V714" s="2">
        <f>Таблица1[[#This Row],[Дата перевода]]-Таблица1[[#This Row],[Дата поступления]]</f>
        <v>0</v>
      </c>
      <c r="W714" s="2">
        <f>Таблица1[[#This Row],[Дата поступления]]-Таблица1[[#This Row],[Дата рождения]]</f>
        <v>0</v>
      </c>
    </row>
    <row r="715" spans="22:23" ht="24.95" customHeight="1" x14ac:dyDescent="0.25">
      <c r="V715" s="2">
        <f>Таблица1[[#This Row],[Дата перевода]]-Таблица1[[#This Row],[Дата поступления]]</f>
        <v>0</v>
      </c>
      <c r="W715" s="2">
        <f>Таблица1[[#This Row],[Дата поступления]]-Таблица1[[#This Row],[Дата рождения]]</f>
        <v>0</v>
      </c>
    </row>
    <row r="716" spans="22:23" ht="24.95" customHeight="1" x14ac:dyDescent="0.25">
      <c r="V716" s="2">
        <f>Таблица1[[#This Row],[Дата перевода]]-Таблица1[[#This Row],[Дата поступления]]</f>
        <v>0</v>
      </c>
      <c r="W716" s="2">
        <f>Таблица1[[#This Row],[Дата поступления]]-Таблица1[[#This Row],[Дата рождения]]</f>
        <v>0</v>
      </c>
    </row>
    <row r="717" spans="22:23" ht="24.95" customHeight="1" x14ac:dyDescent="0.25">
      <c r="V717" s="2">
        <f>Таблица1[[#This Row],[Дата перевода]]-Таблица1[[#This Row],[Дата поступления]]</f>
        <v>0</v>
      </c>
      <c r="W717" s="2">
        <f>Таблица1[[#This Row],[Дата поступления]]-Таблица1[[#This Row],[Дата рождения]]</f>
        <v>0</v>
      </c>
    </row>
    <row r="718" spans="22:23" ht="24.95" customHeight="1" x14ac:dyDescent="0.25">
      <c r="V718" s="2">
        <f>Таблица1[[#This Row],[Дата перевода]]-Таблица1[[#This Row],[Дата поступления]]</f>
        <v>0</v>
      </c>
      <c r="W718" s="2">
        <f>Таблица1[[#This Row],[Дата поступления]]-Таблица1[[#This Row],[Дата рождения]]</f>
        <v>0</v>
      </c>
    </row>
    <row r="719" spans="22:23" ht="24.95" customHeight="1" x14ac:dyDescent="0.25">
      <c r="V719" s="2">
        <f>Таблица1[[#This Row],[Дата перевода]]-Таблица1[[#This Row],[Дата поступления]]</f>
        <v>0</v>
      </c>
      <c r="W719" s="2">
        <f>Таблица1[[#This Row],[Дата поступления]]-Таблица1[[#This Row],[Дата рождения]]</f>
        <v>0</v>
      </c>
    </row>
    <row r="720" spans="22:23" ht="24.95" customHeight="1" x14ac:dyDescent="0.25">
      <c r="V720" s="2">
        <f>Таблица1[[#This Row],[Дата перевода]]-Таблица1[[#This Row],[Дата поступления]]</f>
        <v>0</v>
      </c>
      <c r="W720" s="2">
        <f>Таблица1[[#This Row],[Дата поступления]]-Таблица1[[#This Row],[Дата рождения]]</f>
        <v>0</v>
      </c>
    </row>
    <row r="721" spans="22:23" ht="24.95" customHeight="1" x14ac:dyDescent="0.25">
      <c r="V721" s="2">
        <f>Таблица1[[#This Row],[Дата перевода]]-Таблица1[[#This Row],[Дата поступления]]</f>
        <v>0</v>
      </c>
      <c r="W721" s="2">
        <f>Таблица1[[#This Row],[Дата поступления]]-Таблица1[[#This Row],[Дата рождения]]</f>
        <v>0</v>
      </c>
    </row>
    <row r="722" spans="22:23" ht="24.95" customHeight="1" x14ac:dyDescent="0.25">
      <c r="V722" s="2">
        <f>Таблица1[[#This Row],[Дата перевода]]-Таблица1[[#This Row],[Дата поступления]]</f>
        <v>0</v>
      </c>
      <c r="W722" s="2">
        <f>Таблица1[[#This Row],[Дата поступления]]-Таблица1[[#This Row],[Дата рождения]]</f>
        <v>0</v>
      </c>
    </row>
    <row r="723" spans="22:23" ht="24.95" customHeight="1" x14ac:dyDescent="0.25">
      <c r="V723" s="2">
        <f>Таблица1[[#This Row],[Дата перевода]]-Таблица1[[#This Row],[Дата поступления]]</f>
        <v>0</v>
      </c>
      <c r="W723" s="2">
        <f>Таблица1[[#This Row],[Дата поступления]]-Таблица1[[#This Row],[Дата рождения]]</f>
        <v>0</v>
      </c>
    </row>
    <row r="724" spans="22:23" ht="24.95" customHeight="1" x14ac:dyDescent="0.25">
      <c r="V724" s="2">
        <f>Таблица1[[#This Row],[Дата перевода]]-Таблица1[[#This Row],[Дата поступления]]</f>
        <v>0</v>
      </c>
      <c r="W724" s="2">
        <f>Таблица1[[#This Row],[Дата поступления]]-Таблица1[[#This Row],[Дата рождения]]</f>
        <v>0</v>
      </c>
    </row>
    <row r="725" spans="22:23" ht="24.95" customHeight="1" x14ac:dyDescent="0.25">
      <c r="V725" s="2">
        <f>Таблица1[[#This Row],[Дата перевода]]-Таблица1[[#This Row],[Дата поступления]]</f>
        <v>0</v>
      </c>
      <c r="W725" s="2">
        <f>Таблица1[[#This Row],[Дата поступления]]-Таблица1[[#This Row],[Дата рождения]]</f>
        <v>0</v>
      </c>
    </row>
    <row r="726" spans="22:23" ht="24.95" customHeight="1" x14ac:dyDescent="0.25">
      <c r="V726" s="2">
        <f>Таблица1[[#This Row],[Дата перевода]]-Таблица1[[#This Row],[Дата поступления]]</f>
        <v>0</v>
      </c>
      <c r="W726" s="2">
        <f>Таблица1[[#This Row],[Дата поступления]]-Таблица1[[#This Row],[Дата рождения]]</f>
        <v>0</v>
      </c>
    </row>
    <row r="727" spans="22:23" ht="24.95" customHeight="1" x14ac:dyDescent="0.25">
      <c r="V727" s="2">
        <f>Таблица1[[#This Row],[Дата перевода]]-Таблица1[[#This Row],[Дата поступления]]</f>
        <v>0</v>
      </c>
      <c r="W727" s="2">
        <f>Таблица1[[#This Row],[Дата поступления]]-Таблица1[[#This Row],[Дата рождения]]</f>
        <v>0</v>
      </c>
    </row>
    <row r="728" spans="22:23" ht="24.95" customHeight="1" x14ac:dyDescent="0.25">
      <c r="V728" s="2">
        <f>Таблица1[[#This Row],[Дата перевода]]-Таблица1[[#This Row],[Дата поступления]]</f>
        <v>0</v>
      </c>
      <c r="W728" s="2">
        <f>Таблица1[[#This Row],[Дата поступления]]-Таблица1[[#This Row],[Дата рождения]]</f>
        <v>0</v>
      </c>
    </row>
    <row r="729" spans="22:23" ht="24.95" customHeight="1" x14ac:dyDescent="0.25">
      <c r="V729" s="2">
        <f>Таблица1[[#This Row],[Дата перевода]]-Таблица1[[#This Row],[Дата поступления]]</f>
        <v>0</v>
      </c>
      <c r="W729" s="2">
        <f>Таблица1[[#This Row],[Дата поступления]]-Таблица1[[#This Row],[Дата рождения]]</f>
        <v>0</v>
      </c>
    </row>
    <row r="730" spans="22:23" ht="24.95" customHeight="1" x14ac:dyDescent="0.25">
      <c r="V730" s="2">
        <f>Таблица1[[#This Row],[Дата перевода]]-Таблица1[[#This Row],[Дата поступления]]</f>
        <v>0</v>
      </c>
      <c r="W730" s="2">
        <f>Таблица1[[#This Row],[Дата поступления]]-Таблица1[[#This Row],[Дата рождения]]</f>
        <v>0</v>
      </c>
    </row>
    <row r="731" spans="22:23" ht="24.95" customHeight="1" x14ac:dyDescent="0.25">
      <c r="V731" s="2">
        <f>Таблица1[[#This Row],[Дата перевода]]-Таблица1[[#This Row],[Дата поступления]]</f>
        <v>0</v>
      </c>
      <c r="W731" s="2">
        <f>Таблица1[[#This Row],[Дата поступления]]-Таблица1[[#This Row],[Дата рождения]]</f>
        <v>0</v>
      </c>
    </row>
    <row r="732" spans="22:23" ht="24.95" customHeight="1" x14ac:dyDescent="0.25">
      <c r="V732" s="2">
        <f>Таблица1[[#This Row],[Дата перевода]]-Таблица1[[#This Row],[Дата поступления]]</f>
        <v>0</v>
      </c>
      <c r="W732" s="2">
        <f>Таблица1[[#This Row],[Дата поступления]]-Таблица1[[#This Row],[Дата рождения]]</f>
        <v>0</v>
      </c>
    </row>
    <row r="733" spans="22:23" ht="24.95" customHeight="1" x14ac:dyDescent="0.25">
      <c r="V733" s="2">
        <f>Таблица1[[#This Row],[Дата перевода]]-Таблица1[[#This Row],[Дата поступления]]</f>
        <v>0</v>
      </c>
      <c r="W733" s="2">
        <f>Таблица1[[#This Row],[Дата поступления]]-Таблица1[[#This Row],[Дата рождения]]</f>
        <v>0</v>
      </c>
    </row>
    <row r="734" spans="22:23" ht="24.95" customHeight="1" x14ac:dyDescent="0.25">
      <c r="V734" s="2">
        <f>Таблица1[[#This Row],[Дата перевода]]-Таблица1[[#This Row],[Дата поступления]]</f>
        <v>0</v>
      </c>
      <c r="W734" s="2">
        <f>Таблица1[[#This Row],[Дата поступления]]-Таблица1[[#This Row],[Дата рождения]]</f>
        <v>0</v>
      </c>
    </row>
    <row r="735" spans="22:23" ht="24.95" customHeight="1" x14ac:dyDescent="0.25">
      <c r="V735" s="2">
        <f>Таблица1[[#This Row],[Дата перевода]]-Таблица1[[#This Row],[Дата поступления]]</f>
        <v>0</v>
      </c>
      <c r="W735" s="2">
        <f>Таблица1[[#This Row],[Дата поступления]]-Таблица1[[#This Row],[Дата рождения]]</f>
        <v>0</v>
      </c>
    </row>
    <row r="736" spans="22:23" ht="24.95" customHeight="1" x14ac:dyDescent="0.25">
      <c r="V736" s="2">
        <f>Таблица1[[#This Row],[Дата перевода]]-Таблица1[[#This Row],[Дата поступления]]</f>
        <v>0</v>
      </c>
      <c r="W736" s="2">
        <f>Таблица1[[#This Row],[Дата поступления]]-Таблица1[[#This Row],[Дата рождения]]</f>
        <v>0</v>
      </c>
    </row>
    <row r="737" spans="22:23" ht="24.95" customHeight="1" x14ac:dyDescent="0.25">
      <c r="V737" s="2">
        <f>Таблица1[[#This Row],[Дата перевода]]-Таблица1[[#This Row],[Дата поступления]]</f>
        <v>0</v>
      </c>
      <c r="W737" s="2">
        <f>Таблица1[[#This Row],[Дата поступления]]-Таблица1[[#This Row],[Дата рождения]]</f>
        <v>0</v>
      </c>
    </row>
    <row r="738" spans="22:23" ht="24.95" customHeight="1" x14ac:dyDescent="0.25">
      <c r="V738" s="2">
        <f>Таблица1[[#This Row],[Дата перевода]]-Таблица1[[#This Row],[Дата поступления]]</f>
        <v>0</v>
      </c>
      <c r="W738" s="2">
        <f>Таблица1[[#This Row],[Дата поступления]]-Таблица1[[#This Row],[Дата рождения]]</f>
        <v>0</v>
      </c>
    </row>
    <row r="739" spans="22:23" ht="24.95" customHeight="1" x14ac:dyDescent="0.25">
      <c r="V739" s="2">
        <f>Таблица1[[#This Row],[Дата перевода]]-Таблица1[[#This Row],[Дата поступления]]</f>
        <v>0</v>
      </c>
      <c r="W739" s="2">
        <f>Таблица1[[#This Row],[Дата поступления]]-Таблица1[[#This Row],[Дата рождения]]</f>
        <v>0</v>
      </c>
    </row>
    <row r="740" spans="22:23" ht="24.95" customHeight="1" x14ac:dyDescent="0.25">
      <c r="V740" s="2">
        <f>Таблица1[[#This Row],[Дата перевода]]-Таблица1[[#This Row],[Дата поступления]]</f>
        <v>0</v>
      </c>
      <c r="W740" s="2">
        <f>Таблица1[[#This Row],[Дата поступления]]-Таблица1[[#This Row],[Дата рождения]]</f>
        <v>0</v>
      </c>
    </row>
    <row r="741" spans="22:23" ht="24.95" customHeight="1" x14ac:dyDescent="0.25">
      <c r="V741" s="2">
        <f>Таблица1[[#This Row],[Дата перевода]]-Таблица1[[#This Row],[Дата поступления]]</f>
        <v>0</v>
      </c>
      <c r="W741" s="2">
        <f>Таблица1[[#This Row],[Дата поступления]]-Таблица1[[#This Row],[Дата рождения]]</f>
        <v>0</v>
      </c>
    </row>
    <row r="742" spans="22:23" ht="24.95" customHeight="1" x14ac:dyDescent="0.25">
      <c r="V742" s="2">
        <f>Таблица1[[#This Row],[Дата перевода]]-Таблица1[[#This Row],[Дата поступления]]</f>
        <v>0</v>
      </c>
      <c r="W742" s="2">
        <f>Таблица1[[#This Row],[Дата поступления]]-Таблица1[[#This Row],[Дата рождения]]</f>
        <v>0</v>
      </c>
    </row>
    <row r="743" spans="22:23" ht="24.95" customHeight="1" x14ac:dyDescent="0.25">
      <c r="V743" s="2">
        <f>Таблица1[[#This Row],[Дата перевода]]-Таблица1[[#This Row],[Дата поступления]]</f>
        <v>0</v>
      </c>
      <c r="W743" s="2">
        <f>Таблица1[[#This Row],[Дата поступления]]-Таблица1[[#This Row],[Дата рождения]]</f>
        <v>0</v>
      </c>
    </row>
    <row r="744" spans="22:23" ht="24.95" customHeight="1" x14ac:dyDescent="0.25">
      <c r="V744" s="2">
        <f>Таблица1[[#This Row],[Дата перевода]]-Таблица1[[#This Row],[Дата поступления]]</f>
        <v>0</v>
      </c>
      <c r="W744" s="2">
        <f>Таблица1[[#This Row],[Дата поступления]]-Таблица1[[#This Row],[Дата рождения]]</f>
        <v>0</v>
      </c>
    </row>
    <row r="745" spans="22:23" ht="24.95" customHeight="1" x14ac:dyDescent="0.25">
      <c r="V745" s="2">
        <f>Таблица1[[#This Row],[Дата перевода]]-Таблица1[[#This Row],[Дата поступления]]</f>
        <v>0</v>
      </c>
      <c r="W745" s="2">
        <f>Таблица1[[#This Row],[Дата поступления]]-Таблица1[[#This Row],[Дата рождения]]</f>
        <v>0</v>
      </c>
    </row>
    <row r="746" spans="22:23" ht="24.95" customHeight="1" x14ac:dyDescent="0.25">
      <c r="V746" s="2">
        <f>Таблица1[[#This Row],[Дата перевода]]-Таблица1[[#This Row],[Дата поступления]]</f>
        <v>0</v>
      </c>
      <c r="W746" s="2">
        <f>Таблица1[[#This Row],[Дата поступления]]-Таблица1[[#This Row],[Дата рождения]]</f>
        <v>0</v>
      </c>
    </row>
    <row r="747" spans="22:23" ht="24.95" customHeight="1" x14ac:dyDescent="0.25">
      <c r="V747" s="2">
        <f>Таблица1[[#This Row],[Дата перевода]]-Таблица1[[#This Row],[Дата поступления]]</f>
        <v>0</v>
      </c>
      <c r="W747" s="2">
        <f>Таблица1[[#This Row],[Дата поступления]]-Таблица1[[#This Row],[Дата рождения]]</f>
        <v>0</v>
      </c>
    </row>
    <row r="748" spans="22:23" ht="24.95" customHeight="1" x14ac:dyDescent="0.25">
      <c r="V748" s="2">
        <f>Таблица1[[#This Row],[Дата перевода]]-Таблица1[[#This Row],[Дата поступления]]</f>
        <v>0</v>
      </c>
      <c r="W748" s="2">
        <f>Таблица1[[#This Row],[Дата поступления]]-Таблица1[[#This Row],[Дата рождения]]</f>
        <v>0</v>
      </c>
    </row>
    <row r="749" spans="22:23" ht="24.95" customHeight="1" x14ac:dyDescent="0.25">
      <c r="V749" s="2">
        <f>Таблица1[[#This Row],[Дата перевода]]-Таблица1[[#This Row],[Дата поступления]]</f>
        <v>0</v>
      </c>
      <c r="W749" s="2">
        <f>Таблица1[[#This Row],[Дата поступления]]-Таблица1[[#This Row],[Дата рождения]]</f>
        <v>0</v>
      </c>
    </row>
    <row r="750" spans="22:23" ht="24.95" customHeight="1" x14ac:dyDescent="0.25">
      <c r="V750" s="2">
        <f>Таблица1[[#This Row],[Дата перевода]]-Таблица1[[#This Row],[Дата поступления]]</f>
        <v>0</v>
      </c>
      <c r="W750" s="2">
        <f>Таблица1[[#This Row],[Дата поступления]]-Таблица1[[#This Row],[Дата рождения]]</f>
        <v>0</v>
      </c>
    </row>
    <row r="751" spans="22:23" ht="24.95" customHeight="1" x14ac:dyDescent="0.25">
      <c r="V751" s="2">
        <f>Таблица1[[#This Row],[Дата перевода]]-Таблица1[[#This Row],[Дата поступления]]</f>
        <v>0</v>
      </c>
      <c r="W751" s="2">
        <f>Таблица1[[#This Row],[Дата поступления]]-Таблица1[[#This Row],[Дата рождения]]</f>
        <v>0</v>
      </c>
    </row>
    <row r="752" spans="22:23" ht="24.95" customHeight="1" x14ac:dyDescent="0.25">
      <c r="V752" s="2">
        <f>Таблица1[[#This Row],[Дата перевода]]-Таблица1[[#This Row],[Дата поступления]]</f>
        <v>0</v>
      </c>
      <c r="W752" s="2">
        <f>Таблица1[[#This Row],[Дата поступления]]-Таблица1[[#This Row],[Дата рождения]]</f>
        <v>0</v>
      </c>
    </row>
    <row r="753" spans="22:23" ht="24.95" customHeight="1" x14ac:dyDescent="0.25">
      <c r="V753" s="2">
        <f>Таблица1[[#This Row],[Дата перевода]]-Таблица1[[#This Row],[Дата поступления]]</f>
        <v>0</v>
      </c>
      <c r="W753" s="2">
        <f>Таблица1[[#This Row],[Дата поступления]]-Таблица1[[#This Row],[Дата рождения]]</f>
        <v>0</v>
      </c>
    </row>
    <row r="754" spans="22:23" ht="24.95" customHeight="1" x14ac:dyDescent="0.25">
      <c r="V754" s="2">
        <f>Таблица1[[#This Row],[Дата перевода]]-Таблица1[[#This Row],[Дата поступления]]</f>
        <v>0</v>
      </c>
      <c r="W754" s="2">
        <f>Таблица1[[#This Row],[Дата поступления]]-Таблица1[[#This Row],[Дата рождения]]</f>
        <v>0</v>
      </c>
    </row>
    <row r="755" spans="22:23" ht="24.95" customHeight="1" x14ac:dyDescent="0.25">
      <c r="V755" s="2">
        <f>Таблица1[[#This Row],[Дата перевода]]-Таблица1[[#This Row],[Дата поступления]]</f>
        <v>0</v>
      </c>
      <c r="W755" s="2">
        <f>Таблица1[[#This Row],[Дата поступления]]-Таблица1[[#This Row],[Дата рождения]]</f>
        <v>0</v>
      </c>
    </row>
    <row r="756" spans="22:23" ht="24.95" customHeight="1" x14ac:dyDescent="0.25">
      <c r="V756" s="2">
        <f>Таблица1[[#This Row],[Дата перевода]]-Таблица1[[#This Row],[Дата поступления]]</f>
        <v>0</v>
      </c>
      <c r="W756" s="2">
        <f>Таблица1[[#This Row],[Дата поступления]]-Таблица1[[#This Row],[Дата рождения]]</f>
        <v>0</v>
      </c>
    </row>
    <row r="757" spans="22:23" ht="24.95" customHeight="1" x14ac:dyDescent="0.25">
      <c r="V757" s="2">
        <f>Таблица1[[#This Row],[Дата перевода]]-Таблица1[[#This Row],[Дата поступления]]</f>
        <v>0</v>
      </c>
      <c r="W757" s="2">
        <f>Таблица1[[#This Row],[Дата поступления]]-Таблица1[[#This Row],[Дата рождения]]</f>
        <v>0</v>
      </c>
    </row>
    <row r="758" spans="22:23" ht="24.95" customHeight="1" x14ac:dyDescent="0.25">
      <c r="V758" s="2">
        <f>Таблица1[[#This Row],[Дата перевода]]-Таблица1[[#This Row],[Дата поступления]]</f>
        <v>0</v>
      </c>
      <c r="W758" s="2">
        <f>Таблица1[[#This Row],[Дата поступления]]-Таблица1[[#This Row],[Дата рождения]]</f>
        <v>0</v>
      </c>
    </row>
    <row r="759" spans="22:23" ht="24.95" customHeight="1" x14ac:dyDescent="0.25">
      <c r="V759" s="2">
        <f>Таблица1[[#This Row],[Дата перевода]]-Таблица1[[#This Row],[Дата поступления]]</f>
        <v>0</v>
      </c>
      <c r="W759" s="2">
        <f>Таблица1[[#This Row],[Дата поступления]]-Таблица1[[#This Row],[Дата рождения]]</f>
        <v>0</v>
      </c>
    </row>
    <row r="760" spans="22:23" ht="24.95" customHeight="1" x14ac:dyDescent="0.25">
      <c r="V760" s="2">
        <f>Таблица1[[#This Row],[Дата перевода]]-Таблица1[[#This Row],[Дата поступления]]</f>
        <v>0</v>
      </c>
      <c r="W760" s="2">
        <f>Таблица1[[#This Row],[Дата поступления]]-Таблица1[[#This Row],[Дата рождения]]</f>
        <v>0</v>
      </c>
    </row>
    <row r="761" spans="22:23" ht="24.95" customHeight="1" x14ac:dyDescent="0.25">
      <c r="V761" s="2">
        <f>Таблица1[[#This Row],[Дата перевода]]-Таблица1[[#This Row],[Дата поступления]]</f>
        <v>0</v>
      </c>
      <c r="W761" s="2">
        <f>Таблица1[[#This Row],[Дата поступления]]-Таблица1[[#This Row],[Дата рождения]]</f>
        <v>0</v>
      </c>
    </row>
    <row r="762" spans="22:23" ht="24.95" customHeight="1" x14ac:dyDescent="0.25">
      <c r="V762" s="2">
        <f>Таблица1[[#This Row],[Дата перевода]]-Таблица1[[#This Row],[Дата поступления]]</f>
        <v>0</v>
      </c>
      <c r="W762" s="2">
        <f>Таблица1[[#This Row],[Дата поступления]]-Таблица1[[#This Row],[Дата рождения]]</f>
        <v>0</v>
      </c>
    </row>
    <row r="763" spans="22:23" ht="24.95" customHeight="1" x14ac:dyDescent="0.25">
      <c r="V763" s="2">
        <f>Таблица1[[#This Row],[Дата перевода]]-Таблица1[[#This Row],[Дата поступления]]</f>
        <v>0</v>
      </c>
      <c r="W763" s="2">
        <f>Таблица1[[#This Row],[Дата поступления]]-Таблица1[[#This Row],[Дата рождения]]</f>
        <v>0</v>
      </c>
    </row>
    <row r="764" spans="22:23" ht="24.95" customHeight="1" x14ac:dyDescent="0.25">
      <c r="V764" s="2">
        <f>Таблица1[[#This Row],[Дата перевода]]-Таблица1[[#This Row],[Дата поступления]]</f>
        <v>0</v>
      </c>
      <c r="W764" s="2">
        <f>Таблица1[[#This Row],[Дата поступления]]-Таблица1[[#This Row],[Дата рождения]]</f>
        <v>0</v>
      </c>
    </row>
    <row r="765" spans="22:23" ht="24.95" customHeight="1" x14ac:dyDescent="0.25">
      <c r="V765" s="2">
        <f>Таблица1[[#This Row],[Дата перевода]]-Таблица1[[#This Row],[Дата поступления]]</f>
        <v>0</v>
      </c>
      <c r="W765" s="2">
        <f>Таблица1[[#This Row],[Дата поступления]]-Таблица1[[#This Row],[Дата рождения]]</f>
        <v>0</v>
      </c>
    </row>
    <row r="766" spans="22:23" ht="24.95" customHeight="1" x14ac:dyDescent="0.25">
      <c r="V766" s="2">
        <f>Таблица1[[#This Row],[Дата перевода]]-Таблица1[[#This Row],[Дата поступления]]</f>
        <v>0</v>
      </c>
      <c r="W766" s="2">
        <f>Таблица1[[#This Row],[Дата поступления]]-Таблица1[[#This Row],[Дата рождения]]</f>
        <v>0</v>
      </c>
    </row>
    <row r="767" spans="22:23" ht="24.95" customHeight="1" x14ac:dyDescent="0.25">
      <c r="V767" s="2">
        <f>Таблица1[[#This Row],[Дата перевода]]-Таблица1[[#This Row],[Дата поступления]]</f>
        <v>0</v>
      </c>
      <c r="W767" s="2">
        <f>Таблица1[[#This Row],[Дата поступления]]-Таблица1[[#This Row],[Дата рождения]]</f>
        <v>0</v>
      </c>
    </row>
    <row r="768" spans="22:23" ht="24.95" customHeight="1" x14ac:dyDescent="0.25">
      <c r="V768" s="2">
        <f>Таблица1[[#This Row],[Дата перевода]]-Таблица1[[#This Row],[Дата поступления]]</f>
        <v>0</v>
      </c>
      <c r="W768" s="2">
        <f>Таблица1[[#This Row],[Дата поступления]]-Таблица1[[#This Row],[Дата рождения]]</f>
        <v>0</v>
      </c>
    </row>
    <row r="769" spans="22:23" ht="24.95" customHeight="1" x14ac:dyDescent="0.25">
      <c r="V769" s="2">
        <f>Таблица1[[#This Row],[Дата перевода]]-Таблица1[[#This Row],[Дата поступления]]</f>
        <v>0</v>
      </c>
      <c r="W769" s="2">
        <f>Таблица1[[#This Row],[Дата поступления]]-Таблица1[[#This Row],[Дата рождения]]</f>
        <v>0</v>
      </c>
    </row>
    <row r="770" spans="22:23" ht="24.95" customHeight="1" x14ac:dyDescent="0.25">
      <c r="V770" s="2">
        <f>Таблица1[[#This Row],[Дата перевода]]-Таблица1[[#This Row],[Дата поступления]]</f>
        <v>0</v>
      </c>
      <c r="W770" s="2">
        <f>Таблица1[[#This Row],[Дата поступления]]-Таблица1[[#This Row],[Дата рождения]]</f>
        <v>0</v>
      </c>
    </row>
    <row r="771" spans="22:23" ht="24.95" customHeight="1" x14ac:dyDescent="0.25">
      <c r="V771" s="2">
        <f>Таблица1[[#This Row],[Дата перевода]]-Таблица1[[#This Row],[Дата поступления]]</f>
        <v>0</v>
      </c>
      <c r="W771" s="2">
        <f>Таблица1[[#This Row],[Дата поступления]]-Таблица1[[#This Row],[Дата рождения]]</f>
        <v>0</v>
      </c>
    </row>
    <row r="772" spans="22:23" ht="24.95" customHeight="1" x14ac:dyDescent="0.25">
      <c r="V772" s="2">
        <f>Таблица1[[#This Row],[Дата перевода]]-Таблица1[[#This Row],[Дата поступления]]</f>
        <v>0</v>
      </c>
      <c r="W772" s="2">
        <f>Таблица1[[#This Row],[Дата поступления]]-Таблица1[[#This Row],[Дата рождения]]</f>
        <v>0</v>
      </c>
    </row>
    <row r="773" spans="22:23" ht="24.95" customHeight="1" x14ac:dyDescent="0.25">
      <c r="V773" s="2">
        <f>Таблица1[[#This Row],[Дата перевода]]-Таблица1[[#This Row],[Дата поступления]]</f>
        <v>0</v>
      </c>
      <c r="W773" s="2">
        <f>Таблица1[[#This Row],[Дата поступления]]-Таблица1[[#This Row],[Дата рождения]]</f>
        <v>0</v>
      </c>
    </row>
    <row r="774" spans="22:23" ht="24.95" customHeight="1" x14ac:dyDescent="0.25">
      <c r="V774" s="2">
        <f>Таблица1[[#This Row],[Дата перевода]]-Таблица1[[#This Row],[Дата поступления]]</f>
        <v>0</v>
      </c>
      <c r="W774" s="2">
        <f>Таблица1[[#This Row],[Дата поступления]]-Таблица1[[#This Row],[Дата рождения]]</f>
        <v>0</v>
      </c>
    </row>
    <row r="775" spans="22:23" ht="24.95" customHeight="1" x14ac:dyDescent="0.25">
      <c r="V775" s="2">
        <f>Таблица1[[#This Row],[Дата перевода]]-Таблица1[[#This Row],[Дата поступления]]</f>
        <v>0</v>
      </c>
      <c r="W775" s="2">
        <f>Таблица1[[#This Row],[Дата поступления]]-Таблица1[[#This Row],[Дата рождения]]</f>
        <v>0</v>
      </c>
    </row>
    <row r="776" spans="22:23" ht="24.95" customHeight="1" x14ac:dyDescent="0.25">
      <c r="V776" s="2">
        <f>Таблица1[[#This Row],[Дата перевода]]-Таблица1[[#This Row],[Дата поступления]]</f>
        <v>0</v>
      </c>
      <c r="W776" s="2">
        <f>Таблица1[[#This Row],[Дата поступления]]-Таблица1[[#This Row],[Дата рождения]]</f>
        <v>0</v>
      </c>
    </row>
    <row r="777" spans="22:23" ht="24.95" customHeight="1" x14ac:dyDescent="0.25">
      <c r="V777" s="2">
        <f>Таблица1[[#This Row],[Дата перевода]]-Таблица1[[#This Row],[Дата поступления]]</f>
        <v>0</v>
      </c>
      <c r="W777" s="2">
        <f>Таблица1[[#This Row],[Дата поступления]]-Таблица1[[#This Row],[Дата рождения]]</f>
        <v>0</v>
      </c>
    </row>
    <row r="778" spans="22:23" ht="24.95" customHeight="1" x14ac:dyDescent="0.25">
      <c r="V778" s="2">
        <f>Таблица1[[#This Row],[Дата перевода]]-Таблица1[[#This Row],[Дата поступления]]</f>
        <v>0</v>
      </c>
      <c r="W778" s="2">
        <f>Таблица1[[#This Row],[Дата поступления]]-Таблица1[[#This Row],[Дата рождения]]</f>
        <v>0</v>
      </c>
    </row>
    <row r="779" spans="22:23" ht="24.95" customHeight="1" x14ac:dyDescent="0.25">
      <c r="V779" s="2">
        <f>Таблица1[[#This Row],[Дата перевода]]-Таблица1[[#This Row],[Дата поступления]]</f>
        <v>0</v>
      </c>
      <c r="W779" s="2">
        <f>Таблица1[[#This Row],[Дата поступления]]-Таблица1[[#This Row],[Дата рождения]]</f>
        <v>0</v>
      </c>
    </row>
    <row r="780" spans="22:23" ht="24.95" customHeight="1" x14ac:dyDescent="0.25">
      <c r="V780" s="2">
        <f>Таблица1[[#This Row],[Дата перевода]]-Таблица1[[#This Row],[Дата поступления]]</f>
        <v>0</v>
      </c>
      <c r="W780" s="2">
        <f>Таблица1[[#This Row],[Дата поступления]]-Таблица1[[#This Row],[Дата рождения]]</f>
        <v>0</v>
      </c>
    </row>
    <row r="781" spans="22:23" ht="24.95" customHeight="1" x14ac:dyDescent="0.25">
      <c r="V781" s="2">
        <f>Таблица1[[#This Row],[Дата перевода]]-Таблица1[[#This Row],[Дата поступления]]</f>
        <v>0</v>
      </c>
      <c r="W781" s="2">
        <f>Таблица1[[#This Row],[Дата поступления]]-Таблица1[[#This Row],[Дата рождения]]</f>
        <v>0</v>
      </c>
    </row>
    <row r="782" spans="22:23" ht="24.95" customHeight="1" x14ac:dyDescent="0.25">
      <c r="V782" s="2">
        <f>Таблица1[[#This Row],[Дата перевода]]-Таблица1[[#This Row],[Дата поступления]]</f>
        <v>0</v>
      </c>
      <c r="W782" s="2">
        <f>Таблица1[[#This Row],[Дата поступления]]-Таблица1[[#This Row],[Дата рождения]]</f>
        <v>0</v>
      </c>
    </row>
    <row r="783" spans="22:23" ht="24.95" customHeight="1" x14ac:dyDescent="0.25">
      <c r="V783" s="2">
        <f>Таблица1[[#This Row],[Дата перевода]]-Таблица1[[#This Row],[Дата поступления]]</f>
        <v>0</v>
      </c>
      <c r="W783" s="2">
        <f>Таблица1[[#This Row],[Дата поступления]]-Таблица1[[#This Row],[Дата рождения]]</f>
        <v>0</v>
      </c>
    </row>
    <row r="784" spans="22:23" ht="24.95" customHeight="1" x14ac:dyDescent="0.25">
      <c r="V784" s="2">
        <f>Таблица1[[#This Row],[Дата перевода]]-Таблица1[[#This Row],[Дата поступления]]</f>
        <v>0</v>
      </c>
      <c r="W784" s="2">
        <f>Таблица1[[#This Row],[Дата поступления]]-Таблица1[[#This Row],[Дата рождения]]</f>
        <v>0</v>
      </c>
    </row>
    <row r="785" spans="22:23" ht="24.95" customHeight="1" x14ac:dyDescent="0.25">
      <c r="V785" s="2">
        <f>Таблица1[[#This Row],[Дата перевода]]-Таблица1[[#This Row],[Дата поступления]]</f>
        <v>0</v>
      </c>
      <c r="W785" s="2">
        <f>Таблица1[[#This Row],[Дата поступления]]-Таблица1[[#This Row],[Дата рождения]]</f>
        <v>0</v>
      </c>
    </row>
    <row r="786" spans="22:23" ht="24.95" customHeight="1" x14ac:dyDescent="0.25">
      <c r="V786" s="2">
        <f>Таблица1[[#This Row],[Дата перевода]]-Таблица1[[#This Row],[Дата поступления]]</f>
        <v>0</v>
      </c>
      <c r="W786" s="2">
        <f>Таблица1[[#This Row],[Дата поступления]]-Таблица1[[#This Row],[Дата рождения]]</f>
        <v>0</v>
      </c>
    </row>
    <row r="787" spans="22:23" ht="24.95" customHeight="1" x14ac:dyDescent="0.25">
      <c r="V787" s="2">
        <f>Таблица1[[#This Row],[Дата перевода]]-Таблица1[[#This Row],[Дата поступления]]</f>
        <v>0</v>
      </c>
      <c r="W787" s="2">
        <f>Таблица1[[#This Row],[Дата поступления]]-Таблица1[[#This Row],[Дата рождения]]</f>
        <v>0</v>
      </c>
    </row>
    <row r="788" spans="22:23" ht="24.95" customHeight="1" x14ac:dyDescent="0.25">
      <c r="V788" s="2">
        <f>Таблица1[[#This Row],[Дата перевода]]-Таблица1[[#This Row],[Дата поступления]]</f>
        <v>0</v>
      </c>
      <c r="W788" s="2">
        <f>Таблица1[[#This Row],[Дата поступления]]-Таблица1[[#This Row],[Дата рождения]]</f>
        <v>0</v>
      </c>
    </row>
    <row r="789" spans="22:23" ht="24.95" customHeight="1" x14ac:dyDescent="0.25">
      <c r="V789" s="2">
        <f>Таблица1[[#This Row],[Дата перевода]]-Таблица1[[#This Row],[Дата поступления]]</f>
        <v>0</v>
      </c>
      <c r="W789" s="2">
        <f>Таблица1[[#This Row],[Дата поступления]]-Таблица1[[#This Row],[Дата рождения]]</f>
        <v>0</v>
      </c>
    </row>
    <row r="790" spans="22:23" ht="24.95" customHeight="1" x14ac:dyDescent="0.25">
      <c r="V790" s="2">
        <f>Таблица1[[#This Row],[Дата перевода]]-Таблица1[[#This Row],[Дата поступления]]</f>
        <v>0</v>
      </c>
      <c r="W790" s="2">
        <f>Таблица1[[#This Row],[Дата поступления]]-Таблица1[[#This Row],[Дата рождения]]</f>
        <v>0</v>
      </c>
    </row>
    <row r="791" spans="22:23" ht="24.95" customHeight="1" x14ac:dyDescent="0.25">
      <c r="V791" s="2">
        <f>Таблица1[[#This Row],[Дата перевода]]-Таблица1[[#This Row],[Дата поступления]]</f>
        <v>0</v>
      </c>
      <c r="W791" s="2">
        <f>Таблица1[[#This Row],[Дата поступления]]-Таблица1[[#This Row],[Дата рождения]]</f>
        <v>0</v>
      </c>
    </row>
    <row r="792" spans="22:23" ht="24.95" customHeight="1" x14ac:dyDescent="0.25">
      <c r="V792" s="2">
        <f>Таблица1[[#This Row],[Дата перевода]]-Таблица1[[#This Row],[Дата поступления]]</f>
        <v>0</v>
      </c>
      <c r="W792" s="2">
        <f>Таблица1[[#This Row],[Дата поступления]]-Таблица1[[#This Row],[Дата рождения]]</f>
        <v>0</v>
      </c>
    </row>
    <row r="793" spans="22:23" ht="24.95" customHeight="1" x14ac:dyDescent="0.25">
      <c r="V793" s="2">
        <f>Таблица1[[#This Row],[Дата перевода]]-Таблица1[[#This Row],[Дата поступления]]</f>
        <v>0</v>
      </c>
      <c r="W793" s="2">
        <f>Таблица1[[#This Row],[Дата поступления]]-Таблица1[[#This Row],[Дата рождения]]</f>
        <v>0</v>
      </c>
    </row>
    <row r="794" spans="22:23" ht="24.95" customHeight="1" x14ac:dyDescent="0.25">
      <c r="V794" s="2">
        <f>Таблица1[[#This Row],[Дата перевода]]-Таблица1[[#This Row],[Дата поступления]]</f>
        <v>0</v>
      </c>
      <c r="W794" s="2">
        <f>Таблица1[[#This Row],[Дата поступления]]-Таблица1[[#This Row],[Дата рождения]]</f>
        <v>0</v>
      </c>
    </row>
    <row r="795" spans="22:23" ht="24.95" customHeight="1" x14ac:dyDescent="0.25">
      <c r="V795" s="2">
        <f>Таблица1[[#This Row],[Дата перевода]]-Таблица1[[#This Row],[Дата поступления]]</f>
        <v>0</v>
      </c>
      <c r="W795" s="2">
        <f>Таблица1[[#This Row],[Дата поступления]]-Таблица1[[#This Row],[Дата рождения]]</f>
        <v>0</v>
      </c>
    </row>
    <row r="796" spans="22:23" ht="24.95" customHeight="1" x14ac:dyDescent="0.25">
      <c r="V796" s="2">
        <f>Таблица1[[#This Row],[Дата перевода]]-Таблица1[[#This Row],[Дата поступления]]</f>
        <v>0</v>
      </c>
      <c r="W796" s="2">
        <f>Таблица1[[#This Row],[Дата поступления]]-Таблица1[[#This Row],[Дата рождения]]</f>
        <v>0</v>
      </c>
    </row>
    <row r="797" spans="22:23" ht="24.95" customHeight="1" x14ac:dyDescent="0.25">
      <c r="V797" s="2">
        <f>Таблица1[[#This Row],[Дата перевода]]-Таблица1[[#This Row],[Дата поступления]]</f>
        <v>0</v>
      </c>
      <c r="W797" s="2">
        <f>Таблица1[[#This Row],[Дата поступления]]-Таблица1[[#This Row],[Дата рождения]]</f>
        <v>0</v>
      </c>
    </row>
    <row r="798" spans="22:23" ht="24.95" customHeight="1" x14ac:dyDescent="0.25">
      <c r="V798" s="2">
        <f>Таблица1[[#This Row],[Дата перевода]]-Таблица1[[#This Row],[Дата поступления]]</f>
        <v>0</v>
      </c>
      <c r="W798" s="2">
        <f>Таблица1[[#This Row],[Дата поступления]]-Таблица1[[#This Row],[Дата рождения]]</f>
        <v>0</v>
      </c>
    </row>
    <row r="799" spans="22:23" ht="24.95" customHeight="1" x14ac:dyDescent="0.25">
      <c r="V799" s="2">
        <f>Таблица1[[#This Row],[Дата перевода]]-Таблица1[[#This Row],[Дата поступления]]</f>
        <v>0</v>
      </c>
      <c r="W799" s="2">
        <f>Таблица1[[#This Row],[Дата поступления]]-Таблица1[[#This Row],[Дата рождения]]</f>
        <v>0</v>
      </c>
    </row>
    <row r="800" spans="22:23" ht="24.95" customHeight="1" x14ac:dyDescent="0.25">
      <c r="V800" s="2">
        <f>Таблица1[[#This Row],[Дата перевода]]-Таблица1[[#This Row],[Дата поступления]]</f>
        <v>0</v>
      </c>
      <c r="W800" s="2">
        <f>Таблица1[[#This Row],[Дата поступления]]-Таблица1[[#This Row],[Дата рождения]]</f>
        <v>0</v>
      </c>
    </row>
    <row r="801" spans="22:23" ht="24.95" customHeight="1" x14ac:dyDescent="0.25">
      <c r="V801" s="2">
        <f>Таблица1[[#This Row],[Дата перевода]]-Таблица1[[#This Row],[Дата поступления]]</f>
        <v>0</v>
      </c>
      <c r="W801" s="2">
        <f>Таблица1[[#This Row],[Дата поступления]]-Таблица1[[#This Row],[Дата рождения]]</f>
        <v>0</v>
      </c>
    </row>
    <row r="802" spans="22:23" ht="24.95" customHeight="1" x14ac:dyDescent="0.25">
      <c r="V802" s="2">
        <f>Таблица1[[#This Row],[Дата перевода]]-Таблица1[[#This Row],[Дата поступления]]</f>
        <v>0</v>
      </c>
      <c r="W802" s="2">
        <f>Таблица1[[#This Row],[Дата поступления]]-Таблица1[[#This Row],[Дата рождения]]</f>
        <v>0</v>
      </c>
    </row>
    <row r="803" spans="22:23" ht="24.95" customHeight="1" x14ac:dyDescent="0.25">
      <c r="V803" s="2">
        <f>Таблица1[[#This Row],[Дата перевода]]-Таблица1[[#This Row],[Дата поступления]]</f>
        <v>0</v>
      </c>
      <c r="W803" s="2">
        <f>Таблица1[[#This Row],[Дата поступления]]-Таблица1[[#This Row],[Дата рождения]]</f>
        <v>0</v>
      </c>
    </row>
    <row r="804" spans="22:23" ht="24.95" customHeight="1" x14ac:dyDescent="0.25">
      <c r="V804" s="2">
        <f>Таблица1[[#This Row],[Дата перевода]]-Таблица1[[#This Row],[Дата поступления]]</f>
        <v>0</v>
      </c>
      <c r="W804" s="2">
        <f>Таблица1[[#This Row],[Дата поступления]]-Таблица1[[#This Row],[Дата рождения]]</f>
        <v>0</v>
      </c>
    </row>
    <row r="805" spans="22:23" ht="24.95" customHeight="1" x14ac:dyDescent="0.25">
      <c r="V805" s="2">
        <f>Таблица1[[#This Row],[Дата перевода]]-Таблица1[[#This Row],[Дата поступления]]</f>
        <v>0</v>
      </c>
      <c r="W805" s="2">
        <f>Таблица1[[#This Row],[Дата поступления]]-Таблица1[[#This Row],[Дата рождения]]</f>
        <v>0</v>
      </c>
    </row>
    <row r="806" spans="22:23" ht="24.95" customHeight="1" x14ac:dyDescent="0.25">
      <c r="V806" s="2">
        <f>Таблица1[[#This Row],[Дата перевода]]-Таблица1[[#This Row],[Дата поступления]]</f>
        <v>0</v>
      </c>
      <c r="W806" s="2">
        <f>Таблица1[[#This Row],[Дата поступления]]-Таблица1[[#This Row],[Дата рождения]]</f>
        <v>0</v>
      </c>
    </row>
    <row r="807" spans="22:23" ht="24.95" customHeight="1" x14ac:dyDescent="0.25">
      <c r="V807" s="2">
        <f>Таблица1[[#This Row],[Дата перевода]]-Таблица1[[#This Row],[Дата поступления]]</f>
        <v>0</v>
      </c>
      <c r="W807" s="2">
        <f>Таблица1[[#This Row],[Дата поступления]]-Таблица1[[#This Row],[Дата рождения]]</f>
        <v>0</v>
      </c>
    </row>
    <row r="808" spans="22:23" ht="24.95" customHeight="1" x14ac:dyDescent="0.25">
      <c r="V808" s="2">
        <f>Таблица1[[#This Row],[Дата перевода]]-Таблица1[[#This Row],[Дата поступления]]</f>
        <v>0</v>
      </c>
      <c r="W808" s="2">
        <f>Таблица1[[#This Row],[Дата поступления]]-Таблица1[[#This Row],[Дата рождения]]</f>
        <v>0</v>
      </c>
    </row>
    <row r="809" spans="22:23" ht="24.95" customHeight="1" x14ac:dyDescent="0.25">
      <c r="V809" s="2">
        <f>Таблица1[[#This Row],[Дата перевода]]-Таблица1[[#This Row],[Дата поступления]]</f>
        <v>0</v>
      </c>
      <c r="W809" s="2">
        <f>Таблица1[[#This Row],[Дата поступления]]-Таблица1[[#This Row],[Дата рождения]]</f>
        <v>0</v>
      </c>
    </row>
    <row r="810" spans="22:23" ht="24.95" customHeight="1" x14ac:dyDescent="0.25">
      <c r="V810" s="2">
        <f>Таблица1[[#This Row],[Дата перевода]]-Таблица1[[#This Row],[Дата поступления]]</f>
        <v>0</v>
      </c>
      <c r="W810" s="2">
        <f>Таблица1[[#This Row],[Дата поступления]]-Таблица1[[#This Row],[Дата рождения]]</f>
        <v>0</v>
      </c>
    </row>
    <row r="811" spans="22:23" ht="24.95" customHeight="1" x14ac:dyDescent="0.25">
      <c r="V811" s="2">
        <f>Таблица1[[#This Row],[Дата перевода]]-Таблица1[[#This Row],[Дата поступления]]</f>
        <v>0</v>
      </c>
      <c r="W811" s="2">
        <f>Таблица1[[#This Row],[Дата поступления]]-Таблица1[[#This Row],[Дата рождения]]</f>
        <v>0</v>
      </c>
    </row>
    <row r="812" spans="22:23" ht="24.95" customHeight="1" x14ac:dyDescent="0.25">
      <c r="V812" s="2">
        <f>Таблица1[[#This Row],[Дата перевода]]-Таблица1[[#This Row],[Дата поступления]]</f>
        <v>0</v>
      </c>
      <c r="W812" s="2">
        <f>Таблица1[[#This Row],[Дата поступления]]-Таблица1[[#This Row],[Дата рождения]]</f>
        <v>0</v>
      </c>
    </row>
    <row r="813" spans="22:23" ht="24.95" customHeight="1" x14ac:dyDescent="0.25">
      <c r="V813" s="2">
        <f>Таблица1[[#This Row],[Дата перевода]]-Таблица1[[#This Row],[Дата поступления]]</f>
        <v>0</v>
      </c>
      <c r="W813" s="2">
        <f>Таблица1[[#This Row],[Дата поступления]]-Таблица1[[#This Row],[Дата рождения]]</f>
        <v>0</v>
      </c>
    </row>
    <row r="814" spans="22:23" ht="24.95" customHeight="1" x14ac:dyDescent="0.25">
      <c r="V814" s="2">
        <f>Таблица1[[#This Row],[Дата перевода]]-Таблица1[[#This Row],[Дата поступления]]</f>
        <v>0</v>
      </c>
      <c r="W814" s="2">
        <f>Таблица1[[#This Row],[Дата поступления]]-Таблица1[[#This Row],[Дата рождения]]</f>
        <v>0</v>
      </c>
    </row>
    <row r="815" spans="22:23" ht="24.95" customHeight="1" x14ac:dyDescent="0.25">
      <c r="V815" s="2">
        <f>Таблица1[[#This Row],[Дата перевода]]-Таблица1[[#This Row],[Дата поступления]]</f>
        <v>0</v>
      </c>
      <c r="W815" s="2">
        <f>Таблица1[[#This Row],[Дата поступления]]-Таблица1[[#This Row],[Дата рождения]]</f>
        <v>0</v>
      </c>
    </row>
    <row r="816" spans="22:23" ht="24.95" customHeight="1" x14ac:dyDescent="0.25">
      <c r="V816" s="2">
        <f>Таблица1[[#This Row],[Дата перевода]]-Таблица1[[#This Row],[Дата поступления]]</f>
        <v>0</v>
      </c>
      <c r="W816" s="2">
        <f>Таблица1[[#This Row],[Дата поступления]]-Таблица1[[#This Row],[Дата рождения]]</f>
        <v>0</v>
      </c>
    </row>
    <row r="817" spans="22:23" ht="24.95" customHeight="1" x14ac:dyDescent="0.25">
      <c r="V817" s="2">
        <f>Таблица1[[#This Row],[Дата перевода]]-Таблица1[[#This Row],[Дата поступления]]</f>
        <v>0</v>
      </c>
      <c r="W817" s="2">
        <f>Таблица1[[#This Row],[Дата поступления]]-Таблица1[[#This Row],[Дата рождения]]</f>
        <v>0</v>
      </c>
    </row>
    <row r="818" spans="22:23" ht="24.95" customHeight="1" x14ac:dyDescent="0.25">
      <c r="V818" s="2">
        <f>Таблица1[[#This Row],[Дата перевода]]-Таблица1[[#This Row],[Дата поступления]]</f>
        <v>0</v>
      </c>
      <c r="W818" s="2">
        <f>Таблица1[[#This Row],[Дата поступления]]-Таблица1[[#This Row],[Дата рождения]]</f>
        <v>0</v>
      </c>
    </row>
    <row r="819" spans="22:23" ht="24.95" customHeight="1" x14ac:dyDescent="0.25">
      <c r="V819" s="2">
        <f>Таблица1[[#This Row],[Дата перевода]]-Таблица1[[#This Row],[Дата поступления]]</f>
        <v>0</v>
      </c>
      <c r="W819" s="2">
        <f>Таблица1[[#This Row],[Дата поступления]]-Таблица1[[#This Row],[Дата рождения]]</f>
        <v>0</v>
      </c>
    </row>
    <row r="820" spans="22:23" ht="24.95" customHeight="1" x14ac:dyDescent="0.25">
      <c r="V820" s="2">
        <f>Таблица1[[#This Row],[Дата перевода]]-Таблица1[[#This Row],[Дата поступления]]</f>
        <v>0</v>
      </c>
      <c r="W820" s="2">
        <f>Таблица1[[#This Row],[Дата поступления]]-Таблица1[[#This Row],[Дата рождения]]</f>
        <v>0</v>
      </c>
    </row>
    <row r="821" spans="22:23" ht="24.95" customHeight="1" x14ac:dyDescent="0.25">
      <c r="V821" s="2">
        <f>Таблица1[[#This Row],[Дата перевода]]-Таблица1[[#This Row],[Дата поступления]]</f>
        <v>0</v>
      </c>
      <c r="W821" s="2">
        <f>Таблица1[[#This Row],[Дата поступления]]-Таблица1[[#This Row],[Дата рождения]]</f>
        <v>0</v>
      </c>
    </row>
    <row r="822" spans="22:23" ht="24.95" customHeight="1" x14ac:dyDescent="0.25">
      <c r="V822" s="2">
        <f>Таблица1[[#This Row],[Дата перевода]]-Таблица1[[#This Row],[Дата поступления]]</f>
        <v>0</v>
      </c>
      <c r="W822" s="2">
        <f>Таблица1[[#This Row],[Дата поступления]]-Таблица1[[#This Row],[Дата рождения]]</f>
        <v>0</v>
      </c>
    </row>
    <row r="823" spans="22:23" ht="24.95" customHeight="1" x14ac:dyDescent="0.25">
      <c r="V823" s="2">
        <f>Таблица1[[#This Row],[Дата перевода]]-Таблица1[[#This Row],[Дата поступления]]</f>
        <v>0</v>
      </c>
      <c r="W823" s="2">
        <f>Таблица1[[#This Row],[Дата поступления]]-Таблица1[[#This Row],[Дата рождения]]</f>
        <v>0</v>
      </c>
    </row>
    <row r="824" spans="22:23" ht="24.95" customHeight="1" x14ac:dyDescent="0.25">
      <c r="V824" s="2">
        <f>Таблица1[[#This Row],[Дата перевода]]-Таблица1[[#This Row],[Дата поступления]]</f>
        <v>0</v>
      </c>
      <c r="W824" s="2">
        <f>Таблица1[[#This Row],[Дата поступления]]-Таблица1[[#This Row],[Дата рождения]]</f>
        <v>0</v>
      </c>
    </row>
    <row r="825" spans="22:23" ht="24.95" customHeight="1" x14ac:dyDescent="0.25">
      <c r="V825" s="2">
        <f>Таблица1[[#This Row],[Дата перевода]]-Таблица1[[#This Row],[Дата поступления]]</f>
        <v>0</v>
      </c>
      <c r="W825" s="2">
        <f>Таблица1[[#This Row],[Дата поступления]]-Таблица1[[#This Row],[Дата рождения]]</f>
        <v>0</v>
      </c>
    </row>
    <row r="826" spans="22:23" ht="24.95" customHeight="1" x14ac:dyDescent="0.25">
      <c r="V826" s="2">
        <f>Таблица1[[#This Row],[Дата перевода]]-Таблица1[[#This Row],[Дата поступления]]</f>
        <v>0</v>
      </c>
      <c r="W826" s="2">
        <f>Таблица1[[#This Row],[Дата поступления]]-Таблица1[[#This Row],[Дата рождения]]</f>
        <v>0</v>
      </c>
    </row>
    <row r="827" spans="22:23" ht="24.95" customHeight="1" x14ac:dyDescent="0.25">
      <c r="V827" s="2">
        <f>Таблица1[[#This Row],[Дата перевода]]-Таблица1[[#This Row],[Дата поступления]]</f>
        <v>0</v>
      </c>
      <c r="W827" s="2">
        <f>Таблица1[[#This Row],[Дата поступления]]-Таблица1[[#This Row],[Дата рождения]]</f>
        <v>0</v>
      </c>
    </row>
    <row r="828" spans="22:23" ht="24.95" customHeight="1" x14ac:dyDescent="0.25">
      <c r="V828" s="2">
        <f>Таблица1[[#This Row],[Дата перевода]]-Таблица1[[#This Row],[Дата поступления]]</f>
        <v>0</v>
      </c>
      <c r="W828" s="2">
        <f>Таблица1[[#This Row],[Дата поступления]]-Таблица1[[#This Row],[Дата рождения]]</f>
        <v>0</v>
      </c>
    </row>
    <row r="829" spans="22:23" ht="24.95" customHeight="1" x14ac:dyDescent="0.25">
      <c r="V829" s="2">
        <f>Таблица1[[#This Row],[Дата перевода]]-Таблица1[[#This Row],[Дата поступления]]</f>
        <v>0</v>
      </c>
      <c r="W829" s="2">
        <f>Таблица1[[#This Row],[Дата поступления]]-Таблица1[[#This Row],[Дата рождения]]</f>
        <v>0</v>
      </c>
    </row>
    <row r="830" spans="22:23" ht="24.95" customHeight="1" x14ac:dyDescent="0.25">
      <c r="V830" s="2">
        <f>Таблица1[[#This Row],[Дата перевода]]-Таблица1[[#This Row],[Дата поступления]]</f>
        <v>0</v>
      </c>
      <c r="W830" s="2">
        <f>Таблица1[[#This Row],[Дата поступления]]-Таблица1[[#This Row],[Дата рождения]]</f>
        <v>0</v>
      </c>
    </row>
    <row r="831" spans="22:23" ht="24.95" customHeight="1" x14ac:dyDescent="0.25">
      <c r="V831" s="2">
        <f>Таблица1[[#This Row],[Дата перевода]]-Таблица1[[#This Row],[Дата поступления]]</f>
        <v>0</v>
      </c>
      <c r="W831" s="2">
        <f>Таблица1[[#This Row],[Дата поступления]]-Таблица1[[#This Row],[Дата рождения]]</f>
        <v>0</v>
      </c>
    </row>
    <row r="832" spans="22:23" ht="24.95" customHeight="1" x14ac:dyDescent="0.25">
      <c r="V832" s="2">
        <f>Таблица1[[#This Row],[Дата перевода]]-Таблица1[[#This Row],[Дата поступления]]</f>
        <v>0</v>
      </c>
      <c r="W832" s="2">
        <f>Таблица1[[#This Row],[Дата поступления]]-Таблица1[[#This Row],[Дата рождения]]</f>
        <v>0</v>
      </c>
    </row>
    <row r="833" spans="22:23" ht="24.95" customHeight="1" x14ac:dyDescent="0.25">
      <c r="V833" s="2">
        <f>Таблица1[[#This Row],[Дата перевода]]-Таблица1[[#This Row],[Дата поступления]]</f>
        <v>0</v>
      </c>
      <c r="W833" s="2">
        <f>Таблица1[[#This Row],[Дата поступления]]-Таблица1[[#This Row],[Дата рождения]]</f>
        <v>0</v>
      </c>
    </row>
    <row r="834" spans="22:23" ht="24.95" customHeight="1" x14ac:dyDescent="0.25">
      <c r="V834" s="2">
        <f>Таблица1[[#This Row],[Дата перевода]]-Таблица1[[#This Row],[Дата поступления]]</f>
        <v>0</v>
      </c>
      <c r="W834" s="2">
        <f>Таблица1[[#This Row],[Дата поступления]]-Таблица1[[#This Row],[Дата рождения]]</f>
        <v>0</v>
      </c>
    </row>
    <row r="835" spans="22:23" ht="24.95" customHeight="1" x14ac:dyDescent="0.25">
      <c r="V835" s="2">
        <f>Таблица1[[#This Row],[Дата перевода]]-Таблица1[[#This Row],[Дата поступления]]</f>
        <v>0</v>
      </c>
      <c r="W835" s="2">
        <f>Таблица1[[#This Row],[Дата поступления]]-Таблица1[[#This Row],[Дата рождения]]</f>
        <v>0</v>
      </c>
    </row>
    <row r="836" spans="22:23" ht="24.95" customHeight="1" x14ac:dyDescent="0.25">
      <c r="V836" s="2">
        <f>Таблица1[[#This Row],[Дата перевода]]-Таблица1[[#This Row],[Дата поступления]]</f>
        <v>0</v>
      </c>
      <c r="W836" s="2">
        <f>Таблица1[[#This Row],[Дата поступления]]-Таблица1[[#This Row],[Дата рождения]]</f>
        <v>0</v>
      </c>
    </row>
    <row r="837" spans="22:23" ht="24.95" customHeight="1" x14ac:dyDescent="0.25">
      <c r="V837" s="2">
        <f>Таблица1[[#This Row],[Дата перевода]]-Таблица1[[#This Row],[Дата поступления]]</f>
        <v>0</v>
      </c>
      <c r="W837" s="2">
        <f>Таблица1[[#This Row],[Дата поступления]]-Таблица1[[#This Row],[Дата рождения]]</f>
        <v>0</v>
      </c>
    </row>
    <row r="838" spans="22:23" ht="24.95" customHeight="1" x14ac:dyDescent="0.25">
      <c r="V838" s="2">
        <f>Таблица1[[#This Row],[Дата перевода]]-Таблица1[[#This Row],[Дата поступления]]</f>
        <v>0</v>
      </c>
      <c r="W838" s="2">
        <f>Таблица1[[#This Row],[Дата поступления]]-Таблица1[[#This Row],[Дата рождения]]</f>
        <v>0</v>
      </c>
    </row>
    <row r="839" spans="22:23" ht="24.95" customHeight="1" x14ac:dyDescent="0.25">
      <c r="V839" s="2">
        <f>Таблица1[[#This Row],[Дата перевода]]-Таблица1[[#This Row],[Дата поступления]]</f>
        <v>0</v>
      </c>
      <c r="W839" s="2">
        <f>Таблица1[[#This Row],[Дата поступления]]-Таблица1[[#This Row],[Дата рождения]]</f>
        <v>0</v>
      </c>
    </row>
    <row r="840" spans="22:23" ht="24.95" customHeight="1" x14ac:dyDescent="0.25">
      <c r="V840" s="2">
        <f>Таблица1[[#This Row],[Дата перевода]]-Таблица1[[#This Row],[Дата поступления]]</f>
        <v>0</v>
      </c>
      <c r="W840" s="2">
        <f>Таблица1[[#This Row],[Дата поступления]]-Таблица1[[#This Row],[Дата рождения]]</f>
        <v>0</v>
      </c>
    </row>
    <row r="841" spans="22:23" ht="24.95" customHeight="1" x14ac:dyDescent="0.25">
      <c r="V841" s="2">
        <f>Таблица1[[#This Row],[Дата перевода]]-Таблица1[[#This Row],[Дата поступления]]</f>
        <v>0</v>
      </c>
      <c r="W841" s="2">
        <f>Таблица1[[#This Row],[Дата поступления]]-Таблица1[[#This Row],[Дата рождения]]</f>
        <v>0</v>
      </c>
    </row>
    <row r="842" spans="22:23" ht="24.95" customHeight="1" x14ac:dyDescent="0.25">
      <c r="V842" s="2">
        <f>Таблица1[[#This Row],[Дата перевода]]-Таблица1[[#This Row],[Дата поступления]]</f>
        <v>0</v>
      </c>
      <c r="W842" s="2">
        <f>Таблица1[[#This Row],[Дата поступления]]-Таблица1[[#This Row],[Дата рождения]]</f>
        <v>0</v>
      </c>
    </row>
    <row r="843" spans="22:23" ht="24.95" customHeight="1" x14ac:dyDescent="0.25">
      <c r="V843" s="2">
        <f>Таблица1[[#This Row],[Дата перевода]]-Таблица1[[#This Row],[Дата поступления]]</f>
        <v>0</v>
      </c>
      <c r="W843" s="2">
        <f>Таблица1[[#This Row],[Дата поступления]]-Таблица1[[#This Row],[Дата рождения]]</f>
        <v>0</v>
      </c>
    </row>
    <row r="844" spans="22:23" ht="24.95" customHeight="1" x14ac:dyDescent="0.25">
      <c r="V844" s="2">
        <f>Таблица1[[#This Row],[Дата перевода]]-Таблица1[[#This Row],[Дата поступления]]</f>
        <v>0</v>
      </c>
      <c r="W844" s="2">
        <f>Таблица1[[#This Row],[Дата поступления]]-Таблица1[[#This Row],[Дата рождения]]</f>
        <v>0</v>
      </c>
    </row>
    <row r="845" spans="22:23" ht="24.95" customHeight="1" x14ac:dyDescent="0.25">
      <c r="V845" s="2">
        <f>Таблица1[[#This Row],[Дата перевода]]-Таблица1[[#This Row],[Дата поступления]]</f>
        <v>0</v>
      </c>
      <c r="W845" s="2">
        <f>Таблица1[[#This Row],[Дата поступления]]-Таблица1[[#This Row],[Дата рождения]]</f>
        <v>0</v>
      </c>
    </row>
    <row r="846" spans="22:23" ht="24.95" customHeight="1" x14ac:dyDescent="0.25">
      <c r="V846" s="2">
        <f>Таблица1[[#This Row],[Дата перевода]]-Таблица1[[#This Row],[Дата поступления]]</f>
        <v>0</v>
      </c>
      <c r="W846" s="2">
        <f>Таблица1[[#This Row],[Дата поступления]]-Таблица1[[#This Row],[Дата рождения]]</f>
        <v>0</v>
      </c>
    </row>
    <row r="847" spans="22:23" ht="24.95" customHeight="1" x14ac:dyDescent="0.25">
      <c r="V847" s="2">
        <f>Таблица1[[#This Row],[Дата перевода]]-Таблица1[[#This Row],[Дата поступления]]</f>
        <v>0</v>
      </c>
      <c r="W847" s="2">
        <f>Таблица1[[#This Row],[Дата поступления]]-Таблица1[[#This Row],[Дата рождения]]</f>
        <v>0</v>
      </c>
    </row>
    <row r="848" spans="22:23" ht="24.95" customHeight="1" x14ac:dyDescent="0.25">
      <c r="V848" s="2">
        <f>Таблица1[[#This Row],[Дата перевода]]-Таблица1[[#This Row],[Дата поступления]]</f>
        <v>0</v>
      </c>
      <c r="W848" s="2">
        <f>Таблица1[[#This Row],[Дата поступления]]-Таблица1[[#This Row],[Дата рождения]]</f>
        <v>0</v>
      </c>
    </row>
    <row r="849" spans="22:23" ht="24.95" customHeight="1" x14ac:dyDescent="0.25">
      <c r="V849" s="2">
        <f>Таблица1[[#This Row],[Дата перевода]]-Таблица1[[#This Row],[Дата поступления]]</f>
        <v>0</v>
      </c>
      <c r="W849" s="2">
        <f>Таблица1[[#This Row],[Дата поступления]]-Таблица1[[#This Row],[Дата рождения]]</f>
        <v>0</v>
      </c>
    </row>
    <row r="850" spans="22:23" ht="24.95" customHeight="1" x14ac:dyDescent="0.25">
      <c r="V850" s="2">
        <f>Таблица1[[#This Row],[Дата перевода]]-Таблица1[[#This Row],[Дата поступления]]</f>
        <v>0</v>
      </c>
      <c r="W850" s="2">
        <f>Таблица1[[#This Row],[Дата поступления]]-Таблица1[[#This Row],[Дата рождения]]</f>
        <v>0</v>
      </c>
    </row>
    <row r="851" spans="22:23" ht="24.95" customHeight="1" x14ac:dyDescent="0.25">
      <c r="V851" s="2">
        <f>Таблица1[[#This Row],[Дата перевода]]-Таблица1[[#This Row],[Дата поступления]]</f>
        <v>0</v>
      </c>
      <c r="W851" s="2">
        <f>Таблица1[[#This Row],[Дата поступления]]-Таблица1[[#This Row],[Дата рождения]]</f>
        <v>0</v>
      </c>
    </row>
    <row r="852" spans="22:23" ht="24.95" customHeight="1" x14ac:dyDescent="0.25">
      <c r="V852" s="2">
        <f>Таблица1[[#This Row],[Дата перевода]]-Таблица1[[#This Row],[Дата поступления]]</f>
        <v>0</v>
      </c>
      <c r="W852" s="2">
        <f>Таблица1[[#This Row],[Дата поступления]]-Таблица1[[#This Row],[Дата рождения]]</f>
        <v>0</v>
      </c>
    </row>
    <row r="853" spans="22:23" ht="24.95" customHeight="1" x14ac:dyDescent="0.25">
      <c r="V853" s="2">
        <f>Таблица1[[#This Row],[Дата перевода]]-Таблица1[[#This Row],[Дата поступления]]</f>
        <v>0</v>
      </c>
      <c r="W853" s="2">
        <f>Таблица1[[#This Row],[Дата поступления]]-Таблица1[[#This Row],[Дата рождения]]</f>
        <v>0</v>
      </c>
    </row>
    <row r="854" spans="22:23" ht="24.95" customHeight="1" x14ac:dyDescent="0.25">
      <c r="V854" s="2">
        <f>Таблица1[[#This Row],[Дата перевода]]-Таблица1[[#This Row],[Дата поступления]]</f>
        <v>0</v>
      </c>
      <c r="W854" s="2">
        <f>Таблица1[[#This Row],[Дата поступления]]-Таблица1[[#This Row],[Дата рождения]]</f>
        <v>0</v>
      </c>
    </row>
    <row r="855" spans="22:23" ht="24.95" customHeight="1" x14ac:dyDescent="0.25">
      <c r="V855" s="2">
        <f>Таблица1[[#This Row],[Дата перевода]]-Таблица1[[#This Row],[Дата поступления]]</f>
        <v>0</v>
      </c>
      <c r="W855" s="2">
        <f>Таблица1[[#This Row],[Дата поступления]]-Таблица1[[#This Row],[Дата рождения]]</f>
        <v>0</v>
      </c>
    </row>
    <row r="856" spans="22:23" ht="24.95" customHeight="1" x14ac:dyDescent="0.25">
      <c r="V856" s="2">
        <f>Таблица1[[#This Row],[Дата перевода]]-Таблица1[[#This Row],[Дата поступления]]</f>
        <v>0</v>
      </c>
      <c r="W856" s="2">
        <f>Таблица1[[#This Row],[Дата поступления]]-Таблица1[[#This Row],[Дата рождения]]</f>
        <v>0</v>
      </c>
    </row>
    <row r="857" spans="22:23" ht="24.95" customHeight="1" x14ac:dyDescent="0.25">
      <c r="V857" s="2">
        <f>Таблица1[[#This Row],[Дата перевода]]-Таблица1[[#This Row],[Дата поступления]]</f>
        <v>0</v>
      </c>
      <c r="W857" s="2">
        <f>Таблица1[[#This Row],[Дата поступления]]-Таблица1[[#This Row],[Дата рождения]]</f>
        <v>0</v>
      </c>
    </row>
    <row r="858" spans="22:23" ht="24.95" customHeight="1" x14ac:dyDescent="0.25">
      <c r="V858" s="2">
        <f>Таблица1[[#This Row],[Дата перевода]]-Таблица1[[#This Row],[Дата поступления]]</f>
        <v>0</v>
      </c>
      <c r="W858" s="2">
        <f>Таблица1[[#This Row],[Дата поступления]]-Таблица1[[#This Row],[Дата рождения]]</f>
        <v>0</v>
      </c>
    </row>
    <row r="859" spans="22:23" ht="24.95" customHeight="1" x14ac:dyDescent="0.25">
      <c r="V859" s="2">
        <f>Таблица1[[#This Row],[Дата перевода]]-Таблица1[[#This Row],[Дата поступления]]</f>
        <v>0</v>
      </c>
      <c r="W859" s="2">
        <f>Таблица1[[#This Row],[Дата поступления]]-Таблица1[[#This Row],[Дата рождения]]</f>
        <v>0</v>
      </c>
    </row>
    <row r="860" spans="22:23" ht="24.95" customHeight="1" x14ac:dyDescent="0.25">
      <c r="V860" s="2">
        <f>Таблица1[[#This Row],[Дата перевода]]-Таблица1[[#This Row],[Дата поступления]]</f>
        <v>0</v>
      </c>
      <c r="W860" s="2">
        <f>Таблица1[[#This Row],[Дата поступления]]-Таблица1[[#This Row],[Дата рождения]]</f>
        <v>0</v>
      </c>
    </row>
    <row r="861" spans="22:23" ht="24.95" customHeight="1" x14ac:dyDescent="0.25">
      <c r="V861" s="2">
        <f>Таблица1[[#This Row],[Дата перевода]]-Таблица1[[#This Row],[Дата поступления]]</f>
        <v>0</v>
      </c>
      <c r="W861" s="2">
        <f>Таблица1[[#This Row],[Дата поступления]]-Таблица1[[#This Row],[Дата рождения]]</f>
        <v>0</v>
      </c>
    </row>
    <row r="862" spans="22:23" ht="24.95" customHeight="1" x14ac:dyDescent="0.25">
      <c r="V862" s="2">
        <f>Таблица1[[#This Row],[Дата перевода]]-Таблица1[[#This Row],[Дата поступления]]</f>
        <v>0</v>
      </c>
      <c r="W862" s="2">
        <f>Таблица1[[#This Row],[Дата поступления]]-Таблица1[[#This Row],[Дата рождения]]</f>
        <v>0</v>
      </c>
    </row>
    <row r="863" spans="22:23" ht="24.95" customHeight="1" x14ac:dyDescent="0.25">
      <c r="V863" s="2">
        <f>Таблица1[[#This Row],[Дата перевода]]-Таблица1[[#This Row],[Дата поступления]]</f>
        <v>0</v>
      </c>
      <c r="W863" s="2">
        <f>Таблица1[[#This Row],[Дата поступления]]-Таблица1[[#This Row],[Дата рождения]]</f>
        <v>0</v>
      </c>
    </row>
    <row r="864" spans="22:23" ht="24.95" customHeight="1" x14ac:dyDescent="0.25">
      <c r="V864" s="2">
        <f>Таблица1[[#This Row],[Дата перевода]]-Таблица1[[#This Row],[Дата поступления]]</f>
        <v>0</v>
      </c>
      <c r="W864" s="2">
        <f>Таблица1[[#This Row],[Дата поступления]]-Таблица1[[#This Row],[Дата рождения]]</f>
        <v>0</v>
      </c>
    </row>
    <row r="865" spans="22:23" ht="24.95" customHeight="1" x14ac:dyDescent="0.25">
      <c r="V865" s="2">
        <f>Таблица1[[#This Row],[Дата перевода]]-Таблица1[[#This Row],[Дата поступления]]</f>
        <v>0</v>
      </c>
      <c r="W865" s="2">
        <f>Таблица1[[#This Row],[Дата поступления]]-Таблица1[[#This Row],[Дата рождения]]</f>
        <v>0</v>
      </c>
    </row>
    <row r="866" spans="22:23" ht="24.95" customHeight="1" x14ac:dyDescent="0.25">
      <c r="V866" s="2">
        <f>Таблица1[[#This Row],[Дата перевода]]-Таблица1[[#This Row],[Дата поступления]]</f>
        <v>0</v>
      </c>
      <c r="W866" s="2">
        <f>Таблица1[[#This Row],[Дата поступления]]-Таблица1[[#This Row],[Дата рождения]]</f>
        <v>0</v>
      </c>
    </row>
    <row r="867" spans="22:23" ht="24.95" customHeight="1" x14ac:dyDescent="0.25">
      <c r="V867" s="2">
        <f>Таблица1[[#This Row],[Дата перевода]]-Таблица1[[#This Row],[Дата поступления]]</f>
        <v>0</v>
      </c>
      <c r="W867" s="2">
        <f>Таблица1[[#This Row],[Дата поступления]]-Таблица1[[#This Row],[Дата рождения]]</f>
        <v>0</v>
      </c>
    </row>
    <row r="868" spans="22:23" ht="24.95" customHeight="1" x14ac:dyDescent="0.25">
      <c r="V868" s="2">
        <f>Таблица1[[#This Row],[Дата перевода]]-Таблица1[[#This Row],[Дата поступления]]</f>
        <v>0</v>
      </c>
      <c r="W868" s="2">
        <f>Таблица1[[#This Row],[Дата поступления]]-Таблица1[[#This Row],[Дата рождения]]</f>
        <v>0</v>
      </c>
    </row>
    <row r="869" spans="22:23" ht="24.95" customHeight="1" x14ac:dyDescent="0.25">
      <c r="V869" s="2">
        <f>Таблица1[[#This Row],[Дата перевода]]-Таблица1[[#This Row],[Дата поступления]]</f>
        <v>0</v>
      </c>
      <c r="W869" s="2">
        <f>Таблица1[[#This Row],[Дата поступления]]-Таблица1[[#This Row],[Дата рождения]]</f>
        <v>0</v>
      </c>
    </row>
    <row r="870" spans="22:23" ht="24.95" customHeight="1" x14ac:dyDescent="0.25">
      <c r="V870" s="2">
        <f>Таблица1[[#This Row],[Дата перевода]]-Таблица1[[#This Row],[Дата поступления]]</f>
        <v>0</v>
      </c>
      <c r="W870" s="2">
        <f>Таблица1[[#This Row],[Дата поступления]]-Таблица1[[#This Row],[Дата рождения]]</f>
        <v>0</v>
      </c>
    </row>
    <row r="871" spans="22:23" ht="24.95" customHeight="1" x14ac:dyDescent="0.25">
      <c r="V871" s="2">
        <f>Таблица1[[#This Row],[Дата перевода]]-Таблица1[[#This Row],[Дата поступления]]</f>
        <v>0</v>
      </c>
      <c r="W871" s="2">
        <f>Таблица1[[#This Row],[Дата поступления]]-Таблица1[[#This Row],[Дата рождения]]</f>
        <v>0</v>
      </c>
    </row>
    <row r="872" spans="22:23" ht="24.95" customHeight="1" x14ac:dyDescent="0.25">
      <c r="V872" s="2">
        <f>Таблица1[[#This Row],[Дата перевода]]-Таблица1[[#This Row],[Дата поступления]]</f>
        <v>0</v>
      </c>
      <c r="W872" s="2">
        <f>Таблица1[[#This Row],[Дата поступления]]-Таблица1[[#This Row],[Дата рождения]]</f>
        <v>0</v>
      </c>
    </row>
    <row r="873" spans="22:23" ht="24.95" customHeight="1" x14ac:dyDescent="0.25">
      <c r="V873" s="2">
        <f>Таблица1[[#This Row],[Дата перевода]]-Таблица1[[#This Row],[Дата поступления]]</f>
        <v>0</v>
      </c>
      <c r="W873" s="2">
        <f>Таблица1[[#This Row],[Дата поступления]]-Таблица1[[#This Row],[Дата рождения]]</f>
        <v>0</v>
      </c>
    </row>
    <row r="874" spans="22:23" ht="24.95" customHeight="1" x14ac:dyDescent="0.25">
      <c r="V874" s="2">
        <f>Таблица1[[#This Row],[Дата перевода]]-Таблица1[[#This Row],[Дата поступления]]</f>
        <v>0</v>
      </c>
      <c r="W874" s="2">
        <f>Таблица1[[#This Row],[Дата поступления]]-Таблица1[[#This Row],[Дата рождения]]</f>
        <v>0</v>
      </c>
    </row>
    <row r="875" spans="22:23" ht="24.95" customHeight="1" x14ac:dyDescent="0.25">
      <c r="V875" s="2">
        <f>Таблица1[[#This Row],[Дата перевода]]-Таблица1[[#This Row],[Дата поступления]]</f>
        <v>0</v>
      </c>
      <c r="W875" s="2">
        <f>Таблица1[[#This Row],[Дата поступления]]-Таблица1[[#This Row],[Дата рождения]]</f>
        <v>0</v>
      </c>
    </row>
    <row r="876" spans="22:23" ht="24.95" customHeight="1" x14ac:dyDescent="0.25">
      <c r="V876" s="2">
        <f>Таблица1[[#This Row],[Дата перевода]]-Таблица1[[#This Row],[Дата поступления]]</f>
        <v>0</v>
      </c>
      <c r="W876" s="2">
        <f>Таблица1[[#This Row],[Дата поступления]]-Таблица1[[#This Row],[Дата рождения]]</f>
        <v>0</v>
      </c>
    </row>
    <row r="877" spans="22:23" ht="24.95" customHeight="1" x14ac:dyDescent="0.25">
      <c r="V877" s="2">
        <f>Таблица1[[#This Row],[Дата перевода]]-Таблица1[[#This Row],[Дата поступления]]</f>
        <v>0</v>
      </c>
      <c r="W877" s="2">
        <f>Таблица1[[#This Row],[Дата поступления]]-Таблица1[[#This Row],[Дата рождения]]</f>
        <v>0</v>
      </c>
    </row>
    <row r="878" spans="22:23" ht="24.95" customHeight="1" x14ac:dyDescent="0.25">
      <c r="V878" s="2">
        <f>Таблица1[[#This Row],[Дата перевода]]-Таблица1[[#This Row],[Дата поступления]]</f>
        <v>0</v>
      </c>
      <c r="W878" s="2">
        <f>Таблица1[[#This Row],[Дата поступления]]-Таблица1[[#This Row],[Дата рождения]]</f>
        <v>0</v>
      </c>
    </row>
    <row r="879" spans="22:23" ht="24.95" customHeight="1" x14ac:dyDescent="0.25">
      <c r="V879" s="2">
        <f>Таблица1[[#This Row],[Дата перевода]]-Таблица1[[#This Row],[Дата поступления]]</f>
        <v>0</v>
      </c>
      <c r="W879" s="2">
        <f>Таблица1[[#This Row],[Дата поступления]]-Таблица1[[#This Row],[Дата рождения]]</f>
        <v>0</v>
      </c>
    </row>
    <row r="880" spans="22:23" ht="24.95" customHeight="1" x14ac:dyDescent="0.25">
      <c r="V880" s="2">
        <f>Таблица1[[#This Row],[Дата перевода]]-Таблица1[[#This Row],[Дата поступления]]</f>
        <v>0</v>
      </c>
      <c r="W880" s="2">
        <f>Таблица1[[#This Row],[Дата поступления]]-Таблица1[[#This Row],[Дата рождения]]</f>
        <v>0</v>
      </c>
    </row>
    <row r="881" spans="22:23" ht="24.95" customHeight="1" x14ac:dyDescent="0.25">
      <c r="V881" s="2">
        <f>Таблица1[[#This Row],[Дата перевода]]-Таблица1[[#This Row],[Дата поступления]]</f>
        <v>0</v>
      </c>
      <c r="W881" s="2">
        <f>Таблица1[[#This Row],[Дата поступления]]-Таблица1[[#This Row],[Дата рождения]]</f>
        <v>0</v>
      </c>
    </row>
    <row r="882" spans="22:23" ht="24.95" customHeight="1" x14ac:dyDescent="0.25">
      <c r="V882" s="2">
        <f>Таблица1[[#This Row],[Дата перевода]]-Таблица1[[#This Row],[Дата поступления]]</f>
        <v>0</v>
      </c>
      <c r="W882" s="2">
        <f>Таблица1[[#This Row],[Дата поступления]]-Таблица1[[#This Row],[Дата рождения]]</f>
        <v>0</v>
      </c>
    </row>
    <row r="883" spans="22:23" ht="24.95" customHeight="1" x14ac:dyDescent="0.25">
      <c r="V883" s="2">
        <f>Таблица1[[#This Row],[Дата перевода]]-Таблица1[[#This Row],[Дата поступления]]</f>
        <v>0</v>
      </c>
      <c r="W883" s="2">
        <f>Таблица1[[#This Row],[Дата поступления]]-Таблица1[[#This Row],[Дата рождения]]</f>
        <v>0</v>
      </c>
    </row>
    <row r="884" spans="22:23" ht="24.95" customHeight="1" x14ac:dyDescent="0.25">
      <c r="V884" s="2">
        <f>Таблица1[[#This Row],[Дата перевода]]-Таблица1[[#This Row],[Дата поступления]]</f>
        <v>0</v>
      </c>
      <c r="W884" s="2">
        <f>Таблица1[[#This Row],[Дата поступления]]-Таблица1[[#This Row],[Дата рождения]]</f>
        <v>0</v>
      </c>
    </row>
    <row r="885" spans="22:23" ht="24.95" customHeight="1" x14ac:dyDescent="0.25">
      <c r="V885" s="2">
        <f>Таблица1[[#This Row],[Дата перевода]]-Таблица1[[#This Row],[Дата поступления]]</f>
        <v>0</v>
      </c>
      <c r="W885" s="2">
        <f>Таблица1[[#This Row],[Дата поступления]]-Таблица1[[#This Row],[Дата рождения]]</f>
        <v>0</v>
      </c>
    </row>
    <row r="886" spans="22:23" ht="24.95" customHeight="1" x14ac:dyDescent="0.25">
      <c r="V886" s="2">
        <f>Таблица1[[#This Row],[Дата перевода]]-Таблица1[[#This Row],[Дата поступления]]</f>
        <v>0</v>
      </c>
      <c r="W886" s="2">
        <f>Таблица1[[#This Row],[Дата поступления]]-Таблица1[[#This Row],[Дата рождения]]</f>
        <v>0</v>
      </c>
    </row>
    <row r="887" spans="22:23" ht="24.95" customHeight="1" x14ac:dyDescent="0.25">
      <c r="V887" s="2">
        <f>Таблица1[[#This Row],[Дата перевода]]-Таблица1[[#This Row],[Дата поступления]]</f>
        <v>0</v>
      </c>
      <c r="W887" s="2">
        <f>Таблица1[[#This Row],[Дата поступления]]-Таблица1[[#This Row],[Дата рождения]]</f>
        <v>0</v>
      </c>
    </row>
    <row r="888" spans="22:23" ht="24.95" customHeight="1" x14ac:dyDescent="0.25">
      <c r="V888" s="2">
        <f>Таблица1[[#This Row],[Дата перевода]]-Таблица1[[#This Row],[Дата поступления]]</f>
        <v>0</v>
      </c>
      <c r="W888" s="2">
        <f>Таблица1[[#This Row],[Дата поступления]]-Таблица1[[#This Row],[Дата рождения]]</f>
        <v>0</v>
      </c>
    </row>
    <row r="889" spans="22:23" ht="24.95" customHeight="1" x14ac:dyDescent="0.25">
      <c r="V889" s="2">
        <f>Таблица1[[#This Row],[Дата перевода]]-Таблица1[[#This Row],[Дата поступления]]</f>
        <v>0</v>
      </c>
      <c r="W889" s="2">
        <f>Таблица1[[#This Row],[Дата поступления]]-Таблица1[[#This Row],[Дата рождения]]</f>
        <v>0</v>
      </c>
    </row>
    <row r="890" spans="22:23" ht="24.95" customHeight="1" x14ac:dyDescent="0.25">
      <c r="V890" s="2">
        <f>Таблица1[[#This Row],[Дата перевода]]-Таблица1[[#This Row],[Дата поступления]]</f>
        <v>0</v>
      </c>
      <c r="W890" s="2">
        <f>Таблица1[[#This Row],[Дата поступления]]-Таблица1[[#This Row],[Дата рождения]]</f>
        <v>0</v>
      </c>
    </row>
    <row r="891" spans="22:23" ht="24.95" customHeight="1" x14ac:dyDescent="0.25">
      <c r="V891" s="2">
        <f>Таблица1[[#This Row],[Дата перевода]]-Таблица1[[#This Row],[Дата поступления]]</f>
        <v>0</v>
      </c>
      <c r="W891" s="2">
        <f>Таблица1[[#This Row],[Дата поступления]]-Таблица1[[#This Row],[Дата рождения]]</f>
        <v>0</v>
      </c>
    </row>
    <row r="892" spans="22:23" ht="24.95" customHeight="1" x14ac:dyDescent="0.25">
      <c r="V892" s="2">
        <f>Таблица1[[#This Row],[Дата перевода]]-Таблица1[[#This Row],[Дата поступления]]</f>
        <v>0</v>
      </c>
      <c r="W892" s="2">
        <f>Таблица1[[#This Row],[Дата поступления]]-Таблица1[[#This Row],[Дата рождения]]</f>
        <v>0</v>
      </c>
    </row>
    <row r="893" spans="22:23" ht="24.95" customHeight="1" x14ac:dyDescent="0.25">
      <c r="V893" s="2">
        <f>Таблица1[[#This Row],[Дата перевода]]-Таблица1[[#This Row],[Дата поступления]]</f>
        <v>0</v>
      </c>
      <c r="W893" s="2">
        <f>Таблица1[[#This Row],[Дата поступления]]-Таблица1[[#This Row],[Дата рождения]]</f>
        <v>0</v>
      </c>
    </row>
    <row r="894" spans="22:23" ht="24.95" customHeight="1" x14ac:dyDescent="0.25">
      <c r="V894" s="2">
        <f>Таблица1[[#This Row],[Дата перевода]]-Таблица1[[#This Row],[Дата поступления]]</f>
        <v>0</v>
      </c>
      <c r="W894" s="2">
        <f>Таблица1[[#This Row],[Дата поступления]]-Таблица1[[#This Row],[Дата рождения]]</f>
        <v>0</v>
      </c>
    </row>
    <row r="895" spans="22:23" ht="24.95" customHeight="1" x14ac:dyDescent="0.25">
      <c r="V895" s="2">
        <f>Таблица1[[#This Row],[Дата перевода]]-Таблица1[[#This Row],[Дата поступления]]</f>
        <v>0</v>
      </c>
      <c r="W895" s="2">
        <f>Таблица1[[#This Row],[Дата поступления]]-Таблица1[[#This Row],[Дата рождения]]</f>
        <v>0</v>
      </c>
    </row>
    <row r="896" spans="22:23" ht="24.95" customHeight="1" x14ac:dyDescent="0.25">
      <c r="V896" s="2">
        <f>Таблица1[[#This Row],[Дата перевода]]-Таблица1[[#This Row],[Дата поступления]]</f>
        <v>0</v>
      </c>
      <c r="W896" s="2">
        <f>Таблица1[[#This Row],[Дата поступления]]-Таблица1[[#This Row],[Дата рождения]]</f>
        <v>0</v>
      </c>
    </row>
    <row r="897" spans="22:23" ht="24.95" customHeight="1" x14ac:dyDescent="0.25">
      <c r="V897" s="2">
        <f>Таблица1[[#This Row],[Дата перевода]]-Таблица1[[#This Row],[Дата поступления]]</f>
        <v>0</v>
      </c>
      <c r="W897" s="2">
        <f>Таблица1[[#This Row],[Дата поступления]]-Таблица1[[#This Row],[Дата рождения]]</f>
        <v>0</v>
      </c>
    </row>
    <row r="898" spans="22:23" ht="24.95" customHeight="1" x14ac:dyDescent="0.25">
      <c r="V898" s="2">
        <f>Таблица1[[#This Row],[Дата перевода]]-Таблица1[[#This Row],[Дата поступления]]</f>
        <v>0</v>
      </c>
      <c r="W898" s="2">
        <f>Таблица1[[#This Row],[Дата поступления]]-Таблица1[[#This Row],[Дата рождения]]</f>
        <v>0</v>
      </c>
    </row>
    <row r="899" spans="22:23" ht="24.95" customHeight="1" x14ac:dyDescent="0.25">
      <c r="V899" s="2">
        <f>Таблица1[[#This Row],[Дата перевода]]-Таблица1[[#This Row],[Дата поступления]]</f>
        <v>0</v>
      </c>
      <c r="W899" s="2">
        <f>Таблица1[[#This Row],[Дата поступления]]-Таблица1[[#This Row],[Дата рождения]]</f>
        <v>0</v>
      </c>
    </row>
    <row r="900" spans="22:23" ht="24.95" customHeight="1" x14ac:dyDescent="0.25">
      <c r="V900" s="2">
        <f>Таблица1[[#This Row],[Дата перевода]]-Таблица1[[#This Row],[Дата поступления]]</f>
        <v>0</v>
      </c>
      <c r="W900" s="2">
        <f>Таблица1[[#This Row],[Дата поступления]]-Таблица1[[#This Row],[Дата рождения]]</f>
        <v>0</v>
      </c>
    </row>
    <row r="901" spans="22:23" ht="24.95" customHeight="1" x14ac:dyDescent="0.25">
      <c r="V901" s="2">
        <f>Таблица1[[#This Row],[Дата перевода]]-Таблица1[[#This Row],[Дата поступления]]</f>
        <v>0</v>
      </c>
      <c r="W901" s="2">
        <f>Таблица1[[#This Row],[Дата поступления]]-Таблица1[[#This Row],[Дата рождения]]</f>
        <v>0</v>
      </c>
    </row>
    <row r="902" spans="22:23" ht="24.95" customHeight="1" x14ac:dyDescent="0.25">
      <c r="V902" s="2">
        <f>Таблица1[[#This Row],[Дата перевода]]-Таблица1[[#This Row],[Дата поступления]]</f>
        <v>0</v>
      </c>
      <c r="W902" s="2">
        <f>Таблица1[[#This Row],[Дата поступления]]-Таблица1[[#This Row],[Дата рождения]]</f>
        <v>0</v>
      </c>
    </row>
    <row r="903" spans="22:23" ht="24.95" customHeight="1" x14ac:dyDescent="0.25">
      <c r="V903" s="2">
        <f>Таблица1[[#This Row],[Дата перевода]]-Таблица1[[#This Row],[Дата поступления]]</f>
        <v>0</v>
      </c>
      <c r="W903" s="2">
        <f>Таблица1[[#This Row],[Дата поступления]]-Таблица1[[#This Row],[Дата рождения]]</f>
        <v>0</v>
      </c>
    </row>
    <row r="904" spans="22:23" ht="24.95" customHeight="1" x14ac:dyDescent="0.25">
      <c r="V904" s="2">
        <f>Таблица1[[#This Row],[Дата перевода]]-Таблица1[[#This Row],[Дата поступления]]</f>
        <v>0</v>
      </c>
      <c r="W904" s="2">
        <f>Таблица1[[#This Row],[Дата поступления]]-Таблица1[[#This Row],[Дата рождения]]</f>
        <v>0</v>
      </c>
    </row>
    <row r="905" spans="22:23" ht="24.95" customHeight="1" x14ac:dyDescent="0.25">
      <c r="V905" s="2">
        <f>Таблица1[[#This Row],[Дата перевода]]-Таблица1[[#This Row],[Дата поступления]]</f>
        <v>0</v>
      </c>
      <c r="W905" s="2">
        <f>Таблица1[[#This Row],[Дата поступления]]-Таблица1[[#This Row],[Дата рождения]]</f>
        <v>0</v>
      </c>
    </row>
    <row r="906" spans="22:23" ht="24.95" customHeight="1" x14ac:dyDescent="0.25">
      <c r="V906" s="2">
        <f>Таблица1[[#This Row],[Дата перевода]]-Таблица1[[#This Row],[Дата поступления]]</f>
        <v>0</v>
      </c>
      <c r="W906" s="2">
        <f>Таблица1[[#This Row],[Дата поступления]]-Таблица1[[#This Row],[Дата рождения]]</f>
        <v>0</v>
      </c>
    </row>
    <row r="907" spans="22:23" ht="24.95" customHeight="1" x14ac:dyDescent="0.25">
      <c r="V907" s="2">
        <f>Таблица1[[#This Row],[Дата перевода]]-Таблица1[[#This Row],[Дата поступления]]</f>
        <v>0</v>
      </c>
      <c r="W907" s="2">
        <f>Таблица1[[#This Row],[Дата поступления]]-Таблица1[[#This Row],[Дата рождения]]</f>
        <v>0</v>
      </c>
    </row>
    <row r="908" spans="22:23" ht="24.95" customHeight="1" x14ac:dyDescent="0.25">
      <c r="V908" s="2">
        <f>Таблица1[[#This Row],[Дата перевода]]-Таблица1[[#This Row],[Дата поступления]]</f>
        <v>0</v>
      </c>
      <c r="W908" s="2">
        <f>Таблица1[[#This Row],[Дата поступления]]-Таблица1[[#This Row],[Дата рождения]]</f>
        <v>0</v>
      </c>
    </row>
    <row r="909" spans="22:23" ht="24.95" customHeight="1" x14ac:dyDescent="0.25">
      <c r="V909" s="2">
        <f>Таблица1[[#This Row],[Дата перевода]]-Таблица1[[#This Row],[Дата поступления]]</f>
        <v>0</v>
      </c>
      <c r="W909" s="2">
        <f>Таблица1[[#This Row],[Дата поступления]]-Таблица1[[#This Row],[Дата рождения]]</f>
        <v>0</v>
      </c>
    </row>
    <row r="910" spans="22:23" ht="24.95" customHeight="1" x14ac:dyDescent="0.25">
      <c r="V910" s="2">
        <f>Таблица1[[#This Row],[Дата перевода]]-Таблица1[[#This Row],[Дата поступления]]</f>
        <v>0</v>
      </c>
      <c r="W910" s="2">
        <f>Таблица1[[#This Row],[Дата поступления]]-Таблица1[[#This Row],[Дата рождения]]</f>
        <v>0</v>
      </c>
    </row>
    <row r="911" spans="22:23" ht="24.95" customHeight="1" x14ac:dyDescent="0.25">
      <c r="V911" s="2">
        <f>Таблица1[[#This Row],[Дата перевода]]-Таблица1[[#This Row],[Дата поступления]]</f>
        <v>0</v>
      </c>
      <c r="W911" s="2">
        <f>Таблица1[[#This Row],[Дата поступления]]-Таблица1[[#This Row],[Дата рождения]]</f>
        <v>0</v>
      </c>
    </row>
    <row r="912" spans="22:23" ht="24.95" customHeight="1" x14ac:dyDescent="0.25">
      <c r="V912" s="2">
        <f>Таблица1[[#This Row],[Дата перевода]]-Таблица1[[#This Row],[Дата поступления]]</f>
        <v>0</v>
      </c>
      <c r="W912" s="2">
        <f>Таблица1[[#This Row],[Дата поступления]]-Таблица1[[#This Row],[Дата рождения]]</f>
        <v>0</v>
      </c>
    </row>
    <row r="913" spans="22:23" ht="24.95" customHeight="1" x14ac:dyDescent="0.25">
      <c r="V913" s="2">
        <f>Таблица1[[#This Row],[Дата перевода]]-Таблица1[[#This Row],[Дата поступления]]</f>
        <v>0</v>
      </c>
      <c r="W913" s="2">
        <f>Таблица1[[#This Row],[Дата поступления]]-Таблица1[[#This Row],[Дата рождения]]</f>
        <v>0</v>
      </c>
    </row>
    <row r="914" spans="22:23" ht="24.95" customHeight="1" x14ac:dyDescent="0.25">
      <c r="V914" s="2">
        <f>Таблица1[[#This Row],[Дата перевода]]-Таблица1[[#This Row],[Дата поступления]]</f>
        <v>0</v>
      </c>
      <c r="W914" s="2">
        <f>Таблица1[[#This Row],[Дата поступления]]-Таблица1[[#This Row],[Дата рождения]]</f>
        <v>0</v>
      </c>
    </row>
    <row r="915" spans="22:23" ht="24.95" customHeight="1" x14ac:dyDescent="0.25">
      <c r="V915" s="2">
        <f>Таблица1[[#This Row],[Дата перевода]]-Таблица1[[#This Row],[Дата поступления]]</f>
        <v>0</v>
      </c>
      <c r="W915" s="2">
        <f>Таблица1[[#This Row],[Дата поступления]]-Таблица1[[#This Row],[Дата рождения]]</f>
        <v>0</v>
      </c>
    </row>
    <row r="916" spans="22:23" ht="24.95" customHeight="1" x14ac:dyDescent="0.25">
      <c r="V916" s="2">
        <f>Таблица1[[#This Row],[Дата перевода]]-Таблица1[[#This Row],[Дата поступления]]</f>
        <v>0</v>
      </c>
      <c r="W916" s="2">
        <f>Таблица1[[#This Row],[Дата поступления]]-Таблица1[[#This Row],[Дата рождения]]</f>
        <v>0</v>
      </c>
    </row>
    <row r="917" spans="22:23" ht="24.95" customHeight="1" x14ac:dyDescent="0.25">
      <c r="V917" s="2">
        <f>Таблица1[[#This Row],[Дата перевода]]-Таблица1[[#This Row],[Дата поступления]]</f>
        <v>0</v>
      </c>
      <c r="W917" s="2">
        <f>Таблица1[[#This Row],[Дата поступления]]-Таблица1[[#This Row],[Дата рождения]]</f>
        <v>0</v>
      </c>
    </row>
    <row r="918" spans="22:23" ht="24.95" customHeight="1" x14ac:dyDescent="0.25">
      <c r="V918" s="2">
        <f>Таблица1[[#This Row],[Дата перевода]]-Таблица1[[#This Row],[Дата поступления]]</f>
        <v>0</v>
      </c>
      <c r="W918" s="2">
        <f>Таблица1[[#This Row],[Дата поступления]]-Таблица1[[#This Row],[Дата рождения]]</f>
        <v>0</v>
      </c>
    </row>
    <row r="919" spans="22:23" ht="24.95" customHeight="1" x14ac:dyDescent="0.25">
      <c r="V919" s="2">
        <f>Таблица1[[#This Row],[Дата перевода]]-Таблица1[[#This Row],[Дата поступления]]</f>
        <v>0</v>
      </c>
      <c r="W919" s="2">
        <f>Таблица1[[#This Row],[Дата поступления]]-Таблица1[[#This Row],[Дата рождения]]</f>
        <v>0</v>
      </c>
    </row>
    <row r="920" spans="22:23" ht="24.95" customHeight="1" x14ac:dyDescent="0.25">
      <c r="V920" s="2">
        <f>Таблица1[[#This Row],[Дата перевода]]-Таблица1[[#This Row],[Дата поступления]]</f>
        <v>0</v>
      </c>
      <c r="W920" s="2">
        <f>Таблица1[[#This Row],[Дата поступления]]-Таблица1[[#This Row],[Дата рождения]]</f>
        <v>0</v>
      </c>
    </row>
    <row r="921" spans="22:23" ht="24.95" customHeight="1" x14ac:dyDescent="0.25">
      <c r="V921" s="2">
        <f>Таблица1[[#This Row],[Дата перевода]]-Таблица1[[#This Row],[Дата поступления]]</f>
        <v>0</v>
      </c>
      <c r="W921" s="2">
        <f>Таблица1[[#This Row],[Дата поступления]]-Таблица1[[#This Row],[Дата рождения]]</f>
        <v>0</v>
      </c>
    </row>
    <row r="922" spans="22:23" ht="24.95" customHeight="1" x14ac:dyDescent="0.25">
      <c r="V922" s="2">
        <f>Таблица1[[#This Row],[Дата перевода]]-Таблица1[[#This Row],[Дата поступления]]</f>
        <v>0</v>
      </c>
      <c r="W922" s="2">
        <f>Таблица1[[#This Row],[Дата поступления]]-Таблица1[[#This Row],[Дата рождения]]</f>
        <v>0</v>
      </c>
    </row>
    <row r="923" spans="22:23" ht="24.95" customHeight="1" x14ac:dyDescent="0.25">
      <c r="V923" s="2">
        <f>Таблица1[[#This Row],[Дата перевода]]-Таблица1[[#This Row],[Дата поступления]]</f>
        <v>0</v>
      </c>
      <c r="W923" s="2">
        <f>Таблица1[[#This Row],[Дата поступления]]-Таблица1[[#This Row],[Дата рождения]]</f>
        <v>0</v>
      </c>
    </row>
    <row r="924" spans="22:23" ht="24.95" customHeight="1" x14ac:dyDescent="0.25">
      <c r="V924" s="2">
        <f>Таблица1[[#This Row],[Дата перевода]]-Таблица1[[#This Row],[Дата поступления]]</f>
        <v>0</v>
      </c>
      <c r="W924" s="2">
        <f>Таблица1[[#This Row],[Дата поступления]]-Таблица1[[#This Row],[Дата рождения]]</f>
        <v>0</v>
      </c>
    </row>
    <row r="925" spans="22:23" ht="24.95" customHeight="1" x14ac:dyDescent="0.25">
      <c r="V925" s="2">
        <f>Таблица1[[#This Row],[Дата перевода]]-Таблица1[[#This Row],[Дата поступления]]</f>
        <v>0</v>
      </c>
      <c r="W925" s="2">
        <f>Таблица1[[#This Row],[Дата поступления]]-Таблица1[[#This Row],[Дата рождения]]</f>
        <v>0</v>
      </c>
    </row>
    <row r="926" spans="22:23" ht="24.95" customHeight="1" x14ac:dyDescent="0.25">
      <c r="V926" s="2">
        <f>Таблица1[[#This Row],[Дата перевода]]-Таблица1[[#This Row],[Дата поступления]]</f>
        <v>0</v>
      </c>
      <c r="W926" s="2">
        <f>Таблица1[[#This Row],[Дата поступления]]-Таблица1[[#This Row],[Дата рождения]]</f>
        <v>0</v>
      </c>
    </row>
    <row r="927" spans="22:23" ht="24.95" customHeight="1" x14ac:dyDescent="0.25">
      <c r="V927" s="2">
        <f>Таблица1[[#This Row],[Дата перевода]]-Таблица1[[#This Row],[Дата поступления]]</f>
        <v>0</v>
      </c>
      <c r="W927" s="2">
        <f>Таблица1[[#This Row],[Дата поступления]]-Таблица1[[#This Row],[Дата рождения]]</f>
        <v>0</v>
      </c>
    </row>
    <row r="928" spans="22:23" ht="24.95" customHeight="1" x14ac:dyDescent="0.25">
      <c r="V928" s="2">
        <f>Таблица1[[#This Row],[Дата перевода]]-Таблица1[[#This Row],[Дата поступления]]</f>
        <v>0</v>
      </c>
      <c r="W928" s="2">
        <f>Таблица1[[#This Row],[Дата поступления]]-Таблица1[[#This Row],[Дата рождения]]</f>
        <v>0</v>
      </c>
    </row>
    <row r="929" spans="22:23" ht="24.95" customHeight="1" x14ac:dyDescent="0.25">
      <c r="V929" s="2">
        <f>Таблица1[[#This Row],[Дата перевода]]-Таблица1[[#This Row],[Дата поступления]]</f>
        <v>0</v>
      </c>
      <c r="W929" s="2">
        <f>Таблица1[[#This Row],[Дата поступления]]-Таблица1[[#This Row],[Дата рождения]]</f>
        <v>0</v>
      </c>
    </row>
    <row r="930" spans="22:23" ht="24.95" customHeight="1" x14ac:dyDescent="0.25">
      <c r="V930" s="2">
        <f>Таблица1[[#This Row],[Дата перевода]]-Таблица1[[#This Row],[Дата поступления]]</f>
        <v>0</v>
      </c>
      <c r="W930" s="2">
        <f>Таблица1[[#This Row],[Дата поступления]]-Таблица1[[#This Row],[Дата рождения]]</f>
        <v>0</v>
      </c>
    </row>
    <row r="931" spans="22:23" ht="24.95" customHeight="1" x14ac:dyDescent="0.25">
      <c r="V931" s="2">
        <f>Таблица1[[#This Row],[Дата перевода]]-Таблица1[[#This Row],[Дата поступления]]</f>
        <v>0</v>
      </c>
      <c r="W931" s="2">
        <f>Таблица1[[#This Row],[Дата поступления]]-Таблица1[[#This Row],[Дата рождения]]</f>
        <v>0</v>
      </c>
    </row>
    <row r="932" spans="22:23" ht="24.95" customHeight="1" x14ac:dyDescent="0.25">
      <c r="V932" s="2">
        <f>Таблица1[[#This Row],[Дата перевода]]-Таблица1[[#This Row],[Дата поступления]]</f>
        <v>0</v>
      </c>
      <c r="W932" s="2">
        <f>Таблица1[[#This Row],[Дата поступления]]-Таблица1[[#This Row],[Дата рождения]]</f>
        <v>0</v>
      </c>
    </row>
    <row r="933" spans="22:23" ht="24.95" customHeight="1" x14ac:dyDescent="0.25">
      <c r="V933" s="2">
        <f>Таблица1[[#This Row],[Дата перевода]]-Таблица1[[#This Row],[Дата поступления]]</f>
        <v>0</v>
      </c>
      <c r="W933" s="2">
        <f>Таблица1[[#This Row],[Дата поступления]]-Таблица1[[#This Row],[Дата рождения]]</f>
        <v>0</v>
      </c>
    </row>
    <row r="934" spans="22:23" ht="24.95" customHeight="1" x14ac:dyDescent="0.25">
      <c r="V934" s="2">
        <f>Таблица1[[#This Row],[Дата перевода]]-Таблица1[[#This Row],[Дата поступления]]</f>
        <v>0</v>
      </c>
      <c r="W934" s="2">
        <f>Таблица1[[#This Row],[Дата поступления]]-Таблица1[[#This Row],[Дата рождения]]</f>
        <v>0</v>
      </c>
    </row>
    <row r="935" spans="22:23" ht="24.95" customHeight="1" x14ac:dyDescent="0.25">
      <c r="V935" s="2">
        <f>Таблица1[[#This Row],[Дата перевода]]-Таблица1[[#This Row],[Дата поступления]]</f>
        <v>0</v>
      </c>
      <c r="W935" s="2">
        <f>Таблица1[[#This Row],[Дата поступления]]-Таблица1[[#This Row],[Дата рождения]]</f>
        <v>0</v>
      </c>
    </row>
    <row r="936" spans="22:23" ht="24.95" customHeight="1" x14ac:dyDescent="0.25">
      <c r="V936" s="2">
        <f>Таблица1[[#This Row],[Дата перевода]]-Таблица1[[#This Row],[Дата поступления]]</f>
        <v>0</v>
      </c>
      <c r="W936" s="2">
        <f>Таблица1[[#This Row],[Дата поступления]]-Таблица1[[#This Row],[Дата рождения]]</f>
        <v>0</v>
      </c>
    </row>
    <row r="937" spans="22:23" ht="24.95" customHeight="1" x14ac:dyDescent="0.25">
      <c r="V937" s="2">
        <f>Таблица1[[#This Row],[Дата перевода]]-Таблица1[[#This Row],[Дата поступления]]</f>
        <v>0</v>
      </c>
      <c r="W937" s="2">
        <f>Таблица1[[#This Row],[Дата поступления]]-Таблица1[[#This Row],[Дата рождения]]</f>
        <v>0</v>
      </c>
    </row>
    <row r="938" spans="22:23" ht="24.95" customHeight="1" x14ac:dyDescent="0.25">
      <c r="V938" s="2">
        <f>Таблица1[[#This Row],[Дата перевода]]-Таблица1[[#This Row],[Дата поступления]]</f>
        <v>0</v>
      </c>
      <c r="W938" s="2">
        <f>Таблица1[[#This Row],[Дата поступления]]-Таблица1[[#This Row],[Дата рождения]]</f>
        <v>0</v>
      </c>
    </row>
    <row r="939" spans="22:23" ht="24.95" customHeight="1" x14ac:dyDescent="0.25">
      <c r="V939" s="2">
        <f>Таблица1[[#This Row],[Дата перевода]]-Таблица1[[#This Row],[Дата поступления]]</f>
        <v>0</v>
      </c>
      <c r="W939" s="2">
        <f>Таблица1[[#This Row],[Дата поступления]]-Таблица1[[#This Row],[Дата рождения]]</f>
        <v>0</v>
      </c>
    </row>
    <row r="940" spans="22:23" ht="24.95" customHeight="1" x14ac:dyDescent="0.25">
      <c r="V940" s="2">
        <f>Таблица1[[#This Row],[Дата перевода]]-Таблица1[[#This Row],[Дата поступления]]</f>
        <v>0</v>
      </c>
      <c r="W940" s="2">
        <f>Таблица1[[#This Row],[Дата поступления]]-Таблица1[[#This Row],[Дата рождения]]</f>
        <v>0</v>
      </c>
    </row>
    <row r="941" spans="22:23" ht="24.95" customHeight="1" x14ac:dyDescent="0.25">
      <c r="V941" s="2">
        <f>Таблица1[[#This Row],[Дата перевода]]-Таблица1[[#This Row],[Дата поступления]]</f>
        <v>0</v>
      </c>
      <c r="W941" s="2">
        <f>Таблица1[[#This Row],[Дата поступления]]-Таблица1[[#This Row],[Дата рождения]]</f>
        <v>0</v>
      </c>
    </row>
    <row r="942" spans="22:23" ht="24.95" customHeight="1" x14ac:dyDescent="0.25">
      <c r="V942" s="2">
        <f>Таблица1[[#This Row],[Дата перевода]]-Таблица1[[#This Row],[Дата поступления]]</f>
        <v>0</v>
      </c>
      <c r="W942" s="2">
        <f>Таблица1[[#This Row],[Дата поступления]]-Таблица1[[#This Row],[Дата рождения]]</f>
        <v>0</v>
      </c>
    </row>
    <row r="943" spans="22:23" ht="24.95" customHeight="1" x14ac:dyDescent="0.25">
      <c r="V943" s="2">
        <f>Таблица1[[#This Row],[Дата перевода]]-Таблица1[[#This Row],[Дата поступления]]</f>
        <v>0</v>
      </c>
      <c r="W943" s="2">
        <f>Таблица1[[#This Row],[Дата поступления]]-Таблица1[[#This Row],[Дата рождения]]</f>
        <v>0</v>
      </c>
    </row>
    <row r="944" spans="22:23" ht="24.95" customHeight="1" x14ac:dyDescent="0.25">
      <c r="V944" s="2">
        <f>Таблица1[[#This Row],[Дата перевода]]-Таблица1[[#This Row],[Дата поступления]]</f>
        <v>0</v>
      </c>
      <c r="W944" s="2">
        <f>Таблица1[[#This Row],[Дата поступления]]-Таблица1[[#This Row],[Дата рождения]]</f>
        <v>0</v>
      </c>
    </row>
    <row r="945" spans="22:23" ht="24.95" customHeight="1" x14ac:dyDescent="0.25">
      <c r="V945" s="2">
        <f>Таблица1[[#This Row],[Дата перевода]]-Таблица1[[#This Row],[Дата поступления]]</f>
        <v>0</v>
      </c>
      <c r="W945" s="2">
        <f>Таблица1[[#This Row],[Дата поступления]]-Таблица1[[#This Row],[Дата рождения]]</f>
        <v>0</v>
      </c>
    </row>
    <row r="946" spans="22:23" ht="24.95" customHeight="1" x14ac:dyDescent="0.25">
      <c r="V946" s="2">
        <f>Таблица1[[#This Row],[Дата перевода]]-Таблица1[[#This Row],[Дата поступления]]</f>
        <v>0</v>
      </c>
      <c r="W946" s="2">
        <f>Таблица1[[#This Row],[Дата поступления]]-Таблица1[[#This Row],[Дата рождения]]</f>
        <v>0</v>
      </c>
    </row>
    <row r="947" spans="22:23" ht="24.95" customHeight="1" x14ac:dyDescent="0.25">
      <c r="V947" s="2">
        <f>Таблица1[[#This Row],[Дата перевода]]-Таблица1[[#This Row],[Дата поступления]]</f>
        <v>0</v>
      </c>
      <c r="W947" s="2">
        <f>Таблица1[[#This Row],[Дата поступления]]-Таблица1[[#This Row],[Дата рождения]]</f>
        <v>0</v>
      </c>
    </row>
    <row r="948" spans="22:23" ht="24.95" customHeight="1" x14ac:dyDescent="0.25">
      <c r="V948" s="2">
        <f>Таблица1[[#This Row],[Дата перевода]]-Таблица1[[#This Row],[Дата поступления]]</f>
        <v>0</v>
      </c>
      <c r="W948" s="2">
        <f>Таблица1[[#This Row],[Дата поступления]]-Таблица1[[#This Row],[Дата рождения]]</f>
        <v>0</v>
      </c>
    </row>
    <row r="949" spans="22:23" ht="24.95" customHeight="1" x14ac:dyDescent="0.25">
      <c r="V949" s="2">
        <f>Таблица1[[#This Row],[Дата перевода]]-Таблица1[[#This Row],[Дата поступления]]</f>
        <v>0</v>
      </c>
      <c r="W949" s="2">
        <f>Таблица1[[#This Row],[Дата поступления]]-Таблица1[[#This Row],[Дата рождения]]</f>
        <v>0</v>
      </c>
    </row>
    <row r="950" spans="22:23" ht="24.95" customHeight="1" x14ac:dyDescent="0.25">
      <c r="V950" s="2">
        <f>Таблица1[[#This Row],[Дата перевода]]-Таблица1[[#This Row],[Дата поступления]]</f>
        <v>0</v>
      </c>
      <c r="W950" s="2">
        <f>Таблица1[[#This Row],[Дата поступления]]-Таблица1[[#This Row],[Дата рождения]]</f>
        <v>0</v>
      </c>
    </row>
    <row r="951" spans="22:23" ht="24.95" customHeight="1" x14ac:dyDescent="0.25">
      <c r="V951" s="2">
        <f>Таблица1[[#This Row],[Дата перевода]]-Таблица1[[#This Row],[Дата поступления]]</f>
        <v>0</v>
      </c>
      <c r="W951" s="2">
        <f>Таблица1[[#This Row],[Дата поступления]]-Таблица1[[#This Row],[Дата рождения]]</f>
        <v>0</v>
      </c>
    </row>
    <row r="952" spans="22:23" ht="24.95" customHeight="1" x14ac:dyDescent="0.25">
      <c r="V952" s="2">
        <f>Таблица1[[#This Row],[Дата перевода]]-Таблица1[[#This Row],[Дата поступления]]</f>
        <v>0</v>
      </c>
      <c r="W952" s="2">
        <f>Таблица1[[#This Row],[Дата поступления]]-Таблица1[[#This Row],[Дата рождения]]</f>
        <v>0</v>
      </c>
    </row>
    <row r="953" spans="22:23" ht="24.95" customHeight="1" x14ac:dyDescent="0.25">
      <c r="V953" s="2">
        <f>Таблица1[[#This Row],[Дата перевода]]-Таблица1[[#This Row],[Дата поступления]]</f>
        <v>0</v>
      </c>
      <c r="W953" s="2">
        <f>Таблица1[[#This Row],[Дата поступления]]-Таблица1[[#This Row],[Дата рождения]]</f>
        <v>0</v>
      </c>
    </row>
    <row r="954" spans="22:23" ht="24.95" customHeight="1" x14ac:dyDescent="0.25">
      <c r="V954" s="2">
        <f>Таблица1[[#This Row],[Дата перевода]]-Таблица1[[#This Row],[Дата поступления]]</f>
        <v>0</v>
      </c>
      <c r="W954" s="2">
        <f>Таблица1[[#This Row],[Дата поступления]]-Таблица1[[#This Row],[Дата рождения]]</f>
        <v>0</v>
      </c>
    </row>
    <row r="955" spans="22:23" ht="24.95" customHeight="1" x14ac:dyDescent="0.25">
      <c r="V955" s="2">
        <f>Таблица1[[#This Row],[Дата перевода]]-Таблица1[[#This Row],[Дата поступления]]</f>
        <v>0</v>
      </c>
      <c r="W955" s="2">
        <f>Таблица1[[#This Row],[Дата поступления]]-Таблица1[[#This Row],[Дата рождения]]</f>
        <v>0</v>
      </c>
    </row>
    <row r="956" spans="22:23" ht="24.95" customHeight="1" x14ac:dyDescent="0.25">
      <c r="V956" s="2">
        <f>Таблица1[[#This Row],[Дата перевода]]-Таблица1[[#This Row],[Дата поступления]]</f>
        <v>0</v>
      </c>
      <c r="W956" s="2">
        <f>Таблица1[[#This Row],[Дата поступления]]-Таблица1[[#This Row],[Дата рождения]]</f>
        <v>0</v>
      </c>
    </row>
    <row r="957" spans="22:23" ht="24.95" customHeight="1" x14ac:dyDescent="0.25">
      <c r="V957" s="2">
        <f>Таблица1[[#This Row],[Дата перевода]]-Таблица1[[#This Row],[Дата поступления]]</f>
        <v>0</v>
      </c>
      <c r="W957" s="2">
        <f>Таблица1[[#This Row],[Дата поступления]]-Таблица1[[#This Row],[Дата рождения]]</f>
        <v>0</v>
      </c>
    </row>
    <row r="958" spans="22:23" ht="24.95" customHeight="1" x14ac:dyDescent="0.25">
      <c r="V958" s="2">
        <f>Таблица1[[#This Row],[Дата перевода]]-Таблица1[[#This Row],[Дата поступления]]</f>
        <v>0</v>
      </c>
      <c r="W958" s="2">
        <f>Таблица1[[#This Row],[Дата поступления]]-Таблица1[[#This Row],[Дата рождения]]</f>
        <v>0</v>
      </c>
    </row>
    <row r="959" spans="22:23" ht="24.95" customHeight="1" x14ac:dyDescent="0.25">
      <c r="V959" s="2">
        <f>Таблица1[[#This Row],[Дата перевода]]-Таблица1[[#This Row],[Дата поступления]]</f>
        <v>0</v>
      </c>
      <c r="W959" s="2">
        <f>Таблица1[[#This Row],[Дата поступления]]-Таблица1[[#This Row],[Дата рождения]]</f>
        <v>0</v>
      </c>
    </row>
    <row r="960" spans="22:23" ht="24.95" customHeight="1" x14ac:dyDescent="0.25">
      <c r="V960" s="2">
        <f>Таблица1[[#This Row],[Дата перевода]]-Таблица1[[#This Row],[Дата поступления]]</f>
        <v>0</v>
      </c>
      <c r="W960" s="2">
        <f>Таблица1[[#This Row],[Дата поступления]]-Таблица1[[#This Row],[Дата рождения]]</f>
        <v>0</v>
      </c>
    </row>
    <row r="961" spans="22:23" ht="24.95" customHeight="1" x14ac:dyDescent="0.25">
      <c r="V961" s="2">
        <f>Таблица1[[#This Row],[Дата перевода]]-Таблица1[[#This Row],[Дата поступления]]</f>
        <v>0</v>
      </c>
      <c r="W961" s="2">
        <f>Таблица1[[#This Row],[Дата поступления]]-Таблица1[[#This Row],[Дата рождения]]</f>
        <v>0</v>
      </c>
    </row>
    <row r="962" spans="22:23" ht="24.95" customHeight="1" x14ac:dyDescent="0.25">
      <c r="V962" s="2">
        <f>Таблица1[[#This Row],[Дата перевода]]-Таблица1[[#This Row],[Дата поступления]]</f>
        <v>0</v>
      </c>
      <c r="W962" s="2">
        <f>Таблица1[[#This Row],[Дата поступления]]-Таблица1[[#This Row],[Дата рождения]]</f>
        <v>0</v>
      </c>
    </row>
    <row r="963" spans="22:23" ht="24.95" customHeight="1" x14ac:dyDescent="0.25">
      <c r="V963" s="2">
        <f>Таблица1[[#This Row],[Дата перевода]]-Таблица1[[#This Row],[Дата поступления]]</f>
        <v>0</v>
      </c>
      <c r="W963" s="2">
        <f>Таблица1[[#This Row],[Дата поступления]]-Таблица1[[#This Row],[Дата рождения]]</f>
        <v>0</v>
      </c>
    </row>
    <row r="964" spans="22:23" ht="24.95" customHeight="1" x14ac:dyDescent="0.25">
      <c r="V964" s="2">
        <f>Таблица1[[#This Row],[Дата перевода]]-Таблица1[[#This Row],[Дата поступления]]</f>
        <v>0</v>
      </c>
      <c r="W964" s="2">
        <f>Таблица1[[#This Row],[Дата поступления]]-Таблица1[[#This Row],[Дата рождения]]</f>
        <v>0</v>
      </c>
    </row>
    <row r="965" spans="22:23" ht="24.95" customHeight="1" x14ac:dyDescent="0.25">
      <c r="V965" s="2">
        <f>Таблица1[[#This Row],[Дата перевода]]-Таблица1[[#This Row],[Дата поступления]]</f>
        <v>0</v>
      </c>
      <c r="W965" s="2">
        <f>Таблица1[[#This Row],[Дата поступления]]-Таблица1[[#This Row],[Дата рождения]]</f>
        <v>0</v>
      </c>
    </row>
    <row r="966" spans="22:23" ht="24.95" customHeight="1" x14ac:dyDescent="0.25">
      <c r="V966" s="2">
        <f>Таблица1[[#This Row],[Дата перевода]]-Таблица1[[#This Row],[Дата поступления]]</f>
        <v>0</v>
      </c>
      <c r="W966" s="2">
        <f>Таблица1[[#This Row],[Дата поступления]]-Таблица1[[#This Row],[Дата рождения]]</f>
        <v>0</v>
      </c>
    </row>
    <row r="967" spans="22:23" ht="24.95" customHeight="1" x14ac:dyDescent="0.25">
      <c r="V967" s="2">
        <f>Таблица1[[#This Row],[Дата перевода]]-Таблица1[[#This Row],[Дата поступления]]</f>
        <v>0</v>
      </c>
      <c r="W967" s="2">
        <f>Таблица1[[#This Row],[Дата поступления]]-Таблица1[[#This Row],[Дата рождения]]</f>
        <v>0</v>
      </c>
    </row>
    <row r="968" spans="22:23" ht="24.95" customHeight="1" x14ac:dyDescent="0.25">
      <c r="V968" s="2">
        <f>Таблица1[[#This Row],[Дата перевода]]-Таблица1[[#This Row],[Дата поступления]]</f>
        <v>0</v>
      </c>
      <c r="W968" s="2">
        <f>Таблица1[[#This Row],[Дата поступления]]-Таблица1[[#This Row],[Дата рождения]]</f>
        <v>0</v>
      </c>
    </row>
    <row r="969" spans="22:23" ht="24.95" customHeight="1" x14ac:dyDescent="0.25">
      <c r="V969" s="2">
        <f>Таблица1[[#This Row],[Дата перевода]]-Таблица1[[#This Row],[Дата поступления]]</f>
        <v>0</v>
      </c>
      <c r="W969" s="2">
        <f>Таблица1[[#This Row],[Дата поступления]]-Таблица1[[#This Row],[Дата рождения]]</f>
        <v>0</v>
      </c>
    </row>
    <row r="970" spans="22:23" ht="24.95" customHeight="1" x14ac:dyDescent="0.25">
      <c r="V970" s="2">
        <f>Таблица1[[#This Row],[Дата перевода]]-Таблица1[[#This Row],[Дата поступления]]</f>
        <v>0</v>
      </c>
      <c r="W970" s="2">
        <f>Таблица1[[#This Row],[Дата поступления]]-Таблица1[[#This Row],[Дата рождения]]</f>
        <v>0</v>
      </c>
    </row>
    <row r="971" spans="22:23" ht="24.95" customHeight="1" x14ac:dyDescent="0.25">
      <c r="V971" s="2">
        <f>Таблица1[[#This Row],[Дата перевода]]-Таблица1[[#This Row],[Дата поступления]]</f>
        <v>0</v>
      </c>
      <c r="W971" s="2">
        <f>Таблица1[[#This Row],[Дата поступления]]-Таблица1[[#This Row],[Дата рождения]]</f>
        <v>0</v>
      </c>
    </row>
    <row r="972" spans="22:23" ht="24.95" customHeight="1" x14ac:dyDescent="0.25">
      <c r="V972" s="2">
        <f>Таблица1[[#This Row],[Дата перевода]]-Таблица1[[#This Row],[Дата поступления]]</f>
        <v>0</v>
      </c>
      <c r="W972" s="2">
        <f>Таблица1[[#This Row],[Дата поступления]]-Таблица1[[#This Row],[Дата рождения]]</f>
        <v>0</v>
      </c>
    </row>
    <row r="973" spans="22:23" ht="24.95" customHeight="1" x14ac:dyDescent="0.25">
      <c r="V973" s="2">
        <f>Таблица1[[#This Row],[Дата перевода]]-Таблица1[[#This Row],[Дата поступления]]</f>
        <v>0</v>
      </c>
      <c r="W973" s="2">
        <f>Таблица1[[#This Row],[Дата поступления]]-Таблица1[[#This Row],[Дата рождения]]</f>
        <v>0</v>
      </c>
    </row>
    <row r="974" spans="22:23" ht="24.95" customHeight="1" x14ac:dyDescent="0.25">
      <c r="V974" s="2">
        <f>Таблица1[[#This Row],[Дата перевода]]-Таблица1[[#This Row],[Дата поступления]]</f>
        <v>0</v>
      </c>
      <c r="W974" s="2">
        <f>Таблица1[[#This Row],[Дата поступления]]-Таблица1[[#This Row],[Дата рождения]]</f>
        <v>0</v>
      </c>
    </row>
    <row r="975" spans="22:23" ht="24.95" customHeight="1" x14ac:dyDescent="0.25">
      <c r="V975" s="2">
        <f>Таблица1[[#This Row],[Дата перевода]]-Таблица1[[#This Row],[Дата поступления]]</f>
        <v>0</v>
      </c>
      <c r="W975" s="2">
        <f>Таблица1[[#This Row],[Дата поступления]]-Таблица1[[#This Row],[Дата рождения]]</f>
        <v>0</v>
      </c>
    </row>
    <row r="976" spans="22:23" ht="24.95" customHeight="1" x14ac:dyDescent="0.25">
      <c r="V976" s="2">
        <f>Таблица1[[#This Row],[Дата перевода]]-Таблица1[[#This Row],[Дата поступления]]</f>
        <v>0</v>
      </c>
      <c r="W976" s="2">
        <f>Таблица1[[#This Row],[Дата поступления]]-Таблица1[[#This Row],[Дата рождения]]</f>
        <v>0</v>
      </c>
    </row>
    <row r="977" spans="22:23" ht="24.95" customHeight="1" x14ac:dyDescent="0.25">
      <c r="V977" s="2">
        <f>Таблица1[[#This Row],[Дата перевода]]-Таблица1[[#This Row],[Дата поступления]]</f>
        <v>0</v>
      </c>
      <c r="W977" s="2">
        <f>Таблица1[[#This Row],[Дата поступления]]-Таблица1[[#This Row],[Дата рождения]]</f>
        <v>0</v>
      </c>
    </row>
    <row r="978" spans="22:23" ht="24.95" customHeight="1" x14ac:dyDescent="0.25">
      <c r="V978" s="2">
        <f>Таблица1[[#This Row],[Дата перевода]]-Таблица1[[#This Row],[Дата поступления]]</f>
        <v>0</v>
      </c>
      <c r="W978" s="2">
        <f>Таблица1[[#This Row],[Дата поступления]]-Таблица1[[#This Row],[Дата рождения]]</f>
        <v>0</v>
      </c>
    </row>
    <row r="979" spans="22:23" ht="24.95" customHeight="1" x14ac:dyDescent="0.25">
      <c r="V979" s="2">
        <f>Таблица1[[#This Row],[Дата перевода]]-Таблица1[[#This Row],[Дата поступления]]</f>
        <v>0</v>
      </c>
      <c r="W979" s="2">
        <f>Таблица1[[#This Row],[Дата поступления]]-Таблица1[[#This Row],[Дата рождения]]</f>
        <v>0</v>
      </c>
    </row>
    <row r="980" spans="22:23" ht="24.95" customHeight="1" x14ac:dyDescent="0.25">
      <c r="V980" s="2">
        <f>Таблица1[[#This Row],[Дата перевода]]-Таблица1[[#This Row],[Дата поступления]]</f>
        <v>0</v>
      </c>
      <c r="W980" s="2">
        <f>Таблица1[[#This Row],[Дата поступления]]-Таблица1[[#This Row],[Дата рождения]]</f>
        <v>0</v>
      </c>
    </row>
    <row r="981" spans="22:23" ht="24.95" customHeight="1" x14ac:dyDescent="0.25">
      <c r="V981" s="2">
        <f>Таблица1[[#This Row],[Дата перевода]]-Таблица1[[#This Row],[Дата поступления]]</f>
        <v>0</v>
      </c>
      <c r="W981" s="2">
        <f>Таблица1[[#This Row],[Дата поступления]]-Таблица1[[#This Row],[Дата рождения]]</f>
        <v>0</v>
      </c>
    </row>
    <row r="982" spans="22:23" ht="24.95" customHeight="1" x14ac:dyDescent="0.25">
      <c r="V982" s="2">
        <f>Таблица1[[#This Row],[Дата перевода]]-Таблица1[[#This Row],[Дата поступления]]</f>
        <v>0</v>
      </c>
      <c r="W982" s="2">
        <f>Таблица1[[#This Row],[Дата поступления]]-Таблица1[[#This Row],[Дата рождения]]</f>
        <v>0</v>
      </c>
    </row>
    <row r="983" spans="22:23" ht="24.95" customHeight="1" x14ac:dyDescent="0.25">
      <c r="V983" s="2">
        <f>Таблица1[[#This Row],[Дата перевода]]-Таблица1[[#This Row],[Дата поступления]]</f>
        <v>0</v>
      </c>
      <c r="W983" s="2">
        <f>Таблица1[[#This Row],[Дата поступления]]-Таблица1[[#This Row],[Дата рождения]]</f>
        <v>0</v>
      </c>
    </row>
    <row r="984" spans="22:23" ht="24.95" customHeight="1" x14ac:dyDescent="0.25">
      <c r="V984" s="2">
        <f>Таблица1[[#This Row],[Дата перевода]]-Таблица1[[#This Row],[Дата поступления]]</f>
        <v>0</v>
      </c>
      <c r="W984" s="2">
        <f>Таблица1[[#This Row],[Дата поступления]]-Таблица1[[#This Row],[Дата рождения]]</f>
        <v>0</v>
      </c>
    </row>
    <row r="985" spans="22:23" ht="24.95" customHeight="1" x14ac:dyDescent="0.25">
      <c r="V985" s="2">
        <f>Таблица1[[#This Row],[Дата перевода]]-Таблица1[[#This Row],[Дата поступления]]</f>
        <v>0</v>
      </c>
      <c r="W985" s="2">
        <f>Таблица1[[#This Row],[Дата поступления]]-Таблица1[[#This Row],[Дата рождения]]</f>
        <v>0</v>
      </c>
    </row>
    <row r="986" spans="22:23" ht="24.95" customHeight="1" x14ac:dyDescent="0.25">
      <c r="V986" s="2">
        <f>Таблица1[[#This Row],[Дата перевода]]-Таблица1[[#This Row],[Дата поступления]]</f>
        <v>0</v>
      </c>
      <c r="W986" s="2">
        <f>Таблица1[[#This Row],[Дата поступления]]-Таблица1[[#This Row],[Дата рождения]]</f>
        <v>0</v>
      </c>
    </row>
    <row r="987" spans="22:23" ht="24.95" customHeight="1" x14ac:dyDescent="0.25">
      <c r="V987" s="2">
        <f>Таблица1[[#This Row],[Дата перевода]]-Таблица1[[#This Row],[Дата поступления]]</f>
        <v>0</v>
      </c>
      <c r="W987" s="2">
        <f>Таблица1[[#This Row],[Дата поступления]]-Таблица1[[#This Row],[Дата рождения]]</f>
        <v>0</v>
      </c>
    </row>
    <row r="988" spans="22:23" ht="24.95" customHeight="1" x14ac:dyDescent="0.25">
      <c r="V988" s="2">
        <f>Таблица1[[#This Row],[Дата перевода]]-Таблица1[[#This Row],[Дата поступления]]</f>
        <v>0</v>
      </c>
      <c r="W988" s="2">
        <f>Таблица1[[#This Row],[Дата поступления]]-Таблица1[[#This Row],[Дата рождения]]</f>
        <v>0</v>
      </c>
    </row>
    <row r="989" spans="22:23" ht="24.95" customHeight="1" x14ac:dyDescent="0.25">
      <c r="V989" s="2">
        <f>Таблица1[[#This Row],[Дата перевода]]-Таблица1[[#This Row],[Дата поступления]]</f>
        <v>0</v>
      </c>
      <c r="W989" s="2">
        <f>Таблица1[[#This Row],[Дата поступления]]-Таблица1[[#This Row],[Дата рождения]]</f>
        <v>0</v>
      </c>
    </row>
    <row r="990" spans="22:23" ht="24.95" customHeight="1" x14ac:dyDescent="0.25">
      <c r="V990" s="2">
        <f>Таблица1[[#This Row],[Дата перевода]]-Таблица1[[#This Row],[Дата поступления]]</f>
        <v>0</v>
      </c>
      <c r="W990" s="2">
        <f>Таблица1[[#This Row],[Дата поступления]]-Таблица1[[#This Row],[Дата рождения]]</f>
        <v>0</v>
      </c>
    </row>
    <row r="991" spans="22:23" ht="24.95" customHeight="1" x14ac:dyDescent="0.25">
      <c r="V991" s="2">
        <f>Таблица1[[#This Row],[Дата перевода]]-Таблица1[[#This Row],[Дата поступления]]</f>
        <v>0</v>
      </c>
      <c r="W991" s="2">
        <f>Таблица1[[#This Row],[Дата поступления]]-Таблица1[[#This Row],[Дата рождения]]</f>
        <v>0</v>
      </c>
    </row>
    <row r="992" spans="22:23" ht="24.95" customHeight="1" x14ac:dyDescent="0.25">
      <c r="V992" s="2">
        <f>Таблица1[[#This Row],[Дата перевода]]-Таблица1[[#This Row],[Дата поступления]]</f>
        <v>0</v>
      </c>
      <c r="W992" s="2">
        <f>Таблица1[[#This Row],[Дата поступления]]-Таблица1[[#This Row],[Дата рождения]]</f>
        <v>0</v>
      </c>
    </row>
    <row r="993" spans="22:23" ht="24.95" customHeight="1" x14ac:dyDescent="0.25">
      <c r="V993" s="2">
        <f>Таблица1[[#This Row],[Дата перевода]]-Таблица1[[#This Row],[Дата поступления]]</f>
        <v>0</v>
      </c>
      <c r="W993" s="2">
        <f>Таблица1[[#This Row],[Дата поступления]]-Таблица1[[#This Row],[Дата рождения]]</f>
        <v>0</v>
      </c>
    </row>
    <row r="994" spans="22:23" ht="24.95" customHeight="1" x14ac:dyDescent="0.25">
      <c r="V994" s="2">
        <f>Таблица1[[#This Row],[Дата перевода]]-Таблица1[[#This Row],[Дата поступления]]</f>
        <v>0</v>
      </c>
      <c r="W994" s="2">
        <f>Таблица1[[#This Row],[Дата поступления]]-Таблица1[[#This Row],[Дата рождения]]</f>
        <v>0</v>
      </c>
    </row>
    <row r="995" spans="22:23" ht="24.95" customHeight="1" x14ac:dyDescent="0.25">
      <c r="V995" s="2">
        <f>Таблица1[[#This Row],[Дата перевода]]-Таблица1[[#This Row],[Дата поступления]]</f>
        <v>0</v>
      </c>
      <c r="W995" s="2">
        <f>Таблица1[[#This Row],[Дата поступления]]-Таблица1[[#This Row],[Дата рождения]]</f>
        <v>0</v>
      </c>
    </row>
    <row r="996" spans="22:23" ht="24.95" customHeight="1" x14ac:dyDescent="0.25">
      <c r="V996" s="2">
        <f>Таблица1[[#This Row],[Дата перевода]]-Таблица1[[#This Row],[Дата поступления]]</f>
        <v>0</v>
      </c>
      <c r="W996" s="2">
        <f>Таблица1[[#This Row],[Дата поступления]]-Таблица1[[#This Row],[Дата рождения]]</f>
        <v>0</v>
      </c>
    </row>
    <row r="997" spans="22:23" ht="24.95" customHeight="1" x14ac:dyDescent="0.25">
      <c r="V997" s="2">
        <f>Таблица1[[#This Row],[Дата перевода]]-Таблица1[[#This Row],[Дата поступления]]</f>
        <v>0</v>
      </c>
      <c r="W997" s="2">
        <f>Таблица1[[#This Row],[Дата поступления]]-Таблица1[[#This Row],[Дата рождения]]</f>
        <v>0</v>
      </c>
    </row>
    <row r="998" spans="22:23" ht="24.95" customHeight="1" x14ac:dyDescent="0.25">
      <c r="V998" s="2">
        <f>Таблица1[[#This Row],[Дата перевода]]-Таблица1[[#This Row],[Дата поступления]]</f>
        <v>0</v>
      </c>
      <c r="W998" s="2">
        <f>Таблица1[[#This Row],[Дата поступления]]-Таблица1[[#This Row],[Дата рождения]]</f>
        <v>0</v>
      </c>
    </row>
    <row r="999" spans="22:23" ht="24.95" customHeight="1" x14ac:dyDescent="0.25">
      <c r="V999" s="2">
        <f>Таблица1[[#This Row],[Дата перевода]]-Таблица1[[#This Row],[Дата поступления]]</f>
        <v>0</v>
      </c>
      <c r="W999" s="2">
        <f>Таблица1[[#This Row],[Дата поступления]]-Таблица1[[#This Row],[Дата рождения]]</f>
        <v>0</v>
      </c>
    </row>
    <row r="1000" spans="22:23" ht="24.95" customHeight="1" x14ac:dyDescent="0.25">
      <c r="V1000" s="2">
        <f>Таблица1[[#This Row],[Дата перевода]]-Таблица1[[#This Row],[Дата поступления]]</f>
        <v>0</v>
      </c>
      <c r="W1000" s="2">
        <f>Таблица1[[#This Row],[Дата поступления]]-Таблица1[[#This Row],[Дата рождения]]</f>
        <v>0</v>
      </c>
    </row>
    <row r="1001" spans="22:23" ht="24.95" customHeight="1" x14ac:dyDescent="0.25">
      <c r="V1001" s="2">
        <f>Таблица1[[#This Row],[Дата перевода]]-Таблица1[[#This Row],[Дата поступления]]</f>
        <v>0</v>
      </c>
      <c r="W1001" s="2">
        <f>Таблица1[[#This Row],[Дата поступления]]-Таблица1[[#This Row],[Дата рождения]]</f>
        <v>0</v>
      </c>
    </row>
    <row r="1002" spans="22:23" ht="24.95" customHeight="1" x14ac:dyDescent="0.25">
      <c r="V1002" s="2">
        <f>Таблица1[[#This Row],[Дата перевода]]-Таблица1[[#This Row],[Дата поступления]]</f>
        <v>0</v>
      </c>
      <c r="W1002" s="2">
        <f>Таблица1[[#This Row],[Дата поступления]]-Таблица1[[#This Row],[Дата рождения]]</f>
        <v>0</v>
      </c>
    </row>
    <row r="1003" spans="22:23" ht="24.95" customHeight="1" x14ac:dyDescent="0.25">
      <c r="V1003" s="2">
        <f>Таблица1[[#This Row],[Дата перевода]]-Таблица1[[#This Row],[Дата поступления]]</f>
        <v>0</v>
      </c>
      <c r="W1003" s="2">
        <f>Таблица1[[#This Row],[Дата поступления]]-Таблица1[[#This Row],[Дата рождения]]</f>
        <v>0</v>
      </c>
    </row>
    <row r="1004" spans="22:23" ht="24.95" customHeight="1" x14ac:dyDescent="0.25">
      <c r="V1004" s="2">
        <f>Таблица1[[#This Row],[Дата перевода]]-Таблица1[[#This Row],[Дата поступления]]</f>
        <v>0</v>
      </c>
      <c r="W1004" s="2">
        <f>Таблица1[[#This Row],[Дата поступления]]-Таблица1[[#This Row],[Дата рождения]]</f>
        <v>0</v>
      </c>
    </row>
    <row r="1005" spans="22:23" ht="24.95" customHeight="1" x14ac:dyDescent="0.25">
      <c r="V1005" s="2">
        <f>Таблица1[[#This Row],[Дата перевода]]-Таблица1[[#This Row],[Дата поступления]]</f>
        <v>0</v>
      </c>
      <c r="W1005" s="2">
        <f>Таблица1[[#This Row],[Дата поступления]]-Таблица1[[#This Row],[Дата рождения]]</f>
        <v>0</v>
      </c>
    </row>
    <row r="1006" spans="22:23" ht="24.95" customHeight="1" x14ac:dyDescent="0.25">
      <c r="V1006" s="2">
        <f>Таблица1[[#This Row],[Дата перевода]]-Таблица1[[#This Row],[Дата поступления]]</f>
        <v>0</v>
      </c>
      <c r="W1006" s="2">
        <f>Таблица1[[#This Row],[Дата поступления]]-Таблица1[[#This Row],[Дата рождения]]</f>
        <v>0</v>
      </c>
    </row>
    <row r="1007" spans="22:23" ht="24.95" customHeight="1" x14ac:dyDescent="0.25">
      <c r="V1007" s="2">
        <f>Таблица1[[#This Row],[Дата перевода]]-Таблица1[[#This Row],[Дата поступления]]</f>
        <v>0</v>
      </c>
      <c r="W1007" s="2">
        <f>Таблица1[[#This Row],[Дата поступления]]-Таблица1[[#This Row],[Дата рождения]]</f>
        <v>0</v>
      </c>
    </row>
    <row r="1008" spans="22:23" ht="24.95" customHeight="1" x14ac:dyDescent="0.25">
      <c r="V1008" s="2">
        <f>Таблица1[[#This Row],[Дата перевода]]-Таблица1[[#This Row],[Дата поступления]]</f>
        <v>0</v>
      </c>
      <c r="W1008" s="2">
        <f>Таблица1[[#This Row],[Дата поступления]]-Таблица1[[#This Row],[Дата рождения]]</f>
        <v>0</v>
      </c>
    </row>
    <row r="1009" spans="22:23" ht="24.95" customHeight="1" x14ac:dyDescent="0.25">
      <c r="V1009" s="2">
        <f>Таблица1[[#This Row],[Дата перевода]]-Таблица1[[#This Row],[Дата поступления]]</f>
        <v>0</v>
      </c>
      <c r="W1009" s="2">
        <f>Таблица1[[#This Row],[Дата поступления]]-Таблица1[[#This Row],[Дата рождения]]</f>
        <v>0</v>
      </c>
    </row>
    <row r="1010" spans="22:23" ht="24.95" customHeight="1" x14ac:dyDescent="0.25">
      <c r="V1010" s="2">
        <f>Таблица1[[#This Row],[Дата перевода]]-Таблица1[[#This Row],[Дата поступления]]</f>
        <v>0</v>
      </c>
      <c r="W1010" s="2">
        <f>Таблица1[[#This Row],[Дата поступления]]-Таблица1[[#This Row],[Дата рождения]]</f>
        <v>0</v>
      </c>
    </row>
    <row r="1011" spans="22:23" ht="24.95" customHeight="1" x14ac:dyDescent="0.25">
      <c r="V1011" s="2">
        <f>Таблица1[[#This Row],[Дата перевода]]-Таблица1[[#This Row],[Дата поступления]]</f>
        <v>0</v>
      </c>
      <c r="W1011" s="2">
        <f>Таблица1[[#This Row],[Дата поступления]]-Таблица1[[#This Row],[Дата рождения]]</f>
        <v>0</v>
      </c>
    </row>
    <row r="1012" spans="22:23" ht="24.95" customHeight="1" x14ac:dyDescent="0.25">
      <c r="V1012" s="2">
        <f>Таблица1[[#This Row],[Дата перевода]]-Таблица1[[#This Row],[Дата поступления]]</f>
        <v>0</v>
      </c>
      <c r="W1012" s="2">
        <f>Таблица1[[#This Row],[Дата поступления]]-Таблица1[[#This Row],[Дата рождения]]</f>
        <v>0</v>
      </c>
    </row>
    <row r="1013" spans="22:23" ht="24.95" customHeight="1" x14ac:dyDescent="0.25">
      <c r="V1013" s="2">
        <f>Таблица1[[#This Row],[Дата перевода]]-Таблица1[[#This Row],[Дата поступления]]</f>
        <v>0</v>
      </c>
      <c r="W1013" s="2">
        <f>Таблица1[[#This Row],[Дата поступления]]-Таблица1[[#This Row],[Дата рождения]]</f>
        <v>0</v>
      </c>
    </row>
    <row r="1014" spans="22:23" ht="24.95" customHeight="1" x14ac:dyDescent="0.25">
      <c r="V1014" s="2">
        <f>Таблица1[[#This Row],[Дата перевода]]-Таблица1[[#This Row],[Дата поступления]]</f>
        <v>0</v>
      </c>
      <c r="W1014" s="2">
        <f>Таблица1[[#This Row],[Дата поступления]]-Таблица1[[#This Row],[Дата рождения]]</f>
        <v>0</v>
      </c>
    </row>
    <row r="1015" spans="22:23" ht="24.95" customHeight="1" x14ac:dyDescent="0.25">
      <c r="V1015" s="2">
        <f>Таблица1[[#This Row],[Дата перевода]]-Таблица1[[#This Row],[Дата поступления]]</f>
        <v>0</v>
      </c>
      <c r="W1015" s="2">
        <f>Таблица1[[#This Row],[Дата поступления]]-Таблица1[[#This Row],[Дата рождения]]</f>
        <v>0</v>
      </c>
    </row>
    <row r="1016" spans="22:23" ht="24.95" customHeight="1" x14ac:dyDescent="0.25">
      <c r="V1016" s="2">
        <f>Таблица1[[#This Row],[Дата перевода]]-Таблица1[[#This Row],[Дата поступления]]</f>
        <v>0</v>
      </c>
      <c r="W1016" s="2">
        <f>Таблица1[[#This Row],[Дата поступления]]-Таблица1[[#This Row],[Дата рождения]]</f>
        <v>0</v>
      </c>
    </row>
    <row r="1017" spans="22:23" ht="24.95" customHeight="1" x14ac:dyDescent="0.25">
      <c r="V1017" s="2">
        <f>Таблица1[[#This Row],[Дата перевода]]-Таблица1[[#This Row],[Дата поступления]]</f>
        <v>0</v>
      </c>
      <c r="W1017" s="2">
        <f>Таблица1[[#This Row],[Дата поступления]]-Таблица1[[#This Row],[Дата рождения]]</f>
        <v>0</v>
      </c>
    </row>
    <row r="1018" spans="22:23" ht="24.95" customHeight="1" x14ac:dyDescent="0.25">
      <c r="V1018" s="2">
        <f>Таблица1[[#This Row],[Дата перевода]]-Таблица1[[#This Row],[Дата поступления]]</f>
        <v>0</v>
      </c>
      <c r="W1018" s="2">
        <f>Таблица1[[#This Row],[Дата поступления]]-Таблица1[[#This Row],[Дата рождения]]</f>
        <v>0</v>
      </c>
    </row>
    <row r="1019" spans="22:23" ht="24.95" customHeight="1" x14ac:dyDescent="0.25">
      <c r="V1019" s="2">
        <f>Таблица1[[#This Row],[Дата перевода]]-Таблица1[[#This Row],[Дата поступления]]</f>
        <v>0</v>
      </c>
      <c r="W1019" s="2">
        <f>Таблица1[[#This Row],[Дата поступления]]-Таблица1[[#This Row],[Дата рождения]]</f>
        <v>0</v>
      </c>
    </row>
    <row r="1020" spans="22:23" ht="24.95" customHeight="1" x14ac:dyDescent="0.25">
      <c r="V1020" s="2">
        <f>Таблица1[[#This Row],[Дата перевода]]-Таблица1[[#This Row],[Дата поступления]]</f>
        <v>0</v>
      </c>
      <c r="W1020" s="2">
        <f>Таблица1[[#This Row],[Дата поступления]]-Таблица1[[#This Row],[Дата рождения]]</f>
        <v>0</v>
      </c>
    </row>
    <row r="1021" spans="22:23" ht="24.95" customHeight="1" x14ac:dyDescent="0.25">
      <c r="V1021" s="2">
        <f>Таблица1[[#This Row],[Дата перевода]]-Таблица1[[#This Row],[Дата поступления]]</f>
        <v>0</v>
      </c>
      <c r="W1021" s="2">
        <f>Таблица1[[#This Row],[Дата поступления]]-Таблица1[[#This Row],[Дата рождения]]</f>
        <v>0</v>
      </c>
    </row>
    <row r="1022" spans="22:23" ht="24.95" customHeight="1" x14ac:dyDescent="0.25">
      <c r="V1022" s="2">
        <f>Таблица1[[#This Row],[Дата перевода]]-Таблица1[[#This Row],[Дата поступления]]</f>
        <v>0</v>
      </c>
      <c r="W1022" s="2">
        <f>Таблица1[[#This Row],[Дата поступления]]-Таблица1[[#This Row],[Дата рождения]]</f>
        <v>0</v>
      </c>
    </row>
    <row r="1023" spans="22:23" ht="24.95" customHeight="1" x14ac:dyDescent="0.25">
      <c r="V1023" s="2">
        <f>Таблица1[[#This Row],[Дата перевода]]-Таблица1[[#This Row],[Дата поступления]]</f>
        <v>0</v>
      </c>
      <c r="W1023" s="2">
        <f>Таблица1[[#This Row],[Дата поступления]]-Таблица1[[#This Row],[Дата рождения]]</f>
        <v>0</v>
      </c>
    </row>
    <row r="1024" spans="22:23" ht="24.95" customHeight="1" x14ac:dyDescent="0.25">
      <c r="V1024" s="2">
        <f>Таблица1[[#This Row],[Дата перевода]]-Таблица1[[#This Row],[Дата поступления]]</f>
        <v>0</v>
      </c>
      <c r="W1024" s="2">
        <f>Таблица1[[#This Row],[Дата поступления]]-Таблица1[[#This Row],[Дата рождения]]</f>
        <v>0</v>
      </c>
    </row>
    <row r="1025" spans="22:23" ht="24.95" customHeight="1" x14ac:dyDescent="0.25">
      <c r="V1025" s="2">
        <f>Таблица1[[#This Row],[Дата перевода]]-Таблица1[[#This Row],[Дата поступления]]</f>
        <v>0</v>
      </c>
      <c r="W1025" s="2">
        <f>Таблица1[[#This Row],[Дата поступления]]-Таблица1[[#This Row],[Дата рождения]]</f>
        <v>0</v>
      </c>
    </row>
    <row r="1026" spans="22:23" ht="24.95" customHeight="1" x14ac:dyDescent="0.25">
      <c r="V1026" s="2">
        <f>Таблица1[[#This Row],[Дата перевода]]-Таблица1[[#This Row],[Дата поступления]]</f>
        <v>0</v>
      </c>
      <c r="W1026" s="2">
        <f>Таблица1[[#This Row],[Дата поступления]]-Таблица1[[#This Row],[Дата рождения]]</f>
        <v>0</v>
      </c>
    </row>
    <row r="1027" spans="22:23" ht="24.95" customHeight="1" x14ac:dyDescent="0.25">
      <c r="V1027" s="2">
        <f>Таблица1[[#This Row],[Дата перевода]]-Таблица1[[#This Row],[Дата поступления]]</f>
        <v>0</v>
      </c>
      <c r="W1027" s="2">
        <f>Таблица1[[#This Row],[Дата поступления]]-Таблица1[[#This Row],[Дата рождения]]</f>
        <v>0</v>
      </c>
    </row>
    <row r="1028" spans="22:23" ht="24.95" customHeight="1" x14ac:dyDescent="0.25">
      <c r="V1028" s="2">
        <f>Таблица1[[#This Row],[Дата перевода]]-Таблица1[[#This Row],[Дата поступления]]</f>
        <v>0</v>
      </c>
      <c r="W1028" s="2">
        <f>Таблица1[[#This Row],[Дата поступления]]-Таблица1[[#This Row],[Дата рождения]]</f>
        <v>0</v>
      </c>
    </row>
    <row r="1029" spans="22:23" ht="24.95" customHeight="1" x14ac:dyDescent="0.25">
      <c r="V1029" s="2">
        <f>Таблица1[[#This Row],[Дата перевода]]-Таблица1[[#This Row],[Дата поступления]]</f>
        <v>0</v>
      </c>
      <c r="W1029" s="2">
        <f>Таблица1[[#This Row],[Дата поступления]]-Таблица1[[#This Row],[Дата рождения]]</f>
        <v>0</v>
      </c>
    </row>
    <row r="1030" spans="22:23" ht="24.95" customHeight="1" x14ac:dyDescent="0.25">
      <c r="V1030" s="2">
        <f>Таблица1[[#This Row],[Дата перевода]]-Таблица1[[#This Row],[Дата поступления]]</f>
        <v>0</v>
      </c>
      <c r="W1030" s="2">
        <f>Таблица1[[#This Row],[Дата поступления]]-Таблица1[[#This Row],[Дата рождения]]</f>
        <v>0</v>
      </c>
    </row>
    <row r="1031" spans="22:23" ht="24.95" customHeight="1" x14ac:dyDescent="0.25">
      <c r="V1031" s="2">
        <f>Таблица1[[#This Row],[Дата перевода]]-Таблица1[[#This Row],[Дата поступления]]</f>
        <v>0</v>
      </c>
      <c r="W1031" s="2">
        <f>Таблица1[[#This Row],[Дата поступления]]-Таблица1[[#This Row],[Дата рождения]]</f>
        <v>0</v>
      </c>
    </row>
    <row r="1032" spans="22:23" ht="24.95" customHeight="1" x14ac:dyDescent="0.25">
      <c r="V1032" s="2">
        <f>Таблица1[[#This Row],[Дата перевода]]-Таблица1[[#This Row],[Дата поступления]]</f>
        <v>0</v>
      </c>
      <c r="W1032" s="2">
        <f>Таблица1[[#This Row],[Дата поступления]]-Таблица1[[#This Row],[Дата рождения]]</f>
        <v>0</v>
      </c>
    </row>
    <row r="1033" spans="22:23" ht="24.95" customHeight="1" x14ac:dyDescent="0.25">
      <c r="V1033" s="2">
        <f>Таблица1[[#This Row],[Дата перевода]]-Таблица1[[#This Row],[Дата поступления]]</f>
        <v>0</v>
      </c>
      <c r="W1033" s="2">
        <f>Таблица1[[#This Row],[Дата поступления]]-Таблица1[[#This Row],[Дата рождения]]</f>
        <v>0</v>
      </c>
    </row>
    <row r="1034" spans="22:23" ht="24.95" customHeight="1" x14ac:dyDescent="0.25">
      <c r="V1034" s="2">
        <f>Таблица1[[#This Row],[Дата перевода]]-Таблица1[[#This Row],[Дата поступления]]</f>
        <v>0</v>
      </c>
      <c r="W1034" s="2">
        <f>Таблица1[[#This Row],[Дата поступления]]-Таблица1[[#This Row],[Дата рождения]]</f>
        <v>0</v>
      </c>
    </row>
    <row r="1035" spans="22:23" ht="24.95" customHeight="1" x14ac:dyDescent="0.25">
      <c r="V1035" s="2">
        <f>Таблица1[[#This Row],[Дата перевода]]-Таблица1[[#This Row],[Дата поступления]]</f>
        <v>0</v>
      </c>
      <c r="W1035" s="2">
        <f>Таблица1[[#This Row],[Дата поступления]]-Таблица1[[#This Row],[Дата рождения]]</f>
        <v>0</v>
      </c>
    </row>
    <row r="1036" spans="22:23" ht="24.95" customHeight="1" x14ac:dyDescent="0.25">
      <c r="V1036" s="2">
        <f>Таблица1[[#This Row],[Дата перевода]]-Таблица1[[#This Row],[Дата поступления]]</f>
        <v>0</v>
      </c>
      <c r="W1036" s="2">
        <f>Таблица1[[#This Row],[Дата поступления]]-Таблица1[[#This Row],[Дата рождения]]</f>
        <v>0</v>
      </c>
    </row>
    <row r="1037" spans="22:23" ht="24.95" customHeight="1" x14ac:dyDescent="0.25">
      <c r="V1037" s="2">
        <f>Таблица1[[#This Row],[Дата перевода]]-Таблица1[[#This Row],[Дата поступления]]</f>
        <v>0</v>
      </c>
      <c r="W1037" s="2">
        <f>Таблица1[[#This Row],[Дата поступления]]-Таблица1[[#This Row],[Дата рождения]]</f>
        <v>0</v>
      </c>
    </row>
    <row r="1038" spans="22:23" ht="24.95" customHeight="1" x14ac:dyDescent="0.25">
      <c r="V1038" s="2">
        <f>Таблица1[[#This Row],[Дата перевода]]-Таблица1[[#This Row],[Дата поступления]]</f>
        <v>0</v>
      </c>
      <c r="W1038" s="2">
        <f>Таблица1[[#This Row],[Дата поступления]]-Таблица1[[#This Row],[Дата рождения]]</f>
        <v>0</v>
      </c>
    </row>
    <row r="1039" spans="22:23" ht="24.95" customHeight="1" x14ac:dyDescent="0.25">
      <c r="V1039" s="2">
        <f>Таблица1[[#This Row],[Дата перевода]]-Таблица1[[#This Row],[Дата поступления]]</f>
        <v>0</v>
      </c>
      <c r="W1039" s="2">
        <f>Таблица1[[#This Row],[Дата поступления]]-Таблица1[[#This Row],[Дата рождения]]</f>
        <v>0</v>
      </c>
    </row>
    <row r="1040" spans="22:23" ht="24.95" customHeight="1" x14ac:dyDescent="0.25">
      <c r="V1040" s="2">
        <f>Таблица1[[#This Row],[Дата перевода]]-Таблица1[[#This Row],[Дата поступления]]</f>
        <v>0</v>
      </c>
      <c r="W1040" s="2">
        <f>Таблица1[[#This Row],[Дата поступления]]-Таблица1[[#This Row],[Дата рождения]]</f>
        <v>0</v>
      </c>
    </row>
    <row r="1041" spans="22:23" ht="24.95" customHeight="1" x14ac:dyDescent="0.25">
      <c r="V1041" s="2">
        <f>Таблица1[[#This Row],[Дата перевода]]-Таблица1[[#This Row],[Дата поступления]]</f>
        <v>0</v>
      </c>
      <c r="W1041" s="2">
        <f>Таблица1[[#This Row],[Дата поступления]]-Таблица1[[#This Row],[Дата рождения]]</f>
        <v>0</v>
      </c>
    </row>
    <row r="1042" spans="22:23" ht="24.95" customHeight="1" x14ac:dyDescent="0.25">
      <c r="V1042" s="2">
        <f>Таблица1[[#This Row],[Дата перевода]]-Таблица1[[#This Row],[Дата поступления]]</f>
        <v>0</v>
      </c>
      <c r="W1042" s="2">
        <f>Таблица1[[#This Row],[Дата поступления]]-Таблица1[[#This Row],[Дата рождения]]</f>
        <v>0</v>
      </c>
    </row>
    <row r="1043" spans="22:23" ht="24.95" customHeight="1" x14ac:dyDescent="0.25">
      <c r="V1043" s="2">
        <f>Таблица1[[#This Row],[Дата перевода]]-Таблица1[[#This Row],[Дата поступления]]</f>
        <v>0</v>
      </c>
      <c r="W1043" s="2">
        <f>Таблица1[[#This Row],[Дата поступления]]-Таблица1[[#This Row],[Дата рождения]]</f>
        <v>0</v>
      </c>
    </row>
    <row r="1044" spans="22:23" ht="24.95" customHeight="1" x14ac:dyDescent="0.25">
      <c r="V1044" s="2">
        <f>Таблица1[[#This Row],[Дата перевода]]-Таблица1[[#This Row],[Дата поступления]]</f>
        <v>0</v>
      </c>
      <c r="W1044" s="2">
        <f>Таблица1[[#This Row],[Дата поступления]]-Таблица1[[#This Row],[Дата рождения]]</f>
        <v>0</v>
      </c>
    </row>
    <row r="1045" spans="22:23" ht="24.95" customHeight="1" x14ac:dyDescent="0.25">
      <c r="V1045" s="2">
        <f>Таблица1[[#This Row],[Дата перевода]]-Таблица1[[#This Row],[Дата поступления]]</f>
        <v>0</v>
      </c>
      <c r="W1045" s="2">
        <f>Таблица1[[#This Row],[Дата поступления]]-Таблица1[[#This Row],[Дата рождения]]</f>
        <v>0</v>
      </c>
    </row>
    <row r="1046" spans="22:23" ht="24.95" customHeight="1" x14ac:dyDescent="0.25">
      <c r="V1046" s="2">
        <f>Таблица1[[#This Row],[Дата перевода]]-Таблица1[[#This Row],[Дата поступления]]</f>
        <v>0</v>
      </c>
      <c r="W1046" s="2">
        <f>Таблица1[[#This Row],[Дата поступления]]-Таблица1[[#This Row],[Дата рождения]]</f>
        <v>0</v>
      </c>
    </row>
    <row r="1047" spans="22:23" ht="24.95" customHeight="1" x14ac:dyDescent="0.25">
      <c r="V1047" s="2">
        <f>Таблица1[[#This Row],[Дата перевода]]-Таблица1[[#This Row],[Дата поступления]]</f>
        <v>0</v>
      </c>
      <c r="W1047" s="2">
        <f>Таблица1[[#This Row],[Дата поступления]]-Таблица1[[#This Row],[Дата рождения]]</f>
        <v>0</v>
      </c>
    </row>
    <row r="1048" spans="22:23" ht="24.95" customHeight="1" x14ac:dyDescent="0.25">
      <c r="V1048" s="2">
        <f>Таблица1[[#This Row],[Дата перевода]]-Таблица1[[#This Row],[Дата поступления]]</f>
        <v>0</v>
      </c>
      <c r="W1048" s="2">
        <f>Таблица1[[#This Row],[Дата поступления]]-Таблица1[[#This Row],[Дата рождения]]</f>
        <v>0</v>
      </c>
    </row>
    <row r="1049" spans="22:23" ht="24.95" customHeight="1" x14ac:dyDescent="0.25">
      <c r="V1049" s="2">
        <f>Таблица1[[#This Row],[Дата перевода]]-Таблица1[[#This Row],[Дата поступления]]</f>
        <v>0</v>
      </c>
      <c r="W1049" s="2">
        <f>Таблица1[[#This Row],[Дата поступления]]-Таблица1[[#This Row],[Дата рождения]]</f>
        <v>0</v>
      </c>
    </row>
    <row r="1050" spans="22:23" ht="24.95" customHeight="1" x14ac:dyDescent="0.25">
      <c r="V1050" s="2">
        <f>Таблица1[[#This Row],[Дата перевода]]-Таблица1[[#This Row],[Дата поступления]]</f>
        <v>0</v>
      </c>
      <c r="W1050" s="2">
        <f>Таблица1[[#This Row],[Дата поступления]]-Таблица1[[#This Row],[Дата рождения]]</f>
        <v>0</v>
      </c>
    </row>
    <row r="1051" spans="22:23" ht="24.95" customHeight="1" x14ac:dyDescent="0.25">
      <c r="V1051" s="2">
        <f>Таблица1[[#This Row],[Дата перевода]]-Таблица1[[#This Row],[Дата поступления]]</f>
        <v>0</v>
      </c>
      <c r="W1051" s="2">
        <f>Таблица1[[#This Row],[Дата поступления]]-Таблица1[[#This Row],[Дата рождения]]</f>
        <v>0</v>
      </c>
    </row>
    <row r="1052" spans="22:23" ht="24.95" customHeight="1" x14ac:dyDescent="0.25">
      <c r="V1052" s="2">
        <f>Таблица1[[#This Row],[Дата перевода]]-Таблица1[[#This Row],[Дата поступления]]</f>
        <v>0</v>
      </c>
      <c r="W1052" s="2">
        <f>Таблица1[[#This Row],[Дата поступления]]-Таблица1[[#This Row],[Дата рождения]]</f>
        <v>0</v>
      </c>
    </row>
    <row r="1053" spans="22:23" ht="24.95" customHeight="1" x14ac:dyDescent="0.25">
      <c r="V1053" s="2">
        <f>Таблица1[[#This Row],[Дата перевода]]-Таблица1[[#This Row],[Дата поступления]]</f>
        <v>0</v>
      </c>
      <c r="W1053" s="2">
        <f>Таблица1[[#This Row],[Дата поступления]]-Таблица1[[#This Row],[Дата рождения]]</f>
        <v>0</v>
      </c>
    </row>
    <row r="1054" spans="22:23" ht="24.95" customHeight="1" x14ac:dyDescent="0.25">
      <c r="V1054" s="2">
        <f>Таблица1[[#This Row],[Дата перевода]]-Таблица1[[#This Row],[Дата поступления]]</f>
        <v>0</v>
      </c>
      <c r="W1054" s="2">
        <f>Таблица1[[#This Row],[Дата поступления]]-Таблица1[[#This Row],[Дата рождения]]</f>
        <v>0</v>
      </c>
    </row>
    <row r="1055" spans="22:23" ht="24.95" customHeight="1" x14ac:dyDescent="0.25">
      <c r="V1055" s="2">
        <f>Таблица1[[#This Row],[Дата перевода]]-Таблица1[[#This Row],[Дата поступления]]</f>
        <v>0</v>
      </c>
      <c r="W1055" s="2">
        <f>Таблица1[[#This Row],[Дата поступления]]-Таблица1[[#This Row],[Дата рождения]]</f>
        <v>0</v>
      </c>
    </row>
    <row r="1056" spans="22:23" ht="24.95" customHeight="1" x14ac:dyDescent="0.25">
      <c r="V1056" s="2">
        <f>Таблица1[[#This Row],[Дата перевода]]-Таблица1[[#This Row],[Дата поступления]]</f>
        <v>0</v>
      </c>
      <c r="W1056" s="2">
        <f>Таблица1[[#This Row],[Дата поступления]]-Таблица1[[#This Row],[Дата рождения]]</f>
        <v>0</v>
      </c>
    </row>
    <row r="1057" spans="22:23" ht="24.95" customHeight="1" x14ac:dyDescent="0.25">
      <c r="V1057" s="2">
        <f>Таблица1[[#This Row],[Дата перевода]]-Таблица1[[#This Row],[Дата поступления]]</f>
        <v>0</v>
      </c>
      <c r="W1057" s="2">
        <f>Таблица1[[#This Row],[Дата поступления]]-Таблица1[[#This Row],[Дата рождения]]</f>
        <v>0</v>
      </c>
    </row>
    <row r="1058" spans="22:23" ht="24.95" customHeight="1" x14ac:dyDescent="0.25">
      <c r="V1058" s="2">
        <f>Таблица1[[#This Row],[Дата перевода]]-Таблица1[[#This Row],[Дата поступления]]</f>
        <v>0</v>
      </c>
      <c r="W1058" s="2">
        <f>Таблица1[[#This Row],[Дата поступления]]-Таблица1[[#This Row],[Дата рождения]]</f>
        <v>0</v>
      </c>
    </row>
    <row r="1059" spans="22:23" ht="24.95" customHeight="1" x14ac:dyDescent="0.25">
      <c r="V1059" s="2">
        <f>Таблица1[[#This Row],[Дата перевода]]-Таблица1[[#This Row],[Дата поступления]]</f>
        <v>0</v>
      </c>
      <c r="W1059" s="2">
        <f>Таблица1[[#This Row],[Дата поступления]]-Таблица1[[#This Row],[Дата рождения]]</f>
        <v>0</v>
      </c>
    </row>
    <row r="1060" spans="22:23" ht="24.95" customHeight="1" x14ac:dyDescent="0.25">
      <c r="V1060" s="2">
        <f>Таблица1[[#This Row],[Дата перевода]]-Таблица1[[#This Row],[Дата поступления]]</f>
        <v>0</v>
      </c>
      <c r="W1060" s="2">
        <f>Таблица1[[#This Row],[Дата поступления]]-Таблица1[[#This Row],[Дата рождения]]</f>
        <v>0</v>
      </c>
    </row>
    <row r="1061" spans="22:23" ht="24.95" customHeight="1" x14ac:dyDescent="0.25">
      <c r="V1061" s="2">
        <f>Таблица1[[#This Row],[Дата перевода]]-Таблица1[[#This Row],[Дата поступления]]</f>
        <v>0</v>
      </c>
      <c r="W1061" s="2">
        <f>Таблица1[[#This Row],[Дата поступления]]-Таблица1[[#This Row],[Дата рождения]]</f>
        <v>0</v>
      </c>
    </row>
    <row r="1062" spans="22:23" ht="24.95" customHeight="1" x14ac:dyDescent="0.25">
      <c r="V1062" s="2">
        <f>Таблица1[[#This Row],[Дата перевода]]-Таблица1[[#This Row],[Дата поступления]]</f>
        <v>0</v>
      </c>
      <c r="W1062" s="2">
        <f>Таблица1[[#This Row],[Дата поступления]]-Таблица1[[#This Row],[Дата рождения]]</f>
        <v>0</v>
      </c>
    </row>
    <row r="1063" spans="22:23" ht="24.95" customHeight="1" x14ac:dyDescent="0.25">
      <c r="V1063" s="2">
        <f>Таблица1[[#This Row],[Дата перевода]]-Таблица1[[#This Row],[Дата поступления]]</f>
        <v>0</v>
      </c>
      <c r="W1063" s="2">
        <f>Таблица1[[#This Row],[Дата поступления]]-Таблица1[[#This Row],[Дата рождения]]</f>
        <v>0</v>
      </c>
    </row>
    <row r="1064" spans="22:23" ht="24.95" customHeight="1" x14ac:dyDescent="0.25">
      <c r="V1064" s="2">
        <f>Таблица1[[#This Row],[Дата перевода]]-Таблица1[[#This Row],[Дата поступления]]</f>
        <v>0</v>
      </c>
      <c r="W1064" s="2">
        <f>Таблица1[[#This Row],[Дата поступления]]-Таблица1[[#This Row],[Дата рождения]]</f>
        <v>0</v>
      </c>
    </row>
    <row r="1065" spans="22:23" ht="24.95" customHeight="1" x14ac:dyDescent="0.25">
      <c r="V1065" s="2">
        <f>Таблица1[[#This Row],[Дата перевода]]-Таблица1[[#This Row],[Дата поступления]]</f>
        <v>0</v>
      </c>
      <c r="W1065" s="2">
        <f>Таблица1[[#This Row],[Дата поступления]]-Таблица1[[#This Row],[Дата рождения]]</f>
        <v>0</v>
      </c>
    </row>
    <row r="1066" spans="22:23" ht="24.95" customHeight="1" x14ac:dyDescent="0.25">
      <c r="V1066" s="2">
        <f>Таблица1[[#This Row],[Дата перевода]]-Таблица1[[#This Row],[Дата поступления]]</f>
        <v>0</v>
      </c>
      <c r="W1066" s="2">
        <f>Таблица1[[#This Row],[Дата поступления]]-Таблица1[[#This Row],[Дата рождения]]</f>
        <v>0</v>
      </c>
    </row>
    <row r="1067" spans="22:23" ht="24.95" customHeight="1" x14ac:dyDescent="0.25">
      <c r="V1067" s="2">
        <f>Таблица1[[#This Row],[Дата перевода]]-Таблица1[[#This Row],[Дата поступления]]</f>
        <v>0</v>
      </c>
      <c r="W1067" s="2">
        <f>Таблица1[[#This Row],[Дата поступления]]-Таблица1[[#This Row],[Дата рождения]]</f>
        <v>0</v>
      </c>
    </row>
    <row r="1068" spans="22:23" ht="24.95" customHeight="1" x14ac:dyDescent="0.25">
      <c r="V1068" s="2">
        <f>Таблица1[[#This Row],[Дата перевода]]-Таблица1[[#This Row],[Дата поступления]]</f>
        <v>0</v>
      </c>
      <c r="W1068" s="2">
        <f>Таблица1[[#This Row],[Дата поступления]]-Таблица1[[#This Row],[Дата рождения]]</f>
        <v>0</v>
      </c>
    </row>
    <row r="1069" spans="22:23" ht="24.95" customHeight="1" x14ac:dyDescent="0.25">
      <c r="V1069" s="2">
        <f>Таблица1[[#This Row],[Дата перевода]]-Таблица1[[#This Row],[Дата поступления]]</f>
        <v>0</v>
      </c>
      <c r="W1069" s="2">
        <f>Таблица1[[#This Row],[Дата поступления]]-Таблица1[[#This Row],[Дата рождения]]</f>
        <v>0</v>
      </c>
    </row>
    <row r="1070" spans="22:23" ht="24.95" customHeight="1" x14ac:dyDescent="0.25">
      <c r="V1070" s="2">
        <f>Таблица1[[#This Row],[Дата перевода]]-Таблица1[[#This Row],[Дата поступления]]</f>
        <v>0</v>
      </c>
      <c r="W1070" s="2">
        <f>Таблица1[[#This Row],[Дата поступления]]-Таблица1[[#This Row],[Дата рождения]]</f>
        <v>0</v>
      </c>
    </row>
    <row r="1071" spans="22:23" ht="24.95" customHeight="1" x14ac:dyDescent="0.25">
      <c r="V1071" s="2">
        <f>Таблица1[[#This Row],[Дата перевода]]-Таблица1[[#This Row],[Дата поступления]]</f>
        <v>0</v>
      </c>
      <c r="W1071" s="2">
        <f>Таблица1[[#This Row],[Дата поступления]]-Таблица1[[#This Row],[Дата рождения]]</f>
        <v>0</v>
      </c>
    </row>
    <row r="1072" spans="22:23" ht="24.95" customHeight="1" x14ac:dyDescent="0.25">
      <c r="V1072" s="2">
        <f>Таблица1[[#This Row],[Дата перевода]]-Таблица1[[#This Row],[Дата поступления]]</f>
        <v>0</v>
      </c>
      <c r="W1072" s="2">
        <f>Таблица1[[#This Row],[Дата поступления]]-Таблица1[[#This Row],[Дата рождения]]</f>
        <v>0</v>
      </c>
    </row>
    <row r="1073" spans="22:23" ht="24.95" customHeight="1" x14ac:dyDescent="0.25">
      <c r="V1073" s="2">
        <f>Таблица1[[#This Row],[Дата перевода]]-Таблица1[[#This Row],[Дата поступления]]</f>
        <v>0</v>
      </c>
      <c r="W1073" s="2">
        <f>Таблица1[[#This Row],[Дата поступления]]-Таблица1[[#This Row],[Дата рождения]]</f>
        <v>0</v>
      </c>
    </row>
    <row r="1074" spans="22:23" ht="24.95" customHeight="1" x14ac:dyDescent="0.25">
      <c r="V1074" s="2">
        <f>Таблица1[[#This Row],[Дата перевода]]-Таблица1[[#This Row],[Дата поступления]]</f>
        <v>0</v>
      </c>
      <c r="W1074" s="2">
        <f>Таблица1[[#This Row],[Дата поступления]]-Таблица1[[#This Row],[Дата рождения]]</f>
        <v>0</v>
      </c>
    </row>
    <row r="1075" spans="22:23" ht="24.95" customHeight="1" x14ac:dyDescent="0.25">
      <c r="V1075" s="2">
        <f>Таблица1[[#This Row],[Дата перевода]]-Таблица1[[#This Row],[Дата поступления]]</f>
        <v>0</v>
      </c>
      <c r="W1075" s="2">
        <f>Таблица1[[#This Row],[Дата поступления]]-Таблица1[[#This Row],[Дата рождения]]</f>
        <v>0</v>
      </c>
    </row>
    <row r="1076" spans="22:23" ht="24.95" customHeight="1" x14ac:dyDescent="0.25">
      <c r="V1076" s="2">
        <f>Таблица1[[#This Row],[Дата перевода]]-Таблица1[[#This Row],[Дата поступления]]</f>
        <v>0</v>
      </c>
      <c r="W1076" s="2">
        <f>Таблица1[[#This Row],[Дата поступления]]-Таблица1[[#This Row],[Дата рождения]]</f>
        <v>0</v>
      </c>
    </row>
    <row r="1077" spans="22:23" ht="24.95" customHeight="1" x14ac:dyDescent="0.25">
      <c r="V1077" s="2">
        <f>Таблица1[[#This Row],[Дата перевода]]-Таблица1[[#This Row],[Дата поступления]]</f>
        <v>0</v>
      </c>
      <c r="W1077" s="2">
        <f>Таблица1[[#This Row],[Дата поступления]]-Таблица1[[#This Row],[Дата рождения]]</f>
        <v>0</v>
      </c>
    </row>
    <row r="1078" spans="22:23" ht="24.95" customHeight="1" x14ac:dyDescent="0.25">
      <c r="V1078" s="2">
        <f>Таблица1[[#This Row],[Дата перевода]]-Таблица1[[#This Row],[Дата поступления]]</f>
        <v>0</v>
      </c>
      <c r="W1078" s="2">
        <f>Таблица1[[#This Row],[Дата поступления]]-Таблица1[[#This Row],[Дата рождения]]</f>
        <v>0</v>
      </c>
    </row>
    <row r="1079" spans="22:23" ht="24.95" customHeight="1" x14ac:dyDescent="0.25">
      <c r="V1079" s="2">
        <f>Таблица1[[#This Row],[Дата перевода]]-Таблица1[[#This Row],[Дата поступления]]</f>
        <v>0</v>
      </c>
      <c r="W1079" s="2">
        <f>Таблица1[[#This Row],[Дата поступления]]-Таблица1[[#This Row],[Дата рождения]]</f>
        <v>0</v>
      </c>
    </row>
    <row r="1080" spans="22:23" ht="24.95" customHeight="1" x14ac:dyDescent="0.25">
      <c r="V1080" s="2">
        <f>Таблица1[[#This Row],[Дата перевода]]-Таблица1[[#This Row],[Дата поступления]]</f>
        <v>0</v>
      </c>
      <c r="W1080" s="2">
        <f>Таблица1[[#This Row],[Дата поступления]]-Таблица1[[#This Row],[Дата рождения]]</f>
        <v>0</v>
      </c>
    </row>
    <row r="1081" spans="22:23" ht="24.95" customHeight="1" x14ac:dyDescent="0.25">
      <c r="V1081" s="2">
        <f>Таблица1[[#This Row],[Дата перевода]]-Таблица1[[#This Row],[Дата поступления]]</f>
        <v>0</v>
      </c>
      <c r="W1081" s="2">
        <f>Таблица1[[#This Row],[Дата поступления]]-Таблица1[[#This Row],[Дата рождения]]</f>
        <v>0</v>
      </c>
    </row>
    <row r="1082" spans="22:23" ht="24.95" customHeight="1" x14ac:dyDescent="0.25">
      <c r="V1082" s="2">
        <f>Таблица1[[#This Row],[Дата перевода]]-Таблица1[[#This Row],[Дата поступления]]</f>
        <v>0</v>
      </c>
      <c r="W1082" s="2">
        <f>Таблица1[[#This Row],[Дата поступления]]-Таблица1[[#This Row],[Дата рождения]]</f>
        <v>0</v>
      </c>
    </row>
    <row r="1083" spans="22:23" ht="24.95" customHeight="1" x14ac:dyDescent="0.25">
      <c r="V1083" s="2">
        <f>Таблица1[[#This Row],[Дата перевода]]-Таблица1[[#This Row],[Дата поступления]]</f>
        <v>0</v>
      </c>
      <c r="W1083" s="2">
        <f>Таблица1[[#This Row],[Дата поступления]]-Таблица1[[#This Row],[Дата рождения]]</f>
        <v>0</v>
      </c>
    </row>
    <row r="1084" spans="22:23" ht="24.95" customHeight="1" x14ac:dyDescent="0.25">
      <c r="V1084" s="2">
        <f>Таблица1[[#This Row],[Дата перевода]]-Таблица1[[#This Row],[Дата поступления]]</f>
        <v>0</v>
      </c>
      <c r="W1084" s="2">
        <f>Таблица1[[#This Row],[Дата поступления]]-Таблица1[[#This Row],[Дата рождения]]</f>
        <v>0</v>
      </c>
    </row>
    <row r="1085" spans="22:23" ht="24.95" customHeight="1" x14ac:dyDescent="0.25">
      <c r="V1085" s="2">
        <f>Таблица1[[#This Row],[Дата перевода]]-Таблица1[[#This Row],[Дата поступления]]</f>
        <v>0</v>
      </c>
      <c r="W1085" s="2">
        <f>Таблица1[[#This Row],[Дата поступления]]-Таблица1[[#This Row],[Дата рождения]]</f>
        <v>0</v>
      </c>
    </row>
    <row r="1086" spans="22:23" ht="24.95" customHeight="1" x14ac:dyDescent="0.25">
      <c r="V1086" s="2">
        <f>Таблица1[[#This Row],[Дата перевода]]-Таблица1[[#This Row],[Дата поступления]]</f>
        <v>0</v>
      </c>
      <c r="W1086" s="2">
        <f>Таблица1[[#This Row],[Дата поступления]]-Таблица1[[#This Row],[Дата рождения]]</f>
        <v>0</v>
      </c>
    </row>
    <row r="1087" spans="22:23" ht="24.95" customHeight="1" x14ac:dyDescent="0.25">
      <c r="V1087" s="2">
        <f>Таблица1[[#This Row],[Дата перевода]]-Таблица1[[#This Row],[Дата поступления]]</f>
        <v>0</v>
      </c>
      <c r="W1087" s="2">
        <f>Таблица1[[#This Row],[Дата поступления]]-Таблица1[[#This Row],[Дата рождения]]</f>
        <v>0</v>
      </c>
    </row>
    <row r="1088" spans="22:23" ht="24.95" customHeight="1" x14ac:dyDescent="0.25">
      <c r="V1088" s="2">
        <f>Таблица1[[#This Row],[Дата перевода]]-Таблица1[[#This Row],[Дата поступления]]</f>
        <v>0</v>
      </c>
      <c r="W1088" s="2">
        <f>Таблица1[[#This Row],[Дата поступления]]-Таблица1[[#This Row],[Дата рождения]]</f>
        <v>0</v>
      </c>
    </row>
    <row r="1089" spans="22:23" ht="24.95" customHeight="1" x14ac:dyDescent="0.25">
      <c r="V1089" s="2">
        <f>Таблица1[[#This Row],[Дата перевода]]-Таблица1[[#This Row],[Дата поступления]]</f>
        <v>0</v>
      </c>
      <c r="W1089" s="2">
        <f>Таблица1[[#This Row],[Дата поступления]]-Таблица1[[#This Row],[Дата рождения]]</f>
        <v>0</v>
      </c>
    </row>
    <row r="1090" spans="22:23" ht="24.95" customHeight="1" x14ac:dyDescent="0.25">
      <c r="V1090" s="2">
        <f>Таблица1[[#This Row],[Дата перевода]]-Таблица1[[#This Row],[Дата поступления]]</f>
        <v>0</v>
      </c>
      <c r="W1090" s="2">
        <f>Таблица1[[#This Row],[Дата поступления]]-Таблица1[[#This Row],[Дата рождения]]</f>
        <v>0</v>
      </c>
    </row>
    <row r="1091" spans="22:23" ht="24.95" customHeight="1" x14ac:dyDescent="0.25">
      <c r="V1091" s="2">
        <f>Таблица1[[#This Row],[Дата перевода]]-Таблица1[[#This Row],[Дата поступления]]</f>
        <v>0</v>
      </c>
      <c r="W1091" s="2">
        <f>Таблица1[[#This Row],[Дата поступления]]-Таблица1[[#This Row],[Дата рождения]]</f>
        <v>0</v>
      </c>
    </row>
    <row r="1092" spans="22:23" ht="24.95" customHeight="1" x14ac:dyDescent="0.25">
      <c r="V1092" s="2">
        <f>Таблица1[[#This Row],[Дата перевода]]-Таблица1[[#This Row],[Дата поступления]]</f>
        <v>0</v>
      </c>
      <c r="W1092" s="2">
        <f>Таблица1[[#This Row],[Дата поступления]]-Таблица1[[#This Row],[Дата рождения]]</f>
        <v>0</v>
      </c>
    </row>
    <row r="1093" spans="22:23" ht="24.95" customHeight="1" x14ac:dyDescent="0.25">
      <c r="V1093" s="2">
        <f>Таблица1[[#This Row],[Дата перевода]]-Таблица1[[#This Row],[Дата поступления]]</f>
        <v>0</v>
      </c>
      <c r="W1093" s="2">
        <f>Таблица1[[#This Row],[Дата поступления]]-Таблица1[[#This Row],[Дата рождения]]</f>
        <v>0</v>
      </c>
    </row>
    <row r="1094" spans="22:23" ht="24.95" customHeight="1" x14ac:dyDescent="0.25">
      <c r="V1094" s="2">
        <f>Таблица1[[#This Row],[Дата перевода]]-Таблица1[[#This Row],[Дата поступления]]</f>
        <v>0</v>
      </c>
      <c r="W1094" s="2">
        <f>Таблица1[[#This Row],[Дата поступления]]-Таблица1[[#This Row],[Дата рождения]]</f>
        <v>0</v>
      </c>
    </row>
    <row r="1095" spans="22:23" ht="24.95" customHeight="1" x14ac:dyDescent="0.25">
      <c r="V1095" s="2">
        <f>Таблица1[[#This Row],[Дата перевода]]-Таблица1[[#This Row],[Дата поступления]]</f>
        <v>0</v>
      </c>
      <c r="W1095" s="2">
        <f>Таблица1[[#This Row],[Дата поступления]]-Таблица1[[#This Row],[Дата рождения]]</f>
        <v>0</v>
      </c>
    </row>
    <row r="1096" spans="22:23" ht="24.95" customHeight="1" x14ac:dyDescent="0.25">
      <c r="V1096" s="2">
        <f>Таблица1[[#This Row],[Дата перевода]]-Таблица1[[#This Row],[Дата поступления]]</f>
        <v>0</v>
      </c>
      <c r="W1096" s="2">
        <f>Таблица1[[#This Row],[Дата поступления]]-Таблица1[[#This Row],[Дата рождения]]</f>
        <v>0</v>
      </c>
    </row>
    <row r="1097" spans="22:23" ht="24.95" customHeight="1" x14ac:dyDescent="0.25">
      <c r="V1097" s="2">
        <f>Таблица1[[#This Row],[Дата перевода]]-Таблица1[[#This Row],[Дата поступления]]</f>
        <v>0</v>
      </c>
      <c r="W1097" s="2">
        <f>Таблица1[[#This Row],[Дата поступления]]-Таблица1[[#This Row],[Дата рождения]]</f>
        <v>0</v>
      </c>
    </row>
    <row r="1098" spans="22:23" ht="24.95" customHeight="1" x14ac:dyDescent="0.25">
      <c r="V1098" s="2">
        <f>Таблица1[[#This Row],[Дата перевода]]-Таблица1[[#This Row],[Дата поступления]]</f>
        <v>0</v>
      </c>
      <c r="W1098" s="2">
        <f>Таблица1[[#This Row],[Дата поступления]]-Таблица1[[#This Row],[Дата рождения]]</f>
        <v>0</v>
      </c>
    </row>
    <row r="1099" spans="22:23" ht="24.95" customHeight="1" x14ac:dyDescent="0.25">
      <c r="V1099" s="2">
        <f>Таблица1[[#This Row],[Дата перевода]]-Таблица1[[#This Row],[Дата поступления]]</f>
        <v>0</v>
      </c>
      <c r="W1099" s="2">
        <f>Таблица1[[#This Row],[Дата поступления]]-Таблица1[[#This Row],[Дата рождения]]</f>
        <v>0</v>
      </c>
    </row>
    <row r="1100" spans="22:23" ht="24.95" customHeight="1" x14ac:dyDescent="0.25">
      <c r="V1100" s="2">
        <f>Таблица1[[#This Row],[Дата перевода]]-Таблица1[[#This Row],[Дата поступления]]</f>
        <v>0</v>
      </c>
      <c r="W1100" s="2">
        <f>Таблица1[[#This Row],[Дата поступления]]-Таблица1[[#This Row],[Дата рождения]]</f>
        <v>0</v>
      </c>
    </row>
    <row r="1101" spans="22:23" ht="24.95" customHeight="1" x14ac:dyDescent="0.25">
      <c r="V1101" s="2">
        <f>Таблица1[[#This Row],[Дата перевода]]-Таблица1[[#This Row],[Дата поступления]]</f>
        <v>0</v>
      </c>
      <c r="W1101" s="2">
        <f>Таблица1[[#This Row],[Дата поступления]]-Таблица1[[#This Row],[Дата рождения]]</f>
        <v>0</v>
      </c>
    </row>
    <row r="1102" spans="22:23" ht="24.95" customHeight="1" x14ac:dyDescent="0.25">
      <c r="V1102" s="2">
        <f>Таблица1[[#This Row],[Дата перевода]]-Таблица1[[#This Row],[Дата поступления]]</f>
        <v>0</v>
      </c>
      <c r="W1102" s="2">
        <f>Таблица1[[#This Row],[Дата поступления]]-Таблица1[[#This Row],[Дата рождения]]</f>
        <v>0</v>
      </c>
    </row>
    <row r="1103" spans="22:23" ht="24.95" customHeight="1" x14ac:dyDescent="0.25">
      <c r="V1103" s="2">
        <f>Таблица1[[#This Row],[Дата перевода]]-Таблица1[[#This Row],[Дата поступления]]</f>
        <v>0</v>
      </c>
      <c r="W1103" s="2">
        <f>Таблица1[[#This Row],[Дата поступления]]-Таблица1[[#This Row],[Дата рождения]]</f>
        <v>0</v>
      </c>
    </row>
    <row r="1104" spans="22:23" ht="24.95" customHeight="1" x14ac:dyDescent="0.25">
      <c r="V1104" s="2">
        <f>Таблица1[[#This Row],[Дата перевода]]-Таблица1[[#This Row],[Дата поступления]]</f>
        <v>0</v>
      </c>
      <c r="W1104" s="2">
        <f>Таблица1[[#This Row],[Дата поступления]]-Таблица1[[#This Row],[Дата рождения]]</f>
        <v>0</v>
      </c>
    </row>
    <row r="1105" spans="22:23" ht="24.95" customHeight="1" x14ac:dyDescent="0.25">
      <c r="V1105" s="2">
        <f>Таблица1[[#This Row],[Дата перевода]]-Таблица1[[#This Row],[Дата поступления]]</f>
        <v>0</v>
      </c>
      <c r="W1105" s="2">
        <f>Таблица1[[#This Row],[Дата поступления]]-Таблица1[[#This Row],[Дата рождения]]</f>
        <v>0</v>
      </c>
    </row>
    <row r="1106" spans="22:23" ht="24.95" customHeight="1" x14ac:dyDescent="0.25">
      <c r="V1106" s="2">
        <f>Таблица1[[#This Row],[Дата перевода]]-Таблица1[[#This Row],[Дата поступления]]</f>
        <v>0</v>
      </c>
      <c r="W1106" s="2">
        <f>Таблица1[[#This Row],[Дата поступления]]-Таблица1[[#This Row],[Дата рождения]]</f>
        <v>0</v>
      </c>
    </row>
    <row r="1107" spans="22:23" ht="24.95" customHeight="1" x14ac:dyDescent="0.25">
      <c r="V1107" s="2">
        <f>Таблица1[[#This Row],[Дата перевода]]-Таблица1[[#This Row],[Дата поступления]]</f>
        <v>0</v>
      </c>
      <c r="W1107" s="2">
        <f>Таблица1[[#This Row],[Дата поступления]]-Таблица1[[#This Row],[Дата рождения]]</f>
        <v>0</v>
      </c>
    </row>
    <row r="1108" spans="22:23" ht="24.95" customHeight="1" x14ac:dyDescent="0.25">
      <c r="V1108" s="2">
        <f>Таблица1[[#This Row],[Дата перевода]]-Таблица1[[#This Row],[Дата поступления]]</f>
        <v>0</v>
      </c>
      <c r="W1108" s="2">
        <f>Таблица1[[#This Row],[Дата поступления]]-Таблица1[[#This Row],[Дата рождения]]</f>
        <v>0</v>
      </c>
    </row>
    <row r="1109" spans="22:23" ht="24.95" customHeight="1" x14ac:dyDescent="0.25">
      <c r="V1109" s="2">
        <f>Таблица1[[#This Row],[Дата перевода]]-Таблица1[[#This Row],[Дата поступления]]</f>
        <v>0</v>
      </c>
      <c r="W1109" s="2">
        <f>Таблица1[[#This Row],[Дата поступления]]-Таблица1[[#This Row],[Дата рождения]]</f>
        <v>0</v>
      </c>
    </row>
    <row r="1110" spans="22:23" ht="24.95" customHeight="1" x14ac:dyDescent="0.25">
      <c r="V1110" s="2">
        <f>Таблица1[[#This Row],[Дата перевода]]-Таблица1[[#This Row],[Дата поступления]]</f>
        <v>0</v>
      </c>
      <c r="W1110" s="2">
        <f>Таблица1[[#This Row],[Дата поступления]]-Таблица1[[#This Row],[Дата рождения]]</f>
        <v>0</v>
      </c>
    </row>
    <row r="1111" spans="22:23" ht="24.95" customHeight="1" x14ac:dyDescent="0.25">
      <c r="V1111" s="2">
        <f>Таблица1[[#This Row],[Дата перевода]]-Таблица1[[#This Row],[Дата поступления]]</f>
        <v>0</v>
      </c>
      <c r="W1111" s="2">
        <f>Таблица1[[#This Row],[Дата поступления]]-Таблица1[[#This Row],[Дата рождения]]</f>
        <v>0</v>
      </c>
    </row>
    <row r="1112" spans="22:23" ht="24.95" customHeight="1" x14ac:dyDescent="0.25">
      <c r="V1112" s="2">
        <f>Таблица1[[#This Row],[Дата перевода]]-Таблица1[[#This Row],[Дата поступления]]</f>
        <v>0</v>
      </c>
      <c r="W1112" s="2">
        <f>Таблица1[[#This Row],[Дата поступления]]-Таблица1[[#This Row],[Дата рождения]]</f>
        <v>0</v>
      </c>
    </row>
    <row r="1113" spans="22:23" ht="24.95" customHeight="1" x14ac:dyDescent="0.25">
      <c r="V1113" s="2">
        <f>Таблица1[[#This Row],[Дата перевода]]-Таблица1[[#This Row],[Дата поступления]]</f>
        <v>0</v>
      </c>
      <c r="W1113" s="2">
        <f>Таблица1[[#This Row],[Дата поступления]]-Таблица1[[#This Row],[Дата рождения]]</f>
        <v>0</v>
      </c>
    </row>
    <row r="1114" spans="22:23" ht="24.95" customHeight="1" x14ac:dyDescent="0.25">
      <c r="V1114" s="2">
        <f>Таблица1[[#This Row],[Дата перевода]]-Таблица1[[#This Row],[Дата поступления]]</f>
        <v>0</v>
      </c>
      <c r="W1114" s="2">
        <f>Таблица1[[#This Row],[Дата поступления]]-Таблица1[[#This Row],[Дата рождения]]</f>
        <v>0</v>
      </c>
    </row>
    <row r="1115" spans="22:23" ht="24.95" customHeight="1" x14ac:dyDescent="0.25">
      <c r="V1115" s="2">
        <f>Таблица1[[#This Row],[Дата перевода]]-Таблица1[[#This Row],[Дата поступления]]</f>
        <v>0</v>
      </c>
      <c r="W1115" s="2">
        <f>Таблица1[[#This Row],[Дата поступления]]-Таблица1[[#This Row],[Дата рождения]]</f>
        <v>0</v>
      </c>
    </row>
    <row r="1116" spans="22:23" ht="24.95" customHeight="1" x14ac:dyDescent="0.25">
      <c r="V1116" s="2">
        <f>Таблица1[[#This Row],[Дата перевода]]-Таблица1[[#This Row],[Дата поступления]]</f>
        <v>0</v>
      </c>
      <c r="W1116" s="2">
        <f>Таблица1[[#This Row],[Дата поступления]]-Таблица1[[#This Row],[Дата рождения]]</f>
        <v>0</v>
      </c>
    </row>
    <row r="1117" spans="22:23" ht="24.95" customHeight="1" x14ac:dyDescent="0.25">
      <c r="V1117" s="2">
        <f>Таблица1[[#This Row],[Дата перевода]]-Таблица1[[#This Row],[Дата поступления]]</f>
        <v>0</v>
      </c>
      <c r="W1117" s="2">
        <f>Таблица1[[#This Row],[Дата поступления]]-Таблица1[[#This Row],[Дата рождения]]</f>
        <v>0</v>
      </c>
    </row>
    <row r="1118" spans="22:23" ht="24.95" customHeight="1" x14ac:dyDescent="0.25">
      <c r="V1118" s="2">
        <f>Таблица1[[#This Row],[Дата перевода]]-Таблица1[[#This Row],[Дата поступления]]</f>
        <v>0</v>
      </c>
      <c r="W1118" s="2">
        <f>Таблица1[[#This Row],[Дата поступления]]-Таблица1[[#This Row],[Дата рождения]]</f>
        <v>0</v>
      </c>
    </row>
    <row r="1119" spans="22:23" ht="24.95" customHeight="1" x14ac:dyDescent="0.25">
      <c r="V1119" s="2">
        <f>Таблица1[[#This Row],[Дата перевода]]-Таблица1[[#This Row],[Дата поступления]]</f>
        <v>0</v>
      </c>
      <c r="W1119" s="2">
        <f>Таблица1[[#This Row],[Дата поступления]]-Таблица1[[#This Row],[Дата рождения]]</f>
        <v>0</v>
      </c>
    </row>
    <row r="1120" spans="22:23" ht="24.95" customHeight="1" x14ac:dyDescent="0.25">
      <c r="V1120" s="2">
        <f>Таблица1[[#This Row],[Дата перевода]]-Таблица1[[#This Row],[Дата поступления]]</f>
        <v>0</v>
      </c>
      <c r="W1120" s="2">
        <f>Таблица1[[#This Row],[Дата поступления]]-Таблица1[[#This Row],[Дата рождения]]</f>
        <v>0</v>
      </c>
    </row>
    <row r="1121" spans="22:23" ht="24.95" customHeight="1" x14ac:dyDescent="0.25">
      <c r="V1121" s="2">
        <f>Таблица1[[#This Row],[Дата перевода]]-Таблица1[[#This Row],[Дата поступления]]</f>
        <v>0</v>
      </c>
      <c r="W1121" s="2">
        <f>Таблица1[[#This Row],[Дата поступления]]-Таблица1[[#This Row],[Дата рождения]]</f>
        <v>0</v>
      </c>
    </row>
    <row r="1122" spans="22:23" ht="24.95" customHeight="1" x14ac:dyDescent="0.25">
      <c r="V1122" s="2">
        <f>Таблица1[[#This Row],[Дата перевода]]-Таблица1[[#This Row],[Дата поступления]]</f>
        <v>0</v>
      </c>
      <c r="W1122" s="2">
        <f>Таблица1[[#This Row],[Дата поступления]]-Таблица1[[#This Row],[Дата рождения]]</f>
        <v>0</v>
      </c>
    </row>
    <row r="1123" spans="22:23" ht="24.95" customHeight="1" x14ac:dyDescent="0.25">
      <c r="V1123" s="2">
        <f>Таблица1[[#This Row],[Дата перевода]]-Таблица1[[#This Row],[Дата поступления]]</f>
        <v>0</v>
      </c>
      <c r="W1123" s="2">
        <f>Таблица1[[#This Row],[Дата поступления]]-Таблица1[[#This Row],[Дата рождения]]</f>
        <v>0</v>
      </c>
    </row>
    <row r="1124" spans="22:23" ht="24.95" customHeight="1" x14ac:dyDescent="0.25">
      <c r="V1124" s="2">
        <f>Таблица1[[#This Row],[Дата перевода]]-Таблица1[[#This Row],[Дата поступления]]</f>
        <v>0</v>
      </c>
      <c r="W1124" s="2">
        <f>Таблица1[[#This Row],[Дата поступления]]-Таблица1[[#This Row],[Дата рождения]]</f>
        <v>0</v>
      </c>
    </row>
    <row r="1125" spans="22:23" ht="24.95" customHeight="1" x14ac:dyDescent="0.25">
      <c r="V1125" s="2">
        <f>Таблица1[[#This Row],[Дата перевода]]-Таблица1[[#This Row],[Дата поступления]]</f>
        <v>0</v>
      </c>
      <c r="W1125" s="2">
        <f>Таблица1[[#This Row],[Дата поступления]]-Таблица1[[#This Row],[Дата рождения]]</f>
        <v>0</v>
      </c>
    </row>
    <row r="1126" spans="22:23" ht="24.95" customHeight="1" x14ac:dyDescent="0.25">
      <c r="V1126" s="2">
        <f>Таблица1[[#This Row],[Дата перевода]]-Таблица1[[#This Row],[Дата поступления]]</f>
        <v>0</v>
      </c>
      <c r="W1126" s="2">
        <f>Таблица1[[#This Row],[Дата поступления]]-Таблица1[[#This Row],[Дата рождения]]</f>
        <v>0</v>
      </c>
    </row>
    <row r="1127" spans="22:23" ht="24.95" customHeight="1" x14ac:dyDescent="0.25">
      <c r="V1127" s="2">
        <f>Таблица1[[#This Row],[Дата перевода]]-Таблица1[[#This Row],[Дата поступления]]</f>
        <v>0</v>
      </c>
      <c r="W1127" s="2">
        <f>Таблица1[[#This Row],[Дата поступления]]-Таблица1[[#This Row],[Дата рождения]]</f>
        <v>0</v>
      </c>
    </row>
    <row r="1128" spans="22:23" ht="24.95" customHeight="1" x14ac:dyDescent="0.25">
      <c r="V1128" s="2">
        <f>Таблица1[[#This Row],[Дата перевода]]-Таблица1[[#This Row],[Дата поступления]]</f>
        <v>0</v>
      </c>
      <c r="W1128" s="2">
        <f>Таблица1[[#This Row],[Дата поступления]]-Таблица1[[#This Row],[Дата рождения]]</f>
        <v>0</v>
      </c>
    </row>
    <row r="1129" spans="22:23" ht="24.95" customHeight="1" x14ac:dyDescent="0.25">
      <c r="V1129" s="2">
        <f>Таблица1[[#This Row],[Дата перевода]]-Таблица1[[#This Row],[Дата поступления]]</f>
        <v>0</v>
      </c>
      <c r="W1129" s="2">
        <f>Таблица1[[#This Row],[Дата поступления]]-Таблица1[[#This Row],[Дата рождения]]</f>
        <v>0</v>
      </c>
    </row>
    <row r="1130" spans="22:23" ht="24.95" customHeight="1" x14ac:dyDescent="0.25">
      <c r="V1130" s="2">
        <f>Таблица1[[#This Row],[Дата перевода]]-Таблица1[[#This Row],[Дата поступления]]</f>
        <v>0</v>
      </c>
      <c r="W1130" s="2">
        <f>Таблица1[[#This Row],[Дата поступления]]-Таблица1[[#This Row],[Дата рождения]]</f>
        <v>0</v>
      </c>
    </row>
    <row r="1131" spans="22:23" ht="24.95" customHeight="1" x14ac:dyDescent="0.25">
      <c r="V1131" s="2">
        <f>Таблица1[[#This Row],[Дата перевода]]-Таблица1[[#This Row],[Дата поступления]]</f>
        <v>0</v>
      </c>
      <c r="W1131" s="2">
        <f>Таблица1[[#This Row],[Дата поступления]]-Таблица1[[#This Row],[Дата рождения]]</f>
        <v>0</v>
      </c>
    </row>
    <row r="1132" spans="22:23" ht="24.95" customHeight="1" x14ac:dyDescent="0.25">
      <c r="V1132" s="2">
        <f>Таблица1[[#This Row],[Дата перевода]]-Таблица1[[#This Row],[Дата поступления]]</f>
        <v>0</v>
      </c>
      <c r="W1132" s="2">
        <f>Таблица1[[#This Row],[Дата поступления]]-Таблица1[[#This Row],[Дата рождения]]</f>
        <v>0</v>
      </c>
    </row>
    <row r="1133" spans="22:23" ht="24.95" customHeight="1" x14ac:dyDescent="0.25">
      <c r="V1133" s="2">
        <f>Таблица1[[#This Row],[Дата перевода]]-Таблица1[[#This Row],[Дата поступления]]</f>
        <v>0</v>
      </c>
      <c r="W1133" s="2">
        <f>Таблица1[[#This Row],[Дата поступления]]-Таблица1[[#This Row],[Дата рождения]]</f>
        <v>0</v>
      </c>
    </row>
    <row r="1134" spans="22:23" ht="24.95" customHeight="1" x14ac:dyDescent="0.25">
      <c r="V1134" s="2">
        <f>Таблица1[[#This Row],[Дата перевода]]-Таблица1[[#This Row],[Дата поступления]]</f>
        <v>0</v>
      </c>
      <c r="W1134" s="2">
        <f>Таблица1[[#This Row],[Дата поступления]]-Таблица1[[#This Row],[Дата рождения]]</f>
        <v>0</v>
      </c>
    </row>
    <row r="1135" spans="22:23" ht="24.95" customHeight="1" x14ac:dyDescent="0.25">
      <c r="V1135" s="2">
        <f>Таблица1[[#This Row],[Дата перевода]]-Таблица1[[#This Row],[Дата поступления]]</f>
        <v>0</v>
      </c>
      <c r="W1135" s="2">
        <f>Таблица1[[#This Row],[Дата поступления]]-Таблица1[[#This Row],[Дата рождения]]</f>
        <v>0</v>
      </c>
    </row>
    <row r="1136" spans="22:23" ht="24.95" customHeight="1" x14ac:dyDescent="0.25">
      <c r="V1136" s="2">
        <f>Таблица1[[#This Row],[Дата перевода]]-Таблица1[[#This Row],[Дата поступления]]</f>
        <v>0</v>
      </c>
      <c r="W1136" s="2">
        <f>Таблица1[[#This Row],[Дата поступления]]-Таблица1[[#This Row],[Дата рождения]]</f>
        <v>0</v>
      </c>
    </row>
    <row r="1137" spans="22:23" ht="24.95" customHeight="1" x14ac:dyDescent="0.25">
      <c r="V1137" s="2">
        <f>Таблица1[[#This Row],[Дата перевода]]-Таблица1[[#This Row],[Дата поступления]]</f>
        <v>0</v>
      </c>
      <c r="W1137" s="2">
        <f>Таблица1[[#This Row],[Дата поступления]]-Таблица1[[#This Row],[Дата рождения]]</f>
        <v>0</v>
      </c>
    </row>
    <row r="1138" spans="22:23" ht="24.95" customHeight="1" x14ac:dyDescent="0.25">
      <c r="V1138" s="2">
        <f>Таблица1[[#This Row],[Дата перевода]]-Таблица1[[#This Row],[Дата поступления]]</f>
        <v>0</v>
      </c>
      <c r="W1138" s="2">
        <f>Таблица1[[#This Row],[Дата поступления]]-Таблица1[[#This Row],[Дата рождения]]</f>
        <v>0</v>
      </c>
    </row>
    <row r="1139" spans="22:23" ht="24.95" customHeight="1" x14ac:dyDescent="0.25">
      <c r="V1139" s="2">
        <f>Таблица1[[#This Row],[Дата перевода]]-Таблица1[[#This Row],[Дата поступления]]</f>
        <v>0</v>
      </c>
      <c r="W1139" s="2">
        <f>Таблица1[[#This Row],[Дата поступления]]-Таблица1[[#This Row],[Дата рождения]]</f>
        <v>0</v>
      </c>
    </row>
    <row r="1140" spans="22:23" ht="24.95" customHeight="1" x14ac:dyDescent="0.25">
      <c r="V1140" s="2">
        <f>Таблица1[[#This Row],[Дата перевода]]-Таблица1[[#This Row],[Дата поступления]]</f>
        <v>0</v>
      </c>
      <c r="W1140" s="2">
        <f>Таблица1[[#This Row],[Дата поступления]]-Таблица1[[#This Row],[Дата рождения]]</f>
        <v>0</v>
      </c>
    </row>
    <row r="1141" spans="22:23" ht="24.95" customHeight="1" x14ac:dyDescent="0.25">
      <c r="V1141" s="2">
        <f>Таблица1[[#This Row],[Дата перевода]]-Таблица1[[#This Row],[Дата поступления]]</f>
        <v>0</v>
      </c>
      <c r="W1141" s="2">
        <f>Таблица1[[#This Row],[Дата поступления]]-Таблица1[[#This Row],[Дата рождения]]</f>
        <v>0</v>
      </c>
    </row>
    <row r="1142" spans="22:23" ht="24.95" customHeight="1" x14ac:dyDescent="0.25">
      <c r="V1142" s="2">
        <f>Таблица1[[#This Row],[Дата перевода]]-Таблица1[[#This Row],[Дата поступления]]</f>
        <v>0</v>
      </c>
      <c r="W1142" s="2">
        <f>Таблица1[[#This Row],[Дата поступления]]-Таблица1[[#This Row],[Дата рождения]]</f>
        <v>0</v>
      </c>
    </row>
    <row r="1143" spans="22:23" ht="24.95" customHeight="1" x14ac:dyDescent="0.25">
      <c r="V1143" s="2">
        <f>Таблица1[[#This Row],[Дата перевода]]-Таблица1[[#This Row],[Дата поступления]]</f>
        <v>0</v>
      </c>
      <c r="W1143" s="2">
        <f>Таблица1[[#This Row],[Дата поступления]]-Таблица1[[#This Row],[Дата рождения]]</f>
        <v>0</v>
      </c>
    </row>
    <row r="1144" spans="22:23" ht="24.95" customHeight="1" x14ac:dyDescent="0.25">
      <c r="V1144" s="2">
        <f>Таблица1[[#This Row],[Дата перевода]]-Таблица1[[#This Row],[Дата поступления]]</f>
        <v>0</v>
      </c>
      <c r="W1144" s="2">
        <f>Таблица1[[#This Row],[Дата поступления]]-Таблица1[[#This Row],[Дата рождения]]</f>
        <v>0</v>
      </c>
    </row>
    <row r="1145" spans="22:23" ht="24.95" customHeight="1" x14ac:dyDescent="0.25">
      <c r="V1145" s="2">
        <f>Таблица1[[#This Row],[Дата перевода]]-Таблица1[[#This Row],[Дата поступления]]</f>
        <v>0</v>
      </c>
      <c r="W1145" s="2">
        <f>Таблица1[[#This Row],[Дата поступления]]-Таблица1[[#This Row],[Дата рождения]]</f>
        <v>0</v>
      </c>
    </row>
    <row r="1146" spans="22:23" ht="24.95" customHeight="1" x14ac:dyDescent="0.25">
      <c r="V1146" s="2">
        <f>Таблица1[[#This Row],[Дата перевода]]-Таблица1[[#This Row],[Дата поступления]]</f>
        <v>0</v>
      </c>
      <c r="W1146" s="2">
        <f>Таблица1[[#This Row],[Дата поступления]]-Таблица1[[#This Row],[Дата рождения]]</f>
        <v>0</v>
      </c>
    </row>
    <row r="1147" spans="22:23" ht="24.95" customHeight="1" x14ac:dyDescent="0.25">
      <c r="V1147" s="2">
        <f>Таблица1[[#This Row],[Дата перевода]]-Таблица1[[#This Row],[Дата поступления]]</f>
        <v>0</v>
      </c>
      <c r="W1147" s="2">
        <f>Таблица1[[#This Row],[Дата поступления]]-Таблица1[[#This Row],[Дата рождения]]</f>
        <v>0</v>
      </c>
    </row>
    <row r="1148" spans="22:23" ht="24.95" customHeight="1" x14ac:dyDescent="0.25">
      <c r="V1148" s="2">
        <f>Таблица1[[#This Row],[Дата перевода]]-Таблица1[[#This Row],[Дата поступления]]</f>
        <v>0</v>
      </c>
      <c r="W1148" s="2">
        <f>Таблица1[[#This Row],[Дата поступления]]-Таблица1[[#This Row],[Дата рождения]]</f>
        <v>0</v>
      </c>
    </row>
    <row r="1149" spans="22:23" ht="24.95" customHeight="1" x14ac:dyDescent="0.25">
      <c r="V1149" s="2">
        <f>Таблица1[[#This Row],[Дата перевода]]-Таблица1[[#This Row],[Дата поступления]]</f>
        <v>0</v>
      </c>
      <c r="W1149" s="2">
        <f>Таблица1[[#This Row],[Дата поступления]]-Таблица1[[#This Row],[Дата рождения]]</f>
        <v>0</v>
      </c>
    </row>
    <row r="1150" spans="22:23" ht="24.95" customHeight="1" x14ac:dyDescent="0.25">
      <c r="V1150" s="2">
        <f>Таблица1[[#This Row],[Дата перевода]]-Таблица1[[#This Row],[Дата поступления]]</f>
        <v>0</v>
      </c>
      <c r="W1150" s="2">
        <f>Таблица1[[#This Row],[Дата поступления]]-Таблица1[[#This Row],[Дата рождения]]</f>
        <v>0</v>
      </c>
    </row>
    <row r="1151" spans="22:23" ht="24.95" customHeight="1" x14ac:dyDescent="0.25">
      <c r="V1151" s="2">
        <f>Таблица1[[#This Row],[Дата перевода]]-Таблица1[[#This Row],[Дата поступления]]</f>
        <v>0</v>
      </c>
      <c r="W1151" s="2">
        <f>Таблица1[[#This Row],[Дата поступления]]-Таблица1[[#This Row],[Дата рождения]]</f>
        <v>0</v>
      </c>
    </row>
    <row r="1152" spans="22:23" ht="24.95" customHeight="1" x14ac:dyDescent="0.25">
      <c r="V1152" s="2">
        <f>Таблица1[[#This Row],[Дата перевода]]-Таблица1[[#This Row],[Дата поступления]]</f>
        <v>0</v>
      </c>
      <c r="W1152" s="2">
        <f>Таблица1[[#This Row],[Дата поступления]]-Таблица1[[#This Row],[Дата рождения]]</f>
        <v>0</v>
      </c>
    </row>
    <row r="1153" spans="22:23" ht="24.95" customHeight="1" x14ac:dyDescent="0.25">
      <c r="V1153" s="2">
        <f>Таблица1[[#This Row],[Дата перевода]]-Таблица1[[#This Row],[Дата поступления]]</f>
        <v>0</v>
      </c>
      <c r="W1153" s="2">
        <f>Таблица1[[#This Row],[Дата поступления]]-Таблица1[[#This Row],[Дата рождения]]</f>
        <v>0</v>
      </c>
    </row>
    <row r="1154" spans="22:23" ht="24.95" customHeight="1" x14ac:dyDescent="0.25">
      <c r="V1154" s="2">
        <f>Таблица1[[#This Row],[Дата перевода]]-Таблица1[[#This Row],[Дата поступления]]</f>
        <v>0</v>
      </c>
      <c r="W1154" s="2">
        <f>Таблица1[[#This Row],[Дата поступления]]-Таблица1[[#This Row],[Дата рождения]]</f>
        <v>0</v>
      </c>
    </row>
    <row r="1155" spans="22:23" ht="24.95" customHeight="1" x14ac:dyDescent="0.25">
      <c r="V1155" s="2">
        <f>Таблица1[[#This Row],[Дата перевода]]-Таблица1[[#This Row],[Дата поступления]]</f>
        <v>0</v>
      </c>
      <c r="W1155" s="2">
        <f>Таблица1[[#This Row],[Дата поступления]]-Таблица1[[#This Row],[Дата рождения]]</f>
        <v>0</v>
      </c>
    </row>
    <row r="1156" spans="22:23" ht="24.95" customHeight="1" x14ac:dyDescent="0.25">
      <c r="V1156" s="2">
        <f>Таблица1[[#This Row],[Дата перевода]]-Таблица1[[#This Row],[Дата поступления]]</f>
        <v>0</v>
      </c>
      <c r="W1156" s="2">
        <f>Таблица1[[#This Row],[Дата поступления]]-Таблица1[[#This Row],[Дата рождения]]</f>
        <v>0</v>
      </c>
    </row>
    <row r="1157" spans="22:23" ht="24.95" customHeight="1" x14ac:dyDescent="0.25">
      <c r="V1157" s="2">
        <f>Таблица1[[#This Row],[Дата перевода]]-Таблица1[[#This Row],[Дата поступления]]</f>
        <v>0</v>
      </c>
      <c r="W1157" s="2">
        <f>Таблица1[[#This Row],[Дата поступления]]-Таблица1[[#This Row],[Дата рождения]]</f>
        <v>0</v>
      </c>
    </row>
    <row r="1158" spans="22:23" ht="24.95" customHeight="1" x14ac:dyDescent="0.25">
      <c r="V1158" s="2">
        <f>Таблица1[[#This Row],[Дата перевода]]-Таблица1[[#This Row],[Дата поступления]]</f>
        <v>0</v>
      </c>
      <c r="W1158" s="2">
        <f>Таблица1[[#This Row],[Дата поступления]]-Таблица1[[#This Row],[Дата рождения]]</f>
        <v>0</v>
      </c>
    </row>
    <row r="1159" spans="22:23" ht="24.95" customHeight="1" x14ac:dyDescent="0.25">
      <c r="V1159" s="2">
        <f>Таблица1[[#This Row],[Дата перевода]]-Таблица1[[#This Row],[Дата поступления]]</f>
        <v>0</v>
      </c>
      <c r="W1159" s="2">
        <f>Таблица1[[#This Row],[Дата поступления]]-Таблица1[[#This Row],[Дата рождения]]</f>
        <v>0</v>
      </c>
    </row>
    <row r="1160" spans="22:23" ht="24.95" customHeight="1" x14ac:dyDescent="0.25">
      <c r="V1160" s="2">
        <f>Таблица1[[#This Row],[Дата перевода]]-Таблица1[[#This Row],[Дата поступления]]</f>
        <v>0</v>
      </c>
      <c r="W1160" s="2">
        <f>Таблица1[[#This Row],[Дата поступления]]-Таблица1[[#This Row],[Дата рождения]]</f>
        <v>0</v>
      </c>
    </row>
    <row r="1161" spans="22:23" ht="24.95" customHeight="1" x14ac:dyDescent="0.25">
      <c r="V1161" s="2">
        <f>Таблица1[[#This Row],[Дата перевода]]-Таблица1[[#This Row],[Дата поступления]]</f>
        <v>0</v>
      </c>
      <c r="W1161" s="2">
        <f>Таблица1[[#This Row],[Дата поступления]]-Таблица1[[#This Row],[Дата рождения]]</f>
        <v>0</v>
      </c>
    </row>
    <row r="1162" spans="22:23" ht="24.95" customHeight="1" x14ac:dyDescent="0.25">
      <c r="V1162" s="2">
        <f>Таблица1[[#This Row],[Дата перевода]]-Таблица1[[#This Row],[Дата поступления]]</f>
        <v>0</v>
      </c>
      <c r="W1162" s="2">
        <f>Таблица1[[#This Row],[Дата поступления]]-Таблица1[[#This Row],[Дата рождения]]</f>
        <v>0</v>
      </c>
    </row>
    <row r="1163" spans="22:23" ht="24.95" customHeight="1" x14ac:dyDescent="0.25">
      <c r="V1163" s="2">
        <f>Таблица1[[#This Row],[Дата перевода]]-Таблица1[[#This Row],[Дата поступления]]</f>
        <v>0</v>
      </c>
      <c r="W1163" s="2">
        <f>Таблица1[[#This Row],[Дата поступления]]-Таблица1[[#This Row],[Дата рождения]]</f>
        <v>0</v>
      </c>
    </row>
    <row r="1164" spans="22:23" ht="24.95" customHeight="1" x14ac:dyDescent="0.25">
      <c r="V1164" s="2">
        <f>Таблица1[[#This Row],[Дата перевода]]-Таблица1[[#This Row],[Дата поступления]]</f>
        <v>0</v>
      </c>
      <c r="W1164" s="2">
        <f>Таблица1[[#This Row],[Дата поступления]]-Таблица1[[#This Row],[Дата рождения]]</f>
        <v>0</v>
      </c>
    </row>
    <row r="1165" spans="22:23" ht="24.95" customHeight="1" x14ac:dyDescent="0.25">
      <c r="V1165" s="2">
        <f>Таблица1[[#This Row],[Дата перевода]]-Таблица1[[#This Row],[Дата поступления]]</f>
        <v>0</v>
      </c>
      <c r="W1165" s="2">
        <f>Таблица1[[#This Row],[Дата поступления]]-Таблица1[[#This Row],[Дата рождения]]</f>
        <v>0</v>
      </c>
    </row>
    <row r="1166" spans="22:23" ht="24.95" customHeight="1" x14ac:dyDescent="0.25">
      <c r="V1166" s="2">
        <f>Таблица1[[#This Row],[Дата перевода]]-Таблица1[[#This Row],[Дата поступления]]</f>
        <v>0</v>
      </c>
      <c r="W1166" s="2">
        <f>Таблица1[[#This Row],[Дата поступления]]-Таблица1[[#This Row],[Дата рождения]]</f>
        <v>0</v>
      </c>
    </row>
    <row r="1167" spans="22:23" ht="24.95" customHeight="1" x14ac:dyDescent="0.25">
      <c r="V1167" s="2">
        <f>Таблица1[[#This Row],[Дата перевода]]-Таблица1[[#This Row],[Дата поступления]]</f>
        <v>0</v>
      </c>
      <c r="W1167" s="2">
        <f>Таблица1[[#This Row],[Дата поступления]]-Таблица1[[#This Row],[Дата рождения]]</f>
        <v>0</v>
      </c>
    </row>
    <row r="1168" spans="22:23" ht="24.95" customHeight="1" x14ac:dyDescent="0.25">
      <c r="V1168" s="2">
        <f>Таблица1[[#This Row],[Дата перевода]]-Таблица1[[#This Row],[Дата поступления]]</f>
        <v>0</v>
      </c>
      <c r="W1168" s="2">
        <f>Таблица1[[#This Row],[Дата поступления]]-Таблица1[[#This Row],[Дата рождения]]</f>
        <v>0</v>
      </c>
    </row>
    <row r="1169" spans="22:23" ht="24.95" customHeight="1" x14ac:dyDescent="0.25">
      <c r="V1169" s="2">
        <f>Таблица1[[#This Row],[Дата перевода]]-Таблица1[[#This Row],[Дата поступления]]</f>
        <v>0</v>
      </c>
      <c r="W1169" s="2">
        <f>Таблица1[[#This Row],[Дата поступления]]-Таблица1[[#This Row],[Дата рождения]]</f>
        <v>0</v>
      </c>
    </row>
    <row r="1170" spans="22:23" ht="24.95" customHeight="1" x14ac:dyDescent="0.25">
      <c r="V1170" s="2">
        <f>Таблица1[[#This Row],[Дата перевода]]-Таблица1[[#This Row],[Дата поступления]]</f>
        <v>0</v>
      </c>
      <c r="W1170" s="2">
        <f>Таблица1[[#This Row],[Дата поступления]]-Таблица1[[#This Row],[Дата рождения]]</f>
        <v>0</v>
      </c>
    </row>
    <row r="1171" spans="22:23" ht="24.95" customHeight="1" x14ac:dyDescent="0.25">
      <c r="V1171" s="2">
        <f>Таблица1[[#This Row],[Дата перевода]]-Таблица1[[#This Row],[Дата поступления]]</f>
        <v>0</v>
      </c>
      <c r="W1171" s="2">
        <f>Таблица1[[#This Row],[Дата поступления]]-Таблица1[[#This Row],[Дата рождения]]</f>
        <v>0</v>
      </c>
    </row>
    <row r="1172" spans="22:23" ht="24.95" customHeight="1" x14ac:dyDescent="0.25">
      <c r="V1172" s="2">
        <f>Таблица1[[#This Row],[Дата перевода]]-Таблица1[[#This Row],[Дата поступления]]</f>
        <v>0</v>
      </c>
      <c r="W1172" s="2">
        <f>Таблица1[[#This Row],[Дата поступления]]-Таблица1[[#This Row],[Дата рождения]]</f>
        <v>0</v>
      </c>
    </row>
    <row r="1173" spans="22:23" ht="24.95" customHeight="1" x14ac:dyDescent="0.25">
      <c r="V1173" s="2">
        <f>Таблица1[[#This Row],[Дата перевода]]-Таблица1[[#This Row],[Дата поступления]]</f>
        <v>0</v>
      </c>
      <c r="W1173" s="2">
        <f>Таблица1[[#This Row],[Дата поступления]]-Таблица1[[#This Row],[Дата рождения]]</f>
        <v>0</v>
      </c>
    </row>
    <row r="1174" spans="22:23" ht="24.95" customHeight="1" x14ac:dyDescent="0.25">
      <c r="V1174" s="2">
        <f>Таблица1[[#This Row],[Дата перевода]]-Таблица1[[#This Row],[Дата поступления]]</f>
        <v>0</v>
      </c>
      <c r="W1174" s="2">
        <f>Таблица1[[#This Row],[Дата поступления]]-Таблица1[[#This Row],[Дата рождения]]</f>
        <v>0</v>
      </c>
    </row>
    <row r="1175" spans="22:23" ht="24.95" customHeight="1" x14ac:dyDescent="0.25">
      <c r="V1175" s="2">
        <f>Таблица1[[#This Row],[Дата перевода]]-Таблица1[[#This Row],[Дата поступления]]</f>
        <v>0</v>
      </c>
      <c r="W1175" s="2">
        <f>Таблица1[[#This Row],[Дата поступления]]-Таблица1[[#This Row],[Дата рождения]]</f>
        <v>0</v>
      </c>
    </row>
    <row r="1176" spans="22:23" ht="24.95" customHeight="1" x14ac:dyDescent="0.25">
      <c r="V1176" s="2">
        <f>Таблица1[[#This Row],[Дата перевода]]-Таблица1[[#This Row],[Дата поступления]]</f>
        <v>0</v>
      </c>
      <c r="W1176" s="2">
        <f>Таблица1[[#This Row],[Дата поступления]]-Таблица1[[#This Row],[Дата рождения]]</f>
        <v>0</v>
      </c>
    </row>
    <row r="1177" spans="22:23" ht="24.95" customHeight="1" x14ac:dyDescent="0.25">
      <c r="V1177" s="2">
        <f>Таблица1[[#This Row],[Дата перевода]]-Таблица1[[#This Row],[Дата поступления]]</f>
        <v>0</v>
      </c>
      <c r="W1177" s="2">
        <f>Таблица1[[#This Row],[Дата поступления]]-Таблица1[[#This Row],[Дата рождения]]</f>
        <v>0</v>
      </c>
    </row>
    <row r="1178" spans="22:23" ht="24.95" customHeight="1" x14ac:dyDescent="0.25">
      <c r="V1178" s="2">
        <f>Таблица1[[#This Row],[Дата перевода]]-Таблица1[[#This Row],[Дата поступления]]</f>
        <v>0</v>
      </c>
      <c r="W1178" s="2">
        <f>Таблица1[[#This Row],[Дата поступления]]-Таблица1[[#This Row],[Дата рождения]]</f>
        <v>0</v>
      </c>
    </row>
    <row r="1179" spans="22:23" ht="24.95" customHeight="1" x14ac:dyDescent="0.25">
      <c r="V1179" s="2">
        <f>Таблица1[[#This Row],[Дата перевода]]-Таблица1[[#This Row],[Дата поступления]]</f>
        <v>0</v>
      </c>
      <c r="W1179" s="2">
        <f>Таблица1[[#This Row],[Дата поступления]]-Таблица1[[#This Row],[Дата рождения]]</f>
        <v>0</v>
      </c>
    </row>
    <row r="1180" spans="22:23" ht="24.95" customHeight="1" x14ac:dyDescent="0.25">
      <c r="V1180" s="2">
        <f>Таблица1[[#This Row],[Дата перевода]]-Таблица1[[#This Row],[Дата поступления]]</f>
        <v>0</v>
      </c>
      <c r="W1180" s="2">
        <f>Таблица1[[#This Row],[Дата поступления]]-Таблица1[[#This Row],[Дата рождения]]</f>
        <v>0</v>
      </c>
    </row>
    <row r="1181" spans="22:23" ht="24.95" customHeight="1" x14ac:dyDescent="0.25">
      <c r="V1181" s="2">
        <f>Таблица1[[#This Row],[Дата перевода]]-Таблица1[[#This Row],[Дата поступления]]</f>
        <v>0</v>
      </c>
      <c r="W1181" s="2">
        <f>Таблица1[[#This Row],[Дата поступления]]-Таблица1[[#This Row],[Дата рождения]]</f>
        <v>0</v>
      </c>
    </row>
    <row r="1182" spans="22:23" ht="24.95" customHeight="1" x14ac:dyDescent="0.25">
      <c r="V1182" s="2">
        <f>Таблица1[[#This Row],[Дата перевода]]-Таблица1[[#This Row],[Дата поступления]]</f>
        <v>0</v>
      </c>
      <c r="W1182" s="2">
        <f>Таблица1[[#This Row],[Дата поступления]]-Таблица1[[#This Row],[Дата рождения]]</f>
        <v>0</v>
      </c>
    </row>
    <row r="1183" spans="22:23" ht="24.95" customHeight="1" x14ac:dyDescent="0.25">
      <c r="V1183" s="2">
        <f>Таблица1[[#This Row],[Дата перевода]]-Таблица1[[#This Row],[Дата поступления]]</f>
        <v>0</v>
      </c>
      <c r="W1183" s="2">
        <f>Таблица1[[#This Row],[Дата поступления]]-Таблица1[[#This Row],[Дата рождения]]</f>
        <v>0</v>
      </c>
    </row>
    <row r="1184" spans="22:23" ht="24.95" customHeight="1" x14ac:dyDescent="0.25">
      <c r="V1184" s="2">
        <f>Таблица1[[#This Row],[Дата перевода]]-Таблица1[[#This Row],[Дата поступления]]</f>
        <v>0</v>
      </c>
      <c r="W1184" s="2">
        <f>Таблица1[[#This Row],[Дата поступления]]-Таблица1[[#This Row],[Дата рождения]]</f>
        <v>0</v>
      </c>
    </row>
    <row r="1185" spans="22:23" ht="24.95" customHeight="1" x14ac:dyDescent="0.25">
      <c r="V1185" s="2">
        <f>Таблица1[[#This Row],[Дата перевода]]-Таблица1[[#This Row],[Дата поступления]]</f>
        <v>0</v>
      </c>
      <c r="W1185" s="2">
        <f>Таблица1[[#This Row],[Дата поступления]]-Таблица1[[#This Row],[Дата рождения]]</f>
        <v>0</v>
      </c>
    </row>
    <row r="1186" spans="22:23" ht="24.95" customHeight="1" x14ac:dyDescent="0.25">
      <c r="V1186" s="2">
        <f>Таблица1[[#This Row],[Дата перевода]]-Таблица1[[#This Row],[Дата поступления]]</f>
        <v>0</v>
      </c>
      <c r="W1186" s="2">
        <f>Таблица1[[#This Row],[Дата поступления]]-Таблица1[[#This Row],[Дата рождения]]</f>
        <v>0</v>
      </c>
    </row>
    <row r="1187" spans="22:23" ht="24.95" customHeight="1" x14ac:dyDescent="0.25">
      <c r="V1187" s="2">
        <f>Таблица1[[#This Row],[Дата перевода]]-Таблица1[[#This Row],[Дата поступления]]</f>
        <v>0</v>
      </c>
      <c r="W1187" s="2">
        <f>Таблица1[[#This Row],[Дата поступления]]-Таблица1[[#This Row],[Дата рождения]]</f>
        <v>0</v>
      </c>
    </row>
    <row r="1188" spans="22:23" ht="24.95" customHeight="1" x14ac:dyDescent="0.25">
      <c r="V1188" s="2">
        <f>Таблица1[[#This Row],[Дата перевода]]-Таблица1[[#This Row],[Дата поступления]]</f>
        <v>0</v>
      </c>
      <c r="W1188" s="2">
        <f>Таблица1[[#This Row],[Дата поступления]]-Таблица1[[#This Row],[Дата рождения]]</f>
        <v>0</v>
      </c>
    </row>
    <row r="1189" spans="22:23" ht="24.95" customHeight="1" x14ac:dyDescent="0.25">
      <c r="V1189" s="2">
        <f>Таблица1[[#This Row],[Дата перевода]]-Таблица1[[#This Row],[Дата поступления]]</f>
        <v>0</v>
      </c>
      <c r="W1189" s="2">
        <f>Таблица1[[#This Row],[Дата поступления]]-Таблица1[[#This Row],[Дата рождения]]</f>
        <v>0</v>
      </c>
    </row>
    <row r="1190" spans="22:23" ht="24.95" customHeight="1" x14ac:dyDescent="0.25">
      <c r="V1190" s="2">
        <f>Таблица1[[#This Row],[Дата перевода]]-Таблица1[[#This Row],[Дата поступления]]</f>
        <v>0</v>
      </c>
      <c r="W1190" s="2">
        <f>Таблица1[[#This Row],[Дата поступления]]-Таблица1[[#This Row],[Дата рождения]]</f>
        <v>0</v>
      </c>
    </row>
    <row r="1191" spans="22:23" ht="24.95" customHeight="1" x14ac:dyDescent="0.25">
      <c r="V1191" s="2">
        <f>Таблица1[[#This Row],[Дата перевода]]-Таблица1[[#This Row],[Дата поступления]]</f>
        <v>0</v>
      </c>
      <c r="W1191" s="2">
        <f>Таблица1[[#This Row],[Дата поступления]]-Таблица1[[#This Row],[Дата рождения]]</f>
        <v>0</v>
      </c>
    </row>
    <row r="1192" spans="22:23" ht="24.95" customHeight="1" x14ac:dyDescent="0.25">
      <c r="V1192" s="2">
        <f>Таблица1[[#This Row],[Дата перевода]]-Таблица1[[#This Row],[Дата поступления]]</f>
        <v>0</v>
      </c>
      <c r="W1192" s="2">
        <f>Таблица1[[#This Row],[Дата поступления]]-Таблица1[[#This Row],[Дата рождения]]</f>
        <v>0</v>
      </c>
    </row>
    <row r="1193" spans="22:23" ht="24.95" customHeight="1" x14ac:dyDescent="0.25">
      <c r="V1193" s="2">
        <f>Таблица1[[#This Row],[Дата перевода]]-Таблица1[[#This Row],[Дата поступления]]</f>
        <v>0</v>
      </c>
      <c r="W1193" s="2">
        <f>Таблица1[[#This Row],[Дата поступления]]-Таблица1[[#This Row],[Дата рождения]]</f>
        <v>0</v>
      </c>
    </row>
    <row r="1194" spans="22:23" ht="24.95" customHeight="1" x14ac:dyDescent="0.25">
      <c r="V1194" s="2">
        <f>Таблица1[[#This Row],[Дата перевода]]-Таблица1[[#This Row],[Дата поступления]]</f>
        <v>0</v>
      </c>
      <c r="W1194" s="2">
        <f>Таблица1[[#This Row],[Дата поступления]]-Таблица1[[#This Row],[Дата рождения]]</f>
        <v>0</v>
      </c>
    </row>
    <row r="1195" spans="22:23" ht="24.95" customHeight="1" x14ac:dyDescent="0.25">
      <c r="V1195" s="2">
        <f>Таблица1[[#This Row],[Дата перевода]]-Таблица1[[#This Row],[Дата поступления]]</f>
        <v>0</v>
      </c>
      <c r="W1195" s="2">
        <f>Таблица1[[#This Row],[Дата поступления]]-Таблица1[[#This Row],[Дата рождения]]</f>
        <v>0</v>
      </c>
    </row>
    <row r="1196" spans="22:23" ht="24.95" customHeight="1" x14ac:dyDescent="0.25">
      <c r="V1196" s="2">
        <f>Таблица1[[#This Row],[Дата перевода]]-Таблица1[[#This Row],[Дата поступления]]</f>
        <v>0</v>
      </c>
      <c r="W1196" s="2">
        <f>Таблица1[[#This Row],[Дата поступления]]-Таблица1[[#This Row],[Дата рождения]]</f>
        <v>0</v>
      </c>
    </row>
    <row r="1197" spans="22:23" ht="24.95" customHeight="1" x14ac:dyDescent="0.25">
      <c r="V1197" s="2">
        <f>Таблица1[[#This Row],[Дата перевода]]-Таблица1[[#This Row],[Дата поступления]]</f>
        <v>0</v>
      </c>
      <c r="W1197" s="2">
        <f>Таблица1[[#This Row],[Дата поступления]]-Таблица1[[#This Row],[Дата рождения]]</f>
        <v>0</v>
      </c>
    </row>
    <row r="1198" spans="22:23" ht="24.95" customHeight="1" x14ac:dyDescent="0.25">
      <c r="V1198" s="2">
        <f>Таблица1[[#This Row],[Дата перевода]]-Таблица1[[#This Row],[Дата поступления]]</f>
        <v>0</v>
      </c>
      <c r="W1198" s="2">
        <f>Таблица1[[#This Row],[Дата поступления]]-Таблица1[[#This Row],[Дата рождения]]</f>
        <v>0</v>
      </c>
    </row>
    <row r="1199" spans="22:23" ht="24.95" customHeight="1" x14ac:dyDescent="0.25">
      <c r="V1199" s="2">
        <f>Таблица1[[#This Row],[Дата перевода]]-Таблица1[[#This Row],[Дата поступления]]</f>
        <v>0</v>
      </c>
      <c r="W1199" s="2">
        <f>Таблица1[[#This Row],[Дата поступления]]-Таблица1[[#This Row],[Дата рождения]]</f>
        <v>0</v>
      </c>
    </row>
    <row r="1200" spans="22:23" ht="24.95" customHeight="1" x14ac:dyDescent="0.25">
      <c r="V1200" s="2">
        <f>Таблица1[[#This Row],[Дата перевода]]-Таблица1[[#This Row],[Дата поступления]]</f>
        <v>0</v>
      </c>
      <c r="W1200" s="2">
        <f>Таблица1[[#This Row],[Дата поступления]]-Таблица1[[#This Row],[Дата рождения]]</f>
        <v>0</v>
      </c>
    </row>
    <row r="1201" spans="22:23" ht="24.95" customHeight="1" x14ac:dyDescent="0.25">
      <c r="V1201" s="2">
        <f>Таблица1[[#This Row],[Дата перевода]]-Таблица1[[#This Row],[Дата поступления]]</f>
        <v>0</v>
      </c>
      <c r="W1201" s="2">
        <f>Таблица1[[#This Row],[Дата поступления]]-Таблица1[[#This Row],[Дата рождения]]</f>
        <v>0</v>
      </c>
    </row>
    <row r="1202" spans="22:23" ht="24.95" customHeight="1" x14ac:dyDescent="0.25">
      <c r="V1202" s="2">
        <f>Таблица1[[#This Row],[Дата перевода]]-Таблица1[[#This Row],[Дата поступления]]</f>
        <v>0</v>
      </c>
      <c r="W1202" s="2">
        <f>Таблица1[[#This Row],[Дата поступления]]-Таблица1[[#This Row],[Дата рождения]]</f>
        <v>0</v>
      </c>
    </row>
    <row r="1203" spans="22:23" ht="24.95" customHeight="1" x14ac:dyDescent="0.25">
      <c r="V1203" s="2">
        <f>Таблица1[[#This Row],[Дата перевода]]-Таблица1[[#This Row],[Дата поступления]]</f>
        <v>0</v>
      </c>
      <c r="W1203" s="2">
        <f>Таблица1[[#This Row],[Дата поступления]]-Таблица1[[#This Row],[Дата рождения]]</f>
        <v>0</v>
      </c>
    </row>
    <row r="1204" spans="22:23" ht="24.95" customHeight="1" x14ac:dyDescent="0.25">
      <c r="V1204" s="2">
        <f>Таблица1[[#This Row],[Дата перевода]]-Таблица1[[#This Row],[Дата поступления]]</f>
        <v>0</v>
      </c>
      <c r="W1204" s="2">
        <f>Таблица1[[#This Row],[Дата поступления]]-Таблица1[[#This Row],[Дата рождения]]</f>
        <v>0</v>
      </c>
    </row>
    <row r="1205" spans="22:23" ht="24.95" customHeight="1" x14ac:dyDescent="0.25">
      <c r="V1205" s="2">
        <f>Таблица1[[#This Row],[Дата перевода]]-Таблица1[[#This Row],[Дата поступления]]</f>
        <v>0</v>
      </c>
      <c r="W1205" s="2">
        <f>Таблица1[[#This Row],[Дата поступления]]-Таблица1[[#This Row],[Дата рождения]]</f>
        <v>0</v>
      </c>
    </row>
    <row r="1206" spans="22:23" ht="24.95" customHeight="1" x14ac:dyDescent="0.25">
      <c r="V1206" s="2">
        <f>Таблица1[[#This Row],[Дата перевода]]-Таблица1[[#This Row],[Дата поступления]]</f>
        <v>0</v>
      </c>
      <c r="W1206" s="2">
        <f>Таблица1[[#This Row],[Дата поступления]]-Таблица1[[#This Row],[Дата рождения]]</f>
        <v>0</v>
      </c>
    </row>
    <row r="1207" spans="22:23" ht="24.95" customHeight="1" x14ac:dyDescent="0.25">
      <c r="V1207" s="2">
        <f>Таблица1[[#This Row],[Дата перевода]]-Таблица1[[#This Row],[Дата поступления]]</f>
        <v>0</v>
      </c>
      <c r="W1207" s="2">
        <f>Таблица1[[#This Row],[Дата поступления]]-Таблица1[[#This Row],[Дата рождения]]</f>
        <v>0</v>
      </c>
    </row>
    <row r="1208" spans="22:23" ht="24.95" customHeight="1" x14ac:dyDescent="0.25">
      <c r="V1208" s="2">
        <f>Таблица1[[#This Row],[Дата перевода]]-Таблица1[[#This Row],[Дата поступления]]</f>
        <v>0</v>
      </c>
      <c r="W1208" s="2">
        <f>Таблица1[[#This Row],[Дата поступления]]-Таблица1[[#This Row],[Дата рождения]]</f>
        <v>0</v>
      </c>
    </row>
    <row r="1209" spans="22:23" ht="24.95" customHeight="1" x14ac:dyDescent="0.25">
      <c r="V1209" s="2">
        <f>Таблица1[[#This Row],[Дата перевода]]-Таблица1[[#This Row],[Дата поступления]]</f>
        <v>0</v>
      </c>
      <c r="W1209" s="2">
        <f>Таблица1[[#This Row],[Дата поступления]]-Таблица1[[#This Row],[Дата рождения]]</f>
        <v>0</v>
      </c>
    </row>
    <row r="1210" spans="22:23" ht="24.95" customHeight="1" x14ac:dyDescent="0.25">
      <c r="V1210" s="2">
        <f>Таблица1[[#This Row],[Дата перевода]]-Таблица1[[#This Row],[Дата поступления]]</f>
        <v>0</v>
      </c>
      <c r="W1210" s="2">
        <f>Таблица1[[#This Row],[Дата поступления]]-Таблица1[[#This Row],[Дата рождения]]</f>
        <v>0</v>
      </c>
    </row>
    <row r="1211" spans="22:23" ht="24.95" customHeight="1" x14ac:dyDescent="0.25">
      <c r="V1211" s="2">
        <f>Таблица1[[#This Row],[Дата перевода]]-Таблица1[[#This Row],[Дата поступления]]</f>
        <v>0</v>
      </c>
      <c r="W1211" s="2">
        <f>Таблица1[[#This Row],[Дата поступления]]-Таблица1[[#This Row],[Дата рождения]]</f>
        <v>0</v>
      </c>
    </row>
    <row r="1212" spans="22:23" ht="24.95" customHeight="1" x14ac:dyDescent="0.25">
      <c r="V1212" s="2">
        <f>Таблица1[[#This Row],[Дата перевода]]-Таблица1[[#This Row],[Дата поступления]]</f>
        <v>0</v>
      </c>
      <c r="W1212" s="2">
        <f>Таблица1[[#This Row],[Дата поступления]]-Таблица1[[#This Row],[Дата рождения]]</f>
        <v>0</v>
      </c>
    </row>
    <row r="1213" spans="22:23" ht="24.95" customHeight="1" x14ac:dyDescent="0.25">
      <c r="V1213" s="2">
        <f>Таблица1[[#This Row],[Дата перевода]]-Таблица1[[#This Row],[Дата поступления]]</f>
        <v>0</v>
      </c>
      <c r="W1213" s="2">
        <f>Таблица1[[#This Row],[Дата поступления]]-Таблица1[[#This Row],[Дата рождения]]</f>
        <v>0</v>
      </c>
    </row>
    <row r="1214" spans="22:23" ht="24.95" customHeight="1" x14ac:dyDescent="0.25">
      <c r="V1214" s="2">
        <f>Таблица1[[#This Row],[Дата перевода]]-Таблица1[[#This Row],[Дата поступления]]</f>
        <v>0</v>
      </c>
      <c r="W1214" s="2">
        <f>Таблица1[[#This Row],[Дата поступления]]-Таблица1[[#This Row],[Дата рождения]]</f>
        <v>0</v>
      </c>
    </row>
    <row r="1215" spans="22:23" ht="24.95" customHeight="1" x14ac:dyDescent="0.25">
      <c r="V1215" s="2">
        <f>Таблица1[[#This Row],[Дата перевода]]-Таблица1[[#This Row],[Дата поступления]]</f>
        <v>0</v>
      </c>
      <c r="W1215" s="2">
        <f>Таблица1[[#This Row],[Дата поступления]]-Таблица1[[#This Row],[Дата рождения]]</f>
        <v>0</v>
      </c>
    </row>
    <row r="1216" spans="22:23" ht="24.95" customHeight="1" x14ac:dyDescent="0.25">
      <c r="V1216" s="2">
        <f>Таблица1[[#This Row],[Дата перевода]]-Таблица1[[#This Row],[Дата поступления]]</f>
        <v>0</v>
      </c>
      <c r="W1216" s="2">
        <f>Таблица1[[#This Row],[Дата поступления]]-Таблица1[[#This Row],[Дата рождения]]</f>
        <v>0</v>
      </c>
    </row>
    <row r="1217" spans="22:23" ht="24.95" customHeight="1" x14ac:dyDescent="0.25">
      <c r="V1217" s="2">
        <f>Таблица1[[#This Row],[Дата перевода]]-Таблица1[[#This Row],[Дата поступления]]</f>
        <v>0</v>
      </c>
      <c r="W1217" s="2">
        <f>Таблица1[[#This Row],[Дата поступления]]-Таблица1[[#This Row],[Дата рождения]]</f>
        <v>0</v>
      </c>
    </row>
    <row r="1218" spans="22:23" ht="24.95" customHeight="1" x14ac:dyDescent="0.25">
      <c r="V1218" s="2">
        <f>Таблица1[[#This Row],[Дата перевода]]-Таблица1[[#This Row],[Дата поступления]]</f>
        <v>0</v>
      </c>
      <c r="W1218" s="2">
        <f>Таблица1[[#This Row],[Дата поступления]]-Таблица1[[#This Row],[Дата рождения]]</f>
        <v>0</v>
      </c>
    </row>
    <row r="1219" spans="22:23" ht="24.95" customHeight="1" x14ac:dyDescent="0.25">
      <c r="V1219" s="2">
        <f>Таблица1[[#This Row],[Дата перевода]]-Таблица1[[#This Row],[Дата поступления]]</f>
        <v>0</v>
      </c>
      <c r="W1219" s="2">
        <f>Таблица1[[#This Row],[Дата поступления]]-Таблица1[[#This Row],[Дата рождения]]</f>
        <v>0</v>
      </c>
    </row>
    <row r="1220" spans="22:23" ht="24.95" customHeight="1" x14ac:dyDescent="0.25">
      <c r="V1220" s="2">
        <f>Таблица1[[#This Row],[Дата перевода]]-Таблица1[[#This Row],[Дата поступления]]</f>
        <v>0</v>
      </c>
      <c r="W1220" s="2">
        <f>Таблица1[[#This Row],[Дата поступления]]-Таблица1[[#This Row],[Дата рождения]]</f>
        <v>0</v>
      </c>
    </row>
    <row r="1221" spans="22:23" ht="24.95" customHeight="1" x14ac:dyDescent="0.25">
      <c r="V1221" s="2">
        <f>Таблица1[[#This Row],[Дата перевода]]-Таблица1[[#This Row],[Дата поступления]]</f>
        <v>0</v>
      </c>
      <c r="W1221" s="2">
        <f>Таблица1[[#This Row],[Дата поступления]]-Таблица1[[#This Row],[Дата рождения]]</f>
        <v>0</v>
      </c>
    </row>
    <row r="1222" spans="22:23" ht="24.95" customHeight="1" x14ac:dyDescent="0.25">
      <c r="V1222" s="2">
        <f>Таблица1[[#This Row],[Дата перевода]]-Таблица1[[#This Row],[Дата поступления]]</f>
        <v>0</v>
      </c>
      <c r="W1222" s="2">
        <f>Таблица1[[#This Row],[Дата поступления]]-Таблица1[[#This Row],[Дата рождения]]</f>
        <v>0</v>
      </c>
    </row>
    <row r="1223" spans="22:23" ht="24.95" customHeight="1" x14ac:dyDescent="0.25">
      <c r="V1223" s="2">
        <f>Таблица1[[#This Row],[Дата перевода]]-Таблица1[[#This Row],[Дата поступления]]</f>
        <v>0</v>
      </c>
      <c r="W1223" s="2">
        <f>Таблица1[[#This Row],[Дата поступления]]-Таблица1[[#This Row],[Дата рождения]]</f>
        <v>0</v>
      </c>
    </row>
    <row r="1224" spans="22:23" ht="24.95" customHeight="1" x14ac:dyDescent="0.25">
      <c r="V1224" s="2">
        <f>Таблица1[[#This Row],[Дата перевода]]-Таблица1[[#This Row],[Дата поступления]]</f>
        <v>0</v>
      </c>
      <c r="W1224" s="2">
        <f>Таблица1[[#This Row],[Дата поступления]]-Таблица1[[#This Row],[Дата рождения]]</f>
        <v>0</v>
      </c>
    </row>
    <row r="1225" spans="22:23" ht="24.95" customHeight="1" x14ac:dyDescent="0.25">
      <c r="V1225" s="2">
        <f>Таблица1[[#This Row],[Дата перевода]]-Таблица1[[#This Row],[Дата поступления]]</f>
        <v>0</v>
      </c>
      <c r="W1225" s="2">
        <f>Таблица1[[#This Row],[Дата поступления]]-Таблица1[[#This Row],[Дата рождения]]</f>
        <v>0</v>
      </c>
    </row>
    <row r="1226" spans="22:23" ht="24.95" customHeight="1" x14ac:dyDescent="0.25">
      <c r="V1226" s="2">
        <f>Таблица1[[#This Row],[Дата перевода]]-Таблица1[[#This Row],[Дата поступления]]</f>
        <v>0</v>
      </c>
      <c r="W1226" s="2">
        <f>Таблица1[[#This Row],[Дата поступления]]-Таблица1[[#This Row],[Дата рождения]]</f>
        <v>0</v>
      </c>
    </row>
    <row r="1227" spans="22:23" ht="24.95" customHeight="1" x14ac:dyDescent="0.25">
      <c r="V1227" s="2">
        <f>Таблица1[[#This Row],[Дата перевода]]-Таблица1[[#This Row],[Дата поступления]]</f>
        <v>0</v>
      </c>
      <c r="W1227" s="2">
        <f>Таблица1[[#This Row],[Дата поступления]]-Таблица1[[#This Row],[Дата рождения]]</f>
        <v>0</v>
      </c>
    </row>
    <row r="1228" spans="22:23" ht="24.95" customHeight="1" x14ac:dyDescent="0.25">
      <c r="V1228" s="2">
        <f>Таблица1[[#This Row],[Дата перевода]]-Таблица1[[#This Row],[Дата поступления]]</f>
        <v>0</v>
      </c>
      <c r="W1228" s="2">
        <f>Таблица1[[#This Row],[Дата поступления]]-Таблица1[[#This Row],[Дата рождения]]</f>
        <v>0</v>
      </c>
    </row>
    <row r="1229" spans="22:23" ht="24.95" customHeight="1" x14ac:dyDescent="0.25">
      <c r="V1229" s="2">
        <f>Таблица1[[#This Row],[Дата перевода]]-Таблица1[[#This Row],[Дата поступления]]</f>
        <v>0</v>
      </c>
      <c r="W1229" s="2">
        <f>Таблица1[[#This Row],[Дата поступления]]-Таблица1[[#This Row],[Дата рождения]]</f>
        <v>0</v>
      </c>
    </row>
    <row r="1230" spans="22:23" ht="24.95" customHeight="1" x14ac:dyDescent="0.25">
      <c r="V1230" s="2">
        <f>Таблица1[[#This Row],[Дата перевода]]-Таблица1[[#This Row],[Дата поступления]]</f>
        <v>0</v>
      </c>
      <c r="W1230" s="2">
        <f>Таблица1[[#This Row],[Дата поступления]]-Таблица1[[#This Row],[Дата рождения]]</f>
        <v>0</v>
      </c>
    </row>
    <row r="1231" spans="22:23" ht="24.95" customHeight="1" x14ac:dyDescent="0.25">
      <c r="V1231" s="2">
        <f>Таблица1[[#This Row],[Дата перевода]]-Таблица1[[#This Row],[Дата поступления]]</f>
        <v>0</v>
      </c>
      <c r="W1231" s="2">
        <f>Таблица1[[#This Row],[Дата поступления]]-Таблица1[[#This Row],[Дата рождения]]</f>
        <v>0</v>
      </c>
    </row>
    <row r="1232" spans="22:23" ht="24.95" customHeight="1" x14ac:dyDescent="0.25">
      <c r="V1232" s="2">
        <f>Таблица1[[#This Row],[Дата перевода]]-Таблица1[[#This Row],[Дата поступления]]</f>
        <v>0</v>
      </c>
      <c r="W1232" s="2">
        <f>Таблица1[[#This Row],[Дата поступления]]-Таблица1[[#This Row],[Дата рождения]]</f>
        <v>0</v>
      </c>
    </row>
    <row r="1233" spans="22:23" ht="24.95" customHeight="1" x14ac:dyDescent="0.25">
      <c r="V1233" s="2">
        <f>Таблица1[[#This Row],[Дата перевода]]-Таблица1[[#This Row],[Дата поступления]]</f>
        <v>0</v>
      </c>
      <c r="W1233" s="2">
        <f>Таблица1[[#This Row],[Дата поступления]]-Таблица1[[#This Row],[Дата рождения]]</f>
        <v>0</v>
      </c>
    </row>
    <row r="1234" spans="22:23" ht="24.95" customHeight="1" x14ac:dyDescent="0.25">
      <c r="V1234" s="2">
        <f>Таблица1[[#This Row],[Дата перевода]]-Таблица1[[#This Row],[Дата поступления]]</f>
        <v>0</v>
      </c>
      <c r="W1234" s="2">
        <f>Таблица1[[#This Row],[Дата поступления]]-Таблица1[[#This Row],[Дата рождения]]</f>
        <v>0</v>
      </c>
    </row>
    <row r="1235" spans="22:23" ht="24.95" customHeight="1" x14ac:dyDescent="0.25">
      <c r="V1235" s="2">
        <f>Таблица1[[#This Row],[Дата перевода]]-Таблица1[[#This Row],[Дата поступления]]</f>
        <v>0</v>
      </c>
      <c r="W1235" s="2">
        <f>Таблица1[[#This Row],[Дата поступления]]-Таблица1[[#This Row],[Дата рождения]]</f>
        <v>0</v>
      </c>
    </row>
    <row r="1236" spans="22:23" ht="24.95" customHeight="1" x14ac:dyDescent="0.25">
      <c r="V1236" s="2">
        <f>Таблица1[[#This Row],[Дата перевода]]-Таблица1[[#This Row],[Дата поступления]]</f>
        <v>0</v>
      </c>
      <c r="W1236" s="2">
        <f>Таблица1[[#This Row],[Дата поступления]]-Таблица1[[#This Row],[Дата рождения]]</f>
        <v>0</v>
      </c>
    </row>
    <row r="1237" spans="22:23" ht="24.95" customHeight="1" x14ac:dyDescent="0.25">
      <c r="V1237" s="2">
        <f>Таблица1[[#This Row],[Дата перевода]]-Таблица1[[#This Row],[Дата поступления]]</f>
        <v>0</v>
      </c>
      <c r="W1237" s="2">
        <f>Таблица1[[#This Row],[Дата поступления]]-Таблица1[[#This Row],[Дата рождения]]</f>
        <v>0</v>
      </c>
    </row>
    <row r="1238" spans="22:23" ht="24.95" customHeight="1" x14ac:dyDescent="0.25">
      <c r="V1238" s="2">
        <f>Таблица1[[#This Row],[Дата перевода]]-Таблица1[[#This Row],[Дата поступления]]</f>
        <v>0</v>
      </c>
      <c r="W1238" s="2">
        <f>Таблица1[[#This Row],[Дата поступления]]-Таблица1[[#This Row],[Дата рождения]]</f>
        <v>0</v>
      </c>
    </row>
    <row r="1239" spans="22:23" ht="24.95" customHeight="1" x14ac:dyDescent="0.25">
      <c r="V1239" s="2">
        <f>Таблица1[[#This Row],[Дата перевода]]-Таблица1[[#This Row],[Дата поступления]]</f>
        <v>0</v>
      </c>
      <c r="W1239" s="2">
        <f>Таблица1[[#This Row],[Дата поступления]]-Таблица1[[#This Row],[Дата рождения]]</f>
        <v>0</v>
      </c>
    </row>
    <row r="1240" spans="22:23" ht="24.95" customHeight="1" x14ac:dyDescent="0.25">
      <c r="V1240" s="2">
        <f>Таблица1[[#This Row],[Дата перевода]]-Таблица1[[#This Row],[Дата поступления]]</f>
        <v>0</v>
      </c>
      <c r="W1240" s="2">
        <f>Таблица1[[#This Row],[Дата поступления]]-Таблица1[[#This Row],[Дата рождения]]</f>
        <v>0</v>
      </c>
    </row>
    <row r="1241" spans="22:23" ht="24.95" customHeight="1" x14ac:dyDescent="0.25">
      <c r="V1241" s="2">
        <f>Таблица1[[#This Row],[Дата перевода]]-Таблица1[[#This Row],[Дата поступления]]</f>
        <v>0</v>
      </c>
      <c r="W1241" s="2">
        <f>Таблица1[[#This Row],[Дата поступления]]-Таблица1[[#This Row],[Дата рождения]]</f>
        <v>0</v>
      </c>
    </row>
    <row r="1242" spans="22:23" ht="24.95" customHeight="1" x14ac:dyDescent="0.25">
      <c r="V1242" s="2">
        <f>Таблица1[[#This Row],[Дата перевода]]-Таблица1[[#This Row],[Дата поступления]]</f>
        <v>0</v>
      </c>
      <c r="W1242" s="2">
        <f>Таблица1[[#This Row],[Дата поступления]]-Таблица1[[#This Row],[Дата рождения]]</f>
        <v>0</v>
      </c>
    </row>
    <row r="1243" spans="22:23" ht="24.95" customHeight="1" x14ac:dyDescent="0.25">
      <c r="V1243" s="2">
        <f>Таблица1[[#This Row],[Дата перевода]]-Таблица1[[#This Row],[Дата поступления]]</f>
        <v>0</v>
      </c>
      <c r="W1243" s="2">
        <f>Таблица1[[#This Row],[Дата поступления]]-Таблица1[[#This Row],[Дата рождения]]</f>
        <v>0</v>
      </c>
    </row>
    <row r="1244" spans="22:23" ht="24.95" customHeight="1" x14ac:dyDescent="0.25">
      <c r="V1244" s="2">
        <f>Таблица1[[#This Row],[Дата перевода]]-Таблица1[[#This Row],[Дата поступления]]</f>
        <v>0</v>
      </c>
      <c r="W1244" s="2">
        <f>Таблица1[[#This Row],[Дата поступления]]-Таблица1[[#This Row],[Дата рождения]]</f>
        <v>0</v>
      </c>
    </row>
    <row r="1245" spans="22:23" ht="24.95" customHeight="1" x14ac:dyDescent="0.25">
      <c r="V1245" s="2">
        <f>Таблица1[[#This Row],[Дата перевода]]-Таблица1[[#This Row],[Дата поступления]]</f>
        <v>0</v>
      </c>
      <c r="W1245" s="2">
        <f>Таблица1[[#This Row],[Дата поступления]]-Таблица1[[#This Row],[Дата рождения]]</f>
        <v>0</v>
      </c>
    </row>
    <row r="1246" spans="22:23" ht="24.95" customHeight="1" x14ac:dyDescent="0.25">
      <c r="V1246" s="2">
        <f>Таблица1[[#This Row],[Дата перевода]]-Таблица1[[#This Row],[Дата поступления]]</f>
        <v>0</v>
      </c>
      <c r="W1246" s="2">
        <f>Таблица1[[#This Row],[Дата поступления]]-Таблица1[[#This Row],[Дата рождения]]</f>
        <v>0</v>
      </c>
    </row>
    <row r="1247" spans="22:23" ht="24.95" customHeight="1" x14ac:dyDescent="0.25">
      <c r="V1247" s="2">
        <f>Таблица1[[#This Row],[Дата перевода]]-Таблица1[[#This Row],[Дата поступления]]</f>
        <v>0</v>
      </c>
      <c r="W1247" s="2">
        <f>Таблица1[[#This Row],[Дата поступления]]-Таблица1[[#This Row],[Дата рождения]]</f>
        <v>0</v>
      </c>
    </row>
    <row r="1248" spans="22:23" ht="24.95" customHeight="1" x14ac:dyDescent="0.25">
      <c r="V1248" s="2">
        <f>Таблица1[[#This Row],[Дата перевода]]-Таблица1[[#This Row],[Дата поступления]]</f>
        <v>0</v>
      </c>
      <c r="W1248" s="2">
        <f>Таблица1[[#This Row],[Дата поступления]]-Таблица1[[#This Row],[Дата рождения]]</f>
        <v>0</v>
      </c>
    </row>
    <row r="1249" spans="22:23" ht="24.95" customHeight="1" x14ac:dyDescent="0.25">
      <c r="V1249" s="2">
        <f>Таблица1[[#This Row],[Дата перевода]]-Таблица1[[#This Row],[Дата поступления]]</f>
        <v>0</v>
      </c>
      <c r="W1249" s="2">
        <f>Таблица1[[#This Row],[Дата поступления]]-Таблица1[[#This Row],[Дата рождения]]</f>
        <v>0</v>
      </c>
    </row>
    <row r="1250" spans="22:23" ht="24.95" customHeight="1" x14ac:dyDescent="0.25">
      <c r="V1250" s="2">
        <f>Таблица1[[#This Row],[Дата перевода]]-Таблица1[[#This Row],[Дата поступления]]</f>
        <v>0</v>
      </c>
      <c r="W1250" s="2">
        <f>Таблица1[[#This Row],[Дата поступления]]-Таблица1[[#This Row],[Дата рождения]]</f>
        <v>0</v>
      </c>
    </row>
    <row r="1251" spans="22:23" ht="24.95" customHeight="1" x14ac:dyDescent="0.25">
      <c r="V1251" s="2">
        <f>Таблица1[[#This Row],[Дата перевода]]-Таблица1[[#This Row],[Дата поступления]]</f>
        <v>0</v>
      </c>
      <c r="W1251" s="2">
        <f>Таблица1[[#This Row],[Дата поступления]]-Таблица1[[#This Row],[Дата рождения]]</f>
        <v>0</v>
      </c>
    </row>
    <row r="1252" spans="22:23" ht="24.95" customHeight="1" x14ac:dyDescent="0.25">
      <c r="V1252" s="2">
        <f>Таблица1[[#This Row],[Дата перевода]]-Таблица1[[#This Row],[Дата поступления]]</f>
        <v>0</v>
      </c>
      <c r="W1252" s="2">
        <f>Таблица1[[#This Row],[Дата поступления]]-Таблица1[[#This Row],[Дата рождения]]</f>
        <v>0</v>
      </c>
    </row>
    <row r="1253" spans="22:23" ht="24.95" customHeight="1" x14ac:dyDescent="0.25">
      <c r="V1253" s="2">
        <f>Таблица1[[#This Row],[Дата перевода]]-Таблица1[[#This Row],[Дата поступления]]</f>
        <v>0</v>
      </c>
      <c r="W1253" s="2">
        <f>Таблица1[[#This Row],[Дата поступления]]-Таблица1[[#This Row],[Дата рождения]]</f>
        <v>0</v>
      </c>
    </row>
    <row r="1254" spans="22:23" ht="24.95" customHeight="1" x14ac:dyDescent="0.25">
      <c r="V1254" s="2">
        <f>Таблица1[[#This Row],[Дата перевода]]-Таблица1[[#This Row],[Дата поступления]]</f>
        <v>0</v>
      </c>
      <c r="W1254" s="2">
        <f>Таблица1[[#This Row],[Дата поступления]]-Таблица1[[#This Row],[Дата рождения]]</f>
        <v>0</v>
      </c>
    </row>
    <row r="1255" spans="22:23" ht="24.95" customHeight="1" x14ac:dyDescent="0.25">
      <c r="V1255" s="2">
        <f>Таблица1[[#This Row],[Дата перевода]]-Таблица1[[#This Row],[Дата поступления]]</f>
        <v>0</v>
      </c>
      <c r="W1255" s="2">
        <f>Таблица1[[#This Row],[Дата поступления]]-Таблица1[[#This Row],[Дата рождения]]</f>
        <v>0</v>
      </c>
    </row>
    <row r="1256" spans="22:23" ht="24.95" customHeight="1" x14ac:dyDescent="0.25">
      <c r="V1256" s="2">
        <f>Таблица1[[#This Row],[Дата перевода]]-Таблица1[[#This Row],[Дата поступления]]</f>
        <v>0</v>
      </c>
      <c r="W1256" s="2">
        <f>Таблица1[[#This Row],[Дата поступления]]-Таблица1[[#This Row],[Дата рождения]]</f>
        <v>0</v>
      </c>
    </row>
    <row r="1257" spans="22:23" ht="24.95" customHeight="1" x14ac:dyDescent="0.25">
      <c r="V1257" s="2">
        <f>Таблица1[[#This Row],[Дата перевода]]-Таблица1[[#This Row],[Дата поступления]]</f>
        <v>0</v>
      </c>
      <c r="W1257" s="2">
        <f>Таблица1[[#This Row],[Дата поступления]]-Таблица1[[#This Row],[Дата рождения]]</f>
        <v>0</v>
      </c>
    </row>
    <row r="1258" spans="22:23" ht="24.95" customHeight="1" x14ac:dyDescent="0.25">
      <c r="V1258" s="2">
        <f>Таблица1[[#This Row],[Дата перевода]]-Таблица1[[#This Row],[Дата поступления]]</f>
        <v>0</v>
      </c>
      <c r="W1258" s="2">
        <f>Таблица1[[#This Row],[Дата поступления]]-Таблица1[[#This Row],[Дата рождения]]</f>
        <v>0</v>
      </c>
    </row>
    <row r="1259" spans="22:23" ht="24.95" customHeight="1" x14ac:dyDescent="0.25">
      <c r="V1259" s="2">
        <f>Таблица1[[#This Row],[Дата перевода]]-Таблица1[[#This Row],[Дата поступления]]</f>
        <v>0</v>
      </c>
      <c r="W1259" s="2">
        <f>Таблица1[[#This Row],[Дата поступления]]-Таблица1[[#This Row],[Дата рождения]]</f>
        <v>0</v>
      </c>
    </row>
    <row r="1260" spans="22:23" ht="24.95" customHeight="1" x14ac:dyDescent="0.25">
      <c r="V1260" s="2">
        <f>Таблица1[[#This Row],[Дата перевода]]-Таблица1[[#This Row],[Дата поступления]]</f>
        <v>0</v>
      </c>
      <c r="W1260" s="2">
        <f>Таблица1[[#This Row],[Дата поступления]]-Таблица1[[#This Row],[Дата рождения]]</f>
        <v>0</v>
      </c>
    </row>
    <row r="1261" spans="22:23" ht="24.95" customHeight="1" x14ac:dyDescent="0.25">
      <c r="V1261" s="2">
        <f>Таблица1[[#This Row],[Дата перевода]]-Таблица1[[#This Row],[Дата поступления]]</f>
        <v>0</v>
      </c>
      <c r="W1261" s="2">
        <f>Таблица1[[#This Row],[Дата поступления]]-Таблица1[[#This Row],[Дата рождения]]</f>
        <v>0</v>
      </c>
    </row>
    <row r="1262" spans="22:23" ht="24.95" customHeight="1" x14ac:dyDescent="0.25">
      <c r="V1262" s="2">
        <f>Таблица1[[#This Row],[Дата перевода]]-Таблица1[[#This Row],[Дата поступления]]</f>
        <v>0</v>
      </c>
      <c r="W1262" s="2">
        <f>Таблица1[[#This Row],[Дата поступления]]-Таблица1[[#This Row],[Дата рождения]]</f>
        <v>0</v>
      </c>
    </row>
    <row r="1263" spans="22:23" ht="24.95" customHeight="1" x14ac:dyDescent="0.25">
      <c r="V1263" s="2">
        <f>Таблица1[[#This Row],[Дата перевода]]-Таблица1[[#This Row],[Дата поступления]]</f>
        <v>0</v>
      </c>
      <c r="W1263" s="2">
        <f>Таблица1[[#This Row],[Дата поступления]]-Таблица1[[#This Row],[Дата рождения]]</f>
        <v>0</v>
      </c>
    </row>
    <row r="1264" spans="22:23" ht="24.95" customHeight="1" x14ac:dyDescent="0.25">
      <c r="V1264" s="2">
        <f>Таблица1[[#This Row],[Дата перевода]]-Таблица1[[#This Row],[Дата поступления]]</f>
        <v>0</v>
      </c>
      <c r="W1264" s="2">
        <f>Таблица1[[#This Row],[Дата поступления]]-Таблица1[[#This Row],[Дата рождения]]</f>
        <v>0</v>
      </c>
    </row>
    <row r="1265" spans="22:23" ht="24.95" customHeight="1" x14ac:dyDescent="0.25">
      <c r="V1265" s="2">
        <f>Таблица1[[#This Row],[Дата перевода]]-Таблица1[[#This Row],[Дата поступления]]</f>
        <v>0</v>
      </c>
      <c r="W1265" s="2">
        <f>Таблица1[[#This Row],[Дата поступления]]-Таблица1[[#This Row],[Дата рождения]]</f>
        <v>0</v>
      </c>
    </row>
    <row r="1266" spans="22:23" ht="24.95" customHeight="1" x14ac:dyDescent="0.25">
      <c r="V1266" s="2">
        <f>Таблица1[[#This Row],[Дата перевода]]-Таблица1[[#This Row],[Дата поступления]]</f>
        <v>0</v>
      </c>
      <c r="W1266" s="2">
        <f>Таблица1[[#This Row],[Дата поступления]]-Таблица1[[#This Row],[Дата рождения]]</f>
        <v>0</v>
      </c>
    </row>
    <row r="1267" spans="22:23" ht="24.95" customHeight="1" x14ac:dyDescent="0.25">
      <c r="V1267" s="2">
        <f>Таблица1[[#This Row],[Дата перевода]]-Таблица1[[#This Row],[Дата поступления]]</f>
        <v>0</v>
      </c>
      <c r="W1267" s="2">
        <f>Таблица1[[#This Row],[Дата поступления]]-Таблица1[[#This Row],[Дата рождения]]</f>
        <v>0</v>
      </c>
    </row>
    <row r="1268" spans="22:23" ht="24.95" customHeight="1" x14ac:dyDescent="0.25">
      <c r="V1268" s="2">
        <f>Таблица1[[#This Row],[Дата перевода]]-Таблица1[[#This Row],[Дата поступления]]</f>
        <v>0</v>
      </c>
      <c r="W1268" s="2">
        <f>Таблица1[[#This Row],[Дата поступления]]-Таблица1[[#This Row],[Дата рождения]]</f>
        <v>0</v>
      </c>
    </row>
    <row r="1269" spans="22:23" ht="24.95" customHeight="1" x14ac:dyDescent="0.25">
      <c r="V1269" s="2">
        <f>Таблица1[[#This Row],[Дата перевода]]-Таблица1[[#This Row],[Дата поступления]]</f>
        <v>0</v>
      </c>
      <c r="W1269" s="2">
        <f>Таблица1[[#This Row],[Дата поступления]]-Таблица1[[#This Row],[Дата рождения]]</f>
        <v>0</v>
      </c>
    </row>
    <row r="1270" spans="22:23" ht="24.95" customHeight="1" x14ac:dyDescent="0.25">
      <c r="V1270" s="2">
        <f>Таблица1[[#This Row],[Дата перевода]]-Таблица1[[#This Row],[Дата поступления]]</f>
        <v>0</v>
      </c>
      <c r="W1270" s="2">
        <f>Таблица1[[#This Row],[Дата поступления]]-Таблица1[[#This Row],[Дата рождения]]</f>
        <v>0</v>
      </c>
    </row>
    <row r="1271" spans="22:23" ht="24.95" customHeight="1" x14ac:dyDescent="0.25">
      <c r="V1271" s="2">
        <f>Таблица1[[#This Row],[Дата перевода]]-Таблица1[[#This Row],[Дата поступления]]</f>
        <v>0</v>
      </c>
      <c r="W1271" s="2">
        <f>Таблица1[[#This Row],[Дата поступления]]-Таблица1[[#This Row],[Дата рождения]]</f>
        <v>0</v>
      </c>
    </row>
    <row r="1272" spans="22:23" ht="24.95" customHeight="1" x14ac:dyDescent="0.25">
      <c r="V1272" s="2">
        <f>Таблица1[[#This Row],[Дата перевода]]-Таблица1[[#This Row],[Дата поступления]]</f>
        <v>0</v>
      </c>
      <c r="W1272" s="2">
        <f>Таблица1[[#This Row],[Дата поступления]]-Таблица1[[#This Row],[Дата рождения]]</f>
        <v>0</v>
      </c>
    </row>
    <row r="1273" spans="22:23" ht="24.95" customHeight="1" x14ac:dyDescent="0.25">
      <c r="V1273" s="2">
        <f>Таблица1[[#This Row],[Дата перевода]]-Таблица1[[#This Row],[Дата поступления]]</f>
        <v>0</v>
      </c>
      <c r="W1273" s="2">
        <f>Таблица1[[#This Row],[Дата поступления]]-Таблица1[[#This Row],[Дата рождения]]</f>
        <v>0</v>
      </c>
    </row>
    <row r="1274" spans="22:23" ht="24.95" customHeight="1" x14ac:dyDescent="0.25">
      <c r="V1274" s="2">
        <f>Таблица1[[#This Row],[Дата перевода]]-Таблица1[[#This Row],[Дата поступления]]</f>
        <v>0</v>
      </c>
      <c r="W1274" s="2">
        <f>Таблица1[[#This Row],[Дата поступления]]-Таблица1[[#This Row],[Дата рождения]]</f>
        <v>0</v>
      </c>
    </row>
    <row r="1275" spans="22:23" ht="24.95" customHeight="1" x14ac:dyDescent="0.25">
      <c r="V1275" s="2">
        <f>Таблица1[[#This Row],[Дата перевода]]-Таблица1[[#This Row],[Дата поступления]]</f>
        <v>0</v>
      </c>
      <c r="W1275" s="2">
        <f>Таблица1[[#This Row],[Дата поступления]]-Таблица1[[#This Row],[Дата рождения]]</f>
        <v>0</v>
      </c>
    </row>
    <row r="1276" spans="22:23" ht="24.95" customHeight="1" x14ac:dyDescent="0.25">
      <c r="V1276" s="2">
        <f>Таблица1[[#This Row],[Дата перевода]]-Таблица1[[#This Row],[Дата поступления]]</f>
        <v>0</v>
      </c>
      <c r="W1276" s="2">
        <f>Таблица1[[#This Row],[Дата поступления]]-Таблица1[[#This Row],[Дата рождения]]</f>
        <v>0</v>
      </c>
    </row>
    <row r="1277" spans="22:23" ht="24.95" customHeight="1" x14ac:dyDescent="0.25">
      <c r="V1277" s="2">
        <f>Таблица1[[#This Row],[Дата перевода]]-Таблица1[[#This Row],[Дата поступления]]</f>
        <v>0</v>
      </c>
      <c r="W1277" s="2">
        <f>Таблица1[[#This Row],[Дата поступления]]-Таблица1[[#This Row],[Дата рождения]]</f>
        <v>0</v>
      </c>
    </row>
    <row r="1278" spans="22:23" ht="24.95" customHeight="1" x14ac:dyDescent="0.25">
      <c r="V1278" s="2">
        <f>Таблица1[[#This Row],[Дата перевода]]-Таблица1[[#This Row],[Дата поступления]]</f>
        <v>0</v>
      </c>
      <c r="W1278" s="2">
        <f>Таблица1[[#This Row],[Дата поступления]]-Таблица1[[#This Row],[Дата рождения]]</f>
        <v>0</v>
      </c>
    </row>
    <row r="1279" spans="22:23" ht="24.95" customHeight="1" x14ac:dyDescent="0.25">
      <c r="V1279" s="2">
        <f>Таблица1[[#This Row],[Дата перевода]]-Таблица1[[#This Row],[Дата поступления]]</f>
        <v>0</v>
      </c>
      <c r="W1279" s="2">
        <f>Таблица1[[#This Row],[Дата поступления]]-Таблица1[[#This Row],[Дата рождения]]</f>
        <v>0</v>
      </c>
    </row>
    <row r="1280" spans="22:23" ht="24.95" customHeight="1" x14ac:dyDescent="0.25">
      <c r="V1280" s="2">
        <f>Таблица1[[#This Row],[Дата перевода]]-Таблица1[[#This Row],[Дата поступления]]</f>
        <v>0</v>
      </c>
      <c r="W1280" s="2">
        <f>Таблица1[[#This Row],[Дата поступления]]-Таблица1[[#This Row],[Дата рождения]]</f>
        <v>0</v>
      </c>
    </row>
    <row r="1281" spans="22:23" ht="24.95" customHeight="1" x14ac:dyDescent="0.25">
      <c r="V1281" s="2">
        <f>Таблица1[[#This Row],[Дата перевода]]-Таблица1[[#This Row],[Дата поступления]]</f>
        <v>0</v>
      </c>
      <c r="W1281" s="2">
        <f>Таблица1[[#This Row],[Дата поступления]]-Таблица1[[#This Row],[Дата рождения]]</f>
        <v>0</v>
      </c>
    </row>
    <row r="1282" spans="22:23" ht="24.95" customHeight="1" x14ac:dyDescent="0.25">
      <c r="V1282" s="2">
        <f>Таблица1[[#This Row],[Дата перевода]]-Таблица1[[#This Row],[Дата поступления]]</f>
        <v>0</v>
      </c>
      <c r="W1282" s="2">
        <f>Таблица1[[#This Row],[Дата поступления]]-Таблица1[[#This Row],[Дата рождения]]</f>
        <v>0</v>
      </c>
    </row>
    <row r="1283" spans="22:23" ht="24.95" customHeight="1" x14ac:dyDescent="0.25">
      <c r="V1283" s="2">
        <f>Таблица1[[#This Row],[Дата перевода]]-Таблица1[[#This Row],[Дата поступления]]</f>
        <v>0</v>
      </c>
      <c r="W1283" s="2">
        <f>Таблица1[[#This Row],[Дата поступления]]-Таблица1[[#This Row],[Дата рождения]]</f>
        <v>0</v>
      </c>
    </row>
    <row r="1284" spans="22:23" ht="24.95" customHeight="1" x14ac:dyDescent="0.25">
      <c r="V1284" s="2">
        <f>Таблица1[[#This Row],[Дата перевода]]-Таблица1[[#This Row],[Дата поступления]]</f>
        <v>0</v>
      </c>
      <c r="W1284" s="2">
        <f>Таблица1[[#This Row],[Дата поступления]]-Таблица1[[#This Row],[Дата рождения]]</f>
        <v>0</v>
      </c>
    </row>
    <row r="1285" spans="22:23" ht="24.95" customHeight="1" x14ac:dyDescent="0.25">
      <c r="V1285" s="2">
        <f>Таблица1[[#This Row],[Дата перевода]]-Таблица1[[#This Row],[Дата поступления]]</f>
        <v>0</v>
      </c>
      <c r="W1285" s="2">
        <f>Таблица1[[#This Row],[Дата поступления]]-Таблица1[[#This Row],[Дата рождения]]</f>
        <v>0</v>
      </c>
    </row>
    <row r="1286" spans="22:23" ht="24.95" customHeight="1" x14ac:dyDescent="0.25">
      <c r="V1286" s="2">
        <f>Таблица1[[#This Row],[Дата перевода]]-Таблица1[[#This Row],[Дата поступления]]</f>
        <v>0</v>
      </c>
      <c r="W1286" s="2">
        <f>Таблица1[[#This Row],[Дата поступления]]-Таблица1[[#This Row],[Дата рождения]]</f>
        <v>0</v>
      </c>
    </row>
    <row r="1287" spans="22:23" ht="24.95" customHeight="1" x14ac:dyDescent="0.25">
      <c r="V1287" s="2">
        <f>Таблица1[[#This Row],[Дата перевода]]-Таблица1[[#This Row],[Дата поступления]]</f>
        <v>0</v>
      </c>
      <c r="W1287" s="2">
        <f>Таблица1[[#This Row],[Дата поступления]]-Таблица1[[#This Row],[Дата рождения]]</f>
        <v>0</v>
      </c>
    </row>
    <row r="1288" spans="22:23" ht="24.95" customHeight="1" x14ac:dyDescent="0.25">
      <c r="V1288" s="2">
        <f>Таблица1[[#This Row],[Дата перевода]]-Таблица1[[#This Row],[Дата поступления]]</f>
        <v>0</v>
      </c>
      <c r="W1288" s="2">
        <f>Таблица1[[#This Row],[Дата поступления]]-Таблица1[[#This Row],[Дата рождения]]</f>
        <v>0</v>
      </c>
    </row>
    <row r="1289" spans="22:23" ht="24.95" customHeight="1" x14ac:dyDescent="0.25">
      <c r="V1289" s="2">
        <f>Таблица1[[#This Row],[Дата перевода]]-Таблица1[[#This Row],[Дата поступления]]</f>
        <v>0</v>
      </c>
      <c r="W1289" s="2">
        <f>Таблица1[[#This Row],[Дата поступления]]-Таблица1[[#This Row],[Дата рождения]]</f>
        <v>0</v>
      </c>
    </row>
    <row r="1290" spans="22:23" ht="24.95" customHeight="1" x14ac:dyDescent="0.25">
      <c r="V1290" s="2">
        <f>Таблица1[[#This Row],[Дата перевода]]-Таблица1[[#This Row],[Дата поступления]]</f>
        <v>0</v>
      </c>
      <c r="W1290" s="2">
        <f>Таблица1[[#This Row],[Дата поступления]]-Таблица1[[#This Row],[Дата рождения]]</f>
        <v>0</v>
      </c>
    </row>
    <row r="1291" spans="22:23" ht="24.95" customHeight="1" x14ac:dyDescent="0.25">
      <c r="V1291" s="2">
        <f>Таблица1[[#This Row],[Дата перевода]]-Таблица1[[#This Row],[Дата поступления]]</f>
        <v>0</v>
      </c>
      <c r="W1291" s="2">
        <f>Таблица1[[#This Row],[Дата поступления]]-Таблица1[[#This Row],[Дата рождения]]</f>
        <v>0</v>
      </c>
    </row>
    <row r="1292" spans="22:23" ht="24.95" customHeight="1" x14ac:dyDescent="0.25">
      <c r="V1292" s="2">
        <f>Таблица1[[#This Row],[Дата перевода]]-Таблица1[[#This Row],[Дата поступления]]</f>
        <v>0</v>
      </c>
      <c r="W1292" s="2">
        <f>Таблица1[[#This Row],[Дата поступления]]-Таблица1[[#This Row],[Дата рождения]]</f>
        <v>0</v>
      </c>
    </row>
    <row r="1293" spans="22:23" ht="24.95" customHeight="1" x14ac:dyDescent="0.25">
      <c r="V1293" s="2">
        <f>Таблица1[[#This Row],[Дата перевода]]-Таблица1[[#This Row],[Дата поступления]]</f>
        <v>0</v>
      </c>
      <c r="W1293" s="2">
        <f>Таблица1[[#This Row],[Дата поступления]]-Таблица1[[#This Row],[Дата рождения]]</f>
        <v>0</v>
      </c>
    </row>
    <row r="1294" spans="22:23" ht="24.95" customHeight="1" x14ac:dyDescent="0.25">
      <c r="V1294" s="2">
        <f>Таблица1[[#This Row],[Дата перевода]]-Таблица1[[#This Row],[Дата поступления]]</f>
        <v>0</v>
      </c>
      <c r="W1294" s="2">
        <f>Таблица1[[#This Row],[Дата поступления]]-Таблица1[[#This Row],[Дата рождения]]</f>
        <v>0</v>
      </c>
    </row>
    <row r="1295" spans="22:23" ht="24.95" customHeight="1" x14ac:dyDescent="0.25">
      <c r="V1295" s="2">
        <f>Таблица1[[#This Row],[Дата перевода]]-Таблица1[[#This Row],[Дата поступления]]</f>
        <v>0</v>
      </c>
      <c r="W1295" s="2">
        <f>Таблица1[[#This Row],[Дата поступления]]-Таблица1[[#This Row],[Дата рождения]]</f>
        <v>0</v>
      </c>
    </row>
    <row r="1296" spans="22:23" ht="24.95" customHeight="1" x14ac:dyDescent="0.25">
      <c r="V1296" s="2">
        <f>Таблица1[[#This Row],[Дата перевода]]-Таблица1[[#This Row],[Дата поступления]]</f>
        <v>0</v>
      </c>
      <c r="W1296" s="2">
        <f>Таблица1[[#This Row],[Дата поступления]]-Таблица1[[#This Row],[Дата рождения]]</f>
        <v>0</v>
      </c>
    </row>
    <row r="1297" spans="22:23" ht="24.95" customHeight="1" x14ac:dyDescent="0.25">
      <c r="V1297" s="2">
        <f>Таблица1[[#This Row],[Дата перевода]]-Таблица1[[#This Row],[Дата поступления]]</f>
        <v>0</v>
      </c>
      <c r="W1297" s="2">
        <f>Таблица1[[#This Row],[Дата поступления]]-Таблица1[[#This Row],[Дата рождения]]</f>
        <v>0</v>
      </c>
    </row>
    <row r="1298" spans="22:23" ht="24.95" customHeight="1" x14ac:dyDescent="0.25">
      <c r="V1298" s="2">
        <f>Таблица1[[#This Row],[Дата перевода]]-Таблица1[[#This Row],[Дата поступления]]</f>
        <v>0</v>
      </c>
      <c r="W1298" s="2">
        <f>Таблица1[[#This Row],[Дата поступления]]-Таблица1[[#This Row],[Дата рождения]]</f>
        <v>0</v>
      </c>
    </row>
    <row r="1299" spans="22:23" ht="24.95" customHeight="1" x14ac:dyDescent="0.25">
      <c r="V1299" s="2">
        <f>Таблица1[[#This Row],[Дата перевода]]-Таблица1[[#This Row],[Дата поступления]]</f>
        <v>0</v>
      </c>
      <c r="W1299" s="2">
        <f>Таблица1[[#This Row],[Дата поступления]]-Таблица1[[#This Row],[Дата рождения]]</f>
        <v>0</v>
      </c>
    </row>
    <row r="1300" spans="22:23" ht="24.95" customHeight="1" x14ac:dyDescent="0.25">
      <c r="V1300" s="2">
        <f>Таблица1[[#This Row],[Дата перевода]]-Таблица1[[#This Row],[Дата поступления]]</f>
        <v>0</v>
      </c>
      <c r="W1300" s="2">
        <f>Таблица1[[#This Row],[Дата поступления]]-Таблица1[[#This Row],[Дата рождения]]</f>
        <v>0</v>
      </c>
    </row>
    <row r="1301" spans="22:23" ht="24.95" customHeight="1" x14ac:dyDescent="0.25">
      <c r="V1301" s="2">
        <f>Таблица1[[#This Row],[Дата перевода]]-Таблица1[[#This Row],[Дата поступления]]</f>
        <v>0</v>
      </c>
      <c r="W1301" s="2">
        <f>Таблица1[[#This Row],[Дата поступления]]-Таблица1[[#This Row],[Дата рождения]]</f>
        <v>0</v>
      </c>
    </row>
    <row r="1302" spans="22:23" ht="24.95" customHeight="1" x14ac:dyDescent="0.25">
      <c r="V1302" s="2">
        <f>Таблица1[[#This Row],[Дата перевода]]-Таблица1[[#This Row],[Дата поступления]]</f>
        <v>0</v>
      </c>
      <c r="W1302" s="2">
        <f>Таблица1[[#This Row],[Дата поступления]]-Таблица1[[#This Row],[Дата рождения]]</f>
        <v>0</v>
      </c>
    </row>
    <row r="1303" spans="22:23" ht="24.95" customHeight="1" x14ac:dyDescent="0.25">
      <c r="V1303" s="2">
        <f>Таблица1[[#This Row],[Дата перевода]]-Таблица1[[#This Row],[Дата поступления]]</f>
        <v>0</v>
      </c>
      <c r="W1303" s="2">
        <f>Таблица1[[#This Row],[Дата поступления]]-Таблица1[[#This Row],[Дата рождения]]</f>
        <v>0</v>
      </c>
    </row>
    <row r="1304" spans="22:23" ht="24.95" customHeight="1" x14ac:dyDescent="0.25">
      <c r="V1304" s="2">
        <f>Таблица1[[#This Row],[Дата перевода]]-Таблица1[[#This Row],[Дата поступления]]</f>
        <v>0</v>
      </c>
      <c r="W1304" s="2">
        <f>Таблица1[[#This Row],[Дата поступления]]-Таблица1[[#This Row],[Дата рождения]]</f>
        <v>0</v>
      </c>
    </row>
    <row r="1305" spans="22:23" ht="24.95" customHeight="1" x14ac:dyDescent="0.25">
      <c r="V1305" s="2">
        <f>Таблица1[[#This Row],[Дата перевода]]-Таблица1[[#This Row],[Дата поступления]]</f>
        <v>0</v>
      </c>
      <c r="W1305" s="2">
        <f>Таблица1[[#This Row],[Дата поступления]]-Таблица1[[#This Row],[Дата рождения]]</f>
        <v>0</v>
      </c>
    </row>
    <row r="1306" spans="22:23" ht="24.95" customHeight="1" x14ac:dyDescent="0.25">
      <c r="V1306" s="2">
        <f>Таблица1[[#This Row],[Дата перевода]]-Таблица1[[#This Row],[Дата поступления]]</f>
        <v>0</v>
      </c>
      <c r="W1306" s="2">
        <f>Таблица1[[#This Row],[Дата поступления]]-Таблица1[[#This Row],[Дата рождения]]</f>
        <v>0</v>
      </c>
    </row>
    <row r="1307" spans="22:23" ht="24.95" customHeight="1" x14ac:dyDescent="0.25">
      <c r="V1307" s="2">
        <f>Таблица1[[#This Row],[Дата перевода]]-Таблица1[[#This Row],[Дата поступления]]</f>
        <v>0</v>
      </c>
      <c r="W1307" s="2">
        <f>Таблица1[[#This Row],[Дата поступления]]-Таблица1[[#This Row],[Дата рождения]]</f>
        <v>0</v>
      </c>
    </row>
    <row r="1308" spans="22:23" ht="24.95" customHeight="1" x14ac:dyDescent="0.25">
      <c r="V1308" s="2">
        <f>Таблица1[[#This Row],[Дата перевода]]-Таблица1[[#This Row],[Дата поступления]]</f>
        <v>0</v>
      </c>
      <c r="W1308" s="2">
        <f>Таблица1[[#This Row],[Дата поступления]]-Таблица1[[#This Row],[Дата рождения]]</f>
        <v>0</v>
      </c>
    </row>
    <row r="1309" spans="22:23" ht="24.95" customHeight="1" x14ac:dyDescent="0.25">
      <c r="V1309" s="2">
        <f>Таблица1[[#This Row],[Дата перевода]]-Таблица1[[#This Row],[Дата поступления]]</f>
        <v>0</v>
      </c>
      <c r="W1309" s="2">
        <f>Таблица1[[#This Row],[Дата поступления]]-Таблица1[[#This Row],[Дата рождения]]</f>
        <v>0</v>
      </c>
    </row>
    <row r="1310" spans="22:23" ht="24.95" customHeight="1" x14ac:dyDescent="0.25">
      <c r="V1310" s="2">
        <f>Таблица1[[#This Row],[Дата перевода]]-Таблица1[[#This Row],[Дата поступления]]</f>
        <v>0</v>
      </c>
      <c r="W1310" s="2">
        <f>Таблица1[[#This Row],[Дата поступления]]-Таблица1[[#This Row],[Дата рождения]]</f>
        <v>0</v>
      </c>
    </row>
    <row r="1311" spans="22:23" ht="24.95" customHeight="1" x14ac:dyDescent="0.25">
      <c r="V1311" s="2">
        <f>Таблица1[[#This Row],[Дата перевода]]-Таблица1[[#This Row],[Дата поступления]]</f>
        <v>0</v>
      </c>
      <c r="W1311" s="2">
        <f>Таблица1[[#This Row],[Дата поступления]]-Таблица1[[#This Row],[Дата рождения]]</f>
        <v>0</v>
      </c>
    </row>
    <row r="1312" spans="22:23" ht="24.95" customHeight="1" x14ac:dyDescent="0.25">
      <c r="V1312" s="2">
        <f>Таблица1[[#This Row],[Дата перевода]]-Таблица1[[#This Row],[Дата поступления]]</f>
        <v>0</v>
      </c>
      <c r="W1312" s="2">
        <f>Таблица1[[#This Row],[Дата поступления]]-Таблица1[[#This Row],[Дата рождения]]</f>
        <v>0</v>
      </c>
    </row>
    <row r="1313" spans="22:23" ht="24.95" customHeight="1" x14ac:dyDescent="0.25">
      <c r="V1313" s="2">
        <f>Таблица1[[#This Row],[Дата перевода]]-Таблица1[[#This Row],[Дата поступления]]</f>
        <v>0</v>
      </c>
      <c r="W1313" s="2">
        <f>Таблица1[[#This Row],[Дата поступления]]-Таблица1[[#This Row],[Дата рождения]]</f>
        <v>0</v>
      </c>
    </row>
    <row r="1314" spans="22:23" ht="24.95" customHeight="1" x14ac:dyDescent="0.25">
      <c r="V1314" s="2">
        <f>Таблица1[[#This Row],[Дата перевода]]-Таблица1[[#This Row],[Дата поступления]]</f>
        <v>0</v>
      </c>
      <c r="W1314" s="2">
        <f>Таблица1[[#This Row],[Дата поступления]]-Таблица1[[#This Row],[Дата рождения]]</f>
        <v>0</v>
      </c>
    </row>
    <row r="1315" spans="22:23" ht="24.95" customHeight="1" x14ac:dyDescent="0.25">
      <c r="V1315" s="2">
        <f>Таблица1[[#This Row],[Дата перевода]]-Таблица1[[#This Row],[Дата поступления]]</f>
        <v>0</v>
      </c>
      <c r="W1315" s="2">
        <f>Таблица1[[#This Row],[Дата поступления]]-Таблица1[[#This Row],[Дата рождения]]</f>
        <v>0</v>
      </c>
    </row>
    <row r="1316" spans="22:23" ht="24.95" customHeight="1" x14ac:dyDescent="0.25">
      <c r="V1316" s="2">
        <f>Таблица1[[#This Row],[Дата перевода]]-Таблица1[[#This Row],[Дата поступления]]</f>
        <v>0</v>
      </c>
      <c r="W1316" s="2">
        <f>Таблица1[[#This Row],[Дата поступления]]-Таблица1[[#This Row],[Дата рождения]]</f>
        <v>0</v>
      </c>
    </row>
    <row r="1317" spans="22:23" ht="24.95" customHeight="1" x14ac:dyDescent="0.25">
      <c r="V1317" s="2">
        <f>Таблица1[[#This Row],[Дата перевода]]-Таблица1[[#This Row],[Дата поступления]]</f>
        <v>0</v>
      </c>
      <c r="W1317" s="2">
        <f>Таблица1[[#This Row],[Дата поступления]]-Таблица1[[#This Row],[Дата рождения]]</f>
        <v>0</v>
      </c>
    </row>
    <row r="1318" spans="22:23" ht="24.95" customHeight="1" x14ac:dyDescent="0.25">
      <c r="V1318" s="2">
        <f>Таблица1[[#This Row],[Дата перевода]]-Таблица1[[#This Row],[Дата поступления]]</f>
        <v>0</v>
      </c>
      <c r="W1318" s="2">
        <f>Таблица1[[#This Row],[Дата поступления]]-Таблица1[[#This Row],[Дата рождения]]</f>
        <v>0</v>
      </c>
    </row>
    <row r="1319" spans="22:23" ht="24.95" customHeight="1" x14ac:dyDescent="0.25">
      <c r="V1319" s="2">
        <f>Таблица1[[#This Row],[Дата перевода]]-Таблица1[[#This Row],[Дата поступления]]</f>
        <v>0</v>
      </c>
      <c r="W1319" s="2">
        <f>Таблица1[[#This Row],[Дата поступления]]-Таблица1[[#This Row],[Дата рождения]]</f>
        <v>0</v>
      </c>
    </row>
    <row r="1320" spans="22:23" ht="24.95" customHeight="1" x14ac:dyDescent="0.25">
      <c r="V1320" s="2">
        <f>Таблица1[[#This Row],[Дата перевода]]-Таблица1[[#This Row],[Дата поступления]]</f>
        <v>0</v>
      </c>
      <c r="W1320" s="2">
        <f>Таблица1[[#This Row],[Дата поступления]]-Таблица1[[#This Row],[Дата рождения]]</f>
        <v>0</v>
      </c>
    </row>
    <row r="1321" spans="22:23" ht="24.95" customHeight="1" x14ac:dyDescent="0.25">
      <c r="V1321" s="2">
        <f>Таблица1[[#This Row],[Дата перевода]]-Таблица1[[#This Row],[Дата поступления]]</f>
        <v>0</v>
      </c>
      <c r="W1321" s="2">
        <f>Таблица1[[#This Row],[Дата поступления]]-Таблица1[[#This Row],[Дата рождения]]</f>
        <v>0</v>
      </c>
    </row>
    <row r="1322" spans="22:23" ht="24.95" customHeight="1" x14ac:dyDescent="0.25">
      <c r="V1322" s="2">
        <f>Таблица1[[#This Row],[Дата перевода]]-Таблица1[[#This Row],[Дата поступления]]</f>
        <v>0</v>
      </c>
      <c r="W1322" s="2">
        <f>Таблица1[[#This Row],[Дата поступления]]-Таблица1[[#This Row],[Дата рождения]]</f>
        <v>0</v>
      </c>
    </row>
    <row r="1323" spans="22:23" ht="24.95" customHeight="1" x14ac:dyDescent="0.25">
      <c r="V1323" s="2">
        <f>Таблица1[[#This Row],[Дата перевода]]-Таблица1[[#This Row],[Дата поступления]]</f>
        <v>0</v>
      </c>
      <c r="W1323" s="2">
        <f>Таблица1[[#This Row],[Дата поступления]]-Таблица1[[#This Row],[Дата рождения]]</f>
        <v>0</v>
      </c>
    </row>
    <row r="1324" spans="22:23" ht="24.95" customHeight="1" x14ac:dyDescent="0.25">
      <c r="V1324" s="2">
        <f>Таблица1[[#This Row],[Дата перевода]]-Таблица1[[#This Row],[Дата поступления]]</f>
        <v>0</v>
      </c>
      <c r="W1324" s="2">
        <f>Таблица1[[#This Row],[Дата поступления]]-Таблица1[[#This Row],[Дата рождения]]</f>
        <v>0</v>
      </c>
    </row>
    <row r="1325" spans="22:23" ht="24.95" customHeight="1" x14ac:dyDescent="0.25">
      <c r="V1325" s="2">
        <f>Таблица1[[#This Row],[Дата перевода]]-Таблица1[[#This Row],[Дата поступления]]</f>
        <v>0</v>
      </c>
      <c r="W1325" s="2">
        <f>Таблица1[[#This Row],[Дата поступления]]-Таблица1[[#This Row],[Дата рождения]]</f>
        <v>0</v>
      </c>
    </row>
    <row r="1326" spans="22:23" ht="24.95" customHeight="1" x14ac:dyDescent="0.25">
      <c r="V1326" s="2">
        <f>Таблица1[[#This Row],[Дата перевода]]-Таблица1[[#This Row],[Дата поступления]]</f>
        <v>0</v>
      </c>
      <c r="W1326" s="2">
        <f>Таблица1[[#This Row],[Дата поступления]]-Таблица1[[#This Row],[Дата рождения]]</f>
        <v>0</v>
      </c>
    </row>
    <row r="1327" spans="22:23" ht="24.95" customHeight="1" x14ac:dyDescent="0.25">
      <c r="V1327" s="2">
        <f>Таблица1[[#This Row],[Дата перевода]]-Таблица1[[#This Row],[Дата поступления]]</f>
        <v>0</v>
      </c>
      <c r="W1327" s="2">
        <f>Таблица1[[#This Row],[Дата поступления]]-Таблица1[[#This Row],[Дата рождения]]</f>
        <v>0</v>
      </c>
    </row>
    <row r="1328" spans="22:23" ht="24.95" customHeight="1" x14ac:dyDescent="0.25">
      <c r="V1328" s="2">
        <f>Таблица1[[#This Row],[Дата перевода]]-Таблица1[[#This Row],[Дата поступления]]</f>
        <v>0</v>
      </c>
      <c r="W1328" s="2">
        <f>Таблица1[[#This Row],[Дата поступления]]-Таблица1[[#This Row],[Дата рождения]]</f>
        <v>0</v>
      </c>
    </row>
    <row r="1329" spans="22:23" ht="24.95" customHeight="1" x14ac:dyDescent="0.25">
      <c r="V1329" s="2">
        <f>Таблица1[[#This Row],[Дата перевода]]-Таблица1[[#This Row],[Дата поступления]]</f>
        <v>0</v>
      </c>
      <c r="W1329" s="2">
        <f>Таблица1[[#This Row],[Дата поступления]]-Таблица1[[#This Row],[Дата рождения]]</f>
        <v>0</v>
      </c>
    </row>
    <row r="1330" spans="22:23" ht="24.95" customHeight="1" x14ac:dyDescent="0.25">
      <c r="V1330" s="2">
        <f>Таблица1[[#This Row],[Дата перевода]]-Таблица1[[#This Row],[Дата поступления]]</f>
        <v>0</v>
      </c>
      <c r="W1330" s="2">
        <f>Таблица1[[#This Row],[Дата поступления]]-Таблица1[[#This Row],[Дата рождения]]</f>
        <v>0</v>
      </c>
    </row>
    <row r="1331" spans="22:23" ht="24.95" customHeight="1" x14ac:dyDescent="0.25">
      <c r="V1331" s="2">
        <f>Таблица1[[#This Row],[Дата перевода]]-Таблица1[[#This Row],[Дата поступления]]</f>
        <v>0</v>
      </c>
      <c r="W1331" s="2">
        <f>Таблица1[[#This Row],[Дата поступления]]-Таблица1[[#This Row],[Дата рождения]]</f>
        <v>0</v>
      </c>
    </row>
    <row r="1332" spans="22:23" ht="24.95" customHeight="1" x14ac:dyDescent="0.25">
      <c r="V1332" s="2">
        <f>Таблица1[[#This Row],[Дата перевода]]-Таблица1[[#This Row],[Дата поступления]]</f>
        <v>0</v>
      </c>
      <c r="W1332" s="2">
        <f>Таблица1[[#This Row],[Дата поступления]]-Таблица1[[#This Row],[Дата рождения]]</f>
        <v>0</v>
      </c>
    </row>
    <row r="1333" spans="22:23" ht="24.95" customHeight="1" x14ac:dyDescent="0.25">
      <c r="V1333" s="2">
        <f>Таблица1[[#This Row],[Дата перевода]]-Таблица1[[#This Row],[Дата поступления]]</f>
        <v>0</v>
      </c>
      <c r="W1333" s="2">
        <f>Таблица1[[#This Row],[Дата поступления]]-Таблица1[[#This Row],[Дата рождения]]</f>
        <v>0</v>
      </c>
    </row>
    <row r="1334" spans="22:23" ht="24.95" customHeight="1" x14ac:dyDescent="0.25">
      <c r="V1334" s="2">
        <f>Таблица1[[#This Row],[Дата перевода]]-Таблица1[[#This Row],[Дата поступления]]</f>
        <v>0</v>
      </c>
      <c r="W1334" s="2">
        <f>Таблица1[[#This Row],[Дата поступления]]-Таблица1[[#This Row],[Дата рождения]]</f>
        <v>0</v>
      </c>
    </row>
    <row r="1335" spans="22:23" ht="24.95" customHeight="1" x14ac:dyDescent="0.25">
      <c r="V1335" s="2">
        <f>Таблица1[[#This Row],[Дата перевода]]-Таблица1[[#This Row],[Дата поступления]]</f>
        <v>0</v>
      </c>
      <c r="W1335" s="2">
        <f>Таблица1[[#This Row],[Дата поступления]]-Таблица1[[#This Row],[Дата рождения]]</f>
        <v>0</v>
      </c>
    </row>
    <row r="1336" spans="22:23" ht="24.95" customHeight="1" x14ac:dyDescent="0.25">
      <c r="V1336" s="2">
        <f>Таблица1[[#This Row],[Дата перевода]]-Таблица1[[#This Row],[Дата поступления]]</f>
        <v>0</v>
      </c>
      <c r="W1336" s="2">
        <f>Таблица1[[#This Row],[Дата поступления]]-Таблица1[[#This Row],[Дата рождения]]</f>
        <v>0</v>
      </c>
    </row>
    <row r="1337" spans="22:23" ht="24.95" customHeight="1" x14ac:dyDescent="0.25">
      <c r="V1337" s="2">
        <f>Таблица1[[#This Row],[Дата перевода]]-Таблица1[[#This Row],[Дата поступления]]</f>
        <v>0</v>
      </c>
      <c r="W1337" s="2">
        <f>Таблица1[[#This Row],[Дата поступления]]-Таблица1[[#This Row],[Дата рождения]]</f>
        <v>0</v>
      </c>
    </row>
    <row r="1338" spans="22:23" ht="24.95" customHeight="1" x14ac:dyDescent="0.25">
      <c r="V1338" s="2">
        <f>Таблица1[[#This Row],[Дата перевода]]-Таблица1[[#This Row],[Дата поступления]]</f>
        <v>0</v>
      </c>
      <c r="W1338" s="2">
        <f>Таблица1[[#This Row],[Дата поступления]]-Таблица1[[#This Row],[Дата рождения]]</f>
        <v>0</v>
      </c>
    </row>
    <row r="1339" spans="22:23" ht="24.95" customHeight="1" x14ac:dyDescent="0.25">
      <c r="V1339" s="2">
        <f>Таблица1[[#This Row],[Дата перевода]]-Таблица1[[#This Row],[Дата поступления]]</f>
        <v>0</v>
      </c>
      <c r="W1339" s="2">
        <f>Таблица1[[#This Row],[Дата поступления]]-Таблица1[[#This Row],[Дата рождения]]</f>
        <v>0</v>
      </c>
    </row>
    <row r="1340" spans="22:23" ht="24.95" customHeight="1" x14ac:dyDescent="0.25">
      <c r="V1340" s="2">
        <f>Таблица1[[#This Row],[Дата перевода]]-Таблица1[[#This Row],[Дата поступления]]</f>
        <v>0</v>
      </c>
      <c r="W1340" s="2">
        <f>Таблица1[[#This Row],[Дата поступления]]-Таблица1[[#This Row],[Дата рождения]]</f>
        <v>0</v>
      </c>
    </row>
    <row r="1341" spans="22:23" ht="24.95" customHeight="1" x14ac:dyDescent="0.25">
      <c r="V1341" s="2">
        <f>Таблица1[[#This Row],[Дата перевода]]-Таблица1[[#This Row],[Дата поступления]]</f>
        <v>0</v>
      </c>
      <c r="W1341" s="2">
        <f>Таблица1[[#This Row],[Дата поступления]]-Таблица1[[#This Row],[Дата рождения]]</f>
        <v>0</v>
      </c>
    </row>
    <row r="1342" spans="22:23" ht="24.95" customHeight="1" x14ac:dyDescent="0.25">
      <c r="V1342" s="2">
        <f>Таблица1[[#This Row],[Дата перевода]]-Таблица1[[#This Row],[Дата поступления]]</f>
        <v>0</v>
      </c>
      <c r="W1342" s="2">
        <f>Таблица1[[#This Row],[Дата поступления]]-Таблица1[[#This Row],[Дата рождения]]</f>
        <v>0</v>
      </c>
    </row>
    <row r="1343" spans="22:23" ht="24.95" customHeight="1" x14ac:dyDescent="0.25">
      <c r="V1343" s="2">
        <f>Таблица1[[#This Row],[Дата перевода]]-Таблица1[[#This Row],[Дата поступления]]</f>
        <v>0</v>
      </c>
      <c r="W1343" s="2">
        <f>Таблица1[[#This Row],[Дата поступления]]-Таблица1[[#This Row],[Дата рождения]]</f>
        <v>0</v>
      </c>
    </row>
    <row r="1344" spans="22:23" ht="24.95" customHeight="1" x14ac:dyDescent="0.25">
      <c r="V1344" s="2">
        <f>Таблица1[[#This Row],[Дата перевода]]-Таблица1[[#This Row],[Дата поступления]]</f>
        <v>0</v>
      </c>
      <c r="W1344" s="2">
        <f>Таблица1[[#This Row],[Дата поступления]]-Таблица1[[#This Row],[Дата рождения]]</f>
        <v>0</v>
      </c>
    </row>
    <row r="1345" spans="22:23" ht="24.95" customHeight="1" x14ac:dyDescent="0.25">
      <c r="V1345" s="2">
        <f>Таблица1[[#This Row],[Дата перевода]]-Таблица1[[#This Row],[Дата поступления]]</f>
        <v>0</v>
      </c>
      <c r="W1345" s="2">
        <f>Таблица1[[#This Row],[Дата поступления]]-Таблица1[[#This Row],[Дата рождения]]</f>
        <v>0</v>
      </c>
    </row>
    <row r="1346" spans="22:23" ht="24.95" customHeight="1" x14ac:dyDescent="0.25">
      <c r="V1346" s="2">
        <f>Таблица1[[#This Row],[Дата перевода]]-Таблица1[[#This Row],[Дата поступления]]</f>
        <v>0</v>
      </c>
      <c r="W1346" s="2">
        <f>Таблица1[[#This Row],[Дата поступления]]-Таблица1[[#This Row],[Дата рождения]]</f>
        <v>0</v>
      </c>
    </row>
    <row r="1347" spans="22:23" ht="24.95" customHeight="1" x14ac:dyDescent="0.25">
      <c r="V1347" s="2">
        <f>Таблица1[[#This Row],[Дата перевода]]-Таблица1[[#This Row],[Дата поступления]]</f>
        <v>0</v>
      </c>
      <c r="W1347" s="2">
        <f>Таблица1[[#This Row],[Дата поступления]]-Таблица1[[#This Row],[Дата рождения]]</f>
        <v>0</v>
      </c>
    </row>
    <row r="1348" spans="22:23" ht="24.95" customHeight="1" x14ac:dyDescent="0.25">
      <c r="V1348" s="2">
        <f>Таблица1[[#This Row],[Дата перевода]]-Таблица1[[#This Row],[Дата поступления]]</f>
        <v>0</v>
      </c>
      <c r="W1348" s="2">
        <f>Таблица1[[#This Row],[Дата поступления]]-Таблица1[[#This Row],[Дата рождения]]</f>
        <v>0</v>
      </c>
    </row>
    <row r="1349" spans="22:23" ht="24.95" customHeight="1" x14ac:dyDescent="0.25">
      <c r="V1349" s="2">
        <f>Таблица1[[#This Row],[Дата перевода]]-Таблица1[[#This Row],[Дата поступления]]</f>
        <v>0</v>
      </c>
      <c r="W1349" s="2">
        <f>Таблица1[[#This Row],[Дата поступления]]-Таблица1[[#This Row],[Дата рождения]]</f>
        <v>0</v>
      </c>
    </row>
    <row r="1350" spans="22:23" ht="24.95" customHeight="1" x14ac:dyDescent="0.25">
      <c r="V1350" s="2">
        <f>Таблица1[[#This Row],[Дата перевода]]-Таблица1[[#This Row],[Дата поступления]]</f>
        <v>0</v>
      </c>
      <c r="W1350" s="2">
        <f>Таблица1[[#This Row],[Дата поступления]]-Таблица1[[#This Row],[Дата рождения]]</f>
        <v>0</v>
      </c>
    </row>
    <row r="1351" spans="22:23" ht="24.95" customHeight="1" x14ac:dyDescent="0.25">
      <c r="V1351" s="2">
        <f>Таблица1[[#This Row],[Дата перевода]]-Таблица1[[#This Row],[Дата поступления]]</f>
        <v>0</v>
      </c>
      <c r="W1351" s="2">
        <f>Таблица1[[#This Row],[Дата поступления]]-Таблица1[[#This Row],[Дата рождения]]</f>
        <v>0</v>
      </c>
    </row>
    <row r="1352" spans="22:23" ht="24.95" customHeight="1" x14ac:dyDescent="0.25">
      <c r="V1352" s="2">
        <f>Таблица1[[#This Row],[Дата перевода]]-Таблица1[[#This Row],[Дата поступления]]</f>
        <v>0</v>
      </c>
      <c r="W1352" s="2">
        <f>Таблица1[[#This Row],[Дата поступления]]-Таблица1[[#This Row],[Дата рождения]]</f>
        <v>0</v>
      </c>
    </row>
    <row r="1353" spans="22:23" ht="24.95" customHeight="1" x14ac:dyDescent="0.25">
      <c r="V1353" s="2">
        <f>Таблица1[[#This Row],[Дата перевода]]-Таблица1[[#This Row],[Дата поступления]]</f>
        <v>0</v>
      </c>
      <c r="W1353" s="2">
        <f>Таблица1[[#This Row],[Дата поступления]]-Таблица1[[#This Row],[Дата рождения]]</f>
        <v>0</v>
      </c>
    </row>
    <row r="1354" spans="22:23" ht="24.95" customHeight="1" x14ac:dyDescent="0.25">
      <c r="V1354" s="2">
        <f>Таблица1[[#This Row],[Дата перевода]]-Таблица1[[#This Row],[Дата поступления]]</f>
        <v>0</v>
      </c>
      <c r="W1354" s="2">
        <f>Таблица1[[#This Row],[Дата поступления]]-Таблица1[[#This Row],[Дата рождения]]</f>
        <v>0</v>
      </c>
    </row>
    <row r="1355" spans="22:23" ht="24.95" customHeight="1" x14ac:dyDescent="0.25">
      <c r="V1355" s="2">
        <f>Таблица1[[#This Row],[Дата перевода]]-Таблица1[[#This Row],[Дата поступления]]</f>
        <v>0</v>
      </c>
      <c r="W1355" s="2">
        <f>Таблица1[[#This Row],[Дата поступления]]-Таблица1[[#This Row],[Дата рождения]]</f>
        <v>0</v>
      </c>
    </row>
    <row r="1356" spans="22:23" ht="24.95" customHeight="1" x14ac:dyDescent="0.25">
      <c r="V1356" s="2">
        <f>Таблица1[[#This Row],[Дата перевода]]-Таблица1[[#This Row],[Дата поступления]]</f>
        <v>0</v>
      </c>
      <c r="W1356" s="2">
        <f>Таблица1[[#This Row],[Дата поступления]]-Таблица1[[#This Row],[Дата рождения]]</f>
        <v>0</v>
      </c>
    </row>
    <row r="1357" spans="22:23" ht="24.95" customHeight="1" x14ac:dyDescent="0.25">
      <c r="V1357" s="2">
        <f>Таблица1[[#This Row],[Дата перевода]]-Таблица1[[#This Row],[Дата поступления]]</f>
        <v>0</v>
      </c>
      <c r="W1357" s="2">
        <f>Таблица1[[#This Row],[Дата поступления]]-Таблица1[[#This Row],[Дата рождения]]</f>
        <v>0</v>
      </c>
    </row>
    <row r="1358" spans="22:23" ht="24.95" customHeight="1" x14ac:dyDescent="0.25">
      <c r="V1358" s="2">
        <f>Таблица1[[#This Row],[Дата перевода]]-Таблица1[[#This Row],[Дата поступления]]</f>
        <v>0</v>
      </c>
      <c r="W1358" s="2">
        <f>Таблица1[[#This Row],[Дата поступления]]-Таблица1[[#This Row],[Дата рождения]]</f>
        <v>0</v>
      </c>
    </row>
    <row r="1359" spans="22:23" ht="24.95" customHeight="1" x14ac:dyDescent="0.25">
      <c r="V1359" s="2">
        <f>Таблица1[[#This Row],[Дата перевода]]-Таблица1[[#This Row],[Дата поступления]]</f>
        <v>0</v>
      </c>
      <c r="W1359" s="2">
        <f>Таблица1[[#This Row],[Дата поступления]]-Таблица1[[#This Row],[Дата рождения]]</f>
        <v>0</v>
      </c>
    </row>
    <row r="1360" spans="22:23" ht="24.95" customHeight="1" x14ac:dyDescent="0.25">
      <c r="V1360" s="2">
        <f>Таблица1[[#This Row],[Дата перевода]]-Таблица1[[#This Row],[Дата поступления]]</f>
        <v>0</v>
      </c>
      <c r="W1360" s="2">
        <f>Таблица1[[#This Row],[Дата поступления]]-Таблица1[[#This Row],[Дата рождения]]</f>
        <v>0</v>
      </c>
    </row>
    <row r="1361" spans="22:23" ht="24.95" customHeight="1" x14ac:dyDescent="0.25">
      <c r="V1361" s="2">
        <f>Таблица1[[#This Row],[Дата перевода]]-Таблица1[[#This Row],[Дата поступления]]</f>
        <v>0</v>
      </c>
      <c r="W1361" s="2">
        <f>Таблица1[[#This Row],[Дата поступления]]-Таблица1[[#This Row],[Дата рождения]]</f>
        <v>0</v>
      </c>
    </row>
    <row r="1362" spans="22:23" ht="24.95" customHeight="1" x14ac:dyDescent="0.25">
      <c r="V1362" s="2">
        <f>Таблица1[[#This Row],[Дата перевода]]-Таблица1[[#This Row],[Дата поступления]]</f>
        <v>0</v>
      </c>
      <c r="W1362" s="2">
        <f>Таблица1[[#This Row],[Дата поступления]]-Таблица1[[#This Row],[Дата рождения]]</f>
        <v>0</v>
      </c>
    </row>
    <row r="1363" spans="22:23" ht="24.95" customHeight="1" x14ac:dyDescent="0.25">
      <c r="V1363" s="2">
        <f>Таблица1[[#This Row],[Дата перевода]]-Таблица1[[#This Row],[Дата поступления]]</f>
        <v>0</v>
      </c>
      <c r="W1363" s="2">
        <f>Таблица1[[#This Row],[Дата поступления]]-Таблица1[[#This Row],[Дата рождения]]</f>
        <v>0</v>
      </c>
    </row>
    <row r="1364" spans="22:23" ht="24.95" customHeight="1" x14ac:dyDescent="0.25">
      <c r="V1364" s="2">
        <f>Таблица1[[#This Row],[Дата перевода]]-Таблица1[[#This Row],[Дата поступления]]</f>
        <v>0</v>
      </c>
      <c r="W1364" s="2">
        <f>Таблица1[[#This Row],[Дата поступления]]-Таблица1[[#This Row],[Дата рождения]]</f>
        <v>0</v>
      </c>
    </row>
    <row r="1365" spans="22:23" ht="24.95" customHeight="1" x14ac:dyDescent="0.25">
      <c r="V1365" s="2">
        <f>Таблица1[[#This Row],[Дата перевода]]-Таблица1[[#This Row],[Дата поступления]]</f>
        <v>0</v>
      </c>
      <c r="W1365" s="2">
        <f>Таблица1[[#This Row],[Дата поступления]]-Таблица1[[#This Row],[Дата рождения]]</f>
        <v>0</v>
      </c>
    </row>
    <row r="1366" spans="22:23" ht="24.95" customHeight="1" x14ac:dyDescent="0.25">
      <c r="V1366" s="2">
        <f>Таблица1[[#This Row],[Дата перевода]]-Таблица1[[#This Row],[Дата поступления]]</f>
        <v>0</v>
      </c>
      <c r="W1366" s="2">
        <f>Таблица1[[#This Row],[Дата поступления]]-Таблица1[[#This Row],[Дата рождения]]</f>
        <v>0</v>
      </c>
    </row>
    <row r="1367" spans="22:23" ht="24.95" customHeight="1" x14ac:dyDescent="0.25">
      <c r="V1367" s="2">
        <f>Таблица1[[#This Row],[Дата перевода]]-Таблица1[[#This Row],[Дата поступления]]</f>
        <v>0</v>
      </c>
      <c r="W1367" s="2">
        <f>Таблица1[[#This Row],[Дата поступления]]-Таблица1[[#This Row],[Дата рождения]]</f>
        <v>0</v>
      </c>
    </row>
    <row r="1368" spans="22:23" ht="24.95" customHeight="1" x14ac:dyDescent="0.25">
      <c r="V1368" s="2">
        <f>Таблица1[[#This Row],[Дата перевода]]-Таблица1[[#This Row],[Дата поступления]]</f>
        <v>0</v>
      </c>
      <c r="W1368" s="2">
        <f>Таблица1[[#This Row],[Дата поступления]]-Таблица1[[#This Row],[Дата рождения]]</f>
        <v>0</v>
      </c>
    </row>
    <row r="1369" spans="22:23" ht="24.95" customHeight="1" x14ac:dyDescent="0.25">
      <c r="V1369" s="2">
        <f>Таблица1[[#This Row],[Дата перевода]]-Таблица1[[#This Row],[Дата поступления]]</f>
        <v>0</v>
      </c>
      <c r="W1369" s="2">
        <f>Таблица1[[#This Row],[Дата поступления]]-Таблица1[[#This Row],[Дата рождения]]</f>
        <v>0</v>
      </c>
    </row>
    <row r="1370" spans="22:23" ht="24.95" customHeight="1" x14ac:dyDescent="0.25">
      <c r="V1370" s="2">
        <f>Таблица1[[#This Row],[Дата перевода]]-Таблица1[[#This Row],[Дата поступления]]</f>
        <v>0</v>
      </c>
      <c r="W1370" s="2">
        <f>Таблица1[[#This Row],[Дата поступления]]-Таблица1[[#This Row],[Дата рождения]]</f>
        <v>0</v>
      </c>
    </row>
    <row r="1371" spans="22:23" ht="24.95" customHeight="1" x14ac:dyDescent="0.25">
      <c r="V1371" s="2">
        <f>Таблица1[[#This Row],[Дата перевода]]-Таблица1[[#This Row],[Дата поступления]]</f>
        <v>0</v>
      </c>
      <c r="W1371" s="2">
        <f>Таблица1[[#This Row],[Дата поступления]]-Таблица1[[#This Row],[Дата рождения]]</f>
        <v>0</v>
      </c>
    </row>
    <row r="1372" spans="22:23" ht="24.95" customHeight="1" x14ac:dyDescent="0.25">
      <c r="V1372" s="2">
        <f>Таблица1[[#This Row],[Дата перевода]]-Таблица1[[#This Row],[Дата поступления]]</f>
        <v>0</v>
      </c>
      <c r="W1372" s="2">
        <f>Таблица1[[#This Row],[Дата поступления]]-Таблица1[[#This Row],[Дата рождения]]</f>
        <v>0</v>
      </c>
    </row>
    <row r="1373" spans="22:23" ht="24.95" customHeight="1" x14ac:dyDescent="0.25">
      <c r="V1373" s="2">
        <f>Таблица1[[#This Row],[Дата перевода]]-Таблица1[[#This Row],[Дата поступления]]</f>
        <v>0</v>
      </c>
      <c r="W1373" s="2">
        <f>Таблица1[[#This Row],[Дата поступления]]-Таблица1[[#This Row],[Дата рождения]]</f>
        <v>0</v>
      </c>
    </row>
    <row r="1374" spans="22:23" ht="24.95" customHeight="1" x14ac:dyDescent="0.25">
      <c r="V1374" s="2">
        <f>Таблица1[[#This Row],[Дата перевода]]-Таблица1[[#This Row],[Дата поступления]]</f>
        <v>0</v>
      </c>
      <c r="W1374" s="2">
        <f>Таблица1[[#This Row],[Дата поступления]]-Таблица1[[#This Row],[Дата рождения]]</f>
        <v>0</v>
      </c>
    </row>
    <row r="1375" spans="22:23" ht="24.95" customHeight="1" x14ac:dyDescent="0.25">
      <c r="V1375" s="2">
        <f>Таблица1[[#This Row],[Дата перевода]]-Таблица1[[#This Row],[Дата поступления]]</f>
        <v>0</v>
      </c>
      <c r="W1375" s="2">
        <f>Таблица1[[#This Row],[Дата поступления]]-Таблица1[[#This Row],[Дата рождения]]</f>
        <v>0</v>
      </c>
    </row>
    <row r="1376" spans="22:23" ht="24.95" customHeight="1" x14ac:dyDescent="0.25">
      <c r="V1376" s="2">
        <f>Таблица1[[#This Row],[Дата перевода]]-Таблица1[[#This Row],[Дата поступления]]</f>
        <v>0</v>
      </c>
      <c r="W1376" s="2">
        <f>Таблица1[[#This Row],[Дата поступления]]-Таблица1[[#This Row],[Дата рождения]]</f>
        <v>0</v>
      </c>
    </row>
    <row r="1377" spans="22:23" ht="24.95" customHeight="1" x14ac:dyDescent="0.25">
      <c r="V1377" s="2">
        <f>Таблица1[[#This Row],[Дата перевода]]-Таблица1[[#This Row],[Дата поступления]]</f>
        <v>0</v>
      </c>
      <c r="W1377" s="2">
        <f>Таблица1[[#This Row],[Дата поступления]]-Таблица1[[#This Row],[Дата рождения]]</f>
        <v>0</v>
      </c>
    </row>
    <row r="1378" spans="22:23" ht="24.95" customHeight="1" x14ac:dyDescent="0.25">
      <c r="V1378" s="2">
        <f>Таблица1[[#This Row],[Дата перевода]]-Таблица1[[#This Row],[Дата поступления]]</f>
        <v>0</v>
      </c>
      <c r="W1378" s="2">
        <f>Таблица1[[#This Row],[Дата поступления]]-Таблица1[[#This Row],[Дата рождения]]</f>
        <v>0</v>
      </c>
    </row>
    <row r="1379" spans="22:23" ht="24.95" customHeight="1" x14ac:dyDescent="0.25">
      <c r="V1379" s="2">
        <f>Таблица1[[#This Row],[Дата перевода]]-Таблица1[[#This Row],[Дата поступления]]</f>
        <v>0</v>
      </c>
      <c r="W1379" s="2">
        <f>Таблица1[[#This Row],[Дата поступления]]-Таблица1[[#This Row],[Дата рождения]]</f>
        <v>0</v>
      </c>
    </row>
    <row r="1380" spans="22:23" ht="24.95" customHeight="1" x14ac:dyDescent="0.25">
      <c r="V1380" s="2">
        <f>Таблица1[[#This Row],[Дата перевода]]-Таблица1[[#This Row],[Дата поступления]]</f>
        <v>0</v>
      </c>
      <c r="W1380" s="2">
        <f>Таблица1[[#This Row],[Дата поступления]]-Таблица1[[#This Row],[Дата рождения]]</f>
        <v>0</v>
      </c>
    </row>
    <row r="1381" spans="22:23" ht="24.95" customHeight="1" x14ac:dyDescent="0.25">
      <c r="V1381" s="2">
        <f>Таблица1[[#This Row],[Дата перевода]]-Таблица1[[#This Row],[Дата поступления]]</f>
        <v>0</v>
      </c>
      <c r="W1381" s="2">
        <f>Таблица1[[#This Row],[Дата поступления]]-Таблица1[[#This Row],[Дата рождения]]</f>
        <v>0</v>
      </c>
    </row>
    <row r="1382" spans="22:23" ht="24.95" customHeight="1" x14ac:dyDescent="0.25">
      <c r="V1382" s="2">
        <f>Таблица1[[#This Row],[Дата перевода]]-Таблица1[[#This Row],[Дата поступления]]</f>
        <v>0</v>
      </c>
      <c r="W1382" s="2">
        <f>Таблица1[[#This Row],[Дата поступления]]-Таблица1[[#This Row],[Дата рождения]]</f>
        <v>0</v>
      </c>
    </row>
    <row r="1383" spans="22:23" ht="24.95" customHeight="1" x14ac:dyDescent="0.25">
      <c r="V1383" s="2">
        <f>Таблица1[[#This Row],[Дата перевода]]-Таблица1[[#This Row],[Дата поступления]]</f>
        <v>0</v>
      </c>
      <c r="W1383" s="2">
        <f>Таблица1[[#This Row],[Дата поступления]]-Таблица1[[#This Row],[Дата рождения]]</f>
        <v>0</v>
      </c>
    </row>
    <row r="1384" spans="22:23" ht="24.95" customHeight="1" x14ac:dyDescent="0.25">
      <c r="V1384" s="2">
        <f>Таблица1[[#This Row],[Дата перевода]]-Таблица1[[#This Row],[Дата поступления]]</f>
        <v>0</v>
      </c>
      <c r="W1384" s="2">
        <f>Таблица1[[#This Row],[Дата поступления]]-Таблица1[[#This Row],[Дата рождения]]</f>
        <v>0</v>
      </c>
    </row>
    <row r="1385" spans="22:23" ht="24.95" customHeight="1" x14ac:dyDescent="0.25">
      <c r="V1385" s="2">
        <f>Таблица1[[#This Row],[Дата перевода]]-Таблица1[[#This Row],[Дата поступления]]</f>
        <v>0</v>
      </c>
      <c r="W1385" s="2">
        <f>Таблица1[[#This Row],[Дата поступления]]-Таблица1[[#This Row],[Дата рождения]]</f>
        <v>0</v>
      </c>
    </row>
    <row r="1386" spans="22:23" ht="24.95" customHeight="1" x14ac:dyDescent="0.25">
      <c r="V1386" s="2">
        <f>Таблица1[[#This Row],[Дата перевода]]-Таблица1[[#This Row],[Дата поступления]]</f>
        <v>0</v>
      </c>
      <c r="W1386" s="2">
        <f>Таблица1[[#This Row],[Дата поступления]]-Таблица1[[#This Row],[Дата рождения]]</f>
        <v>0</v>
      </c>
    </row>
    <row r="1387" spans="22:23" ht="24.95" customHeight="1" x14ac:dyDescent="0.25">
      <c r="V1387" s="2">
        <f>Таблица1[[#This Row],[Дата перевода]]-Таблица1[[#This Row],[Дата поступления]]</f>
        <v>0</v>
      </c>
      <c r="W1387" s="2">
        <f>Таблица1[[#This Row],[Дата поступления]]-Таблица1[[#This Row],[Дата рождения]]</f>
        <v>0</v>
      </c>
    </row>
    <row r="1388" spans="22:23" ht="24.95" customHeight="1" x14ac:dyDescent="0.25">
      <c r="V1388" s="2">
        <f>Таблица1[[#This Row],[Дата перевода]]-Таблица1[[#This Row],[Дата поступления]]</f>
        <v>0</v>
      </c>
      <c r="W1388" s="2">
        <f>Таблица1[[#This Row],[Дата поступления]]-Таблица1[[#This Row],[Дата рождения]]</f>
        <v>0</v>
      </c>
    </row>
    <row r="1389" spans="22:23" ht="24.95" customHeight="1" x14ac:dyDescent="0.25">
      <c r="V1389" s="2">
        <f>Таблица1[[#This Row],[Дата перевода]]-Таблица1[[#This Row],[Дата поступления]]</f>
        <v>0</v>
      </c>
      <c r="W1389" s="2">
        <f>Таблица1[[#This Row],[Дата поступления]]-Таблица1[[#This Row],[Дата рождения]]</f>
        <v>0</v>
      </c>
    </row>
    <row r="1390" spans="22:23" ht="24.95" customHeight="1" x14ac:dyDescent="0.25">
      <c r="V1390" s="2">
        <f>Таблица1[[#This Row],[Дата перевода]]-Таблица1[[#This Row],[Дата поступления]]</f>
        <v>0</v>
      </c>
      <c r="W1390" s="2">
        <f>Таблица1[[#This Row],[Дата поступления]]-Таблица1[[#This Row],[Дата рождения]]</f>
        <v>0</v>
      </c>
    </row>
    <row r="1391" spans="22:23" ht="24.95" customHeight="1" x14ac:dyDescent="0.25">
      <c r="V1391" s="2">
        <f>Таблица1[[#This Row],[Дата перевода]]-Таблица1[[#This Row],[Дата поступления]]</f>
        <v>0</v>
      </c>
      <c r="W1391" s="2">
        <f>Таблица1[[#This Row],[Дата поступления]]-Таблица1[[#This Row],[Дата рождения]]</f>
        <v>0</v>
      </c>
    </row>
    <row r="1392" spans="22:23" ht="24.95" customHeight="1" x14ac:dyDescent="0.25">
      <c r="V1392" s="2">
        <f>Таблица1[[#This Row],[Дата перевода]]-Таблица1[[#This Row],[Дата поступления]]</f>
        <v>0</v>
      </c>
      <c r="W1392" s="2">
        <f>Таблица1[[#This Row],[Дата поступления]]-Таблица1[[#This Row],[Дата рождения]]</f>
        <v>0</v>
      </c>
    </row>
    <row r="1393" spans="22:23" ht="24.95" customHeight="1" x14ac:dyDescent="0.25">
      <c r="V1393" s="2">
        <f>Таблица1[[#This Row],[Дата перевода]]-Таблица1[[#This Row],[Дата поступления]]</f>
        <v>0</v>
      </c>
      <c r="W1393" s="2">
        <f>Таблица1[[#This Row],[Дата поступления]]-Таблица1[[#This Row],[Дата рождения]]</f>
        <v>0</v>
      </c>
    </row>
    <row r="1394" spans="22:23" ht="24.95" customHeight="1" x14ac:dyDescent="0.25">
      <c r="V1394" s="2">
        <f>Таблица1[[#This Row],[Дата перевода]]-Таблица1[[#This Row],[Дата поступления]]</f>
        <v>0</v>
      </c>
      <c r="W1394" s="2">
        <f>Таблица1[[#This Row],[Дата поступления]]-Таблица1[[#This Row],[Дата рождения]]</f>
        <v>0</v>
      </c>
    </row>
    <row r="1395" spans="22:23" ht="24.95" customHeight="1" x14ac:dyDescent="0.25">
      <c r="V1395" s="2">
        <f>Таблица1[[#This Row],[Дата перевода]]-Таблица1[[#This Row],[Дата поступления]]</f>
        <v>0</v>
      </c>
      <c r="W1395" s="2">
        <f>Таблица1[[#This Row],[Дата поступления]]-Таблица1[[#This Row],[Дата рождения]]</f>
        <v>0</v>
      </c>
    </row>
    <row r="1396" spans="22:23" ht="24.95" customHeight="1" x14ac:dyDescent="0.25">
      <c r="V1396" s="2">
        <f>Таблица1[[#This Row],[Дата перевода]]-Таблица1[[#This Row],[Дата поступления]]</f>
        <v>0</v>
      </c>
      <c r="W1396" s="2">
        <f>Таблица1[[#This Row],[Дата поступления]]-Таблица1[[#This Row],[Дата рождения]]</f>
        <v>0</v>
      </c>
    </row>
    <row r="1397" spans="22:23" ht="24.95" customHeight="1" x14ac:dyDescent="0.25">
      <c r="V1397" s="2">
        <f>Таблица1[[#This Row],[Дата перевода]]-Таблица1[[#This Row],[Дата поступления]]</f>
        <v>0</v>
      </c>
      <c r="W1397" s="2">
        <f>Таблица1[[#This Row],[Дата поступления]]-Таблица1[[#This Row],[Дата рождения]]</f>
        <v>0</v>
      </c>
    </row>
    <row r="1398" spans="22:23" ht="24.95" customHeight="1" x14ac:dyDescent="0.25">
      <c r="V1398" s="2">
        <f>Таблица1[[#This Row],[Дата перевода]]-Таблица1[[#This Row],[Дата поступления]]</f>
        <v>0</v>
      </c>
      <c r="W1398" s="2">
        <f>Таблица1[[#This Row],[Дата поступления]]-Таблица1[[#This Row],[Дата рождения]]</f>
        <v>0</v>
      </c>
    </row>
    <row r="1399" spans="22:23" ht="24.95" customHeight="1" x14ac:dyDescent="0.25">
      <c r="V1399" s="2">
        <f>Таблица1[[#This Row],[Дата перевода]]-Таблица1[[#This Row],[Дата поступления]]</f>
        <v>0</v>
      </c>
      <c r="W1399" s="2">
        <f>Таблица1[[#This Row],[Дата поступления]]-Таблица1[[#This Row],[Дата рождения]]</f>
        <v>0</v>
      </c>
    </row>
    <row r="1400" spans="22:23" ht="24.95" customHeight="1" x14ac:dyDescent="0.25">
      <c r="V1400" s="2">
        <f>Таблица1[[#This Row],[Дата перевода]]-Таблица1[[#This Row],[Дата поступления]]</f>
        <v>0</v>
      </c>
      <c r="W1400" s="2">
        <f>Таблица1[[#This Row],[Дата поступления]]-Таблица1[[#This Row],[Дата рождения]]</f>
        <v>0</v>
      </c>
    </row>
    <row r="1401" spans="22:23" ht="24.95" customHeight="1" x14ac:dyDescent="0.25">
      <c r="V1401" s="2">
        <f>Таблица1[[#This Row],[Дата перевода]]-Таблица1[[#This Row],[Дата поступления]]</f>
        <v>0</v>
      </c>
      <c r="W1401" s="2">
        <f>Таблица1[[#This Row],[Дата поступления]]-Таблица1[[#This Row],[Дата рождения]]</f>
        <v>0</v>
      </c>
    </row>
    <row r="1402" spans="22:23" ht="24.95" customHeight="1" x14ac:dyDescent="0.25">
      <c r="V1402" s="2">
        <f>Таблица1[[#This Row],[Дата перевода]]-Таблица1[[#This Row],[Дата поступления]]</f>
        <v>0</v>
      </c>
      <c r="W1402" s="2">
        <f>Таблица1[[#This Row],[Дата поступления]]-Таблица1[[#This Row],[Дата рождения]]</f>
        <v>0</v>
      </c>
    </row>
    <row r="1403" spans="22:23" ht="24.95" customHeight="1" x14ac:dyDescent="0.25">
      <c r="V1403" s="2">
        <f>Таблица1[[#This Row],[Дата перевода]]-Таблица1[[#This Row],[Дата поступления]]</f>
        <v>0</v>
      </c>
      <c r="W1403" s="2">
        <f>Таблица1[[#This Row],[Дата поступления]]-Таблица1[[#This Row],[Дата рождения]]</f>
        <v>0</v>
      </c>
    </row>
    <row r="1404" spans="22:23" ht="24.95" customHeight="1" x14ac:dyDescent="0.25">
      <c r="V1404" s="2">
        <f>Таблица1[[#This Row],[Дата перевода]]-Таблица1[[#This Row],[Дата поступления]]</f>
        <v>0</v>
      </c>
      <c r="W1404" s="2">
        <f>Таблица1[[#This Row],[Дата поступления]]-Таблица1[[#This Row],[Дата рождения]]</f>
        <v>0</v>
      </c>
    </row>
    <row r="1405" spans="22:23" ht="24.95" customHeight="1" x14ac:dyDescent="0.25">
      <c r="V1405" s="2">
        <f>Таблица1[[#This Row],[Дата перевода]]-Таблица1[[#This Row],[Дата поступления]]</f>
        <v>0</v>
      </c>
      <c r="W1405" s="2">
        <f>Таблица1[[#This Row],[Дата поступления]]-Таблица1[[#This Row],[Дата рождения]]</f>
        <v>0</v>
      </c>
    </row>
    <row r="1406" spans="22:23" ht="24.95" customHeight="1" x14ac:dyDescent="0.25">
      <c r="V1406" s="2">
        <f>Таблица1[[#This Row],[Дата перевода]]-Таблица1[[#This Row],[Дата поступления]]</f>
        <v>0</v>
      </c>
      <c r="W1406" s="2">
        <f>Таблица1[[#This Row],[Дата поступления]]-Таблица1[[#This Row],[Дата рождения]]</f>
        <v>0</v>
      </c>
    </row>
    <row r="1407" spans="22:23" ht="24.95" customHeight="1" x14ac:dyDescent="0.25">
      <c r="V1407" s="2">
        <f>Таблица1[[#This Row],[Дата перевода]]-Таблица1[[#This Row],[Дата поступления]]</f>
        <v>0</v>
      </c>
      <c r="W1407" s="2">
        <f>Таблица1[[#This Row],[Дата поступления]]-Таблица1[[#This Row],[Дата рождения]]</f>
        <v>0</v>
      </c>
    </row>
    <row r="1408" spans="22:23" ht="24.95" customHeight="1" x14ac:dyDescent="0.25">
      <c r="V1408" s="2">
        <f>Таблица1[[#This Row],[Дата перевода]]-Таблица1[[#This Row],[Дата поступления]]</f>
        <v>0</v>
      </c>
      <c r="W1408" s="2">
        <f>Таблица1[[#This Row],[Дата поступления]]-Таблица1[[#This Row],[Дата рождения]]</f>
        <v>0</v>
      </c>
    </row>
    <row r="1409" spans="22:23" ht="24.95" customHeight="1" x14ac:dyDescent="0.25">
      <c r="V1409" s="2">
        <f>Таблица1[[#This Row],[Дата перевода]]-Таблица1[[#This Row],[Дата поступления]]</f>
        <v>0</v>
      </c>
      <c r="W1409" s="2">
        <f>Таблица1[[#This Row],[Дата поступления]]-Таблица1[[#This Row],[Дата рождения]]</f>
        <v>0</v>
      </c>
    </row>
    <row r="1410" spans="22:23" ht="24.95" customHeight="1" x14ac:dyDescent="0.25">
      <c r="V1410" s="2">
        <f>Таблица1[[#This Row],[Дата перевода]]-Таблица1[[#This Row],[Дата поступления]]</f>
        <v>0</v>
      </c>
      <c r="W1410" s="2">
        <f>Таблица1[[#This Row],[Дата поступления]]-Таблица1[[#This Row],[Дата рождения]]</f>
        <v>0</v>
      </c>
    </row>
    <row r="1411" spans="22:23" ht="24.95" customHeight="1" x14ac:dyDescent="0.25">
      <c r="V1411" s="2">
        <f>Таблица1[[#This Row],[Дата перевода]]-Таблица1[[#This Row],[Дата поступления]]</f>
        <v>0</v>
      </c>
      <c r="W1411" s="2">
        <f>Таблица1[[#This Row],[Дата поступления]]-Таблица1[[#This Row],[Дата рождения]]</f>
        <v>0</v>
      </c>
    </row>
    <row r="1412" spans="22:23" ht="24.95" customHeight="1" x14ac:dyDescent="0.25">
      <c r="V1412" s="2">
        <f>Таблица1[[#This Row],[Дата перевода]]-Таблица1[[#This Row],[Дата поступления]]</f>
        <v>0</v>
      </c>
      <c r="W1412" s="2">
        <f>Таблица1[[#This Row],[Дата поступления]]-Таблица1[[#This Row],[Дата рождения]]</f>
        <v>0</v>
      </c>
    </row>
    <row r="1413" spans="22:23" ht="24.95" customHeight="1" x14ac:dyDescent="0.25">
      <c r="V1413" s="2">
        <f>Таблица1[[#This Row],[Дата перевода]]-Таблица1[[#This Row],[Дата поступления]]</f>
        <v>0</v>
      </c>
      <c r="W1413" s="2">
        <f>Таблица1[[#This Row],[Дата поступления]]-Таблица1[[#This Row],[Дата рождения]]</f>
        <v>0</v>
      </c>
    </row>
    <row r="1414" spans="22:23" ht="24.95" customHeight="1" x14ac:dyDescent="0.25">
      <c r="V1414" s="2">
        <f>Таблица1[[#This Row],[Дата перевода]]-Таблица1[[#This Row],[Дата поступления]]</f>
        <v>0</v>
      </c>
      <c r="W1414" s="2">
        <f>Таблица1[[#This Row],[Дата поступления]]-Таблица1[[#This Row],[Дата рождения]]</f>
        <v>0</v>
      </c>
    </row>
    <row r="1415" spans="22:23" ht="24.95" customHeight="1" x14ac:dyDescent="0.25">
      <c r="V1415" s="2">
        <f>Таблица1[[#This Row],[Дата перевода]]-Таблица1[[#This Row],[Дата поступления]]</f>
        <v>0</v>
      </c>
      <c r="W1415" s="2">
        <f>Таблица1[[#This Row],[Дата поступления]]-Таблица1[[#This Row],[Дата рождения]]</f>
        <v>0</v>
      </c>
    </row>
    <row r="1416" spans="22:23" ht="24.95" customHeight="1" x14ac:dyDescent="0.25">
      <c r="V1416" s="2">
        <f>Таблица1[[#This Row],[Дата перевода]]-Таблица1[[#This Row],[Дата поступления]]</f>
        <v>0</v>
      </c>
      <c r="W1416" s="2">
        <f>Таблица1[[#This Row],[Дата поступления]]-Таблица1[[#This Row],[Дата рождения]]</f>
        <v>0</v>
      </c>
    </row>
    <row r="1417" spans="22:23" ht="24.95" customHeight="1" x14ac:dyDescent="0.25">
      <c r="V1417" s="2">
        <f>Таблица1[[#This Row],[Дата перевода]]-Таблица1[[#This Row],[Дата поступления]]</f>
        <v>0</v>
      </c>
      <c r="W1417" s="2">
        <f>Таблица1[[#This Row],[Дата поступления]]-Таблица1[[#This Row],[Дата рождения]]</f>
        <v>0</v>
      </c>
    </row>
    <row r="1418" spans="22:23" ht="24.95" customHeight="1" x14ac:dyDescent="0.25">
      <c r="V1418" s="2">
        <f>Таблица1[[#This Row],[Дата перевода]]-Таблица1[[#This Row],[Дата поступления]]</f>
        <v>0</v>
      </c>
      <c r="W1418" s="2">
        <f>Таблица1[[#This Row],[Дата поступления]]-Таблица1[[#This Row],[Дата рождения]]</f>
        <v>0</v>
      </c>
    </row>
    <row r="1419" spans="22:23" ht="24.95" customHeight="1" x14ac:dyDescent="0.25">
      <c r="V1419" s="2">
        <f>Таблица1[[#This Row],[Дата перевода]]-Таблица1[[#This Row],[Дата поступления]]</f>
        <v>0</v>
      </c>
      <c r="W1419" s="2">
        <f>Таблица1[[#This Row],[Дата поступления]]-Таблица1[[#This Row],[Дата рождения]]</f>
        <v>0</v>
      </c>
    </row>
    <row r="1420" spans="22:23" ht="24.95" customHeight="1" x14ac:dyDescent="0.25">
      <c r="V1420" s="2">
        <f>Таблица1[[#This Row],[Дата перевода]]-Таблица1[[#This Row],[Дата поступления]]</f>
        <v>0</v>
      </c>
      <c r="W1420" s="2">
        <f>Таблица1[[#This Row],[Дата поступления]]-Таблица1[[#This Row],[Дата рождения]]</f>
        <v>0</v>
      </c>
    </row>
    <row r="1421" spans="22:23" ht="24.95" customHeight="1" x14ac:dyDescent="0.25">
      <c r="V1421" s="2">
        <f>Таблица1[[#This Row],[Дата перевода]]-Таблица1[[#This Row],[Дата поступления]]</f>
        <v>0</v>
      </c>
      <c r="W1421" s="2">
        <f>Таблица1[[#This Row],[Дата поступления]]-Таблица1[[#This Row],[Дата рождения]]</f>
        <v>0</v>
      </c>
    </row>
    <row r="1422" spans="22:23" ht="24.95" customHeight="1" x14ac:dyDescent="0.25">
      <c r="V1422" s="2">
        <f>Таблица1[[#This Row],[Дата перевода]]-Таблица1[[#This Row],[Дата поступления]]</f>
        <v>0</v>
      </c>
      <c r="W1422" s="2">
        <f>Таблица1[[#This Row],[Дата поступления]]-Таблица1[[#This Row],[Дата рождения]]</f>
        <v>0</v>
      </c>
    </row>
    <row r="1423" spans="22:23" ht="24.95" customHeight="1" x14ac:dyDescent="0.25">
      <c r="V1423" s="2">
        <f>Таблица1[[#This Row],[Дата перевода]]-Таблица1[[#This Row],[Дата поступления]]</f>
        <v>0</v>
      </c>
      <c r="W1423" s="2">
        <f>Таблица1[[#This Row],[Дата поступления]]-Таблица1[[#This Row],[Дата рождения]]</f>
        <v>0</v>
      </c>
    </row>
    <row r="1424" spans="22:23" ht="24.95" customHeight="1" x14ac:dyDescent="0.25">
      <c r="V1424" s="2">
        <f>Таблица1[[#This Row],[Дата перевода]]-Таблица1[[#This Row],[Дата поступления]]</f>
        <v>0</v>
      </c>
      <c r="W1424" s="2">
        <f>Таблица1[[#This Row],[Дата поступления]]-Таблица1[[#This Row],[Дата рождения]]</f>
        <v>0</v>
      </c>
    </row>
    <row r="1425" spans="22:23" ht="24.95" customHeight="1" x14ac:dyDescent="0.25">
      <c r="V1425" s="2">
        <f>Таблица1[[#This Row],[Дата перевода]]-Таблица1[[#This Row],[Дата поступления]]</f>
        <v>0</v>
      </c>
      <c r="W1425" s="2">
        <f>Таблица1[[#This Row],[Дата поступления]]-Таблица1[[#This Row],[Дата рождения]]</f>
        <v>0</v>
      </c>
    </row>
    <row r="1426" spans="22:23" ht="24.95" customHeight="1" x14ac:dyDescent="0.25">
      <c r="V1426" s="2">
        <f>Таблица1[[#This Row],[Дата перевода]]-Таблица1[[#This Row],[Дата поступления]]</f>
        <v>0</v>
      </c>
      <c r="W1426" s="2">
        <f>Таблица1[[#This Row],[Дата поступления]]-Таблица1[[#This Row],[Дата рождения]]</f>
        <v>0</v>
      </c>
    </row>
    <row r="1427" spans="22:23" ht="24.95" customHeight="1" x14ac:dyDescent="0.25">
      <c r="V1427" s="2">
        <f>Таблица1[[#This Row],[Дата перевода]]-Таблица1[[#This Row],[Дата поступления]]</f>
        <v>0</v>
      </c>
      <c r="W1427" s="2">
        <f>Таблица1[[#This Row],[Дата поступления]]-Таблица1[[#This Row],[Дата рождения]]</f>
        <v>0</v>
      </c>
    </row>
    <row r="1428" spans="22:23" ht="24.95" customHeight="1" x14ac:dyDescent="0.25">
      <c r="V1428" s="2">
        <f>Таблица1[[#This Row],[Дата перевода]]-Таблица1[[#This Row],[Дата поступления]]</f>
        <v>0</v>
      </c>
      <c r="W1428" s="2">
        <f>Таблица1[[#This Row],[Дата поступления]]-Таблица1[[#This Row],[Дата рождения]]</f>
        <v>0</v>
      </c>
    </row>
    <row r="1429" spans="22:23" ht="24.95" customHeight="1" x14ac:dyDescent="0.25">
      <c r="V1429" s="2">
        <f>Таблица1[[#This Row],[Дата перевода]]-Таблица1[[#This Row],[Дата поступления]]</f>
        <v>0</v>
      </c>
      <c r="W1429" s="2">
        <f>Таблица1[[#This Row],[Дата поступления]]-Таблица1[[#This Row],[Дата рождения]]</f>
        <v>0</v>
      </c>
    </row>
    <row r="1430" spans="22:23" ht="24.95" customHeight="1" x14ac:dyDescent="0.25">
      <c r="V1430" s="2">
        <f>Таблица1[[#This Row],[Дата перевода]]-Таблица1[[#This Row],[Дата поступления]]</f>
        <v>0</v>
      </c>
      <c r="W1430" s="2">
        <f>Таблица1[[#This Row],[Дата поступления]]-Таблица1[[#This Row],[Дата рождения]]</f>
        <v>0</v>
      </c>
    </row>
    <row r="1431" spans="22:23" ht="24.95" customHeight="1" x14ac:dyDescent="0.25">
      <c r="V1431" s="2">
        <f>Таблица1[[#This Row],[Дата перевода]]-Таблица1[[#This Row],[Дата поступления]]</f>
        <v>0</v>
      </c>
      <c r="W1431" s="2">
        <f>Таблица1[[#This Row],[Дата поступления]]-Таблица1[[#This Row],[Дата рождения]]</f>
        <v>0</v>
      </c>
    </row>
    <row r="1432" spans="22:23" ht="24.95" customHeight="1" x14ac:dyDescent="0.25">
      <c r="V1432" s="2">
        <f>Таблица1[[#This Row],[Дата перевода]]-Таблица1[[#This Row],[Дата поступления]]</f>
        <v>0</v>
      </c>
      <c r="W1432" s="2">
        <f>Таблица1[[#This Row],[Дата поступления]]-Таблица1[[#This Row],[Дата рождения]]</f>
        <v>0</v>
      </c>
    </row>
    <row r="1433" spans="22:23" ht="24.95" customHeight="1" x14ac:dyDescent="0.25">
      <c r="V1433" s="2">
        <f>Таблица1[[#This Row],[Дата перевода]]-Таблица1[[#This Row],[Дата поступления]]</f>
        <v>0</v>
      </c>
      <c r="W1433" s="2">
        <f>Таблица1[[#This Row],[Дата поступления]]-Таблица1[[#This Row],[Дата рождения]]</f>
        <v>0</v>
      </c>
    </row>
    <row r="1434" spans="22:23" ht="24.95" customHeight="1" x14ac:dyDescent="0.25">
      <c r="V1434" s="2">
        <f>Таблица1[[#This Row],[Дата перевода]]-Таблица1[[#This Row],[Дата поступления]]</f>
        <v>0</v>
      </c>
      <c r="W1434" s="2">
        <f>Таблица1[[#This Row],[Дата поступления]]-Таблица1[[#This Row],[Дата рождения]]</f>
        <v>0</v>
      </c>
    </row>
    <row r="1435" spans="22:23" ht="24.95" customHeight="1" x14ac:dyDescent="0.25">
      <c r="V1435" s="2">
        <f>Таблица1[[#This Row],[Дата перевода]]-Таблица1[[#This Row],[Дата поступления]]</f>
        <v>0</v>
      </c>
      <c r="W1435" s="2">
        <f>Таблица1[[#This Row],[Дата поступления]]-Таблица1[[#This Row],[Дата рождения]]</f>
        <v>0</v>
      </c>
    </row>
    <row r="1436" spans="22:23" ht="24.95" customHeight="1" x14ac:dyDescent="0.25">
      <c r="V1436" s="2">
        <f>Таблица1[[#This Row],[Дата перевода]]-Таблица1[[#This Row],[Дата поступления]]</f>
        <v>0</v>
      </c>
      <c r="W1436" s="2">
        <f>Таблица1[[#This Row],[Дата поступления]]-Таблица1[[#This Row],[Дата рождения]]</f>
        <v>0</v>
      </c>
    </row>
    <row r="1437" spans="22:23" ht="24.95" customHeight="1" x14ac:dyDescent="0.25">
      <c r="V1437" s="2">
        <f>Таблица1[[#This Row],[Дата перевода]]-Таблица1[[#This Row],[Дата поступления]]</f>
        <v>0</v>
      </c>
      <c r="W1437" s="2">
        <f>Таблица1[[#This Row],[Дата поступления]]-Таблица1[[#This Row],[Дата рождения]]</f>
        <v>0</v>
      </c>
    </row>
    <row r="1438" spans="22:23" ht="24.95" customHeight="1" x14ac:dyDescent="0.25">
      <c r="V1438" s="2">
        <f>Таблица1[[#This Row],[Дата перевода]]-Таблица1[[#This Row],[Дата поступления]]</f>
        <v>0</v>
      </c>
      <c r="W1438" s="2">
        <f>Таблица1[[#This Row],[Дата поступления]]-Таблица1[[#This Row],[Дата рождения]]</f>
        <v>0</v>
      </c>
    </row>
    <row r="1439" spans="22:23" ht="24.95" customHeight="1" x14ac:dyDescent="0.25">
      <c r="V1439" s="2">
        <f>Таблица1[[#This Row],[Дата перевода]]-Таблица1[[#This Row],[Дата поступления]]</f>
        <v>0</v>
      </c>
      <c r="W1439" s="2">
        <f>Таблица1[[#This Row],[Дата поступления]]-Таблица1[[#This Row],[Дата рождения]]</f>
        <v>0</v>
      </c>
    </row>
    <row r="1440" spans="22:23" ht="24.95" customHeight="1" x14ac:dyDescent="0.25">
      <c r="V1440" s="2">
        <f>Таблица1[[#This Row],[Дата перевода]]-Таблица1[[#This Row],[Дата поступления]]</f>
        <v>0</v>
      </c>
      <c r="W1440" s="2">
        <f>Таблица1[[#This Row],[Дата поступления]]-Таблица1[[#This Row],[Дата рождения]]</f>
        <v>0</v>
      </c>
    </row>
    <row r="1441" spans="22:23" ht="24.95" customHeight="1" x14ac:dyDescent="0.25">
      <c r="V1441" s="2">
        <f>Таблица1[[#This Row],[Дата перевода]]-Таблица1[[#This Row],[Дата поступления]]</f>
        <v>0</v>
      </c>
      <c r="W1441" s="2">
        <f>Таблица1[[#This Row],[Дата поступления]]-Таблица1[[#This Row],[Дата рождения]]</f>
        <v>0</v>
      </c>
    </row>
    <row r="1442" spans="22:23" ht="24.95" customHeight="1" x14ac:dyDescent="0.25">
      <c r="V1442" s="2">
        <f>Таблица1[[#This Row],[Дата перевода]]-Таблица1[[#This Row],[Дата поступления]]</f>
        <v>0</v>
      </c>
      <c r="W1442" s="2">
        <f>Таблица1[[#This Row],[Дата поступления]]-Таблица1[[#This Row],[Дата рождения]]</f>
        <v>0</v>
      </c>
    </row>
    <row r="1443" spans="22:23" ht="24.95" customHeight="1" x14ac:dyDescent="0.25">
      <c r="V1443" s="2">
        <f>Таблица1[[#This Row],[Дата перевода]]-Таблица1[[#This Row],[Дата поступления]]</f>
        <v>0</v>
      </c>
      <c r="W1443" s="2">
        <f>Таблица1[[#This Row],[Дата поступления]]-Таблица1[[#This Row],[Дата рождения]]</f>
        <v>0</v>
      </c>
    </row>
    <row r="1444" spans="22:23" ht="24.95" customHeight="1" x14ac:dyDescent="0.25">
      <c r="V1444" s="2">
        <f>Таблица1[[#This Row],[Дата перевода]]-Таблица1[[#This Row],[Дата поступления]]</f>
        <v>0</v>
      </c>
      <c r="W1444" s="2">
        <f>Таблица1[[#This Row],[Дата поступления]]-Таблица1[[#This Row],[Дата рождения]]</f>
        <v>0</v>
      </c>
    </row>
    <row r="1445" spans="22:23" ht="24.95" customHeight="1" x14ac:dyDescent="0.25">
      <c r="V1445" s="2">
        <f>Таблица1[[#This Row],[Дата перевода]]-Таблица1[[#This Row],[Дата поступления]]</f>
        <v>0</v>
      </c>
      <c r="W1445" s="2">
        <f>Таблица1[[#This Row],[Дата поступления]]-Таблица1[[#This Row],[Дата рождения]]</f>
        <v>0</v>
      </c>
    </row>
    <row r="1446" spans="22:23" ht="24.95" customHeight="1" x14ac:dyDescent="0.25">
      <c r="V1446" s="2">
        <f>Таблица1[[#This Row],[Дата перевода]]-Таблица1[[#This Row],[Дата поступления]]</f>
        <v>0</v>
      </c>
      <c r="W1446" s="2">
        <f>Таблица1[[#This Row],[Дата поступления]]-Таблица1[[#This Row],[Дата рождения]]</f>
        <v>0</v>
      </c>
    </row>
    <row r="1447" spans="22:23" ht="24.95" customHeight="1" x14ac:dyDescent="0.25">
      <c r="V1447" s="2">
        <f>Таблица1[[#This Row],[Дата перевода]]-Таблица1[[#This Row],[Дата поступления]]</f>
        <v>0</v>
      </c>
      <c r="W1447" s="2">
        <f>Таблица1[[#This Row],[Дата поступления]]-Таблица1[[#This Row],[Дата рождения]]</f>
        <v>0</v>
      </c>
    </row>
    <row r="1448" spans="22:23" ht="24.95" customHeight="1" x14ac:dyDescent="0.25">
      <c r="V1448" s="2">
        <f>Таблица1[[#This Row],[Дата перевода]]-Таблица1[[#This Row],[Дата поступления]]</f>
        <v>0</v>
      </c>
      <c r="W1448" s="2">
        <f>Таблица1[[#This Row],[Дата поступления]]-Таблица1[[#This Row],[Дата рождения]]</f>
        <v>0</v>
      </c>
    </row>
    <row r="1449" spans="22:23" ht="24.95" customHeight="1" x14ac:dyDescent="0.25">
      <c r="V1449" s="2">
        <f>Таблица1[[#This Row],[Дата перевода]]-Таблица1[[#This Row],[Дата поступления]]</f>
        <v>0</v>
      </c>
      <c r="W1449" s="2">
        <f>Таблица1[[#This Row],[Дата поступления]]-Таблица1[[#This Row],[Дата рождения]]</f>
        <v>0</v>
      </c>
    </row>
    <row r="1450" spans="22:23" ht="24.95" customHeight="1" x14ac:dyDescent="0.25">
      <c r="V1450" s="2">
        <f>Таблица1[[#This Row],[Дата перевода]]-Таблица1[[#This Row],[Дата поступления]]</f>
        <v>0</v>
      </c>
      <c r="W1450" s="2">
        <f>Таблица1[[#This Row],[Дата поступления]]-Таблица1[[#This Row],[Дата рождения]]</f>
        <v>0</v>
      </c>
    </row>
    <row r="1451" spans="22:23" ht="24.95" customHeight="1" x14ac:dyDescent="0.25">
      <c r="V1451" s="2">
        <f>Таблица1[[#This Row],[Дата перевода]]-Таблица1[[#This Row],[Дата поступления]]</f>
        <v>0</v>
      </c>
      <c r="W1451" s="2">
        <f>Таблица1[[#This Row],[Дата поступления]]-Таблица1[[#This Row],[Дата рождения]]</f>
        <v>0</v>
      </c>
    </row>
    <row r="1452" spans="22:23" ht="24.95" customHeight="1" x14ac:dyDescent="0.25">
      <c r="V1452" s="2">
        <f>Таблица1[[#This Row],[Дата перевода]]-Таблица1[[#This Row],[Дата поступления]]</f>
        <v>0</v>
      </c>
      <c r="W1452" s="2">
        <f>Таблица1[[#This Row],[Дата поступления]]-Таблица1[[#This Row],[Дата рождения]]</f>
        <v>0</v>
      </c>
    </row>
    <row r="1453" spans="22:23" ht="24.95" customHeight="1" x14ac:dyDescent="0.25">
      <c r="V1453" s="2">
        <f>Таблица1[[#This Row],[Дата перевода]]-Таблица1[[#This Row],[Дата поступления]]</f>
        <v>0</v>
      </c>
      <c r="W1453" s="2">
        <f>Таблица1[[#This Row],[Дата поступления]]-Таблица1[[#This Row],[Дата рождения]]</f>
        <v>0</v>
      </c>
    </row>
    <row r="1454" spans="22:23" ht="24.95" customHeight="1" x14ac:dyDescent="0.25">
      <c r="V1454" s="2">
        <f>Таблица1[[#This Row],[Дата перевода]]-Таблица1[[#This Row],[Дата поступления]]</f>
        <v>0</v>
      </c>
      <c r="W1454" s="2">
        <f>Таблица1[[#This Row],[Дата поступления]]-Таблица1[[#This Row],[Дата рождения]]</f>
        <v>0</v>
      </c>
    </row>
    <row r="1455" spans="22:23" ht="24.95" customHeight="1" x14ac:dyDescent="0.25">
      <c r="V1455" s="2">
        <f>Таблица1[[#This Row],[Дата перевода]]-Таблица1[[#This Row],[Дата поступления]]</f>
        <v>0</v>
      </c>
      <c r="W1455" s="2">
        <f>Таблица1[[#This Row],[Дата поступления]]-Таблица1[[#This Row],[Дата рождения]]</f>
        <v>0</v>
      </c>
    </row>
    <row r="1456" spans="22:23" ht="24.95" customHeight="1" x14ac:dyDescent="0.25">
      <c r="V1456" s="2">
        <f>Таблица1[[#This Row],[Дата перевода]]-Таблица1[[#This Row],[Дата поступления]]</f>
        <v>0</v>
      </c>
      <c r="W1456" s="2">
        <f>Таблица1[[#This Row],[Дата поступления]]-Таблица1[[#This Row],[Дата рождения]]</f>
        <v>0</v>
      </c>
    </row>
    <row r="1457" spans="22:23" ht="24.95" customHeight="1" x14ac:dyDescent="0.25">
      <c r="V1457" s="2">
        <f>Таблица1[[#This Row],[Дата перевода]]-Таблица1[[#This Row],[Дата поступления]]</f>
        <v>0</v>
      </c>
      <c r="W1457" s="2">
        <f>Таблица1[[#This Row],[Дата поступления]]-Таблица1[[#This Row],[Дата рождения]]</f>
        <v>0</v>
      </c>
    </row>
    <row r="1458" spans="22:23" ht="24.95" customHeight="1" x14ac:dyDescent="0.25">
      <c r="V1458" s="2">
        <f>Таблица1[[#This Row],[Дата перевода]]-Таблица1[[#This Row],[Дата поступления]]</f>
        <v>0</v>
      </c>
      <c r="W1458" s="2">
        <f>Таблица1[[#This Row],[Дата поступления]]-Таблица1[[#This Row],[Дата рождения]]</f>
        <v>0</v>
      </c>
    </row>
    <row r="1459" spans="22:23" ht="24.95" customHeight="1" x14ac:dyDescent="0.25">
      <c r="V1459" s="2">
        <f>Таблица1[[#This Row],[Дата перевода]]-Таблица1[[#This Row],[Дата поступления]]</f>
        <v>0</v>
      </c>
      <c r="W1459" s="2">
        <f>Таблица1[[#This Row],[Дата поступления]]-Таблица1[[#This Row],[Дата рождения]]</f>
        <v>0</v>
      </c>
    </row>
    <row r="1460" spans="22:23" ht="24.95" customHeight="1" x14ac:dyDescent="0.25">
      <c r="V1460" s="2">
        <f>Таблица1[[#This Row],[Дата перевода]]-Таблица1[[#This Row],[Дата поступления]]</f>
        <v>0</v>
      </c>
      <c r="W1460" s="2">
        <f>Таблица1[[#This Row],[Дата поступления]]-Таблица1[[#This Row],[Дата рождения]]</f>
        <v>0</v>
      </c>
    </row>
    <row r="1461" spans="22:23" ht="24.95" customHeight="1" x14ac:dyDescent="0.25">
      <c r="V1461" s="2">
        <f>Таблица1[[#This Row],[Дата перевода]]-Таблица1[[#This Row],[Дата поступления]]</f>
        <v>0</v>
      </c>
      <c r="W1461" s="2">
        <f>Таблица1[[#This Row],[Дата поступления]]-Таблица1[[#This Row],[Дата рождения]]</f>
        <v>0</v>
      </c>
    </row>
    <row r="1462" spans="22:23" ht="24.95" customHeight="1" x14ac:dyDescent="0.25">
      <c r="V1462" s="2">
        <f>Таблица1[[#This Row],[Дата перевода]]-Таблица1[[#This Row],[Дата поступления]]</f>
        <v>0</v>
      </c>
      <c r="W1462" s="2">
        <f>Таблица1[[#This Row],[Дата поступления]]-Таблица1[[#This Row],[Дата рождения]]</f>
        <v>0</v>
      </c>
    </row>
    <row r="1463" spans="22:23" ht="24.95" customHeight="1" x14ac:dyDescent="0.25">
      <c r="V1463" s="2">
        <f>Таблица1[[#This Row],[Дата перевода]]-Таблица1[[#This Row],[Дата поступления]]</f>
        <v>0</v>
      </c>
      <c r="W1463" s="2">
        <f>Таблица1[[#This Row],[Дата поступления]]-Таблица1[[#This Row],[Дата рождения]]</f>
        <v>0</v>
      </c>
    </row>
    <row r="1464" spans="22:23" ht="24.95" customHeight="1" x14ac:dyDescent="0.25">
      <c r="V1464" s="2">
        <f>Таблица1[[#This Row],[Дата перевода]]-Таблица1[[#This Row],[Дата поступления]]</f>
        <v>0</v>
      </c>
      <c r="W1464" s="2">
        <f>Таблица1[[#This Row],[Дата поступления]]-Таблица1[[#This Row],[Дата рождения]]</f>
        <v>0</v>
      </c>
    </row>
    <row r="1465" spans="22:23" ht="24.95" customHeight="1" x14ac:dyDescent="0.25">
      <c r="V1465" s="2">
        <f>Таблица1[[#This Row],[Дата перевода]]-Таблица1[[#This Row],[Дата поступления]]</f>
        <v>0</v>
      </c>
      <c r="W1465" s="2">
        <f>Таблица1[[#This Row],[Дата поступления]]-Таблица1[[#This Row],[Дата рождения]]</f>
        <v>0</v>
      </c>
    </row>
    <row r="1466" spans="22:23" ht="24.95" customHeight="1" x14ac:dyDescent="0.25">
      <c r="V1466" s="2">
        <f>Таблица1[[#This Row],[Дата перевода]]-Таблица1[[#This Row],[Дата поступления]]</f>
        <v>0</v>
      </c>
      <c r="W1466" s="2">
        <f>Таблица1[[#This Row],[Дата поступления]]-Таблица1[[#This Row],[Дата рождения]]</f>
        <v>0</v>
      </c>
    </row>
    <row r="1467" spans="22:23" ht="24.95" customHeight="1" x14ac:dyDescent="0.25">
      <c r="V1467" s="2">
        <f>Таблица1[[#This Row],[Дата перевода]]-Таблица1[[#This Row],[Дата поступления]]</f>
        <v>0</v>
      </c>
      <c r="W1467" s="2">
        <f>Таблица1[[#This Row],[Дата поступления]]-Таблица1[[#This Row],[Дата рождения]]</f>
        <v>0</v>
      </c>
    </row>
    <row r="1468" spans="22:23" ht="24.95" customHeight="1" x14ac:dyDescent="0.25">
      <c r="V1468" s="2">
        <f>Таблица1[[#This Row],[Дата перевода]]-Таблица1[[#This Row],[Дата поступления]]</f>
        <v>0</v>
      </c>
      <c r="W1468" s="2">
        <f>Таблица1[[#This Row],[Дата поступления]]-Таблица1[[#This Row],[Дата рождения]]</f>
        <v>0</v>
      </c>
    </row>
    <row r="1469" spans="22:23" ht="24.95" customHeight="1" x14ac:dyDescent="0.25">
      <c r="V1469" s="2">
        <f>Таблица1[[#This Row],[Дата перевода]]-Таблица1[[#This Row],[Дата поступления]]</f>
        <v>0</v>
      </c>
      <c r="W1469" s="2">
        <f>Таблица1[[#This Row],[Дата поступления]]-Таблица1[[#This Row],[Дата рождения]]</f>
        <v>0</v>
      </c>
    </row>
    <row r="1470" spans="22:23" ht="24.95" customHeight="1" x14ac:dyDescent="0.25">
      <c r="V1470" s="2">
        <f>Таблица1[[#This Row],[Дата перевода]]-Таблица1[[#This Row],[Дата поступления]]</f>
        <v>0</v>
      </c>
      <c r="W1470" s="2">
        <f>Таблица1[[#This Row],[Дата поступления]]-Таблица1[[#This Row],[Дата рождения]]</f>
        <v>0</v>
      </c>
    </row>
    <row r="1471" spans="22:23" ht="24.95" customHeight="1" x14ac:dyDescent="0.25">
      <c r="V1471" s="2">
        <f>Таблица1[[#This Row],[Дата перевода]]-Таблица1[[#This Row],[Дата поступления]]</f>
        <v>0</v>
      </c>
      <c r="W1471" s="2">
        <f>Таблица1[[#This Row],[Дата поступления]]-Таблица1[[#This Row],[Дата рождения]]</f>
        <v>0</v>
      </c>
    </row>
    <row r="1472" spans="22:23" ht="24.95" customHeight="1" x14ac:dyDescent="0.25">
      <c r="V1472" s="2">
        <f>Таблица1[[#This Row],[Дата перевода]]-Таблица1[[#This Row],[Дата поступления]]</f>
        <v>0</v>
      </c>
      <c r="W1472" s="2">
        <f>Таблица1[[#This Row],[Дата поступления]]-Таблица1[[#This Row],[Дата рождения]]</f>
        <v>0</v>
      </c>
    </row>
    <row r="1473" spans="22:23" ht="24.95" customHeight="1" x14ac:dyDescent="0.25">
      <c r="V1473" s="2">
        <f>Таблица1[[#This Row],[Дата перевода]]-Таблица1[[#This Row],[Дата поступления]]</f>
        <v>0</v>
      </c>
      <c r="W1473" s="2">
        <f>Таблица1[[#This Row],[Дата поступления]]-Таблица1[[#This Row],[Дата рождения]]</f>
        <v>0</v>
      </c>
    </row>
    <row r="1474" spans="22:23" ht="24.95" customHeight="1" x14ac:dyDescent="0.25">
      <c r="V1474" s="2">
        <f>Таблица1[[#This Row],[Дата перевода]]-Таблица1[[#This Row],[Дата поступления]]</f>
        <v>0</v>
      </c>
      <c r="W1474" s="2">
        <f>Таблица1[[#This Row],[Дата поступления]]-Таблица1[[#This Row],[Дата рождения]]</f>
        <v>0</v>
      </c>
    </row>
    <row r="1475" spans="22:23" ht="24.95" customHeight="1" x14ac:dyDescent="0.25">
      <c r="V1475" s="2">
        <f>Таблица1[[#This Row],[Дата перевода]]-Таблица1[[#This Row],[Дата поступления]]</f>
        <v>0</v>
      </c>
      <c r="W1475" s="2">
        <f>Таблица1[[#This Row],[Дата поступления]]-Таблица1[[#This Row],[Дата рождения]]</f>
        <v>0</v>
      </c>
    </row>
    <row r="1476" spans="22:23" ht="24.95" customHeight="1" x14ac:dyDescent="0.25">
      <c r="V1476" s="2">
        <f>Таблица1[[#This Row],[Дата перевода]]-Таблица1[[#This Row],[Дата поступления]]</f>
        <v>0</v>
      </c>
      <c r="W1476" s="2">
        <f>Таблица1[[#This Row],[Дата поступления]]-Таблица1[[#This Row],[Дата рождения]]</f>
        <v>0</v>
      </c>
    </row>
    <row r="1477" spans="22:23" ht="24.95" customHeight="1" x14ac:dyDescent="0.25">
      <c r="V1477" s="2">
        <f>Таблица1[[#This Row],[Дата перевода]]-Таблица1[[#This Row],[Дата поступления]]</f>
        <v>0</v>
      </c>
      <c r="W1477" s="2">
        <f>Таблица1[[#This Row],[Дата поступления]]-Таблица1[[#This Row],[Дата рождения]]</f>
        <v>0</v>
      </c>
    </row>
    <row r="1478" spans="22:23" ht="24.95" customHeight="1" x14ac:dyDescent="0.25">
      <c r="V1478" s="2">
        <f>Таблица1[[#This Row],[Дата перевода]]-Таблица1[[#This Row],[Дата поступления]]</f>
        <v>0</v>
      </c>
      <c r="W1478" s="2">
        <f>Таблица1[[#This Row],[Дата поступления]]-Таблица1[[#This Row],[Дата рождения]]</f>
        <v>0</v>
      </c>
    </row>
    <row r="1479" spans="22:23" ht="24.95" customHeight="1" x14ac:dyDescent="0.25">
      <c r="V1479" s="2">
        <f>Таблица1[[#This Row],[Дата перевода]]-Таблица1[[#This Row],[Дата поступления]]</f>
        <v>0</v>
      </c>
      <c r="W1479" s="2">
        <f>Таблица1[[#This Row],[Дата поступления]]-Таблица1[[#This Row],[Дата рождения]]</f>
        <v>0</v>
      </c>
    </row>
    <row r="1480" spans="22:23" ht="24.95" customHeight="1" x14ac:dyDescent="0.25">
      <c r="V1480" s="2">
        <f>Таблица1[[#This Row],[Дата перевода]]-Таблица1[[#This Row],[Дата поступления]]</f>
        <v>0</v>
      </c>
      <c r="W1480" s="2">
        <f>Таблица1[[#This Row],[Дата поступления]]-Таблица1[[#This Row],[Дата рождения]]</f>
        <v>0</v>
      </c>
    </row>
    <row r="1481" spans="22:23" ht="24.95" customHeight="1" x14ac:dyDescent="0.25">
      <c r="V1481" s="2">
        <f>Таблица1[[#This Row],[Дата перевода]]-Таблица1[[#This Row],[Дата поступления]]</f>
        <v>0</v>
      </c>
      <c r="W1481" s="2">
        <f>Таблица1[[#This Row],[Дата поступления]]-Таблица1[[#This Row],[Дата рождения]]</f>
        <v>0</v>
      </c>
    </row>
    <row r="1482" spans="22:23" ht="24.95" customHeight="1" x14ac:dyDescent="0.25">
      <c r="V1482" s="2">
        <f>Таблица1[[#This Row],[Дата перевода]]-Таблица1[[#This Row],[Дата поступления]]</f>
        <v>0</v>
      </c>
      <c r="W1482" s="2">
        <f>Таблица1[[#This Row],[Дата поступления]]-Таблица1[[#This Row],[Дата рождения]]</f>
        <v>0</v>
      </c>
    </row>
    <row r="1483" spans="22:23" ht="24.95" customHeight="1" x14ac:dyDescent="0.25">
      <c r="V1483" s="2">
        <f>Таблица1[[#This Row],[Дата перевода]]-Таблица1[[#This Row],[Дата поступления]]</f>
        <v>0</v>
      </c>
      <c r="W1483" s="2">
        <f>Таблица1[[#This Row],[Дата поступления]]-Таблица1[[#This Row],[Дата рождения]]</f>
        <v>0</v>
      </c>
    </row>
    <row r="1484" spans="22:23" ht="24.95" customHeight="1" x14ac:dyDescent="0.25">
      <c r="V1484" s="2">
        <f>Таблица1[[#This Row],[Дата перевода]]-Таблица1[[#This Row],[Дата поступления]]</f>
        <v>0</v>
      </c>
      <c r="W1484" s="2">
        <f>Таблица1[[#This Row],[Дата поступления]]-Таблица1[[#This Row],[Дата рождения]]</f>
        <v>0</v>
      </c>
    </row>
    <row r="1485" spans="22:23" ht="24.95" customHeight="1" x14ac:dyDescent="0.25">
      <c r="V1485" s="2">
        <f>Таблица1[[#This Row],[Дата перевода]]-Таблица1[[#This Row],[Дата поступления]]</f>
        <v>0</v>
      </c>
      <c r="W1485" s="2">
        <f>Таблица1[[#This Row],[Дата поступления]]-Таблица1[[#This Row],[Дата рождения]]</f>
        <v>0</v>
      </c>
    </row>
    <row r="1486" spans="22:23" ht="24.95" customHeight="1" x14ac:dyDescent="0.25">
      <c r="V1486" s="2">
        <f>Таблица1[[#This Row],[Дата перевода]]-Таблица1[[#This Row],[Дата поступления]]</f>
        <v>0</v>
      </c>
      <c r="W1486" s="2">
        <f>Таблица1[[#This Row],[Дата поступления]]-Таблица1[[#This Row],[Дата рождения]]</f>
        <v>0</v>
      </c>
    </row>
    <row r="1487" spans="22:23" ht="24.95" customHeight="1" x14ac:dyDescent="0.25">
      <c r="V1487" s="2">
        <f>Таблица1[[#This Row],[Дата перевода]]-Таблица1[[#This Row],[Дата поступления]]</f>
        <v>0</v>
      </c>
      <c r="W1487" s="2">
        <f>Таблица1[[#This Row],[Дата поступления]]-Таблица1[[#This Row],[Дата рождения]]</f>
        <v>0</v>
      </c>
    </row>
    <row r="1488" spans="22:23" ht="24.95" customHeight="1" x14ac:dyDescent="0.25">
      <c r="V1488" s="2">
        <f>Таблица1[[#This Row],[Дата перевода]]-Таблица1[[#This Row],[Дата поступления]]</f>
        <v>0</v>
      </c>
      <c r="W1488" s="2">
        <f>Таблица1[[#This Row],[Дата поступления]]-Таблица1[[#This Row],[Дата рождения]]</f>
        <v>0</v>
      </c>
    </row>
    <row r="1489" spans="22:23" ht="24.95" customHeight="1" x14ac:dyDescent="0.25">
      <c r="V1489" s="2">
        <f>Таблица1[[#This Row],[Дата перевода]]-Таблица1[[#This Row],[Дата поступления]]</f>
        <v>0</v>
      </c>
      <c r="W1489" s="2">
        <f>Таблица1[[#This Row],[Дата поступления]]-Таблица1[[#This Row],[Дата рождения]]</f>
        <v>0</v>
      </c>
    </row>
    <row r="1490" spans="22:23" ht="24.95" customHeight="1" x14ac:dyDescent="0.25">
      <c r="V1490" s="2">
        <f>Таблица1[[#This Row],[Дата перевода]]-Таблица1[[#This Row],[Дата поступления]]</f>
        <v>0</v>
      </c>
      <c r="W1490" s="2">
        <f>Таблица1[[#This Row],[Дата поступления]]-Таблица1[[#This Row],[Дата рождения]]</f>
        <v>0</v>
      </c>
    </row>
    <row r="1491" spans="22:23" ht="24.95" customHeight="1" x14ac:dyDescent="0.25">
      <c r="V1491" s="2">
        <f>Таблица1[[#This Row],[Дата перевода]]-Таблица1[[#This Row],[Дата поступления]]</f>
        <v>0</v>
      </c>
      <c r="W1491" s="2">
        <f>Таблица1[[#This Row],[Дата поступления]]-Таблица1[[#This Row],[Дата рождения]]</f>
        <v>0</v>
      </c>
    </row>
    <row r="1492" spans="22:23" ht="24.95" customHeight="1" x14ac:dyDescent="0.25">
      <c r="V1492" s="2">
        <f>Таблица1[[#This Row],[Дата перевода]]-Таблица1[[#This Row],[Дата поступления]]</f>
        <v>0</v>
      </c>
      <c r="W1492" s="2">
        <f>Таблица1[[#This Row],[Дата поступления]]-Таблица1[[#This Row],[Дата рождения]]</f>
        <v>0</v>
      </c>
    </row>
    <row r="1493" spans="22:23" ht="24.95" customHeight="1" x14ac:dyDescent="0.25">
      <c r="V1493" s="2">
        <f>Таблица1[[#This Row],[Дата перевода]]-Таблица1[[#This Row],[Дата поступления]]</f>
        <v>0</v>
      </c>
      <c r="W1493" s="2">
        <f>Таблица1[[#This Row],[Дата поступления]]-Таблица1[[#This Row],[Дата рождения]]</f>
        <v>0</v>
      </c>
    </row>
    <row r="1494" spans="22:23" ht="24.95" customHeight="1" x14ac:dyDescent="0.25">
      <c r="V1494" s="2">
        <f>Таблица1[[#This Row],[Дата перевода]]-Таблица1[[#This Row],[Дата поступления]]</f>
        <v>0</v>
      </c>
      <c r="W1494" s="2">
        <f>Таблица1[[#This Row],[Дата поступления]]-Таблица1[[#This Row],[Дата рождения]]</f>
        <v>0</v>
      </c>
    </row>
    <row r="1495" spans="22:23" ht="24.95" customHeight="1" x14ac:dyDescent="0.25">
      <c r="V1495" s="2">
        <f>Таблица1[[#This Row],[Дата перевода]]-Таблица1[[#This Row],[Дата поступления]]</f>
        <v>0</v>
      </c>
      <c r="W1495" s="2">
        <f>Таблица1[[#This Row],[Дата поступления]]-Таблица1[[#This Row],[Дата рождения]]</f>
        <v>0</v>
      </c>
    </row>
    <row r="1496" spans="22:23" ht="24.95" customHeight="1" x14ac:dyDescent="0.25">
      <c r="V1496" s="2">
        <f>Таблица1[[#This Row],[Дата перевода]]-Таблица1[[#This Row],[Дата поступления]]</f>
        <v>0</v>
      </c>
      <c r="W1496" s="2">
        <f>Таблица1[[#This Row],[Дата поступления]]-Таблица1[[#This Row],[Дата рождения]]</f>
        <v>0</v>
      </c>
    </row>
    <row r="1497" spans="22:23" ht="24.95" customHeight="1" x14ac:dyDescent="0.25">
      <c r="V1497" s="2">
        <f>Таблица1[[#This Row],[Дата перевода]]-Таблица1[[#This Row],[Дата поступления]]</f>
        <v>0</v>
      </c>
      <c r="W1497" s="2">
        <f>Таблица1[[#This Row],[Дата поступления]]-Таблица1[[#This Row],[Дата рождения]]</f>
        <v>0</v>
      </c>
    </row>
    <row r="1498" spans="22:23" ht="24.95" customHeight="1" x14ac:dyDescent="0.25">
      <c r="V1498" s="2">
        <f>Таблица1[[#This Row],[Дата перевода]]-Таблица1[[#This Row],[Дата поступления]]</f>
        <v>0</v>
      </c>
      <c r="W1498" s="2">
        <f>Таблица1[[#This Row],[Дата поступления]]-Таблица1[[#This Row],[Дата рождения]]</f>
        <v>0</v>
      </c>
    </row>
    <row r="1499" spans="22:23" ht="24.95" customHeight="1" x14ac:dyDescent="0.25">
      <c r="V1499" s="2">
        <f>Таблица1[[#This Row],[Дата перевода]]-Таблица1[[#This Row],[Дата поступления]]</f>
        <v>0</v>
      </c>
      <c r="W1499" s="2">
        <f>Таблица1[[#This Row],[Дата поступления]]-Таблица1[[#This Row],[Дата рождения]]</f>
        <v>0</v>
      </c>
    </row>
    <row r="1500" spans="22:23" ht="24.95" customHeight="1" x14ac:dyDescent="0.25">
      <c r="V1500" s="2">
        <f>Таблица1[[#This Row],[Дата перевода]]-Таблица1[[#This Row],[Дата поступления]]</f>
        <v>0</v>
      </c>
      <c r="W1500" s="2">
        <f>Таблица1[[#This Row],[Дата поступления]]-Таблица1[[#This Row],[Дата рождения]]</f>
        <v>0</v>
      </c>
    </row>
    <row r="1501" spans="22:23" ht="24.95" customHeight="1" x14ac:dyDescent="0.25">
      <c r="V1501" s="2">
        <f>Таблица1[[#This Row],[Дата перевода]]-Таблица1[[#This Row],[Дата поступления]]</f>
        <v>0</v>
      </c>
      <c r="W1501" s="2">
        <f>Таблица1[[#This Row],[Дата поступления]]-Таблица1[[#This Row],[Дата рождения]]</f>
        <v>0</v>
      </c>
    </row>
    <row r="1502" spans="22:23" ht="24.95" customHeight="1" x14ac:dyDescent="0.25">
      <c r="V1502" s="2">
        <f>Таблица1[[#This Row],[Дата перевода]]-Таблица1[[#This Row],[Дата поступления]]</f>
        <v>0</v>
      </c>
      <c r="W1502" s="2">
        <f>Таблица1[[#This Row],[Дата поступления]]-Таблица1[[#This Row],[Дата рождения]]</f>
        <v>0</v>
      </c>
    </row>
    <row r="1503" spans="22:23" ht="24.95" customHeight="1" x14ac:dyDescent="0.25">
      <c r="V1503" s="2">
        <f>Таблица1[[#This Row],[Дата перевода]]-Таблица1[[#This Row],[Дата поступления]]</f>
        <v>0</v>
      </c>
      <c r="W1503" s="2">
        <f>Таблица1[[#This Row],[Дата поступления]]-Таблица1[[#This Row],[Дата рождения]]</f>
        <v>0</v>
      </c>
    </row>
    <row r="1504" spans="22:23" ht="24.95" customHeight="1" x14ac:dyDescent="0.25">
      <c r="V1504" s="2">
        <f>Таблица1[[#This Row],[Дата перевода]]-Таблица1[[#This Row],[Дата поступления]]</f>
        <v>0</v>
      </c>
      <c r="W1504" s="2">
        <f>Таблица1[[#This Row],[Дата поступления]]-Таблица1[[#This Row],[Дата рождения]]</f>
        <v>0</v>
      </c>
    </row>
    <row r="1505" spans="22:23" ht="24.95" customHeight="1" x14ac:dyDescent="0.25">
      <c r="V1505" s="2">
        <f>Таблица1[[#This Row],[Дата перевода]]-Таблица1[[#This Row],[Дата поступления]]</f>
        <v>0</v>
      </c>
      <c r="W1505" s="2">
        <f>Таблица1[[#This Row],[Дата поступления]]-Таблица1[[#This Row],[Дата рождения]]</f>
        <v>0</v>
      </c>
    </row>
    <row r="1506" spans="22:23" ht="24.95" customHeight="1" x14ac:dyDescent="0.25">
      <c r="V1506" s="2">
        <f>Таблица1[[#This Row],[Дата перевода]]-Таблица1[[#This Row],[Дата поступления]]</f>
        <v>0</v>
      </c>
      <c r="W1506" s="2">
        <f>Таблица1[[#This Row],[Дата поступления]]-Таблица1[[#This Row],[Дата рождения]]</f>
        <v>0</v>
      </c>
    </row>
    <row r="1507" spans="22:23" ht="24.95" customHeight="1" x14ac:dyDescent="0.25">
      <c r="V1507" s="2">
        <f>Таблица1[[#This Row],[Дата перевода]]-Таблица1[[#This Row],[Дата поступления]]</f>
        <v>0</v>
      </c>
      <c r="W1507" s="2">
        <f>Таблица1[[#This Row],[Дата поступления]]-Таблица1[[#This Row],[Дата рождения]]</f>
        <v>0</v>
      </c>
    </row>
    <row r="1508" spans="22:23" ht="24.95" customHeight="1" x14ac:dyDescent="0.25">
      <c r="V1508" s="2">
        <f>Таблица1[[#This Row],[Дата перевода]]-Таблица1[[#This Row],[Дата поступления]]</f>
        <v>0</v>
      </c>
      <c r="W1508" s="2">
        <f>Таблица1[[#This Row],[Дата поступления]]-Таблица1[[#This Row],[Дата рождения]]</f>
        <v>0</v>
      </c>
    </row>
    <row r="1509" spans="22:23" ht="24.95" customHeight="1" x14ac:dyDescent="0.25">
      <c r="V1509" s="2">
        <f>Таблица1[[#This Row],[Дата перевода]]-Таблица1[[#This Row],[Дата поступления]]</f>
        <v>0</v>
      </c>
      <c r="W1509" s="2">
        <f>Таблица1[[#This Row],[Дата поступления]]-Таблица1[[#This Row],[Дата рождения]]</f>
        <v>0</v>
      </c>
    </row>
    <row r="1510" spans="22:23" ht="24.95" customHeight="1" x14ac:dyDescent="0.25">
      <c r="V1510" s="2">
        <f>Таблица1[[#This Row],[Дата перевода]]-Таблица1[[#This Row],[Дата поступления]]</f>
        <v>0</v>
      </c>
      <c r="W1510" s="2">
        <f>Таблица1[[#This Row],[Дата поступления]]-Таблица1[[#This Row],[Дата рождения]]</f>
        <v>0</v>
      </c>
    </row>
    <row r="1511" spans="22:23" ht="24.95" customHeight="1" x14ac:dyDescent="0.25">
      <c r="V1511" s="2">
        <f>Таблица1[[#This Row],[Дата перевода]]-Таблица1[[#This Row],[Дата поступления]]</f>
        <v>0</v>
      </c>
      <c r="W1511" s="2">
        <f>Таблица1[[#This Row],[Дата поступления]]-Таблица1[[#This Row],[Дата рождения]]</f>
        <v>0</v>
      </c>
    </row>
    <row r="1512" spans="22:23" ht="24.95" customHeight="1" x14ac:dyDescent="0.25">
      <c r="V1512" s="2">
        <f>Таблица1[[#This Row],[Дата перевода]]-Таблица1[[#This Row],[Дата поступления]]</f>
        <v>0</v>
      </c>
      <c r="W1512" s="2">
        <f>Таблица1[[#This Row],[Дата поступления]]-Таблица1[[#This Row],[Дата рождения]]</f>
        <v>0</v>
      </c>
    </row>
    <row r="1513" spans="22:23" ht="24.95" customHeight="1" x14ac:dyDescent="0.25">
      <c r="V1513" s="2">
        <f>Таблица1[[#This Row],[Дата перевода]]-Таблица1[[#This Row],[Дата поступления]]</f>
        <v>0</v>
      </c>
      <c r="W1513" s="2">
        <f>Таблица1[[#This Row],[Дата поступления]]-Таблица1[[#This Row],[Дата рождения]]</f>
        <v>0</v>
      </c>
    </row>
    <row r="1514" spans="22:23" ht="24.95" customHeight="1" x14ac:dyDescent="0.25">
      <c r="V1514" s="2">
        <f>Таблица1[[#This Row],[Дата перевода]]-Таблица1[[#This Row],[Дата поступления]]</f>
        <v>0</v>
      </c>
      <c r="W1514" s="2">
        <f>Таблица1[[#This Row],[Дата поступления]]-Таблица1[[#This Row],[Дата рождения]]</f>
        <v>0</v>
      </c>
    </row>
    <row r="1515" spans="22:23" ht="24.95" customHeight="1" x14ac:dyDescent="0.25">
      <c r="V1515" s="2">
        <f>Таблица1[[#This Row],[Дата перевода]]-Таблица1[[#This Row],[Дата поступления]]</f>
        <v>0</v>
      </c>
      <c r="W1515" s="2">
        <f>Таблица1[[#This Row],[Дата поступления]]-Таблица1[[#This Row],[Дата рождения]]</f>
        <v>0</v>
      </c>
    </row>
    <row r="1516" spans="22:23" ht="24.95" customHeight="1" x14ac:dyDescent="0.25">
      <c r="V1516" s="2">
        <f>Таблица1[[#This Row],[Дата перевода]]-Таблица1[[#This Row],[Дата поступления]]</f>
        <v>0</v>
      </c>
      <c r="W1516" s="2">
        <f>Таблица1[[#This Row],[Дата поступления]]-Таблица1[[#This Row],[Дата рождения]]</f>
        <v>0</v>
      </c>
    </row>
    <row r="1517" spans="22:23" ht="24.95" customHeight="1" x14ac:dyDescent="0.25">
      <c r="V1517" s="2">
        <f>Таблица1[[#This Row],[Дата перевода]]-Таблица1[[#This Row],[Дата поступления]]</f>
        <v>0</v>
      </c>
      <c r="W1517" s="2">
        <f>Таблица1[[#This Row],[Дата поступления]]-Таблица1[[#This Row],[Дата рождения]]</f>
        <v>0</v>
      </c>
    </row>
    <row r="1518" spans="22:23" ht="24.95" customHeight="1" x14ac:dyDescent="0.25">
      <c r="V1518" s="2">
        <f>Таблица1[[#This Row],[Дата перевода]]-Таблица1[[#This Row],[Дата поступления]]</f>
        <v>0</v>
      </c>
      <c r="W1518" s="2">
        <f>Таблица1[[#This Row],[Дата поступления]]-Таблица1[[#This Row],[Дата рождения]]</f>
        <v>0</v>
      </c>
    </row>
    <row r="1519" spans="22:23" ht="24.95" customHeight="1" x14ac:dyDescent="0.25">
      <c r="V1519" s="2">
        <f>Таблица1[[#This Row],[Дата перевода]]-Таблица1[[#This Row],[Дата поступления]]</f>
        <v>0</v>
      </c>
      <c r="W1519" s="2">
        <f>Таблица1[[#This Row],[Дата поступления]]-Таблица1[[#This Row],[Дата рождения]]</f>
        <v>0</v>
      </c>
    </row>
    <row r="1520" spans="22:23" ht="24.95" customHeight="1" x14ac:dyDescent="0.25">
      <c r="V1520" s="2">
        <f>Таблица1[[#This Row],[Дата перевода]]-Таблица1[[#This Row],[Дата поступления]]</f>
        <v>0</v>
      </c>
      <c r="W1520" s="2">
        <f>Таблица1[[#This Row],[Дата поступления]]-Таблица1[[#This Row],[Дата рождения]]</f>
        <v>0</v>
      </c>
    </row>
    <row r="1521" spans="22:23" ht="24.95" customHeight="1" x14ac:dyDescent="0.25">
      <c r="V1521" s="2">
        <f>Таблица1[[#This Row],[Дата перевода]]-Таблица1[[#This Row],[Дата поступления]]</f>
        <v>0</v>
      </c>
      <c r="W1521" s="2">
        <f>Таблица1[[#This Row],[Дата поступления]]-Таблица1[[#This Row],[Дата рождения]]</f>
        <v>0</v>
      </c>
    </row>
    <row r="1522" spans="22:23" ht="24.95" customHeight="1" x14ac:dyDescent="0.25">
      <c r="V1522" s="2">
        <f>Таблица1[[#This Row],[Дата перевода]]-Таблица1[[#This Row],[Дата поступления]]</f>
        <v>0</v>
      </c>
      <c r="W1522" s="2">
        <f>Таблица1[[#This Row],[Дата поступления]]-Таблица1[[#This Row],[Дата рождения]]</f>
        <v>0</v>
      </c>
    </row>
    <row r="1523" spans="22:23" ht="24.95" customHeight="1" x14ac:dyDescent="0.25">
      <c r="V1523" s="2">
        <f>Таблица1[[#This Row],[Дата перевода]]-Таблица1[[#This Row],[Дата поступления]]</f>
        <v>0</v>
      </c>
      <c r="W1523" s="2">
        <f>Таблица1[[#This Row],[Дата поступления]]-Таблица1[[#This Row],[Дата рождения]]</f>
        <v>0</v>
      </c>
    </row>
    <row r="1524" spans="22:23" ht="24.95" customHeight="1" x14ac:dyDescent="0.25">
      <c r="V1524" s="2">
        <f>Таблица1[[#This Row],[Дата перевода]]-Таблица1[[#This Row],[Дата поступления]]</f>
        <v>0</v>
      </c>
      <c r="W1524" s="2">
        <f>Таблица1[[#This Row],[Дата поступления]]-Таблица1[[#This Row],[Дата рождения]]</f>
        <v>0</v>
      </c>
    </row>
    <row r="1525" spans="22:23" ht="24.95" customHeight="1" x14ac:dyDescent="0.25">
      <c r="V1525" s="2">
        <f>Таблица1[[#This Row],[Дата перевода]]-Таблица1[[#This Row],[Дата поступления]]</f>
        <v>0</v>
      </c>
      <c r="W1525" s="2">
        <f>Таблица1[[#This Row],[Дата поступления]]-Таблица1[[#This Row],[Дата рождения]]</f>
        <v>0</v>
      </c>
    </row>
    <row r="1526" spans="22:23" ht="24.95" customHeight="1" x14ac:dyDescent="0.25">
      <c r="V1526" s="2">
        <f>Таблица1[[#This Row],[Дата перевода]]-Таблица1[[#This Row],[Дата поступления]]</f>
        <v>0</v>
      </c>
      <c r="W1526" s="2">
        <f>Таблица1[[#This Row],[Дата поступления]]-Таблица1[[#This Row],[Дата рождения]]</f>
        <v>0</v>
      </c>
    </row>
    <row r="1527" spans="22:23" ht="24.95" customHeight="1" x14ac:dyDescent="0.25">
      <c r="V1527" s="2">
        <f>Таблица1[[#This Row],[Дата перевода]]-Таблица1[[#This Row],[Дата поступления]]</f>
        <v>0</v>
      </c>
      <c r="W1527" s="2">
        <f>Таблица1[[#This Row],[Дата поступления]]-Таблица1[[#This Row],[Дата рождения]]</f>
        <v>0</v>
      </c>
    </row>
    <row r="1528" spans="22:23" ht="24.95" customHeight="1" x14ac:dyDescent="0.25">
      <c r="V1528" s="2">
        <f>Таблица1[[#This Row],[Дата перевода]]-Таблица1[[#This Row],[Дата поступления]]</f>
        <v>0</v>
      </c>
      <c r="W1528" s="2">
        <f>Таблица1[[#This Row],[Дата поступления]]-Таблица1[[#This Row],[Дата рождения]]</f>
        <v>0</v>
      </c>
    </row>
    <row r="1529" spans="22:23" ht="24.95" customHeight="1" x14ac:dyDescent="0.25">
      <c r="V1529" s="2">
        <f>Таблица1[[#This Row],[Дата перевода]]-Таблица1[[#This Row],[Дата поступления]]</f>
        <v>0</v>
      </c>
      <c r="W1529" s="2">
        <f>Таблица1[[#This Row],[Дата поступления]]-Таблица1[[#This Row],[Дата рождения]]</f>
        <v>0</v>
      </c>
    </row>
    <row r="1530" spans="22:23" ht="24.95" customHeight="1" x14ac:dyDescent="0.25">
      <c r="V1530" s="2">
        <f>Таблица1[[#This Row],[Дата перевода]]-Таблица1[[#This Row],[Дата поступления]]</f>
        <v>0</v>
      </c>
      <c r="W1530" s="2">
        <f>Таблица1[[#This Row],[Дата поступления]]-Таблица1[[#This Row],[Дата рождения]]</f>
        <v>0</v>
      </c>
    </row>
    <row r="1531" spans="22:23" ht="24.95" customHeight="1" x14ac:dyDescent="0.25">
      <c r="V1531" s="2">
        <f>Таблица1[[#This Row],[Дата перевода]]-Таблица1[[#This Row],[Дата поступления]]</f>
        <v>0</v>
      </c>
      <c r="W1531" s="2">
        <f>Таблица1[[#This Row],[Дата поступления]]-Таблица1[[#This Row],[Дата рождения]]</f>
        <v>0</v>
      </c>
    </row>
    <row r="1532" spans="22:23" ht="24.95" customHeight="1" x14ac:dyDescent="0.25">
      <c r="V1532" s="2">
        <f>Таблица1[[#This Row],[Дата перевода]]-Таблица1[[#This Row],[Дата поступления]]</f>
        <v>0</v>
      </c>
      <c r="W1532" s="2">
        <f>Таблица1[[#This Row],[Дата поступления]]-Таблица1[[#This Row],[Дата рождения]]</f>
        <v>0</v>
      </c>
    </row>
    <row r="1533" spans="22:23" ht="24.95" customHeight="1" x14ac:dyDescent="0.25">
      <c r="V1533" s="2">
        <f>Таблица1[[#This Row],[Дата перевода]]-Таблица1[[#This Row],[Дата поступления]]</f>
        <v>0</v>
      </c>
      <c r="W1533" s="2">
        <f>Таблица1[[#This Row],[Дата поступления]]-Таблица1[[#This Row],[Дата рождения]]</f>
        <v>0</v>
      </c>
    </row>
    <row r="1534" spans="22:23" ht="24.95" customHeight="1" x14ac:dyDescent="0.25">
      <c r="V1534" s="2">
        <f>Таблица1[[#This Row],[Дата перевода]]-Таблица1[[#This Row],[Дата поступления]]</f>
        <v>0</v>
      </c>
      <c r="W1534" s="2">
        <f>Таблица1[[#This Row],[Дата поступления]]-Таблица1[[#This Row],[Дата рождения]]</f>
        <v>0</v>
      </c>
    </row>
    <row r="1535" spans="22:23" ht="24.95" customHeight="1" x14ac:dyDescent="0.25">
      <c r="V1535" s="2">
        <f>Таблица1[[#This Row],[Дата перевода]]-Таблица1[[#This Row],[Дата поступления]]</f>
        <v>0</v>
      </c>
      <c r="W1535" s="2">
        <f>Таблица1[[#This Row],[Дата поступления]]-Таблица1[[#This Row],[Дата рождения]]</f>
        <v>0</v>
      </c>
    </row>
    <row r="1536" spans="22:23" ht="24.95" customHeight="1" x14ac:dyDescent="0.25">
      <c r="V1536" s="2">
        <f>Таблица1[[#This Row],[Дата перевода]]-Таблица1[[#This Row],[Дата поступления]]</f>
        <v>0</v>
      </c>
      <c r="W1536" s="2">
        <f>Таблица1[[#This Row],[Дата поступления]]-Таблица1[[#This Row],[Дата рождения]]</f>
        <v>0</v>
      </c>
    </row>
    <row r="1537" spans="22:23" ht="24.95" customHeight="1" x14ac:dyDescent="0.25">
      <c r="V1537" s="2">
        <f>Таблица1[[#This Row],[Дата перевода]]-Таблица1[[#This Row],[Дата поступления]]</f>
        <v>0</v>
      </c>
      <c r="W1537" s="2">
        <f>Таблица1[[#This Row],[Дата поступления]]-Таблица1[[#This Row],[Дата рождения]]</f>
        <v>0</v>
      </c>
    </row>
    <row r="1538" spans="22:23" ht="24.95" customHeight="1" x14ac:dyDescent="0.25">
      <c r="V1538" s="2">
        <f>Таблица1[[#This Row],[Дата перевода]]-Таблица1[[#This Row],[Дата поступления]]</f>
        <v>0</v>
      </c>
      <c r="W1538" s="2">
        <f>Таблица1[[#This Row],[Дата поступления]]-Таблица1[[#This Row],[Дата рождения]]</f>
        <v>0</v>
      </c>
    </row>
    <row r="1539" spans="22:23" ht="24.95" customHeight="1" x14ac:dyDescent="0.25">
      <c r="V1539" s="2">
        <f>Таблица1[[#This Row],[Дата перевода]]-Таблица1[[#This Row],[Дата поступления]]</f>
        <v>0</v>
      </c>
      <c r="W1539" s="2">
        <f>Таблица1[[#This Row],[Дата поступления]]-Таблица1[[#This Row],[Дата рождения]]</f>
        <v>0</v>
      </c>
    </row>
    <row r="1540" spans="22:23" ht="24.95" customHeight="1" x14ac:dyDescent="0.25">
      <c r="V1540" s="2">
        <f>Таблица1[[#This Row],[Дата перевода]]-Таблица1[[#This Row],[Дата поступления]]</f>
        <v>0</v>
      </c>
      <c r="W1540" s="2">
        <f>Таблица1[[#This Row],[Дата поступления]]-Таблица1[[#This Row],[Дата рождения]]</f>
        <v>0</v>
      </c>
    </row>
    <row r="1541" spans="22:23" ht="24.95" customHeight="1" x14ac:dyDescent="0.25">
      <c r="V1541" s="2">
        <f>Таблица1[[#This Row],[Дата перевода]]-Таблица1[[#This Row],[Дата поступления]]</f>
        <v>0</v>
      </c>
      <c r="W1541" s="2">
        <f>Таблица1[[#This Row],[Дата поступления]]-Таблица1[[#This Row],[Дата рождения]]</f>
        <v>0</v>
      </c>
    </row>
    <row r="1542" spans="22:23" ht="24.95" customHeight="1" x14ac:dyDescent="0.25">
      <c r="V1542" s="2">
        <f>Таблица1[[#This Row],[Дата перевода]]-Таблица1[[#This Row],[Дата поступления]]</f>
        <v>0</v>
      </c>
      <c r="W1542" s="2">
        <f>Таблица1[[#This Row],[Дата поступления]]-Таблица1[[#This Row],[Дата рождения]]</f>
        <v>0</v>
      </c>
    </row>
    <row r="1543" spans="22:23" ht="24.95" customHeight="1" x14ac:dyDescent="0.25">
      <c r="V1543" s="2">
        <f>Таблица1[[#This Row],[Дата перевода]]-Таблица1[[#This Row],[Дата поступления]]</f>
        <v>0</v>
      </c>
      <c r="W1543" s="2">
        <f>Таблица1[[#This Row],[Дата поступления]]-Таблица1[[#This Row],[Дата рождения]]</f>
        <v>0</v>
      </c>
    </row>
    <row r="1544" spans="22:23" ht="24.95" customHeight="1" x14ac:dyDescent="0.25">
      <c r="V1544" s="2">
        <f>Таблица1[[#This Row],[Дата перевода]]-Таблица1[[#This Row],[Дата поступления]]</f>
        <v>0</v>
      </c>
      <c r="W1544" s="2">
        <f>Таблица1[[#This Row],[Дата поступления]]-Таблица1[[#This Row],[Дата рождения]]</f>
        <v>0</v>
      </c>
    </row>
    <row r="1545" spans="22:23" ht="24.95" customHeight="1" x14ac:dyDescent="0.25">
      <c r="V1545" s="2">
        <f>Таблица1[[#This Row],[Дата перевода]]-Таблица1[[#This Row],[Дата поступления]]</f>
        <v>0</v>
      </c>
      <c r="W1545" s="2">
        <f>Таблица1[[#This Row],[Дата поступления]]-Таблица1[[#This Row],[Дата рождения]]</f>
        <v>0</v>
      </c>
    </row>
    <row r="1546" spans="22:23" ht="24.95" customHeight="1" x14ac:dyDescent="0.25">
      <c r="V1546" s="2">
        <f>Таблица1[[#This Row],[Дата перевода]]-Таблица1[[#This Row],[Дата поступления]]</f>
        <v>0</v>
      </c>
      <c r="W1546" s="2">
        <f>Таблица1[[#This Row],[Дата поступления]]-Таблица1[[#This Row],[Дата рождения]]</f>
        <v>0</v>
      </c>
    </row>
    <row r="1547" spans="22:23" ht="24.95" customHeight="1" x14ac:dyDescent="0.25">
      <c r="V1547" s="2">
        <f>Таблица1[[#This Row],[Дата перевода]]-Таблица1[[#This Row],[Дата поступления]]</f>
        <v>0</v>
      </c>
      <c r="W1547" s="2">
        <f>Таблица1[[#This Row],[Дата поступления]]-Таблица1[[#This Row],[Дата рождения]]</f>
        <v>0</v>
      </c>
    </row>
    <row r="1548" spans="22:23" ht="24.95" customHeight="1" x14ac:dyDescent="0.25">
      <c r="V1548" s="2">
        <f>Таблица1[[#This Row],[Дата перевода]]-Таблица1[[#This Row],[Дата поступления]]</f>
        <v>0</v>
      </c>
      <c r="W1548" s="2">
        <f>Таблица1[[#This Row],[Дата поступления]]-Таблица1[[#This Row],[Дата рождения]]</f>
        <v>0</v>
      </c>
    </row>
    <row r="1549" spans="22:23" ht="24.95" customHeight="1" x14ac:dyDescent="0.25">
      <c r="V1549" s="2">
        <f>Таблица1[[#This Row],[Дата перевода]]-Таблица1[[#This Row],[Дата поступления]]</f>
        <v>0</v>
      </c>
      <c r="W1549" s="2">
        <f>Таблица1[[#This Row],[Дата поступления]]-Таблица1[[#This Row],[Дата рождения]]</f>
        <v>0</v>
      </c>
    </row>
    <row r="1550" spans="22:23" ht="24.95" customHeight="1" x14ac:dyDescent="0.25">
      <c r="V1550" s="2">
        <f>Таблица1[[#This Row],[Дата перевода]]-Таблица1[[#This Row],[Дата поступления]]</f>
        <v>0</v>
      </c>
      <c r="W1550" s="2">
        <f>Таблица1[[#This Row],[Дата поступления]]-Таблица1[[#This Row],[Дата рождения]]</f>
        <v>0</v>
      </c>
    </row>
    <row r="1551" spans="22:23" ht="24.95" customHeight="1" x14ac:dyDescent="0.25">
      <c r="V1551" s="2">
        <f>Таблица1[[#This Row],[Дата перевода]]-Таблица1[[#This Row],[Дата поступления]]</f>
        <v>0</v>
      </c>
      <c r="W1551" s="2">
        <f>Таблица1[[#This Row],[Дата поступления]]-Таблица1[[#This Row],[Дата рождения]]</f>
        <v>0</v>
      </c>
    </row>
    <row r="1552" spans="22:23" ht="24.95" customHeight="1" x14ac:dyDescent="0.25">
      <c r="V1552" s="2">
        <f>Таблица1[[#This Row],[Дата перевода]]-Таблица1[[#This Row],[Дата поступления]]</f>
        <v>0</v>
      </c>
      <c r="W1552" s="2">
        <f>Таблица1[[#This Row],[Дата поступления]]-Таблица1[[#This Row],[Дата рождения]]</f>
        <v>0</v>
      </c>
    </row>
    <row r="1553" spans="22:23" ht="24.95" customHeight="1" x14ac:dyDescent="0.25">
      <c r="V1553" s="2">
        <f>Таблица1[[#This Row],[Дата перевода]]-Таблица1[[#This Row],[Дата поступления]]</f>
        <v>0</v>
      </c>
      <c r="W1553" s="2">
        <f>Таблица1[[#This Row],[Дата поступления]]-Таблица1[[#This Row],[Дата рождения]]</f>
        <v>0</v>
      </c>
    </row>
    <row r="1554" spans="22:23" ht="24.95" customHeight="1" x14ac:dyDescent="0.25">
      <c r="V1554" s="2">
        <f>Таблица1[[#This Row],[Дата перевода]]-Таблица1[[#This Row],[Дата поступления]]</f>
        <v>0</v>
      </c>
      <c r="W1554" s="2">
        <f>Таблица1[[#This Row],[Дата поступления]]-Таблица1[[#This Row],[Дата рождения]]</f>
        <v>0</v>
      </c>
    </row>
    <row r="1555" spans="22:23" ht="24.95" customHeight="1" x14ac:dyDescent="0.25">
      <c r="V1555" s="2">
        <f>Таблица1[[#This Row],[Дата перевода]]-Таблица1[[#This Row],[Дата поступления]]</f>
        <v>0</v>
      </c>
      <c r="W1555" s="2">
        <f>Таблица1[[#This Row],[Дата поступления]]-Таблица1[[#This Row],[Дата рождения]]</f>
        <v>0</v>
      </c>
    </row>
    <row r="1556" spans="22:23" ht="24.95" customHeight="1" x14ac:dyDescent="0.25">
      <c r="V1556" s="2">
        <f>Таблица1[[#This Row],[Дата перевода]]-Таблица1[[#This Row],[Дата поступления]]</f>
        <v>0</v>
      </c>
      <c r="W1556" s="2">
        <f>Таблица1[[#This Row],[Дата поступления]]-Таблица1[[#This Row],[Дата рождения]]</f>
        <v>0</v>
      </c>
    </row>
    <row r="1557" spans="22:23" ht="24.95" customHeight="1" x14ac:dyDescent="0.25">
      <c r="V1557" s="2">
        <f>Таблица1[[#This Row],[Дата перевода]]-Таблица1[[#This Row],[Дата поступления]]</f>
        <v>0</v>
      </c>
      <c r="W1557" s="2">
        <f>Таблица1[[#This Row],[Дата поступления]]-Таблица1[[#This Row],[Дата рождения]]</f>
        <v>0</v>
      </c>
    </row>
    <row r="1558" spans="22:23" ht="24.95" customHeight="1" x14ac:dyDescent="0.25">
      <c r="V1558" s="2">
        <f>Таблица1[[#This Row],[Дата перевода]]-Таблица1[[#This Row],[Дата поступления]]</f>
        <v>0</v>
      </c>
      <c r="W1558" s="2">
        <f>Таблица1[[#This Row],[Дата поступления]]-Таблица1[[#This Row],[Дата рождения]]</f>
        <v>0</v>
      </c>
    </row>
    <row r="1559" spans="22:23" ht="24.95" customHeight="1" x14ac:dyDescent="0.25">
      <c r="V1559" s="2">
        <f>Таблица1[[#This Row],[Дата перевода]]-Таблица1[[#This Row],[Дата поступления]]</f>
        <v>0</v>
      </c>
      <c r="W1559" s="2">
        <f>Таблица1[[#This Row],[Дата поступления]]-Таблица1[[#This Row],[Дата рождения]]</f>
        <v>0</v>
      </c>
    </row>
    <row r="1560" spans="22:23" ht="24.95" customHeight="1" x14ac:dyDescent="0.25">
      <c r="V1560" s="2">
        <f>Таблица1[[#This Row],[Дата перевода]]-Таблица1[[#This Row],[Дата поступления]]</f>
        <v>0</v>
      </c>
      <c r="W1560" s="2">
        <f>Таблица1[[#This Row],[Дата поступления]]-Таблица1[[#This Row],[Дата рождения]]</f>
        <v>0</v>
      </c>
    </row>
    <row r="1561" spans="22:23" ht="24.95" customHeight="1" x14ac:dyDescent="0.25">
      <c r="V1561" s="2">
        <f>Таблица1[[#This Row],[Дата перевода]]-Таблица1[[#This Row],[Дата поступления]]</f>
        <v>0</v>
      </c>
      <c r="W1561" s="2">
        <f>Таблица1[[#This Row],[Дата поступления]]-Таблица1[[#This Row],[Дата рождения]]</f>
        <v>0</v>
      </c>
    </row>
    <row r="1562" spans="22:23" ht="24.95" customHeight="1" x14ac:dyDescent="0.25">
      <c r="V1562" s="2">
        <f>Таблица1[[#This Row],[Дата перевода]]-Таблица1[[#This Row],[Дата поступления]]</f>
        <v>0</v>
      </c>
      <c r="W1562" s="2">
        <f>Таблица1[[#This Row],[Дата поступления]]-Таблица1[[#This Row],[Дата рождения]]</f>
        <v>0</v>
      </c>
    </row>
    <row r="1563" spans="22:23" ht="24.95" customHeight="1" x14ac:dyDescent="0.25">
      <c r="V1563" s="2">
        <f>Таблица1[[#This Row],[Дата перевода]]-Таблица1[[#This Row],[Дата поступления]]</f>
        <v>0</v>
      </c>
      <c r="W1563" s="2">
        <f>Таблица1[[#This Row],[Дата поступления]]-Таблица1[[#This Row],[Дата рождения]]</f>
        <v>0</v>
      </c>
    </row>
    <row r="1564" spans="22:23" ht="24.95" customHeight="1" x14ac:dyDescent="0.25">
      <c r="V1564" s="2">
        <f>Таблица1[[#This Row],[Дата перевода]]-Таблица1[[#This Row],[Дата поступления]]</f>
        <v>0</v>
      </c>
      <c r="W1564" s="2">
        <f>Таблица1[[#This Row],[Дата поступления]]-Таблица1[[#This Row],[Дата рождения]]</f>
        <v>0</v>
      </c>
    </row>
    <row r="1565" spans="22:23" ht="24.95" customHeight="1" x14ac:dyDescent="0.25">
      <c r="V1565" s="2">
        <f>Таблица1[[#This Row],[Дата перевода]]-Таблица1[[#This Row],[Дата поступления]]</f>
        <v>0</v>
      </c>
      <c r="W1565" s="2">
        <f>Таблица1[[#This Row],[Дата поступления]]-Таблица1[[#This Row],[Дата рождения]]</f>
        <v>0</v>
      </c>
    </row>
    <row r="1566" spans="22:23" ht="24.95" customHeight="1" x14ac:dyDescent="0.25">
      <c r="V1566" s="2">
        <f>Таблица1[[#This Row],[Дата перевода]]-Таблица1[[#This Row],[Дата поступления]]</f>
        <v>0</v>
      </c>
      <c r="W1566" s="2">
        <f>Таблица1[[#This Row],[Дата поступления]]-Таблица1[[#This Row],[Дата рождения]]</f>
        <v>0</v>
      </c>
    </row>
    <row r="1567" spans="22:23" ht="24.95" customHeight="1" x14ac:dyDescent="0.25">
      <c r="V1567" s="2">
        <f>Таблица1[[#This Row],[Дата перевода]]-Таблица1[[#This Row],[Дата поступления]]</f>
        <v>0</v>
      </c>
      <c r="W1567" s="2">
        <f>Таблица1[[#This Row],[Дата поступления]]-Таблица1[[#This Row],[Дата рождения]]</f>
        <v>0</v>
      </c>
    </row>
    <row r="1568" spans="22:23" ht="24.95" customHeight="1" x14ac:dyDescent="0.25">
      <c r="V1568" s="2">
        <f>Таблица1[[#This Row],[Дата перевода]]-Таблица1[[#This Row],[Дата поступления]]</f>
        <v>0</v>
      </c>
      <c r="W1568" s="2">
        <f>Таблица1[[#This Row],[Дата поступления]]-Таблица1[[#This Row],[Дата рождения]]</f>
        <v>0</v>
      </c>
    </row>
    <row r="1569" spans="22:23" ht="24.95" customHeight="1" x14ac:dyDescent="0.25">
      <c r="V1569" s="2">
        <f>Таблица1[[#This Row],[Дата перевода]]-Таблица1[[#This Row],[Дата поступления]]</f>
        <v>0</v>
      </c>
      <c r="W1569" s="2">
        <f>Таблица1[[#This Row],[Дата поступления]]-Таблица1[[#This Row],[Дата рождения]]</f>
        <v>0</v>
      </c>
    </row>
    <row r="1570" spans="22:23" ht="24.95" customHeight="1" x14ac:dyDescent="0.25">
      <c r="V1570" s="2">
        <f>Таблица1[[#This Row],[Дата перевода]]-Таблица1[[#This Row],[Дата поступления]]</f>
        <v>0</v>
      </c>
      <c r="W1570" s="2">
        <f>Таблица1[[#This Row],[Дата поступления]]-Таблица1[[#This Row],[Дата рождения]]</f>
        <v>0</v>
      </c>
    </row>
    <row r="1571" spans="22:23" ht="24.95" customHeight="1" x14ac:dyDescent="0.25">
      <c r="V1571" s="2">
        <f>Таблица1[[#This Row],[Дата перевода]]-Таблица1[[#This Row],[Дата поступления]]</f>
        <v>0</v>
      </c>
      <c r="W1571" s="2">
        <f>Таблица1[[#This Row],[Дата поступления]]-Таблица1[[#This Row],[Дата рождения]]</f>
        <v>0</v>
      </c>
    </row>
    <row r="1572" spans="22:23" ht="24.95" customHeight="1" x14ac:dyDescent="0.25">
      <c r="V1572" s="2">
        <f>Таблица1[[#This Row],[Дата перевода]]-Таблица1[[#This Row],[Дата поступления]]</f>
        <v>0</v>
      </c>
      <c r="W1572" s="2">
        <f>Таблица1[[#This Row],[Дата поступления]]-Таблица1[[#This Row],[Дата рождения]]</f>
        <v>0</v>
      </c>
    </row>
    <row r="1573" spans="22:23" ht="24.95" customHeight="1" x14ac:dyDescent="0.25">
      <c r="V1573" s="2">
        <f>Таблица1[[#This Row],[Дата перевода]]-Таблица1[[#This Row],[Дата поступления]]</f>
        <v>0</v>
      </c>
      <c r="W1573" s="2">
        <f>Таблица1[[#This Row],[Дата поступления]]-Таблица1[[#This Row],[Дата рождения]]</f>
        <v>0</v>
      </c>
    </row>
    <row r="1574" spans="22:23" ht="24.95" customHeight="1" x14ac:dyDescent="0.25">
      <c r="V1574" s="2">
        <f>Таблица1[[#This Row],[Дата перевода]]-Таблица1[[#This Row],[Дата поступления]]</f>
        <v>0</v>
      </c>
      <c r="W1574" s="2">
        <f>Таблица1[[#This Row],[Дата поступления]]-Таблица1[[#This Row],[Дата рождения]]</f>
        <v>0</v>
      </c>
    </row>
    <row r="1575" spans="22:23" ht="24.95" customHeight="1" x14ac:dyDescent="0.25">
      <c r="V1575" s="2">
        <f>Таблица1[[#This Row],[Дата перевода]]-Таблица1[[#This Row],[Дата поступления]]</f>
        <v>0</v>
      </c>
      <c r="W1575" s="2">
        <f>Таблица1[[#This Row],[Дата поступления]]-Таблица1[[#This Row],[Дата рождения]]</f>
        <v>0</v>
      </c>
    </row>
    <row r="1576" spans="22:23" ht="24.95" customHeight="1" x14ac:dyDescent="0.25">
      <c r="V1576" s="2">
        <f>Таблица1[[#This Row],[Дата перевода]]-Таблица1[[#This Row],[Дата поступления]]</f>
        <v>0</v>
      </c>
      <c r="W1576" s="2">
        <f>Таблица1[[#This Row],[Дата поступления]]-Таблица1[[#This Row],[Дата рождения]]</f>
        <v>0</v>
      </c>
    </row>
    <row r="1577" spans="22:23" ht="24.95" customHeight="1" x14ac:dyDescent="0.25">
      <c r="V1577" s="2">
        <f>Таблица1[[#This Row],[Дата перевода]]-Таблица1[[#This Row],[Дата поступления]]</f>
        <v>0</v>
      </c>
      <c r="W1577" s="2">
        <f>Таблица1[[#This Row],[Дата поступления]]-Таблица1[[#This Row],[Дата рождения]]</f>
        <v>0</v>
      </c>
    </row>
    <row r="1578" spans="22:23" ht="24.95" customHeight="1" x14ac:dyDescent="0.25">
      <c r="V1578" s="2">
        <f>Таблица1[[#This Row],[Дата перевода]]-Таблица1[[#This Row],[Дата поступления]]</f>
        <v>0</v>
      </c>
      <c r="W1578" s="2">
        <f>Таблица1[[#This Row],[Дата поступления]]-Таблица1[[#This Row],[Дата рождения]]</f>
        <v>0</v>
      </c>
    </row>
    <row r="1579" spans="22:23" ht="24.95" customHeight="1" x14ac:dyDescent="0.25">
      <c r="V1579" s="2">
        <f>Таблица1[[#This Row],[Дата перевода]]-Таблица1[[#This Row],[Дата поступления]]</f>
        <v>0</v>
      </c>
      <c r="W1579" s="2">
        <f>Таблица1[[#This Row],[Дата поступления]]-Таблица1[[#This Row],[Дата рождения]]</f>
        <v>0</v>
      </c>
    </row>
    <row r="1580" spans="22:23" ht="24.95" customHeight="1" x14ac:dyDescent="0.25">
      <c r="V1580" s="2">
        <f>Таблица1[[#This Row],[Дата перевода]]-Таблица1[[#This Row],[Дата поступления]]</f>
        <v>0</v>
      </c>
      <c r="W1580" s="2">
        <f>Таблица1[[#This Row],[Дата поступления]]-Таблица1[[#This Row],[Дата рождения]]</f>
        <v>0</v>
      </c>
    </row>
    <row r="1581" spans="22:23" ht="24.95" customHeight="1" x14ac:dyDescent="0.25">
      <c r="V1581" s="2">
        <f>Таблица1[[#This Row],[Дата перевода]]-Таблица1[[#This Row],[Дата поступления]]</f>
        <v>0</v>
      </c>
      <c r="W1581" s="2">
        <f>Таблица1[[#This Row],[Дата поступления]]-Таблица1[[#This Row],[Дата рождения]]</f>
        <v>0</v>
      </c>
    </row>
    <row r="1582" spans="22:23" ht="24.95" customHeight="1" x14ac:dyDescent="0.25">
      <c r="V1582" s="2">
        <f>Таблица1[[#This Row],[Дата перевода]]-Таблица1[[#This Row],[Дата поступления]]</f>
        <v>0</v>
      </c>
      <c r="W1582" s="2">
        <f>Таблица1[[#This Row],[Дата поступления]]-Таблица1[[#This Row],[Дата рождения]]</f>
        <v>0</v>
      </c>
    </row>
    <row r="1583" spans="22:23" ht="24.95" customHeight="1" x14ac:dyDescent="0.25">
      <c r="V1583" s="2">
        <f>Таблица1[[#This Row],[Дата перевода]]-Таблица1[[#This Row],[Дата поступления]]</f>
        <v>0</v>
      </c>
      <c r="W1583" s="2">
        <f>Таблица1[[#This Row],[Дата поступления]]-Таблица1[[#This Row],[Дата рождения]]</f>
        <v>0</v>
      </c>
    </row>
    <row r="1584" spans="22:23" ht="24.95" customHeight="1" x14ac:dyDescent="0.25">
      <c r="V1584" s="2">
        <f>Таблица1[[#This Row],[Дата перевода]]-Таблица1[[#This Row],[Дата поступления]]</f>
        <v>0</v>
      </c>
      <c r="W1584" s="2">
        <f>Таблица1[[#This Row],[Дата поступления]]-Таблица1[[#This Row],[Дата рождения]]</f>
        <v>0</v>
      </c>
    </row>
    <row r="1585" spans="22:23" ht="24.95" customHeight="1" x14ac:dyDescent="0.25">
      <c r="V1585" s="2">
        <f>Таблица1[[#This Row],[Дата перевода]]-Таблица1[[#This Row],[Дата поступления]]</f>
        <v>0</v>
      </c>
      <c r="W1585" s="2">
        <f>Таблица1[[#This Row],[Дата поступления]]-Таблица1[[#This Row],[Дата рождения]]</f>
        <v>0</v>
      </c>
    </row>
    <row r="1586" spans="22:23" ht="24.95" customHeight="1" x14ac:dyDescent="0.25">
      <c r="V1586" s="2">
        <f>Таблица1[[#This Row],[Дата перевода]]-Таблица1[[#This Row],[Дата поступления]]</f>
        <v>0</v>
      </c>
      <c r="W1586" s="2">
        <f>Таблица1[[#This Row],[Дата поступления]]-Таблица1[[#This Row],[Дата рождения]]</f>
        <v>0</v>
      </c>
    </row>
    <row r="1587" spans="22:23" ht="24.95" customHeight="1" x14ac:dyDescent="0.25">
      <c r="V1587" s="2">
        <f>Таблица1[[#This Row],[Дата перевода]]-Таблица1[[#This Row],[Дата поступления]]</f>
        <v>0</v>
      </c>
      <c r="W1587" s="2">
        <f>Таблица1[[#This Row],[Дата поступления]]-Таблица1[[#This Row],[Дата рождения]]</f>
        <v>0</v>
      </c>
    </row>
    <row r="1588" spans="22:23" ht="24.95" customHeight="1" x14ac:dyDescent="0.25">
      <c r="V1588" s="2">
        <f>Таблица1[[#This Row],[Дата перевода]]-Таблица1[[#This Row],[Дата поступления]]</f>
        <v>0</v>
      </c>
      <c r="W1588" s="2">
        <f>Таблица1[[#This Row],[Дата поступления]]-Таблица1[[#This Row],[Дата рождения]]</f>
        <v>0</v>
      </c>
    </row>
    <row r="1589" spans="22:23" ht="24.95" customHeight="1" x14ac:dyDescent="0.25">
      <c r="V1589" s="2">
        <f>Таблица1[[#This Row],[Дата перевода]]-Таблица1[[#This Row],[Дата поступления]]</f>
        <v>0</v>
      </c>
      <c r="W1589" s="2">
        <f>Таблица1[[#This Row],[Дата поступления]]-Таблица1[[#This Row],[Дата рождения]]</f>
        <v>0</v>
      </c>
    </row>
    <row r="1590" spans="22:23" ht="24.95" customHeight="1" x14ac:dyDescent="0.25">
      <c r="V1590" s="2">
        <f>Таблица1[[#This Row],[Дата перевода]]-Таблица1[[#This Row],[Дата поступления]]</f>
        <v>0</v>
      </c>
      <c r="W1590" s="2">
        <f>Таблица1[[#This Row],[Дата поступления]]-Таблица1[[#This Row],[Дата рождения]]</f>
        <v>0</v>
      </c>
    </row>
    <row r="1591" spans="22:23" ht="24.95" customHeight="1" x14ac:dyDescent="0.25">
      <c r="V1591" s="2">
        <f>Таблица1[[#This Row],[Дата перевода]]-Таблица1[[#This Row],[Дата поступления]]</f>
        <v>0</v>
      </c>
      <c r="W1591" s="2">
        <f>Таблица1[[#This Row],[Дата поступления]]-Таблица1[[#This Row],[Дата рождения]]</f>
        <v>0</v>
      </c>
    </row>
    <row r="1592" spans="22:23" ht="24.95" customHeight="1" x14ac:dyDescent="0.25">
      <c r="V1592" s="2">
        <f>Таблица1[[#This Row],[Дата перевода]]-Таблица1[[#This Row],[Дата поступления]]</f>
        <v>0</v>
      </c>
      <c r="W1592" s="2">
        <f>Таблица1[[#This Row],[Дата поступления]]-Таблица1[[#This Row],[Дата рождения]]</f>
        <v>0</v>
      </c>
    </row>
    <row r="1593" spans="22:23" ht="24.95" customHeight="1" x14ac:dyDescent="0.25">
      <c r="V1593" s="2">
        <f>Таблица1[[#This Row],[Дата перевода]]-Таблица1[[#This Row],[Дата поступления]]</f>
        <v>0</v>
      </c>
      <c r="W1593" s="2">
        <f>Таблица1[[#This Row],[Дата поступления]]-Таблица1[[#This Row],[Дата рождения]]</f>
        <v>0</v>
      </c>
    </row>
    <row r="1594" spans="22:23" ht="24.95" customHeight="1" x14ac:dyDescent="0.25">
      <c r="V1594" s="2">
        <f>Таблица1[[#This Row],[Дата перевода]]-Таблица1[[#This Row],[Дата поступления]]</f>
        <v>0</v>
      </c>
      <c r="W1594" s="2">
        <f>Таблица1[[#This Row],[Дата поступления]]-Таблица1[[#This Row],[Дата рождения]]</f>
        <v>0</v>
      </c>
    </row>
    <row r="1595" spans="22:23" ht="24.95" customHeight="1" x14ac:dyDescent="0.25">
      <c r="V1595" s="2">
        <f>Таблица1[[#This Row],[Дата перевода]]-Таблица1[[#This Row],[Дата поступления]]</f>
        <v>0</v>
      </c>
      <c r="W1595" s="2">
        <f>Таблица1[[#This Row],[Дата поступления]]-Таблица1[[#This Row],[Дата рождения]]</f>
        <v>0</v>
      </c>
    </row>
    <row r="1596" spans="22:23" ht="24.95" customHeight="1" x14ac:dyDescent="0.25">
      <c r="V1596" s="2">
        <f>Таблица1[[#This Row],[Дата перевода]]-Таблица1[[#This Row],[Дата поступления]]</f>
        <v>0</v>
      </c>
      <c r="W1596" s="2">
        <f>Таблица1[[#This Row],[Дата поступления]]-Таблица1[[#This Row],[Дата рождения]]</f>
        <v>0</v>
      </c>
    </row>
    <row r="1597" spans="22:23" ht="24.95" customHeight="1" x14ac:dyDescent="0.25">
      <c r="V1597" s="2">
        <f>Таблица1[[#This Row],[Дата перевода]]-Таблица1[[#This Row],[Дата поступления]]</f>
        <v>0</v>
      </c>
      <c r="W1597" s="2">
        <f>Таблица1[[#This Row],[Дата поступления]]-Таблица1[[#This Row],[Дата рождения]]</f>
        <v>0</v>
      </c>
    </row>
    <row r="1598" spans="22:23" ht="24.95" customHeight="1" x14ac:dyDescent="0.25">
      <c r="V1598" s="2">
        <f>Таблица1[[#This Row],[Дата перевода]]-Таблица1[[#This Row],[Дата поступления]]</f>
        <v>0</v>
      </c>
      <c r="W1598" s="2">
        <f>Таблица1[[#This Row],[Дата поступления]]-Таблица1[[#This Row],[Дата рождения]]</f>
        <v>0</v>
      </c>
    </row>
    <row r="1599" spans="22:23" ht="24.95" customHeight="1" x14ac:dyDescent="0.25">
      <c r="V1599" s="2">
        <f>Таблица1[[#This Row],[Дата перевода]]-Таблица1[[#This Row],[Дата поступления]]</f>
        <v>0</v>
      </c>
      <c r="W1599" s="2">
        <f>Таблица1[[#This Row],[Дата поступления]]-Таблица1[[#This Row],[Дата рождения]]</f>
        <v>0</v>
      </c>
    </row>
    <row r="1600" spans="22:23" ht="24.95" customHeight="1" x14ac:dyDescent="0.25">
      <c r="V1600" s="2">
        <f>Таблица1[[#This Row],[Дата перевода]]-Таблица1[[#This Row],[Дата поступления]]</f>
        <v>0</v>
      </c>
      <c r="W1600" s="2">
        <f>Таблица1[[#This Row],[Дата поступления]]-Таблица1[[#This Row],[Дата рождения]]</f>
        <v>0</v>
      </c>
    </row>
    <row r="1601" spans="22:23" ht="24.95" customHeight="1" x14ac:dyDescent="0.25">
      <c r="V1601" s="2">
        <f>Таблица1[[#This Row],[Дата перевода]]-Таблица1[[#This Row],[Дата поступления]]</f>
        <v>0</v>
      </c>
      <c r="W1601" s="2">
        <f>Таблица1[[#This Row],[Дата поступления]]-Таблица1[[#This Row],[Дата рождения]]</f>
        <v>0</v>
      </c>
    </row>
    <row r="1602" spans="22:23" ht="24.95" customHeight="1" x14ac:dyDescent="0.25">
      <c r="V1602" s="2">
        <f>Таблица1[[#This Row],[Дата перевода]]-Таблица1[[#This Row],[Дата поступления]]</f>
        <v>0</v>
      </c>
      <c r="W1602" s="2">
        <f>Таблица1[[#This Row],[Дата поступления]]-Таблица1[[#This Row],[Дата рождения]]</f>
        <v>0</v>
      </c>
    </row>
    <row r="1603" spans="22:23" ht="24.95" customHeight="1" x14ac:dyDescent="0.25">
      <c r="V1603" s="2">
        <f>Таблица1[[#This Row],[Дата перевода]]-Таблица1[[#This Row],[Дата поступления]]</f>
        <v>0</v>
      </c>
      <c r="W1603" s="2">
        <f>Таблица1[[#This Row],[Дата поступления]]-Таблица1[[#This Row],[Дата рождения]]</f>
        <v>0</v>
      </c>
    </row>
    <row r="1604" spans="22:23" ht="24.95" customHeight="1" x14ac:dyDescent="0.25">
      <c r="V1604" s="2">
        <f>Таблица1[[#This Row],[Дата перевода]]-Таблица1[[#This Row],[Дата поступления]]</f>
        <v>0</v>
      </c>
      <c r="W1604" s="2">
        <f>Таблица1[[#This Row],[Дата поступления]]-Таблица1[[#This Row],[Дата рождения]]</f>
        <v>0</v>
      </c>
    </row>
    <row r="1605" spans="22:23" ht="24.95" customHeight="1" x14ac:dyDescent="0.25">
      <c r="V1605" s="2">
        <f>Таблица1[[#This Row],[Дата перевода]]-Таблица1[[#This Row],[Дата поступления]]</f>
        <v>0</v>
      </c>
      <c r="W1605" s="2">
        <f>Таблица1[[#This Row],[Дата поступления]]-Таблица1[[#This Row],[Дата рождения]]</f>
        <v>0</v>
      </c>
    </row>
    <row r="1606" spans="22:23" ht="24.95" customHeight="1" x14ac:dyDescent="0.25">
      <c r="V1606" s="2">
        <f>Таблица1[[#This Row],[Дата перевода]]-Таблица1[[#This Row],[Дата поступления]]</f>
        <v>0</v>
      </c>
      <c r="W1606" s="2">
        <f>Таблица1[[#This Row],[Дата поступления]]-Таблица1[[#This Row],[Дата рождения]]</f>
        <v>0</v>
      </c>
    </row>
    <row r="1607" spans="22:23" ht="24.95" customHeight="1" x14ac:dyDescent="0.25">
      <c r="V1607" s="2">
        <f>Таблица1[[#This Row],[Дата перевода]]-Таблица1[[#This Row],[Дата поступления]]</f>
        <v>0</v>
      </c>
      <c r="W1607" s="2">
        <f>Таблица1[[#This Row],[Дата поступления]]-Таблица1[[#This Row],[Дата рождения]]</f>
        <v>0</v>
      </c>
    </row>
    <row r="1608" spans="22:23" ht="24.95" customHeight="1" x14ac:dyDescent="0.25">
      <c r="V1608" s="2">
        <f>Таблица1[[#This Row],[Дата перевода]]-Таблица1[[#This Row],[Дата поступления]]</f>
        <v>0</v>
      </c>
      <c r="W1608" s="2">
        <f>Таблица1[[#This Row],[Дата поступления]]-Таблица1[[#This Row],[Дата рождения]]</f>
        <v>0</v>
      </c>
    </row>
    <row r="1609" spans="22:23" ht="24.95" customHeight="1" x14ac:dyDescent="0.25">
      <c r="V1609" s="2">
        <f>Таблица1[[#This Row],[Дата перевода]]-Таблица1[[#This Row],[Дата поступления]]</f>
        <v>0</v>
      </c>
      <c r="W1609" s="2">
        <f>Таблица1[[#This Row],[Дата поступления]]-Таблица1[[#This Row],[Дата рождения]]</f>
        <v>0</v>
      </c>
    </row>
    <row r="1610" spans="22:23" ht="24.95" customHeight="1" x14ac:dyDescent="0.25">
      <c r="V1610" s="2">
        <f>Таблица1[[#This Row],[Дата перевода]]-Таблица1[[#This Row],[Дата поступления]]</f>
        <v>0</v>
      </c>
      <c r="W1610" s="2">
        <f>Таблица1[[#This Row],[Дата поступления]]-Таблица1[[#This Row],[Дата рождения]]</f>
        <v>0</v>
      </c>
    </row>
    <row r="1611" spans="22:23" ht="24.95" customHeight="1" x14ac:dyDescent="0.25">
      <c r="V1611" s="2">
        <f>Таблица1[[#This Row],[Дата перевода]]-Таблица1[[#This Row],[Дата поступления]]</f>
        <v>0</v>
      </c>
      <c r="W1611" s="2">
        <f>Таблица1[[#This Row],[Дата поступления]]-Таблица1[[#This Row],[Дата рождения]]</f>
        <v>0</v>
      </c>
    </row>
    <row r="1612" spans="22:23" ht="24.95" customHeight="1" x14ac:dyDescent="0.25">
      <c r="V1612" s="2">
        <f>Таблица1[[#This Row],[Дата перевода]]-Таблица1[[#This Row],[Дата поступления]]</f>
        <v>0</v>
      </c>
      <c r="W1612" s="2">
        <f>Таблица1[[#This Row],[Дата поступления]]-Таблица1[[#This Row],[Дата рождения]]</f>
        <v>0</v>
      </c>
    </row>
    <row r="1613" spans="22:23" ht="24.95" customHeight="1" x14ac:dyDescent="0.25">
      <c r="V1613" s="2">
        <f>Таблица1[[#This Row],[Дата перевода]]-Таблица1[[#This Row],[Дата поступления]]</f>
        <v>0</v>
      </c>
      <c r="W1613" s="2">
        <f>Таблица1[[#This Row],[Дата поступления]]-Таблица1[[#This Row],[Дата рождения]]</f>
        <v>0</v>
      </c>
    </row>
    <row r="1614" spans="22:23" ht="24.95" customHeight="1" x14ac:dyDescent="0.25">
      <c r="V1614" s="2">
        <f>Таблица1[[#This Row],[Дата перевода]]-Таблица1[[#This Row],[Дата поступления]]</f>
        <v>0</v>
      </c>
      <c r="W1614" s="2">
        <f>Таблица1[[#This Row],[Дата поступления]]-Таблица1[[#This Row],[Дата рождения]]</f>
        <v>0</v>
      </c>
    </row>
    <row r="1615" spans="22:23" ht="24.95" customHeight="1" x14ac:dyDescent="0.25">
      <c r="V1615" s="2">
        <f>Таблица1[[#This Row],[Дата перевода]]-Таблица1[[#This Row],[Дата поступления]]</f>
        <v>0</v>
      </c>
      <c r="W1615" s="2">
        <f>Таблица1[[#This Row],[Дата поступления]]-Таблица1[[#This Row],[Дата рождения]]</f>
        <v>0</v>
      </c>
    </row>
    <row r="1616" spans="22:23" ht="24.95" customHeight="1" x14ac:dyDescent="0.25">
      <c r="V1616" s="2">
        <f>Таблица1[[#This Row],[Дата перевода]]-Таблица1[[#This Row],[Дата поступления]]</f>
        <v>0</v>
      </c>
      <c r="W1616" s="2">
        <f>Таблица1[[#This Row],[Дата поступления]]-Таблица1[[#This Row],[Дата рождения]]</f>
        <v>0</v>
      </c>
    </row>
    <row r="1617" spans="22:23" ht="24.95" customHeight="1" x14ac:dyDescent="0.25">
      <c r="V1617" s="2">
        <f>Таблица1[[#This Row],[Дата перевода]]-Таблица1[[#This Row],[Дата поступления]]</f>
        <v>0</v>
      </c>
      <c r="W1617" s="2">
        <f>Таблица1[[#This Row],[Дата поступления]]-Таблица1[[#This Row],[Дата рождения]]</f>
        <v>0</v>
      </c>
    </row>
    <row r="1618" spans="22:23" ht="24.95" customHeight="1" x14ac:dyDescent="0.25">
      <c r="V1618" s="2">
        <f>Таблица1[[#This Row],[Дата перевода]]-Таблица1[[#This Row],[Дата поступления]]</f>
        <v>0</v>
      </c>
      <c r="W1618" s="2">
        <f>Таблица1[[#This Row],[Дата поступления]]-Таблица1[[#This Row],[Дата рождения]]</f>
        <v>0</v>
      </c>
    </row>
    <row r="1619" spans="22:23" ht="24.95" customHeight="1" x14ac:dyDescent="0.25">
      <c r="V1619" s="2">
        <f>Таблица1[[#This Row],[Дата перевода]]-Таблица1[[#This Row],[Дата поступления]]</f>
        <v>0</v>
      </c>
      <c r="W1619" s="2">
        <f>Таблица1[[#This Row],[Дата поступления]]-Таблица1[[#This Row],[Дата рождения]]</f>
        <v>0</v>
      </c>
    </row>
    <row r="1620" spans="22:23" ht="24.95" customHeight="1" x14ac:dyDescent="0.25">
      <c r="V1620" s="2">
        <f>Таблица1[[#This Row],[Дата перевода]]-Таблица1[[#This Row],[Дата поступления]]</f>
        <v>0</v>
      </c>
      <c r="W1620" s="2">
        <f>Таблица1[[#This Row],[Дата поступления]]-Таблица1[[#This Row],[Дата рождения]]</f>
        <v>0</v>
      </c>
    </row>
    <row r="1621" spans="22:23" ht="24.95" customHeight="1" x14ac:dyDescent="0.25">
      <c r="V1621" s="2">
        <f>Таблица1[[#This Row],[Дата перевода]]-Таблица1[[#This Row],[Дата поступления]]</f>
        <v>0</v>
      </c>
      <c r="W1621" s="2">
        <f>Таблица1[[#This Row],[Дата поступления]]-Таблица1[[#This Row],[Дата рождения]]</f>
        <v>0</v>
      </c>
    </row>
    <row r="1622" spans="22:23" ht="24.95" customHeight="1" x14ac:dyDescent="0.25">
      <c r="V1622" s="2">
        <f>Таблица1[[#This Row],[Дата перевода]]-Таблица1[[#This Row],[Дата поступления]]</f>
        <v>0</v>
      </c>
      <c r="W1622" s="2">
        <f>Таблица1[[#This Row],[Дата поступления]]-Таблица1[[#This Row],[Дата рождения]]</f>
        <v>0</v>
      </c>
    </row>
    <row r="1623" spans="22:23" ht="24.95" customHeight="1" x14ac:dyDescent="0.25">
      <c r="V1623" s="2">
        <f>Таблица1[[#This Row],[Дата перевода]]-Таблица1[[#This Row],[Дата поступления]]</f>
        <v>0</v>
      </c>
      <c r="W1623" s="2">
        <f>Таблица1[[#This Row],[Дата поступления]]-Таблица1[[#This Row],[Дата рождения]]</f>
        <v>0</v>
      </c>
    </row>
    <row r="1624" spans="22:23" ht="24.95" customHeight="1" x14ac:dyDescent="0.25">
      <c r="V1624" s="2">
        <f>Таблица1[[#This Row],[Дата перевода]]-Таблица1[[#This Row],[Дата поступления]]</f>
        <v>0</v>
      </c>
      <c r="W1624" s="2">
        <f>Таблица1[[#This Row],[Дата поступления]]-Таблица1[[#This Row],[Дата рождения]]</f>
        <v>0</v>
      </c>
    </row>
    <row r="1625" spans="22:23" ht="24.95" customHeight="1" x14ac:dyDescent="0.25">
      <c r="V1625" s="2">
        <f>Таблица1[[#This Row],[Дата перевода]]-Таблица1[[#This Row],[Дата поступления]]</f>
        <v>0</v>
      </c>
      <c r="W1625" s="2">
        <f>Таблица1[[#This Row],[Дата поступления]]-Таблица1[[#This Row],[Дата рождения]]</f>
        <v>0</v>
      </c>
    </row>
    <row r="1626" spans="22:23" ht="24.95" customHeight="1" x14ac:dyDescent="0.25">
      <c r="V1626" s="2">
        <f>Таблица1[[#This Row],[Дата перевода]]-Таблица1[[#This Row],[Дата поступления]]</f>
        <v>0</v>
      </c>
      <c r="W1626" s="2">
        <f>Таблица1[[#This Row],[Дата поступления]]-Таблица1[[#This Row],[Дата рождения]]</f>
        <v>0</v>
      </c>
    </row>
    <row r="1627" spans="22:23" ht="24.95" customHeight="1" x14ac:dyDescent="0.25">
      <c r="V1627" s="2">
        <f>Таблица1[[#This Row],[Дата перевода]]-Таблица1[[#This Row],[Дата поступления]]</f>
        <v>0</v>
      </c>
      <c r="W1627" s="2">
        <f>Таблица1[[#This Row],[Дата поступления]]-Таблица1[[#This Row],[Дата рождения]]</f>
        <v>0</v>
      </c>
    </row>
    <row r="1628" spans="22:23" ht="24.95" customHeight="1" x14ac:dyDescent="0.25">
      <c r="V1628" s="2">
        <f>Таблица1[[#This Row],[Дата перевода]]-Таблица1[[#This Row],[Дата поступления]]</f>
        <v>0</v>
      </c>
      <c r="W1628" s="2">
        <f>Таблица1[[#This Row],[Дата поступления]]-Таблица1[[#This Row],[Дата рождения]]</f>
        <v>0</v>
      </c>
    </row>
    <row r="1629" spans="22:23" ht="24.95" customHeight="1" x14ac:dyDescent="0.25">
      <c r="V1629" s="2">
        <f>Таблица1[[#This Row],[Дата перевода]]-Таблица1[[#This Row],[Дата поступления]]</f>
        <v>0</v>
      </c>
      <c r="W1629" s="2">
        <f>Таблица1[[#This Row],[Дата поступления]]-Таблица1[[#This Row],[Дата рождения]]</f>
        <v>0</v>
      </c>
    </row>
    <row r="1630" spans="22:23" ht="24.95" customHeight="1" x14ac:dyDescent="0.25">
      <c r="V1630" s="2">
        <f>Таблица1[[#This Row],[Дата перевода]]-Таблица1[[#This Row],[Дата поступления]]</f>
        <v>0</v>
      </c>
      <c r="W1630" s="2">
        <f>Таблица1[[#This Row],[Дата поступления]]-Таблица1[[#This Row],[Дата рождения]]</f>
        <v>0</v>
      </c>
    </row>
    <row r="1631" spans="22:23" ht="24.95" customHeight="1" x14ac:dyDescent="0.25">
      <c r="V1631" s="2">
        <f>Таблица1[[#This Row],[Дата перевода]]-Таблица1[[#This Row],[Дата поступления]]</f>
        <v>0</v>
      </c>
      <c r="W1631" s="2">
        <f>Таблица1[[#This Row],[Дата поступления]]-Таблица1[[#This Row],[Дата рождения]]</f>
        <v>0</v>
      </c>
    </row>
    <row r="1632" spans="22:23" ht="24.95" customHeight="1" x14ac:dyDescent="0.25">
      <c r="V1632" s="2">
        <f>Таблица1[[#This Row],[Дата перевода]]-Таблица1[[#This Row],[Дата поступления]]</f>
        <v>0</v>
      </c>
      <c r="W1632" s="2">
        <f>Таблица1[[#This Row],[Дата поступления]]-Таблица1[[#This Row],[Дата рождения]]</f>
        <v>0</v>
      </c>
    </row>
    <row r="1633" spans="22:23" ht="24.95" customHeight="1" x14ac:dyDescent="0.25">
      <c r="V1633" s="2">
        <f>Таблица1[[#This Row],[Дата перевода]]-Таблица1[[#This Row],[Дата поступления]]</f>
        <v>0</v>
      </c>
      <c r="W1633" s="2">
        <f>Таблица1[[#This Row],[Дата поступления]]-Таблица1[[#This Row],[Дата рождения]]</f>
        <v>0</v>
      </c>
    </row>
    <row r="1634" spans="22:23" ht="24.95" customHeight="1" x14ac:dyDescent="0.25">
      <c r="V1634" s="2">
        <f>Таблица1[[#This Row],[Дата перевода]]-Таблица1[[#This Row],[Дата поступления]]</f>
        <v>0</v>
      </c>
      <c r="W1634" s="2">
        <f>Таблица1[[#This Row],[Дата поступления]]-Таблица1[[#This Row],[Дата рождения]]</f>
        <v>0</v>
      </c>
    </row>
    <row r="1635" spans="22:23" ht="24.95" customHeight="1" x14ac:dyDescent="0.25">
      <c r="V1635" s="2">
        <f>Таблица1[[#This Row],[Дата перевода]]-Таблица1[[#This Row],[Дата поступления]]</f>
        <v>0</v>
      </c>
      <c r="W1635" s="2">
        <f>Таблица1[[#This Row],[Дата поступления]]-Таблица1[[#This Row],[Дата рождения]]</f>
        <v>0</v>
      </c>
    </row>
    <row r="1636" spans="22:23" ht="24.95" customHeight="1" x14ac:dyDescent="0.25">
      <c r="V1636" s="2">
        <f>Таблица1[[#This Row],[Дата перевода]]-Таблица1[[#This Row],[Дата поступления]]</f>
        <v>0</v>
      </c>
      <c r="W1636" s="2">
        <f>Таблица1[[#This Row],[Дата поступления]]-Таблица1[[#This Row],[Дата рождения]]</f>
        <v>0</v>
      </c>
    </row>
    <row r="1637" spans="22:23" ht="24.95" customHeight="1" x14ac:dyDescent="0.25">
      <c r="V1637" s="2">
        <f>Таблица1[[#This Row],[Дата перевода]]-Таблица1[[#This Row],[Дата поступления]]</f>
        <v>0</v>
      </c>
      <c r="W1637" s="2">
        <f>Таблица1[[#This Row],[Дата поступления]]-Таблица1[[#This Row],[Дата рождения]]</f>
        <v>0</v>
      </c>
    </row>
    <row r="1638" spans="22:23" ht="24.95" customHeight="1" x14ac:dyDescent="0.25">
      <c r="V1638" s="2">
        <f>Таблица1[[#This Row],[Дата перевода]]-Таблица1[[#This Row],[Дата поступления]]</f>
        <v>0</v>
      </c>
      <c r="W1638" s="2">
        <f>Таблица1[[#This Row],[Дата поступления]]-Таблица1[[#This Row],[Дата рождения]]</f>
        <v>0</v>
      </c>
    </row>
    <row r="1639" spans="22:23" ht="24.95" customHeight="1" x14ac:dyDescent="0.25">
      <c r="V1639" s="2">
        <f>Таблица1[[#This Row],[Дата перевода]]-Таблица1[[#This Row],[Дата поступления]]</f>
        <v>0</v>
      </c>
      <c r="W1639" s="2">
        <f>Таблица1[[#This Row],[Дата поступления]]-Таблица1[[#This Row],[Дата рождения]]</f>
        <v>0</v>
      </c>
    </row>
    <row r="1640" spans="22:23" ht="24.95" customHeight="1" x14ac:dyDescent="0.25">
      <c r="V1640" s="2">
        <f>Таблица1[[#This Row],[Дата перевода]]-Таблица1[[#This Row],[Дата поступления]]</f>
        <v>0</v>
      </c>
      <c r="W1640" s="2">
        <f>Таблица1[[#This Row],[Дата поступления]]-Таблица1[[#This Row],[Дата рождения]]</f>
        <v>0</v>
      </c>
    </row>
    <row r="1641" spans="22:23" ht="24.95" customHeight="1" x14ac:dyDescent="0.25">
      <c r="V1641" s="2">
        <f>Таблица1[[#This Row],[Дата перевода]]-Таблица1[[#This Row],[Дата поступления]]</f>
        <v>0</v>
      </c>
      <c r="W1641" s="2">
        <f>Таблица1[[#This Row],[Дата поступления]]-Таблица1[[#This Row],[Дата рождения]]</f>
        <v>0</v>
      </c>
    </row>
    <row r="1642" spans="22:23" ht="24.95" customHeight="1" x14ac:dyDescent="0.25">
      <c r="V1642" s="2">
        <f>Таблица1[[#This Row],[Дата перевода]]-Таблица1[[#This Row],[Дата поступления]]</f>
        <v>0</v>
      </c>
      <c r="W1642" s="2">
        <f>Таблица1[[#This Row],[Дата поступления]]-Таблица1[[#This Row],[Дата рождения]]</f>
        <v>0</v>
      </c>
    </row>
    <row r="1643" spans="22:23" ht="24.95" customHeight="1" x14ac:dyDescent="0.25">
      <c r="V1643" s="2">
        <f>Таблица1[[#This Row],[Дата перевода]]-Таблица1[[#This Row],[Дата поступления]]</f>
        <v>0</v>
      </c>
      <c r="W1643" s="2">
        <f>Таблица1[[#This Row],[Дата поступления]]-Таблица1[[#This Row],[Дата рождения]]</f>
        <v>0</v>
      </c>
    </row>
    <row r="1644" spans="22:23" ht="24.95" customHeight="1" x14ac:dyDescent="0.25">
      <c r="V1644" s="2">
        <f>Таблица1[[#This Row],[Дата перевода]]-Таблица1[[#This Row],[Дата поступления]]</f>
        <v>0</v>
      </c>
      <c r="W1644" s="2">
        <f>Таблица1[[#This Row],[Дата поступления]]-Таблица1[[#This Row],[Дата рождения]]</f>
        <v>0</v>
      </c>
    </row>
    <row r="1645" spans="22:23" ht="24.95" customHeight="1" x14ac:dyDescent="0.25">
      <c r="V1645" s="2">
        <f>Таблица1[[#This Row],[Дата перевода]]-Таблица1[[#This Row],[Дата поступления]]</f>
        <v>0</v>
      </c>
      <c r="W1645" s="2">
        <f>Таблица1[[#This Row],[Дата поступления]]-Таблица1[[#This Row],[Дата рождения]]</f>
        <v>0</v>
      </c>
    </row>
    <row r="1646" spans="22:23" ht="24.95" customHeight="1" x14ac:dyDescent="0.25">
      <c r="V1646" s="2">
        <f>Таблица1[[#This Row],[Дата перевода]]-Таблица1[[#This Row],[Дата поступления]]</f>
        <v>0</v>
      </c>
      <c r="W1646" s="2">
        <f>Таблица1[[#This Row],[Дата поступления]]-Таблица1[[#This Row],[Дата рождения]]</f>
        <v>0</v>
      </c>
    </row>
    <row r="1647" spans="22:23" ht="24.95" customHeight="1" x14ac:dyDescent="0.25">
      <c r="V1647" s="2">
        <f>Таблица1[[#This Row],[Дата перевода]]-Таблица1[[#This Row],[Дата поступления]]</f>
        <v>0</v>
      </c>
      <c r="W1647" s="2">
        <f>Таблица1[[#This Row],[Дата поступления]]-Таблица1[[#This Row],[Дата рождения]]</f>
        <v>0</v>
      </c>
    </row>
    <row r="1648" spans="22:23" ht="24.95" customHeight="1" x14ac:dyDescent="0.25">
      <c r="V1648" s="2">
        <f>Таблица1[[#This Row],[Дата перевода]]-Таблица1[[#This Row],[Дата поступления]]</f>
        <v>0</v>
      </c>
      <c r="W1648" s="2">
        <f>Таблица1[[#This Row],[Дата поступления]]-Таблица1[[#This Row],[Дата рождения]]</f>
        <v>0</v>
      </c>
    </row>
    <row r="1649" spans="22:23" ht="24.95" customHeight="1" x14ac:dyDescent="0.25">
      <c r="V1649" s="2">
        <f>Таблица1[[#This Row],[Дата перевода]]-Таблица1[[#This Row],[Дата поступления]]</f>
        <v>0</v>
      </c>
      <c r="W1649" s="2">
        <f>Таблица1[[#This Row],[Дата поступления]]-Таблица1[[#This Row],[Дата рождения]]</f>
        <v>0</v>
      </c>
    </row>
    <row r="1650" spans="22:23" ht="24.95" customHeight="1" x14ac:dyDescent="0.25">
      <c r="V1650" s="2">
        <f>Таблица1[[#This Row],[Дата перевода]]-Таблица1[[#This Row],[Дата поступления]]</f>
        <v>0</v>
      </c>
      <c r="W1650" s="2">
        <f>Таблица1[[#This Row],[Дата поступления]]-Таблица1[[#This Row],[Дата рождения]]</f>
        <v>0</v>
      </c>
    </row>
    <row r="1651" spans="22:23" ht="24.95" customHeight="1" x14ac:dyDescent="0.25">
      <c r="V1651" s="2">
        <f>Таблица1[[#This Row],[Дата перевода]]-Таблица1[[#This Row],[Дата поступления]]</f>
        <v>0</v>
      </c>
      <c r="W1651" s="2">
        <f>Таблица1[[#This Row],[Дата поступления]]-Таблица1[[#This Row],[Дата рождения]]</f>
        <v>0</v>
      </c>
    </row>
    <row r="1652" spans="22:23" ht="24.95" customHeight="1" x14ac:dyDescent="0.25">
      <c r="V1652" s="2">
        <f>Таблица1[[#This Row],[Дата перевода]]-Таблица1[[#This Row],[Дата поступления]]</f>
        <v>0</v>
      </c>
      <c r="W1652" s="2">
        <f>Таблица1[[#This Row],[Дата поступления]]-Таблица1[[#This Row],[Дата рождения]]</f>
        <v>0</v>
      </c>
    </row>
    <row r="1653" spans="22:23" ht="24.95" customHeight="1" x14ac:dyDescent="0.25">
      <c r="V1653" s="2">
        <f>Таблица1[[#This Row],[Дата перевода]]-Таблица1[[#This Row],[Дата поступления]]</f>
        <v>0</v>
      </c>
      <c r="W1653" s="2">
        <f>Таблица1[[#This Row],[Дата поступления]]-Таблица1[[#This Row],[Дата рождения]]</f>
        <v>0</v>
      </c>
    </row>
    <row r="1654" spans="22:23" ht="24.95" customHeight="1" x14ac:dyDescent="0.25">
      <c r="V1654" s="2">
        <f>Таблица1[[#This Row],[Дата перевода]]-Таблица1[[#This Row],[Дата поступления]]</f>
        <v>0</v>
      </c>
      <c r="W1654" s="2">
        <f>Таблица1[[#This Row],[Дата поступления]]-Таблица1[[#This Row],[Дата рождения]]</f>
        <v>0</v>
      </c>
    </row>
    <row r="1655" spans="22:23" ht="24.95" customHeight="1" x14ac:dyDescent="0.25">
      <c r="V1655" s="2">
        <f>Таблица1[[#This Row],[Дата перевода]]-Таблица1[[#This Row],[Дата поступления]]</f>
        <v>0</v>
      </c>
      <c r="W1655" s="2">
        <f>Таблица1[[#This Row],[Дата поступления]]-Таблица1[[#This Row],[Дата рождения]]</f>
        <v>0</v>
      </c>
    </row>
    <row r="1656" spans="22:23" ht="24.95" customHeight="1" x14ac:dyDescent="0.25">
      <c r="V1656" s="2">
        <f>Таблица1[[#This Row],[Дата перевода]]-Таблица1[[#This Row],[Дата поступления]]</f>
        <v>0</v>
      </c>
      <c r="W1656" s="2">
        <f>Таблица1[[#This Row],[Дата поступления]]-Таблица1[[#This Row],[Дата рождения]]</f>
        <v>0</v>
      </c>
    </row>
    <row r="1657" spans="22:23" ht="24.95" customHeight="1" x14ac:dyDescent="0.25">
      <c r="V1657" s="2">
        <f>Таблица1[[#This Row],[Дата перевода]]-Таблица1[[#This Row],[Дата поступления]]</f>
        <v>0</v>
      </c>
      <c r="W1657" s="2">
        <f>Таблица1[[#This Row],[Дата поступления]]-Таблица1[[#This Row],[Дата рождения]]</f>
        <v>0</v>
      </c>
    </row>
    <row r="1658" spans="22:23" ht="24.95" customHeight="1" x14ac:dyDescent="0.25">
      <c r="V1658" s="2">
        <f>Таблица1[[#This Row],[Дата перевода]]-Таблица1[[#This Row],[Дата поступления]]</f>
        <v>0</v>
      </c>
      <c r="W1658" s="2">
        <f>Таблица1[[#This Row],[Дата поступления]]-Таблица1[[#This Row],[Дата рождения]]</f>
        <v>0</v>
      </c>
    </row>
    <row r="1659" spans="22:23" ht="24.95" customHeight="1" x14ac:dyDescent="0.25">
      <c r="V1659" s="2">
        <f>Таблица1[[#This Row],[Дата перевода]]-Таблица1[[#This Row],[Дата поступления]]</f>
        <v>0</v>
      </c>
      <c r="W1659" s="2">
        <f>Таблица1[[#This Row],[Дата поступления]]-Таблица1[[#This Row],[Дата рождения]]</f>
        <v>0</v>
      </c>
    </row>
    <row r="1660" spans="22:23" ht="24.95" customHeight="1" x14ac:dyDescent="0.25">
      <c r="V1660" s="2">
        <f>Таблица1[[#This Row],[Дата перевода]]-Таблица1[[#This Row],[Дата поступления]]</f>
        <v>0</v>
      </c>
      <c r="W1660" s="2">
        <f>Таблица1[[#This Row],[Дата поступления]]-Таблица1[[#This Row],[Дата рождения]]</f>
        <v>0</v>
      </c>
    </row>
    <row r="1661" spans="22:23" ht="24.95" customHeight="1" x14ac:dyDescent="0.25">
      <c r="V1661" s="2">
        <f>Таблица1[[#This Row],[Дата перевода]]-Таблица1[[#This Row],[Дата поступления]]</f>
        <v>0</v>
      </c>
      <c r="W1661" s="2">
        <f>Таблица1[[#This Row],[Дата поступления]]-Таблица1[[#This Row],[Дата рождения]]</f>
        <v>0</v>
      </c>
    </row>
    <row r="1662" spans="22:23" ht="24.95" customHeight="1" x14ac:dyDescent="0.25">
      <c r="V1662" s="2">
        <f>Таблица1[[#This Row],[Дата перевода]]-Таблица1[[#This Row],[Дата поступления]]</f>
        <v>0</v>
      </c>
      <c r="W1662" s="2">
        <f>Таблица1[[#This Row],[Дата поступления]]-Таблица1[[#This Row],[Дата рождения]]</f>
        <v>0</v>
      </c>
    </row>
    <row r="1663" spans="22:23" ht="24.95" customHeight="1" x14ac:dyDescent="0.25">
      <c r="V1663" s="2">
        <f>Таблица1[[#This Row],[Дата перевода]]-Таблица1[[#This Row],[Дата поступления]]</f>
        <v>0</v>
      </c>
      <c r="W1663" s="2">
        <f>Таблица1[[#This Row],[Дата поступления]]-Таблица1[[#This Row],[Дата рождения]]</f>
        <v>0</v>
      </c>
    </row>
    <row r="1664" spans="22:23" ht="24.95" customHeight="1" x14ac:dyDescent="0.25">
      <c r="V1664" s="2">
        <f>Таблица1[[#This Row],[Дата перевода]]-Таблица1[[#This Row],[Дата поступления]]</f>
        <v>0</v>
      </c>
      <c r="W1664" s="2">
        <f>Таблица1[[#This Row],[Дата поступления]]-Таблица1[[#This Row],[Дата рождения]]</f>
        <v>0</v>
      </c>
    </row>
    <row r="1665" spans="22:23" ht="24.95" customHeight="1" x14ac:dyDescent="0.25">
      <c r="V1665" s="2">
        <f>Таблица1[[#This Row],[Дата перевода]]-Таблица1[[#This Row],[Дата поступления]]</f>
        <v>0</v>
      </c>
      <c r="W1665" s="2">
        <f>Таблица1[[#This Row],[Дата поступления]]-Таблица1[[#This Row],[Дата рождения]]</f>
        <v>0</v>
      </c>
    </row>
    <row r="1666" spans="22:23" ht="24.95" customHeight="1" x14ac:dyDescent="0.25">
      <c r="V1666" s="2">
        <f>Таблица1[[#This Row],[Дата перевода]]-Таблица1[[#This Row],[Дата поступления]]</f>
        <v>0</v>
      </c>
      <c r="W1666" s="2">
        <f>Таблица1[[#This Row],[Дата поступления]]-Таблица1[[#This Row],[Дата рождения]]</f>
        <v>0</v>
      </c>
    </row>
    <row r="1667" spans="22:23" ht="24.95" customHeight="1" x14ac:dyDescent="0.25">
      <c r="V1667" s="2">
        <f>Таблица1[[#This Row],[Дата перевода]]-Таблица1[[#This Row],[Дата поступления]]</f>
        <v>0</v>
      </c>
      <c r="W1667" s="2">
        <f>Таблица1[[#This Row],[Дата поступления]]-Таблица1[[#This Row],[Дата рождения]]</f>
        <v>0</v>
      </c>
    </row>
    <row r="1668" spans="22:23" ht="24.95" customHeight="1" x14ac:dyDescent="0.25">
      <c r="V1668" s="2">
        <f>Таблица1[[#This Row],[Дата перевода]]-Таблица1[[#This Row],[Дата поступления]]</f>
        <v>0</v>
      </c>
      <c r="W1668" s="2">
        <f>Таблица1[[#This Row],[Дата поступления]]-Таблица1[[#This Row],[Дата рождения]]</f>
        <v>0</v>
      </c>
    </row>
    <row r="1669" spans="22:23" ht="24.95" customHeight="1" x14ac:dyDescent="0.25">
      <c r="V1669" s="2">
        <f>Таблица1[[#This Row],[Дата перевода]]-Таблица1[[#This Row],[Дата поступления]]</f>
        <v>0</v>
      </c>
      <c r="W1669" s="2">
        <f>Таблица1[[#This Row],[Дата поступления]]-Таблица1[[#This Row],[Дата рождения]]</f>
        <v>0</v>
      </c>
    </row>
    <row r="1670" spans="22:23" ht="24.95" customHeight="1" x14ac:dyDescent="0.25">
      <c r="V1670" s="2">
        <f>Таблица1[[#This Row],[Дата перевода]]-Таблица1[[#This Row],[Дата поступления]]</f>
        <v>0</v>
      </c>
      <c r="W1670" s="2">
        <f>Таблица1[[#This Row],[Дата поступления]]-Таблица1[[#This Row],[Дата рождения]]</f>
        <v>0</v>
      </c>
    </row>
    <row r="1671" spans="22:23" ht="24.95" customHeight="1" x14ac:dyDescent="0.25">
      <c r="V1671" s="2">
        <f>Таблица1[[#This Row],[Дата перевода]]-Таблица1[[#This Row],[Дата поступления]]</f>
        <v>0</v>
      </c>
      <c r="W1671" s="2">
        <f>Таблица1[[#This Row],[Дата поступления]]-Таблица1[[#This Row],[Дата рождения]]</f>
        <v>0</v>
      </c>
    </row>
    <row r="1672" spans="22:23" ht="24.95" customHeight="1" x14ac:dyDescent="0.25">
      <c r="V1672" s="2">
        <f>Таблица1[[#This Row],[Дата перевода]]-Таблица1[[#This Row],[Дата поступления]]</f>
        <v>0</v>
      </c>
      <c r="W1672" s="2">
        <f>Таблица1[[#This Row],[Дата поступления]]-Таблица1[[#This Row],[Дата рождения]]</f>
        <v>0</v>
      </c>
    </row>
    <row r="1673" spans="22:23" ht="24.95" customHeight="1" x14ac:dyDescent="0.25">
      <c r="V1673" s="2">
        <f>Таблица1[[#This Row],[Дата перевода]]-Таблица1[[#This Row],[Дата поступления]]</f>
        <v>0</v>
      </c>
      <c r="W1673" s="2">
        <f>Таблица1[[#This Row],[Дата поступления]]-Таблица1[[#This Row],[Дата рождения]]</f>
        <v>0</v>
      </c>
    </row>
    <row r="1674" spans="22:23" ht="24.95" customHeight="1" x14ac:dyDescent="0.25">
      <c r="V1674" s="2">
        <f>Таблица1[[#This Row],[Дата перевода]]-Таблица1[[#This Row],[Дата поступления]]</f>
        <v>0</v>
      </c>
      <c r="W1674" s="2">
        <f>Таблица1[[#This Row],[Дата поступления]]-Таблица1[[#This Row],[Дата рождения]]</f>
        <v>0</v>
      </c>
    </row>
    <row r="1675" spans="22:23" ht="24.95" customHeight="1" x14ac:dyDescent="0.25">
      <c r="V1675" s="2">
        <f>Таблица1[[#This Row],[Дата перевода]]-Таблица1[[#This Row],[Дата поступления]]</f>
        <v>0</v>
      </c>
      <c r="W1675" s="2">
        <f>Таблица1[[#This Row],[Дата поступления]]-Таблица1[[#This Row],[Дата рождения]]</f>
        <v>0</v>
      </c>
    </row>
    <row r="1676" spans="22:23" ht="24.95" customHeight="1" x14ac:dyDescent="0.25">
      <c r="V1676" s="2">
        <f>Таблица1[[#This Row],[Дата перевода]]-Таблица1[[#This Row],[Дата поступления]]</f>
        <v>0</v>
      </c>
      <c r="W1676" s="2">
        <f>Таблица1[[#This Row],[Дата поступления]]-Таблица1[[#This Row],[Дата рождения]]</f>
        <v>0</v>
      </c>
    </row>
    <row r="1677" spans="22:23" ht="24.95" customHeight="1" x14ac:dyDescent="0.25">
      <c r="V1677" s="2">
        <f>Таблица1[[#This Row],[Дата перевода]]-Таблица1[[#This Row],[Дата поступления]]</f>
        <v>0</v>
      </c>
      <c r="W1677" s="2">
        <f>Таблица1[[#This Row],[Дата поступления]]-Таблица1[[#This Row],[Дата рождения]]</f>
        <v>0</v>
      </c>
    </row>
    <row r="1678" spans="22:23" ht="24.95" customHeight="1" x14ac:dyDescent="0.25">
      <c r="V1678" s="2">
        <f>Таблица1[[#This Row],[Дата перевода]]-Таблица1[[#This Row],[Дата поступления]]</f>
        <v>0</v>
      </c>
      <c r="W1678" s="2">
        <f>Таблица1[[#This Row],[Дата поступления]]-Таблица1[[#This Row],[Дата рождения]]</f>
        <v>0</v>
      </c>
    </row>
    <row r="1679" spans="22:23" ht="24.95" customHeight="1" x14ac:dyDescent="0.25">
      <c r="V1679" s="2">
        <f>Таблица1[[#This Row],[Дата перевода]]-Таблица1[[#This Row],[Дата поступления]]</f>
        <v>0</v>
      </c>
      <c r="W1679" s="2">
        <f>Таблица1[[#This Row],[Дата поступления]]-Таблица1[[#This Row],[Дата рождения]]</f>
        <v>0</v>
      </c>
    </row>
    <row r="1680" spans="22:23" ht="24.95" customHeight="1" x14ac:dyDescent="0.25">
      <c r="V1680" s="2">
        <f>Таблица1[[#This Row],[Дата перевода]]-Таблица1[[#This Row],[Дата поступления]]</f>
        <v>0</v>
      </c>
      <c r="W1680" s="2">
        <f>Таблица1[[#This Row],[Дата поступления]]-Таблица1[[#This Row],[Дата рождения]]</f>
        <v>0</v>
      </c>
    </row>
    <row r="1681" spans="22:23" ht="24.95" customHeight="1" x14ac:dyDescent="0.25">
      <c r="V1681" s="2">
        <f>Таблица1[[#This Row],[Дата перевода]]-Таблица1[[#This Row],[Дата поступления]]</f>
        <v>0</v>
      </c>
      <c r="W1681" s="2">
        <f>Таблица1[[#This Row],[Дата поступления]]-Таблица1[[#This Row],[Дата рождения]]</f>
        <v>0</v>
      </c>
    </row>
    <row r="1682" spans="22:23" ht="24.95" customHeight="1" x14ac:dyDescent="0.25">
      <c r="V1682" s="2">
        <f>Таблица1[[#This Row],[Дата перевода]]-Таблица1[[#This Row],[Дата поступления]]</f>
        <v>0</v>
      </c>
      <c r="W1682" s="2">
        <f>Таблица1[[#This Row],[Дата поступления]]-Таблица1[[#This Row],[Дата рождения]]</f>
        <v>0</v>
      </c>
    </row>
    <row r="1683" spans="22:23" ht="24.95" customHeight="1" x14ac:dyDescent="0.25">
      <c r="V1683" s="2">
        <f>Таблица1[[#This Row],[Дата перевода]]-Таблица1[[#This Row],[Дата поступления]]</f>
        <v>0</v>
      </c>
      <c r="W1683" s="2">
        <f>Таблица1[[#This Row],[Дата поступления]]-Таблица1[[#This Row],[Дата рождения]]</f>
        <v>0</v>
      </c>
    </row>
    <row r="1684" spans="22:23" ht="24.95" customHeight="1" x14ac:dyDescent="0.25">
      <c r="V1684" s="2">
        <f>Таблица1[[#This Row],[Дата перевода]]-Таблица1[[#This Row],[Дата поступления]]</f>
        <v>0</v>
      </c>
      <c r="W1684" s="2">
        <f>Таблица1[[#This Row],[Дата поступления]]-Таблица1[[#This Row],[Дата рождения]]</f>
        <v>0</v>
      </c>
    </row>
    <row r="1685" spans="22:23" ht="24.95" customHeight="1" x14ac:dyDescent="0.25">
      <c r="V1685" s="2">
        <f>Таблица1[[#This Row],[Дата перевода]]-Таблица1[[#This Row],[Дата поступления]]</f>
        <v>0</v>
      </c>
      <c r="W1685" s="2">
        <f>Таблица1[[#This Row],[Дата поступления]]-Таблица1[[#This Row],[Дата рождения]]</f>
        <v>0</v>
      </c>
    </row>
    <row r="1686" spans="22:23" ht="24.95" customHeight="1" x14ac:dyDescent="0.25">
      <c r="V1686" s="2">
        <f>Таблица1[[#This Row],[Дата перевода]]-Таблица1[[#This Row],[Дата поступления]]</f>
        <v>0</v>
      </c>
      <c r="W1686" s="2">
        <f>Таблица1[[#This Row],[Дата поступления]]-Таблица1[[#This Row],[Дата рождения]]</f>
        <v>0</v>
      </c>
    </row>
    <row r="1687" spans="22:23" ht="24.95" customHeight="1" x14ac:dyDescent="0.25">
      <c r="V1687" s="2">
        <f>Таблица1[[#This Row],[Дата перевода]]-Таблица1[[#This Row],[Дата поступления]]</f>
        <v>0</v>
      </c>
      <c r="W1687" s="2">
        <f>Таблица1[[#This Row],[Дата поступления]]-Таблица1[[#This Row],[Дата рождения]]</f>
        <v>0</v>
      </c>
    </row>
    <row r="1688" spans="22:23" ht="24.95" customHeight="1" x14ac:dyDescent="0.25">
      <c r="V1688" s="2">
        <f>Таблица1[[#This Row],[Дата перевода]]-Таблица1[[#This Row],[Дата поступления]]</f>
        <v>0</v>
      </c>
      <c r="W1688" s="2">
        <f>Таблица1[[#This Row],[Дата поступления]]-Таблица1[[#This Row],[Дата рождения]]</f>
        <v>0</v>
      </c>
    </row>
    <row r="1689" spans="22:23" ht="24.95" customHeight="1" x14ac:dyDescent="0.25">
      <c r="V1689" s="2">
        <f>Таблица1[[#This Row],[Дата перевода]]-Таблица1[[#This Row],[Дата поступления]]</f>
        <v>0</v>
      </c>
      <c r="W1689" s="2">
        <f>Таблица1[[#This Row],[Дата поступления]]-Таблица1[[#This Row],[Дата рождения]]</f>
        <v>0</v>
      </c>
    </row>
    <row r="1690" spans="22:23" ht="24.95" customHeight="1" x14ac:dyDescent="0.25">
      <c r="V1690" s="2">
        <f>Таблица1[[#This Row],[Дата перевода]]-Таблица1[[#This Row],[Дата поступления]]</f>
        <v>0</v>
      </c>
      <c r="W1690" s="2">
        <f>Таблица1[[#This Row],[Дата поступления]]-Таблица1[[#This Row],[Дата рождения]]</f>
        <v>0</v>
      </c>
    </row>
    <row r="1691" spans="22:23" ht="24.95" customHeight="1" x14ac:dyDescent="0.25">
      <c r="V1691" s="2">
        <f>Таблица1[[#This Row],[Дата перевода]]-Таблица1[[#This Row],[Дата поступления]]</f>
        <v>0</v>
      </c>
      <c r="W1691" s="2">
        <f>Таблица1[[#This Row],[Дата поступления]]-Таблица1[[#This Row],[Дата рождения]]</f>
        <v>0</v>
      </c>
    </row>
    <row r="1692" spans="22:23" ht="24.95" customHeight="1" x14ac:dyDescent="0.25">
      <c r="V1692" s="2">
        <f>Таблица1[[#This Row],[Дата перевода]]-Таблица1[[#This Row],[Дата поступления]]</f>
        <v>0</v>
      </c>
      <c r="W1692" s="2">
        <f>Таблица1[[#This Row],[Дата поступления]]-Таблица1[[#This Row],[Дата рождения]]</f>
        <v>0</v>
      </c>
    </row>
    <row r="1693" spans="22:23" ht="24.95" customHeight="1" x14ac:dyDescent="0.25">
      <c r="V1693" s="2">
        <f>Таблица1[[#This Row],[Дата перевода]]-Таблица1[[#This Row],[Дата поступления]]</f>
        <v>0</v>
      </c>
      <c r="W1693" s="2">
        <f>Таблица1[[#This Row],[Дата поступления]]-Таблица1[[#This Row],[Дата рождения]]</f>
        <v>0</v>
      </c>
    </row>
    <row r="1694" spans="22:23" ht="24.95" customHeight="1" x14ac:dyDescent="0.25">
      <c r="V1694" s="2">
        <f>Таблица1[[#This Row],[Дата перевода]]-Таблица1[[#This Row],[Дата поступления]]</f>
        <v>0</v>
      </c>
      <c r="W1694" s="2">
        <f>Таблица1[[#This Row],[Дата поступления]]-Таблица1[[#This Row],[Дата рождения]]</f>
        <v>0</v>
      </c>
    </row>
    <row r="1695" spans="22:23" ht="24.95" customHeight="1" x14ac:dyDescent="0.25">
      <c r="V1695" s="2">
        <f>Таблица1[[#This Row],[Дата перевода]]-Таблица1[[#This Row],[Дата поступления]]</f>
        <v>0</v>
      </c>
      <c r="W1695" s="2">
        <f>Таблица1[[#This Row],[Дата поступления]]-Таблица1[[#This Row],[Дата рождения]]</f>
        <v>0</v>
      </c>
    </row>
    <row r="1696" spans="22:23" ht="24.95" customHeight="1" x14ac:dyDescent="0.25">
      <c r="V1696" s="2">
        <f>Таблица1[[#This Row],[Дата перевода]]-Таблица1[[#This Row],[Дата поступления]]</f>
        <v>0</v>
      </c>
      <c r="W1696" s="2">
        <f>Таблица1[[#This Row],[Дата поступления]]-Таблица1[[#This Row],[Дата рождения]]</f>
        <v>0</v>
      </c>
    </row>
    <row r="1697" spans="22:23" ht="24.95" customHeight="1" x14ac:dyDescent="0.25">
      <c r="V1697" s="2">
        <f>Таблица1[[#This Row],[Дата перевода]]-Таблица1[[#This Row],[Дата поступления]]</f>
        <v>0</v>
      </c>
      <c r="W1697" s="2">
        <f>Таблица1[[#This Row],[Дата поступления]]-Таблица1[[#This Row],[Дата рождения]]</f>
        <v>0</v>
      </c>
    </row>
    <row r="1698" spans="22:23" ht="24.95" customHeight="1" x14ac:dyDescent="0.25">
      <c r="V1698" s="2">
        <f>Таблица1[[#This Row],[Дата перевода]]-Таблица1[[#This Row],[Дата поступления]]</f>
        <v>0</v>
      </c>
      <c r="W1698" s="2">
        <f>Таблица1[[#This Row],[Дата поступления]]-Таблица1[[#This Row],[Дата рождения]]</f>
        <v>0</v>
      </c>
    </row>
    <row r="1699" spans="22:23" ht="24.95" customHeight="1" x14ac:dyDescent="0.25">
      <c r="V1699" s="2">
        <f>Таблица1[[#This Row],[Дата перевода]]-Таблица1[[#This Row],[Дата поступления]]</f>
        <v>0</v>
      </c>
      <c r="W1699" s="2">
        <f>Таблица1[[#This Row],[Дата поступления]]-Таблица1[[#This Row],[Дата рождения]]</f>
        <v>0</v>
      </c>
    </row>
    <row r="1700" spans="22:23" ht="24.95" customHeight="1" x14ac:dyDescent="0.25">
      <c r="V1700" s="2">
        <f>Таблица1[[#This Row],[Дата перевода]]-Таблица1[[#This Row],[Дата поступления]]</f>
        <v>0</v>
      </c>
      <c r="W1700" s="2">
        <f>Таблица1[[#This Row],[Дата поступления]]-Таблица1[[#This Row],[Дата рождения]]</f>
        <v>0</v>
      </c>
    </row>
    <row r="1701" spans="22:23" ht="24.95" customHeight="1" x14ac:dyDescent="0.25">
      <c r="V1701" s="2">
        <f>Таблица1[[#This Row],[Дата перевода]]-Таблица1[[#This Row],[Дата поступления]]</f>
        <v>0</v>
      </c>
      <c r="W1701" s="2">
        <f>Таблица1[[#This Row],[Дата поступления]]-Таблица1[[#This Row],[Дата рождения]]</f>
        <v>0</v>
      </c>
    </row>
    <row r="1702" spans="22:23" ht="24.95" customHeight="1" x14ac:dyDescent="0.25">
      <c r="V1702" s="2">
        <f>Таблица1[[#This Row],[Дата перевода]]-Таблица1[[#This Row],[Дата поступления]]</f>
        <v>0</v>
      </c>
      <c r="W1702" s="2">
        <f>Таблица1[[#This Row],[Дата поступления]]-Таблица1[[#This Row],[Дата рождения]]</f>
        <v>0</v>
      </c>
    </row>
    <row r="1703" spans="22:23" ht="24.95" customHeight="1" x14ac:dyDescent="0.25">
      <c r="V1703" s="2">
        <f>Таблица1[[#This Row],[Дата перевода]]-Таблица1[[#This Row],[Дата поступления]]</f>
        <v>0</v>
      </c>
      <c r="W1703" s="2">
        <f>Таблица1[[#This Row],[Дата поступления]]-Таблица1[[#This Row],[Дата рождения]]</f>
        <v>0</v>
      </c>
    </row>
    <row r="1704" spans="22:23" ht="24.95" customHeight="1" x14ac:dyDescent="0.25">
      <c r="V1704" s="2">
        <f>Таблица1[[#This Row],[Дата перевода]]-Таблица1[[#This Row],[Дата поступления]]</f>
        <v>0</v>
      </c>
      <c r="W1704" s="2">
        <f>Таблица1[[#This Row],[Дата поступления]]-Таблица1[[#This Row],[Дата рождения]]</f>
        <v>0</v>
      </c>
    </row>
    <row r="1705" spans="22:23" ht="24.95" customHeight="1" x14ac:dyDescent="0.25">
      <c r="V1705" s="2">
        <f>Таблица1[[#This Row],[Дата перевода]]-Таблица1[[#This Row],[Дата поступления]]</f>
        <v>0</v>
      </c>
      <c r="W1705" s="2">
        <f>Таблица1[[#This Row],[Дата поступления]]-Таблица1[[#This Row],[Дата рождения]]</f>
        <v>0</v>
      </c>
    </row>
    <row r="1706" spans="22:23" ht="24.95" customHeight="1" x14ac:dyDescent="0.25">
      <c r="V1706" s="2">
        <f>Таблица1[[#This Row],[Дата перевода]]-Таблица1[[#This Row],[Дата поступления]]</f>
        <v>0</v>
      </c>
      <c r="W1706" s="2">
        <f>Таблица1[[#This Row],[Дата поступления]]-Таблица1[[#This Row],[Дата рождения]]</f>
        <v>0</v>
      </c>
    </row>
    <row r="1707" spans="22:23" ht="24.95" customHeight="1" x14ac:dyDescent="0.25">
      <c r="V1707" s="2">
        <f>Таблица1[[#This Row],[Дата перевода]]-Таблица1[[#This Row],[Дата поступления]]</f>
        <v>0</v>
      </c>
      <c r="W1707" s="2">
        <f>Таблица1[[#This Row],[Дата поступления]]-Таблица1[[#This Row],[Дата рождения]]</f>
        <v>0</v>
      </c>
    </row>
    <row r="1708" spans="22:23" ht="24.95" customHeight="1" x14ac:dyDescent="0.25">
      <c r="V1708" s="2">
        <f>Таблица1[[#This Row],[Дата перевода]]-Таблица1[[#This Row],[Дата поступления]]</f>
        <v>0</v>
      </c>
      <c r="W1708" s="2">
        <f>Таблица1[[#This Row],[Дата поступления]]-Таблица1[[#This Row],[Дата рождения]]</f>
        <v>0</v>
      </c>
    </row>
    <row r="1709" spans="22:23" ht="24.95" customHeight="1" x14ac:dyDescent="0.25">
      <c r="V1709" s="2">
        <f>Таблица1[[#This Row],[Дата перевода]]-Таблица1[[#This Row],[Дата поступления]]</f>
        <v>0</v>
      </c>
      <c r="W1709" s="2">
        <f>Таблица1[[#This Row],[Дата поступления]]-Таблица1[[#This Row],[Дата рождения]]</f>
        <v>0</v>
      </c>
    </row>
    <row r="1710" spans="22:23" ht="24.95" customHeight="1" x14ac:dyDescent="0.25">
      <c r="V1710" s="2">
        <f>Таблица1[[#This Row],[Дата перевода]]-Таблица1[[#This Row],[Дата поступления]]</f>
        <v>0</v>
      </c>
      <c r="W1710" s="2">
        <f>Таблица1[[#This Row],[Дата поступления]]-Таблица1[[#This Row],[Дата рождения]]</f>
        <v>0</v>
      </c>
    </row>
    <row r="1711" spans="22:23" ht="24.95" customHeight="1" x14ac:dyDescent="0.25">
      <c r="V1711" s="2">
        <f>Таблица1[[#This Row],[Дата перевода]]-Таблица1[[#This Row],[Дата поступления]]</f>
        <v>0</v>
      </c>
      <c r="W1711" s="2">
        <f>Таблица1[[#This Row],[Дата поступления]]-Таблица1[[#This Row],[Дата рождения]]</f>
        <v>0</v>
      </c>
    </row>
    <row r="1712" spans="22:23" ht="24.95" customHeight="1" x14ac:dyDescent="0.25">
      <c r="V1712" s="2">
        <f>Таблица1[[#This Row],[Дата перевода]]-Таблица1[[#This Row],[Дата поступления]]</f>
        <v>0</v>
      </c>
      <c r="W1712" s="2">
        <f>Таблица1[[#This Row],[Дата поступления]]-Таблица1[[#This Row],[Дата рождения]]</f>
        <v>0</v>
      </c>
    </row>
    <row r="1713" spans="22:23" ht="24.95" customHeight="1" x14ac:dyDescent="0.25">
      <c r="V1713" s="2">
        <f>Таблица1[[#This Row],[Дата перевода]]-Таблица1[[#This Row],[Дата поступления]]</f>
        <v>0</v>
      </c>
      <c r="W1713" s="2">
        <f>Таблица1[[#This Row],[Дата поступления]]-Таблица1[[#This Row],[Дата рождения]]</f>
        <v>0</v>
      </c>
    </row>
    <row r="1714" spans="22:23" ht="24.95" customHeight="1" x14ac:dyDescent="0.25">
      <c r="V1714" s="2">
        <f>Таблица1[[#This Row],[Дата перевода]]-Таблица1[[#This Row],[Дата поступления]]</f>
        <v>0</v>
      </c>
      <c r="W1714" s="2">
        <f>Таблица1[[#This Row],[Дата поступления]]-Таблица1[[#This Row],[Дата рождения]]</f>
        <v>0</v>
      </c>
    </row>
    <row r="1715" spans="22:23" ht="24.95" customHeight="1" x14ac:dyDescent="0.25">
      <c r="V1715" s="2">
        <f>Таблица1[[#This Row],[Дата перевода]]-Таблица1[[#This Row],[Дата поступления]]</f>
        <v>0</v>
      </c>
      <c r="W1715" s="2">
        <f>Таблица1[[#This Row],[Дата поступления]]-Таблица1[[#This Row],[Дата рождения]]</f>
        <v>0</v>
      </c>
    </row>
    <row r="1716" spans="22:23" ht="24.95" customHeight="1" x14ac:dyDescent="0.25">
      <c r="V1716" s="2">
        <f>Таблица1[[#This Row],[Дата перевода]]-Таблица1[[#This Row],[Дата поступления]]</f>
        <v>0</v>
      </c>
      <c r="W1716" s="2">
        <f>Таблица1[[#This Row],[Дата поступления]]-Таблица1[[#This Row],[Дата рождения]]</f>
        <v>0</v>
      </c>
    </row>
    <row r="1717" spans="22:23" ht="24.95" customHeight="1" x14ac:dyDescent="0.25">
      <c r="V1717" s="2">
        <f>Таблица1[[#This Row],[Дата перевода]]-Таблица1[[#This Row],[Дата поступления]]</f>
        <v>0</v>
      </c>
      <c r="W1717" s="2">
        <f>Таблица1[[#This Row],[Дата поступления]]-Таблица1[[#This Row],[Дата рождения]]</f>
        <v>0</v>
      </c>
    </row>
    <row r="1718" spans="22:23" ht="24.95" customHeight="1" x14ac:dyDescent="0.25">
      <c r="V1718" s="2">
        <f>Таблица1[[#This Row],[Дата перевода]]-Таблица1[[#This Row],[Дата поступления]]</f>
        <v>0</v>
      </c>
      <c r="W1718" s="2">
        <f>Таблица1[[#This Row],[Дата поступления]]-Таблица1[[#This Row],[Дата рождения]]</f>
        <v>0</v>
      </c>
    </row>
    <row r="1719" spans="22:23" ht="24.95" customHeight="1" x14ac:dyDescent="0.25">
      <c r="V1719" s="2">
        <f>Таблица1[[#This Row],[Дата перевода]]-Таблица1[[#This Row],[Дата поступления]]</f>
        <v>0</v>
      </c>
      <c r="W1719" s="2">
        <f>Таблица1[[#This Row],[Дата поступления]]-Таблица1[[#This Row],[Дата рождения]]</f>
        <v>0</v>
      </c>
    </row>
    <row r="1720" spans="22:23" ht="24.95" customHeight="1" x14ac:dyDescent="0.25">
      <c r="V1720" s="2">
        <f>Таблица1[[#This Row],[Дата перевода]]-Таблица1[[#This Row],[Дата поступления]]</f>
        <v>0</v>
      </c>
      <c r="W1720" s="2">
        <f>Таблица1[[#This Row],[Дата поступления]]-Таблица1[[#This Row],[Дата рождения]]</f>
        <v>0</v>
      </c>
    </row>
    <row r="1721" spans="22:23" ht="24.95" customHeight="1" x14ac:dyDescent="0.25">
      <c r="V1721" s="2">
        <f>Таблица1[[#This Row],[Дата перевода]]-Таблица1[[#This Row],[Дата поступления]]</f>
        <v>0</v>
      </c>
      <c r="W1721" s="2">
        <f>Таблица1[[#This Row],[Дата поступления]]-Таблица1[[#This Row],[Дата рождения]]</f>
        <v>0</v>
      </c>
    </row>
    <row r="1722" spans="22:23" ht="24.95" customHeight="1" x14ac:dyDescent="0.25">
      <c r="V1722" s="2">
        <f>Таблица1[[#This Row],[Дата перевода]]-Таблица1[[#This Row],[Дата поступления]]</f>
        <v>0</v>
      </c>
      <c r="W1722" s="2">
        <f>Таблица1[[#This Row],[Дата поступления]]-Таблица1[[#This Row],[Дата рождения]]</f>
        <v>0</v>
      </c>
    </row>
    <row r="1723" spans="22:23" ht="24.95" customHeight="1" x14ac:dyDescent="0.25">
      <c r="V1723" s="2">
        <f>Таблица1[[#This Row],[Дата перевода]]-Таблица1[[#This Row],[Дата поступления]]</f>
        <v>0</v>
      </c>
      <c r="W1723" s="2">
        <f>Таблица1[[#This Row],[Дата поступления]]-Таблица1[[#This Row],[Дата рождения]]</f>
        <v>0</v>
      </c>
    </row>
    <row r="1724" spans="22:23" ht="24.95" customHeight="1" x14ac:dyDescent="0.25">
      <c r="V1724" s="2">
        <f>Таблица1[[#This Row],[Дата перевода]]-Таблица1[[#This Row],[Дата поступления]]</f>
        <v>0</v>
      </c>
      <c r="W1724" s="2">
        <f>Таблица1[[#This Row],[Дата поступления]]-Таблица1[[#This Row],[Дата рождения]]</f>
        <v>0</v>
      </c>
    </row>
    <row r="1725" spans="22:23" ht="24.95" customHeight="1" x14ac:dyDescent="0.25">
      <c r="V1725" s="2">
        <f>Таблица1[[#This Row],[Дата перевода]]-Таблица1[[#This Row],[Дата поступления]]</f>
        <v>0</v>
      </c>
      <c r="W1725" s="2">
        <f>Таблица1[[#This Row],[Дата поступления]]-Таблица1[[#This Row],[Дата рождения]]</f>
        <v>0</v>
      </c>
    </row>
    <row r="1726" spans="22:23" ht="24.95" customHeight="1" x14ac:dyDescent="0.25">
      <c r="V1726" s="2">
        <f>Таблица1[[#This Row],[Дата перевода]]-Таблица1[[#This Row],[Дата поступления]]</f>
        <v>0</v>
      </c>
      <c r="W1726" s="2">
        <f>Таблица1[[#This Row],[Дата поступления]]-Таблица1[[#This Row],[Дата рождения]]</f>
        <v>0</v>
      </c>
    </row>
    <row r="1727" spans="22:23" ht="24.95" customHeight="1" x14ac:dyDescent="0.25">
      <c r="V1727" s="2">
        <f>Таблица1[[#This Row],[Дата перевода]]-Таблица1[[#This Row],[Дата поступления]]</f>
        <v>0</v>
      </c>
      <c r="W1727" s="2">
        <f>Таблица1[[#This Row],[Дата поступления]]-Таблица1[[#This Row],[Дата рождения]]</f>
        <v>0</v>
      </c>
    </row>
    <row r="1728" spans="22:23" ht="24.95" customHeight="1" x14ac:dyDescent="0.25">
      <c r="V1728" s="2">
        <f>Таблица1[[#This Row],[Дата перевода]]-Таблица1[[#This Row],[Дата поступления]]</f>
        <v>0</v>
      </c>
      <c r="W1728" s="2">
        <f>Таблица1[[#This Row],[Дата поступления]]-Таблица1[[#This Row],[Дата рождения]]</f>
        <v>0</v>
      </c>
    </row>
    <row r="1729" spans="22:23" ht="24.95" customHeight="1" x14ac:dyDescent="0.25">
      <c r="V1729" s="2">
        <f>Таблица1[[#This Row],[Дата перевода]]-Таблица1[[#This Row],[Дата поступления]]</f>
        <v>0</v>
      </c>
      <c r="W1729" s="2">
        <f>Таблица1[[#This Row],[Дата поступления]]-Таблица1[[#This Row],[Дата рождения]]</f>
        <v>0</v>
      </c>
    </row>
    <row r="1730" spans="22:23" ht="24.95" customHeight="1" x14ac:dyDescent="0.25">
      <c r="V1730" s="2">
        <f>Таблица1[[#This Row],[Дата перевода]]-Таблица1[[#This Row],[Дата поступления]]</f>
        <v>0</v>
      </c>
      <c r="W1730" s="2">
        <f>Таблица1[[#This Row],[Дата поступления]]-Таблица1[[#This Row],[Дата рождения]]</f>
        <v>0</v>
      </c>
    </row>
    <row r="1731" spans="22:23" ht="24.95" customHeight="1" x14ac:dyDescent="0.25">
      <c r="V1731" s="2">
        <f>Таблица1[[#This Row],[Дата перевода]]-Таблица1[[#This Row],[Дата поступления]]</f>
        <v>0</v>
      </c>
      <c r="W1731" s="2">
        <f>Таблица1[[#This Row],[Дата поступления]]-Таблица1[[#This Row],[Дата рождения]]</f>
        <v>0</v>
      </c>
    </row>
    <row r="1732" spans="22:23" ht="24.95" customHeight="1" x14ac:dyDescent="0.25">
      <c r="V1732" s="2">
        <f>Таблица1[[#This Row],[Дата перевода]]-Таблица1[[#This Row],[Дата поступления]]</f>
        <v>0</v>
      </c>
      <c r="W1732" s="2">
        <f>Таблица1[[#This Row],[Дата поступления]]-Таблица1[[#This Row],[Дата рождения]]</f>
        <v>0</v>
      </c>
    </row>
    <row r="1733" spans="22:23" ht="24.95" customHeight="1" x14ac:dyDescent="0.25">
      <c r="V1733" s="2">
        <f>Таблица1[[#This Row],[Дата перевода]]-Таблица1[[#This Row],[Дата поступления]]</f>
        <v>0</v>
      </c>
      <c r="W1733" s="2">
        <f>Таблица1[[#This Row],[Дата поступления]]-Таблица1[[#This Row],[Дата рождения]]</f>
        <v>0</v>
      </c>
    </row>
    <row r="1734" spans="22:23" ht="24.95" customHeight="1" x14ac:dyDescent="0.25">
      <c r="V1734" s="2">
        <f>Таблица1[[#This Row],[Дата перевода]]-Таблица1[[#This Row],[Дата поступления]]</f>
        <v>0</v>
      </c>
      <c r="W1734" s="2">
        <f>Таблица1[[#This Row],[Дата поступления]]-Таблица1[[#This Row],[Дата рождения]]</f>
        <v>0</v>
      </c>
    </row>
    <row r="1735" spans="22:23" ht="24.95" customHeight="1" x14ac:dyDescent="0.25">
      <c r="V1735" s="2">
        <f>Таблица1[[#This Row],[Дата перевода]]-Таблица1[[#This Row],[Дата поступления]]</f>
        <v>0</v>
      </c>
      <c r="W1735" s="2">
        <f>Таблица1[[#This Row],[Дата поступления]]-Таблица1[[#This Row],[Дата рождения]]</f>
        <v>0</v>
      </c>
    </row>
    <row r="1736" spans="22:23" ht="24.95" customHeight="1" x14ac:dyDescent="0.25">
      <c r="V1736" s="2">
        <f>Таблица1[[#This Row],[Дата перевода]]-Таблица1[[#This Row],[Дата поступления]]</f>
        <v>0</v>
      </c>
      <c r="W1736" s="2">
        <f>Таблица1[[#This Row],[Дата поступления]]-Таблица1[[#This Row],[Дата рождения]]</f>
        <v>0</v>
      </c>
    </row>
    <row r="1737" spans="22:23" ht="24.95" customHeight="1" x14ac:dyDescent="0.25">
      <c r="V1737" s="2">
        <f>Таблица1[[#This Row],[Дата перевода]]-Таблица1[[#This Row],[Дата поступления]]</f>
        <v>0</v>
      </c>
      <c r="W1737" s="2">
        <f>Таблица1[[#This Row],[Дата поступления]]-Таблица1[[#This Row],[Дата рождения]]</f>
        <v>0</v>
      </c>
    </row>
    <row r="1738" spans="22:23" ht="24.95" customHeight="1" x14ac:dyDescent="0.25">
      <c r="V1738" s="2">
        <f>Таблица1[[#This Row],[Дата перевода]]-Таблица1[[#This Row],[Дата поступления]]</f>
        <v>0</v>
      </c>
      <c r="W1738" s="2">
        <f>Таблица1[[#This Row],[Дата поступления]]-Таблица1[[#This Row],[Дата рождения]]</f>
        <v>0</v>
      </c>
    </row>
    <row r="1739" spans="22:23" ht="24.95" customHeight="1" x14ac:dyDescent="0.25">
      <c r="V1739" s="2">
        <f>Таблица1[[#This Row],[Дата перевода]]-Таблица1[[#This Row],[Дата поступления]]</f>
        <v>0</v>
      </c>
      <c r="W1739" s="2">
        <f>Таблица1[[#This Row],[Дата поступления]]-Таблица1[[#This Row],[Дата рождения]]</f>
        <v>0</v>
      </c>
    </row>
    <row r="1740" spans="22:23" ht="24.95" customHeight="1" x14ac:dyDescent="0.25">
      <c r="V1740" s="2">
        <f>Таблица1[[#This Row],[Дата перевода]]-Таблица1[[#This Row],[Дата поступления]]</f>
        <v>0</v>
      </c>
      <c r="W1740" s="2">
        <f>Таблица1[[#This Row],[Дата поступления]]-Таблица1[[#This Row],[Дата рождения]]</f>
        <v>0</v>
      </c>
    </row>
    <row r="1741" spans="22:23" ht="24.95" customHeight="1" x14ac:dyDescent="0.25">
      <c r="V1741" s="2">
        <f>Таблица1[[#This Row],[Дата перевода]]-Таблица1[[#This Row],[Дата поступления]]</f>
        <v>0</v>
      </c>
      <c r="W1741" s="2">
        <f>Таблица1[[#This Row],[Дата поступления]]-Таблица1[[#This Row],[Дата рождения]]</f>
        <v>0</v>
      </c>
    </row>
    <row r="1742" spans="22:23" ht="24.95" customHeight="1" x14ac:dyDescent="0.25">
      <c r="V1742" s="2">
        <f>Таблица1[[#This Row],[Дата перевода]]-Таблица1[[#This Row],[Дата поступления]]</f>
        <v>0</v>
      </c>
      <c r="W1742" s="2">
        <f>Таблица1[[#This Row],[Дата поступления]]-Таблица1[[#This Row],[Дата рождения]]</f>
        <v>0</v>
      </c>
    </row>
    <row r="1743" spans="22:23" ht="24.95" customHeight="1" x14ac:dyDescent="0.25">
      <c r="V1743" s="2">
        <f>Таблица1[[#This Row],[Дата перевода]]-Таблица1[[#This Row],[Дата поступления]]</f>
        <v>0</v>
      </c>
      <c r="W1743" s="2">
        <f>Таблица1[[#This Row],[Дата поступления]]-Таблица1[[#This Row],[Дата рождения]]</f>
        <v>0</v>
      </c>
    </row>
    <row r="1744" spans="22:23" ht="24.95" customHeight="1" x14ac:dyDescent="0.25">
      <c r="V1744" s="2">
        <f>Таблица1[[#This Row],[Дата перевода]]-Таблица1[[#This Row],[Дата поступления]]</f>
        <v>0</v>
      </c>
      <c r="W1744" s="2">
        <f>Таблица1[[#This Row],[Дата поступления]]-Таблица1[[#This Row],[Дата рождения]]</f>
        <v>0</v>
      </c>
    </row>
    <row r="1745" spans="22:23" ht="24.95" customHeight="1" x14ac:dyDescent="0.25">
      <c r="V1745" s="2">
        <f>Таблица1[[#This Row],[Дата перевода]]-Таблица1[[#This Row],[Дата поступления]]</f>
        <v>0</v>
      </c>
      <c r="W1745" s="2">
        <f>Таблица1[[#This Row],[Дата поступления]]-Таблица1[[#This Row],[Дата рождения]]</f>
        <v>0</v>
      </c>
    </row>
    <row r="1746" spans="22:23" ht="24.95" customHeight="1" x14ac:dyDescent="0.25">
      <c r="V1746" s="2">
        <f>Таблица1[[#This Row],[Дата перевода]]-Таблица1[[#This Row],[Дата поступления]]</f>
        <v>0</v>
      </c>
      <c r="W1746" s="2">
        <f>Таблица1[[#This Row],[Дата поступления]]-Таблица1[[#This Row],[Дата рождения]]</f>
        <v>0</v>
      </c>
    </row>
    <row r="1747" spans="22:23" ht="24.95" customHeight="1" x14ac:dyDescent="0.25">
      <c r="V1747" s="2">
        <f>Таблица1[[#This Row],[Дата перевода]]-Таблица1[[#This Row],[Дата поступления]]</f>
        <v>0</v>
      </c>
      <c r="W1747" s="2">
        <f>Таблица1[[#This Row],[Дата поступления]]-Таблица1[[#This Row],[Дата рождения]]</f>
        <v>0</v>
      </c>
    </row>
    <row r="1748" spans="22:23" ht="24.95" customHeight="1" x14ac:dyDescent="0.25">
      <c r="V1748" s="2">
        <f>Таблица1[[#This Row],[Дата перевода]]-Таблица1[[#This Row],[Дата поступления]]</f>
        <v>0</v>
      </c>
      <c r="W1748" s="2">
        <f>Таблица1[[#This Row],[Дата поступления]]-Таблица1[[#This Row],[Дата рождения]]</f>
        <v>0</v>
      </c>
    </row>
    <row r="1749" spans="22:23" ht="24.95" customHeight="1" x14ac:dyDescent="0.25">
      <c r="V1749" s="2">
        <f>Таблица1[[#This Row],[Дата перевода]]-Таблица1[[#This Row],[Дата поступления]]</f>
        <v>0</v>
      </c>
      <c r="W1749" s="2">
        <f>Таблица1[[#This Row],[Дата поступления]]-Таблица1[[#This Row],[Дата рождения]]</f>
        <v>0</v>
      </c>
    </row>
    <row r="1750" spans="22:23" ht="24.95" customHeight="1" x14ac:dyDescent="0.25">
      <c r="V1750" s="2">
        <f>Таблица1[[#This Row],[Дата перевода]]-Таблица1[[#This Row],[Дата поступления]]</f>
        <v>0</v>
      </c>
      <c r="W1750" s="2">
        <f>Таблица1[[#This Row],[Дата поступления]]-Таблица1[[#This Row],[Дата рождения]]</f>
        <v>0</v>
      </c>
    </row>
    <row r="1751" spans="22:23" ht="24.95" customHeight="1" x14ac:dyDescent="0.25">
      <c r="V1751" s="2">
        <f>Таблица1[[#This Row],[Дата перевода]]-Таблица1[[#This Row],[Дата поступления]]</f>
        <v>0</v>
      </c>
      <c r="W1751" s="2">
        <f>Таблица1[[#This Row],[Дата поступления]]-Таблица1[[#This Row],[Дата рождения]]</f>
        <v>0</v>
      </c>
    </row>
    <row r="1752" spans="22:23" ht="24.95" customHeight="1" x14ac:dyDescent="0.25">
      <c r="V1752" s="2">
        <f>Таблица1[[#This Row],[Дата перевода]]-Таблица1[[#This Row],[Дата поступления]]</f>
        <v>0</v>
      </c>
      <c r="W1752" s="2">
        <f>Таблица1[[#This Row],[Дата поступления]]-Таблица1[[#This Row],[Дата рождения]]</f>
        <v>0</v>
      </c>
    </row>
    <row r="1753" spans="22:23" ht="24.95" customHeight="1" x14ac:dyDescent="0.25">
      <c r="V1753" s="2">
        <f>Таблица1[[#This Row],[Дата перевода]]-Таблица1[[#This Row],[Дата поступления]]</f>
        <v>0</v>
      </c>
      <c r="W1753" s="2">
        <f>Таблица1[[#This Row],[Дата поступления]]-Таблица1[[#This Row],[Дата рождения]]</f>
        <v>0</v>
      </c>
    </row>
    <row r="1754" spans="22:23" ht="24.95" customHeight="1" x14ac:dyDescent="0.25">
      <c r="V1754" s="2">
        <f>Таблица1[[#This Row],[Дата перевода]]-Таблица1[[#This Row],[Дата поступления]]</f>
        <v>0</v>
      </c>
      <c r="W1754" s="2">
        <f>Таблица1[[#This Row],[Дата поступления]]-Таблица1[[#This Row],[Дата рождения]]</f>
        <v>0</v>
      </c>
    </row>
    <row r="1755" spans="22:23" ht="24.95" customHeight="1" x14ac:dyDescent="0.25">
      <c r="V1755" s="2">
        <f>Таблица1[[#This Row],[Дата перевода]]-Таблица1[[#This Row],[Дата поступления]]</f>
        <v>0</v>
      </c>
      <c r="W1755" s="2">
        <f>Таблица1[[#This Row],[Дата поступления]]-Таблица1[[#This Row],[Дата рождения]]</f>
        <v>0</v>
      </c>
    </row>
    <row r="1756" spans="22:23" ht="24.95" customHeight="1" x14ac:dyDescent="0.25">
      <c r="V1756" s="2">
        <f>Таблица1[[#This Row],[Дата перевода]]-Таблица1[[#This Row],[Дата поступления]]</f>
        <v>0</v>
      </c>
      <c r="W1756" s="2">
        <f>Таблица1[[#This Row],[Дата поступления]]-Таблица1[[#This Row],[Дата рождения]]</f>
        <v>0</v>
      </c>
    </row>
    <row r="1757" spans="22:23" ht="24.95" customHeight="1" x14ac:dyDescent="0.25">
      <c r="V1757" s="2">
        <f>Таблица1[[#This Row],[Дата перевода]]-Таблица1[[#This Row],[Дата поступления]]</f>
        <v>0</v>
      </c>
      <c r="W1757" s="2">
        <f>Таблица1[[#This Row],[Дата поступления]]-Таблица1[[#This Row],[Дата рождения]]</f>
        <v>0</v>
      </c>
    </row>
    <row r="1758" spans="22:23" ht="24.95" customHeight="1" x14ac:dyDescent="0.25">
      <c r="V1758" s="2">
        <f>Таблица1[[#This Row],[Дата перевода]]-Таблица1[[#This Row],[Дата поступления]]</f>
        <v>0</v>
      </c>
      <c r="W1758" s="2">
        <f>Таблица1[[#This Row],[Дата поступления]]-Таблица1[[#This Row],[Дата рождения]]</f>
        <v>0</v>
      </c>
    </row>
    <row r="1759" spans="22:23" ht="24.95" customHeight="1" x14ac:dyDescent="0.25">
      <c r="V1759" s="2">
        <f>Таблица1[[#This Row],[Дата перевода]]-Таблица1[[#This Row],[Дата поступления]]</f>
        <v>0</v>
      </c>
      <c r="W1759" s="2">
        <f>Таблица1[[#This Row],[Дата поступления]]-Таблица1[[#This Row],[Дата рождения]]</f>
        <v>0</v>
      </c>
    </row>
    <row r="1760" spans="22:23" ht="24.95" customHeight="1" x14ac:dyDescent="0.25">
      <c r="V1760" s="2">
        <f>Таблица1[[#This Row],[Дата перевода]]-Таблица1[[#This Row],[Дата поступления]]</f>
        <v>0</v>
      </c>
      <c r="W1760" s="2">
        <f>Таблица1[[#This Row],[Дата поступления]]-Таблица1[[#This Row],[Дата рождения]]</f>
        <v>0</v>
      </c>
    </row>
    <row r="1761" spans="22:23" ht="24.95" customHeight="1" x14ac:dyDescent="0.25">
      <c r="V1761" s="2">
        <f>Таблица1[[#This Row],[Дата перевода]]-Таблица1[[#This Row],[Дата поступления]]</f>
        <v>0</v>
      </c>
      <c r="W1761" s="2">
        <f>Таблица1[[#This Row],[Дата поступления]]-Таблица1[[#This Row],[Дата рождения]]</f>
        <v>0</v>
      </c>
    </row>
    <row r="1762" spans="22:23" ht="24.95" customHeight="1" x14ac:dyDescent="0.25">
      <c r="V1762" s="2">
        <f>Таблица1[[#This Row],[Дата перевода]]-Таблица1[[#This Row],[Дата поступления]]</f>
        <v>0</v>
      </c>
      <c r="W1762" s="2">
        <f>Таблица1[[#This Row],[Дата поступления]]-Таблица1[[#This Row],[Дата рождения]]</f>
        <v>0</v>
      </c>
    </row>
    <row r="1763" spans="22:23" ht="24.95" customHeight="1" x14ac:dyDescent="0.25">
      <c r="V1763" s="2">
        <f>Таблица1[[#This Row],[Дата перевода]]-Таблица1[[#This Row],[Дата поступления]]</f>
        <v>0</v>
      </c>
      <c r="W1763" s="2">
        <f>Таблица1[[#This Row],[Дата поступления]]-Таблица1[[#This Row],[Дата рождения]]</f>
        <v>0</v>
      </c>
    </row>
    <row r="1764" spans="22:23" ht="24.95" customHeight="1" x14ac:dyDescent="0.25">
      <c r="V1764" s="2">
        <f>Таблица1[[#This Row],[Дата перевода]]-Таблица1[[#This Row],[Дата поступления]]</f>
        <v>0</v>
      </c>
      <c r="W1764" s="2">
        <f>Таблица1[[#This Row],[Дата поступления]]-Таблица1[[#This Row],[Дата рождения]]</f>
        <v>0</v>
      </c>
    </row>
    <row r="1765" spans="22:23" ht="24.95" customHeight="1" x14ac:dyDescent="0.25">
      <c r="V1765" s="2">
        <f>Таблица1[[#This Row],[Дата перевода]]-Таблица1[[#This Row],[Дата поступления]]</f>
        <v>0</v>
      </c>
      <c r="W1765" s="2">
        <f>Таблица1[[#This Row],[Дата поступления]]-Таблица1[[#This Row],[Дата рождения]]</f>
        <v>0</v>
      </c>
    </row>
    <row r="1766" spans="22:23" ht="24.95" customHeight="1" x14ac:dyDescent="0.25">
      <c r="V1766" s="2">
        <f>Таблица1[[#This Row],[Дата перевода]]-Таблица1[[#This Row],[Дата поступления]]</f>
        <v>0</v>
      </c>
      <c r="W1766" s="2">
        <f>Таблица1[[#This Row],[Дата поступления]]-Таблица1[[#This Row],[Дата рождения]]</f>
        <v>0</v>
      </c>
    </row>
    <row r="1767" spans="22:23" ht="24.95" customHeight="1" x14ac:dyDescent="0.25">
      <c r="V1767" s="2">
        <f>Таблица1[[#This Row],[Дата перевода]]-Таблица1[[#This Row],[Дата поступления]]</f>
        <v>0</v>
      </c>
      <c r="W1767" s="2">
        <f>Таблица1[[#This Row],[Дата поступления]]-Таблица1[[#This Row],[Дата рождения]]</f>
        <v>0</v>
      </c>
    </row>
    <row r="1768" spans="22:23" ht="24.95" customHeight="1" x14ac:dyDescent="0.25">
      <c r="V1768" s="2">
        <f>Таблица1[[#This Row],[Дата перевода]]-Таблица1[[#This Row],[Дата поступления]]</f>
        <v>0</v>
      </c>
      <c r="W1768" s="2">
        <f>Таблица1[[#This Row],[Дата поступления]]-Таблица1[[#This Row],[Дата рождения]]</f>
        <v>0</v>
      </c>
    </row>
    <row r="1769" spans="22:23" ht="24.95" customHeight="1" x14ac:dyDescent="0.25">
      <c r="V1769" s="2">
        <f>Таблица1[[#This Row],[Дата перевода]]-Таблица1[[#This Row],[Дата поступления]]</f>
        <v>0</v>
      </c>
      <c r="W1769" s="2">
        <f>Таблица1[[#This Row],[Дата поступления]]-Таблица1[[#This Row],[Дата рождения]]</f>
        <v>0</v>
      </c>
    </row>
    <row r="1770" spans="22:23" ht="24.95" customHeight="1" x14ac:dyDescent="0.25">
      <c r="V1770" s="2">
        <f>Таблица1[[#This Row],[Дата перевода]]-Таблица1[[#This Row],[Дата поступления]]</f>
        <v>0</v>
      </c>
      <c r="W1770" s="2">
        <f>Таблица1[[#This Row],[Дата поступления]]-Таблица1[[#This Row],[Дата рождения]]</f>
        <v>0</v>
      </c>
    </row>
    <row r="1771" spans="22:23" ht="24.95" customHeight="1" x14ac:dyDescent="0.25">
      <c r="V1771" s="2">
        <f>Таблица1[[#This Row],[Дата перевода]]-Таблица1[[#This Row],[Дата поступления]]</f>
        <v>0</v>
      </c>
      <c r="W1771" s="2">
        <f>Таблица1[[#This Row],[Дата поступления]]-Таблица1[[#This Row],[Дата рождения]]</f>
        <v>0</v>
      </c>
    </row>
    <row r="1772" spans="22:23" ht="24.95" customHeight="1" x14ac:dyDescent="0.25">
      <c r="V1772" s="2">
        <f>Таблица1[[#This Row],[Дата перевода]]-Таблица1[[#This Row],[Дата поступления]]</f>
        <v>0</v>
      </c>
      <c r="W1772" s="2">
        <f>Таблица1[[#This Row],[Дата поступления]]-Таблица1[[#This Row],[Дата рождения]]</f>
        <v>0</v>
      </c>
    </row>
    <row r="1773" spans="22:23" ht="24.95" customHeight="1" x14ac:dyDescent="0.25">
      <c r="V1773" s="2">
        <f>Таблица1[[#This Row],[Дата перевода]]-Таблица1[[#This Row],[Дата поступления]]</f>
        <v>0</v>
      </c>
      <c r="W1773" s="2">
        <f>Таблица1[[#This Row],[Дата поступления]]-Таблица1[[#This Row],[Дата рождения]]</f>
        <v>0</v>
      </c>
    </row>
    <row r="1774" spans="22:23" ht="24.95" customHeight="1" x14ac:dyDescent="0.25">
      <c r="V1774" s="2">
        <f>Таблица1[[#This Row],[Дата перевода]]-Таблица1[[#This Row],[Дата поступления]]</f>
        <v>0</v>
      </c>
      <c r="W1774" s="2">
        <f>Таблица1[[#This Row],[Дата поступления]]-Таблица1[[#This Row],[Дата рождения]]</f>
        <v>0</v>
      </c>
    </row>
    <row r="1775" spans="22:23" ht="24.95" customHeight="1" x14ac:dyDescent="0.25">
      <c r="V1775" s="2">
        <f>Таблица1[[#This Row],[Дата перевода]]-Таблица1[[#This Row],[Дата поступления]]</f>
        <v>0</v>
      </c>
      <c r="W1775" s="2">
        <f>Таблица1[[#This Row],[Дата поступления]]-Таблица1[[#This Row],[Дата рождения]]</f>
        <v>0</v>
      </c>
    </row>
    <row r="1776" spans="22:23" ht="24.95" customHeight="1" x14ac:dyDescent="0.25">
      <c r="V1776" s="2">
        <f>Таблица1[[#This Row],[Дата перевода]]-Таблица1[[#This Row],[Дата поступления]]</f>
        <v>0</v>
      </c>
      <c r="W1776" s="2">
        <f>Таблица1[[#This Row],[Дата поступления]]-Таблица1[[#This Row],[Дата рождения]]</f>
        <v>0</v>
      </c>
    </row>
    <row r="1777" spans="22:23" ht="24.95" customHeight="1" x14ac:dyDescent="0.25">
      <c r="V1777" s="2">
        <f>Таблица1[[#This Row],[Дата перевода]]-Таблица1[[#This Row],[Дата поступления]]</f>
        <v>0</v>
      </c>
      <c r="W1777" s="2">
        <f>Таблица1[[#This Row],[Дата поступления]]-Таблица1[[#This Row],[Дата рождения]]</f>
        <v>0</v>
      </c>
    </row>
    <row r="1778" spans="22:23" ht="24.95" customHeight="1" x14ac:dyDescent="0.25">
      <c r="V1778" s="2">
        <f>Таблица1[[#This Row],[Дата перевода]]-Таблица1[[#This Row],[Дата поступления]]</f>
        <v>0</v>
      </c>
      <c r="W1778" s="2">
        <f>Таблица1[[#This Row],[Дата поступления]]-Таблица1[[#This Row],[Дата рождения]]</f>
        <v>0</v>
      </c>
    </row>
    <row r="1779" spans="22:23" ht="24.95" customHeight="1" x14ac:dyDescent="0.25">
      <c r="V1779" s="2">
        <f>Таблица1[[#This Row],[Дата перевода]]-Таблица1[[#This Row],[Дата поступления]]</f>
        <v>0</v>
      </c>
      <c r="W1779" s="2">
        <f>Таблица1[[#This Row],[Дата поступления]]-Таблица1[[#This Row],[Дата рождения]]</f>
        <v>0</v>
      </c>
    </row>
    <row r="1780" spans="22:23" ht="24.95" customHeight="1" x14ac:dyDescent="0.25">
      <c r="V1780" s="2">
        <f>Таблица1[[#This Row],[Дата перевода]]-Таблица1[[#This Row],[Дата поступления]]</f>
        <v>0</v>
      </c>
      <c r="W1780" s="2">
        <f>Таблица1[[#This Row],[Дата поступления]]-Таблица1[[#This Row],[Дата рождения]]</f>
        <v>0</v>
      </c>
    </row>
    <row r="1781" spans="22:23" ht="24.95" customHeight="1" x14ac:dyDescent="0.25">
      <c r="V1781" s="2">
        <f>Таблица1[[#This Row],[Дата перевода]]-Таблица1[[#This Row],[Дата поступления]]</f>
        <v>0</v>
      </c>
      <c r="W1781" s="2">
        <f>Таблица1[[#This Row],[Дата поступления]]-Таблица1[[#This Row],[Дата рождения]]</f>
        <v>0</v>
      </c>
    </row>
    <row r="1782" spans="22:23" ht="24.95" customHeight="1" x14ac:dyDescent="0.25">
      <c r="V1782" s="2">
        <f>Таблица1[[#This Row],[Дата перевода]]-Таблица1[[#This Row],[Дата поступления]]</f>
        <v>0</v>
      </c>
      <c r="W1782" s="2">
        <f>Таблица1[[#This Row],[Дата поступления]]-Таблица1[[#This Row],[Дата рождения]]</f>
        <v>0</v>
      </c>
    </row>
    <row r="1783" spans="22:23" ht="24.95" customHeight="1" x14ac:dyDescent="0.25">
      <c r="V1783" s="2">
        <f>Таблица1[[#This Row],[Дата перевода]]-Таблица1[[#This Row],[Дата поступления]]</f>
        <v>0</v>
      </c>
      <c r="W1783" s="2">
        <f>Таблица1[[#This Row],[Дата поступления]]-Таблица1[[#This Row],[Дата рождения]]</f>
        <v>0</v>
      </c>
    </row>
    <row r="1784" spans="22:23" ht="24.95" customHeight="1" x14ac:dyDescent="0.25">
      <c r="V1784" s="2">
        <f>Таблица1[[#This Row],[Дата перевода]]-Таблица1[[#This Row],[Дата поступления]]</f>
        <v>0</v>
      </c>
      <c r="W1784" s="2">
        <f>Таблица1[[#This Row],[Дата поступления]]-Таблица1[[#This Row],[Дата рождения]]</f>
        <v>0</v>
      </c>
    </row>
    <row r="1785" spans="22:23" ht="24.95" customHeight="1" x14ac:dyDescent="0.25">
      <c r="V1785" s="2">
        <f>Таблица1[[#This Row],[Дата перевода]]-Таблица1[[#This Row],[Дата поступления]]</f>
        <v>0</v>
      </c>
      <c r="W1785" s="2">
        <f>Таблица1[[#This Row],[Дата поступления]]-Таблица1[[#This Row],[Дата рождения]]</f>
        <v>0</v>
      </c>
    </row>
    <row r="1786" spans="22:23" ht="24.95" customHeight="1" x14ac:dyDescent="0.25">
      <c r="V1786" s="2">
        <f>Таблица1[[#This Row],[Дата перевода]]-Таблица1[[#This Row],[Дата поступления]]</f>
        <v>0</v>
      </c>
      <c r="W1786" s="2">
        <f>Таблица1[[#This Row],[Дата поступления]]-Таблица1[[#This Row],[Дата рождения]]</f>
        <v>0</v>
      </c>
    </row>
    <row r="1787" spans="22:23" ht="24.95" customHeight="1" x14ac:dyDescent="0.25">
      <c r="V1787" s="2">
        <f>Таблица1[[#This Row],[Дата перевода]]-Таблица1[[#This Row],[Дата поступления]]</f>
        <v>0</v>
      </c>
      <c r="W1787" s="2">
        <f>Таблица1[[#This Row],[Дата поступления]]-Таблица1[[#This Row],[Дата рождения]]</f>
        <v>0</v>
      </c>
    </row>
    <row r="1788" spans="22:23" ht="24.95" customHeight="1" x14ac:dyDescent="0.25">
      <c r="V1788" s="2">
        <f>Таблица1[[#This Row],[Дата перевода]]-Таблица1[[#This Row],[Дата поступления]]</f>
        <v>0</v>
      </c>
      <c r="W1788" s="2">
        <f>Таблица1[[#This Row],[Дата поступления]]-Таблица1[[#This Row],[Дата рождения]]</f>
        <v>0</v>
      </c>
    </row>
    <row r="1789" spans="22:23" ht="24.95" customHeight="1" x14ac:dyDescent="0.25">
      <c r="V1789" s="2">
        <f>Таблица1[[#This Row],[Дата перевода]]-Таблица1[[#This Row],[Дата поступления]]</f>
        <v>0</v>
      </c>
      <c r="W1789" s="2">
        <f>Таблица1[[#This Row],[Дата поступления]]-Таблица1[[#This Row],[Дата рождения]]</f>
        <v>0</v>
      </c>
    </row>
    <row r="1790" spans="22:23" ht="24.95" customHeight="1" x14ac:dyDescent="0.25">
      <c r="V1790" s="2">
        <f>Таблица1[[#This Row],[Дата перевода]]-Таблица1[[#This Row],[Дата поступления]]</f>
        <v>0</v>
      </c>
      <c r="W1790" s="2">
        <f>Таблица1[[#This Row],[Дата поступления]]-Таблица1[[#This Row],[Дата рождения]]</f>
        <v>0</v>
      </c>
    </row>
    <row r="1791" spans="22:23" ht="24.95" customHeight="1" x14ac:dyDescent="0.25">
      <c r="V1791" s="2">
        <f>Таблица1[[#This Row],[Дата перевода]]-Таблица1[[#This Row],[Дата поступления]]</f>
        <v>0</v>
      </c>
      <c r="W1791" s="2">
        <f>Таблица1[[#This Row],[Дата поступления]]-Таблица1[[#This Row],[Дата рождения]]</f>
        <v>0</v>
      </c>
    </row>
    <row r="1792" spans="22:23" ht="24.95" customHeight="1" x14ac:dyDescent="0.25">
      <c r="V1792" s="2">
        <f>Таблица1[[#This Row],[Дата перевода]]-Таблица1[[#This Row],[Дата поступления]]</f>
        <v>0</v>
      </c>
      <c r="W1792" s="2">
        <f>Таблица1[[#This Row],[Дата поступления]]-Таблица1[[#This Row],[Дата рождения]]</f>
        <v>0</v>
      </c>
    </row>
    <row r="1793" spans="22:23" ht="24.95" customHeight="1" x14ac:dyDescent="0.25">
      <c r="V1793" s="2">
        <f>Таблица1[[#This Row],[Дата перевода]]-Таблица1[[#This Row],[Дата поступления]]</f>
        <v>0</v>
      </c>
      <c r="W1793" s="2">
        <f>Таблица1[[#This Row],[Дата поступления]]-Таблица1[[#This Row],[Дата рождения]]</f>
        <v>0</v>
      </c>
    </row>
    <row r="1794" spans="22:23" ht="24.95" customHeight="1" x14ac:dyDescent="0.25">
      <c r="V1794" s="2">
        <f>Таблица1[[#This Row],[Дата перевода]]-Таблица1[[#This Row],[Дата поступления]]</f>
        <v>0</v>
      </c>
      <c r="W1794" s="2">
        <f>Таблица1[[#This Row],[Дата поступления]]-Таблица1[[#This Row],[Дата рождения]]</f>
        <v>0</v>
      </c>
    </row>
    <row r="1795" spans="22:23" ht="24.95" customHeight="1" x14ac:dyDescent="0.25">
      <c r="V1795" s="2">
        <f>Таблица1[[#This Row],[Дата перевода]]-Таблица1[[#This Row],[Дата поступления]]</f>
        <v>0</v>
      </c>
      <c r="W1795" s="2">
        <f>Таблица1[[#This Row],[Дата поступления]]-Таблица1[[#This Row],[Дата рождения]]</f>
        <v>0</v>
      </c>
    </row>
    <row r="1796" spans="22:23" ht="24.95" customHeight="1" x14ac:dyDescent="0.25">
      <c r="V1796" s="2">
        <f>Таблица1[[#This Row],[Дата перевода]]-Таблица1[[#This Row],[Дата поступления]]</f>
        <v>0</v>
      </c>
      <c r="W1796" s="2">
        <f>Таблица1[[#This Row],[Дата поступления]]-Таблица1[[#This Row],[Дата рождения]]</f>
        <v>0</v>
      </c>
    </row>
    <row r="1797" spans="22:23" ht="24.95" customHeight="1" x14ac:dyDescent="0.25">
      <c r="V1797" s="2">
        <f>Таблица1[[#This Row],[Дата перевода]]-Таблица1[[#This Row],[Дата поступления]]</f>
        <v>0</v>
      </c>
      <c r="W1797" s="2">
        <f>Таблица1[[#This Row],[Дата поступления]]-Таблица1[[#This Row],[Дата рождения]]</f>
        <v>0</v>
      </c>
    </row>
    <row r="1798" spans="22:23" ht="24.95" customHeight="1" x14ac:dyDescent="0.25">
      <c r="V1798" s="2">
        <f>Таблица1[[#This Row],[Дата перевода]]-Таблица1[[#This Row],[Дата поступления]]</f>
        <v>0</v>
      </c>
      <c r="W1798" s="2">
        <f>Таблица1[[#This Row],[Дата поступления]]-Таблица1[[#This Row],[Дата рождения]]</f>
        <v>0</v>
      </c>
    </row>
    <row r="1799" spans="22:23" ht="24.95" customHeight="1" x14ac:dyDescent="0.25">
      <c r="V1799" s="2">
        <f>Таблица1[[#This Row],[Дата перевода]]-Таблица1[[#This Row],[Дата поступления]]</f>
        <v>0</v>
      </c>
      <c r="W1799" s="2">
        <f>Таблица1[[#This Row],[Дата поступления]]-Таблица1[[#This Row],[Дата рождения]]</f>
        <v>0</v>
      </c>
    </row>
    <row r="1800" spans="22:23" ht="24.95" customHeight="1" x14ac:dyDescent="0.25">
      <c r="V1800" s="2">
        <f>Таблица1[[#This Row],[Дата перевода]]-Таблица1[[#This Row],[Дата поступления]]</f>
        <v>0</v>
      </c>
      <c r="W1800" s="2">
        <f>Таблица1[[#This Row],[Дата поступления]]-Таблица1[[#This Row],[Дата рождения]]</f>
        <v>0</v>
      </c>
    </row>
    <row r="1801" spans="22:23" ht="24.95" customHeight="1" x14ac:dyDescent="0.25">
      <c r="V1801" s="2">
        <f>Таблица1[[#This Row],[Дата перевода]]-Таблица1[[#This Row],[Дата поступления]]</f>
        <v>0</v>
      </c>
      <c r="W1801" s="2">
        <f>Таблица1[[#This Row],[Дата поступления]]-Таблица1[[#This Row],[Дата рождения]]</f>
        <v>0</v>
      </c>
    </row>
    <row r="1802" spans="22:23" ht="24.95" customHeight="1" x14ac:dyDescent="0.25">
      <c r="V1802" s="2">
        <f>Таблица1[[#This Row],[Дата перевода]]-Таблица1[[#This Row],[Дата поступления]]</f>
        <v>0</v>
      </c>
      <c r="W1802" s="2">
        <f>Таблица1[[#This Row],[Дата поступления]]-Таблица1[[#This Row],[Дата рождения]]</f>
        <v>0</v>
      </c>
    </row>
    <row r="1803" spans="22:23" ht="24.95" customHeight="1" x14ac:dyDescent="0.25">
      <c r="V1803" s="2">
        <f>Таблица1[[#This Row],[Дата перевода]]-Таблица1[[#This Row],[Дата поступления]]</f>
        <v>0</v>
      </c>
      <c r="W1803" s="2">
        <f>Таблица1[[#This Row],[Дата поступления]]-Таблица1[[#This Row],[Дата рождения]]</f>
        <v>0</v>
      </c>
    </row>
    <row r="1804" spans="22:23" ht="24.95" customHeight="1" x14ac:dyDescent="0.25">
      <c r="V1804" s="2">
        <f>Таблица1[[#This Row],[Дата перевода]]-Таблица1[[#This Row],[Дата поступления]]</f>
        <v>0</v>
      </c>
      <c r="W1804" s="2">
        <f>Таблица1[[#This Row],[Дата поступления]]-Таблица1[[#This Row],[Дата рождения]]</f>
        <v>0</v>
      </c>
    </row>
    <row r="1805" spans="22:23" ht="24.95" customHeight="1" x14ac:dyDescent="0.25">
      <c r="V1805" s="2">
        <f>Таблица1[[#This Row],[Дата перевода]]-Таблица1[[#This Row],[Дата поступления]]</f>
        <v>0</v>
      </c>
      <c r="W1805" s="2">
        <f>Таблица1[[#This Row],[Дата поступления]]-Таблица1[[#This Row],[Дата рождения]]</f>
        <v>0</v>
      </c>
    </row>
    <row r="1806" spans="22:23" ht="24.95" customHeight="1" x14ac:dyDescent="0.25">
      <c r="V1806" s="2">
        <f>Таблица1[[#This Row],[Дата перевода]]-Таблица1[[#This Row],[Дата поступления]]</f>
        <v>0</v>
      </c>
      <c r="W1806" s="2">
        <f>Таблица1[[#This Row],[Дата поступления]]-Таблица1[[#This Row],[Дата рождения]]</f>
        <v>0</v>
      </c>
    </row>
    <row r="1807" spans="22:23" ht="24.95" customHeight="1" x14ac:dyDescent="0.25">
      <c r="V1807" s="2">
        <f>Таблица1[[#This Row],[Дата перевода]]-Таблица1[[#This Row],[Дата поступления]]</f>
        <v>0</v>
      </c>
      <c r="W1807" s="2">
        <f>Таблица1[[#This Row],[Дата поступления]]-Таблица1[[#This Row],[Дата рождения]]</f>
        <v>0</v>
      </c>
    </row>
    <row r="1808" spans="22:23" ht="24.95" customHeight="1" x14ac:dyDescent="0.25">
      <c r="V1808" s="2">
        <f>Таблица1[[#This Row],[Дата перевода]]-Таблица1[[#This Row],[Дата поступления]]</f>
        <v>0</v>
      </c>
      <c r="W1808" s="2">
        <f>Таблица1[[#This Row],[Дата поступления]]-Таблица1[[#This Row],[Дата рождения]]</f>
        <v>0</v>
      </c>
    </row>
    <row r="1809" spans="22:23" ht="24.95" customHeight="1" x14ac:dyDescent="0.25">
      <c r="V1809" s="2">
        <f>Таблица1[[#This Row],[Дата перевода]]-Таблица1[[#This Row],[Дата поступления]]</f>
        <v>0</v>
      </c>
      <c r="W1809" s="2">
        <f>Таблица1[[#This Row],[Дата поступления]]-Таблица1[[#This Row],[Дата рождения]]</f>
        <v>0</v>
      </c>
    </row>
    <row r="1810" spans="22:23" ht="24.95" customHeight="1" x14ac:dyDescent="0.25">
      <c r="V1810" s="2">
        <f>Таблица1[[#This Row],[Дата перевода]]-Таблица1[[#This Row],[Дата поступления]]</f>
        <v>0</v>
      </c>
      <c r="W1810" s="2">
        <f>Таблица1[[#This Row],[Дата поступления]]-Таблица1[[#This Row],[Дата рождения]]</f>
        <v>0</v>
      </c>
    </row>
    <row r="1811" spans="22:23" ht="24.95" customHeight="1" x14ac:dyDescent="0.25">
      <c r="V1811" s="2">
        <f>Таблица1[[#This Row],[Дата перевода]]-Таблица1[[#This Row],[Дата поступления]]</f>
        <v>0</v>
      </c>
      <c r="W1811" s="2">
        <f>Таблица1[[#This Row],[Дата поступления]]-Таблица1[[#This Row],[Дата рождения]]</f>
        <v>0</v>
      </c>
    </row>
    <row r="1812" spans="22:23" ht="24.95" customHeight="1" x14ac:dyDescent="0.25">
      <c r="V1812" s="2">
        <f>Таблица1[[#This Row],[Дата перевода]]-Таблица1[[#This Row],[Дата поступления]]</f>
        <v>0</v>
      </c>
      <c r="W1812" s="2">
        <f>Таблица1[[#This Row],[Дата поступления]]-Таблица1[[#This Row],[Дата рождения]]</f>
        <v>0</v>
      </c>
    </row>
    <row r="1813" spans="22:23" ht="24.95" customHeight="1" x14ac:dyDescent="0.25">
      <c r="V1813" s="2">
        <f>Таблица1[[#This Row],[Дата перевода]]-Таблица1[[#This Row],[Дата поступления]]</f>
        <v>0</v>
      </c>
      <c r="W1813" s="2">
        <f>Таблица1[[#This Row],[Дата поступления]]-Таблица1[[#This Row],[Дата рождения]]</f>
        <v>0</v>
      </c>
    </row>
    <row r="1814" spans="22:23" ht="24.95" customHeight="1" x14ac:dyDescent="0.25">
      <c r="V1814" s="2">
        <f>Таблица1[[#This Row],[Дата перевода]]-Таблица1[[#This Row],[Дата поступления]]</f>
        <v>0</v>
      </c>
      <c r="W1814" s="2">
        <f>Таблица1[[#This Row],[Дата поступления]]-Таблица1[[#This Row],[Дата рождения]]</f>
        <v>0</v>
      </c>
    </row>
    <row r="1815" spans="22:23" ht="24.95" customHeight="1" x14ac:dyDescent="0.25">
      <c r="V1815" s="2">
        <f>Таблица1[[#This Row],[Дата перевода]]-Таблица1[[#This Row],[Дата поступления]]</f>
        <v>0</v>
      </c>
      <c r="W1815" s="2">
        <f>Таблица1[[#This Row],[Дата поступления]]-Таблица1[[#This Row],[Дата рождения]]</f>
        <v>0</v>
      </c>
    </row>
    <row r="1816" spans="22:23" ht="24.95" customHeight="1" x14ac:dyDescent="0.25">
      <c r="V1816" s="2">
        <f>Таблица1[[#This Row],[Дата перевода]]-Таблица1[[#This Row],[Дата поступления]]</f>
        <v>0</v>
      </c>
      <c r="W1816" s="2">
        <f>Таблица1[[#This Row],[Дата поступления]]-Таблица1[[#This Row],[Дата рождения]]</f>
        <v>0</v>
      </c>
    </row>
    <row r="1817" spans="22:23" ht="24.95" customHeight="1" x14ac:dyDescent="0.25">
      <c r="V1817" s="2">
        <f>Таблица1[[#This Row],[Дата перевода]]-Таблица1[[#This Row],[Дата поступления]]</f>
        <v>0</v>
      </c>
      <c r="W1817" s="2">
        <f>Таблица1[[#This Row],[Дата поступления]]-Таблица1[[#This Row],[Дата рождения]]</f>
        <v>0</v>
      </c>
    </row>
    <row r="1818" spans="22:23" ht="24.95" customHeight="1" x14ac:dyDescent="0.25">
      <c r="V1818" s="2">
        <f>Таблица1[[#This Row],[Дата перевода]]-Таблица1[[#This Row],[Дата поступления]]</f>
        <v>0</v>
      </c>
      <c r="W1818" s="2">
        <f>Таблица1[[#This Row],[Дата поступления]]-Таблица1[[#This Row],[Дата рождения]]</f>
        <v>0</v>
      </c>
    </row>
    <row r="1819" spans="22:23" ht="24.95" customHeight="1" x14ac:dyDescent="0.25">
      <c r="V1819" s="2">
        <f>Таблица1[[#This Row],[Дата перевода]]-Таблица1[[#This Row],[Дата поступления]]</f>
        <v>0</v>
      </c>
      <c r="W1819" s="2">
        <f>Таблица1[[#This Row],[Дата поступления]]-Таблица1[[#This Row],[Дата рождения]]</f>
        <v>0</v>
      </c>
    </row>
    <row r="1820" spans="22:23" ht="24.95" customHeight="1" x14ac:dyDescent="0.25">
      <c r="V1820" s="2">
        <f>Таблица1[[#This Row],[Дата перевода]]-Таблица1[[#This Row],[Дата поступления]]</f>
        <v>0</v>
      </c>
      <c r="W1820" s="2">
        <f>Таблица1[[#This Row],[Дата поступления]]-Таблица1[[#This Row],[Дата рождения]]</f>
        <v>0</v>
      </c>
    </row>
    <row r="1821" spans="22:23" ht="24.95" customHeight="1" x14ac:dyDescent="0.25">
      <c r="V1821" s="2">
        <f>Таблица1[[#This Row],[Дата перевода]]-Таблица1[[#This Row],[Дата поступления]]</f>
        <v>0</v>
      </c>
      <c r="W1821" s="2">
        <f>Таблица1[[#This Row],[Дата поступления]]-Таблица1[[#This Row],[Дата рождения]]</f>
        <v>0</v>
      </c>
    </row>
    <row r="1822" spans="22:23" ht="24.95" customHeight="1" x14ac:dyDescent="0.25">
      <c r="V1822" s="2">
        <f>Таблица1[[#This Row],[Дата перевода]]-Таблица1[[#This Row],[Дата поступления]]</f>
        <v>0</v>
      </c>
      <c r="W1822" s="2">
        <f>Таблица1[[#This Row],[Дата поступления]]-Таблица1[[#This Row],[Дата рождения]]</f>
        <v>0</v>
      </c>
    </row>
    <row r="1823" spans="22:23" ht="24.95" customHeight="1" x14ac:dyDescent="0.25">
      <c r="V1823" s="2">
        <f>Таблица1[[#This Row],[Дата перевода]]-Таблица1[[#This Row],[Дата поступления]]</f>
        <v>0</v>
      </c>
      <c r="W1823" s="2">
        <f>Таблица1[[#This Row],[Дата поступления]]-Таблица1[[#This Row],[Дата рождения]]</f>
        <v>0</v>
      </c>
    </row>
    <row r="1824" spans="22:23" ht="24.95" customHeight="1" x14ac:dyDescent="0.25">
      <c r="V1824" s="2">
        <f>Таблица1[[#This Row],[Дата перевода]]-Таблица1[[#This Row],[Дата поступления]]</f>
        <v>0</v>
      </c>
      <c r="W1824" s="2">
        <f>Таблица1[[#This Row],[Дата поступления]]-Таблица1[[#This Row],[Дата рождения]]</f>
        <v>0</v>
      </c>
    </row>
    <row r="1825" spans="22:23" ht="24.95" customHeight="1" x14ac:dyDescent="0.25">
      <c r="V1825" s="2">
        <f>Таблица1[[#This Row],[Дата перевода]]-Таблица1[[#This Row],[Дата поступления]]</f>
        <v>0</v>
      </c>
      <c r="W1825" s="2">
        <f>Таблица1[[#This Row],[Дата поступления]]-Таблица1[[#This Row],[Дата рождения]]</f>
        <v>0</v>
      </c>
    </row>
    <row r="1826" spans="22:23" ht="24.95" customHeight="1" x14ac:dyDescent="0.25">
      <c r="V1826" s="2">
        <f>Таблица1[[#This Row],[Дата перевода]]-Таблица1[[#This Row],[Дата поступления]]</f>
        <v>0</v>
      </c>
      <c r="W1826" s="2">
        <f>Таблица1[[#This Row],[Дата поступления]]-Таблица1[[#This Row],[Дата рождения]]</f>
        <v>0</v>
      </c>
    </row>
    <row r="1827" spans="22:23" ht="24.95" customHeight="1" x14ac:dyDescent="0.25">
      <c r="V1827" s="2">
        <f>Таблица1[[#This Row],[Дата перевода]]-Таблица1[[#This Row],[Дата поступления]]</f>
        <v>0</v>
      </c>
      <c r="W1827" s="2">
        <f>Таблица1[[#This Row],[Дата поступления]]-Таблица1[[#This Row],[Дата рождения]]</f>
        <v>0</v>
      </c>
    </row>
    <row r="1828" spans="22:23" ht="24.95" customHeight="1" x14ac:dyDescent="0.25">
      <c r="V1828" s="2">
        <f>Таблица1[[#This Row],[Дата перевода]]-Таблица1[[#This Row],[Дата поступления]]</f>
        <v>0</v>
      </c>
      <c r="W1828" s="2">
        <f>Таблица1[[#This Row],[Дата поступления]]-Таблица1[[#This Row],[Дата рождения]]</f>
        <v>0</v>
      </c>
    </row>
    <row r="1829" spans="22:23" ht="24.95" customHeight="1" x14ac:dyDescent="0.25">
      <c r="V1829" s="2">
        <f>Таблица1[[#This Row],[Дата перевода]]-Таблица1[[#This Row],[Дата поступления]]</f>
        <v>0</v>
      </c>
      <c r="W1829" s="2">
        <f>Таблица1[[#This Row],[Дата поступления]]-Таблица1[[#This Row],[Дата рождения]]</f>
        <v>0</v>
      </c>
    </row>
    <row r="1830" spans="22:23" ht="24.95" customHeight="1" x14ac:dyDescent="0.25">
      <c r="V1830" s="2">
        <f>Таблица1[[#This Row],[Дата перевода]]-Таблица1[[#This Row],[Дата поступления]]</f>
        <v>0</v>
      </c>
      <c r="W1830" s="2">
        <f>Таблица1[[#This Row],[Дата поступления]]-Таблица1[[#This Row],[Дата рождения]]</f>
        <v>0</v>
      </c>
    </row>
    <row r="1831" spans="22:23" ht="24.95" customHeight="1" x14ac:dyDescent="0.25">
      <c r="V1831" s="2">
        <f>Таблица1[[#This Row],[Дата перевода]]-Таблица1[[#This Row],[Дата поступления]]</f>
        <v>0</v>
      </c>
      <c r="W1831" s="2">
        <f>Таблица1[[#This Row],[Дата поступления]]-Таблица1[[#This Row],[Дата рождения]]</f>
        <v>0</v>
      </c>
    </row>
    <row r="1832" spans="22:23" ht="24.95" customHeight="1" x14ac:dyDescent="0.25">
      <c r="V1832" s="2">
        <f>Таблица1[[#This Row],[Дата перевода]]-Таблица1[[#This Row],[Дата поступления]]</f>
        <v>0</v>
      </c>
      <c r="W1832" s="2">
        <f>Таблица1[[#This Row],[Дата поступления]]-Таблица1[[#This Row],[Дата рождения]]</f>
        <v>0</v>
      </c>
    </row>
    <row r="1833" spans="22:23" ht="24.95" customHeight="1" x14ac:dyDescent="0.25">
      <c r="V1833" s="2">
        <f>Таблица1[[#This Row],[Дата перевода]]-Таблица1[[#This Row],[Дата поступления]]</f>
        <v>0</v>
      </c>
      <c r="W1833" s="2">
        <f>Таблица1[[#This Row],[Дата поступления]]-Таблица1[[#This Row],[Дата рождения]]</f>
        <v>0</v>
      </c>
    </row>
    <row r="1834" spans="22:23" ht="24.95" customHeight="1" x14ac:dyDescent="0.25">
      <c r="V1834" s="2">
        <f>Таблица1[[#This Row],[Дата перевода]]-Таблица1[[#This Row],[Дата поступления]]</f>
        <v>0</v>
      </c>
      <c r="W1834" s="2">
        <f>Таблица1[[#This Row],[Дата поступления]]-Таблица1[[#This Row],[Дата рождения]]</f>
        <v>0</v>
      </c>
    </row>
    <row r="1835" spans="22:23" ht="24.95" customHeight="1" x14ac:dyDescent="0.25">
      <c r="V1835" s="2">
        <f>Таблица1[[#This Row],[Дата перевода]]-Таблица1[[#This Row],[Дата поступления]]</f>
        <v>0</v>
      </c>
      <c r="W1835" s="2">
        <f>Таблица1[[#This Row],[Дата поступления]]-Таблица1[[#This Row],[Дата рождения]]</f>
        <v>0</v>
      </c>
    </row>
    <row r="1836" spans="22:23" ht="24.95" customHeight="1" x14ac:dyDescent="0.25">
      <c r="V1836" s="2">
        <f>Таблица1[[#This Row],[Дата перевода]]-Таблица1[[#This Row],[Дата поступления]]</f>
        <v>0</v>
      </c>
      <c r="W1836" s="2">
        <f>Таблица1[[#This Row],[Дата поступления]]-Таблица1[[#This Row],[Дата рождения]]</f>
        <v>0</v>
      </c>
    </row>
    <row r="1837" spans="22:23" ht="24.95" customHeight="1" x14ac:dyDescent="0.25">
      <c r="V1837" s="2">
        <f>Таблица1[[#This Row],[Дата перевода]]-Таблица1[[#This Row],[Дата поступления]]</f>
        <v>0</v>
      </c>
      <c r="W1837" s="2">
        <f>Таблица1[[#This Row],[Дата поступления]]-Таблица1[[#This Row],[Дата рождения]]</f>
        <v>0</v>
      </c>
    </row>
    <row r="1838" spans="22:23" ht="24.95" customHeight="1" x14ac:dyDescent="0.25">
      <c r="V1838" s="2">
        <f>Таблица1[[#This Row],[Дата перевода]]-Таблица1[[#This Row],[Дата поступления]]</f>
        <v>0</v>
      </c>
      <c r="W1838" s="2">
        <f>Таблица1[[#This Row],[Дата поступления]]-Таблица1[[#This Row],[Дата рождения]]</f>
        <v>0</v>
      </c>
    </row>
    <row r="1839" spans="22:23" ht="24.95" customHeight="1" x14ac:dyDescent="0.25">
      <c r="V1839" s="2">
        <f>Таблица1[[#This Row],[Дата перевода]]-Таблица1[[#This Row],[Дата поступления]]</f>
        <v>0</v>
      </c>
      <c r="W1839" s="2">
        <f>Таблица1[[#This Row],[Дата поступления]]-Таблица1[[#This Row],[Дата рождения]]</f>
        <v>0</v>
      </c>
    </row>
    <row r="1840" spans="22:23" ht="24.95" customHeight="1" x14ac:dyDescent="0.25">
      <c r="V1840" s="2">
        <f>Таблица1[[#This Row],[Дата перевода]]-Таблица1[[#This Row],[Дата поступления]]</f>
        <v>0</v>
      </c>
      <c r="W1840" s="2">
        <f>Таблица1[[#This Row],[Дата поступления]]-Таблица1[[#This Row],[Дата рождения]]</f>
        <v>0</v>
      </c>
    </row>
    <row r="1841" spans="22:23" ht="24.95" customHeight="1" x14ac:dyDescent="0.25">
      <c r="V1841" s="2">
        <f>Таблица1[[#This Row],[Дата перевода]]-Таблица1[[#This Row],[Дата поступления]]</f>
        <v>0</v>
      </c>
      <c r="W1841" s="2">
        <f>Таблица1[[#This Row],[Дата поступления]]-Таблица1[[#This Row],[Дата рождения]]</f>
        <v>0</v>
      </c>
    </row>
    <row r="1842" spans="22:23" ht="24.95" customHeight="1" x14ac:dyDescent="0.25">
      <c r="V1842" s="2">
        <f>Таблица1[[#This Row],[Дата перевода]]-Таблица1[[#This Row],[Дата поступления]]</f>
        <v>0</v>
      </c>
      <c r="W1842" s="2">
        <f>Таблица1[[#This Row],[Дата поступления]]-Таблица1[[#This Row],[Дата рождения]]</f>
        <v>0</v>
      </c>
    </row>
    <row r="1843" spans="22:23" ht="24.95" customHeight="1" x14ac:dyDescent="0.25">
      <c r="V1843" s="2">
        <f>Таблица1[[#This Row],[Дата перевода]]-Таблица1[[#This Row],[Дата поступления]]</f>
        <v>0</v>
      </c>
      <c r="W1843" s="2">
        <f>Таблица1[[#This Row],[Дата поступления]]-Таблица1[[#This Row],[Дата рождения]]</f>
        <v>0</v>
      </c>
    </row>
    <row r="1844" spans="22:23" ht="24.95" customHeight="1" x14ac:dyDescent="0.25">
      <c r="V1844" s="2">
        <f>Таблица1[[#This Row],[Дата перевода]]-Таблица1[[#This Row],[Дата поступления]]</f>
        <v>0</v>
      </c>
      <c r="W1844" s="2">
        <f>Таблица1[[#This Row],[Дата поступления]]-Таблица1[[#This Row],[Дата рождения]]</f>
        <v>0</v>
      </c>
    </row>
    <row r="1845" spans="22:23" ht="24.95" customHeight="1" x14ac:dyDescent="0.25">
      <c r="V1845" s="2">
        <f>Таблица1[[#This Row],[Дата перевода]]-Таблица1[[#This Row],[Дата поступления]]</f>
        <v>0</v>
      </c>
      <c r="W1845" s="2">
        <f>Таблица1[[#This Row],[Дата поступления]]-Таблица1[[#This Row],[Дата рождения]]</f>
        <v>0</v>
      </c>
    </row>
    <row r="1846" spans="22:23" ht="24.95" customHeight="1" x14ac:dyDescent="0.25">
      <c r="V1846" s="2">
        <f>Таблица1[[#This Row],[Дата перевода]]-Таблица1[[#This Row],[Дата поступления]]</f>
        <v>0</v>
      </c>
      <c r="W1846" s="2">
        <f>Таблица1[[#This Row],[Дата поступления]]-Таблица1[[#This Row],[Дата рождения]]</f>
        <v>0</v>
      </c>
    </row>
    <row r="1847" spans="22:23" ht="24.95" customHeight="1" x14ac:dyDescent="0.25">
      <c r="V1847" s="2">
        <f>Таблица1[[#This Row],[Дата перевода]]-Таблица1[[#This Row],[Дата поступления]]</f>
        <v>0</v>
      </c>
      <c r="W1847" s="2">
        <f>Таблица1[[#This Row],[Дата поступления]]-Таблица1[[#This Row],[Дата рождения]]</f>
        <v>0</v>
      </c>
    </row>
    <row r="1848" spans="22:23" ht="24.95" customHeight="1" x14ac:dyDescent="0.25">
      <c r="V1848" s="2">
        <f>Таблица1[[#This Row],[Дата перевода]]-Таблица1[[#This Row],[Дата поступления]]</f>
        <v>0</v>
      </c>
      <c r="W1848" s="2">
        <f>Таблица1[[#This Row],[Дата поступления]]-Таблица1[[#This Row],[Дата рождения]]</f>
        <v>0</v>
      </c>
    </row>
    <row r="1849" spans="22:23" ht="24.95" customHeight="1" x14ac:dyDescent="0.25">
      <c r="V1849" s="2">
        <f>Таблица1[[#This Row],[Дата перевода]]-Таблица1[[#This Row],[Дата поступления]]</f>
        <v>0</v>
      </c>
      <c r="W1849" s="2">
        <f>Таблица1[[#This Row],[Дата поступления]]-Таблица1[[#This Row],[Дата рождения]]</f>
        <v>0</v>
      </c>
    </row>
    <row r="1850" spans="22:23" ht="24.95" customHeight="1" x14ac:dyDescent="0.25">
      <c r="V1850" s="2">
        <f>Таблица1[[#This Row],[Дата перевода]]-Таблица1[[#This Row],[Дата поступления]]</f>
        <v>0</v>
      </c>
      <c r="W1850" s="2">
        <f>Таблица1[[#This Row],[Дата поступления]]-Таблица1[[#This Row],[Дата рождения]]</f>
        <v>0</v>
      </c>
    </row>
    <row r="1851" spans="22:23" ht="24.95" customHeight="1" x14ac:dyDescent="0.25">
      <c r="V1851" s="2">
        <f>Таблица1[[#This Row],[Дата перевода]]-Таблица1[[#This Row],[Дата поступления]]</f>
        <v>0</v>
      </c>
      <c r="W1851" s="2">
        <f>Таблица1[[#This Row],[Дата поступления]]-Таблица1[[#This Row],[Дата рождения]]</f>
        <v>0</v>
      </c>
    </row>
    <row r="1852" spans="22:23" ht="24.95" customHeight="1" x14ac:dyDescent="0.25">
      <c r="V1852" s="2">
        <f>Таблица1[[#This Row],[Дата перевода]]-Таблица1[[#This Row],[Дата поступления]]</f>
        <v>0</v>
      </c>
      <c r="W1852" s="2">
        <f>Таблица1[[#This Row],[Дата поступления]]-Таблица1[[#This Row],[Дата рождения]]</f>
        <v>0</v>
      </c>
    </row>
    <row r="1853" spans="22:23" ht="24.95" customHeight="1" x14ac:dyDescent="0.25">
      <c r="V1853" s="2">
        <f>Таблица1[[#This Row],[Дата перевода]]-Таблица1[[#This Row],[Дата поступления]]</f>
        <v>0</v>
      </c>
      <c r="W1853" s="2">
        <f>Таблица1[[#This Row],[Дата поступления]]-Таблица1[[#This Row],[Дата рождения]]</f>
        <v>0</v>
      </c>
    </row>
    <row r="1854" spans="22:23" ht="24.95" customHeight="1" x14ac:dyDescent="0.25">
      <c r="V1854" s="2">
        <f>Таблица1[[#This Row],[Дата перевода]]-Таблица1[[#This Row],[Дата поступления]]</f>
        <v>0</v>
      </c>
      <c r="W1854" s="2">
        <f>Таблица1[[#This Row],[Дата поступления]]-Таблица1[[#This Row],[Дата рождения]]</f>
        <v>0</v>
      </c>
    </row>
    <row r="1855" spans="22:23" ht="24.95" customHeight="1" x14ac:dyDescent="0.25">
      <c r="V1855" s="2">
        <f>Таблица1[[#This Row],[Дата перевода]]-Таблица1[[#This Row],[Дата поступления]]</f>
        <v>0</v>
      </c>
      <c r="W1855" s="2">
        <f>Таблица1[[#This Row],[Дата поступления]]-Таблица1[[#This Row],[Дата рождения]]</f>
        <v>0</v>
      </c>
    </row>
    <row r="1856" spans="22:23" ht="24.95" customHeight="1" x14ac:dyDescent="0.25">
      <c r="V1856" s="2">
        <f>Таблица1[[#This Row],[Дата перевода]]-Таблица1[[#This Row],[Дата поступления]]</f>
        <v>0</v>
      </c>
      <c r="W1856" s="2">
        <f>Таблица1[[#This Row],[Дата поступления]]-Таблица1[[#This Row],[Дата рождения]]</f>
        <v>0</v>
      </c>
    </row>
    <row r="1857" spans="22:23" ht="24.95" customHeight="1" x14ac:dyDescent="0.25">
      <c r="V1857" s="2">
        <f>Таблица1[[#This Row],[Дата перевода]]-Таблица1[[#This Row],[Дата поступления]]</f>
        <v>0</v>
      </c>
      <c r="W1857" s="2">
        <f>Таблица1[[#This Row],[Дата поступления]]-Таблица1[[#This Row],[Дата рождения]]</f>
        <v>0</v>
      </c>
    </row>
    <row r="1858" spans="22:23" ht="24.95" customHeight="1" x14ac:dyDescent="0.25">
      <c r="V1858" s="2">
        <f>Таблица1[[#This Row],[Дата перевода]]-Таблица1[[#This Row],[Дата поступления]]</f>
        <v>0</v>
      </c>
      <c r="W1858" s="2">
        <f>Таблица1[[#This Row],[Дата поступления]]-Таблица1[[#This Row],[Дата рождения]]</f>
        <v>0</v>
      </c>
    </row>
    <row r="1859" spans="22:23" ht="24.95" customHeight="1" x14ac:dyDescent="0.25">
      <c r="V1859" s="2">
        <f>Таблица1[[#This Row],[Дата перевода]]-Таблица1[[#This Row],[Дата поступления]]</f>
        <v>0</v>
      </c>
      <c r="W1859" s="2">
        <f>Таблица1[[#This Row],[Дата поступления]]-Таблица1[[#This Row],[Дата рождения]]</f>
        <v>0</v>
      </c>
    </row>
    <row r="1860" spans="22:23" ht="24.95" customHeight="1" x14ac:dyDescent="0.25">
      <c r="V1860" s="2">
        <f>Таблица1[[#This Row],[Дата перевода]]-Таблица1[[#This Row],[Дата поступления]]</f>
        <v>0</v>
      </c>
      <c r="W1860" s="2">
        <f>Таблица1[[#This Row],[Дата поступления]]-Таблица1[[#This Row],[Дата рождения]]</f>
        <v>0</v>
      </c>
    </row>
    <row r="1861" spans="22:23" ht="24.95" customHeight="1" x14ac:dyDescent="0.25">
      <c r="V1861" s="2">
        <f>Таблица1[[#This Row],[Дата перевода]]-Таблица1[[#This Row],[Дата поступления]]</f>
        <v>0</v>
      </c>
      <c r="W1861" s="2">
        <f>Таблица1[[#This Row],[Дата поступления]]-Таблица1[[#This Row],[Дата рождения]]</f>
        <v>0</v>
      </c>
    </row>
    <row r="1862" spans="22:23" ht="24.95" customHeight="1" x14ac:dyDescent="0.25">
      <c r="V1862" s="2">
        <f>Таблица1[[#This Row],[Дата перевода]]-Таблица1[[#This Row],[Дата поступления]]</f>
        <v>0</v>
      </c>
      <c r="W1862" s="2">
        <f>Таблица1[[#This Row],[Дата поступления]]-Таблица1[[#This Row],[Дата рождения]]</f>
        <v>0</v>
      </c>
    </row>
    <row r="1863" spans="22:23" ht="24.95" customHeight="1" x14ac:dyDescent="0.25">
      <c r="V1863" s="2">
        <f>Таблица1[[#This Row],[Дата перевода]]-Таблица1[[#This Row],[Дата поступления]]</f>
        <v>0</v>
      </c>
      <c r="W1863" s="2">
        <f>Таблица1[[#This Row],[Дата поступления]]-Таблица1[[#This Row],[Дата рождения]]</f>
        <v>0</v>
      </c>
    </row>
    <row r="1864" spans="22:23" ht="24.95" customHeight="1" x14ac:dyDescent="0.25">
      <c r="V1864" s="2">
        <f>Таблица1[[#This Row],[Дата перевода]]-Таблица1[[#This Row],[Дата поступления]]</f>
        <v>0</v>
      </c>
      <c r="W1864" s="2">
        <f>Таблица1[[#This Row],[Дата поступления]]-Таблица1[[#This Row],[Дата рождения]]</f>
        <v>0</v>
      </c>
    </row>
    <row r="1865" spans="22:23" ht="24.95" customHeight="1" x14ac:dyDescent="0.25">
      <c r="V1865" s="2">
        <f>Таблица1[[#This Row],[Дата перевода]]-Таблица1[[#This Row],[Дата поступления]]</f>
        <v>0</v>
      </c>
      <c r="W1865" s="2">
        <f>Таблица1[[#This Row],[Дата поступления]]-Таблица1[[#This Row],[Дата рождения]]</f>
        <v>0</v>
      </c>
    </row>
    <row r="1866" spans="22:23" ht="24.95" customHeight="1" x14ac:dyDescent="0.25">
      <c r="V1866" s="2">
        <f>Таблица1[[#This Row],[Дата перевода]]-Таблица1[[#This Row],[Дата поступления]]</f>
        <v>0</v>
      </c>
      <c r="W1866" s="2">
        <f>Таблица1[[#This Row],[Дата поступления]]-Таблица1[[#This Row],[Дата рождения]]</f>
        <v>0</v>
      </c>
    </row>
    <row r="1867" spans="22:23" ht="24.95" customHeight="1" x14ac:dyDescent="0.25">
      <c r="V1867" s="2">
        <f>Таблица1[[#This Row],[Дата перевода]]-Таблица1[[#This Row],[Дата поступления]]</f>
        <v>0</v>
      </c>
      <c r="W1867" s="2">
        <f>Таблица1[[#This Row],[Дата поступления]]-Таблица1[[#This Row],[Дата рождения]]</f>
        <v>0</v>
      </c>
    </row>
    <row r="1868" spans="22:23" ht="24.95" customHeight="1" x14ac:dyDescent="0.25">
      <c r="V1868" s="2">
        <f>Таблица1[[#This Row],[Дата перевода]]-Таблица1[[#This Row],[Дата поступления]]</f>
        <v>0</v>
      </c>
      <c r="W1868" s="2">
        <f>Таблица1[[#This Row],[Дата поступления]]-Таблица1[[#This Row],[Дата рождения]]</f>
        <v>0</v>
      </c>
    </row>
    <row r="1869" spans="22:23" ht="24.95" customHeight="1" x14ac:dyDescent="0.25">
      <c r="V1869" s="2">
        <f>Таблица1[[#This Row],[Дата перевода]]-Таблица1[[#This Row],[Дата поступления]]</f>
        <v>0</v>
      </c>
      <c r="W1869" s="2">
        <f>Таблица1[[#This Row],[Дата поступления]]-Таблица1[[#This Row],[Дата рождения]]</f>
        <v>0</v>
      </c>
    </row>
    <row r="1870" spans="22:23" ht="24.95" customHeight="1" x14ac:dyDescent="0.25">
      <c r="V1870" s="2">
        <f>Таблица1[[#This Row],[Дата перевода]]-Таблица1[[#This Row],[Дата поступления]]</f>
        <v>0</v>
      </c>
      <c r="W1870" s="2">
        <f>Таблица1[[#This Row],[Дата поступления]]-Таблица1[[#This Row],[Дата рождения]]</f>
        <v>0</v>
      </c>
    </row>
    <row r="1871" spans="22:23" ht="24.95" customHeight="1" x14ac:dyDescent="0.25">
      <c r="V1871" s="2">
        <f>Таблица1[[#This Row],[Дата перевода]]-Таблица1[[#This Row],[Дата поступления]]</f>
        <v>0</v>
      </c>
      <c r="W1871" s="2">
        <f>Таблица1[[#This Row],[Дата поступления]]-Таблица1[[#This Row],[Дата рождения]]</f>
        <v>0</v>
      </c>
    </row>
    <row r="1872" spans="22:23" ht="24.95" customHeight="1" x14ac:dyDescent="0.25">
      <c r="V1872" s="2">
        <f>Таблица1[[#This Row],[Дата перевода]]-Таблица1[[#This Row],[Дата поступления]]</f>
        <v>0</v>
      </c>
      <c r="W1872" s="2">
        <f>Таблица1[[#This Row],[Дата поступления]]-Таблица1[[#This Row],[Дата рождения]]</f>
        <v>0</v>
      </c>
    </row>
    <row r="1873" spans="22:23" ht="24.95" customHeight="1" x14ac:dyDescent="0.25">
      <c r="V1873" s="2">
        <f>Таблица1[[#This Row],[Дата перевода]]-Таблица1[[#This Row],[Дата поступления]]</f>
        <v>0</v>
      </c>
      <c r="W1873" s="2">
        <f>Таблица1[[#This Row],[Дата поступления]]-Таблица1[[#This Row],[Дата рождения]]</f>
        <v>0</v>
      </c>
    </row>
    <row r="1874" spans="22:23" ht="24.95" customHeight="1" x14ac:dyDescent="0.25">
      <c r="V1874" s="2">
        <f>Таблица1[[#This Row],[Дата перевода]]-Таблица1[[#This Row],[Дата поступления]]</f>
        <v>0</v>
      </c>
      <c r="W1874" s="2">
        <f>Таблица1[[#This Row],[Дата поступления]]-Таблица1[[#This Row],[Дата рождения]]</f>
        <v>0</v>
      </c>
    </row>
    <row r="1875" spans="22:23" ht="24.95" customHeight="1" x14ac:dyDescent="0.25">
      <c r="V1875" s="2">
        <f>Таблица1[[#This Row],[Дата перевода]]-Таблица1[[#This Row],[Дата поступления]]</f>
        <v>0</v>
      </c>
      <c r="W1875" s="2">
        <f>Таблица1[[#This Row],[Дата поступления]]-Таблица1[[#This Row],[Дата рождения]]</f>
        <v>0</v>
      </c>
    </row>
    <row r="1876" spans="22:23" ht="24.95" customHeight="1" x14ac:dyDescent="0.25">
      <c r="V1876" s="2">
        <f>Таблица1[[#This Row],[Дата перевода]]-Таблица1[[#This Row],[Дата поступления]]</f>
        <v>0</v>
      </c>
      <c r="W1876" s="2">
        <f>Таблица1[[#This Row],[Дата поступления]]-Таблица1[[#This Row],[Дата рождения]]</f>
        <v>0</v>
      </c>
    </row>
    <row r="1877" spans="22:23" ht="24.95" customHeight="1" x14ac:dyDescent="0.25">
      <c r="V1877" s="2">
        <f>Таблица1[[#This Row],[Дата перевода]]-Таблица1[[#This Row],[Дата поступления]]</f>
        <v>0</v>
      </c>
      <c r="W1877" s="2">
        <f>Таблица1[[#This Row],[Дата поступления]]-Таблица1[[#This Row],[Дата рождения]]</f>
        <v>0</v>
      </c>
    </row>
    <row r="1878" spans="22:23" ht="24.95" customHeight="1" x14ac:dyDescent="0.25">
      <c r="V1878" s="2">
        <f>Таблица1[[#This Row],[Дата перевода]]-Таблица1[[#This Row],[Дата поступления]]</f>
        <v>0</v>
      </c>
      <c r="W1878" s="2">
        <f>Таблица1[[#This Row],[Дата поступления]]-Таблица1[[#This Row],[Дата рождения]]</f>
        <v>0</v>
      </c>
    </row>
    <row r="1879" spans="22:23" ht="24.95" customHeight="1" x14ac:dyDescent="0.25">
      <c r="V1879" s="2">
        <f>Таблица1[[#This Row],[Дата перевода]]-Таблица1[[#This Row],[Дата поступления]]</f>
        <v>0</v>
      </c>
      <c r="W1879" s="2">
        <f>Таблица1[[#This Row],[Дата поступления]]-Таблица1[[#This Row],[Дата рождения]]</f>
        <v>0</v>
      </c>
    </row>
    <row r="1880" spans="22:23" ht="24.95" customHeight="1" x14ac:dyDescent="0.25">
      <c r="V1880" s="2">
        <f>Таблица1[[#This Row],[Дата перевода]]-Таблица1[[#This Row],[Дата поступления]]</f>
        <v>0</v>
      </c>
      <c r="W1880" s="2">
        <f>Таблица1[[#This Row],[Дата поступления]]-Таблица1[[#This Row],[Дата рождения]]</f>
        <v>0</v>
      </c>
    </row>
    <row r="1881" spans="22:23" ht="24.95" customHeight="1" x14ac:dyDescent="0.25">
      <c r="V1881" s="2">
        <f>Таблица1[[#This Row],[Дата перевода]]-Таблица1[[#This Row],[Дата поступления]]</f>
        <v>0</v>
      </c>
      <c r="W1881" s="2">
        <f>Таблица1[[#This Row],[Дата поступления]]-Таблица1[[#This Row],[Дата рождения]]</f>
        <v>0</v>
      </c>
    </row>
    <row r="1882" spans="22:23" ht="24.95" customHeight="1" x14ac:dyDescent="0.25">
      <c r="V1882" s="2">
        <f>Таблица1[[#This Row],[Дата перевода]]-Таблица1[[#This Row],[Дата поступления]]</f>
        <v>0</v>
      </c>
      <c r="W1882" s="2">
        <f>Таблица1[[#This Row],[Дата поступления]]-Таблица1[[#This Row],[Дата рождения]]</f>
        <v>0</v>
      </c>
    </row>
    <row r="1883" spans="22:23" ht="24.95" customHeight="1" x14ac:dyDescent="0.25">
      <c r="V1883" s="2">
        <f>Таблица1[[#This Row],[Дата перевода]]-Таблица1[[#This Row],[Дата поступления]]</f>
        <v>0</v>
      </c>
      <c r="W1883" s="2">
        <f>Таблица1[[#This Row],[Дата поступления]]-Таблица1[[#This Row],[Дата рождения]]</f>
        <v>0</v>
      </c>
    </row>
    <row r="1884" spans="22:23" ht="24.95" customHeight="1" x14ac:dyDescent="0.25">
      <c r="V1884" s="2">
        <f>Таблица1[[#This Row],[Дата перевода]]-Таблица1[[#This Row],[Дата поступления]]</f>
        <v>0</v>
      </c>
      <c r="W1884" s="2">
        <f>Таблица1[[#This Row],[Дата поступления]]-Таблица1[[#This Row],[Дата рождения]]</f>
        <v>0</v>
      </c>
    </row>
    <row r="1885" spans="22:23" ht="24.95" customHeight="1" x14ac:dyDescent="0.25">
      <c r="V1885" s="2">
        <f>Таблица1[[#This Row],[Дата перевода]]-Таблица1[[#This Row],[Дата поступления]]</f>
        <v>0</v>
      </c>
      <c r="W1885" s="2">
        <f>Таблица1[[#This Row],[Дата поступления]]-Таблица1[[#This Row],[Дата рождения]]</f>
        <v>0</v>
      </c>
    </row>
    <row r="1886" spans="22:23" ht="24.95" customHeight="1" x14ac:dyDescent="0.25">
      <c r="V1886" s="2">
        <f>Таблица1[[#This Row],[Дата перевода]]-Таблица1[[#This Row],[Дата поступления]]</f>
        <v>0</v>
      </c>
      <c r="W1886" s="2">
        <f>Таблица1[[#This Row],[Дата поступления]]-Таблица1[[#This Row],[Дата рождения]]</f>
        <v>0</v>
      </c>
    </row>
    <row r="1887" spans="22:23" ht="24.95" customHeight="1" x14ac:dyDescent="0.25">
      <c r="V1887" s="2">
        <f>Таблица1[[#This Row],[Дата перевода]]-Таблица1[[#This Row],[Дата поступления]]</f>
        <v>0</v>
      </c>
      <c r="W1887" s="2">
        <f>Таблица1[[#This Row],[Дата поступления]]-Таблица1[[#This Row],[Дата рождения]]</f>
        <v>0</v>
      </c>
    </row>
    <row r="1888" spans="22:23" ht="24.95" customHeight="1" x14ac:dyDescent="0.25">
      <c r="V1888" s="2">
        <f>Таблица1[[#This Row],[Дата перевода]]-Таблица1[[#This Row],[Дата поступления]]</f>
        <v>0</v>
      </c>
      <c r="W1888" s="2">
        <f>Таблица1[[#This Row],[Дата поступления]]-Таблица1[[#This Row],[Дата рождения]]</f>
        <v>0</v>
      </c>
    </row>
    <row r="1889" spans="22:23" ht="24.95" customHeight="1" x14ac:dyDescent="0.25">
      <c r="V1889" s="2">
        <f>Таблица1[[#This Row],[Дата перевода]]-Таблица1[[#This Row],[Дата поступления]]</f>
        <v>0</v>
      </c>
      <c r="W1889" s="2">
        <f>Таблица1[[#This Row],[Дата поступления]]-Таблица1[[#This Row],[Дата рождения]]</f>
        <v>0</v>
      </c>
    </row>
    <row r="1890" spans="22:23" ht="24.95" customHeight="1" x14ac:dyDescent="0.25">
      <c r="V1890" s="2">
        <f>Таблица1[[#This Row],[Дата перевода]]-Таблица1[[#This Row],[Дата поступления]]</f>
        <v>0</v>
      </c>
      <c r="W1890" s="2">
        <f>Таблица1[[#This Row],[Дата поступления]]-Таблица1[[#This Row],[Дата рождения]]</f>
        <v>0</v>
      </c>
    </row>
    <row r="1891" spans="22:23" ht="24.95" customHeight="1" x14ac:dyDescent="0.25">
      <c r="V1891" s="2">
        <f>Таблица1[[#This Row],[Дата перевода]]-Таблица1[[#This Row],[Дата поступления]]</f>
        <v>0</v>
      </c>
      <c r="W1891" s="2">
        <f>Таблица1[[#This Row],[Дата поступления]]-Таблица1[[#This Row],[Дата рождения]]</f>
        <v>0</v>
      </c>
    </row>
    <row r="1892" spans="22:23" ht="24.95" customHeight="1" x14ac:dyDescent="0.25">
      <c r="V1892" s="2">
        <f>Таблица1[[#This Row],[Дата перевода]]-Таблица1[[#This Row],[Дата поступления]]</f>
        <v>0</v>
      </c>
      <c r="W1892" s="2">
        <f>Таблица1[[#This Row],[Дата поступления]]-Таблица1[[#This Row],[Дата рождения]]</f>
        <v>0</v>
      </c>
    </row>
    <row r="1893" spans="22:23" ht="24.95" customHeight="1" x14ac:dyDescent="0.25">
      <c r="V1893" s="2">
        <f>Таблица1[[#This Row],[Дата перевода]]-Таблица1[[#This Row],[Дата поступления]]</f>
        <v>0</v>
      </c>
      <c r="W1893" s="2">
        <f>Таблица1[[#This Row],[Дата поступления]]-Таблица1[[#This Row],[Дата рождения]]</f>
        <v>0</v>
      </c>
    </row>
    <row r="1894" spans="22:23" ht="24.95" customHeight="1" x14ac:dyDescent="0.25">
      <c r="V1894" s="2">
        <f>Таблица1[[#This Row],[Дата перевода]]-Таблица1[[#This Row],[Дата поступления]]</f>
        <v>0</v>
      </c>
      <c r="W1894" s="2">
        <f>Таблица1[[#This Row],[Дата поступления]]-Таблица1[[#This Row],[Дата рождения]]</f>
        <v>0</v>
      </c>
    </row>
    <row r="1895" spans="22:23" ht="24.95" customHeight="1" x14ac:dyDescent="0.25">
      <c r="V1895" s="2">
        <f>Таблица1[[#This Row],[Дата перевода]]-Таблица1[[#This Row],[Дата поступления]]</f>
        <v>0</v>
      </c>
      <c r="W1895" s="2">
        <f>Таблица1[[#This Row],[Дата поступления]]-Таблица1[[#This Row],[Дата рождения]]</f>
        <v>0</v>
      </c>
    </row>
    <row r="1896" spans="22:23" ht="24.95" customHeight="1" x14ac:dyDescent="0.25">
      <c r="V1896" s="2">
        <f>Таблица1[[#This Row],[Дата перевода]]-Таблица1[[#This Row],[Дата поступления]]</f>
        <v>0</v>
      </c>
      <c r="W1896" s="2">
        <f>Таблица1[[#This Row],[Дата поступления]]-Таблица1[[#This Row],[Дата рождения]]</f>
        <v>0</v>
      </c>
    </row>
    <row r="1897" spans="22:23" ht="24.95" customHeight="1" x14ac:dyDescent="0.25">
      <c r="V1897" s="2">
        <f>Таблица1[[#This Row],[Дата перевода]]-Таблица1[[#This Row],[Дата поступления]]</f>
        <v>0</v>
      </c>
      <c r="W1897" s="2">
        <f>Таблица1[[#This Row],[Дата поступления]]-Таблица1[[#This Row],[Дата рождения]]</f>
        <v>0</v>
      </c>
    </row>
    <row r="1898" spans="22:23" ht="24.95" customHeight="1" x14ac:dyDescent="0.25">
      <c r="V1898" s="2">
        <f>Таблица1[[#This Row],[Дата перевода]]-Таблица1[[#This Row],[Дата поступления]]</f>
        <v>0</v>
      </c>
      <c r="W1898" s="2">
        <f>Таблица1[[#This Row],[Дата поступления]]-Таблица1[[#This Row],[Дата рождения]]</f>
        <v>0</v>
      </c>
    </row>
    <row r="1899" spans="22:23" ht="24.95" customHeight="1" x14ac:dyDescent="0.25">
      <c r="V1899" s="2">
        <f>Таблица1[[#This Row],[Дата перевода]]-Таблица1[[#This Row],[Дата поступления]]</f>
        <v>0</v>
      </c>
      <c r="W1899" s="2">
        <f>Таблица1[[#This Row],[Дата поступления]]-Таблица1[[#This Row],[Дата рождения]]</f>
        <v>0</v>
      </c>
    </row>
    <row r="1900" spans="22:23" ht="24.95" customHeight="1" x14ac:dyDescent="0.25">
      <c r="V1900" s="2">
        <f>Таблица1[[#This Row],[Дата перевода]]-Таблица1[[#This Row],[Дата поступления]]</f>
        <v>0</v>
      </c>
      <c r="W1900" s="2">
        <f>Таблица1[[#This Row],[Дата поступления]]-Таблица1[[#This Row],[Дата рождения]]</f>
        <v>0</v>
      </c>
    </row>
    <row r="1901" spans="22:23" ht="24.95" customHeight="1" x14ac:dyDescent="0.25">
      <c r="V1901" s="2">
        <f>Таблица1[[#This Row],[Дата перевода]]-Таблица1[[#This Row],[Дата поступления]]</f>
        <v>0</v>
      </c>
      <c r="W1901" s="2">
        <f>Таблица1[[#This Row],[Дата поступления]]-Таблица1[[#This Row],[Дата рождения]]</f>
        <v>0</v>
      </c>
    </row>
    <row r="1902" spans="22:23" ht="24.95" customHeight="1" x14ac:dyDescent="0.25">
      <c r="V1902" s="2">
        <f>Таблица1[[#This Row],[Дата перевода]]-Таблица1[[#This Row],[Дата поступления]]</f>
        <v>0</v>
      </c>
      <c r="W1902" s="2">
        <f>Таблица1[[#This Row],[Дата поступления]]-Таблица1[[#This Row],[Дата рождения]]</f>
        <v>0</v>
      </c>
    </row>
    <row r="1903" spans="22:23" ht="24.95" customHeight="1" x14ac:dyDescent="0.25">
      <c r="V1903" s="2">
        <f>Таблица1[[#This Row],[Дата перевода]]-Таблица1[[#This Row],[Дата поступления]]</f>
        <v>0</v>
      </c>
      <c r="W1903" s="2">
        <f>Таблица1[[#This Row],[Дата поступления]]-Таблица1[[#This Row],[Дата рождения]]</f>
        <v>0</v>
      </c>
    </row>
    <row r="1904" spans="22:23" ht="24.95" customHeight="1" x14ac:dyDescent="0.25">
      <c r="V1904" s="2">
        <f>Таблица1[[#This Row],[Дата перевода]]-Таблица1[[#This Row],[Дата поступления]]</f>
        <v>0</v>
      </c>
      <c r="W1904" s="2">
        <f>Таблица1[[#This Row],[Дата поступления]]-Таблица1[[#This Row],[Дата рождения]]</f>
        <v>0</v>
      </c>
    </row>
    <row r="1905" spans="22:23" ht="24.95" customHeight="1" x14ac:dyDescent="0.25">
      <c r="V1905" s="2">
        <f>Таблица1[[#This Row],[Дата перевода]]-Таблица1[[#This Row],[Дата поступления]]</f>
        <v>0</v>
      </c>
      <c r="W1905" s="2">
        <f>Таблица1[[#This Row],[Дата поступления]]-Таблица1[[#This Row],[Дата рождения]]</f>
        <v>0</v>
      </c>
    </row>
    <row r="1906" spans="22:23" ht="24.95" customHeight="1" x14ac:dyDescent="0.25">
      <c r="V1906" s="2">
        <f>Таблица1[[#This Row],[Дата перевода]]-Таблица1[[#This Row],[Дата поступления]]</f>
        <v>0</v>
      </c>
      <c r="W1906" s="2">
        <f>Таблица1[[#This Row],[Дата поступления]]-Таблица1[[#This Row],[Дата рождения]]</f>
        <v>0</v>
      </c>
    </row>
    <row r="1907" spans="22:23" ht="24.95" customHeight="1" x14ac:dyDescent="0.25">
      <c r="V1907" s="2">
        <f>Таблица1[[#This Row],[Дата перевода]]-Таблица1[[#This Row],[Дата поступления]]</f>
        <v>0</v>
      </c>
      <c r="W1907" s="2">
        <f>Таблица1[[#This Row],[Дата поступления]]-Таблица1[[#This Row],[Дата рождения]]</f>
        <v>0</v>
      </c>
    </row>
    <row r="1908" spans="22:23" ht="24.95" customHeight="1" x14ac:dyDescent="0.25">
      <c r="V1908" s="2">
        <f>Таблица1[[#This Row],[Дата перевода]]-Таблица1[[#This Row],[Дата поступления]]</f>
        <v>0</v>
      </c>
      <c r="W1908" s="2">
        <f>Таблица1[[#This Row],[Дата поступления]]-Таблица1[[#This Row],[Дата рождения]]</f>
        <v>0</v>
      </c>
    </row>
    <row r="1909" spans="22:23" ht="24.95" customHeight="1" x14ac:dyDescent="0.25">
      <c r="V1909" s="2">
        <f>Таблица1[[#This Row],[Дата перевода]]-Таблица1[[#This Row],[Дата поступления]]</f>
        <v>0</v>
      </c>
      <c r="W1909" s="2">
        <f>Таблица1[[#This Row],[Дата поступления]]-Таблица1[[#This Row],[Дата рождения]]</f>
        <v>0</v>
      </c>
    </row>
    <row r="1910" spans="22:23" ht="24.95" customHeight="1" x14ac:dyDescent="0.25">
      <c r="V1910" s="2">
        <f>Таблица1[[#This Row],[Дата перевода]]-Таблица1[[#This Row],[Дата поступления]]</f>
        <v>0</v>
      </c>
      <c r="W1910" s="2">
        <f>Таблица1[[#This Row],[Дата поступления]]-Таблица1[[#This Row],[Дата рождения]]</f>
        <v>0</v>
      </c>
    </row>
    <row r="1911" spans="22:23" ht="24.95" customHeight="1" x14ac:dyDescent="0.25">
      <c r="V1911" s="2">
        <f>Таблица1[[#This Row],[Дата перевода]]-Таблица1[[#This Row],[Дата поступления]]</f>
        <v>0</v>
      </c>
      <c r="W1911" s="2">
        <f>Таблица1[[#This Row],[Дата поступления]]-Таблица1[[#This Row],[Дата рождения]]</f>
        <v>0</v>
      </c>
    </row>
    <row r="1912" spans="22:23" ht="24.95" customHeight="1" x14ac:dyDescent="0.25">
      <c r="V1912" s="2">
        <f>Таблица1[[#This Row],[Дата перевода]]-Таблица1[[#This Row],[Дата поступления]]</f>
        <v>0</v>
      </c>
      <c r="W1912" s="2">
        <f>Таблица1[[#This Row],[Дата поступления]]-Таблица1[[#This Row],[Дата рождения]]</f>
        <v>0</v>
      </c>
    </row>
    <row r="1913" spans="22:23" ht="24.95" customHeight="1" x14ac:dyDescent="0.25">
      <c r="V1913" s="2">
        <f>Таблица1[[#This Row],[Дата перевода]]-Таблица1[[#This Row],[Дата поступления]]</f>
        <v>0</v>
      </c>
      <c r="W1913" s="2">
        <f>Таблица1[[#This Row],[Дата поступления]]-Таблица1[[#This Row],[Дата рождения]]</f>
        <v>0</v>
      </c>
    </row>
    <row r="1914" spans="22:23" ht="24.95" customHeight="1" x14ac:dyDescent="0.25">
      <c r="V1914" s="2">
        <f>Таблица1[[#This Row],[Дата перевода]]-Таблица1[[#This Row],[Дата поступления]]</f>
        <v>0</v>
      </c>
      <c r="W1914" s="2">
        <f>Таблица1[[#This Row],[Дата поступления]]-Таблица1[[#This Row],[Дата рождения]]</f>
        <v>0</v>
      </c>
    </row>
    <row r="1915" spans="22:23" ht="24.95" customHeight="1" x14ac:dyDescent="0.25">
      <c r="V1915" s="2">
        <f>Таблица1[[#This Row],[Дата перевода]]-Таблица1[[#This Row],[Дата поступления]]</f>
        <v>0</v>
      </c>
      <c r="W1915" s="2">
        <f>Таблица1[[#This Row],[Дата поступления]]-Таблица1[[#This Row],[Дата рождения]]</f>
        <v>0</v>
      </c>
    </row>
    <row r="1916" spans="22:23" ht="24.95" customHeight="1" x14ac:dyDescent="0.25">
      <c r="V1916" s="2">
        <f>Таблица1[[#This Row],[Дата перевода]]-Таблица1[[#This Row],[Дата поступления]]</f>
        <v>0</v>
      </c>
      <c r="W1916" s="2">
        <f>Таблица1[[#This Row],[Дата поступления]]-Таблица1[[#This Row],[Дата рождения]]</f>
        <v>0</v>
      </c>
    </row>
    <row r="1917" spans="22:23" ht="24.95" customHeight="1" x14ac:dyDescent="0.25">
      <c r="V1917" s="2">
        <f>Таблица1[[#This Row],[Дата перевода]]-Таблица1[[#This Row],[Дата поступления]]</f>
        <v>0</v>
      </c>
      <c r="W1917" s="2">
        <f>Таблица1[[#This Row],[Дата поступления]]-Таблица1[[#This Row],[Дата рождения]]</f>
        <v>0</v>
      </c>
    </row>
    <row r="1918" spans="22:23" ht="24.95" customHeight="1" x14ac:dyDescent="0.25">
      <c r="V1918" s="2">
        <f>Таблица1[[#This Row],[Дата перевода]]-Таблица1[[#This Row],[Дата поступления]]</f>
        <v>0</v>
      </c>
      <c r="W1918" s="2">
        <f>Таблица1[[#This Row],[Дата поступления]]-Таблица1[[#This Row],[Дата рождения]]</f>
        <v>0</v>
      </c>
    </row>
    <row r="1919" spans="22:23" ht="24.95" customHeight="1" x14ac:dyDescent="0.25">
      <c r="V1919" s="2">
        <f>Таблица1[[#This Row],[Дата перевода]]-Таблица1[[#This Row],[Дата поступления]]</f>
        <v>0</v>
      </c>
      <c r="W1919" s="2">
        <f>Таблица1[[#This Row],[Дата поступления]]-Таблица1[[#This Row],[Дата рождения]]</f>
        <v>0</v>
      </c>
    </row>
    <row r="1920" spans="22:23" ht="24.95" customHeight="1" x14ac:dyDescent="0.25">
      <c r="V1920" s="2">
        <f>Таблица1[[#This Row],[Дата перевода]]-Таблица1[[#This Row],[Дата поступления]]</f>
        <v>0</v>
      </c>
      <c r="W1920" s="2">
        <f>Таблица1[[#This Row],[Дата поступления]]-Таблица1[[#This Row],[Дата рождения]]</f>
        <v>0</v>
      </c>
    </row>
    <row r="1921" spans="22:23" ht="24.95" customHeight="1" x14ac:dyDescent="0.25">
      <c r="V1921" s="2">
        <f>Таблица1[[#This Row],[Дата перевода]]-Таблица1[[#This Row],[Дата поступления]]</f>
        <v>0</v>
      </c>
      <c r="W1921" s="2">
        <f>Таблица1[[#This Row],[Дата поступления]]-Таблица1[[#This Row],[Дата рождения]]</f>
        <v>0</v>
      </c>
    </row>
    <row r="1922" spans="22:23" ht="24.95" customHeight="1" x14ac:dyDescent="0.25">
      <c r="V1922" s="2">
        <f>Таблица1[[#This Row],[Дата перевода]]-Таблица1[[#This Row],[Дата поступления]]</f>
        <v>0</v>
      </c>
      <c r="W1922" s="2">
        <f>Таблица1[[#This Row],[Дата поступления]]-Таблица1[[#This Row],[Дата рождения]]</f>
        <v>0</v>
      </c>
    </row>
    <row r="1923" spans="22:23" ht="24.95" customHeight="1" x14ac:dyDescent="0.25">
      <c r="V1923" s="2">
        <f>Таблица1[[#This Row],[Дата перевода]]-Таблица1[[#This Row],[Дата поступления]]</f>
        <v>0</v>
      </c>
      <c r="W1923" s="2">
        <f>Таблица1[[#This Row],[Дата поступления]]-Таблица1[[#This Row],[Дата рождения]]</f>
        <v>0</v>
      </c>
    </row>
    <row r="1924" spans="22:23" ht="24.95" customHeight="1" x14ac:dyDescent="0.25">
      <c r="V1924" s="2">
        <f>Таблица1[[#This Row],[Дата перевода]]-Таблица1[[#This Row],[Дата поступления]]</f>
        <v>0</v>
      </c>
      <c r="W1924" s="2">
        <f>Таблица1[[#This Row],[Дата поступления]]-Таблица1[[#This Row],[Дата рождения]]</f>
        <v>0</v>
      </c>
    </row>
    <row r="1925" spans="22:23" ht="24.95" customHeight="1" x14ac:dyDescent="0.25">
      <c r="V1925" s="2">
        <f>Таблица1[[#This Row],[Дата перевода]]-Таблица1[[#This Row],[Дата поступления]]</f>
        <v>0</v>
      </c>
      <c r="W1925" s="2">
        <f>Таблица1[[#This Row],[Дата поступления]]-Таблица1[[#This Row],[Дата рождения]]</f>
        <v>0</v>
      </c>
    </row>
    <row r="1926" spans="22:23" ht="24.95" customHeight="1" x14ac:dyDescent="0.25">
      <c r="V1926" s="2">
        <f>Таблица1[[#This Row],[Дата перевода]]-Таблица1[[#This Row],[Дата поступления]]</f>
        <v>0</v>
      </c>
      <c r="W1926" s="2">
        <f>Таблица1[[#This Row],[Дата поступления]]-Таблица1[[#This Row],[Дата рождения]]</f>
        <v>0</v>
      </c>
    </row>
    <row r="1927" spans="22:23" ht="24.95" customHeight="1" x14ac:dyDescent="0.25">
      <c r="V1927" s="2">
        <f>Таблица1[[#This Row],[Дата перевода]]-Таблица1[[#This Row],[Дата поступления]]</f>
        <v>0</v>
      </c>
      <c r="W1927" s="2">
        <f>Таблица1[[#This Row],[Дата поступления]]-Таблица1[[#This Row],[Дата рождения]]</f>
        <v>0</v>
      </c>
    </row>
    <row r="1928" spans="22:23" ht="24.95" customHeight="1" x14ac:dyDescent="0.25">
      <c r="V1928" s="2">
        <f>Таблица1[[#This Row],[Дата перевода]]-Таблица1[[#This Row],[Дата поступления]]</f>
        <v>0</v>
      </c>
      <c r="W1928" s="2">
        <f>Таблица1[[#This Row],[Дата поступления]]-Таблица1[[#This Row],[Дата рождения]]</f>
        <v>0</v>
      </c>
    </row>
    <row r="1929" spans="22:23" ht="24.95" customHeight="1" x14ac:dyDescent="0.25">
      <c r="V1929" s="2">
        <f>Таблица1[[#This Row],[Дата перевода]]-Таблица1[[#This Row],[Дата поступления]]</f>
        <v>0</v>
      </c>
      <c r="W1929" s="2">
        <f>Таблица1[[#This Row],[Дата поступления]]-Таблица1[[#This Row],[Дата рождения]]</f>
        <v>0</v>
      </c>
    </row>
    <row r="1930" spans="22:23" ht="24.95" customHeight="1" x14ac:dyDescent="0.25">
      <c r="V1930" s="2">
        <f>Таблица1[[#This Row],[Дата перевода]]-Таблица1[[#This Row],[Дата поступления]]</f>
        <v>0</v>
      </c>
      <c r="W1930" s="2">
        <f>Таблица1[[#This Row],[Дата поступления]]-Таблица1[[#This Row],[Дата рождения]]</f>
        <v>0</v>
      </c>
    </row>
    <row r="1931" spans="22:23" ht="24.95" customHeight="1" x14ac:dyDescent="0.25">
      <c r="V1931" s="2">
        <f>Таблица1[[#This Row],[Дата перевода]]-Таблица1[[#This Row],[Дата поступления]]</f>
        <v>0</v>
      </c>
      <c r="W1931" s="2">
        <f>Таблица1[[#This Row],[Дата поступления]]-Таблица1[[#This Row],[Дата рождения]]</f>
        <v>0</v>
      </c>
    </row>
    <row r="1932" spans="22:23" ht="24.95" customHeight="1" x14ac:dyDescent="0.25">
      <c r="V1932" s="2">
        <f>Таблица1[[#This Row],[Дата перевода]]-Таблица1[[#This Row],[Дата поступления]]</f>
        <v>0</v>
      </c>
      <c r="W1932" s="2">
        <f>Таблица1[[#This Row],[Дата поступления]]-Таблица1[[#This Row],[Дата рождения]]</f>
        <v>0</v>
      </c>
    </row>
    <row r="1933" spans="22:23" ht="24.95" customHeight="1" x14ac:dyDescent="0.25">
      <c r="V1933" s="2">
        <f>Таблица1[[#This Row],[Дата перевода]]-Таблица1[[#This Row],[Дата поступления]]</f>
        <v>0</v>
      </c>
      <c r="W1933" s="2">
        <f>Таблица1[[#This Row],[Дата поступления]]-Таблица1[[#This Row],[Дата рождения]]</f>
        <v>0</v>
      </c>
    </row>
    <row r="1934" spans="22:23" ht="24.95" customHeight="1" x14ac:dyDescent="0.25">
      <c r="V1934" s="2">
        <f>Таблица1[[#This Row],[Дата перевода]]-Таблица1[[#This Row],[Дата поступления]]</f>
        <v>0</v>
      </c>
      <c r="W1934" s="2">
        <f>Таблица1[[#This Row],[Дата поступления]]-Таблица1[[#This Row],[Дата рождения]]</f>
        <v>0</v>
      </c>
    </row>
    <row r="1935" spans="22:23" ht="24.95" customHeight="1" x14ac:dyDescent="0.25">
      <c r="V1935" s="2">
        <f>Таблица1[[#This Row],[Дата перевода]]-Таблица1[[#This Row],[Дата поступления]]</f>
        <v>0</v>
      </c>
      <c r="W1935" s="2">
        <f>Таблица1[[#This Row],[Дата поступления]]-Таблица1[[#This Row],[Дата рождения]]</f>
        <v>0</v>
      </c>
    </row>
    <row r="1936" spans="22:23" ht="24.95" customHeight="1" x14ac:dyDescent="0.25">
      <c r="V1936" s="2">
        <f>Таблица1[[#This Row],[Дата перевода]]-Таблица1[[#This Row],[Дата поступления]]</f>
        <v>0</v>
      </c>
      <c r="W1936" s="2">
        <f>Таблица1[[#This Row],[Дата поступления]]-Таблица1[[#This Row],[Дата рождения]]</f>
        <v>0</v>
      </c>
    </row>
    <row r="1937" spans="22:23" ht="24.95" customHeight="1" x14ac:dyDescent="0.25">
      <c r="V1937" s="2">
        <f>Таблица1[[#This Row],[Дата перевода]]-Таблица1[[#This Row],[Дата поступления]]</f>
        <v>0</v>
      </c>
      <c r="W1937" s="2">
        <f>Таблица1[[#This Row],[Дата поступления]]-Таблица1[[#This Row],[Дата рождения]]</f>
        <v>0</v>
      </c>
    </row>
    <row r="1938" spans="22:23" ht="24.95" customHeight="1" x14ac:dyDescent="0.25">
      <c r="V1938" s="2">
        <f>Таблица1[[#This Row],[Дата перевода]]-Таблица1[[#This Row],[Дата поступления]]</f>
        <v>0</v>
      </c>
      <c r="W1938" s="2">
        <f>Таблица1[[#This Row],[Дата поступления]]-Таблица1[[#This Row],[Дата рождения]]</f>
        <v>0</v>
      </c>
    </row>
    <row r="1939" spans="22:23" ht="24.95" customHeight="1" x14ac:dyDescent="0.25">
      <c r="V1939" s="2">
        <f>Таблица1[[#This Row],[Дата перевода]]-Таблица1[[#This Row],[Дата поступления]]</f>
        <v>0</v>
      </c>
      <c r="W1939" s="2">
        <f>Таблица1[[#This Row],[Дата поступления]]-Таблица1[[#This Row],[Дата рождения]]</f>
        <v>0</v>
      </c>
    </row>
    <row r="1940" spans="22:23" ht="24.95" customHeight="1" x14ac:dyDescent="0.25">
      <c r="V1940" s="2">
        <f>Таблица1[[#This Row],[Дата перевода]]-Таблица1[[#This Row],[Дата поступления]]</f>
        <v>0</v>
      </c>
      <c r="W1940" s="2">
        <f>Таблица1[[#This Row],[Дата поступления]]-Таблица1[[#This Row],[Дата рождения]]</f>
        <v>0</v>
      </c>
    </row>
    <row r="1941" spans="22:23" ht="24.95" customHeight="1" x14ac:dyDescent="0.25">
      <c r="V1941" s="2">
        <f>Таблица1[[#This Row],[Дата перевода]]-Таблица1[[#This Row],[Дата поступления]]</f>
        <v>0</v>
      </c>
      <c r="W1941" s="2">
        <f>Таблица1[[#This Row],[Дата поступления]]-Таблица1[[#This Row],[Дата рождения]]</f>
        <v>0</v>
      </c>
    </row>
    <row r="1942" spans="22:23" ht="24.95" customHeight="1" x14ac:dyDescent="0.25">
      <c r="V1942" s="2">
        <f>Таблица1[[#This Row],[Дата перевода]]-Таблица1[[#This Row],[Дата поступления]]</f>
        <v>0</v>
      </c>
      <c r="W1942" s="2">
        <f>Таблица1[[#This Row],[Дата поступления]]-Таблица1[[#This Row],[Дата рождения]]</f>
        <v>0</v>
      </c>
    </row>
    <row r="1943" spans="22:23" ht="24.95" customHeight="1" x14ac:dyDescent="0.25">
      <c r="V1943" s="2">
        <f>Таблица1[[#This Row],[Дата перевода]]-Таблица1[[#This Row],[Дата поступления]]</f>
        <v>0</v>
      </c>
      <c r="W1943" s="2">
        <f>Таблица1[[#This Row],[Дата поступления]]-Таблица1[[#This Row],[Дата рождения]]</f>
        <v>0</v>
      </c>
    </row>
    <row r="1944" spans="22:23" ht="24.95" customHeight="1" x14ac:dyDescent="0.25">
      <c r="V1944" s="2">
        <f>Таблица1[[#This Row],[Дата перевода]]-Таблица1[[#This Row],[Дата поступления]]</f>
        <v>0</v>
      </c>
      <c r="W1944" s="2">
        <f>Таблица1[[#This Row],[Дата поступления]]-Таблица1[[#This Row],[Дата рождения]]</f>
        <v>0</v>
      </c>
    </row>
    <row r="1945" spans="22:23" ht="24.95" customHeight="1" x14ac:dyDescent="0.25">
      <c r="V1945" s="2">
        <f>Таблица1[[#This Row],[Дата перевода]]-Таблица1[[#This Row],[Дата поступления]]</f>
        <v>0</v>
      </c>
      <c r="W1945" s="2">
        <f>Таблица1[[#This Row],[Дата поступления]]-Таблица1[[#This Row],[Дата рождения]]</f>
        <v>0</v>
      </c>
    </row>
    <row r="1946" spans="22:23" ht="24.95" customHeight="1" x14ac:dyDescent="0.25">
      <c r="V1946" s="2">
        <f>Таблица1[[#This Row],[Дата перевода]]-Таблица1[[#This Row],[Дата поступления]]</f>
        <v>0</v>
      </c>
      <c r="W1946" s="2">
        <f>Таблица1[[#This Row],[Дата поступления]]-Таблица1[[#This Row],[Дата рождения]]</f>
        <v>0</v>
      </c>
    </row>
    <row r="1947" spans="22:23" ht="24.95" customHeight="1" x14ac:dyDescent="0.25">
      <c r="V1947" s="2">
        <f>Таблица1[[#This Row],[Дата перевода]]-Таблица1[[#This Row],[Дата поступления]]</f>
        <v>0</v>
      </c>
      <c r="W1947" s="2">
        <f>Таблица1[[#This Row],[Дата поступления]]-Таблица1[[#This Row],[Дата рождения]]</f>
        <v>0</v>
      </c>
    </row>
    <row r="1948" spans="22:23" ht="24.95" customHeight="1" x14ac:dyDescent="0.25">
      <c r="V1948" s="2">
        <f>Таблица1[[#This Row],[Дата перевода]]-Таблица1[[#This Row],[Дата поступления]]</f>
        <v>0</v>
      </c>
      <c r="W1948" s="2">
        <f>Таблица1[[#This Row],[Дата поступления]]-Таблица1[[#This Row],[Дата рождения]]</f>
        <v>0</v>
      </c>
    </row>
    <row r="1949" spans="22:23" ht="24.95" customHeight="1" x14ac:dyDescent="0.25">
      <c r="V1949" s="2">
        <f>Таблица1[[#This Row],[Дата перевода]]-Таблица1[[#This Row],[Дата поступления]]</f>
        <v>0</v>
      </c>
      <c r="W1949" s="2">
        <f>Таблица1[[#This Row],[Дата поступления]]-Таблица1[[#This Row],[Дата рождения]]</f>
        <v>0</v>
      </c>
    </row>
    <row r="1950" spans="22:23" ht="24.95" customHeight="1" x14ac:dyDescent="0.25">
      <c r="V1950" s="2">
        <f>Таблица1[[#This Row],[Дата перевода]]-Таблица1[[#This Row],[Дата поступления]]</f>
        <v>0</v>
      </c>
      <c r="W1950" s="2">
        <f>Таблица1[[#This Row],[Дата поступления]]-Таблица1[[#This Row],[Дата рождения]]</f>
        <v>0</v>
      </c>
    </row>
    <row r="1951" spans="22:23" ht="24.95" customHeight="1" x14ac:dyDescent="0.25">
      <c r="V1951" s="2">
        <f>Таблица1[[#This Row],[Дата перевода]]-Таблица1[[#This Row],[Дата поступления]]</f>
        <v>0</v>
      </c>
      <c r="W1951" s="2">
        <f>Таблица1[[#This Row],[Дата поступления]]-Таблица1[[#This Row],[Дата рождения]]</f>
        <v>0</v>
      </c>
    </row>
    <row r="1952" spans="22:23" ht="24.95" customHeight="1" x14ac:dyDescent="0.25">
      <c r="V1952" s="2">
        <f>Таблица1[[#This Row],[Дата перевода]]-Таблица1[[#This Row],[Дата поступления]]</f>
        <v>0</v>
      </c>
      <c r="W1952" s="2">
        <f>Таблица1[[#This Row],[Дата поступления]]-Таблица1[[#This Row],[Дата рождения]]</f>
        <v>0</v>
      </c>
    </row>
    <row r="1953" spans="22:23" ht="24.95" customHeight="1" x14ac:dyDescent="0.25">
      <c r="V1953" s="2">
        <f>Таблица1[[#This Row],[Дата перевода]]-Таблица1[[#This Row],[Дата поступления]]</f>
        <v>0</v>
      </c>
      <c r="W1953" s="2">
        <f>Таблица1[[#This Row],[Дата поступления]]-Таблица1[[#This Row],[Дата рождения]]</f>
        <v>0</v>
      </c>
    </row>
    <row r="1954" spans="22:23" ht="24.95" customHeight="1" x14ac:dyDescent="0.25">
      <c r="V1954" s="2">
        <f>Таблица1[[#This Row],[Дата перевода]]-Таблица1[[#This Row],[Дата поступления]]</f>
        <v>0</v>
      </c>
      <c r="W1954" s="2">
        <f>Таблица1[[#This Row],[Дата поступления]]-Таблица1[[#This Row],[Дата рождения]]</f>
        <v>0</v>
      </c>
    </row>
    <row r="1955" spans="22:23" ht="24.95" customHeight="1" x14ac:dyDescent="0.25">
      <c r="V1955" s="2">
        <f>Таблица1[[#This Row],[Дата перевода]]-Таблица1[[#This Row],[Дата поступления]]</f>
        <v>0</v>
      </c>
      <c r="W1955" s="2">
        <f>Таблица1[[#This Row],[Дата поступления]]-Таблица1[[#This Row],[Дата рождения]]</f>
        <v>0</v>
      </c>
    </row>
    <row r="1956" spans="22:23" ht="24.95" customHeight="1" x14ac:dyDescent="0.25">
      <c r="V1956" s="2">
        <f>Таблица1[[#This Row],[Дата перевода]]-Таблица1[[#This Row],[Дата поступления]]</f>
        <v>0</v>
      </c>
      <c r="W1956" s="2">
        <f>Таблица1[[#This Row],[Дата поступления]]-Таблица1[[#This Row],[Дата рождения]]</f>
        <v>0</v>
      </c>
    </row>
    <row r="1957" spans="22:23" ht="24.95" customHeight="1" x14ac:dyDescent="0.25">
      <c r="V1957" s="2">
        <f>Таблица1[[#This Row],[Дата перевода]]-Таблица1[[#This Row],[Дата поступления]]</f>
        <v>0</v>
      </c>
      <c r="W1957" s="2">
        <f>Таблица1[[#This Row],[Дата поступления]]-Таблица1[[#This Row],[Дата рождения]]</f>
        <v>0</v>
      </c>
    </row>
    <row r="1958" spans="22:23" ht="24.95" customHeight="1" x14ac:dyDescent="0.25">
      <c r="V1958" s="2">
        <f>Таблица1[[#This Row],[Дата перевода]]-Таблица1[[#This Row],[Дата поступления]]</f>
        <v>0</v>
      </c>
      <c r="W1958" s="2">
        <f>Таблица1[[#This Row],[Дата поступления]]-Таблица1[[#This Row],[Дата рождения]]</f>
        <v>0</v>
      </c>
    </row>
    <row r="1959" spans="22:23" ht="24.95" customHeight="1" x14ac:dyDescent="0.25">
      <c r="V1959" s="2">
        <f>Таблица1[[#This Row],[Дата перевода]]-Таблица1[[#This Row],[Дата поступления]]</f>
        <v>0</v>
      </c>
      <c r="W1959" s="2">
        <f>Таблица1[[#This Row],[Дата поступления]]-Таблица1[[#This Row],[Дата рождения]]</f>
        <v>0</v>
      </c>
    </row>
    <row r="1960" spans="22:23" ht="24.95" customHeight="1" x14ac:dyDescent="0.25">
      <c r="V1960" s="2">
        <f>Таблица1[[#This Row],[Дата перевода]]-Таблица1[[#This Row],[Дата поступления]]</f>
        <v>0</v>
      </c>
      <c r="W1960" s="2">
        <f>Таблица1[[#This Row],[Дата поступления]]-Таблица1[[#This Row],[Дата рождения]]</f>
        <v>0</v>
      </c>
    </row>
    <row r="1961" spans="22:23" ht="24.95" customHeight="1" x14ac:dyDescent="0.25">
      <c r="V1961" s="2">
        <f>Таблица1[[#This Row],[Дата перевода]]-Таблица1[[#This Row],[Дата поступления]]</f>
        <v>0</v>
      </c>
      <c r="W1961" s="2">
        <f>Таблица1[[#This Row],[Дата поступления]]-Таблица1[[#This Row],[Дата рождения]]</f>
        <v>0</v>
      </c>
    </row>
    <row r="1962" spans="22:23" ht="24.95" customHeight="1" x14ac:dyDescent="0.25">
      <c r="V1962" s="2">
        <f>Таблица1[[#This Row],[Дата перевода]]-Таблица1[[#This Row],[Дата поступления]]</f>
        <v>0</v>
      </c>
      <c r="W1962" s="2">
        <f>Таблица1[[#This Row],[Дата поступления]]-Таблица1[[#This Row],[Дата рождения]]</f>
        <v>0</v>
      </c>
    </row>
    <row r="1963" spans="22:23" ht="24.95" customHeight="1" x14ac:dyDescent="0.25">
      <c r="V1963" s="2">
        <f>Таблица1[[#This Row],[Дата перевода]]-Таблица1[[#This Row],[Дата поступления]]</f>
        <v>0</v>
      </c>
      <c r="W1963" s="2">
        <f>Таблица1[[#This Row],[Дата поступления]]-Таблица1[[#This Row],[Дата рождения]]</f>
        <v>0</v>
      </c>
    </row>
    <row r="1964" spans="22:23" ht="24.95" customHeight="1" x14ac:dyDescent="0.25">
      <c r="V1964" s="2">
        <f>Таблица1[[#This Row],[Дата перевода]]-Таблица1[[#This Row],[Дата поступления]]</f>
        <v>0</v>
      </c>
      <c r="W1964" s="2">
        <f>Таблица1[[#This Row],[Дата поступления]]-Таблица1[[#This Row],[Дата рождения]]</f>
        <v>0</v>
      </c>
    </row>
    <row r="1965" spans="22:23" ht="24.95" customHeight="1" x14ac:dyDescent="0.25">
      <c r="V1965" s="2">
        <f>Таблица1[[#This Row],[Дата перевода]]-Таблица1[[#This Row],[Дата поступления]]</f>
        <v>0</v>
      </c>
      <c r="W1965" s="2">
        <f>Таблица1[[#This Row],[Дата поступления]]-Таблица1[[#This Row],[Дата рождения]]</f>
        <v>0</v>
      </c>
    </row>
    <row r="1966" spans="22:23" ht="24.95" customHeight="1" x14ac:dyDescent="0.25">
      <c r="V1966" s="2">
        <f>Таблица1[[#This Row],[Дата перевода]]-Таблица1[[#This Row],[Дата поступления]]</f>
        <v>0</v>
      </c>
      <c r="W1966" s="2">
        <f>Таблица1[[#This Row],[Дата поступления]]-Таблица1[[#This Row],[Дата рождения]]</f>
        <v>0</v>
      </c>
    </row>
    <row r="1967" spans="22:23" ht="24.95" customHeight="1" x14ac:dyDescent="0.25">
      <c r="V1967" s="2">
        <f>Таблица1[[#This Row],[Дата перевода]]-Таблица1[[#This Row],[Дата поступления]]</f>
        <v>0</v>
      </c>
      <c r="W1967" s="2">
        <f>Таблица1[[#This Row],[Дата поступления]]-Таблица1[[#This Row],[Дата рождения]]</f>
        <v>0</v>
      </c>
    </row>
    <row r="1968" spans="22:23" ht="24.95" customHeight="1" x14ac:dyDescent="0.25">
      <c r="V1968" s="2">
        <f>Таблица1[[#This Row],[Дата перевода]]-Таблица1[[#This Row],[Дата поступления]]</f>
        <v>0</v>
      </c>
      <c r="W1968" s="2">
        <f>Таблица1[[#This Row],[Дата поступления]]-Таблица1[[#This Row],[Дата рождения]]</f>
        <v>0</v>
      </c>
    </row>
    <row r="1969" spans="22:23" ht="24.95" customHeight="1" x14ac:dyDescent="0.25">
      <c r="V1969" s="2">
        <f>Таблица1[[#This Row],[Дата перевода]]-Таблица1[[#This Row],[Дата поступления]]</f>
        <v>0</v>
      </c>
      <c r="W1969" s="2">
        <f>Таблица1[[#This Row],[Дата поступления]]-Таблица1[[#This Row],[Дата рождения]]</f>
        <v>0</v>
      </c>
    </row>
    <row r="1970" spans="22:23" ht="24.95" customHeight="1" x14ac:dyDescent="0.25">
      <c r="V1970" s="2">
        <f>Таблица1[[#This Row],[Дата перевода]]-Таблица1[[#This Row],[Дата поступления]]</f>
        <v>0</v>
      </c>
      <c r="W1970" s="2">
        <f>Таблица1[[#This Row],[Дата поступления]]-Таблица1[[#This Row],[Дата рождения]]</f>
        <v>0</v>
      </c>
    </row>
    <row r="1971" spans="22:23" ht="24.95" customHeight="1" x14ac:dyDescent="0.25">
      <c r="V1971" s="2">
        <f>Таблица1[[#This Row],[Дата перевода]]-Таблица1[[#This Row],[Дата поступления]]</f>
        <v>0</v>
      </c>
      <c r="W1971" s="2">
        <f>Таблица1[[#This Row],[Дата поступления]]-Таблица1[[#This Row],[Дата рождения]]</f>
        <v>0</v>
      </c>
    </row>
    <row r="1972" spans="22:23" ht="24.95" customHeight="1" x14ac:dyDescent="0.25">
      <c r="V1972" s="2">
        <f>Таблица1[[#This Row],[Дата перевода]]-Таблица1[[#This Row],[Дата поступления]]</f>
        <v>0</v>
      </c>
      <c r="W1972" s="2">
        <f>Таблица1[[#This Row],[Дата поступления]]-Таблица1[[#This Row],[Дата рождения]]</f>
        <v>0</v>
      </c>
    </row>
    <row r="1973" spans="22:23" ht="24.95" customHeight="1" x14ac:dyDescent="0.25">
      <c r="V1973" s="2">
        <f>Таблица1[[#This Row],[Дата перевода]]-Таблица1[[#This Row],[Дата поступления]]</f>
        <v>0</v>
      </c>
      <c r="W1973" s="2">
        <f>Таблица1[[#This Row],[Дата поступления]]-Таблица1[[#This Row],[Дата рождения]]</f>
        <v>0</v>
      </c>
    </row>
    <row r="1974" spans="22:23" ht="24.95" customHeight="1" x14ac:dyDescent="0.25">
      <c r="V1974" s="2">
        <f>Таблица1[[#This Row],[Дата перевода]]-Таблица1[[#This Row],[Дата поступления]]</f>
        <v>0</v>
      </c>
      <c r="W1974" s="2">
        <f>Таблица1[[#This Row],[Дата поступления]]-Таблица1[[#This Row],[Дата рождения]]</f>
        <v>0</v>
      </c>
    </row>
    <row r="1975" spans="22:23" ht="24.95" customHeight="1" x14ac:dyDescent="0.25">
      <c r="V1975" s="2">
        <f>Таблица1[[#This Row],[Дата перевода]]-Таблица1[[#This Row],[Дата поступления]]</f>
        <v>0</v>
      </c>
      <c r="W1975" s="2">
        <f>Таблица1[[#This Row],[Дата поступления]]-Таблица1[[#This Row],[Дата рождения]]</f>
        <v>0</v>
      </c>
    </row>
    <row r="1976" spans="22:23" ht="24.95" customHeight="1" x14ac:dyDescent="0.25">
      <c r="V1976" s="2">
        <f>Таблица1[[#This Row],[Дата перевода]]-Таблица1[[#This Row],[Дата поступления]]</f>
        <v>0</v>
      </c>
      <c r="W1976" s="2">
        <f>Таблица1[[#This Row],[Дата поступления]]-Таблица1[[#This Row],[Дата рождения]]</f>
        <v>0</v>
      </c>
    </row>
    <row r="1977" spans="22:23" ht="24.95" customHeight="1" x14ac:dyDescent="0.25">
      <c r="V1977" s="2">
        <f>Таблица1[[#This Row],[Дата перевода]]-Таблица1[[#This Row],[Дата поступления]]</f>
        <v>0</v>
      </c>
      <c r="W1977" s="2">
        <f>Таблица1[[#This Row],[Дата поступления]]-Таблица1[[#This Row],[Дата рождения]]</f>
        <v>0</v>
      </c>
    </row>
    <row r="1978" spans="22:23" ht="24.95" customHeight="1" x14ac:dyDescent="0.25">
      <c r="V1978" s="2">
        <f>Таблица1[[#This Row],[Дата перевода]]-Таблица1[[#This Row],[Дата поступления]]</f>
        <v>0</v>
      </c>
      <c r="W1978" s="2">
        <f>Таблица1[[#This Row],[Дата поступления]]-Таблица1[[#This Row],[Дата рождения]]</f>
        <v>0</v>
      </c>
    </row>
    <row r="1979" spans="22:23" ht="24.95" customHeight="1" x14ac:dyDescent="0.25">
      <c r="V1979" s="2">
        <f>Таблица1[[#This Row],[Дата перевода]]-Таблица1[[#This Row],[Дата поступления]]</f>
        <v>0</v>
      </c>
      <c r="W1979" s="2">
        <f>Таблица1[[#This Row],[Дата поступления]]-Таблица1[[#This Row],[Дата рождения]]</f>
        <v>0</v>
      </c>
    </row>
    <row r="1980" spans="22:23" ht="24.95" customHeight="1" x14ac:dyDescent="0.25">
      <c r="V1980" s="2">
        <f>Таблица1[[#This Row],[Дата перевода]]-Таблица1[[#This Row],[Дата поступления]]</f>
        <v>0</v>
      </c>
      <c r="W1980" s="2">
        <f>Таблица1[[#This Row],[Дата поступления]]-Таблица1[[#This Row],[Дата рождения]]</f>
        <v>0</v>
      </c>
    </row>
    <row r="1981" spans="22:23" ht="24.95" customHeight="1" x14ac:dyDescent="0.25">
      <c r="V1981" s="2">
        <f>Таблица1[[#This Row],[Дата перевода]]-Таблица1[[#This Row],[Дата поступления]]</f>
        <v>0</v>
      </c>
      <c r="W1981" s="2">
        <f>Таблица1[[#This Row],[Дата поступления]]-Таблица1[[#This Row],[Дата рождения]]</f>
        <v>0</v>
      </c>
    </row>
    <row r="1982" spans="22:23" ht="24.95" customHeight="1" x14ac:dyDescent="0.25">
      <c r="V1982" s="2">
        <f>Таблица1[[#This Row],[Дата перевода]]-Таблица1[[#This Row],[Дата поступления]]</f>
        <v>0</v>
      </c>
      <c r="W1982" s="2">
        <f>Таблица1[[#This Row],[Дата поступления]]-Таблица1[[#This Row],[Дата рождения]]</f>
        <v>0</v>
      </c>
    </row>
    <row r="1983" spans="22:23" ht="24.95" customHeight="1" x14ac:dyDescent="0.25">
      <c r="V1983" s="2">
        <f>Таблица1[[#This Row],[Дата перевода]]-Таблица1[[#This Row],[Дата поступления]]</f>
        <v>0</v>
      </c>
      <c r="W1983" s="2">
        <f>Таблица1[[#This Row],[Дата поступления]]-Таблица1[[#This Row],[Дата рождения]]</f>
        <v>0</v>
      </c>
    </row>
    <row r="1984" spans="22:23" ht="24.95" customHeight="1" x14ac:dyDescent="0.25">
      <c r="V1984" s="2">
        <f>Таблица1[[#This Row],[Дата перевода]]-Таблица1[[#This Row],[Дата поступления]]</f>
        <v>0</v>
      </c>
      <c r="W1984" s="2">
        <f>Таблица1[[#This Row],[Дата поступления]]-Таблица1[[#This Row],[Дата рождения]]</f>
        <v>0</v>
      </c>
    </row>
    <row r="1985" spans="22:23" ht="24.95" customHeight="1" x14ac:dyDescent="0.25">
      <c r="V1985" s="2">
        <f>Таблица1[[#This Row],[Дата перевода]]-Таблица1[[#This Row],[Дата поступления]]</f>
        <v>0</v>
      </c>
      <c r="W1985" s="2">
        <f>Таблица1[[#This Row],[Дата поступления]]-Таблица1[[#This Row],[Дата рождения]]</f>
        <v>0</v>
      </c>
    </row>
    <row r="1986" spans="22:23" ht="24.95" customHeight="1" x14ac:dyDescent="0.25">
      <c r="V1986" s="2">
        <f>Таблица1[[#This Row],[Дата перевода]]-Таблица1[[#This Row],[Дата поступления]]</f>
        <v>0</v>
      </c>
      <c r="W1986" s="2">
        <f>Таблица1[[#This Row],[Дата поступления]]-Таблица1[[#This Row],[Дата рождения]]</f>
        <v>0</v>
      </c>
    </row>
    <row r="1987" spans="22:23" ht="24.95" customHeight="1" x14ac:dyDescent="0.25">
      <c r="V1987" s="2">
        <f>Таблица1[[#This Row],[Дата перевода]]-Таблица1[[#This Row],[Дата поступления]]</f>
        <v>0</v>
      </c>
      <c r="W1987" s="2">
        <f>Таблица1[[#This Row],[Дата поступления]]-Таблица1[[#This Row],[Дата рождения]]</f>
        <v>0</v>
      </c>
    </row>
    <row r="1988" spans="22:23" ht="24.95" customHeight="1" x14ac:dyDescent="0.25">
      <c r="V1988" s="2">
        <f>Таблица1[[#This Row],[Дата перевода]]-Таблица1[[#This Row],[Дата поступления]]</f>
        <v>0</v>
      </c>
      <c r="W1988" s="2">
        <f>Таблица1[[#This Row],[Дата поступления]]-Таблица1[[#This Row],[Дата рождения]]</f>
        <v>0</v>
      </c>
    </row>
    <row r="1989" spans="22:23" ht="24.95" customHeight="1" x14ac:dyDescent="0.25">
      <c r="V1989" s="2">
        <f>Таблица1[[#This Row],[Дата перевода]]-Таблица1[[#This Row],[Дата поступления]]</f>
        <v>0</v>
      </c>
      <c r="W1989" s="2">
        <f>Таблица1[[#This Row],[Дата поступления]]-Таблица1[[#This Row],[Дата рождения]]</f>
        <v>0</v>
      </c>
    </row>
    <row r="1990" spans="22:23" ht="24.95" customHeight="1" x14ac:dyDescent="0.25">
      <c r="V1990" s="2">
        <f>Таблица1[[#This Row],[Дата перевода]]-Таблица1[[#This Row],[Дата поступления]]</f>
        <v>0</v>
      </c>
      <c r="W1990" s="2">
        <f>Таблица1[[#This Row],[Дата поступления]]-Таблица1[[#This Row],[Дата рождения]]</f>
        <v>0</v>
      </c>
    </row>
    <row r="1991" spans="22:23" ht="24.95" customHeight="1" x14ac:dyDescent="0.25">
      <c r="V1991" s="2">
        <f>Таблица1[[#This Row],[Дата перевода]]-Таблица1[[#This Row],[Дата поступления]]</f>
        <v>0</v>
      </c>
      <c r="W1991" s="2">
        <f>Таблица1[[#This Row],[Дата поступления]]-Таблица1[[#This Row],[Дата рождения]]</f>
        <v>0</v>
      </c>
    </row>
    <row r="1992" spans="22:23" ht="24.95" customHeight="1" x14ac:dyDescent="0.25">
      <c r="V1992" s="2">
        <f>Таблица1[[#This Row],[Дата перевода]]-Таблица1[[#This Row],[Дата поступления]]</f>
        <v>0</v>
      </c>
      <c r="W1992" s="2">
        <f>Таблица1[[#This Row],[Дата поступления]]-Таблица1[[#This Row],[Дата рождения]]</f>
        <v>0</v>
      </c>
    </row>
    <row r="1993" spans="22:23" ht="24.95" customHeight="1" x14ac:dyDescent="0.25">
      <c r="V1993" s="2">
        <f>Таблица1[[#This Row],[Дата перевода]]-Таблица1[[#This Row],[Дата поступления]]</f>
        <v>0</v>
      </c>
      <c r="W1993" s="2">
        <f>Таблица1[[#This Row],[Дата поступления]]-Таблица1[[#This Row],[Дата рождения]]</f>
        <v>0</v>
      </c>
    </row>
    <row r="1994" spans="22:23" ht="24.95" customHeight="1" x14ac:dyDescent="0.25">
      <c r="V1994" s="2">
        <f>Таблица1[[#This Row],[Дата перевода]]-Таблица1[[#This Row],[Дата поступления]]</f>
        <v>0</v>
      </c>
      <c r="W1994" s="2">
        <f>Таблица1[[#This Row],[Дата поступления]]-Таблица1[[#This Row],[Дата рождения]]</f>
        <v>0</v>
      </c>
    </row>
    <row r="1995" spans="22:23" ht="24.95" customHeight="1" x14ac:dyDescent="0.25">
      <c r="V1995" s="2">
        <f>Таблица1[[#This Row],[Дата перевода]]-Таблица1[[#This Row],[Дата поступления]]</f>
        <v>0</v>
      </c>
      <c r="W1995" s="2">
        <f>Таблица1[[#This Row],[Дата поступления]]-Таблица1[[#This Row],[Дата рождения]]</f>
        <v>0</v>
      </c>
    </row>
    <row r="1996" spans="22:23" ht="24.95" customHeight="1" x14ac:dyDescent="0.25">
      <c r="V1996" s="2">
        <f>Таблица1[[#This Row],[Дата перевода]]-Таблица1[[#This Row],[Дата поступления]]</f>
        <v>0</v>
      </c>
      <c r="W1996" s="2">
        <f>Таблица1[[#This Row],[Дата поступления]]-Таблица1[[#This Row],[Дата рождения]]</f>
        <v>0</v>
      </c>
    </row>
    <row r="1997" spans="22:23" ht="24.95" customHeight="1" x14ac:dyDescent="0.25">
      <c r="V1997" s="2">
        <f>Таблица1[[#This Row],[Дата перевода]]-Таблица1[[#This Row],[Дата поступления]]</f>
        <v>0</v>
      </c>
      <c r="W1997" s="2">
        <f>Таблица1[[#This Row],[Дата поступления]]-Таблица1[[#This Row],[Дата рождения]]</f>
        <v>0</v>
      </c>
    </row>
    <row r="1998" spans="22:23" ht="24.95" customHeight="1" x14ac:dyDescent="0.25">
      <c r="V1998" s="2">
        <f>Таблица1[[#This Row],[Дата перевода]]-Таблица1[[#This Row],[Дата поступления]]</f>
        <v>0</v>
      </c>
      <c r="W1998" s="2">
        <f>Таблица1[[#This Row],[Дата поступления]]-Таблица1[[#This Row],[Дата рождения]]</f>
        <v>0</v>
      </c>
    </row>
    <row r="1999" spans="22:23" ht="24.95" customHeight="1" x14ac:dyDescent="0.25">
      <c r="V1999" s="2">
        <f>Таблица1[[#This Row],[Дата перевода]]-Таблица1[[#This Row],[Дата поступления]]</f>
        <v>0</v>
      </c>
      <c r="W1999" s="2">
        <f>Таблица1[[#This Row],[Дата поступления]]-Таблица1[[#This Row],[Дата рождения]]</f>
        <v>0</v>
      </c>
    </row>
    <row r="2000" spans="22:23" ht="24.95" customHeight="1" x14ac:dyDescent="0.25">
      <c r="V2000" s="2">
        <f>Таблица1[[#This Row],[Дата перевода]]-Таблица1[[#This Row],[Дата поступления]]</f>
        <v>0</v>
      </c>
      <c r="W2000" s="2">
        <f>Таблица1[[#This Row],[Дата поступления]]-Таблица1[[#This Row],[Дата рождения]]</f>
        <v>0</v>
      </c>
    </row>
    <row r="2001" spans="22:23" ht="24.95" customHeight="1" x14ac:dyDescent="0.25">
      <c r="V2001" s="2">
        <f>Таблица1[[#This Row],[Дата перевода]]-Таблица1[[#This Row],[Дата поступления]]</f>
        <v>0</v>
      </c>
      <c r="W2001" s="2">
        <f>Таблица1[[#This Row],[Дата поступления]]-Таблица1[[#This Row],[Дата рождения]]</f>
        <v>0</v>
      </c>
    </row>
    <row r="2002" spans="22:23" ht="24.95" customHeight="1" x14ac:dyDescent="0.25">
      <c r="V2002" s="2">
        <f>Таблица1[[#This Row],[Дата перевода]]-Таблица1[[#This Row],[Дата поступления]]</f>
        <v>0</v>
      </c>
      <c r="W2002" s="2">
        <f>Таблица1[[#This Row],[Дата поступления]]-Таблица1[[#This Row],[Дата рождения]]</f>
        <v>0</v>
      </c>
    </row>
    <row r="2003" spans="22:23" ht="24.95" customHeight="1" x14ac:dyDescent="0.25">
      <c r="V2003" s="2">
        <f>Таблица1[[#This Row],[Дата перевода]]-Таблица1[[#This Row],[Дата поступления]]</f>
        <v>0</v>
      </c>
      <c r="W2003" s="2">
        <f>Таблица1[[#This Row],[Дата поступления]]-Таблица1[[#This Row],[Дата рождения]]</f>
        <v>0</v>
      </c>
    </row>
    <row r="2004" spans="22:23" ht="24.95" customHeight="1" x14ac:dyDescent="0.25">
      <c r="V2004" s="2">
        <f>Таблица1[[#This Row],[Дата перевода]]-Таблица1[[#This Row],[Дата поступления]]</f>
        <v>0</v>
      </c>
      <c r="W2004" s="2">
        <f>Таблица1[[#This Row],[Дата поступления]]-Таблица1[[#This Row],[Дата рождения]]</f>
        <v>0</v>
      </c>
    </row>
    <row r="2005" spans="22:23" ht="24.95" customHeight="1" x14ac:dyDescent="0.25">
      <c r="V2005" s="2">
        <f>Таблица1[[#This Row],[Дата перевода]]-Таблица1[[#This Row],[Дата поступления]]</f>
        <v>0</v>
      </c>
      <c r="W2005" s="2">
        <f>Таблица1[[#This Row],[Дата поступления]]-Таблица1[[#This Row],[Дата рождения]]</f>
        <v>0</v>
      </c>
    </row>
    <row r="2006" spans="22:23" ht="24.95" customHeight="1" x14ac:dyDescent="0.25">
      <c r="V2006" s="2">
        <f>Таблица1[[#This Row],[Дата перевода]]-Таблица1[[#This Row],[Дата поступления]]</f>
        <v>0</v>
      </c>
      <c r="W2006" s="2">
        <f>Таблица1[[#This Row],[Дата поступления]]-Таблица1[[#This Row],[Дата рождения]]</f>
        <v>0</v>
      </c>
    </row>
    <row r="2007" spans="22:23" ht="24.95" customHeight="1" x14ac:dyDescent="0.25">
      <c r="V2007" s="2">
        <f>Таблица1[[#This Row],[Дата перевода]]-Таблица1[[#This Row],[Дата поступления]]</f>
        <v>0</v>
      </c>
      <c r="W2007" s="2">
        <f>Таблица1[[#This Row],[Дата поступления]]-Таблица1[[#This Row],[Дата рождения]]</f>
        <v>0</v>
      </c>
    </row>
    <row r="2008" spans="22:23" ht="24.95" customHeight="1" x14ac:dyDescent="0.25">
      <c r="V2008" s="2">
        <f>Таблица1[[#This Row],[Дата перевода]]-Таблица1[[#This Row],[Дата поступления]]</f>
        <v>0</v>
      </c>
      <c r="W2008" s="2">
        <f>Таблица1[[#This Row],[Дата поступления]]-Таблица1[[#This Row],[Дата рождения]]</f>
        <v>0</v>
      </c>
    </row>
    <row r="2009" spans="22:23" ht="24.95" customHeight="1" x14ac:dyDescent="0.25">
      <c r="V2009" s="2">
        <f>Таблица1[[#This Row],[Дата перевода]]-Таблица1[[#This Row],[Дата поступления]]</f>
        <v>0</v>
      </c>
      <c r="W2009" s="2">
        <f>Таблица1[[#This Row],[Дата поступления]]-Таблица1[[#This Row],[Дата рождения]]</f>
        <v>0</v>
      </c>
    </row>
    <row r="2010" spans="22:23" ht="24.95" customHeight="1" x14ac:dyDescent="0.25">
      <c r="V2010" s="2">
        <f>Таблица1[[#This Row],[Дата перевода]]-Таблица1[[#This Row],[Дата поступления]]</f>
        <v>0</v>
      </c>
      <c r="W2010" s="2">
        <f>Таблица1[[#This Row],[Дата поступления]]-Таблица1[[#This Row],[Дата рождения]]</f>
        <v>0</v>
      </c>
    </row>
    <row r="2011" spans="22:23" ht="24.95" customHeight="1" x14ac:dyDescent="0.25">
      <c r="V2011" s="2">
        <f>Таблица1[[#This Row],[Дата перевода]]-Таблица1[[#This Row],[Дата поступления]]</f>
        <v>0</v>
      </c>
      <c r="W2011" s="2">
        <f>Таблица1[[#This Row],[Дата поступления]]-Таблица1[[#This Row],[Дата рождения]]</f>
        <v>0</v>
      </c>
    </row>
    <row r="2012" spans="22:23" ht="24.95" customHeight="1" x14ac:dyDescent="0.25">
      <c r="V2012" s="2">
        <f>Таблица1[[#This Row],[Дата перевода]]-Таблица1[[#This Row],[Дата поступления]]</f>
        <v>0</v>
      </c>
      <c r="W2012" s="2">
        <f>Таблица1[[#This Row],[Дата поступления]]-Таблица1[[#This Row],[Дата рождения]]</f>
        <v>0</v>
      </c>
    </row>
    <row r="2013" spans="22:23" ht="24.95" customHeight="1" x14ac:dyDescent="0.25">
      <c r="V2013" s="2">
        <f>Таблица1[[#This Row],[Дата перевода]]-Таблица1[[#This Row],[Дата поступления]]</f>
        <v>0</v>
      </c>
      <c r="W2013" s="2">
        <f>Таблица1[[#This Row],[Дата поступления]]-Таблица1[[#This Row],[Дата рождения]]</f>
        <v>0</v>
      </c>
    </row>
    <row r="2014" spans="22:23" ht="24.95" customHeight="1" x14ac:dyDescent="0.25">
      <c r="V2014" s="2">
        <f>Таблица1[[#This Row],[Дата перевода]]-Таблица1[[#This Row],[Дата поступления]]</f>
        <v>0</v>
      </c>
      <c r="W2014" s="2">
        <f>Таблица1[[#This Row],[Дата поступления]]-Таблица1[[#This Row],[Дата рождения]]</f>
        <v>0</v>
      </c>
    </row>
    <row r="2015" spans="22:23" ht="24.95" customHeight="1" x14ac:dyDescent="0.25">
      <c r="V2015" s="2">
        <f>Таблица1[[#This Row],[Дата перевода]]-Таблица1[[#This Row],[Дата поступления]]</f>
        <v>0</v>
      </c>
      <c r="W2015" s="2">
        <f>Таблица1[[#This Row],[Дата поступления]]-Таблица1[[#This Row],[Дата рождения]]</f>
        <v>0</v>
      </c>
    </row>
    <row r="2016" spans="22:23" ht="24.95" customHeight="1" x14ac:dyDescent="0.25">
      <c r="V2016" s="2">
        <f>Таблица1[[#This Row],[Дата перевода]]-Таблица1[[#This Row],[Дата поступления]]</f>
        <v>0</v>
      </c>
      <c r="W2016" s="2">
        <f>Таблица1[[#This Row],[Дата поступления]]-Таблица1[[#This Row],[Дата рождения]]</f>
        <v>0</v>
      </c>
    </row>
    <row r="2017" spans="22:23" ht="24.95" customHeight="1" x14ac:dyDescent="0.25">
      <c r="V2017" s="2">
        <f>Таблица1[[#This Row],[Дата перевода]]-Таблица1[[#This Row],[Дата поступления]]</f>
        <v>0</v>
      </c>
      <c r="W2017" s="2">
        <f>Таблица1[[#This Row],[Дата поступления]]-Таблица1[[#This Row],[Дата рождения]]</f>
        <v>0</v>
      </c>
    </row>
    <row r="2018" spans="22:23" ht="24.95" customHeight="1" x14ac:dyDescent="0.25">
      <c r="V2018" s="2">
        <f>Таблица1[[#This Row],[Дата перевода]]-Таблица1[[#This Row],[Дата поступления]]</f>
        <v>0</v>
      </c>
      <c r="W2018" s="2">
        <f>Таблица1[[#This Row],[Дата поступления]]-Таблица1[[#This Row],[Дата рождения]]</f>
        <v>0</v>
      </c>
    </row>
    <row r="2019" spans="22:23" ht="24.95" customHeight="1" x14ac:dyDescent="0.25">
      <c r="V2019" s="2">
        <f>Таблица1[[#This Row],[Дата перевода]]-Таблица1[[#This Row],[Дата поступления]]</f>
        <v>0</v>
      </c>
      <c r="W2019" s="2">
        <f>Таблица1[[#This Row],[Дата поступления]]-Таблица1[[#This Row],[Дата рождения]]</f>
        <v>0</v>
      </c>
    </row>
    <row r="2020" spans="22:23" ht="24.95" customHeight="1" x14ac:dyDescent="0.25">
      <c r="V2020" s="2">
        <f>Таблица1[[#This Row],[Дата перевода]]-Таблица1[[#This Row],[Дата поступления]]</f>
        <v>0</v>
      </c>
      <c r="W2020" s="2">
        <f>Таблица1[[#This Row],[Дата поступления]]-Таблица1[[#This Row],[Дата рождения]]</f>
        <v>0</v>
      </c>
    </row>
    <row r="2021" spans="22:23" ht="24.95" customHeight="1" x14ac:dyDescent="0.25">
      <c r="V2021" s="2">
        <f>Таблица1[[#This Row],[Дата перевода]]-Таблица1[[#This Row],[Дата поступления]]</f>
        <v>0</v>
      </c>
      <c r="W2021" s="2">
        <f>Таблица1[[#This Row],[Дата поступления]]-Таблица1[[#This Row],[Дата рождения]]</f>
        <v>0</v>
      </c>
    </row>
    <row r="2022" spans="22:23" ht="24.95" customHeight="1" x14ac:dyDescent="0.25">
      <c r="V2022" s="2">
        <f>Таблица1[[#This Row],[Дата перевода]]-Таблица1[[#This Row],[Дата поступления]]</f>
        <v>0</v>
      </c>
      <c r="W2022" s="2">
        <f>Таблица1[[#This Row],[Дата поступления]]-Таблица1[[#This Row],[Дата рождения]]</f>
        <v>0</v>
      </c>
    </row>
    <row r="2023" spans="22:23" ht="24.95" customHeight="1" x14ac:dyDescent="0.25">
      <c r="V2023" s="2">
        <f>Таблица1[[#This Row],[Дата перевода]]-Таблица1[[#This Row],[Дата поступления]]</f>
        <v>0</v>
      </c>
      <c r="W2023" s="2">
        <f>Таблица1[[#This Row],[Дата поступления]]-Таблица1[[#This Row],[Дата рождения]]</f>
        <v>0</v>
      </c>
    </row>
    <row r="2024" spans="22:23" ht="24.95" customHeight="1" x14ac:dyDescent="0.25">
      <c r="V2024" s="2">
        <f>Таблица1[[#This Row],[Дата перевода]]-Таблица1[[#This Row],[Дата поступления]]</f>
        <v>0</v>
      </c>
      <c r="W2024" s="2">
        <f>Таблица1[[#This Row],[Дата поступления]]-Таблица1[[#This Row],[Дата рождения]]</f>
        <v>0</v>
      </c>
    </row>
    <row r="2025" spans="22:23" ht="24.95" customHeight="1" x14ac:dyDescent="0.25">
      <c r="V2025" s="2">
        <f>Таблица1[[#This Row],[Дата перевода]]-Таблица1[[#This Row],[Дата поступления]]</f>
        <v>0</v>
      </c>
      <c r="W2025" s="2">
        <f>Таблица1[[#This Row],[Дата поступления]]-Таблица1[[#This Row],[Дата рождения]]</f>
        <v>0</v>
      </c>
    </row>
    <row r="2026" spans="22:23" ht="24.95" customHeight="1" x14ac:dyDescent="0.25">
      <c r="V2026" s="2">
        <f>Таблица1[[#This Row],[Дата перевода]]-Таблица1[[#This Row],[Дата поступления]]</f>
        <v>0</v>
      </c>
      <c r="W2026" s="2">
        <f>Таблица1[[#This Row],[Дата поступления]]-Таблица1[[#This Row],[Дата рождения]]</f>
        <v>0</v>
      </c>
    </row>
    <row r="2027" spans="22:23" ht="24.95" customHeight="1" x14ac:dyDescent="0.25">
      <c r="V2027" s="2">
        <f>Таблица1[[#This Row],[Дата перевода]]-Таблица1[[#This Row],[Дата поступления]]</f>
        <v>0</v>
      </c>
      <c r="W2027" s="2">
        <f>Таблица1[[#This Row],[Дата поступления]]-Таблица1[[#This Row],[Дата рождения]]</f>
        <v>0</v>
      </c>
    </row>
    <row r="2028" spans="22:23" ht="24.95" customHeight="1" x14ac:dyDescent="0.25">
      <c r="V2028" s="2">
        <f>Таблица1[[#This Row],[Дата перевода]]-Таблица1[[#This Row],[Дата поступления]]</f>
        <v>0</v>
      </c>
      <c r="W2028" s="2">
        <f>Таблица1[[#This Row],[Дата поступления]]-Таблица1[[#This Row],[Дата рождения]]</f>
        <v>0</v>
      </c>
    </row>
    <row r="2029" spans="22:23" ht="24.95" customHeight="1" x14ac:dyDescent="0.25">
      <c r="V2029" s="2">
        <f>Таблица1[[#This Row],[Дата перевода]]-Таблица1[[#This Row],[Дата поступления]]</f>
        <v>0</v>
      </c>
      <c r="W2029" s="2">
        <f>Таблица1[[#This Row],[Дата поступления]]-Таблица1[[#This Row],[Дата рождения]]</f>
        <v>0</v>
      </c>
    </row>
    <row r="2030" spans="22:23" ht="24.95" customHeight="1" x14ac:dyDescent="0.25">
      <c r="V2030" s="2">
        <f>Таблица1[[#This Row],[Дата перевода]]-Таблица1[[#This Row],[Дата поступления]]</f>
        <v>0</v>
      </c>
      <c r="W2030" s="2">
        <f>Таблица1[[#This Row],[Дата поступления]]-Таблица1[[#This Row],[Дата рождения]]</f>
        <v>0</v>
      </c>
    </row>
    <row r="2031" spans="22:23" ht="24.95" customHeight="1" x14ac:dyDescent="0.25">
      <c r="V2031" s="2">
        <f>Таблица1[[#This Row],[Дата перевода]]-Таблица1[[#This Row],[Дата поступления]]</f>
        <v>0</v>
      </c>
      <c r="W2031" s="2">
        <f>Таблица1[[#This Row],[Дата поступления]]-Таблица1[[#This Row],[Дата рождения]]</f>
        <v>0</v>
      </c>
    </row>
    <row r="2032" spans="22:23" ht="24.95" customHeight="1" x14ac:dyDescent="0.25">
      <c r="V2032" s="2">
        <f>Таблица1[[#This Row],[Дата перевода]]-Таблица1[[#This Row],[Дата поступления]]</f>
        <v>0</v>
      </c>
      <c r="W2032" s="2">
        <f>Таблица1[[#This Row],[Дата поступления]]-Таблица1[[#This Row],[Дата рождения]]</f>
        <v>0</v>
      </c>
    </row>
    <row r="2033" spans="22:23" ht="24.95" customHeight="1" x14ac:dyDescent="0.25">
      <c r="V2033" s="2">
        <f>Таблица1[[#This Row],[Дата перевода]]-Таблица1[[#This Row],[Дата поступления]]</f>
        <v>0</v>
      </c>
      <c r="W2033" s="2">
        <f>Таблица1[[#This Row],[Дата поступления]]-Таблица1[[#This Row],[Дата рождения]]</f>
        <v>0</v>
      </c>
    </row>
    <row r="2034" spans="22:23" ht="24.95" customHeight="1" x14ac:dyDescent="0.25">
      <c r="V2034" s="2">
        <f>Таблица1[[#This Row],[Дата перевода]]-Таблица1[[#This Row],[Дата поступления]]</f>
        <v>0</v>
      </c>
      <c r="W2034" s="2">
        <f>Таблица1[[#This Row],[Дата поступления]]-Таблица1[[#This Row],[Дата рождения]]</f>
        <v>0</v>
      </c>
    </row>
    <row r="2035" spans="22:23" ht="24.95" customHeight="1" x14ac:dyDescent="0.25">
      <c r="V2035" s="2">
        <f>Таблица1[[#This Row],[Дата перевода]]-Таблица1[[#This Row],[Дата поступления]]</f>
        <v>0</v>
      </c>
      <c r="W2035" s="2">
        <f>Таблица1[[#This Row],[Дата поступления]]-Таблица1[[#This Row],[Дата рождения]]</f>
        <v>0</v>
      </c>
    </row>
    <row r="2036" spans="22:23" ht="24.95" customHeight="1" x14ac:dyDescent="0.25">
      <c r="V2036" s="2">
        <f>Таблица1[[#This Row],[Дата перевода]]-Таблица1[[#This Row],[Дата поступления]]</f>
        <v>0</v>
      </c>
      <c r="W2036" s="2">
        <f>Таблица1[[#This Row],[Дата поступления]]-Таблица1[[#This Row],[Дата рождения]]</f>
        <v>0</v>
      </c>
    </row>
    <row r="2037" spans="22:23" ht="24.95" customHeight="1" x14ac:dyDescent="0.25">
      <c r="V2037" s="2">
        <f>Таблица1[[#This Row],[Дата перевода]]-Таблица1[[#This Row],[Дата поступления]]</f>
        <v>0</v>
      </c>
      <c r="W2037" s="2">
        <f>Таблица1[[#This Row],[Дата поступления]]-Таблица1[[#This Row],[Дата рождения]]</f>
        <v>0</v>
      </c>
    </row>
    <row r="2038" spans="22:23" ht="24.95" customHeight="1" x14ac:dyDescent="0.25">
      <c r="V2038" s="2">
        <f>Таблица1[[#This Row],[Дата перевода]]-Таблица1[[#This Row],[Дата поступления]]</f>
        <v>0</v>
      </c>
      <c r="W2038" s="2">
        <f>Таблица1[[#This Row],[Дата поступления]]-Таблица1[[#This Row],[Дата рождения]]</f>
        <v>0</v>
      </c>
    </row>
    <row r="2039" spans="22:23" ht="24.95" customHeight="1" x14ac:dyDescent="0.25">
      <c r="V2039" s="2">
        <f>Таблица1[[#This Row],[Дата перевода]]-Таблица1[[#This Row],[Дата поступления]]</f>
        <v>0</v>
      </c>
      <c r="W2039" s="2">
        <f>Таблица1[[#This Row],[Дата поступления]]-Таблица1[[#This Row],[Дата рождения]]</f>
        <v>0</v>
      </c>
    </row>
    <row r="2040" spans="22:23" ht="24.95" customHeight="1" x14ac:dyDescent="0.25">
      <c r="V2040" s="2">
        <f>Таблица1[[#This Row],[Дата перевода]]-Таблица1[[#This Row],[Дата поступления]]</f>
        <v>0</v>
      </c>
      <c r="W2040" s="2">
        <f>Таблица1[[#This Row],[Дата поступления]]-Таблица1[[#This Row],[Дата рождения]]</f>
        <v>0</v>
      </c>
    </row>
    <row r="2041" spans="22:23" ht="24.95" customHeight="1" x14ac:dyDescent="0.25">
      <c r="V2041" s="2">
        <f>Таблица1[[#This Row],[Дата перевода]]-Таблица1[[#This Row],[Дата поступления]]</f>
        <v>0</v>
      </c>
      <c r="W2041" s="2">
        <f>Таблица1[[#This Row],[Дата поступления]]-Таблица1[[#This Row],[Дата рождения]]</f>
        <v>0</v>
      </c>
    </row>
    <row r="2042" spans="22:23" ht="24.95" customHeight="1" x14ac:dyDescent="0.25">
      <c r="V2042" s="2">
        <f>Таблица1[[#This Row],[Дата перевода]]-Таблица1[[#This Row],[Дата поступления]]</f>
        <v>0</v>
      </c>
      <c r="W2042" s="2">
        <f>Таблица1[[#This Row],[Дата поступления]]-Таблица1[[#This Row],[Дата рождения]]</f>
        <v>0</v>
      </c>
    </row>
    <row r="2043" spans="22:23" ht="24.95" customHeight="1" x14ac:dyDescent="0.25">
      <c r="V2043" s="2">
        <f>Таблица1[[#This Row],[Дата перевода]]-Таблица1[[#This Row],[Дата поступления]]</f>
        <v>0</v>
      </c>
      <c r="W2043" s="2">
        <f>Таблица1[[#This Row],[Дата поступления]]-Таблица1[[#This Row],[Дата рождения]]</f>
        <v>0</v>
      </c>
    </row>
    <row r="2044" spans="22:23" ht="24.95" customHeight="1" x14ac:dyDescent="0.25">
      <c r="V2044" s="2">
        <f>Таблица1[[#This Row],[Дата перевода]]-Таблица1[[#This Row],[Дата поступления]]</f>
        <v>0</v>
      </c>
      <c r="W2044" s="2">
        <f>Таблица1[[#This Row],[Дата поступления]]-Таблица1[[#This Row],[Дата рождения]]</f>
        <v>0</v>
      </c>
    </row>
    <row r="2045" spans="22:23" ht="24.95" customHeight="1" x14ac:dyDescent="0.25">
      <c r="V2045" s="2">
        <f>Таблица1[[#This Row],[Дата перевода]]-Таблица1[[#This Row],[Дата поступления]]</f>
        <v>0</v>
      </c>
      <c r="W2045" s="2">
        <f>Таблица1[[#This Row],[Дата поступления]]-Таблица1[[#This Row],[Дата рождения]]</f>
        <v>0</v>
      </c>
    </row>
    <row r="2046" spans="22:23" ht="24.95" customHeight="1" x14ac:dyDescent="0.25">
      <c r="V2046" s="2">
        <f>Таблица1[[#This Row],[Дата перевода]]-Таблица1[[#This Row],[Дата поступления]]</f>
        <v>0</v>
      </c>
      <c r="W2046" s="2">
        <f>Таблица1[[#This Row],[Дата поступления]]-Таблица1[[#This Row],[Дата рождения]]</f>
        <v>0</v>
      </c>
    </row>
    <row r="2047" spans="22:23" ht="24.95" customHeight="1" x14ac:dyDescent="0.25">
      <c r="V2047" s="2">
        <f>Таблица1[[#This Row],[Дата перевода]]-Таблица1[[#This Row],[Дата поступления]]</f>
        <v>0</v>
      </c>
      <c r="W2047" s="2">
        <f>Таблица1[[#This Row],[Дата поступления]]-Таблица1[[#This Row],[Дата рождения]]</f>
        <v>0</v>
      </c>
    </row>
    <row r="2048" spans="22:23" ht="24.95" customHeight="1" x14ac:dyDescent="0.25">
      <c r="V2048" s="2">
        <f>Таблица1[[#This Row],[Дата перевода]]-Таблица1[[#This Row],[Дата поступления]]</f>
        <v>0</v>
      </c>
      <c r="W2048" s="2">
        <f>Таблица1[[#This Row],[Дата поступления]]-Таблица1[[#This Row],[Дата рождения]]</f>
        <v>0</v>
      </c>
    </row>
    <row r="2049" spans="22:23" ht="24.95" customHeight="1" x14ac:dyDescent="0.25">
      <c r="V2049" s="2">
        <f>Таблица1[[#This Row],[Дата перевода]]-Таблица1[[#This Row],[Дата поступления]]</f>
        <v>0</v>
      </c>
      <c r="W2049" s="2">
        <f>Таблица1[[#This Row],[Дата поступления]]-Таблица1[[#This Row],[Дата рождения]]</f>
        <v>0</v>
      </c>
    </row>
    <row r="2050" spans="22:23" ht="24.95" customHeight="1" x14ac:dyDescent="0.25">
      <c r="V2050" s="2">
        <f>Таблица1[[#This Row],[Дата перевода]]-Таблица1[[#This Row],[Дата поступления]]</f>
        <v>0</v>
      </c>
      <c r="W2050" s="2">
        <f>Таблица1[[#This Row],[Дата поступления]]-Таблица1[[#This Row],[Дата рождения]]</f>
        <v>0</v>
      </c>
    </row>
    <row r="2051" spans="22:23" ht="24.95" customHeight="1" x14ac:dyDescent="0.25">
      <c r="V2051" s="2">
        <f>Таблица1[[#This Row],[Дата перевода]]-Таблица1[[#This Row],[Дата поступления]]</f>
        <v>0</v>
      </c>
      <c r="W2051" s="2">
        <f>Таблица1[[#This Row],[Дата поступления]]-Таблица1[[#This Row],[Дата рождения]]</f>
        <v>0</v>
      </c>
    </row>
    <row r="2052" spans="22:23" ht="24.95" customHeight="1" x14ac:dyDescent="0.25">
      <c r="V2052" s="2">
        <f>Таблица1[[#This Row],[Дата перевода]]-Таблица1[[#This Row],[Дата поступления]]</f>
        <v>0</v>
      </c>
      <c r="W2052" s="2">
        <f>Таблица1[[#This Row],[Дата поступления]]-Таблица1[[#This Row],[Дата рождения]]</f>
        <v>0</v>
      </c>
    </row>
    <row r="2053" spans="22:23" ht="24.95" customHeight="1" x14ac:dyDescent="0.25">
      <c r="V2053" s="2">
        <f>Таблица1[[#This Row],[Дата перевода]]-Таблица1[[#This Row],[Дата поступления]]</f>
        <v>0</v>
      </c>
      <c r="W2053" s="2">
        <f>Таблица1[[#This Row],[Дата поступления]]-Таблица1[[#This Row],[Дата рождения]]</f>
        <v>0</v>
      </c>
    </row>
    <row r="2054" spans="22:23" ht="24.95" customHeight="1" x14ac:dyDescent="0.25">
      <c r="V2054" s="2">
        <f>Таблица1[[#This Row],[Дата перевода]]-Таблица1[[#This Row],[Дата поступления]]</f>
        <v>0</v>
      </c>
      <c r="W2054" s="2">
        <f>Таблица1[[#This Row],[Дата поступления]]-Таблица1[[#This Row],[Дата рождения]]</f>
        <v>0</v>
      </c>
    </row>
    <row r="2055" spans="22:23" ht="24.95" customHeight="1" x14ac:dyDescent="0.25">
      <c r="V2055" s="2">
        <f>Таблица1[[#This Row],[Дата перевода]]-Таблица1[[#This Row],[Дата поступления]]</f>
        <v>0</v>
      </c>
      <c r="W2055" s="2">
        <f>Таблица1[[#This Row],[Дата поступления]]-Таблица1[[#This Row],[Дата рождения]]</f>
        <v>0</v>
      </c>
    </row>
    <row r="2056" spans="22:23" ht="24.95" customHeight="1" x14ac:dyDescent="0.25">
      <c r="V2056" s="2">
        <f>Таблица1[[#This Row],[Дата перевода]]-Таблица1[[#This Row],[Дата поступления]]</f>
        <v>0</v>
      </c>
      <c r="W2056" s="2">
        <f>Таблица1[[#This Row],[Дата поступления]]-Таблица1[[#This Row],[Дата рождения]]</f>
        <v>0</v>
      </c>
    </row>
    <row r="2057" spans="22:23" ht="24.95" customHeight="1" x14ac:dyDescent="0.25">
      <c r="V2057" s="2">
        <f>Таблица1[[#This Row],[Дата перевода]]-Таблица1[[#This Row],[Дата поступления]]</f>
        <v>0</v>
      </c>
      <c r="W2057" s="2">
        <f>Таблица1[[#This Row],[Дата поступления]]-Таблица1[[#This Row],[Дата рождения]]</f>
        <v>0</v>
      </c>
    </row>
    <row r="2058" spans="22:23" ht="24.95" customHeight="1" x14ac:dyDescent="0.25">
      <c r="V2058" s="2">
        <f>Таблица1[[#This Row],[Дата перевода]]-Таблица1[[#This Row],[Дата поступления]]</f>
        <v>0</v>
      </c>
      <c r="W2058" s="2">
        <f>Таблица1[[#This Row],[Дата поступления]]-Таблица1[[#This Row],[Дата рождения]]</f>
        <v>0</v>
      </c>
    </row>
    <row r="2059" spans="22:23" ht="24.95" customHeight="1" x14ac:dyDescent="0.25">
      <c r="V2059" s="2">
        <f>Таблица1[[#This Row],[Дата перевода]]-Таблица1[[#This Row],[Дата поступления]]</f>
        <v>0</v>
      </c>
      <c r="W2059" s="2">
        <f>Таблица1[[#This Row],[Дата поступления]]-Таблица1[[#This Row],[Дата рождения]]</f>
        <v>0</v>
      </c>
    </row>
    <row r="2060" spans="22:23" ht="24.95" customHeight="1" x14ac:dyDescent="0.25">
      <c r="V2060" s="2">
        <f>Таблица1[[#This Row],[Дата перевода]]-Таблица1[[#This Row],[Дата поступления]]</f>
        <v>0</v>
      </c>
      <c r="W2060" s="2">
        <f>Таблица1[[#This Row],[Дата поступления]]-Таблица1[[#This Row],[Дата рождения]]</f>
        <v>0</v>
      </c>
    </row>
    <row r="2061" spans="22:23" ht="24.95" customHeight="1" x14ac:dyDescent="0.25">
      <c r="V2061" s="2">
        <f>Таблица1[[#This Row],[Дата перевода]]-Таблица1[[#This Row],[Дата поступления]]</f>
        <v>0</v>
      </c>
      <c r="W2061" s="2">
        <f>Таблица1[[#This Row],[Дата поступления]]-Таблица1[[#This Row],[Дата рождения]]</f>
        <v>0</v>
      </c>
    </row>
    <row r="2062" spans="22:23" ht="24.95" customHeight="1" x14ac:dyDescent="0.25">
      <c r="V2062" s="2">
        <f>Таблица1[[#This Row],[Дата перевода]]-Таблица1[[#This Row],[Дата поступления]]</f>
        <v>0</v>
      </c>
      <c r="W2062" s="2">
        <f>Таблица1[[#This Row],[Дата поступления]]-Таблица1[[#This Row],[Дата рождения]]</f>
        <v>0</v>
      </c>
    </row>
    <row r="2063" spans="22:23" ht="24.95" customHeight="1" x14ac:dyDescent="0.25">
      <c r="V2063" s="2">
        <f>Таблица1[[#This Row],[Дата перевода]]-Таблица1[[#This Row],[Дата поступления]]</f>
        <v>0</v>
      </c>
      <c r="W2063" s="2">
        <f>Таблица1[[#This Row],[Дата поступления]]-Таблица1[[#This Row],[Дата рождения]]</f>
        <v>0</v>
      </c>
    </row>
    <row r="2064" spans="22:23" ht="24.95" customHeight="1" x14ac:dyDescent="0.25">
      <c r="V2064" s="2">
        <f>Таблица1[[#This Row],[Дата перевода]]-Таблица1[[#This Row],[Дата поступления]]</f>
        <v>0</v>
      </c>
      <c r="W2064" s="2">
        <f>Таблица1[[#This Row],[Дата поступления]]-Таблица1[[#This Row],[Дата рождения]]</f>
        <v>0</v>
      </c>
    </row>
    <row r="2065" spans="22:23" ht="24.95" customHeight="1" x14ac:dyDescent="0.25">
      <c r="V2065" s="2">
        <f>Таблица1[[#This Row],[Дата перевода]]-Таблица1[[#This Row],[Дата поступления]]</f>
        <v>0</v>
      </c>
      <c r="W2065" s="2">
        <f>Таблица1[[#This Row],[Дата поступления]]-Таблица1[[#This Row],[Дата рождения]]</f>
        <v>0</v>
      </c>
    </row>
    <row r="2066" spans="22:23" ht="24.95" customHeight="1" x14ac:dyDescent="0.25">
      <c r="V2066" s="2">
        <f>Таблица1[[#This Row],[Дата перевода]]-Таблица1[[#This Row],[Дата поступления]]</f>
        <v>0</v>
      </c>
      <c r="W2066" s="2">
        <f>Таблица1[[#This Row],[Дата поступления]]-Таблица1[[#This Row],[Дата рождения]]</f>
        <v>0</v>
      </c>
    </row>
    <row r="2067" spans="22:23" ht="24.95" customHeight="1" x14ac:dyDescent="0.25">
      <c r="V2067" s="2">
        <f>Таблица1[[#This Row],[Дата перевода]]-Таблица1[[#This Row],[Дата поступления]]</f>
        <v>0</v>
      </c>
      <c r="W2067" s="2">
        <f>Таблица1[[#This Row],[Дата поступления]]-Таблица1[[#This Row],[Дата рождения]]</f>
        <v>0</v>
      </c>
    </row>
    <row r="2068" spans="22:23" ht="24.95" customHeight="1" x14ac:dyDescent="0.25">
      <c r="V2068" s="2">
        <f>Таблица1[[#This Row],[Дата перевода]]-Таблица1[[#This Row],[Дата поступления]]</f>
        <v>0</v>
      </c>
      <c r="W2068" s="2">
        <f>Таблица1[[#This Row],[Дата поступления]]-Таблица1[[#This Row],[Дата рождения]]</f>
        <v>0</v>
      </c>
    </row>
    <row r="2069" spans="22:23" ht="24.95" customHeight="1" x14ac:dyDescent="0.25">
      <c r="V2069" s="2">
        <f>Таблица1[[#This Row],[Дата перевода]]-Таблица1[[#This Row],[Дата поступления]]</f>
        <v>0</v>
      </c>
      <c r="W2069" s="2">
        <f>Таблица1[[#This Row],[Дата поступления]]-Таблица1[[#This Row],[Дата рождения]]</f>
        <v>0</v>
      </c>
    </row>
    <row r="2070" spans="22:23" ht="24.95" customHeight="1" x14ac:dyDescent="0.25">
      <c r="V2070" s="2">
        <f>Таблица1[[#This Row],[Дата перевода]]-Таблица1[[#This Row],[Дата поступления]]</f>
        <v>0</v>
      </c>
      <c r="W2070" s="2">
        <f>Таблица1[[#This Row],[Дата поступления]]-Таблица1[[#This Row],[Дата рождения]]</f>
        <v>0</v>
      </c>
    </row>
    <row r="2071" spans="22:23" ht="24.95" customHeight="1" x14ac:dyDescent="0.25">
      <c r="V2071" s="2">
        <f>Таблица1[[#This Row],[Дата перевода]]-Таблица1[[#This Row],[Дата поступления]]</f>
        <v>0</v>
      </c>
      <c r="W2071" s="2">
        <f>Таблица1[[#This Row],[Дата поступления]]-Таблица1[[#This Row],[Дата рождения]]</f>
        <v>0</v>
      </c>
    </row>
    <row r="2072" spans="22:23" ht="24.95" customHeight="1" x14ac:dyDescent="0.25">
      <c r="V2072" s="2">
        <f>Таблица1[[#This Row],[Дата перевода]]-Таблица1[[#This Row],[Дата поступления]]</f>
        <v>0</v>
      </c>
      <c r="W2072" s="2">
        <f>Таблица1[[#This Row],[Дата поступления]]-Таблица1[[#This Row],[Дата рождения]]</f>
        <v>0</v>
      </c>
    </row>
    <row r="2073" spans="22:23" ht="24.95" customHeight="1" x14ac:dyDescent="0.25">
      <c r="V2073" s="2">
        <f>Таблица1[[#This Row],[Дата перевода]]-Таблица1[[#This Row],[Дата поступления]]</f>
        <v>0</v>
      </c>
      <c r="W2073" s="2">
        <f>Таблица1[[#This Row],[Дата поступления]]-Таблица1[[#This Row],[Дата рождения]]</f>
        <v>0</v>
      </c>
    </row>
    <row r="2074" spans="22:23" ht="24.95" customHeight="1" x14ac:dyDescent="0.25">
      <c r="V2074" s="2">
        <f>Таблица1[[#This Row],[Дата перевода]]-Таблица1[[#This Row],[Дата поступления]]</f>
        <v>0</v>
      </c>
      <c r="W2074" s="2">
        <f>Таблица1[[#This Row],[Дата поступления]]-Таблица1[[#This Row],[Дата рождения]]</f>
        <v>0</v>
      </c>
    </row>
    <row r="2075" spans="22:23" ht="24.95" customHeight="1" x14ac:dyDescent="0.25">
      <c r="V2075" s="2">
        <f>Таблица1[[#This Row],[Дата перевода]]-Таблица1[[#This Row],[Дата поступления]]</f>
        <v>0</v>
      </c>
      <c r="W2075" s="2">
        <f>Таблица1[[#This Row],[Дата поступления]]-Таблица1[[#This Row],[Дата рождения]]</f>
        <v>0</v>
      </c>
    </row>
    <row r="2076" spans="22:23" ht="24.95" customHeight="1" x14ac:dyDescent="0.25">
      <c r="V2076" s="2">
        <f>Таблица1[[#This Row],[Дата перевода]]-Таблица1[[#This Row],[Дата поступления]]</f>
        <v>0</v>
      </c>
      <c r="W2076" s="2">
        <f>Таблица1[[#This Row],[Дата поступления]]-Таблица1[[#This Row],[Дата рождения]]</f>
        <v>0</v>
      </c>
    </row>
    <row r="2077" spans="22:23" ht="24.95" customHeight="1" x14ac:dyDescent="0.25">
      <c r="V2077" s="2">
        <f>Таблица1[[#This Row],[Дата перевода]]-Таблица1[[#This Row],[Дата поступления]]</f>
        <v>0</v>
      </c>
      <c r="W2077" s="2">
        <f>Таблица1[[#This Row],[Дата поступления]]-Таблица1[[#This Row],[Дата рождения]]</f>
        <v>0</v>
      </c>
    </row>
    <row r="2078" spans="22:23" ht="24.95" customHeight="1" x14ac:dyDescent="0.25">
      <c r="V2078" s="2">
        <f>Таблица1[[#This Row],[Дата перевода]]-Таблица1[[#This Row],[Дата поступления]]</f>
        <v>0</v>
      </c>
      <c r="W2078" s="2">
        <f>Таблица1[[#This Row],[Дата поступления]]-Таблица1[[#This Row],[Дата рождения]]</f>
        <v>0</v>
      </c>
    </row>
    <row r="2079" spans="22:23" ht="24.95" customHeight="1" x14ac:dyDescent="0.25">
      <c r="V2079" s="2">
        <f>Таблица1[[#This Row],[Дата перевода]]-Таблица1[[#This Row],[Дата поступления]]</f>
        <v>0</v>
      </c>
      <c r="W2079" s="2">
        <f>Таблица1[[#This Row],[Дата поступления]]-Таблица1[[#This Row],[Дата рождения]]</f>
        <v>0</v>
      </c>
    </row>
    <row r="2080" spans="22:23" ht="24.95" customHeight="1" x14ac:dyDescent="0.25">
      <c r="V2080" s="2">
        <f>Таблица1[[#This Row],[Дата перевода]]-Таблица1[[#This Row],[Дата поступления]]</f>
        <v>0</v>
      </c>
      <c r="W2080" s="2">
        <f>Таблица1[[#This Row],[Дата поступления]]-Таблица1[[#This Row],[Дата рождения]]</f>
        <v>0</v>
      </c>
    </row>
    <row r="2081" spans="22:23" ht="24.95" customHeight="1" x14ac:dyDescent="0.25">
      <c r="V2081" s="2">
        <f>Таблица1[[#This Row],[Дата перевода]]-Таблица1[[#This Row],[Дата поступления]]</f>
        <v>0</v>
      </c>
      <c r="W2081" s="2">
        <f>Таблица1[[#This Row],[Дата поступления]]-Таблица1[[#This Row],[Дата рождения]]</f>
        <v>0</v>
      </c>
    </row>
    <row r="2082" spans="22:23" ht="24.95" customHeight="1" x14ac:dyDescent="0.25">
      <c r="V2082" s="2">
        <f>Таблица1[[#This Row],[Дата перевода]]-Таблица1[[#This Row],[Дата поступления]]</f>
        <v>0</v>
      </c>
      <c r="W2082" s="2">
        <f>Таблица1[[#This Row],[Дата поступления]]-Таблица1[[#This Row],[Дата рождения]]</f>
        <v>0</v>
      </c>
    </row>
    <row r="2083" spans="22:23" ht="24.95" customHeight="1" x14ac:dyDescent="0.25">
      <c r="V2083" s="2">
        <f>Таблица1[[#This Row],[Дата перевода]]-Таблица1[[#This Row],[Дата поступления]]</f>
        <v>0</v>
      </c>
      <c r="W2083" s="2">
        <f>Таблица1[[#This Row],[Дата поступления]]-Таблица1[[#This Row],[Дата рождения]]</f>
        <v>0</v>
      </c>
    </row>
    <row r="2084" spans="22:23" ht="24.95" customHeight="1" x14ac:dyDescent="0.25">
      <c r="V2084" s="2">
        <f>Таблица1[[#This Row],[Дата перевода]]-Таблица1[[#This Row],[Дата поступления]]</f>
        <v>0</v>
      </c>
      <c r="W2084" s="2">
        <f>Таблица1[[#This Row],[Дата поступления]]-Таблица1[[#This Row],[Дата рождения]]</f>
        <v>0</v>
      </c>
    </row>
    <row r="2085" spans="22:23" ht="24.95" customHeight="1" x14ac:dyDescent="0.25">
      <c r="V2085" s="2">
        <f>Таблица1[[#This Row],[Дата перевода]]-Таблица1[[#This Row],[Дата поступления]]</f>
        <v>0</v>
      </c>
      <c r="W2085" s="2">
        <f>Таблица1[[#This Row],[Дата поступления]]-Таблица1[[#This Row],[Дата рождения]]</f>
        <v>0</v>
      </c>
    </row>
    <row r="2086" spans="22:23" ht="24.95" customHeight="1" x14ac:dyDescent="0.25">
      <c r="V2086" s="2">
        <f>Таблица1[[#This Row],[Дата перевода]]-Таблица1[[#This Row],[Дата поступления]]</f>
        <v>0</v>
      </c>
      <c r="W2086" s="2">
        <f>Таблица1[[#This Row],[Дата поступления]]-Таблица1[[#This Row],[Дата рождения]]</f>
        <v>0</v>
      </c>
    </row>
    <row r="2087" spans="22:23" ht="24.95" customHeight="1" x14ac:dyDescent="0.25">
      <c r="V2087" s="2">
        <f>Таблица1[[#This Row],[Дата перевода]]-Таблица1[[#This Row],[Дата поступления]]</f>
        <v>0</v>
      </c>
      <c r="W2087" s="2">
        <f>Таблица1[[#This Row],[Дата поступления]]-Таблица1[[#This Row],[Дата рождения]]</f>
        <v>0</v>
      </c>
    </row>
    <row r="2088" spans="22:23" ht="24.95" customHeight="1" x14ac:dyDescent="0.25">
      <c r="V2088" s="2">
        <f>Таблица1[[#This Row],[Дата перевода]]-Таблица1[[#This Row],[Дата поступления]]</f>
        <v>0</v>
      </c>
      <c r="W2088" s="2">
        <f>Таблица1[[#This Row],[Дата поступления]]-Таблица1[[#This Row],[Дата рождения]]</f>
        <v>0</v>
      </c>
    </row>
    <row r="2089" spans="22:23" ht="24.95" customHeight="1" x14ac:dyDescent="0.25">
      <c r="V2089" s="2">
        <f>Таблица1[[#This Row],[Дата перевода]]-Таблица1[[#This Row],[Дата поступления]]</f>
        <v>0</v>
      </c>
      <c r="W2089" s="2">
        <f>Таблица1[[#This Row],[Дата поступления]]-Таблица1[[#This Row],[Дата рождения]]</f>
        <v>0</v>
      </c>
    </row>
    <row r="2090" spans="22:23" ht="24.95" customHeight="1" x14ac:dyDescent="0.25">
      <c r="V2090" s="2">
        <f>Таблица1[[#This Row],[Дата перевода]]-Таблица1[[#This Row],[Дата поступления]]</f>
        <v>0</v>
      </c>
      <c r="W2090" s="2">
        <f>Таблица1[[#This Row],[Дата поступления]]-Таблица1[[#This Row],[Дата рождения]]</f>
        <v>0</v>
      </c>
    </row>
    <row r="2091" spans="22:23" ht="24.95" customHeight="1" x14ac:dyDescent="0.25">
      <c r="V2091" s="2">
        <f>Таблица1[[#This Row],[Дата перевода]]-Таблица1[[#This Row],[Дата поступления]]</f>
        <v>0</v>
      </c>
      <c r="W2091" s="2">
        <f>Таблица1[[#This Row],[Дата поступления]]-Таблица1[[#This Row],[Дата рождения]]</f>
        <v>0</v>
      </c>
    </row>
    <row r="2092" spans="22:23" ht="24.95" customHeight="1" x14ac:dyDescent="0.25">
      <c r="V2092" s="2">
        <f>Таблица1[[#This Row],[Дата перевода]]-Таблица1[[#This Row],[Дата поступления]]</f>
        <v>0</v>
      </c>
      <c r="W2092" s="2">
        <f>Таблица1[[#This Row],[Дата поступления]]-Таблица1[[#This Row],[Дата рождения]]</f>
        <v>0</v>
      </c>
    </row>
    <row r="2093" spans="22:23" ht="24.95" customHeight="1" x14ac:dyDescent="0.25">
      <c r="V2093" s="2">
        <f>Таблица1[[#This Row],[Дата перевода]]-Таблица1[[#This Row],[Дата поступления]]</f>
        <v>0</v>
      </c>
      <c r="W2093" s="2">
        <f>Таблица1[[#This Row],[Дата поступления]]-Таблица1[[#This Row],[Дата рождения]]</f>
        <v>0</v>
      </c>
    </row>
    <row r="2094" spans="22:23" ht="24.95" customHeight="1" x14ac:dyDescent="0.25">
      <c r="V2094" s="2">
        <f>Таблица1[[#This Row],[Дата перевода]]-Таблица1[[#This Row],[Дата поступления]]</f>
        <v>0</v>
      </c>
      <c r="W2094" s="2">
        <f>Таблица1[[#This Row],[Дата поступления]]-Таблица1[[#This Row],[Дата рождения]]</f>
        <v>0</v>
      </c>
    </row>
    <row r="2095" spans="22:23" ht="24.95" customHeight="1" x14ac:dyDescent="0.25">
      <c r="V2095" s="2">
        <f>Таблица1[[#This Row],[Дата перевода]]-Таблица1[[#This Row],[Дата поступления]]</f>
        <v>0</v>
      </c>
      <c r="W2095" s="2">
        <f>Таблица1[[#This Row],[Дата поступления]]-Таблица1[[#This Row],[Дата рождения]]</f>
        <v>0</v>
      </c>
    </row>
    <row r="2096" spans="22:23" ht="24.95" customHeight="1" x14ac:dyDescent="0.25">
      <c r="V2096" s="2">
        <f>Таблица1[[#This Row],[Дата перевода]]-Таблица1[[#This Row],[Дата поступления]]</f>
        <v>0</v>
      </c>
      <c r="W2096" s="2">
        <f>Таблица1[[#This Row],[Дата поступления]]-Таблица1[[#This Row],[Дата рождения]]</f>
        <v>0</v>
      </c>
    </row>
    <row r="2097" spans="22:23" ht="24.95" customHeight="1" x14ac:dyDescent="0.25">
      <c r="V2097" s="2">
        <f>Таблица1[[#This Row],[Дата перевода]]-Таблица1[[#This Row],[Дата поступления]]</f>
        <v>0</v>
      </c>
      <c r="W2097" s="2">
        <f>Таблица1[[#This Row],[Дата поступления]]-Таблица1[[#This Row],[Дата рождения]]</f>
        <v>0</v>
      </c>
    </row>
    <row r="2098" spans="22:23" ht="24.95" customHeight="1" x14ac:dyDescent="0.25">
      <c r="V2098" s="2">
        <f>Таблица1[[#This Row],[Дата перевода]]-Таблица1[[#This Row],[Дата поступления]]</f>
        <v>0</v>
      </c>
      <c r="W2098" s="2">
        <f>Таблица1[[#This Row],[Дата поступления]]-Таблица1[[#This Row],[Дата рождения]]</f>
        <v>0</v>
      </c>
    </row>
    <row r="2099" spans="22:23" ht="24.95" customHeight="1" x14ac:dyDescent="0.25">
      <c r="V2099" s="2">
        <f>Таблица1[[#This Row],[Дата перевода]]-Таблица1[[#This Row],[Дата поступления]]</f>
        <v>0</v>
      </c>
      <c r="W2099" s="2">
        <f>Таблица1[[#This Row],[Дата поступления]]-Таблица1[[#This Row],[Дата рождения]]</f>
        <v>0</v>
      </c>
    </row>
    <row r="2100" spans="22:23" ht="24.95" customHeight="1" x14ac:dyDescent="0.25">
      <c r="V2100" s="2">
        <f>Таблица1[[#This Row],[Дата перевода]]-Таблица1[[#This Row],[Дата поступления]]</f>
        <v>0</v>
      </c>
      <c r="W2100" s="2">
        <f>Таблица1[[#This Row],[Дата поступления]]-Таблица1[[#This Row],[Дата рождения]]</f>
        <v>0</v>
      </c>
    </row>
    <row r="2101" spans="22:23" ht="24.95" customHeight="1" x14ac:dyDescent="0.25">
      <c r="V2101" s="2">
        <f>Таблица1[[#This Row],[Дата перевода]]-Таблица1[[#This Row],[Дата поступления]]</f>
        <v>0</v>
      </c>
      <c r="W2101" s="2">
        <f>Таблица1[[#This Row],[Дата поступления]]-Таблица1[[#This Row],[Дата рождения]]</f>
        <v>0</v>
      </c>
    </row>
    <row r="2102" spans="22:23" ht="24.95" customHeight="1" x14ac:dyDescent="0.25">
      <c r="V2102" s="2">
        <f>Таблица1[[#This Row],[Дата перевода]]-Таблица1[[#This Row],[Дата поступления]]</f>
        <v>0</v>
      </c>
      <c r="W2102" s="2">
        <f>Таблица1[[#This Row],[Дата поступления]]-Таблица1[[#This Row],[Дата рождения]]</f>
        <v>0</v>
      </c>
    </row>
    <row r="2103" spans="22:23" ht="24.95" customHeight="1" x14ac:dyDescent="0.25">
      <c r="V2103" s="2">
        <f>Таблица1[[#This Row],[Дата перевода]]-Таблица1[[#This Row],[Дата поступления]]</f>
        <v>0</v>
      </c>
      <c r="W2103" s="2">
        <f>Таблица1[[#This Row],[Дата поступления]]-Таблица1[[#This Row],[Дата рождения]]</f>
        <v>0</v>
      </c>
    </row>
    <row r="2104" spans="22:23" ht="24.95" customHeight="1" x14ac:dyDescent="0.25">
      <c r="V2104" s="2">
        <f>Таблица1[[#This Row],[Дата перевода]]-Таблица1[[#This Row],[Дата поступления]]</f>
        <v>0</v>
      </c>
      <c r="W2104" s="2">
        <f>Таблица1[[#This Row],[Дата поступления]]-Таблица1[[#This Row],[Дата рождения]]</f>
        <v>0</v>
      </c>
    </row>
    <row r="2105" spans="22:23" ht="24.95" customHeight="1" x14ac:dyDescent="0.25">
      <c r="V2105" s="2">
        <f>Таблица1[[#This Row],[Дата перевода]]-Таблица1[[#This Row],[Дата поступления]]</f>
        <v>0</v>
      </c>
      <c r="W2105" s="2">
        <f>Таблица1[[#This Row],[Дата поступления]]-Таблица1[[#This Row],[Дата рождения]]</f>
        <v>0</v>
      </c>
    </row>
    <row r="2106" spans="22:23" ht="24.95" customHeight="1" x14ac:dyDescent="0.25">
      <c r="V2106" s="2">
        <f>Таблица1[[#This Row],[Дата перевода]]-Таблица1[[#This Row],[Дата поступления]]</f>
        <v>0</v>
      </c>
      <c r="W2106" s="2">
        <f>Таблица1[[#This Row],[Дата поступления]]-Таблица1[[#This Row],[Дата рождения]]</f>
        <v>0</v>
      </c>
    </row>
    <row r="2107" spans="22:23" ht="24.95" customHeight="1" x14ac:dyDescent="0.25">
      <c r="V2107" s="2">
        <f>Таблица1[[#This Row],[Дата перевода]]-Таблица1[[#This Row],[Дата поступления]]</f>
        <v>0</v>
      </c>
      <c r="W2107" s="2">
        <f>Таблица1[[#This Row],[Дата поступления]]-Таблица1[[#This Row],[Дата рождения]]</f>
        <v>0</v>
      </c>
    </row>
    <row r="2108" spans="22:23" ht="24.95" customHeight="1" x14ac:dyDescent="0.25">
      <c r="V2108" s="2">
        <f>Таблица1[[#This Row],[Дата перевода]]-Таблица1[[#This Row],[Дата поступления]]</f>
        <v>0</v>
      </c>
      <c r="W2108" s="2">
        <f>Таблица1[[#This Row],[Дата поступления]]-Таблица1[[#This Row],[Дата рождения]]</f>
        <v>0</v>
      </c>
    </row>
    <row r="2109" spans="22:23" ht="24.95" customHeight="1" x14ac:dyDescent="0.25">
      <c r="V2109" s="2">
        <f>Таблица1[[#This Row],[Дата перевода]]-Таблица1[[#This Row],[Дата поступления]]</f>
        <v>0</v>
      </c>
      <c r="W2109" s="2">
        <f>Таблица1[[#This Row],[Дата поступления]]-Таблица1[[#This Row],[Дата рождения]]</f>
        <v>0</v>
      </c>
    </row>
    <row r="2110" spans="22:23" ht="24.95" customHeight="1" x14ac:dyDescent="0.25">
      <c r="V2110" s="2">
        <f>Таблица1[[#This Row],[Дата перевода]]-Таблица1[[#This Row],[Дата поступления]]</f>
        <v>0</v>
      </c>
      <c r="W2110" s="2">
        <f>Таблица1[[#This Row],[Дата поступления]]-Таблица1[[#This Row],[Дата рождения]]</f>
        <v>0</v>
      </c>
    </row>
    <row r="2111" spans="22:23" ht="24.95" customHeight="1" x14ac:dyDescent="0.25">
      <c r="V2111" s="2">
        <f>Таблица1[[#This Row],[Дата перевода]]-Таблица1[[#This Row],[Дата поступления]]</f>
        <v>0</v>
      </c>
      <c r="W2111" s="2">
        <f>Таблица1[[#This Row],[Дата поступления]]-Таблица1[[#This Row],[Дата рождения]]</f>
        <v>0</v>
      </c>
    </row>
    <row r="2112" spans="22:23" ht="24.95" customHeight="1" x14ac:dyDescent="0.25">
      <c r="V2112" s="2">
        <f>Таблица1[[#This Row],[Дата перевода]]-Таблица1[[#This Row],[Дата поступления]]</f>
        <v>0</v>
      </c>
      <c r="W2112" s="2">
        <f>Таблица1[[#This Row],[Дата поступления]]-Таблица1[[#This Row],[Дата рождения]]</f>
        <v>0</v>
      </c>
    </row>
    <row r="2113" spans="22:23" ht="24.95" customHeight="1" x14ac:dyDescent="0.25">
      <c r="V2113" s="2">
        <f>Таблица1[[#This Row],[Дата перевода]]-Таблица1[[#This Row],[Дата поступления]]</f>
        <v>0</v>
      </c>
      <c r="W2113" s="2">
        <f>Таблица1[[#This Row],[Дата поступления]]-Таблица1[[#This Row],[Дата рождения]]</f>
        <v>0</v>
      </c>
    </row>
    <row r="2114" spans="22:23" ht="24.95" customHeight="1" x14ac:dyDescent="0.25">
      <c r="V2114" s="2">
        <f>Таблица1[[#This Row],[Дата перевода]]-Таблица1[[#This Row],[Дата поступления]]</f>
        <v>0</v>
      </c>
      <c r="W2114" s="2">
        <f>Таблица1[[#This Row],[Дата поступления]]-Таблица1[[#This Row],[Дата рождения]]</f>
        <v>0</v>
      </c>
    </row>
    <row r="2115" spans="22:23" ht="24.95" customHeight="1" x14ac:dyDescent="0.25">
      <c r="V2115" s="2">
        <f>Таблица1[[#This Row],[Дата перевода]]-Таблица1[[#This Row],[Дата поступления]]</f>
        <v>0</v>
      </c>
      <c r="W2115" s="2">
        <f>Таблица1[[#This Row],[Дата поступления]]-Таблица1[[#This Row],[Дата рождения]]</f>
        <v>0</v>
      </c>
    </row>
    <row r="2116" spans="22:23" ht="24.95" customHeight="1" x14ac:dyDescent="0.25">
      <c r="V2116" s="2">
        <f>Таблица1[[#This Row],[Дата перевода]]-Таблица1[[#This Row],[Дата поступления]]</f>
        <v>0</v>
      </c>
      <c r="W2116" s="2">
        <f>Таблица1[[#This Row],[Дата поступления]]-Таблица1[[#This Row],[Дата рождения]]</f>
        <v>0</v>
      </c>
    </row>
    <row r="2117" spans="22:23" ht="24.95" customHeight="1" x14ac:dyDescent="0.25">
      <c r="V2117" s="2">
        <f>Таблица1[[#This Row],[Дата перевода]]-Таблица1[[#This Row],[Дата поступления]]</f>
        <v>0</v>
      </c>
      <c r="W2117" s="2">
        <f>Таблица1[[#This Row],[Дата поступления]]-Таблица1[[#This Row],[Дата рождения]]</f>
        <v>0</v>
      </c>
    </row>
    <row r="2118" spans="22:23" ht="24.95" customHeight="1" x14ac:dyDescent="0.25">
      <c r="V2118" s="2">
        <f>Таблица1[[#This Row],[Дата перевода]]-Таблица1[[#This Row],[Дата поступления]]</f>
        <v>0</v>
      </c>
      <c r="W2118" s="2">
        <f>Таблица1[[#This Row],[Дата поступления]]-Таблица1[[#This Row],[Дата рождения]]</f>
        <v>0</v>
      </c>
    </row>
    <row r="2119" spans="22:23" ht="24.95" customHeight="1" x14ac:dyDescent="0.25">
      <c r="V2119" s="2">
        <f>Таблица1[[#This Row],[Дата перевода]]-Таблица1[[#This Row],[Дата поступления]]</f>
        <v>0</v>
      </c>
      <c r="W2119" s="2">
        <f>Таблица1[[#This Row],[Дата поступления]]-Таблица1[[#This Row],[Дата рождения]]</f>
        <v>0</v>
      </c>
    </row>
    <row r="2120" spans="22:23" ht="24.95" customHeight="1" x14ac:dyDescent="0.25">
      <c r="V2120" s="2">
        <f>Таблица1[[#This Row],[Дата перевода]]-Таблица1[[#This Row],[Дата поступления]]</f>
        <v>0</v>
      </c>
      <c r="W2120" s="2">
        <f>Таблица1[[#This Row],[Дата поступления]]-Таблица1[[#This Row],[Дата рождения]]</f>
        <v>0</v>
      </c>
    </row>
    <row r="2121" spans="22:23" ht="24.95" customHeight="1" x14ac:dyDescent="0.25">
      <c r="V2121" s="2">
        <f>Таблица1[[#This Row],[Дата перевода]]-Таблица1[[#This Row],[Дата поступления]]</f>
        <v>0</v>
      </c>
      <c r="W2121" s="2">
        <f>Таблица1[[#This Row],[Дата поступления]]-Таблица1[[#This Row],[Дата рождения]]</f>
        <v>0</v>
      </c>
    </row>
    <row r="2122" spans="22:23" ht="24.95" customHeight="1" x14ac:dyDescent="0.25">
      <c r="V2122" s="2">
        <f>Таблица1[[#This Row],[Дата перевода]]-Таблица1[[#This Row],[Дата поступления]]</f>
        <v>0</v>
      </c>
      <c r="W2122" s="2">
        <f>Таблица1[[#This Row],[Дата поступления]]-Таблица1[[#This Row],[Дата рождения]]</f>
        <v>0</v>
      </c>
    </row>
    <row r="2123" spans="22:23" ht="24.95" customHeight="1" x14ac:dyDescent="0.25">
      <c r="V2123" s="2">
        <f>Таблица1[[#This Row],[Дата перевода]]-Таблица1[[#This Row],[Дата поступления]]</f>
        <v>0</v>
      </c>
      <c r="W2123" s="2">
        <f>Таблица1[[#This Row],[Дата поступления]]-Таблица1[[#This Row],[Дата рождения]]</f>
        <v>0</v>
      </c>
    </row>
    <row r="2124" spans="22:23" ht="24.95" customHeight="1" x14ac:dyDescent="0.25">
      <c r="V2124" s="2">
        <f>Таблица1[[#This Row],[Дата перевода]]-Таблица1[[#This Row],[Дата поступления]]</f>
        <v>0</v>
      </c>
      <c r="W2124" s="2">
        <f>Таблица1[[#This Row],[Дата поступления]]-Таблица1[[#This Row],[Дата рождения]]</f>
        <v>0</v>
      </c>
    </row>
    <row r="2125" spans="22:23" ht="24.95" customHeight="1" x14ac:dyDescent="0.25">
      <c r="V2125" s="2">
        <f>Таблица1[[#This Row],[Дата перевода]]-Таблица1[[#This Row],[Дата поступления]]</f>
        <v>0</v>
      </c>
      <c r="W2125" s="2">
        <f>Таблица1[[#This Row],[Дата поступления]]-Таблица1[[#This Row],[Дата рождения]]</f>
        <v>0</v>
      </c>
    </row>
    <row r="2126" spans="22:23" ht="24.95" customHeight="1" x14ac:dyDescent="0.25">
      <c r="V2126" s="2">
        <f>Таблица1[[#This Row],[Дата перевода]]-Таблица1[[#This Row],[Дата поступления]]</f>
        <v>0</v>
      </c>
      <c r="W2126" s="2">
        <f>Таблица1[[#This Row],[Дата поступления]]-Таблица1[[#This Row],[Дата рождения]]</f>
        <v>0</v>
      </c>
    </row>
    <row r="2127" spans="22:23" ht="24.95" customHeight="1" x14ac:dyDescent="0.25">
      <c r="V2127" s="2">
        <f>Таблица1[[#This Row],[Дата перевода]]-Таблица1[[#This Row],[Дата поступления]]</f>
        <v>0</v>
      </c>
      <c r="W2127" s="2">
        <f>Таблица1[[#This Row],[Дата поступления]]-Таблица1[[#This Row],[Дата рождения]]</f>
        <v>0</v>
      </c>
    </row>
    <row r="2128" spans="22:23" ht="24.95" customHeight="1" x14ac:dyDescent="0.25">
      <c r="V2128" s="2">
        <f>Таблица1[[#This Row],[Дата перевода]]-Таблица1[[#This Row],[Дата поступления]]</f>
        <v>0</v>
      </c>
      <c r="W2128" s="2">
        <f>Таблица1[[#This Row],[Дата поступления]]-Таблица1[[#This Row],[Дата рождения]]</f>
        <v>0</v>
      </c>
    </row>
    <row r="2129" spans="22:23" ht="24.95" customHeight="1" x14ac:dyDescent="0.25">
      <c r="V2129" s="2">
        <f>Таблица1[[#This Row],[Дата перевода]]-Таблица1[[#This Row],[Дата поступления]]</f>
        <v>0</v>
      </c>
      <c r="W2129" s="2">
        <f>Таблица1[[#This Row],[Дата поступления]]-Таблица1[[#This Row],[Дата рождения]]</f>
        <v>0</v>
      </c>
    </row>
    <row r="2130" spans="22:23" ht="24.95" customHeight="1" x14ac:dyDescent="0.25">
      <c r="V2130" s="2">
        <f>Таблица1[[#This Row],[Дата перевода]]-Таблица1[[#This Row],[Дата поступления]]</f>
        <v>0</v>
      </c>
      <c r="W2130" s="2">
        <f>Таблица1[[#This Row],[Дата поступления]]-Таблица1[[#This Row],[Дата рождения]]</f>
        <v>0</v>
      </c>
    </row>
    <row r="2131" spans="22:23" ht="24.95" customHeight="1" x14ac:dyDescent="0.25">
      <c r="V2131" s="2">
        <f>Таблица1[[#This Row],[Дата перевода]]-Таблица1[[#This Row],[Дата поступления]]</f>
        <v>0</v>
      </c>
      <c r="W2131" s="2">
        <f>Таблица1[[#This Row],[Дата поступления]]-Таблица1[[#This Row],[Дата рождения]]</f>
        <v>0</v>
      </c>
    </row>
    <row r="2132" spans="22:23" ht="24.95" customHeight="1" x14ac:dyDescent="0.25">
      <c r="V2132" s="2">
        <f>Таблица1[[#This Row],[Дата перевода]]-Таблица1[[#This Row],[Дата поступления]]</f>
        <v>0</v>
      </c>
      <c r="W2132" s="2">
        <f>Таблица1[[#This Row],[Дата поступления]]-Таблица1[[#This Row],[Дата рождения]]</f>
        <v>0</v>
      </c>
    </row>
    <row r="2133" spans="22:23" ht="24.95" customHeight="1" x14ac:dyDescent="0.25">
      <c r="V2133" s="2">
        <f>Таблица1[[#This Row],[Дата перевода]]-Таблица1[[#This Row],[Дата поступления]]</f>
        <v>0</v>
      </c>
      <c r="W2133" s="2">
        <f>Таблица1[[#This Row],[Дата поступления]]-Таблица1[[#This Row],[Дата рождения]]</f>
        <v>0</v>
      </c>
    </row>
    <row r="2134" spans="22:23" ht="24.95" customHeight="1" x14ac:dyDescent="0.25">
      <c r="V2134" s="2">
        <f>Таблица1[[#This Row],[Дата перевода]]-Таблица1[[#This Row],[Дата поступления]]</f>
        <v>0</v>
      </c>
      <c r="W2134" s="2">
        <f>Таблица1[[#This Row],[Дата поступления]]-Таблица1[[#This Row],[Дата рождения]]</f>
        <v>0</v>
      </c>
    </row>
    <row r="2135" spans="22:23" ht="24.95" customHeight="1" x14ac:dyDescent="0.25">
      <c r="V2135" s="2">
        <f>Таблица1[[#This Row],[Дата перевода]]-Таблица1[[#This Row],[Дата поступления]]</f>
        <v>0</v>
      </c>
      <c r="W2135" s="2">
        <f>Таблица1[[#This Row],[Дата поступления]]-Таблица1[[#This Row],[Дата рождения]]</f>
        <v>0</v>
      </c>
    </row>
    <row r="2136" spans="22:23" ht="24.95" customHeight="1" x14ac:dyDescent="0.25">
      <c r="V2136" s="2">
        <f>Таблица1[[#This Row],[Дата перевода]]-Таблица1[[#This Row],[Дата поступления]]</f>
        <v>0</v>
      </c>
      <c r="W2136" s="2">
        <f>Таблица1[[#This Row],[Дата поступления]]-Таблица1[[#This Row],[Дата рождения]]</f>
        <v>0</v>
      </c>
    </row>
    <row r="2137" spans="22:23" ht="24.95" customHeight="1" x14ac:dyDescent="0.25">
      <c r="V2137" s="2">
        <f>Таблица1[[#This Row],[Дата перевода]]-Таблица1[[#This Row],[Дата поступления]]</f>
        <v>0</v>
      </c>
      <c r="W2137" s="2">
        <f>Таблица1[[#This Row],[Дата поступления]]-Таблица1[[#This Row],[Дата рождения]]</f>
        <v>0</v>
      </c>
    </row>
    <row r="2138" spans="22:23" ht="24.95" customHeight="1" x14ac:dyDescent="0.25">
      <c r="V2138" s="2">
        <f>Таблица1[[#This Row],[Дата перевода]]-Таблица1[[#This Row],[Дата поступления]]</f>
        <v>0</v>
      </c>
      <c r="W2138" s="2">
        <f>Таблица1[[#This Row],[Дата поступления]]-Таблица1[[#This Row],[Дата рождения]]</f>
        <v>0</v>
      </c>
    </row>
    <row r="2139" spans="22:23" ht="24.95" customHeight="1" x14ac:dyDescent="0.25">
      <c r="V2139" s="2">
        <f>Таблица1[[#This Row],[Дата перевода]]-Таблица1[[#This Row],[Дата поступления]]</f>
        <v>0</v>
      </c>
      <c r="W2139" s="2">
        <f>Таблица1[[#This Row],[Дата поступления]]-Таблица1[[#This Row],[Дата рождения]]</f>
        <v>0</v>
      </c>
    </row>
    <row r="2140" spans="22:23" ht="24.95" customHeight="1" x14ac:dyDescent="0.25">
      <c r="V2140" s="2">
        <f>Таблица1[[#This Row],[Дата перевода]]-Таблица1[[#This Row],[Дата поступления]]</f>
        <v>0</v>
      </c>
      <c r="W2140" s="2">
        <f>Таблица1[[#This Row],[Дата поступления]]-Таблица1[[#This Row],[Дата рождения]]</f>
        <v>0</v>
      </c>
    </row>
    <row r="2141" spans="22:23" ht="24.95" customHeight="1" x14ac:dyDescent="0.25">
      <c r="V2141" s="2">
        <f>Таблица1[[#This Row],[Дата перевода]]-Таблица1[[#This Row],[Дата поступления]]</f>
        <v>0</v>
      </c>
      <c r="W2141" s="2">
        <f>Таблица1[[#This Row],[Дата поступления]]-Таблица1[[#This Row],[Дата рождения]]</f>
        <v>0</v>
      </c>
    </row>
    <row r="2142" spans="22:23" ht="24.95" customHeight="1" x14ac:dyDescent="0.25">
      <c r="V2142" s="2">
        <f>Таблица1[[#This Row],[Дата перевода]]-Таблица1[[#This Row],[Дата поступления]]</f>
        <v>0</v>
      </c>
      <c r="W2142" s="2">
        <f>Таблица1[[#This Row],[Дата поступления]]-Таблица1[[#This Row],[Дата рождения]]</f>
        <v>0</v>
      </c>
    </row>
    <row r="2143" spans="22:23" ht="24.95" customHeight="1" x14ac:dyDescent="0.25">
      <c r="V2143" s="2">
        <f>Таблица1[[#This Row],[Дата перевода]]-Таблица1[[#This Row],[Дата поступления]]</f>
        <v>0</v>
      </c>
      <c r="W2143" s="2">
        <f>Таблица1[[#This Row],[Дата поступления]]-Таблица1[[#This Row],[Дата рождения]]</f>
        <v>0</v>
      </c>
    </row>
    <row r="2144" spans="22:23" ht="24.95" customHeight="1" x14ac:dyDescent="0.25">
      <c r="V2144" s="2">
        <f>Таблица1[[#This Row],[Дата перевода]]-Таблица1[[#This Row],[Дата поступления]]</f>
        <v>0</v>
      </c>
      <c r="W2144" s="2">
        <f>Таблица1[[#This Row],[Дата поступления]]-Таблица1[[#This Row],[Дата рождения]]</f>
        <v>0</v>
      </c>
    </row>
    <row r="2145" spans="22:23" ht="24.95" customHeight="1" x14ac:dyDescent="0.25">
      <c r="V2145" s="2">
        <f>Таблица1[[#This Row],[Дата перевода]]-Таблица1[[#This Row],[Дата поступления]]</f>
        <v>0</v>
      </c>
      <c r="W2145" s="2">
        <f>Таблица1[[#This Row],[Дата поступления]]-Таблица1[[#This Row],[Дата рождения]]</f>
        <v>0</v>
      </c>
    </row>
    <row r="2146" spans="22:23" ht="24.95" customHeight="1" x14ac:dyDescent="0.25">
      <c r="V2146" s="2">
        <f>Таблица1[[#This Row],[Дата перевода]]-Таблица1[[#This Row],[Дата поступления]]</f>
        <v>0</v>
      </c>
      <c r="W2146" s="2">
        <f>Таблица1[[#This Row],[Дата поступления]]-Таблица1[[#This Row],[Дата рождения]]</f>
        <v>0</v>
      </c>
    </row>
    <row r="2147" spans="22:23" ht="24.95" customHeight="1" x14ac:dyDescent="0.25">
      <c r="V2147" s="2">
        <f>Таблица1[[#This Row],[Дата перевода]]-Таблица1[[#This Row],[Дата поступления]]</f>
        <v>0</v>
      </c>
      <c r="W2147" s="2">
        <f>Таблица1[[#This Row],[Дата поступления]]-Таблица1[[#This Row],[Дата рождения]]</f>
        <v>0</v>
      </c>
    </row>
    <row r="2148" spans="22:23" ht="24.95" customHeight="1" x14ac:dyDescent="0.25">
      <c r="V2148" s="2">
        <f>Таблица1[[#This Row],[Дата перевода]]-Таблица1[[#This Row],[Дата поступления]]</f>
        <v>0</v>
      </c>
      <c r="W2148" s="2">
        <f>Таблица1[[#This Row],[Дата поступления]]-Таблица1[[#This Row],[Дата рождения]]</f>
        <v>0</v>
      </c>
    </row>
    <row r="2149" spans="22:23" ht="24.95" customHeight="1" x14ac:dyDescent="0.25">
      <c r="V2149" s="2">
        <f>Таблица1[[#This Row],[Дата перевода]]-Таблица1[[#This Row],[Дата поступления]]</f>
        <v>0</v>
      </c>
      <c r="W2149" s="2">
        <f>Таблица1[[#This Row],[Дата поступления]]-Таблица1[[#This Row],[Дата рождения]]</f>
        <v>0</v>
      </c>
    </row>
    <row r="2150" spans="22:23" ht="24.95" customHeight="1" x14ac:dyDescent="0.25">
      <c r="V2150" s="2">
        <f>Таблица1[[#This Row],[Дата перевода]]-Таблица1[[#This Row],[Дата поступления]]</f>
        <v>0</v>
      </c>
      <c r="W2150" s="2">
        <f>Таблица1[[#This Row],[Дата поступления]]-Таблица1[[#This Row],[Дата рождения]]</f>
        <v>0</v>
      </c>
    </row>
    <row r="2151" spans="22:23" ht="24.95" customHeight="1" x14ac:dyDescent="0.25">
      <c r="V2151" s="2">
        <f>Таблица1[[#This Row],[Дата перевода]]-Таблица1[[#This Row],[Дата поступления]]</f>
        <v>0</v>
      </c>
      <c r="W2151" s="2">
        <f>Таблица1[[#This Row],[Дата поступления]]-Таблица1[[#This Row],[Дата рождения]]</f>
        <v>0</v>
      </c>
    </row>
    <row r="2152" spans="22:23" ht="24.95" customHeight="1" x14ac:dyDescent="0.25">
      <c r="V2152" s="2">
        <f>Таблица1[[#This Row],[Дата перевода]]-Таблица1[[#This Row],[Дата поступления]]</f>
        <v>0</v>
      </c>
      <c r="W2152" s="2">
        <f>Таблица1[[#This Row],[Дата поступления]]-Таблица1[[#This Row],[Дата рождения]]</f>
        <v>0</v>
      </c>
    </row>
    <row r="2153" spans="22:23" ht="24.95" customHeight="1" x14ac:dyDescent="0.25">
      <c r="V2153" s="2">
        <f>Таблица1[[#This Row],[Дата перевода]]-Таблица1[[#This Row],[Дата поступления]]</f>
        <v>0</v>
      </c>
      <c r="W2153" s="2">
        <f>Таблица1[[#This Row],[Дата поступления]]-Таблица1[[#This Row],[Дата рождения]]</f>
        <v>0</v>
      </c>
    </row>
    <row r="2154" spans="22:23" ht="24.95" customHeight="1" x14ac:dyDescent="0.25">
      <c r="V2154" s="2">
        <f>Таблица1[[#This Row],[Дата перевода]]-Таблица1[[#This Row],[Дата поступления]]</f>
        <v>0</v>
      </c>
      <c r="W2154" s="2">
        <f>Таблица1[[#This Row],[Дата поступления]]-Таблица1[[#This Row],[Дата рождения]]</f>
        <v>0</v>
      </c>
    </row>
    <row r="2155" spans="22:23" ht="24.95" customHeight="1" x14ac:dyDescent="0.25">
      <c r="V2155" s="2">
        <f>Таблица1[[#This Row],[Дата перевода]]-Таблица1[[#This Row],[Дата поступления]]</f>
        <v>0</v>
      </c>
      <c r="W2155" s="2">
        <f>Таблица1[[#This Row],[Дата поступления]]-Таблица1[[#This Row],[Дата рождения]]</f>
        <v>0</v>
      </c>
    </row>
    <row r="2156" spans="22:23" ht="24.95" customHeight="1" x14ac:dyDescent="0.25">
      <c r="V2156" s="2">
        <f>Таблица1[[#This Row],[Дата перевода]]-Таблица1[[#This Row],[Дата поступления]]</f>
        <v>0</v>
      </c>
      <c r="W2156" s="2">
        <f>Таблица1[[#This Row],[Дата поступления]]-Таблица1[[#This Row],[Дата рождения]]</f>
        <v>0</v>
      </c>
    </row>
    <row r="2157" spans="22:23" ht="24.95" customHeight="1" x14ac:dyDescent="0.25">
      <c r="V2157" s="2">
        <f>Таблица1[[#This Row],[Дата перевода]]-Таблица1[[#This Row],[Дата поступления]]</f>
        <v>0</v>
      </c>
      <c r="W2157" s="2">
        <f>Таблица1[[#This Row],[Дата поступления]]-Таблица1[[#This Row],[Дата рождения]]</f>
        <v>0</v>
      </c>
    </row>
    <row r="2158" spans="22:23" ht="24.95" customHeight="1" x14ac:dyDescent="0.25">
      <c r="V2158" s="2">
        <f>Таблица1[[#This Row],[Дата перевода]]-Таблица1[[#This Row],[Дата поступления]]</f>
        <v>0</v>
      </c>
      <c r="W2158" s="2">
        <f>Таблица1[[#This Row],[Дата поступления]]-Таблица1[[#This Row],[Дата рождения]]</f>
        <v>0</v>
      </c>
    </row>
    <row r="2159" spans="22:23" ht="24.95" customHeight="1" x14ac:dyDescent="0.25">
      <c r="V2159" s="2">
        <f>Таблица1[[#This Row],[Дата перевода]]-Таблица1[[#This Row],[Дата поступления]]</f>
        <v>0</v>
      </c>
      <c r="W2159" s="2">
        <f>Таблица1[[#This Row],[Дата поступления]]-Таблица1[[#This Row],[Дата рождения]]</f>
        <v>0</v>
      </c>
    </row>
    <row r="2160" spans="22:23" ht="24.95" customHeight="1" x14ac:dyDescent="0.25">
      <c r="V2160" s="2">
        <f>Таблица1[[#This Row],[Дата перевода]]-Таблица1[[#This Row],[Дата поступления]]</f>
        <v>0</v>
      </c>
      <c r="W2160" s="2">
        <f>Таблица1[[#This Row],[Дата поступления]]-Таблица1[[#This Row],[Дата рождения]]</f>
        <v>0</v>
      </c>
    </row>
    <row r="2161" spans="22:23" ht="24.95" customHeight="1" x14ac:dyDescent="0.25">
      <c r="V2161" s="2">
        <f>Таблица1[[#This Row],[Дата перевода]]-Таблица1[[#This Row],[Дата поступления]]</f>
        <v>0</v>
      </c>
      <c r="W2161" s="2">
        <f>Таблица1[[#This Row],[Дата поступления]]-Таблица1[[#This Row],[Дата рождения]]</f>
        <v>0</v>
      </c>
    </row>
    <row r="2162" spans="22:23" ht="24.95" customHeight="1" x14ac:dyDescent="0.25">
      <c r="V2162" s="2">
        <f>Таблица1[[#This Row],[Дата перевода]]-Таблица1[[#This Row],[Дата поступления]]</f>
        <v>0</v>
      </c>
      <c r="W2162" s="2">
        <f>Таблица1[[#This Row],[Дата поступления]]-Таблица1[[#This Row],[Дата рождения]]</f>
        <v>0</v>
      </c>
    </row>
    <row r="2163" spans="22:23" ht="24.95" customHeight="1" x14ac:dyDescent="0.25">
      <c r="V2163" s="2">
        <f>Таблица1[[#This Row],[Дата перевода]]-Таблица1[[#This Row],[Дата поступления]]</f>
        <v>0</v>
      </c>
      <c r="W2163" s="2">
        <f>Таблица1[[#This Row],[Дата поступления]]-Таблица1[[#This Row],[Дата рождения]]</f>
        <v>0</v>
      </c>
    </row>
    <row r="2164" spans="22:23" ht="24.95" customHeight="1" x14ac:dyDescent="0.25">
      <c r="V2164" s="2">
        <f>Таблица1[[#This Row],[Дата перевода]]-Таблица1[[#This Row],[Дата поступления]]</f>
        <v>0</v>
      </c>
      <c r="W2164" s="2">
        <f>Таблица1[[#This Row],[Дата поступления]]-Таблица1[[#This Row],[Дата рождения]]</f>
        <v>0</v>
      </c>
    </row>
    <row r="2165" spans="22:23" ht="24.95" customHeight="1" x14ac:dyDescent="0.25">
      <c r="V2165" s="2">
        <f>Таблица1[[#This Row],[Дата перевода]]-Таблица1[[#This Row],[Дата поступления]]</f>
        <v>0</v>
      </c>
      <c r="W2165" s="2">
        <f>Таблица1[[#This Row],[Дата поступления]]-Таблица1[[#This Row],[Дата рождения]]</f>
        <v>0</v>
      </c>
    </row>
    <row r="2166" spans="22:23" ht="24.95" customHeight="1" x14ac:dyDescent="0.25">
      <c r="V2166" s="2">
        <f>Таблица1[[#This Row],[Дата перевода]]-Таблица1[[#This Row],[Дата поступления]]</f>
        <v>0</v>
      </c>
      <c r="W2166" s="2">
        <f>Таблица1[[#This Row],[Дата поступления]]-Таблица1[[#This Row],[Дата рождения]]</f>
        <v>0</v>
      </c>
    </row>
    <row r="2167" spans="22:23" ht="24.95" customHeight="1" x14ac:dyDescent="0.25">
      <c r="V2167" s="2">
        <f>Таблица1[[#This Row],[Дата перевода]]-Таблица1[[#This Row],[Дата поступления]]</f>
        <v>0</v>
      </c>
      <c r="W2167" s="2">
        <f>Таблица1[[#This Row],[Дата поступления]]-Таблица1[[#This Row],[Дата рождения]]</f>
        <v>0</v>
      </c>
    </row>
    <row r="2168" spans="22:23" ht="24.95" customHeight="1" x14ac:dyDescent="0.25">
      <c r="V2168" s="2">
        <f>Таблица1[[#This Row],[Дата перевода]]-Таблица1[[#This Row],[Дата поступления]]</f>
        <v>0</v>
      </c>
      <c r="W2168" s="2">
        <f>Таблица1[[#This Row],[Дата поступления]]-Таблица1[[#This Row],[Дата рождения]]</f>
        <v>0</v>
      </c>
    </row>
    <row r="2169" spans="22:23" ht="24.95" customHeight="1" x14ac:dyDescent="0.25">
      <c r="V2169" s="2">
        <f>Таблица1[[#This Row],[Дата перевода]]-Таблица1[[#This Row],[Дата поступления]]</f>
        <v>0</v>
      </c>
      <c r="W2169" s="2">
        <f>Таблица1[[#This Row],[Дата поступления]]-Таблица1[[#This Row],[Дата рождения]]</f>
        <v>0</v>
      </c>
    </row>
    <row r="2170" spans="22:23" ht="24.95" customHeight="1" x14ac:dyDescent="0.25">
      <c r="V2170" s="2">
        <f>Таблица1[[#This Row],[Дата перевода]]-Таблица1[[#This Row],[Дата поступления]]</f>
        <v>0</v>
      </c>
      <c r="W2170" s="2">
        <f>Таблица1[[#This Row],[Дата поступления]]-Таблица1[[#This Row],[Дата рождения]]</f>
        <v>0</v>
      </c>
    </row>
    <row r="2171" spans="22:23" ht="24.95" customHeight="1" x14ac:dyDescent="0.25">
      <c r="V2171" s="2">
        <f>Таблица1[[#This Row],[Дата перевода]]-Таблица1[[#This Row],[Дата поступления]]</f>
        <v>0</v>
      </c>
      <c r="W2171" s="2">
        <f>Таблица1[[#This Row],[Дата поступления]]-Таблица1[[#This Row],[Дата рождения]]</f>
        <v>0</v>
      </c>
    </row>
    <row r="2172" spans="22:23" ht="24.95" customHeight="1" x14ac:dyDescent="0.25">
      <c r="V2172" s="2">
        <f>Таблица1[[#This Row],[Дата перевода]]-Таблица1[[#This Row],[Дата поступления]]</f>
        <v>0</v>
      </c>
      <c r="W2172" s="2">
        <f>Таблица1[[#This Row],[Дата поступления]]-Таблица1[[#This Row],[Дата рождения]]</f>
        <v>0</v>
      </c>
    </row>
    <row r="2173" spans="22:23" ht="24.95" customHeight="1" x14ac:dyDescent="0.25">
      <c r="V2173" s="2">
        <f>Таблица1[[#This Row],[Дата перевода]]-Таблица1[[#This Row],[Дата поступления]]</f>
        <v>0</v>
      </c>
      <c r="W2173" s="2">
        <f>Таблица1[[#This Row],[Дата поступления]]-Таблица1[[#This Row],[Дата рождения]]</f>
        <v>0</v>
      </c>
    </row>
    <row r="2174" spans="22:23" ht="24.95" customHeight="1" x14ac:dyDescent="0.25">
      <c r="V2174" s="2">
        <f>Таблица1[[#This Row],[Дата перевода]]-Таблица1[[#This Row],[Дата поступления]]</f>
        <v>0</v>
      </c>
      <c r="W2174" s="2">
        <f>Таблица1[[#This Row],[Дата поступления]]-Таблица1[[#This Row],[Дата рождения]]</f>
        <v>0</v>
      </c>
    </row>
    <row r="2175" spans="22:23" ht="24.95" customHeight="1" x14ac:dyDescent="0.25">
      <c r="V2175" s="2">
        <f>Таблица1[[#This Row],[Дата перевода]]-Таблица1[[#This Row],[Дата поступления]]</f>
        <v>0</v>
      </c>
      <c r="W2175" s="2">
        <f>Таблица1[[#This Row],[Дата поступления]]-Таблица1[[#This Row],[Дата рождения]]</f>
        <v>0</v>
      </c>
    </row>
    <row r="2176" spans="22:23" ht="24.95" customHeight="1" x14ac:dyDescent="0.25">
      <c r="V2176" s="2">
        <f>Таблица1[[#This Row],[Дата перевода]]-Таблица1[[#This Row],[Дата поступления]]</f>
        <v>0</v>
      </c>
      <c r="W2176" s="2">
        <f>Таблица1[[#This Row],[Дата поступления]]-Таблица1[[#This Row],[Дата рождения]]</f>
        <v>0</v>
      </c>
    </row>
    <row r="2177" spans="22:23" ht="24.95" customHeight="1" x14ac:dyDescent="0.25">
      <c r="V2177" s="2">
        <f>Таблица1[[#This Row],[Дата перевода]]-Таблица1[[#This Row],[Дата поступления]]</f>
        <v>0</v>
      </c>
      <c r="W2177" s="2">
        <f>Таблица1[[#This Row],[Дата поступления]]-Таблица1[[#This Row],[Дата рождения]]</f>
        <v>0</v>
      </c>
    </row>
    <row r="2178" spans="22:23" ht="24.95" customHeight="1" x14ac:dyDescent="0.25">
      <c r="V2178" s="2">
        <f>Таблица1[[#This Row],[Дата перевода]]-Таблица1[[#This Row],[Дата поступления]]</f>
        <v>0</v>
      </c>
      <c r="W2178" s="2">
        <f>Таблица1[[#This Row],[Дата поступления]]-Таблица1[[#This Row],[Дата рождения]]</f>
        <v>0</v>
      </c>
    </row>
    <row r="2179" spans="22:23" ht="24.95" customHeight="1" x14ac:dyDescent="0.25">
      <c r="V2179" s="2">
        <f>Таблица1[[#This Row],[Дата перевода]]-Таблица1[[#This Row],[Дата поступления]]</f>
        <v>0</v>
      </c>
      <c r="W2179" s="2">
        <f>Таблица1[[#This Row],[Дата поступления]]-Таблица1[[#This Row],[Дата рождения]]</f>
        <v>0</v>
      </c>
    </row>
    <row r="2180" spans="22:23" ht="24.95" customHeight="1" x14ac:dyDescent="0.25">
      <c r="V2180" s="2">
        <f>Таблица1[[#This Row],[Дата перевода]]-Таблица1[[#This Row],[Дата поступления]]</f>
        <v>0</v>
      </c>
      <c r="W2180" s="2">
        <f>Таблица1[[#This Row],[Дата поступления]]-Таблица1[[#This Row],[Дата рождения]]</f>
        <v>0</v>
      </c>
    </row>
    <row r="2181" spans="22:23" ht="24.95" customHeight="1" x14ac:dyDescent="0.25">
      <c r="V2181" s="2">
        <f>Таблица1[[#This Row],[Дата перевода]]-Таблица1[[#This Row],[Дата поступления]]</f>
        <v>0</v>
      </c>
      <c r="W2181" s="2">
        <f>Таблица1[[#This Row],[Дата поступления]]-Таблица1[[#This Row],[Дата рождения]]</f>
        <v>0</v>
      </c>
    </row>
    <row r="2182" spans="22:23" ht="24.95" customHeight="1" x14ac:dyDescent="0.25">
      <c r="V2182" s="2">
        <f>Таблица1[[#This Row],[Дата перевода]]-Таблица1[[#This Row],[Дата поступления]]</f>
        <v>0</v>
      </c>
      <c r="W2182" s="2">
        <f>Таблица1[[#This Row],[Дата поступления]]-Таблица1[[#This Row],[Дата рождения]]</f>
        <v>0</v>
      </c>
    </row>
    <row r="2183" spans="22:23" ht="24.95" customHeight="1" x14ac:dyDescent="0.25">
      <c r="V2183" s="2">
        <f>Таблица1[[#This Row],[Дата перевода]]-Таблица1[[#This Row],[Дата поступления]]</f>
        <v>0</v>
      </c>
      <c r="W2183" s="2">
        <f>Таблица1[[#This Row],[Дата поступления]]-Таблица1[[#This Row],[Дата рождения]]</f>
        <v>0</v>
      </c>
    </row>
    <row r="2184" spans="22:23" ht="24.95" customHeight="1" x14ac:dyDescent="0.25">
      <c r="V2184" s="2">
        <f>Таблица1[[#This Row],[Дата перевода]]-Таблица1[[#This Row],[Дата поступления]]</f>
        <v>0</v>
      </c>
      <c r="W2184" s="2">
        <f>Таблица1[[#This Row],[Дата поступления]]-Таблица1[[#This Row],[Дата рождения]]</f>
        <v>0</v>
      </c>
    </row>
    <row r="2185" spans="22:23" ht="24.95" customHeight="1" x14ac:dyDescent="0.25">
      <c r="V2185" s="2">
        <f>Таблица1[[#This Row],[Дата перевода]]-Таблица1[[#This Row],[Дата поступления]]</f>
        <v>0</v>
      </c>
      <c r="W2185" s="2">
        <f>Таблица1[[#This Row],[Дата поступления]]-Таблица1[[#This Row],[Дата рождения]]</f>
        <v>0</v>
      </c>
    </row>
    <row r="2186" spans="22:23" ht="24.95" customHeight="1" x14ac:dyDescent="0.25">
      <c r="V2186" s="2">
        <f>Таблица1[[#This Row],[Дата перевода]]-Таблица1[[#This Row],[Дата поступления]]</f>
        <v>0</v>
      </c>
      <c r="W2186" s="2">
        <f>Таблица1[[#This Row],[Дата поступления]]-Таблица1[[#This Row],[Дата рождения]]</f>
        <v>0</v>
      </c>
    </row>
    <row r="2187" spans="22:23" ht="24.95" customHeight="1" x14ac:dyDescent="0.25">
      <c r="V2187" s="2">
        <f>Таблица1[[#This Row],[Дата перевода]]-Таблица1[[#This Row],[Дата поступления]]</f>
        <v>0</v>
      </c>
      <c r="W2187" s="2">
        <f>Таблица1[[#This Row],[Дата поступления]]-Таблица1[[#This Row],[Дата рождения]]</f>
        <v>0</v>
      </c>
    </row>
    <row r="2188" spans="22:23" ht="24.95" customHeight="1" x14ac:dyDescent="0.25">
      <c r="V2188" s="2">
        <f>Таблица1[[#This Row],[Дата перевода]]-Таблица1[[#This Row],[Дата поступления]]</f>
        <v>0</v>
      </c>
      <c r="W2188" s="2">
        <f>Таблица1[[#This Row],[Дата поступления]]-Таблица1[[#This Row],[Дата рождения]]</f>
        <v>0</v>
      </c>
    </row>
    <row r="2189" spans="22:23" ht="24.95" customHeight="1" x14ac:dyDescent="0.25">
      <c r="V2189" s="2">
        <f>Таблица1[[#This Row],[Дата перевода]]-Таблица1[[#This Row],[Дата поступления]]</f>
        <v>0</v>
      </c>
      <c r="W2189" s="2">
        <f>Таблица1[[#This Row],[Дата поступления]]-Таблица1[[#This Row],[Дата рождения]]</f>
        <v>0</v>
      </c>
    </row>
    <row r="2190" spans="22:23" ht="24.95" customHeight="1" x14ac:dyDescent="0.25">
      <c r="V2190" s="2">
        <f>Таблица1[[#This Row],[Дата перевода]]-Таблица1[[#This Row],[Дата поступления]]</f>
        <v>0</v>
      </c>
      <c r="W2190" s="2">
        <f>Таблица1[[#This Row],[Дата поступления]]-Таблица1[[#This Row],[Дата рождения]]</f>
        <v>0</v>
      </c>
    </row>
    <row r="2191" spans="22:23" ht="24.95" customHeight="1" x14ac:dyDescent="0.25">
      <c r="V2191" s="2">
        <f>Таблица1[[#This Row],[Дата перевода]]-Таблица1[[#This Row],[Дата поступления]]</f>
        <v>0</v>
      </c>
      <c r="W2191" s="2">
        <f>Таблица1[[#This Row],[Дата поступления]]-Таблица1[[#This Row],[Дата рождения]]</f>
        <v>0</v>
      </c>
    </row>
    <row r="2192" spans="22:23" ht="24.95" customHeight="1" x14ac:dyDescent="0.25">
      <c r="V2192" s="2">
        <f>Таблица1[[#This Row],[Дата перевода]]-Таблица1[[#This Row],[Дата поступления]]</f>
        <v>0</v>
      </c>
      <c r="W2192" s="2">
        <f>Таблица1[[#This Row],[Дата поступления]]-Таблица1[[#This Row],[Дата рождения]]</f>
        <v>0</v>
      </c>
    </row>
    <row r="2193" spans="22:23" ht="24.95" customHeight="1" x14ac:dyDescent="0.25">
      <c r="V2193" s="2">
        <f>Таблица1[[#This Row],[Дата перевода]]-Таблица1[[#This Row],[Дата поступления]]</f>
        <v>0</v>
      </c>
      <c r="W2193" s="2">
        <f>Таблица1[[#This Row],[Дата поступления]]-Таблица1[[#This Row],[Дата рождения]]</f>
        <v>0</v>
      </c>
    </row>
    <row r="2194" spans="22:23" ht="24.95" customHeight="1" x14ac:dyDescent="0.25">
      <c r="V2194" s="2">
        <f>Таблица1[[#This Row],[Дата перевода]]-Таблица1[[#This Row],[Дата поступления]]</f>
        <v>0</v>
      </c>
      <c r="W2194" s="2">
        <f>Таблица1[[#This Row],[Дата поступления]]-Таблица1[[#This Row],[Дата рождения]]</f>
        <v>0</v>
      </c>
    </row>
    <row r="2195" spans="22:23" ht="24.95" customHeight="1" x14ac:dyDescent="0.25">
      <c r="V2195" s="2">
        <f>Таблица1[[#This Row],[Дата перевода]]-Таблица1[[#This Row],[Дата поступления]]</f>
        <v>0</v>
      </c>
      <c r="W2195" s="2">
        <f>Таблица1[[#This Row],[Дата поступления]]-Таблица1[[#This Row],[Дата рождения]]</f>
        <v>0</v>
      </c>
    </row>
    <row r="2196" spans="22:23" ht="24.95" customHeight="1" x14ac:dyDescent="0.25">
      <c r="V2196" s="2">
        <f>Таблица1[[#This Row],[Дата перевода]]-Таблица1[[#This Row],[Дата поступления]]</f>
        <v>0</v>
      </c>
      <c r="W2196" s="2">
        <f>Таблица1[[#This Row],[Дата поступления]]-Таблица1[[#This Row],[Дата рождения]]</f>
        <v>0</v>
      </c>
    </row>
    <row r="2197" spans="22:23" ht="24.95" customHeight="1" x14ac:dyDescent="0.25">
      <c r="V2197" s="2">
        <f>Таблица1[[#This Row],[Дата перевода]]-Таблица1[[#This Row],[Дата поступления]]</f>
        <v>0</v>
      </c>
      <c r="W2197" s="2">
        <f>Таблица1[[#This Row],[Дата поступления]]-Таблица1[[#This Row],[Дата рождения]]</f>
        <v>0</v>
      </c>
    </row>
    <row r="2198" spans="22:23" ht="24.95" customHeight="1" x14ac:dyDescent="0.25">
      <c r="V2198" s="2">
        <f>Таблица1[[#This Row],[Дата перевода]]-Таблица1[[#This Row],[Дата поступления]]</f>
        <v>0</v>
      </c>
      <c r="W2198" s="2">
        <f>Таблица1[[#This Row],[Дата поступления]]-Таблица1[[#This Row],[Дата рождения]]</f>
        <v>0</v>
      </c>
    </row>
    <row r="2199" spans="22:23" ht="24.95" customHeight="1" x14ac:dyDescent="0.25">
      <c r="V2199" s="2">
        <f>Таблица1[[#This Row],[Дата перевода]]-Таблица1[[#This Row],[Дата поступления]]</f>
        <v>0</v>
      </c>
      <c r="W2199" s="2">
        <f>Таблица1[[#This Row],[Дата поступления]]-Таблица1[[#This Row],[Дата рождения]]</f>
        <v>0</v>
      </c>
    </row>
    <row r="2200" spans="22:23" ht="24.95" customHeight="1" x14ac:dyDescent="0.25">
      <c r="V2200" s="2">
        <f>Таблица1[[#This Row],[Дата перевода]]-Таблица1[[#This Row],[Дата поступления]]</f>
        <v>0</v>
      </c>
      <c r="W2200" s="2">
        <f>Таблица1[[#This Row],[Дата поступления]]-Таблица1[[#This Row],[Дата рождения]]</f>
        <v>0</v>
      </c>
    </row>
    <row r="2201" spans="22:23" ht="24.95" customHeight="1" x14ac:dyDescent="0.25">
      <c r="V2201" s="2">
        <f>Таблица1[[#This Row],[Дата перевода]]-Таблица1[[#This Row],[Дата поступления]]</f>
        <v>0</v>
      </c>
      <c r="W2201" s="2">
        <f>Таблица1[[#This Row],[Дата поступления]]-Таблица1[[#This Row],[Дата рождения]]</f>
        <v>0</v>
      </c>
    </row>
    <row r="2202" spans="22:23" ht="24.95" customHeight="1" x14ac:dyDescent="0.25">
      <c r="V2202" s="2">
        <f>Таблица1[[#This Row],[Дата перевода]]-Таблица1[[#This Row],[Дата поступления]]</f>
        <v>0</v>
      </c>
      <c r="W2202" s="2">
        <f>Таблица1[[#This Row],[Дата поступления]]-Таблица1[[#This Row],[Дата рождения]]</f>
        <v>0</v>
      </c>
    </row>
    <row r="2203" spans="22:23" ht="24.95" customHeight="1" x14ac:dyDescent="0.25">
      <c r="V2203" s="2">
        <f>Таблица1[[#This Row],[Дата перевода]]-Таблица1[[#This Row],[Дата поступления]]</f>
        <v>0</v>
      </c>
      <c r="W2203" s="2">
        <f>Таблица1[[#This Row],[Дата поступления]]-Таблица1[[#This Row],[Дата рождения]]</f>
        <v>0</v>
      </c>
    </row>
    <row r="2204" spans="22:23" ht="24.95" customHeight="1" x14ac:dyDescent="0.25">
      <c r="V2204" s="2">
        <f>Таблица1[[#This Row],[Дата перевода]]-Таблица1[[#This Row],[Дата поступления]]</f>
        <v>0</v>
      </c>
      <c r="W2204" s="2">
        <f>Таблица1[[#This Row],[Дата поступления]]-Таблица1[[#This Row],[Дата рождения]]</f>
        <v>0</v>
      </c>
    </row>
    <row r="2205" spans="22:23" ht="24.95" customHeight="1" x14ac:dyDescent="0.25">
      <c r="V2205" s="2">
        <f>Таблица1[[#This Row],[Дата перевода]]-Таблица1[[#This Row],[Дата поступления]]</f>
        <v>0</v>
      </c>
      <c r="W2205" s="2">
        <f>Таблица1[[#This Row],[Дата поступления]]-Таблица1[[#This Row],[Дата рождения]]</f>
        <v>0</v>
      </c>
    </row>
    <row r="2206" spans="22:23" ht="24.95" customHeight="1" x14ac:dyDescent="0.25">
      <c r="V2206" s="2">
        <f>Таблица1[[#This Row],[Дата перевода]]-Таблица1[[#This Row],[Дата поступления]]</f>
        <v>0</v>
      </c>
      <c r="W2206" s="2">
        <f>Таблица1[[#This Row],[Дата поступления]]-Таблица1[[#This Row],[Дата рождения]]</f>
        <v>0</v>
      </c>
    </row>
    <row r="2207" spans="22:23" ht="24.95" customHeight="1" x14ac:dyDescent="0.25">
      <c r="V2207" s="2">
        <f>Таблица1[[#This Row],[Дата перевода]]-Таблица1[[#This Row],[Дата поступления]]</f>
        <v>0</v>
      </c>
      <c r="W2207" s="2">
        <f>Таблица1[[#This Row],[Дата поступления]]-Таблица1[[#This Row],[Дата рождения]]</f>
        <v>0</v>
      </c>
    </row>
    <row r="2208" spans="22:23" ht="24.95" customHeight="1" x14ac:dyDescent="0.25">
      <c r="V2208" s="2">
        <f>Таблица1[[#This Row],[Дата перевода]]-Таблица1[[#This Row],[Дата поступления]]</f>
        <v>0</v>
      </c>
      <c r="W2208" s="2">
        <f>Таблица1[[#This Row],[Дата поступления]]-Таблица1[[#This Row],[Дата рождения]]</f>
        <v>0</v>
      </c>
    </row>
    <row r="2209" spans="22:23" ht="24.95" customHeight="1" x14ac:dyDescent="0.25">
      <c r="V2209" s="2">
        <f>Таблица1[[#This Row],[Дата перевода]]-Таблица1[[#This Row],[Дата поступления]]</f>
        <v>0</v>
      </c>
      <c r="W2209" s="2">
        <f>Таблица1[[#This Row],[Дата поступления]]-Таблица1[[#This Row],[Дата рождения]]</f>
        <v>0</v>
      </c>
    </row>
    <row r="2210" spans="22:23" ht="24.95" customHeight="1" x14ac:dyDescent="0.25">
      <c r="V2210" s="2">
        <f>Таблица1[[#This Row],[Дата перевода]]-Таблица1[[#This Row],[Дата поступления]]</f>
        <v>0</v>
      </c>
      <c r="W2210" s="2">
        <f>Таблица1[[#This Row],[Дата поступления]]-Таблица1[[#This Row],[Дата рождения]]</f>
        <v>0</v>
      </c>
    </row>
    <row r="2211" spans="22:23" ht="24.95" customHeight="1" x14ac:dyDescent="0.25">
      <c r="V2211" s="2">
        <f>Таблица1[[#This Row],[Дата перевода]]-Таблица1[[#This Row],[Дата поступления]]</f>
        <v>0</v>
      </c>
      <c r="W2211" s="2">
        <f>Таблица1[[#This Row],[Дата поступления]]-Таблица1[[#This Row],[Дата рождения]]</f>
        <v>0</v>
      </c>
    </row>
    <row r="2212" spans="22:23" ht="24.95" customHeight="1" x14ac:dyDescent="0.25">
      <c r="V2212" s="2">
        <f>Таблица1[[#This Row],[Дата перевода]]-Таблица1[[#This Row],[Дата поступления]]</f>
        <v>0</v>
      </c>
      <c r="W2212" s="2">
        <f>Таблица1[[#This Row],[Дата поступления]]-Таблица1[[#This Row],[Дата рождения]]</f>
        <v>0</v>
      </c>
    </row>
    <row r="2213" spans="22:23" ht="24.95" customHeight="1" x14ac:dyDescent="0.25">
      <c r="V2213" s="2">
        <f>Таблица1[[#This Row],[Дата перевода]]-Таблица1[[#This Row],[Дата поступления]]</f>
        <v>0</v>
      </c>
      <c r="W2213" s="2">
        <f>Таблица1[[#This Row],[Дата поступления]]-Таблица1[[#This Row],[Дата рождения]]</f>
        <v>0</v>
      </c>
    </row>
    <row r="2214" spans="22:23" ht="24.95" customHeight="1" x14ac:dyDescent="0.25">
      <c r="V2214" s="2">
        <f>Таблица1[[#This Row],[Дата перевода]]-Таблица1[[#This Row],[Дата поступления]]</f>
        <v>0</v>
      </c>
      <c r="W2214" s="2">
        <f>Таблица1[[#This Row],[Дата поступления]]-Таблица1[[#This Row],[Дата рождения]]</f>
        <v>0</v>
      </c>
    </row>
    <row r="2215" spans="22:23" ht="24.95" customHeight="1" x14ac:dyDescent="0.25">
      <c r="V2215" s="2">
        <f>Таблица1[[#This Row],[Дата перевода]]-Таблица1[[#This Row],[Дата поступления]]</f>
        <v>0</v>
      </c>
      <c r="W2215" s="2">
        <f>Таблица1[[#This Row],[Дата поступления]]-Таблица1[[#This Row],[Дата рождения]]</f>
        <v>0</v>
      </c>
    </row>
    <row r="2216" spans="22:23" ht="24.95" customHeight="1" x14ac:dyDescent="0.25">
      <c r="V2216" s="2">
        <f>Таблица1[[#This Row],[Дата перевода]]-Таблица1[[#This Row],[Дата поступления]]</f>
        <v>0</v>
      </c>
      <c r="W2216" s="2">
        <f>Таблица1[[#This Row],[Дата поступления]]-Таблица1[[#This Row],[Дата рождения]]</f>
        <v>0</v>
      </c>
    </row>
    <row r="2217" spans="22:23" ht="24.95" customHeight="1" x14ac:dyDescent="0.25">
      <c r="V2217" s="2">
        <f>Таблица1[[#This Row],[Дата перевода]]-Таблица1[[#This Row],[Дата поступления]]</f>
        <v>0</v>
      </c>
      <c r="W2217" s="2">
        <f>Таблица1[[#This Row],[Дата поступления]]-Таблица1[[#This Row],[Дата рождения]]</f>
        <v>0</v>
      </c>
    </row>
    <row r="2218" spans="22:23" ht="24.95" customHeight="1" x14ac:dyDescent="0.25">
      <c r="V2218" s="2">
        <f>Таблица1[[#This Row],[Дата перевода]]-Таблица1[[#This Row],[Дата поступления]]</f>
        <v>0</v>
      </c>
      <c r="W2218" s="2">
        <f>Таблица1[[#This Row],[Дата поступления]]-Таблица1[[#This Row],[Дата рождения]]</f>
        <v>0</v>
      </c>
    </row>
    <row r="2219" spans="22:23" ht="24.95" customHeight="1" x14ac:dyDescent="0.25">
      <c r="V2219" s="2">
        <f>Таблица1[[#This Row],[Дата перевода]]-Таблица1[[#This Row],[Дата поступления]]</f>
        <v>0</v>
      </c>
      <c r="W2219" s="2">
        <f>Таблица1[[#This Row],[Дата поступления]]-Таблица1[[#This Row],[Дата рождения]]</f>
        <v>0</v>
      </c>
    </row>
    <row r="2220" spans="22:23" ht="24.95" customHeight="1" x14ac:dyDescent="0.25">
      <c r="V2220" s="2">
        <f>Таблица1[[#This Row],[Дата перевода]]-Таблица1[[#This Row],[Дата поступления]]</f>
        <v>0</v>
      </c>
      <c r="W2220" s="2">
        <f>Таблица1[[#This Row],[Дата поступления]]-Таблица1[[#This Row],[Дата рождения]]</f>
        <v>0</v>
      </c>
    </row>
    <row r="2221" spans="22:23" ht="24.95" customHeight="1" x14ac:dyDescent="0.25">
      <c r="V2221" s="2">
        <f>Таблица1[[#This Row],[Дата перевода]]-Таблица1[[#This Row],[Дата поступления]]</f>
        <v>0</v>
      </c>
      <c r="W2221" s="2">
        <f>Таблица1[[#This Row],[Дата поступления]]-Таблица1[[#This Row],[Дата рождения]]</f>
        <v>0</v>
      </c>
    </row>
    <row r="2222" spans="22:23" ht="24.95" customHeight="1" x14ac:dyDescent="0.25">
      <c r="V2222" s="2">
        <f>Таблица1[[#This Row],[Дата перевода]]-Таблица1[[#This Row],[Дата поступления]]</f>
        <v>0</v>
      </c>
      <c r="W2222" s="2">
        <f>Таблица1[[#This Row],[Дата поступления]]-Таблица1[[#This Row],[Дата рождения]]</f>
        <v>0</v>
      </c>
    </row>
    <row r="2223" spans="22:23" ht="24.95" customHeight="1" x14ac:dyDescent="0.25">
      <c r="V2223" s="2">
        <f>Таблица1[[#This Row],[Дата перевода]]-Таблица1[[#This Row],[Дата поступления]]</f>
        <v>0</v>
      </c>
      <c r="W2223" s="2">
        <f>Таблица1[[#This Row],[Дата поступления]]-Таблица1[[#This Row],[Дата рождения]]</f>
        <v>0</v>
      </c>
    </row>
    <row r="2224" spans="22:23" ht="24.95" customHeight="1" x14ac:dyDescent="0.25">
      <c r="V2224" s="2">
        <f>Таблица1[[#This Row],[Дата перевода]]-Таблица1[[#This Row],[Дата поступления]]</f>
        <v>0</v>
      </c>
      <c r="W2224" s="2">
        <f>Таблица1[[#This Row],[Дата поступления]]-Таблица1[[#This Row],[Дата рождения]]</f>
        <v>0</v>
      </c>
    </row>
    <row r="2225" spans="22:23" ht="24.95" customHeight="1" x14ac:dyDescent="0.25">
      <c r="V2225" s="2">
        <f>Таблица1[[#This Row],[Дата перевода]]-Таблица1[[#This Row],[Дата поступления]]</f>
        <v>0</v>
      </c>
      <c r="W2225" s="2">
        <f>Таблица1[[#This Row],[Дата поступления]]-Таблица1[[#This Row],[Дата рождения]]</f>
        <v>0</v>
      </c>
    </row>
    <row r="2226" spans="22:23" ht="24.95" customHeight="1" x14ac:dyDescent="0.25">
      <c r="V2226" s="2">
        <f>Таблица1[[#This Row],[Дата перевода]]-Таблица1[[#This Row],[Дата поступления]]</f>
        <v>0</v>
      </c>
      <c r="W2226" s="2">
        <f>Таблица1[[#This Row],[Дата поступления]]-Таблица1[[#This Row],[Дата рождения]]</f>
        <v>0</v>
      </c>
    </row>
    <row r="2227" spans="22:23" ht="24.95" customHeight="1" x14ac:dyDescent="0.25">
      <c r="V2227" s="2">
        <f>Таблица1[[#This Row],[Дата перевода]]-Таблица1[[#This Row],[Дата поступления]]</f>
        <v>0</v>
      </c>
      <c r="W2227" s="2">
        <f>Таблица1[[#This Row],[Дата поступления]]-Таблица1[[#This Row],[Дата рождения]]</f>
        <v>0</v>
      </c>
    </row>
    <row r="2228" spans="22:23" ht="24.95" customHeight="1" x14ac:dyDescent="0.25">
      <c r="V2228" s="2">
        <f>Таблица1[[#This Row],[Дата перевода]]-Таблица1[[#This Row],[Дата поступления]]</f>
        <v>0</v>
      </c>
      <c r="W2228" s="2">
        <f>Таблица1[[#This Row],[Дата поступления]]-Таблица1[[#This Row],[Дата рождения]]</f>
        <v>0</v>
      </c>
    </row>
    <row r="2229" spans="22:23" ht="24.95" customHeight="1" x14ac:dyDescent="0.25">
      <c r="V2229" s="2">
        <f>Таблица1[[#This Row],[Дата перевода]]-Таблица1[[#This Row],[Дата поступления]]</f>
        <v>0</v>
      </c>
      <c r="W2229" s="2">
        <f>Таблица1[[#This Row],[Дата поступления]]-Таблица1[[#This Row],[Дата рождения]]</f>
        <v>0</v>
      </c>
    </row>
    <row r="2230" spans="22:23" ht="24.95" customHeight="1" x14ac:dyDescent="0.25">
      <c r="V2230" s="2">
        <f>Таблица1[[#This Row],[Дата перевода]]-Таблица1[[#This Row],[Дата поступления]]</f>
        <v>0</v>
      </c>
      <c r="W2230" s="2">
        <f>Таблица1[[#This Row],[Дата поступления]]-Таблица1[[#This Row],[Дата рождения]]</f>
        <v>0</v>
      </c>
    </row>
    <row r="2231" spans="22:23" ht="24.95" customHeight="1" x14ac:dyDescent="0.25">
      <c r="V2231" s="2">
        <f>Таблица1[[#This Row],[Дата перевода]]-Таблица1[[#This Row],[Дата поступления]]</f>
        <v>0</v>
      </c>
      <c r="W2231" s="2">
        <f>Таблица1[[#This Row],[Дата поступления]]-Таблица1[[#This Row],[Дата рождения]]</f>
        <v>0</v>
      </c>
    </row>
    <row r="2232" spans="22:23" ht="24.95" customHeight="1" x14ac:dyDescent="0.25">
      <c r="V2232" s="2">
        <f>Таблица1[[#This Row],[Дата перевода]]-Таблица1[[#This Row],[Дата поступления]]</f>
        <v>0</v>
      </c>
      <c r="W2232" s="2">
        <f>Таблица1[[#This Row],[Дата поступления]]-Таблица1[[#This Row],[Дата рождения]]</f>
        <v>0</v>
      </c>
    </row>
    <row r="2233" spans="22:23" ht="24.95" customHeight="1" x14ac:dyDescent="0.25">
      <c r="V2233" s="2">
        <f>Таблица1[[#This Row],[Дата перевода]]-Таблица1[[#This Row],[Дата поступления]]</f>
        <v>0</v>
      </c>
      <c r="W2233" s="2">
        <f>Таблица1[[#This Row],[Дата поступления]]-Таблица1[[#This Row],[Дата рождения]]</f>
        <v>0</v>
      </c>
    </row>
    <row r="2234" spans="22:23" ht="24.95" customHeight="1" x14ac:dyDescent="0.25">
      <c r="V2234" s="2">
        <f>Таблица1[[#This Row],[Дата перевода]]-Таблица1[[#This Row],[Дата поступления]]</f>
        <v>0</v>
      </c>
      <c r="W2234" s="2">
        <f>Таблица1[[#This Row],[Дата поступления]]-Таблица1[[#This Row],[Дата рождения]]</f>
        <v>0</v>
      </c>
    </row>
    <row r="2235" spans="22:23" ht="24.95" customHeight="1" x14ac:dyDescent="0.25">
      <c r="V2235" s="2">
        <f>Таблица1[[#This Row],[Дата перевода]]-Таблица1[[#This Row],[Дата поступления]]</f>
        <v>0</v>
      </c>
      <c r="W2235" s="2">
        <f>Таблица1[[#This Row],[Дата поступления]]-Таблица1[[#This Row],[Дата рождения]]</f>
        <v>0</v>
      </c>
    </row>
    <row r="2236" spans="22:23" ht="24.95" customHeight="1" x14ac:dyDescent="0.25">
      <c r="V2236" s="2">
        <f>Таблица1[[#This Row],[Дата перевода]]-Таблица1[[#This Row],[Дата поступления]]</f>
        <v>0</v>
      </c>
      <c r="W2236" s="2">
        <f>Таблица1[[#This Row],[Дата поступления]]-Таблица1[[#This Row],[Дата рождения]]</f>
        <v>0</v>
      </c>
    </row>
    <row r="2237" spans="22:23" ht="24.95" customHeight="1" x14ac:dyDescent="0.25">
      <c r="V2237" s="2">
        <f>Таблица1[[#This Row],[Дата перевода]]-Таблица1[[#This Row],[Дата поступления]]</f>
        <v>0</v>
      </c>
      <c r="W2237" s="2">
        <f>Таблица1[[#This Row],[Дата поступления]]-Таблица1[[#This Row],[Дата рождения]]</f>
        <v>0</v>
      </c>
    </row>
    <row r="2238" spans="22:23" ht="24.95" customHeight="1" x14ac:dyDescent="0.25">
      <c r="V2238" s="2">
        <f>Таблица1[[#This Row],[Дата перевода]]-Таблица1[[#This Row],[Дата поступления]]</f>
        <v>0</v>
      </c>
      <c r="W2238" s="2">
        <f>Таблица1[[#This Row],[Дата поступления]]-Таблица1[[#This Row],[Дата рождения]]</f>
        <v>0</v>
      </c>
    </row>
    <row r="2239" spans="22:23" ht="24.95" customHeight="1" x14ac:dyDescent="0.25">
      <c r="V2239" s="2">
        <f>Таблица1[[#This Row],[Дата перевода]]-Таблица1[[#This Row],[Дата поступления]]</f>
        <v>0</v>
      </c>
      <c r="W2239" s="2">
        <f>Таблица1[[#This Row],[Дата поступления]]-Таблица1[[#This Row],[Дата рождения]]</f>
        <v>0</v>
      </c>
    </row>
    <row r="2240" spans="22:23" ht="24.95" customHeight="1" x14ac:dyDescent="0.25">
      <c r="V2240" s="2">
        <f>Таблица1[[#This Row],[Дата перевода]]-Таблица1[[#This Row],[Дата поступления]]</f>
        <v>0</v>
      </c>
      <c r="W2240" s="2">
        <f>Таблица1[[#This Row],[Дата поступления]]-Таблица1[[#This Row],[Дата рождения]]</f>
        <v>0</v>
      </c>
    </row>
    <row r="2241" spans="22:23" ht="24.95" customHeight="1" x14ac:dyDescent="0.25">
      <c r="V2241" s="2">
        <f>Таблица1[[#This Row],[Дата перевода]]-Таблица1[[#This Row],[Дата поступления]]</f>
        <v>0</v>
      </c>
      <c r="W2241" s="2">
        <f>Таблица1[[#This Row],[Дата поступления]]-Таблица1[[#This Row],[Дата рождения]]</f>
        <v>0</v>
      </c>
    </row>
    <row r="2242" spans="22:23" ht="24.95" customHeight="1" x14ac:dyDescent="0.25">
      <c r="V2242" s="2">
        <f>Таблица1[[#This Row],[Дата перевода]]-Таблица1[[#This Row],[Дата поступления]]</f>
        <v>0</v>
      </c>
      <c r="W2242" s="2">
        <f>Таблица1[[#This Row],[Дата поступления]]-Таблица1[[#This Row],[Дата рождения]]</f>
        <v>0</v>
      </c>
    </row>
    <row r="2243" spans="22:23" ht="24.95" customHeight="1" x14ac:dyDescent="0.25">
      <c r="V2243" s="2">
        <f>Таблица1[[#This Row],[Дата перевода]]-Таблица1[[#This Row],[Дата поступления]]</f>
        <v>0</v>
      </c>
      <c r="W2243" s="2">
        <f>Таблица1[[#This Row],[Дата поступления]]-Таблица1[[#This Row],[Дата рождения]]</f>
        <v>0</v>
      </c>
    </row>
    <row r="2244" spans="22:23" ht="24.95" customHeight="1" x14ac:dyDescent="0.25">
      <c r="V2244" s="2">
        <f>Таблица1[[#This Row],[Дата перевода]]-Таблица1[[#This Row],[Дата поступления]]</f>
        <v>0</v>
      </c>
      <c r="W2244" s="2">
        <f>Таблица1[[#This Row],[Дата поступления]]-Таблица1[[#This Row],[Дата рождения]]</f>
        <v>0</v>
      </c>
    </row>
    <row r="2245" spans="22:23" ht="24.95" customHeight="1" x14ac:dyDescent="0.25">
      <c r="V2245" s="2">
        <f>Таблица1[[#This Row],[Дата перевода]]-Таблица1[[#This Row],[Дата поступления]]</f>
        <v>0</v>
      </c>
      <c r="W2245" s="2">
        <f>Таблица1[[#This Row],[Дата поступления]]-Таблица1[[#This Row],[Дата рождения]]</f>
        <v>0</v>
      </c>
    </row>
    <row r="2246" spans="22:23" ht="24.95" customHeight="1" x14ac:dyDescent="0.25">
      <c r="V2246" s="2">
        <f>Таблица1[[#This Row],[Дата перевода]]-Таблица1[[#This Row],[Дата поступления]]</f>
        <v>0</v>
      </c>
      <c r="W2246" s="2">
        <f>Таблица1[[#This Row],[Дата поступления]]-Таблица1[[#This Row],[Дата рождения]]</f>
        <v>0</v>
      </c>
    </row>
    <row r="2247" spans="22:23" ht="24.95" customHeight="1" x14ac:dyDescent="0.25">
      <c r="V2247" s="2">
        <f>Таблица1[[#This Row],[Дата перевода]]-Таблица1[[#This Row],[Дата поступления]]</f>
        <v>0</v>
      </c>
      <c r="W2247" s="2">
        <f>Таблица1[[#This Row],[Дата поступления]]-Таблица1[[#This Row],[Дата рождения]]</f>
        <v>0</v>
      </c>
    </row>
    <row r="2248" spans="22:23" ht="24.95" customHeight="1" x14ac:dyDescent="0.25">
      <c r="V2248" s="2">
        <f>Таблица1[[#This Row],[Дата перевода]]-Таблица1[[#This Row],[Дата поступления]]</f>
        <v>0</v>
      </c>
      <c r="W2248" s="2">
        <f>Таблица1[[#This Row],[Дата поступления]]-Таблица1[[#This Row],[Дата рождения]]</f>
        <v>0</v>
      </c>
    </row>
    <row r="2249" spans="22:23" ht="24.95" customHeight="1" x14ac:dyDescent="0.25">
      <c r="V2249" s="2">
        <f>Таблица1[[#This Row],[Дата перевода]]-Таблица1[[#This Row],[Дата поступления]]</f>
        <v>0</v>
      </c>
      <c r="W2249" s="2">
        <f>Таблица1[[#This Row],[Дата поступления]]-Таблица1[[#This Row],[Дата рождения]]</f>
        <v>0</v>
      </c>
    </row>
    <row r="2250" spans="22:23" ht="24.95" customHeight="1" x14ac:dyDescent="0.25">
      <c r="V2250" s="2">
        <f>Таблица1[[#This Row],[Дата перевода]]-Таблица1[[#This Row],[Дата поступления]]</f>
        <v>0</v>
      </c>
      <c r="W2250" s="2">
        <f>Таблица1[[#This Row],[Дата поступления]]-Таблица1[[#This Row],[Дата рождения]]</f>
        <v>0</v>
      </c>
    </row>
    <row r="2251" spans="22:23" ht="24.95" customHeight="1" x14ac:dyDescent="0.25">
      <c r="V2251" s="2">
        <f>Таблица1[[#This Row],[Дата перевода]]-Таблица1[[#This Row],[Дата поступления]]</f>
        <v>0</v>
      </c>
      <c r="W2251" s="2">
        <f>Таблица1[[#This Row],[Дата поступления]]-Таблица1[[#This Row],[Дата рождения]]</f>
        <v>0</v>
      </c>
    </row>
    <row r="2252" spans="22:23" ht="24.95" customHeight="1" x14ac:dyDescent="0.25">
      <c r="V2252" s="2">
        <f>Таблица1[[#This Row],[Дата перевода]]-Таблица1[[#This Row],[Дата поступления]]</f>
        <v>0</v>
      </c>
      <c r="W2252" s="2">
        <f>Таблица1[[#This Row],[Дата поступления]]-Таблица1[[#This Row],[Дата рождения]]</f>
        <v>0</v>
      </c>
    </row>
    <row r="2253" spans="22:23" ht="24.95" customHeight="1" x14ac:dyDescent="0.25">
      <c r="V2253" s="2">
        <f>Таблица1[[#This Row],[Дата перевода]]-Таблица1[[#This Row],[Дата поступления]]</f>
        <v>0</v>
      </c>
      <c r="W2253" s="2">
        <f>Таблица1[[#This Row],[Дата поступления]]-Таблица1[[#This Row],[Дата рождения]]</f>
        <v>0</v>
      </c>
    </row>
    <row r="2254" spans="22:23" ht="24.95" customHeight="1" x14ac:dyDescent="0.25">
      <c r="V2254" s="2">
        <f>Таблица1[[#This Row],[Дата перевода]]-Таблица1[[#This Row],[Дата поступления]]</f>
        <v>0</v>
      </c>
      <c r="W2254" s="2">
        <f>Таблица1[[#This Row],[Дата поступления]]-Таблица1[[#This Row],[Дата рождения]]</f>
        <v>0</v>
      </c>
    </row>
    <row r="2255" spans="22:23" ht="24.95" customHeight="1" x14ac:dyDescent="0.25">
      <c r="V2255" s="2">
        <f>Таблица1[[#This Row],[Дата перевода]]-Таблица1[[#This Row],[Дата поступления]]</f>
        <v>0</v>
      </c>
      <c r="W2255" s="2">
        <f>Таблица1[[#This Row],[Дата поступления]]-Таблица1[[#This Row],[Дата рождения]]</f>
        <v>0</v>
      </c>
    </row>
    <row r="2256" spans="22:23" ht="24.95" customHeight="1" x14ac:dyDescent="0.25">
      <c r="V2256" s="2">
        <f>Таблица1[[#This Row],[Дата перевода]]-Таблица1[[#This Row],[Дата поступления]]</f>
        <v>0</v>
      </c>
      <c r="W2256" s="2">
        <f>Таблица1[[#This Row],[Дата поступления]]-Таблица1[[#This Row],[Дата рождения]]</f>
        <v>0</v>
      </c>
    </row>
    <row r="2257" spans="22:23" ht="24.95" customHeight="1" x14ac:dyDescent="0.25">
      <c r="V2257" s="2">
        <f>Таблица1[[#This Row],[Дата перевода]]-Таблица1[[#This Row],[Дата поступления]]</f>
        <v>0</v>
      </c>
      <c r="W2257" s="2">
        <f>Таблица1[[#This Row],[Дата поступления]]-Таблица1[[#This Row],[Дата рождения]]</f>
        <v>0</v>
      </c>
    </row>
    <row r="2258" spans="22:23" ht="24.95" customHeight="1" x14ac:dyDescent="0.25">
      <c r="V2258" s="2">
        <f>Таблица1[[#This Row],[Дата перевода]]-Таблица1[[#This Row],[Дата поступления]]</f>
        <v>0</v>
      </c>
      <c r="W2258" s="2">
        <f>Таблица1[[#This Row],[Дата поступления]]-Таблица1[[#This Row],[Дата рождения]]</f>
        <v>0</v>
      </c>
    </row>
    <row r="2259" spans="22:23" ht="24.95" customHeight="1" x14ac:dyDescent="0.25">
      <c r="V2259" s="2">
        <f>Таблица1[[#This Row],[Дата перевода]]-Таблица1[[#This Row],[Дата поступления]]</f>
        <v>0</v>
      </c>
      <c r="W2259" s="2">
        <f>Таблица1[[#This Row],[Дата поступления]]-Таблица1[[#This Row],[Дата рождения]]</f>
        <v>0</v>
      </c>
    </row>
    <row r="2260" spans="22:23" ht="24.95" customHeight="1" x14ac:dyDescent="0.25">
      <c r="V2260" s="2">
        <f>Таблица1[[#This Row],[Дата перевода]]-Таблица1[[#This Row],[Дата поступления]]</f>
        <v>0</v>
      </c>
      <c r="W2260" s="2">
        <f>Таблица1[[#This Row],[Дата поступления]]-Таблица1[[#This Row],[Дата рождения]]</f>
        <v>0</v>
      </c>
    </row>
    <row r="2261" spans="22:23" ht="24.95" customHeight="1" x14ac:dyDescent="0.25">
      <c r="V2261" s="2">
        <f>Таблица1[[#This Row],[Дата перевода]]-Таблица1[[#This Row],[Дата поступления]]</f>
        <v>0</v>
      </c>
      <c r="W2261" s="2">
        <f>Таблица1[[#This Row],[Дата поступления]]-Таблица1[[#This Row],[Дата рождения]]</f>
        <v>0</v>
      </c>
    </row>
    <row r="2262" spans="22:23" ht="24.95" customHeight="1" x14ac:dyDescent="0.25">
      <c r="V2262" s="2">
        <f>Таблица1[[#This Row],[Дата перевода]]-Таблица1[[#This Row],[Дата поступления]]</f>
        <v>0</v>
      </c>
      <c r="W2262" s="2">
        <f>Таблица1[[#This Row],[Дата поступления]]-Таблица1[[#This Row],[Дата рождения]]</f>
        <v>0</v>
      </c>
    </row>
    <row r="2263" spans="22:23" ht="24.95" customHeight="1" x14ac:dyDescent="0.25">
      <c r="V2263" s="2">
        <f>Таблица1[[#This Row],[Дата перевода]]-Таблица1[[#This Row],[Дата поступления]]</f>
        <v>0</v>
      </c>
      <c r="W2263" s="2">
        <f>Таблица1[[#This Row],[Дата поступления]]-Таблица1[[#This Row],[Дата рождения]]</f>
        <v>0</v>
      </c>
    </row>
    <row r="2264" spans="22:23" ht="24.95" customHeight="1" x14ac:dyDescent="0.25">
      <c r="V2264" s="2">
        <f>Таблица1[[#This Row],[Дата перевода]]-Таблица1[[#This Row],[Дата поступления]]</f>
        <v>0</v>
      </c>
      <c r="W2264" s="2">
        <f>Таблица1[[#This Row],[Дата поступления]]-Таблица1[[#This Row],[Дата рождения]]</f>
        <v>0</v>
      </c>
    </row>
    <row r="2265" spans="22:23" ht="24.95" customHeight="1" x14ac:dyDescent="0.25">
      <c r="V2265" s="2">
        <f>Таблица1[[#This Row],[Дата перевода]]-Таблица1[[#This Row],[Дата поступления]]</f>
        <v>0</v>
      </c>
      <c r="W2265" s="2">
        <f>Таблица1[[#This Row],[Дата поступления]]-Таблица1[[#This Row],[Дата рождения]]</f>
        <v>0</v>
      </c>
    </row>
    <row r="2266" spans="22:23" ht="24.95" customHeight="1" x14ac:dyDescent="0.25">
      <c r="V2266" s="2">
        <f>Таблица1[[#This Row],[Дата перевода]]-Таблица1[[#This Row],[Дата поступления]]</f>
        <v>0</v>
      </c>
      <c r="W2266" s="2">
        <f>Таблица1[[#This Row],[Дата поступления]]-Таблица1[[#This Row],[Дата рождения]]</f>
        <v>0</v>
      </c>
    </row>
    <row r="2267" spans="22:23" ht="24.95" customHeight="1" x14ac:dyDescent="0.25">
      <c r="V2267" s="2">
        <f>Таблица1[[#This Row],[Дата перевода]]-Таблица1[[#This Row],[Дата поступления]]</f>
        <v>0</v>
      </c>
      <c r="W2267" s="2">
        <f>Таблица1[[#This Row],[Дата поступления]]-Таблица1[[#This Row],[Дата рождения]]</f>
        <v>0</v>
      </c>
    </row>
    <row r="2268" spans="22:23" ht="24.95" customHeight="1" x14ac:dyDescent="0.25">
      <c r="V2268" s="2">
        <f>Таблица1[[#This Row],[Дата перевода]]-Таблица1[[#This Row],[Дата поступления]]</f>
        <v>0</v>
      </c>
      <c r="W2268" s="2">
        <f>Таблица1[[#This Row],[Дата поступления]]-Таблица1[[#This Row],[Дата рождения]]</f>
        <v>0</v>
      </c>
    </row>
    <row r="2269" spans="22:23" ht="24.95" customHeight="1" x14ac:dyDescent="0.25">
      <c r="V2269" s="2">
        <f>Таблица1[[#This Row],[Дата перевода]]-Таблица1[[#This Row],[Дата поступления]]</f>
        <v>0</v>
      </c>
      <c r="W2269" s="2">
        <f>Таблица1[[#This Row],[Дата поступления]]-Таблица1[[#This Row],[Дата рождения]]</f>
        <v>0</v>
      </c>
    </row>
    <row r="2270" spans="22:23" ht="24.95" customHeight="1" x14ac:dyDescent="0.25">
      <c r="V2270" s="2">
        <f>Таблица1[[#This Row],[Дата перевода]]-Таблица1[[#This Row],[Дата поступления]]</f>
        <v>0</v>
      </c>
      <c r="W2270" s="2">
        <f>Таблица1[[#This Row],[Дата поступления]]-Таблица1[[#This Row],[Дата рождения]]</f>
        <v>0</v>
      </c>
    </row>
    <row r="2271" spans="22:23" ht="24.95" customHeight="1" x14ac:dyDescent="0.25">
      <c r="V2271" s="2">
        <f>Таблица1[[#This Row],[Дата перевода]]-Таблица1[[#This Row],[Дата поступления]]</f>
        <v>0</v>
      </c>
      <c r="W2271" s="2">
        <f>Таблица1[[#This Row],[Дата поступления]]-Таблица1[[#This Row],[Дата рождения]]</f>
        <v>0</v>
      </c>
    </row>
    <row r="2272" spans="22:23" ht="24.95" customHeight="1" x14ac:dyDescent="0.25">
      <c r="V2272" s="2">
        <f>Таблица1[[#This Row],[Дата перевода]]-Таблица1[[#This Row],[Дата поступления]]</f>
        <v>0</v>
      </c>
      <c r="W2272" s="2">
        <f>Таблица1[[#This Row],[Дата поступления]]-Таблица1[[#This Row],[Дата рождения]]</f>
        <v>0</v>
      </c>
    </row>
    <row r="2273" spans="22:23" ht="24.95" customHeight="1" x14ac:dyDescent="0.25">
      <c r="V2273" s="2">
        <f>Таблица1[[#This Row],[Дата перевода]]-Таблица1[[#This Row],[Дата поступления]]</f>
        <v>0</v>
      </c>
      <c r="W2273" s="2">
        <f>Таблица1[[#This Row],[Дата поступления]]-Таблица1[[#This Row],[Дата рождения]]</f>
        <v>0</v>
      </c>
    </row>
    <row r="2274" spans="22:23" ht="24.95" customHeight="1" x14ac:dyDescent="0.25">
      <c r="V2274" s="2">
        <f>Таблица1[[#This Row],[Дата перевода]]-Таблица1[[#This Row],[Дата поступления]]</f>
        <v>0</v>
      </c>
      <c r="W2274" s="2">
        <f>Таблица1[[#This Row],[Дата поступления]]-Таблица1[[#This Row],[Дата рождения]]</f>
        <v>0</v>
      </c>
    </row>
    <row r="2275" spans="22:23" ht="24.95" customHeight="1" x14ac:dyDescent="0.25">
      <c r="V2275" s="2">
        <f>Таблица1[[#This Row],[Дата перевода]]-Таблица1[[#This Row],[Дата поступления]]</f>
        <v>0</v>
      </c>
      <c r="W2275" s="2">
        <f>Таблица1[[#This Row],[Дата поступления]]-Таблица1[[#This Row],[Дата рождения]]</f>
        <v>0</v>
      </c>
    </row>
    <row r="2276" spans="22:23" ht="24.95" customHeight="1" x14ac:dyDescent="0.25">
      <c r="V2276" s="2">
        <f>Таблица1[[#This Row],[Дата перевода]]-Таблица1[[#This Row],[Дата поступления]]</f>
        <v>0</v>
      </c>
      <c r="W2276" s="2">
        <f>Таблица1[[#This Row],[Дата поступления]]-Таблица1[[#This Row],[Дата рождения]]</f>
        <v>0</v>
      </c>
    </row>
    <row r="2277" spans="22:23" ht="24.95" customHeight="1" x14ac:dyDescent="0.25">
      <c r="V2277" s="2">
        <f>Таблица1[[#This Row],[Дата перевода]]-Таблица1[[#This Row],[Дата поступления]]</f>
        <v>0</v>
      </c>
      <c r="W2277" s="2">
        <f>Таблица1[[#This Row],[Дата поступления]]-Таблица1[[#This Row],[Дата рождения]]</f>
        <v>0</v>
      </c>
    </row>
    <row r="2278" spans="22:23" ht="24.95" customHeight="1" x14ac:dyDescent="0.25">
      <c r="V2278" s="2">
        <f>Таблица1[[#This Row],[Дата перевода]]-Таблица1[[#This Row],[Дата поступления]]</f>
        <v>0</v>
      </c>
      <c r="W2278" s="2">
        <f>Таблица1[[#This Row],[Дата поступления]]-Таблица1[[#This Row],[Дата рождения]]</f>
        <v>0</v>
      </c>
    </row>
    <row r="2279" spans="22:23" ht="24.95" customHeight="1" x14ac:dyDescent="0.25">
      <c r="V2279" s="2">
        <f>Таблица1[[#This Row],[Дата перевода]]-Таблица1[[#This Row],[Дата поступления]]</f>
        <v>0</v>
      </c>
      <c r="W2279" s="2">
        <f>Таблица1[[#This Row],[Дата поступления]]-Таблица1[[#This Row],[Дата рождения]]</f>
        <v>0</v>
      </c>
    </row>
    <row r="2280" spans="22:23" ht="24.95" customHeight="1" x14ac:dyDescent="0.25">
      <c r="V2280" s="2">
        <f>Таблица1[[#This Row],[Дата перевода]]-Таблица1[[#This Row],[Дата поступления]]</f>
        <v>0</v>
      </c>
      <c r="W2280" s="2">
        <f>Таблица1[[#This Row],[Дата поступления]]-Таблица1[[#This Row],[Дата рождения]]</f>
        <v>0</v>
      </c>
    </row>
    <row r="2281" spans="22:23" ht="24.95" customHeight="1" x14ac:dyDescent="0.25">
      <c r="V2281" s="2">
        <f>Таблица1[[#This Row],[Дата перевода]]-Таблица1[[#This Row],[Дата поступления]]</f>
        <v>0</v>
      </c>
      <c r="W2281" s="2">
        <f>Таблица1[[#This Row],[Дата поступления]]-Таблица1[[#This Row],[Дата рождения]]</f>
        <v>0</v>
      </c>
    </row>
    <row r="2282" spans="22:23" ht="24.95" customHeight="1" x14ac:dyDescent="0.25">
      <c r="V2282" s="2">
        <f>Таблица1[[#This Row],[Дата перевода]]-Таблица1[[#This Row],[Дата поступления]]</f>
        <v>0</v>
      </c>
      <c r="W2282" s="2">
        <f>Таблица1[[#This Row],[Дата поступления]]-Таблица1[[#This Row],[Дата рождения]]</f>
        <v>0</v>
      </c>
    </row>
    <row r="2283" spans="22:23" ht="24.95" customHeight="1" x14ac:dyDescent="0.25">
      <c r="V2283" s="2">
        <f>Таблица1[[#This Row],[Дата перевода]]-Таблица1[[#This Row],[Дата поступления]]</f>
        <v>0</v>
      </c>
      <c r="W2283" s="2">
        <f>Таблица1[[#This Row],[Дата поступления]]-Таблица1[[#This Row],[Дата рождения]]</f>
        <v>0</v>
      </c>
    </row>
    <row r="2284" spans="22:23" ht="24.95" customHeight="1" x14ac:dyDescent="0.25">
      <c r="V2284" s="2">
        <f>Таблица1[[#This Row],[Дата перевода]]-Таблица1[[#This Row],[Дата поступления]]</f>
        <v>0</v>
      </c>
      <c r="W2284" s="2">
        <f>Таблица1[[#This Row],[Дата поступления]]-Таблица1[[#This Row],[Дата рождения]]</f>
        <v>0</v>
      </c>
    </row>
    <row r="2285" spans="22:23" ht="24.95" customHeight="1" x14ac:dyDescent="0.25">
      <c r="V2285" s="2">
        <f>Таблица1[[#This Row],[Дата перевода]]-Таблица1[[#This Row],[Дата поступления]]</f>
        <v>0</v>
      </c>
      <c r="W2285" s="2">
        <f>Таблица1[[#This Row],[Дата поступления]]-Таблица1[[#This Row],[Дата рождения]]</f>
        <v>0</v>
      </c>
    </row>
    <row r="2286" spans="22:23" ht="24.95" customHeight="1" x14ac:dyDescent="0.25">
      <c r="V2286" s="2">
        <f>Таблица1[[#This Row],[Дата перевода]]-Таблица1[[#This Row],[Дата поступления]]</f>
        <v>0</v>
      </c>
      <c r="W2286" s="2">
        <f>Таблица1[[#This Row],[Дата поступления]]-Таблица1[[#This Row],[Дата рождения]]</f>
        <v>0</v>
      </c>
    </row>
    <row r="2287" spans="22:23" ht="24.95" customHeight="1" x14ac:dyDescent="0.25">
      <c r="V2287" s="2">
        <f>Таблица1[[#This Row],[Дата перевода]]-Таблица1[[#This Row],[Дата поступления]]</f>
        <v>0</v>
      </c>
      <c r="W2287" s="2">
        <f>Таблица1[[#This Row],[Дата поступления]]-Таблица1[[#This Row],[Дата рождения]]</f>
        <v>0</v>
      </c>
    </row>
    <row r="2288" spans="22:23" ht="24.95" customHeight="1" x14ac:dyDescent="0.25">
      <c r="V2288" s="2">
        <f>Таблица1[[#This Row],[Дата перевода]]-Таблица1[[#This Row],[Дата поступления]]</f>
        <v>0</v>
      </c>
      <c r="W2288" s="2">
        <f>Таблица1[[#This Row],[Дата поступления]]-Таблица1[[#This Row],[Дата рождения]]</f>
        <v>0</v>
      </c>
    </row>
    <row r="2289" spans="22:23" ht="24.95" customHeight="1" x14ac:dyDescent="0.25">
      <c r="V2289" s="2">
        <f>Таблица1[[#This Row],[Дата перевода]]-Таблица1[[#This Row],[Дата поступления]]</f>
        <v>0</v>
      </c>
      <c r="W2289" s="2">
        <f>Таблица1[[#This Row],[Дата поступления]]-Таблица1[[#This Row],[Дата рождения]]</f>
        <v>0</v>
      </c>
    </row>
    <row r="2290" spans="22:23" ht="24.95" customHeight="1" x14ac:dyDescent="0.25">
      <c r="V2290" s="2">
        <f>Таблица1[[#This Row],[Дата перевода]]-Таблица1[[#This Row],[Дата поступления]]</f>
        <v>0</v>
      </c>
      <c r="W2290" s="2">
        <f>Таблица1[[#This Row],[Дата поступления]]-Таблица1[[#This Row],[Дата рождения]]</f>
        <v>0</v>
      </c>
    </row>
    <row r="2291" spans="22:23" ht="24.95" customHeight="1" x14ac:dyDescent="0.25">
      <c r="V2291" s="2">
        <f>Таблица1[[#This Row],[Дата перевода]]-Таблица1[[#This Row],[Дата поступления]]</f>
        <v>0</v>
      </c>
      <c r="W2291" s="2">
        <f>Таблица1[[#This Row],[Дата поступления]]-Таблица1[[#This Row],[Дата рождения]]</f>
        <v>0</v>
      </c>
    </row>
    <row r="2292" spans="22:23" ht="24.95" customHeight="1" x14ac:dyDescent="0.25">
      <c r="V2292" s="2">
        <f>Таблица1[[#This Row],[Дата перевода]]-Таблица1[[#This Row],[Дата поступления]]</f>
        <v>0</v>
      </c>
      <c r="W2292" s="2">
        <f>Таблица1[[#This Row],[Дата поступления]]-Таблица1[[#This Row],[Дата рождения]]</f>
        <v>0</v>
      </c>
    </row>
    <row r="2293" spans="22:23" ht="24.95" customHeight="1" x14ac:dyDescent="0.25">
      <c r="V2293" s="2">
        <f>Таблица1[[#This Row],[Дата перевода]]-Таблица1[[#This Row],[Дата поступления]]</f>
        <v>0</v>
      </c>
      <c r="W2293" s="2">
        <f>Таблица1[[#This Row],[Дата поступления]]-Таблица1[[#This Row],[Дата рождения]]</f>
        <v>0</v>
      </c>
    </row>
    <row r="2294" spans="22:23" ht="24.95" customHeight="1" x14ac:dyDescent="0.25">
      <c r="V2294" s="2">
        <f>Таблица1[[#This Row],[Дата перевода]]-Таблица1[[#This Row],[Дата поступления]]</f>
        <v>0</v>
      </c>
      <c r="W2294" s="2">
        <f>Таблица1[[#This Row],[Дата поступления]]-Таблица1[[#This Row],[Дата рождения]]</f>
        <v>0</v>
      </c>
    </row>
    <row r="2295" spans="22:23" ht="24.95" customHeight="1" x14ac:dyDescent="0.25">
      <c r="V2295" s="2">
        <f>Таблица1[[#This Row],[Дата перевода]]-Таблица1[[#This Row],[Дата поступления]]</f>
        <v>0</v>
      </c>
      <c r="W2295" s="2">
        <f>Таблица1[[#This Row],[Дата поступления]]-Таблица1[[#This Row],[Дата рождения]]</f>
        <v>0</v>
      </c>
    </row>
    <row r="2296" spans="22:23" ht="24.95" customHeight="1" x14ac:dyDescent="0.25">
      <c r="V2296" s="2">
        <f>Таблица1[[#This Row],[Дата перевода]]-Таблица1[[#This Row],[Дата поступления]]</f>
        <v>0</v>
      </c>
      <c r="W2296" s="2">
        <f>Таблица1[[#This Row],[Дата поступления]]-Таблица1[[#This Row],[Дата рождения]]</f>
        <v>0</v>
      </c>
    </row>
    <row r="2297" spans="22:23" ht="24.95" customHeight="1" x14ac:dyDescent="0.25">
      <c r="V2297" s="2">
        <f>Таблица1[[#This Row],[Дата перевода]]-Таблица1[[#This Row],[Дата поступления]]</f>
        <v>0</v>
      </c>
      <c r="W2297" s="2">
        <f>Таблица1[[#This Row],[Дата поступления]]-Таблица1[[#This Row],[Дата рождения]]</f>
        <v>0</v>
      </c>
    </row>
    <row r="2298" spans="22:23" ht="24.95" customHeight="1" x14ac:dyDescent="0.25">
      <c r="V2298" s="2">
        <f>Таблица1[[#This Row],[Дата перевода]]-Таблица1[[#This Row],[Дата поступления]]</f>
        <v>0</v>
      </c>
      <c r="W2298" s="2">
        <f>Таблица1[[#This Row],[Дата поступления]]-Таблица1[[#This Row],[Дата рождения]]</f>
        <v>0</v>
      </c>
    </row>
    <row r="2299" spans="22:23" ht="24.95" customHeight="1" x14ac:dyDescent="0.25">
      <c r="V2299" s="2">
        <f>Таблица1[[#This Row],[Дата перевода]]-Таблица1[[#This Row],[Дата поступления]]</f>
        <v>0</v>
      </c>
      <c r="W2299" s="2">
        <f>Таблица1[[#This Row],[Дата поступления]]-Таблица1[[#This Row],[Дата рождения]]</f>
        <v>0</v>
      </c>
    </row>
    <row r="2300" spans="22:23" ht="24.95" customHeight="1" x14ac:dyDescent="0.25">
      <c r="V2300" s="2">
        <f>Таблица1[[#This Row],[Дата перевода]]-Таблица1[[#This Row],[Дата поступления]]</f>
        <v>0</v>
      </c>
      <c r="W2300" s="2">
        <f>Таблица1[[#This Row],[Дата поступления]]-Таблица1[[#This Row],[Дата рождения]]</f>
        <v>0</v>
      </c>
    </row>
    <row r="2301" spans="22:23" ht="24.95" customHeight="1" x14ac:dyDescent="0.25">
      <c r="V2301" s="2">
        <f>Таблица1[[#This Row],[Дата перевода]]-Таблица1[[#This Row],[Дата поступления]]</f>
        <v>0</v>
      </c>
      <c r="W2301" s="2">
        <f>Таблица1[[#This Row],[Дата поступления]]-Таблица1[[#This Row],[Дата рождения]]</f>
        <v>0</v>
      </c>
    </row>
    <row r="2302" spans="22:23" ht="24.95" customHeight="1" x14ac:dyDescent="0.25">
      <c r="V2302" s="2">
        <f>Таблица1[[#This Row],[Дата перевода]]-Таблица1[[#This Row],[Дата поступления]]</f>
        <v>0</v>
      </c>
      <c r="W2302" s="2">
        <f>Таблица1[[#This Row],[Дата поступления]]-Таблица1[[#This Row],[Дата рождения]]</f>
        <v>0</v>
      </c>
    </row>
    <row r="2303" spans="22:23" ht="24.95" customHeight="1" x14ac:dyDescent="0.25">
      <c r="V2303" s="2">
        <f>Таблица1[[#This Row],[Дата перевода]]-Таблица1[[#This Row],[Дата поступления]]</f>
        <v>0</v>
      </c>
      <c r="W2303" s="2">
        <f>Таблица1[[#This Row],[Дата поступления]]-Таблица1[[#This Row],[Дата рождения]]</f>
        <v>0</v>
      </c>
    </row>
    <row r="2304" spans="22:23" ht="24.95" customHeight="1" x14ac:dyDescent="0.25">
      <c r="V2304" s="2">
        <f>Таблица1[[#This Row],[Дата перевода]]-Таблица1[[#This Row],[Дата поступления]]</f>
        <v>0</v>
      </c>
      <c r="W2304" s="2">
        <f>Таблица1[[#This Row],[Дата поступления]]-Таблица1[[#This Row],[Дата рождения]]</f>
        <v>0</v>
      </c>
    </row>
    <row r="2305" spans="22:23" ht="24.95" customHeight="1" x14ac:dyDescent="0.25">
      <c r="V2305" s="2">
        <f>Таблица1[[#This Row],[Дата перевода]]-Таблица1[[#This Row],[Дата поступления]]</f>
        <v>0</v>
      </c>
      <c r="W2305" s="2">
        <f>Таблица1[[#This Row],[Дата поступления]]-Таблица1[[#This Row],[Дата рождения]]</f>
        <v>0</v>
      </c>
    </row>
    <row r="2306" spans="22:23" ht="24.95" customHeight="1" x14ac:dyDescent="0.25">
      <c r="V2306" s="2">
        <f>Таблица1[[#This Row],[Дата перевода]]-Таблица1[[#This Row],[Дата поступления]]</f>
        <v>0</v>
      </c>
      <c r="W2306" s="2">
        <f>Таблица1[[#This Row],[Дата поступления]]-Таблица1[[#This Row],[Дата рождения]]</f>
        <v>0</v>
      </c>
    </row>
    <row r="2307" spans="22:23" ht="24.95" customHeight="1" x14ac:dyDescent="0.25">
      <c r="V2307" s="2">
        <f>Таблица1[[#This Row],[Дата перевода]]-Таблица1[[#This Row],[Дата поступления]]</f>
        <v>0</v>
      </c>
      <c r="W2307" s="2">
        <f>Таблица1[[#This Row],[Дата поступления]]-Таблица1[[#This Row],[Дата рождения]]</f>
        <v>0</v>
      </c>
    </row>
    <row r="2308" spans="22:23" ht="24.95" customHeight="1" x14ac:dyDescent="0.25">
      <c r="V2308" s="2">
        <f>Таблица1[[#This Row],[Дата перевода]]-Таблица1[[#This Row],[Дата поступления]]</f>
        <v>0</v>
      </c>
      <c r="W2308" s="2">
        <f>Таблица1[[#This Row],[Дата поступления]]-Таблица1[[#This Row],[Дата рождения]]</f>
        <v>0</v>
      </c>
    </row>
    <row r="2309" spans="22:23" ht="24.95" customHeight="1" x14ac:dyDescent="0.25">
      <c r="V2309" s="2">
        <f>Таблица1[[#This Row],[Дата перевода]]-Таблица1[[#This Row],[Дата поступления]]</f>
        <v>0</v>
      </c>
      <c r="W2309" s="2">
        <f>Таблица1[[#This Row],[Дата поступления]]-Таблица1[[#This Row],[Дата рождения]]</f>
        <v>0</v>
      </c>
    </row>
    <row r="2310" spans="22:23" ht="24.95" customHeight="1" x14ac:dyDescent="0.25">
      <c r="V2310" s="2">
        <f>Таблица1[[#This Row],[Дата перевода]]-Таблица1[[#This Row],[Дата поступления]]</f>
        <v>0</v>
      </c>
      <c r="W2310" s="2">
        <f>Таблица1[[#This Row],[Дата поступления]]-Таблица1[[#This Row],[Дата рождения]]</f>
        <v>0</v>
      </c>
    </row>
    <row r="2311" spans="22:23" ht="24.95" customHeight="1" x14ac:dyDescent="0.25">
      <c r="V2311" s="2">
        <f>Таблица1[[#This Row],[Дата перевода]]-Таблица1[[#This Row],[Дата поступления]]</f>
        <v>0</v>
      </c>
      <c r="W2311" s="2">
        <f>Таблица1[[#This Row],[Дата поступления]]-Таблица1[[#This Row],[Дата рождения]]</f>
        <v>0</v>
      </c>
    </row>
    <row r="2312" spans="22:23" ht="24.95" customHeight="1" x14ac:dyDescent="0.25">
      <c r="V2312" s="2">
        <f>Таблица1[[#This Row],[Дата перевода]]-Таблица1[[#This Row],[Дата поступления]]</f>
        <v>0</v>
      </c>
      <c r="W2312" s="2">
        <f>Таблица1[[#This Row],[Дата поступления]]-Таблица1[[#This Row],[Дата рождения]]</f>
        <v>0</v>
      </c>
    </row>
    <row r="2313" spans="22:23" ht="24.95" customHeight="1" x14ac:dyDescent="0.25">
      <c r="V2313" s="2">
        <f>Таблица1[[#This Row],[Дата перевода]]-Таблица1[[#This Row],[Дата поступления]]</f>
        <v>0</v>
      </c>
      <c r="W2313" s="2">
        <f>Таблица1[[#This Row],[Дата поступления]]-Таблица1[[#This Row],[Дата рождения]]</f>
        <v>0</v>
      </c>
    </row>
    <row r="2314" spans="22:23" ht="24.95" customHeight="1" x14ac:dyDescent="0.25">
      <c r="V2314" s="2">
        <f>Таблица1[[#This Row],[Дата перевода]]-Таблица1[[#This Row],[Дата поступления]]</f>
        <v>0</v>
      </c>
      <c r="W2314" s="2">
        <f>Таблица1[[#This Row],[Дата поступления]]-Таблица1[[#This Row],[Дата рождения]]</f>
        <v>0</v>
      </c>
    </row>
    <row r="2315" spans="22:23" ht="24.95" customHeight="1" x14ac:dyDescent="0.25">
      <c r="V2315" s="2">
        <f>Таблица1[[#This Row],[Дата перевода]]-Таблица1[[#This Row],[Дата поступления]]</f>
        <v>0</v>
      </c>
      <c r="W2315" s="2">
        <f>Таблица1[[#This Row],[Дата поступления]]-Таблица1[[#This Row],[Дата рождения]]</f>
        <v>0</v>
      </c>
    </row>
    <row r="2316" spans="22:23" ht="24.95" customHeight="1" x14ac:dyDescent="0.25">
      <c r="V2316" s="2">
        <f>Таблица1[[#This Row],[Дата перевода]]-Таблица1[[#This Row],[Дата поступления]]</f>
        <v>0</v>
      </c>
      <c r="W2316" s="2">
        <f>Таблица1[[#This Row],[Дата поступления]]-Таблица1[[#This Row],[Дата рождения]]</f>
        <v>0</v>
      </c>
    </row>
    <row r="2317" spans="22:23" ht="24.95" customHeight="1" x14ac:dyDescent="0.25">
      <c r="V2317" s="2">
        <f>Таблица1[[#This Row],[Дата перевода]]-Таблица1[[#This Row],[Дата поступления]]</f>
        <v>0</v>
      </c>
      <c r="W2317" s="2">
        <f>Таблица1[[#This Row],[Дата поступления]]-Таблица1[[#This Row],[Дата рождения]]</f>
        <v>0</v>
      </c>
    </row>
    <row r="2318" spans="22:23" ht="24.95" customHeight="1" x14ac:dyDescent="0.25">
      <c r="V2318" s="2">
        <f>Таблица1[[#This Row],[Дата перевода]]-Таблица1[[#This Row],[Дата поступления]]</f>
        <v>0</v>
      </c>
      <c r="W2318" s="2">
        <f>Таблица1[[#This Row],[Дата поступления]]-Таблица1[[#This Row],[Дата рождения]]</f>
        <v>0</v>
      </c>
    </row>
    <row r="2319" spans="22:23" ht="24.95" customHeight="1" x14ac:dyDescent="0.25">
      <c r="V2319" s="2">
        <f>Таблица1[[#This Row],[Дата перевода]]-Таблица1[[#This Row],[Дата поступления]]</f>
        <v>0</v>
      </c>
      <c r="W2319" s="2">
        <f>Таблица1[[#This Row],[Дата поступления]]-Таблица1[[#This Row],[Дата рождения]]</f>
        <v>0</v>
      </c>
    </row>
    <row r="2320" spans="22:23" ht="24.95" customHeight="1" x14ac:dyDescent="0.25">
      <c r="V2320" s="2">
        <f>Таблица1[[#This Row],[Дата перевода]]-Таблица1[[#This Row],[Дата поступления]]</f>
        <v>0</v>
      </c>
      <c r="W2320" s="2">
        <f>Таблица1[[#This Row],[Дата поступления]]-Таблица1[[#This Row],[Дата рождения]]</f>
        <v>0</v>
      </c>
    </row>
    <row r="2321" spans="22:23" ht="24.95" customHeight="1" x14ac:dyDescent="0.25">
      <c r="V2321" s="2">
        <f>Таблица1[[#This Row],[Дата перевода]]-Таблица1[[#This Row],[Дата поступления]]</f>
        <v>0</v>
      </c>
      <c r="W2321" s="2">
        <f>Таблица1[[#This Row],[Дата поступления]]-Таблица1[[#This Row],[Дата рождения]]</f>
        <v>0</v>
      </c>
    </row>
    <row r="2322" spans="22:23" ht="24.95" customHeight="1" x14ac:dyDescent="0.25">
      <c r="V2322" s="2">
        <f>Таблица1[[#This Row],[Дата перевода]]-Таблица1[[#This Row],[Дата поступления]]</f>
        <v>0</v>
      </c>
      <c r="W2322" s="2">
        <f>Таблица1[[#This Row],[Дата поступления]]-Таблица1[[#This Row],[Дата рождения]]</f>
        <v>0</v>
      </c>
    </row>
    <row r="2323" spans="22:23" ht="24.95" customHeight="1" x14ac:dyDescent="0.25">
      <c r="V2323" s="2">
        <f>Таблица1[[#This Row],[Дата перевода]]-Таблица1[[#This Row],[Дата поступления]]</f>
        <v>0</v>
      </c>
      <c r="W2323" s="2">
        <f>Таблица1[[#This Row],[Дата поступления]]-Таблица1[[#This Row],[Дата рождения]]</f>
        <v>0</v>
      </c>
    </row>
    <row r="2324" spans="22:23" ht="24.95" customHeight="1" x14ac:dyDescent="0.25">
      <c r="V2324" s="2">
        <f>Таблица1[[#This Row],[Дата перевода]]-Таблица1[[#This Row],[Дата поступления]]</f>
        <v>0</v>
      </c>
      <c r="W2324" s="2">
        <f>Таблица1[[#This Row],[Дата поступления]]-Таблица1[[#This Row],[Дата рождения]]</f>
        <v>0</v>
      </c>
    </row>
    <row r="2325" spans="22:23" ht="24.95" customHeight="1" x14ac:dyDescent="0.25">
      <c r="V2325" s="2">
        <f>Таблица1[[#This Row],[Дата перевода]]-Таблица1[[#This Row],[Дата поступления]]</f>
        <v>0</v>
      </c>
      <c r="W2325" s="2">
        <f>Таблица1[[#This Row],[Дата поступления]]-Таблица1[[#This Row],[Дата рождения]]</f>
        <v>0</v>
      </c>
    </row>
    <row r="2326" spans="22:23" ht="24.95" customHeight="1" x14ac:dyDescent="0.25">
      <c r="V2326" s="2">
        <f>Таблица1[[#This Row],[Дата перевода]]-Таблица1[[#This Row],[Дата поступления]]</f>
        <v>0</v>
      </c>
      <c r="W2326" s="2">
        <f>Таблица1[[#This Row],[Дата поступления]]-Таблица1[[#This Row],[Дата рождения]]</f>
        <v>0</v>
      </c>
    </row>
    <row r="2327" spans="22:23" ht="24.95" customHeight="1" x14ac:dyDescent="0.25">
      <c r="V2327" s="2">
        <f>Таблица1[[#This Row],[Дата перевода]]-Таблица1[[#This Row],[Дата поступления]]</f>
        <v>0</v>
      </c>
      <c r="W2327" s="2">
        <f>Таблица1[[#This Row],[Дата поступления]]-Таблица1[[#This Row],[Дата рождения]]</f>
        <v>0</v>
      </c>
    </row>
    <row r="2328" spans="22:23" ht="24.95" customHeight="1" x14ac:dyDescent="0.25">
      <c r="V2328" s="2">
        <f>Таблица1[[#This Row],[Дата перевода]]-Таблица1[[#This Row],[Дата поступления]]</f>
        <v>0</v>
      </c>
      <c r="W2328" s="2">
        <f>Таблица1[[#This Row],[Дата поступления]]-Таблица1[[#This Row],[Дата рождения]]</f>
        <v>0</v>
      </c>
    </row>
    <row r="2329" spans="22:23" ht="24.95" customHeight="1" x14ac:dyDescent="0.25">
      <c r="V2329" s="2">
        <f>Таблица1[[#This Row],[Дата перевода]]-Таблица1[[#This Row],[Дата поступления]]</f>
        <v>0</v>
      </c>
      <c r="W2329" s="2">
        <f>Таблица1[[#This Row],[Дата поступления]]-Таблица1[[#This Row],[Дата рождения]]</f>
        <v>0</v>
      </c>
    </row>
    <row r="2330" spans="22:23" ht="24.95" customHeight="1" x14ac:dyDescent="0.25">
      <c r="V2330" s="2">
        <f>Таблица1[[#This Row],[Дата перевода]]-Таблица1[[#This Row],[Дата поступления]]</f>
        <v>0</v>
      </c>
      <c r="W2330" s="2">
        <f>Таблица1[[#This Row],[Дата поступления]]-Таблица1[[#This Row],[Дата рождения]]</f>
        <v>0</v>
      </c>
    </row>
    <row r="2331" spans="22:23" ht="24.95" customHeight="1" x14ac:dyDescent="0.25">
      <c r="V2331" s="2">
        <f>Таблица1[[#This Row],[Дата перевода]]-Таблица1[[#This Row],[Дата поступления]]</f>
        <v>0</v>
      </c>
      <c r="W2331" s="2">
        <f>Таблица1[[#This Row],[Дата поступления]]-Таблица1[[#This Row],[Дата рождения]]</f>
        <v>0</v>
      </c>
    </row>
    <row r="2332" spans="22:23" ht="24.95" customHeight="1" x14ac:dyDescent="0.25">
      <c r="V2332" s="2">
        <f>Таблица1[[#This Row],[Дата перевода]]-Таблица1[[#This Row],[Дата поступления]]</f>
        <v>0</v>
      </c>
      <c r="W2332" s="2">
        <f>Таблица1[[#This Row],[Дата поступления]]-Таблица1[[#This Row],[Дата рождения]]</f>
        <v>0</v>
      </c>
    </row>
    <row r="2333" spans="22:23" ht="24.95" customHeight="1" x14ac:dyDescent="0.25">
      <c r="V2333" s="2">
        <f>Таблица1[[#This Row],[Дата перевода]]-Таблица1[[#This Row],[Дата поступления]]</f>
        <v>0</v>
      </c>
      <c r="W2333" s="2">
        <f>Таблица1[[#This Row],[Дата поступления]]-Таблица1[[#This Row],[Дата рождения]]</f>
        <v>0</v>
      </c>
    </row>
    <row r="2334" spans="22:23" ht="24.95" customHeight="1" x14ac:dyDescent="0.25">
      <c r="V2334" s="2">
        <f>Таблица1[[#This Row],[Дата перевода]]-Таблица1[[#This Row],[Дата поступления]]</f>
        <v>0</v>
      </c>
      <c r="W2334" s="2">
        <f>Таблица1[[#This Row],[Дата поступления]]-Таблица1[[#This Row],[Дата рождения]]</f>
        <v>0</v>
      </c>
    </row>
    <row r="2335" spans="22:23" ht="24.95" customHeight="1" x14ac:dyDescent="0.25">
      <c r="V2335" s="2">
        <f>Таблица1[[#This Row],[Дата перевода]]-Таблица1[[#This Row],[Дата поступления]]</f>
        <v>0</v>
      </c>
      <c r="W2335" s="2">
        <f>Таблица1[[#This Row],[Дата поступления]]-Таблица1[[#This Row],[Дата рождения]]</f>
        <v>0</v>
      </c>
    </row>
    <row r="2336" spans="22:23" ht="24.95" customHeight="1" x14ac:dyDescent="0.25">
      <c r="V2336" s="2">
        <f>Таблица1[[#This Row],[Дата перевода]]-Таблица1[[#This Row],[Дата поступления]]</f>
        <v>0</v>
      </c>
      <c r="W2336" s="2">
        <f>Таблица1[[#This Row],[Дата поступления]]-Таблица1[[#This Row],[Дата рождения]]</f>
        <v>0</v>
      </c>
    </row>
    <row r="2337" spans="22:23" ht="24.95" customHeight="1" x14ac:dyDescent="0.25">
      <c r="V2337" s="2">
        <f>Таблица1[[#This Row],[Дата перевода]]-Таблица1[[#This Row],[Дата поступления]]</f>
        <v>0</v>
      </c>
      <c r="W2337" s="2">
        <f>Таблица1[[#This Row],[Дата поступления]]-Таблица1[[#This Row],[Дата рождения]]</f>
        <v>0</v>
      </c>
    </row>
    <row r="2338" spans="22:23" ht="24.95" customHeight="1" x14ac:dyDescent="0.25">
      <c r="V2338" s="2">
        <f>Таблица1[[#This Row],[Дата перевода]]-Таблица1[[#This Row],[Дата поступления]]</f>
        <v>0</v>
      </c>
      <c r="W2338" s="2">
        <f>Таблица1[[#This Row],[Дата поступления]]-Таблица1[[#This Row],[Дата рождения]]</f>
        <v>0</v>
      </c>
    </row>
    <row r="2339" spans="22:23" ht="24.95" customHeight="1" x14ac:dyDescent="0.25">
      <c r="V2339" s="2">
        <f>Таблица1[[#This Row],[Дата перевода]]-Таблица1[[#This Row],[Дата поступления]]</f>
        <v>0</v>
      </c>
      <c r="W2339" s="2">
        <f>Таблица1[[#This Row],[Дата поступления]]-Таблица1[[#This Row],[Дата рождения]]</f>
        <v>0</v>
      </c>
    </row>
    <row r="2340" spans="22:23" ht="24.95" customHeight="1" x14ac:dyDescent="0.25">
      <c r="V2340" s="2">
        <f>Таблица1[[#This Row],[Дата перевода]]-Таблица1[[#This Row],[Дата поступления]]</f>
        <v>0</v>
      </c>
      <c r="W2340" s="2">
        <f>Таблица1[[#This Row],[Дата поступления]]-Таблица1[[#This Row],[Дата рождения]]</f>
        <v>0</v>
      </c>
    </row>
    <row r="2341" spans="22:23" ht="24.95" customHeight="1" x14ac:dyDescent="0.25">
      <c r="V2341" s="2">
        <f>Таблица1[[#This Row],[Дата перевода]]-Таблица1[[#This Row],[Дата поступления]]</f>
        <v>0</v>
      </c>
      <c r="W2341" s="2">
        <f>Таблица1[[#This Row],[Дата поступления]]-Таблица1[[#This Row],[Дата рождения]]</f>
        <v>0</v>
      </c>
    </row>
    <row r="2342" spans="22:23" ht="24.95" customHeight="1" x14ac:dyDescent="0.25">
      <c r="V2342" s="2">
        <f>Таблица1[[#This Row],[Дата перевода]]-Таблица1[[#This Row],[Дата поступления]]</f>
        <v>0</v>
      </c>
      <c r="W2342" s="2">
        <f>Таблица1[[#This Row],[Дата поступления]]-Таблица1[[#This Row],[Дата рождения]]</f>
        <v>0</v>
      </c>
    </row>
    <row r="2343" spans="22:23" ht="24.95" customHeight="1" x14ac:dyDescent="0.25">
      <c r="V2343" s="2">
        <f>Таблица1[[#This Row],[Дата перевода]]-Таблица1[[#This Row],[Дата поступления]]</f>
        <v>0</v>
      </c>
      <c r="W2343" s="2">
        <f>Таблица1[[#This Row],[Дата поступления]]-Таблица1[[#This Row],[Дата рождения]]</f>
        <v>0</v>
      </c>
    </row>
    <row r="2344" spans="22:23" ht="24.95" customHeight="1" x14ac:dyDescent="0.25">
      <c r="V2344" s="2">
        <f>Таблица1[[#This Row],[Дата перевода]]-Таблица1[[#This Row],[Дата поступления]]</f>
        <v>0</v>
      </c>
      <c r="W2344" s="2">
        <f>Таблица1[[#This Row],[Дата поступления]]-Таблица1[[#This Row],[Дата рождения]]</f>
        <v>0</v>
      </c>
    </row>
    <row r="2345" spans="22:23" ht="24.95" customHeight="1" x14ac:dyDescent="0.25">
      <c r="V2345" s="2">
        <f>Таблица1[[#This Row],[Дата перевода]]-Таблица1[[#This Row],[Дата поступления]]</f>
        <v>0</v>
      </c>
      <c r="W2345" s="2">
        <f>Таблица1[[#This Row],[Дата поступления]]-Таблица1[[#This Row],[Дата рождения]]</f>
        <v>0</v>
      </c>
    </row>
    <row r="2346" spans="22:23" ht="24.95" customHeight="1" x14ac:dyDescent="0.25">
      <c r="V2346" s="2">
        <f>Таблица1[[#This Row],[Дата перевода]]-Таблица1[[#This Row],[Дата поступления]]</f>
        <v>0</v>
      </c>
      <c r="W2346" s="2">
        <f>Таблица1[[#This Row],[Дата поступления]]-Таблица1[[#This Row],[Дата рождения]]</f>
        <v>0</v>
      </c>
    </row>
    <row r="2347" spans="22:23" ht="24.95" customHeight="1" x14ac:dyDescent="0.25">
      <c r="V2347" s="2">
        <f>Таблица1[[#This Row],[Дата перевода]]-Таблица1[[#This Row],[Дата поступления]]</f>
        <v>0</v>
      </c>
      <c r="W2347" s="2">
        <f>Таблица1[[#This Row],[Дата поступления]]-Таблица1[[#This Row],[Дата рождения]]</f>
        <v>0</v>
      </c>
    </row>
    <row r="2348" spans="22:23" ht="24.95" customHeight="1" x14ac:dyDescent="0.25">
      <c r="V2348" s="2">
        <f>Таблица1[[#This Row],[Дата перевода]]-Таблица1[[#This Row],[Дата поступления]]</f>
        <v>0</v>
      </c>
      <c r="W2348" s="2">
        <f>Таблица1[[#This Row],[Дата поступления]]-Таблица1[[#This Row],[Дата рождения]]</f>
        <v>0</v>
      </c>
    </row>
    <row r="2349" spans="22:23" ht="24.95" customHeight="1" x14ac:dyDescent="0.25">
      <c r="V2349" s="2">
        <f>Таблица1[[#This Row],[Дата перевода]]-Таблица1[[#This Row],[Дата поступления]]</f>
        <v>0</v>
      </c>
      <c r="W2349" s="2">
        <f>Таблица1[[#This Row],[Дата поступления]]-Таблица1[[#This Row],[Дата рождения]]</f>
        <v>0</v>
      </c>
    </row>
    <row r="2350" spans="22:23" ht="24.95" customHeight="1" x14ac:dyDescent="0.25">
      <c r="V2350" s="2">
        <f>Таблица1[[#This Row],[Дата перевода]]-Таблица1[[#This Row],[Дата поступления]]</f>
        <v>0</v>
      </c>
      <c r="W2350" s="2">
        <f>Таблица1[[#This Row],[Дата поступления]]-Таблица1[[#This Row],[Дата рождения]]</f>
        <v>0</v>
      </c>
    </row>
    <row r="2351" spans="22:23" ht="24.95" customHeight="1" x14ac:dyDescent="0.25">
      <c r="V2351" s="2">
        <f>Таблица1[[#This Row],[Дата перевода]]-Таблица1[[#This Row],[Дата поступления]]</f>
        <v>0</v>
      </c>
      <c r="W2351" s="2">
        <f>Таблица1[[#This Row],[Дата поступления]]-Таблица1[[#This Row],[Дата рождения]]</f>
        <v>0</v>
      </c>
    </row>
    <row r="2352" spans="22:23" ht="24.95" customHeight="1" x14ac:dyDescent="0.25">
      <c r="V2352" s="2">
        <f>Таблица1[[#This Row],[Дата перевода]]-Таблица1[[#This Row],[Дата поступления]]</f>
        <v>0</v>
      </c>
      <c r="W2352" s="2">
        <f>Таблица1[[#This Row],[Дата поступления]]-Таблица1[[#This Row],[Дата рождения]]</f>
        <v>0</v>
      </c>
    </row>
    <row r="2353" spans="22:23" ht="24.95" customHeight="1" x14ac:dyDescent="0.25">
      <c r="V2353" s="2">
        <f>Таблица1[[#This Row],[Дата перевода]]-Таблица1[[#This Row],[Дата поступления]]</f>
        <v>0</v>
      </c>
      <c r="W2353" s="2">
        <f>Таблица1[[#This Row],[Дата поступления]]-Таблица1[[#This Row],[Дата рождения]]</f>
        <v>0</v>
      </c>
    </row>
    <row r="2354" spans="22:23" ht="24.95" customHeight="1" x14ac:dyDescent="0.25">
      <c r="V2354" s="2">
        <f>Таблица1[[#This Row],[Дата перевода]]-Таблица1[[#This Row],[Дата поступления]]</f>
        <v>0</v>
      </c>
      <c r="W2354" s="2">
        <f>Таблица1[[#This Row],[Дата поступления]]-Таблица1[[#This Row],[Дата рождения]]</f>
        <v>0</v>
      </c>
    </row>
    <row r="2355" spans="22:23" ht="24.95" customHeight="1" x14ac:dyDescent="0.25">
      <c r="V2355" s="2">
        <f>Таблица1[[#This Row],[Дата перевода]]-Таблица1[[#This Row],[Дата поступления]]</f>
        <v>0</v>
      </c>
      <c r="W2355" s="2">
        <f>Таблица1[[#This Row],[Дата поступления]]-Таблица1[[#This Row],[Дата рождения]]</f>
        <v>0</v>
      </c>
    </row>
    <row r="2356" spans="22:23" ht="24.95" customHeight="1" x14ac:dyDescent="0.25">
      <c r="V2356" s="2">
        <f>Таблица1[[#This Row],[Дата перевода]]-Таблица1[[#This Row],[Дата поступления]]</f>
        <v>0</v>
      </c>
      <c r="W2356" s="2">
        <f>Таблица1[[#This Row],[Дата поступления]]-Таблица1[[#This Row],[Дата рождения]]</f>
        <v>0</v>
      </c>
    </row>
    <row r="2357" spans="22:23" ht="24.95" customHeight="1" x14ac:dyDescent="0.25">
      <c r="V2357" s="2">
        <f>Таблица1[[#This Row],[Дата перевода]]-Таблица1[[#This Row],[Дата поступления]]</f>
        <v>0</v>
      </c>
      <c r="W2357" s="2">
        <f>Таблица1[[#This Row],[Дата поступления]]-Таблица1[[#This Row],[Дата рождения]]</f>
        <v>0</v>
      </c>
    </row>
    <row r="2358" spans="22:23" ht="24.95" customHeight="1" x14ac:dyDescent="0.25">
      <c r="V2358" s="2">
        <f>Таблица1[[#This Row],[Дата перевода]]-Таблица1[[#This Row],[Дата поступления]]</f>
        <v>0</v>
      </c>
      <c r="W2358" s="2">
        <f>Таблица1[[#This Row],[Дата поступления]]-Таблица1[[#This Row],[Дата рождения]]</f>
        <v>0</v>
      </c>
    </row>
    <row r="2359" spans="22:23" ht="24.95" customHeight="1" x14ac:dyDescent="0.25">
      <c r="V2359" s="2">
        <f>Таблица1[[#This Row],[Дата перевода]]-Таблица1[[#This Row],[Дата поступления]]</f>
        <v>0</v>
      </c>
      <c r="W2359" s="2">
        <f>Таблица1[[#This Row],[Дата поступления]]-Таблица1[[#This Row],[Дата рождения]]</f>
        <v>0</v>
      </c>
    </row>
    <row r="2360" spans="22:23" ht="24.95" customHeight="1" x14ac:dyDescent="0.25">
      <c r="V2360" s="2">
        <f>Таблица1[[#This Row],[Дата перевода]]-Таблица1[[#This Row],[Дата поступления]]</f>
        <v>0</v>
      </c>
      <c r="W2360" s="2">
        <f>Таблица1[[#This Row],[Дата поступления]]-Таблица1[[#This Row],[Дата рождения]]</f>
        <v>0</v>
      </c>
    </row>
    <row r="2361" spans="22:23" ht="24.95" customHeight="1" x14ac:dyDescent="0.25">
      <c r="V2361" s="2">
        <f>Таблица1[[#This Row],[Дата перевода]]-Таблица1[[#This Row],[Дата поступления]]</f>
        <v>0</v>
      </c>
      <c r="W2361" s="2">
        <f>Таблица1[[#This Row],[Дата поступления]]-Таблица1[[#This Row],[Дата рождения]]</f>
        <v>0</v>
      </c>
    </row>
    <row r="2362" spans="22:23" ht="24.95" customHeight="1" x14ac:dyDescent="0.25">
      <c r="V2362" s="2">
        <f>Таблица1[[#This Row],[Дата перевода]]-Таблица1[[#This Row],[Дата поступления]]</f>
        <v>0</v>
      </c>
      <c r="W2362" s="2">
        <f>Таблица1[[#This Row],[Дата поступления]]-Таблица1[[#This Row],[Дата рождения]]</f>
        <v>0</v>
      </c>
    </row>
    <row r="2363" spans="22:23" ht="24.95" customHeight="1" x14ac:dyDescent="0.25">
      <c r="V2363" s="2">
        <f>Таблица1[[#This Row],[Дата перевода]]-Таблица1[[#This Row],[Дата поступления]]</f>
        <v>0</v>
      </c>
      <c r="W2363" s="2">
        <f>Таблица1[[#This Row],[Дата поступления]]-Таблица1[[#This Row],[Дата рождения]]</f>
        <v>0</v>
      </c>
    </row>
    <row r="2364" spans="22:23" ht="24.95" customHeight="1" x14ac:dyDescent="0.25">
      <c r="V2364" s="2">
        <f>Таблица1[[#This Row],[Дата перевода]]-Таблица1[[#This Row],[Дата поступления]]</f>
        <v>0</v>
      </c>
      <c r="W2364" s="2">
        <f>Таблица1[[#This Row],[Дата поступления]]-Таблица1[[#This Row],[Дата рождения]]</f>
        <v>0</v>
      </c>
    </row>
    <row r="2365" spans="22:23" ht="24.95" customHeight="1" x14ac:dyDescent="0.25">
      <c r="V2365" s="2">
        <f>Таблица1[[#This Row],[Дата перевода]]-Таблица1[[#This Row],[Дата поступления]]</f>
        <v>0</v>
      </c>
      <c r="W2365" s="2">
        <f>Таблица1[[#This Row],[Дата поступления]]-Таблица1[[#This Row],[Дата рождения]]</f>
        <v>0</v>
      </c>
    </row>
    <row r="2366" spans="22:23" ht="24.95" customHeight="1" x14ac:dyDescent="0.25">
      <c r="V2366" s="2">
        <f>Таблица1[[#This Row],[Дата перевода]]-Таблица1[[#This Row],[Дата поступления]]</f>
        <v>0</v>
      </c>
      <c r="W2366" s="2">
        <f>Таблица1[[#This Row],[Дата поступления]]-Таблица1[[#This Row],[Дата рождения]]</f>
        <v>0</v>
      </c>
    </row>
    <row r="2367" spans="22:23" ht="24.95" customHeight="1" x14ac:dyDescent="0.25">
      <c r="V2367" s="2">
        <f>Таблица1[[#This Row],[Дата перевода]]-Таблица1[[#This Row],[Дата поступления]]</f>
        <v>0</v>
      </c>
      <c r="W2367" s="2">
        <f>Таблица1[[#This Row],[Дата поступления]]-Таблица1[[#This Row],[Дата рождения]]</f>
        <v>0</v>
      </c>
    </row>
    <row r="2368" spans="22:23" ht="24.95" customHeight="1" x14ac:dyDescent="0.25">
      <c r="V2368" s="2">
        <f>Таблица1[[#This Row],[Дата перевода]]-Таблица1[[#This Row],[Дата поступления]]</f>
        <v>0</v>
      </c>
      <c r="W2368" s="2">
        <f>Таблица1[[#This Row],[Дата поступления]]-Таблица1[[#This Row],[Дата рождения]]</f>
        <v>0</v>
      </c>
    </row>
    <row r="2369" spans="22:23" ht="24.95" customHeight="1" x14ac:dyDescent="0.25">
      <c r="V2369" s="2">
        <f>Таблица1[[#This Row],[Дата перевода]]-Таблица1[[#This Row],[Дата поступления]]</f>
        <v>0</v>
      </c>
      <c r="W2369" s="2">
        <f>Таблица1[[#This Row],[Дата поступления]]-Таблица1[[#This Row],[Дата рождения]]</f>
        <v>0</v>
      </c>
    </row>
    <row r="2370" spans="22:23" ht="24.95" customHeight="1" x14ac:dyDescent="0.25">
      <c r="V2370" s="2">
        <f>Таблица1[[#This Row],[Дата перевода]]-Таблица1[[#This Row],[Дата поступления]]</f>
        <v>0</v>
      </c>
      <c r="W2370" s="2">
        <f>Таблица1[[#This Row],[Дата поступления]]-Таблица1[[#This Row],[Дата рождения]]</f>
        <v>0</v>
      </c>
    </row>
    <row r="2371" spans="22:23" ht="24.95" customHeight="1" x14ac:dyDescent="0.25">
      <c r="V2371" s="2">
        <f>Таблица1[[#This Row],[Дата перевода]]-Таблица1[[#This Row],[Дата поступления]]</f>
        <v>0</v>
      </c>
      <c r="W2371" s="2">
        <f>Таблица1[[#This Row],[Дата поступления]]-Таблица1[[#This Row],[Дата рождения]]</f>
        <v>0</v>
      </c>
    </row>
    <row r="2372" spans="22:23" ht="24.95" customHeight="1" x14ac:dyDescent="0.25">
      <c r="V2372" s="2">
        <f>Таблица1[[#This Row],[Дата перевода]]-Таблица1[[#This Row],[Дата поступления]]</f>
        <v>0</v>
      </c>
      <c r="W2372" s="2">
        <f>Таблица1[[#This Row],[Дата поступления]]-Таблица1[[#This Row],[Дата рождения]]</f>
        <v>0</v>
      </c>
    </row>
    <row r="2373" spans="22:23" ht="24.95" customHeight="1" x14ac:dyDescent="0.25">
      <c r="V2373" s="2">
        <f>Таблица1[[#This Row],[Дата перевода]]-Таблица1[[#This Row],[Дата поступления]]</f>
        <v>0</v>
      </c>
      <c r="W2373" s="2">
        <f>Таблица1[[#This Row],[Дата поступления]]-Таблица1[[#This Row],[Дата рождения]]</f>
        <v>0</v>
      </c>
    </row>
    <row r="2374" spans="22:23" ht="24.95" customHeight="1" x14ac:dyDescent="0.25">
      <c r="V2374" s="2">
        <f>Таблица1[[#This Row],[Дата перевода]]-Таблица1[[#This Row],[Дата поступления]]</f>
        <v>0</v>
      </c>
      <c r="W2374" s="2">
        <f>Таблица1[[#This Row],[Дата поступления]]-Таблица1[[#This Row],[Дата рождения]]</f>
        <v>0</v>
      </c>
    </row>
    <row r="2375" spans="22:23" ht="24.95" customHeight="1" x14ac:dyDescent="0.25">
      <c r="V2375" s="2">
        <f>Таблица1[[#This Row],[Дата перевода]]-Таблица1[[#This Row],[Дата поступления]]</f>
        <v>0</v>
      </c>
      <c r="W2375" s="2">
        <f>Таблица1[[#This Row],[Дата поступления]]-Таблица1[[#This Row],[Дата рождения]]</f>
        <v>0</v>
      </c>
    </row>
    <row r="2376" spans="22:23" ht="24.95" customHeight="1" x14ac:dyDescent="0.25">
      <c r="V2376" s="2">
        <f>Таблица1[[#This Row],[Дата перевода]]-Таблица1[[#This Row],[Дата поступления]]</f>
        <v>0</v>
      </c>
      <c r="W2376" s="2">
        <f>Таблица1[[#This Row],[Дата поступления]]-Таблица1[[#This Row],[Дата рождения]]</f>
        <v>0</v>
      </c>
    </row>
    <row r="2377" spans="22:23" ht="24.95" customHeight="1" x14ac:dyDescent="0.25">
      <c r="V2377" s="2">
        <f>Таблица1[[#This Row],[Дата перевода]]-Таблица1[[#This Row],[Дата поступления]]</f>
        <v>0</v>
      </c>
      <c r="W2377" s="2">
        <f>Таблица1[[#This Row],[Дата поступления]]-Таблица1[[#This Row],[Дата рождения]]</f>
        <v>0</v>
      </c>
    </row>
    <row r="2378" spans="22:23" ht="24.95" customHeight="1" x14ac:dyDescent="0.25">
      <c r="V2378" s="2">
        <f>Таблица1[[#This Row],[Дата перевода]]-Таблица1[[#This Row],[Дата поступления]]</f>
        <v>0</v>
      </c>
      <c r="W2378" s="2">
        <f>Таблица1[[#This Row],[Дата поступления]]-Таблица1[[#This Row],[Дата рождения]]</f>
        <v>0</v>
      </c>
    </row>
    <row r="2379" spans="22:23" ht="24.95" customHeight="1" x14ac:dyDescent="0.25">
      <c r="V2379" s="2">
        <f>Таблица1[[#This Row],[Дата перевода]]-Таблица1[[#This Row],[Дата поступления]]</f>
        <v>0</v>
      </c>
      <c r="W2379" s="2">
        <f>Таблица1[[#This Row],[Дата поступления]]-Таблица1[[#This Row],[Дата рождения]]</f>
        <v>0</v>
      </c>
    </row>
    <row r="2380" spans="22:23" ht="24.95" customHeight="1" x14ac:dyDescent="0.25">
      <c r="V2380" s="2">
        <f>Таблица1[[#This Row],[Дата перевода]]-Таблица1[[#This Row],[Дата поступления]]</f>
        <v>0</v>
      </c>
      <c r="W2380" s="2">
        <f>Таблица1[[#This Row],[Дата поступления]]-Таблица1[[#This Row],[Дата рождения]]</f>
        <v>0</v>
      </c>
    </row>
    <row r="2381" spans="22:23" ht="24.95" customHeight="1" x14ac:dyDescent="0.25">
      <c r="V2381" s="2">
        <f>Таблица1[[#This Row],[Дата перевода]]-Таблица1[[#This Row],[Дата поступления]]</f>
        <v>0</v>
      </c>
      <c r="W2381" s="2">
        <f>Таблица1[[#This Row],[Дата поступления]]-Таблица1[[#This Row],[Дата рождения]]</f>
        <v>0</v>
      </c>
    </row>
    <row r="2382" spans="22:23" ht="24.95" customHeight="1" x14ac:dyDescent="0.25">
      <c r="V2382" s="2">
        <f>Таблица1[[#This Row],[Дата перевода]]-Таблица1[[#This Row],[Дата поступления]]</f>
        <v>0</v>
      </c>
      <c r="W2382" s="2">
        <f>Таблица1[[#This Row],[Дата поступления]]-Таблица1[[#This Row],[Дата рождения]]</f>
        <v>0</v>
      </c>
    </row>
    <row r="2383" spans="22:23" ht="24.95" customHeight="1" x14ac:dyDescent="0.25">
      <c r="V2383" s="2">
        <f>Таблица1[[#This Row],[Дата перевода]]-Таблица1[[#This Row],[Дата поступления]]</f>
        <v>0</v>
      </c>
      <c r="W2383" s="2">
        <f>Таблица1[[#This Row],[Дата поступления]]-Таблица1[[#This Row],[Дата рождения]]</f>
        <v>0</v>
      </c>
    </row>
    <row r="2384" spans="22:23" ht="24.95" customHeight="1" x14ac:dyDescent="0.25">
      <c r="V2384" s="2">
        <f>Таблица1[[#This Row],[Дата перевода]]-Таблица1[[#This Row],[Дата поступления]]</f>
        <v>0</v>
      </c>
      <c r="W2384" s="2">
        <f>Таблица1[[#This Row],[Дата поступления]]-Таблица1[[#This Row],[Дата рождения]]</f>
        <v>0</v>
      </c>
    </row>
    <row r="2385" spans="22:23" ht="24.95" customHeight="1" x14ac:dyDescent="0.25">
      <c r="V2385" s="2">
        <f>Таблица1[[#This Row],[Дата перевода]]-Таблица1[[#This Row],[Дата поступления]]</f>
        <v>0</v>
      </c>
      <c r="W2385" s="2">
        <f>Таблица1[[#This Row],[Дата поступления]]-Таблица1[[#This Row],[Дата рождения]]</f>
        <v>0</v>
      </c>
    </row>
    <row r="2386" spans="22:23" ht="24.95" customHeight="1" x14ac:dyDescent="0.25">
      <c r="V2386" s="2">
        <f>Таблица1[[#This Row],[Дата перевода]]-Таблица1[[#This Row],[Дата поступления]]</f>
        <v>0</v>
      </c>
      <c r="W2386" s="2">
        <f>Таблица1[[#This Row],[Дата поступления]]-Таблица1[[#This Row],[Дата рождения]]</f>
        <v>0</v>
      </c>
    </row>
    <row r="2387" spans="22:23" ht="24.95" customHeight="1" x14ac:dyDescent="0.25">
      <c r="V2387" s="2">
        <f>Таблица1[[#This Row],[Дата перевода]]-Таблица1[[#This Row],[Дата поступления]]</f>
        <v>0</v>
      </c>
      <c r="W2387" s="2">
        <f>Таблица1[[#This Row],[Дата поступления]]-Таблица1[[#This Row],[Дата рождения]]</f>
        <v>0</v>
      </c>
    </row>
    <row r="2388" spans="22:23" ht="24.95" customHeight="1" x14ac:dyDescent="0.25">
      <c r="V2388" s="2">
        <f>Таблица1[[#This Row],[Дата перевода]]-Таблица1[[#This Row],[Дата поступления]]</f>
        <v>0</v>
      </c>
      <c r="W2388" s="2">
        <f>Таблица1[[#This Row],[Дата поступления]]-Таблица1[[#This Row],[Дата рождения]]</f>
        <v>0</v>
      </c>
    </row>
    <row r="2389" spans="22:23" ht="24.95" customHeight="1" x14ac:dyDescent="0.25">
      <c r="V2389" s="2">
        <f>Таблица1[[#This Row],[Дата перевода]]-Таблица1[[#This Row],[Дата поступления]]</f>
        <v>0</v>
      </c>
      <c r="W2389" s="2">
        <f>Таблица1[[#This Row],[Дата поступления]]-Таблица1[[#This Row],[Дата рождения]]</f>
        <v>0</v>
      </c>
    </row>
    <row r="2390" spans="22:23" ht="24.95" customHeight="1" x14ac:dyDescent="0.25">
      <c r="V2390" s="2">
        <f>Таблица1[[#This Row],[Дата перевода]]-Таблица1[[#This Row],[Дата поступления]]</f>
        <v>0</v>
      </c>
      <c r="W2390" s="2">
        <f>Таблица1[[#This Row],[Дата поступления]]-Таблица1[[#This Row],[Дата рождения]]</f>
        <v>0</v>
      </c>
    </row>
    <row r="2391" spans="22:23" ht="24.95" customHeight="1" x14ac:dyDescent="0.25">
      <c r="V2391" s="2">
        <f>Таблица1[[#This Row],[Дата перевода]]-Таблица1[[#This Row],[Дата поступления]]</f>
        <v>0</v>
      </c>
      <c r="W2391" s="2">
        <f>Таблица1[[#This Row],[Дата поступления]]-Таблица1[[#This Row],[Дата рождения]]</f>
        <v>0</v>
      </c>
    </row>
    <row r="2392" spans="22:23" ht="24.95" customHeight="1" x14ac:dyDescent="0.25">
      <c r="V2392" s="2">
        <f>Таблица1[[#This Row],[Дата перевода]]-Таблица1[[#This Row],[Дата поступления]]</f>
        <v>0</v>
      </c>
      <c r="W2392" s="2">
        <f>Таблица1[[#This Row],[Дата поступления]]-Таблица1[[#This Row],[Дата рождения]]</f>
        <v>0</v>
      </c>
    </row>
    <row r="2393" spans="22:23" ht="24.95" customHeight="1" x14ac:dyDescent="0.25">
      <c r="V2393" s="2">
        <f>Таблица1[[#This Row],[Дата перевода]]-Таблица1[[#This Row],[Дата поступления]]</f>
        <v>0</v>
      </c>
      <c r="W2393" s="2">
        <f>Таблица1[[#This Row],[Дата поступления]]-Таблица1[[#This Row],[Дата рождения]]</f>
        <v>0</v>
      </c>
    </row>
    <row r="2394" spans="22:23" ht="24.95" customHeight="1" x14ac:dyDescent="0.25">
      <c r="V2394" s="2">
        <f>Таблица1[[#This Row],[Дата перевода]]-Таблица1[[#This Row],[Дата поступления]]</f>
        <v>0</v>
      </c>
      <c r="W2394" s="2">
        <f>Таблица1[[#This Row],[Дата поступления]]-Таблица1[[#This Row],[Дата рождения]]</f>
        <v>0</v>
      </c>
    </row>
    <row r="2395" spans="22:23" ht="24.95" customHeight="1" x14ac:dyDescent="0.25">
      <c r="V2395" s="2">
        <f>Таблица1[[#This Row],[Дата перевода]]-Таблица1[[#This Row],[Дата поступления]]</f>
        <v>0</v>
      </c>
      <c r="W2395" s="2">
        <f>Таблица1[[#This Row],[Дата поступления]]-Таблица1[[#This Row],[Дата рождения]]</f>
        <v>0</v>
      </c>
    </row>
    <row r="2396" spans="22:23" ht="24.95" customHeight="1" x14ac:dyDescent="0.25">
      <c r="V2396" s="2">
        <f>Таблица1[[#This Row],[Дата перевода]]-Таблица1[[#This Row],[Дата поступления]]</f>
        <v>0</v>
      </c>
      <c r="W2396" s="2">
        <f>Таблица1[[#This Row],[Дата поступления]]-Таблица1[[#This Row],[Дата рождения]]</f>
        <v>0</v>
      </c>
    </row>
    <row r="2397" spans="22:23" ht="24.95" customHeight="1" x14ac:dyDescent="0.25">
      <c r="V2397" s="2">
        <f>Таблица1[[#This Row],[Дата перевода]]-Таблица1[[#This Row],[Дата поступления]]</f>
        <v>0</v>
      </c>
      <c r="W2397" s="2">
        <f>Таблица1[[#This Row],[Дата поступления]]-Таблица1[[#This Row],[Дата рождения]]</f>
        <v>0</v>
      </c>
    </row>
    <row r="2398" spans="22:23" ht="24.95" customHeight="1" x14ac:dyDescent="0.25">
      <c r="V2398" s="2">
        <f>Таблица1[[#This Row],[Дата перевода]]-Таблица1[[#This Row],[Дата поступления]]</f>
        <v>0</v>
      </c>
      <c r="W2398" s="2">
        <f>Таблица1[[#This Row],[Дата поступления]]-Таблица1[[#This Row],[Дата рождения]]</f>
        <v>0</v>
      </c>
    </row>
    <row r="2399" spans="22:23" ht="24.95" customHeight="1" x14ac:dyDescent="0.25">
      <c r="V2399" s="2">
        <f>Таблица1[[#This Row],[Дата перевода]]-Таблица1[[#This Row],[Дата поступления]]</f>
        <v>0</v>
      </c>
      <c r="W2399" s="2">
        <f>Таблица1[[#This Row],[Дата поступления]]-Таблица1[[#This Row],[Дата рождения]]</f>
        <v>0</v>
      </c>
    </row>
    <row r="2400" spans="22:23" ht="24.95" customHeight="1" x14ac:dyDescent="0.25">
      <c r="V2400" s="2">
        <f>Таблица1[[#This Row],[Дата перевода]]-Таблица1[[#This Row],[Дата поступления]]</f>
        <v>0</v>
      </c>
      <c r="W2400" s="2">
        <f>Таблица1[[#This Row],[Дата поступления]]-Таблица1[[#This Row],[Дата рождения]]</f>
        <v>0</v>
      </c>
    </row>
    <row r="2401" spans="22:23" ht="24.95" customHeight="1" x14ac:dyDescent="0.25">
      <c r="V2401" s="2">
        <f>Таблица1[[#This Row],[Дата перевода]]-Таблица1[[#This Row],[Дата поступления]]</f>
        <v>0</v>
      </c>
      <c r="W2401" s="2">
        <f>Таблица1[[#This Row],[Дата поступления]]-Таблица1[[#This Row],[Дата рождения]]</f>
        <v>0</v>
      </c>
    </row>
    <row r="2402" spans="22:23" ht="24.95" customHeight="1" x14ac:dyDescent="0.25">
      <c r="V2402" s="2">
        <f>Таблица1[[#This Row],[Дата перевода]]-Таблица1[[#This Row],[Дата поступления]]</f>
        <v>0</v>
      </c>
      <c r="W2402" s="2">
        <f>Таблица1[[#This Row],[Дата поступления]]-Таблица1[[#This Row],[Дата рождения]]</f>
        <v>0</v>
      </c>
    </row>
    <row r="2403" spans="22:23" ht="24.95" customHeight="1" x14ac:dyDescent="0.25">
      <c r="V2403" s="2">
        <f>Таблица1[[#This Row],[Дата перевода]]-Таблица1[[#This Row],[Дата поступления]]</f>
        <v>0</v>
      </c>
      <c r="W2403" s="2">
        <f>Таблица1[[#This Row],[Дата поступления]]-Таблица1[[#This Row],[Дата рождения]]</f>
        <v>0</v>
      </c>
    </row>
    <row r="2404" spans="22:23" ht="24.95" customHeight="1" x14ac:dyDescent="0.25">
      <c r="V2404" s="2">
        <f>Таблица1[[#This Row],[Дата перевода]]-Таблица1[[#This Row],[Дата поступления]]</f>
        <v>0</v>
      </c>
      <c r="W2404" s="2">
        <f>Таблица1[[#This Row],[Дата поступления]]-Таблица1[[#This Row],[Дата рождения]]</f>
        <v>0</v>
      </c>
    </row>
    <row r="2405" spans="22:23" ht="24.95" customHeight="1" x14ac:dyDescent="0.25">
      <c r="V2405" s="2">
        <f>Таблица1[[#This Row],[Дата перевода]]-Таблица1[[#This Row],[Дата поступления]]</f>
        <v>0</v>
      </c>
      <c r="W2405" s="2">
        <f>Таблица1[[#This Row],[Дата поступления]]-Таблица1[[#This Row],[Дата рождения]]</f>
        <v>0</v>
      </c>
    </row>
    <row r="2406" spans="22:23" ht="24.95" customHeight="1" x14ac:dyDescent="0.25">
      <c r="V2406" s="2">
        <f>Таблица1[[#This Row],[Дата перевода]]-Таблица1[[#This Row],[Дата поступления]]</f>
        <v>0</v>
      </c>
      <c r="W2406" s="2">
        <f>Таблица1[[#This Row],[Дата поступления]]-Таблица1[[#This Row],[Дата рождения]]</f>
        <v>0</v>
      </c>
    </row>
    <row r="2407" spans="22:23" ht="24.95" customHeight="1" x14ac:dyDescent="0.25">
      <c r="V2407" s="2">
        <f>Таблица1[[#This Row],[Дата перевода]]-Таблица1[[#This Row],[Дата поступления]]</f>
        <v>0</v>
      </c>
      <c r="W2407" s="2">
        <f>Таблица1[[#This Row],[Дата поступления]]-Таблица1[[#This Row],[Дата рождения]]</f>
        <v>0</v>
      </c>
    </row>
    <row r="2408" spans="22:23" ht="24.95" customHeight="1" x14ac:dyDescent="0.25">
      <c r="V2408" s="2">
        <f>Таблица1[[#This Row],[Дата перевода]]-Таблица1[[#This Row],[Дата поступления]]</f>
        <v>0</v>
      </c>
      <c r="W2408" s="2">
        <f>Таблица1[[#This Row],[Дата поступления]]-Таблица1[[#This Row],[Дата рождения]]</f>
        <v>0</v>
      </c>
    </row>
    <row r="2409" spans="22:23" ht="24.95" customHeight="1" x14ac:dyDescent="0.25">
      <c r="V2409" s="2">
        <f>Таблица1[[#This Row],[Дата перевода]]-Таблица1[[#This Row],[Дата поступления]]</f>
        <v>0</v>
      </c>
      <c r="W2409" s="2">
        <f>Таблица1[[#This Row],[Дата поступления]]-Таблица1[[#This Row],[Дата рождения]]</f>
        <v>0</v>
      </c>
    </row>
    <row r="2410" spans="22:23" ht="24.95" customHeight="1" x14ac:dyDescent="0.25">
      <c r="V2410" s="2">
        <f>Таблица1[[#This Row],[Дата перевода]]-Таблица1[[#This Row],[Дата поступления]]</f>
        <v>0</v>
      </c>
      <c r="W2410" s="2">
        <f>Таблица1[[#This Row],[Дата поступления]]-Таблица1[[#This Row],[Дата рождения]]</f>
        <v>0</v>
      </c>
    </row>
    <row r="2411" spans="22:23" ht="24.95" customHeight="1" x14ac:dyDescent="0.25">
      <c r="V2411" s="2">
        <f>Таблица1[[#This Row],[Дата перевода]]-Таблица1[[#This Row],[Дата поступления]]</f>
        <v>0</v>
      </c>
      <c r="W2411" s="2">
        <f>Таблица1[[#This Row],[Дата поступления]]-Таблица1[[#This Row],[Дата рождения]]</f>
        <v>0</v>
      </c>
    </row>
    <row r="2412" spans="22:23" ht="24.95" customHeight="1" x14ac:dyDescent="0.25">
      <c r="V2412" s="2">
        <f>Таблица1[[#This Row],[Дата перевода]]-Таблица1[[#This Row],[Дата поступления]]</f>
        <v>0</v>
      </c>
      <c r="W2412" s="2">
        <f>Таблица1[[#This Row],[Дата поступления]]-Таблица1[[#This Row],[Дата рождения]]</f>
        <v>0</v>
      </c>
    </row>
    <row r="2413" spans="22:23" ht="24.95" customHeight="1" x14ac:dyDescent="0.25">
      <c r="V2413" s="2">
        <f>Таблица1[[#This Row],[Дата перевода]]-Таблица1[[#This Row],[Дата поступления]]</f>
        <v>0</v>
      </c>
      <c r="W2413" s="2">
        <f>Таблица1[[#This Row],[Дата поступления]]-Таблица1[[#This Row],[Дата рождения]]</f>
        <v>0</v>
      </c>
    </row>
    <row r="2414" spans="22:23" ht="24.95" customHeight="1" x14ac:dyDescent="0.25">
      <c r="V2414" s="2">
        <f>Таблица1[[#This Row],[Дата перевода]]-Таблица1[[#This Row],[Дата поступления]]</f>
        <v>0</v>
      </c>
      <c r="W2414" s="2">
        <f>Таблица1[[#This Row],[Дата поступления]]-Таблица1[[#This Row],[Дата рождения]]</f>
        <v>0</v>
      </c>
    </row>
    <row r="2415" spans="22:23" ht="24.95" customHeight="1" x14ac:dyDescent="0.25">
      <c r="V2415" s="2">
        <f>Таблица1[[#This Row],[Дата перевода]]-Таблица1[[#This Row],[Дата поступления]]</f>
        <v>0</v>
      </c>
      <c r="W2415" s="2">
        <f>Таблица1[[#This Row],[Дата поступления]]-Таблица1[[#This Row],[Дата рождения]]</f>
        <v>0</v>
      </c>
    </row>
    <row r="2416" spans="22:23" ht="24.95" customHeight="1" x14ac:dyDescent="0.25">
      <c r="V2416" s="2">
        <f>Таблица1[[#This Row],[Дата перевода]]-Таблица1[[#This Row],[Дата поступления]]</f>
        <v>0</v>
      </c>
      <c r="W2416" s="2">
        <f>Таблица1[[#This Row],[Дата поступления]]-Таблица1[[#This Row],[Дата рождения]]</f>
        <v>0</v>
      </c>
    </row>
    <row r="2417" spans="22:23" ht="24.95" customHeight="1" x14ac:dyDescent="0.25">
      <c r="V2417" s="2">
        <f>Таблица1[[#This Row],[Дата перевода]]-Таблица1[[#This Row],[Дата поступления]]</f>
        <v>0</v>
      </c>
      <c r="W2417" s="2">
        <f>Таблица1[[#This Row],[Дата поступления]]-Таблица1[[#This Row],[Дата рождения]]</f>
        <v>0</v>
      </c>
    </row>
    <row r="2418" spans="22:23" ht="24.95" customHeight="1" x14ac:dyDescent="0.25">
      <c r="V2418" s="2">
        <f>Таблица1[[#This Row],[Дата перевода]]-Таблица1[[#This Row],[Дата поступления]]</f>
        <v>0</v>
      </c>
      <c r="W2418" s="2">
        <f>Таблица1[[#This Row],[Дата поступления]]-Таблица1[[#This Row],[Дата рождения]]</f>
        <v>0</v>
      </c>
    </row>
    <row r="2419" spans="22:23" ht="24.95" customHeight="1" x14ac:dyDescent="0.25">
      <c r="V2419" s="2">
        <f>Таблица1[[#This Row],[Дата перевода]]-Таблица1[[#This Row],[Дата поступления]]</f>
        <v>0</v>
      </c>
      <c r="W2419" s="2">
        <f>Таблица1[[#This Row],[Дата поступления]]-Таблица1[[#This Row],[Дата рождения]]</f>
        <v>0</v>
      </c>
    </row>
    <row r="2420" spans="22:23" ht="24.95" customHeight="1" x14ac:dyDescent="0.25">
      <c r="V2420" s="2">
        <f>Таблица1[[#This Row],[Дата перевода]]-Таблица1[[#This Row],[Дата поступления]]</f>
        <v>0</v>
      </c>
      <c r="W2420" s="2">
        <f>Таблица1[[#This Row],[Дата поступления]]-Таблица1[[#This Row],[Дата рождения]]</f>
        <v>0</v>
      </c>
    </row>
    <row r="2421" spans="22:23" ht="24.95" customHeight="1" x14ac:dyDescent="0.25">
      <c r="V2421" s="2">
        <f>Таблица1[[#This Row],[Дата перевода]]-Таблица1[[#This Row],[Дата поступления]]</f>
        <v>0</v>
      </c>
      <c r="W2421" s="2">
        <f>Таблица1[[#This Row],[Дата поступления]]-Таблица1[[#This Row],[Дата рождения]]</f>
        <v>0</v>
      </c>
    </row>
    <row r="2422" spans="22:23" ht="24.95" customHeight="1" x14ac:dyDescent="0.25">
      <c r="V2422" s="2">
        <f>Таблица1[[#This Row],[Дата перевода]]-Таблица1[[#This Row],[Дата поступления]]</f>
        <v>0</v>
      </c>
      <c r="W2422" s="2">
        <f>Таблица1[[#This Row],[Дата поступления]]-Таблица1[[#This Row],[Дата рождения]]</f>
        <v>0</v>
      </c>
    </row>
    <row r="2423" spans="22:23" ht="24.95" customHeight="1" x14ac:dyDescent="0.25">
      <c r="V2423" s="2">
        <f>Таблица1[[#This Row],[Дата перевода]]-Таблица1[[#This Row],[Дата поступления]]</f>
        <v>0</v>
      </c>
      <c r="W2423" s="2">
        <f>Таблица1[[#This Row],[Дата поступления]]-Таблица1[[#This Row],[Дата рождения]]</f>
        <v>0</v>
      </c>
    </row>
    <row r="2424" spans="22:23" ht="24.95" customHeight="1" x14ac:dyDescent="0.25">
      <c r="V2424" s="2">
        <f>Таблица1[[#This Row],[Дата перевода]]-Таблица1[[#This Row],[Дата поступления]]</f>
        <v>0</v>
      </c>
      <c r="W2424" s="2">
        <f>Таблица1[[#This Row],[Дата поступления]]-Таблица1[[#This Row],[Дата рождения]]</f>
        <v>0</v>
      </c>
    </row>
    <row r="2425" spans="22:23" ht="24.95" customHeight="1" x14ac:dyDescent="0.25">
      <c r="V2425" s="2">
        <f>Таблица1[[#This Row],[Дата перевода]]-Таблица1[[#This Row],[Дата поступления]]</f>
        <v>0</v>
      </c>
      <c r="W2425" s="2">
        <f>Таблица1[[#This Row],[Дата поступления]]-Таблица1[[#This Row],[Дата рождения]]</f>
        <v>0</v>
      </c>
    </row>
    <row r="2426" spans="22:23" ht="24.95" customHeight="1" x14ac:dyDescent="0.25">
      <c r="V2426" s="2">
        <f>Таблица1[[#This Row],[Дата перевода]]-Таблица1[[#This Row],[Дата поступления]]</f>
        <v>0</v>
      </c>
      <c r="W2426" s="2">
        <f>Таблица1[[#This Row],[Дата поступления]]-Таблица1[[#This Row],[Дата рождения]]</f>
        <v>0</v>
      </c>
    </row>
    <row r="2427" spans="22:23" ht="24.95" customHeight="1" x14ac:dyDescent="0.25">
      <c r="V2427" s="2">
        <f>Таблица1[[#This Row],[Дата перевода]]-Таблица1[[#This Row],[Дата поступления]]</f>
        <v>0</v>
      </c>
      <c r="W2427" s="2">
        <f>Таблица1[[#This Row],[Дата поступления]]-Таблица1[[#This Row],[Дата рождения]]</f>
        <v>0</v>
      </c>
    </row>
    <row r="2428" spans="22:23" ht="24.95" customHeight="1" x14ac:dyDescent="0.25">
      <c r="V2428" s="2">
        <f>Таблица1[[#This Row],[Дата перевода]]-Таблица1[[#This Row],[Дата поступления]]</f>
        <v>0</v>
      </c>
      <c r="W2428" s="2">
        <f>Таблица1[[#This Row],[Дата поступления]]-Таблица1[[#This Row],[Дата рождения]]</f>
        <v>0</v>
      </c>
    </row>
    <row r="2429" spans="22:23" ht="24.95" customHeight="1" x14ac:dyDescent="0.25">
      <c r="V2429" s="2">
        <f>Таблица1[[#This Row],[Дата перевода]]-Таблица1[[#This Row],[Дата поступления]]</f>
        <v>0</v>
      </c>
      <c r="W2429" s="2">
        <f>Таблица1[[#This Row],[Дата поступления]]-Таблица1[[#This Row],[Дата рождения]]</f>
        <v>0</v>
      </c>
    </row>
    <row r="2430" spans="22:23" ht="24.95" customHeight="1" x14ac:dyDescent="0.25">
      <c r="V2430" s="2">
        <f>Таблица1[[#This Row],[Дата перевода]]-Таблица1[[#This Row],[Дата поступления]]</f>
        <v>0</v>
      </c>
      <c r="W2430" s="2">
        <f>Таблица1[[#This Row],[Дата поступления]]-Таблица1[[#This Row],[Дата рождения]]</f>
        <v>0</v>
      </c>
    </row>
    <row r="2431" spans="22:23" ht="24.95" customHeight="1" x14ac:dyDescent="0.25">
      <c r="V2431" s="2">
        <f>Таблица1[[#This Row],[Дата перевода]]-Таблица1[[#This Row],[Дата поступления]]</f>
        <v>0</v>
      </c>
      <c r="W2431" s="2">
        <f>Таблица1[[#This Row],[Дата поступления]]-Таблица1[[#This Row],[Дата рождения]]</f>
        <v>0</v>
      </c>
    </row>
    <row r="2432" spans="22:23" ht="24.95" customHeight="1" x14ac:dyDescent="0.25">
      <c r="V2432" s="2">
        <f>Таблица1[[#This Row],[Дата перевода]]-Таблица1[[#This Row],[Дата поступления]]</f>
        <v>0</v>
      </c>
      <c r="W2432" s="2">
        <f>Таблица1[[#This Row],[Дата поступления]]-Таблица1[[#This Row],[Дата рождения]]</f>
        <v>0</v>
      </c>
    </row>
    <row r="2433" spans="22:23" ht="24.95" customHeight="1" x14ac:dyDescent="0.25">
      <c r="V2433" s="2">
        <f>Таблица1[[#This Row],[Дата перевода]]-Таблица1[[#This Row],[Дата поступления]]</f>
        <v>0</v>
      </c>
      <c r="W2433" s="2">
        <f>Таблица1[[#This Row],[Дата поступления]]-Таблица1[[#This Row],[Дата рождения]]</f>
        <v>0</v>
      </c>
    </row>
    <row r="2434" spans="22:23" ht="24.95" customHeight="1" x14ac:dyDescent="0.25">
      <c r="V2434" s="2">
        <f>Таблица1[[#This Row],[Дата перевода]]-Таблица1[[#This Row],[Дата поступления]]</f>
        <v>0</v>
      </c>
      <c r="W2434" s="2">
        <f>Таблица1[[#This Row],[Дата поступления]]-Таблица1[[#This Row],[Дата рождения]]</f>
        <v>0</v>
      </c>
    </row>
    <row r="2435" spans="22:23" ht="24.95" customHeight="1" x14ac:dyDescent="0.25">
      <c r="V2435" s="2">
        <f>Таблица1[[#This Row],[Дата перевода]]-Таблица1[[#This Row],[Дата поступления]]</f>
        <v>0</v>
      </c>
      <c r="W2435" s="2">
        <f>Таблица1[[#This Row],[Дата поступления]]-Таблица1[[#This Row],[Дата рождения]]</f>
        <v>0</v>
      </c>
    </row>
    <row r="2436" spans="22:23" ht="24.95" customHeight="1" x14ac:dyDescent="0.25">
      <c r="V2436" s="2">
        <f>Таблица1[[#This Row],[Дата перевода]]-Таблица1[[#This Row],[Дата поступления]]</f>
        <v>0</v>
      </c>
      <c r="W2436" s="2">
        <f>Таблица1[[#This Row],[Дата поступления]]-Таблица1[[#This Row],[Дата рождения]]</f>
        <v>0</v>
      </c>
    </row>
    <row r="2437" spans="22:23" ht="24.95" customHeight="1" x14ac:dyDescent="0.25">
      <c r="V2437" s="2">
        <f>Таблица1[[#This Row],[Дата перевода]]-Таблица1[[#This Row],[Дата поступления]]</f>
        <v>0</v>
      </c>
      <c r="W2437" s="2">
        <f>Таблица1[[#This Row],[Дата поступления]]-Таблица1[[#This Row],[Дата рождения]]</f>
        <v>0</v>
      </c>
    </row>
    <row r="2438" spans="22:23" ht="24.95" customHeight="1" x14ac:dyDescent="0.25">
      <c r="V2438" s="2">
        <f>Таблица1[[#This Row],[Дата перевода]]-Таблица1[[#This Row],[Дата поступления]]</f>
        <v>0</v>
      </c>
      <c r="W2438" s="2">
        <f>Таблица1[[#This Row],[Дата поступления]]-Таблица1[[#This Row],[Дата рождения]]</f>
        <v>0</v>
      </c>
    </row>
    <row r="2439" spans="22:23" ht="24.95" customHeight="1" x14ac:dyDescent="0.25">
      <c r="V2439" s="2">
        <f>Таблица1[[#This Row],[Дата перевода]]-Таблица1[[#This Row],[Дата поступления]]</f>
        <v>0</v>
      </c>
      <c r="W2439" s="2">
        <f>Таблица1[[#This Row],[Дата поступления]]-Таблица1[[#This Row],[Дата рождения]]</f>
        <v>0</v>
      </c>
    </row>
    <row r="2440" spans="22:23" ht="24.95" customHeight="1" x14ac:dyDescent="0.25">
      <c r="V2440" s="2">
        <f>Таблица1[[#This Row],[Дата перевода]]-Таблица1[[#This Row],[Дата поступления]]</f>
        <v>0</v>
      </c>
      <c r="W2440" s="2">
        <f>Таблица1[[#This Row],[Дата поступления]]-Таблица1[[#This Row],[Дата рождения]]</f>
        <v>0</v>
      </c>
    </row>
    <row r="2441" spans="22:23" ht="24.95" customHeight="1" x14ac:dyDescent="0.25">
      <c r="V2441" s="2">
        <f>Таблица1[[#This Row],[Дата перевода]]-Таблица1[[#This Row],[Дата поступления]]</f>
        <v>0</v>
      </c>
      <c r="W2441" s="2">
        <f>Таблица1[[#This Row],[Дата поступления]]-Таблица1[[#This Row],[Дата рождения]]</f>
        <v>0</v>
      </c>
    </row>
    <row r="2442" spans="22:23" ht="24.95" customHeight="1" x14ac:dyDescent="0.25">
      <c r="V2442" s="2">
        <f>Таблица1[[#This Row],[Дата перевода]]-Таблица1[[#This Row],[Дата поступления]]</f>
        <v>0</v>
      </c>
      <c r="W2442" s="2">
        <f>Таблица1[[#This Row],[Дата поступления]]-Таблица1[[#This Row],[Дата рождения]]</f>
        <v>0</v>
      </c>
    </row>
    <row r="2443" spans="22:23" ht="24.95" customHeight="1" x14ac:dyDescent="0.25">
      <c r="V2443" s="2">
        <f>Таблица1[[#This Row],[Дата перевода]]-Таблица1[[#This Row],[Дата поступления]]</f>
        <v>0</v>
      </c>
      <c r="W2443" s="2">
        <f>Таблица1[[#This Row],[Дата поступления]]-Таблица1[[#This Row],[Дата рождения]]</f>
        <v>0</v>
      </c>
    </row>
    <row r="2444" spans="22:23" ht="24.95" customHeight="1" x14ac:dyDescent="0.25">
      <c r="V2444" s="2">
        <f>Таблица1[[#This Row],[Дата перевода]]-Таблица1[[#This Row],[Дата поступления]]</f>
        <v>0</v>
      </c>
      <c r="W2444" s="2">
        <f>Таблица1[[#This Row],[Дата поступления]]-Таблица1[[#This Row],[Дата рождения]]</f>
        <v>0</v>
      </c>
    </row>
    <row r="2445" spans="22:23" ht="24.95" customHeight="1" x14ac:dyDescent="0.25">
      <c r="V2445" s="2">
        <f>Таблица1[[#This Row],[Дата перевода]]-Таблица1[[#This Row],[Дата поступления]]</f>
        <v>0</v>
      </c>
      <c r="W2445" s="2">
        <f>Таблица1[[#This Row],[Дата поступления]]-Таблица1[[#This Row],[Дата рождения]]</f>
        <v>0</v>
      </c>
    </row>
    <row r="2446" spans="22:23" ht="24.95" customHeight="1" x14ac:dyDescent="0.25">
      <c r="V2446" s="2">
        <f>Таблица1[[#This Row],[Дата перевода]]-Таблица1[[#This Row],[Дата поступления]]</f>
        <v>0</v>
      </c>
      <c r="W2446" s="2">
        <f>Таблица1[[#This Row],[Дата поступления]]-Таблица1[[#This Row],[Дата рождения]]</f>
        <v>0</v>
      </c>
    </row>
    <row r="2447" spans="22:23" ht="24.95" customHeight="1" x14ac:dyDescent="0.25">
      <c r="V2447" s="2">
        <f>Таблица1[[#This Row],[Дата перевода]]-Таблица1[[#This Row],[Дата поступления]]</f>
        <v>0</v>
      </c>
      <c r="W2447" s="2">
        <f>Таблица1[[#This Row],[Дата поступления]]-Таблица1[[#This Row],[Дата рождения]]</f>
        <v>0</v>
      </c>
    </row>
    <row r="2448" spans="22:23" ht="24.95" customHeight="1" x14ac:dyDescent="0.25">
      <c r="V2448" s="2">
        <f>Таблица1[[#This Row],[Дата перевода]]-Таблица1[[#This Row],[Дата поступления]]</f>
        <v>0</v>
      </c>
      <c r="W2448" s="2">
        <f>Таблица1[[#This Row],[Дата поступления]]-Таблица1[[#This Row],[Дата рождения]]</f>
        <v>0</v>
      </c>
    </row>
    <row r="2449" spans="22:23" ht="24.95" customHeight="1" x14ac:dyDescent="0.25">
      <c r="V2449" s="2">
        <f>Таблица1[[#This Row],[Дата перевода]]-Таблица1[[#This Row],[Дата поступления]]</f>
        <v>0</v>
      </c>
      <c r="W2449" s="2">
        <f>Таблица1[[#This Row],[Дата поступления]]-Таблица1[[#This Row],[Дата рождения]]</f>
        <v>0</v>
      </c>
    </row>
    <row r="2450" spans="22:23" ht="24.95" customHeight="1" x14ac:dyDescent="0.25">
      <c r="V2450" s="2">
        <f>Таблица1[[#This Row],[Дата перевода]]-Таблица1[[#This Row],[Дата поступления]]</f>
        <v>0</v>
      </c>
      <c r="W2450" s="2">
        <f>Таблица1[[#This Row],[Дата поступления]]-Таблица1[[#This Row],[Дата рождения]]</f>
        <v>0</v>
      </c>
    </row>
    <row r="2451" spans="22:23" ht="24.95" customHeight="1" x14ac:dyDescent="0.25">
      <c r="V2451" s="2">
        <f>Таблица1[[#This Row],[Дата перевода]]-Таблица1[[#This Row],[Дата поступления]]</f>
        <v>0</v>
      </c>
      <c r="W2451" s="2">
        <f>Таблица1[[#This Row],[Дата поступления]]-Таблица1[[#This Row],[Дата рождения]]</f>
        <v>0</v>
      </c>
    </row>
    <row r="2452" spans="22:23" ht="24.95" customHeight="1" x14ac:dyDescent="0.25">
      <c r="V2452" s="2">
        <f>Таблица1[[#This Row],[Дата перевода]]-Таблица1[[#This Row],[Дата поступления]]</f>
        <v>0</v>
      </c>
      <c r="W2452" s="2">
        <f>Таблица1[[#This Row],[Дата поступления]]-Таблица1[[#This Row],[Дата рождения]]</f>
        <v>0</v>
      </c>
    </row>
    <row r="2453" spans="22:23" ht="24.95" customHeight="1" x14ac:dyDescent="0.25">
      <c r="V2453" s="2">
        <f>Таблица1[[#This Row],[Дата перевода]]-Таблица1[[#This Row],[Дата поступления]]</f>
        <v>0</v>
      </c>
      <c r="W2453" s="2">
        <f>Таблица1[[#This Row],[Дата поступления]]-Таблица1[[#This Row],[Дата рождения]]</f>
        <v>0</v>
      </c>
    </row>
    <row r="2454" spans="22:23" ht="24.95" customHeight="1" x14ac:dyDescent="0.25">
      <c r="V2454" s="2">
        <f>Таблица1[[#This Row],[Дата перевода]]-Таблица1[[#This Row],[Дата поступления]]</f>
        <v>0</v>
      </c>
      <c r="W2454" s="2">
        <f>Таблица1[[#This Row],[Дата поступления]]-Таблица1[[#This Row],[Дата рождения]]</f>
        <v>0</v>
      </c>
    </row>
    <row r="2455" spans="22:23" ht="24.95" customHeight="1" x14ac:dyDescent="0.25">
      <c r="V2455" s="2">
        <f>Таблица1[[#This Row],[Дата перевода]]-Таблица1[[#This Row],[Дата поступления]]</f>
        <v>0</v>
      </c>
      <c r="W2455" s="2">
        <f>Таблица1[[#This Row],[Дата поступления]]-Таблица1[[#This Row],[Дата рождения]]</f>
        <v>0</v>
      </c>
    </row>
    <row r="2456" spans="22:23" ht="24.95" customHeight="1" x14ac:dyDescent="0.25">
      <c r="V2456" s="2">
        <f>Таблица1[[#This Row],[Дата перевода]]-Таблица1[[#This Row],[Дата поступления]]</f>
        <v>0</v>
      </c>
      <c r="W2456" s="2">
        <f>Таблица1[[#This Row],[Дата поступления]]-Таблица1[[#This Row],[Дата рождения]]</f>
        <v>0</v>
      </c>
    </row>
    <row r="2457" spans="22:23" ht="24.95" customHeight="1" x14ac:dyDescent="0.25">
      <c r="V2457" s="2">
        <f>Таблица1[[#This Row],[Дата перевода]]-Таблица1[[#This Row],[Дата поступления]]</f>
        <v>0</v>
      </c>
      <c r="W2457" s="2">
        <f>Таблица1[[#This Row],[Дата поступления]]-Таблица1[[#This Row],[Дата рождения]]</f>
        <v>0</v>
      </c>
    </row>
    <row r="2458" spans="22:23" ht="24.95" customHeight="1" x14ac:dyDescent="0.25">
      <c r="V2458" s="2">
        <f>Таблица1[[#This Row],[Дата перевода]]-Таблица1[[#This Row],[Дата поступления]]</f>
        <v>0</v>
      </c>
      <c r="W2458" s="2">
        <f>Таблица1[[#This Row],[Дата поступления]]-Таблица1[[#This Row],[Дата рождения]]</f>
        <v>0</v>
      </c>
    </row>
    <row r="2459" spans="22:23" ht="24.95" customHeight="1" x14ac:dyDescent="0.25">
      <c r="V2459" s="2">
        <f>Таблица1[[#This Row],[Дата перевода]]-Таблица1[[#This Row],[Дата поступления]]</f>
        <v>0</v>
      </c>
      <c r="W2459" s="2">
        <f>Таблица1[[#This Row],[Дата поступления]]-Таблица1[[#This Row],[Дата рождения]]</f>
        <v>0</v>
      </c>
    </row>
    <row r="2460" spans="22:23" ht="24.95" customHeight="1" x14ac:dyDescent="0.25">
      <c r="V2460" s="2">
        <f>Таблица1[[#This Row],[Дата перевода]]-Таблица1[[#This Row],[Дата поступления]]</f>
        <v>0</v>
      </c>
      <c r="W2460" s="2">
        <f>Таблица1[[#This Row],[Дата поступления]]-Таблица1[[#This Row],[Дата рождения]]</f>
        <v>0</v>
      </c>
    </row>
    <row r="2461" spans="22:23" ht="24.95" customHeight="1" x14ac:dyDescent="0.25">
      <c r="V2461" s="2">
        <f>Таблица1[[#This Row],[Дата перевода]]-Таблица1[[#This Row],[Дата поступления]]</f>
        <v>0</v>
      </c>
      <c r="W2461" s="2">
        <f>Таблица1[[#This Row],[Дата поступления]]-Таблица1[[#This Row],[Дата рождения]]</f>
        <v>0</v>
      </c>
    </row>
    <row r="2462" spans="22:23" ht="24.95" customHeight="1" x14ac:dyDescent="0.25">
      <c r="V2462" s="2">
        <f>Таблица1[[#This Row],[Дата перевода]]-Таблица1[[#This Row],[Дата поступления]]</f>
        <v>0</v>
      </c>
      <c r="W2462" s="2">
        <f>Таблица1[[#This Row],[Дата поступления]]-Таблица1[[#This Row],[Дата рождения]]</f>
        <v>0</v>
      </c>
    </row>
    <row r="2463" spans="22:23" ht="24.95" customHeight="1" x14ac:dyDescent="0.25">
      <c r="V2463" s="2">
        <f>Таблица1[[#This Row],[Дата перевода]]-Таблица1[[#This Row],[Дата поступления]]</f>
        <v>0</v>
      </c>
      <c r="W2463" s="2">
        <f>Таблица1[[#This Row],[Дата поступления]]-Таблица1[[#This Row],[Дата рождения]]</f>
        <v>0</v>
      </c>
    </row>
    <row r="2464" spans="22:23" ht="24.95" customHeight="1" x14ac:dyDescent="0.25">
      <c r="V2464" s="2">
        <f>Таблица1[[#This Row],[Дата перевода]]-Таблица1[[#This Row],[Дата поступления]]</f>
        <v>0</v>
      </c>
      <c r="W2464" s="2">
        <f>Таблица1[[#This Row],[Дата поступления]]-Таблица1[[#This Row],[Дата рождения]]</f>
        <v>0</v>
      </c>
    </row>
    <row r="2465" spans="22:23" ht="24.95" customHeight="1" x14ac:dyDescent="0.25">
      <c r="V2465" s="2">
        <f>Таблица1[[#This Row],[Дата перевода]]-Таблица1[[#This Row],[Дата поступления]]</f>
        <v>0</v>
      </c>
      <c r="W2465" s="2">
        <f>Таблица1[[#This Row],[Дата поступления]]-Таблица1[[#This Row],[Дата рождения]]</f>
        <v>0</v>
      </c>
    </row>
    <row r="2466" spans="22:23" ht="24.95" customHeight="1" x14ac:dyDescent="0.25">
      <c r="V2466" s="2">
        <f>Таблица1[[#This Row],[Дата перевода]]-Таблица1[[#This Row],[Дата поступления]]</f>
        <v>0</v>
      </c>
      <c r="W2466" s="2">
        <f>Таблица1[[#This Row],[Дата поступления]]-Таблица1[[#This Row],[Дата рождения]]</f>
        <v>0</v>
      </c>
    </row>
    <row r="2467" spans="22:23" ht="24.95" customHeight="1" x14ac:dyDescent="0.25">
      <c r="V2467" s="2">
        <f>Таблица1[[#This Row],[Дата перевода]]-Таблица1[[#This Row],[Дата поступления]]</f>
        <v>0</v>
      </c>
      <c r="W2467" s="2">
        <f>Таблица1[[#This Row],[Дата поступления]]-Таблица1[[#This Row],[Дата рождения]]</f>
        <v>0</v>
      </c>
    </row>
    <row r="2468" spans="22:23" ht="24.95" customHeight="1" x14ac:dyDescent="0.25">
      <c r="V2468" s="2">
        <f>Таблица1[[#This Row],[Дата перевода]]-Таблица1[[#This Row],[Дата поступления]]</f>
        <v>0</v>
      </c>
      <c r="W2468" s="2">
        <f>Таблица1[[#This Row],[Дата поступления]]-Таблица1[[#This Row],[Дата рождения]]</f>
        <v>0</v>
      </c>
    </row>
    <row r="2469" spans="22:23" ht="24.95" customHeight="1" x14ac:dyDescent="0.25">
      <c r="V2469" s="2">
        <f>Таблица1[[#This Row],[Дата перевода]]-Таблица1[[#This Row],[Дата поступления]]</f>
        <v>0</v>
      </c>
      <c r="W2469" s="2">
        <f>Таблица1[[#This Row],[Дата поступления]]-Таблица1[[#This Row],[Дата рождения]]</f>
        <v>0</v>
      </c>
    </row>
    <row r="2470" spans="22:23" ht="24.95" customHeight="1" x14ac:dyDescent="0.25">
      <c r="V2470" s="2">
        <f>Таблица1[[#This Row],[Дата перевода]]-Таблица1[[#This Row],[Дата поступления]]</f>
        <v>0</v>
      </c>
      <c r="W2470" s="2">
        <f>Таблица1[[#This Row],[Дата поступления]]-Таблица1[[#This Row],[Дата рождения]]</f>
        <v>0</v>
      </c>
    </row>
    <row r="2471" spans="22:23" ht="24.95" customHeight="1" x14ac:dyDescent="0.25">
      <c r="V2471" s="2">
        <f>Таблица1[[#This Row],[Дата перевода]]-Таблица1[[#This Row],[Дата поступления]]</f>
        <v>0</v>
      </c>
      <c r="W2471" s="2">
        <f>Таблица1[[#This Row],[Дата поступления]]-Таблица1[[#This Row],[Дата рождения]]</f>
        <v>0</v>
      </c>
    </row>
    <row r="2472" spans="22:23" ht="24.95" customHeight="1" x14ac:dyDescent="0.25">
      <c r="V2472" s="2">
        <f>Таблица1[[#This Row],[Дата перевода]]-Таблица1[[#This Row],[Дата поступления]]</f>
        <v>0</v>
      </c>
      <c r="W2472" s="2">
        <f>Таблица1[[#This Row],[Дата поступления]]-Таблица1[[#This Row],[Дата рождения]]</f>
        <v>0</v>
      </c>
    </row>
    <row r="2473" spans="22:23" ht="24.95" customHeight="1" x14ac:dyDescent="0.25">
      <c r="V2473" s="2">
        <f>Таблица1[[#This Row],[Дата перевода]]-Таблица1[[#This Row],[Дата поступления]]</f>
        <v>0</v>
      </c>
      <c r="W2473" s="2">
        <f>Таблица1[[#This Row],[Дата поступления]]-Таблица1[[#This Row],[Дата рождения]]</f>
        <v>0</v>
      </c>
    </row>
    <row r="2474" spans="22:23" ht="24.95" customHeight="1" x14ac:dyDescent="0.25">
      <c r="V2474" s="2">
        <f>Таблица1[[#This Row],[Дата перевода]]-Таблица1[[#This Row],[Дата поступления]]</f>
        <v>0</v>
      </c>
      <c r="W2474" s="2">
        <f>Таблица1[[#This Row],[Дата поступления]]-Таблица1[[#This Row],[Дата рождения]]</f>
        <v>0</v>
      </c>
    </row>
    <row r="2475" spans="22:23" ht="24.95" customHeight="1" x14ac:dyDescent="0.25">
      <c r="V2475" s="2">
        <f>Таблица1[[#This Row],[Дата перевода]]-Таблица1[[#This Row],[Дата поступления]]</f>
        <v>0</v>
      </c>
      <c r="W2475" s="2">
        <f>Таблица1[[#This Row],[Дата поступления]]-Таблица1[[#This Row],[Дата рождения]]</f>
        <v>0</v>
      </c>
    </row>
    <row r="2476" spans="22:23" ht="24.95" customHeight="1" x14ac:dyDescent="0.25">
      <c r="V2476" s="2">
        <f>Таблица1[[#This Row],[Дата перевода]]-Таблица1[[#This Row],[Дата поступления]]</f>
        <v>0</v>
      </c>
      <c r="W2476" s="2">
        <f>Таблица1[[#This Row],[Дата поступления]]-Таблица1[[#This Row],[Дата рождения]]</f>
        <v>0</v>
      </c>
    </row>
    <row r="2477" spans="22:23" ht="24.95" customHeight="1" x14ac:dyDescent="0.25">
      <c r="V2477" s="2">
        <f>Таблица1[[#This Row],[Дата перевода]]-Таблица1[[#This Row],[Дата поступления]]</f>
        <v>0</v>
      </c>
      <c r="W2477" s="2">
        <f>Таблица1[[#This Row],[Дата поступления]]-Таблица1[[#This Row],[Дата рождения]]</f>
        <v>0</v>
      </c>
    </row>
    <row r="2478" spans="22:23" ht="24.95" customHeight="1" x14ac:dyDescent="0.25">
      <c r="V2478" s="2">
        <f>Таблица1[[#This Row],[Дата перевода]]-Таблица1[[#This Row],[Дата поступления]]</f>
        <v>0</v>
      </c>
      <c r="W2478" s="2">
        <f>Таблица1[[#This Row],[Дата поступления]]-Таблица1[[#This Row],[Дата рождения]]</f>
        <v>0</v>
      </c>
    </row>
    <row r="2479" spans="22:23" ht="24.95" customHeight="1" x14ac:dyDescent="0.25">
      <c r="V2479" s="2">
        <f>Таблица1[[#This Row],[Дата перевода]]-Таблица1[[#This Row],[Дата поступления]]</f>
        <v>0</v>
      </c>
      <c r="W2479" s="2">
        <f>Таблица1[[#This Row],[Дата поступления]]-Таблица1[[#This Row],[Дата рождения]]</f>
        <v>0</v>
      </c>
    </row>
    <row r="2480" spans="22:23" ht="24.95" customHeight="1" x14ac:dyDescent="0.25">
      <c r="V2480" s="2">
        <f>Таблица1[[#This Row],[Дата перевода]]-Таблица1[[#This Row],[Дата поступления]]</f>
        <v>0</v>
      </c>
      <c r="W2480" s="2">
        <f>Таблица1[[#This Row],[Дата поступления]]-Таблица1[[#This Row],[Дата рождения]]</f>
        <v>0</v>
      </c>
    </row>
    <row r="2481" spans="22:23" ht="24.95" customHeight="1" x14ac:dyDescent="0.25">
      <c r="V2481" s="2">
        <f>Таблица1[[#This Row],[Дата перевода]]-Таблица1[[#This Row],[Дата поступления]]</f>
        <v>0</v>
      </c>
      <c r="W2481" s="2">
        <f>Таблица1[[#This Row],[Дата поступления]]-Таблица1[[#This Row],[Дата рождения]]</f>
        <v>0</v>
      </c>
    </row>
    <row r="2482" spans="22:23" ht="24.95" customHeight="1" x14ac:dyDescent="0.25">
      <c r="V2482" s="2">
        <f>Таблица1[[#This Row],[Дата перевода]]-Таблица1[[#This Row],[Дата поступления]]</f>
        <v>0</v>
      </c>
      <c r="W2482" s="2">
        <f>Таблица1[[#This Row],[Дата поступления]]-Таблица1[[#This Row],[Дата рождения]]</f>
        <v>0</v>
      </c>
    </row>
    <row r="2483" spans="22:23" ht="24.95" customHeight="1" x14ac:dyDescent="0.25">
      <c r="V2483" s="2">
        <f>Таблица1[[#This Row],[Дата перевода]]-Таблица1[[#This Row],[Дата поступления]]</f>
        <v>0</v>
      </c>
      <c r="W2483" s="2">
        <f>Таблица1[[#This Row],[Дата поступления]]-Таблица1[[#This Row],[Дата рождения]]</f>
        <v>0</v>
      </c>
    </row>
    <row r="2484" spans="22:23" ht="24.95" customHeight="1" x14ac:dyDescent="0.25">
      <c r="V2484" s="2">
        <f>Таблица1[[#This Row],[Дата перевода]]-Таблица1[[#This Row],[Дата поступления]]</f>
        <v>0</v>
      </c>
      <c r="W2484" s="2">
        <f>Таблица1[[#This Row],[Дата поступления]]-Таблица1[[#This Row],[Дата рождения]]</f>
        <v>0</v>
      </c>
    </row>
    <row r="2485" spans="22:23" ht="24.95" customHeight="1" x14ac:dyDescent="0.25">
      <c r="V2485" s="2">
        <f>Таблица1[[#This Row],[Дата перевода]]-Таблица1[[#This Row],[Дата поступления]]</f>
        <v>0</v>
      </c>
      <c r="W2485" s="2">
        <f>Таблица1[[#This Row],[Дата поступления]]-Таблица1[[#This Row],[Дата рождения]]</f>
        <v>0</v>
      </c>
    </row>
    <row r="2486" spans="22:23" ht="24.95" customHeight="1" x14ac:dyDescent="0.25">
      <c r="V2486" s="2">
        <f>Таблица1[[#This Row],[Дата перевода]]-Таблица1[[#This Row],[Дата поступления]]</f>
        <v>0</v>
      </c>
      <c r="W2486" s="2">
        <f>Таблица1[[#This Row],[Дата поступления]]-Таблица1[[#This Row],[Дата рождения]]</f>
        <v>0</v>
      </c>
    </row>
    <row r="2487" spans="22:23" ht="24.95" customHeight="1" x14ac:dyDescent="0.25">
      <c r="V2487" s="2">
        <f>Таблица1[[#This Row],[Дата перевода]]-Таблица1[[#This Row],[Дата поступления]]</f>
        <v>0</v>
      </c>
      <c r="W2487" s="2">
        <f>Таблица1[[#This Row],[Дата поступления]]-Таблица1[[#This Row],[Дата рождения]]</f>
        <v>0</v>
      </c>
    </row>
    <row r="2488" spans="22:23" ht="24.95" customHeight="1" x14ac:dyDescent="0.25">
      <c r="V2488" s="2">
        <f>Таблица1[[#This Row],[Дата перевода]]-Таблица1[[#This Row],[Дата поступления]]</f>
        <v>0</v>
      </c>
      <c r="W2488" s="2">
        <f>Таблица1[[#This Row],[Дата поступления]]-Таблица1[[#This Row],[Дата рождения]]</f>
        <v>0</v>
      </c>
    </row>
    <row r="2489" spans="22:23" ht="24.95" customHeight="1" x14ac:dyDescent="0.25">
      <c r="V2489" s="2">
        <f>Таблица1[[#This Row],[Дата перевода]]-Таблица1[[#This Row],[Дата поступления]]</f>
        <v>0</v>
      </c>
      <c r="W2489" s="2">
        <f>Таблица1[[#This Row],[Дата поступления]]-Таблица1[[#This Row],[Дата рождения]]</f>
        <v>0</v>
      </c>
    </row>
    <row r="2490" spans="22:23" ht="24.95" customHeight="1" x14ac:dyDescent="0.25">
      <c r="V2490" s="2">
        <f>Таблица1[[#This Row],[Дата перевода]]-Таблица1[[#This Row],[Дата поступления]]</f>
        <v>0</v>
      </c>
      <c r="W2490" s="2">
        <f>Таблица1[[#This Row],[Дата поступления]]-Таблица1[[#This Row],[Дата рождения]]</f>
        <v>0</v>
      </c>
    </row>
    <row r="2491" spans="22:23" ht="24.95" customHeight="1" x14ac:dyDescent="0.25">
      <c r="V2491" s="2">
        <f>Таблица1[[#This Row],[Дата перевода]]-Таблица1[[#This Row],[Дата поступления]]</f>
        <v>0</v>
      </c>
      <c r="W2491" s="2">
        <f>Таблица1[[#This Row],[Дата поступления]]-Таблица1[[#This Row],[Дата рождения]]</f>
        <v>0</v>
      </c>
    </row>
    <row r="2492" spans="22:23" ht="24.95" customHeight="1" x14ac:dyDescent="0.25">
      <c r="V2492" s="2">
        <f>Таблица1[[#This Row],[Дата перевода]]-Таблица1[[#This Row],[Дата поступления]]</f>
        <v>0</v>
      </c>
      <c r="W2492" s="2">
        <f>Таблица1[[#This Row],[Дата поступления]]-Таблица1[[#This Row],[Дата рождения]]</f>
        <v>0</v>
      </c>
    </row>
    <row r="2493" spans="22:23" ht="24.95" customHeight="1" x14ac:dyDescent="0.25">
      <c r="V2493" s="2">
        <f>Таблица1[[#This Row],[Дата перевода]]-Таблица1[[#This Row],[Дата поступления]]</f>
        <v>0</v>
      </c>
      <c r="W2493" s="2">
        <f>Таблица1[[#This Row],[Дата поступления]]-Таблица1[[#This Row],[Дата рождения]]</f>
        <v>0</v>
      </c>
    </row>
    <row r="2494" spans="22:23" ht="24.95" customHeight="1" x14ac:dyDescent="0.25">
      <c r="V2494" s="2">
        <f>Таблица1[[#This Row],[Дата перевода]]-Таблица1[[#This Row],[Дата поступления]]</f>
        <v>0</v>
      </c>
      <c r="W2494" s="2">
        <f>Таблица1[[#This Row],[Дата поступления]]-Таблица1[[#This Row],[Дата рождения]]</f>
        <v>0</v>
      </c>
    </row>
    <row r="2495" spans="22:23" ht="24.95" customHeight="1" x14ac:dyDescent="0.25">
      <c r="V2495" s="2">
        <f>Таблица1[[#This Row],[Дата перевода]]-Таблица1[[#This Row],[Дата поступления]]</f>
        <v>0</v>
      </c>
      <c r="W2495" s="2">
        <f>Таблица1[[#This Row],[Дата поступления]]-Таблица1[[#This Row],[Дата рождения]]</f>
        <v>0</v>
      </c>
    </row>
    <row r="2496" spans="22:23" ht="24.95" customHeight="1" x14ac:dyDescent="0.25">
      <c r="V2496" s="2">
        <f>Таблица1[[#This Row],[Дата перевода]]-Таблица1[[#This Row],[Дата поступления]]</f>
        <v>0</v>
      </c>
      <c r="W2496" s="2">
        <f>Таблица1[[#This Row],[Дата поступления]]-Таблица1[[#This Row],[Дата рождения]]</f>
        <v>0</v>
      </c>
    </row>
    <row r="2497" spans="22:23" ht="24.95" customHeight="1" x14ac:dyDescent="0.25">
      <c r="V2497" s="2">
        <f>Таблица1[[#This Row],[Дата перевода]]-Таблица1[[#This Row],[Дата поступления]]</f>
        <v>0</v>
      </c>
      <c r="W2497" s="2">
        <f>Таблица1[[#This Row],[Дата поступления]]-Таблица1[[#This Row],[Дата рождения]]</f>
        <v>0</v>
      </c>
    </row>
    <row r="2498" spans="22:23" ht="24.95" customHeight="1" x14ac:dyDescent="0.25">
      <c r="V2498" s="2">
        <f>Таблица1[[#This Row],[Дата перевода]]-Таблица1[[#This Row],[Дата поступления]]</f>
        <v>0</v>
      </c>
      <c r="W2498" s="2">
        <f>Таблица1[[#This Row],[Дата поступления]]-Таблица1[[#This Row],[Дата рождения]]</f>
        <v>0</v>
      </c>
    </row>
    <row r="2499" spans="22:23" ht="24.95" customHeight="1" x14ac:dyDescent="0.25">
      <c r="V2499" s="2">
        <f>Таблица1[[#This Row],[Дата перевода]]-Таблица1[[#This Row],[Дата поступления]]</f>
        <v>0</v>
      </c>
      <c r="W2499" s="2">
        <f>Таблица1[[#This Row],[Дата поступления]]-Таблица1[[#This Row],[Дата рождения]]</f>
        <v>0</v>
      </c>
    </row>
    <row r="2500" spans="22:23" ht="24.95" customHeight="1" x14ac:dyDescent="0.25">
      <c r="V2500" s="2">
        <f>Таблица1[[#This Row],[Дата перевода]]-Таблица1[[#This Row],[Дата поступления]]</f>
        <v>0</v>
      </c>
      <c r="W2500" s="2">
        <f>Таблица1[[#This Row],[Дата поступления]]-Таблица1[[#This Row],[Дата рождения]]</f>
        <v>0</v>
      </c>
    </row>
    <row r="2501" spans="22:23" ht="24.95" customHeight="1" x14ac:dyDescent="0.25">
      <c r="V2501" s="2">
        <f>Таблица1[[#This Row],[Дата перевода]]-Таблица1[[#This Row],[Дата поступления]]</f>
        <v>0</v>
      </c>
      <c r="W2501" s="2">
        <f>Таблица1[[#This Row],[Дата поступления]]-Таблица1[[#This Row],[Дата рождения]]</f>
        <v>0</v>
      </c>
    </row>
    <row r="2502" spans="22:23" ht="24.95" customHeight="1" x14ac:dyDescent="0.25">
      <c r="V2502" s="2">
        <f>Таблица1[[#This Row],[Дата перевода]]-Таблица1[[#This Row],[Дата поступления]]</f>
        <v>0</v>
      </c>
      <c r="W2502" s="2">
        <f>Таблица1[[#This Row],[Дата поступления]]-Таблица1[[#This Row],[Дата рождения]]</f>
        <v>0</v>
      </c>
    </row>
    <row r="2503" spans="22:23" ht="24.95" customHeight="1" x14ac:dyDescent="0.25">
      <c r="V2503" s="2">
        <f>Таблица1[[#This Row],[Дата перевода]]-Таблица1[[#This Row],[Дата поступления]]</f>
        <v>0</v>
      </c>
      <c r="W2503" s="2">
        <f>Таблица1[[#This Row],[Дата поступления]]-Таблица1[[#This Row],[Дата рождения]]</f>
        <v>0</v>
      </c>
    </row>
    <row r="2504" spans="22:23" ht="24.95" customHeight="1" x14ac:dyDescent="0.25">
      <c r="V2504" s="2">
        <f>Таблица1[[#This Row],[Дата перевода]]-Таблица1[[#This Row],[Дата поступления]]</f>
        <v>0</v>
      </c>
      <c r="W2504" s="2">
        <f>Таблица1[[#This Row],[Дата поступления]]-Таблица1[[#This Row],[Дата рождения]]</f>
        <v>0</v>
      </c>
    </row>
    <row r="2505" spans="22:23" ht="24.95" customHeight="1" x14ac:dyDescent="0.25">
      <c r="V2505" s="2">
        <f>Таблица1[[#This Row],[Дата перевода]]-Таблица1[[#This Row],[Дата поступления]]</f>
        <v>0</v>
      </c>
      <c r="W2505" s="2">
        <f>Таблица1[[#This Row],[Дата поступления]]-Таблица1[[#This Row],[Дата рождения]]</f>
        <v>0</v>
      </c>
    </row>
    <row r="2506" spans="22:23" ht="24.95" customHeight="1" x14ac:dyDescent="0.25">
      <c r="V2506" s="2">
        <f>Таблица1[[#This Row],[Дата перевода]]-Таблица1[[#This Row],[Дата поступления]]</f>
        <v>0</v>
      </c>
      <c r="W2506" s="2">
        <f>Таблица1[[#This Row],[Дата поступления]]-Таблица1[[#This Row],[Дата рождения]]</f>
        <v>0</v>
      </c>
    </row>
    <row r="2507" spans="22:23" ht="24.95" customHeight="1" x14ac:dyDescent="0.25">
      <c r="V2507" s="2">
        <f>Таблица1[[#This Row],[Дата перевода]]-Таблица1[[#This Row],[Дата поступления]]</f>
        <v>0</v>
      </c>
      <c r="W2507" s="2">
        <f>Таблица1[[#This Row],[Дата поступления]]-Таблица1[[#This Row],[Дата рождения]]</f>
        <v>0</v>
      </c>
    </row>
    <row r="2508" spans="22:23" ht="24.95" customHeight="1" x14ac:dyDescent="0.25">
      <c r="V2508" s="2">
        <f>Таблица1[[#This Row],[Дата перевода]]-Таблица1[[#This Row],[Дата поступления]]</f>
        <v>0</v>
      </c>
      <c r="W2508" s="2">
        <f>Таблица1[[#This Row],[Дата поступления]]-Таблица1[[#This Row],[Дата рождения]]</f>
        <v>0</v>
      </c>
    </row>
    <row r="2509" spans="22:23" ht="24.95" customHeight="1" x14ac:dyDescent="0.25">
      <c r="V2509" s="2">
        <f>Таблица1[[#This Row],[Дата перевода]]-Таблица1[[#This Row],[Дата поступления]]</f>
        <v>0</v>
      </c>
      <c r="W2509" s="2">
        <f>Таблица1[[#This Row],[Дата поступления]]-Таблица1[[#This Row],[Дата рождения]]</f>
        <v>0</v>
      </c>
    </row>
    <row r="2510" spans="22:23" ht="24.95" customHeight="1" x14ac:dyDescent="0.25">
      <c r="V2510" s="2">
        <f>Таблица1[[#This Row],[Дата перевода]]-Таблица1[[#This Row],[Дата поступления]]</f>
        <v>0</v>
      </c>
      <c r="W2510" s="2">
        <f>Таблица1[[#This Row],[Дата поступления]]-Таблица1[[#This Row],[Дата рождения]]</f>
        <v>0</v>
      </c>
    </row>
    <row r="2511" spans="22:23" ht="24.95" customHeight="1" x14ac:dyDescent="0.25">
      <c r="V2511" s="2" t="e">
        <f>Таблица1[[#This Row],[Дата перевода]]-Таблица1[[#This Row],[Дата поступления]]</f>
        <v>#VALUE!</v>
      </c>
      <c r="W2511" s="2" t="e">
        <f>Таблица1[[#This Row],[Дата поступления]]-Таблица1[[#This Row],[Дата рождения]]</f>
        <v>#VALUE!</v>
      </c>
    </row>
    <row r="2512" spans="22:23" ht="24.95" customHeight="1" x14ac:dyDescent="0.25">
      <c r="V2512" s="2"/>
      <c r="W2512" s="2"/>
    </row>
    <row r="2513" spans="22:23" ht="24.95" customHeight="1" x14ac:dyDescent="0.25">
      <c r="V2513" s="2"/>
      <c r="W2513" s="2"/>
    </row>
    <row r="2514" spans="22:23" ht="24.95" customHeight="1" x14ac:dyDescent="0.25">
      <c r="V2514" s="2"/>
      <c r="W2514" s="2"/>
    </row>
  </sheetData>
  <pageMargins left="0.7" right="0.7" top="0.75" bottom="0.75" header="0.3" footer="0.3"/>
  <pageSetup paperSize="9" orientation="portrait" verticalDpi="0" r:id="rId1"/>
  <ignoredErrors>
    <ignoredError sqref="F2:F8 H2:H12 J8:J9 L6:L7 D2:D8 D9 B2:B6 F9 H13 J2:J6 J7 L3:L5 L8 N3:N9 P3:P4 B14" calculatedColumn="1"/>
    <ignoredError sqref="T4 R5" formula="1"/>
  </ignoredError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election activeCell="B22" sqref="B22"/>
    </sheetView>
  </sheetViews>
  <sheetFormatPr defaultRowHeight="15" x14ac:dyDescent="0.25"/>
  <cols>
    <col min="1" max="1" width="51" customWidth="1"/>
  </cols>
  <sheetData>
    <row r="1" spans="1:13" x14ac:dyDescent="0.25">
      <c r="A1" s="1" t="s">
        <v>39</v>
      </c>
      <c r="B1" s="1" t="s">
        <v>14</v>
      </c>
      <c r="C1" s="1"/>
      <c r="D1" s="1"/>
      <c r="E1" s="1"/>
      <c r="I1" s="1"/>
      <c r="J1" s="1"/>
      <c r="K1" s="1"/>
      <c r="L1" s="1"/>
      <c r="M1" s="1"/>
    </row>
    <row r="2" spans="1:13" x14ac:dyDescent="0.25">
      <c r="A2" s="1" t="s">
        <v>40</v>
      </c>
      <c r="B2">
        <f>COUNTIF(Лист1!L:L,"=Инфекционные и паразитарные болезни")</f>
        <v>0</v>
      </c>
    </row>
    <row r="3" spans="1:13" x14ac:dyDescent="0.25">
      <c r="A3" s="1" t="s">
        <v>41</v>
      </c>
      <c r="B3">
        <f>COUNTIF(Лист1!L:L,"=Новообразования")</f>
        <v>0</v>
      </c>
    </row>
    <row r="4" spans="1:13" x14ac:dyDescent="0.25">
      <c r="A4" s="1" t="s">
        <v>42</v>
      </c>
      <c r="B4">
        <f>COUNTIF(Лист1!L:L,"=Болезни крови и кроветворных органов")</f>
        <v>0</v>
      </c>
    </row>
    <row r="5" spans="1:13" ht="25.5" x14ac:dyDescent="0.25">
      <c r="A5" s="1" t="s">
        <v>43</v>
      </c>
      <c r="B5">
        <f>COUNTIF(Лист1!L:L,"=Болезни эндокринной системы и нарушения обмена веществ")</f>
        <v>0</v>
      </c>
    </row>
    <row r="6" spans="1:13" x14ac:dyDescent="0.25">
      <c r="A6" s="1" t="s">
        <v>44</v>
      </c>
      <c r="B6">
        <f>COUNTIF(Лист1!L:L,"=Психические расстройства")</f>
        <v>0</v>
      </c>
    </row>
    <row r="7" spans="1:13" x14ac:dyDescent="0.25">
      <c r="A7" s="1" t="s">
        <v>45</v>
      </c>
      <c r="B7">
        <f>COUNTIF(Лист1!L:L,"=Ретинопатии")</f>
        <v>0</v>
      </c>
    </row>
    <row r="8" spans="1:13" x14ac:dyDescent="0.25">
      <c r="A8" s="1" t="s">
        <v>46</v>
      </c>
      <c r="B8">
        <f>COUNTIF(Лист1!L:L,"=Болезни нервной системы и органов чувств")</f>
        <v>0</v>
      </c>
    </row>
    <row r="9" spans="1:13" x14ac:dyDescent="0.25">
      <c r="A9" s="1" t="s">
        <v>47</v>
      </c>
      <c r="B9">
        <f>COUNTIF(Лист1!L:L,"=Болезни системы кровообращения")</f>
        <v>0</v>
      </c>
    </row>
    <row r="10" spans="1:13" x14ac:dyDescent="0.25">
      <c r="A10" s="1" t="s">
        <v>48</v>
      </c>
      <c r="B10">
        <f>COUNTIF(Лист1!L:L,"=Болезни органов дыхания")</f>
        <v>0</v>
      </c>
    </row>
    <row r="11" spans="1:13" x14ac:dyDescent="0.25">
      <c r="A11" s="1" t="s">
        <v>49</v>
      </c>
      <c r="B11">
        <f>COUNTIF(Лист1!L:L,"=Болезни органов пищеварения")</f>
        <v>0</v>
      </c>
    </row>
    <row r="12" spans="1:13" x14ac:dyDescent="0.25">
      <c r="A12" s="1" t="s">
        <v>50</v>
      </c>
      <c r="B12">
        <f>COUNTIF(Лист1!L:L,"=Болезни мочеполовой системы")</f>
        <v>0</v>
      </c>
    </row>
    <row r="13" spans="1:13" x14ac:dyDescent="0.25">
      <c r="A13" s="1" t="s">
        <v>51</v>
      </c>
      <c r="B13">
        <f>COUNTIF(Лист1!L:L,"=Болезни костно-мышечного аппарата")</f>
        <v>0</v>
      </c>
    </row>
    <row r="14" spans="1:13" x14ac:dyDescent="0.25">
      <c r="A14" s="1" t="s">
        <v>52</v>
      </c>
      <c r="B14">
        <f>COUNTIF(Лист1!L:L,"=Травма сочетанная и изолированная")</f>
        <v>0</v>
      </c>
    </row>
    <row r="15" spans="1:13" x14ac:dyDescent="0.25">
      <c r="A15" s="1" t="s">
        <v>53</v>
      </c>
      <c r="B15">
        <f>COUNTIF(Лист1!L:L,"=Флегмоны, абсцессы и другие повреждения мягких тканей")</f>
        <v>0</v>
      </c>
    </row>
    <row r="16" spans="1:13" x14ac:dyDescent="0.25">
      <c r="A16" s="1" t="s">
        <v>54</v>
      </c>
      <c r="B16">
        <f>COUNTIF(Лист1!L:L,"=Ожоговая травма")</f>
        <v>0</v>
      </c>
    </row>
    <row r="17" spans="1:2" x14ac:dyDescent="0.25">
      <c r="A17" s="1" t="s">
        <v>55</v>
      </c>
      <c r="B17">
        <f>COUNTIF(Лист1!L:L,"=Отравления")</f>
        <v>0</v>
      </c>
    </row>
    <row r="18" spans="1:2" x14ac:dyDescent="0.25">
      <c r="A18" s="1" t="s">
        <v>56</v>
      </c>
      <c r="B18">
        <f>COUNTIF(Лист1!L:L,"=Пороки и врождённые аномалии развития")</f>
        <v>0</v>
      </c>
    </row>
    <row r="19" spans="1:2" x14ac:dyDescent="0.25">
      <c r="A19" s="1" t="s">
        <v>57</v>
      </c>
      <c r="B19">
        <f>COUNTIF(Лист2!W:W,"&lt;=28")-COUNTIF(Лист2!W:W,"=0")</f>
        <v>20</v>
      </c>
    </row>
    <row r="20" spans="1:2" x14ac:dyDescent="0.25">
      <c r="A20" s="1" t="s">
        <v>58</v>
      </c>
      <c r="B20">
        <f>COUNTIF(Лист2!W:W,"&lt;1825")-COUNTIF(Лист2!W:W,"&lt;=28")</f>
        <v>191</v>
      </c>
    </row>
    <row r="21" spans="1:2" x14ac:dyDescent="0.25">
      <c r="A21" s="1" t="s">
        <v>59</v>
      </c>
      <c r="B21">
        <f>COUNTIF(Лист2!W:W,"&lt;4380")-COUNTIF(Лист2!W:W,"&lt;1825")</f>
        <v>123</v>
      </c>
    </row>
    <row r="22" spans="1:2" x14ac:dyDescent="0.25">
      <c r="A22" s="1" t="s">
        <v>60</v>
      </c>
      <c r="B22">
        <f>COUNTIF(Лист2!W:W,"&lt;=6575")-COUNTIF(Лист2!W:W,"&lt;4380")</f>
        <v>231</v>
      </c>
    </row>
    <row r="23" spans="1:2" x14ac:dyDescent="0.25">
      <c r="A23" s="1" t="s">
        <v>76</v>
      </c>
      <c r="B23" s="5">
        <f>SUM(B2:B18)</f>
        <v>0</v>
      </c>
    </row>
  </sheetData>
  <pageMargins left="0.7" right="0.7" top="0.75" bottom="0.75" header="0.3" footer="0.3"/>
  <pageSetup paperSize="9" orientation="portrait" verticalDpi="0" r:id="rId1"/>
  <ignoredErrors>
    <ignoredError sqref="B2:B23" calculatedColumn="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13</vt:i4>
      </vt:variant>
    </vt:vector>
  </HeadingPairs>
  <TitlesOfParts>
    <vt:vector size="16" baseType="lpstr">
      <vt:lpstr>Лист1</vt:lpstr>
      <vt:lpstr>Лист2</vt:lpstr>
      <vt:lpstr>Лист3</vt:lpstr>
      <vt:lpstr>Доставлен_СМП</vt:lpstr>
      <vt:lpstr>Из_других_больниц</vt:lpstr>
      <vt:lpstr>Из_операционной</vt:lpstr>
      <vt:lpstr>Из_профильных_отделений</vt:lpstr>
      <vt:lpstr>Из_родильных_домов</vt:lpstr>
      <vt:lpstr>Канал_поступления</vt:lpstr>
      <vt:lpstr>Категории_диагнозов</vt:lpstr>
      <vt:lpstr>Куда_переведён</vt:lpstr>
      <vt:lpstr>Манипуляции</vt:lpstr>
      <vt:lpstr>Отделения</vt:lpstr>
      <vt:lpstr>Повторное_поступление</vt:lpstr>
      <vt:lpstr>Самотёком</vt:lpstr>
      <vt:lpstr>Трансфузии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2024-01-08T06:13:20Z</dcterms:modified>
</cp:coreProperties>
</file>