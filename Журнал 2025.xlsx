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Журналы\"/>
    </mc:Choice>
  </mc:AlternateContent>
  <xr:revisionPtr revIDLastSave="0" documentId="13_ncr:1_{B129B67A-9D06-420D-8B3E-763A193646A8}" xr6:coauthVersionLast="45" xr6:coauthVersionMax="45" xr10:uidLastSave="{00000000-0000-0000-0000-000000000000}"/>
  <bookViews>
    <workbookView xWindow="-120" yWindow="-120" windowWidth="25440" windowHeight="15390" tabRatio="500" xr2:uid="{00000000-000D-0000-FFFF-FFFF00000000}"/>
  </bookViews>
  <sheets>
    <sheet name="Лист1" sheetId="1" r:id="rId1"/>
    <sheet name="Лист2" sheetId="4" r:id="rId2"/>
    <sheet name="Лист3" sheetId="5" r:id="rId3"/>
  </sheets>
  <externalReferences>
    <externalReference r:id="rId4"/>
  </externalReferences>
  <definedNames>
    <definedName name="в">[1]Лист2!$G$2:$G$9</definedName>
    <definedName name="Доставлен_СМП">Лист2!$F$16:$F$23</definedName>
    <definedName name="Из_других_больниц">Лист2!$J$16:$J$23</definedName>
    <definedName name="Из_операционной">Лист2!$G$16:$G$23</definedName>
    <definedName name="Из_профильных_отделений">Лист2!$I$16:$I$23</definedName>
    <definedName name="Из_родильных_домов">Лист2!$L$16:$L$23</definedName>
    <definedName name="Канал_поступления">Лист2!$E$2:$E$8</definedName>
    <definedName name="Категории_диагнозов">Лист3!$A$2:$A$18</definedName>
    <definedName name="Куда_переведён">Лист2!$G$2:$G$12</definedName>
    <definedName name="Манипуляции">Лист2!$Y$2:$Y$13</definedName>
    <definedName name="Отделения">Лист2!$G$2:$G$9</definedName>
    <definedName name="Повторное_поступление">Лист2!$K$16:$K$23</definedName>
    <definedName name="Самотёком">Лист2!$M$16:$M$23</definedName>
    <definedName name="Трансфузии">Лист2!$Q$2:$Q$8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37" i="1" l="1"/>
  <c r="H442" i="1"/>
  <c r="H391" i="1" l="1"/>
  <c r="A368" i="1" l="1"/>
  <c r="V368" i="1"/>
  <c r="V322" i="1" l="1"/>
  <c r="V308" i="1" l="1"/>
  <c r="H288" i="1" l="1"/>
  <c r="H281" i="1"/>
  <c r="H256" i="1" l="1"/>
  <c r="V205" i="1" l="1"/>
  <c r="H205" i="1"/>
  <c r="B18" i="5" l="1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W2511" i="4"/>
  <c r="V2511" i="4"/>
  <c r="W2510" i="4"/>
  <c r="V2510" i="4"/>
  <c r="W2509" i="4"/>
  <c r="V2509" i="4"/>
  <c r="W2508" i="4"/>
  <c r="V2508" i="4"/>
  <c r="W2507" i="4"/>
  <c r="V2507" i="4"/>
  <c r="W2506" i="4"/>
  <c r="V2506" i="4"/>
  <c r="W2505" i="4"/>
  <c r="V2505" i="4"/>
  <c r="W2504" i="4"/>
  <c r="V2504" i="4"/>
  <c r="W2503" i="4"/>
  <c r="V2503" i="4"/>
  <c r="W2502" i="4"/>
  <c r="V2502" i="4"/>
  <c r="W2501" i="4"/>
  <c r="V2501" i="4"/>
  <c r="W2500" i="4"/>
  <c r="V2500" i="4"/>
  <c r="W2499" i="4"/>
  <c r="V2499" i="4"/>
  <c r="W2498" i="4"/>
  <c r="V2498" i="4"/>
  <c r="W2497" i="4"/>
  <c r="V2497" i="4"/>
  <c r="W2496" i="4"/>
  <c r="V2496" i="4"/>
  <c r="W2495" i="4"/>
  <c r="V2495" i="4"/>
  <c r="W2494" i="4"/>
  <c r="V2494" i="4"/>
  <c r="W2493" i="4"/>
  <c r="V2493" i="4"/>
  <c r="W2492" i="4"/>
  <c r="V2492" i="4"/>
  <c r="W2491" i="4"/>
  <c r="V2491" i="4"/>
  <c r="W2490" i="4"/>
  <c r="V2490" i="4"/>
  <c r="W2489" i="4"/>
  <c r="V2489" i="4"/>
  <c r="W2488" i="4"/>
  <c r="V2488" i="4"/>
  <c r="W2487" i="4"/>
  <c r="V2487" i="4"/>
  <c r="W2486" i="4"/>
  <c r="V2486" i="4"/>
  <c r="W2485" i="4"/>
  <c r="V2485" i="4"/>
  <c r="W2484" i="4"/>
  <c r="V2484" i="4"/>
  <c r="W2483" i="4"/>
  <c r="V2483" i="4"/>
  <c r="W2482" i="4"/>
  <c r="V2482" i="4"/>
  <c r="W2481" i="4"/>
  <c r="V2481" i="4"/>
  <c r="W2480" i="4"/>
  <c r="V2480" i="4"/>
  <c r="W2479" i="4"/>
  <c r="V2479" i="4"/>
  <c r="W2478" i="4"/>
  <c r="V2478" i="4"/>
  <c r="W2477" i="4"/>
  <c r="V2477" i="4"/>
  <c r="W2476" i="4"/>
  <c r="V2476" i="4"/>
  <c r="W2475" i="4"/>
  <c r="V2475" i="4"/>
  <c r="W2474" i="4"/>
  <c r="V2474" i="4"/>
  <c r="W2473" i="4"/>
  <c r="V2473" i="4"/>
  <c r="W2472" i="4"/>
  <c r="V2472" i="4"/>
  <c r="W2471" i="4"/>
  <c r="V2471" i="4"/>
  <c r="W2470" i="4"/>
  <c r="V2470" i="4"/>
  <c r="W2469" i="4"/>
  <c r="V2469" i="4"/>
  <c r="W2468" i="4"/>
  <c r="V2468" i="4"/>
  <c r="W2467" i="4"/>
  <c r="V2467" i="4"/>
  <c r="W2466" i="4"/>
  <c r="V2466" i="4"/>
  <c r="W2465" i="4"/>
  <c r="V2465" i="4"/>
  <c r="W2464" i="4"/>
  <c r="V2464" i="4"/>
  <c r="W2463" i="4"/>
  <c r="V2463" i="4"/>
  <c r="W2462" i="4"/>
  <c r="V2462" i="4"/>
  <c r="W2461" i="4"/>
  <c r="V2461" i="4"/>
  <c r="W2460" i="4"/>
  <c r="V2460" i="4"/>
  <c r="W2459" i="4"/>
  <c r="V2459" i="4"/>
  <c r="W2458" i="4"/>
  <c r="V2458" i="4"/>
  <c r="W2457" i="4"/>
  <c r="V2457" i="4"/>
  <c r="W2456" i="4"/>
  <c r="V2456" i="4"/>
  <c r="W2455" i="4"/>
  <c r="V2455" i="4"/>
  <c r="W2454" i="4"/>
  <c r="V2454" i="4"/>
  <c r="W2453" i="4"/>
  <c r="V2453" i="4"/>
  <c r="W2452" i="4"/>
  <c r="V2452" i="4"/>
  <c r="W2451" i="4"/>
  <c r="V2451" i="4"/>
  <c r="W2450" i="4"/>
  <c r="V2450" i="4"/>
  <c r="W2449" i="4"/>
  <c r="V2449" i="4"/>
  <c r="W2448" i="4"/>
  <c r="V2448" i="4"/>
  <c r="W2447" i="4"/>
  <c r="V2447" i="4"/>
  <c r="W2446" i="4"/>
  <c r="V2446" i="4"/>
  <c r="W2445" i="4"/>
  <c r="V2445" i="4"/>
  <c r="W2444" i="4"/>
  <c r="V2444" i="4"/>
  <c r="W2443" i="4"/>
  <c r="V2443" i="4"/>
  <c r="W2442" i="4"/>
  <c r="V2442" i="4"/>
  <c r="W2441" i="4"/>
  <c r="V2441" i="4"/>
  <c r="W2440" i="4"/>
  <c r="V2440" i="4"/>
  <c r="W2439" i="4"/>
  <c r="V2439" i="4"/>
  <c r="W2438" i="4"/>
  <c r="V2438" i="4"/>
  <c r="W2437" i="4"/>
  <c r="V2437" i="4"/>
  <c r="W2436" i="4"/>
  <c r="V2436" i="4"/>
  <c r="W2435" i="4"/>
  <c r="V2435" i="4"/>
  <c r="W2434" i="4"/>
  <c r="V2434" i="4"/>
  <c r="W2433" i="4"/>
  <c r="V2433" i="4"/>
  <c r="W2432" i="4"/>
  <c r="V2432" i="4"/>
  <c r="W2431" i="4"/>
  <c r="V2431" i="4"/>
  <c r="W2430" i="4"/>
  <c r="V2430" i="4"/>
  <c r="W2429" i="4"/>
  <c r="V2429" i="4"/>
  <c r="W2428" i="4"/>
  <c r="V2428" i="4"/>
  <c r="W2427" i="4"/>
  <c r="V2427" i="4"/>
  <c r="W2426" i="4"/>
  <c r="V2426" i="4"/>
  <c r="W2425" i="4"/>
  <c r="V2425" i="4"/>
  <c r="W2424" i="4"/>
  <c r="V2424" i="4"/>
  <c r="W2423" i="4"/>
  <c r="V2423" i="4"/>
  <c r="W2422" i="4"/>
  <c r="V2422" i="4"/>
  <c r="W2421" i="4"/>
  <c r="V2421" i="4"/>
  <c r="W2420" i="4"/>
  <c r="V2420" i="4"/>
  <c r="W2419" i="4"/>
  <c r="V2419" i="4"/>
  <c r="W2418" i="4"/>
  <c r="V2418" i="4"/>
  <c r="W2417" i="4"/>
  <c r="V2417" i="4"/>
  <c r="W2416" i="4"/>
  <c r="V2416" i="4"/>
  <c r="W2415" i="4"/>
  <c r="V2415" i="4"/>
  <c r="W2414" i="4"/>
  <c r="V2414" i="4"/>
  <c r="W2413" i="4"/>
  <c r="V2413" i="4"/>
  <c r="W2412" i="4"/>
  <c r="V2412" i="4"/>
  <c r="W2411" i="4"/>
  <c r="V2411" i="4"/>
  <c r="W2410" i="4"/>
  <c r="V2410" i="4"/>
  <c r="W2409" i="4"/>
  <c r="V2409" i="4"/>
  <c r="W2408" i="4"/>
  <c r="V2408" i="4"/>
  <c r="W2407" i="4"/>
  <c r="V2407" i="4"/>
  <c r="W2406" i="4"/>
  <c r="V2406" i="4"/>
  <c r="W2405" i="4"/>
  <c r="V2405" i="4"/>
  <c r="W2404" i="4"/>
  <c r="V2404" i="4"/>
  <c r="W2403" i="4"/>
  <c r="V2403" i="4"/>
  <c r="W2402" i="4"/>
  <c r="V2402" i="4"/>
  <c r="W2401" i="4"/>
  <c r="V2401" i="4"/>
  <c r="W2400" i="4"/>
  <c r="V2400" i="4"/>
  <c r="W2399" i="4"/>
  <c r="V2399" i="4"/>
  <c r="W2398" i="4"/>
  <c r="V2398" i="4"/>
  <c r="W2397" i="4"/>
  <c r="V2397" i="4"/>
  <c r="W2396" i="4"/>
  <c r="V2396" i="4"/>
  <c r="W2395" i="4"/>
  <c r="V2395" i="4"/>
  <c r="W2394" i="4"/>
  <c r="V2394" i="4"/>
  <c r="W2393" i="4"/>
  <c r="V2393" i="4"/>
  <c r="W2392" i="4"/>
  <c r="V2392" i="4"/>
  <c r="W2391" i="4"/>
  <c r="V2391" i="4"/>
  <c r="W2390" i="4"/>
  <c r="V2390" i="4"/>
  <c r="W2389" i="4"/>
  <c r="V2389" i="4"/>
  <c r="W2388" i="4"/>
  <c r="V2388" i="4"/>
  <c r="W2387" i="4"/>
  <c r="V2387" i="4"/>
  <c r="W2386" i="4"/>
  <c r="V2386" i="4"/>
  <c r="W2385" i="4"/>
  <c r="V2385" i="4"/>
  <c r="W2384" i="4"/>
  <c r="V2384" i="4"/>
  <c r="W2383" i="4"/>
  <c r="V2383" i="4"/>
  <c r="W2382" i="4"/>
  <c r="V2382" i="4"/>
  <c r="W2381" i="4"/>
  <c r="V2381" i="4"/>
  <c r="W2380" i="4"/>
  <c r="V2380" i="4"/>
  <c r="W2379" i="4"/>
  <c r="V2379" i="4"/>
  <c r="W2378" i="4"/>
  <c r="V2378" i="4"/>
  <c r="W2377" i="4"/>
  <c r="V2377" i="4"/>
  <c r="W2376" i="4"/>
  <c r="V2376" i="4"/>
  <c r="W2375" i="4"/>
  <c r="V2375" i="4"/>
  <c r="W2374" i="4"/>
  <c r="V2374" i="4"/>
  <c r="W2373" i="4"/>
  <c r="V2373" i="4"/>
  <c r="W2372" i="4"/>
  <c r="V2372" i="4"/>
  <c r="W2371" i="4"/>
  <c r="V2371" i="4"/>
  <c r="W2370" i="4"/>
  <c r="V2370" i="4"/>
  <c r="W2369" i="4"/>
  <c r="V2369" i="4"/>
  <c r="W2368" i="4"/>
  <c r="V2368" i="4"/>
  <c r="W2367" i="4"/>
  <c r="V2367" i="4"/>
  <c r="W2366" i="4"/>
  <c r="V2366" i="4"/>
  <c r="W2365" i="4"/>
  <c r="V2365" i="4"/>
  <c r="W2364" i="4"/>
  <c r="V2364" i="4"/>
  <c r="W2363" i="4"/>
  <c r="V2363" i="4"/>
  <c r="W2362" i="4"/>
  <c r="V2362" i="4"/>
  <c r="W2361" i="4"/>
  <c r="V2361" i="4"/>
  <c r="W2360" i="4"/>
  <c r="V2360" i="4"/>
  <c r="W2359" i="4"/>
  <c r="V2359" i="4"/>
  <c r="W2358" i="4"/>
  <c r="V2358" i="4"/>
  <c r="W2357" i="4"/>
  <c r="V2357" i="4"/>
  <c r="W2356" i="4"/>
  <c r="V2356" i="4"/>
  <c r="W2355" i="4"/>
  <c r="V2355" i="4"/>
  <c r="W2354" i="4"/>
  <c r="V2354" i="4"/>
  <c r="W2353" i="4"/>
  <c r="V2353" i="4"/>
  <c r="W2352" i="4"/>
  <c r="V2352" i="4"/>
  <c r="W2351" i="4"/>
  <c r="V2351" i="4"/>
  <c r="W2350" i="4"/>
  <c r="V2350" i="4"/>
  <c r="W2349" i="4"/>
  <c r="V2349" i="4"/>
  <c r="W2348" i="4"/>
  <c r="V2348" i="4"/>
  <c r="W2347" i="4"/>
  <c r="V2347" i="4"/>
  <c r="W2346" i="4"/>
  <c r="V2346" i="4"/>
  <c r="W2345" i="4"/>
  <c r="V2345" i="4"/>
  <c r="W2344" i="4"/>
  <c r="V2344" i="4"/>
  <c r="W2343" i="4"/>
  <c r="V2343" i="4"/>
  <c r="W2342" i="4"/>
  <c r="V2342" i="4"/>
  <c r="W2341" i="4"/>
  <c r="V2341" i="4"/>
  <c r="W2340" i="4"/>
  <c r="V2340" i="4"/>
  <c r="W2339" i="4"/>
  <c r="V2339" i="4"/>
  <c r="W2338" i="4"/>
  <c r="V2338" i="4"/>
  <c r="W2337" i="4"/>
  <c r="V2337" i="4"/>
  <c r="W2336" i="4"/>
  <c r="V2336" i="4"/>
  <c r="W2335" i="4"/>
  <c r="V2335" i="4"/>
  <c r="W2334" i="4"/>
  <c r="V2334" i="4"/>
  <c r="W2333" i="4"/>
  <c r="V2333" i="4"/>
  <c r="W2332" i="4"/>
  <c r="V2332" i="4"/>
  <c r="W2331" i="4"/>
  <c r="V2331" i="4"/>
  <c r="W2330" i="4"/>
  <c r="V2330" i="4"/>
  <c r="W2329" i="4"/>
  <c r="V2329" i="4"/>
  <c r="W2328" i="4"/>
  <c r="V2328" i="4"/>
  <c r="W2327" i="4"/>
  <c r="V2327" i="4"/>
  <c r="W2326" i="4"/>
  <c r="V2326" i="4"/>
  <c r="W2325" i="4"/>
  <c r="V2325" i="4"/>
  <c r="W2324" i="4"/>
  <c r="V2324" i="4"/>
  <c r="W2323" i="4"/>
  <c r="V2323" i="4"/>
  <c r="W2322" i="4"/>
  <c r="V2322" i="4"/>
  <c r="W2321" i="4"/>
  <c r="V2321" i="4"/>
  <c r="W2320" i="4"/>
  <c r="V2320" i="4"/>
  <c r="W2319" i="4"/>
  <c r="V2319" i="4"/>
  <c r="W2318" i="4"/>
  <c r="V2318" i="4"/>
  <c r="W2317" i="4"/>
  <c r="V2317" i="4"/>
  <c r="W2316" i="4"/>
  <c r="V2316" i="4"/>
  <c r="W2315" i="4"/>
  <c r="V2315" i="4"/>
  <c r="W2314" i="4"/>
  <c r="V2314" i="4"/>
  <c r="W2313" i="4"/>
  <c r="V2313" i="4"/>
  <c r="W2312" i="4"/>
  <c r="V2312" i="4"/>
  <c r="W2311" i="4"/>
  <c r="V2311" i="4"/>
  <c r="W2310" i="4"/>
  <c r="V2310" i="4"/>
  <c r="W2309" i="4"/>
  <c r="V2309" i="4"/>
  <c r="W2308" i="4"/>
  <c r="V2308" i="4"/>
  <c r="W2307" i="4"/>
  <c r="V2307" i="4"/>
  <c r="W2306" i="4"/>
  <c r="V2306" i="4"/>
  <c r="W2305" i="4"/>
  <c r="V2305" i="4"/>
  <c r="W2304" i="4"/>
  <c r="V2304" i="4"/>
  <c r="W2303" i="4"/>
  <c r="V2303" i="4"/>
  <c r="W2302" i="4"/>
  <c r="V2302" i="4"/>
  <c r="W2301" i="4"/>
  <c r="V2301" i="4"/>
  <c r="W2300" i="4"/>
  <c r="V2300" i="4"/>
  <c r="W2299" i="4"/>
  <c r="V2299" i="4"/>
  <c r="W2298" i="4"/>
  <c r="V2298" i="4"/>
  <c r="W2297" i="4"/>
  <c r="V2297" i="4"/>
  <c r="W2296" i="4"/>
  <c r="V2296" i="4"/>
  <c r="W2295" i="4"/>
  <c r="V2295" i="4"/>
  <c r="W2294" i="4"/>
  <c r="V2294" i="4"/>
  <c r="W2293" i="4"/>
  <c r="V2293" i="4"/>
  <c r="W2292" i="4"/>
  <c r="V2292" i="4"/>
  <c r="W2291" i="4"/>
  <c r="V2291" i="4"/>
  <c r="W2290" i="4"/>
  <c r="V2290" i="4"/>
  <c r="W2289" i="4"/>
  <c r="V2289" i="4"/>
  <c r="W2288" i="4"/>
  <c r="V2288" i="4"/>
  <c r="W2287" i="4"/>
  <c r="V2287" i="4"/>
  <c r="W2286" i="4"/>
  <c r="V2286" i="4"/>
  <c r="W2285" i="4"/>
  <c r="V2285" i="4"/>
  <c r="W2284" i="4"/>
  <c r="V2284" i="4"/>
  <c r="W2283" i="4"/>
  <c r="V2283" i="4"/>
  <c r="W2282" i="4"/>
  <c r="V2282" i="4"/>
  <c r="W2281" i="4"/>
  <c r="V2281" i="4"/>
  <c r="W2280" i="4"/>
  <c r="V2280" i="4"/>
  <c r="W2279" i="4"/>
  <c r="V2279" i="4"/>
  <c r="W2278" i="4"/>
  <c r="V2278" i="4"/>
  <c r="W2277" i="4"/>
  <c r="V2277" i="4"/>
  <c r="W2276" i="4"/>
  <c r="V2276" i="4"/>
  <c r="W2275" i="4"/>
  <c r="V2275" i="4"/>
  <c r="W2274" i="4"/>
  <c r="V2274" i="4"/>
  <c r="W2273" i="4"/>
  <c r="V2273" i="4"/>
  <c r="W2272" i="4"/>
  <c r="V2272" i="4"/>
  <c r="W2271" i="4"/>
  <c r="V2271" i="4"/>
  <c r="W2270" i="4"/>
  <c r="V2270" i="4"/>
  <c r="W2269" i="4"/>
  <c r="V2269" i="4"/>
  <c r="W2268" i="4"/>
  <c r="V2268" i="4"/>
  <c r="W2267" i="4"/>
  <c r="V2267" i="4"/>
  <c r="W2266" i="4"/>
  <c r="V2266" i="4"/>
  <c r="W2265" i="4"/>
  <c r="V2265" i="4"/>
  <c r="W2264" i="4"/>
  <c r="V2264" i="4"/>
  <c r="W2263" i="4"/>
  <c r="V2263" i="4"/>
  <c r="W2262" i="4"/>
  <c r="V2262" i="4"/>
  <c r="W2261" i="4"/>
  <c r="V2261" i="4"/>
  <c r="W2260" i="4"/>
  <c r="V2260" i="4"/>
  <c r="W2259" i="4"/>
  <c r="V2259" i="4"/>
  <c r="W2258" i="4"/>
  <c r="V2258" i="4"/>
  <c r="W2257" i="4"/>
  <c r="V2257" i="4"/>
  <c r="W2256" i="4"/>
  <c r="V2256" i="4"/>
  <c r="W2255" i="4"/>
  <c r="V2255" i="4"/>
  <c r="W2254" i="4"/>
  <c r="V2254" i="4"/>
  <c r="W2253" i="4"/>
  <c r="V2253" i="4"/>
  <c r="W2252" i="4"/>
  <c r="V2252" i="4"/>
  <c r="W2251" i="4"/>
  <c r="V2251" i="4"/>
  <c r="W2250" i="4"/>
  <c r="V2250" i="4"/>
  <c r="W2249" i="4"/>
  <c r="V2249" i="4"/>
  <c r="W2248" i="4"/>
  <c r="V2248" i="4"/>
  <c r="W2247" i="4"/>
  <c r="V2247" i="4"/>
  <c r="W2246" i="4"/>
  <c r="V2246" i="4"/>
  <c r="W2245" i="4"/>
  <c r="V2245" i="4"/>
  <c r="W2244" i="4"/>
  <c r="V2244" i="4"/>
  <c r="W2243" i="4"/>
  <c r="V2243" i="4"/>
  <c r="W2242" i="4"/>
  <c r="V2242" i="4"/>
  <c r="W2241" i="4"/>
  <c r="V2241" i="4"/>
  <c r="W2240" i="4"/>
  <c r="V2240" i="4"/>
  <c r="W2239" i="4"/>
  <c r="V2239" i="4"/>
  <c r="W2238" i="4"/>
  <c r="V2238" i="4"/>
  <c r="W2237" i="4"/>
  <c r="V2237" i="4"/>
  <c r="W2236" i="4"/>
  <c r="V2236" i="4"/>
  <c r="W2235" i="4"/>
  <c r="V2235" i="4"/>
  <c r="W2234" i="4"/>
  <c r="V2234" i="4"/>
  <c r="W2233" i="4"/>
  <c r="V2233" i="4"/>
  <c r="W2232" i="4"/>
  <c r="V2232" i="4"/>
  <c r="W2231" i="4"/>
  <c r="V2231" i="4"/>
  <c r="W2230" i="4"/>
  <c r="V2230" i="4"/>
  <c r="W2229" i="4"/>
  <c r="V2229" i="4"/>
  <c r="W2228" i="4"/>
  <c r="V2228" i="4"/>
  <c r="W2227" i="4"/>
  <c r="V2227" i="4"/>
  <c r="W2226" i="4"/>
  <c r="V2226" i="4"/>
  <c r="W2225" i="4"/>
  <c r="V2225" i="4"/>
  <c r="W2224" i="4"/>
  <c r="V2224" i="4"/>
  <c r="W2223" i="4"/>
  <c r="V2223" i="4"/>
  <c r="W2222" i="4"/>
  <c r="V2222" i="4"/>
  <c r="W2221" i="4"/>
  <c r="V2221" i="4"/>
  <c r="W2220" i="4"/>
  <c r="V2220" i="4"/>
  <c r="W2219" i="4"/>
  <c r="V2219" i="4"/>
  <c r="W2218" i="4"/>
  <c r="V2218" i="4"/>
  <c r="W2217" i="4"/>
  <c r="V2217" i="4"/>
  <c r="W2216" i="4"/>
  <c r="V2216" i="4"/>
  <c r="W2215" i="4"/>
  <c r="V2215" i="4"/>
  <c r="W2214" i="4"/>
  <c r="V2214" i="4"/>
  <c r="W2213" i="4"/>
  <c r="V2213" i="4"/>
  <c r="W2212" i="4"/>
  <c r="V2212" i="4"/>
  <c r="W2211" i="4"/>
  <c r="V2211" i="4"/>
  <c r="W2210" i="4"/>
  <c r="V2210" i="4"/>
  <c r="W2209" i="4"/>
  <c r="V2209" i="4"/>
  <c r="W2208" i="4"/>
  <c r="V2208" i="4"/>
  <c r="W2207" i="4"/>
  <c r="V2207" i="4"/>
  <c r="W2206" i="4"/>
  <c r="V2206" i="4"/>
  <c r="W2205" i="4"/>
  <c r="V2205" i="4"/>
  <c r="W2204" i="4"/>
  <c r="V2204" i="4"/>
  <c r="W2203" i="4"/>
  <c r="V2203" i="4"/>
  <c r="W2202" i="4"/>
  <c r="V2202" i="4"/>
  <c r="W2201" i="4"/>
  <c r="V2201" i="4"/>
  <c r="W2200" i="4"/>
  <c r="V2200" i="4"/>
  <c r="W2199" i="4"/>
  <c r="V2199" i="4"/>
  <c r="W2198" i="4"/>
  <c r="V2198" i="4"/>
  <c r="W2197" i="4"/>
  <c r="V2197" i="4"/>
  <c r="W2196" i="4"/>
  <c r="V2196" i="4"/>
  <c r="W2195" i="4"/>
  <c r="V2195" i="4"/>
  <c r="W2194" i="4"/>
  <c r="V2194" i="4"/>
  <c r="W2193" i="4"/>
  <c r="V2193" i="4"/>
  <c r="W2192" i="4"/>
  <c r="V2192" i="4"/>
  <c r="W2191" i="4"/>
  <c r="V2191" i="4"/>
  <c r="W2190" i="4"/>
  <c r="V2190" i="4"/>
  <c r="W2189" i="4"/>
  <c r="V2189" i="4"/>
  <c r="W2188" i="4"/>
  <c r="V2188" i="4"/>
  <c r="W2187" i="4"/>
  <c r="V2187" i="4"/>
  <c r="W2186" i="4"/>
  <c r="V2186" i="4"/>
  <c r="W2185" i="4"/>
  <c r="V2185" i="4"/>
  <c r="W2184" i="4"/>
  <c r="V2184" i="4"/>
  <c r="W2183" i="4"/>
  <c r="V2183" i="4"/>
  <c r="W2182" i="4"/>
  <c r="V2182" i="4"/>
  <c r="W2181" i="4"/>
  <c r="V2181" i="4"/>
  <c r="W2180" i="4"/>
  <c r="V2180" i="4"/>
  <c r="W2179" i="4"/>
  <c r="V2179" i="4"/>
  <c r="W2178" i="4"/>
  <c r="V2178" i="4"/>
  <c r="W2177" i="4"/>
  <c r="V2177" i="4"/>
  <c r="W2176" i="4"/>
  <c r="V2176" i="4"/>
  <c r="W2175" i="4"/>
  <c r="V2175" i="4"/>
  <c r="W2174" i="4"/>
  <c r="V2174" i="4"/>
  <c r="W2173" i="4"/>
  <c r="V2173" i="4"/>
  <c r="W2172" i="4"/>
  <c r="V2172" i="4"/>
  <c r="W2171" i="4"/>
  <c r="V2171" i="4"/>
  <c r="W2170" i="4"/>
  <c r="V2170" i="4"/>
  <c r="W2169" i="4"/>
  <c r="V2169" i="4"/>
  <c r="W2168" i="4"/>
  <c r="V2168" i="4"/>
  <c r="W2167" i="4"/>
  <c r="V2167" i="4"/>
  <c r="W2166" i="4"/>
  <c r="V2166" i="4"/>
  <c r="W2165" i="4"/>
  <c r="V2165" i="4"/>
  <c r="W2164" i="4"/>
  <c r="V2164" i="4"/>
  <c r="W2163" i="4"/>
  <c r="V2163" i="4"/>
  <c r="W2162" i="4"/>
  <c r="V2162" i="4"/>
  <c r="W2161" i="4"/>
  <c r="V2161" i="4"/>
  <c r="W2160" i="4"/>
  <c r="V2160" i="4"/>
  <c r="W2159" i="4"/>
  <c r="V2159" i="4"/>
  <c r="W2158" i="4"/>
  <c r="V2158" i="4"/>
  <c r="W2157" i="4"/>
  <c r="V2157" i="4"/>
  <c r="W2156" i="4"/>
  <c r="V2156" i="4"/>
  <c r="W2155" i="4"/>
  <c r="V2155" i="4"/>
  <c r="W2154" i="4"/>
  <c r="V2154" i="4"/>
  <c r="W2153" i="4"/>
  <c r="V2153" i="4"/>
  <c r="W2152" i="4"/>
  <c r="V2152" i="4"/>
  <c r="W2151" i="4"/>
  <c r="V2151" i="4"/>
  <c r="W2150" i="4"/>
  <c r="V2150" i="4"/>
  <c r="W2149" i="4"/>
  <c r="V2149" i="4"/>
  <c r="W2148" i="4"/>
  <c r="V2148" i="4"/>
  <c r="W2147" i="4"/>
  <c r="V2147" i="4"/>
  <c r="W2146" i="4"/>
  <c r="V2146" i="4"/>
  <c r="W2145" i="4"/>
  <c r="V2145" i="4"/>
  <c r="W2144" i="4"/>
  <c r="V2144" i="4"/>
  <c r="W2143" i="4"/>
  <c r="V2143" i="4"/>
  <c r="W2142" i="4"/>
  <c r="V2142" i="4"/>
  <c r="W2141" i="4"/>
  <c r="V2141" i="4"/>
  <c r="W2140" i="4"/>
  <c r="V2140" i="4"/>
  <c r="W2139" i="4"/>
  <c r="V2139" i="4"/>
  <c r="W2138" i="4"/>
  <c r="V2138" i="4"/>
  <c r="W2137" i="4"/>
  <c r="V2137" i="4"/>
  <c r="W2136" i="4"/>
  <c r="V2136" i="4"/>
  <c r="W2135" i="4"/>
  <c r="V2135" i="4"/>
  <c r="W2134" i="4"/>
  <c r="V2134" i="4"/>
  <c r="W2133" i="4"/>
  <c r="V2133" i="4"/>
  <c r="W2132" i="4"/>
  <c r="V2132" i="4"/>
  <c r="W2131" i="4"/>
  <c r="V2131" i="4"/>
  <c r="W2130" i="4"/>
  <c r="V2130" i="4"/>
  <c r="W2129" i="4"/>
  <c r="V2129" i="4"/>
  <c r="W2128" i="4"/>
  <c r="V2128" i="4"/>
  <c r="W2127" i="4"/>
  <c r="V2127" i="4"/>
  <c r="W2126" i="4"/>
  <c r="V2126" i="4"/>
  <c r="W2125" i="4"/>
  <c r="V2125" i="4"/>
  <c r="W2124" i="4"/>
  <c r="V2124" i="4"/>
  <c r="W2123" i="4"/>
  <c r="V2123" i="4"/>
  <c r="W2122" i="4"/>
  <c r="V2122" i="4"/>
  <c r="W2121" i="4"/>
  <c r="V2121" i="4"/>
  <c r="W2120" i="4"/>
  <c r="V2120" i="4"/>
  <c r="W2119" i="4"/>
  <c r="V2119" i="4"/>
  <c r="W2118" i="4"/>
  <c r="V2118" i="4"/>
  <c r="W2117" i="4"/>
  <c r="V2117" i="4"/>
  <c r="W2116" i="4"/>
  <c r="V2116" i="4"/>
  <c r="W2115" i="4"/>
  <c r="V2115" i="4"/>
  <c r="W2114" i="4"/>
  <c r="V2114" i="4"/>
  <c r="W2113" i="4"/>
  <c r="V2113" i="4"/>
  <c r="W2112" i="4"/>
  <c r="V2112" i="4"/>
  <c r="W2111" i="4"/>
  <c r="V2111" i="4"/>
  <c r="W2110" i="4"/>
  <c r="V2110" i="4"/>
  <c r="W2109" i="4"/>
  <c r="V2109" i="4"/>
  <c r="W2108" i="4"/>
  <c r="V2108" i="4"/>
  <c r="W2107" i="4"/>
  <c r="V2107" i="4"/>
  <c r="W2106" i="4"/>
  <c r="V2106" i="4"/>
  <c r="W2105" i="4"/>
  <c r="V2105" i="4"/>
  <c r="W2104" i="4"/>
  <c r="V2104" i="4"/>
  <c r="W2103" i="4"/>
  <c r="V2103" i="4"/>
  <c r="W2102" i="4"/>
  <c r="V2102" i="4"/>
  <c r="W2101" i="4"/>
  <c r="V2101" i="4"/>
  <c r="W2100" i="4"/>
  <c r="V2100" i="4"/>
  <c r="W2099" i="4"/>
  <c r="V2099" i="4"/>
  <c r="W2098" i="4"/>
  <c r="V2098" i="4"/>
  <c r="W2097" i="4"/>
  <c r="V2097" i="4"/>
  <c r="W2096" i="4"/>
  <c r="V2096" i="4"/>
  <c r="W2095" i="4"/>
  <c r="V2095" i="4"/>
  <c r="W2094" i="4"/>
  <c r="V2094" i="4"/>
  <c r="W2093" i="4"/>
  <c r="V2093" i="4"/>
  <c r="W2092" i="4"/>
  <c r="V2092" i="4"/>
  <c r="W2091" i="4"/>
  <c r="V2091" i="4"/>
  <c r="W2090" i="4"/>
  <c r="V2090" i="4"/>
  <c r="W2089" i="4"/>
  <c r="V2089" i="4"/>
  <c r="W2088" i="4"/>
  <c r="V2088" i="4"/>
  <c r="W2087" i="4"/>
  <c r="V2087" i="4"/>
  <c r="W2086" i="4"/>
  <c r="V2086" i="4"/>
  <c r="W2085" i="4"/>
  <c r="V2085" i="4"/>
  <c r="W2084" i="4"/>
  <c r="V2084" i="4"/>
  <c r="W2083" i="4"/>
  <c r="V2083" i="4"/>
  <c r="W2082" i="4"/>
  <c r="V2082" i="4"/>
  <c r="W2081" i="4"/>
  <c r="V2081" i="4"/>
  <c r="W2080" i="4"/>
  <c r="V2080" i="4"/>
  <c r="W2079" i="4"/>
  <c r="V2079" i="4"/>
  <c r="W2078" i="4"/>
  <c r="V2078" i="4"/>
  <c r="W2077" i="4"/>
  <c r="V2077" i="4"/>
  <c r="W2076" i="4"/>
  <c r="V2076" i="4"/>
  <c r="W2075" i="4"/>
  <c r="V2075" i="4"/>
  <c r="W2074" i="4"/>
  <c r="V2074" i="4"/>
  <c r="W2073" i="4"/>
  <c r="V2073" i="4"/>
  <c r="W2072" i="4"/>
  <c r="V2072" i="4"/>
  <c r="W2071" i="4"/>
  <c r="V2071" i="4"/>
  <c r="W2070" i="4"/>
  <c r="V2070" i="4"/>
  <c r="W2069" i="4"/>
  <c r="V2069" i="4"/>
  <c r="W2068" i="4"/>
  <c r="V2068" i="4"/>
  <c r="W2067" i="4"/>
  <c r="V2067" i="4"/>
  <c r="W2066" i="4"/>
  <c r="V2066" i="4"/>
  <c r="W2065" i="4"/>
  <c r="V2065" i="4"/>
  <c r="W2064" i="4"/>
  <c r="V2064" i="4"/>
  <c r="W2063" i="4"/>
  <c r="V2063" i="4"/>
  <c r="W2062" i="4"/>
  <c r="V2062" i="4"/>
  <c r="W2061" i="4"/>
  <c r="V2061" i="4"/>
  <c r="W2060" i="4"/>
  <c r="V2060" i="4"/>
  <c r="W2059" i="4"/>
  <c r="V2059" i="4"/>
  <c r="W2058" i="4"/>
  <c r="V2058" i="4"/>
  <c r="W2057" i="4"/>
  <c r="V2057" i="4"/>
  <c r="W2056" i="4"/>
  <c r="V2056" i="4"/>
  <c r="W2055" i="4"/>
  <c r="V2055" i="4"/>
  <c r="W2054" i="4"/>
  <c r="V2054" i="4"/>
  <c r="W2053" i="4"/>
  <c r="V2053" i="4"/>
  <c r="W2052" i="4"/>
  <c r="V2052" i="4"/>
  <c r="W2051" i="4"/>
  <c r="V2051" i="4"/>
  <c r="W2050" i="4"/>
  <c r="V2050" i="4"/>
  <c r="W2049" i="4"/>
  <c r="V2049" i="4"/>
  <c r="W2048" i="4"/>
  <c r="V2048" i="4"/>
  <c r="W2047" i="4"/>
  <c r="V2047" i="4"/>
  <c r="W2046" i="4"/>
  <c r="V2046" i="4"/>
  <c r="W2045" i="4"/>
  <c r="V2045" i="4"/>
  <c r="W2044" i="4"/>
  <c r="V2044" i="4"/>
  <c r="W2043" i="4"/>
  <c r="V2043" i="4"/>
  <c r="W2042" i="4"/>
  <c r="V2042" i="4"/>
  <c r="W2041" i="4"/>
  <c r="V2041" i="4"/>
  <c r="W2040" i="4"/>
  <c r="V2040" i="4"/>
  <c r="W2039" i="4"/>
  <c r="V2039" i="4"/>
  <c r="W2038" i="4"/>
  <c r="V2038" i="4"/>
  <c r="W2037" i="4"/>
  <c r="V2037" i="4"/>
  <c r="W2036" i="4"/>
  <c r="V2036" i="4"/>
  <c r="W2035" i="4"/>
  <c r="V2035" i="4"/>
  <c r="W2034" i="4"/>
  <c r="V2034" i="4"/>
  <c r="W2033" i="4"/>
  <c r="V2033" i="4"/>
  <c r="W2032" i="4"/>
  <c r="V2032" i="4"/>
  <c r="W2031" i="4"/>
  <c r="V2031" i="4"/>
  <c r="W2030" i="4"/>
  <c r="V2030" i="4"/>
  <c r="W2029" i="4"/>
  <c r="V2029" i="4"/>
  <c r="W2028" i="4"/>
  <c r="V2028" i="4"/>
  <c r="W2027" i="4"/>
  <c r="V2027" i="4"/>
  <c r="W2026" i="4"/>
  <c r="V2026" i="4"/>
  <c r="W2025" i="4"/>
  <c r="V2025" i="4"/>
  <c r="W2024" i="4"/>
  <c r="V2024" i="4"/>
  <c r="W2023" i="4"/>
  <c r="V2023" i="4"/>
  <c r="W2022" i="4"/>
  <c r="V2022" i="4"/>
  <c r="W2021" i="4"/>
  <c r="V2021" i="4"/>
  <c r="W2020" i="4"/>
  <c r="V2020" i="4"/>
  <c r="W2019" i="4"/>
  <c r="V2019" i="4"/>
  <c r="W2018" i="4"/>
  <c r="V2018" i="4"/>
  <c r="W2017" i="4"/>
  <c r="V2017" i="4"/>
  <c r="W2016" i="4"/>
  <c r="V2016" i="4"/>
  <c r="W2015" i="4"/>
  <c r="V2015" i="4"/>
  <c r="W2014" i="4"/>
  <c r="V2014" i="4"/>
  <c r="W2013" i="4"/>
  <c r="V2013" i="4"/>
  <c r="W2012" i="4"/>
  <c r="V2012" i="4"/>
  <c r="W2011" i="4"/>
  <c r="V2011" i="4"/>
  <c r="W2010" i="4"/>
  <c r="V2010" i="4"/>
  <c r="W2009" i="4"/>
  <c r="V2009" i="4"/>
  <c r="W2008" i="4"/>
  <c r="V2008" i="4"/>
  <c r="W2007" i="4"/>
  <c r="V2007" i="4"/>
  <c r="W2006" i="4"/>
  <c r="V2006" i="4"/>
  <c r="W2005" i="4"/>
  <c r="V2005" i="4"/>
  <c r="W2004" i="4"/>
  <c r="V2004" i="4"/>
  <c r="W2003" i="4"/>
  <c r="V2003" i="4"/>
  <c r="W2002" i="4"/>
  <c r="V2002" i="4"/>
  <c r="W2001" i="4"/>
  <c r="V2001" i="4"/>
  <c r="W2000" i="4"/>
  <c r="V2000" i="4"/>
  <c r="W1999" i="4"/>
  <c r="V1999" i="4"/>
  <c r="W1998" i="4"/>
  <c r="V1998" i="4"/>
  <c r="W1997" i="4"/>
  <c r="V1997" i="4"/>
  <c r="W1996" i="4"/>
  <c r="V1996" i="4"/>
  <c r="W1995" i="4"/>
  <c r="V1995" i="4"/>
  <c r="W1994" i="4"/>
  <c r="V1994" i="4"/>
  <c r="W1993" i="4"/>
  <c r="V1993" i="4"/>
  <c r="W1992" i="4"/>
  <c r="V1992" i="4"/>
  <c r="W1991" i="4"/>
  <c r="V1991" i="4"/>
  <c r="W1990" i="4"/>
  <c r="V1990" i="4"/>
  <c r="W1989" i="4"/>
  <c r="V1989" i="4"/>
  <c r="W1988" i="4"/>
  <c r="V1988" i="4"/>
  <c r="W1987" i="4"/>
  <c r="V1987" i="4"/>
  <c r="W1986" i="4"/>
  <c r="V1986" i="4"/>
  <c r="W1985" i="4"/>
  <c r="V1985" i="4"/>
  <c r="W1984" i="4"/>
  <c r="V1984" i="4"/>
  <c r="W1983" i="4"/>
  <c r="V1983" i="4"/>
  <c r="W1982" i="4"/>
  <c r="V1982" i="4"/>
  <c r="W1981" i="4"/>
  <c r="V1981" i="4"/>
  <c r="W1980" i="4"/>
  <c r="V1980" i="4"/>
  <c r="W1979" i="4"/>
  <c r="V1979" i="4"/>
  <c r="W1978" i="4"/>
  <c r="V1978" i="4"/>
  <c r="W1977" i="4"/>
  <c r="V1977" i="4"/>
  <c r="W1976" i="4"/>
  <c r="V1976" i="4"/>
  <c r="W1975" i="4"/>
  <c r="V1975" i="4"/>
  <c r="W1974" i="4"/>
  <c r="V1974" i="4"/>
  <c r="W1973" i="4"/>
  <c r="V1973" i="4"/>
  <c r="W1972" i="4"/>
  <c r="V1972" i="4"/>
  <c r="W1971" i="4"/>
  <c r="V1971" i="4"/>
  <c r="W1970" i="4"/>
  <c r="V1970" i="4"/>
  <c r="W1969" i="4"/>
  <c r="V1969" i="4"/>
  <c r="W1968" i="4"/>
  <c r="V1968" i="4"/>
  <c r="W1967" i="4"/>
  <c r="V1967" i="4"/>
  <c r="W1966" i="4"/>
  <c r="V1966" i="4"/>
  <c r="W1965" i="4"/>
  <c r="V1965" i="4"/>
  <c r="W1964" i="4"/>
  <c r="V1964" i="4"/>
  <c r="W1963" i="4"/>
  <c r="V1963" i="4"/>
  <c r="W1962" i="4"/>
  <c r="V1962" i="4"/>
  <c r="W1961" i="4"/>
  <c r="V1961" i="4"/>
  <c r="W1960" i="4"/>
  <c r="V1960" i="4"/>
  <c r="W1959" i="4"/>
  <c r="V1959" i="4"/>
  <c r="W1958" i="4"/>
  <c r="V1958" i="4"/>
  <c r="W1957" i="4"/>
  <c r="V1957" i="4"/>
  <c r="W1956" i="4"/>
  <c r="V1956" i="4"/>
  <c r="W1955" i="4"/>
  <c r="V1955" i="4"/>
  <c r="W1954" i="4"/>
  <c r="V1954" i="4"/>
  <c r="W1953" i="4"/>
  <c r="V1953" i="4"/>
  <c r="W1952" i="4"/>
  <c r="V1952" i="4"/>
  <c r="W1951" i="4"/>
  <c r="V1951" i="4"/>
  <c r="W1950" i="4"/>
  <c r="V1950" i="4"/>
  <c r="W1949" i="4"/>
  <c r="V1949" i="4"/>
  <c r="W1948" i="4"/>
  <c r="V1948" i="4"/>
  <c r="W1947" i="4"/>
  <c r="V1947" i="4"/>
  <c r="W1946" i="4"/>
  <c r="V1946" i="4"/>
  <c r="W1945" i="4"/>
  <c r="V1945" i="4"/>
  <c r="W1944" i="4"/>
  <c r="V1944" i="4"/>
  <c r="W1943" i="4"/>
  <c r="V1943" i="4"/>
  <c r="W1942" i="4"/>
  <c r="V1942" i="4"/>
  <c r="W1941" i="4"/>
  <c r="V1941" i="4"/>
  <c r="W1940" i="4"/>
  <c r="V1940" i="4"/>
  <c r="W1939" i="4"/>
  <c r="V1939" i="4"/>
  <c r="W1938" i="4"/>
  <c r="V1938" i="4"/>
  <c r="W1937" i="4"/>
  <c r="V1937" i="4"/>
  <c r="W1936" i="4"/>
  <c r="V1936" i="4"/>
  <c r="W1935" i="4"/>
  <c r="V1935" i="4"/>
  <c r="W1934" i="4"/>
  <c r="V1934" i="4"/>
  <c r="W1933" i="4"/>
  <c r="V1933" i="4"/>
  <c r="W1932" i="4"/>
  <c r="V1932" i="4"/>
  <c r="W1931" i="4"/>
  <c r="V1931" i="4"/>
  <c r="W1930" i="4"/>
  <c r="V1930" i="4"/>
  <c r="W1929" i="4"/>
  <c r="V1929" i="4"/>
  <c r="W1928" i="4"/>
  <c r="V1928" i="4"/>
  <c r="W1927" i="4"/>
  <c r="V1927" i="4"/>
  <c r="W1926" i="4"/>
  <c r="V1926" i="4"/>
  <c r="W1925" i="4"/>
  <c r="V1925" i="4"/>
  <c r="W1924" i="4"/>
  <c r="V1924" i="4"/>
  <c r="W1923" i="4"/>
  <c r="V1923" i="4"/>
  <c r="W1922" i="4"/>
  <c r="V1922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4" i="4"/>
  <c r="V1914" i="4"/>
  <c r="W1913" i="4"/>
  <c r="V1913" i="4"/>
  <c r="W1912" i="4"/>
  <c r="V1912" i="4"/>
  <c r="W1911" i="4"/>
  <c r="V1911" i="4"/>
  <c r="W1910" i="4"/>
  <c r="V1910" i="4"/>
  <c r="W1909" i="4"/>
  <c r="V1909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3" i="4"/>
  <c r="V1753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3" i="4"/>
  <c r="V1733" i="4"/>
  <c r="W1732" i="4"/>
  <c r="V1732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20" i="4"/>
  <c r="V1720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8" i="4"/>
  <c r="V1708" i="4"/>
  <c r="W1707" i="4"/>
  <c r="V1707" i="4"/>
  <c r="W1706" i="4"/>
  <c r="V1706" i="4"/>
  <c r="W1705" i="4"/>
  <c r="V1705" i="4"/>
  <c r="W1704" i="4"/>
  <c r="V1704" i="4"/>
  <c r="W1703" i="4"/>
  <c r="V1703" i="4"/>
  <c r="W1702" i="4"/>
  <c r="V1702" i="4"/>
  <c r="W1701" i="4"/>
  <c r="V1701" i="4"/>
  <c r="W1700" i="4"/>
  <c r="V1700" i="4"/>
  <c r="W1699" i="4"/>
  <c r="V1699" i="4"/>
  <c r="W1698" i="4"/>
  <c r="V1698" i="4"/>
  <c r="W1697" i="4"/>
  <c r="V1697" i="4"/>
  <c r="W1696" i="4"/>
  <c r="V1696" i="4"/>
  <c r="W1695" i="4"/>
  <c r="V1695" i="4"/>
  <c r="W1694" i="4"/>
  <c r="V1694" i="4"/>
  <c r="W1693" i="4"/>
  <c r="V1693" i="4"/>
  <c r="W1692" i="4"/>
  <c r="V1692" i="4"/>
  <c r="W1691" i="4"/>
  <c r="V1691" i="4"/>
  <c r="W1690" i="4"/>
  <c r="V1690" i="4"/>
  <c r="W1689" i="4"/>
  <c r="V1689" i="4"/>
  <c r="W1688" i="4"/>
  <c r="V1688" i="4"/>
  <c r="W1687" i="4"/>
  <c r="V1687" i="4"/>
  <c r="W1686" i="4"/>
  <c r="V1686" i="4"/>
  <c r="W1685" i="4"/>
  <c r="V1685" i="4"/>
  <c r="W1684" i="4"/>
  <c r="V1684" i="4"/>
  <c r="W1683" i="4"/>
  <c r="V1683" i="4"/>
  <c r="W1682" i="4"/>
  <c r="V1682" i="4"/>
  <c r="W1681" i="4"/>
  <c r="V1681" i="4"/>
  <c r="W1680" i="4"/>
  <c r="V1680" i="4"/>
  <c r="W1679" i="4"/>
  <c r="V1679" i="4"/>
  <c r="W1678" i="4"/>
  <c r="V1678" i="4"/>
  <c r="W1677" i="4"/>
  <c r="V1677" i="4"/>
  <c r="W1676" i="4"/>
  <c r="V1676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9" i="4"/>
  <c r="V1669" i="4"/>
  <c r="W1668" i="4"/>
  <c r="V1668" i="4"/>
  <c r="W1667" i="4"/>
  <c r="V1667" i="4"/>
  <c r="W1666" i="4"/>
  <c r="V1666" i="4"/>
  <c r="W1665" i="4"/>
  <c r="V1665" i="4"/>
  <c r="W1664" i="4"/>
  <c r="V1664" i="4"/>
  <c r="W1663" i="4"/>
  <c r="V1663" i="4"/>
  <c r="W1662" i="4"/>
  <c r="V1662" i="4"/>
  <c r="W1661" i="4"/>
  <c r="V1661" i="4"/>
  <c r="W1660" i="4"/>
  <c r="V1660" i="4"/>
  <c r="W1659" i="4"/>
  <c r="V1659" i="4"/>
  <c r="W1658" i="4"/>
  <c r="V1658" i="4"/>
  <c r="W1657" i="4"/>
  <c r="V1657" i="4"/>
  <c r="W1656" i="4"/>
  <c r="V1656" i="4"/>
  <c r="W1655" i="4"/>
  <c r="V1655" i="4"/>
  <c r="W1654" i="4"/>
  <c r="V1654" i="4"/>
  <c r="W1653" i="4"/>
  <c r="V1653" i="4"/>
  <c r="W1652" i="4"/>
  <c r="V1652" i="4"/>
  <c r="W1651" i="4"/>
  <c r="V1651" i="4"/>
  <c r="W1650" i="4"/>
  <c r="V1650" i="4"/>
  <c r="W1649" i="4"/>
  <c r="V1649" i="4"/>
  <c r="W1648" i="4"/>
  <c r="V1648" i="4"/>
  <c r="W1647" i="4"/>
  <c r="V1647" i="4"/>
  <c r="W1646" i="4"/>
  <c r="V1646" i="4"/>
  <c r="W1645" i="4"/>
  <c r="V1645" i="4"/>
  <c r="W1644" i="4"/>
  <c r="V1644" i="4"/>
  <c r="W1643" i="4"/>
  <c r="V1643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4" i="4"/>
  <c r="V1634" i="4"/>
  <c r="W1633" i="4"/>
  <c r="V1633" i="4"/>
  <c r="W1632" i="4"/>
  <c r="V1632" i="4"/>
  <c r="W1631" i="4"/>
  <c r="V1631" i="4"/>
  <c r="W1630" i="4"/>
  <c r="V1630" i="4"/>
  <c r="W1629" i="4"/>
  <c r="V1629" i="4"/>
  <c r="W1628" i="4"/>
  <c r="V1628" i="4"/>
  <c r="W1627" i="4"/>
  <c r="V1627" i="4"/>
  <c r="W1626" i="4"/>
  <c r="V1626" i="4"/>
  <c r="W1625" i="4"/>
  <c r="V1625" i="4"/>
  <c r="W1624" i="4"/>
  <c r="V1624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5" i="4"/>
  <c r="V1615" i="4"/>
  <c r="W1614" i="4"/>
  <c r="V1614" i="4"/>
  <c r="W1613" i="4"/>
  <c r="V1613" i="4"/>
  <c r="W1612" i="4"/>
  <c r="V1612" i="4"/>
  <c r="W1611" i="4"/>
  <c r="V1611" i="4"/>
  <c r="W1610" i="4"/>
  <c r="V1610" i="4"/>
  <c r="W1609" i="4"/>
  <c r="V1609" i="4"/>
  <c r="W1608" i="4"/>
  <c r="V1608" i="4"/>
  <c r="W1607" i="4"/>
  <c r="V1607" i="4"/>
  <c r="W1606" i="4"/>
  <c r="V1606" i="4"/>
  <c r="W1605" i="4"/>
  <c r="V1605" i="4"/>
  <c r="W1604" i="4"/>
  <c r="V1604" i="4"/>
  <c r="W1603" i="4"/>
  <c r="V1603" i="4"/>
  <c r="W1602" i="4"/>
  <c r="V1602" i="4"/>
  <c r="W1601" i="4"/>
  <c r="V1601" i="4"/>
  <c r="W1600" i="4"/>
  <c r="V1600" i="4"/>
  <c r="W1599" i="4"/>
  <c r="V1599" i="4"/>
  <c r="W1598" i="4"/>
  <c r="V1598" i="4"/>
  <c r="W1597" i="4"/>
  <c r="V1597" i="4"/>
  <c r="W1596" i="4"/>
  <c r="V1596" i="4"/>
  <c r="W1595" i="4"/>
  <c r="V1595" i="4"/>
  <c r="W1594" i="4"/>
  <c r="V1594" i="4"/>
  <c r="W1593" i="4"/>
  <c r="V1593" i="4"/>
  <c r="W1592" i="4"/>
  <c r="V1592" i="4"/>
  <c r="W1591" i="4"/>
  <c r="V1591" i="4"/>
  <c r="W1590" i="4"/>
  <c r="V1590" i="4"/>
  <c r="W1589" i="4"/>
  <c r="V1589" i="4"/>
  <c r="W1588" i="4"/>
  <c r="V1588" i="4"/>
  <c r="W1587" i="4"/>
  <c r="V1587" i="4"/>
  <c r="W1586" i="4"/>
  <c r="V1586" i="4"/>
  <c r="W1585" i="4"/>
  <c r="V1585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5" i="4"/>
  <c r="V1575" i="4"/>
  <c r="W1574" i="4"/>
  <c r="V1574" i="4"/>
  <c r="W1573" i="4"/>
  <c r="V1573" i="4"/>
  <c r="W1572" i="4"/>
  <c r="V1572" i="4"/>
  <c r="W1571" i="4"/>
  <c r="V1571" i="4"/>
  <c r="W1570" i="4"/>
  <c r="V1570" i="4"/>
  <c r="W1569" i="4"/>
  <c r="V1569" i="4"/>
  <c r="W1568" i="4"/>
  <c r="V1568" i="4"/>
  <c r="W1567" i="4"/>
  <c r="V1567" i="4"/>
  <c r="W1566" i="4"/>
  <c r="V1566" i="4"/>
  <c r="W1565" i="4"/>
  <c r="V1565" i="4"/>
  <c r="W1564" i="4"/>
  <c r="V1564" i="4"/>
  <c r="W1563" i="4"/>
  <c r="V1563" i="4"/>
  <c r="W1562" i="4"/>
  <c r="V1562" i="4"/>
  <c r="W1561" i="4"/>
  <c r="V1561" i="4"/>
  <c r="W1560" i="4"/>
  <c r="V1560" i="4"/>
  <c r="W1559" i="4"/>
  <c r="V1559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7" i="4"/>
  <c r="V1547" i="4"/>
  <c r="W1546" i="4"/>
  <c r="V1546" i="4"/>
  <c r="W1545" i="4"/>
  <c r="V1545" i="4"/>
  <c r="W1544" i="4"/>
  <c r="V1544" i="4"/>
  <c r="W1543" i="4"/>
  <c r="V1543" i="4"/>
  <c r="W1542" i="4"/>
  <c r="V1542" i="4"/>
  <c r="W1541" i="4"/>
  <c r="V1541" i="4"/>
  <c r="W1540" i="4"/>
  <c r="V1540" i="4"/>
  <c r="W1539" i="4"/>
  <c r="V1539" i="4"/>
  <c r="W1538" i="4"/>
  <c r="V1538" i="4"/>
  <c r="W1537" i="4"/>
  <c r="V1537" i="4"/>
  <c r="W1536" i="4"/>
  <c r="V1536" i="4"/>
  <c r="W1535" i="4"/>
  <c r="V1535" i="4"/>
  <c r="W1534" i="4"/>
  <c r="V1534" i="4"/>
  <c r="W1533" i="4"/>
  <c r="V1533" i="4"/>
  <c r="W1532" i="4"/>
  <c r="V1532" i="4"/>
  <c r="W1531" i="4"/>
  <c r="V1531" i="4"/>
  <c r="W1530" i="4"/>
  <c r="V1530" i="4"/>
  <c r="W1529" i="4"/>
  <c r="V1529" i="4"/>
  <c r="W1528" i="4"/>
  <c r="V1528" i="4"/>
  <c r="W1527" i="4"/>
  <c r="V1527" i="4"/>
  <c r="W1526" i="4"/>
  <c r="V1526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6" i="4"/>
  <c r="V1516" i="4"/>
  <c r="W1515" i="4"/>
  <c r="V1515" i="4"/>
  <c r="W1514" i="4"/>
  <c r="V1514" i="4"/>
  <c r="W1513" i="4"/>
  <c r="V1513" i="4"/>
  <c r="W1512" i="4"/>
  <c r="V1512" i="4"/>
  <c r="W1511" i="4"/>
  <c r="V1511" i="4"/>
  <c r="W1510" i="4"/>
  <c r="V1510" i="4"/>
  <c r="W1509" i="4"/>
  <c r="V1509" i="4"/>
  <c r="W1508" i="4"/>
  <c r="V1508" i="4"/>
  <c r="W1507" i="4"/>
  <c r="V1507" i="4"/>
  <c r="W1506" i="4"/>
  <c r="V1506" i="4"/>
  <c r="W1505" i="4"/>
  <c r="V1505" i="4"/>
  <c r="W1504" i="4"/>
  <c r="V1504" i="4"/>
  <c r="W1503" i="4"/>
  <c r="V1503" i="4"/>
  <c r="W1502" i="4"/>
  <c r="V1502" i="4"/>
  <c r="W1501" i="4"/>
  <c r="V1501" i="4"/>
  <c r="W1500" i="4"/>
  <c r="V1500" i="4"/>
  <c r="W1499" i="4"/>
  <c r="V1499" i="4"/>
  <c r="W1498" i="4"/>
  <c r="V1498" i="4"/>
  <c r="W1497" i="4"/>
  <c r="V1497" i="4"/>
  <c r="W1496" i="4"/>
  <c r="V1496" i="4"/>
  <c r="W1495" i="4"/>
  <c r="V1495" i="4"/>
  <c r="W1494" i="4"/>
  <c r="V1494" i="4"/>
  <c r="W1493" i="4"/>
  <c r="V1493" i="4"/>
  <c r="W1492" i="4"/>
  <c r="V1492" i="4"/>
  <c r="W1491" i="4"/>
  <c r="V1491" i="4"/>
  <c r="W1490" i="4"/>
  <c r="V1490" i="4"/>
  <c r="W1489" i="4"/>
  <c r="V1489" i="4"/>
  <c r="W1488" i="4"/>
  <c r="V1488" i="4"/>
  <c r="W1487" i="4"/>
  <c r="V1487" i="4"/>
  <c r="W1486" i="4"/>
  <c r="V1486" i="4"/>
  <c r="W1485" i="4"/>
  <c r="V1485" i="4"/>
  <c r="W1484" i="4"/>
  <c r="V1484" i="4"/>
  <c r="W1483" i="4"/>
  <c r="V1483" i="4"/>
  <c r="W1482" i="4"/>
  <c r="V1482" i="4"/>
  <c r="W1481" i="4"/>
  <c r="V1481" i="4"/>
  <c r="W1480" i="4"/>
  <c r="V1480" i="4"/>
  <c r="W1479" i="4"/>
  <c r="V1479" i="4"/>
  <c r="W1478" i="4"/>
  <c r="V1478" i="4"/>
  <c r="W1477" i="4"/>
  <c r="V1477" i="4"/>
  <c r="W1476" i="4"/>
  <c r="V1476" i="4"/>
  <c r="W1475" i="4"/>
  <c r="V1475" i="4"/>
  <c r="W1474" i="4"/>
  <c r="V1474" i="4"/>
  <c r="W1473" i="4"/>
  <c r="V1473" i="4"/>
  <c r="W1472" i="4"/>
  <c r="V1472" i="4"/>
  <c r="W1471" i="4"/>
  <c r="V1471" i="4"/>
  <c r="W1470" i="4"/>
  <c r="V1470" i="4"/>
  <c r="W1469" i="4"/>
  <c r="V1469" i="4"/>
  <c r="W1468" i="4"/>
  <c r="V1468" i="4"/>
  <c r="W1467" i="4"/>
  <c r="V1467" i="4"/>
  <c r="W1466" i="4"/>
  <c r="V1466" i="4"/>
  <c r="W1465" i="4"/>
  <c r="V1465" i="4"/>
  <c r="W1464" i="4"/>
  <c r="V1464" i="4"/>
  <c r="W1463" i="4"/>
  <c r="V1463" i="4"/>
  <c r="W1462" i="4"/>
  <c r="V1462" i="4"/>
  <c r="W1461" i="4"/>
  <c r="V1461" i="4"/>
  <c r="W1460" i="4"/>
  <c r="V1460" i="4"/>
  <c r="W1459" i="4"/>
  <c r="V1459" i="4"/>
  <c r="W1458" i="4"/>
  <c r="V1458" i="4"/>
  <c r="W1457" i="4"/>
  <c r="V1457" i="4"/>
  <c r="W1456" i="4"/>
  <c r="V1456" i="4"/>
  <c r="W1455" i="4"/>
  <c r="V1455" i="4"/>
  <c r="W1454" i="4"/>
  <c r="V1454" i="4"/>
  <c r="W1453" i="4"/>
  <c r="V1453" i="4"/>
  <c r="W1452" i="4"/>
  <c r="V1452" i="4"/>
  <c r="W1451" i="4"/>
  <c r="V1451" i="4"/>
  <c r="W1450" i="4"/>
  <c r="V1450" i="4"/>
  <c r="W1449" i="4"/>
  <c r="V1449" i="4"/>
  <c r="W1448" i="4"/>
  <c r="V1448" i="4"/>
  <c r="W1447" i="4"/>
  <c r="V1447" i="4"/>
  <c r="W1446" i="4"/>
  <c r="V1446" i="4"/>
  <c r="W1445" i="4"/>
  <c r="V1445" i="4"/>
  <c r="W1444" i="4"/>
  <c r="V1444" i="4"/>
  <c r="W1443" i="4"/>
  <c r="V1443" i="4"/>
  <c r="W1442" i="4"/>
  <c r="V1442" i="4"/>
  <c r="W1441" i="4"/>
  <c r="V1441" i="4"/>
  <c r="W1440" i="4"/>
  <c r="V1440" i="4"/>
  <c r="W1439" i="4"/>
  <c r="V1439" i="4"/>
  <c r="W1438" i="4"/>
  <c r="V1438" i="4"/>
  <c r="W1437" i="4"/>
  <c r="V1437" i="4"/>
  <c r="W1436" i="4"/>
  <c r="V1436" i="4"/>
  <c r="W1435" i="4"/>
  <c r="V1435" i="4"/>
  <c r="W1434" i="4"/>
  <c r="V1434" i="4"/>
  <c r="W1433" i="4"/>
  <c r="V1433" i="4"/>
  <c r="W1432" i="4"/>
  <c r="V1432" i="4"/>
  <c r="W1431" i="4"/>
  <c r="V1431" i="4"/>
  <c r="W1430" i="4"/>
  <c r="V1430" i="4"/>
  <c r="W1429" i="4"/>
  <c r="V1429" i="4"/>
  <c r="W1428" i="4"/>
  <c r="V1428" i="4"/>
  <c r="W1427" i="4"/>
  <c r="V1427" i="4"/>
  <c r="W1426" i="4"/>
  <c r="V1426" i="4"/>
  <c r="W1425" i="4"/>
  <c r="V1425" i="4"/>
  <c r="W1424" i="4"/>
  <c r="V1424" i="4"/>
  <c r="W1423" i="4"/>
  <c r="V1423" i="4"/>
  <c r="W1422" i="4"/>
  <c r="V1422" i="4"/>
  <c r="W1421" i="4"/>
  <c r="V1421" i="4"/>
  <c r="W1420" i="4"/>
  <c r="V1420" i="4"/>
  <c r="W1419" i="4"/>
  <c r="V1419" i="4"/>
  <c r="W1418" i="4"/>
  <c r="V1418" i="4"/>
  <c r="W1417" i="4"/>
  <c r="V1417" i="4"/>
  <c r="W1416" i="4"/>
  <c r="V1416" i="4"/>
  <c r="W1415" i="4"/>
  <c r="V1415" i="4"/>
  <c r="W1414" i="4"/>
  <c r="V1414" i="4"/>
  <c r="W1413" i="4"/>
  <c r="V1413" i="4"/>
  <c r="W1412" i="4"/>
  <c r="V1412" i="4"/>
  <c r="W1411" i="4"/>
  <c r="V1411" i="4"/>
  <c r="W1410" i="4"/>
  <c r="V1410" i="4"/>
  <c r="W1409" i="4"/>
  <c r="V1409" i="4"/>
  <c r="W1408" i="4"/>
  <c r="V1408" i="4"/>
  <c r="W1407" i="4"/>
  <c r="V1407" i="4"/>
  <c r="W1406" i="4"/>
  <c r="V1406" i="4"/>
  <c r="W1405" i="4"/>
  <c r="V1405" i="4"/>
  <c r="W1404" i="4"/>
  <c r="V1404" i="4"/>
  <c r="W1403" i="4"/>
  <c r="V1403" i="4"/>
  <c r="W1402" i="4"/>
  <c r="V1402" i="4"/>
  <c r="W1401" i="4"/>
  <c r="V1401" i="4"/>
  <c r="W1400" i="4"/>
  <c r="V1400" i="4"/>
  <c r="W1399" i="4"/>
  <c r="V1399" i="4"/>
  <c r="W1398" i="4"/>
  <c r="V1398" i="4"/>
  <c r="W1397" i="4"/>
  <c r="V1397" i="4"/>
  <c r="W1396" i="4"/>
  <c r="V1396" i="4"/>
  <c r="W1395" i="4"/>
  <c r="V1395" i="4"/>
  <c r="W1394" i="4"/>
  <c r="V1394" i="4"/>
  <c r="W1393" i="4"/>
  <c r="V1393" i="4"/>
  <c r="W1392" i="4"/>
  <c r="V1392" i="4"/>
  <c r="W1391" i="4"/>
  <c r="V1391" i="4"/>
  <c r="W1390" i="4"/>
  <c r="V1390" i="4"/>
  <c r="W1389" i="4"/>
  <c r="V1389" i="4"/>
  <c r="W1388" i="4"/>
  <c r="V1388" i="4"/>
  <c r="W1387" i="4"/>
  <c r="V1387" i="4"/>
  <c r="W1386" i="4"/>
  <c r="V1386" i="4"/>
  <c r="W1385" i="4"/>
  <c r="V1385" i="4"/>
  <c r="W1384" i="4"/>
  <c r="V1384" i="4"/>
  <c r="W1383" i="4"/>
  <c r="V1383" i="4"/>
  <c r="W1382" i="4"/>
  <c r="V1382" i="4"/>
  <c r="W1381" i="4"/>
  <c r="V1381" i="4"/>
  <c r="W1380" i="4"/>
  <c r="V1380" i="4"/>
  <c r="W1379" i="4"/>
  <c r="V1379" i="4"/>
  <c r="W1378" i="4"/>
  <c r="V1378" i="4"/>
  <c r="W1377" i="4"/>
  <c r="V1377" i="4"/>
  <c r="W1376" i="4"/>
  <c r="V1376" i="4"/>
  <c r="W1375" i="4"/>
  <c r="V1375" i="4"/>
  <c r="W1374" i="4"/>
  <c r="V1374" i="4"/>
  <c r="W1373" i="4"/>
  <c r="V1373" i="4"/>
  <c r="W1372" i="4"/>
  <c r="V1372" i="4"/>
  <c r="W1371" i="4"/>
  <c r="V1371" i="4"/>
  <c r="W1370" i="4"/>
  <c r="V1370" i="4"/>
  <c r="W1369" i="4"/>
  <c r="V1369" i="4"/>
  <c r="W1368" i="4"/>
  <c r="V1368" i="4"/>
  <c r="W1367" i="4"/>
  <c r="V1367" i="4"/>
  <c r="W1366" i="4"/>
  <c r="V1366" i="4"/>
  <c r="W1365" i="4"/>
  <c r="V1365" i="4"/>
  <c r="W1364" i="4"/>
  <c r="V1364" i="4"/>
  <c r="W1363" i="4"/>
  <c r="V1363" i="4"/>
  <c r="W1362" i="4"/>
  <c r="V1362" i="4"/>
  <c r="W1361" i="4"/>
  <c r="V1361" i="4"/>
  <c r="W1360" i="4"/>
  <c r="V1360" i="4"/>
  <c r="W1359" i="4"/>
  <c r="V1359" i="4"/>
  <c r="W1358" i="4"/>
  <c r="V1358" i="4"/>
  <c r="W1357" i="4"/>
  <c r="V1357" i="4"/>
  <c r="W1356" i="4"/>
  <c r="V1356" i="4"/>
  <c r="W1355" i="4"/>
  <c r="V1355" i="4"/>
  <c r="W1354" i="4"/>
  <c r="V1354" i="4"/>
  <c r="W1353" i="4"/>
  <c r="V1353" i="4"/>
  <c r="W1352" i="4"/>
  <c r="V1352" i="4"/>
  <c r="W1351" i="4"/>
  <c r="V1351" i="4"/>
  <c r="W1350" i="4"/>
  <c r="V1350" i="4"/>
  <c r="W1349" i="4"/>
  <c r="V1349" i="4"/>
  <c r="W1348" i="4"/>
  <c r="V1348" i="4"/>
  <c r="W1347" i="4"/>
  <c r="V1347" i="4"/>
  <c r="W1346" i="4"/>
  <c r="V1346" i="4"/>
  <c r="W1345" i="4"/>
  <c r="V1345" i="4"/>
  <c r="W1344" i="4"/>
  <c r="V1344" i="4"/>
  <c r="W1343" i="4"/>
  <c r="V1343" i="4"/>
  <c r="W1342" i="4"/>
  <c r="V1342" i="4"/>
  <c r="W1341" i="4"/>
  <c r="V1341" i="4"/>
  <c r="W1340" i="4"/>
  <c r="V1340" i="4"/>
  <c r="W1339" i="4"/>
  <c r="V1339" i="4"/>
  <c r="W1338" i="4"/>
  <c r="V1338" i="4"/>
  <c r="W1337" i="4"/>
  <c r="V1337" i="4"/>
  <c r="W1336" i="4"/>
  <c r="V1336" i="4"/>
  <c r="W1335" i="4"/>
  <c r="V1335" i="4"/>
  <c r="W1334" i="4"/>
  <c r="V1334" i="4"/>
  <c r="W1333" i="4"/>
  <c r="V1333" i="4"/>
  <c r="W1332" i="4"/>
  <c r="V1332" i="4"/>
  <c r="W1331" i="4"/>
  <c r="V1331" i="4"/>
  <c r="W1330" i="4"/>
  <c r="V1330" i="4"/>
  <c r="W1329" i="4"/>
  <c r="V1329" i="4"/>
  <c r="W1328" i="4"/>
  <c r="V1328" i="4"/>
  <c r="W1327" i="4"/>
  <c r="V1327" i="4"/>
  <c r="W1326" i="4"/>
  <c r="V1326" i="4"/>
  <c r="W1325" i="4"/>
  <c r="V1325" i="4"/>
  <c r="W1324" i="4"/>
  <c r="V1324" i="4"/>
  <c r="W1323" i="4"/>
  <c r="V1323" i="4"/>
  <c r="W1322" i="4"/>
  <c r="V1322" i="4"/>
  <c r="W1321" i="4"/>
  <c r="V1321" i="4"/>
  <c r="W1320" i="4"/>
  <c r="V1320" i="4"/>
  <c r="W1319" i="4"/>
  <c r="V1319" i="4"/>
  <c r="W1318" i="4"/>
  <c r="V1318" i="4"/>
  <c r="W1317" i="4"/>
  <c r="V1317" i="4"/>
  <c r="W1316" i="4"/>
  <c r="V1316" i="4"/>
  <c r="W1315" i="4"/>
  <c r="V1315" i="4"/>
  <c r="W1314" i="4"/>
  <c r="V1314" i="4"/>
  <c r="W1313" i="4"/>
  <c r="V1313" i="4"/>
  <c r="W1312" i="4"/>
  <c r="V1312" i="4"/>
  <c r="W1311" i="4"/>
  <c r="V1311" i="4"/>
  <c r="W1310" i="4"/>
  <c r="V1310" i="4"/>
  <c r="W1309" i="4"/>
  <c r="V1309" i="4"/>
  <c r="W1308" i="4"/>
  <c r="V1308" i="4"/>
  <c r="W1307" i="4"/>
  <c r="V1307" i="4"/>
  <c r="W1306" i="4"/>
  <c r="V1306" i="4"/>
  <c r="W1305" i="4"/>
  <c r="V1305" i="4"/>
  <c r="W1304" i="4"/>
  <c r="V1304" i="4"/>
  <c r="W1303" i="4"/>
  <c r="V1303" i="4"/>
  <c r="W1302" i="4"/>
  <c r="V1302" i="4"/>
  <c r="W1301" i="4"/>
  <c r="V1301" i="4"/>
  <c r="W1300" i="4"/>
  <c r="V1300" i="4"/>
  <c r="W1299" i="4"/>
  <c r="V1299" i="4"/>
  <c r="W1298" i="4"/>
  <c r="V1298" i="4"/>
  <c r="W1297" i="4"/>
  <c r="V1297" i="4"/>
  <c r="W1296" i="4"/>
  <c r="V1296" i="4"/>
  <c r="W1295" i="4"/>
  <c r="V1295" i="4"/>
  <c r="W1294" i="4"/>
  <c r="V1294" i="4"/>
  <c r="W1293" i="4"/>
  <c r="V1293" i="4"/>
  <c r="W1292" i="4"/>
  <c r="V1292" i="4"/>
  <c r="W1291" i="4"/>
  <c r="V1291" i="4"/>
  <c r="W1290" i="4"/>
  <c r="V1290" i="4"/>
  <c r="W1289" i="4"/>
  <c r="V1289" i="4"/>
  <c r="W1288" i="4"/>
  <c r="V1288" i="4"/>
  <c r="W1287" i="4"/>
  <c r="V1287" i="4"/>
  <c r="W1286" i="4"/>
  <c r="V1286" i="4"/>
  <c r="W1285" i="4"/>
  <c r="V1285" i="4"/>
  <c r="W1284" i="4"/>
  <c r="V1284" i="4"/>
  <c r="W1283" i="4"/>
  <c r="V1283" i="4"/>
  <c r="W1282" i="4"/>
  <c r="V1282" i="4"/>
  <c r="W1281" i="4"/>
  <c r="V1281" i="4"/>
  <c r="W1280" i="4"/>
  <c r="V1280" i="4"/>
  <c r="W1279" i="4"/>
  <c r="V1279" i="4"/>
  <c r="W1278" i="4"/>
  <c r="V1278" i="4"/>
  <c r="W1277" i="4"/>
  <c r="V1277" i="4"/>
  <c r="W1276" i="4"/>
  <c r="V1276" i="4"/>
  <c r="W1275" i="4"/>
  <c r="V1275" i="4"/>
  <c r="W1274" i="4"/>
  <c r="V1274" i="4"/>
  <c r="W1273" i="4"/>
  <c r="V1273" i="4"/>
  <c r="W1272" i="4"/>
  <c r="V1272" i="4"/>
  <c r="W1271" i="4"/>
  <c r="V1271" i="4"/>
  <c r="W1270" i="4"/>
  <c r="V1270" i="4"/>
  <c r="W1269" i="4"/>
  <c r="V1269" i="4"/>
  <c r="W1268" i="4"/>
  <c r="V1268" i="4"/>
  <c r="W1267" i="4"/>
  <c r="V1267" i="4"/>
  <c r="W1266" i="4"/>
  <c r="V1266" i="4"/>
  <c r="W1265" i="4"/>
  <c r="V1265" i="4"/>
  <c r="W1264" i="4"/>
  <c r="V1264" i="4"/>
  <c r="W1263" i="4"/>
  <c r="V1263" i="4"/>
  <c r="W1262" i="4"/>
  <c r="V1262" i="4"/>
  <c r="W1261" i="4"/>
  <c r="V1261" i="4"/>
  <c r="W1260" i="4"/>
  <c r="V1260" i="4"/>
  <c r="W1259" i="4"/>
  <c r="V1259" i="4"/>
  <c r="W1258" i="4"/>
  <c r="V1258" i="4"/>
  <c r="W1257" i="4"/>
  <c r="V1257" i="4"/>
  <c r="W1256" i="4"/>
  <c r="V1256" i="4"/>
  <c r="W1255" i="4"/>
  <c r="V1255" i="4"/>
  <c r="W1254" i="4"/>
  <c r="V1254" i="4"/>
  <c r="W1253" i="4"/>
  <c r="V1253" i="4"/>
  <c r="W1252" i="4"/>
  <c r="V1252" i="4"/>
  <c r="W1251" i="4"/>
  <c r="V1251" i="4"/>
  <c r="W1250" i="4"/>
  <c r="V1250" i="4"/>
  <c r="W1249" i="4"/>
  <c r="V1249" i="4"/>
  <c r="W1248" i="4"/>
  <c r="V1248" i="4"/>
  <c r="W1247" i="4"/>
  <c r="V1247" i="4"/>
  <c r="W1246" i="4"/>
  <c r="V1246" i="4"/>
  <c r="W1245" i="4"/>
  <c r="V1245" i="4"/>
  <c r="W1244" i="4"/>
  <c r="V1244" i="4"/>
  <c r="W1243" i="4"/>
  <c r="V1243" i="4"/>
  <c r="W1242" i="4"/>
  <c r="V1242" i="4"/>
  <c r="W1241" i="4"/>
  <c r="V1241" i="4"/>
  <c r="W1240" i="4"/>
  <c r="V1240" i="4"/>
  <c r="W1239" i="4"/>
  <c r="V1239" i="4"/>
  <c r="W1238" i="4"/>
  <c r="V1238" i="4"/>
  <c r="W1237" i="4"/>
  <c r="V1237" i="4"/>
  <c r="W1236" i="4"/>
  <c r="V1236" i="4"/>
  <c r="W1235" i="4"/>
  <c r="V1235" i="4"/>
  <c r="W1234" i="4"/>
  <c r="V1234" i="4"/>
  <c r="W1233" i="4"/>
  <c r="V1233" i="4"/>
  <c r="W1232" i="4"/>
  <c r="V1232" i="4"/>
  <c r="W1231" i="4"/>
  <c r="V1231" i="4"/>
  <c r="W1230" i="4"/>
  <c r="V1230" i="4"/>
  <c r="W1229" i="4"/>
  <c r="V1229" i="4"/>
  <c r="W1228" i="4"/>
  <c r="V1228" i="4"/>
  <c r="W1227" i="4"/>
  <c r="V1227" i="4"/>
  <c r="W1226" i="4"/>
  <c r="V1226" i="4"/>
  <c r="W1225" i="4"/>
  <c r="V1225" i="4"/>
  <c r="W1224" i="4"/>
  <c r="V1224" i="4"/>
  <c r="W1223" i="4"/>
  <c r="V1223" i="4"/>
  <c r="W1222" i="4"/>
  <c r="V1222" i="4"/>
  <c r="W1221" i="4"/>
  <c r="V1221" i="4"/>
  <c r="W1220" i="4"/>
  <c r="V1220" i="4"/>
  <c r="W1219" i="4"/>
  <c r="V1219" i="4"/>
  <c r="W1218" i="4"/>
  <c r="V1218" i="4"/>
  <c r="W1217" i="4"/>
  <c r="V1217" i="4"/>
  <c r="W1216" i="4"/>
  <c r="V1216" i="4"/>
  <c r="W1215" i="4"/>
  <c r="V1215" i="4"/>
  <c r="W1214" i="4"/>
  <c r="V1214" i="4"/>
  <c r="W1213" i="4"/>
  <c r="V1213" i="4"/>
  <c r="W1212" i="4"/>
  <c r="V1212" i="4"/>
  <c r="W1211" i="4"/>
  <c r="V1211" i="4"/>
  <c r="W1210" i="4"/>
  <c r="V1210" i="4"/>
  <c r="W1209" i="4"/>
  <c r="V1209" i="4"/>
  <c r="W1208" i="4"/>
  <c r="V1208" i="4"/>
  <c r="W1207" i="4"/>
  <c r="V1207" i="4"/>
  <c r="W1206" i="4"/>
  <c r="V1206" i="4"/>
  <c r="W1205" i="4"/>
  <c r="V1205" i="4"/>
  <c r="W1204" i="4"/>
  <c r="V1204" i="4"/>
  <c r="W1203" i="4"/>
  <c r="V1203" i="4"/>
  <c r="W1202" i="4"/>
  <c r="V1202" i="4"/>
  <c r="W1201" i="4"/>
  <c r="V1201" i="4"/>
  <c r="W1200" i="4"/>
  <c r="V1200" i="4"/>
  <c r="W1199" i="4"/>
  <c r="V1199" i="4"/>
  <c r="W1198" i="4"/>
  <c r="V1198" i="4"/>
  <c r="W1197" i="4"/>
  <c r="V1197" i="4"/>
  <c r="W1196" i="4"/>
  <c r="V1196" i="4"/>
  <c r="W1195" i="4"/>
  <c r="V1195" i="4"/>
  <c r="W1194" i="4"/>
  <c r="V1194" i="4"/>
  <c r="W1193" i="4"/>
  <c r="V1193" i="4"/>
  <c r="W1192" i="4"/>
  <c r="V1192" i="4"/>
  <c r="W1191" i="4"/>
  <c r="V1191" i="4"/>
  <c r="W1190" i="4"/>
  <c r="V1190" i="4"/>
  <c r="W1189" i="4"/>
  <c r="V1189" i="4"/>
  <c r="W1188" i="4"/>
  <c r="V1188" i="4"/>
  <c r="W1187" i="4"/>
  <c r="V1187" i="4"/>
  <c r="W1186" i="4"/>
  <c r="V1186" i="4"/>
  <c r="W1185" i="4"/>
  <c r="V1185" i="4"/>
  <c r="W1184" i="4"/>
  <c r="V1184" i="4"/>
  <c r="W1183" i="4"/>
  <c r="V1183" i="4"/>
  <c r="W1182" i="4"/>
  <c r="V1182" i="4"/>
  <c r="W1181" i="4"/>
  <c r="V1181" i="4"/>
  <c r="W1180" i="4"/>
  <c r="V1180" i="4"/>
  <c r="W1179" i="4"/>
  <c r="V1179" i="4"/>
  <c r="W1178" i="4"/>
  <c r="V1178" i="4"/>
  <c r="W1177" i="4"/>
  <c r="V1177" i="4"/>
  <c r="W1176" i="4"/>
  <c r="V1176" i="4"/>
  <c r="W1175" i="4"/>
  <c r="V1175" i="4"/>
  <c r="W1174" i="4"/>
  <c r="V1174" i="4"/>
  <c r="W1173" i="4"/>
  <c r="V1173" i="4"/>
  <c r="W1172" i="4"/>
  <c r="V1172" i="4"/>
  <c r="W1171" i="4"/>
  <c r="V1171" i="4"/>
  <c r="W1170" i="4"/>
  <c r="V1170" i="4"/>
  <c r="W1169" i="4"/>
  <c r="V1169" i="4"/>
  <c r="W1168" i="4"/>
  <c r="V1168" i="4"/>
  <c r="W1167" i="4"/>
  <c r="V1167" i="4"/>
  <c r="W1166" i="4"/>
  <c r="V1166" i="4"/>
  <c r="W1165" i="4"/>
  <c r="V1165" i="4"/>
  <c r="W1164" i="4"/>
  <c r="V1164" i="4"/>
  <c r="W1163" i="4"/>
  <c r="V1163" i="4"/>
  <c r="W1162" i="4"/>
  <c r="V1162" i="4"/>
  <c r="W1161" i="4"/>
  <c r="V1161" i="4"/>
  <c r="W1160" i="4"/>
  <c r="V1160" i="4"/>
  <c r="W1159" i="4"/>
  <c r="V1159" i="4"/>
  <c r="W1158" i="4"/>
  <c r="V1158" i="4"/>
  <c r="W1157" i="4"/>
  <c r="V1157" i="4"/>
  <c r="W1156" i="4"/>
  <c r="V1156" i="4"/>
  <c r="W1155" i="4"/>
  <c r="V1155" i="4"/>
  <c r="W1154" i="4"/>
  <c r="V1154" i="4"/>
  <c r="W1153" i="4"/>
  <c r="V1153" i="4"/>
  <c r="W1152" i="4"/>
  <c r="V1152" i="4"/>
  <c r="W1151" i="4"/>
  <c r="V1151" i="4"/>
  <c r="W1150" i="4"/>
  <c r="V1150" i="4"/>
  <c r="W1149" i="4"/>
  <c r="V1149" i="4"/>
  <c r="W1148" i="4"/>
  <c r="V1148" i="4"/>
  <c r="W1147" i="4"/>
  <c r="V1147" i="4"/>
  <c r="W1146" i="4"/>
  <c r="V1146" i="4"/>
  <c r="W1145" i="4"/>
  <c r="V1145" i="4"/>
  <c r="W1144" i="4"/>
  <c r="V1144" i="4"/>
  <c r="W1143" i="4"/>
  <c r="V1143" i="4"/>
  <c r="W1142" i="4"/>
  <c r="V1142" i="4"/>
  <c r="W1141" i="4"/>
  <c r="V1141" i="4"/>
  <c r="W1140" i="4"/>
  <c r="V1140" i="4"/>
  <c r="W1139" i="4"/>
  <c r="V1139" i="4"/>
  <c r="W1138" i="4"/>
  <c r="V1138" i="4"/>
  <c r="W1137" i="4"/>
  <c r="V1137" i="4"/>
  <c r="W1136" i="4"/>
  <c r="V1136" i="4"/>
  <c r="W1135" i="4"/>
  <c r="V1135" i="4"/>
  <c r="W1134" i="4"/>
  <c r="V1134" i="4"/>
  <c r="W1133" i="4"/>
  <c r="V1133" i="4"/>
  <c r="W1132" i="4"/>
  <c r="V1132" i="4"/>
  <c r="W1131" i="4"/>
  <c r="V1131" i="4"/>
  <c r="W1130" i="4"/>
  <c r="V1130" i="4"/>
  <c r="W1129" i="4"/>
  <c r="V1129" i="4"/>
  <c r="W1128" i="4"/>
  <c r="V1128" i="4"/>
  <c r="W1127" i="4"/>
  <c r="V1127" i="4"/>
  <c r="W1126" i="4"/>
  <c r="V1126" i="4"/>
  <c r="W1125" i="4"/>
  <c r="V1125" i="4"/>
  <c r="W1124" i="4"/>
  <c r="V1124" i="4"/>
  <c r="W1123" i="4"/>
  <c r="V1123" i="4"/>
  <c r="W1122" i="4"/>
  <c r="V1122" i="4"/>
  <c r="W1121" i="4"/>
  <c r="V1121" i="4"/>
  <c r="W1120" i="4"/>
  <c r="V1120" i="4"/>
  <c r="W1119" i="4"/>
  <c r="V1119" i="4"/>
  <c r="W1118" i="4"/>
  <c r="V1118" i="4"/>
  <c r="W1117" i="4"/>
  <c r="V1117" i="4"/>
  <c r="W1116" i="4"/>
  <c r="V1116" i="4"/>
  <c r="W1115" i="4"/>
  <c r="V1115" i="4"/>
  <c r="W1114" i="4"/>
  <c r="V1114" i="4"/>
  <c r="W1113" i="4"/>
  <c r="V1113" i="4"/>
  <c r="W1112" i="4"/>
  <c r="V1112" i="4"/>
  <c r="W1111" i="4"/>
  <c r="V1111" i="4"/>
  <c r="W1110" i="4"/>
  <c r="V1110" i="4"/>
  <c r="W1109" i="4"/>
  <c r="V1109" i="4"/>
  <c r="W1108" i="4"/>
  <c r="V1108" i="4"/>
  <c r="W1107" i="4"/>
  <c r="V1107" i="4"/>
  <c r="W1106" i="4"/>
  <c r="V1106" i="4"/>
  <c r="W1105" i="4"/>
  <c r="V1105" i="4"/>
  <c r="W1104" i="4"/>
  <c r="V1104" i="4"/>
  <c r="W1103" i="4"/>
  <c r="V1103" i="4"/>
  <c r="W1102" i="4"/>
  <c r="V1102" i="4"/>
  <c r="W1101" i="4"/>
  <c r="V1101" i="4"/>
  <c r="W1100" i="4"/>
  <c r="V1100" i="4"/>
  <c r="W1099" i="4"/>
  <c r="V1099" i="4"/>
  <c r="W1098" i="4"/>
  <c r="V1098" i="4"/>
  <c r="W1097" i="4"/>
  <c r="V1097" i="4"/>
  <c r="W1096" i="4"/>
  <c r="V1096" i="4"/>
  <c r="W1095" i="4"/>
  <c r="V1095" i="4"/>
  <c r="W1094" i="4"/>
  <c r="V1094" i="4"/>
  <c r="W1093" i="4"/>
  <c r="V1093" i="4"/>
  <c r="W1092" i="4"/>
  <c r="V1092" i="4"/>
  <c r="W1091" i="4"/>
  <c r="V1091" i="4"/>
  <c r="W1090" i="4"/>
  <c r="V1090" i="4"/>
  <c r="W1089" i="4"/>
  <c r="V1089" i="4"/>
  <c r="W1088" i="4"/>
  <c r="V1088" i="4"/>
  <c r="W1087" i="4"/>
  <c r="V1087" i="4"/>
  <c r="W1086" i="4"/>
  <c r="V1086" i="4"/>
  <c r="W1085" i="4"/>
  <c r="V1085" i="4"/>
  <c r="W1084" i="4"/>
  <c r="V1084" i="4"/>
  <c r="W1083" i="4"/>
  <c r="V1083" i="4"/>
  <c r="W1082" i="4"/>
  <c r="V1082" i="4"/>
  <c r="W1081" i="4"/>
  <c r="V1081" i="4"/>
  <c r="W1080" i="4"/>
  <c r="V1080" i="4"/>
  <c r="W1079" i="4"/>
  <c r="V1079" i="4"/>
  <c r="W1078" i="4"/>
  <c r="V1078" i="4"/>
  <c r="W1077" i="4"/>
  <c r="V1077" i="4"/>
  <c r="W1076" i="4"/>
  <c r="V1076" i="4"/>
  <c r="W1075" i="4"/>
  <c r="V1075" i="4"/>
  <c r="W1074" i="4"/>
  <c r="V1074" i="4"/>
  <c r="W1073" i="4"/>
  <c r="V1073" i="4"/>
  <c r="W1072" i="4"/>
  <c r="V1072" i="4"/>
  <c r="W1071" i="4"/>
  <c r="V1071" i="4"/>
  <c r="W1070" i="4"/>
  <c r="V1070" i="4"/>
  <c r="W1069" i="4"/>
  <c r="V1069" i="4"/>
  <c r="W1068" i="4"/>
  <c r="V1068" i="4"/>
  <c r="W1067" i="4"/>
  <c r="V1067" i="4"/>
  <c r="W1066" i="4"/>
  <c r="V1066" i="4"/>
  <c r="W1065" i="4"/>
  <c r="V1065" i="4"/>
  <c r="W1064" i="4"/>
  <c r="V1064" i="4"/>
  <c r="W1063" i="4"/>
  <c r="V1063" i="4"/>
  <c r="W1062" i="4"/>
  <c r="V1062" i="4"/>
  <c r="W1061" i="4"/>
  <c r="V1061" i="4"/>
  <c r="W1060" i="4"/>
  <c r="V1060" i="4"/>
  <c r="W1059" i="4"/>
  <c r="V1059" i="4"/>
  <c r="W1058" i="4"/>
  <c r="V1058" i="4"/>
  <c r="W1057" i="4"/>
  <c r="V1057" i="4"/>
  <c r="W1056" i="4"/>
  <c r="V1056" i="4"/>
  <c r="W1055" i="4"/>
  <c r="V1055" i="4"/>
  <c r="W1054" i="4"/>
  <c r="V1054" i="4"/>
  <c r="W1053" i="4"/>
  <c r="V1053" i="4"/>
  <c r="W1052" i="4"/>
  <c r="V1052" i="4"/>
  <c r="W1051" i="4"/>
  <c r="V1051" i="4"/>
  <c r="W1050" i="4"/>
  <c r="V1050" i="4"/>
  <c r="W1049" i="4"/>
  <c r="V1049" i="4"/>
  <c r="W1048" i="4"/>
  <c r="V1048" i="4"/>
  <c r="W1047" i="4"/>
  <c r="V1047" i="4"/>
  <c r="W1046" i="4"/>
  <c r="V1046" i="4"/>
  <c r="W1045" i="4"/>
  <c r="V1045" i="4"/>
  <c r="W1044" i="4"/>
  <c r="V1044" i="4"/>
  <c r="W1043" i="4"/>
  <c r="V1043" i="4"/>
  <c r="W1042" i="4"/>
  <c r="V1042" i="4"/>
  <c r="W1041" i="4"/>
  <c r="V1041" i="4"/>
  <c r="W1040" i="4"/>
  <c r="V1040" i="4"/>
  <c r="W1039" i="4"/>
  <c r="V1039" i="4"/>
  <c r="W1038" i="4"/>
  <c r="V1038" i="4"/>
  <c r="W1037" i="4"/>
  <c r="V1037" i="4"/>
  <c r="W1036" i="4"/>
  <c r="V1036" i="4"/>
  <c r="W1035" i="4"/>
  <c r="V1035" i="4"/>
  <c r="W1034" i="4"/>
  <c r="V1034" i="4"/>
  <c r="W1033" i="4"/>
  <c r="V1033" i="4"/>
  <c r="W1032" i="4"/>
  <c r="V1032" i="4"/>
  <c r="W1031" i="4"/>
  <c r="V1031" i="4"/>
  <c r="W1030" i="4"/>
  <c r="V1030" i="4"/>
  <c r="W1029" i="4"/>
  <c r="V1029" i="4"/>
  <c r="W1028" i="4"/>
  <c r="V1028" i="4"/>
  <c r="W1027" i="4"/>
  <c r="V1027" i="4"/>
  <c r="W1026" i="4"/>
  <c r="V1026" i="4"/>
  <c r="W1025" i="4"/>
  <c r="V1025" i="4"/>
  <c r="W1024" i="4"/>
  <c r="V1024" i="4"/>
  <c r="W1023" i="4"/>
  <c r="V1023" i="4"/>
  <c r="W1022" i="4"/>
  <c r="V1022" i="4"/>
  <c r="W1021" i="4"/>
  <c r="V1021" i="4"/>
  <c r="W1020" i="4"/>
  <c r="V1020" i="4"/>
  <c r="W1019" i="4"/>
  <c r="V1019" i="4"/>
  <c r="W1018" i="4"/>
  <c r="V1018" i="4"/>
  <c r="W1017" i="4"/>
  <c r="V1017" i="4"/>
  <c r="W1016" i="4"/>
  <c r="V1016" i="4"/>
  <c r="W1015" i="4"/>
  <c r="V1015" i="4"/>
  <c r="W1014" i="4"/>
  <c r="V1014" i="4"/>
  <c r="W1013" i="4"/>
  <c r="V1013" i="4"/>
  <c r="W1012" i="4"/>
  <c r="V1012" i="4"/>
  <c r="W1011" i="4"/>
  <c r="V1011" i="4"/>
  <c r="W1010" i="4"/>
  <c r="V1010" i="4"/>
  <c r="W1009" i="4"/>
  <c r="V1009" i="4"/>
  <c r="W1008" i="4"/>
  <c r="V1008" i="4"/>
  <c r="W1007" i="4"/>
  <c r="V1007" i="4"/>
  <c r="W1006" i="4"/>
  <c r="V1006" i="4"/>
  <c r="W1005" i="4"/>
  <c r="V1005" i="4"/>
  <c r="W1004" i="4"/>
  <c r="V1004" i="4"/>
  <c r="W1003" i="4"/>
  <c r="V1003" i="4"/>
  <c r="W1002" i="4"/>
  <c r="V1002" i="4"/>
  <c r="W1001" i="4"/>
  <c r="V1001" i="4"/>
  <c r="W1000" i="4"/>
  <c r="V1000" i="4"/>
  <c r="W999" i="4"/>
  <c r="V999" i="4"/>
  <c r="W998" i="4"/>
  <c r="V998" i="4"/>
  <c r="W997" i="4"/>
  <c r="V997" i="4"/>
  <c r="W996" i="4"/>
  <c r="V996" i="4"/>
  <c r="W995" i="4"/>
  <c r="V995" i="4"/>
  <c r="W994" i="4"/>
  <c r="V994" i="4"/>
  <c r="W993" i="4"/>
  <c r="V993" i="4"/>
  <c r="W992" i="4"/>
  <c r="V992" i="4"/>
  <c r="W991" i="4"/>
  <c r="V991" i="4"/>
  <c r="W990" i="4"/>
  <c r="V990" i="4"/>
  <c r="W989" i="4"/>
  <c r="V989" i="4"/>
  <c r="W988" i="4"/>
  <c r="V988" i="4"/>
  <c r="W987" i="4"/>
  <c r="V987" i="4"/>
  <c r="W986" i="4"/>
  <c r="V986" i="4"/>
  <c r="W985" i="4"/>
  <c r="V985" i="4"/>
  <c r="W984" i="4"/>
  <c r="V984" i="4"/>
  <c r="W983" i="4"/>
  <c r="V983" i="4"/>
  <c r="W982" i="4"/>
  <c r="V982" i="4"/>
  <c r="W981" i="4"/>
  <c r="V981" i="4"/>
  <c r="W980" i="4"/>
  <c r="V980" i="4"/>
  <c r="W979" i="4"/>
  <c r="V979" i="4"/>
  <c r="W978" i="4"/>
  <c r="V978" i="4"/>
  <c r="W977" i="4"/>
  <c r="V977" i="4"/>
  <c r="W976" i="4"/>
  <c r="V976" i="4"/>
  <c r="W975" i="4"/>
  <c r="V975" i="4"/>
  <c r="W974" i="4"/>
  <c r="V974" i="4"/>
  <c r="W973" i="4"/>
  <c r="V973" i="4"/>
  <c r="W972" i="4"/>
  <c r="V972" i="4"/>
  <c r="W971" i="4"/>
  <c r="V971" i="4"/>
  <c r="W970" i="4"/>
  <c r="V970" i="4"/>
  <c r="W969" i="4"/>
  <c r="V969" i="4"/>
  <c r="W968" i="4"/>
  <c r="V968" i="4"/>
  <c r="W967" i="4"/>
  <c r="V967" i="4"/>
  <c r="W966" i="4"/>
  <c r="V966" i="4"/>
  <c r="W965" i="4"/>
  <c r="V965" i="4"/>
  <c r="W964" i="4"/>
  <c r="V964" i="4"/>
  <c r="W963" i="4"/>
  <c r="V963" i="4"/>
  <c r="W962" i="4"/>
  <c r="V962" i="4"/>
  <c r="W961" i="4"/>
  <c r="V961" i="4"/>
  <c r="W960" i="4"/>
  <c r="V960" i="4"/>
  <c r="W959" i="4"/>
  <c r="V959" i="4"/>
  <c r="W958" i="4"/>
  <c r="V958" i="4"/>
  <c r="W957" i="4"/>
  <c r="V957" i="4"/>
  <c r="W956" i="4"/>
  <c r="V956" i="4"/>
  <c r="W955" i="4"/>
  <c r="V955" i="4"/>
  <c r="W954" i="4"/>
  <c r="V954" i="4"/>
  <c r="W953" i="4"/>
  <c r="V953" i="4"/>
  <c r="W952" i="4"/>
  <c r="V952" i="4"/>
  <c r="W951" i="4"/>
  <c r="V951" i="4"/>
  <c r="W950" i="4"/>
  <c r="V950" i="4"/>
  <c r="W949" i="4"/>
  <c r="V949" i="4"/>
  <c r="W948" i="4"/>
  <c r="V948" i="4"/>
  <c r="W947" i="4"/>
  <c r="V947" i="4"/>
  <c r="W946" i="4"/>
  <c r="V946" i="4"/>
  <c r="W945" i="4"/>
  <c r="V945" i="4"/>
  <c r="W944" i="4"/>
  <c r="V944" i="4"/>
  <c r="W943" i="4"/>
  <c r="V943" i="4"/>
  <c r="W942" i="4"/>
  <c r="V942" i="4"/>
  <c r="W941" i="4"/>
  <c r="V941" i="4"/>
  <c r="W940" i="4"/>
  <c r="V940" i="4"/>
  <c r="W939" i="4"/>
  <c r="V939" i="4"/>
  <c r="W938" i="4"/>
  <c r="V938" i="4"/>
  <c r="W937" i="4"/>
  <c r="V937" i="4"/>
  <c r="W936" i="4"/>
  <c r="V936" i="4"/>
  <c r="W935" i="4"/>
  <c r="V935" i="4"/>
  <c r="W934" i="4"/>
  <c r="V934" i="4"/>
  <c r="W933" i="4"/>
  <c r="V933" i="4"/>
  <c r="W932" i="4"/>
  <c r="V932" i="4"/>
  <c r="W931" i="4"/>
  <c r="V931" i="4"/>
  <c r="W930" i="4"/>
  <c r="V930" i="4"/>
  <c r="W929" i="4"/>
  <c r="V929" i="4"/>
  <c r="W928" i="4"/>
  <c r="V928" i="4"/>
  <c r="W927" i="4"/>
  <c r="V927" i="4"/>
  <c r="W926" i="4"/>
  <c r="V926" i="4"/>
  <c r="W925" i="4"/>
  <c r="V925" i="4"/>
  <c r="W924" i="4"/>
  <c r="V924" i="4"/>
  <c r="W923" i="4"/>
  <c r="V923" i="4"/>
  <c r="W922" i="4"/>
  <c r="V922" i="4"/>
  <c r="W921" i="4"/>
  <c r="V921" i="4"/>
  <c r="W920" i="4"/>
  <c r="V920" i="4"/>
  <c r="W919" i="4"/>
  <c r="V919" i="4"/>
  <c r="W918" i="4"/>
  <c r="V918" i="4"/>
  <c r="W917" i="4"/>
  <c r="V917" i="4"/>
  <c r="W916" i="4"/>
  <c r="V916" i="4"/>
  <c r="W915" i="4"/>
  <c r="V915" i="4"/>
  <c r="W914" i="4"/>
  <c r="V914" i="4"/>
  <c r="W913" i="4"/>
  <c r="V913" i="4"/>
  <c r="W912" i="4"/>
  <c r="V912" i="4"/>
  <c r="W911" i="4"/>
  <c r="V911" i="4"/>
  <c r="W910" i="4"/>
  <c r="V910" i="4"/>
  <c r="W909" i="4"/>
  <c r="V909" i="4"/>
  <c r="W908" i="4"/>
  <c r="V908" i="4"/>
  <c r="W907" i="4"/>
  <c r="V907" i="4"/>
  <c r="W906" i="4"/>
  <c r="V906" i="4"/>
  <c r="W905" i="4"/>
  <c r="V905" i="4"/>
  <c r="W904" i="4"/>
  <c r="V904" i="4"/>
  <c r="W903" i="4"/>
  <c r="V903" i="4"/>
  <c r="W902" i="4"/>
  <c r="V902" i="4"/>
  <c r="W901" i="4"/>
  <c r="V901" i="4"/>
  <c r="W900" i="4"/>
  <c r="V900" i="4"/>
  <c r="W899" i="4"/>
  <c r="V899" i="4"/>
  <c r="W898" i="4"/>
  <c r="V898" i="4"/>
  <c r="W897" i="4"/>
  <c r="V897" i="4"/>
  <c r="W896" i="4"/>
  <c r="V896" i="4"/>
  <c r="W895" i="4"/>
  <c r="V895" i="4"/>
  <c r="W894" i="4"/>
  <c r="V894" i="4"/>
  <c r="W893" i="4"/>
  <c r="V893" i="4"/>
  <c r="W892" i="4"/>
  <c r="V892" i="4"/>
  <c r="W891" i="4"/>
  <c r="V891" i="4"/>
  <c r="W890" i="4"/>
  <c r="V890" i="4"/>
  <c r="W889" i="4"/>
  <c r="V889" i="4"/>
  <c r="W888" i="4"/>
  <c r="V888" i="4"/>
  <c r="W887" i="4"/>
  <c r="V887" i="4"/>
  <c r="W886" i="4"/>
  <c r="V886" i="4"/>
  <c r="W885" i="4"/>
  <c r="V885" i="4"/>
  <c r="W884" i="4"/>
  <c r="V884" i="4"/>
  <c r="W883" i="4"/>
  <c r="V883" i="4"/>
  <c r="W882" i="4"/>
  <c r="V882" i="4"/>
  <c r="W881" i="4"/>
  <c r="V881" i="4"/>
  <c r="W880" i="4"/>
  <c r="V880" i="4"/>
  <c r="W879" i="4"/>
  <c r="V879" i="4"/>
  <c r="W878" i="4"/>
  <c r="V878" i="4"/>
  <c r="W877" i="4"/>
  <c r="V877" i="4"/>
  <c r="W876" i="4"/>
  <c r="V876" i="4"/>
  <c r="W875" i="4"/>
  <c r="V875" i="4"/>
  <c r="W874" i="4"/>
  <c r="V874" i="4"/>
  <c r="W873" i="4"/>
  <c r="V873" i="4"/>
  <c r="W872" i="4"/>
  <c r="V872" i="4"/>
  <c r="W871" i="4"/>
  <c r="V871" i="4"/>
  <c r="W870" i="4"/>
  <c r="V870" i="4"/>
  <c r="W869" i="4"/>
  <c r="V869" i="4"/>
  <c r="W868" i="4"/>
  <c r="V868" i="4"/>
  <c r="W867" i="4"/>
  <c r="V867" i="4"/>
  <c r="W866" i="4"/>
  <c r="V866" i="4"/>
  <c r="W865" i="4"/>
  <c r="V865" i="4"/>
  <c r="W864" i="4"/>
  <c r="V864" i="4"/>
  <c r="W863" i="4"/>
  <c r="V863" i="4"/>
  <c r="W862" i="4"/>
  <c r="V862" i="4"/>
  <c r="W861" i="4"/>
  <c r="V861" i="4"/>
  <c r="W860" i="4"/>
  <c r="V860" i="4"/>
  <c r="W859" i="4"/>
  <c r="V859" i="4"/>
  <c r="W858" i="4"/>
  <c r="V858" i="4"/>
  <c r="W857" i="4"/>
  <c r="V857" i="4"/>
  <c r="W856" i="4"/>
  <c r="V856" i="4"/>
  <c r="W855" i="4"/>
  <c r="V855" i="4"/>
  <c r="W854" i="4"/>
  <c r="V854" i="4"/>
  <c r="W853" i="4"/>
  <c r="V853" i="4"/>
  <c r="W852" i="4"/>
  <c r="V852" i="4"/>
  <c r="W851" i="4"/>
  <c r="V851" i="4"/>
  <c r="W850" i="4"/>
  <c r="V850" i="4"/>
  <c r="W849" i="4"/>
  <c r="V849" i="4"/>
  <c r="W848" i="4"/>
  <c r="V848" i="4"/>
  <c r="W847" i="4"/>
  <c r="V847" i="4"/>
  <c r="W846" i="4"/>
  <c r="V846" i="4"/>
  <c r="W845" i="4"/>
  <c r="V845" i="4"/>
  <c r="W844" i="4"/>
  <c r="V844" i="4"/>
  <c r="W843" i="4"/>
  <c r="V843" i="4"/>
  <c r="W842" i="4"/>
  <c r="V842" i="4"/>
  <c r="W841" i="4"/>
  <c r="V841" i="4"/>
  <c r="W840" i="4"/>
  <c r="V840" i="4"/>
  <c r="W839" i="4"/>
  <c r="V839" i="4"/>
  <c r="W838" i="4"/>
  <c r="V838" i="4"/>
  <c r="W837" i="4"/>
  <c r="V837" i="4"/>
  <c r="W836" i="4"/>
  <c r="V836" i="4"/>
  <c r="W835" i="4"/>
  <c r="V835" i="4"/>
  <c r="W834" i="4"/>
  <c r="V834" i="4"/>
  <c r="W833" i="4"/>
  <c r="V833" i="4"/>
  <c r="W832" i="4"/>
  <c r="V832" i="4"/>
  <c r="W831" i="4"/>
  <c r="V831" i="4"/>
  <c r="W830" i="4"/>
  <c r="V830" i="4"/>
  <c r="W829" i="4"/>
  <c r="V829" i="4"/>
  <c r="W828" i="4"/>
  <c r="V828" i="4"/>
  <c r="W827" i="4"/>
  <c r="V827" i="4"/>
  <c r="W826" i="4"/>
  <c r="V826" i="4"/>
  <c r="W825" i="4"/>
  <c r="V825" i="4"/>
  <c r="W824" i="4"/>
  <c r="V824" i="4"/>
  <c r="W823" i="4"/>
  <c r="V823" i="4"/>
  <c r="W822" i="4"/>
  <c r="V822" i="4"/>
  <c r="W821" i="4"/>
  <c r="V821" i="4"/>
  <c r="W820" i="4"/>
  <c r="V820" i="4"/>
  <c r="W819" i="4"/>
  <c r="V819" i="4"/>
  <c r="W818" i="4"/>
  <c r="V818" i="4"/>
  <c r="W817" i="4"/>
  <c r="V817" i="4"/>
  <c r="W816" i="4"/>
  <c r="V816" i="4"/>
  <c r="W815" i="4"/>
  <c r="V815" i="4"/>
  <c r="W814" i="4"/>
  <c r="V814" i="4"/>
  <c r="W813" i="4"/>
  <c r="V813" i="4"/>
  <c r="W812" i="4"/>
  <c r="V812" i="4"/>
  <c r="W811" i="4"/>
  <c r="V811" i="4"/>
  <c r="W810" i="4"/>
  <c r="V810" i="4"/>
  <c r="W809" i="4"/>
  <c r="V809" i="4"/>
  <c r="W808" i="4"/>
  <c r="V808" i="4"/>
  <c r="W807" i="4"/>
  <c r="V807" i="4"/>
  <c r="W806" i="4"/>
  <c r="V806" i="4"/>
  <c r="W805" i="4"/>
  <c r="V805" i="4"/>
  <c r="W804" i="4"/>
  <c r="V804" i="4"/>
  <c r="W803" i="4"/>
  <c r="V803" i="4"/>
  <c r="W802" i="4"/>
  <c r="V802" i="4"/>
  <c r="W801" i="4"/>
  <c r="V801" i="4"/>
  <c r="W800" i="4"/>
  <c r="V800" i="4"/>
  <c r="W799" i="4"/>
  <c r="V799" i="4"/>
  <c r="W798" i="4"/>
  <c r="V798" i="4"/>
  <c r="W797" i="4"/>
  <c r="V797" i="4"/>
  <c r="W796" i="4"/>
  <c r="V796" i="4"/>
  <c r="W795" i="4"/>
  <c r="V795" i="4"/>
  <c r="W794" i="4"/>
  <c r="V794" i="4"/>
  <c r="W793" i="4"/>
  <c r="V793" i="4"/>
  <c r="W792" i="4"/>
  <c r="V792" i="4"/>
  <c r="W791" i="4"/>
  <c r="V791" i="4"/>
  <c r="W790" i="4"/>
  <c r="V790" i="4"/>
  <c r="W789" i="4"/>
  <c r="V789" i="4"/>
  <c r="W788" i="4"/>
  <c r="V788" i="4"/>
  <c r="W787" i="4"/>
  <c r="V787" i="4"/>
  <c r="W786" i="4"/>
  <c r="V786" i="4"/>
  <c r="W785" i="4"/>
  <c r="V785" i="4"/>
  <c r="W784" i="4"/>
  <c r="V784" i="4"/>
  <c r="W783" i="4"/>
  <c r="V783" i="4"/>
  <c r="W782" i="4"/>
  <c r="V782" i="4"/>
  <c r="W781" i="4"/>
  <c r="V781" i="4"/>
  <c r="W780" i="4"/>
  <c r="V780" i="4"/>
  <c r="W779" i="4"/>
  <c r="V779" i="4"/>
  <c r="W778" i="4"/>
  <c r="V778" i="4"/>
  <c r="W777" i="4"/>
  <c r="V777" i="4"/>
  <c r="W776" i="4"/>
  <c r="V776" i="4"/>
  <c r="W775" i="4"/>
  <c r="V775" i="4"/>
  <c r="W774" i="4"/>
  <c r="V774" i="4"/>
  <c r="W773" i="4"/>
  <c r="V773" i="4"/>
  <c r="W772" i="4"/>
  <c r="V772" i="4"/>
  <c r="W771" i="4"/>
  <c r="V771" i="4"/>
  <c r="W770" i="4"/>
  <c r="V770" i="4"/>
  <c r="W769" i="4"/>
  <c r="V769" i="4"/>
  <c r="W768" i="4"/>
  <c r="V768" i="4"/>
  <c r="W767" i="4"/>
  <c r="V767" i="4"/>
  <c r="W766" i="4"/>
  <c r="V766" i="4"/>
  <c r="W765" i="4"/>
  <c r="V765" i="4"/>
  <c r="W764" i="4"/>
  <c r="V764" i="4"/>
  <c r="W763" i="4"/>
  <c r="V763" i="4"/>
  <c r="W762" i="4"/>
  <c r="V762" i="4"/>
  <c r="W761" i="4"/>
  <c r="V761" i="4"/>
  <c r="W760" i="4"/>
  <c r="V760" i="4"/>
  <c r="W759" i="4"/>
  <c r="V759" i="4"/>
  <c r="W758" i="4"/>
  <c r="V758" i="4"/>
  <c r="W757" i="4"/>
  <c r="V757" i="4"/>
  <c r="W756" i="4"/>
  <c r="V756" i="4"/>
  <c r="W755" i="4"/>
  <c r="V755" i="4"/>
  <c r="W754" i="4"/>
  <c r="V754" i="4"/>
  <c r="W753" i="4"/>
  <c r="V753" i="4"/>
  <c r="W752" i="4"/>
  <c r="V752" i="4"/>
  <c r="W751" i="4"/>
  <c r="V751" i="4"/>
  <c r="W750" i="4"/>
  <c r="V750" i="4"/>
  <c r="W749" i="4"/>
  <c r="V749" i="4"/>
  <c r="W748" i="4"/>
  <c r="V748" i="4"/>
  <c r="W747" i="4"/>
  <c r="V747" i="4"/>
  <c r="W746" i="4"/>
  <c r="V746" i="4"/>
  <c r="W745" i="4"/>
  <c r="V745" i="4"/>
  <c r="W744" i="4"/>
  <c r="V744" i="4"/>
  <c r="W743" i="4"/>
  <c r="V743" i="4"/>
  <c r="W742" i="4"/>
  <c r="V742" i="4"/>
  <c r="W741" i="4"/>
  <c r="V741" i="4"/>
  <c r="W740" i="4"/>
  <c r="V740" i="4"/>
  <c r="W739" i="4"/>
  <c r="V739" i="4"/>
  <c r="W738" i="4"/>
  <c r="V738" i="4"/>
  <c r="W737" i="4"/>
  <c r="V737" i="4"/>
  <c r="W736" i="4"/>
  <c r="V736" i="4"/>
  <c r="W735" i="4"/>
  <c r="V735" i="4"/>
  <c r="W734" i="4"/>
  <c r="V734" i="4"/>
  <c r="W733" i="4"/>
  <c r="V733" i="4"/>
  <c r="W732" i="4"/>
  <c r="V732" i="4"/>
  <c r="W731" i="4"/>
  <c r="V731" i="4"/>
  <c r="W730" i="4"/>
  <c r="V730" i="4"/>
  <c r="W729" i="4"/>
  <c r="V729" i="4"/>
  <c r="W728" i="4"/>
  <c r="V728" i="4"/>
  <c r="W727" i="4"/>
  <c r="V727" i="4"/>
  <c r="W726" i="4"/>
  <c r="V726" i="4"/>
  <c r="W725" i="4"/>
  <c r="V725" i="4"/>
  <c r="W724" i="4"/>
  <c r="V724" i="4"/>
  <c r="W723" i="4"/>
  <c r="V723" i="4"/>
  <c r="W722" i="4"/>
  <c r="V722" i="4"/>
  <c r="W721" i="4"/>
  <c r="V721" i="4"/>
  <c r="W720" i="4"/>
  <c r="V720" i="4"/>
  <c r="W719" i="4"/>
  <c r="V719" i="4"/>
  <c r="W718" i="4"/>
  <c r="V718" i="4"/>
  <c r="W717" i="4"/>
  <c r="V717" i="4"/>
  <c r="W716" i="4"/>
  <c r="V716" i="4"/>
  <c r="W715" i="4"/>
  <c r="V715" i="4"/>
  <c r="W714" i="4"/>
  <c r="V714" i="4"/>
  <c r="W713" i="4"/>
  <c r="V713" i="4"/>
  <c r="W712" i="4"/>
  <c r="V712" i="4"/>
  <c r="W711" i="4"/>
  <c r="V711" i="4"/>
  <c r="W710" i="4"/>
  <c r="V710" i="4"/>
  <c r="W709" i="4"/>
  <c r="V709" i="4"/>
  <c r="W708" i="4"/>
  <c r="V708" i="4"/>
  <c r="W707" i="4"/>
  <c r="V707" i="4"/>
  <c r="W706" i="4"/>
  <c r="V706" i="4"/>
  <c r="W705" i="4"/>
  <c r="V705" i="4"/>
  <c r="W704" i="4"/>
  <c r="V704" i="4"/>
  <c r="W703" i="4"/>
  <c r="V703" i="4"/>
  <c r="W702" i="4"/>
  <c r="V702" i="4"/>
  <c r="W701" i="4"/>
  <c r="V701" i="4"/>
  <c r="W700" i="4"/>
  <c r="V700" i="4"/>
  <c r="W699" i="4"/>
  <c r="V699" i="4"/>
  <c r="W698" i="4"/>
  <c r="V698" i="4"/>
  <c r="W697" i="4"/>
  <c r="V697" i="4"/>
  <c r="W696" i="4"/>
  <c r="V696" i="4"/>
  <c r="W695" i="4"/>
  <c r="V695" i="4"/>
  <c r="W694" i="4"/>
  <c r="V694" i="4"/>
  <c r="W693" i="4"/>
  <c r="V693" i="4"/>
  <c r="W692" i="4"/>
  <c r="V692" i="4"/>
  <c r="W691" i="4"/>
  <c r="V691" i="4"/>
  <c r="W690" i="4"/>
  <c r="V690" i="4"/>
  <c r="W689" i="4"/>
  <c r="V689" i="4"/>
  <c r="W688" i="4"/>
  <c r="V688" i="4"/>
  <c r="W687" i="4"/>
  <c r="V687" i="4"/>
  <c r="W686" i="4"/>
  <c r="V686" i="4"/>
  <c r="W685" i="4"/>
  <c r="V685" i="4"/>
  <c r="W684" i="4"/>
  <c r="V684" i="4"/>
  <c r="W683" i="4"/>
  <c r="V683" i="4"/>
  <c r="W682" i="4"/>
  <c r="V682" i="4"/>
  <c r="W681" i="4"/>
  <c r="V681" i="4"/>
  <c r="W680" i="4"/>
  <c r="V680" i="4"/>
  <c r="W679" i="4"/>
  <c r="V679" i="4"/>
  <c r="W678" i="4"/>
  <c r="V678" i="4"/>
  <c r="W677" i="4"/>
  <c r="V677" i="4"/>
  <c r="W676" i="4"/>
  <c r="V676" i="4"/>
  <c r="W675" i="4"/>
  <c r="V675" i="4"/>
  <c r="W674" i="4"/>
  <c r="V674" i="4"/>
  <c r="W673" i="4"/>
  <c r="V673" i="4"/>
  <c r="W672" i="4"/>
  <c r="V672" i="4"/>
  <c r="W671" i="4"/>
  <c r="V671" i="4"/>
  <c r="W670" i="4"/>
  <c r="V670" i="4"/>
  <c r="W669" i="4"/>
  <c r="V669" i="4"/>
  <c r="W668" i="4"/>
  <c r="V668" i="4"/>
  <c r="W667" i="4"/>
  <c r="V667" i="4"/>
  <c r="W666" i="4"/>
  <c r="V666" i="4"/>
  <c r="W665" i="4"/>
  <c r="V665" i="4"/>
  <c r="W664" i="4"/>
  <c r="V664" i="4"/>
  <c r="W663" i="4"/>
  <c r="V663" i="4"/>
  <c r="W662" i="4"/>
  <c r="V662" i="4"/>
  <c r="W661" i="4"/>
  <c r="V661" i="4"/>
  <c r="W660" i="4"/>
  <c r="V660" i="4"/>
  <c r="W659" i="4"/>
  <c r="V659" i="4"/>
  <c r="W658" i="4"/>
  <c r="V658" i="4"/>
  <c r="W657" i="4"/>
  <c r="V657" i="4"/>
  <c r="W656" i="4"/>
  <c r="V656" i="4"/>
  <c r="W655" i="4"/>
  <c r="V655" i="4"/>
  <c r="W654" i="4"/>
  <c r="V654" i="4"/>
  <c r="W653" i="4"/>
  <c r="V653" i="4"/>
  <c r="W652" i="4"/>
  <c r="V652" i="4"/>
  <c r="W651" i="4"/>
  <c r="V651" i="4"/>
  <c r="W650" i="4"/>
  <c r="V650" i="4"/>
  <c r="W649" i="4"/>
  <c r="V649" i="4"/>
  <c r="W648" i="4"/>
  <c r="V648" i="4"/>
  <c r="W647" i="4"/>
  <c r="V647" i="4"/>
  <c r="W646" i="4"/>
  <c r="V646" i="4"/>
  <c r="W645" i="4"/>
  <c r="V645" i="4"/>
  <c r="W644" i="4"/>
  <c r="V644" i="4"/>
  <c r="W643" i="4"/>
  <c r="V643" i="4"/>
  <c r="W642" i="4"/>
  <c r="V642" i="4"/>
  <c r="W641" i="4"/>
  <c r="V641" i="4"/>
  <c r="W640" i="4"/>
  <c r="V640" i="4"/>
  <c r="W639" i="4"/>
  <c r="V639" i="4"/>
  <c r="W638" i="4"/>
  <c r="V638" i="4"/>
  <c r="W637" i="4"/>
  <c r="V637" i="4"/>
  <c r="W636" i="4"/>
  <c r="V636" i="4"/>
  <c r="W635" i="4"/>
  <c r="V635" i="4"/>
  <c r="W634" i="4"/>
  <c r="V634" i="4"/>
  <c r="W633" i="4"/>
  <c r="V633" i="4"/>
  <c r="W632" i="4"/>
  <c r="V632" i="4"/>
  <c r="W631" i="4"/>
  <c r="V631" i="4"/>
  <c r="W630" i="4"/>
  <c r="V630" i="4"/>
  <c r="W629" i="4"/>
  <c r="V629" i="4"/>
  <c r="W628" i="4"/>
  <c r="V628" i="4"/>
  <c r="W627" i="4"/>
  <c r="V627" i="4"/>
  <c r="W626" i="4"/>
  <c r="V626" i="4"/>
  <c r="W625" i="4"/>
  <c r="V625" i="4"/>
  <c r="W624" i="4"/>
  <c r="V624" i="4"/>
  <c r="W623" i="4"/>
  <c r="V623" i="4"/>
  <c r="W622" i="4"/>
  <c r="V622" i="4"/>
  <c r="W621" i="4"/>
  <c r="V621" i="4"/>
  <c r="W620" i="4"/>
  <c r="V620" i="4"/>
  <c r="W619" i="4"/>
  <c r="V619" i="4"/>
  <c r="W618" i="4"/>
  <c r="V618" i="4"/>
  <c r="W617" i="4"/>
  <c r="V617" i="4"/>
  <c r="W616" i="4"/>
  <c r="V616" i="4"/>
  <c r="W615" i="4"/>
  <c r="V615" i="4"/>
  <c r="W614" i="4"/>
  <c r="V614" i="4"/>
  <c r="W613" i="4"/>
  <c r="V613" i="4"/>
  <c r="W612" i="4"/>
  <c r="V612" i="4"/>
  <c r="W611" i="4"/>
  <c r="V611" i="4"/>
  <c r="W610" i="4"/>
  <c r="V610" i="4"/>
  <c r="W609" i="4"/>
  <c r="V609" i="4"/>
  <c r="W608" i="4"/>
  <c r="V608" i="4"/>
  <c r="W607" i="4"/>
  <c r="V607" i="4"/>
  <c r="W606" i="4"/>
  <c r="V606" i="4"/>
  <c r="W605" i="4"/>
  <c r="V605" i="4"/>
  <c r="W604" i="4"/>
  <c r="V604" i="4"/>
  <c r="W603" i="4"/>
  <c r="V603" i="4"/>
  <c r="W602" i="4"/>
  <c r="V602" i="4"/>
  <c r="W601" i="4"/>
  <c r="V601" i="4"/>
  <c r="W600" i="4"/>
  <c r="V600" i="4"/>
  <c r="W599" i="4"/>
  <c r="V599" i="4"/>
  <c r="W598" i="4"/>
  <c r="V598" i="4"/>
  <c r="W597" i="4"/>
  <c r="V597" i="4"/>
  <c r="W596" i="4"/>
  <c r="V596" i="4"/>
  <c r="W595" i="4"/>
  <c r="V595" i="4"/>
  <c r="W594" i="4"/>
  <c r="V594" i="4"/>
  <c r="W593" i="4"/>
  <c r="V593" i="4"/>
  <c r="W592" i="4"/>
  <c r="V592" i="4"/>
  <c r="W591" i="4"/>
  <c r="V591" i="4"/>
  <c r="W590" i="4"/>
  <c r="V590" i="4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W576" i="4"/>
  <c r="V576" i="4"/>
  <c r="W575" i="4"/>
  <c r="V575" i="4"/>
  <c r="W574" i="4"/>
  <c r="V574" i="4"/>
  <c r="W573" i="4"/>
  <c r="V573" i="4"/>
  <c r="W572" i="4"/>
  <c r="V572" i="4"/>
  <c r="W571" i="4"/>
  <c r="V571" i="4"/>
  <c r="W570" i="4"/>
  <c r="V570" i="4"/>
  <c r="W569" i="4"/>
  <c r="V569" i="4"/>
  <c r="W568" i="4"/>
  <c r="V568" i="4"/>
  <c r="W567" i="4"/>
  <c r="V567" i="4"/>
  <c r="W566" i="4"/>
  <c r="V566" i="4"/>
  <c r="W565" i="4"/>
  <c r="V565" i="4"/>
  <c r="W564" i="4"/>
  <c r="V564" i="4"/>
  <c r="W563" i="4"/>
  <c r="V563" i="4"/>
  <c r="W562" i="4"/>
  <c r="V562" i="4"/>
  <c r="W561" i="4"/>
  <c r="V561" i="4"/>
  <c r="W560" i="4"/>
  <c r="V560" i="4"/>
  <c r="W559" i="4"/>
  <c r="V559" i="4"/>
  <c r="W558" i="4"/>
  <c r="V558" i="4"/>
  <c r="W557" i="4"/>
  <c r="V557" i="4"/>
  <c r="W556" i="4"/>
  <c r="V556" i="4"/>
  <c r="W555" i="4"/>
  <c r="V555" i="4"/>
  <c r="W554" i="4"/>
  <c r="V554" i="4"/>
  <c r="W553" i="4"/>
  <c r="V553" i="4"/>
  <c r="W552" i="4"/>
  <c r="V552" i="4"/>
  <c r="W551" i="4"/>
  <c r="V551" i="4"/>
  <c r="W550" i="4"/>
  <c r="V550" i="4"/>
  <c r="W549" i="4"/>
  <c r="V549" i="4"/>
  <c r="W548" i="4"/>
  <c r="V548" i="4"/>
  <c r="W547" i="4"/>
  <c r="V547" i="4"/>
  <c r="W546" i="4"/>
  <c r="V546" i="4"/>
  <c r="W545" i="4"/>
  <c r="V545" i="4"/>
  <c r="W544" i="4"/>
  <c r="V544" i="4"/>
  <c r="W543" i="4"/>
  <c r="V543" i="4"/>
  <c r="W542" i="4"/>
  <c r="V542" i="4"/>
  <c r="W541" i="4"/>
  <c r="V541" i="4"/>
  <c r="W540" i="4"/>
  <c r="V540" i="4"/>
  <c r="W539" i="4"/>
  <c r="V539" i="4"/>
  <c r="W538" i="4"/>
  <c r="V538" i="4"/>
  <c r="W537" i="4"/>
  <c r="V537" i="4"/>
  <c r="W536" i="4"/>
  <c r="V536" i="4"/>
  <c r="W535" i="4"/>
  <c r="V535" i="4"/>
  <c r="W534" i="4"/>
  <c r="V534" i="4"/>
  <c r="W533" i="4"/>
  <c r="V533" i="4"/>
  <c r="W532" i="4"/>
  <c r="V532" i="4"/>
  <c r="W531" i="4"/>
  <c r="V531" i="4"/>
  <c r="W530" i="4"/>
  <c r="V530" i="4"/>
  <c r="W529" i="4"/>
  <c r="V529" i="4"/>
  <c r="W528" i="4"/>
  <c r="V528" i="4"/>
  <c r="W527" i="4"/>
  <c r="V527" i="4"/>
  <c r="W526" i="4"/>
  <c r="V526" i="4"/>
  <c r="W525" i="4"/>
  <c r="V525" i="4"/>
  <c r="W524" i="4"/>
  <c r="V524" i="4"/>
  <c r="W523" i="4"/>
  <c r="V523" i="4"/>
  <c r="W522" i="4"/>
  <c r="V522" i="4"/>
  <c r="W521" i="4"/>
  <c r="V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1" i="4"/>
  <c r="V511" i="4"/>
  <c r="W510" i="4"/>
  <c r="V510" i="4"/>
  <c r="W509" i="4"/>
  <c r="V509" i="4"/>
  <c r="W508" i="4"/>
  <c r="V508" i="4"/>
  <c r="W507" i="4"/>
  <c r="V507" i="4"/>
  <c r="W506" i="4"/>
  <c r="V506" i="4"/>
  <c r="W505" i="4"/>
  <c r="V505" i="4"/>
  <c r="W504" i="4"/>
  <c r="V504" i="4"/>
  <c r="W503" i="4"/>
  <c r="V503" i="4"/>
  <c r="W502" i="4"/>
  <c r="V502" i="4"/>
  <c r="W501" i="4"/>
  <c r="V501" i="4"/>
  <c r="W500" i="4"/>
  <c r="V500" i="4"/>
  <c r="W499" i="4"/>
  <c r="V499" i="4"/>
  <c r="W498" i="4"/>
  <c r="V498" i="4"/>
  <c r="W497" i="4"/>
  <c r="V497" i="4"/>
  <c r="W496" i="4"/>
  <c r="V496" i="4"/>
  <c r="W495" i="4"/>
  <c r="V495" i="4"/>
  <c r="W494" i="4"/>
  <c r="V494" i="4"/>
  <c r="W493" i="4"/>
  <c r="V493" i="4"/>
  <c r="W492" i="4"/>
  <c r="V492" i="4"/>
  <c r="W491" i="4"/>
  <c r="V491" i="4"/>
  <c r="W490" i="4"/>
  <c r="V490" i="4"/>
  <c r="W489" i="4"/>
  <c r="V489" i="4"/>
  <c r="W488" i="4"/>
  <c r="V488" i="4"/>
  <c r="W487" i="4"/>
  <c r="V487" i="4"/>
  <c r="W486" i="4"/>
  <c r="V486" i="4"/>
  <c r="W485" i="4"/>
  <c r="V485" i="4"/>
  <c r="W484" i="4"/>
  <c r="V484" i="4"/>
  <c r="W483" i="4"/>
  <c r="V483" i="4"/>
  <c r="W482" i="4"/>
  <c r="V482" i="4"/>
  <c r="W481" i="4"/>
  <c r="V481" i="4"/>
  <c r="W480" i="4"/>
  <c r="V480" i="4"/>
  <c r="W479" i="4"/>
  <c r="V479" i="4"/>
  <c r="W478" i="4"/>
  <c r="V478" i="4"/>
  <c r="W477" i="4"/>
  <c r="V477" i="4"/>
  <c r="W476" i="4"/>
  <c r="V476" i="4"/>
  <c r="W475" i="4"/>
  <c r="V475" i="4"/>
  <c r="W474" i="4"/>
  <c r="V474" i="4"/>
  <c r="W473" i="4"/>
  <c r="V473" i="4"/>
  <c r="W472" i="4"/>
  <c r="V472" i="4"/>
  <c r="W471" i="4"/>
  <c r="V471" i="4"/>
  <c r="W470" i="4"/>
  <c r="V470" i="4"/>
  <c r="W469" i="4"/>
  <c r="V469" i="4"/>
  <c r="W468" i="4"/>
  <c r="V468" i="4"/>
  <c r="W467" i="4"/>
  <c r="V467" i="4"/>
  <c r="W466" i="4"/>
  <c r="V466" i="4"/>
  <c r="W465" i="4"/>
  <c r="V465" i="4"/>
  <c r="W464" i="4"/>
  <c r="V464" i="4"/>
  <c r="W463" i="4"/>
  <c r="V463" i="4"/>
  <c r="W462" i="4"/>
  <c r="V462" i="4"/>
  <c r="W461" i="4"/>
  <c r="V461" i="4"/>
  <c r="W460" i="4"/>
  <c r="V460" i="4"/>
  <c r="W459" i="4"/>
  <c r="V459" i="4"/>
  <c r="W458" i="4"/>
  <c r="V458" i="4"/>
  <c r="W457" i="4"/>
  <c r="V457" i="4"/>
  <c r="W456" i="4"/>
  <c r="V456" i="4"/>
  <c r="W455" i="4"/>
  <c r="V455" i="4"/>
  <c r="W454" i="4"/>
  <c r="V454" i="4"/>
  <c r="W453" i="4"/>
  <c r="V453" i="4"/>
  <c r="W452" i="4"/>
  <c r="V452" i="4"/>
  <c r="W451" i="4"/>
  <c r="V451" i="4"/>
  <c r="W450" i="4"/>
  <c r="V450" i="4"/>
  <c r="W449" i="4"/>
  <c r="V449" i="4"/>
  <c r="W448" i="4"/>
  <c r="V448" i="4"/>
  <c r="W447" i="4"/>
  <c r="V447" i="4"/>
  <c r="W446" i="4"/>
  <c r="V446" i="4"/>
  <c r="W445" i="4"/>
  <c r="V445" i="4"/>
  <c r="W444" i="4"/>
  <c r="V444" i="4"/>
  <c r="W443" i="4"/>
  <c r="V443" i="4"/>
  <c r="W442" i="4"/>
  <c r="V442" i="4"/>
  <c r="W441" i="4"/>
  <c r="V441" i="4"/>
  <c r="W440" i="4"/>
  <c r="V440" i="4"/>
  <c r="W439" i="4"/>
  <c r="V439" i="4"/>
  <c r="W438" i="4"/>
  <c r="V438" i="4"/>
  <c r="W437" i="4"/>
  <c r="V437" i="4"/>
  <c r="W436" i="4"/>
  <c r="V436" i="4"/>
  <c r="W435" i="4"/>
  <c r="V435" i="4"/>
  <c r="W434" i="4"/>
  <c r="V434" i="4"/>
  <c r="W433" i="4"/>
  <c r="V433" i="4"/>
  <c r="W432" i="4"/>
  <c r="V432" i="4"/>
  <c r="W431" i="4"/>
  <c r="V431" i="4"/>
  <c r="W430" i="4"/>
  <c r="V430" i="4"/>
  <c r="W429" i="4"/>
  <c r="V429" i="4"/>
  <c r="W428" i="4"/>
  <c r="V428" i="4"/>
  <c r="W427" i="4"/>
  <c r="V427" i="4"/>
  <c r="W426" i="4"/>
  <c r="V426" i="4"/>
  <c r="W425" i="4"/>
  <c r="V425" i="4"/>
  <c r="W424" i="4"/>
  <c r="V424" i="4"/>
  <c r="W423" i="4"/>
  <c r="V423" i="4"/>
  <c r="W422" i="4"/>
  <c r="V422" i="4"/>
  <c r="W421" i="4"/>
  <c r="V421" i="4"/>
  <c r="W420" i="4"/>
  <c r="V420" i="4"/>
  <c r="W419" i="4"/>
  <c r="V419" i="4"/>
  <c r="W418" i="4"/>
  <c r="V418" i="4"/>
  <c r="W417" i="4"/>
  <c r="V417" i="4"/>
  <c r="W416" i="4"/>
  <c r="V416" i="4"/>
  <c r="W415" i="4"/>
  <c r="V415" i="4"/>
  <c r="W414" i="4"/>
  <c r="V414" i="4"/>
  <c r="W413" i="4"/>
  <c r="V413" i="4"/>
  <c r="W412" i="4"/>
  <c r="V412" i="4"/>
  <c r="W411" i="4"/>
  <c r="V411" i="4"/>
  <c r="W410" i="4"/>
  <c r="V410" i="4"/>
  <c r="W409" i="4"/>
  <c r="V409" i="4"/>
  <c r="W408" i="4"/>
  <c r="V408" i="4"/>
  <c r="W407" i="4"/>
  <c r="V407" i="4"/>
  <c r="W406" i="4"/>
  <c r="V406" i="4"/>
  <c r="W405" i="4"/>
  <c r="V405" i="4"/>
  <c r="W404" i="4"/>
  <c r="V404" i="4"/>
  <c r="W403" i="4"/>
  <c r="V403" i="4"/>
  <c r="W402" i="4"/>
  <c r="V402" i="4"/>
  <c r="W401" i="4"/>
  <c r="V401" i="4"/>
  <c r="W400" i="4"/>
  <c r="V400" i="4"/>
  <c r="W399" i="4"/>
  <c r="V399" i="4"/>
  <c r="W398" i="4"/>
  <c r="V398" i="4"/>
  <c r="W397" i="4"/>
  <c r="V397" i="4"/>
  <c r="W396" i="4"/>
  <c r="V396" i="4"/>
  <c r="W395" i="4"/>
  <c r="V395" i="4"/>
  <c r="W394" i="4"/>
  <c r="V394" i="4"/>
  <c r="W393" i="4"/>
  <c r="V393" i="4"/>
  <c r="W392" i="4"/>
  <c r="V392" i="4"/>
  <c r="W391" i="4"/>
  <c r="V391" i="4"/>
  <c r="W390" i="4"/>
  <c r="V390" i="4"/>
  <c r="W389" i="4"/>
  <c r="V389" i="4"/>
  <c r="W388" i="4"/>
  <c r="V388" i="4"/>
  <c r="W387" i="4"/>
  <c r="V387" i="4"/>
  <c r="W386" i="4"/>
  <c r="V386" i="4"/>
  <c r="W385" i="4"/>
  <c r="V385" i="4"/>
  <c r="W384" i="4"/>
  <c r="V384" i="4"/>
  <c r="W383" i="4"/>
  <c r="V383" i="4"/>
  <c r="W382" i="4"/>
  <c r="V382" i="4"/>
  <c r="W381" i="4"/>
  <c r="V381" i="4"/>
  <c r="W380" i="4"/>
  <c r="V380" i="4"/>
  <c r="W379" i="4"/>
  <c r="V379" i="4"/>
  <c r="W378" i="4"/>
  <c r="V378" i="4"/>
  <c r="W377" i="4"/>
  <c r="V377" i="4"/>
  <c r="W376" i="4"/>
  <c r="V376" i="4"/>
  <c r="W375" i="4"/>
  <c r="V375" i="4"/>
  <c r="W374" i="4"/>
  <c r="V374" i="4"/>
  <c r="W373" i="4"/>
  <c r="V373" i="4"/>
  <c r="W372" i="4"/>
  <c r="V372" i="4"/>
  <c r="W371" i="4"/>
  <c r="V371" i="4"/>
  <c r="W370" i="4"/>
  <c r="V370" i="4"/>
  <c r="W369" i="4"/>
  <c r="V369" i="4"/>
  <c r="W368" i="4"/>
  <c r="V368" i="4"/>
  <c r="W367" i="4"/>
  <c r="V367" i="4"/>
  <c r="W366" i="4"/>
  <c r="V366" i="4"/>
  <c r="W365" i="4"/>
  <c r="V365" i="4"/>
  <c r="W364" i="4"/>
  <c r="V364" i="4"/>
  <c r="W363" i="4"/>
  <c r="V363" i="4"/>
  <c r="W362" i="4"/>
  <c r="V362" i="4"/>
  <c r="W361" i="4"/>
  <c r="V361" i="4"/>
  <c r="W360" i="4"/>
  <c r="V360" i="4"/>
  <c r="W359" i="4"/>
  <c r="V359" i="4"/>
  <c r="W358" i="4"/>
  <c r="V358" i="4"/>
  <c r="W357" i="4"/>
  <c r="V357" i="4"/>
  <c r="W356" i="4"/>
  <c r="V356" i="4"/>
  <c r="W355" i="4"/>
  <c r="V355" i="4"/>
  <c r="W354" i="4"/>
  <c r="V354" i="4"/>
  <c r="W353" i="4"/>
  <c r="V353" i="4"/>
  <c r="W352" i="4"/>
  <c r="V352" i="4"/>
  <c r="W351" i="4"/>
  <c r="V351" i="4"/>
  <c r="W350" i="4"/>
  <c r="V350" i="4"/>
  <c r="W349" i="4"/>
  <c r="V349" i="4"/>
  <c r="W348" i="4"/>
  <c r="V348" i="4"/>
  <c r="W347" i="4"/>
  <c r="V347" i="4"/>
  <c r="W346" i="4"/>
  <c r="V346" i="4"/>
  <c r="W345" i="4"/>
  <c r="V345" i="4"/>
  <c r="W344" i="4"/>
  <c r="V344" i="4"/>
  <c r="W343" i="4"/>
  <c r="V343" i="4"/>
  <c r="W342" i="4"/>
  <c r="V342" i="4"/>
  <c r="W341" i="4"/>
  <c r="V341" i="4"/>
  <c r="W340" i="4"/>
  <c r="V340" i="4"/>
  <c r="W339" i="4"/>
  <c r="V339" i="4"/>
  <c r="W338" i="4"/>
  <c r="V338" i="4"/>
  <c r="W337" i="4"/>
  <c r="V337" i="4"/>
  <c r="W336" i="4"/>
  <c r="V336" i="4"/>
  <c r="W335" i="4"/>
  <c r="V335" i="4"/>
  <c r="W334" i="4"/>
  <c r="V334" i="4"/>
  <c r="W333" i="4"/>
  <c r="V333" i="4"/>
  <c r="W332" i="4"/>
  <c r="V332" i="4"/>
  <c r="W331" i="4"/>
  <c r="V331" i="4"/>
  <c r="W330" i="4"/>
  <c r="V330" i="4"/>
  <c r="W329" i="4"/>
  <c r="V329" i="4"/>
  <c r="W328" i="4"/>
  <c r="V328" i="4"/>
  <c r="W327" i="4"/>
  <c r="V327" i="4"/>
  <c r="W326" i="4"/>
  <c r="V326" i="4"/>
  <c r="W325" i="4"/>
  <c r="V325" i="4"/>
  <c r="W324" i="4"/>
  <c r="V324" i="4"/>
  <c r="W323" i="4"/>
  <c r="V323" i="4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3" i="4"/>
  <c r="V313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W274" i="4"/>
  <c r="V274" i="4"/>
  <c r="W273" i="4"/>
  <c r="V273" i="4"/>
  <c r="W272" i="4"/>
  <c r="V272" i="4"/>
  <c r="W271" i="4"/>
  <c r="V271" i="4"/>
  <c r="W270" i="4"/>
  <c r="V270" i="4"/>
  <c r="W269" i="4"/>
  <c r="V269" i="4"/>
  <c r="W268" i="4"/>
  <c r="V268" i="4"/>
  <c r="W267" i="4"/>
  <c r="V267" i="4"/>
  <c r="W266" i="4"/>
  <c r="V266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9" i="4"/>
  <c r="V249" i="4"/>
  <c r="W248" i="4"/>
  <c r="V248" i="4"/>
  <c r="W247" i="4"/>
  <c r="V247" i="4"/>
  <c r="W246" i="4"/>
  <c r="V246" i="4"/>
  <c r="W245" i="4"/>
  <c r="V245" i="4"/>
  <c r="W244" i="4"/>
  <c r="V244" i="4"/>
  <c r="W243" i="4"/>
  <c r="V243" i="4"/>
  <c r="W242" i="4"/>
  <c r="V242" i="4"/>
  <c r="W241" i="4"/>
  <c r="V241" i="4"/>
  <c r="W240" i="4"/>
  <c r="V240" i="4"/>
  <c r="W239" i="4"/>
  <c r="V239" i="4"/>
  <c r="W238" i="4"/>
  <c r="V238" i="4"/>
  <c r="W237" i="4"/>
  <c r="V237" i="4"/>
  <c r="W236" i="4"/>
  <c r="V236" i="4"/>
  <c r="W235" i="4"/>
  <c r="V235" i="4"/>
  <c r="W234" i="4"/>
  <c r="V234" i="4"/>
  <c r="W233" i="4"/>
  <c r="V233" i="4"/>
  <c r="W232" i="4"/>
  <c r="V232" i="4"/>
  <c r="W231" i="4"/>
  <c r="V231" i="4"/>
  <c r="W230" i="4"/>
  <c r="V230" i="4"/>
  <c r="W229" i="4"/>
  <c r="V229" i="4"/>
  <c r="W228" i="4"/>
  <c r="V228" i="4"/>
  <c r="W227" i="4"/>
  <c r="V227" i="4"/>
  <c r="W226" i="4"/>
  <c r="V226" i="4"/>
  <c r="W225" i="4"/>
  <c r="V225" i="4"/>
  <c r="W224" i="4"/>
  <c r="V224" i="4"/>
  <c r="W223" i="4"/>
  <c r="V223" i="4"/>
  <c r="W222" i="4"/>
  <c r="V222" i="4"/>
  <c r="W221" i="4"/>
  <c r="V221" i="4"/>
  <c r="W220" i="4"/>
  <c r="V220" i="4"/>
  <c r="W219" i="4"/>
  <c r="V219" i="4"/>
  <c r="W218" i="4"/>
  <c r="V218" i="4"/>
  <c r="W217" i="4"/>
  <c r="V217" i="4"/>
  <c r="W216" i="4"/>
  <c r="V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W179" i="4"/>
  <c r="V179" i="4"/>
  <c r="W178" i="4"/>
  <c r="V178" i="4"/>
  <c r="W177" i="4"/>
  <c r="V177" i="4"/>
  <c r="W176" i="4"/>
  <c r="V176" i="4"/>
  <c r="W175" i="4"/>
  <c r="V175" i="4"/>
  <c r="W174" i="4"/>
  <c r="V174" i="4"/>
  <c r="W173" i="4"/>
  <c r="V173" i="4"/>
  <c r="W172" i="4"/>
  <c r="V172" i="4"/>
  <c r="W171" i="4"/>
  <c r="V171" i="4"/>
  <c r="W170" i="4"/>
  <c r="V170" i="4"/>
  <c r="W169" i="4"/>
  <c r="V169" i="4"/>
  <c r="W168" i="4"/>
  <c r="V168" i="4"/>
  <c r="W167" i="4"/>
  <c r="V167" i="4"/>
  <c r="W166" i="4"/>
  <c r="V166" i="4"/>
  <c r="W165" i="4"/>
  <c r="V165" i="4"/>
  <c r="W164" i="4"/>
  <c r="V164" i="4"/>
  <c r="W163" i="4"/>
  <c r="V163" i="4"/>
  <c r="W162" i="4"/>
  <c r="V162" i="4"/>
  <c r="W161" i="4"/>
  <c r="V161" i="4"/>
  <c r="W160" i="4"/>
  <c r="V160" i="4"/>
  <c r="W159" i="4"/>
  <c r="V159" i="4"/>
  <c r="W158" i="4"/>
  <c r="V158" i="4"/>
  <c r="W157" i="4"/>
  <c r="V157" i="4"/>
  <c r="W156" i="4"/>
  <c r="V156" i="4"/>
  <c r="W155" i="4"/>
  <c r="V155" i="4"/>
  <c r="W154" i="4"/>
  <c r="V154" i="4"/>
  <c r="W153" i="4"/>
  <c r="V153" i="4"/>
  <c r="W152" i="4"/>
  <c r="V152" i="4"/>
  <c r="W151" i="4"/>
  <c r="V151" i="4"/>
  <c r="W150" i="4"/>
  <c r="V150" i="4"/>
  <c r="W149" i="4"/>
  <c r="V149" i="4"/>
  <c r="W148" i="4"/>
  <c r="V148" i="4"/>
  <c r="W147" i="4"/>
  <c r="V147" i="4"/>
  <c r="W146" i="4"/>
  <c r="V146" i="4"/>
  <c r="W145" i="4"/>
  <c r="V145" i="4"/>
  <c r="W144" i="4"/>
  <c r="V144" i="4"/>
  <c r="W143" i="4"/>
  <c r="V143" i="4"/>
  <c r="W142" i="4"/>
  <c r="V142" i="4"/>
  <c r="W141" i="4"/>
  <c r="V141" i="4"/>
  <c r="W140" i="4"/>
  <c r="V140" i="4"/>
  <c r="W139" i="4"/>
  <c r="V139" i="4"/>
  <c r="W138" i="4"/>
  <c r="V138" i="4"/>
  <c r="W137" i="4"/>
  <c r="V137" i="4"/>
  <c r="W136" i="4"/>
  <c r="V136" i="4"/>
  <c r="W135" i="4"/>
  <c r="V135" i="4"/>
  <c r="W134" i="4"/>
  <c r="V134" i="4"/>
  <c r="W133" i="4"/>
  <c r="V133" i="4"/>
  <c r="W132" i="4"/>
  <c r="V132" i="4"/>
  <c r="W131" i="4"/>
  <c r="V131" i="4"/>
  <c r="W130" i="4"/>
  <c r="V130" i="4"/>
  <c r="W129" i="4"/>
  <c r="V129" i="4"/>
  <c r="W128" i="4"/>
  <c r="V128" i="4"/>
  <c r="W127" i="4"/>
  <c r="V127" i="4"/>
  <c r="W126" i="4"/>
  <c r="V126" i="4"/>
  <c r="W125" i="4"/>
  <c r="V125" i="4"/>
  <c r="W124" i="4"/>
  <c r="V124" i="4"/>
  <c r="W123" i="4"/>
  <c r="V123" i="4"/>
  <c r="W122" i="4"/>
  <c r="V122" i="4"/>
  <c r="W121" i="4"/>
  <c r="V121" i="4"/>
  <c r="W120" i="4"/>
  <c r="V120" i="4"/>
  <c r="W119" i="4"/>
  <c r="V119" i="4"/>
  <c r="W118" i="4"/>
  <c r="V118" i="4"/>
  <c r="W117" i="4"/>
  <c r="V117" i="4"/>
  <c r="W116" i="4"/>
  <c r="V116" i="4"/>
  <c r="W115" i="4"/>
  <c r="V115" i="4"/>
  <c r="W114" i="4"/>
  <c r="V114" i="4"/>
  <c r="W113" i="4"/>
  <c r="V113" i="4"/>
  <c r="W112" i="4"/>
  <c r="V112" i="4"/>
  <c r="W111" i="4"/>
  <c r="V111" i="4"/>
  <c r="W110" i="4"/>
  <c r="V110" i="4"/>
  <c r="W109" i="4"/>
  <c r="V109" i="4"/>
  <c r="W108" i="4"/>
  <c r="V108" i="4"/>
  <c r="W107" i="4"/>
  <c r="V107" i="4"/>
  <c r="W106" i="4"/>
  <c r="V106" i="4"/>
  <c r="W105" i="4"/>
  <c r="V105" i="4"/>
  <c r="W104" i="4"/>
  <c r="V104" i="4"/>
  <c r="W103" i="4"/>
  <c r="V103" i="4"/>
  <c r="W102" i="4"/>
  <c r="V102" i="4"/>
  <c r="W101" i="4"/>
  <c r="V101" i="4"/>
  <c r="W100" i="4"/>
  <c r="V100" i="4"/>
  <c r="W99" i="4"/>
  <c r="V99" i="4"/>
  <c r="W98" i="4"/>
  <c r="V98" i="4"/>
  <c r="W97" i="4"/>
  <c r="V97" i="4"/>
  <c r="W96" i="4"/>
  <c r="V96" i="4"/>
  <c r="W95" i="4"/>
  <c r="V95" i="4"/>
  <c r="W94" i="4"/>
  <c r="V94" i="4"/>
  <c r="W93" i="4"/>
  <c r="V93" i="4"/>
  <c r="W92" i="4"/>
  <c r="V92" i="4"/>
  <c r="W91" i="4"/>
  <c r="V91" i="4"/>
  <c r="W90" i="4"/>
  <c r="V90" i="4"/>
  <c r="W89" i="4"/>
  <c r="V89" i="4"/>
  <c r="W88" i="4"/>
  <c r="V88" i="4"/>
  <c r="W87" i="4"/>
  <c r="V87" i="4"/>
  <c r="W86" i="4"/>
  <c r="V86" i="4"/>
  <c r="W85" i="4"/>
  <c r="V85" i="4"/>
  <c r="W84" i="4"/>
  <c r="V84" i="4"/>
  <c r="W83" i="4"/>
  <c r="V83" i="4"/>
  <c r="W82" i="4"/>
  <c r="V82" i="4"/>
  <c r="W81" i="4"/>
  <c r="V81" i="4"/>
  <c r="W80" i="4"/>
  <c r="V80" i="4"/>
  <c r="W79" i="4"/>
  <c r="V79" i="4"/>
  <c r="W78" i="4"/>
  <c r="V78" i="4"/>
  <c r="W77" i="4"/>
  <c r="V77" i="4"/>
  <c r="W76" i="4"/>
  <c r="V76" i="4"/>
  <c r="W75" i="4"/>
  <c r="V75" i="4"/>
  <c r="W74" i="4"/>
  <c r="V74" i="4"/>
  <c r="W73" i="4"/>
  <c r="V73" i="4"/>
  <c r="W72" i="4"/>
  <c r="V72" i="4"/>
  <c r="W71" i="4"/>
  <c r="V71" i="4"/>
  <c r="W70" i="4"/>
  <c r="V70" i="4"/>
  <c r="W69" i="4"/>
  <c r="V69" i="4"/>
  <c r="W68" i="4"/>
  <c r="V68" i="4"/>
  <c r="W67" i="4"/>
  <c r="V67" i="4"/>
  <c r="W66" i="4"/>
  <c r="V66" i="4"/>
  <c r="W65" i="4"/>
  <c r="V65" i="4"/>
  <c r="W64" i="4"/>
  <c r="V64" i="4"/>
  <c r="W63" i="4"/>
  <c r="V63" i="4"/>
  <c r="W62" i="4"/>
  <c r="V62" i="4"/>
  <c r="W61" i="4"/>
  <c r="V61" i="4"/>
  <c r="W60" i="4"/>
  <c r="V60" i="4"/>
  <c r="W59" i="4"/>
  <c r="V59" i="4"/>
  <c r="W58" i="4"/>
  <c r="V58" i="4"/>
  <c r="W57" i="4"/>
  <c r="V57" i="4"/>
  <c r="W56" i="4"/>
  <c r="V56" i="4"/>
  <c r="W55" i="4"/>
  <c r="V55" i="4"/>
  <c r="W54" i="4"/>
  <c r="V54" i="4"/>
  <c r="W53" i="4"/>
  <c r="V53" i="4"/>
  <c r="W52" i="4"/>
  <c r="V52" i="4"/>
  <c r="W51" i="4"/>
  <c r="V51" i="4"/>
  <c r="W50" i="4"/>
  <c r="V50" i="4"/>
  <c r="W49" i="4"/>
  <c r="V49" i="4"/>
  <c r="W48" i="4"/>
  <c r="V48" i="4"/>
  <c r="W47" i="4"/>
  <c r="V47" i="4"/>
  <c r="W46" i="4"/>
  <c r="V46" i="4"/>
  <c r="W45" i="4"/>
  <c r="V45" i="4"/>
  <c r="W44" i="4"/>
  <c r="V44" i="4"/>
  <c r="W43" i="4"/>
  <c r="V43" i="4"/>
  <c r="W42" i="4"/>
  <c r="V42" i="4"/>
  <c r="W41" i="4"/>
  <c r="V41" i="4"/>
  <c r="W40" i="4"/>
  <c r="V40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AH19" i="4"/>
  <c r="W19" i="4"/>
  <c r="V19" i="4"/>
  <c r="AH18" i="4"/>
  <c r="W18" i="4"/>
  <c r="V18" i="4"/>
  <c r="AH17" i="4"/>
  <c r="W17" i="4"/>
  <c r="V17" i="4"/>
  <c r="AH16" i="4"/>
  <c r="W16" i="4"/>
  <c r="V16" i="4"/>
  <c r="AH15" i="4"/>
  <c r="W15" i="4"/>
  <c r="V15" i="4"/>
  <c r="AH14" i="4"/>
  <c r="W14" i="4"/>
  <c r="V14" i="4"/>
  <c r="AH13" i="4"/>
  <c r="W13" i="4"/>
  <c r="V13" i="4"/>
  <c r="AH12" i="4"/>
  <c r="W12" i="4"/>
  <c r="V12" i="4"/>
  <c r="R12" i="4"/>
  <c r="H12" i="4"/>
  <c r="AH11" i="4"/>
  <c r="W11" i="4"/>
  <c r="V11" i="4"/>
  <c r="R11" i="4"/>
  <c r="H11" i="4"/>
  <c r="AH10" i="4"/>
  <c r="W10" i="4"/>
  <c r="V10" i="4"/>
  <c r="R10" i="4"/>
  <c r="H10" i="4"/>
  <c r="AH9" i="4"/>
  <c r="W9" i="4"/>
  <c r="V9" i="4"/>
  <c r="T9" i="4"/>
  <c r="H9" i="4"/>
  <c r="AH8" i="4"/>
  <c r="W8" i="4"/>
  <c r="V8" i="4"/>
  <c r="T8" i="4"/>
  <c r="R8" i="4"/>
  <c r="N8" i="4"/>
  <c r="J8" i="4"/>
  <c r="H8" i="4"/>
  <c r="F8" i="4"/>
  <c r="AH7" i="4"/>
  <c r="W7" i="4"/>
  <c r="V7" i="4"/>
  <c r="U7" i="4"/>
  <c r="T7" i="4"/>
  <c r="R7" i="4"/>
  <c r="N7" i="4"/>
  <c r="L7" i="4"/>
  <c r="J7" i="4"/>
  <c r="H7" i="4"/>
  <c r="F7" i="4"/>
  <c r="AH6" i="4"/>
  <c r="W6" i="4"/>
  <c r="V6" i="4"/>
  <c r="T6" i="4"/>
  <c r="R6" i="4"/>
  <c r="N6" i="4"/>
  <c r="L6" i="4"/>
  <c r="J6" i="4"/>
  <c r="H6" i="4"/>
  <c r="F6" i="4"/>
  <c r="AH5" i="4"/>
  <c r="W5" i="4"/>
  <c r="V5" i="4"/>
  <c r="U5" i="4"/>
  <c r="T5" i="4"/>
  <c r="R5" i="4"/>
  <c r="N5" i="4"/>
  <c r="L5" i="4"/>
  <c r="J5" i="4"/>
  <c r="H5" i="4"/>
  <c r="F5" i="4"/>
  <c r="AH4" i="4"/>
  <c r="W4" i="4"/>
  <c r="V4" i="4"/>
  <c r="T4" i="4"/>
  <c r="R4" i="4"/>
  <c r="P4" i="4"/>
  <c r="N4" i="4"/>
  <c r="L4" i="4"/>
  <c r="J4" i="4"/>
  <c r="H4" i="4"/>
  <c r="F4" i="4"/>
  <c r="AH3" i="4"/>
  <c r="W3" i="4"/>
  <c r="V3" i="4"/>
  <c r="U3" i="4"/>
  <c r="T3" i="4"/>
  <c r="R3" i="4"/>
  <c r="P3" i="4"/>
  <c r="N3" i="4"/>
  <c r="L3" i="4"/>
  <c r="J3" i="4"/>
  <c r="H3" i="4"/>
  <c r="F3" i="4"/>
  <c r="W2" i="4"/>
  <c r="V2" i="4"/>
  <c r="T2" i="4"/>
  <c r="R2" i="4"/>
  <c r="P2" i="4"/>
  <c r="N2" i="4"/>
  <c r="L2" i="4"/>
  <c r="J2" i="4"/>
  <c r="J9" i="4" s="1"/>
  <c r="H2" i="4"/>
  <c r="F2" i="4"/>
  <c r="V2510" i="1"/>
  <c r="H2510" i="1"/>
  <c r="V2509" i="1"/>
  <c r="H2509" i="1"/>
  <c r="A2509" i="1"/>
  <c r="V2508" i="1"/>
  <c r="H2508" i="1"/>
  <c r="A2508" i="1"/>
  <c r="V2507" i="1"/>
  <c r="H2507" i="1"/>
  <c r="A2507" i="1"/>
  <c r="V2506" i="1"/>
  <c r="H2506" i="1"/>
  <c r="A2506" i="1"/>
  <c r="V2505" i="1"/>
  <c r="H2505" i="1"/>
  <c r="A2505" i="1"/>
  <c r="V2504" i="1"/>
  <c r="H2504" i="1"/>
  <c r="A2504" i="1"/>
  <c r="V2503" i="1"/>
  <c r="H2503" i="1"/>
  <c r="A2503" i="1"/>
  <c r="V2502" i="1"/>
  <c r="H2502" i="1"/>
  <c r="A2502" i="1"/>
  <c r="V2501" i="1"/>
  <c r="H2501" i="1"/>
  <c r="A2501" i="1"/>
  <c r="V2500" i="1"/>
  <c r="H2500" i="1"/>
  <c r="A2500" i="1"/>
  <c r="V2499" i="1"/>
  <c r="H2499" i="1"/>
  <c r="A2499" i="1"/>
  <c r="V2498" i="1"/>
  <c r="H2498" i="1"/>
  <c r="A2498" i="1"/>
  <c r="V2497" i="1"/>
  <c r="H2497" i="1"/>
  <c r="A2497" i="1"/>
  <c r="V2496" i="1"/>
  <c r="H2496" i="1"/>
  <c r="A2496" i="1"/>
  <c r="V2495" i="1"/>
  <c r="H2495" i="1"/>
  <c r="A2495" i="1"/>
  <c r="V2494" i="1"/>
  <c r="H2494" i="1"/>
  <c r="A2494" i="1"/>
  <c r="V2493" i="1"/>
  <c r="H2493" i="1"/>
  <c r="A2493" i="1"/>
  <c r="V2492" i="1"/>
  <c r="H2492" i="1"/>
  <c r="A2492" i="1"/>
  <c r="V2491" i="1"/>
  <c r="H2491" i="1"/>
  <c r="A2491" i="1"/>
  <c r="V2490" i="1"/>
  <c r="H2490" i="1"/>
  <c r="A2490" i="1"/>
  <c r="V2489" i="1"/>
  <c r="H2489" i="1"/>
  <c r="A2489" i="1"/>
  <c r="V2488" i="1"/>
  <c r="H2488" i="1"/>
  <c r="A2488" i="1"/>
  <c r="V2487" i="1"/>
  <c r="H2487" i="1"/>
  <c r="A2487" i="1"/>
  <c r="V2486" i="1"/>
  <c r="H2486" i="1"/>
  <c r="A2486" i="1"/>
  <c r="V2485" i="1"/>
  <c r="H2485" i="1"/>
  <c r="A2485" i="1"/>
  <c r="V2484" i="1"/>
  <c r="H2484" i="1"/>
  <c r="A2484" i="1"/>
  <c r="V2483" i="1"/>
  <c r="H2483" i="1"/>
  <c r="A2483" i="1"/>
  <c r="V2482" i="1"/>
  <c r="H2482" i="1"/>
  <c r="A2482" i="1"/>
  <c r="V2481" i="1"/>
  <c r="H2481" i="1"/>
  <c r="A2481" i="1"/>
  <c r="V2480" i="1"/>
  <c r="H2480" i="1"/>
  <c r="A2480" i="1"/>
  <c r="V2479" i="1"/>
  <c r="H2479" i="1"/>
  <c r="A2479" i="1"/>
  <c r="V2478" i="1"/>
  <c r="H2478" i="1"/>
  <c r="A2478" i="1"/>
  <c r="V2477" i="1"/>
  <c r="H2477" i="1"/>
  <c r="A2477" i="1"/>
  <c r="V2476" i="1"/>
  <c r="H2476" i="1"/>
  <c r="A2476" i="1"/>
  <c r="V2475" i="1"/>
  <c r="H2475" i="1"/>
  <c r="A2475" i="1"/>
  <c r="V2474" i="1"/>
  <c r="H2474" i="1"/>
  <c r="A2474" i="1"/>
  <c r="V2473" i="1"/>
  <c r="H2473" i="1"/>
  <c r="A2473" i="1"/>
  <c r="V2472" i="1"/>
  <c r="H2472" i="1"/>
  <c r="A2472" i="1"/>
  <c r="V2471" i="1"/>
  <c r="H2471" i="1"/>
  <c r="A2471" i="1"/>
  <c r="V2470" i="1"/>
  <c r="H2470" i="1"/>
  <c r="A2470" i="1"/>
  <c r="V2469" i="1"/>
  <c r="H2469" i="1"/>
  <c r="A2469" i="1"/>
  <c r="V2468" i="1"/>
  <c r="H2468" i="1"/>
  <c r="A2468" i="1"/>
  <c r="V2467" i="1"/>
  <c r="H2467" i="1"/>
  <c r="A2467" i="1"/>
  <c r="V2466" i="1"/>
  <c r="H2466" i="1"/>
  <c r="A2466" i="1"/>
  <c r="V2465" i="1"/>
  <c r="H2465" i="1"/>
  <c r="A2465" i="1"/>
  <c r="V2464" i="1"/>
  <c r="H2464" i="1"/>
  <c r="A2464" i="1"/>
  <c r="V2463" i="1"/>
  <c r="H2463" i="1"/>
  <c r="A2463" i="1"/>
  <c r="V2462" i="1"/>
  <c r="H2462" i="1"/>
  <c r="A2462" i="1"/>
  <c r="V2461" i="1"/>
  <c r="H2461" i="1"/>
  <c r="A2461" i="1"/>
  <c r="V2460" i="1"/>
  <c r="H2460" i="1"/>
  <c r="A2460" i="1"/>
  <c r="V2459" i="1"/>
  <c r="H2459" i="1"/>
  <c r="A2459" i="1"/>
  <c r="V2458" i="1"/>
  <c r="H2458" i="1"/>
  <c r="A2458" i="1"/>
  <c r="V2457" i="1"/>
  <c r="H2457" i="1"/>
  <c r="A2457" i="1"/>
  <c r="V2456" i="1"/>
  <c r="H2456" i="1"/>
  <c r="A2456" i="1"/>
  <c r="V2455" i="1"/>
  <c r="H2455" i="1"/>
  <c r="A2455" i="1"/>
  <c r="V2454" i="1"/>
  <c r="H2454" i="1"/>
  <c r="A2454" i="1"/>
  <c r="V2453" i="1"/>
  <c r="H2453" i="1"/>
  <c r="A2453" i="1"/>
  <c r="V2452" i="1"/>
  <c r="H2452" i="1"/>
  <c r="A2452" i="1"/>
  <c r="V2451" i="1"/>
  <c r="H2451" i="1"/>
  <c r="A2451" i="1"/>
  <c r="V2450" i="1"/>
  <c r="H2450" i="1"/>
  <c r="A2450" i="1"/>
  <c r="V2449" i="1"/>
  <c r="H2449" i="1"/>
  <c r="A2449" i="1"/>
  <c r="V2448" i="1"/>
  <c r="H2448" i="1"/>
  <c r="A2448" i="1"/>
  <c r="V2447" i="1"/>
  <c r="H2447" i="1"/>
  <c r="A2447" i="1"/>
  <c r="V2446" i="1"/>
  <c r="H2446" i="1"/>
  <c r="A2446" i="1"/>
  <c r="V2445" i="1"/>
  <c r="H2445" i="1"/>
  <c r="A2445" i="1"/>
  <c r="V2444" i="1"/>
  <c r="H2444" i="1"/>
  <c r="A2444" i="1"/>
  <c r="V2443" i="1"/>
  <c r="H2443" i="1"/>
  <c r="A2443" i="1"/>
  <c r="V2442" i="1"/>
  <c r="H2442" i="1"/>
  <c r="A2442" i="1"/>
  <c r="V2441" i="1"/>
  <c r="H2441" i="1"/>
  <c r="A2441" i="1"/>
  <c r="V2440" i="1"/>
  <c r="H2440" i="1"/>
  <c r="A2440" i="1"/>
  <c r="V2439" i="1"/>
  <c r="H2439" i="1"/>
  <c r="A2439" i="1"/>
  <c r="V2438" i="1"/>
  <c r="H2438" i="1"/>
  <c r="A2438" i="1"/>
  <c r="V2437" i="1"/>
  <c r="H2437" i="1"/>
  <c r="A2437" i="1"/>
  <c r="V2436" i="1"/>
  <c r="H2436" i="1"/>
  <c r="A2436" i="1"/>
  <c r="V2435" i="1"/>
  <c r="H2435" i="1"/>
  <c r="A2435" i="1"/>
  <c r="V2434" i="1"/>
  <c r="H2434" i="1"/>
  <c r="A2434" i="1"/>
  <c r="V2433" i="1"/>
  <c r="H2433" i="1"/>
  <c r="A2433" i="1"/>
  <c r="V2432" i="1"/>
  <c r="H2432" i="1"/>
  <c r="A2432" i="1"/>
  <c r="V2431" i="1"/>
  <c r="H2431" i="1"/>
  <c r="A2431" i="1"/>
  <c r="V2430" i="1"/>
  <c r="H2430" i="1"/>
  <c r="A2430" i="1"/>
  <c r="V2429" i="1"/>
  <c r="H2429" i="1"/>
  <c r="A2429" i="1"/>
  <c r="V2428" i="1"/>
  <c r="H2428" i="1"/>
  <c r="A2428" i="1"/>
  <c r="V2427" i="1"/>
  <c r="H2427" i="1"/>
  <c r="A2427" i="1"/>
  <c r="V2426" i="1"/>
  <c r="H2426" i="1"/>
  <c r="A2426" i="1"/>
  <c r="V2425" i="1"/>
  <c r="H2425" i="1"/>
  <c r="A2425" i="1"/>
  <c r="V2424" i="1"/>
  <c r="H2424" i="1"/>
  <c r="A2424" i="1"/>
  <c r="V2423" i="1"/>
  <c r="H2423" i="1"/>
  <c r="A2423" i="1"/>
  <c r="V2422" i="1"/>
  <c r="H2422" i="1"/>
  <c r="A2422" i="1"/>
  <c r="V2421" i="1"/>
  <c r="H2421" i="1"/>
  <c r="A2421" i="1"/>
  <c r="V2420" i="1"/>
  <c r="H2420" i="1"/>
  <c r="A2420" i="1"/>
  <c r="V2419" i="1"/>
  <c r="H2419" i="1"/>
  <c r="A2419" i="1"/>
  <c r="V2418" i="1"/>
  <c r="H2418" i="1"/>
  <c r="A2418" i="1"/>
  <c r="V2417" i="1"/>
  <c r="H2417" i="1"/>
  <c r="A2417" i="1"/>
  <c r="V2416" i="1"/>
  <c r="H2416" i="1"/>
  <c r="A2416" i="1"/>
  <c r="V2415" i="1"/>
  <c r="H2415" i="1"/>
  <c r="A2415" i="1"/>
  <c r="V2414" i="1"/>
  <c r="H2414" i="1"/>
  <c r="A2414" i="1"/>
  <c r="V2413" i="1"/>
  <c r="H2413" i="1"/>
  <c r="A2413" i="1"/>
  <c r="V2412" i="1"/>
  <c r="H2412" i="1"/>
  <c r="A2412" i="1"/>
  <c r="V2411" i="1"/>
  <c r="H2411" i="1"/>
  <c r="A2411" i="1"/>
  <c r="V2410" i="1"/>
  <c r="H2410" i="1"/>
  <c r="A2410" i="1"/>
  <c r="V2409" i="1"/>
  <c r="H2409" i="1"/>
  <c r="A2409" i="1"/>
  <c r="V2408" i="1"/>
  <c r="H2408" i="1"/>
  <c r="A2408" i="1"/>
  <c r="V2407" i="1"/>
  <c r="H2407" i="1"/>
  <c r="A2407" i="1"/>
  <c r="V2406" i="1"/>
  <c r="H2406" i="1"/>
  <c r="A2406" i="1"/>
  <c r="V2405" i="1"/>
  <c r="H2405" i="1"/>
  <c r="A2405" i="1"/>
  <c r="V2404" i="1"/>
  <c r="H2404" i="1"/>
  <c r="A2404" i="1"/>
  <c r="V2403" i="1"/>
  <c r="H2403" i="1"/>
  <c r="A2403" i="1"/>
  <c r="V2402" i="1"/>
  <c r="H2402" i="1"/>
  <c r="A2402" i="1"/>
  <c r="V2401" i="1"/>
  <c r="H2401" i="1"/>
  <c r="A2401" i="1"/>
  <c r="V2400" i="1"/>
  <c r="H2400" i="1"/>
  <c r="A2400" i="1"/>
  <c r="V2399" i="1"/>
  <c r="H2399" i="1"/>
  <c r="A2399" i="1"/>
  <c r="V2398" i="1"/>
  <c r="H2398" i="1"/>
  <c r="A2398" i="1"/>
  <c r="V2397" i="1"/>
  <c r="H2397" i="1"/>
  <c r="A2397" i="1"/>
  <c r="V2396" i="1"/>
  <c r="H2396" i="1"/>
  <c r="A2396" i="1"/>
  <c r="V2395" i="1"/>
  <c r="H2395" i="1"/>
  <c r="A2395" i="1"/>
  <c r="V2394" i="1"/>
  <c r="H2394" i="1"/>
  <c r="A2394" i="1"/>
  <c r="V2393" i="1"/>
  <c r="H2393" i="1"/>
  <c r="A2393" i="1"/>
  <c r="V2392" i="1"/>
  <c r="H2392" i="1"/>
  <c r="A2392" i="1"/>
  <c r="V2391" i="1"/>
  <c r="H2391" i="1"/>
  <c r="A2391" i="1"/>
  <c r="V2390" i="1"/>
  <c r="H2390" i="1"/>
  <c r="A2390" i="1"/>
  <c r="V2389" i="1"/>
  <c r="H2389" i="1"/>
  <c r="A2389" i="1"/>
  <c r="V2388" i="1"/>
  <c r="H2388" i="1"/>
  <c r="A2388" i="1"/>
  <c r="V2387" i="1"/>
  <c r="H2387" i="1"/>
  <c r="A2387" i="1"/>
  <c r="V2386" i="1"/>
  <c r="H2386" i="1"/>
  <c r="A2386" i="1"/>
  <c r="V2385" i="1"/>
  <c r="H2385" i="1"/>
  <c r="A2385" i="1"/>
  <c r="V2384" i="1"/>
  <c r="H2384" i="1"/>
  <c r="A2384" i="1"/>
  <c r="V2383" i="1"/>
  <c r="H2383" i="1"/>
  <c r="A2383" i="1"/>
  <c r="V2382" i="1"/>
  <c r="H2382" i="1"/>
  <c r="A2382" i="1"/>
  <c r="V2381" i="1"/>
  <c r="H2381" i="1"/>
  <c r="A2381" i="1"/>
  <c r="V2380" i="1"/>
  <c r="H2380" i="1"/>
  <c r="A2380" i="1"/>
  <c r="V2379" i="1"/>
  <c r="H2379" i="1"/>
  <c r="A2379" i="1"/>
  <c r="V2378" i="1"/>
  <c r="H2378" i="1"/>
  <c r="A2378" i="1"/>
  <c r="V2377" i="1"/>
  <c r="H2377" i="1"/>
  <c r="A2377" i="1"/>
  <c r="V2376" i="1"/>
  <c r="H2376" i="1"/>
  <c r="A2376" i="1"/>
  <c r="V2375" i="1"/>
  <c r="H2375" i="1"/>
  <c r="A2375" i="1"/>
  <c r="V2374" i="1"/>
  <c r="H2374" i="1"/>
  <c r="A2374" i="1"/>
  <c r="V2373" i="1"/>
  <c r="H2373" i="1"/>
  <c r="A2373" i="1"/>
  <c r="V2372" i="1"/>
  <c r="H2372" i="1"/>
  <c r="A2372" i="1"/>
  <c r="V2371" i="1"/>
  <c r="H2371" i="1"/>
  <c r="A2371" i="1"/>
  <c r="V2370" i="1"/>
  <c r="H2370" i="1"/>
  <c r="A2370" i="1"/>
  <c r="V2369" i="1"/>
  <c r="H2369" i="1"/>
  <c r="A2369" i="1"/>
  <c r="V2368" i="1"/>
  <c r="H2368" i="1"/>
  <c r="A2368" i="1"/>
  <c r="V2367" i="1"/>
  <c r="H2367" i="1"/>
  <c r="A2367" i="1"/>
  <c r="V2366" i="1"/>
  <c r="H2366" i="1"/>
  <c r="A2366" i="1"/>
  <c r="V2365" i="1"/>
  <c r="H2365" i="1"/>
  <c r="A2365" i="1"/>
  <c r="V2364" i="1"/>
  <c r="H2364" i="1"/>
  <c r="A2364" i="1"/>
  <c r="V2363" i="1"/>
  <c r="H2363" i="1"/>
  <c r="A2363" i="1"/>
  <c r="V2362" i="1"/>
  <c r="H2362" i="1"/>
  <c r="A2362" i="1"/>
  <c r="V2361" i="1"/>
  <c r="H2361" i="1"/>
  <c r="A2361" i="1"/>
  <c r="V2360" i="1"/>
  <c r="H2360" i="1"/>
  <c r="A2360" i="1"/>
  <c r="V2359" i="1"/>
  <c r="H2359" i="1"/>
  <c r="A2359" i="1"/>
  <c r="V2358" i="1"/>
  <c r="H2358" i="1"/>
  <c r="A2358" i="1"/>
  <c r="V2357" i="1"/>
  <c r="H2357" i="1"/>
  <c r="A2357" i="1"/>
  <c r="V2356" i="1"/>
  <c r="H2356" i="1"/>
  <c r="A2356" i="1"/>
  <c r="V2355" i="1"/>
  <c r="H2355" i="1"/>
  <c r="A2355" i="1"/>
  <c r="V2354" i="1"/>
  <c r="H2354" i="1"/>
  <c r="A2354" i="1"/>
  <c r="V2353" i="1"/>
  <c r="H2353" i="1"/>
  <c r="A2353" i="1"/>
  <c r="V2352" i="1"/>
  <c r="H2352" i="1"/>
  <c r="A2352" i="1"/>
  <c r="V2351" i="1"/>
  <c r="H2351" i="1"/>
  <c r="A2351" i="1"/>
  <c r="V2350" i="1"/>
  <c r="H2350" i="1"/>
  <c r="A2350" i="1"/>
  <c r="V2349" i="1"/>
  <c r="H2349" i="1"/>
  <c r="A2349" i="1"/>
  <c r="V2348" i="1"/>
  <c r="H2348" i="1"/>
  <c r="A2348" i="1"/>
  <c r="V2347" i="1"/>
  <c r="H2347" i="1"/>
  <c r="A2347" i="1"/>
  <c r="V2346" i="1"/>
  <c r="H2346" i="1"/>
  <c r="A2346" i="1"/>
  <c r="V2345" i="1"/>
  <c r="H2345" i="1"/>
  <c r="A2345" i="1"/>
  <c r="V2344" i="1"/>
  <c r="H2344" i="1"/>
  <c r="A2344" i="1"/>
  <c r="V2343" i="1"/>
  <c r="H2343" i="1"/>
  <c r="A2343" i="1"/>
  <c r="V2342" i="1"/>
  <c r="H2342" i="1"/>
  <c r="A2342" i="1"/>
  <c r="V2341" i="1"/>
  <c r="H2341" i="1"/>
  <c r="A2341" i="1"/>
  <c r="V2340" i="1"/>
  <c r="H2340" i="1"/>
  <c r="A2340" i="1"/>
  <c r="V2339" i="1"/>
  <c r="H2339" i="1"/>
  <c r="A2339" i="1"/>
  <c r="V2338" i="1"/>
  <c r="H2338" i="1"/>
  <c r="A2338" i="1"/>
  <c r="V2337" i="1"/>
  <c r="H2337" i="1"/>
  <c r="A2337" i="1"/>
  <c r="V2336" i="1"/>
  <c r="H2336" i="1"/>
  <c r="A2336" i="1"/>
  <c r="V2335" i="1"/>
  <c r="H2335" i="1"/>
  <c r="A2335" i="1"/>
  <c r="V2334" i="1"/>
  <c r="H2334" i="1"/>
  <c r="A2334" i="1"/>
  <c r="V2333" i="1"/>
  <c r="H2333" i="1"/>
  <c r="A2333" i="1"/>
  <c r="V2332" i="1"/>
  <c r="H2332" i="1"/>
  <c r="A2332" i="1"/>
  <c r="V2331" i="1"/>
  <c r="H2331" i="1"/>
  <c r="A2331" i="1"/>
  <c r="V2330" i="1"/>
  <c r="H2330" i="1"/>
  <c r="A2330" i="1"/>
  <c r="V2329" i="1"/>
  <c r="H2329" i="1"/>
  <c r="A2329" i="1"/>
  <c r="V2328" i="1"/>
  <c r="H2328" i="1"/>
  <c r="A2328" i="1"/>
  <c r="V2327" i="1"/>
  <c r="H2327" i="1"/>
  <c r="A2327" i="1"/>
  <c r="V2326" i="1"/>
  <c r="H2326" i="1"/>
  <c r="A2326" i="1"/>
  <c r="V2325" i="1"/>
  <c r="H2325" i="1"/>
  <c r="A2325" i="1"/>
  <c r="V2324" i="1"/>
  <c r="H2324" i="1"/>
  <c r="A2324" i="1"/>
  <c r="V2323" i="1"/>
  <c r="H2323" i="1"/>
  <c r="A2323" i="1"/>
  <c r="V2322" i="1"/>
  <c r="H2322" i="1"/>
  <c r="A2322" i="1"/>
  <c r="V2321" i="1"/>
  <c r="H2321" i="1"/>
  <c r="A2321" i="1"/>
  <c r="V2320" i="1"/>
  <c r="H2320" i="1"/>
  <c r="A2320" i="1"/>
  <c r="V2319" i="1"/>
  <c r="H2319" i="1"/>
  <c r="A2319" i="1"/>
  <c r="V2318" i="1"/>
  <c r="H2318" i="1"/>
  <c r="A2318" i="1"/>
  <c r="V2317" i="1"/>
  <c r="H2317" i="1"/>
  <c r="A2317" i="1"/>
  <c r="V2316" i="1"/>
  <c r="H2316" i="1"/>
  <c r="A2316" i="1"/>
  <c r="V2315" i="1"/>
  <c r="H2315" i="1"/>
  <c r="A2315" i="1"/>
  <c r="V2314" i="1"/>
  <c r="H2314" i="1"/>
  <c r="A2314" i="1"/>
  <c r="V2313" i="1"/>
  <c r="H2313" i="1"/>
  <c r="A2313" i="1"/>
  <c r="V2312" i="1"/>
  <c r="H2312" i="1"/>
  <c r="A2312" i="1"/>
  <c r="V2311" i="1"/>
  <c r="H2311" i="1"/>
  <c r="A2311" i="1"/>
  <c r="V2310" i="1"/>
  <c r="H2310" i="1"/>
  <c r="A2310" i="1"/>
  <c r="V2309" i="1"/>
  <c r="H2309" i="1"/>
  <c r="A2309" i="1"/>
  <c r="V2308" i="1"/>
  <c r="H2308" i="1"/>
  <c r="A2308" i="1"/>
  <c r="V2307" i="1"/>
  <c r="H2307" i="1"/>
  <c r="A2307" i="1"/>
  <c r="V2306" i="1"/>
  <c r="H2306" i="1"/>
  <c r="A2306" i="1"/>
  <c r="V2305" i="1"/>
  <c r="H2305" i="1"/>
  <c r="A2305" i="1"/>
  <c r="V2304" i="1"/>
  <c r="H2304" i="1"/>
  <c r="A2304" i="1"/>
  <c r="V2303" i="1"/>
  <c r="H2303" i="1"/>
  <c r="A2303" i="1"/>
  <c r="V2302" i="1"/>
  <c r="H2302" i="1"/>
  <c r="A2302" i="1"/>
  <c r="V2301" i="1"/>
  <c r="H2301" i="1"/>
  <c r="A2301" i="1"/>
  <c r="V2300" i="1"/>
  <c r="H2300" i="1"/>
  <c r="A2300" i="1"/>
  <c r="V2299" i="1"/>
  <c r="H2299" i="1"/>
  <c r="A2299" i="1"/>
  <c r="V2298" i="1"/>
  <c r="H2298" i="1"/>
  <c r="A2298" i="1"/>
  <c r="V2297" i="1"/>
  <c r="H2297" i="1"/>
  <c r="A2297" i="1"/>
  <c r="V2296" i="1"/>
  <c r="H2296" i="1"/>
  <c r="A2296" i="1"/>
  <c r="V2295" i="1"/>
  <c r="H2295" i="1"/>
  <c r="A2295" i="1"/>
  <c r="V2294" i="1"/>
  <c r="H2294" i="1"/>
  <c r="A2294" i="1"/>
  <c r="V2293" i="1"/>
  <c r="H2293" i="1"/>
  <c r="A2293" i="1"/>
  <c r="V2292" i="1"/>
  <c r="H2292" i="1"/>
  <c r="A2292" i="1"/>
  <c r="V2291" i="1"/>
  <c r="H2291" i="1"/>
  <c r="A2291" i="1"/>
  <c r="V2290" i="1"/>
  <c r="H2290" i="1"/>
  <c r="A2290" i="1"/>
  <c r="V2289" i="1"/>
  <c r="H2289" i="1"/>
  <c r="A2289" i="1"/>
  <c r="V2288" i="1"/>
  <c r="H2288" i="1"/>
  <c r="A2288" i="1"/>
  <c r="V2287" i="1"/>
  <c r="H2287" i="1"/>
  <c r="A2287" i="1"/>
  <c r="V2286" i="1"/>
  <c r="H2286" i="1"/>
  <c r="A2286" i="1"/>
  <c r="V2285" i="1"/>
  <c r="H2285" i="1"/>
  <c r="A2285" i="1"/>
  <c r="V2284" i="1"/>
  <c r="H2284" i="1"/>
  <c r="A2284" i="1"/>
  <c r="V2283" i="1"/>
  <c r="H2283" i="1"/>
  <c r="A2283" i="1"/>
  <c r="V2282" i="1"/>
  <c r="H2282" i="1"/>
  <c r="A2282" i="1"/>
  <c r="V2281" i="1"/>
  <c r="H2281" i="1"/>
  <c r="A2281" i="1"/>
  <c r="V2280" i="1"/>
  <c r="H2280" i="1"/>
  <c r="A2280" i="1"/>
  <c r="V2279" i="1"/>
  <c r="H2279" i="1"/>
  <c r="A2279" i="1"/>
  <c r="V2278" i="1"/>
  <c r="H2278" i="1"/>
  <c r="A2278" i="1"/>
  <c r="V2277" i="1"/>
  <c r="H2277" i="1"/>
  <c r="A2277" i="1"/>
  <c r="V2276" i="1"/>
  <c r="H2276" i="1"/>
  <c r="A2276" i="1"/>
  <c r="V2275" i="1"/>
  <c r="H2275" i="1"/>
  <c r="A2275" i="1"/>
  <c r="V2274" i="1"/>
  <c r="H2274" i="1"/>
  <c r="A2274" i="1"/>
  <c r="V2273" i="1"/>
  <c r="H2273" i="1"/>
  <c r="A2273" i="1"/>
  <c r="V2272" i="1"/>
  <c r="H2272" i="1"/>
  <c r="A2272" i="1"/>
  <c r="V2271" i="1"/>
  <c r="H2271" i="1"/>
  <c r="A2271" i="1"/>
  <c r="V2270" i="1"/>
  <c r="H2270" i="1"/>
  <c r="A2270" i="1"/>
  <c r="V2269" i="1"/>
  <c r="H2269" i="1"/>
  <c r="A2269" i="1"/>
  <c r="V2268" i="1"/>
  <c r="H2268" i="1"/>
  <c r="A2268" i="1"/>
  <c r="V2267" i="1"/>
  <c r="H2267" i="1"/>
  <c r="A2267" i="1"/>
  <c r="V2266" i="1"/>
  <c r="H2266" i="1"/>
  <c r="A2266" i="1"/>
  <c r="V2265" i="1"/>
  <c r="H2265" i="1"/>
  <c r="A2265" i="1"/>
  <c r="V2264" i="1"/>
  <c r="H2264" i="1"/>
  <c r="A2264" i="1"/>
  <c r="V2263" i="1"/>
  <c r="H2263" i="1"/>
  <c r="A2263" i="1"/>
  <c r="V2262" i="1"/>
  <c r="H2262" i="1"/>
  <c r="A2262" i="1"/>
  <c r="V2261" i="1"/>
  <c r="H2261" i="1"/>
  <c r="A2261" i="1"/>
  <c r="V2260" i="1"/>
  <c r="H2260" i="1"/>
  <c r="A2260" i="1"/>
  <c r="V2259" i="1"/>
  <c r="H2259" i="1"/>
  <c r="A2259" i="1"/>
  <c r="V2258" i="1"/>
  <c r="H2258" i="1"/>
  <c r="A2258" i="1"/>
  <c r="V2257" i="1"/>
  <c r="H2257" i="1"/>
  <c r="A2257" i="1"/>
  <c r="V2256" i="1"/>
  <c r="H2256" i="1"/>
  <c r="A2256" i="1"/>
  <c r="V2255" i="1"/>
  <c r="H2255" i="1"/>
  <c r="A2255" i="1"/>
  <c r="V2254" i="1"/>
  <c r="H2254" i="1"/>
  <c r="A2254" i="1"/>
  <c r="V2253" i="1"/>
  <c r="H2253" i="1"/>
  <c r="A2253" i="1"/>
  <c r="V2252" i="1"/>
  <c r="H2252" i="1"/>
  <c r="A2252" i="1"/>
  <c r="V2251" i="1"/>
  <c r="H2251" i="1"/>
  <c r="A2251" i="1"/>
  <c r="V2250" i="1"/>
  <c r="H2250" i="1"/>
  <c r="A2250" i="1"/>
  <c r="V2249" i="1"/>
  <c r="H2249" i="1"/>
  <c r="A2249" i="1"/>
  <c r="V2248" i="1"/>
  <c r="H2248" i="1"/>
  <c r="A2248" i="1"/>
  <c r="V2247" i="1"/>
  <c r="H2247" i="1"/>
  <c r="A2247" i="1"/>
  <c r="V2246" i="1"/>
  <c r="H2246" i="1"/>
  <c r="A2246" i="1"/>
  <c r="V2245" i="1"/>
  <c r="H2245" i="1"/>
  <c r="A2245" i="1"/>
  <c r="V2244" i="1"/>
  <c r="H2244" i="1"/>
  <c r="A2244" i="1"/>
  <c r="V2243" i="1"/>
  <c r="H2243" i="1"/>
  <c r="A2243" i="1"/>
  <c r="V2242" i="1"/>
  <c r="H2242" i="1"/>
  <c r="A2242" i="1"/>
  <c r="V2241" i="1"/>
  <c r="H2241" i="1"/>
  <c r="A2241" i="1"/>
  <c r="V2240" i="1"/>
  <c r="H2240" i="1"/>
  <c r="A2240" i="1"/>
  <c r="V2239" i="1"/>
  <c r="H2239" i="1"/>
  <c r="A2239" i="1"/>
  <c r="V2238" i="1"/>
  <c r="H2238" i="1"/>
  <c r="A2238" i="1"/>
  <c r="V2237" i="1"/>
  <c r="H2237" i="1"/>
  <c r="A2237" i="1"/>
  <c r="V2236" i="1"/>
  <c r="H2236" i="1"/>
  <c r="A2236" i="1"/>
  <c r="V2235" i="1"/>
  <c r="H2235" i="1"/>
  <c r="A2235" i="1"/>
  <c r="V2234" i="1"/>
  <c r="H2234" i="1"/>
  <c r="A2234" i="1"/>
  <c r="V2233" i="1"/>
  <c r="H2233" i="1"/>
  <c r="A2233" i="1"/>
  <c r="V2232" i="1"/>
  <c r="H2232" i="1"/>
  <c r="A2232" i="1"/>
  <c r="V2231" i="1"/>
  <c r="H2231" i="1"/>
  <c r="A2231" i="1"/>
  <c r="V2230" i="1"/>
  <c r="H2230" i="1"/>
  <c r="A2230" i="1"/>
  <c r="V2229" i="1"/>
  <c r="H2229" i="1"/>
  <c r="A2229" i="1"/>
  <c r="V2228" i="1"/>
  <c r="H2228" i="1"/>
  <c r="A2228" i="1"/>
  <c r="V2227" i="1"/>
  <c r="H2227" i="1"/>
  <c r="A2227" i="1"/>
  <c r="V2226" i="1"/>
  <c r="H2226" i="1"/>
  <c r="A2226" i="1"/>
  <c r="V2225" i="1"/>
  <c r="H2225" i="1"/>
  <c r="A2225" i="1"/>
  <c r="V2224" i="1"/>
  <c r="H2224" i="1"/>
  <c r="A2224" i="1"/>
  <c r="V2223" i="1"/>
  <c r="H2223" i="1"/>
  <c r="A2223" i="1"/>
  <c r="V2222" i="1"/>
  <c r="H2222" i="1"/>
  <c r="A2222" i="1"/>
  <c r="V2221" i="1"/>
  <c r="H2221" i="1"/>
  <c r="A2221" i="1"/>
  <c r="V2220" i="1"/>
  <c r="H2220" i="1"/>
  <c r="A2220" i="1"/>
  <c r="V2219" i="1"/>
  <c r="H2219" i="1"/>
  <c r="A2219" i="1"/>
  <c r="V2218" i="1"/>
  <c r="H2218" i="1"/>
  <c r="A2218" i="1"/>
  <c r="V2217" i="1"/>
  <c r="H2217" i="1"/>
  <c r="A2217" i="1"/>
  <c r="V2216" i="1"/>
  <c r="H2216" i="1"/>
  <c r="A2216" i="1"/>
  <c r="V2215" i="1"/>
  <c r="H2215" i="1"/>
  <c r="A2215" i="1"/>
  <c r="V2214" i="1"/>
  <c r="H2214" i="1"/>
  <c r="A2214" i="1"/>
  <c r="V2213" i="1"/>
  <c r="H2213" i="1"/>
  <c r="A2213" i="1"/>
  <c r="V2212" i="1"/>
  <c r="H2212" i="1"/>
  <c r="A2212" i="1"/>
  <c r="V2211" i="1"/>
  <c r="H2211" i="1"/>
  <c r="A2211" i="1"/>
  <c r="V2210" i="1"/>
  <c r="H2210" i="1"/>
  <c r="A2210" i="1"/>
  <c r="V2209" i="1"/>
  <c r="H2209" i="1"/>
  <c r="A2209" i="1"/>
  <c r="V2208" i="1"/>
  <c r="H2208" i="1"/>
  <c r="A2208" i="1"/>
  <c r="V2207" i="1"/>
  <c r="H2207" i="1"/>
  <c r="A2207" i="1"/>
  <c r="V2206" i="1"/>
  <c r="H2206" i="1"/>
  <c r="A2206" i="1"/>
  <c r="V2205" i="1"/>
  <c r="H2205" i="1"/>
  <c r="A2205" i="1"/>
  <c r="V2204" i="1"/>
  <c r="H2204" i="1"/>
  <c r="A2204" i="1"/>
  <c r="V2203" i="1"/>
  <c r="H2203" i="1"/>
  <c r="A2203" i="1"/>
  <c r="V2202" i="1"/>
  <c r="H2202" i="1"/>
  <c r="A2202" i="1"/>
  <c r="V2201" i="1"/>
  <c r="H2201" i="1"/>
  <c r="A2201" i="1"/>
  <c r="V2200" i="1"/>
  <c r="H2200" i="1"/>
  <c r="A2200" i="1"/>
  <c r="V2199" i="1"/>
  <c r="H2199" i="1"/>
  <c r="A2199" i="1"/>
  <c r="V2198" i="1"/>
  <c r="H2198" i="1"/>
  <c r="A2198" i="1"/>
  <c r="V2197" i="1"/>
  <c r="H2197" i="1"/>
  <c r="A2197" i="1"/>
  <c r="V2196" i="1"/>
  <c r="H2196" i="1"/>
  <c r="A2196" i="1"/>
  <c r="V2195" i="1"/>
  <c r="H2195" i="1"/>
  <c r="A2195" i="1"/>
  <c r="V2194" i="1"/>
  <c r="H2194" i="1"/>
  <c r="A2194" i="1"/>
  <c r="V2193" i="1"/>
  <c r="H2193" i="1"/>
  <c r="A2193" i="1"/>
  <c r="V2192" i="1"/>
  <c r="H2192" i="1"/>
  <c r="A2192" i="1"/>
  <c r="V2191" i="1"/>
  <c r="H2191" i="1"/>
  <c r="A2191" i="1"/>
  <c r="V2190" i="1"/>
  <c r="H2190" i="1"/>
  <c r="A2190" i="1"/>
  <c r="V2189" i="1"/>
  <c r="H2189" i="1"/>
  <c r="A2189" i="1"/>
  <c r="V2188" i="1"/>
  <c r="H2188" i="1"/>
  <c r="A2188" i="1"/>
  <c r="V2187" i="1"/>
  <c r="H2187" i="1"/>
  <c r="A2187" i="1"/>
  <c r="V2186" i="1"/>
  <c r="H2186" i="1"/>
  <c r="A2186" i="1"/>
  <c r="V2185" i="1"/>
  <c r="H2185" i="1"/>
  <c r="A2185" i="1"/>
  <c r="V2184" i="1"/>
  <c r="H2184" i="1"/>
  <c r="A2184" i="1"/>
  <c r="V2183" i="1"/>
  <c r="H2183" i="1"/>
  <c r="A2183" i="1"/>
  <c r="V2182" i="1"/>
  <c r="H2182" i="1"/>
  <c r="A2182" i="1"/>
  <c r="V2181" i="1"/>
  <c r="H2181" i="1"/>
  <c r="A2181" i="1"/>
  <c r="V2180" i="1"/>
  <c r="H2180" i="1"/>
  <c r="A2180" i="1"/>
  <c r="V2179" i="1"/>
  <c r="H2179" i="1"/>
  <c r="A2179" i="1"/>
  <c r="V2178" i="1"/>
  <c r="H2178" i="1"/>
  <c r="A2178" i="1"/>
  <c r="V2177" i="1"/>
  <c r="H2177" i="1"/>
  <c r="A2177" i="1"/>
  <c r="V2176" i="1"/>
  <c r="H2176" i="1"/>
  <c r="A2176" i="1"/>
  <c r="V2175" i="1"/>
  <c r="H2175" i="1"/>
  <c r="A2175" i="1"/>
  <c r="V2174" i="1"/>
  <c r="H2174" i="1"/>
  <c r="A2174" i="1"/>
  <c r="V2173" i="1"/>
  <c r="H2173" i="1"/>
  <c r="A2173" i="1"/>
  <c r="V2172" i="1"/>
  <c r="H2172" i="1"/>
  <c r="A2172" i="1"/>
  <c r="V2171" i="1"/>
  <c r="H2171" i="1"/>
  <c r="A2171" i="1"/>
  <c r="V2170" i="1"/>
  <c r="H2170" i="1"/>
  <c r="A2170" i="1"/>
  <c r="V2169" i="1"/>
  <c r="H2169" i="1"/>
  <c r="A2169" i="1"/>
  <c r="V2168" i="1"/>
  <c r="H2168" i="1"/>
  <c r="A2168" i="1"/>
  <c r="V2167" i="1"/>
  <c r="H2167" i="1"/>
  <c r="A2167" i="1"/>
  <c r="V2166" i="1"/>
  <c r="H2166" i="1"/>
  <c r="A2166" i="1"/>
  <c r="V2165" i="1"/>
  <c r="H2165" i="1"/>
  <c r="A2165" i="1"/>
  <c r="V2164" i="1"/>
  <c r="H2164" i="1"/>
  <c r="A2164" i="1"/>
  <c r="V2163" i="1"/>
  <c r="H2163" i="1"/>
  <c r="A2163" i="1"/>
  <c r="V2162" i="1"/>
  <c r="H2162" i="1"/>
  <c r="A2162" i="1"/>
  <c r="V2161" i="1"/>
  <c r="H2161" i="1"/>
  <c r="A2161" i="1"/>
  <c r="V2160" i="1"/>
  <c r="H2160" i="1"/>
  <c r="A2160" i="1"/>
  <c r="V2159" i="1"/>
  <c r="H2159" i="1"/>
  <c r="A2159" i="1"/>
  <c r="V2158" i="1"/>
  <c r="H2158" i="1"/>
  <c r="A2158" i="1"/>
  <c r="V2157" i="1"/>
  <c r="H2157" i="1"/>
  <c r="A2157" i="1"/>
  <c r="V2156" i="1"/>
  <c r="H2156" i="1"/>
  <c r="A2156" i="1"/>
  <c r="V2155" i="1"/>
  <c r="H2155" i="1"/>
  <c r="A2155" i="1"/>
  <c r="V2154" i="1"/>
  <c r="H2154" i="1"/>
  <c r="A2154" i="1"/>
  <c r="V2153" i="1"/>
  <c r="H2153" i="1"/>
  <c r="A2153" i="1"/>
  <c r="V2152" i="1"/>
  <c r="H2152" i="1"/>
  <c r="A2152" i="1"/>
  <c r="V2151" i="1"/>
  <c r="H2151" i="1"/>
  <c r="A2151" i="1"/>
  <c r="V2150" i="1"/>
  <c r="H2150" i="1"/>
  <c r="A2150" i="1"/>
  <c r="V2149" i="1"/>
  <c r="H2149" i="1"/>
  <c r="A2149" i="1"/>
  <c r="V2148" i="1"/>
  <c r="H2148" i="1"/>
  <c r="A2148" i="1"/>
  <c r="V2147" i="1"/>
  <c r="H2147" i="1"/>
  <c r="A2147" i="1"/>
  <c r="V2146" i="1"/>
  <c r="H2146" i="1"/>
  <c r="A2146" i="1"/>
  <c r="V2145" i="1"/>
  <c r="H2145" i="1"/>
  <c r="A2145" i="1"/>
  <c r="V2144" i="1"/>
  <c r="H2144" i="1"/>
  <c r="A2144" i="1"/>
  <c r="V2143" i="1"/>
  <c r="H2143" i="1"/>
  <c r="A2143" i="1"/>
  <c r="V2142" i="1"/>
  <c r="H2142" i="1"/>
  <c r="A2142" i="1"/>
  <c r="V2141" i="1"/>
  <c r="H2141" i="1"/>
  <c r="A2141" i="1"/>
  <c r="V2140" i="1"/>
  <c r="H2140" i="1"/>
  <c r="A2140" i="1"/>
  <c r="V2139" i="1"/>
  <c r="H2139" i="1"/>
  <c r="A2139" i="1"/>
  <c r="V2138" i="1"/>
  <c r="H2138" i="1"/>
  <c r="A2138" i="1"/>
  <c r="V2137" i="1"/>
  <c r="H2137" i="1"/>
  <c r="A2137" i="1"/>
  <c r="V2136" i="1"/>
  <c r="H2136" i="1"/>
  <c r="A2136" i="1"/>
  <c r="V2135" i="1"/>
  <c r="H2135" i="1"/>
  <c r="A2135" i="1"/>
  <c r="V2134" i="1"/>
  <c r="H2134" i="1"/>
  <c r="A2134" i="1"/>
  <c r="V2133" i="1"/>
  <c r="H2133" i="1"/>
  <c r="A2133" i="1"/>
  <c r="V2132" i="1"/>
  <c r="H2132" i="1"/>
  <c r="A2132" i="1"/>
  <c r="V2131" i="1"/>
  <c r="H2131" i="1"/>
  <c r="A2131" i="1"/>
  <c r="V2130" i="1"/>
  <c r="H2130" i="1"/>
  <c r="A2130" i="1"/>
  <c r="V2129" i="1"/>
  <c r="H2129" i="1"/>
  <c r="A2129" i="1"/>
  <c r="V2128" i="1"/>
  <c r="H2128" i="1"/>
  <c r="A2128" i="1"/>
  <c r="V2127" i="1"/>
  <c r="H2127" i="1"/>
  <c r="A2127" i="1"/>
  <c r="V2126" i="1"/>
  <c r="H2126" i="1"/>
  <c r="A2126" i="1"/>
  <c r="V2125" i="1"/>
  <c r="H2125" i="1"/>
  <c r="A2125" i="1"/>
  <c r="V2124" i="1"/>
  <c r="H2124" i="1"/>
  <c r="A2124" i="1"/>
  <c r="V2123" i="1"/>
  <c r="H2123" i="1"/>
  <c r="A2123" i="1"/>
  <c r="V2122" i="1"/>
  <c r="H2122" i="1"/>
  <c r="A2122" i="1"/>
  <c r="V2121" i="1"/>
  <c r="H2121" i="1"/>
  <c r="A2121" i="1"/>
  <c r="V2120" i="1"/>
  <c r="H2120" i="1"/>
  <c r="A2120" i="1"/>
  <c r="V2119" i="1"/>
  <c r="H2119" i="1"/>
  <c r="A2119" i="1"/>
  <c r="V2118" i="1"/>
  <c r="H2118" i="1"/>
  <c r="A2118" i="1"/>
  <c r="V2117" i="1"/>
  <c r="H2117" i="1"/>
  <c r="A2117" i="1"/>
  <c r="V2116" i="1"/>
  <c r="H2116" i="1"/>
  <c r="A2116" i="1"/>
  <c r="V2115" i="1"/>
  <c r="H2115" i="1"/>
  <c r="A2115" i="1"/>
  <c r="V2114" i="1"/>
  <c r="H2114" i="1"/>
  <c r="A2114" i="1"/>
  <c r="V2113" i="1"/>
  <c r="H2113" i="1"/>
  <c r="A2113" i="1"/>
  <c r="V2112" i="1"/>
  <c r="H2112" i="1"/>
  <c r="A2112" i="1"/>
  <c r="V2111" i="1"/>
  <c r="H2111" i="1"/>
  <c r="A2111" i="1"/>
  <c r="V2110" i="1"/>
  <c r="H2110" i="1"/>
  <c r="A2110" i="1"/>
  <c r="V2109" i="1"/>
  <c r="H2109" i="1"/>
  <c r="A2109" i="1"/>
  <c r="V2108" i="1"/>
  <c r="H2108" i="1"/>
  <c r="A2108" i="1"/>
  <c r="V2107" i="1"/>
  <c r="H2107" i="1"/>
  <c r="A2107" i="1"/>
  <c r="V2106" i="1"/>
  <c r="H2106" i="1"/>
  <c r="A2106" i="1"/>
  <c r="V2105" i="1"/>
  <c r="H2105" i="1"/>
  <c r="A2105" i="1"/>
  <c r="V2104" i="1"/>
  <c r="H2104" i="1"/>
  <c r="A2104" i="1"/>
  <c r="V2103" i="1"/>
  <c r="H2103" i="1"/>
  <c r="A2103" i="1"/>
  <c r="V2102" i="1"/>
  <c r="H2102" i="1"/>
  <c r="A2102" i="1"/>
  <c r="V2101" i="1"/>
  <c r="H2101" i="1"/>
  <c r="A2101" i="1"/>
  <c r="V2100" i="1"/>
  <c r="H2100" i="1"/>
  <c r="A2100" i="1"/>
  <c r="V2099" i="1"/>
  <c r="H2099" i="1"/>
  <c r="A2099" i="1"/>
  <c r="V2098" i="1"/>
  <c r="H2098" i="1"/>
  <c r="A2098" i="1"/>
  <c r="V2097" i="1"/>
  <c r="H2097" i="1"/>
  <c r="A2097" i="1"/>
  <c r="V2096" i="1"/>
  <c r="H2096" i="1"/>
  <c r="A2096" i="1"/>
  <c r="V2095" i="1"/>
  <c r="H2095" i="1"/>
  <c r="A2095" i="1"/>
  <c r="V2094" i="1"/>
  <c r="H2094" i="1"/>
  <c r="A2094" i="1"/>
  <c r="V2093" i="1"/>
  <c r="H2093" i="1"/>
  <c r="A2093" i="1"/>
  <c r="V2092" i="1"/>
  <c r="H2092" i="1"/>
  <c r="A2092" i="1"/>
  <c r="V2091" i="1"/>
  <c r="H2091" i="1"/>
  <c r="A2091" i="1"/>
  <c r="V2090" i="1"/>
  <c r="H2090" i="1"/>
  <c r="A2090" i="1"/>
  <c r="V2089" i="1"/>
  <c r="H2089" i="1"/>
  <c r="A2089" i="1"/>
  <c r="V2088" i="1"/>
  <c r="H2088" i="1"/>
  <c r="A2088" i="1"/>
  <c r="V2087" i="1"/>
  <c r="H2087" i="1"/>
  <c r="A2087" i="1"/>
  <c r="V2086" i="1"/>
  <c r="H2086" i="1"/>
  <c r="A2086" i="1"/>
  <c r="V2085" i="1"/>
  <c r="H2085" i="1"/>
  <c r="A2085" i="1"/>
  <c r="V2084" i="1"/>
  <c r="H2084" i="1"/>
  <c r="A2084" i="1"/>
  <c r="V2083" i="1"/>
  <c r="H2083" i="1"/>
  <c r="A2083" i="1"/>
  <c r="V2082" i="1"/>
  <c r="H2082" i="1"/>
  <c r="A2082" i="1"/>
  <c r="V2081" i="1"/>
  <c r="H2081" i="1"/>
  <c r="A2081" i="1"/>
  <c r="V2080" i="1"/>
  <c r="H2080" i="1"/>
  <c r="A2080" i="1"/>
  <c r="V2079" i="1"/>
  <c r="H2079" i="1"/>
  <c r="A2079" i="1"/>
  <c r="V2078" i="1"/>
  <c r="H2078" i="1"/>
  <c r="A2078" i="1"/>
  <c r="V2077" i="1"/>
  <c r="H2077" i="1"/>
  <c r="A2077" i="1"/>
  <c r="V2076" i="1"/>
  <c r="H2076" i="1"/>
  <c r="A2076" i="1"/>
  <c r="V2075" i="1"/>
  <c r="H2075" i="1"/>
  <c r="A2075" i="1"/>
  <c r="V2074" i="1"/>
  <c r="H2074" i="1"/>
  <c r="A2074" i="1"/>
  <c r="V2073" i="1"/>
  <c r="H2073" i="1"/>
  <c r="A2073" i="1"/>
  <c r="V2072" i="1"/>
  <c r="H2072" i="1"/>
  <c r="A2072" i="1"/>
  <c r="V2071" i="1"/>
  <c r="H2071" i="1"/>
  <c r="A2071" i="1"/>
  <c r="V2070" i="1"/>
  <c r="H2070" i="1"/>
  <c r="A2070" i="1"/>
  <c r="V2069" i="1"/>
  <c r="H2069" i="1"/>
  <c r="A2069" i="1"/>
  <c r="V2068" i="1"/>
  <c r="H2068" i="1"/>
  <c r="A2068" i="1"/>
  <c r="V2067" i="1"/>
  <c r="H2067" i="1"/>
  <c r="A2067" i="1"/>
  <c r="V2066" i="1"/>
  <c r="H2066" i="1"/>
  <c r="A2066" i="1"/>
  <c r="V2065" i="1"/>
  <c r="H2065" i="1"/>
  <c r="A2065" i="1"/>
  <c r="V2064" i="1"/>
  <c r="H2064" i="1"/>
  <c r="A2064" i="1"/>
  <c r="V2063" i="1"/>
  <c r="H2063" i="1"/>
  <c r="A2063" i="1"/>
  <c r="V2062" i="1"/>
  <c r="H2062" i="1"/>
  <c r="A2062" i="1"/>
  <c r="V2061" i="1"/>
  <c r="H2061" i="1"/>
  <c r="A2061" i="1"/>
  <c r="V2060" i="1"/>
  <c r="H2060" i="1"/>
  <c r="A2060" i="1"/>
  <c r="V2059" i="1"/>
  <c r="H2059" i="1"/>
  <c r="A2059" i="1"/>
  <c r="V2058" i="1"/>
  <c r="H2058" i="1"/>
  <c r="A2058" i="1"/>
  <c r="V2057" i="1"/>
  <c r="H2057" i="1"/>
  <c r="A2057" i="1"/>
  <c r="V2056" i="1"/>
  <c r="H2056" i="1"/>
  <c r="A2056" i="1"/>
  <c r="V2055" i="1"/>
  <c r="H2055" i="1"/>
  <c r="A2055" i="1"/>
  <c r="V2054" i="1"/>
  <c r="H2054" i="1"/>
  <c r="A2054" i="1"/>
  <c r="V2053" i="1"/>
  <c r="H2053" i="1"/>
  <c r="A2053" i="1"/>
  <c r="V2052" i="1"/>
  <c r="H2052" i="1"/>
  <c r="A2052" i="1"/>
  <c r="V2051" i="1"/>
  <c r="H2051" i="1"/>
  <c r="A2051" i="1"/>
  <c r="V2050" i="1"/>
  <c r="H2050" i="1"/>
  <c r="A2050" i="1"/>
  <c r="V2049" i="1"/>
  <c r="H2049" i="1"/>
  <c r="A2049" i="1"/>
  <c r="V2048" i="1"/>
  <c r="H2048" i="1"/>
  <c r="A2048" i="1"/>
  <c r="V2047" i="1"/>
  <c r="H2047" i="1"/>
  <c r="A2047" i="1"/>
  <c r="V2046" i="1"/>
  <c r="H2046" i="1"/>
  <c r="A2046" i="1"/>
  <c r="V2045" i="1"/>
  <c r="H2045" i="1"/>
  <c r="A2045" i="1"/>
  <c r="V2044" i="1"/>
  <c r="H2044" i="1"/>
  <c r="A2044" i="1"/>
  <c r="V2043" i="1"/>
  <c r="H2043" i="1"/>
  <c r="A2043" i="1"/>
  <c r="V2042" i="1"/>
  <c r="H2042" i="1"/>
  <c r="A2042" i="1"/>
  <c r="V2041" i="1"/>
  <c r="H2041" i="1"/>
  <c r="A2041" i="1"/>
  <c r="V2040" i="1"/>
  <c r="H2040" i="1"/>
  <c r="A2040" i="1"/>
  <c r="V2039" i="1"/>
  <c r="H2039" i="1"/>
  <c r="A2039" i="1"/>
  <c r="V2038" i="1"/>
  <c r="H2038" i="1"/>
  <c r="A2038" i="1"/>
  <c r="V2037" i="1"/>
  <c r="H2037" i="1"/>
  <c r="A2037" i="1"/>
  <c r="V2036" i="1"/>
  <c r="H2036" i="1"/>
  <c r="A2036" i="1"/>
  <c r="V2035" i="1"/>
  <c r="H2035" i="1"/>
  <c r="A2035" i="1"/>
  <c r="V2034" i="1"/>
  <c r="H2034" i="1"/>
  <c r="A2034" i="1"/>
  <c r="V2033" i="1"/>
  <c r="H2033" i="1"/>
  <c r="A2033" i="1"/>
  <c r="V2032" i="1"/>
  <c r="H2032" i="1"/>
  <c r="A2032" i="1"/>
  <c r="V2031" i="1"/>
  <c r="H2031" i="1"/>
  <c r="A2031" i="1"/>
  <c r="V2030" i="1"/>
  <c r="H2030" i="1"/>
  <c r="A2030" i="1"/>
  <c r="V2029" i="1"/>
  <c r="H2029" i="1"/>
  <c r="A2029" i="1"/>
  <c r="V2028" i="1"/>
  <c r="H2028" i="1"/>
  <c r="A2028" i="1"/>
  <c r="V2027" i="1"/>
  <c r="H2027" i="1"/>
  <c r="A2027" i="1"/>
  <c r="V2026" i="1"/>
  <c r="H2026" i="1"/>
  <c r="A2026" i="1"/>
  <c r="V2025" i="1"/>
  <c r="H2025" i="1"/>
  <c r="A2025" i="1"/>
  <c r="V2024" i="1"/>
  <c r="H2024" i="1"/>
  <c r="A2024" i="1"/>
  <c r="V2023" i="1"/>
  <c r="H2023" i="1"/>
  <c r="A2023" i="1"/>
  <c r="V2022" i="1"/>
  <c r="H2022" i="1"/>
  <c r="A2022" i="1"/>
  <c r="V2021" i="1"/>
  <c r="H2021" i="1"/>
  <c r="A2021" i="1"/>
  <c r="V2020" i="1"/>
  <c r="H2020" i="1"/>
  <c r="A2020" i="1"/>
  <c r="V2019" i="1"/>
  <c r="H2019" i="1"/>
  <c r="A2019" i="1"/>
  <c r="V2018" i="1"/>
  <c r="H2018" i="1"/>
  <c r="A2018" i="1"/>
  <c r="V2017" i="1"/>
  <c r="H2017" i="1"/>
  <c r="A2017" i="1"/>
  <c r="V2016" i="1"/>
  <c r="H2016" i="1"/>
  <c r="A2016" i="1"/>
  <c r="V2015" i="1"/>
  <c r="H2015" i="1"/>
  <c r="A2015" i="1"/>
  <c r="V2014" i="1"/>
  <c r="H2014" i="1"/>
  <c r="A2014" i="1"/>
  <c r="V2013" i="1"/>
  <c r="H2013" i="1"/>
  <c r="A2013" i="1"/>
  <c r="V2012" i="1"/>
  <c r="H2012" i="1"/>
  <c r="A2012" i="1"/>
  <c r="V2011" i="1"/>
  <c r="H2011" i="1"/>
  <c r="A2011" i="1"/>
  <c r="V2010" i="1"/>
  <c r="H2010" i="1"/>
  <c r="A2010" i="1"/>
  <c r="V2009" i="1"/>
  <c r="H2009" i="1"/>
  <c r="A2009" i="1"/>
  <c r="V2008" i="1"/>
  <c r="H2008" i="1"/>
  <c r="A2008" i="1"/>
  <c r="V2007" i="1"/>
  <c r="H2007" i="1"/>
  <c r="A2007" i="1"/>
  <c r="V2006" i="1"/>
  <c r="H2006" i="1"/>
  <c r="A2006" i="1"/>
  <c r="V2005" i="1"/>
  <c r="H2005" i="1"/>
  <c r="A2005" i="1"/>
  <c r="V2004" i="1"/>
  <c r="H2004" i="1"/>
  <c r="A2004" i="1"/>
  <c r="V2003" i="1"/>
  <c r="H2003" i="1"/>
  <c r="A2003" i="1"/>
  <c r="V2002" i="1"/>
  <c r="H2002" i="1"/>
  <c r="A2002" i="1"/>
  <c r="V2001" i="1"/>
  <c r="H2001" i="1"/>
  <c r="A2001" i="1"/>
  <c r="V2000" i="1"/>
  <c r="H2000" i="1"/>
  <c r="A2000" i="1"/>
  <c r="V1999" i="1"/>
  <c r="H1999" i="1"/>
  <c r="A1999" i="1"/>
  <c r="V1998" i="1"/>
  <c r="H1998" i="1"/>
  <c r="A1998" i="1"/>
  <c r="V1997" i="1"/>
  <c r="H1997" i="1"/>
  <c r="A1997" i="1"/>
  <c r="V1996" i="1"/>
  <c r="H1996" i="1"/>
  <c r="A1996" i="1"/>
  <c r="V1995" i="1"/>
  <c r="H1995" i="1"/>
  <c r="A1995" i="1"/>
  <c r="V1994" i="1"/>
  <c r="H1994" i="1"/>
  <c r="A1994" i="1"/>
  <c r="V1993" i="1"/>
  <c r="H1993" i="1"/>
  <c r="A1993" i="1"/>
  <c r="V1992" i="1"/>
  <c r="H1992" i="1"/>
  <c r="A1992" i="1"/>
  <c r="V1991" i="1"/>
  <c r="H1991" i="1"/>
  <c r="A1991" i="1"/>
  <c r="V1990" i="1"/>
  <c r="H1990" i="1"/>
  <c r="A1990" i="1"/>
  <c r="V1989" i="1"/>
  <c r="H1989" i="1"/>
  <c r="A1989" i="1"/>
  <c r="V1988" i="1"/>
  <c r="H1988" i="1"/>
  <c r="A1988" i="1"/>
  <c r="V1987" i="1"/>
  <c r="H1987" i="1"/>
  <c r="A1987" i="1"/>
  <c r="V1986" i="1"/>
  <c r="H1986" i="1"/>
  <c r="A1986" i="1"/>
  <c r="V1985" i="1"/>
  <c r="H1985" i="1"/>
  <c r="A1985" i="1"/>
  <c r="V1984" i="1"/>
  <c r="H1984" i="1"/>
  <c r="A1984" i="1"/>
  <c r="V1983" i="1"/>
  <c r="H1983" i="1"/>
  <c r="A1983" i="1"/>
  <c r="V1982" i="1"/>
  <c r="H1982" i="1"/>
  <c r="A1982" i="1"/>
  <c r="V1981" i="1"/>
  <c r="H1981" i="1"/>
  <c r="A1981" i="1"/>
  <c r="V1980" i="1"/>
  <c r="H1980" i="1"/>
  <c r="A1980" i="1"/>
  <c r="V1979" i="1"/>
  <c r="H1979" i="1"/>
  <c r="A1979" i="1"/>
  <c r="V1978" i="1"/>
  <c r="H1978" i="1"/>
  <c r="A1978" i="1"/>
  <c r="V1977" i="1"/>
  <c r="H1977" i="1"/>
  <c r="A1977" i="1"/>
  <c r="V1976" i="1"/>
  <c r="H1976" i="1"/>
  <c r="A1976" i="1"/>
  <c r="V1975" i="1"/>
  <c r="H1975" i="1"/>
  <c r="A1975" i="1"/>
  <c r="V1974" i="1"/>
  <c r="H1974" i="1"/>
  <c r="A1974" i="1"/>
  <c r="V1973" i="1"/>
  <c r="H1973" i="1"/>
  <c r="A1973" i="1"/>
  <c r="V1972" i="1"/>
  <c r="H1972" i="1"/>
  <c r="A1972" i="1"/>
  <c r="V1971" i="1"/>
  <c r="H1971" i="1"/>
  <c r="A1971" i="1"/>
  <c r="V1970" i="1"/>
  <c r="H1970" i="1"/>
  <c r="A1970" i="1"/>
  <c r="V1969" i="1"/>
  <c r="H1969" i="1"/>
  <c r="A1969" i="1"/>
  <c r="V1968" i="1"/>
  <c r="H1968" i="1"/>
  <c r="A1968" i="1"/>
  <c r="V1967" i="1"/>
  <c r="H1967" i="1"/>
  <c r="A1967" i="1"/>
  <c r="V1966" i="1"/>
  <c r="H1966" i="1"/>
  <c r="A1966" i="1"/>
  <c r="V1965" i="1"/>
  <c r="H1965" i="1"/>
  <c r="A1965" i="1"/>
  <c r="V1964" i="1"/>
  <c r="H1964" i="1"/>
  <c r="A1964" i="1"/>
  <c r="V1963" i="1"/>
  <c r="H1963" i="1"/>
  <c r="A1963" i="1"/>
  <c r="V1962" i="1"/>
  <c r="H1962" i="1"/>
  <c r="A1962" i="1"/>
  <c r="V1961" i="1"/>
  <c r="H1961" i="1"/>
  <c r="A1961" i="1"/>
  <c r="V1960" i="1"/>
  <c r="H1960" i="1"/>
  <c r="A1960" i="1"/>
  <c r="V1959" i="1"/>
  <c r="H1959" i="1"/>
  <c r="A1959" i="1"/>
  <c r="V1958" i="1"/>
  <c r="H1958" i="1"/>
  <c r="A1958" i="1"/>
  <c r="V1957" i="1"/>
  <c r="H1957" i="1"/>
  <c r="A1957" i="1"/>
  <c r="V1956" i="1"/>
  <c r="H1956" i="1"/>
  <c r="A1956" i="1"/>
  <c r="V1955" i="1"/>
  <c r="H1955" i="1"/>
  <c r="A1955" i="1"/>
  <c r="V1954" i="1"/>
  <c r="H1954" i="1"/>
  <c r="A1954" i="1"/>
  <c r="V1953" i="1"/>
  <c r="H1953" i="1"/>
  <c r="A1953" i="1"/>
  <c r="V1952" i="1"/>
  <c r="H1952" i="1"/>
  <c r="A1952" i="1"/>
  <c r="V1951" i="1"/>
  <c r="H1951" i="1"/>
  <c r="A1951" i="1"/>
  <c r="V1950" i="1"/>
  <c r="H1950" i="1"/>
  <c r="A1950" i="1"/>
  <c r="V1949" i="1"/>
  <c r="H1949" i="1"/>
  <c r="A1949" i="1"/>
  <c r="V1948" i="1"/>
  <c r="H1948" i="1"/>
  <c r="A1948" i="1"/>
  <c r="V1947" i="1"/>
  <c r="H1947" i="1"/>
  <c r="A1947" i="1"/>
  <c r="V1946" i="1"/>
  <c r="H1946" i="1"/>
  <c r="A1946" i="1"/>
  <c r="V1945" i="1"/>
  <c r="H1945" i="1"/>
  <c r="A1945" i="1"/>
  <c r="V1944" i="1"/>
  <c r="H1944" i="1"/>
  <c r="A1944" i="1"/>
  <c r="V1943" i="1"/>
  <c r="H1943" i="1"/>
  <c r="A1943" i="1"/>
  <c r="V1942" i="1"/>
  <c r="H1942" i="1"/>
  <c r="A1942" i="1"/>
  <c r="V1941" i="1"/>
  <c r="H1941" i="1"/>
  <c r="A1941" i="1"/>
  <c r="V1940" i="1"/>
  <c r="H1940" i="1"/>
  <c r="A1940" i="1"/>
  <c r="V1939" i="1"/>
  <c r="H1939" i="1"/>
  <c r="A1939" i="1"/>
  <c r="V1938" i="1"/>
  <c r="H1938" i="1"/>
  <c r="A1938" i="1"/>
  <c r="V1937" i="1"/>
  <c r="H1937" i="1"/>
  <c r="A1937" i="1"/>
  <c r="V1936" i="1"/>
  <c r="H1936" i="1"/>
  <c r="A1936" i="1"/>
  <c r="V1935" i="1"/>
  <c r="H1935" i="1"/>
  <c r="A1935" i="1"/>
  <c r="V1934" i="1"/>
  <c r="H1934" i="1"/>
  <c r="A1934" i="1"/>
  <c r="V1933" i="1"/>
  <c r="H1933" i="1"/>
  <c r="A1933" i="1"/>
  <c r="V1932" i="1"/>
  <c r="H1932" i="1"/>
  <c r="A1932" i="1"/>
  <c r="V1931" i="1"/>
  <c r="H1931" i="1"/>
  <c r="A1931" i="1"/>
  <c r="V1930" i="1"/>
  <c r="H1930" i="1"/>
  <c r="A1930" i="1"/>
  <c r="V1929" i="1"/>
  <c r="H1929" i="1"/>
  <c r="A1929" i="1"/>
  <c r="V1928" i="1"/>
  <c r="H1928" i="1"/>
  <c r="A1928" i="1"/>
  <c r="V1927" i="1"/>
  <c r="H1927" i="1"/>
  <c r="A1927" i="1"/>
  <c r="V1926" i="1"/>
  <c r="H1926" i="1"/>
  <c r="A1926" i="1"/>
  <c r="V1925" i="1"/>
  <c r="H1925" i="1"/>
  <c r="A1925" i="1"/>
  <c r="V1924" i="1"/>
  <c r="H1924" i="1"/>
  <c r="A1924" i="1"/>
  <c r="V1923" i="1"/>
  <c r="H1923" i="1"/>
  <c r="A1923" i="1"/>
  <c r="V1922" i="1"/>
  <c r="H1922" i="1"/>
  <c r="A1922" i="1"/>
  <c r="V1921" i="1"/>
  <c r="H1921" i="1"/>
  <c r="A1921" i="1"/>
  <c r="V1920" i="1"/>
  <c r="H1920" i="1"/>
  <c r="A1920" i="1"/>
  <c r="V1919" i="1"/>
  <c r="H1919" i="1"/>
  <c r="A1919" i="1"/>
  <c r="V1918" i="1"/>
  <c r="H1918" i="1"/>
  <c r="A1918" i="1"/>
  <c r="V1917" i="1"/>
  <c r="H1917" i="1"/>
  <c r="A1917" i="1"/>
  <c r="V1916" i="1"/>
  <c r="H1916" i="1"/>
  <c r="A1916" i="1"/>
  <c r="V1915" i="1"/>
  <c r="H1915" i="1"/>
  <c r="A1915" i="1"/>
  <c r="V1914" i="1"/>
  <c r="H1914" i="1"/>
  <c r="A1914" i="1"/>
  <c r="V1913" i="1"/>
  <c r="H1913" i="1"/>
  <c r="A1913" i="1"/>
  <c r="V1912" i="1"/>
  <c r="H1912" i="1"/>
  <c r="A1912" i="1"/>
  <c r="V1911" i="1"/>
  <c r="H1911" i="1"/>
  <c r="A1911" i="1"/>
  <c r="V1910" i="1"/>
  <c r="H1910" i="1"/>
  <c r="A1910" i="1"/>
  <c r="V1909" i="1"/>
  <c r="H1909" i="1"/>
  <c r="A1909" i="1"/>
  <c r="V1908" i="1"/>
  <c r="H1908" i="1"/>
  <c r="A1908" i="1"/>
  <c r="V1907" i="1"/>
  <c r="H1907" i="1"/>
  <c r="A1907" i="1"/>
  <c r="V1906" i="1"/>
  <c r="H1906" i="1"/>
  <c r="A1906" i="1"/>
  <c r="V1905" i="1"/>
  <c r="H1905" i="1"/>
  <c r="A1905" i="1"/>
  <c r="V1904" i="1"/>
  <c r="H1904" i="1"/>
  <c r="A1904" i="1"/>
  <c r="V1903" i="1"/>
  <c r="H1903" i="1"/>
  <c r="A1903" i="1"/>
  <c r="V1902" i="1"/>
  <c r="H1902" i="1"/>
  <c r="A1902" i="1"/>
  <c r="V1901" i="1"/>
  <c r="H1901" i="1"/>
  <c r="A1901" i="1"/>
  <c r="V1900" i="1"/>
  <c r="H1900" i="1"/>
  <c r="A1900" i="1"/>
  <c r="V1899" i="1"/>
  <c r="H1899" i="1"/>
  <c r="A1899" i="1"/>
  <c r="V1898" i="1"/>
  <c r="H1898" i="1"/>
  <c r="A1898" i="1"/>
  <c r="V1897" i="1"/>
  <c r="H1897" i="1"/>
  <c r="A1897" i="1"/>
  <c r="V1896" i="1"/>
  <c r="H1896" i="1"/>
  <c r="A1896" i="1"/>
  <c r="V1895" i="1"/>
  <c r="H1895" i="1"/>
  <c r="A1895" i="1"/>
  <c r="V1894" i="1"/>
  <c r="H1894" i="1"/>
  <c r="A1894" i="1"/>
  <c r="V1893" i="1"/>
  <c r="H1893" i="1"/>
  <c r="A1893" i="1"/>
  <c r="V1892" i="1"/>
  <c r="H1892" i="1"/>
  <c r="A1892" i="1"/>
  <c r="V1891" i="1"/>
  <c r="H1891" i="1"/>
  <c r="A1891" i="1"/>
  <c r="V1890" i="1"/>
  <c r="H1890" i="1"/>
  <c r="A1890" i="1"/>
  <c r="V1889" i="1"/>
  <c r="H1889" i="1"/>
  <c r="A1889" i="1"/>
  <c r="V1888" i="1"/>
  <c r="H1888" i="1"/>
  <c r="A1888" i="1"/>
  <c r="V1887" i="1"/>
  <c r="H1887" i="1"/>
  <c r="A1887" i="1"/>
  <c r="V1886" i="1"/>
  <c r="H1886" i="1"/>
  <c r="A1886" i="1"/>
  <c r="V1885" i="1"/>
  <c r="H1885" i="1"/>
  <c r="A1885" i="1"/>
  <c r="V1884" i="1"/>
  <c r="H1884" i="1"/>
  <c r="A1884" i="1"/>
  <c r="V1883" i="1"/>
  <c r="H1883" i="1"/>
  <c r="A1883" i="1"/>
  <c r="V1882" i="1"/>
  <c r="H1882" i="1"/>
  <c r="A1882" i="1"/>
  <c r="V1881" i="1"/>
  <c r="H1881" i="1"/>
  <c r="A1881" i="1"/>
  <c r="V1880" i="1"/>
  <c r="H1880" i="1"/>
  <c r="A1880" i="1"/>
  <c r="V1879" i="1"/>
  <c r="H1879" i="1"/>
  <c r="A1879" i="1"/>
  <c r="V1878" i="1"/>
  <c r="H1878" i="1"/>
  <c r="A1878" i="1"/>
  <c r="V1877" i="1"/>
  <c r="H1877" i="1"/>
  <c r="A1877" i="1"/>
  <c r="V1876" i="1"/>
  <c r="H1876" i="1"/>
  <c r="A1876" i="1"/>
  <c r="V1875" i="1"/>
  <c r="H1875" i="1"/>
  <c r="A1875" i="1"/>
  <c r="V1874" i="1"/>
  <c r="H1874" i="1"/>
  <c r="A1874" i="1"/>
  <c r="V1873" i="1"/>
  <c r="H1873" i="1"/>
  <c r="A1873" i="1"/>
  <c r="V1872" i="1"/>
  <c r="H1872" i="1"/>
  <c r="A1872" i="1"/>
  <c r="V1871" i="1"/>
  <c r="H1871" i="1"/>
  <c r="A1871" i="1"/>
  <c r="V1870" i="1"/>
  <c r="H1870" i="1"/>
  <c r="A1870" i="1"/>
  <c r="V1869" i="1"/>
  <c r="H1869" i="1"/>
  <c r="A1869" i="1"/>
  <c r="V1868" i="1"/>
  <c r="H1868" i="1"/>
  <c r="A1868" i="1"/>
  <c r="V1867" i="1"/>
  <c r="H1867" i="1"/>
  <c r="A1867" i="1"/>
  <c r="V1866" i="1"/>
  <c r="H1866" i="1"/>
  <c r="A1866" i="1"/>
  <c r="V1865" i="1"/>
  <c r="H1865" i="1"/>
  <c r="A1865" i="1"/>
  <c r="V1864" i="1"/>
  <c r="H1864" i="1"/>
  <c r="A1864" i="1"/>
  <c r="V1863" i="1"/>
  <c r="H1863" i="1"/>
  <c r="A1863" i="1"/>
  <c r="V1862" i="1"/>
  <c r="H1862" i="1"/>
  <c r="A1862" i="1"/>
  <c r="V1861" i="1"/>
  <c r="H1861" i="1"/>
  <c r="A1861" i="1"/>
  <c r="V1860" i="1"/>
  <c r="H1860" i="1"/>
  <c r="A1860" i="1"/>
  <c r="V1859" i="1"/>
  <c r="H1859" i="1"/>
  <c r="A1859" i="1"/>
  <c r="V1858" i="1"/>
  <c r="H1858" i="1"/>
  <c r="A1858" i="1"/>
  <c r="V1857" i="1"/>
  <c r="H1857" i="1"/>
  <c r="A1857" i="1"/>
  <c r="V1856" i="1"/>
  <c r="H1856" i="1"/>
  <c r="A1856" i="1"/>
  <c r="V1855" i="1"/>
  <c r="H1855" i="1"/>
  <c r="A1855" i="1"/>
  <c r="V1854" i="1"/>
  <c r="H1854" i="1"/>
  <c r="A1854" i="1"/>
  <c r="V1853" i="1"/>
  <c r="H1853" i="1"/>
  <c r="A1853" i="1"/>
  <c r="V1852" i="1"/>
  <c r="H1852" i="1"/>
  <c r="A1852" i="1"/>
  <c r="V1851" i="1"/>
  <c r="H1851" i="1"/>
  <c r="A1851" i="1"/>
  <c r="V1850" i="1"/>
  <c r="H1850" i="1"/>
  <c r="A1850" i="1"/>
  <c r="V1849" i="1"/>
  <c r="H1849" i="1"/>
  <c r="A1849" i="1"/>
  <c r="V1848" i="1"/>
  <c r="H1848" i="1"/>
  <c r="A1848" i="1"/>
  <c r="V1847" i="1"/>
  <c r="H1847" i="1"/>
  <c r="A1847" i="1"/>
  <c r="V1846" i="1"/>
  <c r="H1846" i="1"/>
  <c r="A1846" i="1"/>
  <c r="V1845" i="1"/>
  <c r="H1845" i="1"/>
  <c r="A1845" i="1"/>
  <c r="V1844" i="1"/>
  <c r="H1844" i="1"/>
  <c r="A1844" i="1"/>
  <c r="V1843" i="1"/>
  <c r="H1843" i="1"/>
  <c r="A1843" i="1"/>
  <c r="V1842" i="1"/>
  <c r="H1842" i="1"/>
  <c r="A1842" i="1"/>
  <c r="V1841" i="1"/>
  <c r="H1841" i="1"/>
  <c r="A1841" i="1"/>
  <c r="V1840" i="1"/>
  <c r="H1840" i="1"/>
  <c r="A1840" i="1"/>
  <c r="V1839" i="1"/>
  <c r="H1839" i="1"/>
  <c r="A1839" i="1"/>
  <c r="V1838" i="1"/>
  <c r="H1838" i="1"/>
  <c r="A1838" i="1"/>
  <c r="V1837" i="1"/>
  <c r="H1837" i="1"/>
  <c r="A1837" i="1"/>
  <c r="V1836" i="1"/>
  <c r="H1836" i="1"/>
  <c r="A1836" i="1"/>
  <c r="V1835" i="1"/>
  <c r="H1835" i="1"/>
  <c r="A1835" i="1"/>
  <c r="V1834" i="1"/>
  <c r="H1834" i="1"/>
  <c r="A1834" i="1"/>
  <c r="V1833" i="1"/>
  <c r="H1833" i="1"/>
  <c r="A1833" i="1"/>
  <c r="V1832" i="1"/>
  <c r="H1832" i="1"/>
  <c r="A1832" i="1"/>
  <c r="V1831" i="1"/>
  <c r="H1831" i="1"/>
  <c r="A1831" i="1"/>
  <c r="V1830" i="1"/>
  <c r="H1830" i="1"/>
  <c r="A1830" i="1"/>
  <c r="V1829" i="1"/>
  <c r="H1829" i="1"/>
  <c r="A1829" i="1"/>
  <c r="V1828" i="1"/>
  <c r="H1828" i="1"/>
  <c r="A1828" i="1"/>
  <c r="V1827" i="1"/>
  <c r="H1827" i="1"/>
  <c r="A1827" i="1"/>
  <c r="V1826" i="1"/>
  <c r="H1826" i="1"/>
  <c r="A1826" i="1"/>
  <c r="V1825" i="1"/>
  <c r="H1825" i="1"/>
  <c r="A1825" i="1"/>
  <c r="V1824" i="1"/>
  <c r="H1824" i="1"/>
  <c r="A1824" i="1"/>
  <c r="V1823" i="1"/>
  <c r="H1823" i="1"/>
  <c r="A1823" i="1"/>
  <c r="V1822" i="1"/>
  <c r="H1822" i="1"/>
  <c r="A1822" i="1"/>
  <c r="V1821" i="1"/>
  <c r="H1821" i="1"/>
  <c r="A1821" i="1"/>
  <c r="V1820" i="1"/>
  <c r="H1820" i="1"/>
  <c r="A1820" i="1"/>
  <c r="V1819" i="1"/>
  <c r="H1819" i="1"/>
  <c r="A1819" i="1"/>
  <c r="V1818" i="1"/>
  <c r="H1818" i="1"/>
  <c r="A1818" i="1"/>
  <c r="V1817" i="1"/>
  <c r="H1817" i="1"/>
  <c r="A1817" i="1"/>
  <c r="V1816" i="1"/>
  <c r="H1816" i="1"/>
  <c r="A1816" i="1"/>
  <c r="V1815" i="1"/>
  <c r="H1815" i="1"/>
  <c r="A1815" i="1"/>
  <c r="V1814" i="1"/>
  <c r="H1814" i="1"/>
  <c r="A1814" i="1"/>
  <c r="V1813" i="1"/>
  <c r="H1813" i="1"/>
  <c r="A1813" i="1"/>
  <c r="V1812" i="1"/>
  <c r="H1812" i="1"/>
  <c r="A1812" i="1"/>
  <c r="V1811" i="1"/>
  <c r="H1811" i="1"/>
  <c r="A1811" i="1"/>
  <c r="V1810" i="1"/>
  <c r="H1810" i="1"/>
  <c r="A1810" i="1"/>
  <c r="V1809" i="1"/>
  <c r="H1809" i="1"/>
  <c r="A1809" i="1"/>
  <c r="V1808" i="1"/>
  <c r="H1808" i="1"/>
  <c r="A1808" i="1"/>
  <c r="V1807" i="1"/>
  <c r="H1807" i="1"/>
  <c r="A1807" i="1"/>
  <c r="V1806" i="1"/>
  <c r="H1806" i="1"/>
  <c r="A1806" i="1"/>
  <c r="V1805" i="1"/>
  <c r="H1805" i="1"/>
  <c r="A1805" i="1"/>
  <c r="V1804" i="1"/>
  <c r="H1804" i="1"/>
  <c r="A1804" i="1"/>
  <c r="V1803" i="1"/>
  <c r="H1803" i="1"/>
  <c r="A1803" i="1"/>
  <c r="V1802" i="1"/>
  <c r="H1802" i="1"/>
  <c r="A1802" i="1"/>
  <c r="V1801" i="1"/>
  <c r="H1801" i="1"/>
  <c r="A1801" i="1"/>
  <c r="V1800" i="1"/>
  <c r="H1800" i="1"/>
  <c r="A1800" i="1"/>
  <c r="V1799" i="1"/>
  <c r="H1799" i="1"/>
  <c r="A1799" i="1"/>
  <c r="V1798" i="1"/>
  <c r="H1798" i="1"/>
  <c r="A1798" i="1"/>
  <c r="V1797" i="1"/>
  <c r="H1797" i="1"/>
  <c r="A1797" i="1"/>
  <c r="V1796" i="1"/>
  <c r="H1796" i="1"/>
  <c r="A1796" i="1"/>
  <c r="V1795" i="1"/>
  <c r="H1795" i="1"/>
  <c r="A1795" i="1"/>
  <c r="V1794" i="1"/>
  <c r="H1794" i="1"/>
  <c r="A1794" i="1"/>
  <c r="V1793" i="1"/>
  <c r="H1793" i="1"/>
  <c r="A1793" i="1"/>
  <c r="V1792" i="1"/>
  <c r="H1792" i="1"/>
  <c r="A1792" i="1"/>
  <c r="V1791" i="1"/>
  <c r="H1791" i="1"/>
  <c r="A1791" i="1"/>
  <c r="V1790" i="1"/>
  <c r="H1790" i="1"/>
  <c r="A1790" i="1"/>
  <c r="V1789" i="1"/>
  <c r="H1789" i="1"/>
  <c r="A1789" i="1"/>
  <c r="V1788" i="1"/>
  <c r="H1788" i="1"/>
  <c r="A1788" i="1"/>
  <c r="V1787" i="1"/>
  <c r="H1787" i="1"/>
  <c r="A1787" i="1"/>
  <c r="V1786" i="1"/>
  <c r="H1786" i="1"/>
  <c r="A1786" i="1"/>
  <c r="V1785" i="1"/>
  <c r="H1785" i="1"/>
  <c r="A1785" i="1"/>
  <c r="V1784" i="1"/>
  <c r="H1784" i="1"/>
  <c r="A1784" i="1"/>
  <c r="V1783" i="1"/>
  <c r="H1783" i="1"/>
  <c r="A1783" i="1"/>
  <c r="V1782" i="1"/>
  <c r="H1782" i="1"/>
  <c r="A1782" i="1"/>
  <c r="V1781" i="1"/>
  <c r="H1781" i="1"/>
  <c r="A1781" i="1"/>
  <c r="V1780" i="1"/>
  <c r="H1780" i="1"/>
  <c r="A1780" i="1"/>
  <c r="V1779" i="1"/>
  <c r="H1779" i="1"/>
  <c r="A1779" i="1"/>
  <c r="V1778" i="1"/>
  <c r="H1778" i="1"/>
  <c r="A1778" i="1"/>
  <c r="V1777" i="1"/>
  <c r="H1777" i="1"/>
  <c r="A1777" i="1"/>
  <c r="V1776" i="1"/>
  <c r="H1776" i="1"/>
  <c r="A1776" i="1"/>
  <c r="V1775" i="1"/>
  <c r="H1775" i="1"/>
  <c r="A1775" i="1"/>
  <c r="V1774" i="1"/>
  <c r="H1774" i="1"/>
  <c r="A1774" i="1"/>
  <c r="V1773" i="1"/>
  <c r="H1773" i="1"/>
  <c r="A1773" i="1"/>
  <c r="V1772" i="1"/>
  <c r="H1772" i="1"/>
  <c r="A1772" i="1"/>
  <c r="V1771" i="1"/>
  <c r="H1771" i="1"/>
  <c r="A1771" i="1"/>
  <c r="V1770" i="1"/>
  <c r="H1770" i="1"/>
  <c r="A1770" i="1"/>
  <c r="V1769" i="1"/>
  <c r="H1769" i="1"/>
  <c r="A1769" i="1"/>
  <c r="V1768" i="1"/>
  <c r="H1768" i="1"/>
  <c r="A1768" i="1"/>
  <c r="V1767" i="1"/>
  <c r="H1767" i="1"/>
  <c r="A1767" i="1"/>
  <c r="V1766" i="1"/>
  <c r="H1766" i="1"/>
  <c r="A1766" i="1"/>
  <c r="V1765" i="1"/>
  <c r="H1765" i="1"/>
  <c r="A1765" i="1"/>
  <c r="V1764" i="1"/>
  <c r="H1764" i="1"/>
  <c r="A1764" i="1"/>
  <c r="V1763" i="1"/>
  <c r="H1763" i="1"/>
  <c r="A1763" i="1"/>
  <c r="V1762" i="1"/>
  <c r="H1762" i="1"/>
  <c r="A1762" i="1"/>
  <c r="V1761" i="1"/>
  <c r="H1761" i="1"/>
  <c r="A1761" i="1"/>
  <c r="V1760" i="1"/>
  <c r="H1760" i="1"/>
  <c r="A1760" i="1"/>
  <c r="V1759" i="1"/>
  <c r="H1759" i="1"/>
  <c r="A1759" i="1"/>
  <c r="V1758" i="1"/>
  <c r="H1758" i="1"/>
  <c r="A1758" i="1"/>
  <c r="V1757" i="1"/>
  <c r="H1757" i="1"/>
  <c r="A1757" i="1"/>
  <c r="V1756" i="1"/>
  <c r="H1756" i="1"/>
  <c r="A1756" i="1"/>
  <c r="V1755" i="1"/>
  <c r="H1755" i="1"/>
  <c r="A1755" i="1"/>
  <c r="V1754" i="1"/>
  <c r="H1754" i="1"/>
  <c r="A1754" i="1"/>
  <c r="V1753" i="1"/>
  <c r="H1753" i="1"/>
  <c r="A1753" i="1"/>
  <c r="V1752" i="1"/>
  <c r="H1752" i="1"/>
  <c r="A1752" i="1"/>
  <c r="V1751" i="1"/>
  <c r="H1751" i="1"/>
  <c r="A1751" i="1"/>
  <c r="V1750" i="1"/>
  <c r="H1750" i="1"/>
  <c r="A1750" i="1"/>
  <c r="V1749" i="1"/>
  <c r="H1749" i="1"/>
  <c r="A1749" i="1"/>
  <c r="V1748" i="1"/>
  <c r="H1748" i="1"/>
  <c r="A1748" i="1"/>
  <c r="V1747" i="1"/>
  <c r="H1747" i="1"/>
  <c r="A1747" i="1"/>
  <c r="V1746" i="1"/>
  <c r="H1746" i="1"/>
  <c r="A1746" i="1"/>
  <c r="V1745" i="1"/>
  <c r="H1745" i="1"/>
  <c r="A1745" i="1"/>
  <c r="V1744" i="1"/>
  <c r="H1744" i="1"/>
  <c r="A1744" i="1"/>
  <c r="V1743" i="1"/>
  <c r="H1743" i="1"/>
  <c r="A1743" i="1"/>
  <c r="V1742" i="1"/>
  <c r="H1742" i="1"/>
  <c r="A1742" i="1"/>
  <c r="V1741" i="1"/>
  <c r="H1741" i="1"/>
  <c r="A1741" i="1"/>
  <c r="V1740" i="1"/>
  <c r="H1740" i="1"/>
  <c r="A1740" i="1"/>
  <c r="V1739" i="1"/>
  <c r="H1739" i="1"/>
  <c r="A1739" i="1"/>
  <c r="V1738" i="1"/>
  <c r="H1738" i="1"/>
  <c r="A1738" i="1"/>
  <c r="V1737" i="1"/>
  <c r="H1737" i="1"/>
  <c r="A1737" i="1"/>
  <c r="V1736" i="1"/>
  <c r="H1736" i="1"/>
  <c r="A1736" i="1"/>
  <c r="V1735" i="1"/>
  <c r="H1735" i="1"/>
  <c r="A1735" i="1"/>
  <c r="V1734" i="1"/>
  <c r="H1734" i="1"/>
  <c r="A1734" i="1"/>
  <c r="V1733" i="1"/>
  <c r="H1733" i="1"/>
  <c r="A1733" i="1"/>
  <c r="V1732" i="1"/>
  <c r="H1732" i="1"/>
  <c r="A1732" i="1"/>
  <c r="V1731" i="1"/>
  <c r="H1731" i="1"/>
  <c r="A1731" i="1"/>
  <c r="V1730" i="1"/>
  <c r="H1730" i="1"/>
  <c r="A1730" i="1"/>
  <c r="V1729" i="1"/>
  <c r="H1729" i="1"/>
  <c r="A1729" i="1"/>
  <c r="V1728" i="1"/>
  <c r="H1728" i="1"/>
  <c r="A1728" i="1"/>
  <c r="V1727" i="1"/>
  <c r="H1727" i="1"/>
  <c r="A1727" i="1"/>
  <c r="V1726" i="1"/>
  <c r="H1726" i="1"/>
  <c r="A1726" i="1"/>
  <c r="V1725" i="1"/>
  <c r="H1725" i="1"/>
  <c r="A1725" i="1"/>
  <c r="V1724" i="1"/>
  <c r="H1724" i="1"/>
  <c r="A1724" i="1"/>
  <c r="V1723" i="1"/>
  <c r="H1723" i="1"/>
  <c r="A1723" i="1"/>
  <c r="V1722" i="1"/>
  <c r="H1722" i="1"/>
  <c r="A1722" i="1"/>
  <c r="V1721" i="1"/>
  <c r="H1721" i="1"/>
  <c r="A1721" i="1"/>
  <c r="V1720" i="1"/>
  <c r="H1720" i="1"/>
  <c r="A1720" i="1"/>
  <c r="V1719" i="1"/>
  <c r="H1719" i="1"/>
  <c r="A1719" i="1"/>
  <c r="V1718" i="1"/>
  <c r="H1718" i="1"/>
  <c r="A1718" i="1"/>
  <c r="V1717" i="1"/>
  <c r="H1717" i="1"/>
  <c r="A1717" i="1"/>
  <c r="V1716" i="1"/>
  <c r="H1716" i="1"/>
  <c r="A1716" i="1"/>
  <c r="V1715" i="1"/>
  <c r="H1715" i="1"/>
  <c r="A1715" i="1"/>
  <c r="V1714" i="1"/>
  <c r="H1714" i="1"/>
  <c r="A1714" i="1"/>
  <c r="V1713" i="1"/>
  <c r="H1713" i="1"/>
  <c r="A1713" i="1"/>
  <c r="V1712" i="1"/>
  <c r="H1712" i="1"/>
  <c r="A1712" i="1"/>
  <c r="V1711" i="1"/>
  <c r="H1711" i="1"/>
  <c r="A1711" i="1"/>
  <c r="V1710" i="1"/>
  <c r="H1710" i="1"/>
  <c r="A1710" i="1"/>
  <c r="V1709" i="1"/>
  <c r="H1709" i="1"/>
  <c r="A1709" i="1"/>
  <c r="V1708" i="1"/>
  <c r="H1708" i="1"/>
  <c r="A1708" i="1"/>
  <c r="V1707" i="1"/>
  <c r="H1707" i="1"/>
  <c r="A1707" i="1"/>
  <c r="V1706" i="1"/>
  <c r="H1706" i="1"/>
  <c r="A1706" i="1"/>
  <c r="V1705" i="1"/>
  <c r="H1705" i="1"/>
  <c r="A1705" i="1"/>
  <c r="V1704" i="1"/>
  <c r="H1704" i="1"/>
  <c r="A1704" i="1"/>
  <c r="V1703" i="1"/>
  <c r="H1703" i="1"/>
  <c r="A1703" i="1"/>
  <c r="V1702" i="1"/>
  <c r="H1702" i="1"/>
  <c r="A1702" i="1"/>
  <c r="V1701" i="1"/>
  <c r="H1701" i="1"/>
  <c r="A1701" i="1"/>
  <c r="V1700" i="1"/>
  <c r="H1700" i="1"/>
  <c r="A1700" i="1"/>
  <c r="V1699" i="1"/>
  <c r="H1699" i="1"/>
  <c r="A1699" i="1"/>
  <c r="V1698" i="1"/>
  <c r="H1698" i="1"/>
  <c r="A1698" i="1"/>
  <c r="V1697" i="1"/>
  <c r="H1697" i="1"/>
  <c r="A1697" i="1"/>
  <c r="V1696" i="1"/>
  <c r="H1696" i="1"/>
  <c r="A1696" i="1"/>
  <c r="V1695" i="1"/>
  <c r="H1695" i="1"/>
  <c r="A1695" i="1"/>
  <c r="V1694" i="1"/>
  <c r="H1694" i="1"/>
  <c r="A1694" i="1"/>
  <c r="V1693" i="1"/>
  <c r="H1693" i="1"/>
  <c r="A1693" i="1"/>
  <c r="V1692" i="1"/>
  <c r="H1692" i="1"/>
  <c r="A1692" i="1"/>
  <c r="V1691" i="1"/>
  <c r="H1691" i="1"/>
  <c r="A1691" i="1"/>
  <c r="V1690" i="1"/>
  <c r="H1690" i="1"/>
  <c r="A1690" i="1"/>
  <c r="V1689" i="1"/>
  <c r="H1689" i="1"/>
  <c r="A1689" i="1"/>
  <c r="V1688" i="1"/>
  <c r="H1688" i="1"/>
  <c r="A1688" i="1"/>
  <c r="V1687" i="1"/>
  <c r="H1687" i="1"/>
  <c r="A1687" i="1"/>
  <c r="V1686" i="1"/>
  <c r="H1686" i="1"/>
  <c r="A1686" i="1"/>
  <c r="V1685" i="1"/>
  <c r="H1685" i="1"/>
  <c r="A1685" i="1"/>
  <c r="V1684" i="1"/>
  <c r="H1684" i="1"/>
  <c r="A1684" i="1"/>
  <c r="V1683" i="1"/>
  <c r="H1683" i="1"/>
  <c r="A1683" i="1"/>
  <c r="V1682" i="1"/>
  <c r="H1682" i="1"/>
  <c r="A1682" i="1"/>
  <c r="V1681" i="1"/>
  <c r="H1681" i="1"/>
  <c r="A1681" i="1"/>
  <c r="V1680" i="1"/>
  <c r="H1680" i="1"/>
  <c r="A1680" i="1"/>
  <c r="V1679" i="1"/>
  <c r="H1679" i="1"/>
  <c r="A1679" i="1"/>
  <c r="V1678" i="1"/>
  <c r="H1678" i="1"/>
  <c r="A1678" i="1"/>
  <c r="V1677" i="1"/>
  <c r="H1677" i="1"/>
  <c r="A1677" i="1"/>
  <c r="V1676" i="1"/>
  <c r="H1676" i="1"/>
  <c r="A1676" i="1"/>
  <c r="V1675" i="1"/>
  <c r="H1675" i="1"/>
  <c r="A1675" i="1"/>
  <c r="V1674" i="1"/>
  <c r="H1674" i="1"/>
  <c r="A1674" i="1"/>
  <c r="V1673" i="1"/>
  <c r="H1673" i="1"/>
  <c r="A1673" i="1"/>
  <c r="V1672" i="1"/>
  <c r="H1672" i="1"/>
  <c r="A1672" i="1"/>
  <c r="V1671" i="1"/>
  <c r="H1671" i="1"/>
  <c r="A1671" i="1"/>
  <c r="V1670" i="1"/>
  <c r="H1670" i="1"/>
  <c r="A1670" i="1"/>
  <c r="V1669" i="1"/>
  <c r="H1669" i="1"/>
  <c r="A1669" i="1"/>
  <c r="V1668" i="1"/>
  <c r="H1668" i="1"/>
  <c r="A1668" i="1"/>
  <c r="V1667" i="1"/>
  <c r="H1667" i="1"/>
  <c r="A1667" i="1"/>
  <c r="V1666" i="1"/>
  <c r="H1666" i="1"/>
  <c r="A1666" i="1"/>
  <c r="V1665" i="1"/>
  <c r="H1665" i="1"/>
  <c r="A1665" i="1"/>
  <c r="V1664" i="1"/>
  <c r="H1664" i="1"/>
  <c r="A1664" i="1"/>
  <c r="V1663" i="1"/>
  <c r="H1663" i="1"/>
  <c r="A1663" i="1"/>
  <c r="V1662" i="1"/>
  <c r="H1662" i="1"/>
  <c r="A1662" i="1"/>
  <c r="V1661" i="1"/>
  <c r="H1661" i="1"/>
  <c r="A1661" i="1"/>
  <c r="V1660" i="1"/>
  <c r="H1660" i="1"/>
  <c r="A1660" i="1"/>
  <c r="V1659" i="1"/>
  <c r="H1659" i="1"/>
  <c r="A1659" i="1"/>
  <c r="V1658" i="1"/>
  <c r="H1658" i="1"/>
  <c r="A1658" i="1"/>
  <c r="V1657" i="1"/>
  <c r="H1657" i="1"/>
  <c r="A1657" i="1"/>
  <c r="V1656" i="1"/>
  <c r="H1656" i="1"/>
  <c r="A1656" i="1"/>
  <c r="V1655" i="1"/>
  <c r="H1655" i="1"/>
  <c r="A1655" i="1"/>
  <c r="V1654" i="1"/>
  <c r="H1654" i="1"/>
  <c r="A1654" i="1"/>
  <c r="V1653" i="1"/>
  <c r="H1653" i="1"/>
  <c r="A1653" i="1"/>
  <c r="V1652" i="1"/>
  <c r="H1652" i="1"/>
  <c r="A1652" i="1"/>
  <c r="V1651" i="1"/>
  <c r="H1651" i="1"/>
  <c r="A1651" i="1"/>
  <c r="V1650" i="1"/>
  <c r="H1650" i="1"/>
  <c r="A1650" i="1"/>
  <c r="V1649" i="1"/>
  <c r="H1649" i="1"/>
  <c r="A1649" i="1"/>
  <c r="V1648" i="1"/>
  <c r="H1648" i="1"/>
  <c r="A1648" i="1"/>
  <c r="V1647" i="1"/>
  <c r="H1647" i="1"/>
  <c r="A1647" i="1"/>
  <c r="V1646" i="1"/>
  <c r="H1646" i="1"/>
  <c r="A1646" i="1"/>
  <c r="V1645" i="1"/>
  <c r="H1645" i="1"/>
  <c r="A1645" i="1"/>
  <c r="V1644" i="1"/>
  <c r="H1644" i="1"/>
  <c r="A1644" i="1"/>
  <c r="V1643" i="1"/>
  <c r="H1643" i="1"/>
  <c r="A1643" i="1"/>
  <c r="V1642" i="1"/>
  <c r="H1642" i="1"/>
  <c r="A1642" i="1"/>
  <c r="V1641" i="1"/>
  <c r="H1641" i="1"/>
  <c r="A1641" i="1"/>
  <c r="V1640" i="1"/>
  <c r="H1640" i="1"/>
  <c r="A1640" i="1"/>
  <c r="V1639" i="1"/>
  <c r="H1639" i="1"/>
  <c r="A1639" i="1"/>
  <c r="V1638" i="1"/>
  <c r="H1638" i="1"/>
  <c r="A1638" i="1"/>
  <c r="V1637" i="1"/>
  <c r="H1637" i="1"/>
  <c r="A1637" i="1"/>
  <c r="V1636" i="1"/>
  <c r="H1636" i="1"/>
  <c r="A1636" i="1"/>
  <c r="V1635" i="1"/>
  <c r="H1635" i="1"/>
  <c r="A1635" i="1"/>
  <c r="V1634" i="1"/>
  <c r="H1634" i="1"/>
  <c r="A1634" i="1"/>
  <c r="V1633" i="1"/>
  <c r="H1633" i="1"/>
  <c r="A1633" i="1"/>
  <c r="V1632" i="1"/>
  <c r="H1632" i="1"/>
  <c r="A1632" i="1"/>
  <c r="V1631" i="1"/>
  <c r="H1631" i="1"/>
  <c r="A1631" i="1"/>
  <c r="V1630" i="1"/>
  <c r="H1630" i="1"/>
  <c r="A1630" i="1"/>
  <c r="V1629" i="1"/>
  <c r="H1629" i="1"/>
  <c r="A1629" i="1"/>
  <c r="V1628" i="1"/>
  <c r="H1628" i="1"/>
  <c r="A1628" i="1"/>
  <c r="V1627" i="1"/>
  <c r="H1627" i="1"/>
  <c r="A1627" i="1"/>
  <c r="V1626" i="1"/>
  <c r="H1626" i="1"/>
  <c r="A1626" i="1"/>
  <c r="V1625" i="1"/>
  <c r="H1625" i="1"/>
  <c r="A1625" i="1"/>
  <c r="V1624" i="1"/>
  <c r="H1624" i="1"/>
  <c r="A1624" i="1"/>
  <c r="V1623" i="1"/>
  <c r="H1623" i="1"/>
  <c r="A1623" i="1"/>
  <c r="V1622" i="1"/>
  <c r="H1622" i="1"/>
  <c r="A1622" i="1"/>
  <c r="V1621" i="1"/>
  <c r="H1621" i="1"/>
  <c r="A1621" i="1"/>
  <c r="V1620" i="1"/>
  <c r="H1620" i="1"/>
  <c r="A1620" i="1"/>
  <c r="V1619" i="1"/>
  <c r="H1619" i="1"/>
  <c r="A1619" i="1"/>
  <c r="V1618" i="1"/>
  <c r="H1618" i="1"/>
  <c r="A1618" i="1"/>
  <c r="V1617" i="1"/>
  <c r="H1617" i="1"/>
  <c r="A1617" i="1"/>
  <c r="V1616" i="1"/>
  <c r="H1616" i="1"/>
  <c r="A1616" i="1"/>
  <c r="V1615" i="1"/>
  <c r="H1615" i="1"/>
  <c r="A1615" i="1"/>
  <c r="V1614" i="1"/>
  <c r="H1614" i="1"/>
  <c r="A1614" i="1"/>
  <c r="V1613" i="1"/>
  <c r="H1613" i="1"/>
  <c r="A1613" i="1"/>
  <c r="V1612" i="1"/>
  <c r="H1612" i="1"/>
  <c r="A1612" i="1"/>
  <c r="V1611" i="1"/>
  <c r="H1611" i="1"/>
  <c r="A1611" i="1"/>
  <c r="V1610" i="1"/>
  <c r="H1610" i="1"/>
  <c r="A1610" i="1"/>
  <c r="V1609" i="1"/>
  <c r="H1609" i="1"/>
  <c r="A1609" i="1"/>
  <c r="V1608" i="1"/>
  <c r="H1608" i="1"/>
  <c r="A1608" i="1"/>
  <c r="V1607" i="1"/>
  <c r="H1607" i="1"/>
  <c r="A1607" i="1"/>
  <c r="V1606" i="1"/>
  <c r="H1606" i="1"/>
  <c r="A1606" i="1"/>
  <c r="V1605" i="1"/>
  <c r="H1605" i="1"/>
  <c r="A1605" i="1"/>
  <c r="V1604" i="1"/>
  <c r="H1604" i="1"/>
  <c r="A1604" i="1"/>
  <c r="V1603" i="1"/>
  <c r="H1603" i="1"/>
  <c r="A1603" i="1"/>
  <c r="V1602" i="1"/>
  <c r="H1602" i="1"/>
  <c r="A1602" i="1"/>
  <c r="V1601" i="1"/>
  <c r="H1601" i="1"/>
  <c r="A1601" i="1"/>
  <c r="V1600" i="1"/>
  <c r="H1600" i="1"/>
  <c r="A1600" i="1"/>
  <c r="V1599" i="1"/>
  <c r="H1599" i="1"/>
  <c r="A1599" i="1"/>
  <c r="V1598" i="1"/>
  <c r="H1598" i="1"/>
  <c r="A1598" i="1"/>
  <c r="V1597" i="1"/>
  <c r="H1597" i="1"/>
  <c r="A1597" i="1"/>
  <c r="V1596" i="1"/>
  <c r="H1596" i="1"/>
  <c r="A1596" i="1"/>
  <c r="V1595" i="1"/>
  <c r="H1595" i="1"/>
  <c r="A1595" i="1"/>
  <c r="V1594" i="1"/>
  <c r="H1594" i="1"/>
  <c r="A1594" i="1"/>
  <c r="V1593" i="1"/>
  <c r="H1593" i="1"/>
  <c r="A1593" i="1"/>
  <c r="V1592" i="1"/>
  <c r="H1592" i="1"/>
  <c r="A1592" i="1"/>
  <c r="V1591" i="1"/>
  <c r="H1591" i="1"/>
  <c r="A1591" i="1"/>
  <c r="V1590" i="1"/>
  <c r="H1590" i="1"/>
  <c r="A1590" i="1"/>
  <c r="V1589" i="1"/>
  <c r="H1589" i="1"/>
  <c r="A1589" i="1"/>
  <c r="V1588" i="1"/>
  <c r="H1588" i="1"/>
  <c r="A1588" i="1"/>
  <c r="V1587" i="1"/>
  <c r="H1587" i="1"/>
  <c r="A1587" i="1"/>
  <c r="V1586" i="1"/>
  <c r="H1586" i="1"/>
  <c r="A1586" i="1"/>
  <c r="V1585" i="1"/>
  <c r="H1585" i="1"/>
  <c r="A1585" i="1"/>
  <c r="V1584" i="1"/>
  <c r="H1584" i="1"/>
  <c r="A1584" i="1"/>
  <c r="V1583" i="1"/>
  <c r="H1583" i="1"/>
  <c r="A1583" i="1"/>
  <c r="V1582" i="1"/>
  <c r="H1582" i="1"/>
  <c r="A1582" i="1"/>
  <c r="V1581" i="1"/>
  <c r="H1581" i="1"/>
  <c r="A1581" i="1"/>
  <c r="V1580" i="1"/>
  <c r="H1580" i="1"/>
  <c r="A1580" i="1"/>
  <c r="V1579" i="1"/>
  <c r="H1579" i="1"/>
  <c r="A1579" i="1"/>
  <c r="V1578" i="1"/>
  <c r="H1578" i="1"/>
  <c r="A1578" i="1"/>
  <c r="V1577" i="1"/>
  <c r="H1577" i="1"/>
  <c r="A1577" i="1"/>
  <c r="V1576" i="1"/>
  <c r="H1576" i="1"/>
  <c r="A1576" i="1"/>
  <c r="V1575" i="1"/>
  <c r="H1575" i="1"/>
  <c r="A1575" i="1"/>
  <c r="V1574" i="1"/>
  <c r="H1574" i="1"/>
  <c r="A1574" i="1"/>
  <c r="V1573" i="1"/>
  <c r="H1573" i="1"/>
  <c r="A1573" i="1"/>
  <c r="V1572" i="1"/>
  <c r="H1572" i="1"/>
  <c r="A1572" i="1"/>
  <c r="V1571" i="1"/>
  <c r="H1571" i="1"/>
  <c r="A1571" i="1"/>
  <c r="V1570" i="1"/>
  <c r="H1570" i="1"/>
  <c r="A1570" i="1"/>
  <c r="V1569" i="1"/>
  <c r="H1569" i="1"/>
  <c r="A1569" i="1"/>
  <c r="V1568" i="1"/>
  <c r="H1568" i="1"/>
  <c r="A1568" i="1"/>
  <c r="V1567" i="1"/>
  <c r="H1567" i="1"/>
  <c r="A1567" i="1"/>
  <c r="V1566" i="1"/>
  <c r="H1566" i="1"/>
  <c r="A1566" i="1"/>
  <c r="V1565" i="1"/>
  <c r="H1565" i="1"/>
  <c r="A1565" i="1"/>
  <c r="V1564" i="1"/>
  <c r="H1564" i="1"/>
  <c r="A1564" i="1"/>
  <c r="V1563" i="1"/>
  <c r="H1563" i="1"/>
  <c r="A1563" i="1"/>
  <c r="V1562" i="1"/>
  <c r="H1562" i="1"/>
  <c r="A1562" i="1"/>
  <c r="V1561" i="1"/>
  <c r="H1561" i="1"/>
  <c r="A1561" i="1"/>
  <c r="V1560" i="1"/>
  <c r="H1560" i="1"/>
  <c r="A1560" i="1"/>
  <c r="V1559" i="1"/>
  <c r="H1559" i="1"/>
  <c r="A1559" i="1"/>
  <c r="V1558" i="1"/>
  <c r="H1558" i="1"/>
  <c r="A1558" i="1"/>
  <c r="V1557" i="1"/>
  <c r="H1557" i="1"/>
  <c r="A1557" i="1"/>
  <c r="V1556" i="1"/>
  <c r="H1556" i="1"/>
  <c r="A1556" i="1"/>
  <c r="V1555" i="1"/>
  <c r="H1555" i="1"/>
  <c r="A1555" i="1"/>
  <c r="V1554" i="1"/>
  <c r="H1554" i="1"/>
  <c r="A1554" i="1"/>
  <c r="V1553" i="1"/>
  <c r="H1553" i="1"/>
  <c r="A1553" i="1"/>
  <c r="V1552" i="1"/>
  <c r="H1552" i="1"/>
  <c r="A1552" i="1"/>
  <c r="V1551" i="1"/>
  <c r="H1551" i="1"/>
  <c r="A1551" i="1"/>
  <c r="V1550" i="1"/>
  <c r="H1550" i="1"/>
  <c r="A1550" i="1"/>
  <c r="V1549" i="1"/>
  <c r="H1549" i="1"/>
  <c r="A1549" i="1"/>
  <c r="V1548" i="1"/>
  <c r="H1548" i="1"/>
  <c r="A1548" i="1"/>
  <c r="V1547" i="1"/>
  <c r="H1547" i="1"/>
  <c r="A1547" i="1"/>
  <c r="V1546" i="1"/>
  <c r="H1546" i="1"/>
  <c r="A1546" i="1"/>
  <c r="V1545" i="1"/>
  <c r="H1545" i="1"/>
  <c r="A1545" i="1"/>
  <c r="V1544" i="1"/>
  <c r="H1544" i="1"/>
  <c r="A1544" i="1"/>
  <c r="V1543" i="1"/>
  <c r="H1543" i="1"/>
  <c r="A1543" i="1"/>
  <c r="V1542" i="1"/>
  <c r="H1542" i="1"/>
  <c r="A1542" i="1"/>
  <c r="V1541" i="1"/>
  <c r="H1541" i="1"/>
  <c r="A1541" i="1"/>
  <c r="V1540" i="1"/>
  <c r="H1540" i="1"/>
  <c r="A1540" i="1"/>
  <c r="V1539" i="1"/>
  <c r="H1539" i="1"/>
  <c r="A1539" i="1"/>
  <c r="V1538" i="1"/>
  <c r="H1538" i="1"/>
  <c r="A1538" i="1"/>
  <c r="V1537" i="1"/>
  <c r="H1537" i="1"/>
  <c r="A1537" i="1"/>
  <c r="V1536" i="1"/>
  <c r="H1536" i="1"/>
  <c r="A1536" i="1"/>
  <c r="V1535" i="1"/>
  <c r="H1535" i="1"/>
  <c r="A1535" i="1"/>
  <c r="V1534" i="1"/>
  <c r="H1534" i="1"/>
  <c r="A1534" i="1"/>
  <c r="V1533" i="1"/>
  <c r="H1533" i="1"/>
  <c r="A1533" i="1"/>
  <c r="V1532" i="1"/>
  <c r="H1532" i="1"/>
  <c r="A1532" i="1"/>
  <c r="V1531" i="1"/>
  <c r="H1531" i="1"/>
  <c r="A1531" i="1"/>
  <c r="V1530" i="1"/>
  <c r="H1530" i="1"/>
  <c r="A1530" i="1"/>
  <c r="V1529" i="1"/>
  <c r="H1529" i="1"/>
  <c r="A1529" i="1"/>
  <c r="V1528" i="1"/>
  <c r="H1528" i="1"/>
  <c r="A1528" i="1"/>
  <c r="V1527" i="1"/>
  <c r="H1527" i="1"/>
  <c r="A1527" i="1"/>
  <c r="V1526" i="1"/>
  <c r="H1526" i="1"/>
  <c r="A1526" i="1"/>
  <c r="V1525" i="1"/>
  <c r="H1525" i="1"/>
  <c r="A1525" i="1"/>
  <c r="V1524" i="1"/>
  <c r="H1524" i="1"/>
  <c r="A1524" i="1"/>
  <c r="V1523" i="1"/>
  <c r="H1523" i="1"/>
  <c r="A1523" i="1"/>
  <c r="V1522" i="1"/>
  <c r="H1522" i="1"/>
  <c r="A1522" i="1"/>
  <c r="V1521" i="1"/>
  <c r="H1521" i="1"/>
  <c r="A1521" i="1"/>
  <c r="V1520" i="1"/>
  <c r="H1520" i="1"/>
  <c r="A1520" i="1"/>
  <c r="V1519" i="1"/>
  <c r="H1519" i="1"/>
  <c r="A1519" i="1"/>
  <c r="V1518" i="1"/>
  <c r="H1518" i="1"/>
  <c r="A1518" i="1"/>
  <c r="V1517" i="1"/>
  <c r="H1517" i="1"/>
  <c r="A1517" i="1"/>
  <c r="V1516" i="1"/>
  <c r="H1516" i="1"/>
  <c r="A1516" i="1"/>
  <c r="V1515" i="1"/>
  <c r="H1515" i="1"/>
  <c r="A1515" i="1"/>
  <c r="V1514" i="1"/>
  <c r="H1514" i="1"/>
  <c r="A1514" i="1"/>
  <c r="V1513" i="1"/>
  <c r="H1513" i="1"/>
  <c r="A1513" i="1"/>
  <c r="V1512" i="1"/>
  <c r="H1512" i="1"/>
  <c r="A1512" i="1"/>
  <c r="V1511" i="1"/>
  <c r="H1511" i="1"/>
  <c r="A1511" i="1"/>
  <c r="V1510" i="1"/>
  <c r="H1510" i="1"/>
  <c r="A1510" i="1"/>
  <c r="V1509" i="1"/>
  <c r="H1509" i="1"/>
  <c r="A1509" i="1"/>
  <c r="V1508" i="1"/>
  <c r="H1508" i="1"/>
  <c r="A1508" i="1"/>
  <c r="V1507" i="1"/>
  <c r="H1507" i="1"/>
  <c r="A1507" i="1"/>
  <c r="V1506" i="1"/>
  <c r="H1506" i="1"/>
  <c r="A1506" i="1"/>
  <c r="V1505" i="1"/>
  <c r="H1505" i="1"/>
  <c r="A1505" i="1"/>
  <c r="V1504" i="1"/>
  <c r="H1504" i="1"/>
  <c r="A1504" i="1"/>
  <c r="V1503" i="1"/>
  <c r="H1503" i="1"/>
  <c r="A1503" i="1"/>
  <c r="V1502" i="1"/>
  <c r="H1502" i="1"/>
  <c r="A1502" i="1"/>
  <c r="V1501" i="1"/>
  <c r="H1501" i="1"/>
  <c r="A1501" i="1"/>
  <c r="V1500" i="1"/>
  <c r="H1500" i="1"/>
  <c r="A1500" i="1"/>
  <c r="V1499" i="1"/>
  <c r="H1499" i="1"/>
  <c r="A1499" i="1"/>
  <c r="V1498" i="1"/>
  <c r="H1498" i="1"/>
  <c r="A1498" i="1"/>
  <c r="V1497" i="1"/>
  <c r="H1497" i="1"/>
  <c r="A1497" i="1"/>
  <c r="V1496" i="1"/>
  <c r="H1496" i="1"/>
  <c r="A1496" i="1"/>
  <c r="V1495" i="1"/>
  <c r="H1495" i="1"/>
  <c r="A1495" i="1"/>
  <c r="V1494" i="1"/>
  <c r="H1494" i="1"/>
  <c r="A1494" i="1"/>
  <c r="V1493" i="1"/>
  <c r="H1493" i="1"/>
  <c r="A1493" i="1"/>
  <c r="V1492" i="1"/>
  <c r="H1492" i="1"/>
  <c r="A1492" i="1"/>
  <c r="V1491" i="1"/>
  <c r="H1491" i="1"/>
  <c r="A1491" i="1"/>
  <c r="V1490" i="1"/>
  <c r="H1490" i="1"/>
  <c r="A1490" i="1"/>
  <c r="V1489" i="1"/>
  <c r="H1489" i="1"/>
  <c r="A1489" i="1"/>
  <c r="V1488" i="1"/>
  <c r="H1488" i="1"/>
  <c r="A1488" i="1"/>
  <c r="V1487" i="1"/>
  <c r="H1487" i="1"/>
  <c r="A1487" i="1"/>
  <c r="V1486" i="1"/>
  <c r="H1486" i="1"/>
  <c r="A1486" i="1"/>
  <c r="V1485" i="1"/>
  <c r="H1485" i="1"/>
  <c r="A1485" i="1"/>
  <c r="V1484" i="1"/>
  <c r="H1484" i="1"/>
  <c r="A1484" i="1"/>
  <c r="V1483" i="1"/>
  <c r="H1483" i="1"/>
  <c r="A1483" i="1"/>
  <c r="V1482" i="1"/>
  <c r="H1482" i="1"/>
  <c r="A1482" i="1"/>
  <c r="V1481" i="1"/>
  <c r="H1481" i="1"/>
  <c r="A1481" i="1"/>
  <c r="V1480" i="1"/>
  <c r="H1480" i="1"/>
  <c r="A1480" i="1"/>
  <c r="V1479" i="1"/>
  <c r="H1479" i="1"/>
  <c r="A1479" i="1"/>
  <c r="V1478" i="1"/>
  <c r="H1478" i="1"/>
  <c r="A1478" i="1"/>
  <c r="V1477" i="1"/>
  <c r="H1477" i="1"/>
  <c r="A1477" i="1"/>
  <c r="V1476" i="1"/>
  <c r="H1476" i="1"/>
  <c r="A1476" i="1"/>
  <c r="V1475" i="1"/>
  <c r="H1475" i="1"/>
  <c r="A1475" i="1"/>
  <c r="V1474" i="1"/>
  <c r="H1474" i="1"/>
  <c r="A1474" i="1"/>
  <c r="V1473" i="1"/>
  <c r="H1473" i="1"/>
  <c r="A1473" i="1"/>
  <c r="V1472" i="1"/>
  <c r="H1472" i="1"/>
  <c r="A1472" i="1"/>
  <c r="V1471" i="1"/>
  <c r="H1471" i="1"/>
  <c r="A1471" i="1"/>
  <c r="V1470" i="1"/>
  <c r="H1470" i="1"/>
  <c r="A1470" i="1"/>
  <c r="V1469" i="1"/>
  <c r="H1469" i="1"/>
  <c r="A1469" i="1"/>
  <c r="V1468" i="1"/>
  <c r="H1468" i="1"/>
  <c r="A1468" i="1"/>
  <c r="V1467" i="1"/>
  <c r="H1467" i="1"/>
  <c r="A1467" i="1"/>
  <c r="V1466" i="1"/>
  <c r="H1466" i="1"/>
  <c r="A1466" i="1"/>
  <c r="V1465" i="1"/>
  <c r="H1465" i="1"/>
  <c r="A1465" i="1"/>
  <c r="V1464" i="1"/>
  <c r="H1464" i="1"/>
  <c r="A1464" i="1"/>
  <c r="V1463" i="1"/>
  <c r="H1463" i="1"/>
  <c r="A1463" i="1"/>
  <c r="V1462" i="1"/>
  <c r="H1462" i="1"/>
  <c r="A1462" i="1"/>
  <c r="V1461" i="1"/>
  <c r="H1461" i="1"/>
  <c r="A1461" i="1"/>
  <c r="V1460" i="1"/>
  <c r="H1460" i="1"/>
  <c r="A1460" i="1"/>
  <c r="V1459" i="1"/>
  <c r="H1459" i="1"/>
  <c r="A1459" i="1"/>
  <c r="V1458" i="1"/>
  <c r="H1458" i="1"/>
  <c r="A1458" i="1"/>
  <c r="V1457" i="1"/>
  <c r="H1457" i="1"/>
  <c r="A1457" i="1"/>
  <c r="V1456" i="1"/>
  <c r="H1456" i="1"/>
  <c r="A1456" i="1"/>
  <c r="V1455" i="1"/>
  <c r="H1455" i="1"/>
  <c r="A1455" i="1"/>
  <c r="V1454" i="1"/>
  <c r="H1454" i="1"/>
  <c r="A1454" i="1"/>
  <c r="V1453" i="1"/>
  <c r="H1453" i="1"/>
  <c r="A1453" i="1"/>
  <c r="V1452" i="1"/>
  <c r="H1452" i="1"/>
  <c r="A1452" i="1"/>
  <c r="V1451" i="1"/>
  <c r="H1451" i="1"/>
  <c r="A1451" i="1"/>
  <c r="V1450" i="1"/>
  <c r="H1450" i="1"/>
  <c r="A1450" i="1"/>
  <c r="V1449" i="1"/>
  <c r="H1449" i="1"/>
  <c r="A1449" i="1"/>
  <c r="V1448" i="1"/>
  <c r="H1448" i="1"/>
  <c r="A1448" i="1"/>
  <c r="V1447" i="1"/>
  <c r="H1447" i="1"/>
  <c r="A1447" i="1"/>
  <c r="V1446" i="1"/>
  <c r="H1446" i="1"/>
  <c r="A1446" i="1"/>
  <c r="V1445" i="1"/>
  <c r="H1445" i="1"/>
  <c r="A1445" i="1"/>
  <c r="V1444" i="1"/>
  <c r="H1444" i="1"/>
  <c r="A1444" i="1"/>
  <c r="V1443" i="1"/>
  <c r="H1443" i="1"/>
  <c r="A1443" i="1"/>
  <c r="V1442" i="1"/>
  <c r="H1442" i="1"/>
  <c r="A1442" i="1"/>
  <c r="V1441" i="1"/>
  <c r="H1441" i="1"/>
  <c r="A1441" i="1"/>
  <c r="V1440" i="1"/>
  <c r="H1440" i="1"/>
  <c r="A1440" i="1"/>
  <c r="V1439" i="1"/>
  <c r="H1439" i="1"/>
  <c r="A1439" i="1"/>
  <c r="V1438" i="1"/>
  <c r="H1438" i="1"/>
  <c r="A1438" i="1"/>
  <c r="V1437" i="1"/>
  <c r="H1437" i="1"/>
  <c r="A1437" i="1"/>
  <c r="V1436" i="1"/>
  <c r="H1436" i="1"/>
  <c r="A1436" i="1"/>
  <c r="V1435" i="1"/>
  <c r="H1435" i="1"/>
  <c r="A1435" i="1"/>
  <c r="V1434" i="1"/>
  <c r="H1434" i="1"/>
  <c r="A1434" i="1"/>
  <c r="V1433" i="1"/>
  <c r="H1433" i="1"/>
  <c r="A1433" i="1"/>
  <c r="V1432" i="1"/>
  <c r="H1432" i="1"/>
  <c r="A1432" i="1"/>
  <c r="V1431" i="1"/>
  <c r="H1431" i="1"/>
  <c r="A1431" i="1"/>
  <c r="V1430" i="1"/>
  <c r="H1430" i="1"/>
  <c r="A1430" i="1"/>
  <c r="V1429" i="1"/>
  <c r="H1429" i="1"/>
  <c r="A1429" i="1"/>
  <c r="V1428" i="1"/>
  <c r="H1428" i="1"/>
  <c r="A1428" i="1"/>
  <c r="V1427" i="1"/>
  <c r="H1427" i="1"/>
  <c r="A1427" i="1"/>
  <c r="V1426" i="1"/>
  <c r="H1426" i="1"/>
  <c r="A1426" i="1"/>
  <c r="V1425" i="1"/>
  <c r="H1425" i="1"/>
  <c r="A1425" i="1"/>
  <c r="V1424" i="1"/>
  <c r="H1424" i="1"/>
  <c r="A1424" i="1"/>
  <c r="V1423" i="1"/>
  <c r="H1423" i="1"/>
  <c r="A1423" i="1"/>
  <c r="V1422" i="1"/>
  <c r="H1422" i="1"/>
  <c r="A1422" i="1"/>
  <c r="V1421" i="1"/>
  <c r="H1421" i="1"/>
  <c r="A1421" i="1"/>
  <c r="V1420" i="1"/>
  <c r="H1420" i="1"/>
  <c r="A1420" i="1"/>
  <c r="V1419" i="1"/>
  <c r="H1419" i="1"/>
  <c r="A1419" i="1"/>
  <c r="V1418" i="1"/>
  <c r="H1418" i="1"/>
  <c r="A1418" i="1"/>
  <c r="V1417" i="1"/>
  <c r="H1417" i="1"/>
  <c r="A1417" i="1"/>
  <c r="V1416" i="1"/>
  <c r="H1416" i="1"/>
  <c r="A1416" i="1"/>
  <c r="V1415" i="1"/>
  <c r="H1415" i="1"/>
  <c r="A1415" i="1"/>
  <c r="V1414" i="1"/>
  <c r="H1414" i="1"/>
  <c r="A1414" i="1"/>
  <c r="V1413" i="1"/>
  <c r="H1413" i="1"/>
  <c r="A1413" i="1"/>
  <c r="V1412" i="1"/>
  <c r="H1412" i="1"/>
  <c r="A1412" i="1"/>
  <c r="V1411" i="1"/>
  <c r="H1411" i="1"/>
  <c r="A1411" i="1"/>
  <c r="V1410" i="1"/>
  <c r="H1410" i="1"/>
  <c r="A1410" i="1"/>
  <c r="V1409" i="1"/>
  <c r="H1409" i="1"/>
  <c r="A1409" i="1"/>
  <c r="V1408" i="1"/>
  <c r="H1408" i="1"/>
  <c r="A1408" i="1"/>
  <c r="V1407" i="1"/>
  <c r="H1407" i="1"/>
  <c r="A1407" i="1"/>
  <c r="V1406" i="1"/>
  <c r="H1406" i="1"/>
  <c r="A1406" i="1"/>
  <c r="V1405" i="1"/>
  <c r="H1405" i="1"/>
  <c r="A1405" i="1"/>
  <c r="V1404" i="1"/>
  <c r="H1404" i="1"/>
  <c r="A1404" i="1"/>
  <c r="V1403" i="1"/>
  <c r="H1403" i="1"/>
  <c r="A1403" i="1"/>
  <c r="V1402" i="1"/>
  <c r="H1402" i="1"/>
  <c r="A1402" i="1"/>
  <c r="V1401" i="1"/>
  <c r="H1401" i="1"/>
  <c r="A1401" i="1"/>
  <c r="V1400" i="1"/>
  <c r="H1400" i="1"/>
  <c r="A1400" i="1"/>
  <c r="V1399" i="1"/>
  <c r="H1399" i="1"/>
  <c r="A1399" i="1"/>
  <c r="V1398" i="1"/>
  <c r="H1398" i="1"/>
  <c r="A1398" i="1"/>
  <c r="V1397" i="1"/>
  <c r="H1397" i="1"/>
  <c r="A1397" i="1"/>
  <c r="V1396" i="1"/>
  <c r="H1396" i="1"/>
  <c r="A1396" i="1"/>
  <c r="V1395" i="1"/>
  <c r="H1395" i="1"/>
  <c r="A1395" i="1"/>
  <c r="V1394" i="1"/>
  <c r="H1394" i="1"/>
  <c r="A1394" i="1"/>
  <c r="V1393" i="1"/>
  <c r="H1393" i="1"/>
  <c r="A1393" i="1"/>
  <c r="V1392" i="1"/>
  <c r="H1392" i="1"/>
  <c r="A1392" i="1"/>
  <c r="V1391" i="1"/>
  <c r="H1391" i="1"/>
  <c r="A1391" i="1"/>
  <c r="V1390" i="1"/>
  <c r="H1390" i="1"/>
  <c r="A1390" i="1"/>
  <c r="V1389" i="1"/>
  <c r="H1389" i="1"/>
  <c r="A1389" i="1"/>
  <c r="V1388" i="1"/>
  <c r="H1388" i="1"/>
  <c r="A1388" i="1"/>
  <c r="V1387" i="1"/>
  <c r="H1387" i="1"/>
  <c r="A1387" i="1"/>
  <c r="V1386" i="1"/>
  <c r="H1386" i="1"/>
  <c r="A1386" i="1"/>
  <c r="V1385" i="1"/>
  <c r="H1385" i="1"/>
  <c r="A1385" i="1"/>
  <c r="V1384" i="1"/>
  <c r="H1384" i="1"/>
  <c r="A1384" i="1"/>
  <c r="V1383" i="1"/>
  <c r="H1383" i="1"/>
  <c r="A1383" i="1"/>
  <c r="V1382" i="1"/>
  <c r="H1382" i="1"/>
  <c r="A1382" i="1"/>
  <c r="V1381" i="1"/>
  <c r="H1381" i="1"/>
  <c r="A1381" i="1"/>
  <c r="V1380" i="1"/>
  <c r="H1380" i="1"/>
  <c r="A1380" i="1"/>
  <c r="V1379" i="1"/>
  <c r="H1379" i="1"/>
  <c r="A1379" i="1"/>
  <c r="V1378" i="1"/>
  <c r="H1378" i="1"/>
  <c r="A1378" i="1"/>
  <c r="V1377" i="1"/>
  <c r="H1377" i="1"/>
  <c r="A1377" i="1"/>
  <c r="V1376" i="1"/>
  <c r="H1376" i="1"/>
  <c r="A1376" i="1"/>
  <c r="V1375" i="1"/>
  <c r="H1375" i="1"/>
  <c r="A1375" i="1"/>
  <c r="V1374" i="1"/>
  <c r="H1374" i="1"/>
  <c r="A1374" i="1"/>
  <c r="V1373" i="1"/>
  <c r="H1373" i="1"/>
  <c r="A1373" i="1"/>
  <c r="V1372" i="1"/>
  <c r="H1372" i="1"/>
  <c r="A1372" i="1"/>
  <c r="V1371" i="1"/>
  <c r="H1371" i="1"/>
  <c r="A1371" i="1"/>
  <c r="V1370" i="1"/>
  <c r="H1370" i="1"/>
  <c r="A1370" i="1"/>
  <c r="V1369" i="1"/>
  <c r="H1369" i="1"/>
  <c r="A1369" i="1"/>
  <c r="V1368" i="1"/>
  <c r="H1368" i="1"/>
  <c r="A1368" i="1"/>
  <c r="V1367" i="1"/>
  <c r="H1367" i="1"/>
  <c r="A1367" i="1"/>
  <c r="V1366" i="1"/>
  <c r="H1366" i="1"/>
  <c r="A1366" i="1"/>
  <c r="V1365" i="1"/>
  <c r="H1365" i="1"/>
  <c r="A1365" i="1"/>
  <c r="V1364" i="1"/>
  <c r="H1364" i="1"/>
  <c r="A1364" i="1"/>
  <c r="V1363" i="1"/>
  <c r="H1363" i="1"/>
  <c r="A1363" i="1"/>
  <c r="V1362" i="1"/>
  <c r="H1362" i="1"/>
  <c r="A1362" i="1"/>
  <c r="V1361" i="1"/>
  <c r="H1361" i="1"/>
  <c r="A1361" i="1"/>
  <c r="V1360" i="1"/>
  <c r="H1360" i="1"/>
  <c r="A1360" i="1"/>
  <c r="V1359" i="1"/>
  <c r="H1359" i="1"/>
  <c r="A1359" i="1"/>
  <c r="V1358" i="1"/>
  <c r="H1358" i="1"/>
  <c r="A1358" i="1"/>
  <c r="V1357" i="1"/>
  <c r="H1357" i="1"/>
  <c r="A1357" i="1"/>
  <c r="V1356" i="1"/>
  <c r="H1356" i="1"/>
  <c r="A1356" i="1"/>
  <c r="V1355" i="1"/>
  <c r="H1355" i="1"/>
  <c r="A1355" i="1"/>
  <c r="V1354" i="1"/>
  <c r="H1354" i="1"/>
  <c r="A1354" i="1"/>
  <c r="V1353" i="1"/>
  <c r="H1353" i="1"/>
  <c r="A1353" i="1"/>
  <c r="V1352" i="1"/>
  <c r="H1352" i="1"/>
  <c r="A1352" i="1"/>
  <c r="V1351" i="1"/>
  <c r="H1351" i="1"/>
  <c r="A1351" i="1"/>
  <c r="V1350" i="1"/>
  <c r="H1350" i="1"/>
  <c r="A1350" i="1"/>
  <c r="V1349" i="1"/>
  <c r="H1349" i="1"/>
  <c r="A1349" i="1"/>
  <c r="V1348" i="1"/>
  <c r="H1348" i="1"/>
  <c r="A1348" i="1"/>
  <c r="V1347" i="1"/>
  <c r="H1347" i="1"/>
  <c r="A1347" i="1"/>
  <c r="V1346" i="1"/>
  <c r="H1346" i="1"/>
  <c r="A1346" i="1"/>
  <c r="V1345" i="1"/>
  <c r="H1345" i="1"/>
  <c r="A1345" i="1"/>
  <c r="V1344" i="1"/>
  <c r="H1344" i="1"/>
  <c r="A1344" i="1"/>
  <c r="V1343" i="1"/>
  <c r="H1343" i="1"/>
  <c r="A1343" i="1"/>
  <c r="V1342" i="1"/>
  <c r="H1342" i="1"/>
  <c r="A1342" i="1"/>
  <c r="V1341" i="1"/>
  <c r="H1341" i="1"/>
  <c r="A1341" i="1"/>
  <c r="V1340" i="1"/>
  <c r="H1340" i="1"/>
  <c r="A1340" i="1"/>
  <c r="V1339" i="1"/>
  <c r="H1339" i="1"/>
  <c r="A1339" i="1"/>
  <c r="V1338" i="1"/>
  <c r="H1338" i="1"/>
  <c r="A1338" i="1"/>
  <c r="V1337" i="1"/>
  <c r="H1337" i="1"/>
  <c r="A1337" i="1"/>
  <c r="V1336" i="1"/>
  <c r="H1336" i="1"/>
  <c r="A1336" i="1"/>
  <c r="V1335" i="1"/>
  <c r="H1335" i="1"/>
  <c r="A1335" i="1"/>
  <c r="V1334" i="1"/>
  <c r="H1334" i="1"/>
  <c r="A1334" i="1"/>
  <c r="V1333" i="1"/>
  <c r="H1333" i="1"/>
  <c r="A1333" i="1"/>
  <c r="V1332" i="1"/>
  <c r="H1332" i="1"/>
  <c r="A1332" i="1"/>
  <c r="V1331" i="1"/>
  <c r="H1331" i="1"/>
  <c r="A1331" i="1"/>
  <c r="V1330" i="1"/>
  <c r="H1330" i="1"/>
  <c r="A1330" i="1"/>
  <c r="V1329" i="1"/>
  <c r="H1329" i="1"/>
  <c r="A1329" i="1"/>
  <c r="V1328" i="1"/>
  <c r="H1328" i="1"/>
  <c r="A1328" i="1"/>
  <c r="V1327" i="1"/>
  <c r="H1327" i="1"/>
  <c r="A1327" i="1"/>
  <c r="V1326" i="1"/>
  <c r="H1326" i="1"/>
  <c r="A1326" i="1"/>
  <c r="V1325" i="1"/>
  <c r="H1325" i="1"/>
  <c r="A1325" i="1"/>
  <c r="V1324" i="1"/>
  <c r="H1324" i="1"/>
  <c r="A1324" i="1"/>
  <c r="V1323" i="1"/>
  <c r="H1323" i="1"/>
  <c r="A1323" i="1"/>
  <c r="V1322" i="1"/>
  <c r="H1322" i="1"/>
  <c r="A1322" i="1"/>
  <c r="V1321" i="1"/>
  <c r="H1321" i="1"/>
  <c r="A1321" i="1"/>
  <c r="V1320" i="1"/>
  <c r="H1320" i="1"/>
  <c r="A1320" i="1"/>
  <c r="V1319" i="1"/>
  <c r="H1319" i="1"/>
  <c r="A1319" i="1"/>
  <c r="V1318" i="1"/>
  <c r="H1318" i="1"/>
  <c r="A1318" i="1"/>
  <c r="V1317" i="1"/>
  <c r="H1317" i="1"/>
  <c r="A1317" i="1"/>
  <c r="V1316" i="1"/>
  <c r="H1316" i="1"/>
  <c r="A1316" i="1"/>
  <c r="V1315" i="1"/>
  <c r="H1315" i="1"/>
  <c r="A1315" i="1"/>
  <c r="V1314" i="1"/>
  <c r="H1314" i="1"/>
  <c r="A1314" i="1"/>
  <c r="V1313" i="1"/>
  <c r="H1313" i="1"/>
  <c r="A1313" i="1"/>
  <c r="V1312" i="1"/>
  <c r="H1312" i="1"/>
  <c r="A1312" i="1"/>
  <c r="V1311" i="1"/>
  <c r="H1311" i="1"/>
  <c r="A1311" i="1"/>
  <c r="V1310" i="1"/>
  <c r="H1310" i="1"/>
  <c r="A1310" i="1"/>
  <c r="V1309" i="1"/>
  <c r="H1309" i="1"/>
  <c r="A1309" i="1"/>
  <c r="V1308" i="1"/>
  <c r="H1308" i="1"/>
  <c r="A1308" i="1"/>
  <c r="V1307" i="1"/>
  <c r="H1307" i="1"/>
  <c r="A1307" i="1"/>
  <c r="V1306" i="1"/>
  <c r="H1306" i="1"/>
  <c r="A1306" i="1"/>
  <c r="V1305" i="1"/>
  <c r="H1305" i="1"/>
  <c r="A1305" i="1"/>
  <c r="V1304" i="1"/>
  <c r="H1304" i="1"/>
  <c r="A1304" i="1"/>
  <c r="V1303" i="1"/>
  <c r="H1303" i="1"/>
  <c r="A1303" i="1"/>
  <c r="V1302" i="1"/>
  <c r="H1302" i="1"/>
  <c r="A1302" i="1"/>
  <c r="V1301" i="1"/>
  <c r="H1301" i="1"/>
  <c r="A1301" i="1"/>
  <c r="V1300" i="1"/>
  <c r="H1300" i="1"/>
  <c r="A1300" i="1"/>
  <c r="V1299" i="1"/>
  <c r="H1299" i="1"/>
  <c r="A1299" i="1"/>
  <c r="V1298" i="1"/>
  <c r="H1298" i="1"/>
  <c r="A1298" i="1"/>
  <c r="V1297" i="1"/>
  <c r="H1297" i="1"/>
  <c r="A1297" i="1"/>
  <c r="V1296" i="1"/>
  <c r="H1296" i="1"/>
  <c r="A1296" i="1"/>
  <c r="V1295" i="1"/>
  <c r="H1295" i="1"/>
  <c r="A1295" i="1"/>
  <c r="V1294" i="1"/>
  <c r="H1294" i="1"/>
  <c r="A1294" i="1"/>
  <c r="V1293" i="1"/>
  <c r="H1293" i="1"/>
  <c r="A1293" i="1"/>
  <c r="V1292" i="1"/>
  <c r="H1292" i="1"/>
  <c r="A1292" i="1"/>
  <c r="V1291" i="1"/>
  <c r="H1291" i="1"/>
  <c r="A1291" i="1"/>
  <c r="V1290" i="1"/>
  <c r="H1290" i="1"/>
  <c r="A1290" i="1"/>
  <c r="V1289" i="1"/>
  <c r="H1289" i="1"/>
  <c r="A1289" i="1"/>
  <c r="V1288" i="1"/>
  <c r="H1288" i="1"/>
  <c r="A1288" i="1"/>
  <c r="V1287" i="1"/>
  <c r="H1287" i="1"/>
  <c r="A1287" i="1"/>
  <c r="V1286" i="1"/>
  <c r="H1286" i="1"/>
  <c r="A1286" i="1"/>
  <c r="V1285" i="1"/>
  <c r="H1285" i="1"/>
  <c r="A1285" i="1"/>
  <c r="V1284" i="1"/>
  <c r="H1284" i="1"/>
  <c r="A1284" i="1"/>
  <c r="V1283" i="1"/>
  <c r="H1283" i="1"/>
  <c r="A1283" i="1"/>
  <c r="V1282" i="1"/>
  <c r="H1282" i="1"/>
  <c r="A1282" i="1"/>
  <c r="V1281" i="1"/>
  <c r="H1281" i="1"/>
  <c r="A1281" i="1"/>
  <c r="V1280" i="1"/>
  <c r="H1280" i="1"/>
  <c r="A1280" i="1"/>
  <c r="V1279" i="1"/>
  <c r="H1279" i="1"/>
  <c r="A1279" i="1"/>
  <c r="V1278" i="1"/>
  <c r="H1278" i="1"/>
  <c r="A1278" i="1"/>
  <c r="V1277" i="1"/>
  <c r="H1277" i="1"/>
  <c r="A1277" i="1"/>
  <c r="V1276" i="1"/>
  <c r="H1276" i="1"/>
  <c r="A1276" i="1"/>
  <c r="V1275" i="1"/>
  <c r="H1275" i="1"/>
  <c r="A1275" i="1"/>
  <c r="V1274" i="1"/>
  <c r="H1274" i="1"/>
  <c r="A1274" i="1"/>
  <c r="V1273" i="1"/>
  <c r="H1273" i="1"/>
  <c r="A1273" i="1"/>
  <c r="V1272" i="1"/>
  <c r="H1272" i="1"/>
  <c r="A1272" i="1"/>
  <c r="V1271" i="1"/>
  <c r="H1271" i="1"/>
  <c r="A1271" i="1"/>
  <c r="V1270" i="1"/>
  <c r="H1270" i="1"/>
  <c r="A1270" i="1"/>
  <c r="V1269" i="1"/>
  <c r="H1269" i="1"/>
  <c r="A1269" i="1"/>
  <c r="V1268" i="1"/>
  <c r="H1268" i="1"/>
  <c r="A1268" i="1"/>
  <c r="V1267" i="1"/>
  <c r="H1267" i="1"/>
  <c r="A1267" i="1"/>
  <c r="V1266" i="1"/>
  <c r="H1266" i="1"/>
  <c r="A1266" i="1"/>
  <c r="V1265" i="1"/>
  <c r="H1265" i="1"/>
  <c r="A1265" i="1"/>
  <c r="V1264" i="1"/>
  <c r="H1264" i="1"/>
  <c r="A1264" i="1"/>
  <c r="V1263" i="1"/>
  <c r="H1263" i="1"/>
  <c r="A1263" i="1"/>
  <c r="V1262" i="1"/>
  <c r="H1262" i="1"/>
  <c r="A1262" i="1"/>
  <c r="V1261" i="1"/>
  <c r="H1261" i="1"/>
  <c r="A1261" i="1"/>
  <c r="V1260" i="1"/>
  <c r="H1260" i="1"/>
  <c r="A1260" i="1"/>
  <c r="V1259" i="1"/>
  <c r="H1259" i="1"/>
  <c r="A1259" i="1"/>
  <c r="V1258" i="1"/>
  <c r="H1258" i="1"/>
  <c r="A1258" i="1"/>
  <c r="V1257" i="1"/>
  <c r="H1257" i="1"/>
  <c r="A1257" i="1"/>
  <c r="V1256" i="1"/>
  <c r="H1256" i="1"/>
  <c r="A1256" i="1"/>
  <c r="V1255" i="1"/>
  <c r="H1255" i="1"/>
  <c r="A1255" i="1"/>
  <c r="V1254" i="1"/>
  <c r="H1254" i="1"/>
  <c r="A1254" i="1"/>
  <c r="V1253" i="1"/>
  <c r="H1253" i="1"/>
  <c r="A1253" i="1"/>
  <c r="V1252" i="1"/>
  <c r="H1252" i="1"/>
  <c r="A1252" i="1"/>
  <c r="V1251" i="1"/>
  <c r="H1251" i="1"/>
  <c r="A1251" i="1"/>
  <c r="V1250" i="1"/>
  <c r="H1250" i="1"/>
  <c r="A1250" i="1"/>
  <c r="V1249" i="1"/>
  <c r="H1249" i="1"/>
  <c r="A1249" i="1"/>
  <c r="V1248" i="1"/>
  <c r="H1248" i="1"/>
  <c r="A1248" i="1"/>
  <c r="V1247" i="1"/>
  <c r="H1247" i="1"/>
  <c r="A1247" i="1"/>
  <c r="V1246" i="1"/>
  <c r="H1246" i="1"/>
  <c r="A1246" i="1"/>
  <c r="V1245" i="1"/>
  <c r="H1245" i="1"/>
  <c r="A1245" i="1"/>
  <c r="V1244" i="1"/>
  <c r="H1244" i="1"/>
  <c r="A1244" i="1"/>
  <c r="V1243" i="1"/>
  <c r="H1243" i="1"/>
  <c r="A1243" i="1"/>
  <c r="V1242" i="1"/>
  <c r="H1242" i="1"/>
  <c r="A1242" i="1"/>
  <c r="V1241" i="1"/>
  <c r="H1241" i="1"/>
  <c r="A1241" i="1"/>
  <c r="V1240" i="1"/>
  <c r="H1240" i="1"/>
  <c r="A1240" i="1"/>
  <c r="V1239" i="1"/>
  <c r="H1239" i="1"/>
  <c r="A1239" i="1"/>
  <c r="V1238" i="1"/>
  <c r="H1238" i="1"/>
  <c r="A1238" i="1"/>
  <c r="V1237" i="1"/>
  <c r="H1237" i="1"/>
  <c r="A1237" i="1"/>
  <c r="V1236" i="1"/>
  <c r="H1236" i="1"/>
  <c r="A1236" i="1"/>
  <c r="V1235" i="1"/>
  <c r="H1235" i="1"/>
  <c r="A1235" i="1"/>
  <c r="V1234" i="1"/>
  <c r="H1234" i="1"/>
  <c r="A1234" i="1"/>
  <c r="V1233" i="1"/>
  <c r="H1233" i="1"/>
  <c r="A1233" i="1"/>
  <c r="V1232" i="1"/>
  <c r="H1232" i="1"/>
  <c r="A1232" i="1"/>
  <c r="V1231" i="1"/>
  <c r="H1231" i="1"/>
  <c r="A1231" i="1"/>
  <c r="V1230" i="1"/>
  <c r="H1230" i="1"/>
  <c r="A1230" i="1"/>
  <c r="V1229" i="1"/>
  <c r="H1229" i="1"/>
  <c r="A1229" i="1"/>
  <c r="V1228" i="1"/>
  <c r="H1228" i="1"/>
  <c r="A1228" i="1"/>
  <c r="V1227" i="1"/>
  <c r="H1227" i="1"/>
  <c r="A1227" i="1"/>
  <c r="V1226" i="1"/>
  <c r="H1226" i="1"/>
  <c r="A1226" i="1"/>
  <c r="V1225" i="1"/>
  <c r="H1225" i="1"/>
  <c r="A1225" i="1"/>
  <c r="V1224" i="1"/>
  <c r="H1224" i="1"/>
  <c r="A1224" i="1"/>
  <c r="V1223" i="1"/>
  <c r="H1223" i="1"/>
  <c r="A1223" i="1"/>
  <c r="V1222" i="1"/>
  <c r="H1222" i="1"/>
  <c r="A1222" i="1"/>
  <c r="V1221" i="1"/>
  <c r="H1221" i="1"/>
  <c r="A1221" i="1"/>
  <c r="V1220" i="1"/>
  <c r="H1220" i="1"/>
  <c r="A1220" i="1"/>
  <c r="V1219" i="1"/>
  <c r="H1219" i="1"/>
  <c r="A1219" i="1"/>
  <c r="V1218" i="1"/>
  <c r="H1218" i="1"/>
  <c r="A1218" i="1"/>
  <c r="V1217" i="1"/>
  <c r="H1217" i="1"/>
  <c r="A1217" i="1"/>
  <c r="V1216" i="1"/>
  <c r="H1216" i="1"/>
  <c r="A1216" i="1"/>
  <c r="V1215" i="1"/>
  <c r="H1215" i="1"/>
  <c r="A1215" i="1"/>
  <c r="V1214" i="1"/>
  <c r="H1214" i="1"/>
  <c r="A1214" i="1"/>
  <c r="V1213" i="1"/>
  <c r="H1213" i="1"/>
  <c r="A1213" i="1"/>
  <c r="V1212" i="1"/>
  <c r="H1212" i="1"/>
  <c r="A1212" i="1"/>
  <c r="V1211" i="1"/>
  <c r="H1211" i="1"/>
  <c r="A1211" i="1"/>
  <c r="V1210" i="1"/>
  <c r="H1210" i="1"/>
  <c r="A1210" i="1"/>
  <c r="V1209" i="1"/>
  <c r="H1209" i="1"/>
  <c r="A1209" i="1"/>
  <c r="V1208" i="1"/>
  <c r="H1208" i="1"/>
  <c r="A1208" i="1"/>
  <c r="V1207" i="1"/>
  <c r="H1207" i="1"/>
  <c r="A1207" i="1"/>
  <c r="V1206" i="1"/>
  <c r="H1206" i="1"/>
  <c r="A1206" i="1"/>
  <c r="V1205" i="1"/>
  <c r="H1205" i="1"/>
  <c r="A1205" i="1"/>
  <c r="V1204" i="1"/>
  <c r="H1204" i="1"/>
  <c r="A1204" i="1"/>
  <c r="V1203" i="1"/>
  <c r="H1203" i="1"/>
  <c r="A1203" i="1"/>
  <c r="V1202" i="1"/>
  <c r="H1202" i="1"/>
  <c r="A1202" i="1"/>
  <c r="V1201" i="1"/>
  <c r="H1201" i="1"/>
  <c r="A1201" i="1"/>
  <c r="V1200" i="1"/>
  <c r="H1200" i="1"/>
  <c r="A1200" i="1"/>
  <c r="V1199" i="1"/>
  <c r="H1199" i="1"/>
  <c r="A1199" i="1"/>
  <c r="V1198" i="1"/>
  <c r="H1198" i="1"/>
  <c r="A1198" i="1"/>
  <c r="V1197" i="1"/>
  <c r="H1197" i="1"/>
  <c r="A1197" i="1"/>
  <c r="V1196" i="1"/>
  <c r="H1196" i="1"/>
  <c r="A1196" i="1"/>
  <c r="V1195" i="1"/>
  <c r="H1195" i="1"/>
  <c r="A1195" i="1"/>
  <c r="V1194" i="1"/>
  <c r="H1194" i="1"/>
  <c r="A1194" i="1"/>
  <c r="V1193" i="1"/>
  <c r="H1193" i="1"/>
  <c r="A1193" i="1"/>
  <c r="V1192" i="1"/>
  <c r="H1192" i="1"/>
  <c r="A1192" i="1"/>
  <c r="V1191" i="1"/>
  <c r="H1191" i="1"/>
  <c r="A1191" i="1"/>
  <c r="V1190" i="1"/>
  <c r="H1190" i="1"/>
  <c r="A1190" i="1"/>
  <c r="V1189" i="1"/>
  <c r="H1189" i="1"/>
  <c r="A1189" i="1"/>
  <c r="V1188" i="1"/>
  <c r="H1188" i="1"/>
  <c r="A1188" i="1"/>
  <c r="V1187" i="1"/>
  <c r="H1187" i="1"/>
  <c r="A1187" i="1"/>
  <c r="V1186" i="1"/>
  <c r="H1186" i="1"/>
  <c r="A1186" i="1"/>
  <c r="V1185" i="1"/>
  <c r="H1185" i="1"/>
  <c r="A1185" i="1"/>
  <c r="V1184" i="1"/>
  <c r="H1184" i="1"/>
  <c r="A1184" i="1"/>
  <c r="V1183" i="1"/>
  <c r="H1183" i="1"/>
  <c r="A1183" i="1"/>
  <c r="V1182" i="1"/>
  <c r="H1182" i="1"/>
  <c r="A1182" i="1"/>
  <c r="V1181" i="1"/>
  <c r="H1181" i="1"/>
  <c r="A1181" i="1"/>
  <c r="V1180" i="1"/>
  <c r="H1180" i="1"/>
  <c r="A1180" i="1"/>
  <c r="V1179" i="1"/>
  <c r="H1179" i="1"/>
  <c r="A1179" i="1"/>
  <c r="V1178" i="1"/>
  <c r="H1178" i="1"/>
  <c r="A1178" i="1"/>
  <c r="V1177" i="1"/>
  <c r="H1177" i="1"/>
  <c r="A1177" i="1"/>
  <c r="V1176" i="1"/>
  <c r="H1176" i="1"/>
  <c r="A1176" i="1"/>
  <c r="V1175" i="1"/>
  <c r="H1175" i="1"/>
  <c r="A1175" i="1"/>
  <c r="V1174" i="1"/>
  <c r="H1174" i="1"/>
  <c r="A1174" i="1"/>
  <c r="V1173" i="1"/>
  <c r="H1173" i="1"/>
  <c r="A1173" i="1"/>
  <c r="V1172" i="1"/>
  <c r="H1172" i="1"/>
  <c r="A1172" i="1"/>
  <c r="V1171" i="1"/>
  <c r="H1171" i="1"/>
  <c r="A1171" i="1"/>
  <c r="V1170" i="1"/>
  <c r="H1170" i="1"/>
  <c r="A1170" i="1"/>
  <c r="V1169" i="1"/>
  <c r="H1169" i="1"/>
  <c r="A1169" i="1"/>
  <c r="V1168" i="1"/>
  <c r="H1168" i="1"/>
  <c r="A1168" i="1"/>
  <c r="V1167" i="1"/>
  <c r="H1167" i="1"/>
  <c r="A1167" i="1"/>
  <c r="V1166" i="1"/>
  <c r="H1166" i="1"/>
  <c r="A1166" i="1"/>
  <c r="V1165" i="1"/>
  <c r="H1165" i="1"/>
  <c r="A1165" i="1"/>
  <c r="V1164" i="1"/>
  <c r="H1164" i="1"/>
  <c r="A1164" i="1"/>
  <c r="V1163" i="1"/>
  <c r="H1163" i="1"/>
  <c r="A1163" i="1"/>
  <c r="V1162" i="1"/>
  <c r="H1162" i="1"/>
  <c r="A1162" i="1"/>
  <c r="V1161" i="1"/>
  <c r="H1161" i="1"/>
  <c r="A1161" i="1"/>
  <c r="V1160" i="1"/>
  <c r="H1160" i="1"/>
  <c r="A1160" i="1"/>
  <c r="V1159" i="1"/>
  <c r="H1159" i="1"/>
  <c r="A1159" i="1"/>
  <c r="V1158" i="1"/>
  <c r="H1158" i="1"/>
  <c r="A1158" i="1"/>
  <c r="V1157" i="1"/>
  <c r="H1157" i="1"/>
  <c r="A1157" i="1"/>
  <c r="V1156" i="1"/>
  <c r="H1156" i="1"/>
  <c r="A1156" i="1"/>
  <c r="V1155" i="1"/>
  <c r="H1155" i="1"/>
  <c r="A1155" i="1"/>
  <c r="V1154" i="1"/>
  <c r="H1154" i="1"/>
  <c r="A1154" i="1"/>
  <c r="V1153" i="1"/>
  <c r="H1153" i="1"/>
  <c r="A1153" i="1"/>
  <c r="V1152" i="1"/>
  <c r="H1152" i="1"/>
  <c r="A1152" i="1"/>
  <c r="V1151" i="1"/>
  <c r="H1151" i="1"/>
  <c r="A1151" i="1"/>
  <c r="V1150" i="1"/>
  <c r="H1150" i="1"/>
  <c r="A1150" i="1"/>
  <c r="V1149" i="1"/>
  <c r="H1149" i="1"/>
  <c r="A1149" i="1"/>
  <c r="V1148" i="1"/>
  <c r="H1148" i="1"/>
  <c r="A1148" i="1"/>
  <c r="V1147" i="1"/>
  <c r="H1147" i="1"/>
  <c r="A1147" i="1"/>
  <c r="V1146" i="1"/>
  <c r="H1146" i="1"/>
  <c r="A1146" i="1"/>
  <c r="V1145" i="1"/>
  <c r="H1145" i="1"/>
  <c r="A1145" i="1"/>
  <c r="V1144" i="1"/>
  <c r="H1144" i="1"/>
  <c r="A1144" i="1"/>
  <c r="V1143" i="1"/>
  <c r="H1143" i="1"/>
  <c r="A1143" i="1"/>
  <c r="V1142" i="1"/>
  <c r="H1142" i="1"/>
  <c r="A1142" i="1"/>
  <c r="V1141" i="1"/>
  <c r="H1141" i="1"/>
  <c r="A1141" i="1"/>
  <c r="V1140" i="1"/>
  <c r="H1140" i="1"/>
  <c r="A1140" i="1"/>
  <c r="V1139" i="1"/>
  <c r="H1139" i="1"/>
  <c r="A1139" i="1"/>
  <c r="V1138" i="1"/>
  <c r="H1138" i="1"/>
  <c r="A1138" i="1"/>
  <c r="V1137" i="1"/>
  <c r="H1137" i="1"/>
  <c r="A1137" i="1"/>
  <c r="V1136" i="1"/>
  <c r="H1136" i="1"/>
  <c r="A1136" i="1"/>
  <c r="V1135" i="1"/>
  <c r="H1135" i="1"/>
  <c r="A1135" i="1"/>
  <c r="V1134" i="1"/>
  <c r="H1134" i="1"/>
  <c r="A1134" i="1"/>
  <c r="V1133" i="1"/>
  <c r="H1133" i="1"/>
  <c r="A1133" i="1"/>
  <c r="V1132" i="1"/>
  <c r="H1132" i="1"/>
  <c r="A1132" i="1"/>
  <c r="V1131" i="1"/>
  <c r="H1131" i="1"/>
  <c r="A1131" i="1"/>
  <c r="V1130" i="1"/>
  <c r="H1130" i="1"/>
  <c r="A1130" i="1"/>
  <c r="V1129" i="1"/>
  <c r="H1129" i="1"/>
  <c r="A1129" i="1"/>
  <c r="V1128" i="1"/>
  <c r="H1128" i="1"/>
  <c r="A1128" i="1"/>
  <c r="V1127" i="1"/>
  <c r="H1127" i="1"/>
  <c r="A1127" i="1"/>
  <c r="V1126" i="1"/>
  <c r="H1126" i="1"/>
  <c r="A1126" i="1"/>
  <c r="V1125" i="1"/>
  <c r="H1125" i="1"/>
  <c r="A1125" i="1"/>
  <c r="V1124" i="1"/>
  <c r="H1124" i="1"/>
  <c r="A1124" i="1"/>
  <c r="V1123" i="1"/>
  <c r="H1123" i="1"/>
  <c r="A1123" i="1"/>
  <c r="V1122" i="1"/>
  <c r="H1122" i="1"/>
  <c r="A1122" i="1"/>
  <c r="V1121" i="1"/>
  <c r="H1121" i="1"/>
  <c r="A1121" i="1"/>
  <c r="V1120" i="1"/>
  <c r="H1120" i="1"/>
  <c r="A1120" i="1"/>
  <c r="V1119" i="1"/>
  <c r="H1119" i="1"/>
  <c r="A1119" i="1"/>
  <c r="V1118" i="1"/>
  <c r="H1118" i="1"/>
  <c r="A1118" i="1"/>
  <c r="V1117" i="1"/>
  <c r="H1117" i="1"/>
  <c r="A1117" i="1"/>
  <c r="V1116" i="1"/>
  <c r="H1116" i="1"/>
  <c r="A1116" i="1"/>
  <c r="V1115" i="1"/>
  <c r="H1115" i="1"/>
  <c r="A1115" i="1"/>
  <c r="V1114" i="1"/>
  <c r="H1114" i="1"/>
  <c r="A1114" i="1"/>
  <c r="V1113" i="1"/>
  <c r="H1113" i="1"/>
  <c r="A1113" i="1"/>
  <c r="V1112" i="1"/>
  <c r="H1112" i="1"/>
  <c r="A1112" i="1"/>
  <c r="V1111" i="1"/>
  <c r="H1111" i="1"/>
  <c r="A1111" i="1"/>
  <c r="V1110" i="1"/>
  <c r="H1110" i="1"/>
  <c r="A1110" i="1"/>
  <c r="V1109" i="1"/>
  <c r="H1109" i="1"/>
  <c r="A1109" i="1"/>
  <c r="V1108" i="1"/>
  <c r="H1108" i="1"/>
  <c r="A1108" i="1"/>
  <c r="V1107" i="1"/>
  <c r="H1107" i="1"/>
  <c r="A1107" i="1"/>
  <c r="V1106" i="1"/>
  <c r="H1106" i="1"/>
  <c r="A1106" i="1"/>
  <c r="V1105" i="1"/>
  <c r="H1105" i="1"/>
  <c r="A1105" i="1"/>
  <c r="V1104" i="1"/>
  <c r="H1104" i="1"/>
  <c r="A1104" i="1"/>
  <c r="V1103" i="1"/>
  <c r="H1103" i="1"/>
  <c r="A1103" i="1"/>
  <c r="V1102" i="1"/>
  <c r="H1102" i="1"/>
  <c r="A1102" i="1"/>
  <c r="V1101" i="1"/>
  <c r="H1101" i="1"/>
  <c r="A1101" i="1"/>
  <c r="V1100" i="1"/>
  <c r="H1100" i="1"/>
  <c r="A1100" i="1"/>
  <c r="V1099" i="1"/>
  <c r="H1099" i="1"/>
  <c r="A1099" i="1"/>
  <c r="V1098" i="1"/>
  <c r="H1098" i="1"/>
  <c r="A1098" i="1"/>
  <c r="V1097" i="1"/>
  <c r="H1097" i="1"/>
  <c r="A1097" i="1"/>
  <c r="V1096" i="1"/>
  <c r="H1096" i="1"/>
  <c r="A1096" i="1"/>
  <c r="V1095" i="1"/>
  <c r="H1095" i="1"/>
  <c r="A1095" i="1"/>
  <c r="V1094" i="1"/>
  <c r="H1094" i="1"/>
  <c r="A1094" i="1"/>
  <c r="V1093" i="1"/>
  <c r="H1093" i="1"/>
  <c r="A1093" i="1"/>
  <c r="V1092" i="1"/>
  <c r="H1092" i="1"/>
  <c r="A1092" i="1"/>
  <c r="V1091" i="1"/>
  <c r="H1091" i="1"/>
  <c r="A1091" i="1"/>
  <c r="V1090" i="1"/>
  <c r="H1090" i="1"/>
  <c r="A1090" i="1"/>
  <c r="V1089" i="1"/>
  <c r="H1089" i="1"/>
  <c r="A1089" i="1"/>
  <c r="V1088" i="1"/>
  <c r="H1088" i="1"/>
  <c r="A1088" i="1"/>
  <c r="V1087" i="1"/>
  <c r="H1087" i="1"/>
  <c r="A1087" i="1"/>
  <c r="V1086" i="1"/>
  <c r="H1086" i="1"/>
  <c r="A1086" i="1"/>
  <c r="V1085" i="1"/>
  <c r="H1085" i="1"/>
  <c r="A1085" i="1"/>
  <c r="V1084" i="1"/>
  <c r="H1084" i="1"/>
  <c r="A1084" i="1"/>
  <c r="V1083" i="1"/>
  <c r="H1083" i="1"/>
  <c r="A1083" i="1"/>
  <c r="V1082" i="1"/>
  <c r="H1082" i="1"/>
  <c r="A1082" i="1"/>
  <c r="V1081" i="1"/>
  <c r="H1081" i="1"/>
  <c r="A1081" i="1"/>
  <c r="V1080" i="1"/>
  <c r="H1080" i="1"/>
  <c r="A1080" i="1"/>
  <c r="V1079" i="1"/>
  <c r="H1079" i="1"/>
  <c r="A1079" i="1"/>
  <c r="V1078" i="1"/>
  <c r="H1078" i="1"/>
  <c r="A1078" i="1"/>
  <c r="V1077" i="1"/>
  <c r="H1077" i="1"/>
  <c r="A1077" i="1"/>
  <c r="V1076" i="1"/>
  <c r="H1076" i="1"/>
  <c r="A1076" i="1"/>
  <c r="V1075" i="1"/>
  <c r="H1075" i="1"/>
  <c r="A1075" i="1"/>
  <c r="V1074" i="1"/>
  <c r="H1074" i="1"/>
  <c r="A1074" i="1"/>
  <c r="V1073" i="1"/>
  <c r="H1073" i="1"/>
  <c r="A1073" i="1"/>
  <c r="V1072" i="1"/>
  <c r="H1072" i="1"/>
  <c r="A1072" i="1"/>
  <c r="V1071" i="1"/>
  <c r="H1071" i="1"/>
  <c r="A1071" i="1"/>
  <c r="V1070" i="1"/>
  <c r="H1070" i="1"/>
  <c r="A1070" i="1"/>
  <c r="V1069" i="1"/>
  <c r="H1069" i="1"/>
  <c r="A1069" i="1"/>
  <c r="V1068" i="1"/>
  <c r="H1068" i="1"/>
  <c r="A1068" i="1"/>
  <c r="V1067" i="1"/>
  <c r="H1067" i="1"/>
  <c r="A1067" i="1"/>
  <c r="V1066" i="1"/>
  <c r="H1066" i="1"/>
  <c r="A1066" i="1"/>
  <c r="V1065" i="1"/>
  <c r="H1065" i="1"/>
  <c r="A1065" i="1"/>
  <c r="V1064" i="1"/>
  <c r="H1064" i="1"/>
  <c r="A1064" i="1"/>
  <c r="V1063" i="1"/>
  <c r="H1063" i="1"/>
  <c r="A1063" i="1"/>
  <c r="V1062" i="1"/>
  <c r="H1062" i="1"/>
  <c r="A1062" i="1"/>
  <c r="V1061" i="1"/>
  <c r="H1061" i="1"/>
  <c r="A1061" i="1"/>
  <c r="V1060" i="1"/>
  <c r="H1060" i="1"/>
  <c r="A1060" i="1"/>
  <c r="V1059" i="1"/>
  <c r="H1059" i="1"/>
  <c r="A1059" i="1"/>
  <c r="V1058" i="1"/>
  <c r="H1058" i="1"/>
  <c r="A1058" i="1"/>
  <c r="V1057" i="1"/>
  <c r="H1057" i="1"/>
  <c r="A1057" i="1"/>
  <c r="V1056" i="1"/>
  <c r="H1056" i="1"/>
  <c r="A1056" i="1"/>
  <c r="V1055" i="1"/>
  <c r="H1055" i="1"/>
  <c r="A1055" i="1"/>
  <c r="V1054" i="1"/>
  <c r="H1054" i="1"/>
  <c r="A1054" i="1"/>
  <c r="V1053" i="1"/>
  <c r="H1053" i="1"/>
  <c r="A1053" i="1"/>
  <c r="V1052" i="1"/>
  <c r="H1052" i="1"/>
  <c r="A1052" i="1"/>
  <c r="V1051" i="1"/>
  <c r="H1051" i="1"/>
  <c r="A1051" i="1"/>
  <c r="V1050" i="1"/>
  <c r="H1050" i="1"/>
  <c r="A1050" i="1"/>
  <c r="V1049" i="1"/>
  <c r="H1049" i="1"/>
  <c r="A1049" i="1"/>
  <c r="V1048" i="1"/>
  <c r="H1048" i="1"/>
  <c r="A1048" i="1"/>
  <c r="V1047" i="1"/>
  <c r="H1047" i="1"/>
  <c r="A1047" i="1"/>
  <c r="V1046" i="1"/>
  <c r="H1046" i="1"/>
  <c r="A1046" i="1"/>
  <c r="V1045" i="1"/>
  <c r="H1045" i="1"/>
  <c r="A1045" i="1"/>
  <c r="V1044" i="1"/>
  <c r="H1044" i="1"/>
  <c r="A1044" i="1"/>
  <c r="V1043" i="1"/>
  <c r="H1043" i="1"/>
  <c r="A1043" i="1"/>
  <c r="V1042" i="1"/>
  <c r="H1042" i="1"/>
  <c r="A1042" i="1"/>
  <c r="V1041" i="1"/>
  <c r="H1041" i="1"/>
  <c r="A1041" i="1"/>
  <c r="V1040" i="1"/>
  <c r="H1040" i="1"/>
  <c r="A1040" i="1"/>
  <c r="V1039" i="1"/>
  <c r="H1039" i="1"/>
  <c r="A1039" i="1"/>
  <c r="V1038" i="1"/>
  <c r="H1038" i="1"/>
  <c r="A1038" i="1"/>
  <c r="V1037" i="1"/>
  <c r="H1037" i="1"/>
  <c r="A1037" i="1"/>
  <c r="V1036" i="1"/>
  <c r="H1036" i="1"/>
  <c r="A1036" i="1"/>
  <c r="V1035" i="1"/>
  <c r="H1035" i="1"/>
  <c r="A1035" i="1"/>
  <c r="V1034" i="1"/>
  <c r="H1034" i="1"/>
  <c r="A1034" i="1"/>
  <c r="V1033" i="1"/>
  <c r="H1033" i="1"/>
  <c r="A1033" i="1"/>
  <c r="V1032" i="1"/>
  <c r="H1032" i="1"/>
  <c r="A1032" i="1"/>
  <c r="V1031" i="1"/>
  <c r="H1031" i="1"/>
  <c r="A1031" i="1"/>
  <c r="V1030" i="1"/>
  <c r="H1030" i="1"/>
  <c r="A1030" i="1"/>
  <c r="V1029" i="1"/>
  <c r="H1029" i="1"/>
  <c r="A1029" i="1"/>
  <c r="V1028" i="1"/>
  <c r="H1028" i="1"/>
  <c r="A1028" i="1"/>
  <c r="V1027" i="1"/>
  <c r="H1027" i="1"/>
  <c r="A1027" i="1"/>
  <c r="V1026" i="1"/>
  <c r="H1026" i="1"/>
  <c r="A1026" i="1"/>
  <c r="V1025" i="1"/>
  <c r="H1025" i="1"/>
  <c r="A1025" i="1"/>
  <c r="V1024" i="1"/>
  <c r="H1024" i="1"/>
  <c r="A1024" i="1"/>
  <c r="V1023" i="1"/>
  <c r="H1023" i="1"/>
  <c r="A1023" i="1"/>
  <c r="V1022" i="1"/>
  <c r="H1022" i="1"/>
  <c r="A1022" i="1"/>
  <c r="V1021" i="1"/>
  <c r="H1021" i="1"/>
  <c r="A1021" i="1"/>
  <c r="V1020" i="1"/>
  <c r="H1020" i="1"/>
  <c r="A1020" i="1"/>
  <c r="V1019" i="1"/>
  <c r="H1019" i="1"/>
  <c r="A1019" i="1"/>
  <c r="V1018" i="1"/>
  <c r="H1018" i="1"/>
  <c r="A1018" i="1"/>
  <c r="V1017" i="1"/>
  <c r="H1017" i="1"/>
  <c r="A1017" i="1"/>
  <c r="V1016" i="1"/>
  <c r="H1016" i="1"/>
  <c r="A1016" i="1"/>
  <c r="V1015" i="1"/>
  <c r="H1015" i="1"/>
  <c r="A1015" i="1"/>
  <c r="V1014" i="1"/>
  <c r="H1014" i="1"/>
  <c r="A1014" i="1"/>
  <c r="V1013" i="1"/>
  <c r="H1013" i="1"/>
  <c r="A1013" i="1"/>
  <c r="V1012" i="1"/>
  <c r="H1012" i="1"/>
  <c r="A1012" i="1"/>
  <c r="V1011" i="1"/>
  <c r="H1011" i="1"/>
  <c r="A1011" i="1"/>
  <c r="V1010" i="1"/>
  <c r="H1010" i="1"/>
  <c r="A1010" i="1"/>
  <c r="V1009" i="1"/>
  <c r="H1009" i="1"/>
  <c r="A1009" i="1"/>
  <c r="V1008" i="1"/>
  <c r="H1008" i="1"/>
  <c r="A1008" i="1"/>
  <c r="V1007" i="1"/>
  <c r="H1007" i="1"/>
  <c r="A1007" i="1"/>
  <c r="V1006" i="1"/>
  <c r="H1006" i="1"/>
  <c r="A1006" i="1"/>
  <c r="V1005" i="1"/>
  <c r="H1005" i="1"/>
  <c r="A1005" i="1"/>
  <c r="V1004" i="1"/>
  <c r="H1004" i="1"/>
  <c r="A1004" i="1"/>
  <c r="V1003" i="1"/>
  <c r="H1003" i="1"/>
  <c r="A1003" i="1"/>
  <c r="V1002" i="1"/>
  <c r="H1002" i="1"/>
  <c r="A1002" i="1"/>
  <c r="V1001" i="1"/>
  <c r="H1001" i="1"/>
  <c r="A1001" i="1"/>
  <c r="V1000" i="1"/>
  <c r="H1000" i="1"/>
  <c r="A1000" i="1"/>
  <c r="V999" i="1"/>
  <c r="H999" i="1"/>
  <c r="A999" i="1"/>
  <c r="V998" i="1"/>
  <c r="H998" i="1"/>
  <c r="A998" i="1"/>
  <c r="V997" i="1"/>
  <c r="H997" i="1"/>
  <c r="A997" i="1"/>
  <c r="V996" i="1"/>
  <c r="H996" i="1"/>
  <c r="A996" i="1"/>
  <c r="V995" i="1"/>
  <c r="H995" i="1"/>
  <c r="A995" i="1"/>
  <c r="V994" i="1"/>
  <c r="H994" i="1"/>
  <c r="A994" i="1"/>
  <c r="V993" i="1"/>
  <c r="H993" i="1"/>
  <c r="A993" i="1"/>
  <c r="V992" i="1"/>
  <c r="H992" i="1"/>
  <c r="A992" i="1"/>
  <c r="V991" i="1"/>
  <c r="H991" i="1"/>
  <c r="A991" i="1"/>
  <c r="V990" i="1"/>
  <c r="H990" i="1"/>
  <c r="A990" i="1"/>
  <c r="V989" i="1"/>
  <c r="H989" i="1"/>
  <c r="A989" i="1"/>
  <c r="V988" i="1"/>
  <c r="H988" i="1"/>
  <c r="A988" i="1"/>
  <c r="V987" i="1"/>
  <c r="H987" i="1"/>
  <c r="A987" i="1"/>
  <c r="V986" i="1"/>
  <c r="H986" i="1"/>
  <c r="A986" i="1"/>
  <c r="V985" i="1"/>
  <c r="H985" i="1"/>
  <c r="A985" i="1"/>
  <c r="V984" i="1"/>
  <c r="H984" i="1"/>
  <c r="A984" i="1"/>
  <c r="V983" i="1"/>
  <c r="H983" i="1"/>
  <c r="A983" i="1"/>
  <c r="V982" i="1"/>
  <c r="H982" i="1"/>
  <c r="A982" i="1"/>
  <c r="V981" i="1"/>
  <c r="H981" i="1"/>
  <c r="A981" i="1"/>
  <c r="V980" i="1"/>
  <c r="H980" i="1"/>
  <c r="A980" i="1"/>
  <c r="V979" i="1"/>
  <c r="H979" i="1"/>
  <c r="A979" i="1"/>
  <c r="V978" i="1"/>
  <c r="H978" i="1"/>
  <c r="A978" i="1"/>
  <c r="V977" i="1"/>
  <c r="H977" i="1"/>
  <c r="A977" i="1"/>
  <c r="V976" i="1"/>
  <c r="H976" i="1"/>
  <c r="A976" i="1"/>
  <c r="V975" i="1"/>
  <c r="H975" i="1"/>
  <c r="A975" i="1"/>
  <c r="V974" i="1"/>
  <c r="H974" i="1"/>
  <c r="A974" i="1"/>
  <c r="V973" i="1"/>
  <c r="H973" i="1"/>
  <c r="A973" i="1"/>
  <c r="V972" i="1"/>
  <c r="H972" i="1"/>
  <c r="A972" i="1"/>
  <c r="V971" i="1"/>
  <c r="H971" i="1"/>
  <c r="A971" i="1"/>
  <c r="V970" i="1"/>
  <c r="H970" i="1"/>
  <c r="A970" i="1"/>
  <c r="V969" i="1"/>
  <c r="H969" i="1"/>
  <c r="A969" i="1"/>
  <c r="V968" i="1"/>
  <c r="H968" i="1"/>
  <c r="A968" i="1"/>
  <c r="V967" i="1"/>
  <c r="H967" i="1"/>
  <c r="A967" i="1"/>
  <c r="V966" i="1"/>
  <c r="H966" i="1"/>
  <c r="A966" i="1"/>
  <c r="V965" i="1"/>
  <c r="H965" i="1"/>
  <c r="A965" i="1"/>
  <c r="V964" i="1"/>
  <c r="H964" i="1"/>
  <c r="A964" i="1"/>
  <c r="V963" i="1"/>
  <c r="H963" i="1"/>
  <c r="A963" i="1"/>
  <c r="V962" i="1"/>
  <c r="H962" i="1"/>
  <c r="A962" i="1"/>
  <c r="V961" i="1"/>
  <c r="H961" i="1"/>
  <c r="A961" i="1"/>
  <c r="V960" i="1"/>
  <c r="H960" i="1"/>
  <c r="A960" i="1"/>
  <c r="V959" i="1"/>
  <c r="H959" i="1"/>
  <c r="A959" i="1"/>
  <c r="V958" i="1"/>
  <c r="H958" i="1"/>
  <c r="A958" i="1"/>
  <c r="V957" i="1"/>
  <c r="H957" i="1"/>
  <c r="A957" i="1"/>
  <c r="V956" i="1"/>
  <c r="H956" i="1"/>
  <c r="A956" i="1"/>
  <c r="V955" i="1"/>
  <c r="H955" i="1"/>
  <c r="A955" i="1"/>
  <c r="V954" i="1"/>
  <c r="H954" i="1"/>
  <c r="A954" i="1"/>
  <c r="V953" i="1"/>
  <c r="H953" i="1"/>
  <c r="A953" i="1"/>
  <c r="V952" i="1"/>
  <c r="H952" i="1"/>
  <c r="A952" i="1"/>
  <c r="V951" i="1"/>
  <c r="H951" i="1"/>
  <c r="A951" i="1"/>
  <c r="V950" i="1"/>
  <c r="H950" i="1"/>
  <c r="A950" i="1"/>
  <c r="V949" i="1"/>
  <c r="H949" i="1"/>
  <c r="A949" i="1"/>
  <c r="V948" i="1"/>
  <c r="H948" i="1"/>
  <c r="A948" i="1"/>
  <c r="V947" i="1"/>
  <c r="H947" i="1"/>
  <c r="A947" i="1"/>
  <c r="V946" i="1"/>
  <c r="H946" i="1"/>
  <c r="A946" i="1"/>
  <c r="V945" i="1"/>
  <c r="H945" i="1"/>
  <c r="A945" i="1"/>
  <c r="V944" i="1"/>
  <c r="H944" i="1"/>
  <c r="A944" i="1"/>
  <c r="V943" i="1"/>
  <c r="H943" i="1"/>
  <c r="A943" i="1"/>
  <c r="V942" i="1"/>
  <c r="H942" i="1"/>
  <c r="A942" i="1"/>
  <c r="V941" i="1"/>
  <c r="H941" i="1"/>
  <c r="A941" i="1"/>
  <c r="V940" i="1"/>
  <c r="H940" i="1"/>
  <c r="A940" i="1"/>
  <c r="V939" i="1"/>
  <c r="H939" i="1"/>
  <c r="A939" i="1"/>
  <c r="V938" i="1"/>
  <c r="H938" i="1"/>
  <c r="A938" i="1"/>
  <c r="V937" i="1"/>
  <c r="H937" i="1"/>
  <c r="A937" i="1"/>
  <c r="V936" i="1"/>
  <c r="H936" i="1"/>
  <c r="A936" i="1"/>
  <c r="V935" i="1"/>
  <c r="H935" i="1"/>
  <c r="A935" i="1"/>
  <c r="V934" i="1"/>
  <c r="H934" i="1"/>
  <c r="A934" i="1"/>
  <c r="V933" i="1"/>
  <c r="H933" i="1"/>
  <c r="A933" i="1"/>
  <c r="V932" i="1"/>
  <c r="H932" i="1"/>
  <c r="A932" i="1"/>
  <c r="V931" i="1"/>
  <c r="H931" i="1"/>
  <c r="A931" i="1"/>
  <c r="V930" i="1"/>
  <c r="H930" i="1"/>
  <c r="A930" i="1"/>
  <c r="V929" i="1"/>
  <c r="H929" i="1"/>
  <c r="A929" i="1"/>
  <c r="V928" i="1"/>
  <c r="H928" i="1"/>
  <c r="A928" i="1"/>
  <c r="V927" i="1"/>
  <c r="H927" i="1"/>
  <c r="A927" i="1"/>
  <c r="V926" i="1"/>
  <c r="H926" i="1"/>
  <c r="A926" i="1"/>
  <c r="V925" i="1"/>
  <c r="H925" i="1"/>
  <c r="A925" i="1"/>
  <c r="V924" i="1"/>
  <c r="H924" i="1"/>
  <c r="A924" i="1"/>
  <c r="V923" i="1"/>
  <c r="H923" i="1"/>
  <c r="A923" i="1"/>
  <c r="V922" i="1"/>
  <c r="H922" i="1"/>
  <c r="A922" i="1"/>
  <c r="V921" i="1"/>
  <c r="H921" i="1"/>
  <c r="A921" i="1"/>
  <c r="V920" i="1"/>
  <c r="H920" i="1"/>
  <c r="A920" i="1"/>
  <c r="V919" i="1"/>
  <c r="H919" i="1"/>
  <c r="A919" i="1"/>
  <c r="V918" i="1"/>
  <c r="H918" i="1"/>
  <c r="A918" i="1"/>
  <c r="V917" i="1"/>
  <c r="H917" i="1"/>
  <c r="A917" i="1"/>
  <c r="V916" i="1"/>
  <c r="H916" i="1"/>
  <c r="A916" i="1"/>
  <c r="V915" i="1"/>
  <c r="H915" i="1"/>
  <c r="A915" i="1"/>
  <c r="V914" i="1"/>
  <c r="H914" i="1"/>
  <c r="A914" i="1"/>
  <c r="V913" i="1"/>
  <c r="H913" i="1"/>
  <c r="A913" i="1"/>
  <c r="V912" i="1"/>
  <c r="H912" i="1"/>
  <c r="A912" i="1"/>
  <c r="V911" i="1"/>
  <c r="H911" i="1"/>
  <c r="A911" i="1"/>
  <c r="V910" i="1"/>
  <c r="H910" i="1"/>
  <c r="A910" i="1"/>
  <c r="V909" i="1"/>
  <c r="H909" i="1"/>
  <c r="A909" i="1"/>
  <c r="V908" i="1"/>
  <c r="H908" i="1"/>
  <c r="A908" i="1"/>
  <c r="V907" i="1"/>
  <c r="H907" i="1"/>
  <c r="A907" i="1"/>
  <c r="V906" i="1"/>
  <c r="H906" i="1"/>
  <c r="A906" i="1"/>
  <c r="V905" i="1"/>
  <c r="H905" i="1"/>
  <c r="A905" i="1"/>
  <c r="V904" i="1"/>
  <c r="H904" i="1"/>
  <c r="A904" i="1"/>
  <c r="V903" i="1"/>
  <c r="H903" i="1"/>
  <c r="A903" i="1"/>
  <c r="V902" i="1"/>
  <c r="H902" i="1"/>
  <c r="A902" i="1"/>
  <c r="V901" i="1"/>
  <c r="H901" i="1"/>
  <c r="A901" i="1"/>
  <c r="V900" i="1"/>
  <c r="H900" i="1"/>
  <c r="A900" i="1"/>
  <c r="V899" i="1"/>
  <c r="H899" i="1"/>
  <c r="A899" i="1"/>
  <c r="V898" i="1"/>
  <c r="H898" i="1"/>
  <c r="A898" i="1"/>
  <c r="V897" i="1"/>
  <c r="H897" i="1"/>
  <c r="A897" i="1"/>
  <c r="V896" i="1"/>
  <c r="H896" i="1"/>
  <c r="A896" i="1"/>
  <c r="V895" i="1"/>
  <c r="H895" i="1"/>
  <c r="A895" i="1"/>
  <c r="V894" i="1"/>
  <c r="H894" i="1"/>
  <c r="A894" i="1"/>
  <c r="V893" i="1"/>
  <c r="H893" i="1"/>
  <c r="A893" i="1"/>
  <c r="V892" i="1"/>
  <c r="H892" i="1"/>
  <c r="A892" i="1"/>
  <c r="V891" i="1"/>
  <c r="H891" i="1"/>
  <c r="A891" i="1"/>
  <c r="V890" i="1"/>
  <c r="H890" i="1"/>
  <c r="A890" i="1"/>
  <c r="V889" i="1"/>
  <c r="H889" i="1"/>
  <c r="A889" i="1"/>
  <c r="V888" i="1"/>
  <c r="H888" i="1"/>
  <c r="A888" i="1"/>
  <c r="V887" i="1"/>
  <c r="H887" i="1"/>
  <c r="A887" i="1"/>
  <c r="V886" i="1"/>
  <c r="H886" i="1"/>
  <c r="A886" i="1"/>
  <c r="V885" i="1"/>
  <c r="H885" i="1"/>
  <c r="A885" i="1"/>
  <c r="V884" i="1"/>
  <c r="H884" i="1"/>
  <c r="A884" i="1"/>
  <c r="V883" i="1"/>
  <c r="H883" i="1"/>
  <c r="A883" i="1"/>
  <c r="V882" i="1"/>
  <c r="H882" i="1"/>
  <c r="A882" i="1"/>
  <c r="V881" i="1"/>
  <c r="H881" i="1"/>
  <c r="A881" i="1"/>
  <c r="V880" i="1"/>
  <c r="H880" i="1"/>
  <c r="A880" i="1"/>
  <c r="V879" i="1"/>
  <c r="H879" i="1"/>
  <c r="A879" i="1"/>
  <c r="V878" i="1"/>
  <c r="H878" i="1"/>
  <c r="A878" i="1"/>
  <c r="V877" i="1"/>
  <c r="H877" i="1"/>
  <c r="A877" i="1"/>
  <c r="V876" i="1"/>
  <c r="H876" i="1"/>
  <c r="A876" i="1"/>
  <c r="V875" i="1"/>
  <c r="H875" i="1"/>
  <c r="A875" i="1"/>
  <c r="V874" i="1"/>
  <c r="H874" i="1"/>
  <c r="A874" i="1"/>
  <c r="V873" i="1"/>
  <c r="H873" i="1"/>
  <c r="A873" i="1"/>
  <c r="V872" i="1"/>
  <c r="H872" i="1"/>
  <c r="A872" i="1"/>
  <c r="V871" i="1"/>
  <c r="H871" i="1"/>
  <c r="A871" i="1"/>
  <c r="V870" i="1"/>
  <c r="H870" i="1"/>
  <c r="A870" i="1"/>
  <c r="V869" i="1"/>
  <c r="H869" i="1"/>
  <c r="A869" i="1"/>
  <c r="V868" i="1"/>
  <c r="H868" i="1"/>
  <c r="A868" i="1"/>
  <c r="V867" i="1"/>
  <c r="H867" i="1"/>
  <c r="A867" i="1"/>
  <c r="V866" i="1"/>
  <c r="H866" i="1"/>
  <c r="A866" i="1"/>
  <c r="V865" i="1"/>
  <c r="H865" i="1"/>
  <c r="A865" i="1"/>
  <c r="V864" i="1"/>
  <c r="H864" i="1"/>
  <c r="A864" i="1"/>
  <c r="V863" i="1"/>
  <c r="H863" i="1"/>
  <c r="A863" i="1"/>
  <c r="V862" i="1"/>
  <c r="H862" i="1"/>
  <c r="A862" i="1"/>
  <c r="V861" i="1"/>
  <c r="H861" i="1"/>
  <c r="A861" i="1"/>
  <c r="V860" i="1"/>
  <c r="H860" i="1"/>
  <c r="A860" i="1"/>
  <c r="V859" i="1"/>
  <c r="H859" i="1"/>
  <c r="A859" i="1"/>
  <c r="V858" i="1"/>
  <c r="H858" i="1"/>
  <c r="A858" i="1"/>
  <c r="V857" i="1"/>
  <c r="H857" i="1"/>
  <c r="A857" i="1"/>
  <c r="V856" i="1"/>
  <c r="H856" i="1"/>
  <c r="A856" i="1"/>
  <c r="V855" i="1"/>
  <c r="H855" i="1"/>
  <c r="A855" i="1"/>
  <c r="V854" i="1"/>
  <c r="H854" i="1"/>
  <c r="A854" i="1"/>
  <c r="V853" i="1"/>
  <c r="H853" i="1"/>
  <c r="A853" i="1"/>
  <c r="V852" i="1"/>
  <c r="H852" i="1"/>
  <c r="A852" i="1"/>
  <c r="V851" i="1"/>
  <c r="H851" i="1"/>
  <c r="A851" i="1"/>
  <c r="V850" i="1"/>
  <c r="H850" i="1"/>
  <c r="A850" i="1"/>
  <c r="V849" i="1"/>
  <c r="H849" i="1"/>
  <c r="A849" i="1"/>
  <c r="V848" i="1"/>
  <c r="H848" i="1"/>
  <c r="A848" i="1"/>
  <c r="V847" i="1"/>
  <c r="H847" i="1"/>
  <c r="A847" i="1"/>
  <c r="V846" i="1"/>
  <c r="H846" i="1"/>
  <c r="A846" i="1"/>
  <c r="V845" i="1"/>
  <c r="H845" i="1"/>
  <c r="A845" i="1"/>
  <c r="V844" i="1"/>
  <c r="H844" i="1"/>
  <c r="A844" i="1"/>
  <c r="V843" i="1"/>
  <c r="H843" i="1"/>
  <c r="A843" i="1"/>
  <c r="V842" i="1"/>
  <c r="H842" i="1"/>
  <c r="A842" i="1"/>
  <c r="V841" i="1"/>
  <c r="H841" i="1"/>
  <c r="A841" i="1"/>
  <c r="V840" i="1"/>
  <c r="H840" i="1"/>
  <c r="A840" i="1"/>
  <c r="V839" i="1"/>
  <c r="H839" i="1"/>
  <c r="A839" i="1"/>
  <c r="V838" i="1"/>
  <c r="H838" i="1"/>
  <c r="A838" i="1"/>
  <c r="V837" i="1"/>
  <c r="H837" i="1"/>
  <c r="A837" i="1"/>
  <c r="V836" i="1"/>
  <c r="H836" i="1"/>
  <c r="A836" i="1"/>
  <c r="V835" i="1"/>
  <c r="H835" i="1"/>
  <c r="A835" i="1"/>
  <c r="V834" i="1"/>
  <c r="H834" i="1"/>
  <c r="A834" i="1"/>
  <c r="V833" i="1"/>
  <c r="H833" i="1"/>
  <c r="A833" i="1"/>
  <c r="V832" i="1"/>
  <c r="H832" i="1"/>
  <c r="A832" i="1"/>
  <c r="V831" i="1"/>
  <c r="H831" i="1"/>
  <c r="A831" i="1"/>
  <c r="V830" i="1"/>
  <c r="H830" i="1"/>
  <c r="A830" i="1"/>
  <c r="V829" i="1"/>
  <c r="H829" i="1"/>
  <c r="A829" i="1"/>
  <c r="V828" i="1"/>
  <c r="H828" i="1"/>
  <c r="A828" i="1"/>
  <c r="V827" i="1"/>
  <c r="H827" i="1"/>
  <c r="A827" i="1"/>
  <c r="V826" i="1"/>
  <c r="H826" i="1"/>
  <c r="A826" i="1"/>
  <c r="V825" i="1"/>
  <c r="H825" i="1"/>
  <c r="A825" i="1"/>
  <c r="V824" i="1"/>
  <c r="H824" i="1"/>
  <c r="A824" i="1"/>
  <c r="V823" i="1"/>
  <c r="H823" i="1"/>
  <c r="A823" i="1"/>
  <c r="V822" i="1"/>
  <c r="H822" i="1"/>
  <c r="A822" i="1"/>
  <c r="V821" i="1"/>
  <c r="H821" i="1"/>
  <c r="A821" i="1"/>
  <c r="V820" i="1"/>
  <c r="H820" i="1"/>
  <c r="A820" i="1"/>
  <c r="V819" i="1"/>
  <c r="H819" i="1"/>
  <c r="A819" i="1"/>
  <c r="V818" i="1"/>
  <c r="H818" i="1"/>
  <c r="A818" i="1"/>
  <c r="V817" i="1"/>
  <c r="H817" i="1"/>
  <c r="A817" i="1"/>
  <c r="V816" i="1"/>
  <c r="H816" i="1"/>
  <c r="A816" i="1"/>
  <c r="V815" i="1"/>
  <c r="H815" i="1"/>
  <c r="A815" i="1"/>
  <c r="V814" i="1"/>
  <c r="H814" i="1"/>
  <c r="A814" i="1"/>
  <c r="V813" i="1"/>
  <c r="H813" i="1"/>
  <c r="A813" i="1"/>
  <c r="V812" i="1"/>
  <c r="H812" i="1"/>
  <c r="A812" i="1"/>
  <c r="V811" i="1"/>
  <c r="H811" i="1"/>
  <c r="A811" i="1"/>
  <c r="V810" i="1"/>
  <c r="H810" i="1"/>
  <c r="A810" i="1"/>
  <c r="V809" i="1"/>
  <c r="H809" i="1"/>
  <c r="A809" i="1"/>
  <c r="V808" i="1"/>
  <c r="H808" i="1"/>
  <c r="A808" i="1"/>
  <c r="V807" i="1"/>
  <c r="H807" i="1"/>
  <c r="A807" i="1"/>
  <c r="V806" i="1"/>
  <c r="H806" i="1"/>
  <c r="A806" i="1"/>
  <c r="V805" i="1"/>
  <c r="H805" i="1"/>
  <c r="A805" i="1"/>
  <c r="V804" i="1"/>
  <c r="H804" i="1"/>
  <c r="A804" i="1"/>
  <c r="V803" i="1"/>
  <c r="H803" i="1"/>
  <c r="A803" i="1"/>
  <c r="V802" i="1"/>
  <c r="H802" i="1"/>
  <c r="A802" i="1"/>
  <c r="V801" i="1"/>
  <c r="H801" i="1"/>
  <c r="A801" i="1"/>
  <c r="V800" i="1"/>
  <c r="H800" i="1"/>
  <c r="A800" i="1"/>
  <c r="V799" i="1"/>
  <c r="H799" i="1"/>
  <c r="A799" i="1"/>
  <c r="V798" i="1"/>
  <c r="H798" i="1"/>
  <c r="A798" i="1"/>
  <c r="V797" i="1"/>
  <c r="H797" i="1"/>
  <c r="A797" i="1"/>
  <c r="V796" i="1"/>
  <c r="H796" i="1"/>
  <c r="A796" i="1"/>
  <c r="V795" i="1"/>
  <c r="H795" i="1"/>
  <c r="A795" i="1"/>
  <c r="V794" i="1"/>
  <c r="H794" i="1"/>
  <c r="A794" i="1"/>
  <c r="V793" i="1"/>
  <c r="H793" i="1"/>
  <c r="A793" i="1"/>
  <c r="V792" i="1"/>
  <c r="H792" i="1"/>
  <c r="A792" i="1"/>
  <c r="V791" i="1"/>
  <c r="H791" i="1"/>
  <c r="A791" i="1"/>
  <c r="V790" i="1"/>
  <c r="H790" i="1"/>
  <c r="A790" i="1"/>
  <c r="V789" i="1"/>
  <c r="H789" i="1"/>
  <c r="A789" i="1"/>
  <c r="V788" i="1"/>
  <c r="H788" i="1"/>
  <c r="A788" i="1"/>
  <c r="V787" i="1"/>
  <c r="H787" i="1"/>
  <c r="A787" i="1"/>
  <c r="V786" i="1"/>
  <c r="H786" i="1"/>
  <c r="A786" i="1"/>
  <c r="V785" i="1"/>
  <c r="H785" i="1"/>
  <c r="A785" i="1"/>
  <c r="V784" i="1"/>
  <c r="H784" i="1"/>
  <c r="A784" i="1"/>
  <c r="V783" i="1"/>
  <c r="H783" i="1"/>
  <c r="A783" i="1"/>
  <c r="V782" i="1"/>
  <c r="H782" i="1"/>
  <c r="A782" i="1"/>
  <c r="V781" i="1"/>
  <c r="H781" i="1"/>
  <c r="A781" i="1"/>
  <c r="V780" i="1"/>
  <c r="H780" i="1"/>
  <c r="A780" i="1"/>
  <c r="V779" i="1"/>
  <c r="H779" i="1"/>
  <c r="A779" i="1"/>
  <c r="V778" i="1"/>
  <c r="H778" i="1"/>
  <c r="A778" i="1"/>
  <c r="V777" i="1"/>
  <c r="H777" i="1"/>
  <c r="A777" i="1"/>
  <c r="V776" i="1"/>
  <c r="H776" i="1"/>
  <c r="A776" i="1"/>
  <c r="V775" i="1"/>
  <c r="H775" i="1"/>
  <c r="A775" i="1"/>
  <c r="V774" i="1"/>
  <c r="H774" i="1"/>
  <c r="A774" i="1"/>
  <c r="V773" i="1"/>
  <c r="H773" i="1"/>
  <c r="A773" i="1"/>
  <c r="V772" i="1"/>
  <c r="H772" i="1"/>
  <c r="A772" i="1"/>
  <c r="V771" i="1"/>
  <c r="H771" i="1"/>
  <c r="A771" i="1"/>
  <c r="V770" i="1"/>
  <c r="H770" i="1"/>
  <c r="A770" i="1"/>
  <c r="V769" i="1"/>
  <c r="H769" i="1"/>
  <c r="A769" i="1"/>
  <c r="V768" i="1"/>
  <c r="H768" i="1"/>
  <c r="A768" i="1"/>
  <c r="V767" i="1"/>
  <c r="H767" i="1"/>
  <c r="A767" i="1"/>
  <c r="V766" i="1"/>
  <c r="H766" i="1"/>
  <c r="A766" i="1"/>
  <c r="V765" i="1"/>
  <c r="H765" i="1"/>
  <c r="A765" i="1"/>
  <c r="V764" i="1"/>
  <c r="H764" i="1"/>
  <c r="A764" i="1"/>
  <c r="V763" i="1"/>
  <c r="H763" i="1"/>
  <c r="A763" i="1"/>
  <c r="V762" i="1"/>
  <c r="H762" i="1"/>
  <c r="A762" i="1"/>
  <c r="V761" i="1"/>
  <c r="H761" i="1"/>
  <c r="A761" i="1"/>
  <c r="V760" i="1"/>
  <c r="H760" i="1"/>
  <c r="A760" i="1"/>
  <c r="V759" i="1"/>
  <c r="H759" i="1"/>
  <c r="A759" i="1"/>
  <c r="V758" i="1"/>
  <c r="H758" i="1"/>
  <c r="A758" i="1"/>
  <c r="V757" i="1"/>
  <c r="H757" i="1"/>
  <c r="A757" i="1"/>
  <c r="V756" i="1"/>
  <c r="H756" i="1"/>
  <c r="A756" i="1"/>
  <c r="V755" i="1"/>
  <c r="H755" i="1"/>
  <c r="A755" i="1"/>
  <c r="V754" i="1"/>
  <c r="H754" i="1"/>
  <c r="A754" i="1"/>
  <c r="V753" i="1"/>
  <c r="H753" i="1"/>
  <c r="A753" i="1"/>
  <c r="V752" i="1"/>
  <c r="H752" i="1"/>
  <c r="A752" i="1"/>
  <c r="V751" i="1"/>
  <c r="H751" i="1"/>
  <c r="A751" i="1"/>
  <c r="V750" i="1"/>
  <c r="H750" i="1"/>
  <c r="A750" i="1"/>
  <c r="V749" i="1"/>
  <c r="H749" i="1"/>
  <c r="A749" i="1"/>
  <c r="V748" i="1"/>
  <c r="H748" i="1"/>
  <c r="A748" i="1"/>
  <c r="V747" i="1"/>
  <c r="H747" i="1"/>
  <c r="A747" i="1"/>
  <c r="V746" i="1"/>
  <c r="H746" i="1"/>
  <c r="A746" i="1"/>
  <c r="V745" i="1"/>
  <c r="H745" i="1"/>
  <c r="A745" i="1"/>
  <c r="V744" i="1"/>
  <c r="H744" i="1"/>
  <c r="A744" i="1"/>
  <c r="V743" i="1"/>
  <c r="H743" i="1"/>
  <c r="A743" i="1"/>
  <c r="V742" i="1"/>
  <c r="H742" i="1"/>
  <c r="A742" i="1"/>
  <c r="V741" i="1"/>
  <c r="H741" i="1"/>
  <c r="A741" i="1"/>
  <c r="V740" i="1"/>
  <c r="H740" i="1"/>
  <c r="A740" i="1"/>
  <c r="V739" i="1"/>
  <c r="H739" i="1"/>
  <c r="A739" i="1"/>
  <c r="V738" i="1"/>
  <c r="H738" i="1"/>
  <c r="A738" i="1"/>
  <c r="V737" i="1"/>
  <c r="H737" i="1"/>
  <c r="A737" i="1"/>
  <c r="V736" i="1"/>
  <c r="H736" i="1"/>
  <c r="A736" i="1"/>
  <c r="V735" i="1"/>
  <c r="H735" i="1"/>
  <c r="A735" i="1"/>
  <c r="V734" i="1"/>
  <c r="H734" i="1"/>
  <c r="A734" i="1"/>
  <c r="V733" i="1"/>
  <c r="H733" i="1"/>
  <c r="A733" i="1"/>
  <c r="V732" i="1"/>
  <c r="H732" i="1"/>
  <c r="A732" i="1"/>
  <c r="V731" i="1"/>
  <c r="H731" i="1"/>
  <c r="A731" i="1"/>
  <c r="V730" i="1"/>
  <c r="H730" i="1"/>
  <c r="A730" i="1"/>
  <c r="V729" i="1"/>
  <c r="H729" i="1"/>
  <c r="A729" i="1"/>
  <c r="V728" i="1"/>
  <c r="H728" i="1"/>
  <c r="A728" i="1"/>
  <c r="V727" i="1"/>
  <c r="H727" i="1"/>
  <c r="A727" i="1"/>
  <c r="V726" i="1"/>
  <c r="H726" i="1"/>
  <c r="A726" i="1"/>
  <c r="V725" i="1"/>
  <c r="H725" i="1"/>
  <c r="A725" i="1"/>
  <c r="V724" i="1"/>
  <c r="H724" i="1"/>
  <c r="A724" i="1"/>
  <c r="V723" i="1"/>
  <c r="H723" i="1"/>
  <c r="A723" i="1"/>
  <c r="V722" i="1"/>
  <c r="H722" i="1"/>
  <c r="A722" i="1"/>
  <c r="V721" i="1"/>
  <c r="H721" i="1"/>
  <c r="A721" i="1"/>
  <c r="V720" i="1"/>
  <c r="H720" i="1"/>
  <c r="A720" i="1"/>
  <c r="V719" i="1"/>
  <c r="H719" i="1"/>
  <c r="A719" i="1"/>
  <c r="V718" i="1"/>
  <c r="H718" i="1"/>
  <c r="A718" i="1"/>
  <c r="V717" i="1"/>
  <c r="H717" i="1"/>
  <c r="A717" i="1"/>
  <c r="V716" i="1"/>
  <c r="H716" i="1"/>
  <c r="A716" i="1"/>
  <c r="V715" i="1"/>
  <c r="H715" i="1"/>
  <c r="A715" i="1"/>
  <c r="V714" i="1"/>
  <c r="H714" i="1"/>
  <c r="A714" i="1"/>
  <c r="V713" i="1"/>
  <c r="H713" i="1"/>
  <c r="A713" i="1"/>
  <c r="V712" i="1"/>
  <c r="H712" i="1"/>
  <c r="A712" i="1"/>
  <c r="V711" i="1"/>
  <c r="H711" i="1"/>
  <c r="A711" i="1"/>
  <c r="V710" i="1"/>
  <c r="H710" i="1"/>
  <c r="A710" i="1"/>
  <c r="V709" i="1"/>
  <c r="H709" i="1"/>
  <c r="A709" i="1"/>
  <c r="V708" i="1"/>
  <c r="H708" i="1"/>
  <c r="A708" i="1"/>
  <c r="V707" i="1"/>
  <c r="H707" i="1"/>
  <c r="A707" i="1"/>
  <c r="V706" i="1"/>
  <c r="H706" i="1"/>
  <c r="A706" i="1"/>
  <c r="V705" i="1"/>
  <c r="H705" i="1"/>
  <c r="A705" i="1"/>
  <c r="V704" i="1"/>
  <c r="H704" i="1"/>
  <c r="A704" i="1"/>
  <c r="V703" i="1"/>
  <c r="H703" i="1"/>
  <c r="A703" i="1"/>
  <c r="V702" i="1"/>
  <c r="H702" i="1"/>
  <c r="A702" i="1"/>
  <c r="V701" i="1"/>
  <c r="H701" i="1"/>
  <c r="A701" i="1"/>
  <c r="V700" i="1"/>
  <c r="H700" i="1"/>
  <c r="A700" i="1"/>
  <c r="V699" i="1"/>
  <c r="H699" i="1"/>
  <c r="A699" i="1"/>
  <c r="V698" i="1"/>
  <c r="H698" i="1"/>
  <c r="A698" i="1"/>
  <c r="V697" i="1"/>
  <c r="H697" i="1"/>
  <c r="A697" i="1"/>
  <c r="V696" i="1"/>
  <c r="H696" i="1"/>
  <c r="A696" i="1"/>
  <c r="V695" i="1"/>
  <c r="H695" i="1"/>
  <c r="A695" i="1"/>
  <c r="V694" i="1"/>
  <c r="H694" i="1"/>
  <c r="A694" i="1"/>
  <c r="V693" i="1"/>
  <c r="H693" i="1"/>
  <c r="A693" i="1"/>
  <c r="V692" i="1"/>
  <c r="H692" i="1"/>
  <c r="A692" i="1"/>
  <c r="V691" i="1"/>
  <c r="H691" i="1"/>
  <c r="A691" i="1"/>
  <c r="V690" i="1"/>
  <c r="H690" i="1"/>
  <c r="A690" i="1"/>
  <c r="V689" i="1"/>
  <c r="H689" i="1"/>
  <c r="A689" i="1"/>
  <c r="V688" i="1"/>
  <c r="H688" i="1"/>
  <c r="A688" i="1"/>
  <c r="V687" i="1"/>
  <c r="H687" i="1"/>
  <c r="A687" i="1"/>
  <c r="V686" i="1"/>
  <c r="H686" i="1"/>
  <c r="A686" i="1"/>
  <c r="V685" i="1"/>
  <c r="H685" i="1"/>
  <c r="A685" i="1"/>
  <c r="V684" i="1"/>
  <c r="H684" i="1"/>
  <c r="A684" i="1"/>
  <c r="V683" i="1"/>
  <c r="H683" i="1"/>
  <c r="A683" i="1"/>
  <c r="V682" i="1"/>
  <c r="H682" i="1"/>
  <c r="A682" i="1"/>
  <c r="V681" i="1"/>
  <c r="H681" i="1"/>
  <c r="A681" i="1"/>
  <c r="V680" i="1"/>
  <c r="H680" i="1"/>
  <c r="A680" i="1"/>
  <c r="V679" i="1"/>
  <c r="H679" i="1"/>
  <c r="A679" i="1"/>
  <c r="V678" i="1"/>
  <c r="H678" i="1"/>
  <c r="A678" i="1"/>
  <c r="V677" i="1"/>
  <c r="H677" i="1"/>
  <c r="A677" i="1"/>
  <c r="V676" i="1"/>
  <c r="H676" i="1"/>
  <c r="A676" i="1"/>
  <c r="V675" i="1"/>
  <c r="H675" i="1"/>
  <c r="A675" i="1"/>
  <c r="V674" i="1"/>
  <c r="H674" i="1"/>
  <c r="A674" i="1"/>
  <c r="V673" i="1"/>
  <c r="H673" i="1"/>
  <c r="A673" i="1"/>
  <c r="V672" i="1"/>
  <c r="H672" i="1"/>
  <c r="A672" i="1"/>
  <c r="V671" i="1"/>
  <c r="H671" i="1"/>
  <c r="A671" i="1"/>
  <c r="V670" i="1"/>
  <c r="H670" i="1"/>
  <c r="A670" i="1"/>
  <c r="V669" i="1"/>
  <c r="H669" i="1"/>
  <c r="A669" i="1"/>
  <c r="V668" i="1"/>
  <c r="H668" i="1"/>
  <c r="A668" i="1"/>
  <c r="V667" i="1"/>
  <c r="H667" i="1"/>
  <c r="A667" i="1"/>
  <c r="V666" i="1"/>
  <c r="H666" i="1"/>
  <c r="A666" i="1"/>
  <c r="V665" i="1"/>
  <c r="H665" i="1"/>
  <c r="A665" i="1"/>
  <c r="V664" i="1"/>
  <c r="H664" i="1"/>
  <c r="A664" i="1"/>
  <c r="V663" i="1"/>
  <c r="H663" i="1"/>
  <c r="A663" i="1"/>
  <c r="V662" i="1"/>
  <c r="H662" i="1"/>
  <c r="A662" i="1"/>
  <c r="V661" i="1"/>
  <c r="H661" i="1"/>
  <c r="A661" i="1"/>
  <c r="V660" i="1"/>
  <c r="H660" i="1"/>
  <c r="A660" i="1"/>
  <c r="V659" i="1"/>
  <c r="H659" i="1"/>
  <c r="A659" i="1"/>
  <c r="V658" i="1"/>
  <c r="H658" i="1"/>
  <c r="A658" i="1"/>
  <c r="V657" i="1"/>
  <c r="H657" i="1"/>
  <c r="A657" i="1"/>
  <c r="V656" i="1"/>
  <c r="H656" i="1"/>
  <c r="A656" i="1"/>
  <c r="V655" i="1"/>
  <c r="H655" i="1"/>
  <c r="A655" i="1"/>
  <c r="V654" i="1"/>
  <c r="H654" i="1"/>
  <c r="A654" i="1"/>
  <c r="V653" i="1"/>
  <c r="H653" i="1"/>
  <c r="A653" i="1"/>
  <c r="V652" i="1"/>
  <c r="H652" i="1"/>
  <c r="A652" i="1"/>
  <c r="V651" i="1"/>
  <c r="H651" i="1"/>
  <c r="A651" i="1"/>
  <c r="V650" i="1"/>
  <c r="H650" i="1"/>
  <c r="A650" i="1"/>
  <c r="V649" i="1"/>
  <c r="H649" i="1"/>
  <c r="A649" i="1"/>
  <c r="V648" i="1"/>
  <c r="H648" i="1"/>
  <c r="A648" i="1"/>
  <c r="V647" i="1"/>
  <c r="H647" i="1"/>
  <c r="A647" i="1"/>
  <c r="V646" i="1"/>
  <c r="H646" i="1"/>
  <c r="A646" i="1"/>
  <c r="V645" i="1"/>
  <c r="H645" i="1"/>
  <c r="A645" i="1"/>
  <c r="V644" i="1"/>
  <c r="H644" i="1"/>
  <c r="A644" i="1"/>
  <c r="V643" i="1"/>
  <c r="H643" i="1"/>
  <c r="A643" i="1"/>
  <c r="V642" i="1"/>
  <c r="H642" i="1"/>
  <c r="A642" i="1"/>
  <c r="V641" i="1"/>
  <c r="H641" i="1"/>
  <c r="A641" i="1"/>
  <c r="V640" i="1"/>
  <c r="H640" i="1"/>
  <c r="A640" i="1"/>
  <c r="V639" i="1"/>
  <c r="H639" i="1"/>
  <c r="A639" i="1"/>
  <c r="V638" i="1"/>
  <c r="H638" i="1"/>
  <c r="A638" i="1"/>
  <c r="V637" i="1"/>
  <c r="H637" i="1"/>
  <c r="A637" i="1"/>
  <c r="V636" i="1"/>
  <c r="H636" i="1"/>
  <c r="A636" i="1"/>
  <c r="V635" i="1"/>
  <c r="H635" i="1"/>
  <c r="A635" i="1"/>
  <c r="V634" i="1"/>
  <c r="H634" i="1"/>
  <c r="A634" i="1"/>
  <c r="V633" i="1"/>
  <c r="H633" i="1"/>
  <c r="A633" i="1"/>
  <c r="V632" i="1"/>
  <c r="H632" i="1"/>
  <c r="A632" i="1"/>
  <c r="V631" i="1"/>
  <c r="H631" i="1"/>
  <c r="A631" i="1"/>
  <c r="V630" i="1"/>
  <c r="H630" i="1"/>
  <c r="A630" i="1"/>
  <c r="V629" i="1"/>
  <c r="H629" i="1"/>
  <c r="A629" i="1"/>
  <c r="V628" i="1"/>
  <c r="H628" i="1"/>
  <c r="A628" i="1"/>
  <c r="V627" i="1"/>
  <c r="H627" i="1"/>
  <c r="A627" i="1"/>
  <c r="V626" i="1"/>
  <c r="H626" i="1"/>
  <c r="A626" i="1"/>
  <c r="V625" i="1"/>
  <c r="H625" i="1"/>
  <c r="A625" i="1"/>
  <c r="V624" i="1"/>
  <c r="H624" i="1"/>
  <c r="A624" i="1"/>
  <c r="V623" i="1"/>
  <c r="H623" i="1"/>
  <c r="A623" i="1"/>
  <c r="V622" i="1"/>
  <c r="H622" i="1"/>
  <c r="A622" i="1"/>
  <c r="V621" i="1"/>
  <c r="H621" i="1"/>
  <c r="A621" i="1"/>
  <c r="V620" i="1"/>
  <c r="H620" i="1"/>
  <c r="A620" i="1"/>
  <c r="V619" i="1"/>
  <c r="H619" i="1"/>
  <c r="A619" i="1"/>
  <c r="V618" i="1"/>
  <c r="H618" i="1"/>
  <c r="A618" i="1"/>
  <c r="V617" i="1"/>
  <c r="H617" i="1"/>
  <c r="A617" i="1"/>
  <c r="V616" i="1"/>
  <c r="H616" i="1"/>
  <c r="A616" i="1"/>
  <c r="V615" i="1"/>
  <c r="H615" i="1"/>
  <c r="A615" i="1"/>
  <c r="V614" i="1"/>
  <c r="H614" i="1"/>
  <c r="A614" i="1"/>
  <c r="V613" i="1"/>
  <c r="H613" i="1"/>
  <c r="A613" i="1"/>
  <c r="V612" i="1"/>
  <c r="H612" i="1"/>
  <c r="A612" i="1"/>
  <c r="V611" i="1"/>
  <c r="H611" i="1"/>
  <c r="A611" i="1"/>
  <c r="V610" i="1"/>
  <c r="H610" i="1"/>
  <c r="A610" i="1"/>
  <c r="V609" i="1"/>
  <c r="H609" i="1"/>
  <c r="A609" i="1"/>
  <c r="V608" i="1"/>
  <c r="H608" i="1"/>
  <c r="A608" i="1"/>
  <c r="V607" i="1"/>
  <c r="H607" i="1"/>
  <c r="A607" i="1"/>
  <c r="V606" i="1"/>
  <c r="H606" i="1"/>
  <c r="A606" i="1"/>
  <c r="V605" i="1"/>
  <c r="H605" i="1"/>
  <c r="A605" i="1"/>
  <c r="V604" i="1"/>
  <c r="H604" i="1"/>
  <c r="A604" i="1"/>
  <c r="V603" i="1"/>
  <c r="H603" i="1"/>
  <c r="A603" i="1"/>
  <c r="V602" i="1"/>
  <c r="H602" i="1"/>
  <c r="A602" i="1"/>
  <c r="V601" i="1"/>
  <c r="H601" i="1"/>
  <c r="A601" i="1"/>
  <c r="V600" i="1"/>
  <c r="H600" i="1"/>
  <c r="A600" i="1"/>
  <c r="V599" i="1"/>
  <c r="H599" i="1"/>
  <c r="A599" i="1"/>
  <c r="V598" i="1"/>
  <c r="H598" i="1"/>
  <c r="A598" i="1"/>
  <c r="V597" i="1"/>
  <c r="H597" i="1"/>
  <c r="A597" i="1"/>
  <c r="V596" i="1"/>
  <c r="H596" i="1"/>
  <c r="A596" i="1"/>
  <c r="V595" i="1"/>
  <c r="H595" i="1"/>
  <c r="A595" i="1"/>
  <c r="V594" i="1"/>
  <c r="H594" i="1"/>
  <c r="A594" i="1"/>
  <c r="V593" i="1"/>
  <c r="H593" i="1"/>
  <c r="A593" i="1"/>
  <c r="V592" i="1"/>
  <c r="H592" i="1"/>
  <c r="A592" i="1"/>
  <c r="V591" i="1"/>
  <c r="H591" i="1"/>
  <c r="A591" i="1"/>
  <c r="V590" i="1"/>
  <c r="H590" i="1"/>
  <c r="A590" i="1"/>
  <c r="V589" i="1"/>
  <c r="H589" i="1"/>
  <c r="A589" i="1"/>
  <c r="V588" i="1"/>
  <c r="H588" i="1"/>
  <c r="A588" i="1"/>
  <c r="V587" i="1"/>
  <c r="H587" i="1"/>
  <c r="A587" i="1"/>
  <c r="V586" i="1"/>
  <c r="H586" i="1"/>
  <c r="A586" i="1"/>
  <c r="V585" i="1"/>
  <c r="H585" i="1"/>
  <c r="A585" i="1"/>
  <c r="V584" i="1"/>
  <c r="H584" i="1"/>
  <c r="A584" i="1"/>
  <c r="V583" i="1"/>
  <c r="H583" i="1"/>
  <c r="A583" i="1"/>
  <c r="V582" i="1"/>
  <c r="H582" i="1"/>
  <c r="A582" i="1"/>
  <c r="V581" i="1"/>
  <c r="H581" i="1"/>
  <c r="A581" i="1"/>
  <c r="V580" i="1"/>
  <c r="H580" i="1"/>
  <c r="A580" i="1"/>
  <c r="V579" i="1"/>
  <c r="H579" i="1"/>
  <c r="A579" i="1"/>
  <c r="V578" i="1"/>
  <c r="H578" i="1"/>
  <c r="A578" i="1"/>
  <c r="V577" i="1"/>
  <c r="H577" i="1"/>
  <c r="A577" i="1"/>
  <c r="V576" i="1"/>
  <c r="H576" i="1"/>
  <c r="A576" i="1"/>
  <c r="V575" i="1"/>
  <c r="H575" i="1"/>
  <c r="A575" i="1"/>
  <c r="V574" i="1"/>
  <c r="H574" i="1"/>
  <c r="A574" i="1"/>
  <c r="V573" i="1"/>
  <c r="H573" i="1"/>
  <c r="A573" i="1"/>
  <c r="V572" i="1"/>
  <c r="H572" i="1"/>
  <c r="A572" i="1"/>
  <c r="V571" i="1"/>
  <c r="H571" i="1"/>
  <c r="A571" i="1"/>
  <c r="V570" i="1"/>
  <c r="H570" i="1"/>
  <c r="A570" i="1"/>
  <c r="V569" i="1"/>
  <c r="H569" i="1"/>
  <c r="A569" i="1"/>
  <c r="V568" i="1"/>
  <c r="H568" i="1"/>
  <c r="A568" i="1"/>
  <c r="V567" i="1"/>
  <c r="H567" i="1"/>
  <c r="A567" i="1"/>
  <c r="V566" i="1"/>
  <c r="H566" i="1"/>
  <c r="A566" i="1"/>
  <c r="V565" i="1"/>
  <c r="H565" i="1"/>
  <c r="A565" i="1"/>
  <c r="V564" i="1"/>
  <c r="H564" i="1"/>
  <c r="A564" i="1"/>
  <c r="V563" i="1"/>
  <c r="H563" i="1"/>
  <c r="A563" i="1"/>
  <c r="V562" i="1"/>
  <c r="H562" i="1"/>
  <c r="A562" i="1"/>
  <c r="V561" i="1"/>
  <c r="H561" i="1"/>
  <c r="A561" i="1"/>
  <c r="V560" i="1"/>
  <c r="H560" i="1"/>
  <c r="A560" i="1"/>
  <c r="V559" i="1"/>
  <c r="H559" i="1"/>
  <c r="A559" i="1"/>
  <c r="V558" i="1"/>
  <c r="H558" i="1"/>
  <c r="A558" i="1"/>
  <c r="V557" i="1"/>
  <c r="H557" i="1"/>
  <c r="A557" i="1"/>
  <c r="V556" i="1"/>
  <c r="H556" i="1"/>
  <c r="A556" i="1"/>
  <c r="V555" i="1"/>
  <c r="H555" i="1"/>
  <c r="A555" i="1"/>
  <c r="V554" i="1"/>
  <c r="H554" i="1"/>
  <c r="A554" i="1"/>
  <c r="V553" i="1"/>
  <c r="H553" i="1"/>
  <c r="A553" i="1"/>
  <c r="V552" i="1"/>
  <c r="H552" i="1"/>
  <c r="A552" i="1"/>
  <c r="V551" i="1"/>
  <c r="H551" i="1"/>
  <c r="A551" i="1"/>
  <c r="V550" i="1"/>
  <c r="H550" i="1"/>
  <c r="A550" i="1"/>
  <c r="V549" i="1"/>
  <c r="H549" i="1"/>
  <c r="A549" i="1"/>
  <c r="V548" i="1"/>
  <c r="H548" i="1"/>
  <c r="A548" i="1"/>
  <c r="V547" i="1"/>
  <c r="H547" i="1"/>
  <c r="A547" i="1"/>
  <c r="V546" i="1"/>
  <c r="H546" i="1"/>
  <c r="A546" i="1"/>
  <c r="V545" i="1"/>
  <c r="H545" i="1"/>
  <c r="A545" i="1"/>
  <c r="V544" i="1"/>
  <c r="H544" i="1"/>
  <c r="A544" i="1"/>
  <c r="V543" i="1"/>
  <c r="H543" i="1"/>
  <c r="A543" i="1"/>
  <c r="V542" i="1"/>
  <c r="H542" i="1"/>
  <c r="A542" i="1"/>
  <c r="V541" i="1"/>
  <c r="H541" i="1"/>
  <c r="A541" i="1"/>
  <c r="V540" i="1"/>
  <c r="H540" i="1"/>
  <c r="A540" i="1"/>
  <c r="V539" i="1"/>
  <c r="H539" i="1"/>
  <c r="A539" i="1"/>
  <c r="V538" i="1"/>
  <c r="H538" i="1"/>
  <c r="A538" i="1"/>
  <c r="V537" i="1"/>
  <c r="H537" i="1"/>
  <c r="A537" i="1"/>
  <c r="V536" i="1"/>
  <c r="H536" i="1"/>
  <c r="A536" i="1"/>
  <c r="V535" i="1"/>
  <c r="H535" i="1"/>
  <c r="A535" i="1"/>
  <c r="V534" i="1"/>
  <c r="H534" i="1"/>
  <c r="A534" i="1"/>
  <c r="V533" i="1"/>
  <c r="H533" i="1"/>
  <c r="A533" i="1"/>
  <c r="V532" i="1"/>
  <c r="H532" i="1"/>
  <c r="A532" i="1"/>
  <c r="V531" i="1"/>
  <c r="H531" i="1"/>
  <c r="A531" i="1"/>
  <c r="V530" i="1"/>
  <c r="H530" i="1"/>
  <c r="A530" i="1"/>
  <c r="V529" i="1"/>
  <c r="H529" i="1"/>
  <c r="A529" i="1"/>
  <c r="V528" i="1"/>
  <c r="H528" i="1"/>
  <c r="A528" i="1"/>
  <c r="V527" i="1"/>
  <c r="H527" i="1"/>
  <c r="A527" i="1"/>
  <c r="V526" i="1"/>
  <c r="H526" i="1"/>
  <c r="A526" i="1"/>
  <c r="V525" i="1"/>
  <c r="H525" i="1"/>
  <c r="A525" i="1"/>
  <c r="V524" i="1"/>
  <c r="H524" i="1"/>
  <c r="A524" i="1"/>
  <c r="V523" i="1"/>
  <c r="H523" i="1"/>
  <c r="A523" i="1"/>
  <c r="V522" i="1"/>
  <c r="H522" i="1"/>
  <c r="A522" i="1"/>
  <c r="V521" i="1"/>
  <c r="H521" i="1"/>
  <c r="A521" i="1"/>
  <c r="V520" i="1"/>
  <c r="H520" i="1"/>
  <c r="A520" i="1"/>
  <c r="V519" i="1"/>
  <c r="H519" i="1"/>
  <c r="A519" i="1"/>
  <c r="V518" i="1"/>
  <c r="H518" i="1"/>
  <c r="A518" i="1"/>
  <c r="V517" i="1"/>
  <c r="H517" i="1"/>
  <c r="A517" i="1"/>
  <c r="V516" i="1"/>
  <c r="H516" i="1"/>
  <c r="A516" i="1"/>
  <c r="V515" i="1"/>
  <c r="H515" i="1"/>
  <c r="A515" i="1"/>
  <c r="V514" i="1"/>
  <c r="H514" i="1"/>
  <c r="A514" i="1"/>
  <c r="V513" i="1"/>
  <c r="H513" i="1"/>
  <c r="A513" i="1"/>
  <c r="V512" i="1"/>
  <c r="H512" i="1"/>
  <c r="A512" i="1"/>
  <c r="V511" i="1"/>
  <c r="H511" i="1"/>
  <c r="A511" i="1"/>
  <c r="V510" i="1"/>
  <c r="H510" i="1"/>
  <c r="A510" i="1"/>
  <c r="V509" i="1"/>
  <c r="H509" i="1"/>
  <c r="A509" i="1"/>
  <c r="V508" i="1"/>
  <c r="H508" i="1"/>
  <c r="A508" i="1"/>
  <c r="V507" i="1"/>
  <c r="H507" i="1"/>
  <c r="A507" i="1"/>
  <c r="V506" i="1"/>
  <c r="H506" i="1"/>
  <c r="A506" i="1"/>
  <c r="V505" i="1"/>
  <c r="H505" i="1"/>
  <c r="A505" i="1"/>
  <c r="V504" i="1"/>
  <c r="H504" i="1"/>
  <c r="A504" i="1"/>
  <c r="V503" i="1"/>
  <c r="H503" i="1"/>
  <c r="A503" i="1"/>
  <c r="V502" i="1"/>
  <c r="H502" i="1"/>
  <c r="A502" i="1"/>
  <c r="V501" i="1"/>
  <c r="H501" i="1"/>
  <c r="A501" i="1"/>
  <c r="V500" i="1"/>
  <c r="H500" i="1"/>
  <c r="A500" i="1"/>
  <c r="V499" i="1"/>
  <c r="H499" i="1"/>
  <c r="A499" i="1"/>
  <c r="V498" i="1"/>
  <c r="H498" i="1"/>
  <c r="A498" i="1"/>
  <c r="V497" i="1"/>
  <c r="H497" i="1"/>
  <c r="A497" i="1"/>
  <c r="V496" i="1"/>
  <c r="H496" i="1"/>
  <c r="A496" i="1"/>
  <c r="V495" i="1"/>
  <c r="H495" i="1"/>
  <c r="A495" i="1"/>
  <c r="V494" i="1"/>
  <c r="H494" i="1"/>
  <c r="A494" i="1"/>
  <c r="V493" i="1"/>
  <c r="H493" i="1"/>
  <c r="A493" i="1"/>
  <c r="V492" i="1"/>
  <c r="H492" i="1"/>
  <c r="A492" i="1"/>
  <c r="V491" i="1"/>
  <c r="H491" i="1"/>
  <c r="A491" i="1"/>
  <c r="V490" i="1"/>
  <c r="H490" i="1"/>
  <c r="A490" i="1"/>
  <c r="V489" i="1"/>
  <c r="H489" i="1"/>
  <c r="A489" i="1"/>
  <c r="V488" i="1"/>
  <c r="H488" i="1"/>
  <c r="A488" i="1"/>
  <c r="V487" i="1"/>
  <c r="H487" i="1"/>
  <c r="A487" i="1"/>
  <c r="V486" i="1"/>
  <c r="H486" i="1"/>
  <c r="A486" i="1"/>
  <c r="V485" i="1"/>
  <c r="H485" i="1"/>
  <c r="A485" i="1"/>
  <c r="V484" i="1"/>
  <c r="H484" i="1"/>
  <c r="A484" i="1"/>
  <c r="V483" i="1"/>
  <c r="H483" i="1"/>
  <c r="A483" i="1"/>
  <c r="V482" i="1"/>
  <c r="H482" i="1"/>
  <c r="A482" i="1"/>
  <c r="V481" i="1"/>
  <c r="H481" i="1"/>
  <c r="A481" i="1"/>
  <c r="V480" i="1"/>
  <c r="H480" i="1"/>
  <c r="A480" i="1"/>
  <c r="V479" i="1"/>
  <c r="H479" i="1"/>
  <c r="A479" i="1"/>
  <c r="V478" i="1"/>
  <c r="H478" i="1"/>
  <c r="A478" i="1"/>
  <c r="V477" i="1"/>
  <c r="H477" i="1"/>
  <c r="A477" i="1"/>
  <c r="V476" i="1"/>
  <c r="H476" i="1"/>
  <c r="A476" i="1"/>
  <c r="V475" i="1"/>
  <c r="H475" i="1"/>
  <c r="A475" i="1"/>
  <c r="V474" i="1"/>
  <c r="H474" i="1"/>
  <c r="A474" i="1"/>
  <c r="V473" i="1"/>
  <c r="H473" i="1"/>
  <c r="A473" i="1"/>
  <c r="V472" i="1"/>
  <c r="H472" i="1"/>
  <c r="A472" i="1"/>
  <c r="V471" i="1"/>
  <c r="H471" i="1"/>
  <c r="A471" i="1"/>
  <c r="V470" i="1"/>
  <c r="H470" i="1"/>
  <c r="A470" i="1"/>
  <c r="V469" i="1"/>
  <c r="H469" i="1"/>
  <c r="A469" i="1"/>
  <c r="V468" i="1"/>
  <c r="H468" i="1"/>
  <c r="A468" i="1"/>
  <c r="V467" i="1"/>
  <c r="H467" i="1"/>
  <c r="A467" i="1"/>
  <c r="V466" i="1"/>
  <c r="H466" i="1"/>
  <c r="A466" i="1"/>
  <c r="V465" i="1"/>
  <c r="H465" i="1"/>
  <c r="A465" i="1"/>
  <c r="V464" i="1"/>
  <c r="H464" i="1"/>
  <c r="A464" i="1"/>
  <c r="V463" i="1"/>
  <c r="H463" i="1"/>
  <c r="A463" i="1"/>
  <c r="V462" i="1"/>
  <c r="H462" i="1"/>
  <c r="A462" i="1"/>
  <c r="V461" i="1"/>
  <c r="H461" i="1"/>
  <c r="A461" i="1"/>
  <c r="V460" i="1"/>
  <c r="H460" i="1"/>
  <c r="A460" i="1"/>
  <c r="V459" i="1"/>
  <c r="H459" i="1"/>
  <c r="A459" i="1"/>
  <c r="V458" i="1"/>
  <c r="H458" i="1"/>
  <c r="A458" i="1"/>
  <c r="V457" i="1"/>
  <c r="H457" i="1"/>
  <c r="A457" i="1"/>
  <c r="V456" i="1"/>
  <c r="H456" i="1"/>
  <c r="A456" i="1"/>
  <c r="V455" i="1"/>
  <c r="H455" i="1"/>
  <c r="A455" i="1"/>
  <c r="V454" i="1"/>
  <c r="H454" i="1"/>
  <c r="A454" i="1"/>
  <c r="V453" i="1"/>
  <c r="H453" i="1"/>
  <c r="A453" i="1"/>
  <c r="V452" i="1"/>
  <c r="H452" i="1"/>
  <c r="A452" i="1"/>
  <c r="V451" i="1"/>
  <c r="H451" i="1"/>
  <c r="A451" i="1"/>
  <c r="V450" i="1"/>
  <c r="H450" i="1"/>
  <c r="A450" i="1"/>
  <c r="V449" i="1"/>
  <c r="H449" i="1"/>
  <c r="A449" i="1"/>
  <c r="V448" i="1"/>
  <c r="H448" i="1"/>
  <c r="A448" i="1"/>
  <c r="V447" i="1"/>
  <c r="H447" i="1"/>
  <c r="A447" i="1"/>
  <c r="V446" i="1"/>
  <c r="H446" i="1"/>
  <c r="A446" i="1"/>
  <c r="V445" i="1"/>
  <c r="H445" i="1"/>
  <c r="A445" i="1"/>
  <c r="V444" i="1"/>
  <c r="H444" i="1"/>
  <c r="A444" i="1"/>
  <c r="V443" i="1"/>
  <c r="H443" i="1"/>
  <c r="A443" i="1"/>
  <c r="V442" i="1"/>
  <c r="A442" i="1"/>
  <c r="V441" i="1"/>
  <c r="H441" i="1"/>
  <c r="A441" i="1"/>
  <c r="V440" i="1"/>
  <c r="H440" i="1"/>
  <c r="A440" i="1"/>
  <c r="V439" i="1"/>
  <c r="H439" i="1"/>
  <c r="A439" i="1"/>
  <c r="V438" i="1"/>
  <c r="H438" i="1"/>
  <c r="A438" i="1"/>
  <c r="V437" i="1"/>
  <c r="V436" i="1"/>
  <c r="H436" i="1"/>
  <c r="A436" i="1"/>
  <c r="V435" i="1"/>
  <c r="H435" i="1"/>
  <c r="A435" i="1"/>
  <c r="V434" i="1"/>
  <c r="H434" i="1"/>
  <c r="A434" i="1"/>
  <c r="V433" i="1"/>
  <c r="H433" i="1"/>
  <c r="A433" i="1"/>
  <c r="V432" i="1"/>
  <c r="H432" i="1"/>
  <c r="A432" i="1"/>
  <c r="V431" i="1"/>
  <c r="H431" i="1"/>
  <c r="A431" i="1"/>
  <c r="V430" i="1"/>
  <c r="H430" i="1"/>
  <c r="A430" i="1"/>
  <c r="V429" i="1"/>
  <c r="H429" i="1"/>
  <c r="A429" i="1"/>
  <c r="V428" i="1"/>
  <c r="H428" i="1"/>
  <c r="A428" i="1"/>
  <c r="V427" i="1"/>
  <c r="H427" i="1"/>
  <c r="A427" i="1"/>
  <c r="V426" i="1"/>
  <c r="H426" i="1"/>
  <c r="A426" i="1"/>
  <c r="V425" i="1"/>
  <c r="H425" i="1"/>
  <c r="A425" i="1"/>
  <c r="V424" i="1"/>
  <c r="H424" i="1"/>
  <c r="A424" i="1"/>
  <c r="V423" i="1"/>
  <c r="H423" i="1"/>
  <c r="A423" i="1"/>
  <c r="V422" i="1"/>
  <c r="H422" i="1"/>
  <c r="A422" i="1"/>
  <c r="V421" i="1"/>
  <c r="H421" i="1"/>
  <c r="A421" i="1"/>
  <c r="V420" i="1"/>
  <c r="H420" i="1"/>
  <c r="A420" i="1"/>
  <c r="V419" i="1"/>
  <c r="H419" i="1"/>
  <c r="A419" i="1"/>
  <c r="V418" i="1"/>
  <c r="H418" i="1"/>
  <c r="A418" i="1"/>
  <c r="V417" i="1"/>
  <c r="H417" i="1"/>
  <c r="A417" i="1"/>
  <c r="V416" i="1"/>
  <c r="H416" i="1"/>
  <c r="A416" i="1"/>
  <c r="V415" i="1"/>
  <c r="H415" i="1"/>
  <c r="A415" i="1"/>
  <c r="V414" i="1"/>
  <c r="H414" i="1"/>
  <c r="A414" i="1"/>
  <c r="V413" i="1"/>
  <c r="H413" i="1"/>
  <c r="A413" i="1"/>
  <c r="V412" i="1"/>
  <c r="H412" i="1"/>
  <c r="A412" i="1"/>
  <c r="V411" i="1"/>
  <c r="H411" i="1"/>
  <c r="A411" i="1"/>
  <c r="V410" i="1"/>
  <c r="H410" i="1"/>
  <c r="A410" i="1"/>
  <c r="V409" i="1"/>
  <c r="H409" i="1"/>
  <c r="A409" i="1"/>
  <c r="V408" i="1"/>
  <c r="H408" i="1"/>
  <c r="A408" i="1"/>
  <c r="V407" i="1"/>
  <c r="H407" i="1"/>
  <c r="A407" i="1"/>
  <c r="V406" i="1"/>
  <c r="H406" i="1"/>
  <c r="A406" i="1"/>
  <c r="V405" i="1"/>
  <c r="H405" i="1"/>
  <c r="A405" i="1"/>
  <c r="V404" i="1"/>
  <c r="H404" i="1"/>
  <c r="A404" i="1"/>
  <c r="V403" i="1"/>
  <c r="H403" i="1"/>
  <c r="A403" i="1"/>
  <c r="V402" i="1"/>
  <c r="H402" i="1"/>
  <c r="A402" i="1"/>
  <c r="V401" i="1"/>
  <c r="H401" i="1"/>
  <c r="A401" i="1"/>
  <c r="V400" i="1"/>
  <c r="H400" i="1"/>
  <c r="A400" i="1"/>
  <c r="V399" i="1"/>
  <c r="H399" i="1"/>
  <c r="V398" i="1"/>
  <c r="H398" i="1"/>
  <c r="A398" i="1"/>
  <c r="V397" i="1"/>
  <c r="H397" i="1"/>
  <c r="A397" i="1"/>
  <c r="V396" i="1"/>
  <c r="H396" i="1"/>
  <c r="A396" i="1"/>
  <c r="V395" i="1"/>
  <c r="H395" i="1"/>
  <c r="A395" i="1"/>
  <c r="V394" i="1"/>
  <c r="H394" i="1"/>
  <c r="A394" i="1"/>
  <c r="V393" i="1"/>
  <c r="H393" i="1"/>
  <c r="A393" i="1"/>
  <c r="V392" i="1"/>
  <c r="H392" i="1"/>
  <c r="A392" i="1"/>
  <c r="V391" i="1"/>
  <c r="A391" i="1"/>
  <c r="V390" i="1"/>
  <c r="H390" i="1"/>
  <c r="A390" i="1"/>
  <c r="V389" i="1"/>
  <c r="H389" i="1"/>
  <c r="A389" i="1"/>
  <c r="V388" i="1"/>
  <c r="H388" i="1"/>
  <c r="A388" i="1"/>
  <c r="V387" i="1"/>
  <c r="H387" i="1"/>
  <c r="A387" i="1"/>
  <c r="V386" i="1"/>
  <c r="H386" i="1"/>
  <c r="A386" i="1"/>
  <c r="V385" i="1"/>
  <c r="A385" i="1"/>
  <c r="V384" i="1"/>
  <c r="H384" i="1"/>
  <c r="A384" i="1"/>
  <c r="V383" i="1"/>
  <c r="H383" i="1"/>
  <c r="A383" i="1"/>
  <c r="V382" i="1"/>
  <c r="H382" i="1"/>
  <c r="A382" i="1"/>
  <c r="V381" i="1"/>
  <c r="H381" i="1"/>
  <c r="A381" i="1"/>
  <c r="V380" i="1"/>
  <c r="H380" i="1"/>
  <c r="A380" i="1"/>
  <c r="V379" i="1"/>
  <c r="H379" i="1"/>
  <c r="A379" i="1"/>
  <c r="V378" i="1"/>
  <c r="H378" i="1"/>
  <c r="A378" i="1"/>
  <c r="V377" i="1"/>
  <c r="H377" i="1"/>
  <c r="A377" i="1"/>
  <c r="V376" i="1"/>
  <c r="H376" i="1"/>
  <c r="A376" i="1"/>
  <c r="V375" i="1"/>
  <c r="H375" i="1"/>
  <c r="A375" i="1"/>
  <c r="V374" i="1"/>
  <c r="H374" i="1"/>
  <c r="A374" i="1"/>
  <c r="V373" i="1"/>
  <c r="H373" i="1"/>
  <c r="A373" i="1"/>
  <c r="V372" i="1"/>
  <c r="H372" i="1"/>
  <c r="A372" i="1"/>
  <c r="V371" i="1"/>
  <c r="H371" i="1"/>
  <c r="A371" i="1"/>
  <c r="V370" i="1"/>
  <c r="H370" i="1"/>
  <c r="A370" i="1"/>
  <c r="V369" i="1"/>
  <c r="H369" i="1"/>
  <c r="A369" i="1"/>
  <c r="H368" i="1"/>
  <c r="V367" i="1"/>
  <c r="H367" i="1"/>
  <c r="A367" i="1"/>
  <c r="V366" i="1"/>
  <c r="H366" i="1"/>
  <c r="A366" i="1"/>
  <c r="V365" i="1"/>
  <c r="H365" i="1"/>
  <c r="A365" i="1"/>
  <c r="V364" i="1"/>
  <c r="H364" i="1"/>
  <c r="A364" i="1"/>
  <c r="V363" i="1"/>
  <c r="H363" i="1"/>
  <c r="A363" i="1"/>
  <c r="V362" i="1"/>
  <c r="H362" i="1"/>
  <c r="A362" i="1"/>
  <c r="V361" i="1"/>
  <c r="H361" i="1"/>
  <c r="A361" i="1"/>
  <c r="V360" i="1"/>
  <c r="H360" i="1"/>
  <c r="A360" i="1"/>
  <c r="V359" i="1"/>
  <c r="H359" i="1"/>
  <c r="A359" i="1"/>
  <c r="V358" i="1"/>
  <c r="H358" i="1"/>
  <c r="A358" i="1"/>
  <c r="V357" i="1"/>
  <c r="H357" i="1"/>
  <c r="A357" i="1"/>
  <c r="V356" i="1"/>
  <c r="H356" i="1"/>
  <c r="A356" i="1"/>
  <c r="V355" i="1"/>
  <c r="H355" i="1"/>
  <c r="A355" i="1"/>
  <c r="V354" i="1"/>
  <c r="H354" i="1"/>
  <c r="A354" i="1"/>
  <c r="V353" i="1"/>
  <c r="H353" i="1"/>
  <c r="A353" i="1"/>
  <c r="V352" i="1"/>
  <c r="H352" i="1"/>
  <c r="A352" i="1"/>
  <c r="V351" i="1"/>
  <c r="H351" i="1"/>
  <c r="A351" i="1"/>
  <c r="V350" i="1"/>
  <c r="H350" i="1"/>
  <c r="A350" i="1"/>
  <c r="V349" i="1"/>
  <c r="H349" i="1"/>
  <c r="A349" i="1"/>
  <c r="V348" i="1"/>
  <c r="H348" i="1"/>
  <c r="A348" i="1"/>
  <c r="V347" i="1"/>
  <c r="H347" i="1"/>
  <c r="A347" i="1"/>
  <c r="V346" i="1"/>
  <c r="H346" i="1"/>
  <c r="A346" i="1"/>
  <c r="V345" i="1"/>
  <c r="H345" i="1"/>
  <c r="A345" i="1"/>
  <c r="V344" i="1"/>
  <c r="H344" i="1"/>
  <c r="A344" i="1"/>
  <c r="V343" i="1"/>
  <c r="H343" i="1"/>
  <c r="A343" i="1"/>
  <c r="V342" i="1"/>
  <c r="H342" i="1"/>
  <c r="A342" i="1"/>
  <c r="V341" i="1"/>
  <c r="H341" i="1"/>
  <c r="A341" i="1"/>
  <c r="V340" i="1"/>
  <c r="H340" i="1"/>
  <c r="A340" i="1"/>
  <c r="V339" i="1"/>
  <c r="H339" i="1"/>
  <c r="A339" i="1"/>
  <c r="V338" i="1"/>
  <c r="H338" i="1"/>
  <c r="A338" i="1"/>
  <c r="V337" i="1"/>
  <c r="H337" i="1"/>
  <c r="A337" i="1"/>
  <c r="V336" i="1"/>
  <c r="H336" i="1"/>
  <c r="A336" i="1"/>
  <c r="V335" i="1"/>
  <c r="H335" i="1"/>
  <c r="A335" i="1"/>
  <c r="V334" i="1"/>
  <c r="H334" i="1"/>
  <c r="A334" i="1"/>
  <c r="V333" i="1"/>
  <c r="H333" i="1"/>
  <c r="A333" i="1"/>
  <c r="V332" i="1"/>
  <c r="H332" i="1"/>
  <c r="A332" i="1"/>
  <c r="V331" i="1"/>
  <c r="H331" i="1"/>
  <c r="A331" i="1"/>
  <c r="V330" i="1"/>
  <c r="H330" i="1"/>
  <c r="A330" i="1"/>
  <c r="V329" i="1"/>
  <c r="H329" i="1"/>
  <c r="A329" i="1"/>
  <c r="V328" i="1"/>
  <c r="H328" i="1"/>
  <c r="A328" i="1"/>
  <c r="V327" i="1"/>
  <c r="H327" i="1"/>
  <c r="A327" i="1"/>
  <c r="V326" i="1"/>
  <c r="H326" i="1"/>
  <c r="A326" i="1"/>
  <c r="V325" i="1"/>
  <c r="H325" i="1"/>
  <c r="A325" i="1"/>
  <c r="V324" i="1"/>
  <c r="H324" i="1"/>
  <c r="A324" i="1"/>
  <c r="V323" i="1"/>
  <c r="H323" i="1"/>
  <c r="A323" i="1"/>
  <c r="H322" i="1"/>
  <c r="A322" i="1"/>
  <c r="V321" i="1"/>
  <c r="H321" i="1"/>
  <c r="A321" i="1"/>
  <c r="V320" i="1"/>
  <c r="H320" i="1"/>
  <c r="A320" i="1"/>
  <c r="V319" i="1"/>
  <c r="H319" i="1"/>
  <c r="V318" i="1"/>
  <c r="H318" i="1"/>
  <c r="A318" i="1"/>
  <c r="V317" i="1"/>
  <c r="H317" i="1"/>
  <c r="A317" i="1"/>
  <c r="V316" i="1"/>
  <c r="H316" i="1"/>
  <c r="V315" i="1"/>
  <c r="H315" i="1"/>
  <c r="A315" i="1"/>
  <c r="V314" i="1"/>
  <c r="H314" i="1"/>
  <c r="A314" i="1"/>
  <c r="V313" i="1"/>
  <c r="H313" i="1"/>
  <c r="A313" i="1"/>
  <c r="V312" i="1"/>
  <c r="H312" i="1"/>
  <c r="A312" i="1"/>
  <c r="V311" i="1"/>
  <c r="H311" i="1"/>
  <c r="A311" i="1"/>
  <c r="V310" i="1"/>
  <c r="H310" i="1"/>
  <c r="A310" i="1"/>
  <c r="V309" i="1"/>
  <c r="H309" i="1"/>
  <c r="A309" i="1"/>
  <c r="H308" i="1"/>
  <c r="A308" i="1"/>
  <c r="V307" i="1"/>
  <c r="H307" i="1"/>
  <c r="A307" i="1"/>
  <c r="V306" i="1"/>
  <c r="H306" i="1"/>
  <c r="A306" i="1"/>
  <c r="V305" i="1"/>
  <c r="H305" i="1"/>
  <c r="A305" i="1"/>
  <c r="V304" i="1"/>
  <c r="H304" i="1"/>
  <c r="A304" i="1"/>
  <c r="V303" i="1"/>
  <c r="H303" i="1"/>
  <c r="A303" i="1"/>
  <c r="V302" i="1"/>
  <c r="H302" i="1"/>
  <c r="A302" i="1"/>
  <c r="V301" i="1"/>
  <c r="H301" i="1"/>
  <c r="A301" i="1"/>
  <c r="V300" i="1"/>
  <c r="H300" i="1"/>
  <c r="A300" i="1"/>
  <c r="V299" i="1"/>
  <c r="H299" i="1"/>
  <c r="A299" i="1"/>
  <c r="V298" i="1"/>
  <c r="H298" i="1"/>
  <c r="A298" i="1"/>
  <c r="V297" i="1"/>
  <c r="H297" i="1"/>
  <c r="A297" i="1"/>
  <c r="V296" i="1"/>
  <c r="H296" i="1"/>
  <c r="A296" i="1"/>
  <c r="V295" i="1"/>
  <c r="H295" i="1"/>
  <c r="A295" i="1"/>
  <c r="V294" i="1"/>
  <c r="H294" i="1"/>
  <c r="A294" i="1"/>
  <c r="V293" i="1"/>
  <c r="H293" i="1"/>
  <c r="A293" i="1"/>
  <c r="V292" i="1"/>
  <c r="H292" i="1"/>
  <c r="A292" i="1"/>
  <c r="V291" i="1"/>
  <c r="H291" i="1"/>
  <c r="A291" i="1"/>
  <c r="V290" i="1"/>
  <c r="H290" i="1"/>
  <c r="A290" i="1"/>
  <c r="V289" i="1"/>
  <c r="H289" i="1"/>
  <c r="A289" i="1"/>
  <c r="V288" i="1"/>
  <c r="A288" i="1"/>
  <c r="V287" i="1"/>
  <c r="H287" i="1"/>
  <c r="A287" i="1"/>
  <c r="V286" i="1"/>
  <c r="H286" i="1"/>
  <c r="A286" i="1"/>
  <c r="V285" i="1"/>
  <c r="H285" i="1"/>
  <c r="A285" i="1"/>
  <c r="V284" i="1"/>
  <c r="H284" i="1"/>
  <c r="A284" i="1"/>
  <c r="V283" i="1"/>
  <c r="H283" i="1"/>
  <c r="A283" i="1"/>
  <c r="V282" i="1"/>
  <c r="H282" i="1"/>
  <c r="A282" i="1"/>
  <c r="V281" i="1"/>
  <c r="A281" i="1"/>
  <c r="V280" i="1"/>
  <c r="H280" i="1"/>
  <c r="A280" i="1"/>
  <c r="V279" i="1"/>
  <c r="H279" i="1"/>
  <c r="A279" i="1"/>
  <c r="V278" i="1"/>
  <c r="H278" i="1"/>
  <c r="A278" i="1"/>
  <c r="V277" i="1"/>
  <c r="H277" i="1"/>
  <c r="A277" i="1"/>
  <c r="V276" i="1"/>
  <c r="H276" i="1"/>
  <c r="A276" i="1"/>
  <c r="V275" i="1"/>
  <c r="H275" i="1"/>
  <c r="A275" i="1"/>
  <c r="V274" i="1"/>
  <c r="H274" i="1"/>
  <c r="A274" i="1"/>
  <c r="V273" i="1"/>
  <c r="H273" i="1"/>
  <c r="A273" i="1"/>
  <c r="V272" i="1"/>
  <c r="H272" i="1"/>
  <c r="A272" i="1"/>
  <c r="V271" i="1"/>
  <c r="H271" i="1"/>
  <c r="A271" i="1"/>
  <c r="V270" i="1"/>
  <c r="H270" i="1"/>
  <c r="A270" i="1"/>
  <c r="V269" i="1"/>
  <c r="H269" i="1"/>
  <c r="A269" i="1"/>
  <c r="V268" i="1"/>
  <c r="H268" i="1"/>
  <c r="A268" i="1"/>
  <c r="V267" i="1"/>
  <c r="H267" i="1"/>
  <c r="A267" i="1"/>
  <c r="V266" i="1"/>
  <c r="H266" i="1"/>
  <c r="A266" i="1"/>
  <c r="V265" i="1"/>
  <c r="H265" i="1"/>
  <c r="A265" i="1"/>
  <c r="V264" i="1"/>
  <c r="H264" i="1"/>
  <c r="A264" i="1"/>
  <c r="V263" i="1"/>
  <c r="H263" i="1"/>
  <c r="A263" i="1"/>
  <c r="V262" i="1"/>
  <c r="H262" i="1"/>
  <c r="A262" i="1"/>
  <c r="V261" i="1"/>
  <c r="H261" i="1"/>
  <c r="A261" i="1"/>
  <c r="V260" i="1"/>
  <c r="H260" i="1"/>
  <c r="A260" i="1"/>
  <c r="V259" i="1"/>
  <c r="H259" i="1"/>
  <c r="A259" i="1"/>
  <c r="V258" i="1"/>
  <c r="H258" i="1"/>
  <c r="A258" i="1"/>
  <c r="V257" i="1"/>
  <c r="H257" i="1"/>
  <c r="A257" i="1"/>
  <c r="V256" i="1"/>
  <c r="A256" i="1"/>
  <c r="V255" i="1"/>
  <c r="H255" i="1"/>
  <c r="A255" i="1"/>
  <c r="V254" i="1"/>
  <c r="H254" i="1"/>
  <c r="A254" i="1"/>
  <c r="V253" i="1"/>
  <c r="H253" i="1"/>
  <c r="A253" i="1"/>
  <c r="V252" i="1"/>
  <c r="H252" i="1"/>
  <c r="A252" i="1"/>
  <c r="V251" i="1"/>
  <c r="H251" i="1"/>
  <c r="A251" i="1"/>
  <c r="V250" i="1"/>
  <c r="H250" i="1"/>
  <c r="A250" i="1"/>
  <c r="V249" i="1"/>
  <c r="H249" i="1"/>
  <c r="A249" i="1"/>
  <c r="V248" i="1"/>
  <c r="H248" i="1"/>
  <c r="A248" i="1"/>
  <c r="V247" i="1"/>
  <c r="H247" i="1"/>
  <c r="A247" i="1"/>
  <c r="V246" i="1"/>
  <c r="H246" i="1"/>
  <c r="A246" i="1"/>
  <c r="V245" i="1"/>
  <c r="H245" i="1"/>
  <c r="A245" i="1"/>
  <c r="V244" i="1"/>
  <c r="H244" i="1"/>
  <c r="A244" i="1"/>
  <c r="V243" i="1"/>
  <c r="H243" i="1"/>
  <c r="A243" i="1"/>
  <c r="V242" i="1"/>
  <c r="H242" i="1"/>
  <c r="A242" i="1"/>
  <c r="V241" i="1"/>
  <c r="H241" i="1"/>
  <c r="A241" i="1"/>
  <c r="V240" i="1"/>
  <c r="H240" i="1"/>
  <c r="A240" i="1"/>
  <c r="V239" i="1"/>
  <c r="H239" i="1"/>
  <c r="A239" i="1"/>
  <c r="V238" i="1"/>
  <c r="H238" i="1"/>
  <c r="A238" i="1"/>
  <c r="V237" i="1"/>
  <c r="H237" i="1"/>
  <c r="A237" i="1"/>
  <c r="V236" i="1"/>
  <c r="H236" i="1"/>
  <c r="A236" i="1"/>
  <c r="V235" i="1"/>
  <c r="H235" i="1"/>
  <c r="A235" i="1"/>
  <c r="V234" i="1"/>
  <c r="H234" i="1"/>
  <c r="A234" i="1"/>
  <c r="V233" i="1"/>
  <c r="H233" i="1"/>
  <c r="A233" i="1"/>
  <c r="V232" i="1"/>
  <c r="H232" i="1"/>
  <c r="A232" i="1"/>
  <c r="V231" i="1"/>
  <c r="H231" i="1"/>
  <c r="A231" i="1"/>
  <c r="V230" i="1"/>
  <c r="H230" i="1"/>
  <c r="A230" i="1"/>
  <c r="V229" i="1"/>
  <c r="H229" i="1"/>
  <c r="A229" i="1"/>
  <c r="V228" i="1"/>
  <c r="H228" i="1"/>
  <c r="A228" i="1"/>
  <c r="V227" i="1"/>
  <c r="H227" i="1"/>
  <c r="A227" i="1"/>
  <c r="V226" i="1"/>
  <c r="H226" i="1"/>
  <c r="A226" i="1"/>
  <c r="V225" i="1"/>
  <c r="H225" i="1"/>
  <c r="A225" i="1"/>
  <c r="V224" i="1"/>
  <c r="H224" i="1"/>
  <c r="A224" i="1"/>
  <c r="V223" i="1"/>
  <c r="H223" i="1"/>
  <c r="A223" i="1"/>
  <c r="V222" i="1"/>
  <c r="H222" i="1"/>
  <c r="A222" i="1"/>
  <c r="V221" i="1"/>
  <c r="H221" i="1"/>
  <c r="A221" i="1"/>
  <c r="V220" i="1"/>
  <c r="H220" i="1"/>
  <c r="A220" i="1"/>
  <c r="V219" i="1"/>
  <c r="H219" i="1"/>
  <c r="A219" i="1"/>
  <c r="V218" i="1"/>
  <c r="H218" i="1"/>
  <c r="A218" i="1"/>
  <c r="V217" i="1"/>
  <c r="H217" i="1"/>
  <c r="A217" i="1"/>
  <c r="V216" i="1"/>
  <c r="H216" i="1"/>
  <c r="A216" i="1"/>
  <c r="V215" i="1"/>
  <c r="H215" i="1"/>
  <c r="A215" i="1"/>
  <c r="V214" i="1"/>
  <c r="H214" i="1"/>
  <c r="A214" i="1"/>
  <c r="V213" i="1"/>
  <c r="H213" i="1"/>
  <c r="A213" i="1"/>
  <c r="V212" i="1"/>
  <c r="H212" i="1"/>
  <c r="A212" i="1"/>
  <c r="V211" i="1"/>
  <c r="H211" i="1"/>
  <c r="A211" i="1"/>
  <c r="V210" i="1"/>
  <c r="H210" i="1"/>
  <c r="A210" i="1"/>
  <c r="V209" i="1"/>
  <c r="A209" i="1"/>
  <c r="V208" i="1"/>
  <c r="H208" i="1"/>
  <c r="A208" i="1"/>
  <c r="V207" i="1"/>
  <c r="H207" i="1"/>
  <c r="A207" i="1"/>
  <c r="V206" i="1"/>
  <c r="H206" i="1"/>
  <c r="A206" i="1"/>
  <c r="A205" i="1"/>
  <c r="V204" i="1"/>
  <c r="H204" i="1"/>
  <c r="A204" i="1"/>
  <c r="V203" i="1"/>
  <c r="H203" i="1"/>
  <c r="A203" i="1"/>
  <c r="V202" i="1"/>
  <c r="H202" i="1"/>
  <c r="A202" i="1"/>
  <c r="V201" i="1"/>
  <c r="H201" i="1"/>
  <c r="A201" i="1"/>
  <c r="V200" i="1"/>
  <c r="H200" i="1"/>
  <c r="A200" i="1"/>
  <c r="V199" i="1"/>
  <c r="H199" i="1"/>
  <c r="A199" i="1"/>
  <c r="V198" i="1"/>
  <c r="H198" i="1"/>
  <c r="A198" i="1"/>
  <c r="V197" i="1"/>
  <c r="H197" i="1"/>
  <c r="A197" i="1"/>
  <c r="V196" i="1"/>
  <c r="H196" i="1"/>
  <c r="A196" i="1"/>
  <c r="V195" i="1"/>
  <c r="H195" i="1"/>
  <c r="A195" i="1"/>
  <c r="V194" i="1"/>
  <c r="H194" i="1"/>
  <c r="A194" i="1"/>
  <c r="V193" i="1"/>
  <c r="H193" i="1"/>
  <c r="A193" i="1"/>
  <c r="V192" i="1"/>
  <c r="H192" i="1"/>
  <c r="A192" i="1"/>
  <c r="V191" i="1"/>
  <c r="H191" i="1"/>
  <c r="A191" i="1"/>
  <c r="V190" i="1"/>
  <c r="H190" i="1"/>
  <c r="A190" i="1"/>
  <c r="V189" i="1"/>
  <c r="H189" i="1"/>
  <c r="A189" i="1"/>
  <c r="V188" i="1"/>
  <c r="H188" i="1"/>
  <c r="A188" i="1"/>
  <c r="V187" i="1"/>
  <c r="H187" i="1"/>
  <c r="A187" i="1"/>
  <c r="V186" i="1"/>
  <c r="H186" i="1"/>
  <c r="A186" i="1"/>
  <c r="V185" i="1"/>
  <c r="H185" i="1"/>
  <c r="A185" i="1"/>
  <c r="V184" i="1"/>
  <c r="H184" i="1"/>
  <c r="A184" i="1"/>
  <c r="V183" i="1"/>
  <c r="H183" i="1"/>
  <c r="A183" i="1"/>
  <c r="V182" i="1"/>
  <c r="H182" i="1"/>
  <c r="A182" i="1"/>
  <c r="V181" i="1"/>
  <c r="H181" i="1"/>
  <c r="A181" i="1"/>
  <c r="V180" i="1"/>
  <c r="H180" i="1"/>
  <c r="A180" i="1"/>
  <c r="V179" i="1"/>
  <c r="H179" i="1"/>
  <c r="A179" i="1"/>
  <c r="V178" i="1"/>
  <c r="H178" i="1"/>
  <c r="A178" i="1"/>
  <c r="V177" i="1"/>
  <c r="H177" i="1"/>
  <c r="A177" i="1"/>
  <c r="H176" i="1"/>
  <c r="A176" i="1"/>
  <c r="V175" i="1"/>
  <c r="H175" i="1"/>
  <c r="A175" i="1"/>
  <c r="V174" i="1"/>
  <c r="H174" i="1"/>
  <c r="A174" i="1"/>
  <c r="V173" i="1"/>
  <c r="H173" i="1"/>
  <c r="A173" i="1"/>
  <c r="V172" i="1"/>
  <c r="H172" i="1"/>
  <c r="A172" i="1"/>
  <c r="V171" i="1"/>
  <c r="H171" i="1"/>
  <c r="A171" i="1"/>
  <c r="V170" i="1"/>
  <c r="H170" i="1"/>
  <c r="A170" i="1"/>
  <c r="V169" i="1"/>
  <c r="H169" i="1"/>
  <c r="A169" i="1"/>
  <c r="V168" i="1"/>
  <c r="H168" i="1"/>
  <c r="A168" i="1"/>
  <c r="V167" i="1"/>
  <c r="H167" i="1"/>
  <c r="A167" i="1"/>
  <c r="V166" i="1"/>
  <c r="H166" i="1"/>
  <c r="A166" i="1"/>
  <c r="V165" i="1"/>
  <c r="H165" i="1"/>
  <c r="A165" i="1"/>
  <c r="V164" i="1"/>
  <c r="H164" i="1"/>
  <c r="A164" i="1"/>
  <c r="V163" i="1"/>
  <c r="H163" i="1"/>
  <c r="A163" i="1"/>
  <c r="V162" i="1"/>
  <c r="H162" i="1"/>
  <c r="A162" i="1"/>
  <c r="V161" i="1"/>
  <c r="H161" i="1"/>
  <c r="A161" i="1"/>
  <c r="V160" i="1"/>
  <c r="H160" i="1"/>
  <c r="A160" i="1"/>
  <c r="V159" i="1"/>
  <c r="H159" i="1"/>
  <c r="A159" i="1"/>
  <c r="V158" i="1"/>
  <c r="H158" i="1"/>
  <c r="A158" i="1"/>
  <c r="V157" i="1"/>
  <c r="H157" i="1"/>
  <c r="A157" i="1"/>
  <c r="V156" i="1"/>
  <c r="H156" i="1"/>
  <c r="A156" i="1"/>
  <c r="V155" i="1"/>
  <c r="H155" i="1"/>
  <c r="V154" i="1"/>
  <c r="H154" i="1"/>
  <c r="A154" i="1"/>
  <c r="V153" i="1"/>
  <c r="H153" i="1"/>
  <c r="A153" i="1"/>
  <c r="V152" i="1"/>
  <c r="H152" i="1"/>
  <c r="A152" i="1"/>
  <c r="V151" i="1"/>
  <c r="H151" i="1"/>
  <c r="A151" i="1"/>
  <c r="V150" i="1"/>
  <c r="H150" i="1"/>
  <c r="A150" i="1"/>
  <c r="V149" i="1"/>
  <c r="H149" i="1"/>
  <c r="A149" i="1"/>
  <c r="V148" i="1"/>
  <c r="H148" i="1"/>
  <c r="A148" i="1"/>
  <c r="V147" i="1"/>
  <c r="H147" i="1"/>
  <c r="A147" i="1"/>
  <c r="V146" i="1"/>
  <c r="H146" i="1"/>
  <c r="A146" i="1"/>
  <c r="V145" i="1"/>
  <c r="H145" i="1"/>
  <c r="A145" i="1"/>
  <c r="V144" i="1"/>
  <c r="H144" i="1"/>
  <c r="A144" i="1"/>
  <c r="V143" i="1"/>
  <c r="H143" i="1"/>
  <c r="A143" i="1"/>
  <c r="V142" i="1"/>
  <c r="H142" i="1"/>
  <c r="A142" i="1"/>
  <c r="V141" i="1"/>
  <c r="H141" i="1"/>
  <c r="A141" i="1"/>
  <c r="V140" i="1"/>
  <c r="H140" i="1"/>
  <c r="A140" i="1"/>
  <c r="V139" i="1"/>
  <c r="H139" i="1"/>
  <c r="A139" i="1"/>
  <c r="V138" i="1"/>
  <c r="H138" i="1"/>
  <c r="A138" i="1"/>
  <c r="V137" i="1"/>
  <c r="H137" i="1"/>
  <c r="A137" i="1"/>
  <c r="V136" i="1"/>
  <c r="H136" i="1"/>
  <c r="A136" i="1"/>
  <c r="V135" i="1"/>
  <c r="H135" i="1"/>
  <c r="A135" i="1"/>
  <c r="V134" i="1"/>
  <c r="H134" i="1"/>
  <c r="A134" i="1"/>
  <c r="V133" i="1"/>
  <c r="H133" i="1"/>
  <c r="A133" i="1"/>
  <c r="V132" i="1"/>
  <c r="H132" i="1"/>
  <c r="A132" i="1"/>
  <c r="V131" i="1"/>
  <c r="H131" i="1"/>
  <c r="A131" i="1"/>
  <c r="V130" i="1"/>
  <c r="H130" i="1"/>
  <c r="A130" i="1"/>
  <c r="V129" i="1"/>
  <c r="H129" i="1"/>
  <c r="A129" i="1"/>
  <c r="V128" i="1"/>
  <c r="H128" i="1"/>
  <c r="A128" i="1"/>
  <c r="V127" i="1"/>
  <c r="H127" i="1"/>
  <c r="A127" i="1"/>
  <c r="V126" i="1"/>
  <c r="H126" i="1"/>
  <c r="A126" i="1"/>
  <c r="V125" i="1"/>
  <c r="H125" i="1"/>
  <c r="A125" i="1"/>
  <c r="V124" i="1"/>
  <c r="H124" i="1"/>
  <c r="A124" i="1"/>
  <c r="V123" i="1"/>
  <c r="H123" i="1"/>
  <c r="A123" i="1"/>
  <c r="V122" i="1"/>
  <c r="H122" i="1"/>
  <c r="A122" i="1"/>
  <c r="V121" i="1"/>
  <c r="H121" i="1"/>
  <c r="A121" i="1"/>
  <c r="V120" i="1"/>
  <c r="H120" i="1"/>
  <c r="A120" i="1"/>
  <c r="V119" i="1"/>
  <c r="H119" i="1"/>
  <c r="A119" i="1"/>
  <c r="V118" i="1"/>
  <c r="H118" i="1"/>
  <c r="A118" i="1"/>
  <c r="V117" i="1"/>
  <c r="H117" i="1"/>
  <c r="A117" i="1"/>
  <c r="V116" i="1"/>
  <c r="H116" i="1"/>
  <c r="A116" i="1"/>
  <c r="V115" i="1"/>
  <c r="H115" i="1"/>
  <c r="A115" i="1"/>
  <c r="V114" i="1"/>
  <c r="H114" i="1"/>
  <c r="A114" i="1"/>
  <c r="V113" i="1"/>
  <c r="H113" i="1"/>
  <c r="A113" i="1"/>
  <c r="V112" i="1"/>
  <c r="H112" i="1"/>
  <c r="A112" i="1"/>
  <c r="V111" i="1"/>
  <c r="H111" i="1"/>
  <c r="A111" i="1"/>
  <c r="V110" i="1"/>
  <c r="H110" i="1"/>
  <c r="A110" i="1"/>
  <c r="V109" i="1"/>
  <c r="H109" i="1"/>
  <c r="A109" i="1"/>
  <c r="V108" i="1"/>
  <c r="H108" i="1"/>
  <c r="A108" i="1"/>
  <c r="V107" i="1"/>
  <c r="H107" i="1"/>
  <c r="A107" i="1"/>
  <c r="V106" i="1"/>
  <c r="H106" i="1"/>
  <c r="A106" i="1"/>
  <c r="V105" i="1"/>
  <c r="H105" i="1"/>
  <c r="A105" i="1"/>
  <c r="V104" i="1"/>
  <c r="H104" i="1"/>
  <c r="A104" i="1"/>
  <c r="V103" i="1"/>
  <c r="H103" i="1"/>
  <c r="A103" i="1"/>
  <c r="V102" i="1"/>
  <c r="H102" i="1"/>
  <c r="A102" i="1"/>
  <c r="V101" i="1"/>
  <c r="H101" i="1"/>
  <c r="A101" i="1"/>
  <c r="V100" i="1"/>
  <c r="H100" i="1"/>
  <c r="A100" i="1"/>
  <c r="V99" i="1"/>
  <c r="H99" i="1"/>
  <c r="A99" i="1"/>
  <c r="V98" i="1"/>
  <c r="H98" i="1"/>
  <c r="A98" i="1"/>
  <c r="V97" i="1"/>
  <c r="H97" i="1"/>
  <c r="A97" i="1"/>
  <c r="V96" i="1"/>
  <c r="H96" i="1"/>
  <c r="A96" i="1"/>
  <c r="V95" i="1"/>
  <c r="H95" i="1"/>
  <c r="A95" i="1"/>
  <c r="V94" i="1"/>
  <c r="H94" i="1"/>
  <c r="A94" i="1"/>
  <c r="V93" i="1"/>
  <c r="H93" i="1"/>
  <c r="A93" i="1"/>
  <c r="V92" i="1"/>
  <c r="H92" i="1"/>
  <c r="A92" i="1"/>
  <c r="V91" i="1"/>
  <c r="H91" i="1"/>
  <c r="A91" i="1"/>
  <c r="V90" i="1"/>
  <c r="H90" i="1"/>
  <c r="A90" i="1"/>
  <c r="V89" i="1"/>
  <c r="H89" i="1"/>
  <c r="A89" i="1"/>
  <c r="V88" i="1"/>
  <c r="H88" i="1"/>
  <c r="A88" i="1"/>
  <c r="V87" i="1"/>
  <c r="H87" i="1"/>
  <c r="A87" i="1"/>
  <c r="V86" i="1"/>
  <c r="H86" i="1"/>
  <c r="A86" i="1"/>
  <c r="V85" i="1"/>
  <c r="H85" i="1"/>
  <c r="A85" i="1"/>
  <c r="V84" i="1"/>
  <c r="H84" i="1"/>
  <c r="A84" i="1"/>
  <c r="V83" i="1"/>
  <c r="H83" i="1"/>
  <c r="A83" i="1"/>
  <c r="V82" i="1"/>
  <c r="H82" i="1"/>
  <c r="A82" i="1"/>
  <c r="V81" i="1"/>
  <c r="H81" i="1"/>
  <c r="A81" i="1"/>
  <c r="V80" i="1"/>
  <c r="H80" i="1"/>
  <c r="A80" i="1"/>
  <c r="V79" i="1"/>
  <c r="H79" i="1"/>
  <c r="A79" i="1"/>
  <c r="V78" i="1"/>
  <c r="H78" i="1"/>
  <c r="A78" i="1"/>
  <c r="V77" i="1"/>
  <c r="H77" i="1"/>
  <c r="A77" i="1"/>
  <c r="V76" i="1"/>
  <c r="H76" i="1"/>
  <c r="A76" i="1"/>
  <c r="V75" i="1"/>
  <c r="H75" i="1"/>
  <c r="A75" i="1"/>
  <c r="V74" i="1"/>
  <c r="H74" i="1"/>
  <c r="A74" i="1"/>
  <c r="V73" i="1"/>
  <c r="H73" i="1"/>
  <c r="V72" i="1"/>
  <c r="H72" i="1"/>
  <c r="A72" i="1"/>
  <c r="V71" i="1"/>
  <c r="H71" i="1"/>
  <c r="A71" i="1"/>
  <c r="V70" i="1"/>
  <c r="H70" i="1"/>
  <c r="A70" i="1"/>
  <c r="V69" i="1"/>
  <c r="H69" i="1"/>
  <c r="A69" i="1"/>
  <c r="V68" i="1"/>
  <c r="H68" i="1"/>
  <c r="A68" i="1"/>
  <c r="V67" i="1"/>
  <c r="H67" i="1"/>
  <c r="A67" i="1"/>
  <c r="V66" i="1"/>
  <c r="H66" i="1"/>
  <c r="A66" i="1"/>
  <c r="V65" i="1"/>
  <c r="H65" i="1"/>
  <c r="A65" i="1"/>
  <c r="V64" i="1"/>
  <c r="H64" i="1"/>
  <c r="A64" i="1"/>
  <c r="V63" i="1"/>
  <c r="H63" i="1"/>
  <c r="A63" i="1"/>
  <c r="V62" i="1"/>
  <c r="H62" i="1"/>
  <c r="A62" i="1"/>
  <c r="V61" i="1"/>
  <c r="H61" i="1"/>
  <c r="A61" i="1"/>
  <c r="V60" i="1"/>
  <c r="H60" i="1"/>
  <c r="A60" i="1"/>
  <c r="V59" i="1"/>
  <c r="H59" i="1"/>
  <c r="A59" i="1"/>
  <c r="V58" i="1"/>
  <c r="H58" i="1"/>
  <c r="A58" i="1"/>
  <c r="V57" i="1"/>
  <c r="H57" i="1"/>
  <c r="A57" i="1"/>
  <c r="V56" i="1"/>
  <c r="H56" i="1"/>
  <c r="A56" i="1"/>
  <c r="V55" i="1"/>
  <c r="H55" i="1"/>
  <c r="A55" i="1"/>
  <c r="V54" i="1"/>
  <c r="H54" i="1"/>
  <c r="A54" i="1"/>
  <c r="V53" i="1"/>
  <c r="H53" i="1"/>
  <c r="A53" i="1"/>
  <c r="V52" i="1"/>
  <c r="H52" i="1"/>
  <c r="A52" i="1"/>
  <c r="V51" i="1"/>
  <c r="H51" i="1"/>
  <c r="A51" i="1"/>
  <c r="V50" i="1"/>
  <c r="H50" i="1"/>
  <c r="A50" i="1"/>
  <c r="V49" i="1"/>
  <c r="H49" i="1"/>
  <c r="A49" i="1"/>
  <c r="V48" i="1"/>
  <c r="H48" i="1"/>
  <c r="A48" i="1"/>
  <c r="V47" i="1"/>
  <c r="H47" i="1"/>
  <c r="A47" i="1"/>
  <c r="V46" i="1"/>
  <c r="H46" i="1"/>
  <c r="A46" i="1"/>
  <c r="V45" i="1"/>
  <c r="H45" i="1"/>
  <c r="A45" i="1"/>
  <c r="V44" i="1"/>
  <c r="H44" i="1"/>
  <c r="A44" i="1"/>
  <c r="V43" i="1"/>
  <c r="H43" i="1"/>
  <c r="A43" i="1"/>
  <c r="V42" i="1"/>
  <c r="H42" i="1"/>
  <c r="A42" i="1"/>
  <c r="V41" i="1"/>
  <c r="H41" i="1"/>
  <c r="A41" i="1"/>
  <c r="V40" i="1"/>
  <c r="H40" i="1"/>
  <c r="A40" i="1"/>
  <c r="V39" i="1"/>
  <c r="H39" i="1"/>
  <c r="A39" i="1"/>
  <c r="V38" i="1"/>
  <c r="H38" i="1"/>
  <c r="A38" i="1"/>
  <c r="V37" i="1"/>
  <c r="H37" i="1"/>
  <c r="A37" i="1"/>
  <c r="V36" i="1"/>
  <c r="H36" i="1"/>
  <c r="A36" i="1"/>
  <c r="V35" i="1"/>
  <c r="H35" i="1"/>
  <c r="A35" i="1"/>
  <c r="V34" i="1"/>
  <c r="H34" i="1"/>
  <c r="A34" i="1"/>
  <c r="V33" i="1"/>
  <c r="H33" i="1"/>
  <c r="A33" i="1"/>
  <c r="V32" i="1"/>
  <c r="H32" i="1"/>
  <c r="A32" i="1"/>
  <c r="V31" i="1"/>
  <c r="H31" i="1"/>
  <c r="A31" i="1"/>
  <c r="V30" i="1"/>
  <c r="H30" i="1"/>
  <c r="A30" i="1"/>
  <c r="V29" i="1"/>
  <c r="H29" i="1"/>
  <c r="A29" i="1"/>
  <c r="V28" i="1"/>
  <c r="H28" i="1"/>
  <c r="V27" i="1"/>
  <c r="H27" i="1"/>
  <c r="A27" i="1"/>
  <c r="V26" i="1"/>
  <c r="H26" i="1"/>
  <c r="V25" i="1"/>
  <c r="H25" i="1"/>
  <c r="A25" i="1"/>
  <c r="V24" i="1"/>
  <c r="H24" i="1"/>
  <c r="A24" i="1"/>
  <c r="V23" i="1"/>
  <c r="H23" i="1"/>
  <c r="A23" i="1"/>
  <c r="V22" i="1"/>
  <c r="H22" i="1"/>
  <c r="A22" i="1"/>
  <c r="V21" i="1"/>
  <c r="H21" i="1"/>
  <c r="A21" i="1"/>
  <c r="V20" i="1"/>
  <c r="H20" i="1"/>
  <c r="A20" i="1"/>
  <c r="V19" i="1"/>
  <c r="H19" i="1"/>
  <c r="A19" i="1"/>
  <c r="V18" i="1"/>
  <c r="H18" i="1"/>
  <c r="A18" i="1"/>
  <c r="V17" i="1"/>
  <c r="H17" i="1"/>
  <c r="A17" i="1"/>
  <c r="V16" i="1"/>
  <c r="H16" i="1"/>
  <c r="A16" i="1"/>
  <c r="V15" i="1"/>
  <c r="H15" i="1"/>
  <c r="A15" i="1"/>
  <c r="V14" i="1"/>
  <c r="H14" i="1"/>
  <c r="A14" i="1"/>
  <c r="V13" i="1"/>
  <c r="H13" i="1"/>
  <c r="A13" i="1"/>
  <c r="V12" i="1"/>
  <c r="H12" i="1"/>
  <c r="A12" i="1"/>
  <c r="V11" i="1"/>
  <c r="H11" i="1"/>
  <c r="A11" i="1"/>
  <c r="V10" i="1"/>
  <c r="H10" i="1"/>
  <c r="A10" i="1"/>
  <c r="V9" i="1"/>
  <c r="H9" i="1"/>
  <c r="A9" i="1"/>
  <c r="V8" i="1"/>
  <c r="H8" i="1"/>
  <c r="A8" i="1"/>
  <c r="V7" i="1"/>
  <c r="H7" i="1"/>
  <c r="A7" i="1"/>
  <c r="V6" i="1"/>
  <c r="H6" i="1"/>
  <c r="A6" i="1"/>
  <c r="V5" i="1"/>
  <c r="H5" i="1"/>
  <c r="A5" i="1"/>
  <c r="V4" i="1"/>
  <c r="H4" i="1"/>
  <c r="A4" i="1"/>
  <c r="V3" i="1"/>
  <c r="H3" i="1"/>
  <c r="A3" i="1"/>
  <c r="V2" i="1"/>
  <c r="H2" i="1"/>
  <c r="A2" i="1"/>
  <c r="L8" i="4" l="1"/>
  <c r="T10" i="4"/>
  <c r="T11" i="4"/>
  <c r="AH20" i="4"/>
  <c r="T12" i="4"/>
  <c r="T13" i="4"/>
  <c r="F9" i="4"/>
  <c r="B2" i="4"/>
  <c r="H13" i="4"/>
  <c r="D2" i="4"/>
  <c r="R9" i="4"/>
  <c r="N9" i="4"/>
  <c r="B14" i="4"/>
  <c r="B23" i="5"/>
  <c r="B21" i="5"/>
  <c r="D3" i="4"/>
  <c r="D4" i="4"/>
  <c r="B5" i="4"/>
  <c r="D6" i="4"/>
  <c r="B20" i="5"/>
  <c r="B22" i="5"/>
  <c r="B3" i="4"/>
  <c r="B4" i="4"/>
  <c r="D5" i="4"/>
  <c r="D7" i="4"/>
  <c r="D8" i="4"/>
  <c r="B19" i="5"/>
  <c r="T14" i="4" l="1"/>
  <c r="B6" i="4"/>
  <c r="D9" i="4"/>
</calcChain>
</file>

<file path=xl/sharedStrings.xml><?xml version="1.0" encoding="utf-8"?>
<sst xmlns="http://schemas.openxmlformats.org/spreadsheetml/2006/main" count="5900" uniqueCount="1126">
  <si>
    <t>№ и/б</t>
  </si>
  <si>
    <t>Отделение</t>
  </si>
  <si>
    <t>Дата поступления</t>
  </si>
  <si>
    <t>Время поступления</t>
  </si>
  <si>
    <t>Фамилия, имя, отчество</t>
  </si>
  <si>
    <t>Дата рождения</t>
  </si>
  <si>
    <t>Возраст</t>
  </si>
  <si>
    <t>Канал поступления</t>
  </si>
  <si>
    <t>Профиль отделения</t>
  </si>
  <si>
    <t>Адрес регистраци</t>
  </si>
  <si>
    <t>Диагноз при поступлении в ОРИТ</t>
  </si>
  <si>
    <t>Категория диагноза</t>
  </si>
  <si>
    <t>Длительность ИВЛ</t>
  </si>
  <si>
    <t>Сосудистый доступ</t>
  </si>
  <si>
    <t>Регионарная анестезия</t>
  </si>
  <si>
    <t>Трансфузии</t>
  </si>
  <si>
    <t>ЭКД</t>
  </si>
  <si>
    <t>Куда переведён</t>
  </si>
  <si>
    <t>Дата перевода</t>
  </si>
  <si>
    <t>Время перевода</t>
  </si>
  <si>
    <t>койко-дни</t>
  </si>
  <si>
    <t>Примечания</t>
  </si>
  <si>
    <t>Лечащий врач</t>
  </si>
  <si>
    <t>Пульмо</t>
  </si>
  <si>
    <t>Стецик Денис Николаевич</t>
  </si>
  <si>
    <t>Повторное_поступление</t>
  </si>
  <si>
    <t>г. Иваново</t>
  </si>
  <si>
    <t>Пневмония правосторонняя субтотальная. Пневмогидроторакс. Нейрофиброматоз.</t>
  </si>
  <si>
    <t>Болезни органов дыхания</t>
  </si>
  <si>
    <t>Периф. вен. кат.</t>
  </si>
  <si>
    <t>Эр. масса</t>
  </si>
  <si>
    <t>Прочее</t>
  </si>
  <si>
    <t>Неврология</t>
  </si>
  <si>
    <t>Угарова Мария Александровна</t>
  </si>
  <si>
    <t>Из_других_больниц</t>
  </si>
  <si>
    <t>г. Кинешма, ул. Кутузова, 38</t>
  </si>
  <si>
    <t>Опухоль хиазмально-селлярной области, оперированная. Полигландулярная недостаточность.</t>
  </si>
  <si>
    <t>Новообразования</t>
  </si>
  <si>
    <t>Колёскин Артём Дмитриевич</t>
  </si>
  <si>
    <t>Доставлен_СМП</t>
  </si>
  <si>
    <t xml:space="preserve">г. Вичуга, ул. Циолковского, 23 </t>
  </si>
  <si>
    <t>Пневмония внебольничная, двусторонняя. ДН 1-2 ст.</t>
  </si>
  <si>
    <t>ЦВК</t>
  </si>
  <si>
    <t>Веретенникова Елизавета Романовна</t>
  </si>
  <si>
    <t>г. Иваново, ул. 3-я Южная, 4а, 32</t>
  </si>
  <si>
    <t>Пневмония правосторонняя, аспирационная, тяжёлая. ДН 3 ст. ДЦП. Снижение минеральной плотности костной ткани.</t>
  </si>
  <si>
    <t>Педиатрия</t>
  </si>
  <si>
    <t>Малин Сергей Александрович</t>
  </si>
  <si>
    <t>г. Иваново, 2й Спортивный пер., 4, 5</t>
  </si>
  <si>
    <t xml:space="preserve">Отравление суррогатами алкоголя тяж. ст. Кома 1. </t>
  </si>
  <si>
    <t>Отравления</t>
  </si>
  <si>
    <t>Головина Анастасия Владимировна</t>
  </si>
  <si>
    <t>г. Кохма, мкрн Просторный, пр. Героев, 19, 14</t>
  </si>
  <si>
    <t xml:space="preserve">Отравление суррогатами алкоголя. </t>
  </si>
  <si>
    <t>Балуков Даниил Павлович</t>
  </si>
  <si>
    <t>г. Родники, ул. Рябикова, 5а</t>
  </si>
  <si>
    <t>Астматический статус</t>
  </si>
  <si>
    <t>Татарунис Ирина Денисовна</t>
  </si>
  <si>
    <t>г. Кострома, ул. Коминтерна, 33</t>
  </si>
  <si>
    <t>Отравление острое бытовое случайное алкогольное</t>
  </si>
  <si>
    <t>ДХО</t>
  </si>
  <si>
    <t>Нечаева Анастасия Дмитриевна</t>
  </si>
  <si>
    <t>Из_операционной</t>
  </si>
  <si>
    <t>г. Вичуга</t>
  </si>
  <si>
    <t xml:space="preserve">Термический ожог, S-16% </t>
  </si>
  <si>
    <t>Ожоговая травма</t>
  </si>
  <si>
    <t>Кузнецов Иван Александрович</t>
  </si>
  <si>
    <t>с. Утохна, Лежневский районе</t>
  </si>
  <si>
    <t>Отравление анальгином</t>
  </si>
  <si>
    <t>Кобликов Артем Денисович</t>
  </si>
  <si>
    <t>Из_профильных_отделений</t>
  </si>
  <si>
    <t>Иваново, Любимова</t>
  </si>
  <si>
    <t>ОПЦНС</t>
  </si>
  <si>
    <t>Болезни нервной системы и органов чувств</t>
  </si>
  <si>
    <t>Сытов Иван Сергеевич</t>
  </si>
  <si>
    <t>Иваново, Шубиных</t>
  </si>
  <si>
    <t>Оптикомиелит Девика</t>
  </si>
  <si>
    <t>Куварзина Мария Аркадьевна</t>
  </si>
  <si>
    <t>Иваново Лебедева Кумача 10-1</t>
  </si>
  <si>
    <t>постгипоксический синдром</t>
  </si>
  <si>
    <t>Чалабаева Анастасия Сабухиева</t>
  </si>
  <si>
    <t>Вичуга Ь.Хмельницкого 43А-31</t>
  </si>
  <si>
    <t>Энцефалит неуточнённый.</t>
  </si>
  <si>
    <t>Другие больницы</t>
  </si>
  <si>
    <t>Носкова Валерия Дмитриевна</t>
  </si>
  <si>
    <t>Кинешма Щорса 1-19</t>
  </si>
  <si>
    <t>пилоростеноз</t>
  </si>
  <si>
    <t>Болезни органов пищеварения</t>
  </si>
  <si>
    <t>Иванкова Анна Сергеевна</t>
  </si>
  <si>
    <t xml:space="preserve">Иваново Лежневская </t>
  </si>
  <si>
    <t>Отравление неизвестным веществом</t>
  </si>
  <si>
    <t>Нефро</t>
  </si>
  <si>
    <t>Чурикова Карина Александровна</t>
  </si>
  <si>
    <t>г. Кохма, ул. Кочетовой, 32, 76</t>
  </si>
  <si>
    <t>Пиелонефрит трансплантированной почки. Активная фаза. ХБП 5 ст.</t>
  </si>
  <si>
    <t>Болезни мочеполовой системы</t>
  </si>
  <si>
    <t>ДОТО</t>
  </si>
  <si>
    <t>Мягкова Арина Алексеевна</t>
  </si>
  <si>
    <t>г. Иваново, ул. Красногвардейская, 73</t>
  </si>
  <si>
    <t>реконструкция кости</t>
  </si>
  <si>
    <t>Болезни костно-мышечного аппарата</t>
  </si>
  <si>
    <t>Эпидур. анест.</t>
  </si>
  <si>
    <t>Горобец Александр Валерьевич</t>
  </si>
  <si>
    <t>г. Иваново, ул. М. Рябининой, 32, 19</t>
  </si>
  <si>
    <t>Пароксизмальная наджелудочковая тахикардия</t>
  </si>
  <si>
    <t>Болезни системы кровообращения</t>
  </si>
  <si>
    <t>Корсак Максим Васильевич</t>
  </si>
  <si>
    <t>Тейково</t>
  </si>
  <si>
    <t>ЖКК из луковицы 12 перстной кишки</t>
  </si>
  <si>
    <t>Гурылёв Александр Алексеевич</t>
  </si>
  <si>
    <t>г. Фурманов, ул. Дзержинского, 41</t>
  </si>
  <si>
    <t>Судорожный синдром, впервые</t>
  </si>
  <si>
    <t>Клюева Кристина Максимовна</t>
  </si>
  <si>
    <t>г. Иваново, ул. Куликова, 3, 21</t>
  </si>
  <si>
    <t>Отравление парацетамолом</t>
  </si>
  <si>
    <t>Лохова Василиса Игоревна</t>
  </si>
  <si>
    <t>г.Иваново, проспект Текстильщиков, д.74, кв.82</t>
  </si>
  <si>
    <t>Электротравма</t>
  </si>
  <si>
    <t>г.Иваново, ул.Шубиных д. 16А</t>
  </si>
  <si>
    <t>Грибковый сепсис?</t>
  </si>
  <si>
    <t>Лебедев (мал)</t>
  </si>
  <si>
    <t>Кохма</t>
  </si>
  <si>
    <t>Атрезия пищевода</t>
  </si>
  <si>
    <t>Пороки и врождённые аномалии развития</t>
  </si>
  <si>
    <t>Гл. вен. линия</t>
  </si>
  <si>
    <t>Жигалова Полина Александровна</t>
  </si>
  <si>
    <t>Родниковский р-н, д.Никониха,д.9</t>
  </si>
  <si>
    <t>Объемное образование головного мозга</t>
  </si>
  <si>
    <t>Тарасенко Степан Всеволодович</t>
  </si>
  <si>
    <t>г. Иваново, ул Сакко, 3, 22</t>
  </si>
  <si>
    <t>Нарушение свёртываемости крови. Желтуха грудного молока.</t>
  </si>
  <si>
    <t>Порхун Елизавета Алексеевна</t>
  </si>
  <si>
    <t>Самотёком</t>
  </si>
  <si>
    <t>г. Иваново, ул. Батурина, 17, 13</t>
  </si>
  <si>
    <t>Сахарный диабет, кетоацидоз</t>
  </si>
  <si>
    <t>Болезни эндокринной системы и нарушения обмена веществ</t>
  </si>
  <si>
    <t>Бакарев Даниил Максимович</t>
  </si>
  <si>
    <t>Иваново</t>
  </si>
  <si>
    <t>вр.пилоростеноз</t>
  </si>
  <si>
    <t>Эпистатус</t>
  </si>
  <si>
    <t>Клюев Кирилл Владимирович</t>
  </si>
  <si>
    <t>Владимирская обл., Суздальский р-н, с. Весь, ул. Центральная, 12</t>
  </si>
  <si>
    <t>Отравление суррогатами алкоголя</t>
  </si>
  <si>
    <t>Панченко София Павловна</t>
  </si>
  <si>
    <t>Шуйский р-н, с. Введенье, ул. Фабричный двор, 3, 5</t>
  </si>
  <si>
    <t>г. Иваново, ул. Шубиных, 16а, 20</t>
  </si>
  <si>
    <t>Пневмония. С-м Гийена-Барре. ЯК. Дивертикул Меккеля.</t>
  </si>
  <si>
    <t>СЗП+Эр</t>
  </si>
  <si>
    <t>MPS</t>
  </si>
  <si>
    <t>Манукян Ашот Тавросович</t>
  </si>
  <si>
    <t xml:space="preserve">Кохма Владимирская </t>
  </si>
  <si>
    <t>зпилепсия</t>
  </si>
  <si>
    <t>Колесова Валерия Алекссевна</t>
  </si>
  <si>
    <t>Иваново п.Коммуны</t>
  </si>
  <si>
    <t>цефалгия</t>
  </si>
  <si>
    <t>Борисов Иван Михайлович</t>
  </si>
  <si>
    <t>ретинопатия</t>
  </si>
  <si>
    <t>Ретинопатии</t>
  </si>
  <si>
    <t>Пронюшкин Артем Сергеевич</t>
  </si>
  <si>
    <t xml:space="preserve">Шуйский р-н, с. Васильевское 2 меньшиковская 12 </t>
  </si>
  <si>
    <t>Королев мальчик</t>
  </si>
  <si>
    <t>Гаврилово-Посадский р-н, с. Ирмес, ул. Панельная, 20-5 (мать)</t>
  </si>
  <si>
    <t>Атрезия ануса</t>
  </si>
  <si>
    <t>Троицкий Эльдар Юрьевич</t>
  </si>
  <si>
    <t>Ивановская обл.</t>
  </si>
  <si>
    <t>Цимик Андрей Владимирович</t>
  </si>
  <si>
    <t>г. Шуя, ул. 3я Металлистов, 62</t>
  </si>
  <si>
    <t>Прободная язва желудка. Лапароскопическое ушивание перфорации 30.01.25</t>
  </si>
  <si>
    <t>Тимофеев Мирон Янисович</t>
  </si>
  <si>
    <t>Иваново Октябрьская  16-6</t>
  </si>
  <si>
    <t>Инородное тело желудка, язва желудка</t>
  </si>
  <si>
    <t>Мохаммад Шариф Сабавун</t>
  </si>
  <si>
    <t>ИвоновоВелижская 7</t>
  </si>
  <si>
    <t xml:space="preserve">Резаная рана правого предплечья </t>
  </si>
  <si>
    <t>Киреева Юлия Андреевна</t>
  </si>
  <si>
    <t>Острая язва желудка</t>
  </si>
  <si>
    <t>Скрипачев Егор Александрович</t>
  </si>
  <si>
    <t>г. Кинешма, ул. Сеченова, д.8, к.3</t>
  </si>
  <si>
    <t>Желчекаменная болезнь</t>
  </si>
  <si>
    <t>Петрунина Дарья Алексеевна</t>
  </si>
  <si>
    <t>ОЧМТ</t>
  </si>
  <si>
    <t>Травма сочетанная и изолированная</t>
  </si>
  <si>
    <t>Зайцев Матвей Кириллович</t>
  </si>
  <si>
    <t>г.Иваново, пр-т Строителей, 16-38</t>
  </si>
  <si>
    <t>СД I типа. Фаза кетоацидоза</t>
  </si>
  <si>
    <t>Халезов Максим Евгеньевич</t>
  </si>
  <si>
    <t>п. Савино, ул.Комсомольская, д.17А</t>
  </si>
  <si>
    <t>паллиативный статус</t>
  </si>
  <si>
    <t>Без доступа</t>
  </si>
  <si>
    <t>Здеков Денис Денисович</t>
  </si>
  <si>
    <t>г.Иваново, ул.Ермака, 10-104</t>
  </si>
  <si>
    <t>Сочетанная травма. ОЧМТ</t>
  </si>
  <si>
    <t>ЦВК №2</t>
  </si>
  <si>
    <t>СЗП+/-крио</t>
  </si>
  <si>
    <t>Летальный исход</t>
  </si>
  <si>
    <t>Павлюк Регина Викторовна</t>
  </si>
  <si>
    <t>Шуйский р-н, с. Китово, ул. Центральная, 83, 1</t>
  </si>
  <si>
    <t>Краниофарингеаома</t>
  </si>
  <si>
    <t>Морозов Денис Дмитриевич</t>
  </si>
  <si>
    <t>Ив. Об-ть Родниковский р-он с. Сосновка</t>
  </si>
  <si>
    <t xml:space="preserve">Пухова Дарья Алексеевна </t>
  </si>
  <si>
    <t>г.Иваново ул. Ташкенская 55</t>
  </si>
  <si>
    <t>Сочетанная травма. ЗЧМТ</t>
  </si>
  <si>
    <t>Ватутина Дарья Анатольевна</t>
  </si>
  <si>
    <t>Иваново, Велижская 54</t>
  </si>
  <si>
    <t>Перфоративная язва желудка</t>
  </si>
  <si>
    <t>Поляковаи Ангелина Спартаковна</t>
  </si>
  <si>
    <t>с. Кукарино, район Лежневский</t>
  </si>
  <si>
    <t>ЖКК</t>
  </si>
  <si>
    <t>Большаков Иван Павлович</t>
  </si>
  <si>
    <t>г. Иваново, ул. 7 Минеевская, 23/1, 7, 23</t>
  </si>
  <si>
    <t>СГМ. Токсическое действие спиртов.</t>
  </si>
  <si>
    <t xml:space="preserve">Калмыкова Виолетта Юрьевна </t>
  </si>
  <si>
    <t>г. Кохма, пер. Ивановский, 1/3, 13</t>
  </si>
  <si>
    <t>Вирусно-бактериальный менингоэнцефалит</t>
  </si>
  <si>
    <t>Инфекционные и паразитарные болезни</t>
  </si>
  <si>
    <t>Колесникова Ульяна Марковна</t>
  </si>
  <si>
    <t>г. Иваново, ул. Стрелковая, 8, 44</t>
  </si>
  <si>
    <t>Лепилов мальчик</t>
  </si>
  <si>
    <t>г. Южа, ул. 6-я Рабочая, 22</t>
  </si>
  <si>
    <t>РДСН. ДН 3. МВПР. Атрезия пищевода. Диафрагмальная грыжа. ВПР костной системы. Декстракардия. Spina bifida. Пиелоэктазия слева. Церебральная ишемия 1 ст. Синдром угнетения. НМТ. Недоношенность 33 нед. 2 дня.</t>
  </si>
  <si>
    <t>Першин Игорь Владимирович</t>
  </si>
  <si>
    <t>г. Фурманов, ул. Заводская, 39</t>
  </si>
  <si>
    <t>Закрытый перелом н/3 правой бедренной кости со смещением отломков. Травматический шок 1 ст.</t>
  </si>
  <si>
    <t>Савва Станислав Джаваневич</t>
  </si>
  <si>
    <t>г. Кохма, ул. Чехова, 38, 8</t>
  </si>
  <si>
    <t>Инородное тело пищевода (батарейка)</t>
  </si>
  <si>
    <t>Сапожков Кирилл Дмитриевич</t>
  </si>
  <si>
    <t>г. Иваново, ул. Кудряшова, 71к1, 140</t>
  </si>
  <si>
    <t>Лимонова Анастасия Николаевна</t>
  </si>
  <si>
    <t>Отравление таблетками микстное</t>
  </si>
  <si>
    <t>Пневмония справа. Нейрофиброматоз.</t>
  </si>
  <si>
    <t>Алексеев Никита Антонович</t>
  </si>
  <si>
    <t>г. Кинешма</t>
  </si>
  <si>
    <t>Сочетанная травма. ЗЧМТ. СГМ. ЗТГК. Ушиб обоих лёгких. Пневмоторакс справа. Перелом боковых масс крестца. Перелом седалищных костей, левой лонной кости, левой таранной кости. Тр. Шок 2 ст. ISS 22 б.</t>
  </si>
  <si>
    <t>Пневмония. ВИЧ. ОПЦНС.</t>
  </si>
  <si>
    <t>Пед. паллиатив</t>
  </si>
  <si>
    <t>ОПЦНС. Спаст. Тетраплегия. Псевдобульбарный синдром. Хр. Вегетативное состояние. Новообразование ХСО. Микрохирургическое удаление опухоли 12.11.24.</t>
  </si>
  <si>
    <t>Крылов Ярослав Дмитриевич</t>
  </si>
  <si>
    <t>г. Иваново, мкрн. Рождественский, 2, 189</t>
  </si>
  <si>
    <t>ОПЦНС. X-сцепленная адреналодистрофия. Дистрофия роговиц обоих глаз.</t>
  </si>
  <si>
    <t>Кишеч. лаваж</t>
  </si>
  <si>
    <t>Севастьянова Марина Михайловна</t>
  </si>
  <si>
    <t>г. Комсомольск, ул. Ломоносова, 28</t>
  </si>
  <si>
    <t>Нейрогенная дисфункция мочевого пузыря. Асцит.</t>
  </si>
  <si>
    <t>Селиванов Роман Антонович</t>
  </si>
  <si>
    <t>г.Иваново, ш.Кохомское, 5-197</t>
  </si>
  <si>
    <t>Устинин Максим Максимович</t>
  </si>
  <si>
    <t>Иваново, 30м-н,53-19</t>
  </si>
  <si>
    <t>дв.пневмония</t>
  </si>
  <si>
    <t>Воробьёв Вячеслав Сергеевич</t>
  </si>
  <si>
    <t>г. Иваново, ул. Велижская, 12, 76</t>
  </si>
  <si>
    <t>Горбатюк Михаил Евгеньевич</t>
  </si>
  <si>
    <t>г. Иваново, ул. Кузнецова, 124, 294</t>
  </si>
  <si>
    <t>Острый аппендицит</t>
  </si>
  <si>
    <t>Литовченко Александр Юрьевич</t>
  </si>
  <si>
    <t>г. Кохма, пер. Ивановский, 1/1, 36</t>
  </si>
  <si>
    <t>Спонтанный тотальный пневмоторакс справа.</t>
  </si>
  <si>
    <t>Орипов Худоёр Бахтиерович</t>
  </si>
  <si>
    <t>г. Иваново, ул. Спортивная, 26, 26</t>
  </si>
  <si>
    <t xml:space="preserve">Термический ожог, S-12% </t>
  </si>
  <si>
    <t>Сухарева Лада Андреевна</t>
  </si>
  <si>
    <t>Ивановская обл., г. Фурманов, ул. Тимирязева, 20, 28</t>
  </si>
  <si>
    <t>Черемохин Егор Александрович</t>
  </si>
  <si>
    <t>Ивановская обл., г. Приволжск, ул. Большая Московская, 6, 13</t>
  </si>
  <si>
    <t>Эпилепсия неуточнённая</t>
  </si>
  <si>
    <t>г. Иваново, мкрн Московский, 9, 24</t>
  </si>
  <si>
    <t>Нейрофиброматоз. БЭН. Пневмония</t>
  </si>
  <si>
    <t>Борисова Софья Евгеньевна</t>
  </si>
  <si>
    <t>Ивановская обл., г. Шуя, ул. Свердлова, 100, 43</t>
  </si>
  <si>
    <t>Сочетанная травма. Странгуляционная асфиксия. Гипоксическое поражение ЦНС. Колото-резаные ранения грудной стенки, левой  кисти. Проникающее колото-резаное ранение брюшной стенки с ранением левой доли печени. Гемоперитонеум.</t>
  </si>
  <si>
    <t>Кулагина Василиса Кирилловна</t>
  </si>
  <si>
    <t>Ивановский р-н, д. Беляницы, ул. Пшеничная, 13</t>
  </si>
  <si>
    <t>Тонко-тонкокишечная инвагинация. Лапароскопическая дезинвагинация 09.03.25. ОРВИ.</t>
  </si>
  <si>
    <t>ОРВИ</t>
  </si>
  <si>
    <t>Лисин Роман Иванович</t>
  </si>
  <si>
    <t>Ивановская обл., г. Фурманов, ул. Степана Разина, 8</t>
  </si>
  <si>
    <t>Структурная комбинированнаяя эпилепсия с миоклоническими и тоническими приступами, фармакорезистентная. Эпистатус, купированный в догоспитальном периоде. ОРВИ. ДН 2 ст.</t>
  </si>
  <si>
    <t>ОПНН</t>
  </si>
  <si>
    <t>Паутина Ксения Александровна</t>
  </si>
  <si>
    <t>г. Иваново, 30й мкрн, 11, 15</t>
  </si>
  <si>
    <t xml:space="preserve">НСД. </t>
  </si>
  <si>
    <t>Саидов Мухаммад Курбоналиевич</t>
  </si>
  <si>
    <t>Московская обл., г. Ногинск, ул. Аэроклубная, 17к1, 87</t>
  </si>
  <si>
    <t>Внебольничная двухсторонняя пневмония. ВПР ЦНС, ВПС. Паллиотивный статус.</t>
  </si>
  <si>
    <t>CVVHDF</t>
  </si>
  <si>
    <t>Кожевникова Ксения Руслановна</t>
  </si>
  <si>
    <t>Вичуга</t>
  </si>
  <si>
    <t xml:space="preserve">Коррегирующая остеотомия бедра </t>
  </si>
  <si>
    <t>Зверева Параскева Сергеевна</t>
  </si>
  <si>
    <t>шуя</t>
  </si>
  <si>
    <t>маточное кровотечение</t>
  </si>
  <si>
    <t>Поцхверия Дарья Максимовна</t>
  </si>
  <si>
    <t>г. Иваново, ул. Шошина, 15, 109</t>
  </si>
  <si>
    <t>Отравление этиловым алкоголем</t>
  </si>
  <si>
    <t>Соловьёв Кирилл Максимович</t>
  </si>
  <si>
    <t>г. Иваново, ул. Авдотьинская, 32, 36</t>
  </si>
  <si>
    <t>Кашникова Дарья Александровна</t>
  </si>
  <si>
    <t>Южа</t>
  </si>
  <si>
    <t>Отравление таб. Баклозана</t>
  </si>
  <si>
    <t>Шуйский район</t>
  </si>
  <si>
    <t>Оклюзионная гидроцефалия, состояние после установки ПВШ</t>
  </si>
  <si>
    <t>Данилов Савелий Русланович</t>
  </si>
  <si>
    <t>Малков Андрей Витальевич</t>
  </si>
  <si>
    <t xml:space="preserve">иваново шубиных </t>
  </si>
  <si>
    <t>Химический ожог пищевода</t>
  </si>
  <si>
    <t>Раджабов Рамазан Хасанович</t>
  </si>
  <si>
    <t>Иваново 13 березняковская</t>
  </si>
  <si>
    <t>Инфекционно-токсический шок</t>
  </si>
  <si>
    <t>Алешникова Анастасия Павловна</t>
  </si>
  <si>
    <t>Иваново 19 линия 19-1</t>
  </si>
  <si>
    <t>СД 1 типа</t>
  </si>
  <si>
    <t>Углов Матвей Александрович</t>
  </si>
  <si>
    <t>г.Иваново, мкрн. Рождественский, д.4, кв.242</t>
  </si>
  <si>
    <t>Дивертикул Меккеля</t>
  </si>
  <si>
    <t>Устрелова Ульяна Романовна</t>
  </si>
  <si>
    <t>Ивановский р-н, с. Ново-Талицы, д.13, кв.19</t>
  </si>
  <si>
    <t>Пневмония внебольничная, правосторонняя, нижнедолевая\</t>
  </si>
  <si>
    <t>Федотов Егор Алексеевич</t>
  </si>
  <si>
    <t>Кинешма Чистая 52</t>
  </si>
  <si>
    <t>Кататравма. Сочетанная травма.</t>
  </si>
  <si>
    <t>Баранов Евгений Дмитриевич</t>
  </si>
  <si>
    <t>г. Иваново, ул. Октябрьская, 18, 16</t>
  </si>
  <si>
    <t>Термический ожог лица, груди, верхних конечностей S 30%</t>
  </si>
  <si>
    <t>Краснов Михаил Иванович</t>
  </si>
  <si>
    <t>Вичуга, 50лет Октября,31-12</t>
  </si>
  <si>
    <t>Электроожог, электротравма 1,2.,3пальцев левой кисти</t>
  </si>
  <si>
    <t>Цыбульникова Алина Александровна</t>
  </si>
  <si>
    <t>Дисфункция шунта</t>
  </si>
  <si>
    <t>Ворошилова Анна Юрьевна</t>
  </si>
  <si>
    <t>Кинешма ул. Щорса 5-77</t>
  </si>
  <si>
    <t>Термический ожог 1-2 ст. лица,шеи,верхних конечностей</t>
  </si>
  <si>
    <t>Молочко Максим Павлович</t>
  </si>
  <si>
    <t>г. Фурманов, ул. Тимирязева, 37, 65</t>
  </si>
  <si>
    <t>Тупая травма живота</t>
  </si>
  <si>
    <t>Сорокин Владимир Сергеевич</t>
  </si>
  <si>
    <t>г. Иваново, ул. Калинцева, 9, 58</t>
  </si>
  <si>
    <t>Савино ул. Комсомольская 17</t>
  </si>
  <si>
    <t>Гемофилия А. Инфекция мочевыводящих путей</t>
  </si>
  <si>
    <t>Линьков Егор Антонович</t>
  </si>
  <si>
    <t>Иваново ул 1 Грачевская</t>
  </si>
  <si>
    <t>Черняев Никита Сергеевич</t>
  </si>
  <si>
    <t>Кинешемский р-он с. Октябрьский</t>
  </si>
  <si>
    <t>ТТЖ. Удаление дивертикула.</t>
  </si>
  <si>
    <t>Дугин Лев Андреевич</t>
  </si>
  <si>
    <t>Ив. Р-он с. Михалево</t>
  </si>
  <si>
    <t>Ефремов Никита Владимирович</t>
  </si>
  <si>
    <t>Новоталицы</t>
  </si>
  <si>
    <t>Острый бронхит</t>
  </si>
  <si>
    <t>Воронцова девочка</t>
  </si>
  <si>
    <t>Из_родильных_домов</t>
  </si>
  <si>
    <t>Наволоки ул. Спортивная 29-8</t>
  </si>
  <si>
    <t>Кишечная непроходимость</t>
  </si>
  <si>
    <t>Куприянов Никита Сергеевич</t>
  </si>
  <si>
    <t>Иваново ул. 2 Ефимовская 2-20</t>
  </si>
  <si>
    <t>Гипертония. Геморрагический инсульт.</t>
  </si>
  <si>
    <t>Копотилов Никита Владимирович</t>
  </si>
  <si>
    <t>Иваново ул. Фрунзе 10</t>
  </si>
  <si>
    <t>О. аппендицит. Дивертикул Меккеля</t>
  </si>
  <si>
    <t>Аверьянова Софья Артёмовна</t>
  </si>
  <si>
    <t>Иваново ул. Ташкенская 98-4</t>
  </si>
  <si>
    <t>Отравление комплексом препаратов для похудения</t>
  </si>
  <si>
    <t>Костин Никита Сергеевич</t>
  </si>
  <si>
    <t>Кинешма</t>
  </si>
  <si>
    <t>сахарный диабет, прекома</t>
  </si>
  <si>
    <t>Алмарсбек Кызы Океана Элдияровна</t>
  </si>
  <si>
    <t>г. Иваново, ул. Академика Мальцева, 22, 1</t>
  </si>
  <si>
    <t>Острый обструктивный бронхит.</t>
  </si>
  <si>
    <t>Кушкин Даниил Селимович</t>
  </si>
  <si>
    <t>г. Иваново, ул. Кудряшова, 80, 228</t>
  </si>
  <si>
    <t>Острое отравление фенибутом и суррогатами алкоголя. Миграция водителя ритма. Брадиаритмия.</t>
  </si>
  <si>
    <t>Чиндилов Антон Денисович (Неизвестный Юноша)</t>
  </si>
  <si>
    <t>Ивановская обл., Комсомольский р-н, п. Писцово</t>
  </si>
  <si>
    <t xml:space="preserve">ТОЧМТ. О. субдур. гематомы правополушарной и левополушарной  локализаций. Непроникающий перелом лобной кости.  </t>
  </si>
  <si>
    <t>Тонко-тонкокишечная инвагинация. Лапароскопическая дезинвагинация 10.04.25. СКН 2 ст.</t>
  </si>
  <si>
    <t>Блюдов Максим Михайлович</t>
  </si>
  <si>
    <t>г. Шуя, ул. Коооперативная, 14, к9, 18</t>
  </si>
  <si>
    <t>Малыгин Даниил Дмитриевич</t>
  </si>
  <si>
    <t>г. Иваново, ул. Революционная, 36, к1, 30</t>
  </si>
  <si>
    <t>Врождённый гипертрофический пилоростеноз.</t>
  </si>
  <si>
    <t>Нетски Артемий Дмитриевич</t>
  </si>
  <si>
    <t>Московская обл., Одинцовский г. о., п. Барвиха, шоссе Рублёво-Успенское, 117, 3</t>
  </si>
  <si>
    <t>Хим. Ожог марганцовкой</t>
  </si>
  <si>
    <t>Махоткин Дмитрий Максимович</t>
  </si>
  <si>
    <t>Иваново Кудряшова 121-37</t>
  </si>
  <si>
    <t>ОЧМТ, вдавленный перелом лобной кости справа, орбиты</t>
  </si>
  <si>
    <t>Махоткин Кирилл Максимович</t>
  </si>
  <si>
    <t>ЗЧМТ, СГМ</t>
  </si>
  <si>
    <t>Абдул Хаким Анна Хукрулаховна</t>
  </si>
  <si>
    <t>г. Иваново, ул. Куконковых, 130, 11</t>
  </si>
  <si>
    <t>Пневмония правосторонняя полисегментарная, ДН 3 ст. СМА.</t>
  </si>
  <si>
    <t>Правосторонняя пневмония</t>
  </si>
  <si>
    <t>Вишнев Максим Сергеевич</t>
  </si>
  <si>
    <t>Иваново мкр Рождественский 6-188</t>
  </si>
  <si>
    <t>Муковисцидоз. Спаечная кишечная непроходимость.</t>
  </si>
  <si>
    <t>г. Иваново, мкрн Рождественский, 2, 18</t>
  </si>
  <si>
    <t>Х-сцепленная адренолейкодистрофия. Пневмония.</t>
  </si>
  <si>
    <t>Белов Егор Сергеевич</t>
  </si>
  <si>
    <t>Ивановская обл., п. Пестяки, ул. Мира, 5, 8</t>
  </si>
  <si>
    <t>ЗЧМТ. УГМ ср. ст. тяж. Вдавленный перелом правой теменной кости. Операция 16.04.25: ПХО вдавленного перелома правой теменной кости, резекционная трепанация черепа.</t>
  </si>
  <si>
    <t>Стрункин Максим Николаевич</t>
  </si>
  <si>
    <t>Ивановская обл., г. Иваново, ул. Санаторная, 18, 1а.</t>
  </si>
  <si>
    <t>Тяжёлая анемия.</t>
  </si>
  <si>
    <t>Болезни крови и кроветворных органов</t>
  </si>
  <si>
    <t>Сергеев Арсений Михайлович</t>
  </si>
  <si>
    <t>сахарный диабет, кетоацидоз</t>
  </si>
  <si>
    <t>Шевченко Денис</t>
  </si>
  <si>
    <t>отравление Суррогатами алкеоголя</t>
  </si>
  <si>
    <t>Пишучева Таисия Максимовна</t>
  </si>
  <si>
    <t>Хим. Ожог пищевода, желудка</t>
  </si>
  <si>
    <t>Нефедов Егор Павлович</t>
  </si>
  <si>
    <t>Отравление т. баклосана</t>
  </si>
  <si>
    <t>Юрманова Анастасия Павловна</t>
  </si>
  <si>
    <t>Отравление таб.баклосана</t>
  </si>
  <si>
    <t>Смеренникова Анастасия Владимровна</t>
  </si>
  <si>
    <t>Вт.гн.менингит</t>
  </si>
  <si>
    <t>ОПЦНС, постановка гастростомы</t>
  </si>
  <si>
    <t>Ваганов Владимир Александрович</t>
  </si>
  <si>
    <t>Гав-Посад</t>
  </si>
  <si>
    <t>Тотальная правосторонняя пневмония, пиоторакс спарава без фистулы</t>
  </si>
  <si>
    <t>Виноградова Татьяна Раджаевна</t>
  </si>
  <si>
    <t>Приволжск ул. Фурманова 16-115</t>
  </si>
  <si>
    <t>Альвеолярная рабдомиосаркома.Множественные метастазы.</t>
  </si>
  <si>
    <t>Флегмоны, абсцессы и другие повреждения мягких тканей</t>
  </si>
  <si>
    <t>Иванов Михаил Ильич</t>
  </si>
  <si>
    <t>Иваново ул. Г. Белова 58</t>
  </si>
  <si>
    <t>Кислянская Александра Андреевна</t>
  </si>
  <si>
    <t>Кинешма ул. Григория Фомина 5-39</t>
  </si>
  <si>
    <t>Апоплексия пр. яичника</t>
  </si>
  <si>
    <t>Лобова Василиса Андреевна</t>
  </si>
  <si>
    <t>Лежневский р-н, с. Воскресенское, ул. Молодёжная, 5, 4</t>
  </si>
  <si>
    <t>БЛД, обострение</t>
  </si>
  <si>
    <t>Зимина Анастасия Максимовна</t>
  </si>
  <si>
    <t>СД 1 типа впервые выявленный кетоцидоз</t>
  </si>
  <si>
    <t>Чудов Михаил Леонидович</t>
  </si>
  <si>
    <t>Двухстронняяя пневмония</t>
  </si>
  <si>
    <t>Андрианова Мария Борисовна</t>
  </si>
  <si>
    <t>Состояние после судорожного припадка</t>
  </si>
  <si>
    <t>Иваново 14 проезд 10-12</t>
  </si>
  <si>
    <t>Новообразование тонкого отдела кишечника</t>
  </si>
  <si>
    <t>Бурхонов Бурхон Бадриддинович</t>
  </si>
  <si>
    <t>Тупая травма живота, спленэктомия</t>
  </si>
  <si>
    <t>Озеров Илья Павлович</t>
  </si>
  <si>
    <t>Иваново мкр Московский 14-151</t>
  </si>
  <si>
    <t>Пневмоторакс слева</t>
  </si>
  <si>
    <t>Колескин Артем Дмитриевич</t>
  </si>
  <si>
    <t>Ив. Обл, г. Вичуга</t>
  </si>
  <si>
    <t>Никифоров Евгений Денисович</t>
  </si>
  <si>
    <t>Барашков Максим Дмитриевич</t>
  </si>
  <si>
    <t>Иваново Шубиных 4-94</t>
  </si>
  <si>
    <t>Вторичный менгинит, пансинусит</t>
  </si>
  <si>
    <t xml:space="preserve">Никишина Виктория Богдановна </t>
  </si>
  <si>
    <t>Иваново Самоцветы 155</t>
  </si>
  <si>
    <t>ГУС</t>
  </si>
  <si>
    <t>Козлов Артем Иванович</t>
  </si>
  <si>
    <t>Кохма, улица Танковая 28</t>
  </si>
  <si>
    <t>Медведева Ксения Михайловна</t>
  </si>
  <si>
    <t>Сочетанная травма</t>
  </si>
  <si>
    <t>Туманова Ксения Николаевна</t>
  </si>
  <si>
    <t>Кинешма ул. Боборыкина 29-95</t>
  </si>
  <si>
    <t>ЖКБ</t>
  </si>
  <si>
    <t>Воронцова Ульяна</t>
  </si>
  <si>
    <t>Спаечная кишечная непроходимость</t>
  </si>
  <si>
    <t>Федорин Дмитрий Сергеевич</t>
  </si>
  <si>
    <t>Иваново ул. Революционная 36 п2-73</t>
  </si>
  <si>
    <t>Анемия</t>
  </si>
  <si>
    <t>Булах Тимофей Ильич</t>
  </si>
  <si>
    <t>Иваново ул. П. Комунны 41-340</t>
  </si>
  <si>
    <t>Инвагинация</t>
  </si>
  <si>
    <t>г. Иваново, 30-й мкр. Д.53, кв.19</t>
  </si>
  <si>
    <t>Тетерин Арсений Алексеевич</t>
  </si>
  <si>
    <t>Отравление крысиным ядом</t>
  </si>
  <si>
    <t>Родионова Александра Ивановна</t>
  </si>
  <si>
    <t>Родники</t>
  </si>
  <si>
    <t xml:space="preserve">Эпилепсия </t>
  </si>
  <si>
    <t>Мусатов Роман Сергеевич</t>
  </si>
  <si>
    <t>Вичуа</t>
  </si>
  <si>
    <t>Окклюзионная гидроцефалия</t>
  </si>
  <si>
    <t>Васильева Оксана Максимовна</t>
  </si>
  <si>
    <t>Сочетанная травма, ушиб головногомозга средней степени тяжеси, линейный перелом лобной, теменной, затылочной костей. Ушиб левого легкого</t>
  </si>
  <si>
    <t>Евсеев Михаил Александрович</t>
  </si>
  <si>
    <t>Иваново ул. Поэта Майоро 18-56ва</t>
  </si>
  <si>
    <t>Абсцесс в брюшной полости.</t>
  </si>
  <si>
    <t>Дорш Полина Антоновна</t>
  </si>
  <si>
    <t>Иваново ул. Жиделева 29-3</t>
  </si>
  <si>
    <t>З/перелом левой бедренной кости.</t>
  </si>
  <si>
    <t>г. Иваново 30-й мкр. 53-19</t>
  </si>
  <si>
    <t>Эпилепсия</t>
  </si>
  <si>
    <t>Керобян Артем Наренович</t>
  </si>
  <si>
    <t>Иваново Каравайковой 27</t>
  </si>
  <si>
    <t>Перфоративный аппендици, периаппендикулярный инфильтрат.</t>
  </si>
  <si>
    <t>Святов Антон Денисович</t>
  </si>
  <si>
    <t>Иваново Бакинский презд 51-54</t>
  </si>
  <si>
    <t>Открытый перелом плечевой кости, травматический шок 2</t>
  </si>
  <si>
    <t>Скворцов Дмитрий Евгеньевич</t>
  </si>
  <si>
    <t>Сотрясение головного мозга.</t>
  </si>
  <si>
    <t>Веселова Юлия Анатольевна</t>
  </si>
  <si>
    <t>Иваново ул. Дес. Фокина 2</t>
  </si>
  <si>
    <t>иваново</t>
  </si>
  <si>
    <t>перелом с/3 левого бедра, МОС пластиной</t>
  </si>
  <si>
    <t>Шолохов Денис Александрович</t>
  </si>
  <si>
    <t>Ив. р-он п. Михалево 17-16</t>
  </si>
  <si>
    <t>З/перелом правой бедренной кости.</t>
  </si>
  <si>
    <t>Михалево</t>
  </si>
  <si>
    <t>закрытый перелом н/3 правой бедренной кости со смещением отломков. Травматический шок 1 ст.</t>
  </si>
  <si>
    <t>Артамонова София Дмитриевна</t>
  </si>
  <si>
    <t>Фурманов</t>
  </si>
  <si>
    <t>ЗЧМТ, сотрясение головного мозга, атравление этанолом</t>
  </si>
  <si>
    <t>Афанасьева Ульяна Ивановна</t>
  </si>
  <si>
    <t>Верхний Ландех</t>
  </si>
  <si>
    <t>СД 1 типа, кетоацидоз</t>
  </si>
  <si>
    <t>Воробьев Егор Александрович</t>
  </si>
  <si>
    <t>Иваново. 30 мкр, д. 7, кв. 2</t>
  </si>
  <si>
    <t>Волков Тимур Дмитриевич</t>
  </si>
  <si>
    <t>Иваново ул. Стрелковая 8-44</t>
  </si>
  <si>
    <t>Голубков Матвей Денисович</t>
  </si>
  <si>
    <t>Шуя ул. 11 Мичуринская 11</t>
  </si>
  <si>
    <t>Волков Арсений Олегович</t>
  </si>
  <si>
    <t xml:space="preserve">ЗЧМТ сотрясение головного мозга </t>
  </si>
  <si>
    <t>Кунышина Алина Михайловна</t>
  </si>
  <si>
    <t>г.Шуя</t>
  </si>
  <si>
    <t>Михайлов Белоцеркрвец Гордей</t>
  </si>
  <si>
    <t>Пильневич Богдан Олегович</t>
  </si>
  <si>
    <t>Иваново кохомское шоссе</t>
  </si>
  <si>
    <t xml:space="preserve">Отравление суррогатами алкоголя </t>
  </si>
  <si>
    <t xml:space="preserve">Яковлева Маргарита Александровна </t>
  </si>
  <si>
    <t xml:space="preserve">Иваново Вичугская </t>
  </si>
  <si>
    <t>Отравление наркотическими средствами</t>
  </si>
  <si>
    <t>Батманова Василиса Дмитриевна</t>
  </si>
  <si>
    <t>Иваново Ленина 67-54</t>
  </si>
  <si>
    <t>Ушиб головного мозга средней степени тяжести, вдавленный передом лобной кости</t>
  </si>
  <si>
    <t>Степанов Демид Романович</t>
  </si>
  <si>
    <t>Хмелев Арсений Андреевич</t>
  </si>
  <si>
    <t>ИвАново</t>
  </si>
  <si>
    <t>Пневмония плеврит, дисфункция синусового узла, синусовая бракардия АВБ 2 ст</t>
  </si>
  <si>
    <t>Изотов Алексей Романович</t>
  </si>
  <si>
    <t>д. Беляницы, ул. Заречная</t>
  </si>
  <si>
    <t xml:space="preserve">Сочетанная травма. ЗЧМТ.СГМ. ЗТГК. Ушиб правого легкого. ТТЖ. Разрыв левой доли печени. Ссадины передней грудной, брюшной стенок. Ссадина лица. </t>
  </si>
  <si>
    <t>Длительность</t>
  </si>
  <si>
    <t>Кол-во</t>
  </si>
  <si>
    <t>Кол-во2</t>
  </si>
  <si>
    <t>Кол-во3</t>
  </si>
  <si>
    <t>Кол-во4</t>
  </si>
  <si>
    <t>ИВЛ детям в возрасте</t>
  </si>
  <si>
    <t>Кол-во5</t>
  </si>
  <si>
    <t>ИВЛ по срокам</t>
  </si>
  <si>
    <t>Кол-во6</t>
  </si>
  <si>
    <t>Кол-во11</t>
  </si>
  <si>
    <t>Регион. анестезия</t>
  </si>
  <si>
    <t>Кол-во9</t>
  </si>
  <si>
    <t>Кол-во93</t>
  </si>
  <si>
    <t>Кол-во94</t>
  </si>
  <si>
    <t>Длительность, сут.</t>
  </si>
  <si>
    <t>Возраст в днях</t>
  </si>
  <si>
    <t>До 1 сут.</t>
  </si>
  <si>
    <t>До 7 дней</t>
  </si>
  <si>
    <t>Интестин. зонд</t>
  </si>
  <si>
    <t>Кол-во пациентов</t>
  </si>
  <si>
    <t>1-3 сут.</t>
  </si>
  <si>
    <t>7-29 дней</t>
  </si>
  <si>
    <t>СМА</t>
  </si>
  <si>
    <t>Датчик ВЧД</t>
  </si>
  <si>
    <t>Коновалова</t>
  </si>
  <si>
    <t>3-30 сут.</t>
  </si>
  <si>
    <t>До 1 года</t>
  </si>
  <si>
    <t>3-7 сут.</t>
  </si>
  <si>
    <t>Блокады сплетений</t>
  </si>
  <si>
    <t>Тромб.</t>
  </si>
  <si>
    <t>PD</t>
  </si>
  <si>
    <t>Инваз. АД</t>
  </si>
  <si>
    <t>Яроменок</t>
  </si>
  <si>
    <t>Свыше 30 сут.</t>
  </si>
  <si>
    <t>1-3 года</t>
  </si>
  <si>
    <t>7-20 сут.</t>
  </si>
  <si>
    <t>Интестин. Зонд+датчик ВЧД</t>
  </si>
  <si>
    <t>Тонеев</t>
  </si>
  <si>
    <t>Всего</t>
  </si>
  <si>
    <t>3-7 лет</t>
  </si>
  <si>
    <t>Более 20 сут.</t>
  </si>
  <si>
    <t>ЦВК&gt;=3</t>
  </si>
  <si>
    <t>СЗП+Тр</t>
  </si>
  <si>
    <t>CVVHDF+MPS</t>
  </si>
  <si>
    <t>ЦВК&gt;=№3</t>
  </si>
  <si>
    <t>Датчик ВЧД+Инваз. АД</t>
  </si>
  <si>
    <t>Новиков АА</t>
  </si>
  <si>
    <t>7-15 лет</t>
  </si>
  <si>
    <t>Новорожденным</t>
  </si>
  <si>
    <t>Эр+Тр</t>
  </si>
  <si>
    <t>CVVHDF+PD</t>
  </si>
  <si>
    <t>Интестин. Зонд+датчик ВЧД+инваз. АД</t>
  </si>
  <si>
    <t>Можаев</t>
  </si>
  <si>
    <t>15-18 лет</t>
  </si>
  <si>
    <t>Диализ. катетер</t>
  </si>
  <si>
    <t>СЗП+Эр+Тр</t>
  </si>
  <si>
    <t>CVVHDF+Кишеч. Лаваж</t>
  </si>
  <si>
    <t>Баженов</t>
  </si>
  <si>
    <t>Всего ЦВК</t>
  </si>
  <si>
    <t>Плазмаферез</t>
  </si>
  <si>
    <t>Корольков</t>
  </si>
  <si>
    <t>СЗП всего</t>
  </si>
  <si>
    <t>Всего CVVHDF</t>
  </si>
  <si>
    <t>Потапова</t>
  </si>
  <si>
    <t>Эр всего</t>
  </si>
  <si>
    <t>Всего MPS</t>
  </si>
  <si>
    <t>Крошкина</t>
  </si>
  <si>
    <t>Тр всего</t>
  </si>
  <si>
    <t>Всего PD</t>
  </si>
  <si>
    <t>Громов</t>
  </si>
  <si>
    <t>Всего кишеч. Лаваж</t>
  </si>
  <si>
    <t>Кудуев</t>
  </si>
  <si>
    <t>Койко-дней всего</t>
  </si>
  <si>
    <t>Всего ЭКД</t>
  </si>
  <si>
    <t>Кулигина</t>
  </si>
  <si>
    <t>Челышев</t>
  </si>
  <si>
    <t>Грачёва</t>
  </si>
  <si>
    <t>Шишкова</t>
  </si>
  <si>
    <t>Новиков ИЮ</t>
  </si>
  <si>
    <t>Савичева</t>
  </si>
  <si>
    <t>Итого</t>
  </si>
  <si>
    <t>Диагнозы</t>
  </si>
  <si>
    <t>Психические расстройства</t>
  </si>
  <si>
    <t>Болезни неонатального возраста</t>
  </si>
  <si>
    <t>Болезни в возрасте до 5 лет</t>
  </si>
  <si>
    <t>Болезни в возрасте 5-12 лет</t>
  </si>
  <si>
    <t>Болезни в возрасте 12-18 лет</t>
  </si>
  <si>
    <t>Александров Кирилл Юрьевич</t>
  </si>
  <si>
    <t>Иваново коллективная 5-4</t>
  </si>
  <si>
    <t>Отравление суррогами алкоголя</t>
  </si>
  <si>
    <t>Ивановово 30 микро-н</t>
  </si>
  <si>
    <t>Эпилептическая энцефалопатия, спастический тетрапарез, бурбарный синдром, заменв гастростомы</t>
  </si>
  <si>
    <t>Карпычев Денис Юрьевич</t>
  </si>
  <si>
    <t>Тупая травма живота. Гастротомия.</t>
  </si>
  <si>
    <t>Иваново Плесский пер-к 5-5</t>
  </si>
  <si>
    <t>Бакарев Егор Александрович</t>
  </si>
  <si>
    <t>Кинешма пер. Дунаевского 20-15</t>
  </si>
  <si>
    <t>Наложение АНФ на левое бедро</t>
  </si>
  <si>
    <t>Клементьева Виктория Алексеевна</t>
  </si>
  <si>
    <t>Иваново 5 первомайская 3-55</t>
  </si>
  <si>
    <t>Гулуев Глеб Романович</t>
  </si>
  <si>
    <t>Заволжский р-он.пос заречный Школьная 4-6</t>
  </si>
  <si>
    <t>СД1 типа, впервые выявленный</t>
  </si>
  <si>
    <t>Якунин Ярослав Максимович</t>
  </si>
  <si>
    <t>Фурманов возрождения 30-85</t>
  </si>
  <si>
    <t>Эпилепсия, состояние послеэпиприпадка</t>
  </si>
  <si>
    <t>Усатенко Виктория Яновна</t>
  </si>
  <si>
    <t>Кинешма Соревнования 2-4</t>
  </si>
  <si>
    <t>Сочетанная травма, ушиб головногомозга средней степени тяжеси, перелом правой лобной пазухи, гемосинус, перелом левой ключицы, Ушиб грудной клетки, Перелом правой бедренной кости.Перелом остистых отростков д1-5</t>
  </si>
  <si>
    <t>волков максим андреевич</t>
  </si>
  <si>
    <t>шуя. 10 северная, 15</t>
  </si>
  <si>
    <t xml:space="preserve">ЗЧМТ сотрясение головного мозга. ЗТГК. </t>
  </si>
  <si>
    <t>Иваново, Смирнова8-44</t>
  </si>
  <si>
    <t>Сивохина Софья Михайловна</t>
  </si>
  <si>
    <t>Иваново Текстильщиков 52-80</t>
  </si>
  <si>
    <t xml:space="preserve">Васканов Евгений Максимович </t>
  </si>
  <si>
    <t>московская область  люберцы</t>
  </si>
  <si>
    <t>сочетанная травма, ушиб лезесенки, разрыв левой почки</t>
  </si>
  <si>
    <t>Иваново межсоюзная 23-36</t>
  </si>
  <si>
    <t>эпилепсия, состояние после эпиприпадка</t>
  </si>
  <si>
    <t>Горбачева Ева Антоновна</t>
  </si>
  <si>
    <t xml:space="preserve">Воронина Виктория Владимировна </t>
  </si>
  <si>
    <t>Иваново Почтовая 77А</t>
  </si>
  <si>
    <t xml:space="preserve">Амири Артем Хашматулаевич </t>
  </si>
  <si>
    <t>Иваново Василевского 25</t>
  </si>
  <si>
    <t xml:space="preserve">Окклюзионная гидроцефали, опухоль головного мозга </t>
  </si>
  <si>
    <t xml:space="preserve">Бабитко Даниил Дмитриевич </t>
  </si>
  <si>
    <t>Ивановский район с Железнодорожный Садовая 3-6</t>
  </si>
  <si>
    <t>Отравление суррогатами оакоголя</t>
  </si>
  <si>
    <t>Брылев Николай Александрович</t>
  </si>
  <si>
    <t>Комсомольск Советская 4-6</t>
  </si>
  <si>
    <t>Кулагина Варвара Юрьевна</t>
  </si>
  <si>
    <t>Обструктивный бронхит</t>
  </si>
  <si>
    <t>Отравление аспаркамом</t>
  </si>
  <si>
    <t>Пименов Владислав Александрович</t>
  </si>
  <si>
    <t>Сочетанноя травма, ЗЧМТ сотрясение головного мозга, ушибы конечностей</t>
  </si>
  <si>
    <t xml:space="preserve">Рыцарева Екатерина Васильевна </t>
  </si>
  <si>
    <t>ЖКБ, состояние после ЛХЭ</t>
  </si>
  <si>
    <t>Ильичев Александр Андреевич</t>
  </si>
  <si>
    <t>Состояние после приступа судорог</t>
  </si>
  <si>
    <t>Малинин Максим Дмитриевич</t>
  </si>
  <si>
    <t>Иваново 14 проезд 2-12</t>
  </si>
  <si>
    <t>Состоние после лапаротомии, резекции участка кишки с новообразованием</t>
  </si>
  <si>
    <t>Карцева Дарья Викторовна</t>
  </si>
  <si>
    <t>Дисфункциональное маточное кровотечение, анемия тяжелой степени</t>
  </si>
  <si>
    <t>Толстов Константин Сергеевич</t>
  </si>
  <si>
    <t>г Кохма, ул. 2-я Лесная, д17</t>
  </si>
  <si>
    <t>Караваева Софья Дмитриевна</t>
  </si>
  <si>
    <t>г. Тейково, ул. Фрунзе, д25 кв 4</t>
  </si>
  <si>
    <t>Шилов Григорий Николаевич</t>
  </si>
  <si>
    <t>Сочетанная травма, ушиб головного мозга среднй степени тяжести ушибленная рана волосистой части головы.ушиб легкого</t>
  </si>
  <si>
    <t>Лачев Андрей Сергеевич</t>
  </si>
  <si>
    <t>Ярославль Пирогова 28</t>
  </si>
  <si>
    <t>Сочетанная травма ЗЧМТ, сочетанная травма,ушиб легкого, перелом бедра, состояние после наложения АПФ</t>
  </si>
  <si>
    <t>Берг Ульяна Ильинишна</t>
  </si>
  <si>
    <t>Москва Речников 22-3-7</t>
  </si>
  <si>
    <t>Сочетанная травма, ЗЧМТ, сотрясение головного мозга, Перелома вывих С5, закрытый перелом остистого отростка С7, ушиб грудной стенки</t>
  </si>
  <si>
    <t>Кондратьев Богдан Алесеевич</t>
  </si>
  <si>
    <t>Кинешма Щорса 64-79</t>
  </si>
  <si>
    <t>Иваново Афанасьева 9-2</t>
  </si>
  <si>
    <t>Аппендицит, разлитой перитонит</t>
  </si>
  <si>
    <t>Войтеха Ксения Денисовна</t>
  </si>
  <si>
    <t>ЧМТ</t>
  </si>
  <si>
    <t>Изюмов Дмитрий Вячеславович</t>
  </si>
  <si>
    <t>нефро</t>
  </si>
  <si>
    <t>Юсупов Богдан Уматович</t>
  </si>
  <si>
    <t>Гагарина 5-31</t>
  </si>
  <si>
    <t>гуc</t>
  </si>
  <si>
    <t>Иваново,Октябрьская,16-6</t>
  </si>
  <si>
    <t>перфорация желудка</t>
  </si>
  <si>
    <t>Красильников Алексей Максимович</t>
  </si>
  <si>
    <t>Ивановский р-н, с. Игнатово</t>
  </si>
  <si>
    <t>сочетанная травма</t>
  </si>
  <si>
    <t>чуков георгий иванович</t>
  </si>
  <si>
    <t>иваново, ул садовая</t>
  </si>
  <si>
    <t>разрыв трахеи</t>
  </si>
  <si>
    <t>Завидин Андрей Николаевич</t>
  </si>
  <si>
    <t>Ивановский р-н,д.Гусево</t>
  </si>
  <si>
    <t>Укус змеи</t>
  </si>
  <si>
    <t>Чистякова Алисия Никитична</t>
  </si>
  <si>
    <t>Б.Воробьевская 16-136</t>
  </si>
  <si>
    <t>Острое бытовое отравление лекарственным препаратом</t>
  </si>
  <si>
    <t>Маснева Екатерина Валерьевна</t>
  </si>
  <si>
    <t>М.Василевского 11б-4</t>
  </si>
  <si>
    <t>Михайлова Полина Николаевна</t>
  </si>
  <si>
    <t>г.Иваново ул. Маршала Василевского д.115. кв. 5</t>
  </si>
  <si>
    <t>Митин Матвей Романович</t>
  </si>
  <si>
    <t>г Иваново ул. Ивановская 81</t>
  </si>
  <si>
    <t>Химический ожок пищевода</t>
  </si>
  <si>
    <t>Кучерявый Антон Втальевич</t>
  </si>
  <si>
    <t>Вичуга, ул.Кинешемская, 43,15</t>
  </si>
  <si>
    <t>Дементьева Александра Александровна</t>
  </si>
  <si>
    <t>Иваново,пр.Текстильщиков, 46,4</t>
  </si>
  <si>
    <t>отравление суррогатами алкоголя</t>
  </si>
  <si>
    <t>Корнев Михаил Алексеевич</t>
  </si>
  <si>
    <t>хим.ожог уксусной эссенцией</t>
  </si>
  <si>
    <t>Шлакин Николай Андреевич</t>
  </si>
  <si>
    <t>Шуя</t>
  </si>
  <si>
    <t>пароксизмальная наджелудочковая тахикардия</t>
  </si>
  <si>
    <t>Коровкина Кира Евгеньевна</t>
  </si>
  <si>
    <t>г.Иваново ул. Куконковых 110-74</t>
  </si>
  <si>
    <t>О. перфоративный аппендицит. Разлитой гнойный перитонит</t>
  </si>
  <si>
    <t>Казачков Михаил Дмиьтриевич</t>
  </si>
  <si>
    <t>Дивертикулит, перитонит</t>
  </si>
  <si>
    <t>СтециК Денис Николаевич</t>
  </si>
  <si>
    <t>Панбронхит</t>
  </si>
  <si>
    <t>Романова Елизавета Романовна</t>
  </si>
  <si>
    <t>Иваново Новая Ильинка 36-26</t>
  </si>
  <si>
    <t>менингоэнцефалит</t>
  </si>
  <si>
    <t>Маслов Семен Романович</t>
  </si>
  <si>
    <t>Сайнеъмони Амир</t>
  </si>
  <si>
    <t>Иваново авдотьинская 28-63</t>
  </si>
  <si>
    <t>кататравма: перелом бедра,пневмоторакс справа. Ушиб легких, перелом ребер</t>
  </si>
  <si>
    <t>Плотников Владимир Олегович</t>
  </si>
  <si>
    <t>Ковров</t>
  </si>
  <si>
    <t>Черкасов Александр Михайлович</t>
  </si>
  <si>
    <t>СД 1типа, впервые выявленный, кетоацидоз</t>
  </si>
  <si>
    <t>Столбец1</t>
  </si>
  <si>
    <t>Левинский Егор Александрович</t>
  </si>
  <si>
    <t>Тейково Неделина 16-53</t>
  </si>
  <si>
    <t>Термический ожог 2 степени  грудной клетки</t>
  </si>
  <si>
    <t>Воронцова Ульяна Ильинична</t>
  </si>
  <si>
    <t>Наволоки Спортивная 29-8</t>
  </si>
  <si>
    <t>Атрезия подвдошной кишки, состояние после оперативного лечения</t>
  </si>
  <si>
    <t>Хозина Лия Маратовна</t>
  </si>
  <si>
    <t>Иваново Куконковых 154-98</t>
  </si>
  <si>
    <t>Сочетанная травма. Открытая проникающая ЧМТ,ушиб головного мозга средней степени тяжести, травматический САК, перелом затылочной кости, ушибленная рана правой затылочной области, травматический шок 1 степени</t>
  </si>
  <si>
    <t>Савинов Владислав Антонович</t>
  </si>
  <si>
    <t>Иваново Самойлова 12-16</t>
  </si>
  <si>
    <t>Деформация грудной клетки торакопластики</t>
  </si>
  <si>
    <t>Ивоново</t>
  </si>
  <si>
    <t>Кистозные образования головного мозга, гидроцефалия, состояние после установки ПВШ</t>
  </si>
  <si>
    <t>Удалова Мария Сергеевна</t>
  </si>
  <si>
    <t>Арасланова Лидия Владимировна</t>
  </si>
  <si>
    <t>сахарный диабет</t>
  </si>
  <si>
    <t>Карлышев Данила Андреевич</t>
  </si>
  <si>
    <t>Медуллобластома, САК</t>
  </si>
  <si>
    <t>Бурдин Руслан</t>
  </si>
  <si>
    <t>Сочетанная травма, АНФ пр.бедра</t>
  </si>
  <si>
    <t>Суханова Афина Андреевна</t>
  </si>
  <si>
    <t>вр.пневмония, недоношенность, анемия тяжелая</t>
  </si>
  <si>
    <t>Сушкина Мария Александровна</t>
  </si>
  <si>
    <t>МОС головки бедренной кости</t>
  </si>
  <si>
    <t>Термический ожог пламенем</t>
  </si>
  <si>
    <t>Китаев Иван Михайлович</t>
  </si>
  <si>
    <t>Швец София Александровна</t>
  </si>
  <si>
    <t>Соколов Даниил Владимирович</t>
  </si>
  <si>
    <t>Субботин Гордей Игоревич</t>
  </si>
  <si>
    <t>Мальцев Эдуард Александрович</t>
  </si>
  <si>
    <t>Заволжск</t>
  </si>
  <si>
    <t>Сахарный диабет</t>
  </si>
  <si>
    <t>Рамодина Мария Руслановна</t>
  </si>
  <si>
    <t>Ново-Талицы</t>
  </si>
  <si>
    <t>Сахарный диабет впервыевыявленный</t>
  </si>
  <si>
    <t>Куражев Павел Романович</t>
  </si>
  <si>
    <t>Трусов Владислав Андреевич</t>
  </si>
  <si>
    <t>Поздняя спаечная кишечная непроходимость</t>
  </si>
  <si>
    <t>Жукова Софья Андреевна</t>
  </si>
  <si>
    <t>Медуллобластома</t>
  </si>
  <si>
    <t>Горбунов Матвей Дмитриевич</t>
  </si>
  <si>
    <t>пос Железнодорожный Ив.район</t>
  </si>
  <si>
    <t>Перфоративный аппендици, местный перитонит, периаппендикулярный инфильтрат</t>
  </si>
  <si>
    <t>Борисов Александр Николаевич</t>
  </si>
  <si>
    <t>Ильинский район с Гари</t>
  </si>
  <si>
    <t>флегмонозный ,разлитой перитонит</t>
  </si>
  <si>
    <t>Отравление суррогатоми алкоголя</t>
  </si>
  <si>
    <t>Хохлов Алексей Елдарович</t>
  </si>
  <si>
    <t>Миронов Данила Аббасович</t>
  </si>
  <si>
    <t>Хроническая тяжелая анемия</t>
  </si>
  <si>
    <t>медуллобластома 4 жедудочка классический вариант. Сепсис</t>
  </si>
  <si>
    <t>Ефимченко Семен Сергеевич</t>
  </si>
  <si>
    <t>Залесье</t>
  </si>
  <si>
    <t>Термический ожог 10%</t>
  </si>
  <si>
    <t>Оверичев ДмитрийАлексеевич</t>
  </si>
  <si>
    <t>Отравление суррогатами алколя</t>
  </si>
  <si>
    <t>Синдром рвот</t>
  </si>
  <si>
    <t>Добрынина Вероника Александровна</t>
  </si>
  <si>
    <t>Эпилепсия,, приступ судорог</t>
  </si>
  <si>
    <t>Юнусзода Ахмад Манучехриевич</t>
  </si>
  <si>
    <t>кохма</t>
  </si>
  <si>
    <t>о. стеноз гортани. ДН 2 ст</t>
  </si>
  <si>
    <t>медулобластома</t>
  </si>
  <si>
    <t>Рабжабов Мусаб Эмомалиевич</t>
  </si>
  <si>
    <t xml:space="preserve">Иваново </t>
  </si>
  <si>
    <t>термический ожог, 1-2 степени, полощадь 10%, 1-2 степени</t>
  </si>
  <si>
    <t>Ксенздзик Мария Евгеньевна</t>
  </si>
  <si>
    <t>Ушиб головного мозга легкой степени тяжести, передом лобной кости с переходом орбиту</t>
  </si>
  <si>
    <t xml:space="preserve">Теряев Глеб </t>
  </si>
  <si>
    <t>Энцефалит неуточнённый.? Для уточнения диагноза</t>
  </si>
  <si>
    <t>Юматова Елизавета Дмитриевна</t>
  </si>
  <si>
    <t>СД1 типа, кетоацидоз</t>
  </si>
  <si>
    <t>Коваленко Маргарита Евгеньевна</t>
  </si>
  <si>
    <t>Сочетанная кататравма. ЗЧМТ, САК, ЗТГК, ТТЖ</t>
  </si>
  <si>
    <t>Чистяков Илья Андреевич</t>
  </si>
  <si>
    <t>СД1 пит, кетоацидоз, обостр хр панкреатита</t>
  </si>
  <si>
    <t>Козлов Дмитрий Юрьевич</t>
  </si>
  <si>
    <t>синдром Гийенна-Барре</t>
  </si>
  <si>
    <t>сочетанная травма, ЗЧМТ, ушиб головного мозга</t>
  </si>
  <si>
    <t>Кривова Дарья Александровна</t>
  </si>
  <si>
    <t xml:space="preserve">Анемия смешанного генеза, тяжелая. Тяжелая БЭН. </t>
  </si>
  <si>
    <t>Игнатьев Мирон Маркович</t>
  </si>
  <si>
    <t>Врождденный порок сердца, сердечная недостаточность 2А</t>
  </si>
  <si>
    <t>Осипов Александр владимирович</t>
  </si>
  <si>
    <t>Рваная рана правого бедра</t>
  </si>
  <si>
    <t>Уруев Арсений Олегович</t>
  </si>
  <si>
    <t>жукова Софья Андреевна</t>
  </si>
  <si>
    <t>тейково</t>
  </si>
  <si>
    <t>Новообразование головного мозга</t>
  </si>
  <si>
    <t>Еремченко Семен Сергеевич</t>
  </si>
  <si>
    <t>Макаров Карим Николаевич</t>
  </si>
  <si>
    <t>Чапурнина Кристина александровна</t>
  </si>
  <si>
    <t>ЗЧМТ, сотрясение головного мозга, эпидуральная гематома, вдавленный перелом височной кости</t>
  </si>
  <si>
    <t>Иваново Шубиных 16д-44</t>
  </si>
  <si>
    <t>Сд1 типа впервые выявленный, кетоацидоз</t>
  </si>
  <si>
    <t>Лопатникова Вероника Андреевна</t>
  </si>
  <si>
    <t>Иваново 2 дачная 7</t>
  </si>
  <si>
    <t>Отравления таблетками карбамазепина</t>
  </si>
  <si>
    <t>Гладышев Владимир Михайлович</t>
  </si>
  <si>
    <t>г. Кинешма, ул. Ванцетти, д 41, кв. 7</t>
  </si>
  <si>
    <t xml:space="preserve">Сочетанная травма. </t>
  </si>
  <si>
    <t>Смирнов Максим Дмитриевич</t>
  </si>
  <si>
    <t>г. Кинешма, ул. 50 лет Комсомола, д. 10А, кв. 14</t>
  </si>
  <si>
    <t>Болтамурова Сафия Бобожоновна</t>
  </si>
  <si>
    <t>Термический ожог бр.стенки и бедер</t>
  </si>
  <si>
    <t>Галямин Григорий Александрович</t>
  </si>
  <si>
    <t>Конькова Изабель Владимировна</t>
  </si>
  <si>
    <t>Сахарный диабет, впервые выявленный, кетоацидоз</t>
  </si>
  <si>
    <t>Леонтьева Вероника Сергеевна</t>
  </si>
  <si>
    <t>п Лежнево, 1я комсомольская 7</t>
  </si>
  <si>
    <t>Савельичев Арсений Глебович</t>
  </si>
  <si>
    <t>Иваново Менделеева 2821</t>
  </si>
  <si>
    <t>Острый лимфобластный лейкоз</t>
  </si>
  <si>
    <t>Осетрова Алиса Ивановна</t>
  </si>
  <si>
    <t>Анемия тяжелая, ГУС</t>
  </si>
  <si>
    <t>Анемия тяжелая,</t>
  </si>
  <si>
    <t>шилков кирилл артурович</t>
  </si>
  <si>
    <t>шуйский район, д китово</t>
  </si>
  <si>
    <t>г кинешма, ул ванцетти</t>
  </si>
  <si>
    <t>канаев савелий дмитриевич</t>
  </si>
  <si>
    <t>Лежневский р-н, с. Чернцы</t>
  </si>
  <si>
    <t>укушенная рана ВЧГ</t>
  </si>
  <si>
    <t>мкр.Московский</t>
  </si>
  <si>
    <t>Острый простой бронхит</t>
  </si>
  <si>
    <t>Серов Леонид</t>
  </si>
  <si>
    <t>Калинина</t>
  </si>
  <si>
    <t>Иванов Иван Андреевич</t>
  </si>
  <si>
    <t>Д. Малинки</t>
  </si>
  <si>
    <t>сд 1, КЕТОАЦИДОЗ</t>
  </si>
  <si>
    <t>Черноусова Анна Андреевна</t>
  </si>
  <si>
    <t>г.Иваново, ул. Ген.Хлебникова</t>
  </si>
  <si>
    <t>Бахарева Ксения Евгеньевна</t>
  </si>
  <si>
    <t>Шилков Кирилл Артурович</t>
  </si>
  <si>
    <t>Шуйский р-н</t>
  </si>
  <si>
    <t>Сочетанная травма, МОС левогобедра</t>
  </si>
  <si>
    <t>Палатина Снежана Александровна</t>
  </si>
  <si>
    <t>Пестяки</t>
  </si>
  <si>
    <t>Григорян Давид Сергеевич</t>
  </si>
  <si>
    <t>Диафрагмальная грыжа ложная, левосторонняя, рецидив</t>
  </si>
  <si>
    <t>Перфорация мочевого пузыря</t>
  </si>
  <si>
    <t xml:space="preserve">Комсомольск </t>
  </si>
  <si>
    <t>Яковлев Кирилл Сергеевич</t>
  </si>
  <si>
    <t>Кайгородов Александр Иванович</t>
  </si>
  <si>
    <t>Бронхиальная астма</t>
  </si>
  <si>
    <t>Туманова Юлия Сергеевна</t>
  </si>
  <si>
    <t>бронхальнаяастма, бронхообструктивный синдром</t>
  </si>
  <si>
    <t>Отравление бензином и алкаголем</t>
  </si>
  <si>
    <t>Балов Степан Владимирович</t>
  </si>
  <si>
    <t>Наволоки</t>
  </si>
  <si>
    <t>камбур мелисса артуровна</t>
  </si>
  <si>
    <t>ЗЧМТ.  УГМ</t>
  </si>
  <si>
    <t>Севостьянова Марина Михайловна</t>
  </si>
  <si>
    <t>Титова Амина Максимовна</t>
  </si>
  <si>
    <t xml:space="preserve">Калмыков Матвей Викторович </t>
  </si>
  <si>
    <t>Энтероколит</t>
  </si>
  <si>
    <t>Усов Дмитрий Александрович</t>
  </si>
  <si>
    <t>странгуляционная асфиксия. Постгипоксическая энцефалопатия</t>
  </si>
  <si>
    <t>Огирь Артем Андреевич</t>
  </si>
  <si>
    <t>Ивановская обл. г.Палех</t>
  </si>
  <si>
    <t>Бугров Ярослав Витальевич</t>
  </si>
  <si>
    <t>Спирков Никита Александрович</t>
  </si>
  <si>
    <t>Перфоративный аппендицит. Разлитой перитонит</t>
  </si>
  <si>
    <t xml:space="preserve"> Ивкина Александра Олеговна</t>
  </si>
  <si>
    <t>Отравление нейролептиками</t>
  </si>
  <si>
    <t>Шагимярдянов Лев Ринатович</t>
  </si>
  <si>
    <t>Подняя кишечная непроходимость, состояние после адгезиолизиса</t>
  </si>
  <si>
    <t>Хакимов Дмитрий Дени</t>
  </si>
  <si>
    <t>Сочетанная травма: ОЧМТ, ушиб головного мозга, Перелом правой ветви верх.челюсти.Ушибы легких, разрвы селезенки</t>
  </si>
  <si>
    <t>Малинин сергей Викторович</t>
  </si>
  <si>
    <t>Флегмона дна полости рта</t>
  </si>
  <si>
    <t>Сурикова Дарина Алексеевна</t>
  </si>
  <si>
    <t>Шуйский районСВасилевское 1 я Восточная 17</t>
  </si>
  <si>
    <t>СД1 выявленный</t>
  </si>
  <si>
    <t>Исаев Никита Олегович</t>
  </si>
  <si>
    <t>Отравление суррогатами Алкоголя</t>
  </si>
  <si>
    <t>Шоронова Мария Дмитриевна</t>
  </si>
  <si>
    <t>краниопластика</t>
  </si>
  <si>
    <t>Опарин Роман Сергеевич</t>
  </si>
  <si>
    <t>Ивановская обл. п.Лежнево, 3 Свердлова, д3</t>
  </si>
  <si>
    <t>СД1 типа</t>
  </si>
  <si>
    <t>Веретенников Артем Олегович</t>
  </si>
  <si>
    <t>Отравление метадоном</t>
  </si>
  <si>
    <t>Махмудов Абдурахман Абдурасулович</t>
  </si>
  <si>
    <t>Хим.ожог пищевода</t>
  </si>
  <si>
    <t>Яблокова Виктория Федоровна</t>
  </si>
  <si>
    <t>киста яичника</t>
  </si>
  <si>
    <t>Омаров Али Рустамович</t>
  </si>
  <si>
    <t>Лицов Александр Серггевич</t>
  </si>
  <si>
    <t>Закрытый перелом н/3 левой бедренной кости со смещением отломков. Травматический шок 1 ст.</t>
  </si>
  <si>
    <t>Ниезов Амир Неъматуллаевич</t>
  </si>
  <si>
    <t>Иваново Ермака 18-1</t>
  </si>
  <si>
    <t>Гипогликемия, эксикоз</t>
  </si>
  <si>
    <t>Спаячная кишечная непроходимость</t>
  </si>
  <si>
    <t>Кондратьева Алевтина Алексеевна</t>
  </si>
  <si>
    <t>Сахарный диабет, фаза кетоацидоза</t>
  </si>
  <si>
    <t>Сироткина София Ильинична</t>
  </si>
  <si>
    <t>С-м Пьера Робена</t>
  </si>
  <si>
    <t>Хвостиков Артем Александрович</t>
  </si>
  <si>
    <t>Гав-Посадский район</t>
  </si>
  <si>
    <t>Скурыгин Степан Иванович</t>
  </si>
  <si>
    <t>Мигунова Анна Артемовна</t>
  </si>
  <si>
    <t>Гусева Галина Вячеславовна</t>
  </si>
  <si>
    <t>Галкин Александр Сергеевич</t>
  </si>
  <si>
    <t>сахарный диабет,  фаза кетоацидоза</t>
  </si>
  <si>
    <t>Бабанов Артем Александрович</t>
  </si>
  <si>
    <t>острый тубулоинтерстициальный нефрит</t>
  </si>
  <si>
    <t>Ведерников Артем Александрович</t>
  </si>
  <si>
    <t>Обстр.бронхит</t>
  </si>
  <si>
    <t>Сурин Андрей Михайлович</t>
  </si>
  <si>
    <t>отравление неизвестным веществом</t>
  </si>
  <si>
    <t>Смирнов Георгий Сергеевич</t>
  </si>
  <si>
    <t>Отравление урагным газом</t>
  </si>
  <si>
    <t>Отравление угарным газом</t>
  </si>
  <si>
    <t>Смирнова Ксения Сергеевна</t>
  </si>
  <si>
    <t>Скворцов Степан Алекесеевич</t>
  </si>
  <si>
    <t>Отравление нафтизином</t>
  </si>
  <si>
    <t>Осипова Варвара Алексеевна</t>
  </si>
  <si>
    <t>Папанова Анастасия Сепргеевна</t>
  </si>
  <si>
    <t>Шарапова Мария Ивановна</t>
  </si>
  <si>
    <t xml:space="preserve">Приволжск </t>
  </si>
  <si>
    <t>Серова Мария Ивановна</t>
  </si>
  <si>
    <t>Цаплин Артем Александрович</t>
  </si>
  <si>
    <t>Сизова Ангелина Николаевна</t>
  </si>
  <si>
    <t>эпилепсия</t>
  </si>
  <si>
    <t>Григорьева Арина Евгеньевна</t>
  </si>
  <si>
    <t>уткин рустам давронович</t>
  </si>
  <si>
    <t>пучежский район</t>
  </si>
  <si>
    <t>состояние после эпистатуса</t>
  </si>
  <si>
    <t>Мирзоева Амина Бехрузовна</t>
  </si>
  <si>
    <t xml:space="preserve">Ильинский </t>
  </si>
  <si>
    <t>Гипоплазия дуги аорты</t>
  </si>
  <si>
    <t>Матвеев Иван Алесеевич</t>
  </si>
  <si>
    <t>Субдуральная дуральная гематома , САК теменной и височной области</t>
  </si>
  <si>
    <t>термический ожог</t>
  </si>
  <si>
    <t>травматический рабдомиолиз</t>
  </si>
  <si>
    <t>Семикова Елизавета Сергеевна</t>
  </si>
  <si>
    <t>Сочетанная травма. САК. ЗТГК</t>
  </si>
  <si>
    <t>Ивановский район</t>
  </si>
  <si>
    <t>Ледянкина Елизавета Андреевна</t>
  </si>
  <si>
    <t>Зинцов Иван Денисович</t>
  </si>
  <si>
    <t>Рабдомиолиз. Миозит бедер</t>
  </si>
  <si>
    <t>Васильев Ярослав Николаевич</t>
  </si>
  <si>
    <t>Ботин Павел Алексеевич</t>
  </si>
  <si>
    <t>Клопов Дмитрий Александрович</t>
  </si>
  <si>
    <t>Иваново. Ул. Котовского, д.25, кв.32</t>
  </si>
  <si>
    <t>Бирюков Николай Дмитриевич</t>
  </si>
  <si>
    <t>Врожденная гидроцефалия</t>
  </si>
  <si>
    <t>Г. Иваново</t>
  </si>
  <si>
    <t>Закрытый перелом бедра</t>
  </si>
  <si>
    <t>Красильникова Екатерина Ивановна</t>
  </si>
  <si>
    <t>г.Вичуга</t>
  </si>
  <si>
    <t xml:space="preserve">румянцев Арсений Павлович </t>
  </si>
  <si>
    <t>Писцово Комсомольский район</t>
  </si>
  <si>
    <t>Сочетааная травма,ушиб головного мозга легкой степени, ушиблевого коленноготсустава</t>
  </si>
  <si>
    <t>Вайтенко Вероника Артемовна</t>
  </si>
  <si>
    <t>Сочетанная тарвма</t>
  </si>
  <si>
    <t xml:space="preserve">Дербилов Данила Юрьевич </t>
  </si>
  <si>
    <t>17  лет</t>
  </si>
  <si>
    <t>г.Иваново</t>
  </si>
  <si>
    <t>ингаляционное отравление гашишом</t>
  </si>
  <si>
    <t>Акилов Мухаммадали</t>
  </si>
  <si>
    <t>Тотальный аномальный дренаж легочных вен</t>
  </si>
  <si>
    <t>г. Фурманов, ул. Хлебникова, 4-41</t>
  </si>
  <si>
    <t>ТСТ. УГМ, легк. Ушиб легких. Перелеом прав. Бедра</t>
  </si>
  <si>
    <t>Без регистрации</t>
  </si>
  <si>
    <t>Хакина Дарья Евгеньевна</t>
  </si>
  <si>
    <t>Муратова Анастасия</t>
  </si>
  <si>
    <t>Ивановская обл., г. Южа, ул. 3-я Рабочая, двлд. 51</t>
  </si>
  <si>
    <t>Фокальная эпилепсия</t>
  </si>
  <si>
    <t>Александровский Артем Русланович</t>
  </si>
  <si>
    <t>ТТЖ, лапароскопия</t>
  </si>
  <si>
    <t>Цуркан Даниил Вячеславович</t>
  </si>
  <si>
    <t>г. Фурманов, ул. Орджоникидзе, д.36</t>
  </si>
  <si>
    <t>Батин Алексей Антонович</t>
  </si>
  <si>
    <t>двустооронняя аспирационная пневмония, ВПР ЦНС</t>
  </si>
  <si>
    <t>Киптиков Алексей Юрьевич</t>
  </si>
  <si>
    <t>Скворцов Данила Сергеевич</t>
  </si>
  <si>
    <t>Приволжск</t>
  </si>
  <si>
    <t>Приходько Полина Констатиновна</t>
  </si>
  <si>
    <t>Отравление ленкарственными препаратами</t>
  </si>
  <si>
    <t>Компасова Алена Александровна</t>
  </si>
  <si>
    <t>Пелевина Варвара Андреевна</t>
  </si>
  <si>
    <t>Состояние поле спонтанно возникшего приступа наджелудочковой тахикардии с узкими комплексами QRS</t>
  </si>
  <si>
    <t>Ракчеева Кристина Ростиславовна</t>
  </si>
  <si>
    <t>Маслова Арина Дмитриевна</t>
  </si>
  <si>
    <t>Отравление крысиным ядом ?</t>
  </si>
  <si>
    <t>Очкова Мария Алексеевна</t>
  </si>
  <si>
    <t>О. интерстициальный нефрит. ГУС? Тромбоцитопения</t>
  </si>
  <si>
    <t>Войнова Олеся Андреевна</t>
  </si>
  <si>
    <t>Киста левого яичника. Состояние после ЛПС удаления кисты, кровопотери 1100 мл</t>
  </si>
  <si>
    <t>Субдуральная гематома</t>
  </si>
  <si>
    <t>Марков Кирилл Сергеевич</t>
  </si>
  <si>
    <t xml:space="preserve">Дроздова Валерия Сергеевна </t>
  </si>
  <si>
    <t xml:space="preserve">отравление лекарственными препаратами </t>
  </si>
  <si>
    <t>Лакомова Ксения Витальевна</t>
  </si>
  <si>
    <t>Внематочная беременность</t>
  </si>
  <si>
    <t>Шалин Алексей Сергеевич</t>
  </si>
  <si>
    <t>Кунышева Алина Михайловна</t>
  </si>
  <si>
    <t>ШУЯ</t>
  </si>
  <si>
    <t>Анемия тежелой степени</t>
  </si>
  <si>
    <t>эритроцитарная масса</t>
  </si>
  <si>
    <t>Крупин Дмитрий Сергеевич</t>
  </si>
  <si>
    <t>Гнойно-фибринозный перитонит</t>
  </si>
  <si>
    <t>эпидур.анест</t>
  </si>
  <si>
    <t>Бодрова Полина Юрьевна</t>
  </si>
  <si>
    <t>Острый пиелонефрит. Анемия</t>
  </si>
  <si>
    <t xml:space="preserve">Тараканов Максим Алексеевич </t>
  </si>
  <si>
    <t>Отравление суррогатами алкоголя острое бытовое случайное средней степени тяжести</t>
  </si>
  <si>
    <t>Танасрогло ДмитрийИванович</t>
  </si>
  <si>
    <t>Захарова Полина Сергеевна</t>
  </si>
  <si>
    <t>Аппендицит с перитонитом</t>
  </si>
  <si>
    <t>аномалия соедения легочных вен</t>
  </si>
  <si>
    <t>Семенов Тимур Михайлович</t>
  </si>
  <si>
    <t xml:space="preserve">Кинешма </t>
  </si>
  <si>
    <t>иваново, 3-я южная. 4а-74</t>
  </si>
  <si>
    <t>САК</t>
  </si>
  <si>
    <t>Щуко Матвей Витальевич</t>
  </si>
  <si>
    <t>Кохма. Ул. Ивановская, д92, кв45</t>
  </si>
  <si>
    <t>Механическая асфиксия</t>
  </si>
  <si>
    <t>Ковалев Никита Владиславович</t>
  </si>
  <si>
    <t>Иваново революционная24-98</t>
  </si>
  <si>
    <t>БОС</t>
  </si>
  <si>
    <t>дисфункция шунта</t>
  </si>
  <si>
    <t>Михайловский Иван Юрьевич</t>
  </si>
  <si>
    <t>воронкообразная деформация грудной клетки</t>
  </si>
  <si>
    <t>Михай Артем Олегович</t>
  </si>
  <si>
    <t>Иваново Киселевых 28</t>
  </si>
  <si>
    <t>Любых Кира Егоровна</t>
  </si>
  <si>
    <t xml:space="preserve">Вичуга </t>
  </si>
  <si>
    <t>Отравление препаратами  железа</t>
  </si>
  <si>
    <t>Семенов Павел Артемович</t>
  </si>
  <si>
    <t>Термический ожог</t>
  </si>
  <si>
    <t>Ларионов Егор Денисович</t>
  </si>
  <si>
    <t>ЖКК, отрвление Суррогатами алкоголя</t>
  </si>
  <si>
    <t>Зиевидинов Анас Али Мухаммадович</t>
  </si>
  <si>
    <t>химический ожог пищевода</t>
  </si>
  <si>
    <t xml:space="preserve">Травматический пневматоракс слева, множественные раны брюшной и грудной , шеи </t>
  </si>
  <si>
    <t>Гаврилов Никита Вячеславович</t>
  </si>
  <si>
    <t>Елагин Станислав Дмитриевич</t>
  </si>
  <si>
    <t>СД1 типа кетоацидоз</t>
  </si>
  <si>
    <t>Гаврилова Анна Викторовна</t>
  </si>
  <si>
    <t>Отравление таб.</t>
  </si>
  <si>
    <t>Муравьев Матвей Владимирович</t>
  </si>
  <si>
    <t>Наложение илеостомы</t>
  </si>
  <si>
    <t>гав.посад</t>
  </si>
  <si>
    <t>Реконструкция бедренной кости</t>
  </si>
  <si>
    <t>Горшков Максим Олегович</t>
  </si>
  <si>
    <t>Отравление суррогатами алкоголя и сотрясение головного мозга.</t>
  </si>
  <si>
    <t>Алексеев Максим Владимирович</t>
  </si>
  <si>
    <t>Судорожный с-м</t>
  </si>
  <si>
    <t>Антипина Ульяна Александровна</t>
  </si>
  <si>
    <t>о.аппендицит</t>
  </si>
  <si>
    <t>Сергееев Никита Евгеньевич</t>
  </si>
  <si>
    <t>Отравление Суррагатами алкоголя</t>
  </si>
  <si>
    <t>Курбонова Татьяна Валерьевна</t>
  </si>
  <si>
    <t>Родниковский р-н, с. Каминский</t>
  </si>
  <si>
    <t>Кочан (мальчик)</t>
  </si>
  <si>
    <t>Синдром апноэ новорожденных</t>
  </si>
  <si>
    <t>Бузмаков</t>
  </si>
  <si>
    <t>Несросшийся перелом с/3 костей левой голени. Состояние после МОС голени.</t>
  </si>
  <si>
    <t>Дорошенко</t>
  </si>
  <si>
    <t xml:space="preserve">Пневмония внебольничная,, двусторонняя, тяжелая, аспирационная. Пневмофиброз S2 в  справа.Тракционные бронхоэктазы. ОПЦНС. Тетрапарез. Эпилепсия. Грубая задержка психомоторного развития. Тяжелая БЭН. </t>
  </si>
  <si>
    <t>Махнов</t>
  </si>
  <si>
    <t xml:space="preserve">Отравление неизвестным веществом. </t>
  </si>
  <si>
    <t>гайгысызова  марям сердаровна</t>
  </si>
  <si>
    <r>
      <rPr>
        <sz val="10"/>
        <rFont val="Times New Roman"/>
        <family val="1"/>
        <charset val="204"/>
      </rPr>
      <t>Мамедов Тимур</t>
    </r>
    <r>
      <rPr>
        <sz val="10"/>
        <color rgb="FF9C0006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Александрович</t>
    </r>
  </si>
  <si>
    <t>нейроинфекция? Грипп А</t>
  </si>
  <si>
    <t>Дианычева Вероника Александровна</t>
  </si>
  <si>
    <t>отравление препаратами  валерьяны и парацетамола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</si>
</sst>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 x14ac:knownFonts="1">
    <font>
      <sz val="11"/>
      <color theme="1"/>
      <name val="Calibri"/>
      <family val="2"/>
      <charset val="1"/>
    </font>
    <font>
      <sz val="10"/>
      <name val="Times New Roman"/>
      <family val="1"/>
      <charset val="204"/>
    </font>
    <font>
      <sz val="11"/>
      <color rgb="FF9C0006"/>
      <name val="Calibri"/>
      <family val="2"/>
      <charset val="204"/>
    </font>
    <font>
      <sz val="10"/>
      <color rgb="FF9C0006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theme="4" tint="0.79989013336588644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0" tint="-4.9989318521683403E-2"/>
        <bgColor rgb="FFDEEBF7"/>
      </patternFill>
    </fill>
    <fill>
      <patternFill patternType="solid">
        <fgColor theme="4" tint="0.39988402966399123"/>
        <bgColor rgb="FF9BC2E6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5" tint="0.79989013336588644"/>
        <bgColor rgb="FFF2F2F2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2" borderId="0" applyBorder="0" applyProtection="0"/>
    <xf numFmtId="0" fontId="4" fillId="3" borderId="0" applyBorder="0" applyProtection="0"/>
  </cellStyleXfs>
  <cellXfs count="90">
    <xf numFmtId="0" fontId="0" fillId="0" borderId="0" xfId="0"/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14" fontId="1" fillId="0" borderId="0" xfId="0" applyNumberFormat="1" applyFont="1" applyAlignment="1" applyProtection="1">
      <alignment horizontal="center" vertical="center" wrapText="1"/>
    </xf>
    <xf numFmtId="20" fontId="1" fillId="0" borderId="0" xfId="0" applyNumberFormat="1" applyFont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1" fillId="4" borderId="0" xfId="1" applyFont="1" applyFill="1" applyBorder="1" applyAlignment="1" applyProtection="1">
      <alignment horizontal="center" vertical="center" wrapText="1"/>
    </xf>
    <xf numFmtId="14" fontId="1" fillId="4" borderId="0" xfId="1" applyNumberFormat="1" applyFont="1" applyFill="1" applyBorder="1" applyAlignment="1" applyProtection="1">
      <alignment horizontal="center" vertical="center" wrapText="1"/>
    </xf>
    <xf numFmtId="20" fontId="1" fillId="4" borderId="0" xfId="1" applyNumberFormat="1" applyFont="1" applyFill="1" applyBorder="1" applyAlignment="1" applyProtection="1">
      <alignment horizontal="center" vertical="center" wrapText="1"/>
    </xf>
    <xf numFmtId="49" fontId="1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0" fontId="1" fillId="3" borderId="0" xfId="1" applyFont="1" applyFill="1" applyBorder="1" applyAlignment="1" applyProtection="1">
      <alignment horizontal="center" vertical="center" wrapText="1"/>
    </xf>
    <xf numFmtId="20" fontId="1" fillId="3" borderId="0" xfId="1" applyNumberFormat="1" applyFont="1" applyFill="1" applyBorder="1" applyAlignment="1" applyProtection="1">
      <alignment horizontal="center" vertical="center" wrapText="1"/>
    </xf>
    <xf numFmtId="14" fontId="1" fillId="3" borderId="0" xfId="1" applyNumberFormat="1" applyFont="1" applyFill="1" applyBorder="1" applyAlignment="1" applyProtection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</xf>
    <xf numFmtId="49" fontId="1" fillId="3" borderId="0" xfId="0" applyNumberFormat="1" applyFont="1" applyFill="1" applyAlignment="1" applyProtection="1">
      <alignment horizontal="center" vertical="center" wrapText="1"/>
    </xf>
    <xf numFmtId="0" fontId="3" fillId="2" borderId="0" xfId="1" applyFont="1" applyBorder="1" applyAlignment="1" applyProtection="1">
      <alignment horizontal="center" vertical="center" wrapText="1"/>
    </xf>
    <xf numFmtId="0" fontId="3" fillId="2" borderId="0" xfId="1" applyFont="1" applyBorder="1" applyAlignment="1" applyProtection="1">
      <alignment horizontal="center" vertical="center" wrapText="1"/>
      <protection locked="0"/>
    </xf>
    <xf numFmtId="14" fontId="3" fillId="2" borderId="0" xfId="1" applyNumberFormat="1" applyFont="1" applyBorder="1" applyAlignment="1" applyProtection="1">
      <alignment horizontal="center" vertical="center" wrapText="1"/>
    </xf>
    <xf numFmtId="20" fontId="3" fillId="2" borderId="0" xfId="1" applyNumberFormat="1" applyFont="1" applyBorder="1" applyAlignment="1" applyProtection="1">
      <alignment horizontal="center" vertical="center" wrapText="1"/>
    </xf>
    <xf numFmtId="49" fontId="3" fillId="2" borderId="0" xfId="1" applyNumberFormat="1" applyFont="1" applyBorder="1" applyAlignment="1" applyProtection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20" fontId="1" fillId="0" borderId="0" xfId="1" applyNumberFormat="1" applyFont="1" applyFill="1" applyBorder="1" applyAlignment="1" applyProtection="1">
      <alignment horizontal="center" vertical="center" wrapText="1"/>
    </xf>
    <xf numFmtId="14" fontId="1" fillId="0" borderId="0" xfId="2" applyNumberFormat="1" applyFont="1" applyFill="1" applyBorder="1" applyAlignment="1" applyProtection="1">
      <alignment horizontal="center" vertical="center" wrapText="1"/>
    </xf>
    <xf numFmtId="0" fontId="1" fillId="0" borderId="0" xfId="2" applyFont="1" applyFill="1" applyBorder="1" applyAlignment="1" applyProtection="1">
      <alignment horizontal="center" vertical="center" wrapText="1"/>
    </xf>
    <xf numFmtId="20" fontId="1" fillId="0" borderId="0" xfId="2" applyNumberFormat="1" applyFont="1" applyFill="1" applyBorder="1" applyAlignment="1" applyProtection="1">
      <alignment horizontal="center" vertical="center" wrapText="1"/>
    </xf>
    <xf numFmtId="49" fontId="1" fillId="0" borderId="0" xfId="1" applyNumberFormat="1" applyFont="1" applyFill="1" applyBorder="1" applyAlignment="1" applyProtection="1">
      <alignment horizontal="center" vertical="center" wrapText="1"/>
    </xf>
    <xf numFmtId="14" fontId="1" fillId="0" borderId="0" xfId="1" applyNumberFormat="1" applyFont="1" applyFill="1" applyBorder="1" applyAlignment="1" applyProtection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14" fontId="1" fillId="5" borderId="0" xfId="0" applyNumberFormat="1" applyFont="1" applyFill="1" applyAlignment="1" applyProtection="1">
      <alignment horizontal="center" vertical="center" wrapText="1"/>
    </xf>
    <xf numFmtId="20" fontId="1" fillId="5" borderId="0" xfId="0" applyNumberFormat="1" applyFont="1" applyFill="1" applyAlignment="1" applyProtection="1">
      <alignment horizontal="center" vertical="center" wrapText="1"/>
    </xf>
    <xf numFmtId="49" fontId="1" fillId="5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  <protection locked="0"/>
    </xf>
    <xf numFmtId="14" fontId="1" fillId="4" borderId="0" xfId="0" applyNumberFormat="1" applyFont="1" applyFill="1" applyAlignment="1" applyProtection="1">
      <alignment horizontal="center" vertical="center" wrapText="1"/>
    </xf>
    <xf numFmtId="20" fontId="1" fillId="4" borderId="0" xfId="0" applyNumberFormat="1" applyFont="1" applyFill="1" applyAlignment="1" applyProtection="1">
      <alignment horizontal="center" vertical="center" wrapText="1"/>
    </xf>
    <xf numFmtId="0" fontId="2" fillId="2" borderId="0" xfId="1" applyFont="1" applyBorder="1" applyAlignment="1" applyProtection="1">
      <alignment horizontal="center" vertical="center" wrapText="1"/>
    </xf>
    <xf numFmtId="0" fontId="2" fillId="2" borderId="0" xfId="1" applyFont="1" applyBorder="1" applyAlignment="1" applyProtection="1">
      <alignment horizontal="center" vertical="center" wrapText="1"/>
      <protection locked="0"/>
    </xf>
    <xf numFmtId="14" fontId="2" fillId="2" borderId="0" xfId="1" applyNumberFormat="1" applyFont="1" applyBorder="1" applyAlignment="1" applyProtection="1">
      <alignment horizontal="center" vertical="center" wrapText="1"/>
    </xf>
    <xf numFmtId="20" fontId="2" fillId="2" borderId="0" xfId="1" applyNumberFormat="1" applyFont="1" applyBorder="1" applyAlignment="1" applyProtection="1">
      <alignment horizontal="center" vertical="center" wrapText="1"/>
    </xf>
    <xf numFmtId="49" fontId="2" fillId="2" borderId="0" xfId="1" applyNumberFormat="1" applyFont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center" vertical="center" wrapText="1"/>
    </xf>
    <xf numFmtId="14" fontId="0" fillId="0" borderId="0" xfId="0" applyNumberFormat="1" applyAlignment="1" applyProtection="1"/>
    <xf numFmtId="20" fontId="0" fillId="0" borderId="0" xfId="0" applyNumberFormat="1" applyAlignment="1" applyProtection="1"/>
    <xf numFmtId="0" fontId="5" fillId="0" borderId="0" xfId="0" applyFont="1" applyAlignment="1" applyProtection="1"/>
    <xf numFmtId="49" fontId="3" fillId="3" borderId="0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3" fillId="4" borderId="0" xfId="1" applyFont="1" applyFill="1" applyBorder="1" applyAlignment="1" applyProtection="1">
      <alignment horizontal="center" vertical="center" wrapText="1"/>
    </xf>
    <xf numFmtId="0" fontId="3" fillId="4" borderId="0" xfId="1" applyFont="1" applyFill="1" applyBorder="1" applyAlignment="1" applyProtection="1">
      <alignment horizontal="center" vertical="center" wrapText="1"/>
      <protection locked="0"/>
    </xf>
    <xf numFmtId="14" fontId="3" fillId="4" borderId="0" xfId="1" applyNumberFormat="1" applyFont="1" applyFill="1" applyBorder="1" applyAlignment="1" applyProtection="1">
      <alignment horizontal="center" vertical="center" wrapText="1"/>
    </xf>
    <xf numFmtId="20" fontId="3" fillId="4" borderId="0" xfId="1" applyNumberFormat="1" applyFont="1" applyFill="1" applyBorder="1" applyAlignment="1" applyProtection="1">
      <alignment horizontal="center" vertical="center" wrapText="1"/>
    </xf>
    <xf numFmtId="49" fontId="3" fillId="4" borderId="0" xfId="1" applyNumberFormat="1" applyFont="1" applyFill="1" applyBorder="1" applyAlignment="1" applyProtection="1">
      <alignment horizontal="center" vertical="center" wrapText="1"/>
    </xf>
    <xf numFmtId="14" fontId="3" fillId="3" borderId="0" xfId="1" applyNumberFormat="1" applyFont="1" applyFill="1" applyBorder="1" applyAlignment="1" applyProtection="1">
      <alignment horizontal="center" vertical="center" wrapText="1"/>
    </xf>
    <xf numFmtId="20" fontId="3" fillId="3" borderId="0" xfId="1" applyNumberFormat="1" applyFont="1" applyFill="1" applyBorder="1" applyAlignment="1" applyProtection="1">
      <alignment horizontal="center" vertical="center" wrapText="1"/>
    </xf>
    <xf numFmtId="0" fontId="3" fillId="6" borderId="0" xfId="1" applyFont="1" applyFill="1" applyBorder="1" applyAlignment="1" applyProtection="1">
      <alignment horizontal="center" vertical="center" wrapText="1"/>
    </xf>
    <xf numFmtId="0" fontId="3" fillId="6" borderId="0" xfId="1" applyFont="1" applyFill="1" applyBorder="1" applyAlignment="1" applyProtection="1">
      <alignment horizontal="center" vertical="center" wrapText="1"/>
      <protection locked="0"/>
    </xf>
    <xf numFmtId="14" fontId="3" fillId="6" borderId="0" xfId="1" applyNumberFormat="1" applyFont="1" applyFill="1" applyBorder="1" applyAlignment="1" applyProtection="1">
      <alignment horizontal="center" vertical="center" wrapText="1"/>
    </xf>
    <xf numFmtId="20" fontId="3" fillId="6" borderId="0" xfId="1" applyNumberFormat="1" applyFont="1" applyFill="1" applyBorder="1" applyAlignment="1" applyProtection="1">
      <alignment horizontal="center" vertical="center" wrapText="1"/>
    </xf>
    <xf numFmtId="0" fontId="1" fillId="6" borderId="0" xfId="0" applyFont="1" applyFill="1" applyAlignment="1" applyProtection="1">
      <alignment horizontal="center" vertical="center" wrapText="1"/>
    </xf>
    <xf numFmtId="0" fontId="1" fillId="6" borderId="0" xfId="1" applyFont="1" applyFill="1" applyBorder="1" applyAlignment="1" applyProtection="1">
      <alignment horizontal="center" vertical="center" wrapText="1"/>
    </xf>
    <xf numFmtId="49" fontId="3" fillId="6" borderId="0" xfId="1" applyNumberFormat="1" applyFont="1" applyFill="1" applyBorder="1" applyAlignment="1" applyProtection="1">
      <alignment horizontal="center" vertical="center" wrapText="1"/>
    </xf>
    <xf numFmtId="0" fontId="6" fillId="7" borderId="2" xfId="0" applyFont="1" applyFill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6" fillId="8" borderId="2" xfId="0" applyFont="1" applyFill="1" applyBorder="1" applyAlignment="1" applyProtection="1">
      <alignment horizontal="center" vertical="center" wrapText="1"/>
    </xf>
    <xf numFmtId="0" fontId="6" fillId="9" borderId="2" xfId="0" applyFont="1" applyFill="1" applyBorder="1" applyAlignment="1" applyProtection="1">
      <alignment horizontal="center" vertical="center" wrapText="1"/>
    </xf>
    <xf numFmtId="164" fontId="6" fillId="0" borderId="0" xfId="0" applyNumberFormat="1" applyFont="1" applyAlignment="1" applyProtection="1">
      <alignment horizontal="center" vertical="center" wrapText="1"/>
    </xf>
    <xf numFmtId="0" fontId="0" fillId="0" borderId="0" xfId="0" applyAlignment="1" applyProtection="1"/>
    <xf numFmtId="0" fontId="2" fillId="2" borderId="0" xfId="1" applyProtection="1"/>
    <xf numFmtId="0" fontId="2" fillId="2" borderId="0" xfId="1" applyProtection="1">
      <protection locked="0"/>
    </xf>
    <xf numFmtId="14" fontId="2" fillId="2" borderId="0" xfId="1" applyNumberFormat="1" applyProtection="1"/>
    <xf numFmtId="0" fontId="1" fillId="0" borderId="0" xfId="0" applyFont="1" applyAlignment="1" applyProtection="1">
      <alignment horizontal="center" vertical="center"/>
    </xf>
    <xf numFmtId="9" fontId="1" fillId="0" borderId="0" xfId="0" applyNumberFormat="1" applyFont="1" applyAlignment="1" applyProtection="1">
      <alignment horizontal="center" vertical="center" wrapText="1"/>
    </xf>
    <xf numFmtId="0" fontId="7" fillId="0" borderId="0" xfId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 wrapText="1"/>
    </xf>
    <xf numFmtId="20" fontId="7" fillId="0" borderId="0" xfId="0" applyNumberFormat="1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14" fontId="7" fillId="0" borderId="0" xfId="1" applyNumberFormat="1" applyFont="1" applyFill="1" applyBorder="1" applyAlignment="1" applyProtection="1">
      <alignment horizontal="center" vertical="center" wrapText="1"/>
    </xf>
    <xf numFmtId="20" fontId="7" fillId="0" borderId="0" xfId="1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Alignment="1" applyProtection="1">
      <alignment horizontal="center" vertical="center" wrapText="1"/>
    </xf>
    <xf numFmtId="14" fontId="1" fillId="0" borderId="0" xfId="0" applyNumberFormat="1" applyFont="1" applyAlignment="1" applyProtection="1">
      <alignment horizontal="center" vertical="center"/>
    </xf>
    <xf numFmtId="0" fontId="6" fillId="4" borderId="0" xfId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1" fillId="10" borderId="0" xfId="0" applyFont="1" applyFill="1" applyAlignment="1" applyProtection="1">
      <alignment horizontal="center" vertical="center" wrapText="1"/>
    </xf>
    <xf numFmtId="14" fontId="1" fillId="10" borderId="0" xfId="0" applyNumberFormat="1" applyFont="1" applyFill="1" applyAlignment="1" applyProtection="1">
      <alignment horizontal="center" vertical="center" wrapText="1"/>
    </xf>
    <xf numFmtId="0" fontId="1" fillId="10" borderId="0" xfId="0" applyFont="1" applyFill="1" applyAlignment="1" applyProtection="1">
      <alignment horizontal="center" vertical="center" wrapText="1"/>
      <protection locked="0"/>
    </xf>
    <xf numFmtId="0" fontId="1" fillId="3" borderId="0" xfId="1" applyFont="1" applyFill="1" applyBorder="1" applyAlignment="1" applyProtection="1">
      <alignment horizontal="center" vertical="center" wrapText="1"/>
      <protection locked="0"/>
    </xf>
  </cellXfs>
  <cellStyles count="3">
    <cellStyle name="Excel Built-in 20% - Accent1" xfId="2" xr:uid="{00000000-0005-0000-0000-000007000000}"/>
    <cellStyle name="Excel Built-in Bad" xfId="1" xr:uid="{00000000-0005-0000-0000-000006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BC2E6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bazhenov/Downloads/&#1046;&#1091;&#1088;&#1085;&#1072;&#1083;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>
        <row r="2">
          <cell r="G2" t="str">
            <v>ДХО-1</v>
          </cell>
        </row>
        <row r="3">
          <cell r="G3" t="str">
            <v>ДХО-2</v>
          </cell>
        </row>
        <row r="4">
          <cell r="G4" t="str">
            <v>ДОТО</v>
          </cell>
        </row>
        <row r="5">
          <cell r="G5" t="str">
            <v>Нефро</v>
          </cell>
        </row>
        <row r="6">
          <cell r="G6" t="str">
            <v>ОПНН</v>
          </cell>
        </row>
        <row r="7">
          <cell r="G7" t="str">
            <v>Пульмо</v>
          </cell>
        </row>
        <row r="8">
          <cell r="G8" t="str">
            <v>Педиатрия</v>
          </cell>
        </row>
        <row r="9">
          <cell r="G9" t="str">
            <v>Неврология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X2510" totalsRowShown="0">
  <autoFilter ref="A1:X2510" xr:uid="{00000000-0009-0000-0100-000001000000}"/>
  <tableColumns count="24">
    <tableColumn id="1" xr3:uid="{00000000-0010-0000-0000-000001000000}" name="Столбец1"/>
    <tableColumn id="2" xr3:uid="{00000000-0010-0000-0000-000002000000}" name="№ и/б"/>
    <tableColumn id="3" xr3:uid="{00000000-0010-0000-0000-000003000000}" name="Отделение"/>
    <tableColumn id="4" xr3:uid="{00000000-0010-0000-0000-000004000000}" name="Дата поступления"/>
    <tableColumn id="5" xr3:uid="{00000000-0010-0000-0000-000005000000}" name="Время поступления"/>
    <tableColumn id="6" xr3:uid="{00000000-0010-0000-0000-000006000000}" name="Фамилия, имя, отчество"/>
    <tableColumn id="7" xr3:uid="{00000000-0010-0000-0000-000007000000}" name="Дата рождения"/>
    <tableColumn id="8" xr3:uid="{00000000-0010-0000-0000-000008000000}" name="Возраст"/>
    <tableColumn id="9" xr3:uid="{00000000-0010-0000-0000-000009000000}" name="Канал поступления"/>
    <tableColumn id="10" xr3:uid="{00000000-0010-0000-0000-00000A000000}" name="Профиль отделения"/>
    <tableColumn id="11" xr3:uid="{00000000-0010-0000-0000-00000B000000}" name="Адрес регистраци"/>
    <tableColumn id="12" xr3:uid="{00000000-0010-0000-0000-00000C000000}" name="Диагноз при поступлении в ОРИТ"/>
    <tableColumn id="13" xr3:uid="{00000000-0010-0000-0000-00000D000000}" name="Категория диагноза"/>
    <tableColumn id="14" xr3:uid="{00000000-0010-0000-0000-00000E000000}" name="Длительность ИВЛ"/>
    <tableColumn id="15" xr3:uid="{00000000-0010-0000-0000-00000F000000}" name="Сосудистый доступ"/>
    <tableColumn id="16" xr3:uid="{00000000-0010-0000-0000-000010000000}" name="Регионарная анестезия"/>
    <tableColumn id="17" xr3:uid="{00000000-0010-0000-0000-000011000000}" name="Трансфузии"/>
    <tableColumn id="18" xr3:uid="{00000000-0010-0000-0000-000012000000}" name="ЭКД"/>
    <tableColumn id="19" xr3:uid="{00000000-0010-0000-0000-000013000000}" name="Куда переведён"/>
    <tableColumn id="20" xr3:uid="{00000000-0010-0000-0000-000014000000}" name="Дата перевода"/>
    <tableColumn id="21" xr3:uid="{00000000-0010-0000-0000-000015000000}" name="Время перевода"/>
    <tableColumn id="22" xr3:uid="{00000000-0010-0000-0000-000016000000}" name="койко-дни"/>
    <tableColumn id="23" xr3:uid="{00000000-0010-0000-0000-000017000000}" name="Примечания"/>
    <tableColumn id="24" xr3:uid="{00000000-0010-0000-0000-000018000000}" name="Лечащий врач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Таблица2" displayName="Таблица2" ref="A1:U14" totalsRowShown="0">
  <autoFilter ref="A1:U14" xr:uid="{00000000-0009-0000-0100-000004000000}"/>
  <tableColumns count="21">
    <tableColumn id="1" xr3:uid="{00000000-0010-0000-0100-000001000000}" name="Длительность"/>
    <tableColumn id="2" xr3:uid="{00000000-0010-0000-0100-000002000000}" name="Кол-во"/>
    <tableColumn id="3" xr3:uid="{00000000-0010-0000-0100-000003000000}" name="Возраст"/>
    <tableColumn id="4" xr3:uid="{00000000-0010-0000-0100-000004000000}" name="Кол-во2"/>
    <tableColumn id="5" xr3:uid="{00000000-0010-0000-0100-000005000000}" name="Канал поступления"/>
    <tableColumn id="6" xr3:uid="{00000000-0010-0000-0100-000006000000}" name="Кол-во3"/>
    <tableColumn id="7" xr3:uid="{00000000-0010-0000-0100-000007000000}" name="Куда переведён"/>
    <tableColumn id="8" xr3:uid="{00000000-0010-0000-0100-000008000000}" name="Кол-во4"/>
    <tableColumn id="9" xr3:uid="{00000000-0010-0000-0100-000009000000}" name="ИВЛ детям в возрасте"/>
    <tableColumn id="10" xr3:uid="{00000000-0010-0000-0100-00000A000000}" name="Кол-во5"/>
    <tableColumn id="11" xr3:uid="{00000000-0010-0000-0100-00000B000000}" name="ИВЛ по срокам"/>
    <tableColumn id="12" xr3:uid="{00000000-0010-0000-0100-00000C000000}" name="Кол-во6"/>
    <tableColumn id="13" xr3:uid="{00000000-0010-0000-0100-00000D000000}" name="Сосудистый доступ"/>
    <tableColumn id="14" xr3:uid="{00000000-0010-0000-0100-00000E000000}" name="Кол-во11"/>
    <tableColumn id="15" xr3:uid="{00000000-0010-0000-0100-00000F000000}" name="Регион. анестезия"/>
    <tableColumn id="16" xr3:uid="{00000000-0010-0000-0100-000010000000}" name="Кол-во9"/>
    <tableColumn id="17" xr3:uid="{00000000-0010-0000-0100-000011000000}" name="Трансфузии"/>
    <tableColumn id="18" xr3:uid="{00000000-0010-0000-0100-000012000000}" name="Кол-во93"/>
    <tableColumn id="19" xr3:uid="{00000000-0010-0000-0100-000013000000}" name="ЭКД"/>
    <tableColumn id="20" xr3:uid="{00000000-0010-0000-0100-000014000000}" name="Кол-во94"/>
    <tableColumn id="21" xr3:uid="{00000000-0010-0000-0100-000015000000}" name="Примечания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Таблица4" displayName="Таблица4" ref="V1:W2511" totalsRowShown="0">
  <autoFilter ref="V1:W2511" xr:uid="{00000000-0009-0000-0100-000006000000}"/>
  <tableColumns count="2">
    <tableColumn id="1" xr3:uid="{00000000-0010-0000-0200-000001000000}" name="Длительность, сут."/>
    <tableColumn id="2" xr3:uid="{00000000-0010-0000-0200-000002000000}" name="Возраст в днях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3" displayName="Таблица3" ref="A1:B23" totalsRowShown="0">
  <autoFilter ref="A1:B23" xr:uid="{00000000-0009-0000-0100-000005000000}"/>
  <tableColumns count="2">
    <tableColumn id="1" xr3:uid="{00000000-0010-0000-0300-000001000000}" name="Диагнозы"/>
    <tableColumn id="2" xr3:uid="{00000000-0010-0000-0300-000002000000}" name="Кол-в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0"/>
  <sheetViews>
    <sheetView tabSelected="1" topLeftCell="A432" zoomScale="91" zoomScaleNormal="91" zoomScaleSheetLayoutView="100" workbookViewId="0">
      <selection activeCell="G440" sqref="G440"/>
    </sheetView>
  </sheetViews>
  <sheetFormatPr defaultColWidth="9.140625" defaultRowHeight="12.75" x14ac:dyDescent="0.25"/>
  <cols>
    <col min="1" max="1" width="5.28515625" style="1" customWidth="1"/>
    <col min="2" max="2" width="11.5703125" style="2" customWidth="1"/>
    <col min="3" max="3" width="14.7109375" style="1" customWidth="1"/>
    <col min="4" max="4" width="12.140625" style="3" customWidth="1"/>
    <col min="5" max="5" width="11.42578125" style="1" customWidth="1"/>
    <col min="6" max="6" width="26.7109375" style="1" customWidth="1"/>
    <col min="7" max="7" width="18.85546875" style="1" customWidth="1"/>
    <col min="8" max="8" width="9.7109375" style="1" customWidth="1"/>
    <col min="9" max="9" width="22" style="1" customWidth="1"/>
    <col min="10" max="10" width="30" style="1" customWidth="1"/>
    <col min="11" max="11" width="16.140625" style="1" customWidth="1"/>
    <col min="12" max="12" width="15.85546875" style="1" customWidth="1"/>
    <col min="13" max="13" width="22.7109375" style="1" customWidth="1"/>
    <col min="14" max="16" width="15.85546875" style="1" customWidth="1"/>
    <col min="17" max="17" width="14.42578125" style="1" customWidth="1"/>
    <col min="18" max="18" width="12.140625" style="1" customWidth="1"/>
    <col min="19" max="19" width="11.42578125" style="1" customWidth="1"/>
    <col min="20" max="20" width="11.140625" style="1" customWidth="1"/>
    <col min="21" max="21" width="18.140625" style="1" customWidth="1"/>
    <col min="22" max="22" width="12.5703125" style="1" customWidth="1"/>
    <col min="23" max="16384" width="9.140625" style="1"/>
  </cols>
  <sheetData>
    <row r="1" spans="1:24" ht="34.5" customHeight="1" x14ac:dyDescent="0.25">
      <c r="A1" s="1" t="s">
        <v>755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34.5" customHeight="1" x14ac:dyDescent="0.25">
      <c r="A2" s="1">
        <f t="shared" ref="A2:A25" si="0">ROW(A1)</f>
        <v>1</v>
      </c>
      <c r="B2" s="1">
        <v>1379</v>
      </c>
      <c r="C2" s="2" t="s">
        <v>23</v>
      </c>
      <c r="D2" s="3">
        <v>45630</v>
      </c>
      <c r="E2" s="4">
        <v>0.19166666666666701</v>
      </c>
      <c r="F2" s="1" t="s">
        <v>24</v>
      </c>
      <c r="G2" s="3">
        <v>39803</v>
      </c>
      <c r="H2" s="1" t="str">
        <f t="shared" ref="H2:H65" si="1">DATEDIF(G2,D2,"y") &amp; " г. " &amp; DATEDIF(G2,D2,"ym") &amp; " мес. " &amp; DATEDIF(G2,D2,"md") &amp; " дн."</f>
        <v>15 г. 11 мес. 13 дн.</v>
      </c>
      <c r="I2" s="1" t="s">
        <v>25</v>
      </c>
      <c r="J2" s="1" t="s">
        <v>23</v>
      </c>
      <c r="K2" s="1" t="s">
        <v>26</v>
      </c>
      <c r="L2" s="1" t="s">
        <v>27</v>
      </c>
      <c r="M2" s="1" t="s">
        <v>28</v>
      </c>
      <c r="N2" s="1">
        <v>1019</v>
      </c>
      <c r="O2" s="1" t="s">
        <v>29</v>
      </c>
      <c r="Q2" s="1" t="s">
        <v>30</v>
      </c>
      <c r="S2" s="1" t="s">
        <v>31</v>
      </c>
      <c r="T2" s="3">
        <v>45673</v>
      </c>
      <c r="U2" s="4">
        <v>0.48611111111111099</v>
      </c>
      <c r="V2" s="1" t="str">
        <f t="shared" ref="V2:V33" si="2">DATEDIF(D2,T2,"y") &amp; " г. " &amp; DATEDIF(D2,T2,"ym") &amp; " мес. " &amp; DATEDIF(D2,T2,"md") &amp; " дн."</f>
        <v>0 г. 1 мес. 12 дн.</v>
      </c>
      <c r="W2" s="5"/>
    </row>
    <row r="3" spans="1:24" ht="34.5" customHeight="1" x14ac:dyDescent="0.25">
      <c r="A3" s="1">
        <f t="shared" si="0"/>
        <v>2</v>
      </c>
      <c r="B3" s="1">
        <v>728</v>
      </c>
      <c r="C3" s="2" t="s">
        <v>32</v>
      </c>
      <c r="D3" s="3">
        <v>45647</v>
      </c>
      <c r="E3" s="4">
        <v>0.77083333333333304</v>
      </c>
      <c r="F3" s="1" t="s">
        <v>33</v>
      </c>
      <c r="G3" s="3">
        <v>39519</v>
      </c>
      <c r="H3" s="1" t="str">
        <f t="shared" si="1"/>
        <v>16 г. 9 мес. 9 дн.</v>
      </c>
      <c r="I3" s="1" t="s">
        <v>34</v>
      </c>
      <c r="K3" s="1" t="s">
        <v>35</v>
      </c>
      <c r="L3" s="1" t="s">
        <v>36</v>
      </c>
      <c r="M3" s="1" t="s">
        <v>37</v>
      </c>
      <c r="O3" s="1" t="s">
        <v>29</v>
      </c>
      <c r="S3" s="1" t="s">
        <v>23</v>
      </c>
      <c r="T3" s="3">
        <v>45681</v>
      </c>
      <c r="U3" s="4">
        <v>0.99652777777777801</v>
      </c>
      <c r="V3" s="1" t="str">
        <f t="shared" si="2"/>
        <v>0 г. 1 мес. 3 дн.</v>
      </c>
      <c r="W3" s="5"/>
    </row>
    <row r="4" spans="1:24" ht="34.5" customHeight="1" x14ac:dyDescent="0.25">
      <c r="A4" s="1">
        <f t="shared" si="0"/>
        <v>3</v>
      </c>
      <c r="B4" s="1">
        <v>1468</v>
      </c>
      <c r="C4" s="2" t="s">
        <v>23</v>
      </c>
      <c r="D4" s="3">
        <v>45652</v>
      </c>
      <c r="E4" s="4">
        <v>0.54166666666666696</v>
      </c>
      <c r="F4" s="1" t="s">
        <v>38</v>
      </c>
      <c r="G4" s="3">
        <v>42529</v>
      </c>
      <c r="H4" s="1" t="str">
        <f t="shared" si="1"/>
        <v>8 г. 6 мес. 18 дн.</v>
      </c>
      <c r="I4" s="1" t="s">
        <v>39</v>
      </c>
      <c r="K4" s="1" t="s">
        <v>40</v>
      </c>
      <c r="L4" s="1" t="s">
        <v>41</v>
      </c>
      <c r="M4" s="1" t="s">
        <v>28</v>
      </c>
      <c r="N4" s="1">
        <v>357</v>
      </c>
      <c r="O4" s="1" t="s">
        <v>42</v>
      </c>
      <c r="S4" s="1" t="s">
        <v>31</v>
      </c>
      <c r="T4" s="3">
        <v>45667</v>
      </c>
      <c r="U4" s="4">
        <v>0.41180555555555598</v>
      </c>
      <c r="V4" s="1" t="str">
        <f t="shared" si="2"/>
        <v>0 г. 0 мес. 15 дн.</v>
      </c>
      <c r="W4" s="5"/>
    </row>
    <row r="5" spans="1:24" ht="34.5" customHeight="1" x14ac:dyDescent="0.25">
      <c r="A5" s="1">
        <f t="shared" si="0"/>
        <v>4</v>
      </c>
      <c r="B5" s="1">
        <v>1475</v>
      </c>
      <c r="C5" s="2" t="s">
        <v>23</v>
      </c>
      <c r="D5" s="3">
        <v>45656</v>
      </c>
      <c r="E5" s="4">
        <v>0.65972222222222199</v>
      </c>
      <c r="F5" s="1" t="s">
        <v>43</v>
      </c>
      <c r="G5" s="3">
        <v>42834</v>
      </c>
      <c r="H5" s="1" t="str">
        <f t="shared" si="1"/>
        <v>7 г. 8 мес. 21 дн.</v>
      </c>
      <c r="I5" s="1" t="s">
        <v>39</v>
      </c>
      <c r="K5" s="1" t="s">
        <v>44</v>
      </c>
      <c r="L5" s="1" t="s">
        <v>45</v>
      </c>
      <c r="M5" s="1" t="s">
        <v>28</v>
      </c>
      <c r="O5" s="1" t="s">
        <v>29</v>
      </c>
      <c r="S5" s="1" t="s">
        <v>31</v>
      </c>
      <c r="T5" s="3">
        <v>45678</v>
      </c>
      <c r="U5" s="4">
        <v>0.45833333333333298</v>
      </c>
      <c r="V5" s="1" t="str">
        <f t="shared" si="2"/>
        <v>0 г. 0 мес. 22 дн.</v>
      </c>
      <c r="W5" s="5"/>
    </row>
    <row r="6" spans="1:24" ht="34.5" customHeight="1" x14ac:dyDescent="0.25">
      <c r="A6" s="1">
        <f t="shared" si="0"/>
        <v>5</v>
      </c>
      <c r="B6" s="1">
        <v>6</v>
      </c>
      <c r="C6" s="2" t="s">
        <v>46</v>
      </c>
      <c r="D6" s="3">
        <v>45658</v>
      </c>
      <c r="E6" s="4">
        <v>0.243055555555556</v>
      </c>
      <c r="F6" s="1" t="s">
        <v>47</v>
      </c>
      <c r="G6" s="3">
        <v>39308</v>
      </c>
      <c r="H6" s="1" t="str">
        <f t="shared" si="1"/>
        <v>17 г. 4 мес. 18 дн.</v>
      </c>
      <c r="I6" s="1" t="s">
        <v>39</v>
      </c>
      <c r="K6" s="1" t="s">
        <v>48</v>
      </c>
      <c r="L6" s="1" t="s">
        <v>49</v>
      </c>
      <c r="M6" s="1" t="s">
        <v>50</v>
      </c>
      <c r="N6" s="1">
        <v>5</v>
      </c>
      <c r="O6" s="1" t="s">
        <v>29</v>
      </c>
      <c r="S6" s="1" t="s">
        <v>46</v>
      </c>
      <c r="T6" s="3">
        <v>45659</v>
      </c>
      <c r="U6" s="4">
        <v>0.5</v>
      </c>
      <c r="V6" s="1" t="str">
        <f t="shared" si="2"/>
        <v>0 г. 0 мес. 1 дн.</v>
      </c>
      <c r="W6" s="5"/>
    </row>
    <row r="7" spans="1:24" ht="34.5" customHeight="1" x14ac:dyDescent="0.25">
      <c r="A7" s="1">
        <f t="shared" si="0"/>
        <v>6</v>
      </c>
      <c r="B7" s="1">
        <v>7</v>
      </c>
      <c r="C7" s="2" t="s">
        <v>46</v>
      </c>
      <c r="D7" s="3">
        <v>45659</v>
      </c>
      <c r="E7" s="4">
        <v>0.82847222222222205</v>
      </c>
      <c r="F7" s="1" t="s">
        <v>51</v>
      </c>
      <c r="G7" s="3">
        <v>40596</v>
      </c>
      <c r="H7" s="1" t="str">
        <f t="shared" si="1"/>
        <v>13 г. 10 мес. 11 дн.</v>
      </c>
      <c r="I7" s="1" t="s">
        <v>39</v>
      </c>
      <c r="K7" s="1" t="s">
        <v>52</v>
      </c>
      <c r="L7" s="1" t="s">
        <v>53</v>
      </c>
      <c r="M7" s="1" t="s">
        <v>50</v>
      </c>
      <c r="O7" s="1" t="s">
        <v>29</v>
      </c>
      <c r="S7" s="1" t="s">
        <v>46</v>
      </c>
      <c r="T7" s="3">
        <v>45661</v>
      </c>
      <c r="U7" s="4">
        <v>0.5</v>
      </c>
      <c r="V7" s="1" t="str">
        <f t="shared" si="2"/>
        <v>0 г. 0 мес. 2 дн.</v>
      </c>
      <c r="W7" s="5"/>
    </row>
    <row r="8" spans="1:24" ht="34.5" customHeight="1" x14ac:dyDescent="0.25">
      <c r="A8" s="1">
        <f t="shared" si="0"/>
        <v>7</v>
      </c>
      <c r="B8" s="1">
        <v>1</v>
      </c>
      <c r="C8" s="2" t="s">
        <v>23</v>
      </c>
      <c r="D8" s="3">
        <v>45660</v>
      </c>
      <c r="E8" s="4">
        <v>0.875</v>
      </c>
      <c r="F8" s="1" t="s">
        <v>54</v>
      </c>
      <c r="G8" s="3">
        <v>42113</v>
      </c>
      <c r="H8" s="1" t="str">
        <f t="shared" si="1"/>
        <v>9 г. 8 мес. 15 дн.</v>
      </c>
      <c r="I8" s="1" t="s">
        <v>39</v>
      </c>
      <c r="K8" s="1" t="s">
        <v>55</v>
      </c>
      <c r="L8" s="1" t="s">
        <v>56</v>
      </c>
      <c r="M8" s="1" t="s">
        <v>28</v>
      </c>
      <c r="O8" s="1" t="s">
        <v>29</v>
      </c>
      <c r="S8" s="1" t="s">
        <v>23</v>
      </c>
      <c r="T8" s="3">
        <v>45663</v>
      </c>
      <c r="U8" s="4">
        <v>0.4375</v>
      </c>
      <c r="V8" s="1" t="str">
        <f t="shared" si="2"/>
        <v>0 г. 0 мес. 3 дн.</v>
      </c>
      <c r="W8" s="5"/>
    </row>
    <row r="9" spans="1:24" ht="34.5" customHeight="1" x14ac:dyDescent="0.25">
      <c r="A9" s="1">
        <f t="shared" si="0"/>
        <v>8</v>
      </c>
      <c r="B9" s="1">
        <v>9</v>
      </c>
      <c r="C9" s="2" t="s">
        <v>46</v>
      </c>
      <c r="D9" s="3">
        <v>45662</v>
      </c>
      <c r="E9" s="4">
        <v>0.94097222222222199</v>
      </c>
      <c r="F9" s="1" t="s">
        <v>57</v>
      </c>
      <c r="G9" s="3">
        <v>39206</v>
      </c>
      <c r="H9" s="1" t="str">
        <f t="shared" si="1"/>
        <v>17 г. 8 мес. 1 дн.</v>
      </c>
      <c r="I9" s="1" t="s">
        <v>39</v>
      </c>
      <c r="K9" s="1" t="s">
        <v>58</v>
      </c>
      <c r="L9" s="1" t="s">
        <v>59</v>
      </c>
      <c r="M9" s="1" t="s">
        <v>50</v>
      </c>
      <c r="O9" s="1" t="s">
        <v>29</v>
      </c>
      <c r="S9" s="1" t="s">
        <v>46</v>
      </c>
      <c r="T9" s="3">
        <v>45663</v>
      </c>
      <c r="U9" s="4">
        <v>0.41666666666666702</v>
      </c>
      <c r="V9" s="1" t="str">
        <f t="shared" si="2"/>
        <v>0 г. 0 мес. 1 дн.</v>
      </c>
      <c r="W9" s="5"/>
    </row>
    <row r="10" spans="1:24" ht="34.5" customHeight="1" x14ac:dyDescent="0.25">
      <c r="A10" s="1">
        <f t="shared" si="0"/>
        <v>9</v>
      </c>
      <c r="B10" s="1">
        <v>2979</v>
      </c>
      <c r="C10" s="2" t="s">
        <v>60</v>
      </c>
      <c r="D10" s="3">
        <v>45298</v>
      </c>
      <c r="E10" s="4">
        <v>0.47916666666666702</v>
      </c>
      <c r="F10" s="1" t="s">
        <v>61</v>
      </c>
      <c r="G10" s="3">
        <v>44796</v>
      </c>
      <c r="H10" s="1" t="str">
        <f t="shared" si="1"/>
        <v>1 г. 4 мес. 15 дн.</v>
      </c>
      <c r="I10" s="1" t="s">
        <v>62</v>
      </c>
      <c r="K10" s="1" t="s">
        <v>63</v>
      </c>
      <c r="L10" s="1" t="s">
        <v>64</v>
      </c>
      <c r="M10" s="1" t="s">
        <v>65</v>
      </c>
      <c r="O10" s="1" t="s">
        <v>29</v>
      </c>
      <c r="S10" s="1" t="s">
        <v>60</v>
      </c>
      <c r="T10" s="3">
        <v>45665</v>
      </c>
      <c r="U10" s="4">
        <v>0.55555555555555602</v>
      </c>
      <c r="V10" s="1" t="str">
        <f t="shared" si="2"/>
        <v>1 г. 0 мес. 1 дн.</v>
      </c>
      <c r="W10" s="5"/>
    </row>
    <row r="11" spans="1:24" ht="34.5" customHeight="1" x14ac:dyDescent="0.25">
      <c r="A11" s="1">
        <f t="shared" si="0"/>
        <v>10</v>
      </c>
      <c r="B11" s="1">
        <v>11</v>
      </c>
      <c r="C11" s="2" t="s">
        <v>46</v>
      </c>
      <c r="D11" s="3">
        <v>45299</v>
      </c>
      <c r="E11" s="4">
        <v>0.17708333333333301</v>
      </c>
      <c r="F11" s="1" t="s">
        <v>66</v>
      </c>
      <c r="G11" s="3">
        <v>39861</v>
      </c>
      <c r="H11" s="1" t="str">
        <f t="shared" si="1"/>
        <v>14 г. 10 мес. 22 дн.</v>
      </c>
      <c r="I11" s="1" t="s">
        <v>39</v>
      </c>
      <c r="K11" s="1" t="s">
        <v>67</v>
      </c>
      <c r="L11" s="1" t="s">
        <v>68</v>
      </c>
      <c r="M11" s="1" t="s">
        <v>50</v>
      </c>
      <c r="O11" s="1" t="s">
        <v>29</v>
      </c>
      <c r="S11" s="1" t="s">
        <v>46</v>
      </c>
      <c r="T11" s="3">
        <v>45665</v>
      </c>
      <c r="U11" s="4">
        <v>0.45833333333333298</v>
      </c>
      <c r="V11" s="1" t="str">
        <f t="shared" si="2"/>
        <v>1 г. 0 мес. 0 дн.</v>
      </c>
      <c r="W11" s="5"/>
    </row>
    <row r="12" spans="1:24" ht="34.5" customHeight="1" x14ac:dyDescent="0.25">
      <c r="A12" s="1">
        <f t="shared" si="0"/>
        <v>11</v>
      </c>
      <c r="B12" s="1">
        <v>3</v>
      </c>
      <c r="C12" s="2" t="s">
        <v>46</v>
      </c>
      <c r="D12" s="3">
        <v>45666</v>
      </c>
      <c r="E12" s="4">
        <v>0.875</v>
      </c>
      <c r="F12" s="1" t="s">
        <v>69</v>
      </c>
      <c r="G12" s="3">
        <v>45024</v>
      </c>
      <c r="H12" s="1" t="str">
        <f t="shared" si="1"/>
        <v>1 г. 9 мес. 1 дн.</v>
      </c>
      <c r="I12" s="1" t="s">
        <v>70</v>
      </c>
      <c r="J12" s="1" t="s">
        <v>46</v>
      </c>
      <c r="K12" s="1" t="s">
        <v>71</v>
      </c>
      <c r="L12" s="1" t="s">
        <v>72</v>
      </c>
      <c r="M12" s="1" t="s">
        <v>73</v>
      </c>
      <c r="O12" s="1" t="s">
        <v>42</v>
      </c>
      <c r="S12" s="1" t="s">
        <v>46</v>
      </c>
      <c r="T12" s="3">
        <v>45669</v>
      </c>
      <c r="U12" s="4">
        <v>0.625</v>
      </c>
      <c r="V12" s="1" t="str">
        <f t="shared" si="2"/>
        <v>0 г. 0 мес. 3 дн.</v>
      </c>
      <c r="W12" s="5"/>
    </row>
    <row r="13" spans="1:24" ht="34.5" customHeight="1" x14ac:dyDescent="0.25">
      <c r="A13" s="1">
        <f t="shared" si="0"/>
        <v>12</v>
      </c>
      <c r="B13" s="1">
        <v>13</v>
      </c>
      <c r="C13" s="2" t="s">
        <v>32</v>
      </c>
      <c r="D13" s="3">
        <v>45667</v>
      </c>
      <c r="E13" s="4">
        <v>0.4375</v>
      </c>
      <c r="F13" s="1" t="s">
        <v>74</v>
      </c>
      <c r="G13" s="3">
        <v>39876</v>
      </c>
      <c r="H13" s="1" t="str">
        <f t="shared" si="1"/>
        <v>15 г. 10 мес. 6 дн.</v>
      </c>
      <c r="I13" s="1" t="s">
        <v>34</v>
      </c>
      <c r="J13" s="2" t="s">
        <v>32</v>
      </c>
      <c r="K13" s="1" t="s">
        <v>75</v>
      </c>
      <c r="L13" s="1" t="s">
        <v>76</v>
      </c>
      <c r="M13" s="1" t="s">
        <v>73</v>
      </c>
      <c r="O13" s="1" t="s">
        <v>29</v>
      </c>
      <c r="S13" s="1" t="s">
        <v>32</v>
      </c>
      <c r="T13" s="3">
        <v>45668</v>
      </c>
      <c r="U13" s="4">
        <v>0.58333333333333304</v>
      </c>
      <c r="V13" s="1" t="str">
        <f t="shared" si="2"/>
        <v>0 г. 0 мес. 1 дн.</v>
      </c>
      <c r="W13" s="5"/>
    </row>
    <row r="14" spans="1:24" ht="34.5" customHeight="1" x14ac:dyDescent="0.25">
      <c r="A14" s="1">
        <f t="shared" si="0"/>
        <v>13</v>
      </c>
      <c r="B14" s="1">
        <v>16</v>
      </c>
      <c r="C14" s="2" t="s">
        <v>32</v>
      </c>
      <c r="D14" s="3">
        <v>45667</v>
      </c>
      <c r="E14" s="4">
        <v>0.59375</v>
      </c>
      <c r="F14" s="1" t="s">
        <v>77</v>
      </c>
      <c r="G14" s="3">
        <v>42087</v>
      </c>
      <c r="H14" s="1" t="str">
        <f t="shared" si="1"/>
        <v>9 г. 9 мес. 17 дн.</v>
      </c>
      <c r="I14" s="1" t="s">
        <v>34</v>
      </c>
      <c r="K14" s="1" t="s">
        <v>78</v>
      </c>
      <c r="L14" s="1" t="s">
        <v>79</v>
      </c>
      <c r="M14" s="1" t="s">
        <v>73</v>
      </c>
      <c r="N14" s="1">
        <v>192</v>
      </c>
      <c r="O14" s="1" t="s">
        <v>42</v>
      </c>
      <c r="S14" s="1" t="s">
        <v>32</v>
      </c>
      <c r="T14" s="3">
        <v>45681</v>
      </c>
      <c r="U14" s="4">
        <v>0.44444444444444398</v>
      </c>
      <c r="V14" s="1" t="str">
        <f t="shared" si="2"/>
        <v>0 г. 0 мес. 14 дн.</v>
      </c>
      <c r="W14" s="5"/>
    </row>
    <row r="15" spans="1:24" ht="34.5" customHeight="1" x14ac:dyDescent="0.25">
      <c r="A15" s="1">
        <f t="shared" si="0"/>
        <v>14</v>
      </c>
      <c r="B15" s="1">
        <v>17</v>
      </c>
      <c r="C15" s="2" t="s">
        <v>32</v>
      </c>
      <c r="D15" s="3">
        <v>45667</v>
      </c>
      <c r="E15" s="4">
        <v>0.85416666666666696</v>
      </c>
      <c r="F15" s="1" t="s">
        <v>80</v>
      </c>
      <c r="G15" s="3">
        <v>41623</v>
      </c>
      <c r="H15" s="1" t="str">
        <f t="shared" si="1"/>
        <v>11 г. 0 мес. 26 дн.</v>
      </c>
      <c r="I15" s="1" t="s">
        <v>39</v>
      </c>
      <c r="K15" s="1" t="s">
        <v>81</v>
      </c>
      <c r="L15" s="1" t="s">
        <v>82</v>
      </c>
      <c r="M15" s="1" t="s">
        <v>73</v>
      </c>
      <c r="N15" s="1">
        <v>192</v>
      </c>
      <c r="O15" s="1" t="s">
        <v>29</v>
      </c>
      <c r="S15" s="1" t="s">
        <v>83</v>
      </c>
      <c r="T15" s="3">
        <v>45668</v>
      </c>
      <c r="U15" s="4">
        <v>0.45833333333333298</v>
      </c>
      <c r="V15" s="1" t="str">
        <f t="shared" si="2"/>
        <v>0 г. 0 мес. 1 дн.</v>
      </c>
      <c r="W15" s="5"/>
    </row>
    <row r="16" spans="1:24" ht="34.5" customHeight="1" x14ac:dyDescent="0.25">
      <c r="A16" s="1">
        <f t="shared" si="0"/>
        <v>15</v>
      </c>
      <c r="B16" s="1">
        <v>35</v>
      </c>
      <c r="C16" s="2" t="s">
        <v>60</v>
      </c>
      <c r="D16" s="3">
        <v>45667</v>
      </c>
      <c r="E16" s="4">
        <v>0.79166666666666696</v>
      </c>
      <c r="F16" s="1" t="s">
        <v>84</v>
      </c>
      <c r="G16" s="3">
        <v>45624</v>
      </c>
      <c r="H16" s="1" t="str">
        <f t="shared" si="1"/>
        <v>0 г. 1 мес. 13 дн.</v>
      </c>
      <c r="I16" s="1" t="s">
        <v>70</v>
      </c>
      <c r="J16" s="1" t="s">
        <v>60</v>
      </c>
      <c r="K16" s="1" t="s">
        <v>85</v>
      </c>
      <c r="L16" s="1" t="s">
        <v>86</v>
      </c>
      <c r="M16" s="1" t="s">
        <v>87</v>
      </c>
      <c r="O16" s="1" t="s">
        <v>29</v>
      </c>
      <c r="S16" s="1" t="s">
        <v>60</v>
      </c>
      <c r="T16" s="3">
        <v>45670</v>
      </c>
      <c r="U16" s="4">
        <v>0.45833333333333298</v>
      </c>
      <c r="V16" s="1" t="str">
        <f t="shared" si="2"/>
        <v>0 г. 0 мес. 3 дн.</v>
      </c>
      <c r="W16" s="5"/>
    </row>
    <row r="17" spans="1:23" ht="34.5" customHeight="1" x14ac:dyDescent="0.25">
      <c r="A17" s="1">
        <f t="shared" si="0"/>
        <v>16</v>
      </c>
      <c r="B17" s="1">
        <v>14</v>
      </c>
      <c r="C17" s="2" t="s">
        <v>46</v>
      </c>
      <c r="D17" s="3">
        <v>45667</v>
      </c>
      <c r="E17" s="4">
        <v>0.88888888888888895</v>
      </c>
      <c r="F17" s="1" t="s">
        <v>88</v>
      </c>
      <c r="G17" s="3">
        <v>40318</v>
      </c>
      <c r="H17" s="1" t="str">
        <f t="shared" si="1"/>
        <v>14 г. 7 мес. 21 дн.</v>
      </c>
      <c r="I17" s="1" t="s">
        <v>39</v>
      </c>
      <c r="K17" s="1" t="s">
        <v>89</v>
      </c>
      <c r="L17" s="1" t="s">
        <v>90</v>
      </c>
      <c r="M17" s="1" t="s">
        <v>50</v>
      </c>
      <c r="O17" s="1" t="s">
        <v>29</v>
      </c>
      <c r="S17" s="1" t="s">
        <v>46</v>
      </c>
      <c r="T17" s="3">
        <v>45668</v>
      </c>
      <c r="U17" s="4">
        <v>0.5</v>
      </c>
      <c r="V17" s="1" t="str">
        <f t="shared" si="2"/>
        <v>0 г. 0 мес. 1 дн.</v>
      </c>
      <c r="W17" s="5"/>
    </row>
    <row r="18" spans="1:23" ht="34.5" customHeight="1" x14ac:dyDescent="0.25">
      <c r="A18" s="1">
        <f t="shared" si="0"/>
        <v>17</v>
      </c>
      <c r="B18" s="1">
        <v>17</v>
      </c>
      <c r="C18" s="2" t="s">
        <v>91</v>
      </c>
      <c r="D18" s="3">
        <v>45672</v>
      </c>
      <c r="E18" s="4">
        <v>0.64236111111111105</v>
      </c>
      <c r="F18" s="1" t="s">
        <v>92</v>
      </c>
      <c r="G18" s="3">
        <v>39658</v>
      </c>
      <c r="H18" s="1" t="str">
        <f t="shared" si="1"/>
        <v>16 г. 5 мес. 17 дн.</v>
      </c>
      <c r="I18" s="1" t="s">
        <v>70</v>
      </c>
      <c r="J18" s="1" t="s">
        <v>91</v>
      </c>
      <c r="K18" s="1" t="s">
        <v>93</v>
      </c>
      <c r="L18" s="1" t="s">
        <v>94</v>
      </c>
      <c r="M18" s="1" t="s">
        <v>95</v>
      </c>
      <c r="O18" s="1" t="s">
        <v>29</v>
      </c>
      <c r="S18" s="1" t="s">
        <v>83</v>
      </c>
      <c r="T18" s="3">
        <v>45675</v>
      </c>
      <c r="U18" s="4">
        <v>0.375</v>
      </c>
      <c r="V18" s="1" t="str">
        <f t="shared" si="2"/>
        <v>0 г. 0 мес. 3 дн.</v>
      </c>
      <c r="W18" s="5"/>
    </row>
    <row r="19" spans="1:23" ht="34.5" customHeight="1" x14ac:dyDescent="0.25">
      <c r="A19" s="1">
        <f t="shared" si="0"/>
        <v>18</v>
      </c>
      <c r="B19" s="1">
        <v>46</v>
      </c>
      <c r="C19" s="2" t="s">
        <v>96</v>
      </c>
      <c r="D19" s="3">
        <v>45672</v>
      </c>
      <c r="E19" s="4">
        <v>0.5</v>
      </c>
      <c r="F19" s="1" t="s">
        <v>97</v>
      </c>
      <c r="G19" s="3">
        <v>39531</v>
      </c>
      <c r="H19" s="1" t="str">
        <f t="shared" si="1"/>
        <v>16 г. 9 мес. 22 дн.</v>
      </c>
      <c r="I19" s="1" t="s">
        <v>62</v>
      </c>
      <c r="J19" s="1" t="s">
        <v>96</v>
      </c>
      <c r="K19" s="1" t="s">
        <v>98</v>
      </c>
      <c r="L19" s="1" t="s">
        <v>99</v>
      </c>
      <c r="M19" s="1" t="s">
        <v>100</v>
      </c>
      <c r="O19" s="1" t="s">
        <v>29</v>
      </c>
      <c r="P19" s="1" t="s">
        <v>101</v>
      </c>
      <c r="S19" s="1" t="s">
        <v>96</v>
      </c>
      <c r="T19" s="3">
        <v>45673</v>
      </c>
      <c r="U19" s="4">
        <v>0.4375</v>
      </c>
      <c r="V19" s="1" t="str">
        <f t="shared" si="2"/>
        <v>0 г. 0 мес. 1 дн.</v>
      </c>
      <c r="W19" s="5"/>
    </row>
    <row r="20" spans="1:23" ht="34.5" customHeight="1" x14ac:dyDescent="0.25">
      <c r="A20" s="1">
        <f t="shared" si="0"/>
        <v>19</v>
      </c>
      <c r="B20" s="1">
        <v>17</v>
      </c>
      <c r="C20" s="2" t="s">
        <v>46</v>
      </c>
      <c r="D20" s="3">
        <v>45670</v>
      </c>
      <c r="E20" s="4">
        <v>0.656944444444444</v>
      </c>
      <c r="F20" s="1" t="s">
        <v>102</v>
      </c>
      <c r="G20" s="3">
        <v>40736</v>
      </c>
      <c r="H20" s="1" t="str">
        <f t="shared" si="1"/>
        <v>13 г. 6 мес. 1 дн.</v>
      </c>
      <c r="I20" s="1" t="s">
        <v>39</v>
      </c>
      <c r="K20" s="1" t="s">
        <v>103</v>
      </c>
      <c r="L20" s="1" t="s">
        <v>104</v>
      </c>
      <c r="M20" s="1" t="s">
        <v>105</v>
      </c>
      <c r="O20" s="1" t="s">
        <v>29</v>
      </c>
      <c r="S20" s="1" t="s">
        <v>46</v>
      </c>
      <c r="T20" s="3">
        <v>45671</v>
      </c>
      <c r="U20" s="4">
        <v>0.37777777777777799</v>
      </c>
      <c r="V20" s="1" t="str">
        <f t="shared" si="2"/>
        <v>0 г. 0 мес. 1 дн.</v>
      </c>
      <c r="W20" s="5"/>
    </row>
    <row r="21" spans="1:23" ht="34.5" customHeight="1" x14ac:dyDescent="0.25">
      <c r="A21" s="1">
        <f t="shared" si="0"/>
        <v>20</v>
      </c>
      <c r="B21" s="1">
        <v>101</v>
      </c>
      <c r="C21" s="2" t="s">
        <v>60</v>
      </c>
      <c r="D21" s="3">
        <v>45674</v>
      </c>
      <c r="E21" s="4">
        <v>0.92708333333333304</v>
      </c>
      <c r="F21" s="1" t="s">
        <v>106</v>
      </c>
      <c r="G21" s="3">
        <v>39806</v>
      </c>
      <c r="H21" s="1" t="str">
        <f t="shared" si="1"/>
        <v>16 г. 0 мес. 24 дн.</v>
      </c>
      <c r="I21" s="1" t="s">
        <v>39</v>
      </c>
      <c r="K21" s="1" t="s">
        <v>107</v>
      </c>
      <c r="L21" s="1" t="s">
        <v>108</v>
      </c>
      <c r="M21" s="1" t="s">
        <v>87</v>
      </c>
      <c r="O21" s="1" t="s">
        <v>29</v>
      </c>
      <c r="Q21" s="1" t="s">
        <v>30</v>
      </c>
      <c r="S21" s="6" t="s">
        <v>60</v>
      </c>
      <c r="T21" s="3">
        <v>45675</v>
      </c>
      <c r="U21" s="4">
        <v>0.45833333333333298</v>
      </c>
      <c r="V21" s="1" t="str">
        <f t="shared" si="2"/>
        <v>0 г. 0 мес. 1 дн.</v>
      </c>
      <c r="W21" s="5"/>
    </row>
    <row r="22" spans="1:23" ht="34.5" customHeight="1" x14ac:dyDescent="0.25">
      <c r="A22" s="1">
        <f t="shared" si="0"/>
        <v>21</v>
      </c>
      <c r="B22" s="1">
        <v>31</v>
      </c>
      <c r="C22" s="2" t="s">
        <v>32</v>
      </c>
      <c r="D22" s="3">
        <v>45676</v>
      </c>
      <c r="E22" s="4">
        <v>0.5</v>
      </c>
      <c r="F22" s="1" t="s">
        <v>109</v>
      </c>
      <c r="G22" s="3">
        <v>44288</v>
      </c>
      <c r="H22" s="1" t="str">
        <f t="shared" si="1"/>
        <v>3 г. 9 мес. 17 дн.</v>
      </c>
      <c r="I22" s="1" t="s">
        <v>34</v>
      </c>
      <c r="K22" s="1" t="s">
        <v>110</v>
      </c>
      <c r="L22" s="1" t="s">
        <v>111</v>
      </c>
      <c r="M22" s="1" t="s">
        <v>73</v>
      </c>
      <c r="O22" s="1" t="s">
        <v>29</v>
      </c>
      <c r="S22" s="1" t="s">
        <v>32</v>
      </c>
      <c r="T22" s="3">
        <v>45677</v>
      </c>
      <c r="U22" s="4">
        <v>0.58611111111111103</v>
      </c>
      <c r="V22" s="1" t="str">
        <f t="shared" si="2"/>
        <v>0 г. 0 мес. 1 дн.</v>
      </c>
      <c r="W22" s="5"/>
    </row>
    <row r="23" spans="1:23" ht="34.5" customHeight="1" x14ac:dyDescent="0.25">
      <c r="A23" s="1">
        <f t="shared" si="0"/>
        <v>22</v>
      </c>
      <c r="B23" s="1">
        <v>31</v>
      </c>
      <c r="C23" s="2" t="s">
        <v>46</v>
      </c>
      <c r="D23" s="3">
        <v>45678</v>
      </c>
      <c r="E23" s="4">
        <v>0.45833333333333298</v>
      </c>
      <c r="F23" s="1" t="s">
        <v>112</v>
      </c>
      <c r="G23" s="3">
        <v>40512</v>
      </c>
      <c r="H23" s="1" t="str">
        <f t="shared" si="1"/>
        <v>14 г. 1 мес. 22 дн.</v>
      </c>
      <c r="I23" s="1" t="s">
        <v>70</v>
      </c>
      <c r="J23" s="1" t="s">
        <v>46</v>
      </c>
      <c r="K23" s="1" t="s">
        <v>113</v>
      </c>
      <c r="L23" s="1" t="s">
        <v>114</v>
      </c>
      <c r="M23" s="1" t="s">
        <v>50</v>
      </c>
      <c r="O23" s="1" t="s">
        <v>29</v>
      </c>
      <c r="P23" s="6"/>
      <c r="Q23" s="6"/>
      <c r="R23" s="6"/>
      <c r="S23" s="6" t="s">
        <v>46</v>
      </c>
      <c r="T23" s="3">
        <v>45678</v>
      </c>
      <c r="U23" s="4">
        <v>0.79166666666666696</v>
      </c>
      <c r="V23" s="1" t="str">
        <f t="shared" si="2"/>
        <v>0 г. 0 мес. 0 дн.</v>
      </c>
      <c r="W23" s="5"/>
    </row>
    <row r="24" spans="1:23" ht="34.5" customHeight="1" x14ac:dyDescent="0.25">
      <c r="A24" s="1">
        <f t="shared" si="0"/>
        <v>23</v>
      </c>
      <c r="B24" s="1">
        <v>169</v>
      </c>
      <c r="C24" s="2" t="s">
        <v>60</v>
      </c>
      <c r="D24" s="3">
        <v>45679</v>
      </c>
      <c r="E24" s="4">
        <v>0.77083333333333304</v>
      </c>
      <c r="F24" s="1" t="s">
        <v>115</v>
      </c>
      <c r="G24" s="3">
        <v>44972</v>
      </c>
      <c r="H24" s="1" t="str">
        <f t="shared" si="1"/>
        <v>1 г. 11 мес. 7 дн.</v>
      </c>
      <c r="I24" s="1" t="s">
        <v>39</v>
      </c>
      <c r="K24" s="1" t="s">
        <v>116</v>
      </c>
      <c r="L24" s="1" t="s">
        <v>117</v>
      </c>
      <c r="M24" s="1" t="s">
        <v>65</v>
      </c>
      <c r="O24" s="1" t="s">
        <v>29</v>
      </c>
      <c r="S24" s="1" t="s">
        <v>60</v>
      </c>
      <c r="T24" s="3">
        <v>45680</v>
      </c>
      <c r="U24" s="4">
        <v>0.46458333333333302</v>
      </c>
      <c r="V24" s="1" t="str">
        <f t="shared" si="2"/>
        <v>0 г. 0 мес. 1 дн.</v>
      </c>
      <c r="W24" s="5"/>
    </row>
    <row r="25" spans="1:23" s="11" customFormat="1" ht="34.5" customHeight="1" x14ac:dyDescent="0.25">
      <c r="A25" s="1">
        <f t="shared" si="0"/>
        <v>24</v>
      </c>
      <c r="B25" s="1">
        <v>3</v>
      </c>
      <c r="C25" s="1" t="s">
        <v>32</v>
      </c>
      <c r="D25" s="3">
        <v>45679</v>
      </c>
      <c r="E25" s="4">
        <v>0.44097222222222199</v>
      </c>
      <c r="F25" s="1" t="s">
        <v>74</v>
      </c>
      <c r="G25" s="3">
        <v>39876</v>
      </c>
      <c r="H25" s="1" t="str">
        <f t="shared" si="1"/>
        <v>15 г. 10 мес. 18 дн.</v>
      </c>
      <c r="I25" s="1" t="s">
        <v>70</v>
      </c>
      <c r="J25" s="1" t="s">
        <v>32</v>
      </c>
      <c r="K25" s="7" t="s">
        <v>118</v>
      </c>
      <c r="L25" s="7" t="s">
        <v>119</v>
      </c>
      <c r="M25" s="7" t="s">
        <v>73</v>
      </c>
      <c r="N25" s="7"/>
      <c r="O25" s="7" t="s">
        <v>42</v>
      </c>
      <c r="P25" s="7"/>
      <c r="Q25" s="7"/>
      <c r="R25" s="7"/>
      <c r="S25" s="7" t="s">
        <v>60</v>
      </c>
      <c r="T25" s="8">
        <v>45680</v>
      </c>
      <c r="U25" s="9">
        <v>0.99652777777777801</v>
      </c>
      <c r="V25" s="7" t="str">
        <f t="shared" si="2"/>
        <v>0 г. 0 мес. 1 дн.</v>
      </c>
      <c r="W25" s="10"/>
    </row>
    <row r="26" spans="1:23" ht="34.5" customHeight="1" x14ac:dyDescent="0.25">
      <c r="A26" s="1">
        <v>25</v>
      </c>
      <c r="B26" s="1">
        <v>161</v>
      </c>
      <c r="C26" s="2" t="s">
        <v>60</v>
      </c>
      <c r="D26" s="3">
        <v>45679</v>
      </c>
      <c r="E26" s="4">
        <v>0.5</v>
      </c>
      <c r="F26" s="1" t="s">
        <v>120</v>
      </c>
      <c r="G26" s="3">
        <v>45679</v>
      </c>
      <c r="H26" s="1" t="str">
        <f t="shared" si="1"/>
        <v>0 г. 0 мес. 0 дн.</v>
      </c>
      <c r="I26" s="1" t="s">
        <v>34</v>
      </c>
      <c r="K26" s="1" t="s">
        <v>121</v>
      </c>
      <c r="L26" s="1" t="s">
        <v>122</v>
      </c>
      <c r="M26" s="1" t="s">
        <v>123</v>
      </c>
      <c r="O26" s="1" t="s">
        <v>124</v>
      </c>
      <c r="S26" s="1" t="s">
        <v>83</v>
      </c>
      <c r="T26" s="3">
        <v>45680</v>
      </c>
      <c r="U26" s="4">
        <v>0.41666666666666702</v>
      </c>
      <c r="V26" s="1" t="str">
        <f t="shared" si="2"/>
        <v>0 г. 0 мес. 1 дн.</v>
      </c>
      <c r="W26" s="5"/>
    </row>
    <row r="27" spans="1:23" ht="34.5" customHeight="1" x14ac:dyDescent="0.25">
      <c r="A27" s="1">
        <f>ROW(A26)</f>
        <v>26</v>
      </c>
      <c r="B27" s="1">
        <v>181</v>
      </c>
      <c r="C27" s="2" t="s">
        <v>60</v>
      </c>
      <c r="D27" s="3">
        <v>45680</v>
      </c>
      <c r="E27" s="4">
        <v>0.67708333333333304</v>
      </c>
      <c r="F27" s="1" t="s">
        <v>125</v>
      </c>
      <c r="G27" s="3">
        <v>42692</v>
      </c>
      <c r="H27" s="1" t="str">
        <f t="shared" si="1"/>
        <v>8 г. 2 мес. 5 дн.</v>
      </c>
      <c r="I27" s="1" t="s">
        <v>34</v>
      </c>
      <c r="K27" s="1" t="s">
        <v>126</v>
      </c>
      <c r="L27" s="1" t="s">
        <v>127</v>
      </c>
      <c r="M27" s="1" t="s">
        <v>37</v>
      </c>
      <c r="O27" s="1" t="s">
        <v>29</v>
      </c>
      <c r="S27" s="1" t="s">
        <v>32</v>
      </c>
      <c r="T27" s="3">
        <v>45683</v>
      </c>
      <c r="U27" s="4">
        <v>0.5</v>
      </c>
      <c r="V27" s="1" t="str">
        <f t="shared" si="2"/>
        <v>0 г. 0 мес. 3 дн.</v>
      </c>
      <c r="W27" s="5"/>
    </row>
    <row r="28" spans="1:23" s="15" customFormat="1" ht="49.5" customHeight="1" x14ac:dyDescent="0.25">
      <c r="A28" s="12">
        <v>27</v>
      </c>
      <c r="B28" s="1">
        <v>40</v>
      </c>
      <c r="C28" s="1" t="s">
        <v>46</v>
      </c>
      <c r="D28" s="3">
        <v>45681</v>
      </c>
      <c r="E28" s="13">
        <v>0.74305555555555602</v>
      </c>
      <c r="F28" s="1" t="s">
        <v>128</v>
      </c>
      <c r="G28" s="14">
        <v>45635</v>
      </c>
      <c r="H28" s="15" t="str">
        <f t="shared" si="1"/>
        <v>0 г. 1 мес. 15 дн.</v>
      </c>
      <c r="I28" s="12" t="s">
        <v>39</v>
      </c>
      <c r="J28" s="12"/>
      <c r="K28" s="12" t="s">
        <v>129</v>
      </c>
      <c r="L28" s="12" t="s">
        <v>130</v>
      </c>
      <c r="M28" s="12" t="s">
        <v>123</v>
      </c>
      <c r="N28" s="12"/>
      <c r="O28" s="12" t="s">
        <v>29</v>
      </c>
      <c r="P28" s="12"/>
      <c r="Q28" s="12"/>
      <c r="R28" s="12"/>
      <c r="S28" s="12" t="s">
        <v>46</v>
      </c>
      <c r="T28" s="14">
        <v>45682</v>
      </c>
      <c r="U28" s="13">
        <v>0.453472222222222</v>
      </c>
      <c r="V28" s="12" t="str">
        <f t="shared" si="2"/>
        <v>0 г. 0 мес. 1 дн.</v>
      </c>
      <c r="W28" s="16"/>
    </row>
    <row r="29" spans="1:23" ht="34.5" customHeight="1" x14ac:dyDescent="0.25">
      <c r="A29" s="1">
        <f t="shared" ref="A29:A42" si="3">ROW(A28)</f>
        <v>28</v>
      </c>
      <c r="B29" s="1">
        <v>47</v>
      </c>
      <c r="C29" s="2" t="s">
        <v>46</v>
      </c>
      <c r="D29" s="3">
        <v>45684</v>
      </c>
      <c r="E29" s="4">
        <v>0.52430555555555602</v>
      </c>
      <c r="F29" s="1" t="s">
        <v>131</v>
      </c>
      <c r="G29" s="3">
        <v>44846</v>
      </c>
      <c r="H29" s="1" t="str">
        <f t="shared" si="1"/>
        <v>2 г. 3 мес. 15 дн.</v>
      </c>
      <c r="I29" s="1" t="s">
        <v>132</v>
      </c>
      <c r="K29" s="1" t="s">
        <v>133</v>
      </c>
      <c r="L29" s="1" t="s">
        <v>134</v>
      </c>
      <c r="M29" s="1" t="s">
        <v>135</v>
      </c>
      <c r="O29" s="1" t="s">
        <v>29</v>
      </c>
      <c r="S29" s="1" t="s">
        <v>83</v>
      </c>
      <c r="T29" s="3">
        <v>45685</v>
      </c>
      <c r="U29" s="4">
        <v>0.41666666666666702</v>
      </c>
      <c r="V29" s="1" t="str">
        <f t="shared" si="2"/>
        <v>0 г. 0 мес. 1 дн.</v>
      </c>
      <c r="W29" s="5"/>
    </row>
    <row r="30" spans="1:23" ht="34.5" customHeight="1" x14ac:dyDescent="0.25">
      <c r="A30" s="1">
        <f t="shared" si="3"/>
        <v>29</v>
      </c>
      <c r="B30" s="1">
        <v>227</v>
      </c>
      <c r="C30" s="2" t="s">
        <v>60</v>
      </c>
      <c r="D30" s="3">
        <v>45685</v>
      </c>
      <c r="E30" s="4">
        <v>0.54166666666666696</v>
      </c>
      <c r="F30" s="1" t="s">
        <v>136</v>
      </c>
      <c r="G30" s="3">
        <v>45667</v>
      </c>
      <c r="H30" s="1" t="str">
        <f t="shared" si="1"/>
        <v>0 г. 0 мес. 18 дн.</v>
      </c>
      <c r="I30" s="1" t="s">
        <v>34</v>
      </c>
      <c r="K30" s="1" t="s">
        <v>137</v>
      </c>
      <c r="L30" s="1" t="s">
        <v>138</v>
      </c>
      <c r="M30" s="1" t="s">
        <v>123</v>
      </c>
      <c r="O30" s="1" t="s">
        <v>29</v>
      </c>
      <c r="S30" s="1" t="s">
        <v>60</v>
      </c>
      <c r="T30" s="3">
        <v>45689</v>
      </c>
      <c r="U30" s="4">
        <v>0.5</v>
      </c>
      <c r="V30" s="1" t="str">
        <f t="shared" si="2"/>
        <v>0 г. 0 мес. 4 дн.</v>
      </c>
      <c r="W30" s="5"/>
    </row>
    <row r="31" spans="1:23" ht="34.5" customHeight="1" x14ac:dyDescent="0.25">
      <c r="A31" s="1">
        <f t="shared" si="3"/>
        <v>30</v>
      </c>
      <c r="B31" s="1">
        <v>31</v>
      </c>
      <c r="C31" s="2" t="s">
        <v>32</v>
      </c>
      <c r="D31" s="3">
        <v>45681</v>
      </c>
      <c r="E31" s="4">
        <v>0.85</v>
      </c>
      <c r="F31" s="1" t="s">
        <v>109</v>
      </c>
      <c r="G31" s="3">
        <v>44288</v>
      </c>
      <c r="H31" s="1" t="str">
        <f t="shared" si="1"/>
        <v>3 г. 9 мес. 22 дн.</v>
      </c>
      <c r="I31" s="1" t="s">
        <v>25</v>
      </c>
      <c r="J31" s="1" t="s">
        <v>32</v>
      </c>
      <c r="K31" s="1" t="s">
        <v>110</v>
      </c>
      <c r="L31" s="1" t="s">
        <v>139</v>
      </c>
      <c r="M31" s="1" t="s">
        <v>73</v>
      </c>
      <c r="O31" s="1" t="s">
        <v>29</v>
      </c>
      <c r="S31" s="1" t="s">
        <v>32</v>
      </c>
      <c r="T31" s="3">
        <v>45683</v>
      </c>
      <c r="U31" s="4">
        <v>0.59722222222222199</v>
      </c>
      <c r="V31" s="1" t="str">
        <f t="shared" si="2"/>
        <v>0 г. 0 мес. 2 дн.</v>
      </c>
      <c r="W31" s="5"/>
    </row>
    <row r="32" spans="1:23" ht="34.5" customHeight="1" x14ac:dyDescent="0.25">
      <c r="A32" s="1">
        <f t="shared" si="3"/>
        <v>31</v>
      </c>
      <c r="B32" s="1">
        <v>32</v>
      </c>
      <c r="C32" s="2" t="s">
        <v>46</v>
      </c>
      <c r="D32" s="3">
        <v>45677</v>
      </c>
      <c r="E32" s="4">
        <v>0.96250000000000002</v>
      </c>
      <c r="F32" s="1" t="s">
        <v>140</v>
      </c>
      <c r="G32" s="3">
        <v>39341</v>
      </c>
      <c r="H32" s="1" t="str">
        <f t="shared" si="1"/>
        <v>17 г. 4 мес. 4 дн.</v>
      </c>
      <c r="I32" s="1" t="s">
        <v>39</v>
      </c>
      <c r="J32" s="2"/>
      <c r="K32" s="1" t="s">
        <v>141</v>
      </c>
      <c r="L32" s="1" t="s">
        <v>142</v>
      </c>
      <c r="M32" s="1" t="s">
        <v>50</v>
      </c>
      <c r="O32" s="1" t="s">
        <v>29</v>
      </c>
      <c r="S32" s="1" t="s">
        <v>46</v>
      </c>
      <c r="T32" s="3">
        <v>45678</v>
      </c>
      <c r="U32" s="4">
        <v>0.40069444444444402</v>
      </c>
      <c r="V32" s="1" t="str">
        <f t="shared" si="2"/>
        <v>0 г. 0 мес. 1 дн.</v>
      </c>
      <c r="W32" s="5"/>
    </row>
    <row r="33" spans="1:23" ht="34.5" customHeight="1" x14ac:dyDescent="0.25">
      <c r="A33" s="1">
        <f t="shared" si="3"/>
        <v>32</v>
      </c>
      <c r="B33" s="1">
        <v>40</v>
      </c>
      <c r="C33" s="2" t="s">
        <v>46</v>
      </c>
      <c r="D33" s="3">
        <v>45680</v>
      </c>
      <c r="E33" s="4">
        <v>0.78125</v>
      </c>
      <c r="F33" s="1" t="s">
        <v>143</v>
      </c>
      <c r="G33" s="3">
        <v>40406</v>
      </c>
      <c r="H33" s="1" t="str">
        <f t="shared" si="1"/>
        <v>14 г. 5 мес. 7 дн.</v>
      </c>
      <c r="I33" s="1" t="s">
        <v>39</v>
      </c>
      <c r="J33" s="2"/>
      <c r="K33" s="1" t="s">
        <v>144</v>
      </c>
      <c r="L33" s="1" t="s">
        <v>134</v>
      </c>
      <c r="M33" s="1" t="s">
        <v>135</v>
      </c>
      <c r="O33" s="1" t="s">
        <v>29</v>
      </c>
      <c r="S33" s="1" t="s">
        <v>83</v>
      </c>
      <c r="T33" s="3">
        <v>45682</v>
      </c>
      <c r="U33" s="4">
        <v>0.5</v>
      </c>
      <c r="V33" s="1" t="str">
        <f t="shared" si="2"/>
        <v>0 г. 0 мес. 2 дн.</v>
      </c>
      <c r="W33" s="5"/>
    </row>
    <row r="34" spans="1:23" ht="34.5" customHeight="1" x14ac:dyDescent="0.25">
      <c r="A34" s="1">
        <f t="shared" si="3"/>
        <v>33</v>
      </c>
      <c r="B34" s="1">
        <v>103</v>
      </c>
      <c r="C34" s="2" t="s">
        <v>23</v>
      </c>
      <c r="D34" s="3">
        <v>45682</v>
      </c>
      <c r="E34" s="4">
        <v>2.4305555555555601E-2</v>
      </c>
      <c r="F34" s="1" t="s">
        <v>33</v>
      </c>
      <c r="G34" s="3">
        <v>39519</v>
      </c>
      <c r="H34" s="1" t="str">
        <f t="shared" si="1"/>
        <v>16 г. 10 мес. 13 дн.</v>
      </c>
      <c r="I34" s="1" t="s">
        <v>25</v>
      </c>
      <c r="J34" s="2" t="s">
        <v>23</v>
      </c>
      <c r="K34" s="1" t="s">
        <v>35</v>
      </c>
      <c r="L34" s="1" t="s">
        <v>36</v>
      </c>
      <c r="M34" s="1" t="s">
        <v>37</v>
      </c>
      <c r="O34" s="1" t="s">
        <v>42</v>
      </c>
      <c r="S34" s="1" t="s">
        <v>46</v>
      </c>
      <c r="T34" s="3">
        <v>45694</v>
      </c>
      <c r="U34" s="4">
        <v>0.99722222222222201</v>
      </c>
      <c r="V34" s="1" t="str">
        <f t="shared" ref="V34:V65" si="4">DATEDIF(D34,T34,"y") &amp; " г. " &amp; DATEDIF(D34,T34,"ym") &amp; " мес. " &amp; DATEDIF(D34,T34,"md") &amp; " дн."</f>
        <v>0 г. 0 мес. 12 дн.</v>
      </c>
      <c r="W34" s="5"/>
    </row>
    <row r="35" spans="1:23" ht="34.5" customHeight="1" x14ac:dyDescent="0.25">
      <c r="A35" s="1">
        <f t="shared" si="3"/>
        <v>34</v>
      </c>
      <c r="B35" s="1">
        <v>94</v>
      </c>
      <c r="C35" s="2" t="s">
        <v>23</v>
      </c>
      <c r="D35" s="3">
        <v>45681</v>
      </c>
      <c r="E35" s="4">
        <v>1.0416666666666701E-2</v>
      </c>
      <c r="F35" s="1" t="s">
        <v>74</v>
      </c>
      <c r="G35" s="3">
        <v>39876</v>
      </c>
      <c r="H35" s="1" t="str">
        <f t="shared" si="1"/>
        <v>15 г. 10 мес. 20 дн.</v>
      </c>
      <c r="I35" s="1" t="s">
        <v>25</v>
      </c>
      <c r="J35" s="2" t="s">
        <v>23</v>
      </c>
      <c r="K35" s="1" t="s">
        <v>145</v>
      </c>
      <c r="L35" s="1" t="s">
        <v>146</v>
      </c>
      <c r="M35" s="1" t="s">
        <v>73</v>
      </c>
      <c r="O35" s="1" t="s">
        <v>42</v>
      </c>
      <c r="Q35" s="1" t="s">
        <v>147</v>
      </c>
      <c r="R35" s="1" t="s">
        <v>148</v>
      </c>
      <c r="S35" s="1" t="s">
        <v>83</v>
      </c>
      <c r="T35" s="3">
        <v>45686</v>
      </c>
      <c r="U35" s="4">
        <v>0.75</v>
      </c>
      <c r="V35" s="1" t="str">
        <f t="shared" si="4"/>
        <v>0 г. 0 мес. 5 дн.</v>
      </c>
      <c r="W35" s="5"/>
    </row>
    <row r="36" spans="1:23" ht="34.5" customHeight="1" x14ac:dyDescent="0.25">
      <c r="A36" s="1">
        <f t="shared" si="3"/>
        <v>35</v>
      </c>
      <c r="B36" s="1">
        <v>55</v>
      </c>
      <c r="C36" s="2" t="s">
        <v>32</v>
      </c>
      <c r="D36" s="3">
        <v>45688</v>
      </c>
      <c r="E36" s="4">
        <v>0.27083333333333298</v>
      </c>
      <c r="F36" s="1" t="s">
        <v>149</v>
      </c>
      <c r="G36" s="3">
        <v>42425</v>
      </c>
      <c r="H36" s="1" t="str">
        <f t="shared" si="1"/>
        <v>8 г. 11 мес. 6 дн.</v>
      </c>
      <c r="I36" s="1" t="s">
        <v>39</v>
      </c>
      <c r="J36" s="2"/>
      <c r="K36" s="1" t="s">
        <v>150</v>
      </c>
      <c r="L36" s="1" t="s">
        <v>151</v>
      </c>
      <c r="M36" s="1" t="s">
        <v>73</v>
      </c>
      <c r="O36" s="1" t="s">
        <v>29</v>
      </c>
      <c r="S36" s="1" t="s">
        <v>32</v>
      </c>
      <c r="T36" s="3">
        <v>45688</v>
      </c>
      <c r="U36" s="4">
        <v>0.5</v>
      </c>
      <c r="V36" s="1" t="str">
        <f t="shared" si="4"/>
        <v>0 г. 0 мес. 0 дн.</v>
      </c>
      <c r="W36" s="5"/>
    </row>
    <row r="37" spans="1:23" ht="34.5" customHeight="1" x14ac:dyDescent="0.25">
      <c r="A37" s="1">
        <f t="shared" si="3"/>
        <v>36</v>
      </c>
      <c r="B37" s="1">
        <v>53</v>
      </c>
      <c r="C37" s="2" t="s">
        <v>32</v>
      </c>
      <c r="D37" s="3">
        <v>45687</v>
      </c>
      <c r="E37" s="4">
        <v>0.54166666666666696</v>
      </c>
      <c r="F37" s="1" t="s">
        <v>152</v>
      </c>
      <c r="G37" s="3">
        <v>39468</v>
      </c>
      <c r="H37" s="1" t="str">
        <f t="shared" si="1"/>
        <v>17 г. 0 мес. 9 дн.</v>
      </c>
      <c r="I37" s="1" t="s">
        <v>39</v>
      </c>
      <c r="J37" s="2"/>
      <c r="K37" s="1" t="s">
        <v>153</v>
      </c>
      <c r="L37" s="1" t="s">
        <v>154</v>
      </c>
      <c r="M37" s="1" t="s">
        <v>73</v>
      </c>
      <c r="O37" s="1" t="s">
        <v>29</v>
      </c>
      <c r="S37" s="1" t="s">
        <v>32</v>
      </c>
      <c r="T37" s="3">
        <v>45688</v>
      </c>
      <c r="U37" s="4">
        <v>0.5</v>
      </c>
      <c r="V37" s="1" t="str">
        <f t="shared" si="4"/>
        <v>0 г. 0 мес. 1 дн.</v>
      </c>
      <c r="W37" s="5"/>
    </row>
    <row r="38" spans="1:23" ht="34.5" customHeight="1" x14ac:dyDescent="0.25">
      <c r="A38" s="1">
        <f t="shared" si="3"/>
        <v>37</v>
      </c>
      <c r="B38" s="1">
        <v>241</v>
      </c>
      <c r="C38" s="2" t="s">
        <v>60</v>
      </c>
      <c r="D38" s="3">
        <v>45687</v>
      </c>
      <c r="E38" s="4">
        <v>0.58333333333333304</v>
      </c>
      <c r="F38" s="1" t="s">
        <v>155</v>
      </c>
      <c r="G38" s="3">
        <v>45613</v>
      </c>
      <c r="H38" s="1" t="str">
        <f t="shared" si="1"/>
        <v>0 г. 2 мес. 13 дн.</v>
      </c>
      <c r="I38" s="1" t="s">
        <v>62</v>
      </c>
      <c r="J38" s="1" t="s">
        <v>60</v>
      </c>
      <c r="K38" s="1" t="s">
        <v>137</v>
      </c>
      <c r="L38" s="1" t="s">
        <v>156</v>
      </c>
      <c r="M38" s="1" t="s">
        <v>157</v>
      </c>
      <c r="O38" s="1" t="s">
        <v>29</v>
      </c>
      <c r="S38" s="1" t="s">
        <v>60</v>
      </c>
      <c r="T38" s="3">
        <v>45688</v>
      </c>
      <c r="U38" s="4">
        <v>0.5</v>
      </c>
      <c r="V38" s="1" t="str">
        <f t="shared" si="4"/>
        <v>0 г. 0 мес. 1 дн.</v>
      </c>
      <c r="W38" s="5"/>
    </row>
    <row r="39" spans="1:23" ht="34.5" customHeight="1" x14ac:dyDescent="0.25">
      <c r="A39" s="1">
        <f t="shared" si="3"/>
        <v>38</v>
      </c>
      <c r="B39" s="1">
        <v>61</v>
      </c>
      <c r="C39" s="2" t="s">
        <v>46</v>
      </c>
      <c r="D39" s="3">
        <v>45688</v>
      </c>
      <c r="E39" s="4">
        <v>0.45833333333333298</v>
      </c>
      <c r="F39" s="1" t="s">
        <v>158</v>
      </c>
      <c r="G39" s="3">
        <v>41898</v>
      </c>
      <c r="H39" s="1" t="str">
        <f t="shared" si="1"/>
        <v>10 г. 4 мес. 15 дн.</v>
      </c>
      <c r="I39" s="1" t="s">
        <v>39</v>
      </c>
      <c r="K39" s="1" t="s">
        <v>159</v>
      </c>
      <c r="L39" s="1" t="s">
        <v>134</v>
      </c>
      <c r="M39" s="1" t="s">
        <v>135</v>
      </c>
      <c r="O39" s="1" t="s">
        <v>29</v>
      </c>
      <c r="S39" s="1" t="s">
        <v>46</v>
      </c>
      <c r="T39" s="3">
        <v>45689</v>
      </c>
      <c r="U39" s="4">
        <v>0.5</v>
      </c>
      <c r="V39" s="1" t="str">
        <f t="shared" si="4"/>
        <v>0 г. 0 мес. 1 дн.</v>
      </c>
      <c r="W39" s="5"/>
    </row>
    <row r="40" spans="1:23" ht="34.5" customHeight="1" x14ac:dyDescent="0.25">
      <c r="A40" s="1">
        <f t="shared" si="3"/>
        <v>39</v>
      </c>
      <c r="B40" s="1">
        <v>261</v>
      </c>
      <c r="C40" s="2" t="s">
        <v>60</v>
      </c>
      <c r="D40" s="3">
        <v>45689</v>
      </c>
      <c r="E40" s="4">
        <v>0.55555555555555602</v>
      </c>
      <c r="F40" s="1" t="s">
        <v>160</v>
      </c>
      <c r="G40" s="3">
        <v>45689</v>
      </c>
      <c r="H40" s="1" t="str">
        <f t="shared" si="1"/>
        <v>0 г. 0 мес. 0 дн.</v>
      </c>
      <c r="I40" s="1" t="s">
        <v>34</v>
      </c>
      <c r="K40" s="1" t="s">
        <v>161</v>
      </c>
      <c r="L40" s="1" t="s">
        <v>162</v>
      </c>
      <c r="M40" s="1" t="s">
        <v>87</v>
      </c>
      <c r="O40" s="1" t="s">
        <v>42</v>
      </c>
      <c r="S40" s="1" t="s">
        <v>83</v>
      </c>
      <c r="T40" s="3">
        <v>45689</v>
      </c>
      <c r="U40" s="4">
        <v>0.5</v>
      </c>
      <c r="V40" s="1" t="str">
        <f t="shared" si="4"/>
        <v>0 г. 0 мес. 0 дн.</v>
      </c>
      <c r="W40" s="5"/>
    </row>
    <row r="41" spans="1:23" ht="34.5" customHeight="1" x14ac:dyDescent="0.25">
      <c r="A41" s="1">
        <f t="shared" si="3"/>
        <v>40</v>
      </c>
      <c r="B41" s="1">
        <v>65</v>
      </c>
      <c r="C41" s="2" t="s">
        <v>46</v>
      </c>
      <c r="D41" s="3">
        <v>45689</v>
      </c>
      <c r="E41" s="4">
        <v>0.78819444444444497</v>
      </c>
      <c r="F41" s="1" t="s">
        <v>163</v>
      </c>
      <c r="G41" s="3">
        <v>39612</v>
      </c>
      <c r="H41" s="1" t="str">
        <f t="shared" si="1"/>
        <v>16 г. 7 мес. 19 дн.</v>
      </c>
      <c r="I41" s="1" t="s">
        <v>39</v>
      </c>
      <c r="K41" s="1" t="s">
        <v>164</v>
      </c>
      <c r="L41" s="1" t="s">
        <v>142</v>
      </c>
      <c r="M41" s="1" t="s">
        <v>50</v>
      </c>
      <c r="O41" s="1" t="s">
        <v>29</v>
      </c>
      <c r="S41" s="1" t="s">
        <v>46</v>
      </c>
      <c r="T41" s="3">
        <v>45690</v>
      </c>
      <c r="U41" s="4">
        <v>0.52222222222222203</v>
      </c>
      <c r="V41" s="1" t="str">
        <f t="shared" si="4"/>
        <v>0 г. 0 мес. 1 дн.</v>
      </c>
      <c r="W41" s="5"/>
    </row>
    <row r="42" spans="1:23" ht="34.5" customHeight="1" x14ac:dyDescent="0.25">
      <c r="A42" s="1">
        <f t="shared" si="3"/>
        <v>41</v>
      </c>
      <c r="B42" s="1">
        <v>242</v>
      </c>
      <c r="C42" s="2" t="s">
        <v>60</v>
      </c>
      <c r="D42" s="3">
        <v>45687</v>
      </c>
      <c r="E42" s="4">
        <v>0.125</v>
      </c>
      <c r="F42" s="1" t="s">
        <v>165</v>
      </c>
      <c r="G42" s="3">
        <v>40160</v>
      </c>
      <c r="H42" s="1" t="str">
        <f t="shared" si="1"/>
        <v>15 г. 1 мес. 17 дн.</v>
      </c>
      <c r="I42" s="1" t="s">
        <v>62</v>
      </c>
      <c r="J42" s="1" t="s">
        <v>60</v>
      </c>
      <c r="K42" s="1" t="s">
        <v>166</v>
      </c>
      <c r="L42" s="1" t="s">
        <v>167</v>
      </c>
      <c r="M42" s="1" t="s">
        <v>87</v>
      </c>
      <c r="O42" s="1" t="s">
        <v>42</v>
      </c>
      <c r="P42" s="1" t="s">
        <v>101</v>
      </c>
      <c r="S42" s="1" t="s">
        <v>60</v>
      </c>
      <c r="T42" s="3">
        <v>45691</v>
      </c>
      <c r="U42" s="4">
        <v>0.47361111111111098</v>
      </c>
      <c r="V42" s="1" t="str">
        <f t="shared" si="4"/>
        <v>0 г. 0 мес. 4 дн.</v>
      </c>
      <c r="W42" s="5"/>
    </row>
    <row r="43" spans="1:23" ht="34.5" customHeight="1" x14ac:dyDescent="0.25">
      <c r="A43" s="1" t="e">
        <f>ROW(#REF!)</f>
        <v>#REF!</v>
      </c>
      <c r="B43" s="1">
        <v>286</v>
      </c>
      <c r="C43" s="2" t="s">
        <v>60</v>
      </c>
      <c r="D43" s="3">
        <v>45693</v>
      </c>
      <c r="E43" s="4">
        <v>0.67361111111111105</v>
      </c>
      <c r="F43" s="1" t="s">
        <v>168</v>
      </c>
      <c r="G43" s="3">
        <v>40061</v>
      </c>
      <c r="H43" s="1" t="str">
        <f t="shared" si="1"/>
        <v>15 г. 5 мес. 0 дн.</v>
      </c>
      <c r="I43" s="1" t="s">
        <v>62</v>
      </c>
      <c r="J43" s="1" t="s">
        <v>96</v>
      </c>
      <c r="K43" s="1" t="s">
        <v>169</v>
      </c>
      <c r="L43" s="1" t="s">
        <v>170</v>
      </c>
      <c r="M43" s="1" t="s">
        <v>87</v>
      </c>
      <c r="O43" s="1" t="s">
        <v>42</v>
      </c>
      <c r="S43" s="1" t="s">
        <v>60</v>
      </c>
      <c r="T43" s="3">
        <v>45695</v>
      </c>
      <c r="U43" s="4">
        <v>0.45833333333333298</v>
      </c>
      <c r="V43" s="1" t="str">
        <f t="shared" si="4"/>
        <v>0 г. 0 мес. 2 дн.</v>
      </c>
      <c r="W43" s="5"/>
    </row>
    <row r="44" spans="1:23" ht="34.5" customHeight="1" x14ac:dyDescent="0.25">
      <c r="A44" s="1">
        <f t="shared" ref="A44:A72" si="5">ROW(A43)</f>
        <v>43</v>
      </c>
      <c r="B44" s="1">
        <v>151</v>
      </c>
      <c r="C44" s="2" t="s">
        <v>96</v>
      </c>
      <c r="D44" s="3">
        <v>45694</v>
      </c>
      <c r="E44" s="4">
        <v>0.15625</v>
      </c>
      <c r="F44" s="1" t="s">
        <v>171</v>
      </c>
      <c r="G44" s="3">
        <v>40080</v>
      </c>
      <c r="H44" s="1" t="str">
        <f t="shared" si="1"/>
        <v>15 г. 4 мес. 13 дн.</v>
      </c>
      <c r="I44" s="1" t="s">
        <v>62</v>
      </c>
      <c r="J44" s="1" t="s">
        <v>96</v>
      </c>
      <c r="K44" s="1" t="s">
        <v>172</v>
      </c>
      <c r="L44" s="1" t="s">
        <v>173</v>
      </c>
      <c r="M44" s="1" t="s">
        <v>100</v>
      </c>
      <c r="O44" s="1" t="s">
        <v>29</v>
      </c>
      <c r="S44" s="1" t="s">
        <v>96</v>
      </c>
      <c r="T44" s="3">
        <v>45694</v>
      </c>
      <c r="U44" s="4">
        <v>0.4375</v>
      </c>
      <c r="V44" s="1" t="str">
        <f t="shared" si="4"/>
        <v>0 г. 0 мес. 0 дн.</v>
      </c>
      <c r="W44" s="5"/>
    </row>
    <row r="45" spans="1:23" ht="34.5" customHeight="1" x14ac:dyDescent="0.25">
      <c r="A45" s="1">
        <f t="shared" si="5"/>
        <v>44</v>
      </c>
      <c r="B45" s="1">
        <v>314</v>
      </c>
      <c r="C45" s="2" t="s">
        <v>46</v>
      </c>
      <c r="D45" s="3">
        <v>45694</v>
      </c>
      <c r="E45" s="4">
        <v>0.92013888888888895</v>
      </c>
      <c r="F45" s="1" t="s">
        <v>174</v>
      </c>
      <c r="G45" s="3">
        <v>39966</v>
      </c>
      <c r="H45" s="1" t="str">
        <f t="shared" si="1"/>
        <v>15 г. 8 мес. 4 дн.</v>
      </c>
      <c r="I45" s="1" t="s">
        <v>39</v>
      </c>
      <c r="K45" s="1" t="s">
        <v>137</v>
      </c>
      <c r="L45" s="1" t="s">
        <v>175</v>
      </c>
      <c r="M45" s="1" t="s">
        <v>87</v>
      </c>
      <c r="O45" s="1" t="s">
        <v>29</v>
      </c>
      <c r="S45" s="1" t="s">
        <v>60</v>
      </c>
      <c r="T45" s="3">
        <v>45696</v>
      </c>
      <c r="U45" s="4">
        <v>0.5625</v>
      </c>
      <c r="V45" s="1" t="str">
        <f t="shared" si="4"/>
        <v>0 г. 0 мес. 2 дн.</v>
      </c>
      <c r="W45" s="5"/>
    </row>
    <row r="46" spans="1:23" ht="34.5" customHeight="1" x14ac:dyDescent="0.25">
      <c r="A46" s="1">
        <f t="shared" si="5"/>
        <v>45</v>
      </c>
      <c r="B46" s="1">
        <v>302</v>
      </c>
      <c r="C46" s="2" t="s">
        <v>60</v>
      </c>
      <c r="D46" s="3">
        <v>45695</v>
      </c>
      <c r="E46" s="4">
        <v>0.59375</v>
      </c>
      <c r="F46" s="1" t="s">
        <v>176</v>
      </c>
      <c r="G46" s="3">
        <v>40422</v>
      </c>
      <c r="H46" s="1" t="str">
        <f t="shared" si="1"/>
        <v>14 г. 5 мес. 6 дн.</v>
      </c>
      <c r="I46" s="1" t="s">
        <v>62</v>
      </c>
      <c r="K46" s="1" t="s">
        <v>177</v>
      </c>
      <c r="L46" s="1" t="s">
        <v>178</v>
      </c>
      <c r="M46" s="1" t="s">
        <v>87</v>
      </c>
      <c r="O46" s="1" t="s">
        <v>29</v>
      </c>
      <c r="S46" s="1" t="s">
        <v>60</v>
      </c>
      <c r="T46" s="3">
        <v>45695</v>
      </c>
      <c r="U46" s="4">
        <v>0.8</v>
      </c>
      <c r="V46" s="1" t="str">
        <f t="shared" si="4"/>
        <v>0 г. 0 мес. 0 дн.</v>
      </c>
      <c r="W46" s="5"/>
    </row>
    <row r="47" spans="1:23" ht="34.5" customHeight="1" x14ac:dyDescent="0.25">
      <c r="A47" s="1">
        <f t="shared" si="5"/>
        <v>46</v>
      </c>
      <c r="B47" s="1">
        <v>161</v>
      </c>
      <c r="C47" s="2" t="s">
        <v>96</v>
      </c>
      <c r="D47" s="3">
        <v>45695</v>
      </c>
      <c r="E47" s="4">
        <v>0.8125</v>
      </c>
      <c r="F47" s="1" t="s">
        <v>179</v>
      </c>
      <c r="G47" s="3">
        <v>40072</v>
      </c>
      <c r="H47" s="1" t="str">
        <f t="shared" si="1"/>
        <v>15 г. 4 мес. 22 дн.</v>
      </c>
      <c r="I47" s="1" t="s">
        <v>39</v>
      </c>
      <c r="K47" s="1" t="s">
        <v>137</v>
      </c>
      <c r="L47" s="1" t="s">
        <v>180</v>
      </c>
      <c r="M47" s="1" t="s">
        <v>181</v>
      </c>
      <c r="O47" s="1" t="s">
        <v>29</v>
      </c>
      <c r="S47" s="1" t="s">
        <v>96</v>
      </c>
      <c r="T47" s="3">
        <v>45696</v>
      </c>
      <c r="U47" s="4">
        <v>0.47222222222222199</v>
      </c>
      <c r="V47" s="1" t="str">
        <f t="shared" si="4"/>
        <v>0 г. 0 мес. 1 дн.</v>
      </c>
      <c r="W47" s="5"/>
    </row>
    <row r="48" spans="1:23" ht="34.5" customHeight="1" x14ac:dyDescent="0.25">
      <c r="A48" s="1">
        <f t="shared" si="5"/>
        <v>47</v>
      </c>
      <c r="B48" s="1">
        <v>163</v>
      </c>
      <c r="C48" s="2" t="s">
        <v>46</v>
      </c>
      <c r="D48" s="3">
        <v>45698</v>
      </c>
      <c r="E48" s="4">
        <v>0.20833333333333301</v>
      </c>
      <c r="F48" s="1" t="s">
        <v>182</v>
      </c>
      <c r="G48" s="3">
        <v>41736</v>
      </c>
      <c r="H48" s="1" t="str">
        <f t="shared" si="1"/>
        <v>10 г. 10 мес. 3 дн.</v>
      </c>
      <c r="I48" s="1" t="s">
        <v>39</v>
      </c>
      <c r="K48" s="1" t="s">
        <v>183</v>
      </c>
      <c r="L48" s="1" t="s">
        <v>184</v>
      </c>
      <c r="M48" s="1" t="s">
        <v>135</v>
      </c>
      <c r="O48" s="1" t="s">
        <v>29</v>
      </c>
      <c r="S48" s="1" t="s">
        <v>46</v>
      </c>
      <c r="T48" s="3">
        <v>45699</v>
      </c>
      <c r="U48" s="4">
        <v>0.55902777777777801</v>
      </c>
      <c r="V48" s="1" t="str">
        <f t="shared" si="4"/>
        <v>0 г. 0 мес. 1 дн.</v>
      </c>
      <c r="W48" s="5"/>
    </row>
    <row r="49" spans="1:24" ht="34.5" customHeight="1" x14ac:dyDescent="0.25">
      <c r="A49" s="1">
        <f t="shared" si="5"/>
        <v>48</v>
      </c>
      <c r="B49" s="1">
        <v>81</v>
      </c>
      <c r="C49" s="2" t="s">
        <v>46</v>
      </c>
      <c r="D49" s="3">
        <v>45697</v>
      </c>
      <c r="E49" s="4">
        <v>0.90972222222222199</v>
      </c>
      <c r="F49" s="1" t="s">
        <v>185</v>
      </c>
      <c r="G49" s="3">
        <v>43654</v>
      </c>
      <c r="H49" s="1" t="str">
        <f t="shared" si="1"/>
        <v>5 г. 7 мес. 1 дн.</v>
      </c>
      <c r="I49" s="1" t="s">
        <v>39</v>
      </c>
      <c r="K49" s="1" t="s">
        <v>186</v>
      </c>
      <c r="L49" s="1" t="s">
        <v>187</v>
      </c>
      <c r="M49" s="1" t="s">
        <v>73</v>
      </c>
      <c r="O49" s="1" t="s">
        <v>188</v>
      </c>
      <c r="S49" s="1" t="s">
        <v>96</v>
      </c>
      <c r="T49" s="3">
        <v>45701</v>
      </c>
      <c r="U49" s="4">
        <v>0.41666666666666702</v>
      </c>
      <c r="V49" s="1" t="str">
        <f t="shared" si="4"/>
        <v>0 г. 0 мес. 4 дн.</v>
      </c>
      <c r="W49" s="5"/>
    </row>
    <row r="50" spans="1:24" ht="34.5" customHeight="1" x14ac:dyDescent="0.25">
      <c r="A50" s="17">
        <f t="shared" si="5"/>
        <v>49</v>
      </c>
      <c r="B50" s="17">
        <v>163</v>
      </c>
      <c r="C50" s="18" t="s">
        <v>96</v>
      </c>
      <c r="D50" s="19">
        <v>45697</v>
      </c>
      <c r="E50" s="20">
        <v>0.81944444444444497</v>
      </c>
      <c r="F50" s="17" t="s">
        <v>189</v>
      </c>
      <c r="G50" s="19">
        <v>40342</v>
      </c>
      <c r="H50" s="17" t="str">
        <f t="shared" si="1"/>
        <v>14 г. 7 мес. 27 дн.</v>
      </c>
      <c r="I50" s="17" t="s">
        <v>39</v>
      </c>
      <c r="J50" s="17"/>
      <c r="K50" s="17" t="s">
        <v>190</v>
      </c>
      <c r="L50" s="17" t="s">
        <v>191</v>
      </c>
      <c r="M50" s="17" t="s">
        <v>181</v>
      </c>
      <c r="N50" s="17">
        <v>95</v>
      </c>
      <c r="O50" s="17" t="s">
        <v>192</v>
      </c>
      <c r="P50" s="17"/>
      <c r="Q50" s="17" t="s">
        <v>193</v>
      </c>
      <c r="R50" s="17"/>
      <c r="S50" s="17" t="s">
        <v>194</v>
      </c>
      <c r="T50" s="19">
        <v>45701</v>
      </c>
      <c r="U50" s="20">
        <v>0.75486111111111098</v>
      </c>
      <c r="V50" s="17" t="str">
        <f t="shared" si="4"/>
        <v>0 г. 0 мес. 4 дн.</v>
      </c>
      <c r="W50" s="21"/>
      <c r="X50" s="17"/>
    </row>
    <row r="51" spans="1:24" ht="34.5" customHeight="1" x14ac:dyDescent="0.25">
      <c r="A51" s="1">
        <f t="shared" si="5"/>
        <v>50</v>
      </c>
      <c r="B51" s="1">
        <v>304</v>
      </c>
      <c r="C51" s="2" t="s">
        <v>60</v>
      </c>
      <c r="D51" s="3">
        <v>45698</v>
      </c>
      <c r="E51" s="4">
        <v>0.59027777777777801</v>
      </c>
      <c r="F51" s="1" t="s">
        <v>195</v>
      </c>
      <c r="G51" s="3">
        <v>39856</v>
      </c>
      <c r="H51" s="1" t="str">
        <f t="shared" si="1"/>
        <v>15 г. 11 мес. 29 дн.</v>
      </c>
      <c r="I51" s="1" t="s">
        <v>62</v>
      </c>
      <c r="J51" s="1" t="s">
        <v>60</v>
      </c>
      <c r="K51" s="1" t="s">
        <v>196</v>
      </c>
      <c r="L51" s="1" t="s">
        <v>197</v>
      </c>
      <c r="M51" s="1" t="s">
        <v>73</v>
      </c>
      <c r="O51" s="1" t="s">
        <v>29</v>
      </c>
      <c r="S51" s="1" t="s">
        <v>60</v>
      </c>
      <c r="T51" s="3">
        <v>45699</v>
      </c>
      <c r="U51" s="4">
        <v>0.5625</v>
      </c>
      <c r="V51" s="1" t="str">
        <f t="shared" si="4"/>
        <v>0 г. 0 мес. 1 дн.</v>
      </c>
      <c r="W51" s="5"/>
    </row>
    <row r="52" spans="1:24" ht="34.5" customHeight="1" x14ac:dyDescent="0.25">
      <c r="A52" s="1">
        <f t="shared" si="5"/>
        <v>51</v>
      </c>
      <c r="B52" s="1">
        <v>362</v>
      </c>
      <c r="C52" s="2" t="s">
        <v>60</v>
      </c>
      <c r="D52" s="3">
        <v>45700</v>
      </c>
      <c r="E52" s="4">
        <v>0.59791666666666698</v>
      </c>
      <c r="F52" s="1" t="s">
        <v>198</v>
      </c>
      <c r="G52" s="3">
        <v>40214</v>
      </c>
      <c r="H52" s="1" t="str">
        <f t="shared" si="1"/>
        <v>15 г. 0 мес. 7 дн.</v>
      </c>
      <c r="I52" s="1" t="s">
        <v>62</v>
      </c>
      <c r="J52" s="1" t="s">
        <v>60</v>
      </c>
      <c r="K52" s="1" t="s">
        <v>199</v>
      </c>
      <c r="L52" s="1" t="s">
        <v>108</v>
      </c>
      <c r="M52" s="1" t="s">
        <v>87</v>
      </c>
      <c r="O52" s="1" t="s">
        <v>42</v>
      </c>
      <c r="P52" s="1" t="s">
        <v>101</v>
      </c>
      <c r="Q52" s="1" t="s">
        <v>30</v>
      </c>
      <c r="S52" s="1" t="s">
        <v>60</v>
      </c>
      <c r="T52" s="3">
        <v>45708</v>
      </c>
      <c r="U52" s="4">
        <v>0.469444444444445</v>
      </c>
      <c r="V52" s="1" t="str">
        <f t="shared" si="4"/>
        <v>0 г. 0 мес. 8 дн.</v>
      </c>
      <c r="W52" s="5"/>
    </row>
    <row r="53" spans="1:24" ht="34.5" customHeight="1" x14ac:dyDescent="0.25">
      <c r="A53" s="1">
        <f t="shared" si="5"/>
        <v>52</v>
      </c>
      <c r="B53" s="1">
        <v>173</v>
      </c>
      <c r="C53" s="2" t="s">
        <v>96</v>
      </c>
      <c r="D53" s="3">
        <v>45699</v>
      </c>
      <c r="E53" s="4">
        <v>0.74305555555555602</v>
      </c>
      <c r="F53" s="1" t="s">
        <v>200</v>
      </c>
      <c r="G53" s="3">
        <v>40277</v>
      </c>
      <c r="H53" s="1" t="str">
        <f t="shared" si="1"/>
        <v>14 г. 10 мес. 2 дн.</v>
      </c>
      <c r="I53" s="1" t="s">
        <v>62</v>
      </c>
      <c r="J53" s="1" t="s">
        <v>96</v>
      </c>
      <c r="K53" s="1" t="s">
        <v>201</v>
      </c>
      <c r="L53" s="1" t="s">
        <v>202</v>
      </c>
      <c r="M53" s="1" t="s">
        <v>100</v>
      </c>
      <c r="O53" s="1" t="s">
        <v>29</v>
      </c>
      <c r="S53" s="1" t="s">
        <v>96</v>
      </c>
      <c r="T53" s="3">
        <v>45703</v>
      </c>
      <c r="U53" s="4">
        <v>0.80208333333333304</v>
      </c>
      <c r="V53" s="1" t="str">
        <f t="shared" si="4"/>
        <v>0 г. 0 мес. 4 дн.</v>
      </c>
      <c r="W53" s="5"/>
    </row>
    <row r="54" spans="1:24" ht="34.5" customHeight="1" x14ac:dyDescent="0.25">
      <c r="A54" s="1">
        <f t="shared" si="5"/>
        <v>53</v>
      </c>
      <c r="B54" s="1">
        <v>347</v>
      </c>
      <c r="C54" s="2" t="s">
        <v>60</v>
      </c>
      <c r="D54" s="3">
        <v>45699</v>
      </c>
      <c r="E54" s="4">
        <v>0.47569444444444398</v>
      </c>
      <c r="F54" s="1" t="s">
        <v>203</v>
      </c>
      <c r="G54" s="3">
        <v>39337</v>
      </c>
      <c r="H54" s="1" t="str">
        <f t="shared" si="1"/>
        <v>17 г. 4 мес. 30 дн.</v>
      </c>
      <c r="I54" s="1" t="s">
        <v>62</v>
      </c>
      <c r="J54" s="1" t="s">
        <v>60</v>
      </c>
      <c r="K54" s="1" t="s">
        <v>204</v>
      </c>
      <c r="L54" s="1" t="s">
        <v>205</v>
      </c>
      <c r="M54" s="1" t="s">
        <v>87</v>
      </c>
      <c r="O54" s="1" t="s">
        <v>42</v>
      </c>
      <c r="P54" s="1" t="s">
        <v>101</v>
      </c>
      <c r="S54" s="1" t="s">
        <v>60</v>
      </c>
      <c r="T54" s="3">
        <v>45705</v>
      </c>
      <c r="U54" s="4">
        <v>0.36527777777777798</v>
      </c>
      <c r="V54" s="1" t="str">
        <f t="shared" si="4"/>
        <v>0 г. 0 мес. 6 дн.</v>
      </c>
      <c r="W54" s="5"/>
    </row>
    <row r="55" spans="1:24" ht="34.5" customHeight="1" x14ac:dyDescent="0.25">
      <c r="A55" s="1">
        <f t="shared" si="5"/>
        <v>54</v>
      </c>
      <c r="B55" s="1">
        <v>357</v>
      </c>
      <c r="C55" s="2" t="s">
        <v>60</v>
      </c>
      <c r="D55" s="3">
        <v>45700</v>
      </c>
      <c r="E55" s="4">
        <v>0.11527777777777801</v>
      </c>
      <c r="F55" s="1" t="s">
        <v>206</v>
      </c>
      <c r="G55" s="3">
        <v>44713</v>
      </c>
      <c r="H55" s="1" t="str">
        <f t="shared" si="1"/>
        <v>2 г. 8 мес. 11 дн.</v>
      </c>
      <c r="I55" s="1" t="s">
        <v>62</v>
      </c>
      <c r="J55" s="1" t="s">
        <v>60</v>
      </c>
      <c r="K55" s="1" t="s">
        <v>207</v>
      </c>
      <c r="L55" s="1" t="s">
        <v>208</v>
      </c>
      <c r="M55" s="1" t="s">
        <v>87</v>
      </c>
      <c r="O55" s="1" t="s">
        <v>29</v>
      </c>
      <c r="S55" s="1" t="s">
        <v>60</v>
      </c>
      <c r="T55" s="3">
        <v>45701</v>
      </c>
      <c r="U55" s="4">
        <v>0.44166666666666698</v>
      </c>
      <c r="V55" s="1" t="str">
        <f t="shared" si="4"/>
        <v>0 г. 0 мес. 1 дн.</v>
      </c>
      <c r="W55" s="5"/>
    </row>
    <row r="56" spans="1:24" ht="34.5" customHeight="1" x14ac:dyDescent="0.25">
      <c r="A56" s="1">
        <f t="shared" si="5"/>
        <v>55</v>
      </c>
      <c r="B56" s="1">
        <v>85</v>
      </c>
      <c r="C56" s="2" t="s">
        <v>46</v>
      </c>
      <c r="D56" s="3">
        <v>45698</v>
      </c>
      <c r="E56" s="4">
        <v>0.96250000000000002</v>
      </c>
      <c r="F56" s="1" t="s">
        <v>209</v>
      </c>
      <c r="G56" s="3">
        <v>39477</v>
      </c>
      <c r="H56" s="1" t="str">
        <f t="shared" si="1"/>
        <v>17 г. 0 мес. 11 дн.</v>
      </c>
      <c r="I56" s="1" t="s">
        <v>39</v>
      </c>
      <c r="K56" s="1" t="s">
        <v>210</v>
      </c>
      <c r="L56" s="1" t="s">
        <v>211</v>
      </c>
      <c r="M56" s="1" t="s">
        <v>50</v>
      </c>
      <c r="O56" s="1" t="s">
        <v>29</v>
      </c>
      <c r="S56" s="1" t="s">
        <v>46</v>
      </c>
      <c r="T56" s="3">
        <v>45700</v>
      </c>
      <c r="U56" s="4">
        <v>0.51875000000000004</v>
      </c>
      <c r="V56" s="1" t="str">
        <f t="shared" si="4"/>
        <v>0 г. 0 мес. 2 дн.</v>
      </c>
      <c r="W56" s="5"/>
    </row>
    <row r="57" spans="1:24" ht="34.5" customHeight="1" x14ac:dyDescent="0.25">
      <c r="A57" s="1">
        <f t="shared" si="5"/>
        <v>56</v>
      </c>
      <c r="B57" s="1">
        <v>89</v>
      </c>
      <c r="C57" s="2" t="s">
        <v>32</v>
      </c>
      <c r="D57" s="3">
        <v>45706</v>
      </c>
      <c r="E57" s="4">
        <v>0.625</v>
      </c>
      <c r="F57" s="1" t="s">
        <v>212</v>
      </c>
      <c r="G57" s="3">
        <v>44874</v>
      </c>
      <c r="H57" s="1" t="str">
        <f t="shared" si="1"/>
        <v>2 г. 3 мес. 9 дн.</v>
      </c>
      <c r="I57" s="1" t="s">
        <v>39</v>
      </c>
      <c r="K57" s="1" t="s">
        <v>213</v>
      </c>
      <c r="L57" s="1" t="s">
        <v>214</v>
      </c>
      <c r="M57" s="1" t="s">
        <v>215</v>
      </c>
      <c r="O57" s="1" t="s">
        <v>29</v>
      </c>
      <c r="S57" s="1" t="s">
        <v>83</v>
      </c>
      <c r="T57" s="3">
        <v>45707</v>
      </c>
      <c r="U57" s="4">
        <v>0.52638888888888902</v>
      </c>
      <c r="V57" s="1" t="str">
        <f t="shared" si="4"/>
        <v>0 г. 0 мес. 1 дн.</v>
      </c>
      <c r="W57" s="5"/>
    </row>
    <row r="58" spans="1:24" ht="34.5" customHeight="1" x14ac:dyDescent="0.25">
      <c r="A58" s="1">
        <f t="shared" si="5"/>
        <v>57</v>
      </c>
      <c r="B58" s="1">
        <v>86</v>
      </c>
      <c r="C58" s="2" t="s">
        <v>46</v>
      </c>
      <c r="D58" s="3">
        <v>45702</v>
      </c>
      <c r="E58" s="4">
        <v>3.4722222222222203E-2</v>
      </c>
      <c r="F58" s="1" t="s">
        <v>216</v>
      </c>
      <c r="G58" s="3">
        <v>44435</v>
      </c>
      <c r="H58" s="1" t="str">
        <f t="shared" si="1"/>
        <v>3 г. 5 мес. 18 дн.</v>
      </c>
      <c r="I58" s="1" t="s">
        <v>39</v>
      </c>
      <c r="K58" s="1" t="s">
        <v>217</v>
      </c>
      <c r="L58" s="1" t="s">
        <v>104</v>
      </c>
      <c r="M58" s="1" t="s">
        <v>105</v>
      </c>
      <c r="O58" s="1" t="s">
        <v>29</v>
      </c>
      <c r="S58" s="1" t="s">
        <v>46</v>
      </c>
      <c r="T58" s="3">
        <v>45702</v>
      </c>
      <c r="U58" s="4">
        <v>0.49375000000000002</v>
      </c>
      <c r="V58" s="1" t="str">
        <f t="shared" si="4"/>
        <v>0 г. 0 мес. 0 дн.</v>
      </c>
      <c r="W58" s="5"/>
    </row>
    <row r="59" spans="1:24" ht="34.5" customHeight="1" x14ac:dyDescent="0.25">
      <c r="A59" s="1">
        <f t="shared" si="5"/>
        <v>58</v>
      </c>
      <c r="B59" s="1">
        <v>423</v>
      </c>
      <c r="C59" s="2" t="s">
        <v>60</v>
      </c>
      <c r="D59" s="3">
        <v>45707</v>
      </c>
      <c r="E59" s="4">
        <v>0.30972222222222201</v>
      </c>
      <c r="F59" s="1" t="s">
        <v>218</v>
      </c>
      <c r="G59" s="3">
        <v>45707</v>
      </c>
      <c r="H59" s="1" t="str">
        <f t="shared" si="1"/>
        <v>0 г. 0 мес. 0 дн.</v>
      </c>
      <c r="I59" s="1" t="s">
        <v>34</v>
      </c>
      <c r="K59" s="1" t="s">
        <v>219</v>
      </c>
      <c r="L59" s="1" t="s">
        <v>220</v>
      </c>
      <c r="M59" s="2" t="s">
        <v>123</v>
      </c>
      <c r="O59" s="1" t="s">
        <v>124</v>
      </c>
      <c r="S59" s="1" t="s">
        <v>83</v>
      </c>
      <c r="T59" s="3">
        <v>45707</v>
      </c>
      <c r="U59" s="4">
        <v>0.47847222222222202</v>
      </c>
      <c r="V59" s="1" t="str">
        <f t="shared" si="4"/>
        <v>0 г. 0 мес. 0 дн.</v>
      </c>
      <c r="W59" s="5"/>
    </row>
    <row r="60" spans="1:24" ht="34.5" customHeight="1" x14ac:dyDescent="0.25">
      <c r="A60" s="1">
        <f t="shared" si="5"/>
        <v>59</v>
      </c>
      <c r="B60" s="1">
        <v>124</v>
      </c>
      <c r="C60" s="2" t="s">
        <v>96</v>
      </c>
      <c r="D60" s="3">
        <v>45688</v>
      </c>
      <c r="E60" s="4">
        <v>0.85416666666666696</v>
      </c>
      <c r="F60" s="1" t="s">
        <v>221</v>
      </c>
      <c r="G60" s="3">
        <v>43411</v>
      </c>
      <c r="H60" s="1" t="str">
        <f t="shared" si="1"/>
        <v>6 г. 2 мес. 24 дн.</v>
      </c>
      <c r="I60" s="1" t="s">
        <v>39</v>
      </c>
      <c r="K60" s="1" t="s">
        <v>222</v>
      </c>
      <c r="L60" s="1" t="s">
        <v>223</v>
      </c>
      <c r="M60" s="1" t="s">
        <v>181</v>
      </c>
      <c r="O60" s="1" t="s">
        <v>29</v>
      </c>
      <c r="S60" s="1" t="s">
        <v>96</v>
      </c>
      <c r="T60" s="3">
        <v>45689</v>
      </c>
      <c r="U60" s="4">
        <v>0.45833333333333298</v>
      </c>
      <c r="V60" s="1" t="str">
        <f t="shared" si="4"/>
        <v>0 г. 0 мес. 1 дн.</v>
      </c>
      <c r="W60" s="5"/>
    </row>
    <row r="61" spans="1:24" ht="34.5" customHeight="1" x14ac:dyDescent="0.25">
      <c r="A61" s="1">
        <f t="shared" si="5"/>
        <v>60</v>
      </c>
      <c r="B61" s="1">
        <v>351</v>
      </c>
      <c r="C61" s="2" t="s">
        <v>60</v>
      </c>
      <c r="D61" s="3">
        <v>45699</v>
      </c>
      <c r="E61" s="4">
        <v>0.70486111111111105</v>
      </c>
      <c r="F61" s="1" t="s">
        <v>224</v>
      </c>
      <c r="G61" s="3">
        <v>45248</v>
      </c>
      <c r="H61" s="1" t="str">
        <f t="shared" si="1"/>
        <v>1 г. 2 мес. 24 дн.</v>
      </c>
      <c r="I61" s="1" t="s">
        <v>62</v>
      </c>
      <c r="J61" s="1" t="s">
        <v>60</v>
      </c>
      <c r="K61" s="1" t="s">
        <v>225</v>
      </c>
      <c r="L61" s="1" t="s">
        <v>226</v>
      </c>
      <c r="M61" s="1" t="s">
        <v>181</v>
      </c>
      <c r="O61" s="1" t="s">
        <v>29</v>
      </c>
      <c r="S61" s="1" t="s">
        <v>60</v>
      </c>
      <c r="T61" s="3">
        <v>45702</v>
      </c>
      <c r="U61" s="4">
        <v>0.46875</v>
      </c>
      <c r="V61" s="1" t="str">
        <f t="shared" si="4"/>
        <v>0 г. 0 мес. 3 дн.</v>
      </c>
      <c r="W61" s="5"/>
    </row>
    <row r="62" spans="1:24" ht="34.5" customHeight="1" x14ac:dyDescent="0.25">
      <c r="A62" s="1">
        <f t="shared" si="5"/>
        <v>61</v>
      </c>
      <c r="B62" s="1">
        <v>89</v>
      </c>
      <c r="C62" s="2" t="s">
        <v>46</v>
      </c>
      <c r="D62" s="3">
        <v>45705</v>
      </c>
      <c r="E62" s="4">
        <v>0.45833333333333298</v>
      </c>
      <c r="F62" s="1" t="s">
        <v>227</v>
      </c>
      <c r="G62" s="3">
        <v>40730</v>
      </c>
      <c r="H62" s="1" t="str">
        <f t="shared" si="1"/>
        <v>13 г. 7 мес. 11 дн.</v>
      </c>
      <c r="I62" s="1" t="s">
        <v>39</v>
      </c>
      <c r="K62" s="1" t="s">
        <v>228</v>
      </c>
      <c r="L62" s="1" t="s">
        <v>134</v>
      </c>
      <c r="M62" s="1" t="s">
        <v>135</v>
      </c>
      <c r="O62" s="1" t="s">
        <v>29</v>
      </c>
      <c r="S62" s="1" t="s">
        <v>83</v>
      </c>
      <c r="T62" s="3">
        <v>45706</v>
      </c>
      <c r="U62" s="4">
        <v>0.41249999999999998</v>
      </c>
      <c r="V62" s="1" t="str">
        <f t="shared" si="4"/>
        <v>0 г. 0 мес. 1 дн.</v>
      </c>
      <c r="W62" s="5"/>
    </row>
    <row r="63" spans="1:24" ht="34.5" customHeight="1" x14ac:dyDescent="0.25">
      <c r="A63" s="1">
        <f t="shared" si="5"/>
        <v>62</v>
      </c>
      <c r="B63" s="1">
        <v>92</v>
      </c>
      <c r="C63" s="2" t="s">
        <v>46</v>
      </c>
      <c r="D63" s="3">
        <v>45707</v>
      </c>
      <c r="E63" s="4">
        <v>9.6527777777777796E-2</v>
      </c>
      <c r="F63" s="1" t="s">
        <v>229</v>
      </c>
      <c r="G63" s="3">
        <v>40912</v>
      </c>
      <c r="H63" s="1" t="str">
        <f t="shared" si="1"/>
        <v>13 г. 1 мес. 15 дн.</v>
      </c>
      <c r="I63" s="1" t="s">
        <v>39</v>
      </c>
      <c r="K63" s="1" t="s">
        <v>26</v>
      </c>
      <c r="L63" s="1" t="s">
        <v>230</v>
      </c>
      <c r="M63" s="1" t="s">
        <v>50</v>
      </c>
      <c r="O63" s="1" t="s">
        <v>29</v>
      </c>
      <c r="S63" s="1" t="s">
        <v>46</v>
      </c>
      <c r="T63" s="3">
        <v>45708</v>
      </c>
      <c r="U63" s="4">
        <v>0.46180555555555602</v>
      </c>
      <c r="V63" s="1" t="str">
        <f t="shared" si="4"/>
        <v>0 г. 0 мес. 1 дн.</v>
      </c>
      <c r="W63" s="5"/>
    </row>
    <row r="64" spans="1:24" ht="34.5" customHeight="1" x14ac:dyDescent="0.25">
      <c r="A64" s="1">
        <f t="shared" si="5"/>
        <v>63</v>
      </c>
      <c r="B64" s="1">
        <v>240</v>
      </c>
      <c r="C64" s="2" t="s">
        <v>23</v>
      </c>
      <c r="D64" s="3">
        <v>45707</v>
      </c>
      <c r="E64" s="4">
        <v>0.81458333333333299</v>
      </c>
      <c r="F64" s="1" t="s">
        <v>24</v>
      </c>
      <c r="G64" s="3">
        <v>39803</v>
      </c>
      <c r="H64" s="1" t="str">
        <f t="shared" si="1"/>
        <v>16 г. 1 мес. 29 дн.</v>
      </c>
      <c r="I64" s="1" t="s">
        <v>39</v>
      </c>
      <c r="K64" s="1" t="s">
        <v>26</v>
      </c>
      <c r="L64" s="1" t="s">
        <v>231</v>
      </c>
      <c r="M64" s="1" t="s">
        <v>28</v>
      </c>
      <c r="N64" s="1">
        <v>204</v>
      </c>
      <c r="O64" s="1" t="s">
        <v>29</v>
      </c>
      <c r="S64" s="1" t="s">
        <v>31</v>
      </c>
      <c r="T64" s="3">
        <v>45716</v>
      </c>
      <c r="U64" s="4">
        <v>0.59791666666666698</v>
      </c>
      <c r="V64" s="1" t="str">
        <f t="shared" si="4"/>
        <v>0 г. 0 мес. 9 дн.</v>
      </c>
      <c r="W64" s="5"/>
    </row>
    <row r="65" spans="1:23" ht="34.5" customHeight="1" x14ac:dyDescent="0.25">
      <c r="A65" s="1">
        <f t="shared" si="5"/>
        <v>64</v>
      </c>
      <c r="B65" s="1">
        <v>204</v>
      </c>
      <c r="C65" s="2" t="s">
        <v>96</v>
      </c>
      <c r="D65" s="3">
        <v>45705</v>
      </c>
      <c r="E65" s="4">
        <v>0.94791666666666696</v>
      </c>
      <c r="F65" s="1" t="s">
        <v>232</v>
      </c>
      <c r="G65" s="3">
        <v>42772</v>
      </c>
      <c r="H65" s="1" t="str">
        <f t="shared" si="1"/>
        <v>8 г. 0 мес. 11 дн.</v>
      </c>
      <c r="I65" s="1" t="s">
        <v>39</v>
      </c>
      <c r="K65" s="1" t="s">
        <v>233</v>
      </c>
      <c r="L65" s="1" t="s">
        <v>234</v>
      </c>
      <c r="M65" s="1" t="s">
        <v>181</v>
      </c>
      <c r="O65" s="1" t="s">
        <v>42</v>
      </c>
      <c r="S65" s="1" t="s">
        <v>96</v>
      </c>
      <c r="T65" s="3">
        <v>45709</v>
      </c>
      <c r="U65" s="4">
        <v>0.59236111111111101</v>
      </c>
      <c r="V65" s="1" t="str">
        <f t="shared" si="4"/>
        <v>0 г. 0 мес. 4 дн.</v>
      </c>
      <c r="W65" s="5"/>
    </row>
    <row r="66" spans="1:23" ht="34.5" customHeight="1" x14ac:dyDescent="0.25">
      <c r="A66" s="1">
        <f t="shared" si="5"/>
        <v>65</v>
      </c>
      <c r="B66" s="1">
        <v>239</v>
      </c>
      <c r="C66" s="2" t="s">
        <v>23</v>
      </c>
      <c r="D66" s="3">
        <v>45707</v>
      </c>
      <c r="E66" s="4">
        <v>0.58680555555555602</v>
      </c>
      <c r="F66" s="1" t="s">
        <v>38</v>
      </c>
      <c r="G66" s="3">
        <v>42529</v>
      </c>
      <c r="H66" s="1" t="str">
        <f t="shared" ref="H66:H129" si="6">DATEDIF(G66,D66,"y") &amp; " г. " &amp; DATEDIF(G66,D66,"ym") &amp; " мес. " &amp; DATEDIF(G66,D66,"md") &amp; " дн."</f>
        <v>8 г. 8 мес. 11 дн.</v>
      </c>
      <c r="I66" s="1" t="s">
        <v>39</v>
      </c>
      <c r="K66" s="1" t="s">
        <v>40</v>
      </c>
      <c r="L66" s="1" t="s">
        <v>235</v>
      </c>
      <c r="M66" s="1" t="s">
        <v>28</v>
      </c>
      <c r="N66" s="1">
        <v>548</v>
      </c>
      <c r="O66" s="1" t="s">
        <v>42</v>
      </c>
      <c r="S66" s="1" t="s">
        <v>31</v>
      </c>
      <c r="T66" s="3">
        <v>45729</v>
      </c>
      <c r="U66" s="4">
        <v>0.44791666666666702</v>
      </c>
      <c r="V66" s="1" t="str">
        <f t="shared" ref="V66:V97" si="7">DATEDIF(D66,T66,"y") &amp; " г. " &amp; DATEDIF(D66,T66,"ym") &amp; " мес. " &amp; DATEDIF(D66,T66,"md") &amp; " дн."</f>
        <v>0 г. 0 мес. 22 дн.</v>
      </c>
      <c r="W66" s="5"/>
    </row>
    <row r="67" spans="1:23" ht="34.5" customHeight="1" x14ac:dyDescent="0.25">
      <c r="A67" s="1">
        <f t="shared" si="5"/>
        <v>66</v>
      </c>
      <c r="B67" s="1">
        <v>76</v>
      </c>
      <c r="C67" s="2" t="s">
        <v>236</v>
      </c>
      <c r="D67" s="3">
        <v>45695</v>
      </c>
      <c r="E67" s="4">
        <v>0.30208333333333298</v>
      </c>
      <c r="F67" s="1" t="s">
        <v>33</v>
      </c>
      <c r="G67" s="3">
        <v>39519</v>
      </c>
      <c r="H67" s="1" t="str">
        <f t="shared" si="6"/>
        <v>16 г. 10 мес. 26 дн.</v>
      </c>
      <c r="I67" s="1" t="s">
        <v>25</v>
      </c>
      <c r="J67" s="1" t="s">
        <v>32</v>
      </c>
      <c r="K67" s="1" t="s">
        <v>35</v>
      </c>
      <c r="L67" s="1" t="s">
        <v>237</v>
      </c>
      <c r="M67" s="1" t="s">
        <v>73</v>
      </c>
      <c r="O67" s="1" t="s">
        <v>42</v>
      </c>
      <c r="S67" s="1" t="s">
        <v>83</v>
      </c>
      <c r="T67" s="3">
        <v>45709</v>
      </c>
      <c r="U67" s="4">
        <v>0.6</v>
      </c>
      <c r="V67" s="1" t="str">
        <f t="shared" si="7"/>
        <v>0 г. 0 мес. 14 дн.</v>
      </c>
      <c r="W67" s="5"/>
    </row>
    <row r="68" spans="1:23" ht="34.5" customHeight="1" x14ac:dyDescent="0.25">
      <c r="A68" s="1">
        <f t="shared" si="5"/>
        <v>67</v>
      </c>
      <c r="B68" s="1">
        <v>151</v>
      </c>
      <c r="C68" s="2" t="s">
        <v>23</v>
      </c>
      <c r="D68" s="3">
        <v>45691</v>
      </c>
      <c r="E68" s="4">
        <v>0.47916666666666702</v>
      </c>
      <c r="F68" s="1" t="s">
        <v>238</v>
      </c>
      <c r="G68" s="3">
        <v>40323</v>
      </c>
      <c r="H68" s="1" t="str">
        <f t="shared" si="6"/>
        <v>14 г. 8 мес. 9 дн.</v>
      </c>
      <c r="I68" s="1" t="s">
        <v>39</v>
      </c>
      <c r="K68" s="1" t="s">
        <v>239</v>
      </c>
      <c r="L68" s="1" t="s">
        <v>240</v>
      </c>
      <c r="M68" s="1" t="s">
        <v>123</v>
      </c>
      <c r="N68" s="1">
        <v>1728</v>
      </c>
      <c r="O68" s="1" t="s">
        <v>42</v>
      </c>
      <c r="Q68" s="1" t="s">
        <v>193</v>
      </c>
      <c r="R68" s="1" t="s">
        <v>241</v>
      </c>
      <c r="S68" s="1" t="s">
        <v>31</v>
      </c>
      <c r="T68" s="3">
        <v>45762</v>
      </c>
      <c r="U68" s="4">
        <v>0.6875</v>
      </c>
      <c r="V68" s="1" t="str">
        <f t="shared" si="7"/>
        <v>0 г. 2 мес. 12 дн.</v>
      </c>
      <c r="W68" s="5"/>
    </row>
    <row r="69" spans="1:23" ht="34.5" customHeight="1" x14ac:dyDescent="0.25">
      <c r="A69" s="1">
        <f t="shared" si="5"/>
        <v>68</v>
      </c>
      <c r="B69" s="1">
        <v>85</v>
      </c>
      <c r="C69" s="2" t="s">
        <v>91</v>
      </c>
      <c r="D69" s="3">
        <v>45707</v>
      </c>
      <c r="E69" s="4">
        <v>0.96875</v>
      </c>
      <c r="F69" s="1" t="s">
        <v>242</v>
      </c>
      <c r="G69" s="3">
        <v>43603</v>
      </c>
      <c r="H69" s="1" t="str">
        <f t="shared" si="6"/>
        <v>5 г. 9 мес. 1 дн.</v>
      </c>
      <c r="I69" s="1" t="s">
        <v>39</v>
      </c>
      <c r="K69" s="1" t="s">
        <v>243</v>
      </c>
      <c r="L69" s="1" t="s">
        <v>244</v>
      </c>
      <c r="M69" s="1" t="s">
        <v>123</v>
      </c>
      <c r="O69" s="1" t="s">
        <v>29</v>
      </c>
      <c r="S69" s="1" t="s">
        <v>91</v>
      </c>
      <c r="T69" s="3">
        <v>45710</v>
      </c>
      <c r="U69" s="4">
        <v>0.63472222222222197</v>
      </c>
      <c r="V69" s="1" t="str">
        <f t="shared" si="7"/>
        <v>0 г. 0 мес. 3 дн.</v>
      </c>
      <c r="W69" s="5"/>
    </row>
    <row r="70" spans="1:23" ht="34.5" customHeight="1" x14ac:dyDescent="0.25">
      <c r="A70" s="1">
        <f t="shared" si="5"/>
        <v>69</v>
      </c>
      <c r="B70" s="1">
        <v>95</v>
      </c>
      <c r="C70" s="2" t="s">
        <v>46</v>
      </c>
      <c r="D70" s="3">
        <v>45710</v>
      </c>
      <c r="E70" s="4">
        <v>0.72916666666666696</v>
      </c>
      <c r="F70" s="1" t="s">
        <v>245</v>
      </c>
      <c r="G70" s="3">
        <v>40617</v>
      </c>
      <c r="H70" s="1" t="str">
        <f t="shared" si="6"/>
        <v>13 г. 11 мес. 7 дн.</v>
      </c>
      <c r="I70" s="1" t="s">
        <v>39</v>
      </c>
      <c r="K70" s="1" t="s">
        <v>246</v>
      </c>
      <c r="L70" s="1" t="s">
        <v>142</v>
      </c>
      <c r="M70" s="1" t="s">
        <v>50</v>
      </c>
      <c r="O70" s="1" t="s">
        <v>29</v>
      </c>
      <c r="S70" s="1" t="s">
        <v>46</v>
      </c>
      <c r="T70" s="3">
        <v>45711</v>
      </c>
      <c r="U70" s="4">
        <v>0.38680555555555601</v>
      </c>
      <c r="V70" s="1" t="str">
        <f t="shared" si="7"/>
        <v>0 г. 0 мес. 1 дн.</v>
      </c>
      <c r="W70" s="5"/>
    </row>
    <row r="71" spans="1:23" ht="34.5" customHeight="1" x14ac:dyDescent="0.25">
      <c r="A71" s="1">
        <f t="shared" si="5"/>
        <v>70</v>
      </c>
      <c r="B71" s="1">
        <v>263</v>
      </c>
      <c r="C71" s="2" t="s">
        <v>23</v>
      </c>
      <c r="D71" s="3">
        <v>45712</v>
      </c>
      <c r="E71" s="4">
        <v>0.81944444444444497</v>
      </c>
      <c r="F71" s="1" t="s">
        <v>247</v>
      </c>
      <c r="G71" s="3">
        <v>45376</v>
      </c>
      <c r="H71" s="1" t="str">
        <f t="shared" si="6"/>
        <v>0 г. 10 мес. 30 дн.</v>
      </c>
      <c r="I71" s="1" t="s">
        <v>39</v>
      </c>
      <c r="K71" s="1" t="s">
        <v>248</v>
      </c>
      <c r="L71" s="1" t="s">
        <v>249</v>
      </c>
      <c r="M71" s="1" t="s">
        <v>28</v>
      </c>
      <c r="O71" s="1" t="s">
        <v>42</v>
      </c>
      <c r="S71" s="1" t="s">
        <v>31</v>
      </c>
      <c r="T71" s="3">
        <v>45736</v>
      </c>
      <c r="U71" s="4">
        <v>0.5</v>
      </c>
      <c r="V71" s="1" t="str">
        <f t="shared" si="7"/>
        <v>0 г. 0 мес. 24 дн.</v>
      </c>
      <c r="W71" s="5"/>
    </row>
    <row r="72" spans="1:23" ht="34.5" customHeight="1" x14ac:dyDescent="0.25">
      <c r="A72" s="1">
        <f t="shared" si="5"/>
        <v>71</v>
      </c>
      <c r="B72" s="1">
        <v>116</v>
      </c>
      <c r="C72" s="2" t="s">
        <v>46</v>
      </c>
      <c r="D72" s="3">
        <v>45722</v>
      </c>
      <c r="E72" s="4">
        <v>0.655555555555556</v>
      </c>
      <c r="F72" s="1" t="s">
        <v>250</v>
      </c>
      <c r="G72" s="3">
        <v>39576</v>
      </c>
      <c r="H72" s="1" t="str">
        <f t="shared" si="6"/>
        <v>16 г. 9 мес. 26 дн.</v>
      </c>
      <c r="I72" s="1" t="s">
        <v>39</v>
      </c>
      <c r="K72" s="1" t="s">
        <v>251</v>
      </c>
      <c r="L72" s="1" t="s">
        <v>114</v>
      </c>
      <c r="M72" s="1" t="s">
        <v>50</v>
      </c>
      <c r="O72" s="1" t="s">
        <v>29</v>
      </c>
      <c r="S72" s="1" t="s">
        <v>46</v>
      </c>
      <c r="T72" s="3">
        <v>45723</v>
      </c>
      <c r="U72" s="4">
        <v>0.483333333333333</v>
      </c>
      <c r="V72" s="1" t="str">
        <f t="shared" si="7"/>
        <v>0 г. 0 мес. 1 дн.</v>
      </c>
      <c r="W72" s="5"/>
    </row>
    <row r="73" spans="1:23" ht="34.5" customHeight="1" x14ac:dyDescent="0.25">
      <c r="A73" s="6">
        <v>73</v>
      </c>
      <c r="B73" s="6">
        <v>464</v>
      </c>
      <c r="C73" s="22" t="s">
        <v>60</v>
      </c>
      <c r="D73" s="3">
        <v>45712</v>
      </c>
      <c r="E73" s="23">
        <v>0.55208333333333304</v>
      </c>
      <c r="F73" s="6" t="s">
        <v>252</v>
      </c>
      <c r="G73" s="24">
        <v>39281</v>
      </c>
      <c r="H73" s="1" t="str">
        <f t="shared" si="6"/>
        <v>17 г. 7 мес. 6 дн.</v>
      </c>
      <c r="I73" s="1" t="s">
        <v>62</v>
      </c>
      <c r="J73" s="1" t="s">
        <v>60</v>
      </c>
      <c r="K73" s="25" t="s">
        <v>253</v>
      </c>
      <c r="L73" s="25" t="s">
        <v>254</v>
      </c>
      <c r="M73" s="25" t="s">
        <v>87</v>
      </c>
      <c r="N73" s="6"/>
      <c r="O73" s="1" t="s">
        <v>29</v>
      </c>
      <c r="P73" s="25" t="s">
        <v>101</v>
      </c>
      <c r="Q73" s="6"/>
      <c r="R73" s="6"/>
      <c r="S73" s="25" t="s">
        <v>60</v>
      </c>
      <c r="T73" s="24">
        <v>45716</v>
      </c>
      <c r="U73" s="26">
        <v>0.48749999999999999</v>
      </c>
      <c r="V73" s="25" t="str">
        <f t="shared" si="7"/>
        <v>0 г. 0 мес. 4 дн.</v>
      </c>
      <c r="W73" s="27"/>
    </row>
    <row r="74" spans="1:23" s="6" customFormat="1" ht="34.5" customHeight="1" x14ac:dyDescent="0.25">
      <c r="A74" s="1">
        <f t="shared" ref="A74:A105" si="8">ROW(A73)</f>
        <v>73</v>
      </c>
      <c r="B74" s="1">
        <v>365</v>
      </c>
      <c r="C74" s="2" t="s">
        <v>60</v>
      </c>
      <c r="D74" s="3">
        <v>45714</v>
      </c>
      <c r="E74" s="4">
        <v>0.60763888888888895</v>
      </c>
      <c r="F74" s="1" t="s">
        <v>255</v>
      </c>
      <c r="G74" s="3">
        <v>39622</v>
      </c>
      <c r="H74" s="1" t="str">
        <f t="shared" si="6"/>
        <v>16 г. 8 мес. 3 дн.</v>
      </c>
      <c r="I74" s="1" t="s">
        <v>70</v>
      </c>
      <c r="J74" s="1" t="s">
        <v>60</v>
      </c>
      <c r="K74" s="1" t="s">
        <v>256</v>
      </c>
      <c r="L74" s="1" t="s">
        <v>257</v>
      </c>
      <c r="M74" s="1" t="s">
        <v>28</v>
      </c>
      <c r="N74" s="1"/>
      <c r="O74" s="1" t="s">
        <v>29</v>
      </c>
      <c r="P74" s="1"/>
      <c r="Q74" s="1"/>
      <c r="R74" s="1"/>
      <c r="S74" s="1" t="s">
        <v>60</v>
      </c>
      <c r="T74" s="3">
        <v>45716</v>
      </c>
      <c r="U74" s="4">
        <v>0.452083333333333</v>
      </c>
      <c r="V74" s="1" t="str">
        <f t="shared" si="7"/>
        <v>0 г. 0 мес. 2 дн.</v>
      </c>
      <c r="W74" s="5"/>
    </row>
    <row r="75" spans="1:23" ht="34.5" customHeight="1" x14ac:dyDescent="0.25">
      <c r="A75" s="1">
        <f t="shared" si="8"/>
        <v>74</v>
      </c>
      <c r="B75" s="1">
        <v>486</v>
      </c>
      <c r="C75" s="2" t="s">
        <v>60</v>
      </c>
      <c r="D75" s="3">
        <v>45713</v>
      </c>
      <c r="E75" s="4">
        <v>0.69513888888888897</v>
      </c>
      <c r="F75" s="1" t="s">
        <v>258</v>
      </c>
      <c r="G75" s="3">
        <v>43375</v>
      </c>
      <c r="H75" s="1" t="str">
        <f t="shared" si="6"/>
        <v>6 г. 4 мес. 23 дн.</v>
      </c>
      <c r="I75" s="1" t="s">
        <v>39</v>
      </c>
      <c r="K75" s="1" t="s">
        <v>259</v>
      </c>
      <c r="L75" s="1" t="s">
        <v>260</v>
      </c>
      <c r="M75" s="1" t="s">
        <v>65</v>
      </c>
      <c r="O75" s="1" t="s">
        <v>29</v>
      </c>
      <c r="S75" s="1" t="s">
        <v>60</v>
      </c>
      <c r="T75" s="3">
        <v>45714</v>
      </c>
      <c r="U75" s="4">
        <v>0.46527777777777801</v>
      </c>
      <c r="V75" s="1" t="str">
        <f t="shared" si="7"/>
        <v>0 г. 0 мес. 1 дн.</v>
      </c>
      <c r="W75" s="5"/>
    </row>
    <row r="76" spans="1:23" ht="34.5" customHeight="1" x14ac:dyDescent="0.25">
      <c r="A76" s="1">
        <f t="shared" si="8"/>
        <v>75</v>
      </c>
      <c r="B76" s="1">
        <v>98</v>
      </c>
      <c r="C76" s="2" t="s">
        <v>46</v>
      </c>
      <c r="D76" s="3">
        <v>45712</v>
      </c>
      <c r="E76" s="4">
        <v>0.87361111111111101</v>
      </c>
      <c r="F76" s="1" t="s">
        <v>261</v>
      </c>
      <c r="G76" s="3">
        <v>41037</v>
      </c>
      <c r="H76" s="1" t="str">
        <f t="shared" si="6"/>
        <v>12 г. 9 мес. 16 дн.</v>
      </c>
      <c r="I76" s="1" t="s">
        <v>39</v>
      </c>
      <c r="K76" s="1" t="s">
        <v>262</v>
      </c>
      <c r="L76" s="1" t="s">
        <v>90</v>
      </c>
      <c r="M76" s="1" t="s">
        <v>50</v>
      </c>
      <c r="O76" s="1" t="s">
        <v>29</v>
      </c>
      <c r="S76" s="1" t="s">
        <v>46</v>
      </c>
      <c r="T76" s="3">
        <v>45713</v>
      </c>
      <c r="U76" s="4">
        <v>0.45763888888888898</v>
      </c>
      <c r="V76" s="1" t="str">
        <f t="shared" si="7"/>
        <v>0 г. 0 мес. 1 дн.</v>
      </c>
      <c r="W76" s="5"/>
    </row>
    <row r="77" spans="1:23" ht="34.5" customHeight="1" x14ac:dyDescent="0.25">
      <c r="A77" s="1">
        <f t="shared" si="8"/>
        <v>76</v>
      </c>
      <c r="B77" s="1">
        <v>98</v>
      </c>
      <c r="C77" s="2" t="s">
        <v>32</v>
      </c>
      <c r="D77" s="3">
        <v>45714</v>
      </c>
      <c r="E77" s="4">
        <v>0.46250000000000002</v>
      </c>
      <c r="F77" s="1" t="s">
        <v>263</v>
      </c>
      <c r="G77" s="3">
        <v>42361</v>
      </c>
      <c r="H77" s="1" t="str">
        <f t="shared" si="6"/>
        <v>9 г. 2 мес. 3 дн.</v>
      </c>
      <c r="I77" s="1" t="s">
        <v>39</v>
      </c>
      <c r="K77" s="1" t="s">
        <v>264</v>
      </c>
      <c r="L77" s="1" t="s">
        <v>265</v>
      </c>
      <c r="M77" s="1" t="s">
        <v>73</v>
      </c>
      <c r="O77" s="1" t="s">
        <v>29</v>
      </c>
      <c r="S77" s="1" t="s">
        <v>32</v>
      </c>
      <c r="T77" s="3">
        <v>45715</v>
      </c>
      <c r="U77" s="4">
        <v>0.41666666666666702</v>
      </c>
      <c r="V77" s="1" t="str">
        <f t="shared" si="7"/>
        <v>0 г. 0 мес. 1 дн.</v>
      </c>
      <c r="W77" s="5"/>
    </row>
    <row r="78" spans="1:23" ht="34.5" customHeight="1" x14ac:dyDescent="0.25">
      <c r="A78" s="1">
        <f t="shared" si="8"/>
        <v>77</v>
      </c>
      <c r="B78" s="1">
        <v>114</v>
      </c>
      <c r="C78" s="2" t="s">
        <v>236</v>
      </c>
      <c r="D78" s="3">
        <v>45721</v>
      </c>
      <c r="E78" s="4">
        <v>0.89930555555555602</v>
      </c>
      <c r="F78" s="1" t="s">
        <v>24</v>
      </c>
      <c r="G78" s="3">
        <v>39803</v>
      </c>
      <c r="H78" s="1" t="str">
        <f t="shared" si="6"/>
        <v>16 г. 2 мес. 12 дн.</v>
      </c>
      <c r="I78" s="1" t="s">
        <v>39</v>
      </c>
      <c r="K78" s="1" t="s">
        <v>266</v>
      </c>
      <c r="L78" s="1" t="s">
        <v>267</v>
      </c>
      <c r="M78" s="1" t="s">
        <v>73</v>
      </c>
      <c r="N78" s="1">
        <v>209</v>
      </c>
      <c r="O78" s="1" t="s">
        <v>42</v>
      </c>
      <c r="S78" s="1" t="s">
        <v>236</v>
      </c>
      <c r="T78" s="3">
        <v>45730</v>
      </c>
      <c r="U78" s="4">
        <v>0.58333333333333304</v>
      </c>
      <c r="V78" s="1" t="str">
        <f t="shared" si="7"/>
        <v>0 г. 0 мес. 9 дн.</v>
      </c>
      <c r="W78" s="5"/>
    </row>
    <row r="79" spans="1:23" ht="34.5" customHeight="1" x14ac:dyDescent="0.25">
      <c r="A79" s="1">
        <f t="shared" si="8"/>
        <v>78</v>
      </c>
      <c r="B79" s="1">
        <v>525</v>
      </c>
      <c r="C79" s="2" t="s">
        <v>60</v>
      </c>
      <c r="D79" s="3">
        <v>45718</v>
      </c>
      <c r="E79" s="4">
        <v>0.90625</v>
      </c>
      <c r="F79" s="1" t="s">
        <v>268</v>
      </c>
      <c r="G79" s="3">
        <v>45177</v>
      </c>
      <c r="H79" s="1" t="str">
        <f t="shared" si="6"/>
        <v>1 г. 5 мес. 22 дн.</v>
      </c>
      <c r="I79" s="1" t="s">
        <v>62</v>
      </c>
      <c r="J79" s="1" t="s">
        <v>60</v>
      </c>
      <c r="K79" s="1" t="s">
        <v>269</v>
      </c>
      <c r="L79" s="1" t="s">
        <v>270</v>
      </c>
      <c r="M79" s="1" t="s">
        <v>181</v>
      </c>
      <c r="N79" s="1">
        <v>80</v>
      </c>
      <c r="O79" s="1" t="s">
        <v>42</v>
      </c>
      <c r="P79" s="1" t="s">
        <v>101</v>
      </c>
      <c r="S79" s="1" t="s">
        <v>60</v>
      </c>
      <c r="T79" s="3">
        <v>45727</v>
      </c>
      <c r="U79" s="4">
        <v>0.5</v>
      </c>
      <c r="V79" s="1" t="str">
        <f t="shared" si="7"/>
        <v>0 г. 0 мес. 9 дн.</v>
      </c>
      <c r="W79" s="5"/>
    </row>
    <row r="80" spans="1:23" ht="34.5" customHeight="1" x14ac:dyDescent="0.25">
      <c r="A80" s="6">
        <f t="shared" si="8"/>
        <v>79</v>
      </c>
      <c r="B80" s="6">
        <v>581</v>
      </c>
      <c r="C80" s="22" t="s">
        <v>60</v>
      </c>
      <c r="D80" s="28">
        <v>45725</v>
      </c>
      <c r="E80" s="23">
        <v>0.94791666666666696</v>
      </c>
      <c r="F80" s="6" t="s">
        <v>271</v>
      </c>
      <c r="G80" s="28">
        <v>45472</v>
      </c>
      <c r="H80" s="1" t="str">
        <f t="shared" si="6"/>
        <v>0 г. 8 мес. 8 дн.</v>
      </c>
      <c r="I80" s="1" t="s">
        <v>62</v>
      </c>
      <c r="J80" s="6" t="s">
        <v>60</v>
      </c>
      <c r="K80" s="6" t="s">
        <v>272</v>
      </c>
      <c r="L80" s="6" t="s">
        <v>273</v>
      </c>
      <c r="M80" s="6" t="s">
        <v>87</v>
      </c>
      <c r="N80" s="6"/>
      <c r="O80" s="6" t="s">
        <v>29</v>
      </c>
      <c r="P80" s="6"/>
      <c r="Q80" s="6"/>
      <c r="R80" s="6"/>
      <c r="S80" s="6" t="s">
        <v>60</v>
      </c>
      <c r="T80" s="28">
        <v>45726</v>
      </c>
      <c r="U80" s="23">
        <v>0.5</v>
      </c>
      <c r="V80" s="6" t="str">
        <f t="shared" si="7"/>
        <v>0 г. 0 мес. 1 дн.</v>
      </c>
      <c r="W80" s="5"/>
    </row>
    <row r="81" spans="1:25" ht="34.5" customHeight="1" x14ac:dyDescent="0.25">
      <c r="A81" s="1">
        <f t="shared" si="8"/>
        <v>80</v>
      </c>
      <c r="B81" s="1">
        <v>581</v>
      </c>
      <c r="C81" s="2" t="s">
        <v>60</v>
      </c>
      <c r="D81" s="3">
        <v>45727</v>
      </c>
      <c r="E81" s="4">
        <v>0.75</v>
      </c>
      <c r="F81" s="1" t="s">
        <v>271</v>
      </c>
      <c r="G81" s="3">
        <v>45472</v>
      </c>
      <c r="H81" s="1" t="str">
        <f t="shared" si="6"/>
        <v>0 г. 8 мес. 10 дн.</v>
      </c>
      <c r="I81" s="1" t="s">
        <v>25</v>
      </c>
      <c r="J81" s="1" t="s">
        <v>60</v>
      </c>
      <c r="K81" s="6" t="s">
        <v>272</v>
      </c>
      <c r="L81" s="6" t="s">
        <v>273</v>
      </c>
      <c r="M81" s="1" t="s">
        <v>87</v>
      </c>
      <c r="O81" s="1" t="s">
        <v>29</v>
      </c>
      <c r="S81" s="1" t="s">
        <v>46</v>
      </c>
      <c r="T81" s="3">
        <v>45728</v>
      </c>
      <c r="U81" s="4">
        <v>0.99652777777777801</v>
      </c>
      <c r="V81" s="1" t="str">
        <f t="shared" si="7"/>
        <v>0 г. 0 мес. 1 дн.</v>
      </c>
      <c r="W81" s="5"/>
    </row>
    <row r="82" spans="1:25" ht="34.5" customHeight="1" x14ac:dyDescent="0.25">
      <c r="A82" s="1">
        <f t="shared" si="8"/>
        <v>81</v>
      </c>
      <c r="B82" s="1">
        <v>129</v>
      </c>
      <c r="C82" s="2" t="s">
        <v>46</v>
      </c>
      <c r="D82" s="3">
        <v>45729</v>
      </c>
      <c r="E82" s="4">
        <v>4.1666666666666701E-3</v>
      </c>
      <c r="F82" s="1" t="s">
        <v>271</v>
      </c>
      <c r="G82" s="3">
        <v>45472</v>
      </c>
      <c r="H82" s="1" t="str">
        <f t="shared" si="6"/>
        <v>0 г. 8 мес. 12 дн.</v>
      </c>
      <c r="I82" s="1" t="s">
        <v>25</v>
      </c>
      <c r="J82" s="1" t="s">
        <v>60</v>
      </c>
      <c r="K82" s="6" t="s">
        <v>272</v>
      </c>
      <c r="L82" s="1" t="s">
        <v>274</v>
      </c>
      <c r="M82" s="1" t="s">
        <v>215</v>
      </c>
      <c r="O82" s="1" t="s">
        <v>29</v>
      </c>
      <c r="S82" s="1" t="s">
        <v>46</v>
      </c>
      <c r="T82" s="3">
        <v>45730</v>
      </c>
      <c r="U82" s="4">
        <v>0.58333333333333304</v>
      </c>
      <c r="V82" s="1" t="str">
        <f t="shared" si="7"/>
        <v>0 г. 0 мес. 1 дн.</v>
      </c>
      <c r="W82" s="5"/>
    </row>
    <row r="83" spans="1:25" ht="34.5" customHeight="1" x14ac:dyDescent="0.25">
      <c r="A83" s="1">
        <f t="shared" si="8"/>
        <v>82</v>
      </c>
      <c r="B83" s="1">
        <v>131</v>
      </c>
      <c r="C83" s="2" t="s">
        <v>32</v>
      </c>
      <c r="D83" s="3">
        <v>45729</v>
      </c>
      <c r="E83" s="4">
        <v>0.17361111111111099</v>
      </c>
      <c r="F83" s="1" t="s">
        <v>275</v>
      </c>
      <c r="G83" s="3">
        <v>45664</v>
      </c>
      <c r="H83" s="1" t="str">
        <f t="shared" si="6"/>
        <v>0 г. 2 мес. 6 дн.</v>
      </c>
      <c r="I83" s="1" t="s">
        <v>39</v>
      </c>
      <c r="K83" s="1" t="s">
        <v>276</v>
      </c>
      <c r="L83" s="1" t="s">
        <v>277</v>
      </c>
      <c r="M83" s="1" t="s">
        <v>73</v>
      </c>
      <c r="N83" s="1">
        <v>480</v>
      </c>
      <c r="O83" s="1" t="s">
        <v>42</v>
      </c>
      <c r="S83" s="1" t="s">
        <v>278</v>
      </c>
      <c r="T83" s="3">
        <v>45754</v>
      </c>
      <c r="U83" s="4">
        <v>0.5</v>
      </c>
      <c r="V83" s="1" t="str">
        <f t="shared" si="7"/>
        <v>0 г. 0 мес. 25 дн.</v>
      </c>
      <c r="W83" s="5"/>
    </row>
    <row r="84" spans="1:25" ht="34.5" customHeight="1" x14ac:dyDescent="0.25">
      <c r="A84" s="1">
        <f t="shared" si="8"/>
        <v>83</v>
      </c>
      <c r="B84" s="1">
        <v>135</v>
      </c>
      <c r="C84" s="2" t="s">
        <v>46</v>
      </c>
      <c r="D84" s="3">
        <v>45729</v>
      </c>
      <c r="E84" s="4">
        <v>0.71527777777777801</v>
      </c>
      <c r="F84" s="1" t="s">
        <v>279</v>
      </c>
      <c r="G84" s="3">
        <v>40193</v>
      </c>
      <c r="H84" s="1" t="str">
        <f t="shared" si="6"/>
        <v>15 г. 1 мес. 26 дн.</v>
      </c>
      <c r="I84" s="1" t="s">
        <v>39</v>
      </c>
      <c r="K84" s="1" t="s">
        <v>280</v>
      </c>
      <c r="L84" s="1" t="s">
        <v>281</v>
      </c>
      <c r="M84" s="1" t="s">
        <v>105</v>
      </c>
      <c r="O84" s="1" t="s">
        <v>29</v>
      </c>
      <c r="S84" s="1" t="s">
        <v>46</v>
      </c>
      <c r="T84" s="3">
        <v>45730</v>
      </c>
      <c r="U84" s="4">
        <v>0.54166666666666696</v>
      </c>
      <c r="V84" s="1" t="str">
        <f t="shared" si="7"/>
        <v>0 г. 0 мес. 1 дн.</v>
      </c>
      <c r="W84" s="5"/>
    </row>
    <row r="85" spans="1:25" s="29" customFormat="1" ht="34.5" customHeight="1" x14ac:dyDescent="0.25">
      <c r="A85" s="29">
        <f t="shared" si="8"/>
        <v>84</v>
      </c>
      <c r="B85" s="29">
        <v>138</v>
      </c>
      <c r="C85" s="30" t="s">
        <v>236</v>
      </c>
      <c r="D85" s="31">
        <v>45730</v>
      </c>
      <c r="E85" s="32">
        <v>0.57291666666666696</v>
      </c>
      <c r="F85" s="29" t="s">
        <v>282</v>
      </c>
      <c r="G85" s="31">
        <v>45551</v>
      </c>
      <c r="H85" s="29" t="str">
        <f t="shared" si="6"/>
        <v>0 г. 5 мес. 26 дн.</v>
      </c>
      <c r="I85" s="29" t="s">
        <v>34</v>
      </c>
      <c r="K85" s="29" t="s">
        <v>283</v>
      </c>
      <c r="L85" s="29" t="s">
        <v>284</v>
      </c>
      <c r="M85" s="29" t="s">
        <v>28</v>
      </c>
      <c r="N85" s="29">
        <v>79</v>
      </c>
      <c r="O85" s="29" t="s">
        <v>42</v>
      </c>
      <c r="Q85" s="29" t="s">
        <v>30</v>
      </c>
      <c r="R85" s="29" t="s">
        <v>285</v>
      </c>
      <c r="S85" s="29" t="s">
        <v>194</v>
      </c>
      <c r="T85" s="31">
        <v>45733</v>
      </c>
      <c r="U85" s="32">
        <v>0.92013888888888895</v>
      </c>
      <c r="V85" s="29" t="str">
        <f t="shared" si="7"/>
        <v>0 г. 0 мес. 3 дн.</v>
      </c>
      <c r="W85" s="33"/>
    </row>
    <row r="86" spans="1:25" ht="34.5" customHeight="1" x14ac:dyDescent="0.25">
      <c r="A86" s="1">
        <f t="shared" si="8"/>
        <v>85</v>
      </c>
      <c r="B86" s="1">
        <v>297</v>
      </c>
      <c r="C86" s="2" t="s">
        <v>96</v>
      </c>
      <c r="D86" s="3">
        <v>45730</v>
      </c>
      <c r="E86" s="4">
        <v>0.67708333333333304</v>
      </c>
      <c r="F86" s="1" t="s">
        <v>286</v>
      </c>
      <c r="G86" s="3">
        <v>41406</v>
      </c>
      <c r="H86" s="1" t="str">
        <f t="shared" si="6"/>
        <v>11 г. 10 мес. 2 дн.</v>
      </c>
      <c r="I86" s="1" t="s">
        <v>62</v>
      </c>
      <c r="K86" s="1" t="s">
        <v>287</v>
      </c>
      <c r="L86" s="1" t="s">
        <v>288</v>
      </c>
      <c r="M86" s="1" t="s">
        <v>100</v>
      </c>
      <c r="O86" s="1" t="s">
        <v>29</v>
      </c>
      <c r="S86" s="1" t="s">
        <v>96</v>
      </c>
      <c r="T86" s="3">
        <v>45731</v>
      </c>
      <c r="U86" s="4">
        <v>0.5</v>
      </c>
      <c r="V86" s="1" t="str">
        <f t="shared" si="7"/>
        <v>0 г. 0 мес. 1 дн.</v>
      </c>
      <c r="W86" s="5"/>
    </row>
    <row r="87" spans="1:25" ht="34.5" customHeight="1" x14ac:dyDescent="0.25">
      <c r="A87" s="1">
        <f t="shared" si="8"/>
        <v>86</v>
      </c>
      <c r="B87" s="1">
        <v>628</v>
      </c>
      <c r="C87" s="2" t="s">
        <v>60</v>
      </c>
      <c r="D87" s="3">
        <v>45730</v>
      </c>
      <c r="E87" s="4">
        <v>0.93055555555555602</v>
      </c>
      <c r="F87" s="1" t="s">
        <v>289</v>
      </c>
      <c r="G87" s="3">
        <v>41218</v>
      </c>
      <c r="H87" s="1" t="str">
        <f t="shared" si="6"/>
        <v>12 г. 4 мес. 9 дн.</v>
      </c>
      <c r="I87" s="1" t="s">
        <v>39</v>
      </c>
      <c r="K87" s="1" t="s">
        <v>290</v>
      </c>
      <c r="L87" s="1" t="s">
        <v>291</v>
      </c>
      <c r="M87" s="1" t="s">
        <v>95</v>
      </c>
      <c r="O87" s="1" t="s">
        <v>42</v>
      </c>
      <c r="S87" s="1" t="s">
        <v>60</v>
      </c>
      <c r="T87" s="3">
        <v>45732</v>
      </c>
      <c r="U87" s="4">
        <v>0.43263888888888902</v>
      </c>
      <c r="V87" s="1" t="str">
        <f t="shared" si="7"/>
        <v>0 г. 0 мес. 2 дн.</v>
      </c>
      <c r="W87" s="5"/>
    </row>
    <row r="88" spans="1:25" ht="34.5" customHeight="1" x14ac:dyDescent="0.25">
      <c r="A88" s="1">
        <f t="shared" si="8"/>
        <v>87</v>
      </c>
      <c r="B88" s="1">
        <v>139</v>
      </c>
      <c r="C88" s="2" t="s">
        <v>46</v>
      </c>
      <c r="D88" s="3">
        <v>45731</v>
      </c>
      <c r="E88" s="4">
        <v>0.77708333333333302</v>
      </c>
      <c r="F88" s="1" t="s">
        <v>292</v>
      </c>
      <c r="G88" s="3">
        <v>40284</v>
      </c>
      <c r="H88" s="1" t="str">
        <f t="shared" si="6"/>
        <v>14 г. 10 мес. 27 дн.</v>
      </c>
      <c r="I88" s="1" t="s">
        <v>39</v>
      </c>
      <c r="K88" s="1" t="s">
        <v>293</v>
      </c>
      <c r="L88" s="1" t="s">
        <v>294</v>
      </c>
      <c r="M88" s="1" t="s">
        <v>50</v>
      </c>
      <c r="O88" s="1" t="s">
        <v>29</v>
      </c>
      <c r="S88" s="1" t="s">
        <v>46</v>
      </c>
      <c r="T88" s="3">
        <v>45732</v>
      </c>
      <c r="U88" s="4">
        <v>0.43263888888888902</v>
      </c>
      <c r="V88" s="1" t="str">
        <f t="shared" si="7"/>
        <v>0 г. 0 мес. 1 дн.</v>
      </c>
      <c r="W88" s="5"/>
    </row>
    <row r="89" spans="1:25" ht="34.5" customHeight="1" x14ac:dyDescent="0.25">
      <c r="A89" s="1">
        <f t="shared" si="8"/>
        <v>88</v>
      </c>
      <c r="B89" s="1">
        <v>140</v>
      </c>
      <c r="C89" s="2" t="s">
        <v>46</v>
      </c>
      <c r="D89" s="3">
        <v>45731</v>
      </c>
      <c r="E89" s="4">
        <v>0.93055555555555602</v>
      </c>
      <c r="F89" s="1" t="s">
        <v>295</v>
      </c>
      <c r="G89" s="3">
        <v>40002</v>
      </c>
      <c r="H89" s="1" t="str">
        <f t="shared" si="6"/>
        <v>15 г. 8 мес. 7 дн.</v>
      </c>
      <c r="I89" s="1" t="s">
        <v>39</v>
      </c>
      <c r="K89" s="1" t="s">
        <v>296</v>
      </c>
      <c r="L89" s="1" t="s">
        <v>294</v>
      </c>
      <c r="M89" s="1" t="s">
        <v>50</v>
      </c>
      <c r="O89" s="1" t="s">
        <v>29</v>
      </c>
      <c r="S89" s="1" t="s">
        <v>46</v>
      </c>
      <c r="T89" s="3">
        <v>45732</v>
      </c>
      <c r="U89" s="4">
        <v>0.44374999999999998</v>
      </c>
      <c r="V89" s="1" t="str">
        <f t="shared" si="7"/>
        <v>0 г. 0 мес. 1 дн.</v>
      </c>
      <c r="W89" s="5"/>
    </row>
    <row r="90" spans="1:25" ht="34.5" customHeight="1" x14ac:dyDescent="0.25">
      <c r="A90" s="1">
        <f t="shared" si="8"/>
        <v>89</v>
      </c>
      <c r="B90" s="1">
        <v>153</v>
      </c>
      <c r="C90" s="2" t="s">
        <v>46</v>
      </c>
      <c r="D90" s="3">
        <v>45736</v>
      </c>
      <c r="E90" s="4">
        <v>0.76388888888888895</v>
      </c>
      <c r="F90" s="1" t="s">
        <v>297</v>
      </c>
      <c r="G90" s="3">
        <v>45722</v>
      </c>
      <c r="H90" s="1" t="str">
        <f t="shared" si="6"/>
        <v>0 г. 0 мес. 14 дн.</v>
      </c>
      <c r="I90" s="1" t="s">
        <v>34</v>
      </c>
      <c r="K90" s="1" t="s">
        <v>298</v>
      </c>
      <c r="L90" s="1" t="s">
        <v>299</v>
      </c>
      <c r="M90" s="1" t="s">
        <v>50</v>
      </c>
      <c r="O90" s="1" t="s">
        <v>29</v>
      </c>
      <c r="S90" s="1" t="s">
        <v>46</v>
      </c>
      <c r="T90" s="3">
        <v>45709</v>
      </c>
      <c r="U90" s="4">
        <v>0.5</v>
      </c>
      <c r="V90" s="1" t="e">
        <f t="shared" si="7"/>
        <v>#NUM!</v>
      </c>
      <c r="W90" s="5"/>
    </row>
    <row r="91" spans="1:25" ht="34.5" customHeight="1" x14ac:dyDescent="0.25">
      <c r="A91" s="1">
        <f t="shared" si="8"/>
        <v>90</v>
      </c>
      <c r="B91" s="1">
        <v>653</v>
      </c>
      <c r="C91" s="2" t="s">
        <v>60</v>
      </c>
      <c r="D91" s="3">
        <v>45736</v>
      </c>
      <c r="E91" s="4">
        <v>0.59375</v>
      </c>
      <c r="F91" s="1" t="s">
        <v>195</v>
      </c>
      <c r="G91" s="3">
        <v>39856</v>
      </c>
      <c r="H91" s="1" t="str">
        <f t="shared" si="6"/>
        <v>16 г. 1 мес. 8 дн.</v>
      </c>
      <c r="I91" s="1" t="s">
        <v>62</v>
      </c>
      <c r="K91" s="1" t="s">
        <v>300</v>
      </c>
      <c r="L91" s="1" t="s">
        <v>301</v>
      </c>
      <c r="M91" s="1" t="s">
        <v>73</v>
      </c>
      <c r="O91" s="1" t="s">
        <v>29</v>
      </c>
      <c r="S91" s="1" t="s">
        <v>60</v>
      </c>
      <c r="T91" s="3">
        <v>45737</v>
      </c>
      <c r="U91" s="4">
        <v>0.54166666666666696</v>
      </c>
      <c r="V91" s="1" t="str">
        <f t="shared" si="7"/>
        <v>0 г. 0 мес. 1 дн.</v>
      </c>
      <c r="W91" s="5"/>
    </row>
    <row r="92" spans="1:25" ht="34.5" customHeight="1" x14ac:dyDescent="0.25">
      <c r="A92" s="1">
        <f t="shared" si="8"/>
        <v>91</v>
      </c>
      <c r="B92" s="1">
        <v>650</v>
      </c>
      <c r="C92" s="2" t="s">
        <v>60</v>
      </c>
      <c r="D92" s="3">
        <v>45735</v>
      </c>
      <c r="E92" s="4">
        <v>0.29166666666666702</v>
      </c>
      <c r="F92" s="1" t="s">
        <v>302</v>
      </c>
      <c r="G92" s="3">
        <v>45712</v>
      </c>
      <c r="H92" s="1" t="str">
        <f t="shared" si="6"/>
        <v>0 г. 0 мес. 23 дн.</v>
      </c>
      <c r="I92" s="1" t="s">
        <v>70</v>
      </c>
      <c r="J92" s="1" t="s">
        <v>60</v>
      </c>
      <c r="K92" s="1" t="s">
        <v>137</v>
      </c>
      <c r="L92" s="1" t="s">
        <v>86</v>
      </c>
      <c r="M92" s="1" t="s">
        <v>87</v>
      </c>
      <c r="O92" s="1" t="s">
        <v>29</v>
      </c>
      <c r="S92" s="1" t="s">
        <v>60</v>
      </c>
      <c r="T92" s="3">
        <v>45738</v>
      </c>
      <c r="U92" s="4">
        <v>0.5</v>
      </c>
      <c r="V92" s="1" t="str">
        <f t="shared" si="7"/>
        <v>0 г. 0 мес. 3 дн.</v>
      </c>
      <c r="W92" s="5"/>
    </row>
    <row r="93" spans="1:25" ht="34.5" customHeight="1" x14ac:dyDescent="0.25">
      <c r="A93" s="1">
        <f t="shared" si="8"/>
        <v>92</v>
      </c>
      <c r="B93" s="1">
        <v>680</v>
      </c>
      <c r="C93" s="2" t="s">
        <v>60</v>
      </c>
      <c r="D93" s="3">
        <v>45738</v>
      </c>
      <c r="E93" s="4">
        <v>0.4375</v>
      </c>
      <c r="F93" s="1" t="s">
        <v>303</v>
      </c>
      <c r="G93" s="3">
        <v>45083</v>
      </c>
      <c r="H93" s="1" t="str">
        <f t="shared" si="6"/>
        <v>1 г. 9 мес. 16 дн.</v>
      </c>
      <c r="I93" s="1" t="s">
        <v>39</v>
      </c>
      <c r="K93" s="1" t="s">
        <v>304</v>
      </c>
      <c r="L93" s="1" t="s">
        <v>305</v>
      </c>
      <c r="M93" s="1" t="s">
        <v>87</v>
      </c>
      <c r="O93" s="1" t="s">
        <v>29</v>
      </c>
      <c r="S93" s="1" t="s">
        <v>60</v>
      </c>
      <c r="T93" s="3">
        <v>45739</v>
      </c>
      <c r="U93" s="4">
        <v>0.54166666666666696</v>
      </c>
      <c r="V93" s="1" t="str">
        <f t="shared" si="7"/>
        <v>0 г. 0 мес. 1 дн.</v>
      </c>
      <c r="W93" s="5"/>
    </row>
    <row r="94" spans="1:25" ht="34.5" customHeight="1" x14ac:dyDescent="0.25">
      <c r="A94" s="17">
        <f t="shared" si="8"/>
        <v>93</v>
      </c>
      <c r="B94" s="17">
        <v>154</v>
      </c>
      <c r="C94" s="18" t="s">
        <v>32</v>
      </c>
      <c r="D94" s="19">
        <v>45738</v>
      </c>
      <c r="E94" s="20">
        <v>0.45833333333333298</v>
      </c>
      <c r="F94" s="17" t="s">
        <v>306</v>
      </c>
      <c r="G94" s="19">
        <v>45704</v>
      </c>
      <c r="H94" s="17" t="str">
        <f t="shared" si="6"/>
        <v>0 г. 1 мес. 6 дн.</v>
      </c>
      <c r="I94" s="17" t="s">
        <v>39</v>
      </c>
      <c r="J94" s="17"/>
      <c r="K94" s="17" t="s">
        <v>307</v>
      </c>
      <c r="L94" s="17" t="s">
        <v>308</v>
      </c>
      <c r="M94" s="17" t="s">
        <v>215</v>
      </c>
      <c r="N94" s="17">
        <v>10</v>
      </c>
      <c r="O94" s="17" t="s">
        <v>42</v>
      </c>
      <c r="P94" s="17"/>
      <c r="Q94" s="17"/>
      <c r="R94" s="17"/>
      <c r="S94" s="17" t="s">
        <v>194</v>
      </c>
      <c r="T94" s="19">
        <v>45738</v>
      </c>
      <c r="U94" s="20">
        <v>0.88194444444444497</v>
      </c>
      <c r="V94" s="17" t="str">
        <f t="shared" si="7"/>
        <v>0 г. 0 мес. 0 дн.</v>
      </c>
      <c r="W94" s="21"/>
      <c r="X94" s="17"/>
      <c r="Y94" s="17"/>
    </row>
    <row r="95" spans="1:25" ht="34.5" customHeight="1" x14ac:dyDescent="0.25">
      <c r="A95" s="1">
        <f t="shared" si="8"/>
        <v>94</v>
      </c>
      <c r="B95" s="1">
        <v>146</v>
      </c>
      <c r="C95" s="2" t="s">
        <v>46</v>
      </c>
      <c r="D95" s="3">
        <v>45734</v>
      </c>
      <c r="E95" s="4">
        <v>6.9444444444444501E-4</v>
      </c>
      <c r="F95" s="1" t="s">
        <v>216</v>
      </c>
      <c r="G95" s="3">
        <v>44435</v>
      </c>
      <c r="H95" s="1" t="str">
        <f t="shared" si="6"/>
        <v>3 г. 6 мес. 19 дн.</v>
      </c>
      <c r="I95" s="1" t="s">
        <v>39</v>
      </c>
      <c r="K95" s="1" t="s">
        <v>217</v>
      </c>
      <c r="L95" s="1" t="s">
        <v>104</v>
      </c>
      <c r="M95" s="1" t="s">
        <v>105</v>
      </c>
      <c r="O95" s="1" t="s">
        <v>29</v>
      </c>
      <c r="S95" s="1" t="s">
        <v>46</v>
      </c>
      <c r="T95" s="3">
        <v>45734</v>
      </c>
      <c r="U95" s="4">
        <v>0.52916666666666701</v>
      </c>
      <c r="V95" s="1" t="str">
        <f t="shared" si="7"/>
        <v>0 г. 0 мес. 0 дн.</v>
      </c>
      <c r="W95" s="5"/>
    </row>
    <row r="96" spans="1:25" ht="34.5" customHeight="1" x14ac:dyDescent="0.25">
      <c r="A96" s="1">
        <f t="shared" si="8"/>
        <v>95</v>
      </c>
      <c r="B96" s="1">
        <v>157</v>
      </c>
      <c r="C96" s="2" t="s">
        <v>46</v>
      </c>
      <c r="D96" s="3">
        <v>45740</v>
      </c>
      <c r="E96" s="4">
        <v>6.9444444444444397E-3</v>
      </c>
      <c r="F96" s="1" t="s">
        <v>309</v>
      </c>
      <c r="G96" s="3">
        <v>43234</v>
      </c>
      <c r="H96" s="1" t="str">
        <f t="shared" si="6"/>
        <v>6 г. 10 мес. 10 дн.</v>
      </c>
      <c r="I96" s="1" t="s">
        <v>39</v>
      </c>
      <c r="K96" s="1" t="s">
        <v>310</v>
      </c>
      <c r="L96" s="1" t="s">
        <v>311</v>
      </c>
      <c r="M96" s="1" t="s">
        <v>135</v>
      </c>
      <c r="O96" s="1" t="s">
        <v>29</v>
      </c>
      <c r="S96" s="1" t="s">
        <v>83</v>
      </c>
      <c r="T96" s="3">
        <v>45746</v>
      </c>
      <c r="U96" s="4">
        <v>0.5</v>
      </c>
      <c r="V96" s="1" t="str">
        <f t="shared" si="7"/>
        <v>0 г. 0 мес. 6 дн.</v>
      </c>
      <c r="W96" s="5"/>
    </row>
    <row r="97" spans="1:25" ht="34.5" customHeight="1" x14ac:dyDescent="0.25">
      <c r="A97" s="1">
        <f t="shared" si="8"/>
        <v>96</v>
      </c>
      <c r="B97" s="1">
        <v>722</v>
      </c>
      <c r="C97" s="2" t="s">
        <v>60</v>
      </c>
      <c r="D97" s="3">
        <v>45742</v>
      </c>
      <c r="E97" s="4">
        <v>0.88194444444444497</v>
      </c>
      <c r="F97" s="1" t="s">
        <v>312</v>
      </c>
      <c r="G97" s="3">
        <v>40340</v>
      </c>
      <c r="H97" s="1" t="str">
        <f t="shared" si="6"/>
        <v>14 г. 9 мес. 15 дн.</v>
      </c>
      <c r="I97" s="1" t="s">
        <v>62</v>
      </c>
      <c r="J97" s="1" t="s">
        <v>60</v>
      </c>
      <c r="K97" s="1" t="s">
        <v>313</v>
      </c>
      <c r="L97" s="1" t="s">
        <v>314</v>
      </c>
      <c r="M97" s="1" t="s">
        <v>87</v>
      </c>
      <c r="O97" s="1" t="s">
        <v>42</v>
      </c>
      <c r="P97" s="1" t="s">
        <v>101</v>
      </c>
      <c r="S97" s="1" t="s">
        <v>60</v>
      </c>
      <c r="T97" s="3">
        <v>45747</v>
      </c>
      <c r="U97" s="4">
        <v>0.5</v>
      </c>
      <c r="V97" s="1" t="str">
        <f t="shared" si="7"/>
        <v>0 г. 0 мес. 5 дн.</v>
      </c>
      <c r="W97" s="5"/>
    </row>
    <row r="98" spans="1:25" ht="34.5" customHeight="1" x14ac:dyDescent="0.25">
      <c r="A98" s="17">
        <f t="shared" si="8"/>
        <v>97</v>
      </c>
      <c r="B98" s="17">
        <v>396</v>
      </c>
      <c r="C98" s="18" t="s">
        <v>23</v>
      </c>
      <c r="D98" s="19">
        <v>45743</v>
      </c>
      <c r="E98" s="20">
        <v>0.52083333333333304</v>
      </c>
      <c r="F98" s="17" t="s">
        <v>315</v>
      </c>
      <c r="G98" s="19">
        <v>40300</v>
      </c>
      <c r="H98" s="17" t="str">
        <f t="shared" si="6"/>
        <v>14 г. 10 мес. 25 дн.</v>
      </c>
      <c r="I98" s="17" t="s">
        <v>39</v>
      </c>
      <c r="J98" s="17"/>
      <c r="K98" s="17" t="s">
        <v>316</v>
      </c>
      <c r="L98" s="17" t="s">
        <v>317</v>
      </c>
      <c r="M98" s="17" t="s">
        <v>28</v>
      </c>
      <c r="N98" s="17">
        <v>120</v>
      </c>
      <c r="O98" s="17" t="s">
        <v>29</v>
      </c>
      <c r="P98" s="17"/>
      <c r="Q98" s="17"/>
      <c r="R98" s="17"/>
      <c r="S98" s="17" t="s">
        <v>194</v>
      </c>
      <c r="T98" s="19">
        <v>45752</v>
      </c>
      <c r="U98" s="20">
        <v>0.33333333333333298</v>
      </c>
      <c r="V98" s="17" t="str">
        <f t="shared" ref="V98:V129" si="9">DATEDIF(D98,T98,"y") &amp; " г. " &amp; DATEDIF(D98,T98,"ym") &amp; " мес. " &amp; DATEDIF(D98,T98,"md") &amp; " дн."</f>
        <v>0 г. 0 мес. 9 дн.</v>
      </c>
      <c r="W98" s="21"/>
      <c r="X98" s="17"/>
      <c r="Y98" s="17"/>
    </row>
    <row r="99" spans="1:25" ht="34.5" customHeight="1" x14ac:dyDescent="0.25">
      <c r="A99" s="1">
        <f t="shared" si="8"/>
        <v>98</v>
      </c>
      <c r="B99" s="1">
        <v>370</v>
      </c>
      <c r="C99" s="2" t="s">
        <v>96</v>
      </c>
      <c r="D99" s="3">
        <v>45742</v>
      </c>
      <c r="E99" s="4">
        <v>0.88194444444444497</v>
      </c>
      <c r="F99" s="1" t="s">
        <v>318</v>
      </c>
      <c r="G99" s="3">
        <v>41548</v>
      </c>
      <c r="H99" s="1" t="str">
        <f t="shared" si="6"/>
        <v>11 г. 5 мес. 25 дн.</v>
      </c>
      <c r="I99" s="1" t="s">
        <v>34</v>
      </c>
      <c r="K99" s="1" t="s">
        <v>319</v>
      </c>
      <c r="L99" s="1" t="s">
        <v>320</v>
      </c>
      <c r="M99" s="1" t="s">
        <v>181</v>
      </c>
      <c r="O99" s="1" t="s">
        <v>42</v>
      </c>
      <c r="P99" s="1" t="s">
        <v>101</v>
      </c>
      <c r="S99" s="1" t="s">
        <v>96</v>
      </c>
      <c r="T99" s="3">
        <v>45748</v>
      </c>
      <c r="U99" s="4">
        <v>0.60416666666666696</v>
      </c>
      <c r="V99" s="1" t="str">
        <f t="shared" si="9"/>
        <v>0 г. 0 мес. 6 дн.</v>
      </c>
      <c r="W99" s="5"/>
    </row>
    <row r="100" spans="1:25" ht="34.5" customHeight="1" x14ac:dyDescent="0.25">
      <c r="A100" s="1">
        <f t="shared" si="8"/>
        <v>99</v>
      </c>
      <c r="B100" s="1">
        <v>159</v>
      </c>
      <c r="C100" s="2" t="s">
        <v>91</v>
      </c>
      <c r="D100" s="3">
        <v>45744</v>
      </c>
      <c r="E100" s="4">
        <v>0.60416666666666696</v>
      </c>
      <c r="F100" s="1" t="s">
        <v>242</v>
      </c>
      <c r="G100" s="3">
        <v>43603</v>
      </c>
      <c r="H100" s="1" t="str">
        <f t="shared" si="6"/>
        <v>5 г. 10 мес. 10 дн.</v>
      </c>
      <c r="I100" s="1" t="s">
        <v>39</v>
      </c>
      <c r="K100" s="1" t="s">
        <v>243</v>
      </c>
      <c r="L100" s="1" t="s">
        <v>244</v>
      </c>
      <c r="M100" s="1" t="s">
        <v>123</v>
      </c>
      <c r="O100" s="1" t="s">
        <v>29</v>
      </c>
      <c r="S100" s="1" t="s">
        <v>91</v>
      </c>
      <c r="T100" s="3">
        <v>45747</v>
      </c>
      <c r="U100" s="4">
        <v>0.5</v>
      </c>
      <c r="V100" s="1" t="str">
        <f t="shared" si="9"/>
        <v>0 г. 0 мес. 3 дн.</v>
      </c>
      <c r="W100" s="5"/>
    </row>
    <row r="101" spans="1:25" ht="34.5" customHeight="1" x14ac:dyDescent="0.25">
      <c r="A101" s="1">
        <f t="shared" si="8"/>
        <v>100</v>
      </c>
      <c r="B101" s="1">
        <v>735</v>
      </c>
      <c r="C101" s="2" t="s">
        <v>60</v>
      </c>
      <c r="D101" s="3">
        <v>45743</v>
      </c>
      <c r="E101" s="4">
        <v>0.54583333333333295</v>
      </c>
      <c r="F101" s="1" t="s">
        <v>321</v>
      </c>
      <c r="G101" s="3">
        <v>45266</v>
      </c>
      <c r="H101" s="1" t="str">
        <f t="shared" si="6"/>
        <v>1 г. 3 мес. 21 дн.</v>
      </c>
      <c r="I101" s="1" t="s">
        <v>39</v>
      </c>
      <c r="K101" s="1" t="s">
        <v>322</v>
      </c>
      <c r="L101" s="1" t="s">
        <v>323</v>
      </c>
      <c r="M101" s="1" t="s">
        <v>65</v>
      </c>
      <c r="O101" s="1" t="s">
        <v>42</v>
      </c>
      <c r="S101" s="1" t="s">
        <v>60</v>
      </c>
      <c r="T101" s="3">
        <v>45746</v>
      </c>
      <c r="U101" s="4">
        <v>0.54166666666666696</v>
      </c>
      <c r="V101" s="1" t="str">
        <f t="shared" si="9"/>
        <v>0 г. 0 мес. 3 дн.</v>
      </c>
      <c r="W101" s="5"/>
    </row>
    <row r="102" spans="1:25" ht="34.5" customHeight="1" x14ac:dyDescent="0.25">
      <c r="A102" s="1">
        <f t="shared" si="8"/>
        <v>101</v>
      </c>
      <c r="B102" s="1">
        <v>781</v>
      </c>
      <c r="C102" s="2" t="s">
        <v>60</v>
      </c>
      <c r="D102" s="3">
        <v>45748</v>
      </c>
      <c r="E102" s="4">
        <v>0.85416666666666696</v>
      </c>
      <c r="F102" s="1" t="s">
        <v>324</v>
      </c>
      <c r="G102" s="3">
        <v>44907</v>
      </c>
      <c r="H102" s="1" t="str">
        <f t="shared" si="6"/>
        <v>2 г. 3 мес. 20 дн.</v>
      </c>
      <c r="I102" s="1" t="s">
        <v>39</v>
      </c>
      <c r="K102" s="1" t="s">
        <v>325</v>
      </c>
      <c r="L102" s="1" t="s">
        <v>326</v>
      </c>
      <c r="M102" s="1" t="s">
        <v>65</v>
      </c>
      <c r="O102" s="1" t="s">
        <v>29</v>
      </c>
      <c r="S102" s="1" t="s">
        <v>60</v>
      </c>
      <c r="T102" s="3">
        <v>45749</v>
      </c>
      <c r="U102" s="4">
        <v>0.4375</v>
      </c>
      <c r="V102" s="1" t="str">
        <f t="shared" si="9"/>
        <v>0 г. 0 мес. 1 дн.</v>
      </c>
      <c r="W102" s="5"/>
    </row>
    <row r="103" spans="1:25" ht="34.5" customHeight="1" x14ac:dyDescent="0.25">
      <c r="A103" s="1">
        <f t="shared" si="8"/>
        <v>102</v>
      </c>
      <c r="B103" s="1">
        <v>771</v>
      </c>
      <c r="C103" s="2" t="s">
        <v>60</v>
      </c>
      <c r="D103" s="3">
        <v>45748</v>
      </c>
      <c r="E103" s="4">
        <v>0.57986111111111105</v>
      </c>
      <c r="F103" s="1" t="s">
        <v>327</v>
      </c>
      <c r="G103" s="3">
        <v>42742</v>
      </c>
      <c r="H103" s="1" t="str">
        <f t="shared" si="6"/>
        <v>8 г. 2 мес. 25 дн.</v>
      </c>
      <c r="I103" s="1" t="s">
        <v>70</v>
      </c>
      <c r="K103" s="1" t="s">
        <v>287</v>
      </c>
      <c r="L103" s="1" t="s">
        <v>328</v>
      </c>
      <c r="M103" s="1" t="s">
        <v>73</v>
      </c>
      <c r="O103" s="1" t="s">
        <v>29</v>
      </c>
      <c r="S103" s="1" t="s">
        <v>60</v>
      </c>
      <c r="T103" s="3">
        <v>45750</v>
      </c>
      <c r="U103" s="4">
        <v>0.40972222222222199</v>
      </c>
      <c r="V103" s="1" t="str">
        <f t="shared" si="9"/>
        <v>0 г. 0 мес. 2 дн.</v>
      </c>
      <c r="W103" s="5"/>
    </row>
    <row r="104" spans="1:25" ht="34.5" customHeight="1" x14ac:dyDescent="0.25">
      <c r="A104" s="1">
        <f t="shared" si="8"/>
        <v>103</v>
      </c>
      <c r="B104" s="1">
        <v>805</v>
      </c>
      <c r="C104" s="2" t="s">
        <v>60</v>
      </c>
      <c r="D104" s="3">
        <v>45751</v>
      </c>
      <c r="E104" s="4">
        <v>0.87847222222222199</v>
      </c>
      <c r="F104" s="1" t="s">
        <v>329</v>
      </c>
      <c r="G104" s="3">
        <v>45438</v>
      </c>
      <c r="H104" s="1" t="str">
        <f t="shared" si="6"/>
        <v>0 г. 10 мес. 9 дн.</v>
      </c>
      <c r="I104" s="1" t="s">
        <v>39</v>
      </c>
      <c r="K104" s="1" t="s">
        <v>330</v>
      </c>
      <c r="L104" s="1" t="s">
        <v>331</v>
      </c>
      <c r="M104" s="1" t="s">
        <v>65</v>
      </c>
      <c r="O104" s="1" t="s">
        <v>42</v>
      </c>
      <c r="S104" s="1" t="s">
        <v>60</v>
      </c>
      <c r="T104" s="3">
        <v>45753</v>
      </c>
      <c r="U104" s="4">
        <v>0.5</v>
      </c>
      <c r="V104" s="1" t="str">
        <f t="shared" si="9"/>
        <v>0 г. 0 мес. 2 дн.</v>
      </c>
      <c r="W104" s="5"/>
    </row>
    <row r="105" spans="1:25" ht="34.5" customHeight="1" x14ac:dyDescent="0.25">
      <c r="A105" s="1">
        <f t="shared" si="8"/>
        <v>104</v>
      </c>
      <c r="B105" s="1">
        <v>803</v>
      </c>
      <c r="C105" s="2" t="s">
        <v>60</v>
      </c>
      <c r="D105" s="3">
        <v>45751</v>
      </c>
      <c r="E105" s="4">
        <v>0.70833333333333304</v>
      </c>
      <c r="F105" s="1" t="s">
        <v>332</v>
      </c>
      <c r="G105" s="3">
        <v>39631</v>
      </c>
      <c r="H105" s="1" t="str">
        <f t="shared" si="6"/>
        <v>16 г. 9 мес. 2 дн.</v>
      </c>
      <c r="I105" s="1" t="s">
        <v>39</v>
      </c>
      <c r="K105" s="1" t="s">
        <v>333</v>
      </c>
      <c r="L105" s="1" t="s">
        <v>334</v>
      </c>
      <c r="M105" s="1" t="s">
        <v>87</v>
      </c>
      <c r="O105" s="1" t="s">
        <v>42</v>
      </c>
      <c r="P105" s="1" t="s">
        <v>101</v>
      </c>
      <c r="S105" s="1" t="s">
        <v>60</v>
      </c>
      <c r="T105" s="3">
        <v>45756</v>
      </c>
      <c r="U105" s="4">
        <v>0.54166666666666696</v>
      </c>
      <c r="V105" s="1" t="str">
        <f t="shared" si="9"/>
        <v>0 г. 0 мес. 5 дн.</v>
      </c>
      <c r="W105" s="5"/>
    </row>
    <row r="106" spans="1:25" ht="34.5" customHeight="1" x14ac:dyDescent="0.25">
      <c r="A106" s="1">
        <f t="shared" ref="A106:A137" si="10">ROW(A105)</f>
        <v>105</v>
      </c>
      <c r="B106" s="1">
        <v>177</v>
      </c>
      <c r="C106" s="2" t="s">
        <v>46</v>
      </c>
      <c r="D106" s="3">
        <v>45751</v>
      </c>
      <c r="E106" s="4">
        <v>0.92361111111111105</v>
      </c>
      <c r="F106" s="1" t="s">
        <v>335</v>
      </c>
      <c r="G106" s="3">
        <v>40004</v>
      </c>
      <c r="H106" s="1" t="str">
        <f t="shared" si="6"/>
        <v>15 г. 8 мес. 25 дн.</v>
      </c>
      <c r="I106" s="1" t="s">
        <v>39</v>
      </c>
      <c r="K106" s="1" t="s">
        <v>336</v>
      </c>
      <c r="L106" s="1" t="s">
        <v>142</v>
      </c>
      <c r="M106" s="1" t="s">
        <v>50</v>
      </c>
      <c r="O106" s="1" t="s">
        <v>29</v>
      </c>
      <c r="S106" s="1" t="s">
        <v>46</v>
      </c>
      <c r="T106" s="3">
        <v>45753</v>
      </c>
      <c r="U106" s="4">
        <v>0.5</v>
      </c>
      <c r="V106" s="1" t="str">
        <f t="shared" si="9"/>
        <v>0 г. 0 мес. 2 дн.</v>
      </c>
      <c r="W106" s="5"/>
    </row>
    <row r="107" spans="1:25" ht="34.5" customHeight="1" x14ac:dyDescent="0.25">
      <c r="A107" s="1">
        <f t="shared" si="10"/>
        <v>106</v>
      </c>
      <c r="B107" s="1">
        <v>176</v>
      </c>
      <c r="C107" s="2" t="s">
        <v>236</v>
      </c>
      <c r="D107" s="3">
        <v>45751</v>
      </c>
      <c r="E107" s="4">
        <v>0.44444444444444398</v>
      </c>
      <c r="F107" s="1" t="s">
        <v>185</v>
      </c>
      <c r="G107" s="3">
        <v>43654</v>
      </c>
      <c r="H107" s="1" t="str">
        <f t="shared" si="6"/>
        <v>5 г. 8 мес. 27 дн.</v>
      </c>
      <c r="I107" s="1" t="s">
        <v>39</v>
      </c>
      <c r="K107" s="1" t="s">
        <v>337</v>
      </c>
      <c r="L107" s="1" t="s">
        <v>338</v>
      </c>
      <c r="M107" s="1" t="s">
        <v>95</v>
      </c>
      <c r="N107" s="1">
        <v>240</v>
      </c>
      <c r="O107" s="1" t="s">
        <v>29</v>
      </c>
      <c r="Q107" s="1" t="s">
        <v>30</v>
      </c>
      <c r="S107" s="1" t="s">
        <v>31</v>
      </c>
      <c r="T107" s="3">
        <v>45761</v>
      </c>
      <c r="U107" s="4">
        <v>0.66666666666666696</v>
      </c>
      <c r="V107" s="1" t="str">
        <f t="shared" si="9"/>
        <v>0 г. 0 мес. 10 дн.</v>
      </c>
      <c r="W107" s="5"/>
    </row>
    <row r="108" spans="1:25" ht="34.5" customHeight="1" x14ac:dyDescent="0.25">
      <c r="A108" s="1">
        <f t="shared" si="10"/>
        <v>107</v>
      </c>
      <c r="B108" s="1">
        <v>179</v>
      </c>
      <c r="C108" s="2" t="s">
        <v>46</v>
      </c>
      <c r="D108" s="3">
        <v>45752</v>
      </c>
      <c r="E108" s="4">
        <v>0.875</v>
      </c>
      <c r="F108" s="1" t="s">
        <v>339</v>
      </c>
      <c r="G108" s="3">
        <v>40491</v>
      </c>
      <c r="H108" s="1" t="str">
        <f t="shared" si="6"/>
        <v>14 г. 4 мес. 27 дн.</v>
      </c>
      <c r="I108" s="1" t="s">
        <v>39</v>
      </c>
      <c r="K108" s="1" t="s">
        <v>340</v>
      </c>
      <c r="L108" s="1" t="s">
        <v>142</v>
      </c>
      <c r="M108" s="1" t="s">
        <v>50</v>
      </c>
      <c r="O108" s="1" t="s">
        <v>29</v>
      </c>
      <c r="S108" s="1" t="s">
        <v>46</v>
      </c>
      <c r="T108" s="3">
        <v>45753</v>
      </c>
      <c r="U108" s="4">
        <v>0.5</v>
      </c>
      <c r="V108" s="1" t="str">
        <f t="shared" si="9"/>
        <v>0 г. 0 мес. 1 дн.</v>
      </c>
      <c r="W108" s="5"/>
    </row>
    <row r="109" spans="1:25" ht="34.5" customHeight="1" x14ac:dyDescent="0.25">
      <c r="A109" s="1">
        <f t="shared" si="10"/>
        <v>108</v>
      </c>
      <c r="B109" s="1">
        <v>758</v>
      </c>
      <c r="C109" s="2" t="s">
        <v>60</v>
      </c>
      <c r="D109" s="3">
        <v>45747</v>
      </c>
      <c r="E109" s="4">
        <v>4.8611111111111098E-2</v>
      </c>
      <c r="F109" s="1" t="s">
        <v>341</v>
      </c>
      <c r="G109" s="3">
        <v>41165</v>
      </c>
      <c r="H109" s="1" t="str">
        <f t="shared" si="6"/>
        <v>12 г. 6 мес. 18 дн.</v>
      </c>
      <c r="I109" s="1" t="s">
        <v>62</v>
      </c>
      <c r="J109" s="1" t="s">
        <v>60</v>
      </c>
      <c r="K109" s="1" t="s">
        <v>342</v>
      </c>
      <c r="L109" s="1" t="s">
        <v>343</v>
      </c>
      <c r="M109" s="1" t="s">
        <v>87</v>
      </c>
      <c r="O109" s="1" t="s">
        <v>42</v>
      </c>
      <c r="S109" s="1" t="s">
        <v>60</v>
      </c>
      <c r="T109" s="3">
        <v>45749</v>
      </c>
      <c r="U109" s="4">
        <v>0.5</v>
      </c>
      <c r="V109" s="1" t="str">
        <f t="shared" si="9"/>
        <v>0 г. 0 мес. 2 дн.</v>
      </c>
      <c r="W109" s="5"/>
    </row>
    <row r="110" spans="1:25" ht="34.5" customHeight="1" x14ac:dyDescent="0.25">
      <c r="A110" s="1">
        <f t="shared" si="10"/>
        <v>109</v>
      </c>
      <c r="B110" s="1">
        <v>180</v>
      </c>
      <c r="C110" s="2" t="s">
        <v>46</v>
      </c>
      <c r="D110" s="3">
        <v>45753</v>
      </c>
      <c r="E110" s="4">
        <v>3.4722222222222199E-3</v>
      </c>
      <c r="F110" s="1" t="s">
        <v>344</v>
      </c>
      <c r="G110" s="3">
        <v>41305</v>
      </c>
      <c r="H110" s="1" t="str">
        <f t="shared" si="6"/>
        <v>12 г. 2 мес. 6 дн.</v>
      </c>
      <c r="I110" s="1" t="s">
        <v>39</v>
      </c>
      <c r="K110" s="1" t="s">
        <v>345</v>
      </c>
      <c r="L110" s="1" t="s">
        <v>142</v>
      </c>
      <c r="M110" s="1" t="s">
        <v>50</v>
      </c>
      <c r="O110" s="1" t="s">
        <v>29</v>
      </c>
      <c r="S110" s="1" t="s">
        <v>46</v>
      </c>
      <c r="T110" s="3">
        <v>45753</v>
      </c>
      <c r="U110" s="4">
        <v>0.5</v>
      </c>
      <c r="V110" s="1" t="str">
        <f t="shared" si="9"/>
        <v>0 г. 0 мес. 0 дн.</v>
      </c>
      <c r="W110" s="5"/>
    </row>
    <row r="111" spans="1:25" ht="34.5" customHeight="1" x14ac:dyDescent="0.25">
      <c r="A111" s="1">
        <f t="shared" si="10"/>
        <v>110</v>
      </c>
      <c r="B111" s="1">
        <v>173</v>
      </c>
      <c r="C111" s="2" t="s">
        <v>46</v>
      </c>
      <c r="D111" s="3">
        <v>45750</v>
      </c>
      <c r="E111" s="4">
        <v>0.54513888888888895</v>
      </c>
      <c r="F111" s="1" t="s">
        <v>346</v>
      </c>
      <c r="G111" s="3">
        <v>45441</v>
      </c>
      <c r="H111" s="1" t="str">
        <f t="shared" si="6"/>
        <v>0 г. 10 мес. 5 дн.</v>
      </c>
      <c r="I111" s="1" t="s">
        <v>70</v>
      </c>
      <c r="J111" s="1" t="s">
        <v>46</v>
      </c>
      <c r="K111" s="1" t="s">
        <v>347</v>
      </c>
      <c r="L111" s="1" t="s">
        <v>348</v>
      </c>
      <c r="M111" s="1" t="s">
        <v>28</v>
      </c>
      <c r="O111" s="1" t="s">
        <v>29</v>
      </c>
      <c r="S111" s="2" t="s">
        <v>46</v>
      </c>
      <c r="T111" s="3">
        <v>45751</v>
      </c>
      <c r="U111" s="4">
        <v>0.58333333333333304</v>
      </c>
      <c r="V111" s="1" t="str">
        <f t="shared" si="9"/>
        <v>0 г. 0 мес. 1 дн.</v>
      </c>
      <c r="W111" s="5"/>
    </row>
    <row r="112" spans="1:25" ht="34.5" customHeight="1" x14ac:dyDescent="0.25">
      <c r="A112" s="1">
        <f t="shared" si="10"/>
        <v>111</v>
      </c>
      <c r="B112" s="1">
        <v>789</v>
      </c>
      <c r="C112" s="2" t="s">
        <v>60</v>
      </c>
      <c r="D112" s="3">
        <v>45749</v>
      </c>
      <c r="E112" s="4">
        <v>0.70833333333333304</v>
      </c>
      <c r="F112" s="1" t="s">
        <v>349</v>
      </c>
      <c r="G112" s="3">
        <v>45748</v>
      </c>
      <c r="H112" s="1" t="str">
        <f t="shared" si="6"/>
        <v>0 г. 0 мес. 1 дн.</v>
      </c>
      <c r="I112" s="1" t="s">
        <v>350</v>
      </c>
      <c r="K112" s="1" t="s">
        <v>351</v>
      </c>
      <c r="L112" s="1" t="s">
        <v>352</v>
      </c>
      <c r="M112" s="1" t="s">
        <v>87</v>
      </c>
      <c r="N112" s="1">
        <v>20</v>
      </c>
      <c r="O112" s="1" t="s">
        <v>124</v>
      </c>
      <c r="P112" s="1" t="s">
        <v>101</v>
      </c>
      <c r="S112" s="1" t="s">
        <v>60</v>
      </c>
      <c r="T112" s="3">
        <v>45757</v>
      </c>
      <c r="U112" s="4">
        <v>0.41666666666666702</v>
      </c>
      <c r="V112" s="1" t="str">
        <f t="shared" si="9"/>
        <v>0 г. 0 мес. 8 дн.</v>
      </c>
      <c r="W112" s="5"/>
    </row>
    <row r="113" spans="1:23" ht="34.5" customHeight="1" x14ac:dyDescent="0.25">
      <c r="A113" s="1">
        <f t="shared" si="10"/>
        <v>112</v>
      </c>
      <c r="B113" s="1">
        <v>179</v>
      </c>
      <c r="C113" s="2" t="s">
        <v>32</v>
      </c>
      <c r="D113" s="3">
        <v>45751</v>
      </c>
      <c r="E113" s="4">
        <v>9.7222222222222196E-2</v>
      </c>
      <c r="F113" s="1" t="s">
        <v>353</v>
      </c>
      <c r="G113" s="3">
        <v>40110</v>
      </c>
      <c r="H113" s="1" t="str">
        <f t="shared" si="6"/>
        <v>15 г. 5 мес. 11 дн.</v>
      </c>
      <c r="I113" s="1" t="s">
        <v>34</v>
      </c>
      <c r="K113" s="1" t="s">
        <v>354</v>
      </c>
      <c r="L113" s="1" t="s">
        <v>355</v>
      </c>
      <c r="M113" s="1" t="s">
        <v>105</v>
      </c>
      <c r="O113" s="1" t="s">
        <v>42</v>
      </c>
      <c r="S113" s="1" t="s">
        <v>32</v>
      </c>
      <c r="T113" s="3">
        <v>45758</v>
      </c>
      <c r="U113" s="4">
        <v>0.45833333333333298</v>
      </c>
      <c r="V113" s="1" t="str">
        <f t="shared" si="9"/>
        <v>0 г. 0 мес. 7 дн.</v>
      </c>
      <c r="W113" s="5"/>
    </row>
    <row r="114" spans="1:23" ht="34.5" customHeight="1" x14ac:dyDescent="0.25">
      <c r="A114" s="1">
        <f t="shared" si="10"/>
        <v>113</v>
      </c>
      <c r="B114" s="1">
        <v>790</v>
      </c>
      <c r="C114" s="2" t="s">
        <v>60</v>
      </c>
      <c r="D114" s="3">
        <v>45754</v>
      </c>
      <c r="E114" s="4">
        <v>0.8125</v>
      </c>
      <c r="F114" s="1" t="s">
        <v>356</v>
      </c>
      <c r="G114" s="3">
        <v>39895</v>
      </c>
      <c r="H114" s="1" t="str">
        <f t="shared" si="6"/>
        <v>16 г. 0 мес. 15 дн.</v>
      </c>
      <c r="I114" s="1" t="s">
        <v>62</v>
      </c>
      <c r="J114" s="1" t="s">
        <v>60</v>
      </c>
      <c r="K114" s="1" t="s">
        <v>357</v>
      </c>
      <c r="L114" s="1" t="s">
        <v>358</v>
      </c>
      <c r="M114" s="1" t="s">
        <v>87</v>
      </c>
      <c r="O114" s="1" t="s">
        <v>29</v>
      </c>
      <c r="S114" s="1" t="s">
        <v>60</v>
      </c>
      <c r="T114" s="3">
        <v>45756</v>
      </c>
      <c r="U114" s="4">
        <v>0.54166666666666696</v>
      </c>
      <c r="V114" s="1" t="str">
        <f t="shared" si="9"/>
        <v>0 г. 0 мес. 2 дн.</v>
      </c>
      <c r="W114" s="5"/>
    </row>
    <row r="115" spans="1:23" ht="34.5" customHeight="1" x14ac:dyDescent="0.25">
      <c r="A115" s="1">
        <f t="shared" si="10"/>
        <v>114</v>
      </c>
      <c r="B115" s="1">
        <v>187</v>
      </c>
      <c r="C115" s="2" t="s">
        <v>46</v>
      </c>
      <c r="D115" s="3">
        <v>45755</v>
      </c>
      <c r="E115" s="4">
        <v>0.36458333333333298</v>
      </c>
      <c r="F115" s="1" t="s">
        <v>359</v>
      </c>
      <c r="G115" s="3">
        <v>39472</v>
      </c>
      <c r="H115" s="1" t="str">
        <f t="shared" si="6"/>
        <v>17 г. 2 мес. 14 дн.</v>
      </c>
      <c r="I115" s="1" t="s">
        <v>39</v>
      </c>
      <c r="K115" s="1" t="s">
        <v>360</v>
      </c>
      <c r="L115" s="1" t="s">
        <v>361</v>
      </c>
      <c r="M115" s="1" t="s">
        <v>50</v>
      </c>
      <c r="O115" s="1" t="s">
        <v>29</v>
      </c>
      <c r="S115" s="1" t="s">
        <v>46</v>
      </c>
      <c r="T115" s="3">
        <v>45756</v>
      </c>
      <c r="U115" s="4">
        <v>0.41666666666666702</v>
      </c>
      <c r="V115" s="1" t="str">
        <f t="shared" si="9"/>
        <v>0 г. 0 мес. 1 дн.</v>
      </c>
      <c r="W115" s="5"/>
    </row>
    <row r="116" spans="1:23" ht="34.5" customHeight="1" x14ac:dyDescent="0.25">
      <c r="A116" s="1">
        <f t="shared" si="10"/>
        <v>115</v>
      </c>
      <c r="B116" s="1">
        <v>189</v>
      </c>
      <c r="C116" s="2" t="s">
        <v>46</v>
      </c>
      <c r="D116" s="3">
        <v>45755</v>
      </c>
      <c r="E116" s="4">
        <v>0.83333333333333304</v>
      </c>
      <c r="F116" s="1" t="s">
        <v>362</v>
      </c>
      <c r="G116" s="3">
        <v>41169</v>
      </c>
      <c r="H116" s="1" t="str">
        <f t="shared" si="6"/>
        <v>12 г. 6 мес. 22 дн.</v>
      </c>
      <c r="I116" s="1" t="s">
        <v>39</v>
      </c>
      <c r="K116" s="1" t="s">
        <v>363</v>
      </c>
      <c r="L116" s="1" t="s">
        <v>364</v>
      </c>
      <c r="M116" s="1" t="s">
        <v>135</v>
      </c>
      <c r="O116" s="1" t="s">
        <v>29</v>
      </c>
      <c r="S116" s="1" t="s">
        <v>83</v>
      </c>
      <c r="T116" s="3">
        <v>45757</v>
      </c>
      <c r="U116" s="4">
        <v>0.54861111111111105</v>
      </c>
      <c r="V116" s="1" t="str">
        <f t="shared" si="9"/>
        <v>0 г. 0 мес. 2 дн.</v>
      </c>
      <c r="W116" s="5"/>
    </row>
    <row r="117" spans="1:23" ht="34.5" customHeight="1" x14ac:dyDescent="0.25">
      <c r="A117" s="1">
        <f t="shared" si="10"/>
        <v>116</v>
      </c>
      <c r="B117" s="1">
        <v>805</v>
      </c>
      <c r="C117" s="2" t="s">
        <v>60</v>
      </c>
      <c r="D117" s="3">
        <v>45756</v>
      </c>
      <c r="E117" s="4">
        <v>0.375</v>
      </c>
      <c r="F117" s="1" t="s">
        <v>329</v>
      </c>
      <c r="G117" s="3">
        <v>45438</v>
      </c>
      <c r="H117" s="1" t="str">
        <f t="shared" si="6"/>
        <v>0 г. 10 мес. 14 дн.</v>
      </c>
      <c r="I117" s="1" t="s">
        <v>25</v>
      </c>
      <c r="J117" s="1" t="s">
        <v>60</v>
      </c>
      <c r="K117" s="1" t="s">
        <v>330</v>
      </c>
      <c r="L117" s="1" t="s">
        <v>331</v>
      </c>
      <c r="M117" s="1" t="s">
        <v>65</v>
      </c>
      <c r="O117" s="1" t="s">
        <v>42</v>
      </c>
      <c r="S117" s="1" t="s">
        <v>60</v>
      </c>
      <c r="T117" s="3">
        <v>45763</v>
      </c>
      <c r="U117" s="4">
        <v>0.52083333333333304</v>
      </c>
      <c r="V117" s="1" t="str">
        <f t="shared" si="9"/>
        <v>0 г. 0 мес. 7 дн.</v>
      </c>
      <c r="W117" s="5"/>
    </row>
    <row r="118" spans="1:23" ht="34.5" customHeight="1" x14ac:dyDescent="0.25">
      <c r="A118" s="1">
        <f t="shared" si="10"/>
        <v>117</v>
      </c>
      <c r="B118" s="1">
        <v>161</v>
      </c>
      <c r="C118" s="2" t="s">
        <v>46</v>
      </c>
      <c r="D118" s="3">
        <v>45742</v>
      </c>
      <c r="E118" s="4">
        <v>0.49375000000000002</v>
      </c>
      <c r="F118" s="1" t="s">
        <v>365</v>
      </c>
      <c r="G118" s="3">
        <v>45304</v>
      </c>
      <c r="H118" s="1" t="str">
        <f t="shared" si="6"/>
        <v>1 г. 2 мес. 13 дн.</v>
      </c>
      <c r="I118" s="1" t="s">
        <v>39</v>
      </c>
      <c r="K118" s="1" t="s">
        <v>366</v>
      </c>
      <c r="L118" s="1" t="s">
        <v>367</v>
      </c>
      <c r="M118" s="1" t="s">
        <v>28</v>
      </c>
      <c r="O118" s="1" t="s">
        <v>29</v>
      </c>
      <c r="S118" s="1" t="s">
        <v>46</v>
      </c>
      <c r="T118" s="3">
        <v>45742</v>
      </c>
      <c r="U118" s="4">
        <v>0.50138888888888899</v>
      </c>
      <c r="V118" s="1" t="str">
        <f t="shared" si="9"/>
        <v>0 г. 0 мес. 0 дн.</v>
      </c>
      <c r="W118" s="5"/>
    </row>
    <row r="119" spans="1:23" ht="34.5" customHeight="1" x14ac:dyDescent="0.25">
      <c r="A119" s="1">
        <f t="shared" si="10"/>
        <v>118</v>
      </c>
      <c r="B119" s="1">
        <v>162</v>
      </c>
      <c r="C119" s="2" t="s">
        <v>46</v>
      </c>
      <c r="D119" s="3">
        <v>45742</v>
      </c>
      <c r="E119" s="4">
        <v>0.51388888888888895</v>
      </c>
      <c r="F119" s="1" t="s">
        <v>368</v>
      </c>
      <c r="G119" s="3">
        <v>40474</v>
      </c>
      <c r="H119" s="1" t="str">
        <f t="shared" si="6"/>
        <v>14 г. 5 мес. 3 дн.</v>
      </c>
      <c r="I119" s="1" t="s">
        <v>39</v>
      </c>
      <c r="K119" s="1" t="s">
        <v>369</v>
      </c>
      <c r="L119" s="1" t="s">
        <v>370</v>
      </c>
      <c r="M119" s="1" t="s">
        <v>50</v>
      </c>
      <c r="O119" s="1" t="s">
        <v>29</v>
      </c>
      <c r="S119" s="1" t="s">
        <v>46</v>
      </c>
      <c r="T119" s="3">
        <v>45743</v>
      </c>
      <c r="U119" s="4">
        <v>0.5</v>
      </c>
      <c r="V119" s="1" t="str">
        <f t="shared" si="9"/>
        <v>0 г. 0 мес. 1 дн.</v>
      </c>
      <c r="W119" s="5"/>
    </row>
    <row r="120" spans="1:23" s="11" customFormat="1" ht="34.5" customHeight="1" x14ac:dyDescent="0.25">
      <c r="A120" s="11">
        <f t="shared" si="10"/>
        <v>119</v>
      </c>
      <c r="B120" s="11">
        <v>382</v>
      </c>
      <c r="C120" s="34" t="s">
        <v>96</v>
      </c>
      <c r="D120" s="35">
        <v>45746</v>
      </c>
      <c r="E120" s="36">
        <v>0.25555555555555598</v>
      </c>
      <c r="F120" s="11" t="s">
        <v>371</v>
      </c>
      <c r="G120" s="35">
        <v>38947</v>
      </c>
      <c r="H120" s="11" t="str">
        <f t="shared" si="6"/>
        <v>18 г. 7 мес. 12 дн.</v>
      </c>
      <c r="I120" s="1" t="s">
        <v>39</v>
      </c>
      <c r="K120" s="11" t="s">
        <v>372</v>
      </c>
      <c r="L120" s="11" t="s">
        <v>373</v>
      </c>
      <c r="M120" s="11" t="s">
        <v>181</v>
      </c>
      <c r="O120" s="11" t="s">
        <v>42</v>
      </c>
      <c r="Q120" s="11" t="s">
        <v>193</v>
      </c>
      <c r="S120" s="11" t="s">
        <v>83</v>
      </c>
      <c r="T120" s="35">
        <v>45746</v>
      </c>
      <c r="U120" s="36">
        <v>0.58333333333333304</v>
      </c>
      <c r="V120" s="11" t="str">
        <f t="shared" si="9"/>
        <v>0 г. 0 мес. 0 дн.</v>
      </c>
      <c r="W120" s="10"/>
    </row>
    <row r="121" spans="1:23" ht="34.5" customHeight="1" x14ac:dyDescent="0.25">
      <c r="A121" s="1">
        <f t="shared" si="10"/>
        <v>120</v>
      </c>
      <c r="B121" s="1">
        <v>790</v>
      </c>
      <c r="C121" s="2" t="s">
        <v>60</v>
      </c>
      <c r="D121" s="3">
        <v>45757</v>
      </c>
      <c r="E121" s="4">
        <v>6.5972222222222196E-2</v>
      </c>
      <c r="F121" s="1" t="s">
        <v>356</v>
      </c>
      <c r="G121" s="3">
        <v>39895</v>
      </c>
      <c r="H121" s="1" t="str">
        <f t="shared" si="6"/>
        <v>16 г. 0 мес. 18 дн.</v>
      </c>
      <c r="I121" s="1" t="s">
        <v>62</v>
      </c>
      <c r="J121" s="1" t="s">
        <v>60</v>
      </c>
      <c r="K121" s="1" t="s">
        <v>357</v>
      </c>
      <c r="L121" s="1" t="s">
        <v>374</v>
      </c>
      <c r="M121" s="1" t="s">
        <v>87</v>
      </c>
      <c r="O121" s="1" t="s">
        <v>42</v>
      </c>
      <c r="P121" s="1" t="s">
        <v>101</v>
      </c>
      <c r="S121" s="1" t="s">
        <v>60</v>
      </c>
      <c r="T121" s="3">
        <v>45758</v>
      </c>
      <c r="U121" s="4">
        <v>0.54166666666666696</v>
      </c>
      <c r="V121" s="1" t="str">
        <f t="shared" si="9"/>
        <v>0 г. 0 мес. 1 дн.</v>
      </c>
      <c r="W121" s="5"/>
    </row>
    <row r="122" spans="1:23" ht="34.5" customHeight="1" x14ac:dyDescent="0.25">
      <c r="A122" s="1">
        <f t="shared" si="10"/>
        <v>121</v>
      </c>
      <c r="B122" s="1">
        <v>192</v>
      </c>
      <c r="C122" s="2" t="s">
        <v>32</v>
      </c>
      <c r="D122" s="3">
        <v>45757</v>
      </c>
      <c r="E122" s="4">
        <v>9.7222222222222196E-2</v>
      </c>
      <c r="F122" s="1" t="s">
        <v>375</v>
      </c>
      <c r="G122" s="3">
        <v>44754</v>
      </c>
      <c r="H122" s="1" t="str">
        <f t="shared" si="6"/>
        <v>2 г. 8 мес. 29 дн.</v>
      </c>
      <c r="I122" s="1" t="s">
        <v>39</v>
      </c>
      <c r="K122" s="1" t="s">
        <v>376</v>
      </c>
      <c r="L122" s="1" t="s">
        <v>82</v>
      </c>
      <c r="M122" s="1" t="s">
        <v>73</v>
      </c>
      <c r="N122" s="1">
        <v>33</v>
      </c>
      <c r="O122" s="1" t="s">
        <v>29</v>
      </c>
      <c r="S122" s="1" t="s">
        <v>32</v>
      </c>
      <c r="T122" s="3">
        <v>45761</v>
      </c>
      <c r="U122" s="4">
        <v>0.60416666666666696</v>
      </c>
      <c r="V122" s="1" t="str">
        <f t="shared" si="9"/>
        <v>0 г. 0 мес. 4 дн.</v>
      </c>
      <c r="W122" s="27"/>
    </row>
    <row r="123" spans="1:23" s="6" customFormat="1" ht="34.5" customHeight="1" x14ac:dyDescent="0.25">
      <c r="A123" s="6">
        <f t="shared" si="10"/>
        <v>122</v>
      </c>
      <c r="B123" s="6">
        <v>857</v>
      </c>
      <c r="C123" s="22" t="s">
        <v>60</v>
      </c>
      <c r="D123" s="3">
        <v>45757</v>
      </c>
      <c r="E123" s="23">
        <v>0.54166666666666696</v>
      </c>
      <c r="F123" s="6" t="s">
        <v>377</v>
      </c>
      <c r="G123" s="28">
        <v>45727</v>
      </c>
      <c r="H123" s="1" t="str">
        <f t="shared" si="6"/>
        <v>0 г. 0 мес. 30 дн.</v>
      </c>
      <c r="I123" s="1" t="s">
        <v>70</v>
      </c>
      <c r="J123" s="1" t="s">
        <v>60</v>
      </c>
      <c r="K123" s="6" t="s">
        <v>378</v>
      </c>
      <c r="L123" s="6" t="s">
        <v>379</v>
      </c>
      <c r="M123" s="6" t="s">
        <v>123</v>
      </c>
      <c r="O123" s="1" t="s">
        <v>29</v>
      </c>
      <c r="S123" s="6" t="s">
        <v>60</v>
      </c>
      <c r="T123" s="28">
        <v>45760</v>
      </c>
      <c r="U123" s="23">
        <v>0.62638888888888899</v>
      </c>
      <c r="V123" s="1" t="str">
        <f t="shared" si="9"/>
        <v>0 г. 0 мес. 3 дн.</v>
      </c>
      <c r="W123" s="5"/>
    </row>
    <row r="124" spans="1:23" ht="34.5" customHeight="1" x14ac:dyDescent="0.25">
      <c r="A124" s="1">
        <f t="shared" si="10"/>
        <v>123</v>
      </c>
      <c r="B124" s="1">
        <v>862</v>
      </c>
      <c r="C124" s="2" t="s">
        <v>60</v>
      </c>
      <c r="D124" s="3">
        <v>45757</v>
      </c>
      <c r="E124" s="4">
        <v>0.76041666666666696</v>
      </c>
      <c r="F124" s="1" t="s">
        <v>380</v>
      </c>
      <c r="G124" s="3">
        <v>44812</v>
      </c>
      <c r="H124" s="1" t="str">
        <f t="shared" si="6"/>
        <v>2 г. 7 мес. 2 дн.</v>
      </c>
      <c r="I124" s="1" t="s">
        <v>39</v>
      </c>
      <c r="K124" s="1" t="s">
        <v>381</v>
      </c>
      <c r="L124" s="1" t="s">
        <v>382</v>
      </c>
      <c r="M124" s="1" t="s">
        <v>65</v>
      </c>
      <c r="O124" s="1" t="s">
        <v>29</v>
      </c>
      <c r="S124" s="1" t="s">
        <v>60</v>
      </c>
      <c r="T124" s="3">
        <v>45758</v>
      </c>
      <c r="U124" s="4">
        <v>0.5</v>
      </c>
      <c r="V124" s="1" t="str">
        <f t="shared" si="9"/>
        <v>0 г. 0 мес. 1 дн.</v>
      </c>
      <c r="W124" s="5"/>
    </row>
    <row r="125" spans="1:23" ht="34.5" customHeight="1" x14ac:dyDescent="0.25">
      <c r="A125" s="1">
        <f t="shared" si="10"/>
        <v>124</v>
      </c>
      <c r="B125" s="1">
        <v>447</v>
      </c>
      <c r="C125" s="2" t="s">
        <v>96</v>
      </c>
      <c r="D125" s="3">
        <v>45759</v>
      </c>
      <c r="E125" s="4">
        <v>0.54861111111111105</v>
      </c>
      <c r="F125" s="1" t="s">
        <v>383</v>
      </c>
      <c r="G125" s="3">
        <v>45680</v>
      </c>
      <c r="H125" s="1" t="str">
        <f t="shared" si="6"/>
        <v>0 г. 2 мес. 20 дн.</v>
      </c>
      <c r="I125" s="1" t="s">
        <v>39</v>
      </c>
      <c r="K125" s="1" t="s">
        <v>384</v>
      </c>
      <c r="L125" s="1" t="s">
        <v>385</v>
      </c>
      <c r="M125" s="1" t="s">
        <v>181</v>
      </c>
      <c r="O125" s="1" t="s">
        <v>29</v>
      </c>
      <c r="S125" s="1" t="s">
        <v>96</v>
      </c>
      <c r="T125" s="3">
        <v>45760</v>
      </c>
      <c r="U125" s="4">
        <v>0.45833333333333298</v>
      </c>
      <c r="V125" s="1" t="str">
        <f t="shared" si="9"/>
        <v>0 г. 0 мес. 1 дн.</v>
      </c>
      <c r="W125" s="5"/>
    </row>
    <row r="126" spans="1:23" ht="34.5" customHeight="1" x14ac:dyDescent="0.25">
      <c r="A126" s="1">
        <f t="shared" si="10"/>
        <v>125</v>
      </c>
      <c r="B126" s="1">
        <v>872</v>
      </c>
      <c r="C126" s="2" t="s">
        <v>60</v>
      </c>
      <c r="D126" s="3">
        <v>45759</v>
      </c>
      <c r="E126" s="4">
        <v>0.54861111111111105</v>
      </c>
      <c r="F126" s="1" t="s">
        <v>386</v>
      </c>
      <c r="G126" s="3">
        <v>45722</v>
      </c>
      <c r="H126" s="1" t="str">
        <f t="shared" si="6"/>
        <v>0 г. 1 мес. 6 дн.</v>
      </c>
      <c r="I126" s="1" t="s">
        <v>39</v>
      </c>
      <c r="K126" s="1" t="s">
        <v>384</v>
      </c>
      <c r="L126" s="1" t="s">
        <v>387</v>
      </c>
      <c r="M126" s="1" t="s">
        <v>181</v>
      </c>
      <c r="O126" s="1" t="s">
        <v>29</v>
      </c>
      <c r="S126" s="1" t="s">
        <v>60</v>
      </c>
      <c r="T126" s="3">
        <v>45760</v>
      </c>
      <c r="U126" s="4">
        <v>0.5</v>
      </c>
      <c r="V126" s="1" t="str">
        <f t="shared" si="9"/>
        <v>0 г. 0 мес. 1 дн.</v>
      </c>
      <c r="W126" s="5"/>
    </row>
    <row r="127" spans="1:23" ht="34.5" customHeight="1" x14ac:dyDescent="0.25">
      <c r="A127" s="1">
        <f t="shared" si="10"/>
        <v>126</v>
      </c>
      <c r="B127" s="1">
        <v>184</v>
      </c>
      <c r="C127" s="2" t="s">
        <v>236</v>
      </c>
      <c r="D127" s="3">
        <v>45754</v>
      </c>
      <c r="E127" s="4">
        <v>0.17013888888888901</v>
      </c>
      <c r="F127" s="1" t="s">
        <v>388</v>
      </c>
      <c r="G127" s="3">
        <v>45314</v>
      </c>
      <c r="H127" s="1" t="str">
        <f t="shared" si="6"/>
        <v>1 г. 2 мес. 15 дн.</v>
      </c>
      <c r="I127" s="1" t="s">
        <v>70</v>
      </c>
      <c r="J127" s="1" t="s">
        <v>46</v>
      </c>
      <c r="K127" s="1" t="s">
        <v>389</v>
      </c>
      <c r="L127" s="1" t="s">
        <v>390</v>
      </c>
      <c r="M127" s="1" t="s">
        <v>28</v>
      </c>
      <c r="O127" s="1" t="s">
        <v>42</v>
      </c>
      <c r="S127" s="1" t="s">
        <v>46</v>
      </c>
      <c r="T127" s="3">
        <v>45784</v>
      </c>
      <c r="U127" s="4">
        <v>0.5</v>
      </c>
      <c r="V127" s="1" t="str">
        <f t="shared" si="9"/>
        <v>0 г. 1 мес. 0 дн.</v>
      </c>
      <c r="W127" s="5"/>
    </row>
    <row r="128" spans="1:23" ht="34.5" customHeight="1" x14ac:dyDescent="0.25">
      <c r="A128" s="1">
        <f t="shared" si="10"/>
        <v>127</v>
      </c>
      <c r="B128" s="1">
        <v>475</v>
      </c>
      <c r="C128" s="2" t="s">
        <v>23</v>
      </c>
      <c r="D128" s="3">
        <v>45762</v>
      </c>
      <c r="E128" s="4">
        <v>0.63194444444444398</v>
      </c>
      <c r="F128" s="1" t="s">
        <v>185</v>
      </c>
      <c r="G128" s="3">
        <v>43654</v>
      </c>
      <c r="H128" s="1" t="str">
        <f t="shared" si="6"/>
        <v>5 г. 9 мес. 7 дн.</v>
      </c>
      <c r="I128" s="1" t="s">
        <v>39</v>
      </c>
      <c r="K128" s="1" t="s">
        <v>337</v>
      </c>
      <c r="L128" s="1" t="s">
        <v>391</v>
      </c>
      <c r="M128" s="1" t="s">
        <v>28</v>
      </c>
      <c r="O128" s="1" t="s">
        <v>29</v>
      </c>
      <c r="S128" s="1" t="s">
        <v>31</v>
      </c>
      <c r="T128" s="3">
        <v>45783</v>
      </c>
      <c r="U128" s="4">
        <v>0.66666666666666696</v>
      </c>
      <c r="V128" s="1" t="str">
        <f t="shared" si="9"/>
        <v>0 г. 0 мес. 21 дн.</v>
      </c>
      <c r="W128" s="5"/>
    </row>
    <row r="129" spans="1:23" ht="34.5" customHeight="1" x14ac:dyDescent="0.25">
      <c r="A129" s="1">
        <f t="shared" si="10"/>
        <v>128</v>
      </c>
      <c r="B129" s="1">
        <v>321</v>
      </c>
      <c r="C129" s="2" t="s">
        <v>23</v>
      </c>
      <c r="D129" s="3">
        <v>45762</v>
      </c>
      <c r="E129" s="4">
        <v>0.79166666666666696</v>
      </c>
      <c r="F129" s="1" t="s">
        <v>392</v>
      </c>
      <c r="G129" s="3">
        <v>45386</v>
      </c>
      <c r="H129" s="1" t="str">
        <f t="shared" si="6"/>
        <v>1 г. 0 мес. 11 дн.</v>
      </c>
      <c r="I129" s="1" t="s">
        <v>70</v>
      </c>
      <c r="J129" s="1" t="s">
        <v>23</v>
      </c>
      <c r="K129" s="1" t="s">
        <v>393</v>
      </c>
      <c r="L129" s="1" t="s">
        <v>394</v>
      </c>
      <c r="M129" s="1" t="s">
        <v>28</v>
      </c>
      <c r="N129" s="1">
        <v>6</v>
      </c>
      <c r="O129" s="1" t="s">
        <v>42</v>
      </c>
      <c r="P129" s="1" t="s">
        <v>101</v>
      </c>
      <c r="S129" s="1" t="s">
        <v>60</v>
      </c>
      <c r="T129" s="3">
        <v>45765</v>
      </c>
      <c r="U129" s="4">
        <v>0.5</v>
      </c>
      <c r="V129" s="1" t="str">
        <f t="shared" si="9"/>
        <v>0 г. 0 мес. 3 дн.</v>
      </c>
      <c r="W129" s="5"/>
    </row>
    <row r="130" spans="1:23" ht="34.5" customHeight="1" x14ac:dyDescent="0.25">
      <c r="A130" s="1">
        <f t="shared" si="10"/>
        <v>129</v>
      </c>
      <c r="B130" s="1">
        <v>205</v>
      </c>
      <c r="C130" s="2" t="s">
        <v>236</v>
      </c>
      <c r="D130" s="3">
        <v>45763</v>
      </c>
      <c r="E130" s="4">
        <v>0.53819444444444398</v>
      </c>
      <c r="F130" s="1" t="s">
        <v>238</v>
      </c>
      <c r="G130" s="3">
        <v>40323</v>
      </c>
      <c r="H130" s="1" t="str">
        <f t="shared" ref="H130:H193" si="11">DATEDIF(G130,D130,"y") &amp; " г. " &amp; DATEDIF(G130,D130,"ym") &amp; " мес. " &amp; DATEDIF(G130,D130,"md") &amp; " дн."</f>
        <v>14 г. 10 мес. 22 дн.</v>
      </c>
      <c r="I130" s="1" t="s">
        <v>39</v>
      </c>
      <c r="K130" s="1" t="s">
        <v>395</v>
      </c>
      <c r="L130" s="1" t="s">
        <v>396</v>
      </c>
      <c r="M130" s="1" t="s">
        <v>123</v>
      </c>
      <c r="N130" s="1">
        <v>240</v>
      </c>
      <c r="O130" s="1" t="s">
        <v>29</v>
      </c>
      <c r="S130" s="1" t="s">
        <v>31</v>
      </c>
      <c r="T130" s="3">
        <v>45782</v>
      </c>
      <c r="U130" s="4">
        <v>0.66666666666666696</v>
      </c>
      <c r="V130" s="1" t="str">
        <f t="shared" ref="V130:V161" si="12">DATEDIF(D130,T130,"y") &amp; " г. " &amp; DATEDIF(D130,T130,"ym") &amp; " мес. " &amp; DATEDIF(D130,T130,"md") &amp; " дн."</f>
        <v>0 г. 0 мес. 19 дн.</v>
      </c>
      <c r="W130" s="5"/>
    </row>
    <row r="131" spans="1:23" ht="34.5" customHeight="1" x14ac:dyDescent="0.25">
      <c r="A131" s="1">
        <f t="shared" si="10"/>
        <v>130</v>
      </c>
      <c r="B131" s="1">
        <v>913</v>
      </c>
      <c r="C131" s="2" t="s">
        <v>60</v>
      </c>
      <c r="D131" s="3">
        <v>45763</v>
      </c>
      <c r="E131" s="4">
        <v>0.98958333333333304</v>
      </c>
      <c r="F131" s="1" t="s">
        <v>397</v>
      </c>
      <c r="G131" s="3">
        <v>42690</v>
      </c>
      <c r="H131" s="1" t="str">
        <f t="shared" si="11"/>
        <v>8 г. 5 мес. 0 дн.</v>
      </c>
      <c r="I131" s="1" t="s">
        <v>62</v>
      </c>
      <c r="J131" s="1" t="s">
        <v>60</v>
      </c>
      <c r="K131" s="1" t="s">
        <v>398</v>
      </c>
      <c r="L131" s="1" t="s">
        <v>399</v>
      </c>
      <c r="M131" s="1" t="s">
        <v>181</v>
      </c>
      <c r="O131" s="1" t="s">
        <v>29</v>
      </c>
      <c r="S131" s="1" t="s">
        <v>60</v>
      </c>
      <c r="T131" s="3">
        <v>45764</v>
      </c>
      <c r="U131" s="4">
        <v>0.44444444444444398</v>
      </c>
      <c r="V131" s="1" t="str">
        <f t="shared" si="12"/>
        <v>0 г. 0 мес. 1 дн.</v>
      </c>
      <c r="W131" s="5"/>
    </row>
    <row r="132" spans="1:23" ht="34.5" customHeight="1" x14ac:dyDescent="0.25">
      <c r="A132" s="1">
        <f t="shared" si="10"/>
        <v>131</v>
      </c>
      <c r="B132" s="1">
        <v>898</v>
      </c>
      <c r="C132" s="2" t="s">
        <v>60</v>
      </c>
      <c r="D132" s="3">
        <v>45764</v>
      </c>
      <c r="E132" s="4">
        <v>0.44097222222222199</v>
      </c>
      <c r="F132" s="1" t="s">
        <v>400</v>
      </c>
      <c r="G132" s="3">
        <v>40096</v>
      </c>
      <c r="H132" s="1" t="str">
        <f t="shared" si="11"/>
        <v>15 г. 6 мес. 7 дн.</v>
      </c>
      <c r="I132" s="1" t="s">
        <v>70</v>
      </c>
      <c r="J132" s="1" t="s">
        <v>60</v>
      </c>
      <c r="K132" s="1" t="s">
        <v>401</v>
      </c>
      <c r="L132" s="1" t="s">
        <v>402</v>
      </c>
      <c r="M132" s="1" t="s">
        <v>403</v>
      </c>
      <c r="O132" s="1" t="s">
        <v>29</v>
      </c>
      <c r="Q132" s="1" t="s">
        <v>30</v>
      </c>
      <c r="S132" s="1" t="s">
        <v>60</v>
      </c>
      <c r="T132" s="3">
        <v>45765</v>
      </c>
      <c r="U132" s="4">
        <v>0.79166666666666696</v>
      </c>
      <c r="V132" s="1" t="str">
        <f t="shared" si="12"/>
        <v>0 г. 0 мес. 1 дн.</v>
      </c>
      <c r="W132" s="5"/>
    </row>
    <row r="133" spans="1:23" ht="34.5" customHeight="1" x14ac:dyDescent="0.25">
      <c r="A133" s="1">
        <f t="shared" si="10"/>
        <v>132</v>
      </c>
      <c r="B133" s="1">
        <v>207</v>
      </c>
      <c r="C133" s="2" t="s">
        <v>46</v>
      </c>
      <c r="D133" s="3">
        <v>45764</v>
      </c>
      <c r="E133" s="4">
        <v>0.60416666666666696</v>
      </c>
      <c r="F133" s="1" t="s">
        <v>404</v>
      </c>
      <c r="G133" s="3">
        <v>42637</v>
      </c>
      <c r="H133" s="1" t="str">
        <f t="shared" si="11"/>
        <v>8 г. 6 мес. 24 дн.</v>
      </c>
      <c r="I133" s="1" t="s">
        <v>39</v>
      </c>
      <c r="K133" s="1" t="s">
        <v>121</v>
      </c>
      <c r="L133" s="1" t="s">
        <v>405</v>
      </c>
      <c r="M133" s="1" t="s">
        <v>135</v>
      </c>
      <c r="O133" s="1" t="s">
        <v>29</v>
      </c>
      <c r="S133" s="1" t="s">
        <v>46</v>
      </c>
      <c r="T133" s="3">
        <v>45765</v>
      </c>
      <c r="U133" s="4">
        <v>0.54166666666666696</v>
      </c>
      <c r="V133" s="1" t="str">
        <f t="shared" si="12"/>
        <v>0 г. 0 мес. 1 дн.</v>
      </c>
      <c r="W133" s="5"/>
    </row>
    <row r="134" spans="1:23" ht="34.5" customHeight="1" x14ac:dyDescent="0.25">
      <c r="A134" s="1">
        <f t="shared" si="10"/>
        <v>133</v>
      </c>
      <c r="B134" s="1">
        <v>210</v>
      </c>
      <c r="C134" s="2" t="s">
        <v>46</v>
      </c>
      <c r="D134" s="3">
        <v>45766</v>
      </c>
      <c r="E134" s="4">
        <v>0.69444444444444497</v>
      </c>
      <c r="F134" s="1" t="s">
        <v>406</v>
      </c>
      <c r="G134" s="3">
        <v>40013</v>
      </c>
      <c r="H134" s="1" t="str">
        <f t="shared" si="11"/>
        <v>15 г. 9 мес. 0 дн.</v>
      </c>
      <c r="I134" s="1" t="s">
        <v>39</v>
      </c>
      <c r="K134" s="1" t="s">
        <v>137</v>
      </c>
      <c r="L134" s="1" t="s">
        <v>407</v>
      </c>
      <c r="M134" s="1" t="s">
        <v>50</v>
      </c>
      <c r="O134" s="1" t="s">
        <v>29</v>
      </c>
      <c r="S134" s="1" t="s">
        <v>46</v>
      </c>
      <c r="T134" s="3">
        <v>45766</v>
      </c>
      <c r="U134" s="4">
        <v>0.89583333333333304</v>
      </c>
      <c r="V134" s="1" t="str">
        <f t="shared" si="12"/>
        <v>0 г. 0 мес. 0 дн.</v>
      </c>
      <c r="W134" s="5"/>
    </row>
    <row r="135" spans="1:23" ht="34.5" customHeight="1" x14ac:dyDescent="0.25">
      <c r="A135" s="1">
        <f t="shared" si="10"/>
        <v>134</v>
      </c>
      <c r="B135" s="1">
        <v>943</v>
      </c>
      <c r="C135" s="2" t="s">
        <v>60</v>
      </c>
      <c r="D135" s="3">
        <v>45768</v>
      </c>
      <c r="E135" s="4">
        <v>0.35416666666666702</v>
      </c>
      <c r="F135" s="1" t="s">
        <v>408</v>
      </c>
      <c r="G135" s="3">
        <v>44565</v>
      </c>
      <c r="H135" s="1" t="str">
        <f t="shared" si="11"/>
        <v>3 г. 3 мес. 17 дн.</v>
      </c>
      <c r="I135" s="1" t="s">
        <v>39</v>
      </c>
      <c r="K135" s="1" t="s">
        <v>137</v>
      </c>
      <c r="L135" s="1" t="s">
        <v>409</v>
      </c>
      <c r="M135" s="1" t="s">
        <v>65</v>
      </c>
      <c r="O135" s="1" t="s">
        <v>42</v>
      </c>
      <c r="S135" s="1" t="s">
        <v>60</v>
      </c>
      <c r="T135" s="3">
        <v>45772</v>
      </c>
      <c r="U135" s="4">
        <v>0.54166666666666696</v>
      </c>
      <c r="V135" s="1" t="str">
        <f t="shared" si="12"/>
        <v>0 г. 0 мес. 4 дн.</v>
      </c>
      <c r="W135" s="5"/>
    </row>
    <row r="136" spans="1:23" ht="34.5" customHeight="1" x14ac:dyDescent="0.25">
      <c r="A136" s="1">
        <f t="shared" si="10"/>
        <v>135</v>
      </c>
      <c r="B136" s="1">
        <v>215</v>
      </c>
      <c r="C136" s="2" t="s">
        <v>46</v>
      </c>
      <c r="D136" s="3">
        <v>45768</v>
      </c>
      <c r="E136" s="4">
        <v>0.89583333333333304</v>
      </c>
      <c r="F136" s="1" t="s">
        <v>410</v>
      </c>
      <c r="G136" s="3">
        <v>39774</v>
      </c>
      <c r="H136" s="1" t="str">
        <f t="shared" si="11"/>
        <v>16 г. 4 мес. 30 дн.</v>
      </c>
      <c r="I136" s="1" t="s">
        <v>39</v>
      </c>
      <c r="K136" s="1" t="s">
        <v>137</v>
      </c>
      <c r="L136" s="1" t="s">
        <v>411</v>
      </c>
      <c r="M136" s="1" t="s">
        <v>50</v>
      </c>
      <c r="O136" s="1" t="s">
        <v>29</v>
      </c>
      <c r="S136" s="1" t="s">
        <v>46</v>
      </c>
      <c r="T136" s="3">
        <v>45770</v>
      </c>
      <c r="U136" s="4">
        <v>0.5</v>
      </c>
      <c r="V136" s="1" t="str">
        <f t="shared" si="12"/>
        <v>0 г. 0 мес. 2 дн.</v>
      </c>
      <c r="W136" s="5"/>
    </row>
    <row r="137" spans="1:23" ht="34.5" customHeight="1" x14ac:dyDescent="0.25">
      <c r="A137" s="1">
        <f t="shared" si="10"/>
        <v>136</v>
      </c>
      <c r="B137" s="1">
        <v>216</v>
      </c>
      <c r="C137" s="2" t="s">
        <v>46</v>
      </c>
      <c r="D137" s="3">
        <v>45768</v>
      </c>
      <c r="E137" s="4">
        <v>0.94444444444444497</v>
      </c>
      <c r="F137" s="1" t="s">
        <v>412</v>
      </c>
      <c r="G137" s="3">
        <v>39379</v>
      </c>
      <c r="H137" s="1" t="str">
        <f t="shared" si="11"/>
        <v>17 г. 5 мес. 28 дн.</v>
      </c>
      <c r="I137" s="1" t="s">
        <v>39</v>
      </c>
      <c r="J137" s="2"/>
      <c r="K137" s="1" t="s">
        <v>137</v>
      </c>
      <c r="L137" s="1" t="s">
        <v>413</v>
      </c>
      <c r="M137" s="1" t="s">
        <v>50</v>
      </c>
      <c r="O137" s="1" t="s">
        <v>29</v>
      </c>
      <c r="S137" s="1" t="s">
        <v>46</v>
      </c>
      <c r="T137" s="3">
        <v>45770</v>
      </c>
      <c r="U137" s="4">
        <v>0.5</v>
      </c>
      <c r="V137" s="1" t="str">
        <f t="shared" si="12"/>
        <v>0 г. 0 мес. 2 дн.</v>
      </c>
      <c r="W137" s="5"/>
    </row>
    <row r="138" spans="1:23" ht="34.5" customHeight="1" x14ac:dyDescent="0.25">
      <c r="A138" s="1">
        <f t="shared" ref="A138:A154" si="13">ROW(A137)</f>
        <v>137</v>
      </c>
      <c r="B138" s="1">
        <v>968</v>
      </c>
      <c r="C138" s="2" t="s">
        <v>60</v>
      </c>
      <c r="D138" s="3">
        <v>45769</v>
      </c>
      <c r="E138" s="4">
        <v>0.88888888888888895</v>
      </c>
      <c r="F138" s="1" t="s">
        <v>414</v>
      </c>
      <c r="G138" s="3">
        <v>40645</v>
      </c>
      <c r="H138" s="1" t="str">
        <f t="shared" si="11"/>
        <v>14 г. 0 мес. 10 дн.</v>
      </c>
      <c r="I138" s="1" t="s">
        <v>34</v>
      </c>
      <c r="K138" s="1" t="s">
        <v>137</v>
      </c>
      <c r="L138" s="1" t="s">
        <v>415</v>
      </c>
      <c r="M138" s="1" t="s">
        <v>73</v>
      </c>
      <c r="O138" s="1" t="s">
        <v>42</v>
      </c>
      <c r="S138" s="1" t="s">
        <v>60</v>
      </c>
      <c r="T138" s="3">
        <v>45775</v>
      </c>
      <c r="U138" s="4">
        <v>0.5</v>
      </c>
      <c r="V138" s="1" t="str">
        <f t="shared" si="12"/>
        <v>0 г. 0 мес. 6 дн.</v>
      </c>
      <c r="W138" s="5"/>
    </row>
    <row r="139" spans="1:23" ht="34.5" customHeight="1" x14ac:dyDescent="0.25">
      <c r="A139" s="1">
        <f t="shared" si="13"/>
        <v>138</v>
      </c>
      <c r="B139" s="1">
        <v>978</v>
      </c>
      <c r="C139" s="2" t="s">
        <v>60</v>
      </c>
      <c r="D139" s="3">
        <v>45770</v>
      </c>
      <c r="E139" s="4">
        <v>0.66319444444444398</v>
      </c>
      <c r="F139" s="1" t="s">
        <v>247</v>
      </c>
      <c r="G139" s="3">
        <v>45376</v>
      </c>
      <c r="H139" s="1" t="str">
        <f t="shared" si="11"/>
        <v>1 г. 0 мес. 29 дн.</v>
      </c>
      <c r="I139" s="1" t="s">
        <v>39</v>
      </c>
      <c r="K139" s="1" t="s">
        <v>137</v>
      </c>
      <c r="L139" s="1" t="s">
        <v>416</v>
      </c>
      <c r="M139" s="1" t="s">
        <v>87</v>
      </c>
      <c r="O139" s="1" t="s">
        <v>42</v>
      </c>
      <c r="S139" s="1" t="s">
        <v>31</v>
      </c>
      <c r="T139" s="3">
        <v>45774</v>
      </c>
      <c r="U139" s="4">
        <v>0.58333333333333304</v>
      </c>
      <c r="V139" s="1" t="str">
        <f t="shared" si="12"/>
        <v>0 г. 0 мес. 4 дн.</v>
      </c>
      <c r="W139" s="5"/>
    </row>
    <row r="140" spans="1:23" ht="34.5" customHeight="1" x14ac:dyDescent="0.25">
      <c r="A140" s="1">
        <f t="shared" si="13"/>
        <v>139</v>
      </c>
      <c r="B140" s="1">
        <v>994</v>
      </c>
      <c r="C140" s="2" t="s">
        <v>60</v>
      </c>
      <c r="D140" s="3">
        <v>45771</v>
      </c>
      <c r="E140" s="4">
        <v>0.70138888888888895</v>
      </c>
      <c r="F140" s="1" t="s">
        <v>417</v>
      </c>
      <c r="G140" s="3">
        <v>45363</v>
      </c>
      <c r="H140" s="1" t="str">
        <f t="shared" si="11"/>
        <v>1 г. 1 мес. 12 дн.</v>
      </c>
      <c r="I140" s="1" t="s">
        <v>34</v>
      </c>
      <c r="K140" s="1" t="s">
        <v>418</v>
      </c>
      <c r="L140" s="1" t="s">
        <v>419</v>
      </c>
      <c r="M140" s="1" t="s">
        <v>28</v>
      </c>
      <c r="O140" s="1" t="s">
        <v>42</v>
      </c>
      <c r="S140" s="1" t="s">
        <v>83</v>
      </c>
      <c r="T140" s="3">
        <v>45778</v>
      </c>
      <c r="U140" s="4">
        <v>0.625</v>
      </c>
      <c r="V140" s="1" t="str">
        <f t="shared" si="12"/>
        <v>0 г. 0 мес. 7 дн.</v>
      </c>
      <c r="W140" s="5"/>
    </row>
    <row r="141" spans="1:23" ht="34.5" customHeight="1" x14ac:dyDescent="0.25">
      <c r="A141" s="1">
        <f t="shared" si="13"/>
        <v>140</v>
      </c>
      <c r="B141" s="1">
        <v>231</v>
      </c>
      <c r="C141" s="2" t="s">
        <v>236</v>
      </c>
      <c r="D141" s="3">
        <v>45772</v>
      </c>
      <c r="E141" s="4">
        <v>0.58333333333333304</v>
      </c>
      <c r="F141" s="1" t="s">
        <v>420</v>
      </c>
      <c r="G141" s="3">
        <v>40465</v>
      </c>
      <c r="H141" s="1" t="str">
        <f t="shared" si="11"/>
        <v>14 г. 6 мес. 11 дн.</v>
      </c>
      <c r="I141" s="1" t="s">
        <v>70</v>
      </c>
      <c r="J141" s="1" t="s">
        <v>236</v>
      </c>
      <c r="K141" s="1" t="s">
        <v>421</v>
      </c>
      <c r="L141" s="1" t="s">
        <v>422</v>
      </c>
      <c r="M141" s="1" t="s">
        <v>423</v>
      </c>
      <c r="O141" s="1" t="s">
        <v>124</v>
      </c>
      <c r="S141" s="1" t="s">
        <v>236</v>
      </c>
      <c r="T141" s="3">
        <v>45776</v>
      </c>
      <c r="U141" s="4">
        <v>0.54166666666666696</v>
      </c>
      <c r="V141" s="1" t="str">
        <f t="shared" si="12"/>
        <v>0 г. 0 мес. 4 дн.</v>
      </c>
      <c r="W141" s="5"/>
    </row>
    <row r="142" spans="1:23" ht="34.5" customHeight="1" x14ac:dyDescent="0.25">
      <c r="A142" s="1">
        <f t="shared" si="13"/>
        <v>141</v>
      </c>
      <c r="B142" s="1">
        <v>1001</v>
      </c>
      <c r="C142" s="2" t="s">
        <v>60</v>
      </c>
      <c r="D142" s="3">
        <v>45772</v>
      </c>
      <c r="E142" s="4">
        <v>0.81944444444444497</v>
      </c>
      <c r="F142" s="1" t="s">
        <v>424</v>
      </c>
      <c r="G142" s="3">
        <v>44401</v>
      </c>
      <c r="H142" s="1" t="str">
        <f t="shared" si="11"/>
        <v>3 г. 9 мес. 1 дн.</v>
      </c>
      <c r="I142" s="1" t="s">
        <v>62</v>
      </c>
      <c r="J142" s="1" t="s">
        <v>60</v>
      </c>
      <c r="K142" s="1" t="s">
        <v>425</v>
      </c>
      <c r="L142" s="1" t="s">
        <v>314</v>
      </c>
      <c r="M142" s="1" t="s">
        <v>87</v>
      </c>
      <c r="O142" s="1" t="s">
        <v>42</v>
      </c>
      <c r="P142" s="1" t="s">
        <v>101</v>
      </c>
      <c r="S142" s="1" t="s">
        <v>60</v>
      </c>
      <c r="T142" s="3">
        <v>45775</v>
      </c>
      <c r="U142" s="4">
        <v>0.5</v>
      </c>
      <c r="V142" s="1" t="str">
        <f t="shared" si="12"/>
        <v>0 г. 0 мес. 3 дн.</v>
      </c>
      <c r="W142" s="5"/>
    </row>
    <row r="143" spans="1:23" ht="34.5" customHeight="1" x14ac:dyDescent="0.25">
      <c r="A143" s="1">
        <f t="shared" si="13"/>
        <v>142</v>
      </c>
      <c r="B143" s="1">
        <v>1005</v>
      </c>
      <c r="C143" s="2" t="s">
        <v>60</v>
      </c>
      <c r="D143" s="3">
        <v>45772</v>
      </c>
      <c r="E143" s="4">
        <v>0.94791666666666696</v>
      </c>
      <c r="F143" s="1" t="s">
        <v>426</v>
      </c>
      <c r="G143" s="3">
        <v>40081</v>
      </c>
      <c r="H143" s="1" t="str">
        <f t="shared" si="11"/>
        <v>15 г. 7 мес. 0 дн.</v>
      </c>
      <c r="I143" s="1" t="s">
        <v>62</v>
      </c>
      <c r="J143" s="1" t="s">
        <v>60</v>
      </c>
      <c r="K143" s="1" t="s">
        <v>427</v>
      </c>
      <c r="L143" s="1" t="s">
        <v>428</v>
      </c>
      <c r="M143" s="1" t="s">
        <v>95</v>
      </c>
      <c r="O143" s="1" t="s">
        <v>29</v>
      </c>
      <c r="S143" s="1" t="s">
        <v>60</v>
      </c>
      <c r="T143" s="3">
        <v>45773</v>
      </c>
      <c r="U143" s="4">
        <v>0.5</v>
      </c>
      <c r="V143" s="1" t="str">
        <f t="shared" si="12"/>
        <v>0 г. 0 мес. 1 дн.</v>
      </c>
      <c r="W143" s="5"/>
    </row>
    <row r="144" spans="1:23" ht="34.5" customHeight="1" x14ac:dyDescent="0.25">
      <c r="A144" s="1">
        <f t="shared" si="13"/>
        <v>143</v>
      </c>
      <c r="B144" s="1">
        <v>520</v>
      </c>
      <c r="C144" s="2" t="s">
        <v>23</v>
      </c>
      <c r="D144" s="3">
        <v>45774</v>
      </c>
      <c r="E144" s="4">
        <v>0.29166666666666702</v>
      </c>
      <c r="F144" s="1" t="s">
        <v>429</v>
      </c>
      <c r="G144" s="3">
        <v>45571</v>
      </c>
      <c r="H144" s="1" t="str">
        <f t="shared" si="11"/>
        <v>0 г. 6 мес. 21 дн.</v>
      </c>
      <c r="I144" s="1" t="s">
        <v>70</v>
      </c>
      <c r="J144" s="1" t="s">
        <v>23</v>
      </c>
      <c r="K144" s="1" t="s">
        <v>430</v>
      </c>
      <c r="L144" s="1" t="s">
        <v>431</v>
      </c>
      <c r="M144" s="1" t="s">
        <v>28</v>
      </c>
      <c r="O144" s="1" t="s">
        <v>29</v>
      </c>
      <c r="S144" s="1" t="s">
        <v>23</v>
      </c>
      <c r="T144" s="3">
        <v>45774</v>
      </c>
      <c r="U144" s="4">
        <v>0.57638888888888895</v>
      </c>
      <c r="V144" s="1" t="str">
        <f t="shared" si="12"/>
        <v>0 г. 0 мес. 0 дн.</v>
      </c>
      <c r="W144" s="5"/>
    </row>
    <row r="145" spans="1:24" ht="34.5" customHeight="1" x14ac:dyDescent="0.25">
      <c r="A145" s="1">
        <f t="shared" si="13"/>
        <v>144</v>
      </c>
      <c r="B145" s="1">
        <v>236</v>
      </c>
      <c r="C145" s="2" t="s">
        <v>46</v>
      </c>
      <c r="D145" s="3">
        <v>45775</v>
      </c>
      <c r="E145" s="4">
        <v>0.58680555555555602</v>
      </c>
      <c r="F145" s="1" t="s">
        <v>432</v>
      </c>
      <c r="G145" s="3">
        <v>44734</v>
      </c>
      <c r="H145" s="1" t="str">
        <f t="shared" si="11"/>
        <v>2 г. 10 мес. 6 дн.</v>
      </c>
      <c r="I145" s="1" t="s">
        <v>34</v>
      </c>
      <c r="K145" s="1" t="s">
        <v>137</v>
      </c>
      <c r="L145" s="1" t="s">
        <v>433</v>
      </c>
      <c r="M145" s="1" t="s">
        <v>135</v>
      </c>
      <c r="O145" s="1" t="s">
        <v>29</v>
      </c>
      <c r="S145" s="1" t="s">
        <v>83</v>
      </c>
      <c r="T145" s="3">
        <v>45776</v>
      </c>
      <c r="U145" s="4">
        <v>0.5</v>
      </c>
      <c r="V145" s="1" t="str">
        <f t="shared" si="12"/>
        <v>0 г. 0 мес. 1 дн.</v>
      </c>
      <c r="W145" s="5"/>
    </row>
    <row r="146" spans="1:24" ht="34.5" customHeight="1" x14ac:dyDescent="0.25">
      <c r="A146" s="1">
        <f t="shared" si="13"/>
        <v>145</v>
      </c>
      <c r="B146" s="1">
        <v>539</v>
      </c>
      <c r="C146" s="2" t="s">
        <v>23</v>
      </c>
      <c r="D146" s="3">
        <v>45781</v>
      </c>
      <c r="E146" s="4">
        <v>0.5</v>
      </c>
      <c r="F146" s="1" t="s">
        <v>434</v>
      </c>
      <c r="G146" s="3">
        <v>45739</v>
      </c>
      <c r="H146" s="1" t="str">
        <f t="shared" si="11"/>
        <v>0 г. 1 мес. 11 дн.</v>
      </c>
      <c r="I146" s="1" t="s">
        <v>39</v>
      </c>
      <c r="K146" s="1" t="s">
        <v>363</v>
      </c>
      <c r="L146" s="1" t="s">
        <v>435</v>
      </c>
      <c r="M146" s="1" t="s">
        <v>28</v>
      </c>
      <c r="N146" s="1">
        <v>216</v>
      </c>
      <c r="O146" s="1" t="s">
        <v>42</v>
      </c>
      <c r="S146" s="1" t="s">
        <v>23</v>
      </c>
      <c r="T146" s="3">
        <v>45760</v>
      </c>
      <c r="U146" s="4">
        <v>0.5</v>
      </c>
      <c r="V146" s="1" t="e">
        <f t="shared" si="12"/>
        <v>#NUM!</v>
      </c>
      <c r="W146" s="5"/>
    </row>
    <row r="147" spans="1:24" ht="34.5" customHeight="1" x14ac:dyDescent="0.25">
      <c r="A147" s="1">
        <f t="shared" si="13"/>
        <v>146</v>
      </c>
      <c r="B147" s="1"/>
      <c r="C147" s="2" t="s">
        <v>46</v>
      </c>
      <c r="D147" s="3">
        <v>45779</v>
      </c>
      <c r="E147" s="4">
        <v>0.29166666666666702</v>
      </c>
      <c r="F147" s="1" t="s">
        <v>436</v>
      </c>
      <c r="G147" s="3">
        <v>41645</v>
      </c>
      <c r="H147" s="1" t="str">
        <f t="shared" si="11"/>
        <v>11 г. 3 мес. 26 дн.</v>
      </c>
      <c r="I147" s="1" t="s">
        <v>39</v>
      </c>
      <c r="K147" s="1" t="s">
        <v>137</v>
      </c>
      <c r="L147" s="1" t="s">
        <v>437</v>
      </c>
      <c r="M147" s="1" t="s">
        <v>73</v>
      </c>
      <c r="O147" s="1" t="s">
        <v>29</v>
      </c>
      <c r="S147" s="1" t="s">
        <v>46</v>
      </c>
      <c r="T147" s="3">
        <v>45779</v>
      </c>
      <c r="U147" s="4">
        <v>0.70833333333333304</v>
      </c>
      <c r="V147" s="1" t="str">
        <f t="shared" si="12"/>
        <v>0 г. 0 мес. 0 дн.</v>
      </c>
      <c r="W147" s="5"/>
    </row>
    <row r="148" spans="1:24" ht="34.5" customHeight="1" x14ac:dyDescent="0.25">
      <c r="A148" s="37">
        <f t="shared" si="13"/>
        <v>147</v>
      </c>
      <c r="B148" s="37">
        <v>231</v>
      </c>
      <c r="C148" s="38" t="s">
        <v>236</v>
      </c>
      <c r="D148" s="39">
        <v>45780</v>
      </c>
      <c r="E148" s="40">
        <v>0.45833333333333298</v>
      </c>
      <c r="F148" s="37" t="s">
        <v>420</v>
      </c>
      <c r="G148" s="39">
        <v>40465</v>
      </c>
      <c r="H148" s="37" t="str">
        <f t="shared" si="11"/>
        <v>14 г. 6 мес. 19 дн.</v>
      </c>
      <c r="I148" s="37" t="s">
        <v>70</v>
      </c>
      <c r="J148" s="37" t="s">
        <v>236</v>
      </c>
      <c r="K148" s="37" t="s">
        <v>421</v>
      </c>
      <c r="L148" s="37" t="s">
        <v>422</v>
      </c>
      <c r="M148" s="37" t="s">
        <v>423</v>
      </c>
      <c r="N148" s="37"/>
      <c r="O148" s="37" t="s">
        <v>124</v>
      </c>
      <c r="P148" s="37"/>
      <c r="Q148" s="37"/>
      <c r="R148" s="37"/>
      <c r="S148" s="37" t="s">
        <v>194</v>
      </c>
      <c r="T148" s="39">
        <v>45784</v>
      </c>
      <c r="U148" s="40">
        <v>0.625</v>
      </c>
      <c r="V148" s="37" t="str">
        <f t="shared" si="12"/>
        <v>0 г. 0 мес. 4 дн.</v>
      </c>
      <c r="W148" s="41"/>
      <c r="X148" s="37"/>
    </row>
    <row r="149" spans="1:24" s="42" customFormat="1" ht="34.5" customHeight="1" x14ac:dyDescent="0.25">
      <c r="A149" s="42">
        <f t="shared" si="13"/>
        <v>148</v>
      </c>
      <c r="B149" s="42">
        <v>1053</v>
      </c>
      <c r="C149" s="42" t="s">
        <v>60</v>
      </c>
      <c r="D149" s="43">
        <v>45781</v>
      </c>
      <c r="E149" s="44">
        <v>0.63194444444444398</v>
      </c>
      <c r="F149" s="45" t="s">
        <v>47</v>
      </c>
      <c r="H149" s="42" t="str">
        <f t="shared" si="11"/>
        <v>125 г. 4 мес. 4 дн.</v>
      </c>
      <c r="I149" s="42" t="s">
        <v>62</v>
      </c>
      <c r="K149" s="42" t="s">
        <v>438</v>
      </c>
      <c r="L149" s="42" t="s">
        <v>439</v>
      </c>
      <c r="M149" s="42" t="s">
        <v>37</v>
      </c>
      <c r="O149" s="42" t="s">
        <v>42</v>
      </c>
      <c r="P149" s="42" t="s">
        <v>101</v>
      </c>
      <c r="S149" s="42" t="s">
        <v>60</v>
      </c>
      <c r="T149" s="43">
        <v>45788</v>
      </c>
      <c r="U149" s="44">
        <v>0.5</v>
      </c>
      <c r="V149" s="42" t="str">
        <f t="shared" si="12"/>
        <v>0 г. 0 мес. 7 дн.</v>
      </c>
      <c r="X149" s="12"/>
    </row>
    <row r="150" spans="1:24" ht="34.5" customHeight="1" x14ac:dyDescent="0.25">
      <c r="A150" s="1">
        <f t="shared" si="13"/>
        <v>149</v>
      </c>
      <c r="B150" s="1">
        <v>1074</v>
      </c>
      <c r="C150" s="2" t="s">
        <v>60</v>
      </c>
      <c r="D150" s="3">
        <v>45783</v>
      </c>
      <c r="E150" s="4">
        <v>0.50347222222222199</v>
      </c>
      <c r="F150" s="1" t="s">
        <v>440</v>
      </c>
      <c r="G150" s="3">
        <v>40112</v>
      </c>
      <c r="H150" s="1" t="str">
        <f t="shared" si="11"/>
        <v>15 г. 6 мес. 10 дн.</v>
      </c>
      <c r="I150" s="1" t="s">
        <v>62</v>
      </c>
      <c r="K150" s="1" t="s">
        <v>418</v>
      </c>
      <c r="L150" s="1" t="s">
        <v>441</v>
      </c>
      <c r="M150" s="1" t="s">
        <v>181</v>
      </c>
      <c r="O150" s="1" t="s">
        <v>42</v>
      </c>
      <c r="P150" s="1" t="s">
        <v>101</v>
      </c>
      <c r="S150" s="1" t="s">
        <v>60</v>
      </c>
      <c r="T150" s="3">
        <v>45787</v>
      </c>
      <c r="U150" s="4">
        <v>0.5</v>
      </c>
      <c r="V150" s="1" t="str">
        <f t="shared" si="12"/>
        <v>0 г. 0 мес. 4 дн.</v>
      </c>
      <c r="W150" s="5"/>
    </row>
    <row r="151" spans="1:24" s="15" customFormat="1" ht="34.5" customHeight="1" x14ac:dyDescent="0.25">
      <c r="A151" s="15">
        <f t="shared" si="13"/>
        <v>150</v>
      </c>
      <c r="B151" s="15">
        <v>1091</v>
      </c>
      <c r="C151" s="15" t="s">
        <v>60</v>
      </c>
      <c r="D151" s="43">
        <v>45784</v>
      </c>
      <c r="E151" s="44">
        <v>0.74305555555555602</v>
      </c>
      <c r="F151" s="15" t="s">
        <v>442</v>
      </c>
      <c r="H151" s="15" t="str">
        <f t="shared" si="11"/>
        <v>125 г. 4 мес. 7 дн.</v>
      </c>
      <c r="I151" s="1" t="s">
        <v>62</v>
      </c>
      <c r="J151" s="42"/>
      <c r="K151" s="15" t="s">
        <v>443</v>
      </c>
      <c r="L151" s="15" t="s">
        <v>444</v>
      </c>
      <c r="O151" s="15" t="s">
        <v>29</v>
      </c>
      <c r="S151" s="15" t="s">
        <v>60</v>
      </c>
      <c r="T151" s="43">
        <v>45785</v>
      </c>
      <c r="U151" s="44">
        <v>0.5</v>
      </c>
      <c r="V151" s="12" t="str">
        <f t="shared" si="12"/>
        <v>0 г. 0 мес. 1 дн.</v>
      </c>
      <c r="W151" s="46"/>
    </row>
    <row r="152" spans="1:24" ht="34.5" customHeight="1" x14ac:dyDescent="0.25">
      <c r="A152" s="1">
        <f t="shared" si="13"/>
        <v>151</v>
      </c>
      <c r="B152" s="1">
        <v>257</v>
      </c>
      <c r="C152" s="2" t="s">
        <v>236</v>
      </c>
      <c r="D152" s="3">
        <v>45782</v>
      </c>
      <c r="E152" s="4">
        <v>0.63194444444444398</v>
      </c>
      <c r="F152" s="1" t="s">
        <v>445</v>
      </c>
      <c r="G152" s="3">
        <v>42529</v>
      </c>
      <c r="H152" s="1" t="str">
        <f t="shared" si="11"/>
        <v>8 г. 10 мес. 27 дн.</v>
      </c>
      <c r="I152" s="1" t="s">
        <v>39</v>
      </c>
      <c r="K152" s="1" t="s">
        <v>446</v>
      </c>
      <c r="L152" s="1" t="s">
        <v>72</v>
      </c>
      <c r="M152" s="1" t="s">
        <v>73</v>
      </c>
      <c r="N152" s="1">
        <v>240</v>
      </c>
      <c r="O152" s="1" t="s">
        <v>29</v>
      </c>
      <c r="Q152" s="1" t="s">
        <v>193</v>
      </c>
      <c r="S152" s="1" t="s">
        <v>31</v>
      </c>
      <c r="T152" s="3">
        <v>45792</v>
      </c>
      <c r="U152" s="4">
        <v>0.625</v>
      </c>
      <c r="V152" s="1" t="str">
        <f t="shared" si="12"/>
        <v>0 г. 0 мес. 10 дн.</v>
      </c>
      <c r="W152" s="5"/>
    </row>
    <row r="153" spans="1:24" ht="34.5" customHeight="1" x14ac:dyDescent="0.25">
      <c r="A153" s="1">
        <f t="shared" si="13"/>
        <v>152</v>
      </c>
      <c r="B153" s="1">
        <v>260</v>
      </c>
      <c r="C153" s="2" t="s">
        <v>46</v>
      </c>
      <c r="D153" s="3">
        <v>45783</v>
      </c>
      <c r="E153" s="4">
        <v>0.77083333333333304</v>
      </c>
      <c r="F153" s="1" t="s">
        <v>447</v>
      </c>
      <c r="G153" s="3">
        <v>39587</v>
      </c>
      <c r="H153" s="1" t="str">
        <f t="shared" si="11"/>
        <v>16 г. 11 мес. 17 дн.</v>
      </c>
      <c r="I153" s="1" t="s">
        <v>39</v>
      </c>
      <c r="K153" s="1" t="s">
        <v>137</v>
      </c>
      <c r="L153" s="1" t="s">
        <v>142</v>
      </c>
      <c r="M153" s="1" t="s">
        <v>50</v>
      </c>
      <c r="O153" s="1" t="s">
        <v>29</v>
      </c>
      <c r="S153" s="1" t="s">
        <v>46</v>
      </c>
      <c r="T153" s="3">
        <v>45784</v>
      </c>
      <c r="U153" s="4">
        <v>0.5</v>
      </c>
      <c r="V153" s="1" t="str">
        <f t="shared" si="12"/>
        <v>0 г. 0 мес. 1 дн.</v>
      </c>
      <c r="W153" s="5"/>
    </row>
    <row r="154" spans="1:24" ht="34.5" customHeight="1" x14ac:dyDescent="0.25">
      <c r="A154" s="1">
        <f t="shared" si="13"/>
        <v>153</v>
      </c>
      <c r="B154" s="1">
        <v>1100</v>
      </c>
      <c r="C154" s="2" t="s">
        <v>60</v>
      </c>
      <c r="D154" s="3">
        <v>45786</v>
      </c>
      <c r="E154" s="4">
        <v>0.58333333333333304</v>
      </c>
      <c r="F154" s="1" t="s">
        <v>448</v>
      </c>
      <c r="G154" s="3">
        <v>45818</v>
      </c>
      <c r="H154" s="1" t="e">
        <f t="shared" si="11"/>
        <v>#NUM!</v>
      </c>
      <c r="I154" s="1" t="s">
        <v>62</v>
      </c>
      <c r="K154" s="1" t="s">
        <v>449</v>
      </c>
      <c r="L154" s="1" t="s">
        <v>450</v>
      </c>
      <c r="M154" s="1" t="s">
        <v>73</v>
      </c>
      <c r="O154" s="1" t="s">
        <v>42</v>
      </c>
      <c r="S154" s="1" t="s">
        <v>60</v>
      </c>
      <c r="T154" s="3">
        <v>45788</v>
      </c>
      <c r="U154" s="4">
        <v>0.54166666666666696</v>
      </c>
      <c r="V154" s="1" t="str">
        <f t="shared" si="12"/>
        <v>0 г. 0 мес. 2 дн.</v>
      </c>
      <c r="W154" s="5"/>
    </row>
    <row r="155" spans="1:24" ht="34.5" customHeight="1" x14ac:dyDescent="0.25">
      <c r="A155" s="6">
        <v>156</v>
      </c>
      <c r="B155" s="6"/>
      <c r="C155" s="22" t="s">
        <v>60</v>
      </c>
      <c r="D155" s="3">
        <v>45786</v>
      </c>
      <c r="E155" s="23">
        <v>0.625</v>
      </c>
      <c r="F155" s="6" t="s">
        <v>451</v>
      </c>
      <c r="G155" s="28">
        <v>45146</v>
      </c>
      <c r="H155" s="1" t="str">
        <f t="shared" si="11"/>
        <v>1 г. 9 мес. 1 дн.</v>
      </c>
      <c r="I155" s="1" t="s">
        <v>39</v>
      </c>
      <c r="K155" s="6" t="s">
        <v>452</v>
      </c>
      <c r="L155" s="6" t="s">
        <v>453</v>
      </c>
      <c r="M155" s="6" t="s">
        <v>95</v>
      </c>
      <c r="N155" s="6"/>
      <c r="O155" s="1" t="s">
        <v>42</v>
      </c>
      <c r="P155" s="6"/>
      <c r="Q155" s="6"/>
      <c r="R155" s="6"/>
      <c r="S155" s="6" t="s">
        <v>91</v>
      </c>
      <c r="T155" s="28">
        <v>45787</v>
      </c>
      <c r="U155" s="23">
        <v>0.75</v>
      </c>
      <c r="V155" s="1" t="str">
        <f t="shared" si="12"/>
        <v>0 г. 0 мес. 1 дн.</v>
      </c>
      <c r="W155" s="5"/>
    </row>
    <row r="156" spans="1:24" ht="34.5" customHeight="1" x14ac:dyDescent="0.25">
      <c r="A156" s="1">
        <f t="shared" ref="A156:A187" si="14">ROW(A155)</f>
        <v>155</v>
      </c>
      <c r="B156" s="1">
        <v>553</v>
      </c>
      <c r="C156" s="2" t="s">
        <v>96</v>
      </c>
      <c r="D156" s="3">
        <v>45786</v>
      </c>
      <c r="E156" s="4">
        <v>0.96527777777777801</v>
      </c>
      <c r="F156" s="1" t="s">
        <v>454</v>
      </c>
      <c r="G156" s="3">
        <v>41215</v>
      </c>
      <c r="H156" s="1" t="str">
        <f t="shared" si="11"/>
        <v>12 г. 6 мес. 7 дн.</v>
      </c>
      <c r="I156" s="1" t="s">
        <v>34</v>
      </c>
      <c r="K156" s="1" t="s">
        <v>455</v>
      </c>
      <c r="L156" s="1" t="s">
        <v>191</v>
      </c>
      <c r="M156" s="1" t="s">
        <v>181</v>
      </c>
      <c r="O156" s="1" t="s">
        <v>42</v>
      </c>
      <c r="Q156" s="1" t="s">
        <v>30</v>
      </c>
      <c r="S156" s="1" t="s">
        <v>96</v>
      </c>
      <c r="T156" s="3">
        <v>45797</v>
      </c>
      <c r="U156" s="4">
        <v>0.5</v>
      </c>
      <c r="V156" s="1" t="str">
        <f t="shared" si="12"/>
        <v>0 г. 0 мес. 11 дн.</v>
      </c>
      <c r="W156" s="5"/>
    </row>
    <row r="157" spans="1:24" ht="34.5" customHeight="1" x14ac:dyDescent="0.25">
      <c r="A157" s="1">
        <f t="shared" si="14"/>
        <v>156</v>
      </c>
      <c r="B157" s="1">
        <v>1106</v>
      </c>
      <c r="C157" s="2" t="s">
        <v>60</v>
      </c>
      <c r="D157" s="3">
        <v>45787</v>
      </c>
      <c r="E157" s="4">
        <v>0.97916666666666696</v>
      </c>
      <c r="F157" s="1" t="s">
        <v>456</v>
      </c>
      <c r="G157" s="3">
        <v>39693</v>
      </c>
      <c r="H157" s="1" t="str">
        <f t="shared" si="11"/>
        <v>16 г. 8 мес. 8 дн.</v>
      </c>
      <c r="I157" s="1" t="s">
        <v>39</v>
      </c>
      <c r="K157" s="1" t="s">
        <v>137</v>
      </c>
      <c r="L157" s="1" t="s">
        <v>457</v>
      </c>
      <c r="M157" s="1" t="s">
        <v>181</v>
      </c>
      <c r="O157" s="1" t="s">
        <v>29</v>
      </c>
      <c r="S157" s="1" t="s">
        <v>60</v>
      </c>
      <c r="T157" s="3">
        <v>45790</v>
      </c>
      <c r="U157" s="4">
        <v>0.54166666666666696</v>
      </c>
      <c r="V157" s="1" t="str">
        <f t="shared" si="12"/>
        <v>0 г. 0 мес. 3 дн.</v>
      </c>
      <c r="W157" s="5"/>
    </row>
    <row r="158" spans="1:24" ht="34.5" customHeight="1" x14ac:dyDescent="0.25">
      <c r="A158" s="1">
        <f t="shared" si="14"/>
        <v>157</v>
      </c>
      <c r="B158" s="1">
        <v>1129</v>
      </c>
      <c r="C158" s="2" t="s">
        <v>60</v>
      </c>
      <c r="D158" s="3">
        <v>45791</v>
      </c>
      <c r="E158" s="4">
        <v>0.48611111111111099</v>
      </c>
      <c r="F158" s="1" t="s">
        <v>458</v>
      </c>
      <c r="G158" s="3">
        <v>39387</v>
      </c>
      <c r="H158" s="1" t="str">
        <f t="shared" si="11"/>
        <v>17 г. 6 мес. 13 дн.</v>
      </c>
      <c r="I158" s="1" t="s">
        <v>62</v>
      </c>
      <c r="J158" s="1" t="s">
        <v>60</v>
      </c>
      <c r="K158" s="1" t="s">
        <v>459</v>
      </c>
      <c r="L158" s="1" t="s">
        <v>460</v>
      </c>
      <c r="M158" s="1" t="s">
        <v>87</v>
      </c>
      <c r="O158" s="1" t="s">
        <v>29</v>
      </c>
      <c r="S158" s="1" t="s">
        <v>60</v>
      </c>
      <c r="T158" s="3">
        <v>45792</v>
      </c>
      <c r="U158" s="4">
        <v>0.25</v>
      </c>
      <c r="V158" s="1" t="str">
        <f t="shared" si="12"/>
        <v>0 г. 0 мес. 1 дн.</v>
      </c>
      <c r="W158" s="5"/>
    </row>
    <row r="159" spans="1:24" ht="34.5" customHeight="1" x14ac:dyDescent="0.25">
      <c r="A159" s="1">
        <f t="shared" si="14"/>
        <v>158</v>
      </c>
      <c r="B159" s="1">
        <v>1136</v>
      </c>
      <c r="C159" s="2" t="s">
        <v>60</v>
      </c>
      <c r="D159" s="3">
        <v>45791</v>
      </c>
      <c r="E159" s="4">
        <v>0.88194444444444497</v>
      </c>
      <c r="F159" s="1" t="s">
        <v>461</v>
      </c>
      <c r="G159" s="3">
        <v>45748</v>
      </c>
      <c r="H159" s="1" t="str">
        <f t="shared" si="11"/>
        <v>0 г. 1 мес. 13 дн.</v>
      </c>
      <c r="I159" s="1" t="s">
        <v>62</v>
      </c>
      <c r="J159" s="1" t="s">
        <v>60</v>
      </c>
      <c r="K159" s="1" t="s">
        <v>351</v>
      </c>
      <c r="L159" s="1" t="s">
        <v>462</v>
      </c>
      <c r="M159" s="1" t="s">
        <v>87</v>
      </c>
      <c r="O159" s="1" t="s">
        <v>42</v>
      </c>
      <c r="P159" s="1" t="s">
        <v>101</v>
      </c>
      <c r="S159" s="1" t="s">
        <v>60</v>
      </c>
      <c r="T159" s="3">
        <v>45797</v>
      </c>
      <c r="U159" s="4">
        <v>0.54166666666666696</v>
      </c>
      <c r="V159" s="1" t="str">
        <f t="shared" si="12"/>
        <v>0 г. 0 мес. 6 дн.</v>
      </c>
      <c r="W159" s="5"/>
    </row>
    <row r="160" spans="1:24" ht="34.5" customHeight="1" x14ac:dyDescent="0.25">
      <c r="A160" s="1">
        <f t="shared" si="14"/>
        <v>159</v>
      </c>
      <c r="B160" s="1">
        <v>279</v>
      </c>
      <c r="C160" s="2" t="s">
        <v>60</v>
      </c>
      <c r="D160" s="3">
        <v>45793</v>
      </c>
      <c r="E160" s="4">
        <v>3.4722222222222199E-3</v>
      </c>
      <c r="F160" s="1" t="s">
        <v>445</v>
      </c>
      <c r="G160" s="3">
        <v>42529</v>
      </c>
      <c r="H160" s="1" t="str">
        <f t="shared" si="11"/>
        <v>8 г. 11 мес. 8 дн.</v>
      </c>
      <c r="I160" s="1" t="s">
        <v>25</v>
      </c>
      <c r="K160" s="1" t="s">
        <v>287</v>
      </c>
      <c r="L160" s="1" t="s">
        <v>72</v>
      </c>
      <c r="M160" s="1" t="s">
        <v>73</v>
      </c>
      <c r="O160" s="1" t="s">
        <v>29</v>
      </c>
      <c r="S160" s="1" t="s">
        <v>46</v>
      </c>
      <c r="T160" s="3">
        <v>45793</v>
      </c>
      <c r="U160" s="4">
        <v>0.70833333333333304</v>
      </c>
      <c r="V160" s="1" t="str">
        <f t="shared" si="12"/>
        <v>0 г. 0 мес. 0 дн.</v>
      </c>
      <c r="W160" s="5"/>
    </row>
    <row r="161" spans="1:23" ht="34.5" customHeight="1" x14ac:dyDescent="0.25">
      <c r="A161" s="1">
        <f t="shared" si="14"/>
        <v>160</v>
      </c>
      <c r="B161" s="1">
        <v>268</v>
      </c>
      <c r="C161" s="2" t="s">
        <v>46</v>
      </c>
      <c r="D161" s="3">
        <v>45793</v>
      </c>
      <c r="E161" s="4">
        <v>0.5</v>
      </c>
      <c r="F161" s="1" t="s">
        <v>463</v>
      </c>
      <c r="G161" s="3">
        <v>45723</v>
      </c>
      <c r="H161" s="1" t="str">
        <f t="shared" si="11"/>
        <v>0 г. 2 мес. 9 дн.</v>
      </c>
      <c r="I161" s="1" t="s">
        <v>70</v>
      </c>
      <c r="J161" s="1" t="s">
        <v>46</v>
      </c>
      <c r="K161" s="1" t="s">
        <v>464</v>
      </c>
      <c r="L161" s="1" t="s">
        <v>465</v>
      </c>
      <c r="M161" s="1" t="s">
        <v>105</v>
      </c>
      <c r="O161" s="1" t="s">
        <v>29</v>
      </c>
      <c r="Q161" s="1" t="s">
        <v>30</v>
      </c>
      <c r="S161" s="1" t="s">
        <v>46</v>
      </c>
      <c r="T161" s="3">
        <v>45793</v>
      </c>
      <c r="U161" s="4">
        <v>0.79166666666666696</v>
      </c>
      <c r="V161" s="1" t="str">
        <f t="shared" si="12"/>
        <v>0 г. 0 мес. 0 дн.</v>
      </c>
      <c r="W161" s="5"/>
    </row>
    <row r="162" spans="1:23" ht="34.5" customHeight="1" x14ac:dyDescent="0.25">
      <c r="A162" s="1">
        <f t="shared" si="14"/>
        <v>161</v>
      </c>
      <c r="B162" s="1">
        <v>1164</v>
      </c>
      <c r="C162" s="2" t="s">
        <v>60</v>
      </c>
      <c r="D162" s="3">
        <v>45793</v>
      </c>
      <c r="E162" s="4">
        <v>0.63194444444444398</v>
      </c>
      <c r="F162" s="1" t="s">
        <v>466</v>
      </c>
      <c r="G162" s="3">
        <v>45320</v>
      </c>
      <c r="H162" s="1" t="str">
        <f t="shared" si="11"/>
        <v>1 г. 3 мес. 17 дн.</v>
      </c>
      <c r="I162" s="1" t="s">
        <v>62</v>
      </c>
      <c r="J162" s="1" t="s">
        <v>60</v>
      </c>
      <c r="K162" s="1" t="s">
        <v>467</v>
      </c>
      <c r="L162" s="1" t="s">
        <v>468</v>
      </c>
      <c r="M162" s="1" t="s">
        <v>87</v>
      </c>
      <c r="O162" s="1" t="s">
        <v>29</v>
      </c>
      <c r="S162" s="1" t="s">
        <v>60</v>
      </c>
      <c r="T162" s="3">
        <v>45793</v>
      </c>
      <c r="U162" s="4">
        <v>0.79166666666666696</v>
      </c>
      <c r="V162" s="1" t="str">
        <f t="shared" ref="V162:V175" si="15">DATEDIF(D162,T162,"y") &amp; " г. " &amp; DATEDIF(D162,T162,"ym") &amp; " мес. " &amp; DATEDIF(D162,T162,"md") &amp; " дн."</f>
        <v>0 г. 0 мес. 0 дн.</v>
      </c>
      <c r="W162" s="5"/>
    </row>
    <row r="163" spans="1:23" ht="34.5" customHeight="1" x14ac:dyDescent="0.25">
      <c r="A163" s="1">
        <f t="shared" si="14"/>
        <v>162</v>
      </c>
      <c r="B163" s="1">
        <v>285</v>
      </c>
      <c r="C163" s="2" t="s">
        <v>236</v>
      </c>
      <c r="D163" s="3">
        <v>45795</v>
      </c>
      <c r="E163" s="4">
        <v>0.93055555555555602</v>
      </c>
      <c r="F163" s="1" t="s">
        <v>247</v>
      </c>
      <c r="G163" s="3">
        <v>45376</v>
      </c>
      <c r="H163" s="1" t="str">
        <f t="shared" si="11"/>
        <v>1 г. 1 мес. 23 дн.</v>
      </c>
      <c r="I163" s="1" t="s">
        <v>132</v>
      </c>
      <c r="K163" s="1" t="s">
        <v>469</v>
      </c>
      <c r="L163" s="1" t="s">
        <v>265</v>
      </c>
      <c r="M163" s="1" t="s">
        <v>73</v>
      </c>
      <c r="O163" s="1" t="s">
        <v>42</v>
      </c>
      <c r="S163" s="1" t="s">
        <v>31</v>
      </c>
      <c r="T163" s="3">
        <v>45799</v>
      </c>
      <c r="U163" s="4">
        <v>0.625</v>
      </c>
      <c r="V163" s="1" t="str">
        <f t="shared" si="15"/>
        <v>0 г. 0 мес. 4 дн.</v>
      </c>
      <c r="W163" s="5"/>
    </row>
    <row r="164" spans="1:23" ht="34.5" customHeight="1" x14ac:dyDescent="0.25">
      <c r="A164" s="1">
        <f t="shared" si="14"/>
        <v>163</v>
      </c>
      <c r="B164" s="1">
        <v>281</v>
      </c>
      <c r="C164" s="2" t="s">
        <v>46</v>
      </c>
      <c r="D164" s="3">
        <v>45794</v>
      </c>
      <c r="E164" s="4">
        <v>0.79861111111111105</v>
      </c>
      <c r="F164" s="1" t="s">
        <v>470</v>
      </c>
      <c r="G164" s="3">
        <v>43368</v>
      </c>
      <c r="H164" s="1" t="str">
        <f t="shared" si="11"/>
        <v>6 г. 7 мес. 22 дн.</v>
      </c>
      <c r="I164" s="1" t="s">
        <v>39</v>
      </c>
      <c r="L164" s="1" t="s">
        <v>471</v>
      </c>
      <c r="M164" s="1" t="s">
        <v>50</v>
      </c>
      <c r="O164" s="1" t="s">
        <v>29</v>
      </c>
      <c r="S164" s="1" t="s">
        <v>46</v>
      </c>
      <c r="T164" s="3">
        <v>45795</v>
      </c>
      <c r="U164" s="4">
        <v>0.5</v>
      </c>
      <c r="V164" s="1" t="str">
        <f t="shared" si="15"/>
        <v>0 г. 0 мес. 1 дн.</v>
      </c>
      <c r="W164" s="5"/>
    </row>
    <row r="165" spans="1:23" ht="34.5" customHeight="1" x14ac:dyDescent="0.25">
      <c r="A165" s="1">
        <f t="shared" si="14"/>
        <v>164</v>
      </c>
      <c r="B165" s="1">
        <v>275</v>
      </c>
      <c r="C165" s="2" t="s">
        <v>32</v>
      </c>
      <c r="D165" s="3">
        <v>45797</v>
      </c>
      <c r="E165" s="4">
        <v>0.59027777777777801</v>
      </c>
      <c r="F165" s="1" t="s">
        <v>472</v>
      </c>
      <c r="G165" s="3">
        <v>44671</v>
      </c>
      <c r="H165" s="1" t="str">
        <f t="shared" si="11"/>
        <v>3 г. 1 мес. 0 дн.</v>
      </c>
      <c r="I165" s="1" t="s">
        <v>132</v>
      </c>
      <c r="K165" s="1" t="s">
        <v>473</v>
      </c>
      <c r="L165" s="1" t="s">
        <v>474</v>
      </c>
      <c r="M165" s="1" t="s">
        <v>73</v>
      </c>
      <c r="O165" s="1" t="s">
        <v>29</v>
      </c>
      <c r="S165" s="1" t="s">
        <v>32</v>
      </c>
      <c r="T165" s="3">
        <v>45798</v>
      </c>
      <c r="U165" s="4">
        <v>0.58333333333333304</v>
      </c>
      <c r="V165" s="1" t="str">
        <f t="shared" si="15"/>
        <v>0 г. 0 мес. 1 дн.</v>
      </c>
      <c r="W165" s="5"/>
    </row>
    <row r="166" spans="1:23" ht="34.5" customHeight="1" x14ac:dyDescent="0.25">
      <c r="A166" s="1">
        <f t="shared" si="14"/>
        <v>165</v>
      </c>
      <c r="B166" s="1">
        <v>1195</v>
      </c>
      <c r="C166" s="2" t="s">
        <v>60</v>
      </c>
      <c r="D166" s="3">
        <v>45797</v>
      </c>
      <c r="E166" s="4">
        <v>0.65277777777777801</v>
      </c>
      <c r="F166" s="1" t="s">
        <v>475</v>
      </c>
      <c r="G166" s="3">
        <v>40969</v>
      </c>
      <c r="H166" s="1" t="str">
        <f t="shared" si="11"/>
        <v>13 г. 2 мес. 19 дн.</v>
      </c>
      <c r="I166" s="1" t="s">
        <v>34</v>
      </c>
      <c r="K166" s="1" t="s">
        <v>476</v>
      </c>
      <c r="L166" s="1" t="s">
        <v>477</v>
      </c>
      <c r="M166" s="1" t="s">
        <v>73</v>
      </c>
      <c r="O166" s="1" t="s">
        <v>29</v>
      </c>
      <c r="S166" s="1" t="s">
        <v>60</v>
      </c>
      <c r="T166" s="3">
        <v>45798</v>
      </c>
      <c r="U166" s="4">
        <v>0.58333333333333304</v>
      </c>
      <c r="V166" s="1" t="str">
        <f t="shared" si="15"/>
        <v>0 г. 0 мес. 1 дн.</v>
      </c>
      <c r="W166" s="5"/>
    </row>
    <row r="167" spans="1:23" ht="34.5" customHeight="1" x14ac:dyDescent="0.25">
      <c r="A167" s="1">
        <f t="shared" si="14"/>
        <v>166</v>
      </c>
      <c r="B167" s="1">
        <v>608</v>
      </c>
      <c r="C167" s="2" t="s">
        <v>96</v>
      </c>
      <c r="D167" s="3">
        <v>45797</v>
      </c>
      <c r="E167" s="4">
        <v>0.96527777777777801</v>
      </c>
      <c r="F167" s="1" t="s">
        <v>478</v>
      </c>
      <c r="G167" s="3">
        <v>43740</v>
      </c>
      <c r="H167" s="1" t="str">
        <f t="shared" si="11"/>
        <v>5 г. 7 мес. 18 дн.</v>
      </c>
      <c r="I167" s="1" t="s">
        <v>34</v>
      </c>
      <c r="K167" s="1" t="s">
        <v>363</v>
      </c>
      <c r="L167" s="1" t="s">
        <v>479</v>
      </c>
      <c r="M167" s="1" t="s">
        <v>181</v>
      </c>
      <c r="O167" s="1" t="s">
        <v>42</v>
      </c>
      <c r="S167" s="1" t="s">
        <v>96</v>
      </c>
      <c r="T167" s="3">
        <v>45798</v>
      </c>
      <c r="U167" s="4">
        <v>0.58333333333333304</v>
      </c>
      <c r="V167" s="1" t="str">
        <f t="shared" si="15"/>
        <v>0 г. 0 мес. 1 дн.</v>
      </c>
      <c r="W167" s="5"/>
    </row>
    <row r="168" spans="1:23" s="11" customFormat="1" ht="34.5" customHeight="1" x14ac:dyDescent="0.25">
      <c r="A168" s="11">
        <f t="shared" si="14"/>
        <v>167</v>
      </c>
      <c r="B168" s="11">
        <v>1203</v>
      </c>
      <c r="C168" s="34" t="s">
        <v>60</v>
      </c>
      <c r="D168" s="35">
        <v>45798</v>
      </c>
      <c r="E168" s="36">
        <v>0.76041666666666696</v>
      </c>
      <c r="F168" s="11" t="s">
        <v>480</v>
      </c>
      <c r="G168" s="35">
        <v>40395</v>
      </c>
      <c r="H168" s="11" t="str">
        <f t="shared" si="11"/>
        <v>14 г. 9 мес. 16 дн.</v>
      </c>
      <c r="I168" s="1" t="s">
        <v>62</v>
      </c>
      <c r="J168" s="11" t="s">
        <v>60</v>
      </c>
      <c r="K168" s="11" t="s">
        <v>481</v>
      </c>
      <c r="L168" s="11" t="s">
        <v>482</v>
      </c>
      <c r="M168" s="11" t="s">
        <v>87</v>
      </c>
      <c r="O168" s="11" t="s">
        <v>42</v>
      </c>
      <c r="P168" s="11" t="s">
        <v>101</v>
      </c>
      <c r="S168" s="11" t="s">
        <v>60</v>
      </c>
      <c r="T168" s="35">
        <v>45802</v>
      </c>
      <c r="U168" s="36">
        <v>0.58333333333333304</v>
      </c>
      <c r="V168" s="11" t="str">
        <f t="shared" si="15"/>
        <v>0 г. 0 мес. 4 дн.</v>
      </c>
      <c r="W168" s="10"/>
    </row>
    <row r="169" spans="1:23" ht="34.5" customHeight="1" x14ac:dyDescent="0.25">
      <c r="A169" s="1">
        <f t="shared" si="14"/>
        <v>168</v>
      </c>
      <c r="B169" s="1">
        <v>620</v>
      </c>
      <c r="C169" s="2" t="s">
        <v>96</v>
      </c>
      <c r="D169" s="3">
        <v>45799</v>
      </c>
      <c r="E169" s="4"/>
      <c r="F169" s="1" t="s">
        <v>483</v>
      </c>
      <c r="G169" s="3">
        <v>41942</v>
      </c>
      <c r="H169" s="1" t="str">
        <f t="shared" si="11"/>
        <v>10 г. 6 мес. 22 дн.</v>
      </c>
      <c r="I169" s="1" t="s">
        <v>39</v>
      </c>
      <c r="K169" s="1" t="s">
        <v>484</v>
      </c>
      <c r="L169" s="1" t="s">
        <v>485</v>
      </c>
      <c r="M169" s="1" t="s">
        <v>181</v>
      </c>
      <c r="O169" s="1" t="s">
        <v>29</v>
      </c>
      <c r="S169" s="1" t="s">
        <v>96</v>
      </c>
      <c r="T169" s="3">
        <v>45800</v>
      </c>
      <c r="U169" s="4">
        <v>0.54166666666666696</v>
      </c>
      <c r="V169" s="1" t="str">
        <f t="shared" si="15"/>
        <v>0 г. 0 мес. 1 дн.</v>
      </c>
      <c r="W169" s="5"/>
    </row>
    <row r="170" spans="1:23" s="11" customFormat="1" ht="34.5" customHeight="1" x14ac:dyDescent="0.25">
      <c r="A170" s="11">
        <f t="shared" si="14"/>
        <v>169</v>
      </c>
      <c r="B170" s="11">
        <v>296</v>
      </c>
      <c r="C170" s="34" t="s">
        <v>46</v>
      </c>
      <c r="D170" s="35">
        <v>45800</v>
      </c>
      <c r="E170" s="36">
        <v>0.71527777777777801</v>
      </c>
      <c r="F170" s="11" t="s">
        <v>247</v>
      </c>
      <c r="G170" s="35">
        <v>45376</v>
      </c>
      <c r="H170" s="11" t="str">
        <f t="shared" si="11"/>
        <v>1 г. 1 мес. 28 дн.</v>
      </c>
      <c r="I170" s="1" t="s">
        <v>132</v>
      </c>
      <c r="K170" s="11" t="s">
        <v>486</v>
      </c>
      <c r="L170" s="11" t="s">
        <v>487</v>
      </c>
      <c r="M170" s="11" t="s">
        <v>73</v>
      </c>
      <c r="O170" s="11" t="s">
        <v>29</v>
      </c>
      <c r="S170" s="11" t="s">
        <v>31</v>
      </c>
      <c r="T170" s="35">
        <v>45802</v>
      </c>
      <c r="U170" s="36">
        <v>0.58333333333333304</v>
      </c>
      <c r="V170" s="11" t="str">
        <f t="shared" si="15"/>
        <v>0 г. 0 мес. 2 дн.</v>
      </c>
      <c r="W170" s="10"/>
    </row>
    <row r="171" spans="1:23" ht="34.5" customHeight="1" x14ac:dyDescent="0.25">
      <c r="A171" s="1">
        <f t="shared" si="14"/>
        <v>170</v>
      </c>
      <c r="B171" s="1">
        <v>1220</v>
      </c>
      <c r="C171" s="2" t="s">
        <v>60</v>
      </c>
      <c r="D171" s="3">
        <v>45800</v>
      </c>
      <c r="E171" s="4">
        <v>0.875</v>
      </c>
      <c r="F171" s="1" t="s">
        <v>488</v>
      </c>
      <c r="G171" s="3">
        <v>43258</v>
      </c>
      <c r="H171" s="1" t="str">
        <f t="shared" si="11"/>
        <v>6 г. 11 мес. 16 дн.</v>
      </c>
      <c r="I171" s="1" t="s">
        <v>62</v>
      </c>
      <c r="J171" s="1" t="s">
        <v>60</v>
      </c>
      <c r="K171" s="1" t="s">
        <v>489</v>
      </c>
      <c r="L171" s="1" t="s">
        <v>490</v>
      </c>
      <c r="M171" s="1" t="s">
        <v>87</v>
      </c>
      <c r="O171" s="1" t="s">
        <v>29</v>
      </c>
      <c r="S171" s="1" t="s">
        <v>60</v>
      </c>
      <c r="T171" s="3">
        <v>45801</v>
      </c>
      <c r="U171" s="4">
        <v>0.58333333333333304</v>
      </c>
      <c r="V171" s="1" t="str">
        <f t="shared" si="15"/>
        <v>0 г. 0 мес. 1 дн.</v>
      </c>
      <c r="W171" s="5"/>
    </row>
    <row r="172" spans="1:23" ht="34.5" customHeight="1" x14ac:dyDescent="0.25">
      <c r="A172" s="1">
        <f t="shared" si="14"/>
        <v>171</v>
      </c>
      <c r="B172" s="1">
        <v>628</v>
      </c>
      <c r="C172" s="2" t="s">
        <v>96</v>
      </c>
      <c r="D172" s="3">
        <v>45801</v>
      </c>
      <c r="E172" s="4">
        <v>0.79861111111111105</v>
      </c>
      <c r="F172" s="1" t="s">
        <v>491</v>
      </c>
      <c r="G172" s="3">
        <v>41483</v>
      </c>
      <c r="H172" s="1" t="str">
        <f t="shared" si="11"/>
        <v>11 г. 9 мес. 26 дн.</v>
      </c>
      <c r="I172" s="1" t="s">
        <v>62</v>
      </c>
      <c r="J172" s="1" t="s">
        <v>96</v>
      </c>
      <c r="K172" s="1" t="s">
        <v>492</v>
      </c>
      <c r="L172" s="1" t="s">
        <v>493</v>
      </c>
      <c r="M172" s="1" t="s">
        <v>100</v>
      </c>
      <c r="O172" s="1" t="s">
        <v>42</v>
      </c>
      <c r="S172" s="1" t="s">
        <v>96</v>
      </c>
      <c r="T172" s="3">
        <v>45802</v>
      </c>
      <c r="U172" s="4">
        <v>0.58333333333333304</v>
      </c>
      <c r="V172" s="1" t="str">
        <f t="shared" si="15"/>
        <v>0 г. 0 мес. 1 дн.</v>
      </c>
      <c r="W172" s="5"/>
    </row>
    <row r="173" spans="1:23" ht="34.5" customHeight="1" x14ac:dyDescent="0.25">
      <c r="A173" s="1">
        <f t="shared" si="14"/>
        <v>172</v>
      </c>
      <c r="B173" s="1"/>
      <c r="C173" s="2" t="s">
        <v>60</v>
      </c>
      <c r="D173" s="3">
        <v>45802</v>
      </c>
      <c r="E173" s="4">
        <v>0.58333333333333304</v>
      </c>
      <c r="F173" s="1" t="s">
        <v>494</v>
      </c>
      <c r="G173" s="3">
        <v>41887</v>
      </c>
      <c r="H173" s="1" t="str">
        <f t="shared" si="11"/>
        <v>10 г. 8 мес. 20 дн.</v>
      </c>
      <c r="I173" s="1" t="s">
        <v>39</v>
      </c>
      <c r="K173" s="1" t="s">
        <v>137</v>
      </c>
      <c r="L173" s="1" t="s">
        <v>495</v>
      </c>
      <c r="M173" s="1" t="s">
        <v>181</v>
      </c>
      <c r="O173" s="1" t="s">
        <v>29</v>
      </c>
      <c r="S173" s="1" t="s">
        <v>60</v>
      </c>
      <c r="T173" s="3">
        <v>45802</v>
      </c>
      <c r="U173" s="4">
        <v>0.79166666666666696</v>
      </c>
      <c r="V173" s="1" t="str">
        <f t="shared" si="15"/>
        <v>0 г. 0 мес. 0 дн.</v>
      </c>
      <c r="W173" s="5"/>
    </row>
    <row r="174" spans="1:23" ht="34.5" customHeight="1" x14ac:dyDescent="0.25">
      <c r="A174" s="1">
        <f t="shared" si="14"/>
        <v>173</v>
      </c>
      <c r="B174" s="1">
        <v>300</v>
      </c>
      <c r="C174" s="2" t="s">
        <v>46</v>
      </c>
      <c r="D174" s="3">
        <v>45803</v>
      </c>
      <c r="E174" s="4">
        <v>0.77777777777777801</v>
      </c>
      <c r="F174" s="1" t="s">
        <v>496</v>
      </c>
      <c r="G174" s="3">
        <v>40648</v>
      </c>
      <c r="H174" s="1" t="str">
        <f t="shared" si="11"/>
        <v>14 г. 1 мес. 11 дн.</v>
      </c>
      <c r="I174" s="1" t="s">
        <v>39</v>
      </c>
      <c r="K174" s="1" t="s">
        <v>497</v>
      </c>
      <c r="L174" s="1" t="s">
        <v>53</v>
      </c>
      <c r="M174" s="1" t="s">
        <v>50</v>
      </c>
      <c r="O174" s="1" t="s">
        <v>29</v>
      </c>
      <c r="S174" s="1" t="s">
        <v>46</v>
      </c>
      <c r="T174" s="3">
        <v>45804</v>
      </c>
      <c r="U174" s="4">
        <v>0.5</v>
      </c>
      <c r="V174" s="1" t="str">
        <f t="shared" si="15"/>
        <v>0 г. 0 мес. 1 дн.</v>
      </c>
      <c r="W174" s="5"/>
    </row>
    <row r="175" spans="1:23" ht="34.5" customHeight="1" x14ac:dyDescent="0.25">
      <c r="A175" s="1">
        <f t="shared" si="14"/>
        <v>174</v>
      </c>
      <c r="B175" s="1">
        <v>620</v>
      </c>
      <c r="C175" s="2" t="s">
        <v>96</v>
      </c>
      <c r="D175" s="3">
        <v>45804</v>
      </c>
      <c r="E175" s="4">
        <v>0.60416666666666696</v>
      </c>
      <c r="F175" s="1" t="s">
        <v>483</v>
      </c>
      <c r="G175" s="3">
        <v>41942</v>
      </c>
      <c r="H175" s="1" t="str">
        <f t="shared" si="11"/>
        <v>10 г. 6 мес. 27 дн.</v>
      </c>
      <c r="I175" s="1" t="s">
        <v>62</v>
      </c>
      <c r="J175" s="1" t="s">
        <v>96</v>
      </c>
      <c r="K175" s="1" t="s">
        <v>498</v>
      </c>
      <c r="L175" s="1" t="s">
        <v>499</v>
      </c>
      <c r="M175" s="1" t="s">
        <v>181</v>
      </c>
      <c r="O175" s="1" t="s">
        <v>29</v>
      </c>
      <c r="S175" s="1" t="s">
        <v>96</v>
      </c>
      <c r="T175" s="3">
        <v>45805</v>
      </c>
      <c r="U175" s="4">
        <v>0.45833333333333298</v>
      </c>
      <c r="V175" s="1" t="str">
        <f t="shared" si="15"/>
        <v>0 г. 0 мес. 1 дн.</v>
      </c>
      <c r="W175" s="5"/>
    </row>
    <row r="176" spans="1:23" ht="34.5" customHeight="1" x14ac:dyDescent="0.25">
      <c r="A176" s="1">
        <f t="shared" si="14"/>
        <v>175</v>
      </c>
      <c r="B176" s="1">
        <v>1195</v>
      </c>
      <c r="C176" s="2" t="s">
        <v>60</v>
      </c>
      <c r="D176" s="3">
        <v>45805</v>
      </c>
      <c r="E176" s="4">
        <v>0.58333333333333304</v>
      </c>
      <c r="F176" s="1" t="s">
        <v>475</v>
      </c>
      <c r="G176" s="3">
        <v>40969</v>
      </c>
      <c r="H176" s="1" t="str">
        <f t="shared" si="11"/>
        <v>13 г. 2 мес. 27 дн.</v>
      </c>
      <c r="I176" s="1" t="s">
        <v>62</v>
      </c>
      <c r="J176" s="1" t="s">
        <v>60</v>
      </c>
      <c r="K176" s="1" t="s">
        <v>287</v>
      </c>
      <c r="L176" s="1" t="s">
        <v>477</v>
      </c>
      <c r="M176" s="1" t="s">
        <v>73</v>
      </c>
      <c r="O176" s="1" t="s">
        <v>29</v>
      </c>
      <c r="S176" s="1" t="s">
        <v>60</v>
      </c>
      <c r="T176" s="3">
        <v>45806</v>
      </c>
      <c r="U176" s="4">
        <v>0.5625</v>
      </c>
      <c r="W176" s="5"/>
    </row>
    <row r="177" spans="1:23" ht="34.5" customHeight="1" x14ac:dyDescent="0.25">
      <c r="A177" s="1">
        <f t="shared" si="14"/>
        <v>176</v>
      </c>
      <c r="B177" s="1">
        <v>661</v>
      </c>
      <c r="C177" s="2" t="s">
        <v>96</v>
      </c>
      <c r="D177" s="3">
        <v>45805</v>
      </c>
      <c r="E177" s="4">
        <v>0.63888888888888895</v>
      </c>
      <c r="F177" s="1" t="s">
        <v>500</v>
      </c>
      <c r="G177" s="3">
        <v>41888</v>
      </c>
      <c r="H177" s="1" t="str">
        <f t="shared" si="11"/>
        <v>10 г. 8 мес. 22 дн.</v>
      </c>
      <c r="I177" s="1" t="s">
        <v>39</v>
      </c>
      <c r="K177" s="1" t="s">
        <v>501</v>
      </c>
      <c r="L177" s="1" t="s">
        <v>502</v>
      </c>
      <c r="M177" s="1" t="s">
        <v>100</v>
      </c>
      <c r="O177" s="1" t="s">
        <v>29</v>
      </c>
      <c r="S177" s="1" t="s">
        <v>96</v>
      </c>
      <c r="T177" s="3">
        <v>45806</v>
      </c>
      <c r="U177" s="4">
        <v>0.52083333333333304</v>
      </c>
      <c r="V177" s="1" t="str">
        <f t="shared" ref="V177:V240" si="16">DATEDIF(D177,T177,"y") &amp; " г. " &amp; DATEDIF(D177,T177,"ym") &amp; " мес. " &amp; DATEDIF(D177,T177,"md") &amp; " дн."</f>
        <v>0 г. 0 мес. 1 дн.</v>
      </c>
      <c r="W177" s="5"/>
    </row>
    <row r="178" spans="1:23" ht="34.5" customHeight="1" x14ac:dyDescent="0.25">
      <c r="A178" s="1">
        <f t="shared" si="14"/>
        <v>177</v>
      </c>
      <c r="B178" s="1">
        <v>661</v>
      </c>
      <c r="C178" s="2" t="s">
        <v>96</v>
      </c>
      <c r="D178" s="3">
        <v>45807</v>
      </c>
      <c r="E178" s="4">
        <v>0.5</v>
      </c>
      <c r="F178" s="1" t="s">
        <v>500</v>
      </c>
      <c r="G178" s="3">
        <v>45906</v>
      </c>
      <c r="H178" s="1" t="e">
        <f t="shared" si="11"/>
        <v>#NUM!</v>
      </c>
      <c r="I178" s="1" t="s">
        <v>62</v>
      </c>
      <c r="J178" s="1" t="s">
        <v>96</v>
      </c>
      <c r="K178" s="1" t="s">
        <v>503</v>
      </c>
      <c r="L178" s="1" t="s">
        <v>504</v>
      </c>
      <c r="M178" s="1" t="s">
        <v>100</v>
      </c>
      <c r="O178" s="1" t="s">
        <v>29</v>
      </c>
      <c r="P178" s="1" t="s">
        <v>101</v>
      </c>
      <c r="S178" s="1" t="s">
        <v>96</v>
      </c>
      <c r="T178" s="3">
        <v>45808</v>
      </c>
      <c r="U178" s="4">
        <v>0.5</v>
      </c>
      <c r="V178" s="1" t="str">
        <f t="shared" si="16"/>
        <v>0 г. 0 мес. 1 дн.</v>
      </c>
      <c r="W178" s="5"/>
    </row>
    <row r="179" spans="1:23" ht="34.5" customHeight="1" x14ac:dyDescent="0.25">
      <c r="A179" s="1">
        <f t="shared" si="14"/>
        <v>178</v>
      </c>
      <c r="B179" s="1">
        <v>1281</v>
      </c>
      <c r="C179" s="2" t="s">
        <v>60</v>
      </c>
      <c r="D179" s="3">
        <v>45808</v>
      </c>
      <c r="E179" s="4">
        <v>0.79166666666666696</v>
      </c>
      <c r="F179" s="1" t="s">
        <v>505</v>
      </c>
      <c r="G179" s="3">
        <v>40098</v>
      </c>
      <c r="H179" s="1" t="str">
        <f t="shared" si="11"/>
        <v>15 г. 7 мес. 19 дн.</v>
      </c>
      <c r="I179" s="1" t="s">
        <v>39</v>
      </c>
      <c r="K179" s="1" t="s">
        <v>506</v>
      </c>
      <c r="L179" s="1" t="s">
        <v>507</v>
      </c>
      <c r="M179" s="1" t="s">
        <v>73</v>
      </c>
      <c r="O179" s="1" t="s">
        <v>29</v>
      </c>
      <c r="S179" s="1" t="s">
        <v>60</v>
      </c>
      <c r="T179" s="3">
        <v>45809</v>
      </c>
      <c r="U179" s="4">
        <v>0.5</v>
      </c>
      <c r="V179" s="1" t="str">
        <f t="shared" si="16"/>
        <v>0 г. 0 мес. 1 дн.</v>
      </c>
      <c r="W179" s="5"/>
    </row>
    <row r="180" spans="1:23" ht="34.5" customHeight="1" x14ac:dyDescent="0.25">
      <c r="A180" s="1">
        <f t="shared" si="14"/>
        <v>179</v>
      </c>
      <c r="B180" s="1">
        <v>309</v>
      </c>
      <c r="C180" s="2" t="s">
        <v>46</v>
      </c>
      <c r="D180" s="3">
        <v>45809</v>
      </c>
      <c r="E180" s="4">
        <v>0.63541666666666696</v>
      </c>
      <c r="F180" s="1" t="s">
        <v>508</v>
      </c>
      <c r="G180" s="3">
        <v>42520</v>
      </c>
      <c r="H180" s="1" t="str">
        <f t="shared" si="11"/>
        <v>9 г. 0 мес. 2 дн.</v>
      </c>
      <c r="I180" s="1" t="s">
        <v>39</v>
      </c>
      <c r="K180" s="1" t="s">
        <v>509</v>
      </c>
      <c r="L180" s="1" t="s">
        <v>510</v>
      </c>
      <c r="M180" s="1" t="s">
        <v>135</v>
      </c>
      <c r="O180" s="1" t="s">
        <v>29</v>
      </c>
      <c r="S180" s="1" t="s">
        <v>46</v>
      </c>
      <c r="T180" s="3">
        <v>45811</v>
      </c>
      <c r="U180" s="4">
        <v>0.5</v>
      </c>
      <c r="V180" s="1" t="str">
        <f t="shared" si="16"/>
        <v>0 г. 0 мес. 2 дн.</v>
      </c>
      <c r="W180" s="5"/>
    </row>
    <row r="181" spans="1:23" ht="34.5" customHeight="1" x14ac:dyDescent="0.25">
      <c r="A181" s="1">
        <f t="shared" si="14"/>
        <v>180</v>
      </c>
      <c r="B181" s="1">
        <v>303</v>
      </c>
      <c r="C181" s="2" t="s">
        <v>32</v>
      </c>
      <c r="D181" s="3">
        <v>45810</v>
      </c>
      <c r="E181" s="4">
        <v>0.66666666666666696</v>
      </c>
      <c r="F181" s="1" t="s">
        <v>511</v>
      </c>
      <c r="G181" s="3">
        <v>39372</v>
      </c>
      <c r="H181" s="1" t="str">
        <f t="shared" si="11"/>
        <v>17 г. 7 мес. 16 дн.</v>
      </c>
      <c r="I181" s="1" t="s">
        <v>39</v>
      </c>
      <c r="K181" s="1" t="s">
        <v>512</v>
      </c>
      <c r="L181" s="1" t="s">
        <v>487</v>
      </c>
      <c r="M181" s="1" t="s">
        <v>73</v>
      </c>
      <c r="O181" s="1" t="s">
        <v>29</v>
      </c>
      <c r="S181" s="1" t="s">
        <v>32</v>
      </c>
      <c r="T181" s="3">
        <v>45811</v>
      </c>
      <c r="U181" s="4">
        <v>0.5</v>
      </c>
      <c r="V181" s="1" t="str">
        <f t="shared" si="16"/>
        <v>0 г. 0 мес. 1 дн.</v>
      </c>
      <c r="W181" s="5"/>
    </row>
    <row r="182" spans="1:23" ht="34.5" customHeight="1" x14ac:dyDescent="0.25">
      <c r="A182" s="1">
        <f t="shared" si="14"/>
        <v>181</v>
      </c>
      <c r="B182" s="1"/>
      <c r="C182" s="2" t="s">
        <v>46</v>
      </c>
      <c r="D182" s="3">
        <v>45781</v>
      </c>
      <c r="E182" s="4">
        <v>0.10763888888888901</v>
      </c>
      <c r="F182" s="1" t="s">
        <v>513</v>
      </c>
      <c r="G182" s="3">
        <v>42355</v>
      </c>
      <c r="H182" s="1" t="str">
        <f t="shared" si="11"/>
        <v>9 г. 4 мес. 17 дн.</v>
      </c>
      <c r="I182" s="1" t="s">
        <v>39</v>
      </c>
      <c r="K182" s="1" t="s">
        <v>137</v>
      </c>
      <c r="L182" s="1" t="s">
        <v>433</v>
      </c>
      <c r="M182" s="1" t="s">
        <v>135</v>
      </c>
      <c r="O182" s="1" t="s">
        <v>29</v>
      </c>
      <c r="S182" s="1" t="s">
        <v>46</v>
      </c>
      <c r="T182" s="3">
        <v>45813</v>
      </c>
      <c r="U182" s="4">
        <v>0.54166666666666696</v>
      </c>
      <c r="V182" s="1" t="str">
        <f t="shared" si="16"/>
        <v>0 г. 1 мес. 1 дн.</v>
      </c>
      <c r="W182" s="5"/>
    </row>
    <row r="183" spans="1:23" ht="34.5" customHeight="1" x14ac:dyDescent="0.25">
      <c r="A183" s="1">
        <f t="shared" si="14"/>
        <v>182</v>
      </c>
      <c r="B183" s="1">
        <v>319</v>
      </c>
      <c r="C183" s="2" t="s">
        <v>46</v>
      </c>
      <c r="D183" s="3">
        <v>45813</v>
      </c>
      <c r="E183" s="4">
        <v>0.90972222222222199</v>
      </c>
      <c r="F183" s="1" t="s">
        <v>216</v>
      </c>
      <c r="G183" s="3">
        <v>44435</v>
      </c>
      <c r="H183" s="1" t="str">
        <f t="shared" si="11"/>
        <v>3 г. 9 мес. 9 дн.</v>
      </c>
      <c r="I183" s="1" t="s">
        <v>39</v>
      </c>
      <c r="K183" s="1" t="s">
        <v>514</v>
      </c>
      <c r="L183" s="1" t="s">
        <v>104</v>
      </c>
      <c r="M183" s="1" t="s">
        <v>105</v>
      </c>
      <c r="O183" s="1" t="s">
        <v>29</v>
      </c>
      <c r="S183" s="1" t="s">
        <v>46</v>
      </c>
      <c r="T183" s="3">
        <v>45814</v>
      </c>
      <c r="U183" s="4">
        <v>0.5</v>
      </c>
      <c r="V183" s="1" t="str">
        <f t="shared" si="16"/>
        <v>0 г. 0 мес. 1 дн.</v>
      </c>
      <c r="W183" s="5"/>
    </row>
    <row r="184" spans="1:23" ht="34.5" customHeight="1" x14ac:dyDescent="0.25">
      <c r="A184" s="1">
        <f t="shared" si="14"/>
        <v>183</v>
      </c>
      <c r="B184" s="1">
        <v>707</v>
      </c>
      <c r="C184" s="2" t="s">
        <v>96</v>
      </c>
      <c r="D184" s="3">
        <v>45813</v>
      </c>
      <c r="E184" s="4">
        <v>0.86805555555555602</v>
      </c>
      <c r="F184" s="1" t="s">
        <v>515</v>
      </c>
      <c r="G184" s="3">
        <v>43012</v>
      </c>
      <c r="H184" s="1" t="str">
        <f t="shared" si="11"/>
        <v>7 г. 8 мес. 1 дн.</v>
      </c>
      <c r="I184" s="1" t="s">
        <v>39</v>
      </c>
      <c r="K184" s="1" t="s">
        <v>516</v>
      </c>
      <c r="L184" s="1" t="s">
        <v>104</v>
      </c>
      <c r="M184" s="1" t="s">
        <v>100</v>
      </c>
      <c r="O184" s="1" t="s">
        <v>29</v>
      </c>
      <c r="S184" s="1" t="s">
        <v>96</v>
      </c>
      <c r="T184" s="3">
        <v>45815</v>
      </c>
      <c r="U184" s="4">
        <v>0.5</v>
      </c>
      <c r="V184" s="1" t="str">
        <f t="shared" si="16"/>
        <v>0 г. 0 мес. 2 дн.</v>
      </c>
      <c r="W184" s="5"/>
    </row>
    <row r="185" spans="1:23" ht="34.5" customHeight="1" x14ac:dyDescent="0.25">
      <c r="A185" s="1">
        <f t="shared" si="14"/>
        <v>184</v>
      </c>
      <c r="B185" s="1">
        <v>1359</v>
      </c>
      <c r="C185" s="2" t="s">
        <v>60</v>
      </c>
      <c r="D185" s="3">
        <v>45817</v>
      </c>
      <c r="E185" s="4">
        <v>0.81944444444444398</v>
      </c>
      <c r="F185" s="1" t="s">
        <v>517</v>
      </c>
      <c r="G185" s="3">
        <v>45208</v>
      </c>
      <c r="H185" s="1" t="str">
        <f t="shared" si="11"/>
        <v>1 г. 8 мес. 0 дн.</v>
      </c>
      <c r="I185" s="1" t="s">
        <v>39</v>
      </c>
      <c r="K185" s="1" t="s">
        <v>137</v>
      </c>
      <c r="L185" s="1" t="s">
        <v>518</v>
      </c>
      <c r="M185" s="1" t="s">
        <v>181</v>
      </c>
      <c r="O185" s="1" t="s">
        <v>29</v>
      </c>
      <c r="S185" s="1" t="s">
        <v>60</v>
      </c>
      <c r="T185" s="3">
        <v>45823</v>
      </c>
      <c r="U185" s="4">
        <v>0.5</v>
      </c>
      <c r="V185" s="1" t="str">
        <f t="shared" si="16"/>
        <v>0 г. 0 мес. 6 дн.</v>
      </c>
      <c r="W185" s="5"/>
    </row>
    <row r="186" spans="1:23" ht="34.5" customHeight="1" x14ac:dyDescent="0.25">
      <c r="A186" s="1">
        <f t="shared" si="14"/>
        <v>185</v>
      </c>
      <c r="B186" s="1">
        <v>295</v>
      </c>
      <c r="C186" s="2" t="s">
        <v>46</v>
      </c>
      <c r="D186" s="3">
        <v>45818</v>
      </c>
      <c r="E186" s="4">
        <v>0.97916666666666696</v>
      </c>
      <c r="F186" s="1" t="s">
        <v>519</v>
      </c>
      <c r="G186" s="3">
        <v>39744</v>
      </c>
      <c r="H186" s="1" t="str">
        <f t="shared" si="11"/>
        <v>16 г. 7 мес. 18 дн.</v>
      </c>
      <c r="I186" s="1" t="s">
        <v>62</v>
      </c>
      <c r="K186" s="1" t="s">
        <v>520</v>
      </c>
      <c r="L186" s="1" t="s">
        <v>416</v>
      </c>
      <c r="M186" s="1" t="s">
        <v>73</v>
      </c>
      <c r="O186" s="1" t="s">
        <v>29</v>
      </c>
      <c r="S186" s="1" t="s">
        <v>236</v>
      </c>
      <c r="T186" s="3">
        <v>45838</v>
      </c>
      <c r="U186" s="4">
        <v>0.5</v>
      </c>
      <c r="V186" s="1" t="str">
        <f t="shared" si="16"/>
        <v>0 г. 0 мес. 20 дн.</v>
      </c>
      <c r="W186" s="5"/>
    </row>
    <row r="187" spans="1:23" ht="34.5" customHeight="1" x14ac:dyDescent="0.25">
      <c r="A187" s="1">
        <f t="shared" si="14"/>
        <v>186</v>
      </c>
      <c r="B187" s="1"/>
      <c r="C187" s="2" t="s">
        <v>96</v>
      </c>
      <c r="D187" s="3">
        <v>45816</v>
      </c>
      <c r="E187" s="4">
        <v>0.83333333333333304</v>
      </c>
      <c r="F187" s="1" t="s">
        <v>521</v>
      </c>
      <c r="G187" s="3"/>
      <c r="H187" s="1" t="str">
        <f t="shared" si="11"/>
        <v>125 г. 5 мес. 8 дн.</v>
      </c>
      <c r="I187" s="1" t="s">
        <v>34</v>
      </c>
      <c r="K187" s="1" t="s">
        <v>363</v>
      </c>
      <c r="L187" s="1" t="s">
        <v>441</v>
      </c>
      <c r="M187" s="1" t="s">
        <v>181</v>
      </c>
      <c r="O187" s="1" t="s">
        <v>29</v>
      </c>
      <c r="S187" s="1" t="s">
        <v>96</v>
      </c>
      <c r="T187" s="3">
        <v>45818</v>
      </c>
      <c r="U187" s="4">
        <v>0.45833333333333298</v>
      </c>
      <c r="V187" s="1" t="str">
        <f t="shared" si="16"/>
        <v>0 г. 0 мес. 2 дн.</v>
      </c>
      <c r="W187" s="5"/>
    </row>
    <row r="188" spans="1:23" ht="34.5" customHeight="1" x14ac:dyDescent="0.25">
      <c r="A188" s="1">
        <f t="shared" ref="A188:A219" si="17">ROW(A187)</f>
        <v>187</v>
      </c>
      <c r="B188" s="1">
        <v>330</v>
      </c>
      <c r="C188" s="2" t="s">
        <v>46</v>
      </c>
      <c r="D188" s="3">
        <v>45820</v>
      </c>
      <c r="E188" s="4">
        <v>4.1666666666666699E-2</v>
      </c>
      <c r="F188" s="1" t="s">
        <v>522</v>
      </c>
      <c r="G188" s="3">
        <v>40365</v>
      </c>
      <c r="H188" s="1" t="str">
        <f t="shared" si="11"/>
        <v>14 г. 11 мес. 6 дн.</v>
      </c>
      <c r="I188" s="1" t="s">
        <v>39</v>
      </c>
      <c r="K188" s="1" t="s">
        <v>523</v>
      </c>
      <c r="L188" s="1" t="s">
        <v>524</v>
      </c>
      <c r="M188" s="1" t="s">
        <v>50</v>
      </c>
      <c r="O188" s="1" t="s">
        <v>29</v>
      </c>
      <c r="S188" s="1" t="s">
        <v>46</v>
      </c>
      <c r="T188" s="3">
        <v>45820</v>
      </c>
      <c r="U188" s="4">
        <v>0.5</v>
      </c>
      <c r="V188" s="1" t="str">
        <f t="shared" si="16"/>
        <v>0 г. 0 мес. 0 дн.</v>
      </c>
      <c r="W188" s="5"/>
    </row>
    <row r="189" spans="1:23" ht="34.5" customHeight="1" x14ac:dyDescent="0.25">
      <c r="A189" s="1">
        <f t="shared" si="17"/>
        <v>188</v>
      </c>
      <c r="B189" s="1">
        <v>331</v>
      </c>
      <c r="C189" s="2" t="s">
        <v>46</v>
      </c>
      <c r="D189" s="3">
        <v>45820</v>
      </c>
      <c r="E189" s="4">
        <v>5.5555555555555601E-2</v>
      </c>
      <c r="F189" s="1" t="s">
        <v>525</v>
      </c>
      <c r="G189" s="3">
        <v>39927</v>
      </c>
      <c r="H189" s="1" t="str">
        <f t="shared" si="11"/>
        <v>16 г. 1 мес. 19 дн.</v>
      </c>
      <c r="I189" s="1" t="s">
        <v>39</v>
      </c>
      <c r="K189" s="1" t="s">
        <v>526</v>
      </c>
      <c r="L189" s="1" t="s">
        <v>527</v>
      </c>
      <c r="M189" s="1" t="s">
        <v>50</v>
      </c>
      <c r="O189" s="1" t="s">
        <v>29</v>
      </c>
      <c r="S189" s="1" t="s">
        <v>46</v>
      </c>
      <c r="T189" s="3">
        <v>45820</v>
      </c>
      <c r="U189" s="4">
        <v>0.89583333333333304</v>
      </c>
      <c r="V189" s="1" t="str">
        <f t="shared" si="16"/>
        <v>0 г. 0 мес. 0 дн.</v>
      </c>
      <c r="W189" s="5"/>
    </row>
    <row r="190" spans="1:23" ht="34.5" customHeight="1" x14ac:dyDescent="0.25">
      <c r="A190" s="1">
        <f t="shared" si="17"/>
        <v>189</v>
      </c>
      <c r="B190" s="1">
        <v>745</v>
      </c>
      <c r="C190" s="2" t="s">
        <v>96</v>
      </c>
      <c r="D190" s="3">
        <v>45820</v>
      </c>
      <c r="E190" s="4">
        <v>0.79513888888888895</v>
      </c>
      <c r="F190" s="1" t="s">
        <v>528</v>
      </c>
      <c r="G190" s="3">
        <v>43582</v>
      </c>
      <c r="H190" s="1" t="str">
        <f t="shared" si="11"/>
        <v>6 г. 1 мес. 16 дн.</v>
      </c>
      <c r="I190" s="1" t="s">
        <v>39</v>
      </c>
      <c r="K190" s="1" t="s">
        <v>529</v>
      </c>
      <c r="L190" s="1" t="s">
        <v>530</v>
      </c>
      <c r="M190" s="1" t="s">
        <v>181</v>
      </c>
      <c r="O190" s="1" t="s">
        <v>29</v>
      </c>
      <c r="S190" s="1" t="s">
        <v>96</v>
      </c>
      <c r="T190" s="3">
        <v>45822</v>
      </c>
      <c r="U190" s="4">
        <v>0.8125</v>
      </c>
      <c r="V190" s="1" t="str">
        <f t="shared" si="16"/>
        <v>0 г. 0 мес. 2 дн.</v>
      </c>
      <c r="W190" s="5"/>
    </row>
    <row r="191" spans="1:23" ht="34.5" customHeight="1" x14ac:dyDescent="0.25">
      <c r="A191" s="6">
        <f t="shared" si="17"/>
        <v>190</v>
      </c>
      <c r="B191" s="6">
        <v>743</v>
      </c>
      <c r="C191" s="22" t="s">
        <v>96</v>
      </c>
      <c r="D191" s="28">
        <v>45820</v>
      </c>
      <c r="E191" s="23">
        <v>0.84722222222222199</v>
      </c>
      <c r="F191" s="6" t="s">
        <v>531</v>
      </c>
      <c r="G191" s="28">
        <v>45781</v>
      </c>
      <c r="H191" s="1" t="str">
        <f t="shared" si="11"/>
        <v>0 г. 1 мес. 8 дн.</v>
      </c>
      <c r="I191" s="1" t="s">
        <v>39</v>
      </c>
      <c r="J191" s="6"/>
      <c r="K191" s="6" t="s">
        <v>363</v>
      </c>
      <c r="L191" s="6" t="s">
        <v>504</v>
      </c>
      <c r="M191" s="6" t="s">
        <v>181</v>
      </c>
      <c r="N191" s="6"/>
      <c r="O191" s="6" t="s">
        <v>29</v>
      </c>
      <c r="P191" s="6"/>
      <c r="Q191" s="6"/>
      <c r="R191" s="6"/>
      <c r="S191" s="6" t="s">
        <v>96</v>
      </c>
      <c r="T191" s="28">
        <v>45821</v>
      </c>
      <c r="U191" s="23">
        <v>0.5625</v>
      </c>
      <c r="V191" s="6" t="str">
        <f t="shared" si="16"/>
        <v>0 г. 0 мес. 1 дн.</v>
      </c>
      <c r="W191" s="27"/>
    </row>
    <row r="192" spans="1:23" s="6" customFormat="1" ht="34.5" customHeight="1" x14ac:dyDescent="0.25">
      <c r="A192" s="1">
        <f t="shared" si="17"/>
        <v>191</v>
      </c>
      <c r="B192" s="1">
        <v>688</v>
      </c>
      <c r="C192" s="2" t="s">
        <v>46</v>
      </c>
      <c r="D192" s="3">
        <v>45819</v>
      </c>
      <c r="E192" s="4">
        <v>4.1666666666666699E-2</v>
      </c>
      <c r="F192" s="1" t="s">
        <v>532</v>
      </c>
      <c r="G192" s="3">
        <v>43873</v>
      </c>
      <c r="H192" s="1" t="str">
        <f t="shared" si="11"/>
        <v>5 г. 3 мес. 30 дн.</v>
      </c>
      <c r="I192" s="1" t="s">
        <v>70</v>
      </c>
      <c r="J192" s="1"/>
      <c r="K192" s="1" t="s">
        <v>533</v>
      </c>
      <c r="L192" s="1" t="s">
        <v>534</v>
      </c>
      <c r="M192" s="1" t="s">
        <v>28</v>
      </c>
      <c r="N192" s="1"/>
      <c r="O192" s="1" t="s">
        <v>29</v>
      </c>
      <c r="P192" s="1"/>
      <c r="Q192" s="1"/>
      <c r="R192" s="1"/>
      <c r="S192" s="1" t="s">
        <v>23</v>
      </c>
      <c r="T192" s="3">
        <v>45821</v>
      </c>
      <c r="U192" s="4">
        <v>0.54166666666666696</v>
      </c>
      <c r="V192" s="1" t="str">
        <f t="shared" si="16"/>
        <v>0 г. 0 мес. 2 дн.</v>
      </c>
      <c r="W192" s="5"/>
    </row>
    <row r="193" spans="1:23" ht="34.5" customHeight="1" x14ac:dyDescent="0.25">
      <c r="A193" s="6">
        <f t="shared" si="17"/>
        <v>192</v>
      </c>
      <c r="B193" s="6">
        <v>756</v>
      </c>
      <c r="C193" s="22" t="s">
        <v>96</v>
      </c>
      <c r="D193" s="28">
        <v>45823</v>
      </c>
      <c r="E193" s="23">
        <v>0.72569444444444398</v>
      </c>
      <c r="F193" s="6" t="s">
        <v>535</v>
      </c>
      <c r="G193" s="28">
        <v>42755</v>
      </c>
      <c r="H193" s="1" t="str">
        <f t="shared" si="11"/>
        <v>8 г. 4 мес. 26 дн.</v>
      </c>
      <c r="I193" s="1" t="s">
        <v>39</v>
      </c>
      <c r="J193" s="6"/>
      <c r="K193" s="6" t="s">
        <v>536</v>
      </c>
      <c r="L193" s="6" t="s">
        <v>537</v>
      </c>
      <c r="M193" s="6" t="s">
        <v>181</v>
      </c>
      <c r="N193" s="6"/>
      <c r="O193" s="6" t="s">
        <v>42</v>
      </c>
      <c r="P193" s="6"/>
      <c r="Q193" s="6"/>
      <c r="R193" s="6"/>
      <c r="S193" s="6" t="s">
        <v>96</v>
      </c>
      <c r="T193" s="28">
        <v>45828</v>
      </c>
      <c r="U193" s="23">
        <v>0.625</v>
      </c>
      <c r="V193" s="6" t="str">
        <f t="shared" si="16"/>
        <v>0 г. 0 мес. 5 дн.</v>
      </c>
      <c r="W193" s="27"/>
    </row>
    <row r="194" spans="1:23" s="6" customFormat="1" ht="34.5" customHeight="1" x14ac:dyDescent="0.25">
      <c r="A194" s="1">
        <f t="shared" si="17"/>
        <v>193</v>
      </c>
      <c r="B194" s="1">
        <v>340</v>
      </c>
      <c r="C194" s="2" t="s">
        <v>46</v>
      </c>
      <c r="D194" s="3">
        <v>45826</v>
      </c>
      <c r="E194" s="4">
        <v>0.81597222222222221</v>
      </c>
      <c r="F194" s="1" t="s">
        <v>625</v>
      </c>
      <c r="G194" s="3">
        <v>40758</v>
      </c>
      <c r="H194" s="1" t="str">
        <f t="shared" ref="H194:H257" si="18">DATEDIF(G194,D194,"y") &amp; " г. " &amp; DATEDIF(G194,D194,"ym") &amp; " мес. " &amp; DATEDIF(G194,D194,"md") &amp; " дн."</f>
        <v>13 г. 10 мес. 15 дн.</v>
      </c>
      <c r="I194" s="1" t="s">
        <v>39</v>
      </c>
      <c r="J194" s="1"/>
      <c r="K194" s="1" t="s">
        <v>626</v>
      </c>
      <c r="L194" s="1" t="s">
        <v>627</v>
      </c>
      <c r="M194" s="1" t="s">
        <v>50</v>
      </c>
      <c r="N194" s="1"/>
      <c r="O194" s="1" t="s">
        <v>29</v>
      </c>
      <c r="P194" s="1"/>
      <c r="Q194" s="1"/>
      <c r="R194" s="1"/>
      <c r="S194" s="1" t="s">
        <v>46</v>
      </c>
      <c r="T194" s="3">
        <v>45827</v>
      </c>
      <c r="U194" s="4">
        <v>0.5</v>
      </c>
      <c r="V194" s="1" t="str">
        <f t="shared" si="16"/>
        <v>0 г. 0 мес. 1 дн.</v>
      </c>
      <c r="W194" s="5"/>
    </row>
    <row r="195" spans="1:23" ht="34.5" customHeight="1" x14ac:dyDescent="0.25">
      <c r="A195" s="1">
        <f t="shared" si="17"/>
        <v>194</v>
      </c>
      <c r="B195" s="1">
        <v>1386</v>
      </c>
      <c r="C195" s="2" t="s">
        <v>60</v>
      </c>
      <c r="D195" s="3">
        <v>45824</v>
      </c>
      <c r="E195" s="4">
        <v>0.375</v>
      </c>
      <c r="F195" s="1" t="s">
        <v>247</v>
      </c>
      <c r="G195" s="3">
        <v>45376</v>
      </c>
      <c r="H195" s="1" t="str">
        <f t="shared" si="18"/>
        <v>1 г. 2 мес. 22 дн.</v>
      </c>
      <c r="I195" s="1" t="s">
        <v>39</v>
      </c>
      <c r="K195" s="1" t="s">
        <v>628</v>
      </c>
      <c r="L195" s="1" t="s">
        <v>629</v>
      </c>
      <c r="M195" s="1" t="s">
        <v>87</v>
      </c>
      <c r="O195" s="1" t="s">
        <v>42</v>
      </c>
      <c r="S195" s="1" t="s">
        <v>236</v>
      </c>
      <c r="T195" s="3">
        <v>45833</v>
      </c>
      <c r="U195" s="4">
        <v>0.5</v>
      </c>
      <c r="V195" s="1" t="str">
        <f t="shared" si="16"/>
        <v>0 г. 0 мес. 9 дн.</v>
      </c>
      <c r="W195" s="5"/>
    </row>
    <row r="196" spans="1:23" ht="34.5" customHeight="1" x14ac:dyDescent="0.25">
      <c r="A196" s="1">
        <f t="shared" si="17"/>
        <v>195</v>
      </c>
      <c r="B196" s="1">
        <v>1413</v>
      </c>
      <c r="C196" s="2" t="s">
        <v>60</v>
      </c>
      <c r="D196" s="3">
        <v>45827</v>
      </c>
      <c r="E196" s="4">
        <v>5.5555555555555552E-2</v>
      </c>
      <c r="F196" s="1" t="s">
        <v>630</v>
      </c>
      <c r="G196" s="3">
        <v>41486</v>
      </c>
      <c r="H196" s="1" t="str">
        <f t="shared" si="18"/>
        <v>11 г. 10 мес. 19 дн.</v>
      </c>
      <c r="I196" s="1" t="s">
        <v>62</v>
      </c>
      <c r="K196" s="1" t="s">
        <v>632</v>
      </c>
      <c r="L196" s="1" t="s">
        <v>631</v>
      </c>
      <c r="M196" s="1" t="s">
        <v>181</v>
      </c>
      <c r="O196" s="1" t="s">
        <v>42</v>
      </c>
      <c r="Q196" s="1" t="s">
        <v>147</v>
      </c>
      <c r="S196" s="1" t="s">
        <v>60</v>
      </c>
      <c r="T196" s="3">
        <v>45831</v>
      </c>
      <c r="U196" s="4">
        <v>0.5</v>
      </c>
      <c r="V196" s="1" t="str">
        <f t="shared" si="16"/>
        <v>0 г. 0 мес. 4 дн.</v>
      </c>
      <c r="W196" s="5"/>
    </row>
    <row r="197" spans="1:23" ht="34.5" customHeight="1" x14ac:dyDescent="0.25">
      <c r="A197" s="1">
        <f t="shared" si="17"/>
        <v>196</v>
      </c>
      <c r="B197" s="1">
        <v>781</v>
      </c>
      <c r="C197" s="2" t="s">
        <v>96</v>
      </c>
      <c r="D197" s="3">
        <v>45827</v>
      </c>
      <c r="E197" s="4">
        <v>5.5555555555555552E-2</v>
      </c>
      <c r="F197" s="1" t="s">
        <v>633</v>
      </c>
      <c r="G197" s="3">
        <v>40085</v>
      </c>
      <c r="H197" s="1" t="str">
        <f t="shared" si="18"/>
        <v>15 г. 8 мес. 21 дн.</v>
      </c>
      <c r="I197" s="1" t="s">
        <v>62</v>
      </c>
      <c r="K197" s="1" t="s">
        <v>634</v>
      </c>
      <c r="L197" s="1" t="s">
        <v>635</v>
      </c>
      <c r="M197" s="1" t="s">
        <v>181</v>
      </c>
      <c r="O197" s="1" t="s">
        <v>29</v>
      </c>
      <c r="S197" s="1" t="s">
        <v>96</v>
      </c>
      <c r="T197" s="3">
        <v>45828</v>
      </c>
      <c r="U197" s="4">
        <v>0.5</v>
      </c>
      <c r="V197" s="1" t="str">
        <f t="shared" si="16"/>
        <v>0 г. 0 мес. 1 дн.</v>
      </c>
      <c r="W197" s="5"/>
    </row>
    <row r="198" spans="1:23" ht="34.5" customHeight="1" x14ac:dyDescent="0.25">
      <c r="A198" s="1">
        <f t="shared" si="17"/>
        <v>197</v>
      </c>
      <c r="B198" s="1">
        <v>345</v>
      </c>
      <c r="C198" s="2" t="s">
        <v>46</v>
      </c>
      <c r="D198" s="3">
        <v>45828</v>
      </c>
      <c r="E198" s="4">
        <v>0.58333333333333337</v>
      </c>
      <c r="F198" s="1" t="s">
        <v>636</v>
      </c>
      <c r="G198" s="3">
        <v>45691</v>
      </c>
      <c r="H198" s="1" t="str">
        <f t="shared" si="18"/>
        <v>0 г. 4 мес. 17 дн.</v>
      </c>
      <c r="I198" s="1" t="s">
        <v>39</v>
      </c>
      <c r="K198" s="1" t="s">
        <v>637</v>
      </c>
      <c r="L198" s="1" t="s">
        <v>510</v>
      </c>
      <c r="M198" s="1" t="s">
        <v>135</v>
      </c>
      <c r="O198" s="1" t="s">
        <v>29</v>
      </c>
      <c r="S198" s="1" t="s">
        <v>46</v>
      </c>
      <c r="T198" s="3">
        <v>45829</v>
      </c>
      <c r="U198" s="4">
        <v>0.5</v>
      </c>
      <c r="V198" s="1" t="str">
        <f t="shared" si="16"/>
        <v>0 г. 0 мес. 1 дн.</v>
      </c>
      <c r="W198" s="5"/>
    </row>
    <row r="199" spans="1:23" ht="34.5" customHeight="1" x14ac:dyDescent="0.25">
      <c r="A199" s="1">
        <f t="shared" si="17"/>
        <v>198</v>
      </c>
      <c r="B199" s="1">
        <v>344</v>
      </c>
      <c r="C199" s="2" t="s">
        <v>46</v>
      </c>
      <c r="D199" s="3">
        <v>45828</v>
      </c>
      <c r="E199" s="4">
        <v>0.54861111111111105</v>
      </c>
      <c r="F199" s="1" t="s">
        <v>638</v>
      </c>
      <c r="G199" s="3">
        <v>41691</v>
      </c>
      <c r="H199" s="1" t="str">
        <f t="shared" si="18"/>
        <v>11 г. 3 мес. 30 дн.</v>
      </c>
      <c r="I199" s="1" t="s">
        <v>39</v>
      </c>
      <c r="K199" s="1" t="s">
        <v>639</v>
      </c>
      <c r="L199" s="1" t="s">
        <v>640</v>
      </c>
      <c r="M199" s="1" t="s">
        <v>135</v>
      </c>
      <c r="O199" s="1" t="s">
        <v>29</v>
      </c>
      <c r="S199" s="1" t="s">
        <v>46</v>
      </c>
      <c r="T199" s="3">
        <v>45829</v>
      </c>
      <c r="U199" s="4">
        <v>0.5</v>
      </c>
      <c r="V199" s="1" t="str">
        <f t="shared" si="16"/>
        <v>0 г. 0 мес. 1 дн.</v>
      </c>
      <c r="W199" s="5"/>
    </row>
    <row r="200" spans="1:23" ht="34.5" customHeight="1" x14ac:dyDescent="0.25">
      <c r="A200" s="1">
        <f t="shared" si="17"/>
        <v>199</v>
      </c>
      <c r="B200" s="1">
        <v>342</v>
      </c>
      <c r="C200" s="2" t="s">
        <v>46</v>
      </c>
      <c r="D200" s="3">
        <v>45829</v>
      </c>
      <c r="E200" s="4">
        <v>1.3888888888888888E-2</v>
      </c>
      <c r="F200" s="1" t="s">
        <v>641</v>
      </c>
      <c r="G200" s="3">
        <v>44995</v>
      </c>
      <c r="H200" s="1" t="str">
        <f t="shared" si="18"/>
        <v>2 г. 3 мес. 11 дн.</v>
      </c>
      <c r="I200" s="1" t="s">
        <v>132</v>
      </c>
      <c r="K200" s="1" t="s">
        <v>642</v>
      </c>
      <c r="L200" s="1" t="s">
        <v>643</v>
      </c>
      <c r="M200" s="1" t="s">
        <v>73</v>
      </c>
      <c r="O200" s="1" t="s">
        <v>29</v>
      </c>
      <c r="P200" s="1" t="s">
        <v>101</v>
      </c>
      <c r="S200" s="1" t="s">
        <v>32</v>
      </c>
      <c r="T200" s="3">
        <v>45829</v>
      </c>
      <c r="U200" s="4">
        <v>0.5</v>
      </c>
      <c r="V200" s="1" t="str">
        <f t="shared" si="16"/>
        <v>0 г. 0 мес. 0 дн.</v>
      </c>
      <c r="W200" s="5"/>
    </row>
    <row r="201" spans="1:23" ht="34.5" customHeight="1" x14ac:dyDescent="0.25">
      <c r="A201" s="1">
        <f t="shared" si="17"/>
        <v>200</v>
      </c>
      <c r="B201" s="1">
        <v>740</v>
      </c>
      <c r="C201" s="2" t="s">
        <v>96</v>
      </c>
      <c r="D201" s="3">
        <v>45828</v>
      </c>
      <c r="E201" s="4">
        <v>0.85416666666666663</v>
      </c>
      <c r="F201" s="1" t="s">
        <v>644</v>
      </c>
      <c r="G201" s="3">
        <v>40586</v>
      </c>
      <c r="H201" s="1" t="str">
        <f t="shared" si="18"/>
        <v>14 г. 4 мес. 8 дн.</v>
      </c>
      <c r="I201" s="1" t="s">
        <v>62</v>
      </c>
      <c r="K201" s="1" t="s">
        <v>645</v>
      </c>
      <c r="L201" s="1" t="s">
        <v>646</v>
      </c>
      <c r="M201" s="1" t="s">
        <v>100</v>
      </c>
      <c r="O201" s="1" t="s">
        <v>29</v>
      </c>
      <c r="P201" s="1" t="s">
        <v>101</v>
      </c>
      <c r="S201" s="1" t="s">
        <v>96</v>
      </c>
      <c r="T201" s="3">
        <v>45833</v>
      </c>
      <c r="U201" s="4">
        <v>0.5</v>
      </c>
      <c r="V201" s="1" t="str">
        <f t="shared" si="16"/>
        <v>0 г. 0 мес. 5 дн.</v>
      </c>
      <c r="W201" s="5"/>
    </row>
    <row r="202" spans="1:23" ht="34.5" customHeight="1" x14ac:dyDescent="0.25">
      <c r="A202" s="1">
        <f t="shared" si="17"/>
        <v>201</v>
      </c>
      <c r="B202" s="1">
        <v>1430</v>
      </c>
      <c r="C202" s="2" t="s">
        <v>60</v>
      </c>
      <c r="D202" s="3">
        <v>45830</v>
      </c>
      <c r="E202" s="4">
        <v>0.78125</v>
      </c>
      <c r="F202" s="1" t="s">
        <v>647</v>
      </c>
      <c r="G202" s="3">
        <v>40465</v>
      </c>
      <c r="H202" s="1" t="str">
        <f t="shared" si="18"/>
        <v>14 г. 8 мес. 8 дн.</v>
      </c>
      <c r="I202" s="1" t="s">
        <v>39</v>
      </c>
      <c r="K202" s="1" t="s">
        <v>648</v>
      </c>
      <c r="L202" s="1" t="s">
        <v>649</v>
      </c>
      <c r="M202" s="1" t="s">
        <v>73</v>
      </c>
      <c r="O202" s="1" t="s">
        <v>29</v>
      </c>
      <c r="S202" s="1" t="s">
        <v>60</v>
      </c>
      <c r="T202" s="3">
        <v>45831</v>
      </c>
      <c r="U202" s="4">
        <v>0.5</v>
      </c>
      <c r="V202" s="1" t="str">
        <f t="shared" si="16"/>
        <v>0 г. 0 мес. 1 дн.</v>
      </c>
      <c r="W202" s="5"/>
    </row>
    <row r="203" spans="1:23" ht="34.5" customHeight="1" x14ac:dyDescent="0.25">
      <c r="A203" s="1">
        <f t="shared" si="17"/>
        <v>202</v>
      </c>
      <c r="B203" s="1">
        <v>355</v>
      </c>
      <c r="C203" s="2" t="s">
        <v>46</v>
      </c>
      <c r="D203" s="3">
        <v>45831</v>
      </c>
      <c r="E203" s="4">
        <v>0.85416666666666663</v>
      </c>
      <c r="F203" s="1" t="s">
        <v>216</v>
      </c>
      <c r="G203" s="3">
        <v>44435</v>
      </c>
      <c r="H203" s="1" t="str">
        <f t="shared" si="18"/>
        <v>3 г. 9 мес. 27 дн.</v>
      </c>
      <c r="I203" s="1" t="s">
        <v>39</v>
      </c>
      <c r="K203" s="1" t="s">
        <v>650</v>
      </c>
      <c r="L203" s="1" t="s">
        <v>104</v>
      </c>
      <c r="M203" s="1" t="s">
        <v>105</v>
      </c>
      <c r="O203" s="1" t="s">
        <v>29</v>
      </c>
      <c r="S203" s="1" t="s">
        <v>46</v>
      </c>
      <c r="T203" s="3">
        <v>45832</v>
      </c>
      <c r="U203" s="4">
        <v>0.5</v>
      </c>
      <c r="V203" s="1" t="str">
        <f t="shared" si="16"/>
        <v>0 г. 0 мес. 1 дн.</v>
      </c>
      <c r="W203" s="5"/>
    </row>
    <row r="204" spans="1:23" ht="34.5" customHeight="1" x14ac:dyDescent="0.25">
      <c r="A204" s="1">
        <f t="shared" si="17"/>
        <v>203</v>
      </c>
      <c r="B204" s="1">
        <v>1448</v>
      </c>
      <c r="C204" s="2" t="s">
        <v>60</v>
      </c>
      <c r="D204" s="3">
        <v>45832</v>
      </c>
      <c r="E204" s="4">
        <v>0.52083333333333337</v>
      </c>
      <c r="F204" s="1" t="s">
        <v>651</v>
      </c>
      <c r="G204" s="3">
        <v>45808</v>
      </c>
      <c r="H204" s="1" t="str">
        <f t="shared" si="18"/>
        <v>0 г. 0 мес. 24 дн.</v>
      </c>
      <c r="I204" s="1" t="s">
        <v>70</v>
      </c>
      <c r="K204" s="1" t="s">
        <v>652</v>
      </c>
      <c r="L204" s="1" t="s">
        <v>86</v>
      </c>
      <c r="M204" s="1" t="s">
        <v>87</v>
      </c>
      <c r="O204" s="1" t="s">
        <v>42</v>
      </c>
      <c r="S204" s="1" t="s">
        <v>60</v>
      </c>
      <c r="T204" s="3">
        <v>45834</v>
      </c>
      <c r="U204" s="4">
        <v>0.64583333333333337</v>
      </c>
      <c r="V204" s="1" t="str">
        <f t="shared" si="16"/>
        <v>0 г. 0 мес. 2 дн.</v>
      </c>
      <c r="W204" s="5"/>
    </row>
    <row r="205" spans="1:23" ht="34.5" customHeight="1" x14ac:dyDescent="0.25">
      <c r="A205" s="1">
        <f t="shared" si="17"/>
        <v>204</v>
      </c>
      <c r="B205" s="1">
        <v>781</v>
      </c>
      <c r="C205" s="2" t="s">
        <v>96</v>
      </c>
      <c r="D205" s="3">
        <v>45833</v>
      </c>
      <c r="E205" s="4">
        <v>0.66666666666666663</v>
      </c>
      <c r="F205" s="1" t="s">
        <v>633</v>
      </c>
      <c r="G205" s="3">
        <v>40085</v>
      </c>
      <c r="H205" s="1" t="str">
        <f t="shared" ref="H205" si="19">DATEDIF(G205,D205,"y") &amp; " г. " &amp; DATEDIF(G205,D205,"ym") &amp; " мес. " &amp; DATEDIF(G205,D205,"md") &amp; " дн."</f>
        <v>15 г. 8 мес. 27 дн.</v>
      </c>
      <c r="I205" s="1" t="s">
        <v>62</v>
      </c>
      <c r="K205" s="1" t="s">
        <v>634</v>
      </c>
      <c r="L205" s="1" t="s">
        <v>635</v>
      </c>
      <c r="M205" s="1" t="s">
        <v>181</v>
      </c>
      <c r="O205" s="1" t="s">
        <v>29</v>
      </c>
      <c r="S205" s="1" t="s">
        <v>96</v>
      </c>
      <c r="T205" s="3">
        <v>45834</v>
      </c>
      <c r="U205" s="4">
        <v>0.45833333333333331</v>
      </c>
      <c r="V205" s="1" t="str">
        <f t="shared" ref="V205" si="20">DATEDIF(D205,T205,"y") &amp; " г. " &amp; DATEDIF(D205,T205,"ym") &amp; " мес. " &amp; DATEDIF(D205,T205,"md") &amp; " дн."</f>
        <v>0 г. 0 мес. 1 дн.</v>
      </c>
      <c r="W205" s="5"/>
    </row>
    <row r="206" spans="1:23" ht="34.5" customHeight="1" x14ac:dyDescent="0.25">
      <c r="A206" s="1">
        <f t="shared" si="17"/>
        <v>205</v>
      </c>
      <c r="B206" s="1">
        <v>1469</v>
      </c>
      <c r="C206" s="2" t="s">
        <v>60</v>
      </c>
      <c r="D206" s="3">
        <v>45835</v>
      </c>
      <c r="E206" s="4">
        <v>0.125</v>
      </c>
      <c r="F206" s="1" t="s">
        <v>653</v>
      </c>
      <c r="G206" s="3">
        <v>43080</v>
      </c>
      <c r="H206" s="1" t="str">
        <f t="shared" si="18"/>
        <v>7 г. 6 мес. 16 дн.</v>
      </c>
      <c r="I206" s="1" t="s">
        <v>62</v>
      </c>
      <c r="K206" s="1" t="s">
        <v>654</v>
      </c>
      <c r="L206" s="1" t="s">
        <v>655</v>
      </c>
      <c r="M206" s="1" t="s">
        <v>181</v>
      </c>
      <c r="O206" s="1" t="s">
        <v>29</v>
      </c>
      <c r="S206" s="1" t="s">
        <v>60</v>
      </c>
      <c r="T206" s="3">
        <v>45840</v>
      </c>
      <c r="U206" s="4">
        <v>0.5</v>
      </c>
      <c r="V206" s="1" t="str">
        <f t="shared" si="16"/>
        <v>0 г. 0 мес. 5 дн.</v>
      </c>
      <c r="W206" s="5"/>
    </row>
    <row r="207" spans="1:23" ht="34.5" customHeight="1" x14ac:dyDescent="0.25">
      <c r="A207" s="1">
        <f t="shared" si="17"/>
        <v>206</v>
      </c>
      <c r="B207" s="1">
        <v>362</v>
      </c>
      <c r="C207" s="2" t="s">
        <v>32</v>
      </c>
      <c r="D207" s="3">
        <v>45838</v>
      </c>
      <c r="E207" s="4">
        <v>0.1388888888888889</v>
      </c>
      <c r="F207" s="1" t="s">
        <v>658</v>
      </c>
      <c r="G207" s="3">
        <v>44963</v>
      </c>
      <c r="H207" s="1" t="str">
        <f t="shared" si="18"/>
        <v>2 г. 4 мес. 24 дн.</v>
      </c>
      <c r="I207" s="1" t="s">
        <v>39</v>
      </c>
      <c r="K207" s="1" t="s">
        <v>656</v>
      </c>
      <c r="L207" s="1" t="s">
        <v>657</v>
      </c>
      <c r="M207" s="1" t="s">
        <v>73</v>
      </c>
      <c r="O207" s="1" t="s">
        <v>29</v>
      </c>
      <c r="S207" s="1" t="s">
        <v>32</v>
      </c>
      <c r="T207" s="3">
        <v>45839</v>
      </c>
      <c r="U207" s="4">
        <v>0.5</v>
      </c>
      <c r="V207" s="1" t="str">
        <f t="shared" si="16"/>
        <v>0 г. 0 мес. 1 дн.</v>
      </c>
      <c r="W207" s="5"/>
    </row>
    <row r="208" spans="1:23" ht="34.5" customHeight="1" x14ac:dyDescent="0.25">
      <c r="A208" s="1">
        <f t="shared" si="17"/>
        <v>207</v>
      </c>
      <c r="B208" s="1">
        <v>368</v>
      </c>
      <c r="C208" s="2" t="s">
        <v>46</v>
      </c>
      <c r="D208" s="3">
        <v>45835</v>
      </c>
      <c r="E208" s="4">
        <v>0.625</v>
      </c>
      <c r="F208" s="1" t="s">
        <v>659</v>
      </c>
      <c r="G208" s="3">
        <v>45797</v>
      </c>
      <c r="H208" s="1" t="str">
        <f t="shared" si="18"/>
        <v>0 г. 1 мес. 7 дн.</v>
      </c>
      <c r="I208" s="1" t="s">
        <v>39</v>
      </c>
      <c r="K208" s="1" t="s">
        <v>660</v>
      </c>
      <c r="L208" s="1" t="s">
        <v>433</v>
      </c>
      <c r="M208" s="1" t="s">
        <v>135</v>
      </c>
      <c r="O208" s="1" t="s">
        <v>29</v>
      </c>
      <c r="S208" s="1" t="s">
        <v>23</v>
      </c>
      <c r="T208" s="3">
        <v>45838</v>
      </c>
      <c r="U208" s="4">
        <v>0.5</v>
      </c>
      <c r="V208" s="1" t="str">
        <f t="shared" si="16"/>
        <v>0 г. 0 мес. 3 дн.</v>
      </c>
      <c r="W208" s="5"/>
    </row>
    <row r="209" spans="1:23" ht="34.5" customHeight="1" x14ac:dyDescent="0.25">
      <c r="A209" s="1">
        <f t="shared" si="17"/>
        <v>208</v>
      </c>
      <c r="B209" s="1">
        <v>343</v>
      </c>
      <c r="C209" s="2" t="s">
        <v>32</v>
      </c>
      <c r="D209" s="3">
        <v>45834</v>
      </c>
      <c r="E209" s="4">
        <v>0.5</v>
      </c>
      <c r="F209" s="1" t="s">
        <v>661</v>
      </c>
      <c r="G209" s="3">
        <v>45844</v>
      </c>
      <c r="H209" s="3">
        <v>41461</v>
      </c>
      <c r="I209" s="1" t="s">
        <v>62</v>
      </c>
      <c r="K209" s="1" t="s">
        <v>662</v>
      </c>
      <c r="L209" s="1" t="s">
        <v>663</v>
      </c>
      <c r="M209" s="1" t="s">
        <v>73</v>
      </c>
      <c r="O209" s="1" t="s">
        <v>29</v>
      </c>
      <c r="S209" s="1" t="s">
        <v>60</v>
      </c>
      <c r="T209" s="3">
        <v>45835</v>
      </c>
      <c r="U209" s="4">
        <v>0.5</v>
      </c>
      <c r="V209" s="1" t="str">
        <f t="shared" si="16"/>
        <v>0 г. 0 мес. 1 дн.</v>
      </c>
      <c r="W209" s="5"/>
    </row>
    <row r="210" spans="1:23" ht="34.5" customHeight="1" x14ac:dyDescent="0.25">
      <c r="A210" s="1">
        <f t="shared" si="17"/>
        <v>209</v>
      </c>
      <c r="B210" s="1">
        <v>348</v>
      </c>
      <c r="C210" s="2" t="s">
        <v>46</v>
      </c>
      <c r="D210" s="3">
        <v>45829</v>
      </c>
      <c r="E210" s="4">
        <v>0.95833333333333337</v>
      </c>
      <c r="F210" s="1" t="s">
        <v>664</v>
      </c>
      <c r="G210" s="3">
        <v>40159</v>
      </c>
      <c r="H210" s="1" t="str">
        <f t="shared" si="18"/>
        <v>15 г. 6 мес. 9 дн.</v>
      </c>
      <c r="I210" s="1" t="s">
        <v>39</v>
      </c>
      <c r="K210" s="1" t="s">
        <v>665</v>
      </c>
      <c r="L210" s="1" t="s">
        <v>666</v>
      </c>
      <c r="M210" s="1" t="s">
        <v>50</v>
      </c>
      <c r="O210" s="1" t="s">
        <v>29</v>
      </c>
      <c r="S210" s="1" t="s">
        <v>46</v>
      </c>
      <c r="T210" s="3">
        <v>45830</v>
      </c>
      <c r="U210" s="4">
        <v>0.5</v>
      </c>
      <c r="V210" s="1" t="str">
        <f t="shared" si="16"/>
        <v>0 г. 0 мес. 1 дн.</v>
      </c>
      <c r="W210" s="5"/>
    </row>
    <row r="211" spans="1:23" ht="34.5" customHeight="1" x14ac:dyDescent="0.25">
      <c r="A211" s="1">
        <f t="shared" si="17"/>
        <v>210</v>
      </c>
      <c r="B211" s="1">
        <v>321</v>
      </c>
      <c r="C211" s="2" t="s">
        <v>46</v>
      </c>
      <c r="D211" s="3">
        <v>45816</v>
      </c>
      <c r="E211" s="4">
        <v>0.3611111111111111</v>
      </c>
      <c r="F211" s="1" t="s">
        <v>667</v>
      </c>
      <c r="G211" s="3">
        <v>45254</v>
      </c>
      <c r="H211" s="1" t="str">
        <f t="shared" si="18"/>
        <v>1 г. 6 мес. 15 дн.</v>
      </c>
      <c r="I211" s="1" t="s">
        <v>39</v>
      </c>
      <c r="K211" s="1" t="s">
        <v>668</v>
      </c>
      <c r="L211" s="1" t="s">
        <v>670</v>
      </c>
      <c r="M211" s="1" t="s">
        <v>28</v>
      </c>
      <c r="O211" s="1" t="s">
        <v>29</v>
      </c>
      <c r="S211" s="1" t="s">
        <v>46</v>
      </c>
      <c r="T211" s="3">
        <v>45816</v>
      </c>
      <c r="U211" s="4">
        <v>0.75</v>
      </c>
      <c r="V211" s="1" t="str">
        <f t="shared" si="16"/>
        <v>0 г. 0 мес. 0 дн.</v>
      </c>
      <c r="W211" s="5"/>
    </row>
    <row r="212" spans="1:23" ht="34.5" customHeight="1" x14ac:dyDescent="0.25">
      <c r="A212" s="1">
        <f t="shared" si="17"/>
        <v>211</v>
      </c>
      <c r="B212" s="1"/>
      <c r="C212" s="2" t="s">
        <v>46</v>
      </c>
      <c r="D212" s="3">
        <v>45835</v>
      </c>
      <c r="E212" s="4">
        <v>0.97916666666666663</v>
      </c>
      <c r="F212" s="1" t="s">
        <v>669</v>
      </c>
      <c r="G212" s="3">
        <v>39508</v>
      </c>
      <c r="H212" s="1" t="str">
        <f t="shared" si="18"/>
        <v>17 г. 3 мес. 26 дн.</v>
      </c>
      <c r="I212" s="1" t="s">
        <v>39</v>
      </c>
      <c r="K212" s="1" t="s">
        <v>137</v>
      </c>
      <c r="L212" s="1" t="s">
        <v>671</v>
      </c>
      <c r="M212" s="1" t="s">
        <v>50</v>
      </c>
      <c r="O212" s="1" t="s">
        <v>29</v>
      </c>
      <c r="S212" s="1" t="s">
        <v>46</v>
      </c>
      <c r="T212" s="3">
        <v>45836</v>
      </c>
      <c r="U212" s="4">
        <v>0.5</v>
      </c>
      <c r="V212" s="1" t="str">
        <f t="shared" si="16"/>
        <v>0 г. 0 мес. 1 дн.</v>
      </c>
      <c r="W212" s="5"/>
    </row>
    <row r="213" spans="1:23" ht="34.5" customHeight="1" x14ac:dyDescent="0.25">
      <c r="A213" s="1">
        <f t="shared" si="17"/>
        <v>212</v>
      </c>
      <c r="B213" s="1">
        <v>743</v>
      </c>
      <c r="C213" s="2" t="s">
        <v>96</v>
      </c>
      <c r="D213" s="3">
        <v>45817</v>
      </c>
      <c r="E213" s="4">
        <v>5.5555555555555552E-2</v>
      </c>
      <c r="F213" s="1" t="s">
        <v>672</v>
      </c>
      <c r="G213" s="3">
        <v>39652</v>
      </c>
      <c r="H213" s="1" t="str">
        <f t="shared" si="18"/>
        <v>16 г. 10 мес. 17 дн.</v>
      </c>
      <c r="I213" s="1" t="s">
        <v>39</v>
      </c>
      <c r="K213" s="1" t="s">
        <v>137</v>
      </c>
      <c r="L213" s="1" t="s">
        <v>673</v>
      </c>
      <c r="M213" s="1" t="s">
        <v>181</v>
      </c>
      <c r="O213" s="1" t="s">
        <v>29</v>
      </c>
      <c r="S213" s="1" t="s">
        <v>96</v>
      </c>
      <c r="T213" s="3">
        <v>45817</v>
      </c>
      <c r="U213" s="4">
        <v>0.5</v>
      </c>
      <c r="V213" s="1" t="str">
        <f t="shared" si="16"/>
        <v>0 г. 0 мес. 0 дн.</v>
      </c>
      <c r="W213" s="5"/>
    </row>
    <row r="214" spans="1:23" ht="34.5" customHeight="1" x14ac:dyDescent="0.25">
      <c r="A214" s="1">
        <f t="shared" si="17"/>
        <v>213</v>
      </c>
      <c r="B214" s="1">
        <v>1291</v>
      </c>
      <c r="C214" s="2" t="s">
        <v>60</v>
      </c>
      <c r="D214" s="3">
        <v>45813</v>
      </c>
      <c r="E214" s="4">
        <v>0.5</v>
      </c>
      <c r="F214" s="1" t="s">
        <v>674</v>
      </c>
      <c r="G214" s="3">
        <v>40004</v>
      </c>
      <c r="H214" s="1" t="str">
        <f t="shared" si="18"/>
        <v>15 г. 10 мес. 26 дн.</v>
      </c>
      <c r="I214" s="1" t="s">
        <v>62</v>
      </c>
      <c r="K214" s="1" t="s">
        <v>137</v>
      </c>
      <c r="L214" s="1" t="s">
        <v>675</v>
      </c>
      <c r="M214" s="1" t="s">
        <v>87</v>
      </c>
      <c r="O214" s="1" t="s">
        <v>29</v>
      </c>
      <c r="S214" s="1" t="s">
        <v>60</v>
      </c>
      <c r="T214" s="3">
        <v>45813</v>
      </c>
      <c r="U214" s="4">
        <v>0.75</v>
      </c>
      <c r="V214" s="1" t="str">
        <f t="shared" si="16"/>
        <v>0 г. 0 мес. 0 дн.</v>
      </c>
      <c r="W214" s="5"/>
    </row>
    <row r="215" spans="1:23" ht="34.5" customHeight="1" x14ac:dyDescent="0.25">
      <c r="A215" s="1">
        <f t="shared" si="17"/>
        <v>214</v>
      </c>
      <c r="B215" s="1">
        <v>257</v>
      </c>
      <c r="C215" s="2" t="s">
        <v>32</v>
      </c>
      <c r="D215" s="3">
        <v>45792</v>
      </c>
      <c r="E215" s="4">
        <v>6.9444444444444441E-3</v>
      </c>
      <c r="F215" s="1" t="s">
        <v>676</v>
      </c>
      <c r="G215" s="3">
        <v>41312</v>
      </c>
      <c r="H215" s="1" t="str">
        <f t="shared" si="18"/>
        <v>12 г. 3 мес. 8 дн.</v>
      </c>
      <c r="I215" s="1" t="s">
        <v>39</v>
      </c>
      <c r="K215" s="1" t="s">
        <v>137</v>
      </c>
      <c r="L215" s="1" t="s">
        <v>677</v>
      </c>
      <c r="M215" s="1" t="s">
        <v>73</v>
      </c>
      <c r="O215" s="1" t="s">
        <v>29</v>
      </c>
      <c r="S215" s="1" t="s">
        <v>32</v>
      </c>
      <c r="T215" s="3">
        <v>45793</v>
      </c>
      <c r="U215" s="4">
        <v>0.5</v>
      </c>
      <c r="V215" s="1" t="str">
        <f t="shared" si="16"/>
        <v>0 г. 0 мес. 1 дн.</v>
      </c>
      <c r="W215" s="5"/>
    </row>
    <row r="216" spans="1:23" ht="34.5" customHeight="1" x14ac:dyDescent="0.25">
      <c r="A216" s="1">
        <f t="shared" si="17"/>
        <v>215</v>
      </c>
      <c r="B216" s="1">
        <v>1053</v>
      </c>
      <c r="C216" s="2" t="s">
        <v>60</v>
      </c>
      <c r="D216" s="3">
        <v>45781</v>
      </c>
      <c r="E216" s="4">
        <v>0.625</v>
      </c>
      <c r="F216" s="1" t="s">
        <v>678</v>
      </c>
      <c r="G216" s="3">
        <v>43697</v>
      </c>
      <c r="H216" s="1" t="str">
        <f t="shared" si="18"/>
        <v>5 г. 8 мес. 14 дн.</v>
      </c>
      <c r="I216" s="1" t="s">
        <v>62</v>
      </c>
      <c r="K216" s="1" t="s">
        <v>679</v>
      </c>
      <c r="L216" s="1" t="s">
        <v>680</v>
      </c>
      <c r="M216" s="1" t="s">
        <v>87</v>
      </c>
      <c r="O216" s="1" t="s">
        <v>42</v>
      </c>
      <c r="P216" s="1" t="s">
        <v>101</v>
      </c>
      <c r="Q216" s="1" t="s">
        <v>147</v>
      </c>
      <c r="S216" s="1" t="s">
        <v>60</v>
      </c>
      <c r="T216" s="3">
        <v>45788</v>
      </c>
      <c r="U216" s="4">
        <v>0.5</v>
      </c>
      <c r="V216" s="1" t="str">
        <f t="shared" si="16"/>
        <v>0 г. 0 мес. 7 дн.</v>
      </c>
      <c r="W216" s="5"/>
    </row>
    <row r="217" spans="1:23" ht="34.5" customHeight="1" x14ac:dyDescent="0.25">
      <c r="A217" s="1">
        <f t="shared" si="17"/>
        <v>216</v>
      </c>
      <c r="B217" s="1">
        <v>534</v>
      </c>
      <c r="C217" s="2" t="s">
        <v>60</v>
      </c>
      <c r="D217" s="3">
        <v>45784</v>
      </c>
      <c r="E217" s="4">
        <v>0.625</v>
      </c>
      <c r="F217" s="1" t="s">
        <v>681</v>
      </c>
      <c r="G217" s="3">
        <v>40578</v>
      </c>
      <c r="H217" s="1" t="str">
        <f t="shared" si="18"/>
        <v>14 г. 3 мес. 3 дн.</v>
      </c>
      <c r="I217" s="1" t="s">
        <v>39</v>
      </c>
      <c r="K217" s="1" t="s">
        <v>137</v>
      </c>
      <c r="L217" s="1" t="s">
        <v>682</v>
      </c>
      <c r="M217" s="1" t="s">
        <v>95</v>
      </c>
      <c r="O217" s="1" t="s">
        <v>29</v>
      </c>
      <c r="Q217" s="1" t="s">
        <v>147</v>
      </c>
      <c r="S217" s="1" t="s">
        <v>60</v>
      </c>
      <c r="T217" s="3">
        <v>45785</v>
      </c>
      <c r="U217" s="4">
        <v>0.5</v>
      </c>
      <c r="V217" s="1" t="str">
        <f t="shared" si="16"/>
        <v>0 г. 0 мес. 1 дн.</v>
      </c>
      <c r="W217" s="27"/>
    </row>
    <row r="218" spans="1:23" s="6" customFormat="1" ht="34.5" customHeight="1" x14ac:dyDescent="0.25">
      <c r="A218" s="1">
        <f t="shared" si="17"/>
        <v>217</v>
      </c>
      <c r="B218" s="6">
        <v>377</v>
      </c>
      <c r="C218" s="22" t="s">
        <v>46</v>
      </c>
      <c r="D218" s="3">
        <v>45838</v>
      </c>
      <c r="E218" s="23">
        <v>0.82291666666666663</v>
      </c>
      <c r="F218" s="6" t="s">
        <v>685</v>
      </c>
      <c r="G218" s="28">
        <v>40970</v>
      </c>
      <c r="H218" s="1" t="str">
        <f t="shared" si="18"/>
        <v>13 г. 3 мес. 28 дн.</v>
      </c>
      <c r="I218" s="1" t="s">
        <v>39</v>
      </c>
      <c r="J218" s="1"/>
      <c r="K218" s="6" t="s">
        <v>686</v>
      </c>
      <c r="L218" s="6" t="s">
        <v>142</v>
      </c>
      <c r="M218" s="6" t="s">
        <v>50</v>
      </c>
      <c r="O218" s="1" t="s">
        <v>29</v>
      </c>
      <c r="S218" s="22" t="s">
        <v>60</v>
      </c>
      <c r="T218" s="3">
        <v>45839</v>
      </c>
      <c r="U218" s="4">
        <v>0.5</v>
      </c>
      <c r="V218" s="1" t="str">
        <f t="shared" si="16"/>
        <v>0 г. 0 мес. 1 дн.</v>
      </c>
      <c r="W218" s="5"/>
    </row>
    <row r="219" spans="1:23" ht="34.5" customHeight="1" x14ac:dyDescent="0.25">
      <c r="A219" s="1">
        <f t="shared" si="17"/>
        <v>218</v>
      </c>
      <c r="B219" s="1">
        <v>1498</v>
      </c>
      <c r="C219" s="2" t="s">
        <v>60</v>
      </c>
      <c r="D219" s="3">
        <v>45839</v>
      </c>
      <c r="E219" s="4">
        <v>4.8611111111111112E-2</v>
      </c>
      <c r="F219" s="1" t="s">
        <v>683</v>
      </c>
      <c r="G219" s="3">
        <v>42934</v>
      </c>
      <c r="H219" s="1" t="str">
        <f t="shared" si="18"/>
        <v>7 г. 11 мес. 13 дн.</v>
      </c>
      <c r="I219" s="1" t="s">
        <v>39</v>
      </c>
      <c r="K219" s="1" t="s">
        <v>684</v>
      </c>
      <c r="L219" s="1" t="s">
        <v>117</v>
      </c>
      <c r="M219" s="1" t="s">
        <v>65</v>
      </c>
      <c r="O219" s="1" t="s">
        <v>29</v>
      </c>
      <c r="S219" s="1" t="s">
        <v>60</v>
      </c>
      <c r="T219" s="3">
        <v>45839</v>
      </c>
      <c r="U219" s="4">
        <v>0.5</v>
      </c>
      <c r="V219" s="1" t="str">
        <f t="shared" si="16"/>
        <v>0 г. 0 мес. 0 дн.</v>
      </c>
      <c r="W219" s="5"/>
    </row>
    <row r="220" spans="1:23" ht="34.5" customHeight="1" x14ac:dyDescent="0.25">
      <c r="A220" s="1">
        <f t="shared" ref="A220:A242" si="21">ROW(A219)</f>
        <v>219</v>
      </c>
      <c r="B220" s="1">
        <v>860</v>
      </c>
      <c r="C220" s="2" t="s">
        <v>96</v>
      </c>
      <c r="D220" s="3">
        <v>45840</v>
      </c>
      <c r="E220" s="4">
        <v>0.3125</v>
      </c>
      <c r="F220" s="1" t="s">
        <v>687</v>
      </c>
      <c r="G220" s="3">
        <v>39310</v>
      </c>
      <c r="H220" s="1" t="str">
        <f t="shared" si="18"/>
        <v>17 г. 10 мес. 16 дн.</v>
      </c>
      <c r="I220" s="1" t="s">
        <v>39</v>
      </c>
      <c r="K220" s="1" t="s">
        <v>363</v>
      </c>
      <c r="L220" s="1" t="s">
        <v>688</v>
      </c>
      <c r="M220" s="1" t="s">
        <v>181</v>
      </c>
      <c r="O220" s="1" t="s">
        <v>42</v>
      </c>
      <c r="S220" s="1" t="s">
        <v>96</v>
      </c>
      <c r="T220" s="3">
        <v>45843</v>
      </c>
      <c r="U220" s="4">
        <v>0.5</v>
      </c>
      <c r="V220" s="1" t="str">
        <f t="shared" si="16"/>
        <v>0 г. 0 мес. 3 дн.</v>
      </c>
      <c r="W220" s="5"/>
    </row>
    <row r="221" spans="1:23" ht="34.5" customHeight="1" x14ac:dyDescent="0.25">
      <c r="A221" s="1">
        <f t="shared" si="21"/>
        <v>220</v>
      </c>
      <c r="B221" s="1">
        <v>868</v>
      </c>
      <c r="C221" s="2" t="s">
        <v>96</v>
      </c>
      <c r="D221" s="3">
        <v>45840</v>
      </c>
      <c r="E221" s="4">
        <v>0.95138888888888884</v>
      </c>
      <c r="F221" s="1" t="s">
        <v>689</v>
      </c>
      <c r="G221" s="3">
        <v>40303</v>
      </c>
      <c r="H221" s="1" t="str">
        <f t="shared" si="18"/>
        <v>15 г. 1 мес. 27 дн.</v>
      </c>
      <c r="I221" s="1" t="s">
        <v>62</v>
      </c>
      <c r="K221" s="1" t="s">
        <v>690</v>
      </c>
      <c r="L221" s="1" t="s">
        <v>691</v>
      </c>
      <c r="M221" s="1" t="s">
        <v>181</v>
      </c>
      <c r="O221" s="1" t="s">
        <v>29</v>
      </c>
      <c r="S221" s="1" t="s">
        <v>96</v>
      </c>
      <c r="T221" s="3">
        <v>45842</v>
      </c>
      <c r="U221" s="4">
        <v>0.5</v>
      </c>
      <c r="V221" s="1" t="str">
        <f t="shared" si="16"/>
        <v>0 г. 0 мес. 2 дн.</v>
      </c>
      <c r="W221" s="5"/>
    </row>
    <row r="222" spans="1:23" ht="34.5" customHeight="1" x14ac:dyDescent="0.25">
      <c r="A222" s="1">
        <f t="shared" si="21"/>
        <v>221</v>
      </c>
      <c r="B222" s="1">
        <v>870</v>
      </c>
      <c r="C222" s="2" t="s">
        <v>96</v>
      </c>
      <c r="D222" s="3">
        <v>45840</v>
      </c>
      <c r="E222" s="4">
        <v>0.95833333333333337</v>
      </c>
      <c r="F222" s="1" t="s">
        <v>692</v>
      </c>
      <c r="G222" s="3">
        <v>40538</v>
      </c>
      <c r="H222" s="1" t="str">
        <f t="shared" si="18"/>
        <v>14 г. 6 мес. 6 дн.</v>
      </c>
      <c r="I222" s="1" t="s">
        <v>39</v>
      </c>
      <c r="K222" s="1" t="s">
        <v>693</v>
      </c>
      <c r="L222" s="1" t="s">
        <v>694</v>
      </c>
      <c r="M222" s="1" t="s">
        <v>181</v>
      </c>
      <c r="O222" s="1" t="s">
        <v>29</v>
      </c>
      <c r="S222" s="1" t="s">
        <v>83</v>
      </c>
      <c r="T222" s="3">
        <v>45840</v>
      </c>
      <c r="U222" s="4">
        <v>0.625</v>
      </c>
      <c r="V222" s="1" t="str">
        <f t="shared" si="16"/>
        <v>0 г. 0 мес. 0 дн.</v>
      </c>
      <c r="W222" s="5"/>
    </row>
    <row r="223" spans="1:23" ht="34.5" customHeight="1" x14ac:dyDescent="0.25">
      <c r="A223" s="1">
        <f t="shared" si="21"/>
        <v>222</v>
      </c>
      <c r="B223" s="1">
        <v>765</v>
      </c>
      <c r="C223" s="2" t="s">
        <v>60</v>
      </c>
      <c r="D223" s="3">
        <v>45840</v>
      </c>
      <c r="E223" s="4">
        <v>0.64930555555555558</v>
      </c>
      <c r="F223" s="1" t="s">
        <v>695</v>
      </c>
      <c r="G223" s="3">
        <v>45813</v>
      </c>
      <c r="H223" s="1" t="str">
        <f t="shared" si="18"/>
        <v>0 г. 0 мес. 27 дн.</v>
      </c>
      <c r="I223" s="1" t="s">
        <v>62</v>
      </c>
      <c r="K223" s="1" t="s">
        <v>696</v>
      </c>
      <c r="L223" s="1" t="s">
        <v>156</v>
      </c>
      <c r="M223" s="1" t="s">
        <v>157</v>
      </c>
      <c r="O223" s="1" t="s">
        <v>29</v>
      </c>
      <c r="S223" s="1" t="s">
        <v>60</v>
      </c>
      <c r="T223" s="3">
        <v>45840</v>
      </c>
      <c r="U223" s="4">
        <v>0.89583333333333337</v>
      </c>
      <c r="V223" s="1" t="str">
        <f t="shared" si="16"/>
        <v>0 г. 0 мес. 0 дн.</v>
      </c>
      <c r="W223" s="5"/>
    </row>
    <row r="224" spans="1:23" ht="34.5" customHeight="1" x14ac:dyDescent="0.25">
      <c r="A224" s="1">
        <f t="shared" si="21"/>
        <v>223</v>
      </c>
      <c r="B224" s="1">
        <v>1515</v>
      </c>
      <c r="C224" s="2" t="s">
        <v>60</v>
      </c>
      <c r="D224" s="3">
        <v>45840</v>
      </c>
      <c r="E224" s="4">
        <v>0.54166666666666663</v>
      </c>
      <c r="F224" s="1" t="s">
        <v>699</v>
      </c>
      <c r="G224" s="3">
        <v>40848</v>
      </c>
      <c r="H224" s="1" t="str">
        <f t="shared" si="18"/>
        <v>13 г. 8 мес. 1 дн.</v>
      </c>
      <c r="I224" s="1" t="s">
        <v>62</v>
      </c>
      <c r="K224" s="1" t="s">
        <v>697</v>
      </c>
      <c r="L224" s="1" t="s">
        <v>698</v>
      </c>
      <c r="M224" s="1" t="s">
        <v>87</v>
      </c>
      <c r="O224" s="1" t="s">
        <v>29</v>
      </c>
      <c r="P224" s="1" t="s">
        <v>101</v>
      </c>
      <c r="S224" s="1" t="s">
        <v>60</v>
      </c>
      <c r="T224" s="3">
        <v>45843</v>
      </c>
      <c r="U224" s="4">
        <v>0.5</v>
      </c>
      <c r="V224" s="1" t="str">
        <f t="shared" si="16"/>
        <v>0 г. 0 мес. 3 дн.</v>
      </c>
      <c r="W224" s="5"/>
    </row>
    <row r="225" spans="1:24" ht="34.5" customHeight="1" x14ac:dyDescent="0.25">
      <c r="A225" s="1">
        <f t="shared" si="21"/>
        <v>224</v>
      </c>
      <c r="B225" s="1">
        <v>1489</v>
      </c>
      <c r="C225" s="2" t="s">
        <v>60</v>
      </c>
      <c r="D225" s="3">
        <v>45840</v>
      </c>
      <c r="E225" s="4">
        <v>0.83680555555555547</v>
      </c>
      <c r="F225" s="1" t="s">
        <v>454</v>
      </c>
      <c r="G225" s="3">
        <v>41215</v>
      </c>
      <c r="H225" s="1" t="str">
        <f t="shared" si="18"/>
        <v>12 г. 8 мес. 0 дн.</v>
      </c>
      <c r="I225" s="1" t="s">
        <v>70</v>
      </c>
      <c r="K225" s="1" t="s">
        <v>455</v>
      </c>
      <c r="L225" s="1" t="s">
        <v>700</v>
      </c>
      <c r="M225" s="1" t="s">
        <v>181</v>
      </c>
      <c r="O225" s="1" t="s">
        <v>29</v>
      </c>
      <c r="S225" s="1" t="s">
        <v>60</v>
      </c>
      <c r="T225" s="3">
        <v>45841</v>
      </c>
      <c r="U225" s="4">
        <v>0.5</v>
      </c>
      <c r="V225" s="1" t="str">
        <f t="shared" si="16"/>
        <v>0 г. 0 мес. 1 дн.</v>
      </c>
      <c r="W225" s="5"/>
    </row>
    <row r="226" spans="1:24" ht="34.5" customHeight="1" x14ac:dyDescent="0.25">
      <c r="A226" s="1">
        <f t="shared" si="21"/>
        <v>225</v>
      </c>
      <c r="B226" s="1">
        <v>320</v>
      </c>
      <c r="C226" s="2" t="s">
        <v>91</v>
      </c>
      <c r="D226" s="3">
        <v>45840</v>
      </c>
      <c r="E226" s="4">
        <v>0.58333333333333337</v>
      </c>
      <c r="F226" s="1" t="s">
        <v>701</v>
      </c>
      <c r="G226" s="3"/>
      <c r="H226" s="1" t="str">
        <f t="shared" si="18"/>
        <v>125 г. 6 мес. 2 дн.</v>
      </c>
      <c r="I226" s="1" t="s">
        <v>70</v>
      </c>
      <c r="K226" s="1" t="s">
        <v>498</v>
      </c>
      <c r="L226" s="1" t="s">
        <v>465</v>
      </c>
      <c r="M226" s="1" t="s">
        <v>105</v>
      </c>
      <c r="O226" s="1" t="s">
        <v>29</v>
      </c>
      <c r="Q226" s="1" t="s">
        <v>30</v>
      </c>
      <c r="S226" s="1" t="s">
        <v>91</v>
      </c>
      <c r="T226" s="3">
        <v>45841</v>
      </c>
      <c r="U226" s="4">
        <v>0.5</v>
      </c>
      <c r="V226" s="1" t="str">
        <f t="shared" si="16"/>
        <v>0 г. 0 мес. 1 дн.</v>
      </c>
      <c r="W226" s="5"/>
    </row>
    <row r="227" spans="1:24" ht="34.5" customHeight="1" x14ac:dyDescent="0.25">
      <c r="A227" s="1">
        <f t="shared" si="21"/>
        <v>226</v>
      </c>
      <c r="B227" s="1">
        <v>329</v>
      </c>
      <c r="C227" s="2" t="s">
        <v>702</v>
      </c>
      <c r="D227" s="3">
        <v>45842</v>
      </c>
      <c r="E227" s="4">
        <v>0.5625</v>
      </c>
      <c r="F227" s="1" t="s">
        <v>703</v>
      </c>
      <c r="G227" s="3">
        <v>45142</v>
      </c>
      <c r="H227" s="1" t="str">
        <f t="shared" si="18"/>
        <v>1 г. 11 мес. 0 дн.</v>
      </c>
      <c r="I227" s="1" t="s">
        <v>39</v>
      </c>
      <c r="K227" s="1" t="s">
        <v>704</v>
      </c>
      <c r="L227" s="1" t="s">
        <v>705</v>
      </c>
      <c r="M227" s="1" t="s">
        <v>95</v>
      </c>
      <c r="O227" s="1" t="s">
        <v>42</v>
      </c>
      <c r="Q227" s="1" t="s">
        <v>147</v>
      </c>
      <c r="R227" s="1" t="s">
        <v>597</v>
      </c>
      <c r="S227" s="1" t="s">
        <v>83</v>
      </c>
      <c r="T227" s="3">
        <v>45845</v>
      </c>
      <c r="U227" s="4">
        <v>0.625</v>
      </c>
      <c r="V227" s="1" t="str">
        <f t="shared" si="16"/>
        <v>0 г. 0 мес. 3 дн.</v>
      </c>
      <c r="W227" s="5"/>
    </row>
    <row r="228" spans="1:24" ht="34.5" customHeight="1" x14ac:dyDescent="0.25">
      <c r="A228" s="1">
        <f t="shared" si="21"/>
        <v>227</v>
      </c>
      <c r="B228" s="1">
        <v>1518</v>
      </c>
      <c r="C228" s="2" t="s">
        <v>60</v>
      </c>
      <c r="D228" s="3">
        <v>45845</v>
      </c>
      <c r="E228" s="4">
        <v>0.58333333333333337</v>
      </c>
      <c r="F228" s="1" t="s">
        <v>168</v>
      </c>
      <c r="G228" s="3">
        <v>44809</v>
      </c>
      <c r="H228" s="1" t="str">
        <f t="shared" si="18"/>
        <v>2 г. 10 мес. 2 дн.</v>
      </c>
      <c r="I228" s="1" t="s">
        <v>62</v>
      </c>
      <c r="K228" s="1" t="s">
        <v>706</v>
      </c>
      <c r="L228" s="1" t="s">
        <v>707</v>
      </c>
      <c r="M228" s="1" t="s">
        <v>87</v>
      </c>
      <c r="O228" s="1" t="s">
        <v>42</v>
      </c>
      <c r="P228" s="1" t="s">
        <v>101</v>
      </c>
      <c r="T228" s="3">
        <v>45848</v>
      </c>
      <c r="U228" s="4">
        <v>0.45833333333333331</v>
      </c>
      <c r="V228" s="1" t="str">
        <f t="shared" si="16"/>
        <v>0 г. 0 мес. 3 дн.</v>
      </c>
      <c r="W228" s="5"/>
    </row>
    <row r="229" spans="1:24" ht="34.5" customHeight="1" x14ac:dyDescent="0.25">
      <c r="A229" s="1">
        <f t="shared" si="21"/>
        <v>228</v>
      </c>
      <c r="B229" s="70">
        <v>900</v>
      </c>
      <c r="C229" s="71" t="s">
        <v>96</v>
      </c>
      <c r="D229" s="70">
        <v>45845</v>
      </c>
      <c r="E229" s="70">
        <v>0.96319444444444446</v>
      </c>
      <c r="F229" s="70" t="s">
        <v>708</v>
      </c>
      <c r="G229" s="72">
        <v>39867</v>
      </c>
      <c r="H229" s="70" t="str">
        <f t="shared" si="18"/>
        <v>16 г. 4 мес. 14 дн.</v>
      </c>
      <c r="I229" s="70" t="s">
        <v>39</v>
      </c>
      <c r="J229" s="70"/>
      <c r="K229" s="70" t="s">
        <v>709</v>
      </c>
      <c r="L229" s="70" t="s">
        <v>710</v>
      </c>
      <c r="M229" s="70" t="s">
        <v>181</v>
      </c>
      <c r="N229" s="70"/>
      <c r="O229" s="70" t="s">
        <v>42</v>
      </c>
      <c r="P229" s="70"/>
      <c r="Q229" s="70" t="s">
        <v>147</v>
      </c>
      <c r="R229" s="70"/>
      <c r="S229" s="70" t="s">
        <v>194</v>
      </c>
      <c r="T229" s="70">
        <v>45846</v>
      </c>
      <c r="U229" s="70">
        <v>0.10416666666666667</v>
      </c>
      <c r="V229" s="70" t="str">
        <f t="shared" si="16"/>
        <v>0 г. 0 мес. 1 дн.</v>
      </c>
      <c r="W229" s="70"/>
      <c r="X229" s="70"/>
    </row>
    <row r="230" spans="1:24" ht="34.5" customHeight="1" x14ac:dyDescent="0.25">
      <c r="A230" s="1">
        <f t="shared" si="21"/>
        <v>229</v>
      </c>
      <c r="B230" s="1">
        <v>1569</v>
      </c>
      <c r="C230" s="2" t="s">
        <v>60</v>
      </c>
      <c r="D230" s="3">
        <v>45847</v>
      </c>
      <c r="E230" s="4">
        <v>0.875</v>
      </c>
      <c r="F230" s="1" t="s">
        <v>711</v>
      </c>
      <c r="G230" s="3">
        <v>39795</v>
      </c>
      <c r="H230" s="1" t="str">
        <f t="shared" si="18"/>
        <v>16 г. 6 мес. 26 дн.</v>
      </c>
      <c r="I230" s="1" t="s">
        <v>70</v>
      </c>
      <c r="K230" s="1" t="s">
        <v>712</v>
      </c>
      <c r="L230" s="1" t="s">
        <v>713</v>
      </c>
      <c r="M230" s="1" t="s">
        <v>28</v>
      </c>
      <c r="O230" s="1" t="s">
        <v>42</v>
      </c>
      <c r="S230" s="1" t="s">
        <v>60</v>
      </c>
      <c r="T230" s="3">
        <v>45852</v>
      </c>
      <c r="U230" s="4">
        <v>0.47916666666666669</v>
      </c>
      <c r="V230" s="1" t="str">
        <f t="shared" si="16"/>
        <v>0 г. 0 мес. 5 дн.</v>
      </c>
      <c r="W230" s="5"/>
    </row>
    <row r="231" spans="1:24" ht="34.5" customHeight="1" x14ac:dyDescent="0.25">
      <c r="A231" s="1">
        <f t="shared" si="21"/>
        <v>230</v>
      </c>
      <c r="B231" s="1">
        <v>1562</v>
      </c>
      <c r="C231" s="2" t="s">
        <v>60</v>
      </c>
      <c r="D231" s="3">
        <v>45847</v>
      </c>
      <c r="E231" s="4">
        <v>0.4861111111111111</v>
      </c>
      <c r="F231" s="1" t="s">
        <v>714</v>
      </c>
      <c r="G231" s="3">
        <v>42936</v>
      </c>
      <c r="H231" s="1" t="str">
        <f t="shared" si="18"/>
        <v>7 г. 11 мес. 19 дн.</v>
      </c>
      <c r="I231" s="1" t="s">
        <v>39</v>
      </c>
      <c r="K231" s="1" t="s">
        <v>715</v>
      </c>
      <c r="L231" s="1" t="s">
        <v>716</v>
      </c>
      <c r="M231" s="1" t="s">
        <v>181</v>
      </c>
      <c r="O231" s="1" t="s">
        <v>29</v>
      </c>
      <c r="S231" s="1" t="s">
        <v>60</v>
      </c>
      <c r="T231" s="3">
        <v>45848</v>
      </c>
      <c r="U231" s="4">
        <v>0.4375</v>
      </c>
      <c r="V231" s="1" t="str">
        <f t="shared" si="16"/>
        <v>0 г. 0 мес. 1 дн.</v>
      </c>
      <c r="W231" s="5"/>
    </row>
    <row r="232" spans="1:24" ht="34.5" customHeight="1" x14ac:dyDescent="0.25">
      <c r="A232" s="1">
        <f t="shared" si="21"/>
        <v>231</v>
      </c>
      <c r="B232" s="1">
        <v>387</v>
      </c>
      <c r="C232" s="2" t="s">
        <v>46</v>
      </c>
      <c r="D232" s="3">
        <v>45849</v>
      </c>
      <c r="E232" s="4">
        <v>0.3263888888888889</v>
      </c>
      <c r="F232" s="1" t="s">
        <v>717</v>
      </c>
      <c r="G232" s="3">
        <v>45550</v>
      </c>
      <c r="H232" s="1" t="str">
        <f t="shared" si="18"/>
        <v>0 г. 9 мес. 26 дн.</v>
      </c>
      <c r="I232" s="1" t="s">
        <v>39</v>
      </c>
      <c r="K232" s="1" t="s">
        <v>718</v>
      </c>
      <c r="L232" s="1" t="s">
        <v>719</v>
      </c>
      <c r="M232" s="1" t="s">
        <v>50</v>
      </c>
      <c r="O232" s="1" t="s">
        <v>29</v>
      </c>
      <c r="S232" s="2" t="s">
        <v>46</v>
      </c>
      <c r="T232" s="3">
        <v>45850</v>
      </c>
      <c r="U232" s="4">
        <v>0.41666666666666669</v>
      </c>
      <c r="V232" s="1" t="str">
        <f t="shared" si="16"/>
        <v>0 г. 0 мес. 1 дн.</v>
      </c>
      <c r="W232" s="5"/>
    </row>
    <row r="233" spans="1:24" ht="34.5" customHeight="1" x14ac:dyDescent="0.25">
      <c r="A233" s="1">
        <f t="shared" si="21"/>
        <v>232</v>
      </c>
      <c r="B233" s="1">
        <v>1583</v>
      </c>
      <c r="C233" s="2" t="s">
        <v>60</v>
      </c>
      <c r="D233" s="3">
        <v>45849</v>
      </c>
      <c r="E233" s="4">
        <v>0.64583333333333337</v>
      </c>
      <c r="F233" s="1" t="s">
        <v>720</v>
      </c>
      <c r="G233" s="3">
        <v>41483</v>
      </c>
      <c r="H233" s="1" t="str">
        <f t="shared" si="18"/>
        <v>11 г. 11 мес. 13 дн.</v>
      </c>
      <c r="I233" s="1" t="s">
        <v>39</v>
      </c>
      <c r="K233" s="1" t="s">
        <v>721</v>
      </c>
      <c r="L233" s="1" t="s">
        <v>291</v>
      </c>
      <c r="M233" s="1" t="s">
        <v>95</v>
      </c>
      <c r="O233" s="1" t="s">
        <v>29</v>
      </c>
      <c r="S233" s="2" t="s">
        <v>60</v>
      </c>
      <c r="T233" s="3">
        <v>45850</v>
      </c>
      <c r="U233" s="4">
        <v>0.41666666666666669</v>
      </c>
      <c r="V233" s="1" t="str">
        <f t="shared" si="16"/>
        <v>0 г. 0 мес. 1 дн.</v>
      </c>
      <c r="W233" s="5"/>
    </row>
    <row r="234" spans="1:24" ht="34.5" customHeight="1" x14ac:dyDescent="0.25">
      <c r="A234" s="1">
        <f t="shared" si="21"/>
        <v>233</v>
      </c>
      <c r="B234" s="1">
        <v>935</v>
      </c>
      <c r="C234" s="2" t="s">
        <v>96</v>
      </c>
      <c r="D234" s="3">
        <v>45851</v>
      </c>
      <c r="E234" s="4">
        <v>0.75</v>
      </c>
      <c r="F234" s="1" t="s">
        <v>722</v>
      </c>
      <c r="G234" s="3">
        <v>44813</v>
      </c>
      <c r="H234" s="1" t="str">
        <f t="shared" si="18"/>
        <v>2 г. 10 мес. 4 дн.</v>
      </c>
      <c r="I234" s="1" t="s">
        <v>39</v>
      </c>
      <c r="K234" s="1" t="s">
        <v>723</v>
      </c>
      <c r="L234" s="1" t="s">
        <v>320</v>
      </c>
      <c r="M234" s="1" t="s">
        <v>181</v>
      </c>
      <c r="O234" s="1" t="s">
        <v>29</v>
      </c>
      <c r="S234" s="2" t="s">
        <v>96</v>
      </c>
      <c r="T234" s="3">
        <v>45852</v>
      </c>
      <c r="U234" s="4">
        <v>0.47916666666666669</v>
      </c>
      <c r="V234" s="1" t="str">
        <f t="shared" si="16"/>
        <v>0 г. 0 мес. 1 дн.</v>
      </c>
      <c r="W234" s="5"/>
    </row>
    <row r="235" spans="1:24" ht="34.5" customHeight="1" x14ac:dyDescent="0.25">
      <c r="A235" s="1">
        <f t="shared" si="21"/>
        <v>234</v>
      </c>
      <c r="B235" s="1">
        <v>1600</v>
      </c>
      <c r="C235" s="2" t="s">
        <v>60</v>
      </c>
      <c r="D235" s="3">
        <v>45852</v>
      </c>
      <c r="E235" s="4">
        <v>2.0833333333333332E-2</v>
      </c>
      <c r="F235" s="1" t="s">
        <v>724</v>
      </c>
      <c r="G235" s="3">
        <v>44355</v>
      </c>
      <c r="H235" s="1" t="str">
        <f t="shared" si="18"/>
        <v>4 г. 1 мес. 6 дн.</v>
      </c>
      <c r="I235" s="1" t="s">
        <v>39</v>
      </c>
      <c r="K235" s="1" t="s">
        <v>725</v>
      </c>
      <c r="L235" s="1" t="s">
        <v>726</v>
      </c>
      <c r="M235" s="1" t="s">
        <v>87</v>
      </c>
      <c r="O235" s="1" t="s">
        <v>29</v>
      </c>
      <c r="S235" s="1" t="s">
        <v>60</v>
      </c>
      <c r="T235" s="3">
        <v>45853</v>
      </c>
      <c r="U235" s="4">
        <v>0.5</v>
      </c>
      <c r="V235" s="1" t="str">
        <f t="shared" si="16"/>
        <v>0 г. 0 мес. 1 дн.</v>
      </c>
      <c r="W235" s="5"/>
    </row>
    <row r="236" spans="1:24" ht="34.5" customHeight="1" x14ac:dyDescent="0.25">
      <c r="A236" s="1">
        <f t="shared" si="21"/>
        <v>235</v>
      </c>
      <c r="B236" s="1">
        <v>948</v>
      </c>
      <c r="C236" s="2" t="s">
        <v>96</v>
      </c>
      <c r="D236" s="3">
        <v>45852</v>
      </c>
      <c r="E236" s="4">
        <v>0.65972222222222221</v>
      </c>
      <c r="F236" s="1" t="s">
        <v>727</v>
      </c>
      <c r="G236" s="3">
        <v>42060</v>
      </c>
      <c r="H236" s="1" t="str">
        <f t="shared" si="18"/>
        <v>10 г. 4 мес. 19 дн.</v>
      </c>
      <c r="I236" s="1" t="s">
        <v>39</v>
      </c>
      <c r="K236" s="1" t="s">
        <v>728</v>
      </c>
      <c r="L236" s="1" t="s">
        <v>710</v>
      </c>
      <c r="M236" s="1" t="s">
        <v>181</v>
      </c>
      <c r="O236" s="1" t="s">
        <v>29</v>
      </c>
      <c r="S236" s="2" t="s">
        <v>96</v>
      </c>
      <c r="T236" s="3">
        <v>45853</v>
      </c>
      <c r="U236" s="4">
        <v>0.5</v>
      </c>
      <c r="V236" s="1" t="str">
        <f t="shared" si="16"/>
        <v>0 г. 0 мес. 1 дн.</v>
      </c>
      <c r="W236" s="5"/>
    </row>
    <row r="237" spans="1:24" ht="34.5" customHeight="1" x14ac:dyDescent="0.25">
      <c r="A237" s="1">
        <f t="shared" si="21"/>
        <v>236</v>
      </c>
      <c r="B237" s="1">
        <v>391</v>
      </c>
      <c r="C237" s="2" t="s">
        <v>46</v>
      </c>
      <c r="D237" s="3">
        <v>45852</v>
      </c>
      <c r="E237" s="4">
        <v>0.76041666666666663</v>
      </c>
      <c r="F237" s="1" t="s">
        <v>729</v>
      </c>
      <c r="G237" s="3">
        <v>40523</v>
      </c>
      <c r="H237" s="1" t="str">
        <f t="shared" si="18"/>
        <v>14 г. 7 мес. 3 дн.</v>
      </c>
      <c r="I237" s="1" t="s">
        <v>39</v>
      </c>
      <c r="K237" s="1" t="s">
        <v>730</v>
      </c>
      <c r="L237" s="1" t="s">
        <v>731</v>
      </c>
      <c r="M237" s="1" t="s">
        <v>50</v>
      </c>
      <c r="O237" s="1" t="s">
        <v>29</v>
      </c>
      <c r="S237" s="2" t="s">
        <v>46</v>
      </c>
      <c r="T237" s="3">
        <v>45853</v>
      </c>
      <c r="U237" s="4">
        <v>0.5</v>
      </c>
      <c r="V237" s="1" t="str">
        <f t="shared" si="16"/>
        <v>0 г. 0 мес. 1 дн.</v>
      </c>
      <c r="W237" s="5"/>
    </row>
    <row r="238" spans="1:24" ht="34.5" customHeight="1" x14ac:dyDescent="0.25">
      <c r="A238" s="1">
        <f t="shared" si="21"/>
        <v>237</v>
      </c>
      <c r="B238" s="1">
        <v>1609</v>
      </c>
      <c r="C238" s="2" t="s">
        <v>60</v>
      </c>
      <c r="D238" s="3">
        <v>45852</v>
      </c>
      <c r="E238" s="4">
        <v>0.79861111111111116</v>
      </c>
      <c r="F238" s="1" t="s">
        <v>732</v>
      </c>
      <c r="G238" s="3">
        <v>44565</v>
      </c>
      <c r="H238" s="1" t="str">
        <f t="shared" si="18"/>
        <v>3 г. 6 мес. 10 дн.</v>
      </c>
      <c r="I238" s="1" t="s">
        <v>39</v>
      </c>
      <c r="K238" s="1" t="s">
        <v>298</v>
      </c>
      <c r="L238" s="1" t="s">
        <v>733</v>
      </c>
      <c r="M238" s="1" t="s">
        <v>65</v>
      </c>
      <c r="O238" s="1" t="s">
        <v>29</v>
      </c>
      <c r="S238" s="1" t="s">
        <v>60</v>
      </c>
      <c r="T238" s="3">
        <v>45856</v>
      </c>
      <c r="U238" s="4">
        <v>0.41666666666666669</v>
      </c>
      <c r="V238" s="1" t="str">
        <f t="shared" si="16"/>
        <v>0 г. 0 мес. 4 дн.</v>
      </c>
      <c r="W238" s="5"/>
    </row>
    <row r="239" spans="1:24" ht="34.5" customHeight="1" x14ac:dyDescent="0.25">
      <c r="A239" s="1">
        <f t="shared" si="21"/>
        <v>238</v>
      </c>
      <c r="B239" s="1">
        <v>1607</v>
      </c>
      <c r="C239" s="2" t="s">
        <v>60</v>
      </c>
      <c r="D239" s="3">
        <v>45852</v>
      </c>
      <c r="E239" s="4">
        <v>0.49652777777777773</v>
      </c>
      <c r="F239" s="1" t="s">
        <v>734</v>
      </c>
      <c r="G239" s="3">
        <v>42298</v>
      </c>
      <c r="H239" s="1" t="str">
        <f t="shared" si="18"/>
        <v>9 г. 8 мес. 23 дн.</v>
      </c>
      <c r="I239" s="1" t="s">
        <v>62</v>
      </c>
      <c r="K239" s="1" t="s">
        <v>735</v>
      </c>
      <c r="L239" s="1" t="s">
        <v>314</v>
      </c>
      <c r="M239" s="1" t="s">
        <v>87</v>
      </c>
      <c r="O239" s="1" t="s">
        <v>42</v>
      </c>
      <c r="P239" s="1" t="s">
        <v>101</v>
      </c>
      <c r="S239" s="1" t="s">
        <v>60</v>
      </c>
      <c r="T239" s="3">
        <v>45856</v>
      </c>
      <c r="U239" s="4">
        <v>0.5</v>
      </c>
      <c r="V239" s="1" t="str">
        <f t="shared" si="16"/>
        <v>0 г. 0 мес. 4 дн.</v>
      </c>
      <c r="W239" s="5"/>
    </row>
    <row r="240" spans="1:24" ht="34.5" customHeight="1" x14ac:dyDescent="0.25">
      <c r="A240" s="1">
        <f t="shared" si="21"/>
        <v>239</v>
      </c>
      <c r="B240" s="1"/>
      <c r="C240" s="2" t="s">
        <v>46</v>
      </c>
      <c r="D240" s="3">
        <v>45852</v>
      </c>
      <c r="E240" s="4">
        <v>0.90277777777777779</v>
      </c>
      <c r="F240" s="1" t="s">
        <v>216</v>
      </c>
      <c r="G240" s="3">
        <v>44436</v>
      </c>
      <c r="H240" s="1" t="str">
        <f t="shared" si="18"/>
        <v>3 г. 10 мес. 16 дн.</v>
      </c>
      <c r="I240" s="1" t="s">
        <v>39</v>
      </c>
      <c r="K240" s="1" t="s">
        <v>498</v>
      </c>
      <c r="L240" s="1" t="s">
        <v>736</v>
      </c>
      <c r="M240" s="1" t="s">
        <v>105</v>
      </c>
      <c r="O240" s="1" t="s">
        <v>29</v>
      </c>
      <c r="S240" s="1" t="s">
        <v>46</v>
      </c>
      <c r="T240" s="3">
        <v>45853</v>
      </c>
      <c r="U240" s="4">
        <v>0.5</v>
      </c>
      <c r="V240" s="1" t="str">
        <f t="shared" si="16"/>
        <v>0 г. 0 мес. 1 дн.</v>
      </c>
      <c r="W240" s="5"/>
    </row>
    <row r="241" spans="1:23" ht="34.5" customHeight="1" x14ac:dyDescent="0.25">
      <c r="A241" s="1">
        <f t="shared" si="21"/>
        <v>240</v>
      </c>
      <c r="B241" s="1">
        <v>1608</v>
      </c>
      <c r="C241" s="2" t="s">
        <v>60</v>
      </c>
      <c r="D241" s="3">
        <v>45852</v>
      </c>
      <c r="E241" s="4">
        <v>0.54513888888888895</v>
      </c>
      <c r="F241" s="1" t="s">
        <v>737</v>
      </c>
      <c r="G241" s="3">
        <v>43954</v>
      </c>
      <c r="H241" s="1" t="str">
        <f t="shared" si="18"/>
        <v>5 г. 2 мес. 11 дн.</v>
      </c>
      <c r="I241" s="1" t="s">
        <v>39</v>
      </c>
      <c r="K241" s="1" t="s">
        <v>738</v>
      </c>
      <c r="L241" s="1" t="s">
        <v>739</v>
      </c>
      <c r="M241" s="1" t="s">
        <v>87</v>
      </c>
      <c r="O241" s="1" t="s">
        <v>42</v>
      </c>
      <c r="P241" s="1" t="s">
        <v>101</v>
      </c>
      <c r="S241" s="1" t="s">
        <v>60</v>
      </c>
      <c r="T241" s="3">
        <v>45856</v>
      </c>
      <c r="U241" s="4">
        <v>0.5</v>
      </c>
      <c r="V241" s="1" t="str">
        <f t="shared" ref="V241:V304" si="22">DATEDIF(D241,T241,"y") &amp; " г. " &amp; DATEDIF(D241,T241,"ym") &amp; " мес. " &amp; DATEDIF(D241,T241,"md") &amp; " дн."</f>
        <v>0 г. 0 мес. 4 дн.</v>
      </c>
      <c r="W241" s="5"/>
    </row>
    <row r="242" spans="1:23" ht="34.5" customHeight="1" x14ac:dyDescent="0.25">
      <c r="A242" s="1">
        <f t="shared" si="21"/>
        <v>241</v>
      </c>
      <c r="B242" s="1">
        <v>1621</v>
      </c>
      <c r="C242" s="2" t="s">
        <v>60</v>
      </c>
      <c r="D242" s="3">
        <v>45854</v>
      </c>
      <c r="E242" s="4">
        <v>8.3333333333333329E-2</v>
      </c>
      <c r="F242" s="1" t="s">
        <v>740</v>
      </c>
      <c r="G242" s="3">
        <v>41073</v>
      </c>
      <c r="H242" s="1" t="str">
        <f t="shared" si="18"/>
        <v>13 г. 1 мес. 3 дн.</v>
      </c>
      <c r="I242" s="1" t="s">
        <v>39</v>
      </c>
      <c r="K242" s="1" t="s">
        <v>363</v>
      </c>
      <c r="L242" s="1" t="s">
        <v>741</v>
      </c>
      <c r="M242" s="1" t="s">
        <v>87</v>
      </c>
      <c r="O242" s="1" t="s">
        <v>42</v>
      </c>
      <c r="P242" s="1" t="s">
        <v>101</v>
      </c>
      <c r="S242" s="1" t="s">
        <v>60</v>
      </c>
      <c r="T242" s="3">
        <v>45856</v>
      </c>
      <c r="U242" s="4">
        <v>0.5</v>
      </c>
      <c r="V242" s="1" t="str">
        <f t="shared" si="22"/>
        <v>0 г. 0 мес. 2 дн.</v>
      </c>
      <c r="W242" s="5"/>
    </row>
    <row r="243" spans="1:23" ht="34.5" customHeight="1" x14ac:dyDescent="0.25">
      <c r="A243" s="1">
        <f>ROW(A241)</f>
        <v>241</v>
      </c>
      <c r="B243" s="1">
        <v>389</v>
      </c>
      <c r="C243" s="2" t="s">
        <v>236</v>
      </c>
      <c r="D243" s="3">
        <v>45852</v>
      </c>
      <c r="E243" s="4">
        <v>0.375</v>
      </c>
      <c r="F243" s="1" t="s">
        <v>742</v>
      </c>
      <c r="G243" s="3">
        <v>39803</v>
      </c>
      <c r="H243" s="1" t="str">
        <f t="shared" si="18"/>
        <v>16 г. 6 мес. 23 дн.</v>
      </c>
      <c r="I243" s="1" t="s">
        <v>39</v>
      </c>
      <c r="K243" s="1" t="s">
        <v>137</v>
      </c>
      <c r="L243" s="1" t="s">
        <v>743</v>
      </c>
      <c r="M243" s="1" t="s">
        <v>28</v>
      </c>
      <c r="O243" s="1" t="s">
        <v>29</v>
      </c>
      <c r="S243" s="1" t="s">
        <v>236</v>
      </c>
      <c r="T243" s="3">
        <v>45865</v>
      </c>
      <c r="U243" s="4">
        <v>0.5</v>
      </c>
      <c r="V243" s="1" t="str">
        <f t="shared" si="22"/>
        <v>0 г. 0 мес. 13 дн.</v>
      </c>
      <c r="W243" s="5"/>
    </row>
    <row r="244" spans="1:23" ht="34.5" customHeight="1" x14ac:dyDescent="0.25">
      <c r="A244" s="1">
        <f t="shared" ref="A244:A275" si="23">ROW(A243)</f>
        <v>243</v>
      </c>
      <c r="B244" s="1">
        <v>395</v>
      </c>
      <c r="C244" s="2" t="s">
        <v>278</v>
      </c>
      <c r="D244" s="3">
        <v>45856</v>
      </c>
      <c r="E244" s="4">
        <v>0.55555555555555558</v>
      </c>
      <c r="F244" s="1" t="s">
        <v>744</v>
      </c>
      <c r="G244" s="3">
        <v>45793</v>
      </c>
      <c r="H244" s="1" t="str">
        <f t="shared" si="18"/>
        <v>0 г. 2 мес. 2 дн.</v>
      </c>
      <c r="I244" s="1" t="s">
        <v>70</v>
      </c>
      <c r="K244" s="1" t="s">
        <v>745</v>
      </c>
      <c r="L244" s="1" t="s">
        <v>746</v>
      </c>
      <c r="M244" s="1" t="s">
        <v>73</v>
      </c>
      <c r="O244" s="1" t="s">
        <v>42</v>
      </c>
      <c r="S244" s="1" t="s">
        <v>32</v>
      </c>
      <c r="T244" s="3">
        <v>45859</v>
      </c>
      <c r="U244" s="4">
        <v>0.52083333333333337</v>
      </c>
      <c r="V244" s="1" t="str">
        <f t="shared" si="22"/>
        <v>0 г. 0 мес. 3 дн.</v>
      </c>
      <c r="W244" s="5"/>
    </row>
    <row r="245" spans="1:23" ht="34.5" customHeight="1" x14ac:dyDescent="0.25">
      <c r="A245" s="1">
        <f t="shared" si="23"/>
        <v>244</v>
      </c>
      <c r="B245" s="1">
        <v>404</v>
      </c>
      <c r="C245" s="2" t="s">
        <v>46</v>
      </c>
      <c r="D245" s="3">
        <v>45857</v>
      </c>
      <c r="E245" s="4">
        <v>0.51388888888888895</v>
      </c>
      <c r="F245" s="1" t="s">
        <v>747</v>
      </c>
      <c r="G245" s="3">
        <v>40745</v>
      </c>
      <c r="H245" s="1" t="str">
        <f t="shared" si="18"/>
        <v>13 г. 11 мес. 28 дн.</v>
      </c>
      <c r="I245" s="1" t="s">
        <v>39</v>
      </c>
      <c r="K245" s="1" t="s">
        <v>749</v>
      </c>
      <c r="L245" s="1" t="s">
        <v>433</v>
      </c>
      <c r="M245" s="1" t="s">
        <v>135</v>
      </c>
      <c r="O245" s="1" t="s">
        <v>29</v>
      </c>
      <c r="S245" s="1" t="s">
        <v>83</v>
      </c>
      <c r="T245" s="3">
        <v>45859</v>
      </c>
      <c r="U245" s="4">
        <v>0.47916666666666669</v>
      </c>
      <c r="V245" s="1" t="str">
        <f t="shared" si="22"/>
        <v>0 г. 0 мес. 2 дн.</v>
      </c>
      <c r="W245" s="5"/>
    </row>
    <row r="246" spans="1:23" ht="34.5" customHeight="1" x14ac:dyDescent="0.25">
      <c r="A246" s="1">
        <f t="shared" si="23"/>
        <v>245</v>
      </c>
      <c r="B246" s="1">
        <v>987</v>
      </c>
      <c r="C246" s="2" t="s">
        <v>96</v>
      </c>
      <c r="D246" s="3">
        <v>45857</v>
      </c>
      <c r="E246" s="4">
        <v>0.78472222222222221</v>
      </c>
      <c r="F246" s="1" t="s">
        <v>748</v>
      </c>
      <c r="G246" s="3">
        <v>45097</v>
      </c>
      <c r="H246" s="1" t="str">
        <f t="shared" si="18"/>
        <v>2 г. 0 мес. 29 дн.</v>
      </c>
      <c r="I246" s="1" t="s">
        <v>39</v>
      </c>
      <c r="K246" s="1" t="s">
        <v>137</v>
      </c>
      <c r="L246" s="1" t="s">
        <v>750</v>
      </c>
      <c r="M246" s="1" t="s">
        <v>181</v>
      </c>
      <c r="O246" s="1" t="s">
        <v>42</v>
      </c>
      <c r="S246" s="1" t="s">
        <v>96</v>
      </c>
      <c r="T246" s="3">
        <v>45861</v>
      </c>
      <c r="U246" s="4">
        <v>0.5</v>
      </c>
      <c r="V246" s="1" t="str">
        <f t="shared" si="22"/>
        <v>0 г. 0 мес. 4 дн.</v>
      </c>
      <c r="W246" s="5"/>
    </row>
    <row r="247" spans="1:23" ht="34.5" customHeight="1" x14ac:dyDescent="0.25">
      <c r="A247" s="1">
        <f t="shared" si="23"/>
        <v>246</v>
      </c>
      <c r="B247" s="1">
        <v>374</v>
      </c>
      <c r="C247" s="2" t="s">
        <v>236</v>
      </c>
      <c r="D247" s="3">
        <v>45858</v>
      </c>
      <c r="E247" s="4">
        <v>0.78472222222222221</v>
      </c>
      <c r="F247" s="1" t="s">
        <v>519</v>
      </c>
      <c r="G247" s="3">
        <v>39744</v>
      </c>
      <c r="H247" s="1" t="str">
        <f t="shared" si="18"/>
        <v>16 г. 8 мес. 27 дн.</v>
      </c>
      <c r="I247" s="1" t="s">
        <v>70</v>
      </c>
      <c r="M247" s="1" t="s">
        <v>73</v>
      </c>
      <c r="O247" s="1" t="s">
        <v>29</v>
      </c>
      <c r="S247" s="1" t="s">
        <v>236</v>
      </c>
      <c r="T247" s="3">
        <v>45861</v>
      </c>
      <c r="U247" s="4">
        <v>0.5</v>
      </c>
      <c r="V247" s="1" t="str">
        <f t="shared" si="22"/>
        <v>0 г. 0 мес. 3 дн.</v>
      </c>
      <c r="W247" s="5"/>
    </row>
    <row r="248" spans="1:23" ht="34.5" customHeight="1" x14ac:dyDescent="0.25">
      <c r="A248" s="1">
        <f t="shared" si="23"/>
        <v>247</v>
      </c>
      <c r="B248" s="1"/>
      <c r="C248" s="2" t="s">
        <v>60</v>
      </c>
      <c r="D248" s="3">
        <v>45858</v>
      </c>
      <c r="E248" s="4"/>
      <c r="F248" s="1" t="s">
        <v>751</v>
      </c>
      <c r="G248" s="3"/>
      <c r="H248" s="1" t="str">
        <f t="shared" si="18"/>
        <v>125 г. 6 мес. 20 дн.</v>
      </c>
      <c r="I248" s="1" t="s">
        <v>39</v>
      </c>
      <c r="K248" s="1" t="s">
        <v>752</v>
      </c>
      <c r="L248" s="1" t="s">
        <v>530</v>
      </c>
      <c r="M248" s="1" t="s">
        <v>181</v>
      </c>
      <c r="O248" s="1" t="s">
        <v>29</v>
      </c>
      <c r="S248" s="1" t="s">
        <v>60</v>
      </c>
      <c r="T248" s="3">
        <v>45859</v>
      </c>
      <c r="U248" s="4">
        <v>0.5</v>
      </c>
      <c r="V248" s="1" t="str">
        <f t="shared" si="22"/>
        <v>0 г. 0 мес. 1 дн.</v>
      </c>
      <c r="W248" s="5"/>
    </row>
    <row r="249" spans="1:23" ht="34.5" customHeight="1" x14ac:dyDescent="0.25">
      <c r="A249" s="1">
        <f t="shared" si="23"/>
        <v>248</v>
      </c>
      <c r="B249" s="1">
        <v>405</v>
      </c>
      <c r="C249" s="2" t="s">
        <v>46</v>
      </c>
      <c r="D249" s="3">
        <v>45859</v>
      </c>
      <c r="E249" s="4">
        <v>0.47916666666666669</v>
      </c>
      <c r="F249" s="1" t="s">
        <v>753</v>
      </c>
      <c r="G249" s="3">
        <v>40752</v>
      </c>
      <c r="H249" s="1" t="str">
        <f t="shared" si="18"/>
        <v>13 г. 11 мес. 23 дн.</v>
      </c>
      <c r="I249" s="1" t="s">
        <v>39</v>
      </c>
      <c r="K249" s="1" t="s">
        <v>735</v>
      </c>
      <c r="L249" s="1" t="s">
        <v>754</v>
      </c>
      <c r="M249" s="1" t="s">
        <v>135</v>
      </c>
      <c r="O249" s="1" t="s">
        <v>29</v>
      </c>
      <c r="S249" s="1" t="s">
        <v>83</v>
      </c>
      <c r="T249" s="3">
        <v>45860</v>
      </c>
      <c r="U249" s="4">
        <v>0.52083333333333337</v>
      </c>
      <c r="V249" s="1" t="str">
        <f t="shared" si="22"/>
        <v>0 г. 0 мес. 1 дн.</v>
      </c>
      <c r="W249" s="5"/>
    </row>
    <row r="250" spans="1:23" ht="34.5" customHeight="1" x14ac:dyDescent="0.25">
      <c r="A250" s="1">
        <f t="shared" si="23"/>
        <v>249</v>
      </c>
      <c r="B250" s="1">
        <v>1685</v>
      </c>
      <c r="C250" s="2" t="s">
        <v>60</v>
      </c>
      <c r="D250" s="3">
        <v>45861</v>
      </c>
      <c r="E250" s="4">
        <v>0.73611111111111116</v>
      </c>
      <c r="F250" s="1" t="s">
        <v>756</v>
      </c>
      <c r="G250" s="3">
        <v>45337</v>
      </c>
      <c r="H250" s="1" t="str">
        <f t="shared" si="18"/>
        <v>1 г. 5 мес. 8 дн.</v>
      </c>
      <c r="I250" s="1" t="s">
        <v>39</v>
      </c>
      <c r="K250" s="1" t="s">
        <v>757</v>
      </c>
      <c r="L250" s="1" t="s">
        <v>758</v>
      </c>
      <c r="M250" s="1" t="s">
        <v>65</v>
      </c>
      <c r="O250" s="1" t="s">
        <v>29</v>
      </c>
      <c r="S250" s="1" t="s">
        <v>60</v>
      </c>
      <c r="T250" s="3">
        <v>45863</v>
      </c>
      <c r="U250" s="4">
        <v>0.52083333333333337</v>
      </c>
      <c r="V250" s="1" t="str">
        <f t="shared" si="22"/>
        <v>0 г. 0 мес. 2 дн.</v>
      </c>
      <c r="W250" s="5"/>
    </row>
    <row r="251" spans="1:23" ht="34.5" customHeight="1" x14ac:dyDescent="0.25">
      <c r="A251" s="1">
        <f t="shared" si="23"/>
        <v>250</v>
      </c>
      <c r="B251" s="1">
        <v>1671</v>
      </c>
      <c r="C251" s="2" t="s">
        <v>60</v>
      </c>
      <c r="D251" s="3">
        <v>45861</v>
      </c>
      <c r="E251" s="4">
        <v>0.4375</v>
      </c>
      <c r="F251" s="1" t="s">
        <v>759</v>
      </c>
      <c r="G251" s="3">
        <v>45748</v>
      </c>
      <c r="H251" s="1" t="str">
        <f t="shared" si="18"/>
        <v>0 г. 3 мес. 22 дн.</v>
      </c>
      <c r="I251" s="1" t="s">
        <v>70</v>
      </c>
      <c r="K251" s="1" t="s">
        <v>760</v>
      </c>
      <c r="L251" s="1" t="s">
        <v>761</v>
      </c>
      <c r="M251" s="1" t="s">
        <v>87</v>
      </c>
      <c r="O251" s="1" t="s">
        <v>42</v>
      </c>
      <c r="S251" s="1" t="s">
        <v>60</v>
      </c>
      <c r="T251" s="3">
        <v>45886</v>
      </c>
      <c r="U251" s="4">
        <v>0.5</v>
      </c>
      <c r="V251" s="1" t="str">
        <f t="shared" si="22"/>
        <v>0 г. 0 мес. 25 дн.</v>
      </c>
      <c r="W251" s="5"/>
    </row>
    <row r="252" spans="1:23" ht="34.5" customHeight="1" x14ac:dyDescent="0.25">
      <c r="A252" s="1">
        <f t="shared" si="23"/>
        <v>251</v>
      </c>
      <c r="B252" s="1">
        <v>1015</v>
      </c>
      <c r="C252" s="2" t="s">
        <v>96</v>
      </c>
      <c r="D252" s="3">
        <v>45860</v>
      </c>
      <c r="E252" s="4">
        <v>0.58333333333333337</v>
      </c>
      <c r="F252" s="1" t="s">
        <v>762</v>
      </c>
      <c r="G252" s="3">
        <v>39579</v>
      </c>
      <c r="H252" s="1" t="str">
        <f t="shared" si="18"/>
        <v>17 г. 2 мес. 11 дн.</v>
      </c>
      <c r="I252" s="1" t="s">
        <v>39</v>
      </c>
      <c r="K252" s="1" t="s">
        <v>763</v>
      </c>
      <c r="L252" s="1" t="s">
        <v>764</v>
      </c>
      <c r="M252" s="1" t="s">
        <v>181</v>
      </c>
      <c r="O252" s="1" t="s">
        <v>29</v>
      </c>
      <c r="S252" s="1" t="s">
        <v>96</v>
      </c>
      <c r="T252" s="3">
        <v>45862</v>
      </c>
      <c r="U252" s="4">
        <v>0.54166666666666663</v>
      </c>
      <c r="V252" s="1" t="str">
        <f t="shared" si="22"/>
        <v>0 г. 0 мес. 2 дн.</v>
      </c>
      <c r="W252" s="5"/>
    </row>
    <row r="253" spans="1:23" ht="34.5" customHeight="1" x14ac:dyDescent="0.25">
      <c r="A253" s="1">
        <f t="shared" si="23"/>
        <v>252</v>
      </c>
      <c r="B253" s="1">
        <v>998</v>
      </c>
      <c r="C253" s="2" t="s">
        <v>96</v>
      </c>
      <c r="D253" s="3">
        <v>45861</v>
      </c>
      <c r="E253" s="4">
        <v>0.58333333333333337</v>
      </c>
      <c r="F253" s="1" t="s">
        <v>765</v>
      </c>
      <c r="G253" s="3">
        <v>40224</v>
      </c>
      <c r="H253" s="1" t="str">
        <f t="shared" si="18"/>
        <v>15 г. 5 мес. 8 дн.</v>
      </c>
      <c r="I253" s="1" t="s">
        <v>62</v>
      </c>
      <c r="K253" s="1" t="s">
        <v>766</v>
      </c>
      <c r="L253" s="1" t="s">
        <v>767</v>
      </c>
      <c r="M253" s="1" t="s">
        <v>100</v>
      </c>
      <c r="O253" s="1" t="s">
        <v>29</v>
      </c>
      <c r="P253" s="1" t="s">
        <v>101</v>
      </c>
      <c r="S253" s="1" t="s">
        <v>96</v>
      </c>
      <c r="T253" s="3">
        <v>45865</v>
      </c>
      <c r="U253" s="4">
        <v>0.45833333333333331</v>
      </c>
      <c r="V253" s="1" t="str">
        <f t="shared" si="22"/>
        <v>0 г. 0 мес. 4 дн.</v>
      </c>
      <c r="W253" s="5"/>
    </row>
    <row r="254" spans="1:23" ht="34.5" customHeight="1" x14ac:dyDescent="0.25">
      <c r="A254" s="1">
        <f t="shared" si="23"/>
        <v>253</v>
      </c>
      <c r="B254" s="1"/>
      <c r="C254" s="2" t="s">
        <v>32</v>
      </c>
      <c r="D254" s="3">
        <v>45860</v>
      </c>
      <c r="E254" s="4">
        <v>0.4375</v>
      </c>
      <c r="F254" s="1" t="s">
        <v>770</v>
      </c>
      <c r="G254" s="3">
        <v>43067</v>
      </c>
      <c r="H254" s="1" t="str">
        <f t="shared" si="18"/>
        <v>7 г. 7 мес. 24 дн.</v>
      </c>
      <c r="I254" s="1" t="s">
        <v>70</v>
      </c>
      <c r="K254" s="1" t="s">
        <v>768</v>
      </c>
      <c r="L254" s="1" t="s">
        <v>769</v>
      </c>
      <c r="M254" s="1" t="s">
        <v>73</v>
      </c>
      <c r="O254" s="1" t="s">
        <v>29</v>
      </c>
      <c r="S254" s="1" t="s">
        <v>60</v>
      </c>
      <c r="T254" s="3">
        <v>45861</v>
      </c>
      <c r="U254" s="4">
        <v>0.5</v>
      </c>
      <c r="V254" s="1" t="str">
        <f t="shared" si="22"/>
        <v>0 г. 0 мес. 1 дн.</v>
      </c>
      <c r="W254" s="5"/>
    </row>
    <row r="255" spans="1:23" ht="34.5" customHeight="1" x14ac:dyDescent="0.25">
      <c r="A255" s="1">
        <f t="shared" si="23"/>
        <v>254</v>
      </c>
      <c r="B255" s="1">
        <v>414</v>
      </c>
      <c r="C255" s="2" t="s">
        <v>46</v>
      </c>
      <c r="D255" s="3">
        <v>45862</v>
      </c>
      <c r="E255" s="4">
        <v>0.72916666666666663</v>
      </c>
      <c r="F255" s="1" t="s">
        <v>771</v>
      </c>
      <c r="G255" s="3">
        <v>41904</v>
      </c>
      <c r="H255" s="1" t="str">
        <f t="shared" si="18"/>
        <v>10 г. 10 мес. 2 дн.</v>
      </c>
      <c r="I255" s="1" t="s">
        <v>34</v>
      </c>
      <c r="K255" s="1" t="s">
        <v>107</v>
      </c>
      <c r="L255" s="1" t="s">
        <v>772</v>
      </c>
      <c r="M255" s="1" t="s">
        <v>135</v>
      </c>
      <c r="O255" s="1" t="s">
        <v>29</v>
      </c>
      <c r="S255" s="1" t="s">
        <v>83</v>
      </c>
      <c r="T255" s="3">
        <v>45863</v>
      </c>
      <c r="U255" s="4">
        <v>0.52083333333333337</v>
      </c>
      <c r="V255" s="1" t="str">
        <f t="shared" si="22"/>
        <v>0 г. 0 мес. 1 дн.</v>
      </c>
      <c r="W255" s="5"/>
    </row>
    <row r="256" spans="1:23" ht="34.5" customHeight="1" x14ac:dyDescent="0.25">
      <c r="A256" s="1">
        <f t="shared" si="23"/>
        <v>255</v>
      </c>
      <c r="B256" s="1">
        <v>359</v>
      </c>
      <c r="C256" s="2" t="s">
        <v>32</v>
      </c>
      <c r="D256" s="3">
        <v>45860</v>
      </c>
      <c r="E256" s="4">
        <v>0.5</v>
      </c>
      <c r="F256" s="1" t="s">
        <v>773</v>
      </c>
      <c r="G256" s="3">
        <v>44197</v>
      </c>
      <c r="H256" s="1" t="str">
        <f>DATEDIF(G256,D256,"y") &amp; " г. " &amp; DATEDIF(G256,D256,"ym") &amp; " мес. " &amp; DATEDIF(G256,D256,"md") &amp; " дн."</f>
        <v>4 г. 6 мес. 21 дн.</v>
      </c>
      <c r="I256" s="1" t="s">
        <v>70</v>
      </c>
      <c r="K256" s="1" t="s">
        <v>363</v>
      </c>
      <c r="L256" s="1" t="s">
        <v>774</v>
      </c>
      <c r="M256" s="1" t="s">
        <v>37</v>
      </c>
      <c r="O256" s="47" t="s">
        <v>42</v>
      </c>
      <c r="Q256" s="1" t="s">
        <v>30</v>
      </c>
      <c r="S256" s="1" t="s">
        <v>46</v>
      </c>
      <c r="T256" s="3">
        <v>45884</v>
      </c>
      <c r="U256" s="4">
        <v>0.99652777777777779</v>
      </c>
      <c r="V256" s="1" t="str">
        <f t="shared" si="22"/>
        <v>0 г. 0 мес. 24 дн.</v>
      </c>
      <c r="W256" s="5"/>
    </row>
    <row r="257" spans="1:23" ht="34.5" customHeight="1" x14ac:dyDescent="0.25">
      <c r="A257" s="1">
        <f t="shared" si="23"/>
        <v>256</v>
      </c>
      <c r="B257" s="1">
        <v>1072</v>
      </c>
      <c r="C257" s="2" t="s">
        <v>96</v>
      </c>
      <c r="D257" s="3">
        <v>45869</v>
      </c>
      <c r="E257" s="4">
        <v>0.5</v>
      </c>
      <c r="F257" s="1" t="s">
        <v>775</v>
      </c>
      <c r="G257" s="3">
        <v>44958</v>
      </c>
      <c r="H257" s="1" t="str">
        <f t="shared" si="18"/>
        <v>2 г. 5 мес. 30 дн.</v>
      </c>
      <c r="I257" s="1" t="s">
        <v>62</v>
      </c>
      <c r="K257" s="1" t="s">
        <v>137</v>
      </c>
      <c r="L257" s="1" t="s">
        <v>776</v>
      </c>
      <c r="M257" s="1" t="s">
        <v>181</v>
      </c>
      <c r="O257" s="1" t="s">
        <v>29</v>
      </c>
      <c r="S257" s="1" t="s">
        <v>96</v>
      </c>
      <c r="T257" s="3">
        <v>45870</v>
      </c>
      <c r="U257" s="4">
        <v>0.5</v>
      </c>
      <c r="V257" s="1" t="str">
        <f t="shared" si="22"/>
        <v>0 г. 0 мес. 1 дн.</v>
      </c>
      <c r="W257" s="5"/>
    </row>
    <row r="258" spans="1:23" ht="34.5" customHeight="1" x14ac:dyDescent="0.25">
      <c r="A258" s="1">
        <f t="shared" si="23"/>
        <v>257</v>
      </c>
      <c r="B258" s="1">
        <v>391</v>
      </c>
      <c r="C258" s="2" t="s">
        <v>278</v>
      </c>
      <c r="D258" s="3">
        <v>45870</v>
      </c>
      <c r="E258" s="4">
        <v>0.625</v>
      </c>
      <c r="F258" s="1" t="s">
        <v>777</v>
      </c>
      <c r="G258" s="3">
        <v>45848</v>
      </c>
      <c r="H258" s="1" t="str">
        <f t="shared" ref="H258:H321" si="24">DATEDIF(G258,D258,"y") &amp; " г. " &amp; DATEDIF(G258,D258,"ym") &amp; " мес. " &amp; DATEDIF(G258,D258,"md") &amp; " дн."</f>
        <v>0 г. 0 мес. 22 дн.</v>
      </c>
      <c r="I258" s="1" t="s">
        <v>70</v>
      </c>
      <c r="K258" s="1" t="s">
        <v>137</v>
      </c>
      <c r="L258" s="1" t="s">
        <v>778</v>
      </c>
      <c r="M258" s="1" t="s">
        <v>403</v>
      </c>
      <c r="O258" s="1" t="s">
        <v>29</v>
      </c>
      <c r="Q258" s="1" t="s">
        <v>30</v>
      </c>
      <c r="S258" s="2" t="s">
        <v>278</v>
      </c>
      <c r="T258" s="3">
        <v>45870</v>
      </c>
      <c r="U258" s="4">
        <v>0.75</v>
      </c>
      <c r="V258" s="1" t="str">
        <f t="shared" si="22"/>
        <v>0 г. 0 мес. 0 дн.</v>
      </c>
      <c r="W258" s="5"/>
    </row>
    <row r="259" spans="1:23" ht="34.5" customHeight="1" x14ac:dyDescent="0.25">
      <c r="A259" s="1">
        <f t="shared" si="23"/>
        <v>258</v>
      </c>
      <c r="B259" s="1">
        <v>1064</v>
      </c>
      <c r="C259" s="2" t="s">
        <v>96</v>
      </c>
      <c r="D259" s="3">
        <v>45870</v>
      </c>
      <c r="E259" s="4">
        <v>0.71527777777777779</v>
      </c>
      <c r="F259" s="1" t="s">
        <v>779</v>
      </c>
      <c r="G259" s="3">
        <v>42012</v>
      </c>
      <c r="H259" s="1" t="str">
        <f t="shared" si="24"/>
        <v>10 г. 6 мес. 24 дн.</v>
      </c>
      <c r="I259" s="1" t="s">
        <v>62</v>
      </c>
      <c r="K259" s="1" t="s">
        <v>137</v>
      </c>
      <c r="L259" s="1" t="s">
        <v>780</v>
      </c>
      <c r="M259" s="1" t="s">
        <v>100</v>
      </c>
      <c r="O259" s="1" t="s">
        <v>29</v>
      </c>
      <c r="P259" s="1" t="s">
        <v>101</v>
      </c>
      <c r="S259" s="2" t="s">
        <v>96</v>
      </c>
      <c r="T259" s="3">
        <v>45871</v>
      </c>
      <c r="U259" s="4">
        <v>0.5</v>
      </c>
      <c r="V259" s="1" t="str">
        <f t="shared" si="22"/>
        <v>0 г. 0 мес. 1 дн.</v>
      </c>
      <c r="W259" s="5"/>
    </row>
    <row r="260" spans="1:23" ht="34.5" customHeight="1" x14ac:dyDescent="0.25">
      <c r="A260" s="1">
        <f t="shared" si="23"/>
        <v>259</v>
      </c>
      <c r="B260" s="1"/>
      <c r="C260" s="2" t="s">
        <v>60</v>
      </c>
      <c r="D260" s="3">
        <v>45871</v>
      </c>
      <c r="E260" s="4">
        <v>0.95833333333333337</v>
      </c>
      <c r="F260" s="1" t="s">
        <v>782</v>
      </c>
      <c r="G260" s="3">
        <v>40401</v>
      </c>
      <c r="H260" s="1" t="str">
        <f t="shared" si="24"/>
        <v>14 г. 11 мес. 22 дн.</v>
      </c>
      <c r="I260" s="1" t="s">
        <v>39</v>
      </c>
      <c r="K260" s="1" t="s">
        <v>298</v>
      </c>
      <c r="L260" s="1" t="s">
        <v>781</v>
      </c>
      <c r="M260" s="1" t="s">
        <v>65</v>
      </c>
      <c r="O260" s="1" t="s">
        <v>29</v>
      </c>
      <c r="S260" s="2" t="s">
        <v>60</v>
      </c>
      <c r="T260" s="3">
        <v>45873</v>
      </c>
      <c r="U260" s="4">
        <v>0.54166666666666663</v>
      </c>
      <c r="V260" s="1" t="str">
        <f t="shared" si="22"/>
        <v>0 г. 0 мес. 2 дн.</v>
      </c>
      <c r="W260" s="5"/>
    </row>
    <row r="261" spans="1:23" ht="34.5" customHeight="1" x14ac:dyDescent="0.25">
      <c r="A261" s="1">
        <f t="shared" si="23"/>
        <v>260</v>
      </c>
      <c r="B261" s="1">
        <v>386</v>
      </c>
      <c r="C261" s="2" t="s">
        <v>278</v>
      </c>
      <c r="D261" s="3">
        <v>45873</v>
      </c>
      <c r="E261" s="4">
        <v>0.58333333333333337</v>
      </c>
      <c r="F261" s="1" t="s">
        <v>783</v>
      </c>
      <c r="G261" s="3">
        <v>45847</v>
      </c>
      <c r="H261" s="1" t="str">
        <f t="shared" si="24"/>
        <v>0 г. 0 мес. 26 дн.</v>
      </c>
      <c r="I261" s="1" t="s">
        <v>70</v>
      </c>
      <c r="L261" s="1" t="s">
        <v>778</v>
      </c>
      <c r="M261" s="1" t="s">
        <v>403</v>
      </c>
      <c r="O261" s="1" t="s">
        <v>29</v>
      </c>
      <c r="Q261" s="1" t="s">
        <v>30</v>
      </c>
      <c r="S261" s="1" t="s">
        <v>278</v>
      </c>
      <c r="T261" s="3">
        <v>45873</v>
      </c>
      <c r="U261" s="4">
        <v>0.79166666666666663</v>
      </c>
      <c r="V261" s="1" t="str">
        <f t="shared" si="22"/>
        <v>0 г. 0 мес. 0 дн.</v>
      </c>
      <c r="W261" s="5"/>
    </row>
    <row r="262" spans="1:23" ht="34.5" customHeight="1" x14ac:dyDescent="0.25">
      <c r="A262" s="1">
        <f t="shared" si="23"/>
        <v>261</v>
      </c>
      <c r="B262" s="1">
        <v>396</v>
      </c>
      <c r="C262" s="2" t="s">
        <v>46</v>
      </c>
      <c r="D262" s="3">
        <v>45873</v>
      </c>
      <c r="E262" s="4">
        <v>0.8125</v>
      </c>
      <c r="F262" s="1" t="s">
        <v>784</v>
      </c>
      <c r="G262" s="3">
        <v>39759</v>
      </c>
      <c r="H262" s="1" t="str">
        <f t="shared" si="24"/>
        <v>16 г. 8 мес. 28 дн.</v>
      </c>
      <c r="I262" s="1" t="s">
        <v>34</v>
      </c>
      <c r="K262" s="1" t="s">
        <v>298</v>
      </c>
      <c r="L262" s="1" t="s">
        <v>772</v>
      </c>
      <c r="M262" s="1" t="s">
        <v>135</v>
      </c>
      <c r="O262" s="1" t="s">
        <v>29</v>
      </c>
      <c r="S262" s="1" t="s">
        <v>83</v>
      </c>
      <c r="T262" s="3">
        <v>45874</v>
      </c>
      <c r="U262" s="4">
        <v>0.5</v>
      </c>
      <c r="V262" s="1" t="str">
        <f t="shared" si="22"/>
        <v>0 г. 0 мес. 1 дн.</v>
      </c>
      <c r="W262" s="5"/>
    </row>
    <row r="263" spans="1:23" ht="34.5" customHeight="1" x14ac:dyDescent="0.25">
      <c r="A263" s="1">
        <f t="shared" si="23"/>
        <v>262</v>
      </c>
      <c r="B263" s="1">
        <v>1774</v>
      </c>
      <c r="C263" s="2" t="s">
        <v>60</v>
      </c>
      <c r="D263" s="3">
        <v>45874</v>
      </c>
      <c r="E263" s="4">
        <v>0.47916666666666669</v>
      </c>
      <c r="F263" s="1" t="s">
        <v>785</v>
      </c>
      <c r="G263" s="3">
        <v>44929</v>
      </c>
      <c r="H263" s="1" t="str">
        <f t="shared" si="24"/>
        <v>2 г. 7 мес. 2 дн.</v>
      </c>
      <c r="I263" s="1" t="s">
        <v>132</v>
      </c>
      <c r="K263" s="1" t="s">
        <v>137</v>
      </c>
      <c r="L263" s="1" t="s">
        <v>208</v>
      </c>
      <c r="M263" s="1" t="s">
        <v>87</v>
      </c>
      <c r="O263" s="1" t="s">
        <v>42</v>
      </c>
      <c r="S263" s="1" t="s">
        <v>60</v>
      </c>
      <c r="T263" s="3">
        <v>45877</v>
      </c>
      <c r="U263" s="4">
        <v>0.5</v>
      </c>
      <c r="V263" s="1" t="str">
        <f t="shared" si="22"/>
        <v>0 г. 0 мес. 3 дн.</v>
      </c>
      <c r="W263" s="5"/>
    </row>
    <row r="264" spans="1:23" ht="34.5" customHeight="1" x14ac:dyDescent="0.25">
      <c r="A264" s="1">
        <f t="shared" si="23"/>
        <v>263</v>
      </c>
      <c r="B264" s="1">
        <v>430</v>
      </c>
      <c r="C264" s="2" t="s">
        <v>46</v>
      </c>
      <c r="D264" s="3">
        <v>45874</v>
      </c>
      <c r="E264" s="4">
        <v>0.84027777777777779</v>
      </c>
      <c r="F264" s="1" t="s">
        <v>786</v>
      </c>
      <c r="G264" s="3">
        <v>39320</v>
      </c>
      <c r="H264" s="1" t="str">
        <f t="shared" si="24"/>
        <v>17 г. 11 мес. 10 дн.</v>
      </c>
      <c r="I264" s="1" t="s">
        <v>39</v>
      </c>
      <c r="K264" s="1" t="s">
        <v>787</v>
      </c>
      <c r="L264" s="1" t="s">
        <v>788</v>
      </c>
      <c r="M264" s="1" t="s">
        <v>135</v>
      </c>
      <c r="O264" s="1" t="s">
        <v>29</v>
      </c>
      <c r="S264" s="2" t="s">
        <v>46</v>
      </c>
      <c r="T264" s="3">
        <v>45876</v>
      </c>
      <c r="U264" s="4">
        <v>0.45833333333333331</v>
      </c>
      <c r="V264" s="1" t="str">
        <f t="shared" si="22"/>
        <v>0 г. 0 мес. 2 дн.</v>
      </c>
      <c r="W264" s="5"/>
    </row>
    <row r="265" spans="1:23" ht="34.5" customHeight="1" x14ac:dyDescent="0.25">
      <c r="A265" s="1">
        <f t="shared" si="23"/>
        <v>264</v>
      </c>
      <c r="B265" s="1">
        <v>431</v>
      </c>
      <c r="C265" s="2" t="s">
        <v>46</v>
      </c>
      <c r="D265" s="3">
        <v>45875</v>
      </c>
      <c r="E265" s="4">
        <v>0.28472222222222221</v>
      </c>
      <c r="F265" s="1" t="s">
        <v>789</v>
      </c>
      <c r="G265" s="3">
        <v>42718</v>
      </c>
      <c r="H265" s="1" t="str">
        <f t="shared" si="24"/>
        <v>8 г. 7 мес. 23 дн.</v>
      </c>
      <c r="I265" s="1" t="s">
        <v>39</v>
      </c>
      <c r="K265" s="1" t="s">
        <v>790</v>
      </c>
      <c r="L265" s="1" t="s">
        <v>791</v>
      </c>
      <c r="M265" s="1" t="s">
        <v>135</v>
      </c>
      <c r="O265" s="1" t="s">
        <v>29</v>
      </c>
      <c r="S265" s="1" t="s">
        <v>83</v>
      </c>
      <c r="T265" s="3">
        <v>45877</v>
      </c>
      <c r="U265" s="4">
        <v>0.58333333333333337</v>
      </c>
      <c r="V265" s="1" t="str">
        <f t="shared" si="22"/>
        <v>0 г. 0 мес. 2 дн.</v>
      </c>
      <c r="W265" s="5"/>
    </row>
    <row r="266" spans="1:23" ht="34.5" customHeight="1" x14ac:dyDescent="0.25">
      <c r="A266" s="1">
        <f t="shared" si="23"/>
        <v>265</v>
      </c>
      <c r="B266" s="1">
        <v>433</v>
      </c>
      <c r="C266" s="2" t="s">
        <v>46</v>
      </c>
      <c r="D266" s="3">
        <v>45875</v>
      </c>
      <c r="E266" s="4">
        <v>0.625</v>
      </c>
      <c r="F266" s="1" t="s">
        <v>792</v>
      </c>
      <c r="G266" s="3">
        <v>40447</v>
      </c>
      <c r="H266" s="1" t="str">
        <f t="shared" si="24"/>
        <v>14 г. 10 мес. 11 дн.</v>
      </c>
      <c r="I266" s="1" t="s">
        <v>39</v>
      </c>
      <c r="K266" s="1" t="s">
        <v>137</v>
      </c>
      <c r="L266" s="1" t="s">
        <v>731</v>
      </c>
      <c r="M266" s="1" t="s">
        <v>50</v>
      </c>
      <c r="O266" s="1" t="s">
        <v>29</v>
      </c>
      <c r="S266" s="1" t="s">
        <v>46</v>
      </c>
      <c r="T266" s="3">
        <v>45876</v>
      </c>
      <c r="U266" s="4">
        <v>0.41666666666666669</v>
      </c>
      <c r="V266" s="1" t="str">
        <f t="shared" si="22"/>
        <v>0 г. 0 мес. 1 дн.</v>
      </c>
      <c r="W266" s="5"/>
    </row>
    <row r="267" spans="1:23" ht="34.5" customHeight="1" x14ac:dyDescent="0.25">
      <c r="A267" s="1">
        <f t="shared" si="23"/>
        <v>266</v>
      </c>
      <c r="B267" s="1">
        <v>1795</v>
      </c>
      <c r="C267" s="2" t="s">
        <v>60</v>
      </c>
      <c r="D267" s="3">
        <v>45876</v>
      </c>
      <c r="E267" s="4">
        <v>0.91666666666666663</v>
      </c>
      <c r="F267" s="1" t="s">
        <v>793</v>
      </c>
      <c r="G267" s="3">
        <v>40782</v>
      </c>
      <c r="H267" s="1" t="str">
        <f t="shared" si="24"/>
        <v>13 г. 11 мес. 11 дн.</v>
      </c>
      <c r="I267" s="1" t="s">
        <v>62</v>
      </c>
      <c r="K267" s="1" t="s">
        <v>137</v>
      </c>
      <c r="L267" s="1" t="s">
        <v>794</v>
      </c>
      <c r="M267" s="1" t="s">
        <v>87</v>
      </c>
      <c r="O267" s="1" t="s">
        <v>42</v>
      </c>
      <c r="P267" s="1" t="s">
        <v>101</v>
      </c>
      <c r="S267" s="1" t="s">
        <v>60</v>
      </c>
      <c r="T267" s="3">
        <v>45882</v>
      </c>
      <c r="U267" s="4">
        <v>0.5</v>
      </c>
      <c r="V267" s="1" t="str">
        <f t="shared" si="22"/>
        <v>0 г. 0 мес. 6 дн.</v>
      </c>
      <c r="W267" s="5"/>
    </row>
    <row r="268" spans="1:23" ht="34.5" customHeight="1" x14ac:dyDescent="0.25">
      <c r="A268" s="1">
        <f t="shared" si="23"/>
        <v>267</v>
      </c>
      <c r="B268" s="1">
        <v>444</v>
      </c>
      <c r="C268" s="2" t="s">
        <v>32</v>
      </c>
      <c r="D268" s="3">
        <v>45877</v>
      </c>
      <c r="E268" s="4">
        <v>0.68958333333333333</v>
      </c>
      <c r="F268" s="1" t="s">
        <v>795</v>
      </c>
      <c r="G268" s="3">
        <v>40867</v>
      </c>
      <c r="H268" s="1" t="str">
        <f t="shared" si="24"/>
        <v>13 г. 8 мес. 19 дн.</v>
      </c>
      <c r="I268" s="1" t="s">
        <v>34</v>
      </c>
      <c r="K268" s="1" t="s">
        <v>107</v>
      </c>
      <c r="L268" s="1" t="s">
        <v>796</v>
      </c>
      <c r="M268" s="1" t="s">
        <v>37</v>
      </c>
      <c r="S268" s="1" t="s">
        <v>23</v>
      </c>
      <c r="T268" s="3">
        <v>45881</v>
      </c>
      <c r="U268" s="4">
        <v>0.5</v>
      </c>
      <c r="V268" s="1" t="str">
        <f t="shared" si="22"/>
        <v>0 г. 0 мес. 4 дн.</v>
      </c>
      <c r="W268" s="5"/>
    </row>
    <row r="269" spans="1:23" ht="34.5" customHeight="1" x14ac:dyDescent="0.25">
      <c r="A269" s="1">
        <f t="shared" si="23"/>
        <v>268</v>
      </c>
      <c r="B269" s="1">
        <v>1817</v>
      </c>
      <c r="C269" s="2" t="s">
        <v>60</v>
      </c>
      <c r="D269" s="3">
        <v>45879</v>
      </c>
      <c r="E269" s="4">
        <v>0.96180555555555547</v>
      </c>
      <c r="F269" s="1" t="s">
        <v>797</v>
      </c>
      <c r="G269" s="3">
        <v>40060</v>
      </c>
      <c r="H269" s="1" t="str">
        <f t="shared" si="24"/>
        <v>15 г. 11 мес. 6 дн.</v>
      </c>
      <c r="I269" s="1" t="s">
        <v>39</v>
      </c>
      <c r="K269" s="1" t="s">
        <v>798</v>
      </c>
      <c r="L269" s="1" t="s">
        <v>799</v>
      </c>
      <c r="M269" s="1" t="s">
        <v>87</v>
      </c>
      <c r="O269" s="1" t="s">
        <v>29</v>
      </c>
      <c r="S269" s="1" t="s">
        <v>60</v>
      </c>
      <c r="T269" s="3">
        <v>45882</v>
      </c>
      <c r="U269" s="4">
        <v>0.5</v>
      </c>
      <c r="V269" s="1" t="str">
        <f t="shared" si="22"/>
        <v>0 г. 0 мес. 3 дн.</v>
      </c>
      <c r="W269" s="5"/>
    </row>
    <row r="270" spans="1:23" ht="34.5" customHeight="1" x14ac:dyDescent="0.25">
      <c r="A270" s="1">
        <f t="shared" si="23"/>
        <v>269</v>
      </c>
      <c r="B270" s="1">
        <v>1837</v>
      </c>
      <c r="C270" s="2" t="s">
        <v>60</v>
      </c>
      <c r="D270" s="3">
        <v>45881</v>
      </c>
      <c r="E270" s="4">
        <v>0.95486111111111116</v>
      </c>
      <c r="F270" s="1" t="s">
        <v>800</v>
      </c>
      <c r="G270" s="3">
        <v>44276</v>
      </c>
      <c r="H270" s="1" t="str">
        <f t="shared" si="24"/>
        <v>4 г. 4 мес. 22 дн.</v>
      </c>
      <c r="I270" s="1" t="s">
        <v>62</v>
      </c>
      <c r="K270" s="1" t="s">
        <v>801</v>
      </c>
      <c r="L270" s="1" t="s">
        <v>802</v>
      </c>
      <c r="M270" s="1" t="s">
        <v>87</v>
      </c>
      <c r="O270" s="1" t="s">
        <v>42</v>
      </c>
      <c r="P270" s="1" t="s">
        <v>101</v>
      </c>
      <c r="S270" s="1" t="s">
        <v>60</v>
      </c>
      <c r="T270" s="3">
        <v>45884</v>
      </c>
      <c r="U270" s="4">
        <v>0.66666666666666663</v>
      </c>
      <c r="V270" s="1" t="str">
        <f t="shared" si="22"/>
        <v>0 г. 0 мес. 3 дн.</v>
      </c>
      <c r="W270" s="5"/>
    </row>
    <row r="271" spans="1:23" ht="34.5" customHeight="1" x14ac:dyDescent="0.25">
      <c r="A271" s="1">
        <f t="shared" si="23"/>
        <v>270</v>
      </c>
      <c r="B271" s="1">
        <v>440</v>
      </c>
      <c r="C271" s="2" t="s">
        <v>46</v>
      </c>
      <c r="D271" s="3">
        <v>45881</v>
      </c>
      <c r="E271" s="4">
        <v>0.94444444444444453</v>
      </c>
      <c r="F271" s="1" t="s">
        <v>410</v>
      </c>
      <c r="G271" s="3">
        <v>39774</v>
      </c>
      <c r="H271" s="1" t="str">
        <f t="shared" si="24"/>
        <v>16 г. 8 мес. 21 дн.</v>
      </c>
      <c r="I271" s="1" t="s">
        <v>39</v>
      </c>
      <c r="K271" s="1" t="s">
        <v>137</v>
      </c>
      <c r="L271" s="1" t="s">
        <v>803</v>
      </c>
      <c r="M271" s="1" t="s">
        <v>50</v>
      </c>
      <c r="O271" s="1" t="s">
        <v>29</v>
      </c>
      <c r="S271" s="1" t="s">
        <v>46</v>
      </c>
      <c r="T271" s="3">
        <v>45883</v>
      </c>
      <c r="U271" s="4">
        <v>0.41666666666666669</v>
      </c>
      <c r="V271" s="1" t="str">
        <f t="shared" si="22"/>
        <v>0 г. 0 мес. 2 дн.</v>
      </c>
      <c r="W271" s="5"/>
    </row>
    <row r="272" spans="1:23" ht="34.5" customHeight="1" x14ac:dyDescent="0.25">
      <c r="A272" s="1">
        <f t="shared" si="23"/>
        <v>271</v>
      </c>
      <c r="B272" s="1">
        <v>443</v>
      </c>
      <c r="C272" s="2" t="s">
        <v>46</v>
      </c>
      <c r="D272" s="3">
        <v>45884</v>
      </c>
      <c r="E272" s="4">
        <v>0.34722222222222227</v>
      </c>
      <c r="F272" s="1" t="s">
        <v>804</v>
      </c>
      <c r="G272" s="3">
        <v>41070</v>
      </c>
      <c r="H272" s="1" t="str">
        <f t="shared" si="24"/>
        <v>13 г. 2 мес. 5 дн.</v>
      </c>
      <c r="I272" s="1" t="s">
        <v>39</v>
      </c>
      <c r="K272" s="1" t="s">
        <v>498</v>
      </c>
      <c r="L272" s="1" t="s">
        <v>731</v>
      </c>
      <c r="M272" s="1" t="s">
        <v>50</v>
      </c>
      <c r="O272" s="1" t="s">
        <v>29</v>
      </c>
      <c r="S272" s="1" t="s">
        <v>46</v>
      </c>
      <c r="T272" s="3">
        <v>45884</v>
      </c>
      <c r="U272" s="4">
        <v>0.54166666666666663</v>
      </c>
      <c r="V272" s="1" t="str">
        <f t="shared" si="22"/>
        <v>0 г. 0 мес. 0 дн.</v>
      </c>
      <c r="W272" s="5"/>
    </row>
    <row r="273" spans="1:23" ht="34.5" customHeight="1" x14ac:dyDescent="0.25">
      <c r="A273" s="1">
        <f t="shared" si="23"/>
        <v>272</v>
      </c>
      <c r="B273" s="1">
        <v>442</v>
      </c>
      <c r="C273" s="2" t="s">
        <v>46</v>
      </c>
      <c r="D273" s="3">
        <v>45884</v>
      </c>
      <c r="E273" s="4">
        <v>0.51736111111111105</v>
      </c>
      <c r="F273" s="1" t="s">
        <v>805</v>
      </c>
      <c r="G273" s="3">
        <v>45804</v>
      </c>
      <c r="H273" s="1" t="str">
        <f t="shared" si="24"/>
        <v>0 г. 2 мес. 19 дн.</v>
      </c>
      <c r="I273" s="1" t="s">
        <v>70</v>
      </c>
      <c r="K273" s="1" t="s">
        <v>290</v>
      </c>
      <c r="L273" s="1" t="s">
        <v>806</v>
      </c>
      <c r="M273" s="1" t="s">
        <v>403</v>
      </c>
      <c r="O273" s="1" t="s">
        <v>29</v>
      </c>
      <c r="Q273" s="1" t="s">
        <v>30</v>
      </c>
      <c r="S273" s="1" t="s">
        <v>46</v>
      </c>
      <c r="T273" s="3">
        <v>45884</v>
      </c>
      <c r="U273" s="4">
        <v>0.76041666666666663</v>
      </c>
      <c r="V273" s="1" t="str">
        <f t="shared" si="22"/>
        <v>0 г. 0 мес. 0 дн.</v>
      </c>
      <c r="W273" s="5"/>
    </row>
    <row r="274" spans="1:23" ht="34.5" customHeight="1" x14ac:dyDescent="0.25">
      <c r="A274" s="1">
        <f t="shared" si="23"/>
        <v>273</v>
      </c>
      <c r="B274" s="1">
        <v>444</v>
      </c>
      <c r="C274" s="2" t="s">
        <v>46</v>
      </c>
      <c r="D274" s="3">
        <v>45885</v>
      </c>
      <c r="E274" s="4">
        <v>3.472222222222222E-3</v>
      </c>
      <c r="F274" s="1" t="s">
        <v>773</v>
      </c>
      <c r="G274" s="3">
        <v>44197</v>
      </c>
      <c r="H274" s="1" t="str">
        <f t="shared" si="24"/>
        <v>4 г. 7 мес. 15 дн.</v>
      </c>
      <c r="I274" s="1" t="s">
        <v>70</v>
      </c>
      <c r="K274" s="1" t="s">
        <v>363</v>
      </c>
      <c r="L274" s="1" t="s">
        <v>807</v>
      </c>
      <c r="M274" s="1" t="s">
        <v>73</v>
      </c>
      <c r="O274" s="1" t="s">
        <v>42</v>
      </c>
      <c r="T274" s="3"/>
      <c r="U274" s="4"/>
      <c r="V274" s="1" t="e">
        <f t="shared" si="22"/>
        <v>#NUM!</v>
      </c>
      <c r="W274" s="5"/>
    </row>
    <row r="275" spans="1:23" ht="34.5" customHeight="1" x14ac:dyDescent="0.25">
      <c r="A275" s="1">
        <f t="shared" si="23"/>
        <v>274</v>
      </c>
      <c r="B275" s="1">
        <v>1863</v>
      </c>
      <c r="C275" s="2" t="s">
        <v>60</v>
      </c>
      <c r="D275" s="3">
        <v>45885</v>
      </c>
      <c r="E275" s="4">
        <v>0.86805555555555547</v>
      </c>
      <c r="F275" s="1" t="s">
        <v>808</v>
      </c>
      <c r="G275" s="3">
        <v>45477</v>
      </c>
      <c r="H275" s="1" t="str">
        <f t="shared" si="24"/>
        <v>1 г. 1 мес. 12 дн.</v>
      </c>
      <c r="I275" s="1" t="s">
        <v>39</v>
      </c>
      <c r="K275" s="1" t="s">
        <v>809</v>
      </c>
      <c r="L275" s="1" t="s">
        <v>810</v>
      </c>
      <c r="M275" s="1" t="s">
        <v>65</v>
      </c>
      <c r="O275" s="1" t="s">
        <v>29</v>
      </c>
      <c r="S275" s="1" t="s">
        <v>60</v>
      </c>
      <c r="T275" s="3">
        <v>45888</v>
      </c>
      <c r="U275" s="4">
        <v>0.5</v>
      </c>
      <c r="V275" s="1" t="str">
        <f t="shared" si="22"/>
        <v>0 г. 0 мес. 3 дн.</v>
      </c>
      <c r="W275" s="5"/>
    </row>
    <row r="276" spans="1:23" ht="34.5" customHeight="1" x14ac:dyDescent="0.25">
      <c r="A276" s="1">
        <f t="shared" ref="A276:A307" si="25">ROW(A275)</f>
        <v>275</v>
      </c>
      <c r="B276" s="1">
        <v>446</v>
      </c>
      <c r="C276" s="2" t="s">
        <v>46</v>
      </c>
      <c r="D276" s="3">
        <v>45886</v>
      </c>
      <c r="E276" s="4">
        <v>0.3263888888888889</v>
      </c>
      <c r="F276" s="1" t="s">
        <v>811</v>
      </c>
      <c r="G276" s="3">
        <v>40198</v>
      </c>
      <c r="H276" s="1" t="str">
        <f t="shared" si="24"/>
        <v>15 г. 6 мес. 28 дн.</v>
      </c>
      <c r="I276" s="1" t="s">
        <v>39</v>
      </c>
      <c r="K276" s="1" t="s">
        <v>790</v>
      </c>
      <c r="L276" s="1" t="s">
        <v>812</v>
      </c>
      <c r="M276" s="1" t="s">
        <v>50</v>
      </c>
      <c r="O276" s="1" t="s">
        <v>29</v>
      </c>
      <c r="S276" s="1" t="s">
        <v>46</v>
      </c>
      <c r="T276" s="3">
        <v>45886</v>
      </c>
      <c r="U276" s="4">
        <v>0.58333333333333337</v>
      </c>
      <c r="V276" s="1" t="str">
        <f t="shared" si="22"/>
        <v>0 г. 0 мес. 0 дн.</v>
      </c>
      <c r="W276" s="5"/>
    </row>
    <row r="277" spans="1:23" ht="34.5" customHeight="1" x14ac:dyDescent="0.25">
      <c r="A277" s="1">
        <f t="shared" si="25"/>
        <v>276</v>
      </c>
      <c r="B277" s="1">
        <v>1774</v>
      </c>
      <c r="C277" s="2" t="s">
        <v>60</v>
      </c>
      <c r="D277" s="3">
        <v>45886</v>
      </c>
      <c r="E277" s="4">
        <v>0.3611111111111111</v>
      </c>
      <c r="F277" s="1" t="s">
        <v>785</v>
      </c>
      <c r="G277" s="3">
        <v>44929</v>
      </c>
      <c r="H277" s="1" t="str">
        <f t="shared" si="24"/>
        <v>2 г. 7 мес. 14 дн.</v>
      </c>
      <c r="I277" s="1" t="s">
        <v>70</v>
      </c>
      <c r="K277" s="1" t="s">
        <v>137</v>
      </c>
      <c r="L277" s="1" t="s">
        <v>813</v>
      </c>
      <c r="M277" s="1" t="s">
        <v>87</v>
      </c>
      <c r="O277" s="1" t="s">
        <v>42</v>
      </c>
      <c r="S277" s="1" t="s">
        <v>60</v>
      </c>
      <c r="T277" s="3">
        <v>45887</v>
      </c>
      <c r="U277" s="4">
        <v>0.5</v>
      </c>
      <c r="V277" s="1" t="str">
        <f t="shared" si="22"/>
        <v>0 г. 0 мес. 1 дн.</v>
      </c>
      <c r="W277" s="5"/>
    </row>
    <row r="278" spans="1:23" ht="34.5" customHeight="1" x14ac:dyDescent="0.25">
      <c r="A278" s="1">
        <f t="shared" si="25"/>
        <v>277</v>
      </c>
      <c r="B278" s="1">
        <v>460</v>
      </c>
      <c r="C278" s="2" t="s">
        <v>32</v>
      </c>
      <c r="D278" s="3">
        <v>45886</v>
      </c>
      <c r="E278" s="4">
        <v>0.78472222222222221</v>
      </c>
      <c r="F278" s="1" t="s">
        <v>814</v>
      </c>
      <c r="G278" s="3">
        <v>43439</v>
      </c>
      <c r="H278" s="1" t="str">
        <f t="shared" si="24"/>
        <v>6 г. 8 мес. 12 дн.</v>
      </c>
      <c r="I278" s="1" t="s">
        <v>70</v>
      </c>
      <c r="K278" s="1" t="s">
        <v>290</v>
      </c>
      <c r="L278" s="1" t="s">
        <v>815</v>
      </c>
      <c r="M278" s="1" t="s">
        <v>73</v>
      </c>
      <c r="O278" s="1" t="s">
        <v>29</v>
      </c>
      <c r="S278" s="1" t="s">
        <v>32</v>
      </c>
      <c r="T278" s="3">
        <v>45887</v>
      </c>
      <c r="U278" s="4">
        <v>0.5</v>
      </c>
      <c r="V278" s="1" t="str">
        <f t="shared" si="22"/>
        <v>0 г. 0 мес. 1 дн.</v>
      </c>
      <c r="W278" s="5"/>
    </row>
    <row r="279" spans="1:23" ht="34.5" customHeight="1" x14ac:dyDescent="0.25">
      <c r="A279" s="1">
        <f t="shared" si="25"/>
        <v>278</v>
      </c>
      <c r="B279" s="1">
        <v>448</v>
      </c>
      <c r="C279" s="2" t="s">
        <v>46</v>
      </c>
      <c r="D279" s="3">
        <v>45887</v>
      </c>
      <c r="E279" s="4">
        <v>0.59722222222222221</v>
      </c>
      <c r="F279" s="1" t="s">
        <v>816</v>
      </c>
      <c r="G279" s="3">
        <v>45806</v>
      </c>
      <c r="H279" s="1" t="str">
        <f t="shared" si="24"/>
        <v>0 г. 2 мес. 20 дн.</v>
      </c>
      <c r="I279" s="1" t="s">
        <v>39</v>
      </c>
      <c r="K279" s="1" t="s">
        <v>817</v>
      </c>
      <c r="L279" s="1" t="s">
        <v>818</v>
      </c>
      <c r="M279" s="1" t="s">
        <v>215</v>
      </c>
      <c r="O279" s="1" t="s">
        <v>29</v>
      </c>
      <c r="S279" s="1" t="s">
        <v>83</v>
      </c>
      <c r="T279" s="3">
        <v>45888</v>
      </c>
      <c r="U279" s="4">
        <v>0.5</v>
      </c>
      <c r="V279" s="1" t="str">
        <f t="shared" si="22"/>
        <v>0 г. 0 мес. 1 дн.</v>
      </c>
      <c r="W279" s="5"/>
    </row>
    <row r="280" spans="1:23" ht="34.5" customHeight="1" x14ac:dyDescent="0.25">
      <c r="A280" s="1">
        <f t="shared" si="25"/>
        <v>279</v>
      </c>
      <c r="B280" s="1">
        <v>445</v>
      </c>
      <c r="C280" s="2" t="s">
        <v>236</v>
      </c>
      <c r="D280" s="3">
        <v>45887</v>
      </c>
      <c r="E280" s="4">
        <v>0.60416666666666663</v>
      </c>
      <c r="F280" s="1" t="s">
        <v>795</v>
      </c>
      <c r="G280" s="3">
        <v>40867</v>
      </c>
      <c r="H280" s="1" t="str">
        <f t="shared" si="24"/>
        <v>13 г. 8 мес. 29 дн.</v>
      </c>
      <c r="I280" s="1" t="s">
        <v>62</v>
      </c>
      <c r="K280" s="1" t="s">
        <v>498</v>
      </c>
      <c r="L280" s="1" t="s">
        <v>819</v>
      </c>
      <c r="M280" s="1" t="s">
        <v>37</v>
      </c>
      <c r="O280" s="1" t="s">
        <v>42</v>
      </c>
      <c r="Q280" s="73"/>
      <c r="S280" s="1" t="s">
        <v>236</v>
      </c>
      <c r="T280" s="3">
        <v>45888</v>
      </c>
      <c r="U280" s="4">
        <v>0.5</v>
      </c>
      <c r="V280" s="1" t="str">
        <f t="shared" si="22"/>
        <v>0 г. 0 мес. 1 дн.</v>
      </c>
      <c r="W280" s="5"/>
    </row>
    <row r="281" spans="1:23" ht="34.5" customHeight="1" x14ac:dyDescent="0.25">
      <c r="A281" s="1">
        <f t="shared" si="25"/>
        <v>280</v>
      </c>
      <c r="B281" s="1">
        <v>1889</v>
      </c>
      <c r="C281" s="2" t="s">
        <v>60</v>
      </c>
      <c r="D281" s="3">
        <v>45890</v>
      </c>
      <c r="E281" s="4">
        <v>2.7777777777777776E-2</v>
      </c>
      <c r="F281" s="1" t="s">
        <v>820</v>
      </c>
      <c r="G281" s="3">
        <v>45781</v>
      </c>
      <c r="H281" s="1" t="str">
        <f>DATEDIF(G281,D281,"y") &amp; " г. " &amp; DATEDIF(G281,D281,"ym") &amp; " мес. " &amp; DATEDIF(G281,D281,"md") &amp; " дн."</f>
        <v>0 г. 3 мес. 17 дн.</v>
      </c>
      <c r="I281" s="1" t="s">
        <v>39</v>
      </c>
      <c r="K281" s="1" t="s">
        <v>821</v>
      </c>
      <c r="L281" s="1" t="s">
        <v>822</v>
      </c>
      <c r="M281" s="1" t="s">
        <v>65</v>
      </c>
      <c r="O281" s="1" t="s">
        <v>29</v>
      </c>
      <c r="S281" s="1" t="s">
        <v>60</v>
      </c>
      <c r="T281" s="3">
        <v>45891</v>
      </c>
      <c r="U281" s="4">
        <v>0.5</v>
      </c>
      <c r="V281" s="1" t="str">
        <f t="shared" si="22"/>
        <v>0 г. 0 мес. 1 дн.</v>
      </c>
      <c r="W281" s="5"/>
    </row>
    <row r="282" spans="1:23" ht="34.5" customHeight="1" x14ac:dyDescent="0.25">
      <c r="A282" s="1">
        <f t="shared" si="25"/>
        <v>281</v>
      </c>
      <c r="B282" s="1">
        <v>1880</v>
      </c>
      <c r="C282" s="2" t="s">
        <v>60</v>
      </c>
      <c r="D282" s="3">
        <v>45889</v>
      </c>
      <c r="E282" s="4">
        <v>0.47222222222222227</v>
      </c>
      <c r="F282" s="1" t="s">
        <v>823</v>
      </c>
      <c r="G282" s="3">
        <v>45889</v>
      </c>
      <c r="H282" s="1" t="str">
        <f t="shared" si="24"/>
        <v>0 г. 0 мес. 0 дн.</v>
      </c>
      <c r="I282" s="1" t="s">
        <v>39</v>
      </c>
      <c r="K282" s="1" t="s">
        <v>137</v>
      </c>
      <c r="L282" s="1" t="s">
        <v>824</v>
      </c>
      <c r="M282" s="1" t="s">
        <v>181</v>
      </c>
      <c r="O282" s="1" t="s">
        <v>29</v>
      </c>
      <c r="S282" s="1" t="s">
        <v>60</v>
      </c>
      <c r="T282" s="3">
        <v>45891</v>
      </c>
      <c r="U282" s="4">
        <v>0.5</v>
      </c>
      <c r="V282" s="1" t="str">
        <f t="shared" si="22"/>
        <v>0 г. 0 мес. 2 дн.</v>
      </c>
      <c r="W282" s="5"/>
    </row>
    <row r="283" spans="1:23" ht="34.5" customHeight="1" x14ac:dyDescent="0.25">
      <c r="A283" s="1">
        <f t="shared" si="25"/>
        <v>282</v>
      </c>
      <c r="B283" s="1">
        <v>487</v>
      </c>
      <c r="C283" s="2" t="s">
        <v>32</v>
      </c>
      <c r="D283" s="3">
        <v>45890</v>
      </c>
      <c r="E283" s="4">
        <v>0.25</v>
      </c>
      <c r="F283" s="1" t="s">
        <v>825</v>
      </c>
      <c r="G283" s="3">
        <v>42860</v>
      </c>
      <c r="H283" s="1" t="str">
        <f t="shared" si="24"/>
        <v>8 г. 3 мес. 16 дн.</v>
      </c>
      <c r="I283" s="1" t="s">
        <v>39</v>
      </c>
      <c r="K283" s="1" t="s">
        <v>137</v>
      </c>
      <c r="L283" s="1" t="s">
        <v>826</v>
      </c>
      <c r="M283" s="1" t="s">
        <v>73</v>
      </c>
      <c r="O283" s="1" t="s">
        <v>29</v>
      </c>
      <c r="S283" s="1" t="s">
        <v>32</v>
      </c>
      <c r="T283" s="3">
        <v>45891</v>
      </c>
      <c r="U283" s="4">
        <v>0.5</v>
      </c>
      <c r="V283" s="1" t="str">
        <f t="shared" si="22"/>
        <v>0 г. 0 мес. 1 дн.</v>
      </c>
      <c r="W283" s="5"/>
    </row>
    <row r="284" spans="1:23" ht="34.5" customHeight="1" x14ac:dyDescent="0.25">
      <c r="A284" s="1">
        <f t="shared" si="25"/>
        <v>283</v>
      </c>
      <c r="B284" s="1">
        <v>454</v>
      </c>
      <c r="C284" s="2" t="s">
        <v>46</v>
      </c>
      <c r="D284" s="3">
        <v>45890</v>
      </c>
      <c r="E284" s="4">
        <v>0.96875</v>
      </c>
      <c r="F284" s="1" t="s">
        <v>827</v>
      </c>
      <c r="G284" s="3">
        <v>40919</v>
      </c>
      <c r="H284" s="1" t="str">
        <f t="shared" si="24"/>
        <v>13 г. 7 мес. 10 дн.</v>
      </c>
      <c r="I284" s="1" t="s">
        <v>39</v>
      </c>
      <c r="K284" s="1" t="s">
        <v>121</v>
      </c>
      <c r="L284" s="1" t="s">
        <v>828</v>
      </c>
      <c r="M284" s="1" t="s">
        <v>135</v>
      </c>
      <c r="O284" s="1" t="s">
        <v>29</v>
      </c>
      <c r="S284" s="1" t="s">
        <v>46</v>
      </c>
      <c r="T284" s="3">
        <v>45891</v>
      </c>
      <c r="U284" s="4">
        <v>0.5</v>
      </c>
      <c r="V284" s="1" t="str">
        <f t="shared" si="22"/>
        <v>0 г. 0 мес. 1 дн.</v>
      </c>
      <c r="W284" s="5"/>
    </row>
    <row r="285" spans="1:23" ht="34.5" customHeight="1" x14ac:dyDescent="0.25">
      <c r="A285" s="1">
        <f t="shared" si="25"/>
        <v>284</v>
      </c>
      <c r="B285" s="1">
        <v>459</v>
      </c>
      <c r="C285" s="2" t="s">
        <v>46</v>
      </c>
      <c r="D285" s="3">
        <v>45891</v>
      </c>
      <c r="E285" s="4">
        <v>0.84722222222222221</v>
      </c>
      <c r="F285" s="1" t="s">
        <v>827</v>
      </c>
      <c r="G285" s="3">
        <v>40919</v>
      </c>
      <c r="H285" s="1" t="str">
        <f t="shared" si="24"/>
        <v>13 г. 7 мес. 11 дн.</v>
      </c>
      <c r="I285" s="1" t="s">
        <v>34</v>
      </c>
      <c r="K285" s="1" t="s">
        <v>817</v>
      </c>
      <c r="L285" s="1" t="s">
        <v>832</v>
      </c>
      <c r="M285" s="1" t="s">
        <v>135</v>
      </c>
      <c r="O285" s="1" t="s">
        <v>29</v>
      </c>
      <c r="S285" s="1" t="s">
        <v>60</v>
      </c>
      <c r="T285" s="3">
        <v>45896</v>
      </c>
      <c r="U285" s="4">
        <v>0.5</v>
      </c>
      <c r="V285" s="1" t="str">
        <f t="shared" si="22"/>
        <v>0 г. 0 мес. 5 дн.</v>
      </c>
      <c r="W285" s="5"/>
    </row>
    <row r="286" spans="1:23" ht="34.5" customHeight="1" x14ac:dyDescent="0.25">
      <c r="A286" s="1">
        <f t="shared" si="25"/>
        <v>285</v>
      </c>
      <c r="B286" s="1">
        <v>1168</v>
      </c>
      <c r="C286" s="2" t="s">
        <v>96</v>
      </c>
      <c r="D286" s="3">
        <v>45893</v>
      </c>
      <c r="E286" s="4">
        <v>0.95833333333333337</v>
      </c>
      <c r="F286" s="1" t="s">
        <v>829</v>
      </c>
      <c r="G286" s="3">
        <v>42081</v>
      </c>
      <c r="H286" s="1" t="str">
        <f t="shared" si="24"/>
        <v>10 г. 5 мес. 6 дн.</v>
      </c>
      <c r="I286" s="1" t="s">
        <v>34</v>
      </c>
      <c r="K286" s="1" t="s">
        <v>363</v>
      </c>
      <c r="L286" s="1" t="s">
        <v>830</v>
      </c>
      <c r="M286" s="1" t="s">
        <v>181</v>
      </c>
      <c r="O286" s="1" t="s">
        <v>29</v>
      </c>
      <c r="S286" s="1" t="s">
        <v>96</v>
      </c>
      <c r="T286" s="3">
        <v>45894</v>
      </c>
      <c r="U286" s="4">
        <v>0.5</v>
      </c>
      <c r="V286" s="1" t="str">
        <f t="shared" si="22"/>
        <v>0 г. 0 мес. 1 дн.</v>
      </c>
      <c r="W286" s="5"/>
    </row>
    <row r="287" spans="1:23" ht="34.5" customHeight="1" x14ac:dyDescent="0.25">
      <c r="A287" s="1">
        <f t="shared" si="25"/>
        <v>286</v>
      </c>
      <c r="B287" s="1">
        <v>516</v>
      </c>
      <c r="C287" s="2" t="s">
        <v>32</v>
      </c>
      <c r="D287" s="3">
        <v>45893</v>
      </c>
      <c r="E287" s="4">
        <v>0.74652777777777779</v>
      </c>
      <c r="F287" s="1" t="s">
        <v>831</v>
      </c>
      <c r="G287" s="3">
        <v>40932</v>
      </c>
      <c r="H287" s="1" t="str">
        <f t="shared" si="24"/>
        <v>13 г. 7 мес. 0 дн.</v>
      </c>
      <c r="I287" s="1" t="s">
        <v>70</v>
      </c>
      <c r="K287" s="1" t="s">
        <v>137</v>
      </c>
      <c r="L287" s="1" t="s">
        <v>834</v>
      </c>
      <c r="M287" s="1" t="s">
        <v>73</v>
      </c>
      <c r="O287" s="1" t="s">
        <v>42</v>
      </c>
      <c r="S287" s="1" t="s">
        <v>83</v>
      </c>
      <c r="T287" s="3">
        <v>45895</v>
      </c>
      <c r="U287" s="4">
        <v>0.6875</v>
      </c>
      <c r="V287" s="1" t="str">
        <f t="shared" si="22"/>
        <v>0 г. 0 мес. 2 дн.</v>
      </c>
      <c r="W287" s="5"/>
    </row>
    <row r="288" spans="1:23" ht="34.5" customHeight="1" x14ac:dyDescent="0.25">
      <c r="A288" s="1">
        <f t="shared" si="25"/>
        <v>287</v>
      </c>
      <c r="B288" s="1">
        <v>1184</v>
      </c>
      <c r="C288" s="2" t="s">
        <v>96</v>
      </c>
      <c r="D288" s="3">
        <v>45895</v>
      </c>
      <c r="E288" s="4">
        <v>0.96180555555555547</v>
      </c>
      <c r="F288" s="1" t="s">
        <v>833</v>
      </c>
      <c r="G288" s="3">
        <v>40346</v>
      </c>
      <c r="H288" s="1" t="str">
        <f>DATEDIF(G288,D288,"y") &amp; " г. " &amp; DATEDIF(G288,D288,"ym") &amp; " мес. " &amp; DATEDIF(G288,D288,"md") &amp; " дн."</f>
        <v>15 г. 2 мес. 9 дн.</v>
      </c>
      <c r="I288" s="1" t="s">
        <v>39</v>
      </c>
      <c r="K288" s="1" t="s">
        <v>298</v>
      </c>
      <c r="L288" s="1" t="s">
        <v>835</v>
      </c>
      <c r="M288" s="1" t="s">
        <v>181</v>
      </c>
      <c r="O288" s="1" t="s">
        <v>29</v>
      </c>
      <c r="S288" s="1" t="s">
        <v>96</v>
      </c>
      <c r="T288" s="3">
        <v>45898</v>
      </c>
      <c r="U288" s="4">
        <v>0.5</v>
      </c>
      <c r="V288" s="1" t="str">
        <f t="shared" si="22"/>
        <v>0 г. 0 мес. 3 дн.</v>
      </c>
      <c r="W288" s="5"/>
    </row>
    <row r="289" spans="1:23" ht="34.5" customHeight="1" x14ac:dyDescent="0.25">
      <c r="A289" s="1">
        <f t="shared" si="25"/>
        <v>288</v>
      </c>
      <c r="B289" s="1">
        <v>473</v>
      </c>
      <c r="C289" s="2" t="s">
        <v>46</v>
      </c>
      <c r="D289" s="3">
        <v>45897</v>
      </c>
      <c r="E289" s="4">
        <v>0.72916666666666663</v>
      </c>
      <c r="F289" s="48" t="s">
        <v>836</v>
      </c>
      <c r="G289" s="3">
        <v>44362</v>
      </c>
      <c r="H289" s="1" t="str">
        <f t="shared" si="24"/>
        <v>4 г. 2 мес. 13 дн.</v>
      </c>
      <c r="I289" s="1" t="s">
        <v>39</v>
      </c>
      <c r="K289" s="1" t="s">
        <v>298</v>
      </c>
      <c r="L289" s="1" t="s">
        <v>837</v>
      </c>
      <c r="M289" s="1" t="s">
        <v>403</v>
      </c>
      <c r="O289" s="1" t="s">
        <v>29</v>
      </c>
      <c r="S289" s="1" t="s">
        <v>46</v>
      </c>
      <c r="T289" s="3">
        <v>45901</v>
      </c>
      <c r="U289" s="4">
        <v>0.625</v>
      </c>
      <c r="V289" s="1" t="str">
        <f t="shared" si="22"/>
        <v>0 г. 0 мес. 4 дн.</v>
      </c>
      <c r="W289" s="5"/>
    </row>
    <row r="290" spans="1:23" ht="34.5" customHeight="1" x14ac:dyDescent="0.25">
      <c r="A290" s="1">
        <f t="shared" si="25"/>
        <v>289</v>
      </c>
      <c r="B290" s="1">
        <v>469</v>
      </c>
      <c r="C290" s="2" t="s">
        <v>46</v>
      </c>
      <c r="D290" s="3">
        <v>45856</v>
      </c>
      <c r="E290" s="4">
        <v>0.45833333333333331</v>
      </c>
      <c r="F290" s="1" t="s">
        <v>838</v>
      </c>
      <c r="G290" s="3">
        <v>45747</v>
      </c>
      <c r="H290" s="1" t="str">
        <f t="shared" si="24"/>
        <v>0 г. 3 мес. 17 дн.</v>
      </c>
      <c r="I290" s="1" t="s">
        <v>34</v>
      </c>
      <c r="K290" s="1" t="s">
        <v>498</v>
      </c>
      <c r="L290" s="1" t="s">
        <v>839</v>
      </c>
      <c r="M290" s="1" t="s">
        <v>105</v>
      </c>
      <c r="O290" s="1" t="s">
        <v>29</v>
      </c>
      <c r="S290" s="1" t="s">
        <v>46</v>
      </c>
      <c r="T290" s="3">
        <v>45856</v>
      </c>
      <c r="U290" s="4">
        <v>0.45833333333333331</v>
      </c>
      <c r="V290" s="1" t="str">
        <f t="shared" si="22"/>
        <v>0 г. 0 мес. 0 дн.</v>
      </c>
      <c r="W290" s="5"/>
    </row>
    <row r="291" spans="1:23" ht="34.5" customHeight="1" x14ac:dyDescent="0.25">
      <c r="A291" s="1">
        <f t="shared" si="25"/>
        <v>290</v>
      </c>
      <c r="B291" s="1">
        <v>868</v>
      </c>
      <c r="C291" s="2" t="s">
        <v>96</v>
      </c>
      <c r="D291" s="3">
        <v>45846</v>
      </c>
      <c r="E291" s="4">
        <v>0.73611111111111116</v>
      </c>
      <c r="F291" s="1" t="s">
        <v>689</v>
      </c>
      <c r="G291" s="3">
        <v>40303</v>
      </c>
      <c r="H291" s="1" t="str">
        <f t="shared" si="24"/>
        <v>15 г. 2 мес. 3 дн.</v>
      </c>
      <c r="I291" s="1" t="s">
        <v>62</v>
      </c>
      <c r="K291" s="1" t="s">
        <v>690</v>
      </c>
      <c r="L291" s="1" t="s">
        <v>457</v>
      </c>
      <c r="M291" s="1" t="s">
        <v>181</v>
      </c>
      <c r="O291" s="1" t="s">
        <v>29</v>
      </c>
      <c r="P291" s="1" t="s">
        <v>101</v>
      </c>
      <c r="S291" s="1" t="s">
        <v>96</v>
      </c>
      <c r="T291" s="3">
        <v>45847</v>
      </c>
      <c r="U291" s="4">
        <v>0.56944444444444442</v>
      </c>
      <c r="V291" s="1" t="str">
        <f t="shared" si="22"/>
        <v>0 г. 0 мес. 1 дн.</v>
      </c>
      <c r="W291" s="5"/>
    </row>
    <row r="292" spans="1:23" ht="33.75" customHeight="1" x14ac:dyDescent="0.25">
      <c r="A292" s="1">
        <f t="shared" si="25"/>
        <v>291</v>
      </c>
      <c r="B292" s="1">
        <v>879</v>
      </c>
      <c r="C292" s="2" t="s">
        <v>96</v>
      </c>
      <c r="D292" s="3">
        <v>45843</v>
      </c>
      <c r="E292" s="4">
        <v>4.9999999999999996E-2</v>
      </c>
      <c r="F292" s="1" t="s">
        <v>840</v>
      </c>
      <c r="G292" s="3">
        <v>41943</v>
      </c>
      <c r="H292" s="1" t="str">
        <f t="shared" si="24"/>
        <v>10 г. 8 мес. 4 дн.</v>
      </c>
      <c r="I292" s="1" t="s">
        <v>62</v>
      </c>
      <c r="K292" s="1" t="s">
        <v>137</v>
      </c>
      <c r="L292" s="1" t="s">
        <v>841</v>
      </c>
      <c r="M292" s="1" t="s">
        <v>181</v>
      </c>
      <c r="O292" s="1" t="s">
        <v>29</v>
      </c>
      <c r="S292" s="1" t="s">
        <v>96</v>
      </c>
      <c r="T292" s="3">
        <v>45843</v>
      </c>
      <c r="U292" s="4">
        <v>0.48888888888888887</v>
      </c>
      <c r="V292" s="1" t="str">
        <f t="shared" si="22"/>
        <v>0 г. 0 мес. 0 дн.</v>
      </c>
      <c r="W292" s="5"/>
    </row>
    <row r="293" spans="1:23" s="6" customFormat="1" ht="38.25" customHeight="1" x14ac:dyDescent="0.25">
      <c r="A293" s="6">
        <f t="shared" si="25"/>
        <v>292</v>
      </c>
      <c r="B293" s="6">
        <v>422</v>
      </c>
      <c r="C293" s="22" t="s">
        <v>32</v>
      </c>
      <c r="D293" s="28">
        <v>45864</v>
      </c>
      <c r="E293" s="23">
        <v>0.78819444444444453</v>
      </c>
      <c r="F293" s="6" t="s">
        <v>842</v>
      </c>
      <c r="G293" s="28">
        <v>43565</v>
      </c>
      <c r="H293" s="1" t="str">
        <f t="shared" si="24"/>
        <v>6 г. 3 мес. 16 дн.</v>
      </c>
      <c r="I293" s="1" t="s">
        <v>39</v>
      </c>
      <c r="K293" s="6" t="s">
        <v>137</v>
      </c>
      <c r="L293" s="6" t="s">
        <v>487</v>
      </c>
      <c r="M293" s="6" t="s">
        <v>73</v>
      </c>
      <c r="O293" s="6" t="s">
        <v>29</v>
      </c>
      <c r="S293" s="6" t="s">
        <v>32</v>
      </c>
      <c r="T293" s="28">
        <v>45865</v>
      </c>
      <c r="U293" s="23">
        <v>0.70833333333333337</v>
      </c>
      <c r="V293" s="6" t="str">
        <f t="shared" si="22"/>
        <v>0 г. 0 мес. 1 дн.</v>
      </c>
      <c r="W293" s="27"/>
    </row>
    <row r="294" spans="1:23" ht="34.5" customHeight="1" x14ac:dyDescent="0.25">
      <c r="A294" s="1">
        <f t="shared" si="25"/>
        <v>293</v>
      </c>
      <c r="B294" s="1">
        <v>445</v>
      </c>
      <c r="C294" s="2" t="s">
        <v>236</v>
      </c>
      <c r="D294" s="3">
        <v>45885</v>
      </c>
      <c r="E294" s="4">
        <v>3.472222222222222E-3</v>
      </c>
      <c r="F294" s="1" t="s">
        <v>843</v>
      </c>
      <c r="G294" s="3">
        <v>40867</v>
      </c>
      <c r="H294" s="1" t="str">
        <f t="shared" si="24"/>
        <v>13 г. 8 мес. 27 дн.</v>
      </c>
      <c r="I294" s="1" t="s">
        <v>70</v>
      </c>
      <c r="K294" s="1" t="s">
        <v>844</v>
      </c>
      <c r="L294" s="1" t="s">
        <v>845</v>
      </c>
      <c r="M294" s="1" t="s">
        <v>73</v>
      </c>
      <c r="O294" s="1" t="s">
        <v>42</v>
      </c>
      <c r="Q294" s="1" t="s">
        <v>567</v>
      </c>
      <c r="S294" s="1" t="s">
        <v>236</v>
      </c>
      <c r="T294" s="3">
        <v>45896</v>
      </c>
      <c r="U294" s="4">
        <v>0.5</v>
      </c>
      <c r="V294" s="1" t="str">
        <f t="shared" si="22"/>
        <v>0 г. 0 мес. 11 дн.</v>
      </c>
      <c r="W294" s="5"/>
    </row>
    <row r="295" spans="1:23" ht="34.5" customHeight="1" x14ac:dyDescent="0.25">
      <c r="A295" s="1">
        <f t="shared" si="25"/>
        <v>294</v>
      </c>
      <c r="B295" s="1">
        <v>1863</v>
      </c>
      <c r="C295" s="2" t="s">
        <v>60</v>
      </c>
      <c r="D295" s="3">
        <v>45885</v>
      </c>
      <c r="E295" s="4">
        <v>0.875</v>
      </c>
      <c r="F295" s="1" t="s">
        <v>846</v>
      </c>
      <c r="G295" s="3">
        <v>45842</v>
      </c>
      <c r="H295" s="1" t="str">
        <f t="shared" si="24"/>
        <v>0 г. 1 мес. 12 дн.</v>
      </c>
      <c r="I295" s="1" t="s">
        <v>39</v>
      </c>
      <c r="K295" s="1" t="s">
        <v>137</v>
      </c>
      <c r="L295" s="1" t="s">
        <v>810</v>
      </c>
      <c r="M295" s="1" t="s">
        <v>65</v>
      </c>
      <c r="O295" s="1" t="s">
        <v>29</v>
      </c>
      <c r="S295" s="1" t="s">
        <v>60</v>
      </c>
      <c r="T295" s="3">
        <v>45888</v>
      </c>
      <c r="U295" s="4">
        <v>0.41666666666666669</v>
      </c>
      <c r="V295" s="1" t="str">
        <f t="shared" si="22"/>
        <v>0 г. 0 мес. 3 дн.</v>
      </c>
      <c r="W295" s="5"/>
    </row>
    <row r="296" spans="1:23" ht="34.5" customHeight="1" x14ac:dyDescent="0.25">
      <c r="A296" s="1">
        <f t="shared" si="25"/>
        <v>295</v>
      </c>
      <c r="B296" s="1">
        <v>1940</v>
      </c>
      <c r="C296" s="2" t="s">
        <v>60</v>
      </c>
      <c r="D296" s="3">
        <v>45867</v>
      </c>
      <c r="E296" s="4">
        <v>0.64583333333333337</v>
      </c>
      <c r="F296" s="1" t="s">
        <v>847</v>
      </c>
      <c r="G296" s="3">
        <v>42392</v>
      </c>
      <c r="H296" s="1" t="str">
        <f t="shared" si="24"/>
        <v>9 г. 6 мес. 6 дн.</v>
      </c>
      <c r="I296" s="1" t="s">
        <v>39</v>
      </c>
      <c r="K296" s="1" t="s">
        <v>290</v>
      </c>
      <c r="L296" s="1" t="s">
        <v>849</v>
      </c>
      <c r="M296" s="1" t="s">
        <v>181</v>
      </c>
      <c r="O296" s="1" t="s">
        <v>29</v>
      </c>
      <c r="S296" s="1" t="s">
        <v>60</v>
      </c>
      <c r="T296" s="3">
        <v>45899</v>
      </c>
      <c r="U296" s="4">
        <v>0.5</v>
      </c>
      <c r="V296" s="1" t="str">
        <f t="shared" si="22"/>
        <v>0 г. 1 мес. 1 дн.</v>
      </c>
      <c r="W296" s="5"/>
    </row>
    <row r="297" spans="1:23" ht="34.5" customHeight="1" x14ac:dyDescent="0.25">
      <c r="A297" s="1">
        <f t="shared" si="25"/>
        <v>296</v>
      </c>
      <c r="B297" s="1">
        <v>477</v>
      </c>
      <c r="C297" s="2" t="s">
        <v>46</v>
      </c>
      <c r="D297" s="3">
        <v>45898</v>
      </c>
      <c r="E297" s="4">
        <v>0.82986111111111116</v>
      </c>
      <c r="F297" s="1" t="s">
        <v>848</v>
      </c>
      <c r="G297" s="3">
        <v>44050</v>
      </c>
      <c r="H297" s="1" t="str">
        <f t="shared" si="24"/>
        <v>5 г. 0 мес. 22 дн.</v>
      </c>
      <c r="I297" s="1" t="s">
        <v>39</v>
      </c>
      <c r="K297" s="1" t="s">
        <v>850</v>
      </c>
      <c r="L297" s="1" t="s">
        <v>851</v>
      </c>
      <c r="M297" s="1" t="s">
        <v>135</v>
      </c>
      <c r="O297" s="1" t="s">
        <v>29</v>
      </c>
      <c r="S297" s="1" t="s">
        <v>46</v>
      </c>
      <c r="T297" s="3">
        <v>45900</v>
      </c>
      <c r="U297" s="4">
        <v>0.625</v>
      </c>
      <c r="V297" s="1" t="str">
        <f t="shared" si="22"/>
        <v>0 г. 0 мес. 2 дн.</v>
      </c>
      <c r="W297" s="5"/>
    </row>
    <row r="298" spans="1:23" ht="34.5" customHeight="1" x14ac:dyDescent="0.25">
      <c r="A298" s="1">
        <f t="shared" si="25"/>
        <v>297</v>
      </c>
      <c r="B298" s="1">
        <v>478</v>
      </c>
      <c r="C298" s="2" t="s">
        <v>46</v>
      </c>
      <c r="D298" s="3">
        <v>45899</v>
      </c>
      <c r="E298" s="4">
        <v>8.3333333333333329E-2</v>
      </c>
      <c r="F298" s="1" t="s">
        <v>852</v>
      </c>
      <c r="G298" s="3">
        <v>44161</v>
      </c>
      <c r="H298" s="1" t="str">
        <f t="shared" si="24"/>
        <v>4 г. 9 мес. 4 дн.</v>
      </c>
      <c r="I298" s="1" t="s">
        <v>39</v>
      </c>
      <c r="K298" s="1" t="s">
        <v>853</v>
      </c>
      <c r="L298" s="1" t="s">
        <v>854</v>
      </c>
      <c r="M298" s="1" t="s">
        <v>50</v>
      </c>
      <c r="O298" s="1" t="s">
        <v>29</v>
      </c>
      <c r="S298" s="1" t="s">
        <v>46</v>
      </c>
      <c r="T298" s="3">
        <v>45900</v>
      </c>
      <c r="U298" s="4">
        <v>0.5</v>
      </c>
      <c r="V298" s="1" t="str">
        <f t="shared" si="22"/>
        <v>0 г. 0 мес. 1 дн.</v>
      </c>
      <c r="W298" s="5"/>
    </row>
    <row r="299" spans="1:23" ht="34.5" customHeight="1" x14ac:dyDescent="0.25">
      <c r="A299" s="1">
        <f t="shared" si="25"/>
        <v>298</v>
      </c>
      <c r="B299" s="1">
        <v>1196</v>
      </c>
      <c r="C299" s="2" t="s">
        <v>96</v>
      </c>
      <c r="D299" s="3">
        <v>45900</v>
      </c>
      <c r="E299" s="4">
        <v>3.4722222222222224E-2</v>
      </c>
      <c r="F299" s="1" t="s">
        <v>855</v>
      </c>
      <c r="G299" s="3">
        <v>41016</v>
      </c>
      <c r="H299" s="1" t="str">
        <f t="shared" si="24"/>
        <v>13 г. 4 мес. 14 дн.</v>
      </c>
      <c r="I299" s="1" t="s">
        <v>39</v>
      </c>
      <c r="K299" s="1" t="s">
        <v>856</v>
      </c>
      <c r="L299" s="1" t="s">
        <v>857</v>
      </c>
      <c r="M299" s="1" t="s">
        <v>181</v>
      </c>
      <c r="O299" s="1" t="s">
        <v>29</v>
      </c>
      <c r="S299" s="1" t="s">
        <v>96</v>
      </c>
      <c r="T299" s="3">
        <v>45900</v>
      </c>
      <c r="U299" s="4">
        <v>0.75</v>
      </c>
      <c r="V299" s="1" t="str">
        <f t="shared" si="22"/>
        <v>0 г. 0 мес. 0 дн.</v>
      </c>
      <c r="W299" s="5"/>
    </row>
    <row r="300" spans="1:23" ht="34.5" customHeight="1" x14ac:dyDescent="0.25">
      <c r="A300" s="1">
        <f t="shared" si="25"/>
        <v>299</v>
      </c>
      <c r="B300" s="1">
        <v>1197</v>
      </c>
      <c r="C300" s="2" t="s">
        <v>96</v>
      </c>
      <c r="D300" s="3">
        <v>45900</v>
      </c>
      <c r="E300" s="4">
        <v>5.2083333333333336E-2</v>
      </c>
      <c r="F300" s="1" t="s">
        <v>858</v>
      </c>
      <c r="G300" s="3">
        <v>39392</v>
      </c>
      <c r="H300" s="1" t="str">
        <f t="shared" si="24"/>
        <v>17 г. 9 мес. 25 дн.</v>
      </c>
      <c r="I300" s="1" t="s">
        <v>39</v>
      </c>
      <c r="K300" s="1" t="s">
        <v>859</v>
      </c>
      <c r="L300" s="1" t="s">
        <v>457</v>
      </c>
      <c r="M300" s="1" t="s">
        <v>181</v>
      </c>
      <c r="O300" s="1" t="s">
        <v>29</v>
      </c>
      <c r="P300" s="1" t="s">
        <v>101</v>
      </c>
      <c r="Q300" s="1" t="s">
        <v>30</v>
      </c>
      <c r="S300" s="1" t="s">
        <v>96</v>
      </c>
      <c r="T300" s="3">
        <v>45908</v>
      </c>
      <c r="U300" s="4">
        <v>0.58333333333333337</v>
      </c>
      <c r="V300" s="1" t="str">
        <f t="shared" si="22"/>
        <v>0 г. 0 мес. 8 дн.</v>
      </c>
      <c r="W300" s="5"/>
    </row>
    <row r="301" spans="1:23" ht="34.5" customHeight="1" x14ac:dyDescent="0.25">
      <c r="A301" s="1">
        <f t="shared" si="25"/>
        <v>300</v>
      </c>
      <c r="B301" s="1">
        <v>1947</v>
      </c>
      <c r="C301" s="2" t="s">
        <v>60</v>
      </c>
      <c r="D301" s="3">
        <v>45900</v>
      </c>
      <c r="E301" s="4">
        <v>0.4548611111111111</v>
      </c>
      <c r="F301" s="48" t="s">
        <v>860</v>
      </c>
      <c r="G301" s="3">
        <v>45303</v>
      </c>
      <c r="H301" s="1" t="str">
        <f t="shared" si="24"/>
        <v>1 г. 7 мес. 19 дн.</v>
      </c>
      <c r="I301" s="1" t="s">
        <v>39</v>
      </c>
      <c r="K301" s="1" t="s">
        <v>137</v>
      </c>
      <c r="L301" s="74" t="s">
        <v>861</v>
      </c>
      <c r="M301" s="1" t="s">
        <v>65</v>
      </c>
      <c r="O301" s="1" t="s">
        <v>29</v>
      </c>
      <c r="S301" s="1" t="s">
        <v>60</v>
      </c>
      <c r="T301" s="3">
        <v>45901</v>
      </c>
      <c r="U301" s="4">
        <v>0.45833333333333331</v>
      </c>
      <c r="V301" s="1" t="str">
        <f t="shared" si="22"/>
        <v>0 г. 0 мес. 1 дн.</v>
      </c>
      <c r="W301" s="5"/>
    </row>
    <row r="302" spans="1:23" ht="34.5" customHeight="1" x14ac:dyDescent="0.25">
      <c r="A302" s="1">
        <f t="shared" si="25"/>
        <v>301</v>
      </c>
      <c r="B302" s="1">
        <v>1949</v>
      </c>
      <c r="C302" s="2" t="s">
        <v>60</v>
      </c>
      <c r="D302" s="3">
        <v>45900</v>
      </c>
      <c r="E302" s="4">
        <v>0.67708333333333337</v>
      </c>
      <c r="F302" s="1" t="s">
        <v>862</v>
      </c>
      <c r="G302" s="3">
        <v>44216</v>
      </c>
      <c r="H302" s="1" t="str">
        <f t="shared" si="24"/>
        <v>4 г. 7 мес. 11 дн.</v>
      </c>
      <c r="I302" s="1" t="s">
        <v>39</v>
      </c>
      <c r="K302" s="1" t="s">
        <v>137</v>
      </c>
      <c r="L302" s="1" t="s">
        <v>305</v>
      </c>
      <c r="M302" s="1" t="s">
        <v>65</v>
      </c>
      <c r="O302" s="1" t="s">
        <v>29</v>
      </c>
      <c r="S302" s="1" t="s">
        <v>60</v>
      </c>
      <c r="T302" s="3">
        <v>45902</v>
      </c>
      <c r="U302" s="4">
        <v>0.5</v>
      </c>
      <c r="V302" s="1" t="str">
        <f t="shared" si="22"/>
        <v>0 г. 0 мес. 2 дн.</v>
      </c>
      <c r="W302" s="5"/>
    </row>
    <row r="303" spans="1:23" ht="34.5" customHeight="1" x14ac:dyDescent="0.25">
      <c r="A303" s="1">
        <f t="shared" si="25"/>
        <v>302</v>
      </c>
      <c r="B303" s="1">
        <v>480</v>
      </c>
      <c r="C303" s="2" t="s">
        <v>46</v>
      </c>
      <c r="D303" s="3">
        <v>45901</v>
      </c>
      <c r="E303" s="4">
        <v>0.80555555555555547</v>
      </c>
      <c r="F303" s="1" t="s">
        <v>863</v>
      </c>
      <c r="G303" s="3">
        <v>44778</v>
      </c>
      <c r="H303" s="1" t="str">
        <f t="shared" si="24"/>
        <v>3 г. 0 мес. 27 дн.</v>
      </c>
      <c r="I303" s="1" t="s">
        <v>39</v>
      </c>
      <c r="K303" s="1" t="s">
        <v>137</v>
      </c>
      <c r="L303" s="1" t="s">
        <v>864</v>
      </c>
      <c r="M303" s="1" t="s">
        <v>135</v>
      </c>
      <c r="O303" s="1" t="s">
        <v>29</v>
      </c>
      <c r="S303" s="1" t="s">
        <v>46</v>
      </c>
      <c r="T303" s="3">
        <v>45903</v>
      </c>
      <c r="U303" s="4">
        <v>0.5</v>
      </c>
      <c r="V303" s="1" t="str">
        <f t="shared" si="22"/>
        <v>0 г. 0 мес. 2 дн.</v>
      </c>
      <c r="W303" s="5"/>
    </row>
    <row r="304" spans="1:23" ht="34.5" customHeight="1" x14ac:dyDescent="0.25">
      <c r="A304" s="1">
        <f t="shared" si="25"/>
        <v>303</v>
      </c>
      <c r="B304" s="1">
        <v>486</v>
      </c>
      <c r="C304" s="2" t="s">
        <v>46</v>
      </c>
      <c r="D304" s="3">
        <v>45903</v>
      </c>
      <c r="E304" s="4">
        <v>7.6388888888888895E-2</v>
      </c>
      <c r="F304" s="1" t="s">
        <v>865</v>
      </c>
      <c r="G304" s="3">
        <v>40802</v>
      </c>
      <c r="H304" s="1" t="str">
        <f t="shared" si="24"/>
        <v>13 г. 11 мес. 18 дн.</v>
      </c>
      <c r="I304" s="1" t="s">
        <v>39</v>
      </c>
      <c r="K304" s="1" t="s">
        <v>866</v>
      </c>
      <c r="L304" s="1" t="s">
        <v>864</v>
      </c>
      <c r="M304" s="1" t="s">
        <v>135</v>
      </c>
      <c r="O304" s="1" t="s">
        <v>29</v>
      </c>
      <c r="S304" s="1" t="s">
        <v>46</v>
      </c>
      <c r="T304" s="3">
        <v>45903</v>
      </c>
      <c r="U304" s="4">
        <v>0.5</v>
      </c>
      <c r="V304" s="1" t="str">
        <f t="shared" si="22"/>
        <v>0 г. 0 мес. 0 дн.</v>
      </c>
      <c r="W304" s="5"/>
    </row>
    <row r="305" spans="1:23" ht="34.5" customHeight="1" x14ac:dyDescent="0.25">
      <c r="A305" s="1">
        <f t="shared" si="25"/>
        <v>304</v>
      </c>
      <c r="B305" s="1">
        <v>487</v>
      </c>
      <c r="C305" s="2" t="s">
        <v>46</v>
      </c>
      <c r="D305" s="3">
        <v>45903</v>
      </c>
      <c r="E305" s="4">
        <v>0.56944444444444442</v>
      </c>
      <c r="F305" s="1" t="s">
        <v>867</v>
      </c>
      <c r="G305" s="3">
        <v>41388</v>
      </c>
      <c r="H305" s="1" t="str">
        <f t="shared" si="24"/>
        <v>12 г. 4 мес. 10 дн.</v>
      </c>
      <c r="I305" s="1" t="s">
        <v>70</v>
      </c>
      <c r="K305" s="1" t="s">
        <v>868</v>
      </c>
      <c r="L305" s="1" t="s">
        <v>869</v>
      </c>
      <c r="M305" s="1" t="s">
        <v>403</v>
      </c>
      <c r="O305" s="1" t="s">
        <v>29</v>
      </c>
      <c r="Q305" s="1" t="s">
        <v>587</v>
      </c>
      <c r="S305" s="1" t="s">
        <v>83</v>
      </c>
      <c r="T305" s="3">
        <v>45908</v>
      </c>
      <c r="U305" s="4">
        <v>0.52083333333333337</v>
      </c>
      <c r="V305" s="1" t="str">
        <f t="shared" ref="V305:V367" si="26">DATEDIF(D305,T305,"y") &amp; " г. " &amp; DATEDIF(D305,T305,"ym") &amp; " мес. " &amp; DATEDIF(D305,T305,"md") &amp; " дн."</f>
        <v>0 г. 0 мес. 5 дн.</v>
      </c>
      <c r="W305" s="5"/>
    </row>
    <row r="306" spans="1:23" ht="34.5" customHeight="1" x14ac:dyDescent="0.25">
      <c r="A306" s="1">
        <f t="shared" si="25"/>
        <v>305</v>
      </c>
      <c r="B306" s="1">
        <v>446</v>
      </c>
      <c r="C306" s="2" t="s">
        <v>91</v>
      </c>
      <c r="D306" s="3">
        <v>45904</v>
      </c>
      <c r="E306" s="4">
        <v>0.625</v>
      </c>
      <c r="F306" s="1" t="s">
        <v>870</v>
      </c>
      <c r="G306" s="3">
        <v>45282</v>
      </c>
      <c r="H306" s="1" t="str">
        <f t="shared" si="24"/>
        <v>1 г. 8 мес. 13 дн.</v>
      </c>
      <c r="I306" s="1" t="s">
        <v>70</v>
      </c>
      <c r="K306" s="1" t="s">
        <v>735</v>
      </c>
      <c r="L306" s="1" t="s">
        <v>871</v>
      </c>
      <c r="M306" s="1" t="s">
        <v>105</v>
      </c>
      <c r="O306" s="1" t="s">
        <v>29</v>
      </c>
      <c r="Q306" s="1" t="s">
        <v>30</v>
      </c>
      <c r="S306" s="1" t="s">
        <v>91</v>
      </c>
      <c r="T306" s="3">
        <v>45905</v>
      </c>
      <c r="U306" s="4">
        <v>0.5</v>
      </c>
      <c r="V306" s="1" t="str">
        <f t="shared" si="26"/>
        <v>0 г. 0 мес. 1 дн.</v>
      </c>
      <c r="W306" s="5"/>
    </row>
    <row r="307" spans="1:23" ht="34.5" customHeight="1" x14ac:dyDescent="0.25">
      <c r="A307" s="1">
        <f t="shared" si="25"/>
        <v>306</v>
      </c>
      <c r="B307" s="75">
        <v>445</v>
      </c>
      <c r="C307" s="76" t="s">
        <v>236</v>
      </c>
      <c r="D307" s="77">
        <v>45904</v>
      </c>
      <c r="E307" s="78">
        <v>0.58333333333333337</v>
      </c>
      <c r="F307" s="79" t="s">
        <v>795</v>
      </c>
      <c r="G307" s="77">
        <v>40867</v>
      </c>
      <c r="H307" s="79" t="str">
        <f t="shared" si="24"/>
        <v>13 г. 9 мес. 15 дн.</v>
      </c>
      <c r="I307" s="79" t="s">
        <v>70</v>
      </c>
      <c r="J307" s="79"/>
      <c r="K307" s="79" t="s">
        <v>107</v>
      </c>
      <c r="L307" s="79" t="s">
        <v>796</v>
      </c>
      <c r="M307" s="79" t="s">
        <v>37</v>
      </c>
      <c r="N307" s="79"/>
      <c r="O307" s="79" t="s">
        <v>29</v>
      </c>
      <c r="P307" s="75"/>
      <c r="Q307" s="75" t="s">
        <v>587</v>
      </c>
      <c r="R307" s="75"/>
      <c r="S307" s="75" t="s">
        <v>194</v>
      </c>
      <c r="T307" s="80">
        <v>45906</v>
      </c>
      <c r="U307" s="81">
        <v>0.1875</v>
      </c>
      <c r="V307" s="79" t="str">
        <f t="shared" si="26"/>
        <v>0 г. 0 мес. 2 дн.</v>
      </c>
      <c r="W307" s="82"/>
    </row>
    <row r="308" spans="1:23" ht="34.5" customHeight="1" x14ac:dyDescent="0.25">
      <c r="A308" s="1">
        <f t="shared" ref="A308:A315" si="27">ROW(A307)</f>
        <v>307</v>
      </c>
      <c r="B308" s="1"/>
      <c r="C308" s="2" t="s">
        <v>278</v>
      </c>
      <c r="D308" s="3">
        <v>45905</v>
      </c>
      <c r="E308" s="4">
        <v>0.60416666666666663</v>
      </c>
      <c r="F308" s="1" t="s">
        <v>777</v>
      </c>
      <c r="G308" s="3"/>
      <c r="H308" s="1" t="str">
        <f t="shared" si="24"/>
        <v>125 г. 8 мес. 5 дн.</v>
      </c>
      <c r="I308" s="1" t="s">
        <v>70</v>
      </c>
      <c r="K308" s="1" t="s">
        <v>137</v>
      </c>
      <c r="L308" s="1" t="s">
        <v>872</v>
      </c>
      <c r="M308" s="1" t="s">
        <v>403</v>
      </c>
      <c r="O308" s="1" t="s">
        <v>124</v>
      </c>
      <c r="Q308" s="1" t="s">
        <v>30</v>
      </c>
      <c r="S308" s="1" t="s">
        <v>278</v>
      </c>
      <c r="T308" s="3">
        <v>45905</v>
      </c>
      <c r="U308" s="4">
        <v>0.83333333333333337</v>
      </c>
      <c r="V308" s="1" t="str">
        <f>DATEDIF(D308,T308,"y") &amp; " г. " &amp; DATEDIF(D308,T308,"ym") &amp; " мес. " &amp; DATEDIF(D308,T308,"md") &amp; " дн."</f>
        <v>0 г. 0 мес. 0 дн.</v>
      </c>
      <c r="W308" s="5"/>
    </row>
    <row r="309" spans="1:23" ht="34.5" customHeight="1" x14ac:dyDescent="0.25">
      <c r="A309" s="1">
        <f t="shared" si="27"/>
        <v>308</v>
      </c>
      <c r="B309" s="1">
        <v>1225</v>
      </c>
      <c r="C309" s="2" t="s">
        <v>96</v>
      </c>
      <c r="D309" s="3">
        <v>45905</v>
      </c>
      <c r="E309" s="4">
        <v>0.45833333333333331</v>
      </c>
      <c r="F309" s="1" t="s">
        <v>873</v>
      </c>
      <c r="G309" s="3">
        <v>39887</v>
      </c>
      <c r="H309" s="1" t="str">
        <f t="shared" si="24"/>
        <v>16 г. 5 мес. 21 дн.</v>
      </c>
      <c r="I309" s="1" t="s">
        <v>39</v>
      </c>
      <c r="K309" s="1" t="s">
        <v>874</v>
      </c>
      <c r="L309" s="1" t="s">
        <v>710</v>
      </c>
      <c r="M309" s="1" t="s">
        <v>181</v>
      </c>
      <c r="O309" s="1" t="s">
        <v>29</v>
      </c>
      <c r="P309" s="1" t="s">
        <v>566</v>
      </c>
      <c r="S309" s="1" t="s">
        <v>96</v>
      </c>
      <c r="T309" s="3">
        <v>45906</v>
      </c>
      <c r="U309" s="4">
        <v>0.5</v>
      </c>
      <c r="V309" s="1" t="str">
        <f t="shared" si="26"/>
        <v>0 г. 0 мес. 1 дн.</v>
      </c>
      <c r="W309" s="5"/>
    </row>
    <row r="310" spans="1:23" ht="34.5" customHeight="1" x14ac:dyDescent="0.25">
      <c r="A310" s="1">
        <f t="shared" si="27"/>
        <v>309</v>
      </c>
      <c r="B310" s="1">
        <v>1196</v>
      </c>
      <c r="C310" s="2" t="s">
        <v>96</v>
      </c>
      <c r="D310" s="3">
        <v>45905</v>
      </c>
      <c r="E310" s="4">
        <v>0.63541666666666663</v>
      </c>
      <c r="F310" s="1" t="s">
        <v>855</v>
      </c>
      <c r="G310" s="3">
        <v>41016</v>
      </c>
      <c r="H310" s="1" t="str">
        <f t="shared" si="24"/>
        <v>13 г. 4 мес. 19 дн.</v>
      </c>
      <c r="I310" s="1" t="s">
        <v>62</v>
      </c>
      <c r="K310" s="1" t="s">
        <v>875</v>
      </c>
      <c r="L310" s="1" t="s">
        <v>710</v>
      </c>
      <c r="M310" s="1" t="s">
        <v>181</v>
      </c>
      <c r="O310" s="1" t="s">
        <v>29</v>
      </c>
      <c r="S310" s="1" t="s">
        <v>96</v>
      </c>
      <c r="T310" s="3">
        <v>45907</v>
      </c>
      <c r="U310" s="4">
        <v>0.5</v>
      </c>
      <c r="V310" s="1" t="str">
        <f t="shared" si="26"/>
        <v>0 г. 0 мес. 2 дн.</v>
      </c>
      <c r="W310" s="5"/>
    </row>
    <row r="311" spans="1:23" ht="34.5" customHeight="1" x14ac:dyDescent="0.25">
      <c r="A311" s="1">
        <f t="shared" si="27"/>
        <v>310</v>
      </c>
      <c r="B311" s="1">
        <v>1987</v>
      </c>
      <c r="C311" s="2" t="s">
        <v>60</v>
      </c>
      <c r="D311" s="3">
        <v>45905</v>
      </c>
      <c r="E311" s="4">
        <v>0.81944444444444453</v>
      </c>
      <c r="F311" s="1" t="s">
        <v>876</v>
      </c>
      <c r="G311" s="3">
        <v>43272</v>
      </c>
      <c r="H311" s="1" t="str">
        <f t="shared" si="24"/>
        <v>7 г. 2 мес. 15 дн.</v>
      </c>
      <c r="I311" s="1" t="s">
        <v>62</v>
      </c>
      <c r="K311" s="1" t="s">
        <v>877</v>
      </c>
      <c r="L311" s="1" t="s">
        <v>878</v>
      </c>
      <c r="M311" s="1" t="s">
        <v>181</v>
      </c>
      <c r="O311" s="1" t="s">
        <v>29</v>
      </c>
      <c r="S311" s="1" t="s">
        <v>60</v>
      </c>
      <c r="T311" s="3">
        <v>45906</v>
      </c>
      <c r="U311" s="4">
        <v>0.5</v>
      </c>
      <c r="V311" s="1" t="str">
        <f t="shared" si="26"/>
        <v>0 г. 0 мес. 1 дн.</v>
      </c>
      <c r="W311" s="5"/>
    </row>
    <row r="312" spans="1:23" ht="34.5" customHeight="1" x14ac:dyDescent="0.25">
      <c r="A312" s="1">
        <f t="shared" si="27"/>
        <v>311</v>
      </c>
      <c r="B312" s="1">
        <v>489</v>
      </c>
      <c r="C312" s="2" t="s">
        <v>46</v>
      </c>
      <c r="D312" s="3">
        <v>45906</v>
      </c>
      <c r="E312" s="4">
        <v>0.3263888888888889</v>
      </c>
      <c r="F312" s="1" t="s">
        <v>742</v>
      </c>
      <c r="G312" s="3">
        <v>39803</v>
      </c>
      <c r="H312" s="1" t="str">
        <f t="shared" si="24"/>
        <v>16 г. 8 мес. 16 дн.</v>
      </c>
      <c r="I312" s="1" t="s">
        <v>132</v>
      </c>
      <c r="K312" s="1" t="s">
        <v>879</v>
      </c>
      <c r="L312" s="1" t="s">
        <v>880</v>
      </c>
      <c r="M312" s="1" t="s">
        <v>28</v>
      </c>
      <c r="O312" s="1" t="s">
        <v>29</v>
      </c>
      <c r="S312" s="1" t="s">
        <v>31</v>
      </c>
      <c r="T312" s="3">
        <v>45910</v>
      </c>
      <c r="U312" s="4">
        <v>0.52083333333333337</v>
      </c>
      <c r="V312" s="1" t="str">
        <f t="shared" si="26"/>
        <v>0 г. 0 мес. 4 дн.</v>
      </c>
      <c r="W312" s="5"/>
    </row>
    <row r="313" spans="1:23" ht="34.5" customHeight="1" x14ac:dyDescent="0.25">
      <c r="A313" s="1">
        <f t="shared" si="27"/>
        <v>312</v>
      </c>
      <c r="B313" s="1">
        <v>1234</v>
      </c>
      <c r="C313" s="2" t="s">
        <v>96</v>
      </c>
      <c r="D313" s="3">
        <v>45907</v>
      </c>
      <c r="E313" s="4">
        <v>0.73263888888888884</v>
      </c>
      <c r="F313" s="1" t="s">
        <v>881</v>
      </c>
      <c r="G313" s="3">
        <v>44532</v>
      </c>
      <c r="H313" s="1" t="str">
        <f t="shared" si="24"/>
        <v>3 г. 9 мес. 5 дн.</v>
      </c>
      <c r="I313" s="1" t="s">
        <v>62</v>
      </c>
      <c r="K313" s="1" t="s">
        <v>882</v>
      </c>
      <c r="L313" s="1" t="s">
        <v>223</v>
      </c>
      <c r="M313" s="1" t="s">
        <v>100</v>
      </c>
      <c r="O313" s="1" t="s">
        <v>29</v>
      </c>
      <c r="P313" s="1" t="s">
        <v>566</v>
      </c>
      <c r="S313" s="1" t="s">
        <v>96</v>
      </c>
      <c r="T313" s="3">
        <v>45908</v>
      </c>
      <c r="U313" s="4">
        <v>0.625</v>
      </c>
      <c r="V313" s="1" t="str">
        <f t="shared" si="26"/>
        <v>0 г. 0 мес. 1 дн.</v>
      </c>
      <c r="W313" s="5"/>
    </row>
    <row r="314" spans="1:23" ht="34.5" customHeight="1" x14ac:dyDescent="0.25">
      <c r="A314" s="1">
        <f t="shared" si="27"/>
        <v>313</v>
      </c>
      <c r="B314" s="1"/>
      <c r="C314" s="2" t="s">
        <v>60</v>
      </c>
      <c r="D314" s="3">
        <v>45907</v>
      </c>
      <c r="E314" s="4">
        <v>0.65625</v>
      </c>
      <c r="F314" s="1" t="s">
        <v>883</v>
      </c>
      <c r="G314" s="3">
        <v>42548</v>
      </c>
      <c r="H314" s="1" t="str">
        <f t="shared" si="24"/>
        <v>9 г. 2 мес. 11 дн.</v>
      </c>
      <c r="I314" s="1" t="s">
        <v>39</v>
      </c>
      <c r="K314" s="1" t="s">
        <v>884</v>
      </c>
      <c r="L314" s="1" t="s">
        <v>117</v>
      </c>
      <c r="M314" s="1" t="s">
        <v>65</v>
      </c>
      <c r="O314" s="1" t="s">
        <v>29</v>
      </c>
      <c r="S314" s="1" t="s">
        <v>60</v>
      </c>
      <c r="T314" s="3">
        <v>45908</v>
      </c>
      <c r="U314" s="4">
        <v>0.45833333333333331</v>
      </c>
      <c r="V314" s="1" t="str">
        <f t="shared" si="26"/>
        <v>0 г. 0 мес. 1 дн.</v>
      </c>
      <c r="W314" s="5"/>
    </row>
    <row r="315" spans="1:23" ht="34.5" customHeight="1" x14ac:dyDescent="0.25">
      <c r="A315" s="1">
        <f t="shared" si="27"/>
        <v>314</v>
      </c>
      <c r="B315" s="1">
        <v>492</v>
      </c>
      <c r="C315" s="2" t="s">
        <v>46</v>
      </c>
      <c r="D315" s="3">
        <v>45908</v>
      </c>
      <c r="E315" s="4">
        <v>0.83333333333333337</v>
      </c>
      <c r="F315" s="1" t="s">
        <v>886</v>
      </c>
      <c r="G315" s="3">
        <v>43366</v>
      </c>
      <c r="H315" s="1" t="str">
        <f t="shared" si="24"/>
        <v>6 г. 11 мес. 16 дн.</v>
      </c>
      <c r="I315" s="1" t="s">
        <v>39</v>
      </c>
      <c r="K315" s="1" t="s">
        <v>887</v>
      </c>
      <c r="L315" s="1" t="s">
        <v>885</v>
      </c>
      <c r="M315" s="1" t="s">
        <v>135</v>
      </c>
      <c r="O315" s="1" t="s">
        <v>29</v>
      </c>
      <c r="S315" s="1" t="s">
        <v>83</v>
      </c>
      <c r="T315" s="3">
        <v>45911</v>
      </c>
      <c r="U315" s="4">
        <v>0.47916666666666669</v>
      </c>
      <c r="V315" s="1" t="str">
        <f t="shared" si="26"/>
        <v>0 г. 0 мес. 3 дн.</v>
      </c>
      <c r="W315" s="5"/>
    </row>
    <row r="316" spans="1:23" ht="34.5" customHeight="1" x14ac:dyDescent="0.25">
      <c r="A316" s="1">
        <v>316</v>
      </c>
      <c r="B316" s="1">
        <v>496</v>
      </c>
      <c r="C316" s="2" t="s">
        <v>46</v>
      </c>
      <c r="D316" s="3">
        <v>45911</v>
      </c>
      <c r="E316" s="4">
        <v>0.68055555555555547</v>
      </c>
      <c r="F316" s="1" t="s">
        <v>888</v>
      </c>
      <c r="G316" s="3">
        <v>41169</v>
      </c>
      <c r="H316" s="1" t="str">
        <f t="shared" si="24"/>
        <v>12 г. 11 мес. 25 дн.</v>
      </c>
      <c r="I316" s="1" t="s">
        <v>34</v>
      </c>
      <c r="K316" s="1" t="s">
        <v>735</v>
      </c>
      <c r="L316" s="1" t="s">
        <v>405</v>
      </c>
      <c r="M316" s="1" t="s">
        <v>135</v>
      </c>
      <c r="O316" s="1" t="s">
        <v>29</v>
      </c>
      <c r="S316" s="1" t="s">
        <v>83</v>
      </c>
      <c r="T316" s="3">
        <v>45912</v>
      </c>
      <c r="U316" s="4">
        <v>0.5</v>
      </c>
      <c r="V316" s="1" t="str">
        <f t="shared" si="26"/>
        <v>0 г. 0 мес. 1 дн.</v>
      </c>
      <c r="W316" s="5"/>
    </row>
    <row r="317" spans="1:23" ht="34.5" customHeight="1" x14ac:dyDescent="0.25">
      <c r="A317" s="1">
        <f>ROW(A316)</f>
        <v>316</v>
      </c>
      <c r="B317" s="1">
        <v>1225</v>
      </c>
      <c r="C317" s="2" t="s">
        <v>96</v>
      </c>
      <c r="D317" s="3">
        <v>45911</v>
      </c>
      <c r="E317" s="4">
        <v>0.75694444444444453</v>
      </c>
      <c r="F317" s="1" t="s">
        <v>889</v>
      </c>
      <c r="G317" s="3">
        <v>39887</v>
      </c>
      <c r="H317" s="1" t="str">
        <f t="shared" si="24"/>
        <v>16 г. 5 мес. 27 дн.</v>
      </c>
      <c r="I317" s="1" t="s">
        <v>62</v>
      </c>
      <c r="K317" s="1" t="s">
        <v>890</v>
      </c>
      <c r="L317" s="1" t="s">
        <v>891</v>
      </c>
      <c r="M317" s="1" t="s">
        <v>181</v>
      </c>
      <c r="O317" s="1" t="s">
        <v>29</v>
      </c>
      <c r="P317" s="1" t="s">
        <v>101</v>
      </c>
      <c r="S317" s="1" t="s">
        <v>96</v>
      </c>
      <c r="T317" s="3">
        <v>45912</v>
      </c>
      <c r="U317" s="4">
        <v>0.5</v>
      </c>
      <c r="V317" s="1" t="str">
        <f t="shared" si="26"/>
        <v>0 г. 0 мес. 1 дн.</v>
      </c>
      <c r="W317" s="5"/>
    </row>
    <row r="318" spans="1:23" ht="34.5" customHeight="1" x14ac:dyDescent="0.25">
      <c r="A318" s="1">
        <f>ROW(A317)</f>
        <v>317</v>
      </c>
      <c r="B318" s="1">
        <v>2049</v>
      </c>
      <c r="C318" s="2" t="s">
        <v>60</v>
      </c>
      <c r="D318" s="3">
        <v>45911</v>
      </c>
      <c r="E318" s="4">
        <v>0.88541666666666663</v>
      </c>
      <c r="F318" s="1" t="s">
        <v>892</v>
      </c>
      <c r="G318" s="3">
        <v>41653</v>
      </c>
      <c r="H318" s="1" t="str">
        <f t="shared" si="24"/>
        <v>11 г. 7 мес. 28 дн.</v>
      </c>
      <c r="I318" s="1" t="s">
        <v>39</v>
      </c>
      <c r="K318" s="1" t="s">
        <v>893</v>
      </c>
      <c r="L318" s="1" t="s">
        <v>117</v>
      </c>
      <c r="M318" s="1" t="s">
        <v>181</v>
      </c>
      <c r="O318" s="1" t="s">
        <v>29</v>
      </c>
      <c r="S318" s="1" t="s">
        <v>60</v>
      </c>
      <c r="T318" s="3">
        <v>45912</v>
      </c>
      <c r="U318" s="4">
        <v>0.4375</v>
      </c>
      <c r="V318" s="1" t="str">
        <f t="shared" si="26"/>
        <v>0 г. 0 мес. 1 дн.</v>
      </c>
      <c r="W318" s="5"/>
    </row>
    <row r="319" spans="1:23" ht="34.5" customHeight="1" x14ac:dyDescent="0.25">
      <c r="A319" s="1">
        <v>319</v>
      </c>
      <c r="B319" s="1">
        <v>2053</v>
      </c>
      <c r="C319" s="2" t="s">
        <v>60</v>
      </c>
      <c r="D319" s="3">
        <v>45912</v>
      </c>
      <c r="E319" s="4">
        <v>0.54513888888888895</v>
      </c>
      <c r="F319" s="1" t="s">
        <v>894</v>
      </c>
      <c r="G319" s="3">
        <v>45418</v>
      </c>
      <c r="H319" s="1" t="str">
        <f t="shared" si="24"/>
        <v>1 г. 4 мес. 6 дн.</v>
      </c>
      <c r="I319" s="1" t="s">
        <v>39</v>
      </c>
      <c r="K319" s="1" t="s">
        <v>363</v>
      </c>
      <c r="L319" s="1" t="s">
        <v>895</v>
      </c>
      <c r="M319" s="1" t="s">
        <v>123</v>
      </c>
      <c r="O319" s="1" t="s">
        <v>29</v>
      </c>
      <c r="S319" s="1" t="s">
        <v>83</v>
      </c>
      <c r="T319" s="3">
        <v>45912</v>
      </c>
      <c r="U319" s="4"/>
      <c r="V319" s="1" t="str">
        <f t="shared" si="26"/>
        <v>0 г. 0 мес. 0 дн.</v>
      </c>
      <c r="W319" s="5"/>
    </row>
    <row r="320" spans="1:23" ht="34.5" customHeight="1" x14ac:dyDescent="0.25">
      <c r="A320" s="1">
        <f t="shared" ref="A320:A383" si="28">ROW(A319)</f>
        <v>319</v>
      </c>
      <c r="B320" s="1">
        <v>2050</v>
      </c>
      <c r="C320" s="2" t="s">
        <v>60</v>
      </c>
      <c r="D320" s="3">
        <v>45912</v>
      </c>
      <c r="E320" s="4">
        <v>0.47916666666666669</v>
      </c>
      <c r="F320" s="1" t="s">
        <v>908</v>
      </c>
      <c r="G320" s="3">
        <v>43603</v>
      </c>
      <c r="H320" s="1" t="str">
        <f t="shared" si="24"/>
        <v>6 г. 3 мес. 25 дн.</v>
      </c>
      <c r="I320" s="1" t="s">
        <v>39</v>
      </c>
      <c r="K320" s="1" t="s">
        <v>897</v>
      </c>
      <c r="L320" s="1" t="s">
        <v>896</v>
      </c>
      <c r="M320" s="1" t="s">
        <v>95</v>
      </c>
      <c r="O320" s="1" t="s">
        <v>42</v>
      </c>
      <c r="S320" s="1" t="s">
        <v>60</v>
      </c>
      <c r="T320" s="3">
        <v>45915</v>
      </c>
      <c r="U320" s="4">
        <v>0.5</v>
      </c>
      <c r="V320" s="1" t="str">
        <f t="shared" si="26"/>
        <v>0 г. 0 мес. 3 дн.</v>
      </c>
      <c r="W320" s="5"/>
    </row>
    <row r="321" spans="1:23" ht="34.5" customHeight="1" x14ac:dyDescent="0.25">
      <c r="A321" s="1">
        <f t="shared" si="28"/>
        <v>320</v>
      </c>
      <c r="B321" s="1">
        <v>1197</v>
      </c>
      <c r="C321" s="2" t="s">
        <v>96</v>
      </c>
      <c r="D321" s="3">
        <v>45912</v>
      </c>
      <c r="E321" s="4">
        <v>0.69097222222222221</v>
      </c>
      <c r="F321" s="1" t="s">
        <v>858</v>
      </c>
      <c r="G321" s="3">
        <v>39392</v>
      </c>
      <c r="H321" s="1" t="str">
        <f t="shared" si="24"/>
        <v>17 г. 10 мес. 6 дн.</v>
      </c>
      <c r="I321" s="1" t="s">
        <v>62</v>
      </c>
      <c r="K321" s="1" t="s">
        <v>363</v>
      </c>
      <c r="L321" s="1" t="s">
        <v>457</v>
      </c>
      <c r="M321" s="1" t="s">
        <v>181</v>
      </c>
      <c r="O321" s="1" t="s">
        <v>29</v>
      </c>
      <c r="P321" s="1" t="s">
        <v>101</v>
      </c>
      <c r="S321" s="1" t="s">
        <v>96</v>
      </c>
      <c r="T321" s="3">
        <v>45913</v>
      </c>
      <c r="U321" s="4">
        <v>0.54166666666666663</v>
      </c>
      <c r="V321" s="1" t="str">
        <f t="shared" si="26"/>
        <v>0 г. 0 мес. 1 дн.</v>
      </c>
      <c r="W321" s="5"/>
    </row>
    <row r="322" spans="1:23" ht="34.5" customHeight="1" x14ac:dyDescent="0.25">
      <c r="A322" s="1">
        <f t="shared" si="28"/>
        <v>321</v>
      </c>
      <c r="B322" s="1">
        <v>497</v>
      </c>
      <c r="C322" s="2" t="s">
        <v>46</v>
      </c>
      <c r="D322" s="3">
        <v>45912</v>
      </c>
      <c r="E322" s="4">
        <v>0.79861111111111116</v>
      </c>
      <c r="F322" s="1" t="s">
        <v>898</v>
      </c>
      <c r="G322" s="3">
        <v>39433</v>
      </c>
      <c r="H322" s="1" t="str">
        <f t="shared" ref="H322:H384" si="29">DATEDIF(G322,D322,"y") &amp; " г. " &amp; DATEDIF(G322,D322,"ym") &amp; " мес. " &amp; DATEDIF(G322,D322,"md") &amp; " дн."</f>
        <v>17 г. 8 мес. 26 дн.</v>
      </c>
      <c r="I322" s="1" t="s">
        <v>39</v>
      </c>
      <c r="K322" s="1" t="s">
        <v>137</v>
      </c>
      <c r="L322" s="1" t="s">
        <v>812</v>
      </c>
      <c r="M322" s="1" t="s">
        <v>50</v>
      </c>
      <c r="O322" s="1" t="s">
        <v>29</v>
      </c>
      <c r="S322" s="1" t="s">
        <v>46</v>
      </c>
      <c r="T322" s="3">
        <v>45913</v>
      </c>
      <c r="U322" s="4">
        <v>0.45833333333333331</v>
      </c>
      <c r="V322" s="1" t="str">
        <f>DATEDIF(D322,T322,"y") &amp; " г. " &amp; DATEDIF(D322,T322,"ym") &amp; " мес. " &amp; DATEDIF(D322,T322,"md") &amp; " дн."</f>
        <v>0 г. 0 мес. 1 дн.</v>
      </c>
      <c r="W322" s="5"/>
    </row>
    <row r="323" spans="1:23" ht="34.5" customHeight="1" x14ac:dyDescent="0.25">
      <c r="A323" s="1">
        <f t="shared" si="28"/>
        <v>322</v>
      </c>
      <c r="B323" s="1">
        <v>1027</v>
      </c>
      <c r="C323" s="2" t="s">
        <v>23</v>
      </c>
      <c r="D323" s="3">
        <v>45912</v>
      </c>
      <c r="E323" s="4">
        <v>0.95138888888888884</v>
      </c>
      <c r="F323" s="1" t="s">
        <v>899</v>
      </c>
      <c r="G323" s="3">
        <v>41737</v>
      </c>
      <c r="H323" s="1" t="str">
        <f t="shared" si="29"/>
        <v>11 г. 5 мес. 4 дн.</v>
      </c>
      <c r="I323" s="1" t="s">
        <v>39</v>
      </c>
      <c r="K323" s="1" t="s">
        <v>137</v>
      </c>
      <c r="L323" s="1" t="s">
        <v>900</v>
      </c>
      <c r="M323" s="1" t="s">
        <v>28</v>
      </c>
      <c r="O323" s="1" t="s">
        <v>29</v>
      </c>
      <c r="S323" s="1" t="s">
        <v>23</v>
      </c>
      <c r="T323" s="3">
        <v>45913</v>
      </c>
      <c r="U323" s="4">
        <v>0.58333333333333337</v>
      </c>
      <c r="V323" s="1" t="str">
        <f t="shared" si="26"/>
        <v>0 г. 0 мес. 1 дн.</v>
      </c>
      <c r="W323" s="5"/>
    </row>
    <row r="324" spans="1:23" ht="34.5" customHeight="1" x14ac:dyDescent="0.25">
      <c r="A324" s="1">
        <f t="shared" si="28"/>
        <v>323</v>
      </c>
      <c r="B324" s="1">
        <v>1028</v>
      </c>
      <c r="C324" s="2" t="s">
        <v>23</v>
      </c>
      <c r="D324" s="3">
        <v>45913</v>
      </c>
      <c r="E324" s="4">
        <v>0.77083333333333337</v>
      </c>
      <c r="F324" s="1" t="s">
        <v>901</v>
      </c>
      <c r="G324" s="3">
        <v>42799</v>
      </c>
      <c r="H324" s="1" t="str">
        <f t="shared" si="29"/>
        <v>8 г. 6 мес. 8 дн.</v>
      </c>
      <c r="I324" s="1" t="s">
        <v>70</v>
      </c>
      <c r="K324" s="1" t="s">
        <v>363</v>
      </c>
      <c r="L324" s="1" t="s">
        <v>902</v>
      </c>
      <c r="M324" s="1" t="s">
        <v>28</v>
      </c>
      <c r="O324" s="1" t="s">
        <v>29</v>
      </c>
      <c r="S324" s="1" t="s">
        <v>23</v>
      </c>
      <c r="T324" s="3">
        <v>45914</v>
      </c>
      <c r="U324" s="4">
        <v>0.5</v>
      </c>
      <c r="V324" s="1" t="str">
        <f t="shared" si="26"/>
        <v>0 г. 0 мес. 1 дн.</v>
      </c>
      <c r="W324" s="5"/>
    </row>
    <row r="325" spans="1:23" ht="34.5" customHeight="1" x14ac:dyDescent="0.25">
      <c r="A325" s="1">
        <f t="shared" si="28"/>
        <v>324</v>
      </c>
      <c r="B325" s="1">
        <v>499</v>
      </c>
      <c r="C325" s="2" t="s">
        <v>46</v>
      </c>
      <c r="D325" s="3">
        <v>45913</v>
      </c>
      <c r="E325" s="4">
        <v>0.90277777777777779</v>
      </c>
      <c r="F325" s="1" t="s">
        <v>339</v>
      </c>
      <c r="G325" s="3">
        <v>40491</v>
      </c>
      <c r="H325" s="1" t="str">
        <f t="shared" si="29"/>
        <v>14 г. 10 мес. 4 дн.</v>
      </c>
      <c r="I325" s="1" t="s">
        <v>39</v>
      </c>
      <c r="K325" s="1" t="s">
        <v>137</v>
      </c>
      <c r="L325" s="1" t="s">
        <v>903</v>
      </c>
      <c r="M325" s="1" t="s">
        <v>50</v>
      </c>
      <c r="O325" s="1" t="s">
        <v>29</v>
      </c>
      <c r="S325" s="1" t="s">
        <v>46</v>
      </c>
      <c r="T325" s="3">
        <v>45914</v>
      </c>
      <c r="U325" s="4">
        <v>0.5</v>
      </c>
      <c r="V325" s="1" t="str">
        <f t="shared" si="26"/>
        <v>0 г. 0 мес. 1 дн.</v>
      </c>
      <c r="W325" s="5"/>
    </row>
    <row r="326" spans="1:23" ht="34.5" customHeight="1" x14ac:dyDescent="0.25">
      <c r="A326" s="1">
        <f t="shared" si="28"/>
        <v>325</v>
      </c>
      <c r="B326" s="1">
        <v>1273</v>
      </c>
      <c r="C326" s="2" t="s">
        <v>96</v>
      </c>
      <c r="D326" s="3">
        <v>45913</v>
      </c>
      <c r="E326" s="4">
        <v>0.99305555555555547</v>
      </c>
      <c r="F326" s="1" t="s">
        <v>904</v>
      </c>
      <c r="G326" s="3">
        <v>40549</v>
      </c>
      <c r="H326" s="1" t="str">
        <f t="shared" si="29"/>
        <v>14 г. 8 мес. 7 дн.</v>
      </c>
      <c r="I326" s="1" t="s">
        <v>39</v>
      </c>
      <c r="K326" s="1" t="s">
        <v>905</v>
      </c>
      <c r="L326" s="1" t="s">
        <v>457</v>
      </c>
      <c r="M326" s="1" t="s">
        <v>181</v>
      </c>
      <c r="O326" s="1" t="s">
        <v>29</v>
      </c>
      <c r="S326" s="1" t="s">
        <v>96</v>
      </c>
      <c r="T326" s="3">
        <v>45915</v>
      </c>
      <c r="U326" s="4">
        <v>0.5</v>
      </c>
      <c r="V326" s="1" t="str">
        <f t="shared" si="26"/>
        <v>0 г. 0 мес. 2 дн.</v>
      </c>
      <c r="W326" s="5"/>
    </row>
    <row r="327" spans="1:23" ht="34.5" customHeight="1" x14ac:dyDescent="0.25">
      <c r="A327" s="1">
        <f t="shared" si="28"/>
        <v>326</v>
      </c>
      <c r="B327" s="1"/>
      <c r="C327" s="2" t="s">
        <v>60</v>
      </c>
      <c r="D327" s="3">
        <v>45914</v>
      </c>
      <c r="E327" s="4">
        <v>0.78125</v>
      </c>
      <c r="F327" s="1" t="s">
        <v>906</v>
      </c>
      <c r="G327" s="3">
        <v>42560</v>
      </c>
      <c r="H327" s="1" t="str">
        <f t="shared" si="29"/>
        <v>9 г. 2 мес. 5 дн.</v>
      </c>
      <c r="I327" s="1" t="s">
        <v>62</v>
      </c>
      <c r="K327" s="1" t="s">
        <v>498</v>
      </c>
      <c r="L327" s="1" t="s">
        <v>907</v>
      </c>
      <c r="M327" s="1" t="s">
        <v>181</v>
      </c>
      <c r="O327" s="1" t="s">
        <v>29</v>
      </c>
      <c r="S327" s="1" t="s">
        <v>60</v>
      </c>
      <c r="T327" s="3">
        <v>45915</v>
      </c>
      <c r="U327" s="4">
        <v>0.5</v>
      </c>
      <c r="V327" s="1" t="str">
        <f t="shared" si="26"/>
        <v>0 г. 0 мес. 1 дн.</v>
      </c>
      <c r="W327" s="5"/>
    </row>
    <row r="328" spans="1:23" ht="34.5" customHeight="1" x14ac:dyDescent="0.25">
      <c r="A328" s="1">
        <f t="shared" si="28"/>
        <v>327</v>
      </c>
      <c r="B328" s="1">
        <v>2072</v>
      </c>
      <c r="C328" s="2" t="s">
        <v>96</v>
      </c>
      <c r="D328" s="3">
        <v>45915</v>
      </c>
      <c r="E328" s="4">
        <v>0.39583333333333331</v>
      </c>
      <c r="F328" s="1" t="s">
        <v>909</v>
      </c>
      <c r="G328" s="3">
        <v>44629</v>
      </c>
      <c r="H328" s="1" t="str">
        <f t="shared" si="29"/>
        <v>3 г. 6 мес. 6 дн.</v>
      </c>
      <c r="I328" s="1" t="s">
        <v>39</v>
      </c>
      <c r="K328" s="1" t="s">
        <v>821</v>
      </c>
      <c r="L328" s="1" t="s">
        <v>117</v>
      </c>
      <c r="M328" s="1" t="s">
        <v>181</v>
      </c>
      <c r="S328" s="1" t="s">
        <v>60</v>
      </c>
      <c r="T328" s="3">
        <v>45916</v>
      </c>
      <c r="U328" s="4">
        <v>0.5</v>
      </c>
      <c r="V328" s="1" t="str">
        <f t="shared" si="26"/>
        <v>0 г. 0 мес. 1 дн.</v>
      </c>
      <c r="W328" s="5"/>
    </row>
    <row r="329" spans="1:23" ht="34.5" customHeight="1" x14ac:dyDescent="0.25">
      <c r="A329" s="1">
        <f t="shared" si="28"/>
        <v>328</v>
      </c>
      <c r="B329" s="1">
        <v>2078</v>
      </c>
      <c r="C329" s="2" t="s">
        <v>60</v>
      </c>
      <c r="D329" s="3">
        <v>45915</v>
      </c>
      <c r="E329" s="4">
        <v>0.71875</v>
      </c>
      <c r="F329" s="1" t="s">
        <v>910</v>
      </c>
      <c r="G329" s="3">
        <v>45843</v>
      </c>
      <c r="H329" s="1" t="str">
        <f t="shared" si="29"/>
        <v>0 г. 2 мес. 10 дн.</v>
      </c>
      <c r="I329" s="1" t="s">
        <v>34</v>
      </c>
      <c r="K329" s="1" t="s">
        <v>905</v>
      </c>
      <c r="L329" s="1" t="s">
        <v>911</v>
      </c>
      <c r="M329" s="1" t="s">
        <v>87</v>
      </c>
      <c r="O329" s="1" t="s">
        <v>29</v>
      </c>
      <c r="S329" s="1" t="s">
        <v>60</v>
      </c>
      <c r="T329" s="3">
        <v>45918</v>
      </c>
      <c r="U329" s="4">
        <v>0.45833333333333331</v>
      </c>
      <c r="V329" s="1" t="str">
        <f t="shared" si="26"/>
        <v>0 г. 0 мес. 3 дн.</v>
      </c>
      <c r="W329" s="5"/>
    </row>
    <row r="330" spans="1:23" ht="34.5" customHeight="1" x14ac:dyDescent="0.25">
      <c r="A330" s="1">
        <f t="shared" si="28"/>
        <v>329</v>
      </c>
      <c r="B330" s="1">
        <v>500</v>
      </c>
      <c r="C330" s="2" t="s">
        <v>46</v>
      </c>
      <c r="D330" s="3">
        <v>45915</v>
      </c>
      <c r="E330" s="4">
        <v>0.62847222222222221</v>
      </c>
      <c r="F330" s="1" t="s">
        <v>912</v>
      </c>
      <c r="G330" s="3">
        <v>39342</v>
      </c>
      <c r="H330" s="1" t="str">
        <f t="shared" si="29"/>
        <v>17 г. 11 мес. 29 дн.</v>
      </c>
      <c r="I330" s="1" t="s">
        <v>39</v>
      </c>
      <c r="K330" s="1" t="s">
        <v>137</v>
      </c>
      <c r="L330" s="1" t="s">
        <v>828</v>
      </c>
      <c r="M330" s="1" t="s">
        <v>135</v>
      </c>
      <c r="O330" s="1" t="s">
        <v>29</v>
      </c>
      <c r="S330" s="1" t="s">
        <v>46</v>
      </c>
      <c r="T330" s="3">
        <v>45919</v>
      </c>
      <c r="U330" s="4">
        <v>0.45833333333333331</v>
      </c>
      <c r="V330" s="1" t="str">
        <f t="shared" si="26"/>
        <v>0 г. 0 мес. 4 дн.</v>
      </c>
      <c r="W330" s="5"/>
    </row>
    <row r="331" spans="1:23" ht="34.5" customHeight="1" x14ac:dyDescent="0.25">
      <c r="A331" s="1">
        <f t="shared" si="28"/>
        <v>330</v>
      </c>
      <c r="B331" s="1"/>
      <c r="C331" s="2" t="s">
        <v>23</v>
      </c>
      <c r="D331" s="3">
        <v>45917</v>
      </c>
      <c r="E331" s="4">
        <v>0.91666666666666663</v>
      </c>
      <c r="F331" s="1" t="s">
        <v>914</v>
      </c>
      <c r="G331" s="3">
        <v>39443</v>
      </c>
      <c r="H331" s="1" t="str">
        <f t="shared" si="29"/>
        <v>17 г. 8 мес. 21 дн.</v>
      </c>
      <c r="I331" s="1" t="s">
        <v>39</v>
      </c>
      <c r="K331" s="1" t="s">
        <v>915</v>
      </c>
      <c r="L331" s="1" t="s">
        <v>913</v>
      </c>
      <c r="M331" s="1" t="s">
        <v>73</v>
      </c>
      <c r="O331" s="1" t="s">
        <v>29</v>
      </c>
      <c r="R331" s="1" t="s">
        <v>597</v>
      </c>
      <c r="S331" s="1" t="s">
        <v>46</v>
      </c>
      <c r="T331" s="3">
        <v>45923</v>
      </c>
      <c r="U331" s="4">
        <v>0.5</v>
      </c>
      <c r="V331" s="1" t="str">
        <f t="shared" si="26"/>
        <v>0 г. 0 мес. 6 дн.</v>
      </c>
      <c r="W331" s="5"/>
    </row>
    <row r="332" spans="1:23" ht="34.5" customHeight="1" x14ac:dyDescent="0.25">
      <c r="A332" s="1">
        <f t="shared" si="28"/>
        <v>331</v>
      </c>
      <c r="B332" s="1">
        <v>502</v>
      </c>
      <c r="C332" s="2" t="s">
        <v>46</v>
      </c>
      <c r="D332" s="3">
        <v>45918</v>
      </c>
      <c r="E332" s="4">
        <v>0.78472222222222221</v>
      </c>
      <c r="F332" s="1" t="s">
        <v>916</v>
      </c>
      <c r="G332" s="3">
        <v>45483</v>
      </c>
      <c r="H332" s="1" t="str">
        <f t="shared" si="29"/>
        <v>1 г. 2 мес. 8 дн.</v>
      </c>
      <c r="I332" s="1" t="s">
        <v>39</v>
      </c>
      <c r="K332" s="1" t="s">
        <v>121</v>
      </c>
      <c r="L332" s="1" t="s">
        <v>828</v>
      </c>
      <c r="M332" s="1" t="s">
        <v>135</v>
      </c>
      <c r="O332" s="1" t="s">
        <v>29</v>
      </c>
      <c r="S332" s="1" t="s">
        <v>46</v>
      </c>
      <c r="T332" s="3">
        <v>45922</v>
      </c>
      <c r="U332" s="4">
        <v>0.45833333333333331</v>
      </c>
      <c r="V332" s="1" t="str">
        <f t="shared" si="26"/>
        <v>0 г. 0 мес. 4 дн.</v>
      </c>
      <c r="W332" s="5"/>
    </row>
    <row r="333" spans="1:23" ht="34.5" customHeight="1" x14ac:dyDescent="0.25">
      <c r="A333" s="1">
        <f t="shared" si="28"/>
        <v>332</v>
      </c>
      <c r="B333" s="1">
        <v>2110</v>
      </c>
      <c r="C333" s="2" t="s">
        <v>60</v>
      </c>
      <c r="D333" s="3">
        <v>45918</v>
      </c>
      <c r="E333" s="4">
        <v>0.79861111111111116</v>
      </c>
      <c r="F333" s="1" t="s">
        <v>917</v>
      </c>
      <c r="G333" s="3">
        <v>44395</v>
      </c>
      <c r="H333" s="1" t="str">
        <f t="shared" si="29"/>
        <v>4 г. 2 мес. 0 дн.</v>
      </c>
      <c r="I333" s="1" t="s">
        <v>39</v>
      </c>
      <c r="K333" s="1" t="s">
        <v>137</v>
      </c>
      <c r="L333" s="1" t="s">
        <v>918</v>
      </c>
      <c r="M333" s="1" t="s">
        <v>87</v>
      </c>
      <c r="O333" s="1" t="s">
        <v>42</v>
      </c>
      <c r="P333" s="1" t="s">
        <v>101</v>
      </c>
      <c r="S333" s="1" t="s">
        <v>60</v>
      </c>
      <c r="T333" s="3">
        <v>45921</v>
      </c>
      <c r="U333" s="4">
        <v>0.83333333333333337</v>
      </c>
      <c r="V333" s="1" t="str">
        <f t="shared" si="26"/>
        <v>0 г. 0 мес. 3 дн.</v>
      </c>
      <c r="W333" s="5"/>
    </row>
    <row r="334" spans="1:23" ht="34.5" customHeight="1" x14ac:dyDescent="0.25">
      <c r="A334" s="1">
        <f t="shared" si="28"/>
        <v>333</v>
      </c>
      <c r="B334" s="1">
        <v>506</v>
      </c>
      <c r="C334" s="2" t="s">
        <v>46</v>
      </c>
      <c r="D334" s="3">
        <v>45919</v>
      </c>
      <c r="E334" s="4">
        <v>0.98611111111111116</v>
      </c>
      <c r="F334" s="1" t="s">
        <v>919</v>
      </c>
      <c r="G334" s="3">
        <v>40367</v>
      </c>
      <c r="H334" s="1" t="str">
        <f t="shared" si="29"/>
        <v>15 г. 2 мес. 11 дн.</v>
      </c>
      <c r="I334" s="1" t="s">
        <v>39</v>
      </c>
      <c r="K334" s="1" t="s">
        <v>137</v>
      </c>
      <c r="L334" s="1" t="s">
        <v>920</v>
      </c>
      <c r="M334" s="1" t="s">
        <v>50</v>
      </c>
      <c r="O334" s="1" t="s">
        <v>29</v>
      </c>
      <c r="S334" s="1" t="s">
        <v>46</v>
      </c>
      <c r="T334" s="3">
        <v>45921</v>
      </c>
      <c r="U334" s="4">
        <v>0.5</v>
      </c>
      <c r="V334" s="1" t="str">
        <f t="shared" si="26"/>
        <v>0 г. 0 мес. 2 дн.</v>
      </c>
      <c r="W334" s="5"/>
    </row>
    <row r="335" spans="1:23" ht="34.5" customHeight="1" x14ac:dyDescent="0.25">
      <c r="A335" s="1">
        <f t="shared" si="28"/>
        <v>334</v>
      </c>
      <c r="B335" s="1">
        <v>505</v>
      </c>
      <c r="C335" s="2" t="s">
        <v>46</v>
      </c>
      <c r="D335" s="3">
        <v>45919</v>
      </c>
      <c r="E335" s="4">
        <v>0.55555555555555558</v>
      </c>
      <c r="F335" s="1" t="s">
        <v>921</v>
      </c>
      <c r="G335" s="3"/>
      <c r="H335" s="1" t="str">
        <f t="shared" si="29"/>
        <v>125 г. 8 мес. 19 дн.</v>
      </c>
      <c r="I335" s="1" t="s">
        <v>39</v>
      </c>
      <c r="K335" s="1" t="s">
        <v>137</v>
      </c>
      <c r="L335" s="1" t="s">
        <v>311</v>
      </c>
      <c r="M335" s="1" t="s">
        <v>135</v>
      </c>
      <c r="O335" s="1" t="s">
        <v>29</v>
      </c>
      <c r="S335" s="1" t="s">
        <v>83</v>
      </c>
      <c r="T335" s="3">
        <v>45922</v>
      </c>
      <c r="U335" s="4">
        <v>0.5</v>
      </c>
      <c r="V335" s="1" t="str">
        <f t="shared" si="26"/>
        <v>0 г. 0 мес. 3 дн.</v>
      </c>
      <c r="W335" s="5"/>
    </row>
    <row r="336" spans="1:23" ht="34.5" customHeight="1" x14ac:dyDescent="0.25">
      <c r="A336" s="1">
        <f t="shared" si="28"/>
        <v>335</v>
      </c>
      <c r="B336" s="1">
        <v>2125</v>
      </c>
      <c r="C336" s="2" t="s">
        <v>60</v>
      </c>
      <c r="D336" s="3">
        <v>45920</v>
      </c>
      <c r="E336" s="4">
        <v>0.86111111111111116</v>
      </c>
      <c r="F336" s="1" t="s">
        <v>759</v>
      </c>
      <c r="G336" s="3">
        <v>45755</v>
      </c>
      <c r="H336" s="1" t="str">
        <f t="shared" si="29"/>
        <v>0 г. 5 мес. 12 дн.</v>
      </c>
      <c r="I336" s="1" t="s">
        <v>39</v>
      </c>
      <c r="K336" s="1" t="s">
        <v>363</v>
      </c>
      <c r="L336" s="1" t="s">
        <v>922</v>
      </c>
      <c r="M336" s="1" t="s">
        <v>87</v>
      </c>
      <c r="O336" s="1" t="s">
        <v>42</v>
      </c>
      <c r="P336" s="1" t="s">
        <v>101</v>
      </c>
      <c r="Q336" s="1" t="s">
        <v>147</v>
      </c>
      <c r="S336" s="1" t="s">
        <v>83</v>
      </c>
      <c r="T336" s="3">
        <v>45923</v>
      </c>
      <c r="U336" s="4">
        <v>0.72916666666666663</v>
      </c>
      <c r="V336" s="1" t="str">
        <f t="shared" si="26"/>
        <v>0 г. 0 мес. 3 дн.</v>
      </c>
      <c r="W336" s="5"/>
    </row>
    <row r="337" spans="1:23" ht="34.5" customHeight="1" x14ac:dyDescent="0.25">
      <c r="A337" s="1">
        <f t="shared" si="28"/>
        <v>336</v>
      </c>
      <c r="B337" s="1">
        <v>1290</v>
      </c>
      <c r="C337" s="2" t="s">
        <v>96</v>
      </c>
      <c r="D337" s="3">
        <v>45916</v>
      </c>
      <c r="E337" s="4">
        <v>4.1666666666666664E-2</v>
      </c>
      <c r="F337" s="1" t="s">
        <v>923</v>
      </c>
      <c r="G337" s="3">
        <v>40072</v>
      </c>
      <c r="H337" s="1" t="str">
        <f t="shared" si="29"/>
        <v>16 г. 0 мес. 0 дн.</v>
      </c>
      <c r="I337" s="1" t="s">
        <v>39</v>
      </c>
      <c r="K337" s="1" t="s">
        <v>821</v>
      </c>
      <c r="L337" s="1" t="s">
        <v>924</v>
      </c>
      <c r="M337" s="1" t="s">
        <v>181</v>
      </c>
      <c r="O337" s="1" t="s">
        <v>42</v>
      </c>
      <c r="S337" s="1" t="s">
        <v>96</v>
      </c>
      <c r="T337" s="3">
        <v>45926</v>
      </c>
      <c r="U337" s="4">
        <v>0.5</v>
      </c>
      <c r="V337" s="1" t="str">
        <f t="shared" si="26"/>
        <v>0 г. 0 мес. 10 дн.</v>
      </c>
      <c r="W337" s="5"/>
    </row>
    <row r="338" spans="1:23" ht="34.5" customHeight="1" x14ac:dyDescent="0.25">
      <c r="A338" s="1">
        <f t="shared" si="28"/>
        <v>337</v>
      </c>
      <c r="B338" s="1">
        <v>2115</v>
      </c>
      <c r="C338" s="2" t="s">
        <v>60</v>
      </c>
      <c r="D338" s="3">
        <v>45919</v>
      </c>
      <c r="E338" s="4">
        <v>0.78819444444444453</v>
      </c>
      <c r="F338" s="1" t="s">
        <v>925</v>
      </c>
      <c r="G338" s="3">
        <v>39365</v>
      </c>
      <c r="H338" s="1" t="str">
        <f t="shared" si="29"/>
        <v>17 г. 11 мес. 9 дн.</v>
      </c>
      <c r="I338" s="1" t="s">
        <v>70</v>
      </c>
      <c r="K338" s="1" t="s">
        <v>363</v>
      </c>
      <c r="L338" s="1" t="s">
        <v>926</v>
      </c>
      <c r="M338" s="1" t="s">
        <v>423</v>
      </c>
      <c r="O338" s="1" t="s">
        <v>29</v>
      </c>
      <c r="S338" s="1" t="s">
        <v>60</v>
      </c>
      <c r="T338" s="28">
        <v>45921</v>
      </c>
      <c r="U338" s="4">
        <v>0.83333333333333337</v>
      </c>
      <c r="V338" s="1" t="str">
        <f t="shared" si="26"/>
        <v>0 г. 0 мес. 2 дн.</v>
      </c>
      <c r="W338" s="5"/>
    </row>
    <row r="339" spans="1:23" ht="34.5" customHeight="1" x14ac:dyDescent="0.25">
      <c r="A339" s="1">
        <f t="shared" si="28"/>
        <v>338</v>
      </c>
      <c r="B339" s="1">
        <v>507</v>
      </c>
      <c r="C339" s="2" t="s">
        <v>46</v>
      </c>
      <c r="D339" s="3">
        <v>45920</v>
      </c>
      <c r="E339" s="4">
        <v>0.51388888888888895</v>
      </c>
      <c r="F339" s="1" t="s">
        <v>927</v>
      </c>
      <c r="G339" s="3">
        <v>42826</v>
      </c>
      <c r="H339" s="1" t="str">
        <f t="shared" si="29"/>
        <v>8 г. 5 мес. 19 дн.</v>
      </c>
      <c r="I339" s="1" t="s">
        <v>39</v>
      </c>
      <c r="K339" s="1" t="s">
        <v>928</v>
      </c>
      <c r="L339" s="1" t="s">
        <v>929</v>
      </c>
      <c r="M339" s="1" t="s">
        <v>135</v>
      </c>
      <c r="O339" s="1" t="s">
        <v>29</v>
      </c>
      <c r="S339" s="1" t="s">
        <v>46</v>
      </c>
      <c r="T339" s="3">
        <v>45922</v>
      </c>
      <c r="U339" s="4">
        <v>0.5</v>
      </c>
      <c r="V339" s="1" t="str">
        <f t="shared" si="26"/>
        <v>0 г. 0 мес. 2 дн.</v>
      </c>
      <c r="W339" s="5"/>
    </row>
    <row r="340" spans="1:23" ht="34.5" customHeight="1" x14ac:dyDescent="0.25">
      <c r="A340" s="1">
        <f t="shared" si="28"/>
        <v>339</v>
      </c>
      <c r="B340" s="6">
        <v>509</v>
      </c>
      <c r="C340" s="22" t="s">
        <v>46</v>
      </c>
      <c r="D340" s="3">
        <v>45921</v>
      </c>
      <c r="E340" s="23">
        <v>0.69791666666666663</v>
      </c>
      <c r="F340" s="6" t="s">
        <v>930</v>
      </c>
      <c r="G340" s="28">
        <v>40170</v>
      </c>
      <c r="H340" s="1" t="str">
        <f t="shared" si="29"/>
        <v>15 г. 8 мес. 29 дн.</v>
      </c>
      <c r="I340" s="1" t="s">
        <v>39</v>
      </c>
      <c r="K340" s="6" t="s">
        <v>137</v>
      </c>
      <c r="L340" s="6" t="s">
        <v>931</v>
      </c>
      <c r="M340" s="6" t="s">
        <v>50</v>
      </c>
      <c r="N340" s="6"/>
      <c r="O340" s="1" t="s">
        <v>29</v>
      </c>
      <c r="P340" s="6"/>
      <c r="Q340" s="6"/>
      <c r="R340" s="6"/>
      <c r="S340" s="1" t="s">
        <v>46</v>
      </c>
      <c r="T340" s="28">
        <v>45924</v>
      </c>
      <c r="U340" s="4">
        <v>0.5</v>
      </c>
      <c r="V340" s="1" t="str">
        <f t="shared" si="26"/>
        <v>0 г. 0 мес. 3 дн.</v>
      </c>
      <c r="W340" s="5"/>
    </row>
    <row r="341" spans="1:23" ht="34.5" customHeight="1" x14ac:dyDescent="0.25">
      <c r="A341" s="1">
        <f t="shared" si="28"/>
        <v>340</v>
      </c>
      <c r="B341" s="1">
        <v>1309</v>
      </c>
      <c r="C341" s="2" t="s">
        <v>96</v>
      </c>
      <c r="D341" s="3">
        <v>45921</v>
      </c>
      <c r="E341" s="4">
        <v>0.78472222222222221</v>
      </c>
      <c r="F341" s="1" t="s">
        <v>932</v>
      </c>
      <c r="G341" s="3">
        <v>43584</v>
      </c>
      <c r="H341" s="1" t="str">
        <f t="shared" si="29"/>
        <v>6 г. 4 мес. 23 дн.</v>
      </c>
      <c r="I341" s="1" t="s">
        <v>39</v>
      </c>
      <c r="K341" s="1" t="s">
        <v>137</v>
      </c>
      <c r="L341" s="1" t="s">
        <v>223</v>
      </c>
      <c r="M341" s="1" t="s">
        <v>181</v>
      </c>
      <c r="O341" s="1" t="s">
        <v>29</v>
      </c>
      <c r="S341" s="1" t="s">
        <v>96</v>
      </c>
      <c r="T341" s="28">
        <v>45922</v>
      </c>
      <c r="U341" s="4">
        <v>0.5</v>
      </c>
      <c r="V341" s="1" t="str">
        <f t="shared" si="26"/>
        <v>0 г. 0 мес. 1 дн.</v>
      </c>
      <c r="W341" s="5"/>
    </row>
    <row r="342" spans="1:23" ht="34.5" customHeight="1" x14ac:dyDescent="0.25">
      <c r="A342" s="1">
        <f t="shared" si="28"/>
        <v>341</v>
      </c>
      <c r="B342" s="1">
        <v>2105</v>
      </c>
      <c r="C342" s="2" t="s">
        <v>60</v>
      </c>
      <c r="D342" s="3">
        <v>45922</v>
      </c>
      <c r="E342" s="4">
        <v>0.54166666666666663</v>
      </c>
      <c r="F342" s="1" t="s">
        <v>454</v>
      </c>
      <c r="G342" s="3">
        <v>41215</v>
      </c>
      <c r="H342" s="1" t="str">
        <f t="shared" si="29"/>
        <v>12 г. 10 мес. 20 дн.</v>
      </c>
      <c r="I342" s="1" t="s">
        <v>62</v>
      </c>
      <c r="K342" s="1" t="s">
        <v>137</v>
      </c>
      <c r="L342" s="1" t="s">
        <v>933</v>
      </c>
      <c r="M342" s="1" t="s">
        <v>73</v>
      </c>
      <c r="O342" s="1" t="s">
        <v>29</v>
      </c>
      <c r="S342" s="1" t="s">
        <v>60</v>
      </c>
      <c r="T342" s="3">
        <v>45923</v>
      </c>
      <c r="U342" s="4">
        <v>0.54166666666666663</v>
      </c>
      <c r="V342" s="1" t="str">
        <f t="shared" si="26"/>
        <v>0 г. 0 мес. 1 дн.</v>
      </c>
      <c r="W342" s="5"/>
    </row>
    <row r="343" spans="1:23" ht="34.5" customHeight="1" x14ac:dyDescent="0.25">
      <c r="A343" s="1">
        <f t="shared" si="28"/>
        <v>342</v>
      </c>
      <c r="B343" s="1">
        <v>513</v>
      </c>
      <c r="C343" s="2" t="s">
        <v>46</v>
      </c>
      <c r="D343" s="3">
        <v>45922</v>
      </c>
      <c r="E343" s="4">
        <v>0.63541666666666663</v>
      </c>
      <c r="F343" s="1" t="s">
        <v>934</v>
      </c>
      <c r="G343" s="3">
        <v>39750</v>
      </c>
      <c r="H343" s="1" t="str">
        <f t="shared" si="29"/>
        <v>16 г. 10 мес. 24 дн.</v>
      </c>
      <c r="I343" s="1" t="s">
        <v>39</v>
      </c>
      <c r="K343" s="1" t="s">
        <v>935</v>
      </c>
      <c r="L343" s="1" t="s">
        <v>936</v>
      </c>
      <c r="M343" s="1" t="s">
        <v>135</v>
      </c>
      <c r="O343" s="1" t="s">
        <v>29</v>
      </c>
      <c r="S343" s="1" t="s">
        <v>83</v>
      </c>
      <c r="T343" s="28">
        <v>45924</v>
      </c>
      <c r="U343" s="4">
        <v>0.5</v>
      </c>
      <c r="V343" s="1" t="str">
        <f t="shared" si="26"/>
        <v>0 г. 0 мес. 2 дн.</v>
      </c>
      <c r="W343" s="5"/>
    </row>
    <row r="344" spans="1:23" ht="34.5" customHeight="1" x14ac:dyDescent="0.25">
      <c r="A344" s="1">
        <f t="shared" si="28"/>
        <v>343</v>
      </c>
      <c r="B344" s="1">
        <v>515</v>
      </c>
      <c r="C344" s="2" t="s">
        <v>46</v>
      </c>
      <c r="D344" s="3">
        <v>45923</v>
      </c>
      <c r="E344" s="4">
        <v>0.40625</v>
      </c>
      <c r="F344" s="1" t="s">
        <v>937</v>
      </c>
      <c r="G344" s="3">
        <v>39790</v>
      </c>
      <c r="H344" s="1" t="str">
        <f t="shared" si="29"/>
        <v>16 г. 9 мес. 15 дн.</v>
      </c>
      <c r="I344" s="1" t="s">
        <v>39</v>
      </c>
      <c r="K344" s="1" t="s">
        <v>137</v>
      </c>
      <c r="L344" s="1" t="s">
        <v>938</v>
      </c>
      <c r="M344" s="1" t="s">
        <v>50</v>
      </c>
      <c r="O344" s="1" t="s">
        <v>29</v>
      </c>
      <c r="S344" s="1" t="s">
        <v>46</v>
      </c>
      <c r="T344" s="3">
        <v>45928</v>
      </c>
      <c r="U344" s="4">
        <v>0.5</v>
      </c>
      <c r="V344" s="1" t="str">
        <f t="shared" si="26"/>
        <v>0 г. 0 мес. 5 дн.</v>
      </c>
      <c r="W344" s="5"/>
    </row>
    <row r="345" spans="1:23" ht="34.5" customHeight="1" x14ac:dyDescent="0.25">
      <c r="A345" s="1">
        <f t="shared" si="28"/>
        <v>344</v>
      </c>
      <c r="B345" s="1">
        <v>2148</v>
      </c>
      <c r="C345" s="2" t="s">
        <v>60</v>
      </c>
      <c r="D345" s="3">
        <v>45923</v>
      </c>
      <c r="E345" s="4">
        <v>0.54513888888888895</v>
      </c>
      <c r="F345" s="1" t="s">
        <v>939</v>
      </c>
      <c r="G345" s="3">
        <v>45660</v>
      </c>
      <c r="H345" s="1" t="str">
        <f t="shared" si="29"/>
        <v>0 г. 8 мес. 20 дн.</v>
      </c>
      <c r="I345" s="1" t="s">
        <v>39</v>
      </c>
      <c r="K345" s="1" t="s">
        <v>137</v>
      </c>
      <c r="L345" s="1" t="s">
        <v>940</v>
      </c>
      <c r="M345" s="1" t="s">
        <v>65</v>
      </c>
      <c r="O345" s="1" t="s">
        <v>29</v>
      </c>
      <c r="S345" s="1" t="s">
        <v>60</v>
      </c>
      <c r="T345" s="3">
        <v>45925</v>
      </c>
      <c r="U345" s="4">
        <v>0.70833333333333337</v>
      </c>
      <c r="V345" s="1" t="str">
        <f t="shared" si="26"/>
        <v>0 г. 0 мес. 2 дн.</v>
      </c>
      <c r="W345" s="5"/>
    </row>
    <row r="346" spans="1:23" ht="34.5" customHeight="1" x14ac:dyDescent="0.25">
      <c r="A346" s="1">
        <f t="shared" si="28"/>
        <v>345</v>
      </c>
      <c r="B346" s="1">
        <v>2109</v>
      </c>
      <c r="C346" s="2" t="s">
        <v>60</v>
      </c>
      <c r="D346" s="3">
        <v>45923</v>
      </c>
      <c r="E346" s="4">
        <v>0.51388888888888895</v>
      </c>
      <c r="F346" s="1" t="s">
        <v>941</v>
      </c>
      <c r="G346" s="3">
        <v>39528</v>
      </c>
      <c r="H346" s="1" t="str">
        <f t="shared" si="29"/>
        <v>17 г. 6 мес. 2 дн.</v>
      </c>
      <c r="I346" s="1" t="s">
        <v>62</v>
      </c>
      <c r="K346" s="1" t="s">
        <v>473</v>
      </c>
      <c r="L346" s="1" t="s">
        <v>942</v>
      </c>
      <c r="M346" s="1" t="s">
        <v>37</v>
      </c>
      <c r="O346" s="1" t="s">
        <v>29</v>
      </c>
      <c r="P346" s="1" t="s">
        <v>101</v>
      </c>
      <c r="S346" s="1" t="s">
        <v>60</v>
      </c>
      <c r="T346" s="3">
        <v>45924</v>
      </c>
      <c r="U346" s="4">
        <v>0.45833333333333331</v>
      </c>
      <c r="V346" s="1" t="str">
        <f t="shared" si="26"/>
        <v>0 г. 0 мес. 1 дн.</v>
      </c>
      <c r="W346" s="5"/>
    </row>
    <row r="347" spans="1:23" ht="34.5" customHeight="1" x14ac:dyDescent="0.25">
      <c r="A347" s="1">
        <f t="shared" si="28"/>
        <v>346</v>
      </c>
      <c r="B347" s="1">
        <v>517</v>
      </c>
      <c r="C347" s="2" t="s">
        <v>46</v>
      </c>
      <c r="D347" s="3">
        <v>45923</v>
      </c>
      <c r="E347" s="4">
        <v>0.86458333333333337</v>
      </c>
      <c r="F347" s="1" t="s">
        <v>943</v>
      </c>
      <c r="G347" s="3">
        <v>42073</v>
      </c>
      <c r="H347" s="1" t="str">
        <f t="shared" si="29"/>
        <v>10 г. 6 мес. 13 дн.</v>
      </c>
      <c r="I347" s="1" t="s">
        <v>39</v>
      </c>
      <c r="K347" s="1" t="s">
        <v>137</v>
      </c>
      <c r="L347" s="1" t="s">
        <v>920</v>
      </c>
      <c r="M347" s="1" t="s">
        <v>50</v>
      </c>
      <c r="O347" s="1" t="s">
        <v>29</v>
      </c>
      <c r="S347" s="1" t="s">
        <v>46</v>
      </c>
      <c r="T347" s="3">
        <v>45924</v>
      </c>
      <c r="U347" s="4">
        <v>0.45833333333333331</v>
      </c>
      <c r="V347" s="1" t="str">
        <f t="shared" si="26"/>
        <v>0 г. 0 мес. 1 дн.</v>
      </c>
      <c r="W347" s="5"/>
    </row>
    <row r="348" spans="1:23" ht="34.5" customHeight="1" x14ac:dyDescent="0.25">
      <c r="A348" s="1">
        <f t="shared" si="28"/>
        <v>347</v>
      </c>
      <c r="B348" s="1">
        <v>1284</v>
      </c>
      <c r="C348" s="2" t="s">
        <v>96</v>
      </c>
      <c r="D348" s="3">
        <v>45923</v>
      </c>
      <c r="E348" s="4">
        <v>0.61944444444444446</v>
      </c>
      <c r="F348" s="1" t="s">
        <v>944</v>
      </c>
      <c r="G348" s="3">
        <v>41699</v>
      </c>
      <c r="H348" s="1" t="str">
        <f t="shared" si="29"/>
        <v>11 г. 6 мес. 22 дн.</v>
      </c>
      <c r="I348" s="1" t="s">
        <v>62</v>
      </c>
      <c r="K348" s="1" t="s">
        <v>137</v>
      </c>
      <c r="L348" s="1" t="s">
        <v>945</v>
      </c>
      <c r="M348" s="1" t="s">
        <v>181</v>
      </c>
      <c r="O348" s="1" t="s">
        <v>29</v>
      </c>
      <c r="S348" s="1" t="s">
        <v>96</v>
      </c>
      <c r="T348" s="3">
        <v>45924</v>
      </c>
      <c r="U348" s="4">
        <v>0.5</v>
      </c>
      <c r="V348" s="1" t="str">
        <f t="shared" si="26"/>
        <v>0 г. 0 мес. 1 дн.</v>
      </c>
      <c r="W348" s="5"/>
    </row>
    <row r="349" spans="1:23" ht="34.5" customHeight="1" x14ac:dyDescent="0.25">
      <c r="A349" s="1">
        <f t="shared" si="28"/>
        <v>348</v>
      </c>
      <c r="B349" s="1">
        <v>520</v>
      </c>
      <c r="C349" s="2" t="s">
        <v>46</v>
      </c>
      <c r="D349" s="3">
        <v>45924</v>
      </c>
      <c r="E349" s="4">
        <v>0.5</v>
      </c>
      <c r="F349" s="1" t="s">
        <v>946</v>
      </c>
      <c r="G349" s="3">
        <v>45519</v>
      </c>
      <c r="H349" s="1" t="str">
        <f t="shared" si="29"/>
        <v>1 г. 1 мес. 9 дн.</v>
      </c>
      <c r="I349" s="1" t="s">
        <v>34</v>
      </c>
      <c r="K349" s="1" t="s">
        <v>947</v>
      </c>
      <c r="L349" s="1" t="s">
        <v>948</v>
      </c>
      <c r="M349" s="1" t="s">
        <v>135</v>
      </c>
      <c r="O349" s="1" t="s">
        <v>29</v>
      </c>
      <c r="S349" s="1" t="s">
        <v>46</v>
      </c>
      <c r="T349" s="3">
        <v>45925</v>
      </c>
      <c r="U349" s="4">
        <v>0.72916666666666663</v>
      </c>
      <c r="V349" s="1" t="str">
        <f t="shared" si="26"/>
        <v>0 г. 0 мес. 1 дн.</v>
      </c>
      <c r="W349" s="5"/>
    </row>
    <row r="350" spans="1:23" ht="34.5" customHeight="1" x14ac:dyDescent="0.25">
      <c r="A350" s="1">
        <f t="shared" si="28"/>
        <v>349</v>
      </c>
      <c r="B350" s="1">
        <v>2163</v>
      </c>
      <c r="C350" s="2" t="s">
        <v>60</v>
      </c>
      <c r="D350" s="3">
        <v>45924</v>
      </c>
      <c r="E350" s="4">
        <v>0.63124999999999998</v>
      </c>
      <c r="F350" s="1" t="s">
        <v>268</v>
      </c>
      <c r="G350" s="3">
        <v>45177</v>
      </c>
      <c r="H350" s="1" t="str">
        <f t="shared" si="29"/>
        <v>2 г. 0 мес. 16 дн.</v>
      </c>
      <c r="I350" s="1" t="s">
        <v>70</v>
      </c>
      <c r="K350" s="1" t="s">
        <v>735</v>
      </c>
      <c r="L350" s="1" t="s">
        <v>949</v>
      </c>
      <c r="M350" s="1" t="s">
        <v>87</v>
      </c>
      <c r="O350" s="1" t="s">
        <v>42</v>
      </c>
      <c r="P350" s="1" t="s">
        <v>101</v>
      </c>
      <c r="S350" s="1" t="s">
        <v>60</v>
      </c>
      <c r="T350" s="3">
        <v>45929</v>
      </c>
      <c r="U350" s="4">
        <v>0.5</v>
      </c>
      <c r="V350" s="1" t="str">
        <f t="shared" si="26"/>
        <v>0 г. 0 мес. 5 дн.</v>
      </c>
      <c r="W350" s="5"/>
    </row>
    <row r="351" spans="1:23" ht="34.5" customHeight="1" x14ac:dyDescent="0.25">
      <c r="A351" s="1">
        <f t="shared" si="28"/>
        <v>350</v>
      </c>
      <c r="B351" s="1">
        <v>527</v>
      </c>
      <c r="C351" s="2" t="s">
        <v>46</v>
      </c>
      <c r="D351" s="3">
        <v>45925</v>
      </c>
      <c r="E351" s="4">
        <v>0.47916666666666669</v>
      </c>
      <c r="F351" s="1" t="s">
        <v>950</v>
      </c>
      <c r="G351" s="3">
        <v>42981</v>
      </c>
      <c r="H351" s="1" t="str">
        <f t="shared" si="29"/>
        <v>8 г. 0 мес. 22 дн.</v>
      </c>
      <c r="I351" s="1" t="s">
        <v>34</v>
      </c>
      <c r="K351" s="1" t="s">
        <v>137</v>
      </c>
      <c r="L351" s="1" t="s">
        <v>951</v>
      </c>
      <c r="M351" s="1" t="s">
        <v>135</v>
      </c>
      <c r="O351" s="1" t="s">
        <v>29</v>
      </c>
      <c r="S351" s="1" t="s">
        <v>83</v>
      </c>
      <c r="T351" s="3">
        <v>45926</v>
      </c>
      <c r="U351" s="4">
        <v>0.4375</v>
      </c>
      <c r="V351" s="1" t="str">
        <f t="shared" si="26"/>
        <v>0 г. 0 мес. 1 дн.</v>
      </c>
      <c r="W351" s="5"/>
    </row>
    <row r="352" spans="1:23" ht="34.5" customHeight="1" x14ac:dyDescent="0.25">
      <c r="A352" s="1">
        <f t="shared" si="28"/>
        <v>351</v>
      </c>
      <c r="B352" s="1">
        <v>1290</v>
      </c>
      <c r="C352" s="2" t="s">
        <v>96</v>
      </c>
      <c r="D352" s="3">
        <v>45916</v>
      </c>
      <c r="E352" s="4">
        <v>0.875</v>
      </c>
      <c r="F352" s="1" t="s">
        <v>923</v>
      </c>
      <c r="G352" s="3">
        <v>40163</v>
      </c>
      <c r="H352" s="1" t="str">
        <f t="shared" si="29"/>
        <v>15 г. 9 мес. 0 дн.</v>
      </c>
      <c r="I352" s="1" t="s">
        <v>39</v>
      </c>
      <c r="K352" s="1" t="s">
        <v>137</v>
      </c>
      <c r="L352" s="1" t="s">
        <v>457</v>
      </c>
      <c r="M352" s="1" t="s">
        <v>181</v>
      </c>
      <c r="O352" s="1" t="s">
        <v>42</v>
      </c>
      <c r="S352" s="1" t="s">
        <v>96</v>
      </c>
      <c r="T352" s="3">
        <v>45926</v>
      </c>
      <c r="U352" s="4">
        <v>0.5</v>
      </c>
      <c r="V352" s="1" t="str">
        <f t="shared" si="26"/>
        <v>0 г. 0 мес. 10 дн.</v>
      </c>
      <c r="W352" s="5"/>
    </row>
    <row r="353" spans="1:23" ht="34.5" customHeight="1" x14ac:dyDescent="0.25">
      <c r="A353" s="1">
        <f t="shared" si="28"/>
        <v>352</v>
      </c>
      <c r="B353" s="1">
        <v>482</v>
      </c>
      <c r="C353" s="2" t="s">
        <v>278</v>
      </c>
      <c r="D353" s="3">
        <v>45928</v>
      </c>
      <c r="E353" s="4">
        <v>0.64236111111111105</v>
      </c>
      <c r="F353" s="1" t="s">
        <v>952</v>
      </c>
      <c r="G353" s="3">
        <v>45917</v>
      </c>
      <c r="H353" s="1" t="str">
        <f t="shared" si="29"/>
        <v>0 г. 0 мес. 11 дн.</v>
      </c>
      <c r="I353" s="1" t="s">
        <v>70</v>
      </c>
      <c r="J353" s="1" t="s">
        <v>278</v>
      </c>
      <c r="K353" s="1" t="s">
        <v>363</v>
      </c>
      <c r="L353" s="1" t="s">
        <v>953</v>
      </c>
      <c r="M353" s="1" t="s">
        <v>123</v>
      </c>
      <c r="O353" s="1" t="s">
        <v>29</v>
      </c>
      <c r="S353" s="1" t="s">
        <v>83</v>
      </c>
      <c r="T353" s="3">
        <v>45931</v>
      </c>
      <c r="U353" s="4">
        <v>0.29166666666666669</v>
      </c>
      <c r="V353" s="1" t="str">
        <f t="shared" si="26"/>
        <v>0 г. 0 мес. 3 дн.</v>
      </c>
      <c r="W353" s="5"/>
    </row>
    <row r="354" spans="1:23" ht="34.5" customHeight="1" x14ac:dyDescent="0.25">
      <c r="A354" s="1">
        <f t="shared" si="28"/>
        <v>353</v>
      </c>
      <c r="B354" s="1">
        <v>1339</v>
      </c>
      <c r="C354" s="2" t="s">
        <v>96</v>
      </c>
      <c r="D354" s="83">
        <v>45928</v>
      </c>
      <c r="E354" s="4">
        <v>0.6875</v>
      </c>
      <c r="F354" s="1" t="s">
        <v>954</v>
      </c>
      <c r="G354" s="3">
        <v>41750</v>
      </c>
      <c r="H354" s="1" t="str">
        <f t="shared" si="29"/>
        <v>11 г. 5 мес. 7 дн.</v>
      </c>
      <c r="I354" s="1" t="s">
        <v>39</v>
      </c>
      <c r="K354" s="1" t="s">
        <v>955</v>
      </c>
      <c r="L354" s="1" t="s">
        <v>457</v>
      </c>
      <c r="M354" s="1" t="s">
        <v>181</v>
      </c>
      <c r="O354" s="1" t="s">
        <v>29</v>
      </c>
      <c r="S354" s="1" t="s">
        <v>96</v>
      </c>
      <c r="T354" s="3">
        <v>45929</v>
      </c>
      <c r="U354" s="4">
        <v>0.54166666666666663</v>
      </c>
      <c r="V354" s="1" t="str">
        <f t="shared" si="26"/>
        <v>0 г. 0 мес. 1 дн.</v>
      </c>
      <c r="W354" s="5"/>
    </row>
    <row r="355" spans="1:23" ht="34.5" customHeight="1" x14ac:dyDescent="0.25">
      <c r="A355" s="1">
        <f t="shared" si="28"/>
        <v>354</v>
      </c>
      <c r="B355" s="1">
        <v>1340</v>
      </c>
      <c r="C355" s="2" t="s">
        <v>96</v>
      </c>
      <c r="D355" s="3">
        <v>45928</v>
      </c>
      <c r="E355" s="4">
        <v>0.69791666666666663</v>
      </c>
      <c r="F355" s="1" t="s">
        <v>956</v>
      </c>
      <c r="G355" s="3">
        <v>41302</v>
      </c>
      <c r="H355" s="1" t="str">
        <f t="shared" si="29"/>
        <v>12 г. 8 мес. 0 дн.</v>
      </c>
      <c r="I355" s="1" t="s">
        <v>39</v>
      </c>
      <c r="K355" s="1" t="s">
        <v>955</v>
      </c>
      <c r="L355" s="1" t="s">
        <v>457</v>
      </c>
      <c r="M355" s="1" t="s">
        <v>181</v>
      </c>
      <c r="O355" s="1" t="s">
        <v>42</v>
      </c>
      <c r="S355" s="1" t="s">
        <v>96</v>
      </c>
      <c r="T355" s="3">
        <v>45932</v>
      </c>
      <c r="U355" s="4">
        <v>0.64166666666666672</v>
      </c>
      <c r="V355" s="1" t="str">
        <f t="shared" si="26"/>
        <v>0 г. 0 мес. 4 дн.</v>
      </c>
      <c r="W355" s="5"/>
    </row>
    <row r="356" spans="1:23" ht="34.5" customHeight="1" x14ac:dyDescent="0.25">
      <c r="A356" s="1">
        <f t="shared" si="28"/>
        <v>355</v>
      </c>
      <c r="B356" s="1">
        <v>1342</v>
      </c>
      <c r="C356" s="2" t="s">
        <v>96</v>
      </c>
      <c r="D356" s="3">
        <v>45928</v>
      </c>
      <c r="E356" s="4">
        <v>0.72569444444444453</v>
      </c>
      <c r="F356" s="1" t="s">
        <v>957</v>
      </c>
      <c r="G356" s="3">
        <v>40851</v>
      </c>
      <c r="H356" s="1" t="str">
        <f t="shared" si="29"/>
        <v>13 г. 10 мес. 24 дн.</v>
      </c>
      <c r="I356" s="1" t="s">
        <v>39</v>
      </c>
      <c r="K356" s="1" t="s">
        <v>955</v>
      </c>
      <c r="L356" s="1" t="s">
        <v>457</v>
      </c>
      <c r="M356" s="1" t="s">
        <v>181</v>
      </c>
      <c r="O356" s="1" t="s">
        <v>29</v>
      </c>
      <c r="S356" s="1" t="s">
        <v>96</v>
      </c>
      <c r="T356" s="3">
        <v>45929</v>
      </c>
      <c r="U356" s="4">
        <v>0.5</v>
      </c>
      <c r="V356" s="1" t="str">
        <f t="shared" si="26"/>
        <v>0 г. 0 мес. 1 дн.</v>
      </c>
      <c r="W356" s="5"/>
    </row>
    <row r="357" spans="1:23" ht="34.5" customHeight="1" x14ac:dyDescent="0.25">
      <c r="A357" s="1">
        <f t="shared" si="28"/>
        <v>356</v>
      </c>
      <c r="B357" s="1">
        <v>1343</v>
      </c>
      <c r="C357" s="2" t="s">
        <v>96</v>
      </c>
      <c r="D357" s="3">
        <v>45928</v>
      </c>
      <c r="E357" s="4">
        <v>0.73611111111111116</v>
      </c>
      <c r="F357" s="1" t="s">
        <v>958</v>
      </c>
      <c r="G357" s="3">
        <v>40238</v>
      </c>
      <c r="H357" s="1" t="str">
        <f t="shared" si="29"/>
        <v>15 г. 6 мес. 27 дн.</v>
      </c>
      <c r="I357" s="1" t="s">
        <v>39</v>
      </c>
      <c r="K357" s="1" t="s">
        <v>955</v>
      </c>
      <c r="L357" s="1" t="s">
        <v>457</v>
      </c>
      <c r="M357" s="1" t="s">
        <v>181</v>
      </c>
      <c r="O357" s="1" t="s">
        <v>42</v>
      </c>
      <c r="S357" s="1" t="s">
        <v>83</v>
      </c>
      <c r="T357" s="3">
        <v>45929</v>
      </c>
      <c r="U357" s="4">
        <v>0.625</v>
      </c>
      <c r="V357" s="1" t="str">
        <f t="shared" si="26"/>
        <v>0 г. 0 мес. 1 дн.</v>
      </c>
      <c r="W357" s="5"/>
    </row>
    <row r="358" spans="1:23" ht="34.5" customHeight="1" x14ac:dyDescent="0.25">
      <c r="A358" s="1">
        <f t="shared" si="28"/>
        <v>357</v>
      </c>
      <c r="B358" s="1">
        <v>543</v>
      </c>
      <c r="C358" s="2" t="s">
        <v>46</v>
      </c>
      <c r="D358" s="3">
        <v>45929</v>
      </c>
      <c r="E358" s="4">
        <v>0.55208333333333337</v>
      </c>
      <c r="F358" s="1" t="s">
        <v>959</v>
      </c>
      <c r="G358" s="3">
        <v>44498</v>
      </c>
      <c r="H358" s="1" t="str">
        <f t="shared" si="29"/>
        <v>3 г. 11 мес. 0 дн.</v>
      </c>
      <c r="I358" s="1" t="s">
        <v>34</v>
      </c>
      <c r="K358" s="1" t="s">
        <v>137</v>
      </c>
      <c r="L358" s="1" t="s">
        <v>960</v>
      </c>
      <c r="M358" s="1" t="s">
        <v>135</v>
      </c>
      <c r="O358" s="1" t="s">
        <v>29</v>
      </c>
      <c r="S358" s="1" t="s">
        <v>83</v>
      </c>
      <c r="T358" s="3">
        <v>45930</v>
      </c>
      <c r="U358" s="4">
        <v>0.5</v>
      </c>
      <c r="V358" s="1" t="str">
        <f t="shared" si="26"/>
        <v>0 г. 0 мес. 1 дн.</v>
      </c>
      <c r="W358" s="5"/>
    </row>
    <row r="359" spans="1:23" ht="34.5" customHeight="1" x14ac:dyDescent="0.25">
      <c r="A359" s="1">
        <f t="shared" si="28"/>
        <v>358</v>
      </c>
      <c r="B359" s="1">
        <v>477</v>
      </c>
      <c r="C359" s="2" t="s">
        <v>91</v>
      </c>
      <c r="D359" s="3">
        <v>45929</v>
      </c>
      <c r="E359" s="4">
        <v>0.69791666666666663</v>
      </c>
      <c r="F359" s="1" t="s">
        <v>961</v>
      </c>
      <c r="G359" s="3">
        <v>42708</v>
      </c>
      <c r="H359" s="1" t="str">
        <f t="shared" si="29"/>
        <v>8 г. 9 мес. 25 дн.</v>
      </c>
      <c r="I359" s="1" t="s">
        <v>70</v>
      </c>
      <c r="K359" s="1" t="s">
        <v>137</v>
      </c>
      <c r="L359" s="1" t="s">
        <v>962</v>
      </c>
      <c r="M359" s="1" t="s">
        <v>95</v>
      </c>
      <c r="O359" s="1" t="s">
        <v>29</v>
      </c>
      <c r="S359" s="2" t="s">
        <v>91</v>
      </c>
      <c r="T359" s="3">
        <v>45930</v>
      </c>
      <c r="U359" s="4">
        <v>0.5</v>
      </c>
      <c r="V359" s="1" t="str">
        <f t="shared" si="26"/>
        <v>0 г. 0 мес. 1 дн.</v>
      </c>
      <c r="W359" s="5"/>
    </row>
    <row r="360" spans="1:23" ht="34.5" customHeight="1" x14ac:dyDescent="0.25">
      <c r="A360" s="1">
        <f t="shared" si="28"/>
        <v>359</v>
      </c>
      <c r="B360" s="1">
        <v>1103</v>
      </c>
      <c r="C360" s="2" t="s">
        <v>23</v>
      </c>
      <c r="D360" s="3">
        <v>45931</v>
      </c>
      <c r="E360" s="4">
        <v>0.72222222222222221</v>
      </c>
      <c r="F360" s="1" t="s">
        <v>963</v>
      </c>
      <c r="G360" s="3">
        <v>44139</v>
      </c>
      <c r="H360" s="1" t="str">
        <f t="shared" si="29"/>
        <v>4 г. 10 мес. 27 дн.</v>
      </c>
      <c r="I360" s="1" t="s">
        <v>39</v>
      </c>
      <c r="K360" s="1" t="s">
        <v>137</v>
      </c>
      <c r="L360" s="1" t="s">
        <v>964</v>
      </c>
      <c r="M360" s="1" t="s">
        <v>28</v>
      </c>
      <c r="O360" s="1" t="s">
        <v>29</v>
      </c>
      <c r="S360" s="2" t="s">
        <v>23</v>
      </c>
      <c r="T360" s="3">
        <v>45932</v>
      </c>
      <c r="U360" s="4">
        <v>0.47916666666666669</v>
      </c>
      <c r="V360" s="1" t="str">
        <f t="shared" si="26"/>
        <v>0 г. 0 мес. 1 дн.</v>
      </c>
      <c r="W360" s="5"/>
    </row>
    <row r="361" spans="1:23" ht="34.5" customHeight="1" x14ac:dyDescent="0.25">
      <c r="A361" s="1">
        <f t="shared" si="28"/>
        <v>360</v>
      </c>
      <c r="B361" s="1">
        <v>548</v>
      </c>
      <c r="C361" s="2" t="s">
        <v>46</v>
      </c>
      <c r="D361" s="3">
        <v>45932</v>
      </c>
      <c r="E361" s="4">
        <v>9.0277777777777776E-2</v>
      </c>
      <c r="F361" s="1" t="s">
        <v>965</v>
      </c>
      <c r="G361" s="3">
        <v>39686</v>
      </c>
      <c r="H361" s="1" t="str">
        <f t="shared" si="29"/>
        <v>17 г. 1 мес. 6 дн.</v>
      </c>
      <c r="I361" s="1" t="s">
        <v>39</v>
      </c>
      <c r="K361" s="1" t="s">
        <v>137</v>
      </c>
      <c r="L361" s="1" t="s">
        <v>966</v>
      </c>
      <c r="M361" s="1" t="s">
        <v>50</v>
      </c>
      <c r="O361" s="1" t="s">
        <v>29</v>
      </c>
      <c r="S361" s="1" t="s">
        <v>83</v>
      </c>
      <c r="T361" s="3">
        <v>45932</v>
      </c>
      <c r="U361" s="4">
        <v>0.5</v>
      </c>
      <c r="V361" s="1" t="str">
        <f t="shared" si="26"/>
        <v>0 г. 0 мес. 0 дн.</v>
      </c>
      <c r="W361" s="5"/>
    </row>
    <row r="362" spans="1:23" ht="34.5" customHeight="1" x14ac:dyDescent="0.25">
      <c r="A362" s="1">
        <f t="shared" si="28"/>
        <v>361</v>
      </c>
      <c r="B362" s="1">
        <v>1116</v>
      </c>
      <c r="C362" s="2" t="s">
        <v>23</v>
      </c>
      <c r="D362" s="3">
        <v>45933</v>
      </c>
      <c r="E362" s="4">
        <v>0.8125</v>
      </c>
      <c r="F362" s="1" t="s">
        <v>967</v>
      </c>
      <c r="G362" s="3">
        <v>41786</v>
      </c>
      <c r="H362" s="1" t="str">
        <f t="shared" si="29"/>
        <v>11 г. 4 мес. 6 дн.</v>
      </c>
      <c r="I362" s="1" t="s">
        <v>39</v>
      </c>
      <c r="K362" s="1" t="s">
        <v>137</v>
      </c>
      <c r="L362" s="1" t="s">
        <v>968</v>
      </c>
      <c r="M362" s="1" t="s">
        <v>50</v>
      </c>
      <c r="O362" s="1" t="s">
        <v>29</v>
      </c>
      <c r="S362" s="1" t="s">
        <v>23</v>
      </c>
      <c r="T362" s="3">
        <v>45934</v>
      </c>
      <c r="U362" s="4">
        <v>0.45833333333333331</v>
      </c>
      <c r="V362" s="1" t="str">
        <f t="shared" si="26"/>
        <v>0 г. 0 мес. 1 дн.</v>
      </c>
      <c r="W362" s="5"/>
    </row>
    <row r="363" spans="1:23" ht="34.5" customHeight="1" x14ac:dyDescent="0.25">
      <c r="A363" s="1">
        <f t="shared" si="28"/>
        <v>362</v>
      </c>
      <c r="B363" s="1">
        <v>1117</v>
      </c>
      <c r="C363" s="2" t="s">
        <v>23</v>
      </c>
      <c r="D363" s="3">
        <v>45933</v>
      </c>
      <c r="E363" s="4">
        <v>0.81597222222222221</v>
      </c>
      <c r="F363" s="1" t="s">
        <v>970</v>
      </c>
      <c r="G363" s="3">
        <v>42426</v>
      </c>
      <c r="H363" s="1" t="str">
        <f t="shared" si="29"/>
        <v>9 г. 7 мес. 7 дн.</v>
      </c>
      <c r="I363" s="1" t="s">
        <v>39</v>
      </c>
      <c r="K363" s="1" t="s">
        <v>137</v>
      </c>
      <c r="L363" s="1" t="s">
        <v>969</v>
      </c>
      <c r="M363" s="1" t="s">
        <v>50</v>
      </c>
      <c r="O363" s="1" t="s">
        <v>29</v>
      </c>
      <c r="S363" s="1" t="s">
        <v>23</v>
      </c>
      <c r="T363" s="3">
        <v>45934</v>
      </c>
      <c r="U363" s="4">
        <v>0.45833333333333331</v>
      </c>
      <c r="V363" s="1" t="str">
        <f t="shared" si="26"/>
        <v>0 г. 0 мес. 1 дн.</v>
      </c>
      <c r="W363" s="5"/>
    </row>
    <row r="364" spans="1:23" ht="34.5" customHeight="1" x14ac:dyDescent="0.25">
      <c r="A364" s="1">
        <f t="shared" si="28"/>
        <v>363</v>
      </c>
      <c r="B364" s="1">
        <v>552</v>
      </c>
      <c r="C364" s="2" t="s">
        <v>46</v>
      </c>
      <c r="D364" s="3">
        <v>45934</v>
      </c>
      <c r="E364" s="4">
        <v>0.71527777777777779</v>
      </c>
      <c r="F364" s="1" t="s">
        <v>971</v>
      </c>
      <c r="G364" s="3">
        <v>44669</v>
      </c>
      <c r="H364" s="1" t="str">
        <f t="shared" si="29"/>
        <v>3 г. 5 мес. 16 дн.</v>
      </c>
      <c r="I364" s="1" t="s">
        <v>39</v>
      </c>
      <c r="K364" s="1" t="s">
        <v>137</v>
      </c>
      <c r="L364" s="1" t="s">
        <v>972</v>
      </c>
      <c r="M364" s="1" t="s">
        <v>50</v>
      </c>
      <c r="O364" s="1" t="s">
        <v>29</v>
      </c>
      <c r="S364" s="1" t="s">
        <v>46</v>
      </c>
      <c r="T364" s="3">
        <v>45935</v>
      </c>
      <c r="U364" s="4">
        <v>0.5</v>
      </c>
      <c r="V364" s="1" t="str">
        <f t="shared" si="26"/>
        <v>0 г. 0 мес. 1 дн.</v>
      </c>
      <c r="W364" s="5"/>
    </row>
    <row r="365" spans="1:23" ht="34.5" customHeight="1" x14ac:dyDescent="0.25">
      <c r="A365" s="1">
        <f t="shared" si="28"/>
        <v>364</v>
      </c>
      <c r="B365" s="1">
        <v>1371</v>
      </c>
      <c r="C365" s="2" t="s">
        <v>96</v>
      </c>
      <c r="D365" s="3">
        <v>45934</v>
      </c>
      <c r="E365" s="4">
        <v>0.79861111111111116</v>
      </c>
      <c r="F365" s="1" t="s">
        <v>973</v>
      </c>
      <c r="G365" s="3">
        <v>41502</v>
      </c>
      <c r="H365" s="1" t="str">
        <f t="shared" si="29"/>
        <v>12 г. 1 мес. 18 дн.</v>
      </c>
      <c r="I365" s="1" t="s">
        <v>39</v>
      </c>
      <c r="K365" s="1" t="s">
        <v>473</v>
      </c>
      <c r="L365" s="1" t="s">
        <v>457</v>
      </c>
      <c r="M365" s="1" t="s">
        <v>181</v>
      </c>
      <c r="O365" s="1" t="s">
        <v>29</v>
      </c>
      <c r="S365" s="1" t="s">
        <v>96</v>
      </c>
      <c r="T365" s="3">
        <v>45936</v>
      </c>
      <c r="U365" s="4">
        <v>0.52083333333333337</v>
      </c>
      <c r="V365" s="1" t="str">
        <f t="shared" si="26"/>
        <v>0 г. 0 мес. 2 дн.</v>
      </c>
      <c r="W365" s="5"/>
    </row>
    <row r="366" spans="1:23" ht="34.5" customHeight="1" x14ac:dyDescent="0.25">
      <c r="A366" s="1">
        <f t="shared" si="28"/>
        <v>365</v>
      </c>
      <c r="B366" s="6">
        <v>1369</v>
      </c>
      <c r="C366" s="22" t="s">
        <v>96</v>
      </c>
      <c r="D366" s="3">
        <v>45934</v>
      </c>
      <c r="E366" s="23">
        <v>0.79861111111111116</v>
      </c>
      <c r="F366" s="6" t="s">
        <v>974</v>
      </c>
      <c r="G366" s="28">
        <v>40646</v>
      </c>
      <c r="H366" s="1" t="str">
        <f t="shared" si="29"/>
        <v>14 г. 5 мес. 21 дн.</v>
      </c>
      <c r="I366" s="1" t="s">
        <v>39</v>
      </c>
      <c r="K366" s="6" t="s">
        <v>473</v>
      </c>
      <c r="L366" s="6" t="s">
        <v>457</v>
      </c>
      <c r="M366" s="6" t="s">
        <v>181</v>
      </c>
      <c r="N366" s="6"/>
      <c r="O366" s="1" t="s">
        <v>29</v>
      </c>
      <c r="P366" s="6"/>
      <c r="Q366" s="6"/>
      <c r="R366" s="6"/>
      <c r="S366" s="6" t="s">
        <v>96</v>
      </c>
      <c r="T366" s="28">
        <v>45935</v>
      </c>
      <c r="U366" s="23">
        <v>0.5</v>
      </c>
      <c r="V366" s="1" t="str">
        <f t="shared" si="26"/>
        <v>0 г. 0 мес. 1 дн.</v>
      </c>
      <c r="W366" s="5"/>
    </row>
    <row r="367" spans="1:23" ht="34.5" customHeight="1" x14ac:dyDescent="0.25">
      <c r="A367" s="1">
        <f t="shared" si="28"/>
        <v>366</v>
      </c>
      <c r="B367" s="1">
        <v>1373</v>
      </c>
      <c r="C367" s="2" t="s">
        <v>96</v>
      </c>
      <c r="D367" s="3">
        <v>45935</v>
      </c>
      <c r="E367" s="4">
        <v>6.25E-2</v>
      </c>
      <c r="F367" s="1" t="s">
        <v>975</v>
      </c>
      <c r="G367" s="3">
        <v>40365</v>
      </c>
      <c r="H367" s="1" t="str">
        <f t="shared" si="29"/>
        <v>15 г. 2 мес. 29 дн.</v>
      </c>
      <c r="I367" s="1" t="s">
        <v>39</v>
      </c>
      <c r="K367" s="1" t="s">
        <v>976</v>
      </c>
      <c r="L367" s="1" t="s">
        <v>457</v>
      </c>
      <c r="M367" s="1" t="s">
        <v>181</v>
      </c>
      <c r="O367" s="1" t="s">
        <v>29</v>
      </c>
      <c r="S367" s="1" t="s">
        <v>96</v>
      </c>
      <c r="T367" s="3">
        <v>45936</v>
      </c>
      <c r="U367" s="4">
        <v>0.54166666666666663</v>
      </c>
      <c r="V367" s="1" t="str">
        <f t="shared" si="26"/>
        <v>0 г. 0 мес. 1 дн.</v>
      </c>
      <c r="W367" s="5"/>
    </row>
    <row r="368" spans="1:23" ht="34.5" customHeight="1" x14ac:dyDescent="0.25">
      <c r="A368" s="79">
        <f t="shared" si="28"/>
        <v>367</v>
      </c>
      <c r="B368" s="79"/>
      <c r="C368" s="76"/>
      <c r="D368" s="77">
        <v>45935</v>
      </c>
      <c r="E368" s="78">
        <v>9.7222222222222224E-2</v>
      </c>
      <c r="F368" s="79" t="s">
        <v>977</v>
      </c>
      <c r="G368" s="77">
        <v>45432</v>
      </c>
      <c r="H368" s="79" t="str">
        <f t="shared" si="29"/>
        <v>1 г. 4 мес. 15 дн.</v>
      </c>
      <c r="I368" s="79" t="s">
        <v>39</v>
      </c>
      <c r="J368" s="79"/>
      <c r="K368" s="79"/>
      <c r="L368" s="79" t="s">
        <v>969</v>
      </c>
      <c r="M368" s="79"/>
      <c r="N368" s="79"/>
      <c r="O368" s="79"/>
      <c r="P368" s="79"/>
      <c r="Q368" s="79"/>
      <c r="R368" s="79"/>
      <c r="S368" s="79" t="s">
        <v>194</v>
      </c>
      <c r="T368" s="77">
        <v>45935</v>
      </c>
      <c r="U368" s="78">
        <v>0.1388888888888889</v>
      </c>
      <c r="V368" s="1" t="str">
        <f>DATEDIF(D368,T368,"y") &amp; " г. " &amp; DATEDIF(D368,T368,"ym") &amp; " мес. " &amp; DATEDIF(D368,T368,"md") &amp; " дн."</f>
        <v>0 г. 0 мес. 0 дн.</v>
      </c>
      <c r="W368" s="5"/>
    </row>
    <row r="369" spans="1:24" ht="34.5" customHeight="1" x14ac:dyDescent="0.25">
      <c r="A369" s="1">
        <f t="shared" si="28"/>
        <v>368</v>
      </c>
      <c r="B369" s="1">
        <v>1123</v>
      </c>
      <c r="C369" s="2" t="s">
        <v>23</v>
      </c>
      <c r="D369" s="3">
        <v>45936</v>
      </c>
      <c r="E369" s="4">
        <v>2.0833333333333332E-2</v>
      </c>
      <c r="F369" s="1" t="s">
        <v>978</v>
      </c>
      <c r="G369" s="3">
        <v>40234</v>
      </c>
      <c r="H369" s="1" t="str">
        <f t="shared" si="29"/>
        <v>15 г. 7 мес. 11 дн.</v>
      </c>
      <c r="I369" s="1" t="s">
        <v>39</v>
      </c>
      <c r="K369" s="1" t="s">
        <v>893</v>
      </c>
      <c r="L369" s="1" t="s">
        <v>969</v>
      </c>
      <c r="M369" s="1" t="s">
        <v>50</v>
      </c>
      <c r="O369" s="1" t="s">
        <v>29</v>
      </c>
      <c r="S369" s="1" t="s">
        <v>23</v>
      </c>
      <c r="T369" s="3">
        <v>45936</v>
      </c>
      <c r="U369" s="4">
        <v>0.54166666666666663</v>
      </c>
      <c r="V369" s="1" t="str">
        <f t="shared" ref="V369:V432" si="30">DATEDIF(D369,T369,"y") &amp; " г. " &amp; DATEDIF(D369,T369,"ym") &amp; " мес. " &amp; DATEDIF(D369,T369,"md") &amp; " дн."</f>
        <v>0 г. 0 мес. 0 дн.</v>
      </c>
      <c r="W369" s="5"/>
    </row>
    <row r="370" spans="1:24" ht="34.5" customHeight="1" x14ac:dyDescent="0.25">
      <c r="A370" s="1">
        <f t="shared" si="28"/>
        <v>369</v>
      </c>
      <c r="B370" s="1">
        <v>548</v>
      </c>
      <c r="C370" s="2" t="s">
        <v>32</v>
      </c>
      <c r="D370" s="3">
        <v>45938</v>
      </c>
      <c r="E370" s="4">
        <v>0.87152777777777779</v>
      </c>
      <c r="F370" s="1" t="s">
        <v>979</v>
      </c>
      <c r="G370" s="3">
        <v>42637</v>
      </c>
      <c r="H370" s="1" t="str">
        <f t="shared" si="29"/>
        <v>9 г. 0 мес. 14 дн.</v>
      </c>
      <c r="I370" s="1" t="s">
        <v>39</v>
      </c>
      <c r="K370" s="1" t="s">
        <v>107</v>
      </c>
      <c r="L370" s="1" t="s">
        <v>980</v>
      </c>
      <c r="M370" s="1" t="s">
        <v>73</v>
      </c>
      <c r="O370" s="1" t="s">
        <v>29</v>
      </c>
      <c r="S370" s="1" t="s">
        <v>32</v>
      </c>
      <c r="T370" s="3">
        <v>45940</v>
      </c>
      <c r="U370" s="4">
        <v>0.58333333333333337</v>
      </c>
      <c r="V370" s="1" t="str">
        <f t="shared" si="30"/>
        <v>0 г. 0 мес. 2 дн.</v>
      </c>
      <c r="W370" s="5"/>
    </row>
    <row r="371" spans="1:24" ht="34.5" customHeight="1" x14ac:dyDescent="0.25">
      <c r="A371" s="1">
        <f t="shared" si="28"/>
        <v>370</v>
      </c>
      <c r="B371" s="1">
        <v>563</v>
      </c>
      <c r="C371" s="2" t="s">
        <v>46</v>
      </c>
      <c r="D371" s="3">
        <v>45942</v>
      </c>
      <c r="E371" s="4">
        <v>0.34027777777777773</v>
      </c>
      <c r="F371" s="1" t="s">
        <v>981</v>
      </c>
      <c r="G371" s="3">
        <v>41653</v>
      </c>
      <c r="H371" s="1" t="str">
        <f t="shared" si="29"/>
        <v>11 г. 8 мес. 28 дн.</v>
      </c>
      <c r="I371" s="1" t="s">
        <v>39</v>
      </c>
      <c r="K371" s="1" t="s">
        <v>473</v>
      </c>
      <c r="L371" s="1" t="s">
        <v>966</v>
      </c>
      <c r="M371" s="1" t="s">
        <v>50</v>
      </c>
      <c r="O371" s="1" t="s">
        <v>29</v>
      </c>
      <c r="S371" s="1" t="s">
        <v>46</v>
      </c>
      <c r="T371" s="3">
        <v>45944</v>
      </c>
      <c r="U371" s="4">
        <v>0.45208333333333334</v>
      </c>
      <c r="V371" s="1" t="str">
        <f t="shared" si="30"/>
        <v>0 г. 0 мес. 2 дн.</v>
      </c>
      <c r="W371" s="5"/>
    </row>
    <row r="372" spans="1:24" ht="34.5" customHeight="1" x14ac:dyDescent="0.25">
      <c r="A372" s="1">
        <f t="shared" si="28"/>
        <v>371</v>
      </c>
      <c r="B372" s="1">
        <v>555</v>
      </c>
      <c r="C372" s="2" t="s">
        <v>32</v>
      </c>
      <c r="D372" s="3">
        <v>45942</v>
      </c>
      <c r="E372" s="4">
        <v>0.61458333333333337</v>
      </c>
      <c r="F372" s="1" t="s">
        <v>982</v>
      </c>
      <c r="G372" s="3">
        <v>41020</v>
      </c>
      <c r="H372" s="1" t="str">
        <f t="shared" si="29"/>
        <v>13 г. 5 мес. 21 дн.</v>
      </c>
      <c r="I372" s="1" t="s">
        <v>39</v>
      </c>
      <c r="K372" s="1" t="s">
        <v>983</v>
      </c>
      <c r="L372" s="1" t="s">
        <v>984</v>
      </c>
      <c r="M372" s="1" t="s">
        <v>73</v>
      </c>
      <c r="O372" s="1" t="s">
        <v>29</v>
      </c>
      <c r="S372" s="1" t="s">
        <v>32</v>
      </c>
      <c r="T372" s="3">
        <v>45943</v>
      </c>
      <c r="U372" s="4">
        <v>0.5</v>
      </c>
      <c r="V372" s="1" t="str">
        <f t="shared" si="30"/>
        <v>0 г. 0 мес. 1 дн.</v>
      </c>
      <c r="W372" s="5"/>
    </row>
    <row r="373" spans="1:24" ht="34.5" customHeight="1" x14ac:dyDescent="0.25">
      <c r="A373" s="1">
        <f t="shared" si="28"/>
        <v>372</v>
      </c>
      <c r="B373" s="1">
        <v>515</v>
      </c>
      <c r="C373" s="2" t="s">
        <v>278</v>
      </c>
      <c r="D373" s="3">
        <v>45942</v>
      </c>
      <c r="E373" s="4">
        <v>0.85416666666666663</v>
      </c>
      <c r="F373" s="1" t="s">
        <v>985</v>
      </c>
      <c r="G373" s="3">
        <v>45934</v>
      </c>
      <c r="H373" s="1" t="str">
        <f t="shared" si="29"/>
        <v>0 г. 0 мес. 8 дн.</v>
      </c>
      <c r="I373" s="1" t="s">
        <v>70</v>
      </c>
      <c r="K373" s="1" t="s">
        <v>986</v>
      </c>
      <c r="L373" s="1" t="s">
        <v>987</v>
      </c>
      <c r="M373" s="1" t="s">
        <v>105</v>
      </c>
      <c r="O373" s="1" t="s">
        <v>42</v>
      </c>
      <c r="S373" s="1" t="s">
        <v>83</v>
      </c>
      <c r="T373" s="3">
        <v>45945</v>
      </c>
      <c r="U373" s="4">
        <v>0.52083333333333337</v>
      </c>
      <c r="V373" s="1" t="str">
        <f t="shared" si="30"/>
        <v>0 г. 0 мес. 3 дн.</v>
      </c>
      <c r="W373" s="5"/>
    </row>
    <row r="374" spans="1:24" ht="34.5" customHeight="1" x14ac:dyDescent="0.25">
      <c r="A374" s="1">
        <f t="shared" si="28"/>
        <v>373</v>
      </c>
      <c r="B374" s="1">
        <v>1410</v>
      </c>
      <c r="C374" s="2" t="s">
        <v>96</v>
      </c>
      <c r="D374" s="3">
        <v>45943</v>
      </c>
      <c r="E374" s="4">
        <v>0.94444444444444453</v>
      </c>
      <c r="F374" s="1" t="s">
        <v>988</v>
      </c>
      <c r="G374" s="3">
        <v>45676</v>
      </c>
      <c r="H374" s="1" t="str">
        <f t="shared" si="29"/>
        <v>0 г. 8 мес. 24 дн.</v>
      </c>
      <c r="I374" s="1" t="s">
        <v>62</v>
      </c>
      <c r="K374" s="1" t="s">
        <v>498</v>
      </c>
      <c r="L374" s="1" t="s">
        <v>989</v>
      </c>
      <c r="M374" s="1" t="s">
        <v>73</v>
      </c>
      <c r="O374" s="1" t="s">
        <v>42</v>
      </c>
      <c r="S374" s="1" t="s">
        <v>96</v>
      </c>
      <c r="T374" s="3"/>
      <c r="U374" s="4"/>
      <c r="V374" s="1" t="e">
        <f t="shared" si="30"/>
        <v>#NUM!</v>
      </c>
      <c r="W374" s="5"/>
    </row>
    <row r="375" spans="1:24" ht="34.5" customHeight="1" x14ac:dyDescent="0.25">
      <c r="A375" s="1">
        <f t="shared" si="28"/>
        <v>374</v>
      </c>
      <c r="B375" s="1">
        <v>1418</v>
      </c>
      <c r="C375" s="2" t="s">
        <v>96</v>
      </c>
      <c r="D375" s="3">
        <v>45946</v>
      </c>
      <c r="E375" s="4">
        <v>0.54166666666666663</v>
      </c>
      <c r="F375" s="1" t="s">
        <v>999</v>
      </c>
      <c r="G375" s="3">
        <v>40257</v>
      </c>
      <c r="H375" s="1" t="str">
        <f t="shared" si="29"/>
        <v>15 г. 6 мес. 26 дн.</v>
      </c>
      <c r="I375" s="1" t="s">
        <v>70</v>
      </c>
      <c r="K375" s="1" t="s">
        <v>137</v>
      </c>
      <c r="L375" s="1" t="s">
        <v>991</v>
      </c>
      <c r="M375" s="1" t="s">
        <v>100</v>
      </c>
      <c r="O375" s="1" t="s">
        <v>29</v>
      </c>
      <c r="S375" s="1" t="s">
        <v>96</v>
      </c>
      <c r="T375" s="3">
        <v>45948</v>
      </c>
      <c r="U375" s="4">
        <v>0.72916666666666663</v>
      </c>
      <c r="V375" s="1" t="str">
        <f t="shared" si="30"/>
        <v>0 г. 0 мес. 2 дн.</v>
      </c>
      <c r="W375" s="5"/>
    </row>
    <row r="376" spans="1:24" s="49" customFormat="1" ht="34.5" customHeight="1" x14ac:dyDescent="0.25">
      <c r="A376" s="49">
        <f t="shared" si="28"/>
        <v>375</v>
      </c>
      <c r="B376" s="7"/>
      <c r="C376" s="50" t="s">
        <v>60</v>
      </c>
      <c r="D376" s="51">
        <v>45946</v>
      </c>
      <c r="E376" s="52"/>
      <c r="F376" s="84" t="s">
        <v>998</v>
      </c>
      <c r="G376" s="51">
        <v>45383</v>
      </c>
      <c r="H376" s="11" t="str">
        <f t="shared" si="29"/>
        <v>1 г. 6 мес. 15 дн.</v>
      </c>
      <c r="I376" s="1" t="s">
        <v>39</v>
      </c>
      <c r="K376" s="49" t="s">
        <v>137</v>
      </c>
      <c r="L376" s="49" t="s">
        <v>990</v>
      </c>
      <c r="M376" s="49" t="s">
        <v>65</v>
      </c>
      <c r="O376" s="49" t="s">
        <v>29</v>
      </c>
      <c r="S376" s="49" t="s">
        <v>60</v>
      </c>
      <c r="T376" s="51">
        <v>45947</v>
      </c>
      <c r="U376" s="52">
        <v>0.54166666666666663</v>
      </c>
      <c r="V376" s="7" t="str">
        <f t="shared" si="30"/>
        <v>0 г. 0 мес. 1 дн.</v>
      </c>
      <c r="W376" s="53"/>
      <c r="X376" s="7"/>
    </row>
    <row r="377" spans="1:24" ht="34.5" customHeight="1" x14ac:dyDescent="0.25">
      <c r="A377" s="1">
        <f t="shared" si="28"/>
        <v>376</v>
      </c>
      <c r="B377" s="1"/>
      <c r="C377" s="2" t="s">
        <v>96</v>
      </c>
      <c r="D377" s="3">
        <v>45943</v>
      </c>
      <c r="E377" s="4">
        <v>0.9555555555555556</v>
      </c>
      <c r="F377" s="1" t="s">
        <v>992</v>
      </c>
      <c r="G377" s="3">
        <v>39939</v>
      </c>
      <c r="H377" s="1" t="str">
        <f t="shared" si="29"/>
        <v>16 г. 5 мес. 7 дн.</v>
      </c>
      <c r="I377" s="1" t="s">
        <v>39</v>
      </c>
      <c r="K377" s="1" t="s">
        <v>994</v>
      </c>
      <c r="L377" s="1" t="s">
        <v>993</v>
      </c>
      <c r="M377" s="1" t="s">
        <v>181</v>
      </c>
      <c r="O377" s="1" t="s">
        <v>29</v>
      </c>
      <c r="S377" s="1" t="s">
        <v>96</v>
      </c>
      <c r="T377" s="3">
        <v>45947</v>
      </c>
      <c r="U377" s="4">
        <v>0.45833333333333331</v>
      </c>
      <c r="V377" s="1" t="str">
        <f t="shared" si="30"/>
        <v>0 г. 0 мес. 4 дн.</v>
      </c>
      <c r="W377" s="5"/>
    </row>
    <row r="378" spans="1:24" ht="34.5" customHeight="1" x14ac:dyDescent="0.25">
      <c r="A378" s="1">
        <f t="shared" si="28"/>
        <v>377</v>
      </c>
      <c r="B378" s="1">
        <v>568</v>
      </c>
      <c r="C378" s="2" t="s">
        <v>46</v>
      </c>
      <c r="D378" s="3">
        <v>45947</v>
      </c>
      <c r="E378" s="4">
        <v>0.5625</v>
      </c>
      <c r="F378" s="1" t="s">
        <v>995</v>
      </c>
      <c r="G378" s="3">
        <v>41750</v>
      </c>
      <c r="H378" s="1" t="str">
        <f t="shared" si="29"/>
        <v>11 г. 5 мес. 26 дн.</v>
      </c>
      <c r="I378" s="1" t="s">
        <v>39</v>
      </c>
      <c r="K378" s="1" t="s">
        <v>506</v>
      </c>
      <c r="L378" s="1" t="s">
        <v>510</v>
      </c>
      <c r="M378" s="1" t="s">
        <v>135</v>
      </c>
      <c r="O378" s="1" t="s">
        <v>29</v>
      </c>
      <c r="S378" s="1" t="s">
        <v>46</v>
      </c>
      <c r="T378" s="3">
        <v>45948</v>
      </c>
      <c r="U378" s="4">
        <v>0.45833333333333331</v>
      </c>
      <c r="V378" s="1" t="str">
        <f t="shared" si="30"/>
        <v>0 г. 0 мес. 1 дн.</v>
      </c>
      <c r="W378" s="5"/>
    </row>
    <row r="379" spans="1:24" ht="34.5" customHeight="1" x14ac:dyDescent="0.25">
      <c r="A379" s="1">
        <f t="shared" si="28"/>
        <v>378</v>
      </c>
      <c r="B379" s="1">
        <v>1425</v>
      </c>
      <c r="C379" s="2" t="s">
        <v>96</v>
      </c>
      <c r="D379" s="3">
        <v>45947</v>
      </c>
      <c r="E379" s="4">
        <v>0.60416666666666663</v>
      </c>
      <c r="F379" s="1" t="s">
        <v>996</v>
      </c>
      <c r="G379" s="3">
        <v>40225</v>
      </c>
      <c r="H379" s="1" t="str">
        <f t="shared" si="29"/>
        <v>15 г. 8 мес. 1 дн.</v>
      </c>
      <c r="I379" s="1" t="s">
        <v>70</v>
      </c>
      <c r="K379" s="1" t="s">
        <v>994</v>
      </c>
      <c r="L379" s="1" t="s">
        <v>997</v>
      </c>
      <c r="M379" s="1" t="s">
        <v>100</v>
      </c>
      <c r="O379" s="1" t="s">
        <v>29</v>
      </c>
      <c r="S379" s="1" t="s">
        <v>96</v>
      </c>
      <c r="T379" s="3">
        <v>45948</v>
      </c>
      <c r="U379" s="4">
        <v>0.72916666666666663</v>
      </c>
      <c r="V379" s="1" t="str">
        <f t="shared" si="30"/>
        <v>0 г. 0 мес. 1 дн.</v>
      </c>
      <c r="W379" s="5"/>
    </row>
    <row r="380" spans="1:24" ht="34.5" customHeight="1" x14ac:dyDescent="0.25">
      <c r="A380" s="1">
        <f t="shared" si="28"/>
        <v>379</v>
      </c>
      <c r="B380" s="1">
        <v>569</v>
      </c>
      <c r="C380" s="2" t="s">
        <v>46</v>
      </c>
      <c r="D380" s="3">
        <v>45948</v>
      </c>
      <c r="E380" s="4">
        <v>0.86458333333333337</v>
      </c>
      <c r="F380" s="1" t="s">
        <v>1000</v>
      </c>
      <c r="G380" s="3">
        <v>39493</v>
      </c>
      <c r="H380" s="1" t="str">
        <f t="shared" si="29"/>
        <v>17 г. 8 мес. 3 дн.</v>
      </c>
      <c r="I380" s="1" t="s">
        <v>39</v>
      </c>
      <c r="K380" s="1" t="s">
        <v>1001</v>
      </c>
      <c r="L380" s="1" t="s">
        <v>966</v>
      </c>
      <c r="M380" s="1" t="s">
        <v>50</v>
      </c>
      <c r="O380" s="1" t="s">
        <v>29</v>
      </c>
      <c r="S380" s="1" t="s">
        <v>46</v>
      </c>
      <c r="T380" s="3">
        <v>45949</v>
      </c>
      <c r="U380" s="4">
        <v>0.5</v>
      </c>
      <c r="V380" s="1" t="str">
        <f t="shared" si="30"/>
        <v>0 г. 0 мес. 1 дн.</v>
      </c>
      <c r="W380" s="5"/>
    </row>
    <row r="381" spans="1:24" ht="34.5" customHeight="1" x14ac:dyDescent="0.25">
      <c r="A381" s="1">
        <f t="shared" si="28"/>
        <v>380</v>
      </c>
      <c r="B381" s="1"/>
      <c r="C381" s="2" t="s">
        <v>60</v>
      </c>
      <c r="D381" s="3">
        <v>45944</v>
      </c>
      <c r="E381" s="4">
        <v>0.53125</v>
      </c>
      <c r="F381" s="1" t="s">
        <v>1002</v>
      </c>
      <c r="G381" s="3">
        <v>45857</v>
      </c>
      <c r="H381" s="1" t="str">
        <f t="shared" si="29"/>
        <v>0 г. 2 мес. 25 дн.</v>
      </c>
      <c r="I381" s="1" t="s">
        <v>62</v>
      </c>
      <c r="K381" s="1" t="s">
        <v>1004</v>
      </c>
      <c r="L381" s="1" t="s">
        <v>1003</v>
      </c>
      <c r="M381" s="1" t="s">
        <v>73</v>
      </c>
      <c r="O381" s="1" t="s">
        <v>29</v>
      </c>
      <c r="S381" s="1" t="s">
        <v>60</v>
      </c>
      <c r="T381" s="3">
        <v>45944</v>
      </c>
      <c r="U381" s="4">
        <v>0.79166666666666663</v>
      </c>
      <c r="V381" s="1" t="str">
        <f t="shared" si="30"/>
        <v>0 г. 0 мес. 0 дн.</v>
      </c>
      <c r="W381" s="5"/>
    </row>
    <row r="382" spans="1:24" ht="34.5" customHeight="1" x14ac:dyDescent="0.25">
      <c r="A382" s="1">
        <f t="shared" si="28"/>
        <v>381</v>
      </c>
      <c r="B382" s="1"/>
      <c r="C382" s="2" t="s">
        <v>96</v>
      </c>
      <c r="D382" s="3">
        <v>45946</v>
      </c>
      <c r="E382" s="4">
        <v>0.51736111111111105</v>
      </c>
      <c r="F382" s="1" t="s">
        <v>1006</v>
      </c>
      <c r="G382" s="3">
        <v>41144</v>
      </c>
      <c r="H382" s="1" t="str">
        <f t="shared" si="29"/>
        <v>13 г. 1 мес. 23 дн.</v>
      </c>
      <c r="I382" s="1" t="s">
        <v>62</v>
      </c>
      <c r="K382" s="1" t="s">
        <v>1007</v>
      </c>
      <c r="L382" s="1" t="s">
        <v>1005</v>
      </c>
      <c r="M382" s="1" t="s">
        <v>100</v>
      </c>
      <c r="O382" s="1" t="s">
        <v>29</v>
      </c>
      <c r="S382" s="1" t="s">
        <v>96</v>
      </c>
      <c r="T382" s="3">
        <v>45946</v>
      </c>
      <c r="U382" s="4">
        <v>0.70208333333333339</v>
      </c>
      <c r="V382" s="1" t="str">
        <f t="shared" si="30"/>
        <v>0 г. 0 мес. 0 дн.</v>
      </c>
      <c r="W382" s="5"/>
    </row>
    <row r="383" spans="1:24" ht="34.5" customHeight="1" x14ac:dyDescent="0.25">
      <c r="A383" s="1">
        <f t="shared" si="28"/>
        <v>382</v>
      </c>
      <c r="B383" s="1">
        <v>1435</v>
      </c>
      <c r="C383" s="2" t="s">
        <v>96</v>
      </c>
      <c r="D383" s="3">
        <v>45951</v>
      </c>
      <c r="E383" s="4">
        <v>0.4548611111111111</v>
      </c>
      <c r="F383" s="1" t="s">
        <v>1008</v>
      </c>
      <c r="G383" s="3">
        <v>45567</v>
      </c>
      <c r="H383" s="1" t="str">
        <f t="shared" si="29"/>
        <v>1 г. 0 мес. 19 дн.</v>
      </c>
      <c r="I383" s="1" t="s">
        <v>39</v>
      </c>
      <c r="K383" s="1" t="s">
        <v>1009</v>
      </c>
      <c r="L383" s="1" t="s">
        <v>1010</v>
      </c>
      <c r="M383" s="1" t="s">
        <v>181</v>
      </c>
      <c r="O383" s="1" t="s">
        <v>29</v>
      </c>
      <c r="S383" s="1" t="s">
        <v>96</v>
      </c>
      <c r="T383" s="3"/>
      <c r="U383" s="4"/>
      <c r="V383" s="1" t="e">
        <f t="shared" si="30"/>
        <v>#NUM!</v>
      </c>
      <c r="W383" s="5"/>
    </row>
    <row r="384" spans="1:24" ht="34.5" customHeight="1" x14ac:dyDescent="0.25">
      <c r="A384" s="1">
        <f t="shared" ref="A384:A447" si="31">ROW(A383)</f>
        <v>383</v>
      </c>
      <c r="B384" s="79">
        <v>1452</v>
      </c>
      <c r="C384" s="76" t="s">
        <v>96</v>
      </c>
      <c r="D384" s="77">
        <v>45953</v>
      </c>
      <c r="E384" s="78">
        <v>0.88888888888888884</v>
      </c>
      <c r="F384" s="79" t="s">
        <v>1011</v>
      </c>
      <c r="G384" s="77">
        <v>41102</v>
      </c>
      <c r="H384" s="79" t="str">
        <f t="shared" si="29"/>
        <v>13 г. 3 мес. 11 дн.</v>
      </c>
      <c r="I384" s="79" t="s">
        <v>39</v>
      </c>
      <c r="J384" s="79"/>
      <c r="K384" s="79" t="s">
        <v>1004</v>
      </c>
      <c r="L384" s="79" t="s">
        <v>1012</v>
      </c>
      <c r="M384" s="79" t="s">
        <v>181</v>
      </c>
      <c r="N384" s="79">
        <v>24</v>
      </c>
      <c r="O384" s="79" t="s">
        <v>42</v>
      </c>
      <c r="P384" s="79"/>
      <c r="Q384" s="79" t="s">
        <v>147</v>
      </c>
      <c r="R384" s="79" t="s">
        <v>285</v>
      </c>
      <c r="S384" s="79" t="s">
        <v>194</v>
      </c>
      <c r="T384" s="77">
        <v>45954</v>
      </c>
      <c r="U384" s="78">
        <v>0.89236111111111116</v>
      </c>
      <c r="V384" s="79" t="str">
        <f t="shared" si="30"/>
        <v>0 г. 0 мес. 1 дн.</v>
      </c>
      <c r="W384" s="5"/>
    </row>
    <row r="385" spans="1:23" ht="34.5" customHeight="1" x14ac:dyDescent="0.25">
      <c r="A385" s="1">
        <f t="shared" si="31"/>
        <v>384</v>
      </c>
      <c r="B385" s="1">
        <v>1213</v>
      </c>
      <c r="C385" s="2" t="s">
        <v>23</v>
      </c>
      <c r="D385" s="3">
        <v>45955</v>
      </c>
      <c r="E385" s="4">
        <v>5.5555555555555552E-2</v>
      </c>
      <c r="F385" s="1" t="s">
        <v>1013</v>
      </c>
      <c r="G385" s="3">
        <v>39395</v>
      </c>
      <c r="H385" s="1" t="s">
        <v>1014</v>
      </c>
      <c r="I385" s="1" t="s">
        <v>39</v>
      </c>
      <c r="K385" s="1" t="s">
        <v>1015</v>
      </c>
      <c r="L385" s="1" t="s">
        <v>1016</v>
      </c>
      <c r="M385" s="1" t="s">
        <v>50</v>
      </c>
      <c r="O385" s="1" t="s">
        <v>29</v>
      </c>
      <c r="T385" s="3"/>
      <c r="U385" s="4"/>
      <c r="V385" s="1" t="e">
        <f t="shared" si="30"/>
        <v>#NUM!</v>
      </c>
      <c r="W385" s="5"/>
    </row>
    <row r="386" spans="1:23" ht="34.5" customHeight="1" x14ac:dyDescent="0.25">
      <c r="A386" s="1">
        <f t="shared" si="31"/>
        <v>385</v>
      </c>
      <c r="B386" s="1">
        <v>1461</v>
      </c>
      <c r="C386" s="2" t="s">
        <v>96</v>
      </c>
      <c r="D386" s="3">
        <v>45957</v>
      </c>
      <c r="E386" s="4">
        <v>0.77430555555555547</v>
      </c>
      <c r="F386" s="1" t="s">
        <v>1022</v>
      </c>
      <c r="G386" s="3">
        <v>45849</v>
      </c>
      <c r="H386" s="1" t="str">
        <f t="shared" ref="H386:H449" si="32">DATEDIF(G386,D386,"y") &amp; " г. " &amp; DATEDIF(G386,D386,"ym") &amp; " мес. " &amp; DATEDIF(G386,D386,"md") &amp; " дн."</f>
        <v>0 г. 3 мес. 16 дн.</v>
      </c>
      <c r="I386" s="1" t="s">
        <v>39</v>
      </c>
      <c r="K386" s="1" t="s">
        <v>1019</v>
      </c>
      <c r="L386" s="1" t="s">
        <v>1020</v>
      </c>
      <c r="M386" s="1" t="s">
        <v>100</v>
      </c>
      <c r="O386" s="1" t="s">
        <v>29</v>
      </c>
      <c r="S386" s="1" t="s">
        <v>96</v>
      </c>
      <c r="T386" s="3">
        <v>45960</v>
      </c>
      <c r="U386" s="4">
        <v>0.5</v>
      </c>
      <c r="V386" s="1" t="str">
        <f t="shared" si="30"/>
        <v>0 г. 0 мес. 3 дн.</v>
      </c>
      <c r="W386" s="5"/>
    </row>
    <row r="387" spans="1:23" ht="34.5" customHeight="1" x14ac:dyDescent="0.25">
      <c r="A387" s="1">
        <f t="shared" si="31"/>
        <v>386</v>
      </c>
      <c r="B387" s="1">
        <v>535</v>
      </c>
      <c r="C387" s="2" t="s">
        <v>278</v>
      </c>
      <c r="D387" s="3">
        <v>45958</v>
      </c>
      <c r="E387" s="4">
        <v>0.70833333333333337</v>
      </c>
      <c r="F387" s="1" t="s">
        <v>1017</v>
      </c>
      <c r="G387" s="3">
        <v>45946</v>
      </c>
      <c r="H387" s="1" t="str">
        <f t="shared" si="32"/>
        <v>0 г. 0 мес. 12 дн.</v>
      </c>
      <c r="I387" s="1" t="s">
        <v>70</v>
      </c>
      <c r="K387" s="1" t="s">
        <v>1021</v>
      </c>
      <c r="L387" s="1" t="s">
        <v>1018</v>
      </c>
      <c r="M387" s="1" t="s">
        <v>105</v>
      </c>
      <c r="O387" s="1" t="s">
        <v>124</v>
      </c>
      <c r="S387" s="1" t="s">
        <v>83</v>
      </c>
      <c r="T387" s="3">
        <v>45961</v>
      </c>
      <c r="U387" s="4">
        <v>0.25</v>
      </c>
      <c r="V387" s="1" t="str">
        <f t="shared" si="30"/>
        <v>0 г. 0 мес. 3 дн.</v>
      </c>
      <c r="W387" s="5"/>
    </row>
    <row r="388" spans="1:23" ht="34.5" customHeight="1" x14ac:dyDescent="0.25">
      <c r="A388" s="1">
        <f t="shared" si="31"/>
        <v>387</v>
      </c>
      <c r="B388" s="1">
        <v>585</v>
      </c>
      <c r="C388" s="2" t="s">
        <v>32</v>
      </c>
      <c r="D388" s="3">
        <v>45958</v>
      </c>
      <c r="E388" s="4">
        <v>0.94097222222222221</v>
      </c>
      <c r="F388" s="1" t="s">
        <v>1023</v>
      </c>
      <c r="G388" s="3">
        <v>40651</v>
      </c>
      <c r="H388" s="1" t="str">
        <f t="shared" si="32"/>
        <v>14 г. 6 мес. 10 дн.</v>
      </c>
      <c r="I388" s="1" t="s">
        <v>39</v>
      </c>
      <c r="K388" s="1" t="s">
        <v>1024</v>
      </c>
      <c r="L388" s="1" t="s">
        <v>1025</v>
      </c>
      <c r="M388" s="1" t="s">
        <v>73</v>
      </c>
      <c r="O388" s="1" t="s">
        <v>29</v>
      </c>
      <c r="S388" s="1" t="s">
        <v>32</v>
      </c>
      <c r="T388" s="3">
        <v>45990</v>
      </c>
      <c r="U388" s="4">
        <v>0.45833333333333331</v>
      </c>
      <c r="V388" s="1" t="str">
        <f t="shared" si="30"/>
        <v>0 г. 1 мес. 1 дн.</v>
      </c>
      <c r="W388" s="5"/>
    </row>
    <row r="389" spans="1:23" ht="34.5" customHeight="1" x14ac:dyDescent="0.25">
      <c r="A389" s="1">
        <f t="shared" si="31"/>
        <v>388</v>
      </c>
      <c r="B389" s="1">
        <v>2410</v>
      </c>
      <c r="C389" s="2" t="s">
        <v>60</v>
      </c>
      <c r="D389" s="3">
        <v>45960</v>
      </c>
      <c r="E389" s="4">
        <v>0.85416666666666663</v>
      </c>
      <c r="F389" s="1" t="s">
        <v>1026</v>
      </c>
      <c r="G389" s="3">
        <v>43296</v>
      </c>
      <c r="H389" s="1" t="str">
        <f t="shared" si="32"/>
        <v>7 г. 3 мес. 15 дн.</v>
      </c>
      <c r="I389" s="1" t="s">
        <v>39</v>
      </c>
      <c r="K389" s="1" t="s">
        <v>363</v>
      </c>
      <c r="L389" s="1" t="s">
        <v>1027</v>
      </c>
      <c r="M389" s="1" t="s">
        <v>181</v>
      </c>
      <c r="O389" s="1" t="s">
        <v>42</v>
      </c>
      <c r="S389" s="1" t="s">
        <v>60</v>
      </c>
      <c r="T389" s="3">
        <v>45962</v>
      </c>
      <c r="U389" s="4">
        <v>0.45833333333333331</v>
      </c>
      <c r="V389" s="1" t="str">
        <f t="shared" si="30"/>
        <v>0 г. 0 мес. 2 дн.</v>
      </c>
      <c r="W389" s="5"/>
    </row>
    <row r="390" spans="1:23" ht="34.5" customHeight="1" x14ac:dyDescent="0.25">
      <c r="A390" s="1">
        <f t="shared" si="31"/>
        <v>389</v>
      </c>
      <c r="B390" s="1">
        <v>44</v>
      </c>
      <c r="C390" s="2" t="s">
        <v>46</v>
      </c>
      <c r="D390" s="3">
        <v>45961</v>
      </c>
      <c r="E390" s="4">
        <v>0.58333333333333337</v>
      </c>
      <c r="F390" s="1" t="s">
        <v>1028</v>
      </c>
      <c r="G390" s="3">
        <v>45961</v>
      </c>
      <c r="H390" s="1" t="str">
        <f t="shared" si="32"/>
        <v>0 г. 0 мес. 0 дн.</v>
      </c>
      <c r="I390" s="1" t="s">
        <v>34</v>
      </c>
      <c r="K390" s="1" t="s">
        <v>1029</v>
      </c>
      <c r="L390" s="1" t="s">
        <v>754</v>
      </c>
      <c r="M390" s="1" t="s">
        <v>135</v>
      </c>
      <c r="O390" s="1" t="s">
        <v>29</v>
      </c>
      <c r="S390" s="2" t="s">
        <v>46</v>
      </c>
      <c r="T390" s="3">
        <v>45962</v>
      </c>
      <c r="U390" s="4">
        <v>0.54166666666666663</v>
      </c>
      <c r="V390" s="1" t="str">
        <f t="shared" si="30"/>
        <v>0 г. 0 мес. 1 дн.</v>
      </c>
      <c r="W390" s="5"/>
    </row>
    <row r="391" spans="1:23" ht="34.5" customHeight="1" x14ac:dyDescent="0.25">
      <c r="A391" s="1">
        <f t="shared" si="31"/>
        <v>390</v>
      </c>
      <c r="B391" s="1">
        <v>1246</v>
      </c>
      <c r="C391" s="2" t="s">
        <v>23</v>
      </c>
      <c r="D391" s="3">
        <v>45962</v>
      </c>
      <c r="E391" s="4">
        <v>0.25694444444444448</v>
      </c>
      <c r="F391" s="86" t="s">
        <v>1030</v>
      </c>
      <c r="G391" s="87">
        <v>45362</v>
      </c>
      <c r="H391" s="86" t="str">
        <f>DATEDIF(G391,D391,"y") &amp; " г. " &amp; DATEDIF(G391,D391,"ym") &amp; " мес. " &amp; DATEDIF(G391,D391,"md") &amp; " дн."</f>
        <v>1 г. 7 мес. 21 дн.</v>
      </c>
      <c r="I391" s="86" t="s">
        <v>34</v>
      </c>
      <c r="J391" s="86"/>
      <c r="K391" s="86" t="s">
        <v>363</v>
      </c>
      <c r="L391" s="86" t="s">
        <v>1031</v>
      </c>
      <c r="M391" s="86" t="s">
        <v>28</v>
      </c>
      <c r="N391" s="86"/>
      <c r="O391" s="86" t="s">
        <v>42</v>
      </c>
      <c r="P391" s="86"/>
      <c r="Q391" s="86"/>
      <c r="R391" s="86"/>
      <c r="S391" s="88"/>
      <c r="T391" s="3">
        <v>45964</v>
      </c>
      <c r="U391" s="4">
        <v>0.54166666666666663</v>
      </c>
      <c r="V391" s="1" t="str">
        <f t="shared" si="30"/>
        <v>0 г. 0 мес. 2 дн.</v>
      </c>
      <c r="W391" s="5"/>
    </row>
    <row r="392" spans="1:23" ht="34.5" customHeight="1" x14ac:dyDescent="0.25">
      <c r="A392" s="1">
        <f t="shared" si="31"/>
        <v>391</v>
      </c>
      <c r="B392" s="1">
        <v>145</v>
      </c>
      <c r="C392" s="2" t="s">
        <v>46</v>
      </c>
      <c r="D392" s="3">
        <v>45962</v>
      </c>
      <c r="E392" s="4">
        <v>0.81597222222222221</v>
      </c>
      <c r="F392" s="1" t="s">
        <v>1032</v>
      </c>
      <c r="G392" s="3">
        <v>39765</v>
      </c>
      <c r="H392" s="1" t="str">
        <f t="shared" si="32"/>
        <v>16 г. 11 мес. 19 дн.</v>
      </c>
      <c r="I392" s="1" t="s">
        <v>39</v>
      </c>
      <c r="K392" s="1" t="s">
        <v>137</v>
      </c>
      <c r="L392" s="1" t="s">
        <v>142</v>
      </c>
      <c r="M392" s="1" t="s">
        <v>50</v>
      </c>
      <c r="O392" s="1" t="s">
        <v>29</v>
      </c>
      <c r="S392" s="1" t="s">
        <v>46</v>
      </c>
      <c r="T392" s="3">
        <v>45963</v>
      </c>
      <c r="U392" s="4">
        <v>0.45833333333333331</v>
      </c>
      <c r="V392" s="1" t="str">
        <f t="shared" si="30"/>
        <v>0 г. 0 мес. 1 дн.</v>
      </c>
      <c r="W392" s="5"/>
    </row>
    <row r="393" spans="1:23" ht="34.5" customHeight="1" x14ac:dyDescent="0.25">
      <c r="A393" s="1">
        <f t="shared" si="31"/>
        <v>392</v>
      </c>
      <c r="B393" s="1">
        <v>146</v>
      </c>
      <c r="C393" s="2" t="s">
        <v>46</v>
      </c>
      <c r="D393" s="3">
        <v>45962</v>
      </c>
      <c r="E393" s="4">
        <v>0.82291666666666663</v>
      </c>
      <c r="F393" s="1" t="s">
        <v>1033</v>
      </c>
      <c r="G393" s="3">
        <v>40718</v>
      </c>
      <c r="H393" s="1" t="str">
        <f t="shared" si="32"/>
        <v>14 г. 4 мес. 8 дн.</v>
      </c>
      <c r="I393" s="1" t="s">
        <v>39</v>
      </c>
      <c r="K393" s="1" t="s">
        <v>1034</v>
      </c>
      <c r="L393" s="1" t="s">
        <v>134</v>
      </c>
      <c r="M393" s="1" t="s">
        <v>135</v>
      </c>
      <c r="O393" s="1" t="s">
        <v>42</v>
      </c>
      <c r="S393" s="1" t="s">
        <v>46</v>
      </c>
      <c r="T393" s="3">
        <v>45963</v>
      </c>
      <c r="U393" s="4">
        <v>0.5</v>
      </c>
      <c r="V393" s="1" t="str">
        <f t="shared" si="30"/>
        <v>0 г. 0 мес. 1 дн.</v>
      </c>
      <c r="W393" s="5"/>
    </row>
    <row r="394" spans="1:23" ht="34.5" customHeight="1" x14ac:dyDescent="0.25">
      <c r="A394" s="1">
        <f t="shared" si="31"/>
        <v>393</v>
      </c>
      <c r="B394" s="1">
        <v>147</v>
      </c>
      <c r="C394" s="2" t="s">
        <v>46</v>
      </c>
      <c r="D394" s="3">
        <v>45966</v>
      </c>
      <c r="E394" s="4">
        <v>0.13194444444444445</v>
      </c>
      <c r="F394" s="1" t="s">
        <v>1035</v>
      </c>
      <c r="G394" s="3">
        <v>40773</v>
      </c>
      <c r="H394" s="1" t="str">
        <f t="shared" si="32"/>
        <v>14 г. 2 мес. 18 дн.</v>
      </c>
      <c r="I394" s="1" t="s">
        <v>39</v>
      </c>
      <c r="K394" s="1" t="s">
        <v>137</v>
      </c>
      <c r="L394" s="1" t="s">
        <v>1036</v>
      </c>
      <c r="M394" s="1" t="s">
        <v>50</v>
      </c>
      <c r="O394" s="1" t="s">
        <v>29</v>
      </c>
      <c r="S394" s="1" t="s">
        <v>46</v>
      </c>
      <c r="T394" s="3">
        <v>45966</v>
      </c>
      <c r="U394" s="4">
        <v>0.45833333333333331</v>
      </c>
      <c r="V394" s="1" t="str">
        <f t="shared" si="30"/>
        <v>0 г. 0 мес. 0 дн.</v>
      </c>
      <c r="W394" s="5"/>
    </row>
    <row r="395" spans="1:23" ht="34.5" customHeight="1" x14ac:dyDescent="0.25">
      <c r="A395" s="1">
        <f t="shared" si="31"/>
        <v>394</v>
      </c>
      <c r="B395" s="1">
        <v>148</v>
      </c>
      <c r="C395" s="85" t="s">
        <v>46</v>
      </c>
      <c r="D395" s="3">
        <v>45966</v>
      </c>
      <c r="E395" s="4">
        <v>0.4375</v>
      </c>
      <c r="F395" s="1" t="s">
        <v>1037</v>
      </c>
      <c r="G395" s="3">
        <v>44216</v>
      </c>
      <c r="H395" s="1" t="str">
        <f t="shared" si="32"/>
        <v>4 г. 9 мес. 16 дн.</v>
      </c>
      <c r="I395" s="1" t="s">
        <v>39</v>
      </c>
      <c r="K395" s="1" t="s">
        <v>137</v>
      </c>
      <c r="L395" s="1" t="s">
        <v>134</v>
      </c>
      <c r="M395" s="1" t="s">
        <v>135</v>
      </c>
      <c r="O395" s="1" t="s">
        <v>29</v>
      </c>
      <c r="S395" s="1" t="s">
        <v>83</v>
      </c>
      <c r="T395" s="3">
        <v>45967</v>
      </c>
      <c r="U395" s="4">
        <v>0.54166666666666663</v>
      </c>
      <c r="V395" s="1" t="str">
        <f t="shared" si="30"/>
        <v>0 г. 0 мес. 1 дн.</v>
      </c>
      <c r="W395" s="5"/>
    </row>
    <row r="396" spans="1:23" ht="34.5" customHeight="1" x14ac:dyDescent="0.25">
      <c r="A396" s="1">
        <f t="shared" si="31"/>
        <v>395</v>
      </c>
      <c r="B396" s="1">
        <v>152</v>
      </c>
      <c r="C396" s="2" t="s">
        <v>46</v>
      </c>
      <c r="D396" s="3">
        <v>45966</v>
      </c>
      <c r="E396" s="4">
        <v>0.82638888888888884</v>
      </c>
      <c r="F396" s="1" t="s">
        <v>1038</v>
      </c>
      <c r="G396" s="3">
        <v>41646</v>
      </c>
      <c r="H396" s="1" t="str">
        <f t="shared" si="32"/>
        <v>11 г. 9 мес. 29 дн.</v>
      </c>
      <c r="I396" s="1" t="s">
        <v>39</v>
      </c>
      <c r="K396" s="1" t="s">
        <v>137</v>
      </c>
      <c r="L396" s="1" t="s">
        <v>1039</v>
      </c>
      <c r="M396" s="1" t="s">
        <v>105</v>
      </c>
      <c r="O396" s="1" t="s">
        <v>29</v>
      </c>
      <c r="S396" s="1" t="s">
        <v>83</v>
      </c>
      <c r="T396" s="3">
        <v>45967</v>
      </c>
      <c r="U396" s="4">
        <v>0.5</v>
      </c>
      <c r="V396" s="1" t="str">
        <f t="shared" si="30"/>
        <v>0 г. 0 мес. 1 дн.</v>
      </c>
      <c r="W396" s="5"/>
    </row>
    <row r="397" spans="1:23" ht="34.5" customHeight="1" x14ac:dyDescent="0.25">
      <c r="A397" s="1">
        <f t="shared" si="31"/>
        <v>396</v>
      </c>
      <c r="B397" s="1"/>
      <c r="C397" s="2" t="s">
        <v>46</v>
      </c>
      <c r="D397" s="3">
        <v>45967</v>
      </c>
      <c r="E397" s="4">
        <v>0.61458333333333337</v>
      </c>
      <c r="F397" s="1" t="s">
        <v>1040</v>
      </c>
      <c r="G397" s="3">
        <v>43993</v>
      </c>
      <c r="H397" s="1" t="str">
        <f t="shared" si="32"/>
        <v>5 г. 4 мес. 26 дн.</v>
      </c>
      <c r="I397" s="1" t="s">
        <v>39</v>
      </c>
      <c r="K397" s="1" t="s">
        <v>363</v>
      </c>
      <c r="L397" s="1" t="s">
        <v>405</v>
      </c>
      <c r="M397" s="1" t="s">
        <v>135</v>
      </c>
      <c r="O397" s="1" t="s">
        <v>29</v>
      </c>
      <c r="S397" s="1" t="s">
        <v>83</v>
      </c>
      <c r="T397" s="3">
        <v>45968</v>
      </c>
      <c r="U397" s="4">
        <v>0.54166666666666663</v>
      </c>
      <c r="V397" s="1" t="str">
        <f t="shared" si="30"/>
        <v>0 г. 0 мес. 1 дн.</v>
      </c>
      <c r="W397" s="5"/>
    </row>
    <row r="398" spans="1:23" ht="34.5" customHeight="1" x14ac:dyDescent="0.25">
      <c r="A398" s="1">
        <f t="shared" si="31"/>
        <v>397</v>
      </c>
      <c r="B398" s="1">
        <v>56</v>
      </c>
      <c r="C398" s="2" t="s">
        <v>46</v>
      </c>
      <c r="D398" s="3">
        <v>45968</v>
      </c>
      <c r="E398" s="4">
        <v>0.49652777777777773</v>
      </c>
      <c r="F398" s="1" t="s">
        <v>1041</v>
      </c>
      <c r="G398" s="3">
        <v>45186</v>
      </c>
      <c r="H398" s="1" t="str">
        <f t="shared" si="32"/>
        <v>2 г. 1 мес. 21 дн.</v>
      </c>
      <c r="I398" s="1" t="s">
        <v>39</v>
      </c>
      <c r="K398" s="1" t="s">
        <v>137</v>
      </c>
      <c r="L398" s="1" t="s">
        <v>1042</v>
      </c>
      <c r="M398" s="1" t="s">
        <v>50</v>
      </c>
      <c r="O398" s="1" t="s">
        <v>29</v>
      </c>
      <c r="S398" s="1" t="s">
        <v>46</v>
      </c>
      <c r="T398" s="3">
        <v>45968</v>
      </c>
      <c r="U398" s="4">
        <v>0.83333333333333337</v>
      </c>
      <c r="V398" s="1" t="str">
        <f t="shared" si="30"/>
        <v>0 г. 0 мес. 0 дн.</v>
      </c>
      <c r="W398" s="5"/>
    </row>
    <row r="399" spans="1:23" ht="34.5" customHeight="1" x14ac:dyDescent="0.25">
      <c r="A399" s="1">
        <v>398</v>
      </c>
      <c r="B399" s="1">
        <v>528</v>
      </c>
      <c r="C399" s="2" t="s">
        <v>91</v>
      </c>
      <c r="D399" s="3">
        <v>45970</v>
      </c>
      <c r="E399" s="4">
        <v>0.86458333333333337</v>
      </c>
      <c r="F399" s="1" t="s">
        <v>1043</v>
      </c>
      <c r="G399" s="3">
        <v>41026</v>
      </c>
      <c r="H399" s="1" t="str">
        <f t="shared" si="32"/>
        <v>13 г. 6 мес. 13 дн.</v>
      </c>
      <c r="I399" s="1" t="s">
        <v>39</v>
      </c>
      <c r="K399" s="1" t="s">
        <v>473</v>
      </c>
      <c r="L399" s="1" t="s">
        <v>1044</v>
      </c>
      <c r="M399" s="1" t="s">
        <v>95</v>
      </c>
      <c r="O399" s="1" t="s">
        <v>29</v>
      </c>
      <c r="Q399" s="1" t="s">
        <v>580</v>
      </c>
      <c r="S399" s="1" t="s">
        <v>91</v>
      </c>
      <c r="T399" s="3">
        <v>45974</v>
      </c>
      <c r="U399" s="4">
        <v>0.58333333333333337</v>
      </c>
      <c r="V399" s="1" t="str">
        <f t="shared" si="30"/>
        <v>0 г. 0 мес. 4 дн.</v>
      </c>
      <c r="W399" s="5"/>
    </row>
    <row r="400" spans="1:23" ht="34.5" customHeight="1" x14ac:dyDescent="0.25">
      <c r="A400" s="1">
        <f t="shared" si="31"/>
        <v>399</v>
      </c>
      <c r="B400" s="1">
        <v>2503</v>
      </c>
      <c r="C400" s="2" t="s">
        <v>60</v>
      </c>
      <c r="D400" s="3">
        <v>45971</v>
      </c>
      <c r="E400" s="4">
        <v>0.51388888888888895</v>
      </c>
      <c r="F400" s="1" t="s">
        <v>1045</v>
      </c>
      <c r="G400" s="3">
        <v>40603</v>
      </c>
      <c r="H400" s="1" t="str">
        <f t="shared" si="32"/>
        <v>14 г. 8 мес. 9 дн.</v>
      </c>
      <c r="I400" s="1" t="s">
        <v>62</v>
      </c>
      <c r="J400" s="1" t="s">
        <v>60</v>
      </c>
      <c r="L400" s="1" t="s">
        <v>1046</v>
      </c>
      <c r="M400" s="1" t="s">
        <v>95</v>
      </c>
      <c r="O400" s="1" t="s">
        <v>29</v>
      </c>
      <c r="S400" s="1" t="s">
        <v>60</v>
      </c>
      <c r="T400" s="3">
        <v>45973</v>
      </c>
      <c r="U400" s="4">
        <v>0.5</v>
      </c>
      <c r="V400" s="1" t="str">
        <f t="shared" si="30"/>
        <v>0 г. 0 мес. 2 дн.</v>
      </c>
      <c r="W400" s="5"/>
    </row>
    <row r="401" spans="1:23" ht="34.5" customHeight="1" x14ac:dyDescent="0.25">
      <c r="A401" s="1">
        <f t="shared" si="31"/>
        <v>400</v>
      </c>
      <c r="B401" s="1"/>
      <c r="C401" s="2" t="s">
        <v>60</v>
      </c>
      <c r="D401" s="3">
        <v>45971</v>
      </c>
      <c r="E401" s="4">
        <v>0.74305555555555547</v>
      </c>
      <c r="F401" s="1" t="s">
        <v>1048</v>
      </c>
      <c r="G401" s="3">
        <v>41995</v>
      </c>
      <c r="H401" s="1" t="str">
        <f t="shared" si="32"/>
        <v>10 г. 10 мес. 19 дн.</v>
      </c>
      <c r="I401" s="1" t="s">
        <v>70</v>
      </c>
      <c r="J401" s="1" t="s">
        <v>60</v>
      </c>
      <c r="K401" s="1" t="s">
        <v>735</v>
      </c>
      <c r="L401" s="1" t="s">
        <v>1047</v>
      </c>
      <c r="M401" s="1" t="s">
        <v>73</v>
      </c>
      <c r="O401" s="1" t="s">
        <v>42</v>
      </c>
      <c r="S401" s="1" t="s">
        <v>60</v>
      </c>
      <c r="T401" s="3">
        <v>45973</v>
      </c>
      <c r="U401" s="4">
        <v>0.5</v>
      </c>
      <c r="V401" s="1" t="str">
        <f t="shared" si="30"/>
        <v>0 г. 0 мес. 2 дн.</v>
      </c>
      <c r="W401" s="5"/>
    </row>
    <row r="402" spans="1:23" ht="34.5" customHeight="1" x14ac:dyDescent="0.25">
      <c r="A402" s="1">
        <f t="shared" si="31"/>
        <v>401</v>
      </c>
      <c r="B402" s="1">
        <v>66</v>
      </c>
      <c r="C402" s="2" t="s">
        <v>46</v>
      </c>
      <c r="D402" s="3">
        <v>45972</v>
      </c>
      <c r="E402" s="4">
        <v>0.45833333333333331</v>
      </c>
      <c r="F402" s="1" t="s">
        <v>1049</v>
      </c>
      <c r="G402" s="3">
        <v>45664</v>
      </c>
      <c r="H402" s="1" t="str">
        <f t="shared" si="32"/>
        <v>0 г. 10 мес. 4 дн.</v>
      </c>
      <c r="I402" s="1" t="s">
        <v>39</v>
      </c>
      <c r="K402" s="1" t="s">
        <v>137</v>
      </c>
      <c r="L402" s="1" t="s">
        <v>1050</v>
      </c>
      <c r="M402" s="1" t="s">
        <v>50</v>
      </c>
      <c r="O402" s="1" t="s">
        <v>29</v>
      </c>
      <c r="S402" s="1" t="s">
        <v>46</v>
      </c>
      <c r="T402" s="3">
        <v>45973</v>
      </c>
      <c r="U402" s="4">
        <v>0.52083333333333337</v>
      </c>
      <c r="V402" s="1" t="str">
        <f t="shared" si="30"/>
        <v>0 г. 0 мес. 1 дн.</v>
      </c>
      <c r="W402" s="5"/>
    </row>
    <row r="403" spans="1:23" ht="34.5" customHeight="1" x14ac:dyDescent="0.25">
      <c r="A403" s="1">
        <f t="shared" si="31"/>
        <v>402</v>
      </c>
      <c r="B403" s="1">
        <v>2533</v>
      </c>
      <c r="C403" s="2" t="s">
        <v>60</v>
      </c>
      <c r="D403" s="3">
        <v>45973</v>
      </c>
      <c r="E403" s="4">
        <v>0.75347222222222221</v>
      </c>
      <c r="F403" s="1" t="s">
        <v>1051</v>
      </c>
      <c r="G403" s="3">
        <v>40490</v>
      </c>
      <c r="H403" s="1" t="str">
        <f t="shared" si="32"/>
        <v>15 г. 0 мес. 4 дн.</v>
      </c>
      <c r="I403" s="1" t="s">
        <v>62</v>
      </c>
      <c r="J403" s="1" t="s">
        <v>60</v>
      </c>
      <c r="K403" s="1" t="s">
        <v>844</v>
      </c>
      <c r="L403" s="1" t="s">
        <v>1052</v>
      </c>
      <c r="M403" s="1" t="s">
        <v>95</v>
      </c>
      <c r="O403" s="1" t="s">
        <v>29</v>
      </c>
      <c r="Q403" s="1" t="s">
        <v>147</v>
      </c>
      <c r="S403" s="1" t="s">
        <v>60</v>
      </c>
      <c r="T403" s="3">
        <v>45974</v>
      </c>
      <c r="U403" s="4">
        <v>0.52083333333333337</v>
      </c>
      <c r="V403" s="1" t="str">
        <f t="shared" si="30"/>
        <v>0 г. 0 мес. 1 дн.</v>
      </c>
      <c r="W403" s="5"/>
    </row>
    <row r="404" spans="1:23" ht="34.5" customHeight="1" x14ac:dyDescent="0.25">
      <c r="A404" s="1">
        <f t="shared" si="31"/>
        <v>403</v>
      </c>
      <c r="B404" s="1">
        <v>2541</v>
      </c>
      <c r="C404" s="2" t="s">
        <v>60</v>
      </c>
      <c r="D404" s="3">
        <v>45974</v>
      </c>
      <c r="E404" s="4">
        <v>0.74652777777777779</v>
      </c>
      <c r="F404" s="1" t="s">
        <v>1053</v>
      </c>
      <c r="G404" s="3">
        <v>45091</v>
      </c>
      <c r="H404" s="1" t="str">
        <f t="shared" si="32"/>
        <v>2 г. 4 мес. 30 дн.</v>
      </c>
      <c r="I404" s="1" t="s">
        <v>62</v>
      </c>
      <c r="J404" s="1" t="s">
        <v>60</v>
      </c>
      <c r="K404" s="1" t="s">
        <v>735</v>
      </c>
      <c r="L404" s="1" t="s">
        <v>468</v>
      </c>
      <c r="M404" s="1" t="s">
        <v>87</v>
      </c>
      <c r="O404" s="1" t="s">
        <v>42</v>
      </c>
      <c r="P404" s="1" t="s">
        <v>101</v>
      </c>
      <c r="S404" s="1" t="s">
        <v>60</v>
      </c>
      <c r="T404" s="3">
        <v>45979</v>
      </c>
      <c r="U404" s="4">
        <v>0.5</v>
      </c>
      <c r="V404" s="1" t="str">
        <f t="shared" si="30"/>
        <v>0 г. 0 мес. 5 дн.</v>
      </c>
      <c r="W404" s="5"/>
    </row>
    <row r="405" spans="1:23" ht="34.5" customHeight="1" x14ac:dyDescent="0.25">
      <c r="A405" s="1">
        <f t="shared" si="31"/>
        <v>404</v>
      </c>
      <c r="B405" s="1">
        <v>40</v>
      </c>
      <c r="C405" s="2" t="s">
        <v>236</v>
      </c>
      <c r="D405" s="3">
        <v>45975</v>
      </c>
      <c r="E405" s="4">
        <v>0.41666666666666669</v>
      </c>
      <c r="F405" s="1" t="s">
        <v>1054</v>
      </c>
      <c r="G405" s="3">
        <v>39744</v>
      </c>
      <c r="H405" s="1" t="str">
        <f t="shared" si="32"/>
        <v>17 г. 0 мес. 22 дн.</v>
      </c>
      <c r="I405" s="1" t="s">
        <v>70</v>
      </c>
      <c r="J405" s="1" t="s">
        <v>236</v>
      </c>
      <c r="K405" s="1" t="s">
        <v>1055</v>
      </c>
      <c r="L405" s="1" t="s">
        <v>1056</v>
      </c>
      <c r="M405" s="1" t="s">
        <v>403</v>
      </c>
      <c r="O405" s="1" t="s">
        <v>29</v>
      </c>
      <c r="Q405" s="1" t="s">
        <v>1057</v>
      </c>
      <c r="S405" s="1" t="s">
        <v>236</v>
      </c>
      <c r="T405" s="3">
        <v>45976</v>
      </c>
      <c r="U405" s="4">
        <v>0.5</v>
      </c>
      <c r="V405" s="1" t="str">
        <f t="shared" si="30"/>
        <v>0 г. 0 мес. 1 дн.</v>
      </c>
      <c r="W405" s="5"/>
    </row>
    <row r="406" spans="1:23" ht="34.5" customHeight="1" x14ac:dyDescent="0.25">
      <c r="A406" s="1">
        <f t="shared" si="31"/>
        <v>405</v>
      </c>
      <c r="B406" s="1">
        <v>2547</v>
      </c>
      <c r="C406" s="2" t="s">
        <v>60</v>
      </c>
      <c r="D406" s="3">
        <v>45975</v>
      </c>
      <c r="E406" s="4">
        <v>0.76388888888888884</v>
      </c>
      <c r="F406" s="1" t="s">
        <v>1058</v>
      </c>
      <c r="G406" s="3">
        <v>45396</v>
      </c>
      <c r="H406" s="1" t="str">
        <f t="shared" si="32"/>
        <v>1 г. 7 мес. 0 дн.</v>
      </c>
      <c r="I406" s="1" t="s">
        <v>62</v>
      </c>
      <c r="J406" s="1" t="s">
        <v>60</v>
      </c>
      <c r="K406" s="1" t="s">
        <v>137</v>
      </c>
      <c r="L406" s="1" t="s">
        <v>1059</v>
      </c>
      <c r="M406" s="1" t="s">
        <v>105</v>
      </c>
      <c r="O406" s="1" t="s">
        <v>42</v>
      </c>
      <c r="P406" s="1" t="s">
        <v>1060</v>
      </c>
      <c r="S406" s="1" t="s">
        <v>60</v>
      </c>
      <c r="T406" s="3">
        <v>45981</v>
      </c>
      <c r="U406" s="4">
        <v>0.5</v>
      </c>
      <c r="V406" s="1" t="str">
        <f t="shared" si="30"/>
        <v>0 г. 0 мес. 6 дн.</v>
      </c>
      <c r="W406" s="5"/>
    </row>
    <row r="407" spans="1:23" ht="34.5" customHeight="1" x14ac:dyDescent="0.25">
      <c r="A407" s="1">
        <f t="shared" si="31"/>
        <v>406</v>
      </c>
      <c r="B407" s="1">
        <v>540</v>
      </c>
      <c r="C407" s="2" t="s">
        <v>91</v>
      </c>
      <c r="D407" s="3">
        <v>45976</v>
      </c>
      <c r="E407" s="4">
        <v>0.54166666666666663</v>
      </c>
      <c r="F407" s="1" t="s">
        <v>1061</v>
      </c>
      <c r="G407" s="3">
        <v>45538</v>
      </c>
      <c r="H407" s="1" t="str">
        <f t="shared" si="32"/>
        <v>1 г. 2 мес. 12 дн.</v>
      </c>
      <c r="I407" s="1" t="s">
        <v>70</v>
      </c>
      <c r="J407" s="1" t="s">
        <v>91</v>
      </c>
      <c r="K407" s="1" t="s">
        <v>137</v>
      </c>
      <c r="L407" s="1" t="s">
        <v>1062</v>
      </c>
      <c r="M407" s="1" t="s">
        <v>95</v>
      </c>
      <c r="O407" s="1" t="s">
        <v>29</v>
      </c>
      <c r="S407" s="1" t="s">
        <v>91</v>
      </c>
      <c r="T407" s="3">
        <v>45978</v>
      </c>
      <c r="U407" s="4">
        <v>0.5</v>
      </c>
      <c r="V407" s="1" t="str">
        <f t="shared" si="30"/>
        <v>0 г. 0 мес. 2 дн.</v>
      </c>
      <c r="W407" s="5"/>
    </row>
    <row r="408" spans="1:23" ht="34.5" customHeight="1" x14ac:dyDescent="0.25">
      <c r="A408" s="1">
        <f t="shared" si="31"/>
        <v>407</v>
      </c>
      <c r="B408" s="1">
        <v>78</v>
      </c>
      <c r="C408" s="2" t="s">
        <v>46</v>
      </c>
      <c r="D408" s="3">
        <v>45977</v>
      </c>
      <c r="E408" s="4">
        <v>0</v>
      </c>
      <c r="F408" s="1" t="s">
        <v>1063</v>
      </c>
      <c r="G408" s="3">
        <v>39798</v>
      </c>
      <c r="H408" s="1" t="str">
        <f t="shared" si="32"/>
        <v>16 г. 11 мес. 0 дн.</v>
      </c>
      <c r="I408" s="1" t="s">
        <v>39</v>
      </c>
      <c r="J408" s="47"/>
      <c r="K408" s="1" t="s">
        <v>137</v>
      </c>
      <c r="L408" s="1" t="s">
        <v>1064</v>
      </c>
      <c r="M408" s="1" t="s">
        <v>50</v>
      </c>
      <c r="O408" s="1" t="s">
        <v>29</v>
      </c>
      <c r="S408" s="1" t="s">
        <v>46</v>
      </c>
      <c r="T408" s="3">
        <v>45978</v>
      </c>
      <c r="U408" s="4">
        <v>0.5</v>
      </c>
      <c r="V408" s="1" t="str">
        <f t="shared" si="30"/>
        <v>0 г. 0 мес. 1 дн.</v>
      </c>
      <c r="W408" s="5"/>
    </row>
    <row r="409" spans="1:23" ht="34.5" customHeight="1" x14ac:dyDescent="0.25">
      <c r="A409" s="1">
        <f t="shared" si="31"/>
        <v>408</v>
      </c>
      <c r="B409" s="1">
        <v>77</v>
      </c>
      <c r="C409" s="2" t="s">
        <v>46</v>
      </c>
      <c r="D409" s="3">
        <v>45975</v>
      </c>
      <c r="E409" s="4">
        <v>0.77430555555555547</v>
      </c>
      <c r="F409" s="1" t="s">
        <v>1065</v>
      </c>
      <c r="G409" s="3">
        <v>45792</v>
      </c>
      <c r="H409" s="1" t="str">
        <f t="shared" si="32"/>
        <v>0 г. 5 мес. 30 дн.</v>
      </c>
      <c r="I409" s="1" t="s">
        <v>39</v>
      </c>
      <c r="K409" s="1" t="s">
        <v>137</v>
      </c>
      <c r="L409" s="1" t="s">
        <v>142</v>
      </c>
      <c r="M409" s="1" t="s">
        <v>50</v>
      </c>
      <c r="O409" s="1" t="s">
        <v>29</v>
      </c>
      <c r="S409" s="1" t="s">
        <v>46</v>
      </c>
      <c r="T409" s="3">
        <v>45976</v>
      </c>
      <c r="U409" s="4">
        <v>0.5</v>
      </c>
      <c r="V409" s="1" t="str">
        <f t="shared" si="30"/>
        <v>0 г. 0 мес. 1 дн.</v>
      </c>
      <c r="W409" s="5"/>
    </row>
    <row r="410" spans="1:23" ht="34.5" customHeight="1" x14ac:dyDescent="0.25">
      <c r="A410" s="1">
        <f t="shared" si="31"/>
        <v>409</v>
      </c>
      <c r="B410" s="1">
        <v>80</v>
      </c>
      <c r="C410" s="2" t="s">
        <v>46</v>
      </c>
      <c r="D410" s="3">
        <v>45977</v>
      </c>
      <c r="E410" s="4">
        <v>0.90555555555555556</v>
      </c>
      <c r="F410" s="1" t="s">
        <v>1017</v>
      </c>
      <c r="G410" s="3">
        <v>45946</v>
      </c>
      <c r="H410" s="1" t="str">
        <f t="shared" si="32"/>
        <v>0 г. 1 мес. 0 дн.</v>
      </c>
      <c r="I410" s="1" t="s">
        <v>39</v>
      </c>
      <c r="K410" s="1" t="s">
        <v>137</v>
      </c>
      <c r="L410" s="1" t="s">
        <v>1068</v>
      </c>
      <c r="M410" s="1" t="s">
        <v>105</v>
      </c>
      <c r="O410" s="1" t="s">
        <v>29</v>
      </c>
      <c r="S410" s="1" t="s">
        <v>46</v>
      </c>
      <c r="T410" s="3">
        <v>45978</v>
      </c>
      <c r="U410" s="4">
        <v>0.49513888888888885</v>
      </c>
      <c r="V410" s="1" t="str">
        <f t="shared" si="30"/>
        <v>0 г. 0 мес. 1 дн.</v>
      </c>
      <c r="W410" s="5"/>
    </row>
    <row r="411" spans="1:23" ht="34.5" customHeight="1" x14ac:dyDescent="0.25">
      <c r="A411" s="1">
        <f t="shared" si="31"/>
        <v>410</v>
      </c>
      <c r="B411" s="1">
        <v>2577</v>
      </c>
      <c r="C411" s="2" t="s">
        <v>60</v>
      </c>
      <c r="D411" s="3">
        <v>45979</v>
      </c>
      <c r="E411" s="4">
        <v>0.28125</v>
      </c>
      <c r="F411" s="1" t="s">
        <v>1066</v>
      </c>
      <c r="G411" s="3">
        <v>43181</v>
      </c>
      <c r="H411" s="1" t="str">
        <f t="shared" si="32"/>
        <v>7 г. 7 мес. 27 дн.</v>
      </c>
      <c r="I411" s="1" t="s">
        <v>62</v>
      </c>
      <c r="K411" s="1" t="s">
        <v>137</v>
      </c>
      <c r="L411" s="1" t="s">
        <v>1067</v>
      </c>
      <c r="M411" s="1" t="s">
        <v>87</v>
      </c>
      <c r="O411" s="1" t="s">
        <v>42</v>
      </c>
      <c r="P411" s="1" t="s">
        <v>101</v>
      </c>
      <c r="S411" s="1" t="s">
        <v>60</v>
      </c>
      <c r="T411" s="3">
        <v>45981</v>
      </c>
      <c r="U411" s="4">
        <v>0.4375</v>
      </c>
      <c r="V411" s="1" t="str">
        <f t="shared" si="30"/>
        <v>0 г. 0 мес. 2 дн.</v>
      </c>
      <c r="W411" s="5"/>
    </row>
    <row r="412" spans="1:23" ht="34.5" customHeight="1" x14ac:dyDescent="0.25">
      <c r="A412" s="1">
        <f t="shared" si="31"/>
        <v>411</v>
      </c>
      <c r="B412" s="1">
        <v>2486</v>
      </c>
      <c r="C412" s="2" t="s">
        <v>60</v>
      </c>
      <c r="D412" s="3">
        <v>45979</v>
      </c>
      <c r="E412" s="4">
        <v>0.63541666666666663</v>
      </c>
      <c r="F412" s="1" t="s">
        <v>1069</v>
      </c>
      <c r="G412" s="3">
        <v>39705</v>
      </c>
      <c r="H412" s="1" t="str">
        <f t="shared" si="32"/>
        <v>17 г. 2 мес. 4 дн.</v>
      </c>
      <c r="I412" s="1" t="s">
        <v>34</v>
      </c>
      <c r="K412" s="1" t="s">
        <v>1070</v>
      </c>
      <c r="L412" s="1" t="s">
        <v>845</v>
      </c>
      <c r="M412" s="1" t="s">
        <v>73</v>
      </c>
      <c r="O412" s="1" t="s">
        <v>29</v>
      </c>
      <c r="S412" s="1" t="s">
        <v>60</v>
      </c>
      <c r="T412" s="3">
        <v>45981</v>
      </c>
      <c r="U412" s="4">
        <v>0.5</v>
      </c>
      <c r="V412" s="1" t="str">
        <f t="shared" si="30"/>
        <v>0 г. 0 мес. 2 дн.</v>
      </c>
      <c r="W412" s="5"/>
    </row>
    <row r="413" spans="1:23" ht="34.5" customHeight="1" x14ac:dyDescent="0.25">
      <c r="A413" s="1">
        <f t="shared" si="31"/>
        <v>412</v>
      </c>
      <c r="B413" s="1">
        <v>644</v>
      </c>
      <c r="C413" s="2" t="s">
        <v>32</v>
      </c>
      <c r="D413" s="3">
        <v>45980</v>
      </c>
      <c r="E413" s="4">
        <v>0.59027777777777779</v>
      </c>
      <c r="F413" s="1" t="s">
        <v>1121</v>
      </c>
      <c r="G413" s="3">
        <v>45925</v>
      </c>
      <c r="H413" s="1" t="str">
        <f t="shared" si="32"/>
        <v>0 г. 1 мес. 25 дн.</v>
      </c>
      <c r="I413" s="1" t="s">
        <v>39</v>
      </c>
      <c r="K413" s="1" t="s">
        <v>1071</v>
      </c>
      <c r="L413" s="1" t="s">
        <v>1072</v>
      </c>
      <c r="M413" s="1" t="s">
        <v>73</v>
      </c>
      <c r="O413" s="1" t="s">
        <v>42</v>
      </c>
      <c r="S413" s="1" t="s">
        <v>32</v>
      </c>
      <c r="T413" s="3">
        <v>45989</v>
      </c>
      <c r="U413" s="4">
        <v>0.375</v>
      </c>
      <c r="V413" s="1" t="str">
        <f t="shared" si="30"/>
        <v>0 г. 0 мес. 9 дн.</v>
      </c>
      <c r="W413" s="5"/>
    </row>
    <row r="414" spans="1:23" ht="34.5" customHeight="1" x14ac:dyDescent="0.25">
      <c r="A414" s="1">
        <f t="shared" si="31"/>
        <v>413</v>
      </c>
      <c r="B414" s="1">
        <v>649</v>
      </c>
      <c r="C414" s="2" t="s">
        <v>32</v>
      </c>
      <c r="D414" s="3">
        <v>45981</v>
      </c>
      <c r="E414" s="4">
        <v>0.6875</v>
      </c>
      <c r="F414" s="1" t="s">
        <v>1073</v>
      </c>
      <c r="G414" s="3">
        <v>39547</v>
      </c>
      <c r="H414" s="1" t="str">
        <f t="shared" si="32"/>
        <v>17 г. 7 мес. 11 дн.</v>
      </c>
      <c r="I414" s="1" t="s">
        <v>39</v>
      </c>
      <c r="K414" s="1" t="s">
        <v>1074</v>
      </c>
      <c r="L414" s="1" t="s">
        <v>1075</v>
      </c>
      <c r="O414" s="1" t="s">
        <v>42</v>
      </c>
      <c r="T414" s="3"/>
      <c r="U414" s="4"/>
      <c r="V414" s="1" t="e">
        <f t="shared" si="30"/>
        <v>#NUM!</v>
      </c>
      <c r="W414" s="5"/>
    </row>
    <row r="415" spans="1:23" ht="34.5" customHeight="1" x14ac:dyDescent="0.25">
      <c r="A415" s="1">
        <f t="shared" si="31"/>
        <v>414</v>
      </c>
      <c r="B415" s="1">
        <v>1350</v>
      </c>
      <c r="C415" s="2" t="s">
        <v>23</v>
      </c>
      <c r="D415" s="3">
        <v>45985</v>
      </c>
      <c r="E415" s="4">
        <v>0.94444444444444453</v>
      </c>
      <c r="F415" s="1" t="s">
        <v>1076</v>
      </c>
      <c r="G415" s="3">
        <v>45714</v>
      </c>
      <c r="H415" s="1" t="str">
        <f t="shared" si="32"/>
        <v>0 г. 8 мес. 29 дн.</v>
      </c>
      <c r="I415" s="1" t="s">
        <v>39</v>
      </c>
      <c r="K415" s="1" t="s">
        <v>1077</v>
      </c>
      <c r="L415" s="1" t="s">
        <v>1078</v>
      </c>
      <c r="M415" s="1" t="s">
        <v>28</v>
      </c>
      <c r="O415" s="1" t="s">
        <v>29</v>
      </c>
      <c r="S415" s="1" t="s">
        <v>23</v>
      </c>
      <c r="T415" s="3">
        <v>45987</v>
      </c>
      <c r="U415" s="4">
        <v>0.5</v>
      </c>
      <c r="V415" s="1" t="str">
        <f t="shared" si="30"/>
        <v>0 г. 0 мес. 2 дн.</v>
      </c>
      <c r="W415" s="5"/>
    </row>
    <row r="416" spans="1:23" ht="34.5" customHeight="1" x14ac:dyDescent="0.25">
      <c r="A416" s="1">
        <f t="shared" si="31"/>
        <v>415</v>
      </c>
      <c r="B416" s="1">
        <v>2644</v>
      </c>
      <c r="C416" s="2" t="s">
        <v>60</v>
      </c>
      <c r="D416" s="3">
        <v>45987</v>
      </c>
      <c r="E416" s="4">
        <v>0.56944444444444442</v>
      </c>
      <c r="F416" s="1" t="s">
        <v>1002</v>
      </c>
      <c r="G416" s="3">
        <v>45857</v>
      </c>
      <c r="H416" s="1" t="str">
        <f t="shared" si="32"/>
        <v>0 г. 4 мес. 7 дн.</v>
      </c>
      <c r="I416" s="1" t="s">
        <v>70</v>
      </c>
      <c r="K416" s="1" t="s">
        <v>137</v>
      </c>
      <c r="L416" s="1" t="s">
        <v>1079</v>
      </c>
      <c r="M416" s="1" t="s">
        <v>73</v>
      </c>
      <c r="O416" s="1" t="s">
        <v>124</v>
      </c>
      <c r="T416" s="3"/>
      <c r="U416" s="4"/>
      <c r="V416" s="1" t="e">
        <f t="shared" si="30"/>
        <v>#NUM!</v>
      </c>
      <c r="W416" s="5"/>
    </row>
    <row r="417" spans="1:23" ht="34.5" customHeight="1" x14ac:dyDescent="0.25">
      <c r="A417" s="1">
        <f t="shared" si="31"/>
        <v>416</v>
      </c>
      <c r="B417" s="1">
        <v>1572</v>
      </c>
      <c r="C417" s="2" t="s">
        <v>96</v>
      </c>
      <c r="D417" s="3">
        <v>45988</v>
      </c>
      <c r="E417" s="4">
        <v>0.56597222222222221</v>
      </c>
      <c r="F417" s="1" t="s">
        <v>1080</v>
      </c>
      <c r="G417" s="3">
        <v>40292</v>
      </c>
      <c r="H417" s="1" t="str">
        <f t="shared" si="32"/>
        <v>15 г. 7 мес. 3 дн.</v>
      </c>
      <c r="I417" s="1" t="s">
        <v>62</v>
      </c>
      <c r="K417" s="1" t="s">
        <v>1034</v>
      </c>
      <c r="L417" s="1" t="s">
        <v>1081</v>
      </c>
      <c r="M417" s="1" t="s">
        <v>100</v>
      </c>
      <c r="O417" s="1" t="s">
        <v>29</v>
      </c>
      <c r="P417" s="1" t="s">
        <v>101</v>
      </c>
      <c r="S417" s="1" t="s">
        <v>60</v>
      </c>
      <c r="T417" s="3">
        <v>45990</v>
      </c>
      <c r="U417" s="4">
        <v>0.5</v>
      </c>
      <c r="V417" s="1" t="str">
        <f t="shared" si="30"/>
        <v>0 г. 0 мес. 2 дн.</v>
      </c>
      <c r="W417" s="5"/>
    </row>
    <row r="418" spans="1:23" ht="34.5" customHeight="1" x14ac:dyDescent="0.25">
      <c r="A418" s="1">
        <f t="shared" si="31"/>
        <v>417</v>
      </c>
      <c r="B418" s="6">
        <v>2651</v>
      </c>
      <c r="C418" s="22" t="s">
        <v>60</v>
      </c>
      <c r="D418" s="3">
        <v>45986</v>
      </c>
      <c r="E418" s="23">
        <v>0.70833333333333337</v>
      </c>
      <c r="F418" s="1" t="s">
        <v>1082</v>
      </c>
      <c r="G418" s="28">
        <v>40914</v>
      </c>
      <c r="H418" s="1" t="str">
        <f t="shared" si="32"/>
        <v>13 г. 10 мес. 19 дн.</v>
      </c>
      <c r="I418" s="1" t="s">
        <v>39</v>
      </c>
      <c r="K418" s="6" t="s">
        <v>1083</v>
      </c>
      <c r="L418" s="6" t="s">
        <v>305</v>
      </c>
      <c r="M418" s="6" t="s">
        <v>65</v>
      </c>
      <c r="N418" s="6"/>
      <c r="O418" s="1" t="s">
        <v>42</v>
      </c>
      <c r="P418" s="6"/>
      <c r="Q418" s="6"/>
      <c r="R418" s="6"/>
      <c r="S418" s="6" t="s">
        <v>83</v>
      </c>
      <c r="T418" s="28">
        <v>45991</v>
      </c>
      <c r="U418" s="23">
        <v>0.45833333333333331</v>
      </c>
      <c r="V418" s="1" t="str">
        <f t="shared" si="30"/>
        <v>0 г. 0 мес. 5 дн.</v>
      </c>
      <c r="W418" s="5"/>
    </row>
    <row r="419" spans="1:23" ht="34.5" customHeight="1" x14ac:dyDescent="0.25">
      <c r="A419" s="1">
        <f t="shared" si="31"/>
        <v>418</v>
      </c>
      <c r="B419" s="1">
        <v>118</v>
      </c>
      <c r="C419" s="2" t="s">
        <v>46</v>
      </c>
      <c r="D419" s="3">
        <v>45990</v>
      </c>
      <c r="E419" s="4">
        <v>0.80208333333333337</v>
      </c>
      <c r="F419" s="1" t="s">
        <v>1084</v>
      </c>
      <c r="G419" s="3">
        <v>45365</v>
      </c>
      <c r="H419" s="1" t="str">
        <f t="shared" si="32"/>
        <v>1 г. 8 мес. 15 дн.</v>
      </c>
      <c r="I419" s="1" t="s">
        <v>39</v>
      </c>
      <c r="K419" s="1" t="s">
        <v>1085</v>
      </c>
      <c r="L419" s="1" t="s">
        <v>1086</v>
      </c>
      <c r="M419" s="1" t="s">
        <v>50</v>
      </c>
      <c r="O419" s="1" t="s">
        <v>29</v>
      </c>
      <c r="S419" s="1" t="s">
        <v>46</v>
      </c>
      <c r="T419" s="3">
        <v>45992</v>
      </c>
      <c r="U419" s="4">
        <v>0.5</v>
      </c>
      <c r="V419" s="1" t="str">
        <f t="shared" si="30"/>
        <v>0 г. 0 мес. 2 дн.</v>
      </c>
      <c r="W419" s="5"/>
    </row>
    <row r="420" spans="1:23" ht="34.5" customHeight="1" x14ac:dyDescent="0.25">
      <c r="A420" s="1">
        <f t="shared" si="31"/>
        <v>419</v>
      </c>
      <c r="B420" s="1"/>
      <c r="C420" s="2" t="s">
        <v>60</v>
      </c>
      <c r="D420" s="3">
        <v>45991</v>
      </c>
      <c r="E420" s="4">
        <v>5.2083333333333336E-2</v>
      </c>
      <c r="F420" s="1" t="s">
        <v>1087</v>
      </c>
      <c r="G420" s="3">
        <v>45573</v>
      </c>
      <c r="H420" s="1" t="str">
        <f t="shared" si="32"/>
        <v>1 г. 1 мес. 22 дн.</v>
      </c>
      <c r="I420" s="1" t="s">
        <v>39</v>
      </c>
      <c r="K420" s="1" t="s">
        <v>137</v>
      </c>
      <c r="L420" s="1" t="s">
        <v>1088</v>
      </c>
      <c r="M420" s="1" t="s">
        <v>65</v>
      </c>
      <c r="O420" s="1" t="s">
        <v>29</v>
      </c>
      <c r="S420" s="1" t="s">
        <v>60</v>
      </c>
      <c r="T420" s="3">
        <v>45991</v>
      </c>
      <c r="U420" s="4">
        <v>0.5</v>
      </c>
      <c r="V420" s="1" t="str">
        <f t="shared" si="30"/>
        <v>0 г. 0 мес. 0 дн.</v>
      </c>
      <c r="W420" s="5"/>
    </row>
    <row r="421" spans="1:23" ht="34.5" customHeight="1" x14ac:dyDescent="0.25">
      <c r="A421" s="1">
        <f t="shared" si="31"/>
        <v>420</v>
      </c>
      <c r="B421" s="1">
        <v>2690</v>
      </c>
      <c r="C421" s="2" t="s">
        <v>60</v>
      </c>
      <c r="D421" s="3">
        <v>45991</v>
      </c>
      <c r="E421" s="4">
        <v>0.48958333333333331</v>
      </c>
      <c r="F421" s="1" t="s">
        <v>1089</v>
      </c>
      <c r="G421" s="3">
        <v>39966</v>
      </c>
      <c r="H421" s="1" t="str">
        <f t="shared" si="32"/>
        <v>16 г. 5 мес. 28 дн.</v>
      </c>
      <c r="I421" s="1" t="s">
        <v>39</v>
      </c>
      <c r="K421" s="1" t="s">
        <v>821</v>
      </c>
      <c r="L421" s="1" t="s">
        <v>1090</v>
      </c>
      <c r="M421" s="1" t="s">
        <v>87</v>
      </c>
      <c r="O421" s="1" t="s">
        <v>29</v>
      </c>
      <c r="S421" s="1" t="s">
        <v>46</v>
      </c>
      <c r="T421" s="3">
        <v>45992</v>
      </c>
      <c r="U421" s="4">
        <v>0.5</v>
      </c>
      <c r="V421" s="1" t="str">
        <f t="shared" si="30"/>
        <v>0 г. 0 мес. 1 дн.</v>
      </c>
      <c r="W421" s="5"/>
    </row>
    <row r="422" spans="1:23" ht="34.5" customHeight="1" x14ac:dyDescent="0.25">
      <c r="A422" s="1">
        <f t="shared" si="31"/>
        <v>421</v>
      </c>
      <c r="B422" s="1">
        <v>2692</v>
      </c>
      <c r="C422" s="2" t="s">
        <v>60</v>
      </c>
      <c r="D422" s="3">
        <v>45991</v>
      </c>
      <c r="E422" s="4">
        <v>0.62847222222222221</v>
      </c>
      <c r="F422" s="1" t="s">
        <v>1091</v>
      </c>
      <c r="G422" s="3">
        <v>45422</v>
      </c>
      <c r="H422" s="1" t="str">
        <f t="shared" si="32"/>
        <v>1 г. 6 мес. 20 дн.</v>
      </c>
      <c r="I422" s="1" t="s">
        <v>39</v>
      </c>
      <c r="K422" s="1" t="s">
        <v>137</v>
      </c>
      <c r="L422" s="1" t="s">
        <v>1092</v>
      </c>
      <c r="M422" s="1" t="s">
        <v>87</v>
      </c>
      <c r="O422" s="1" t="s">
        <v>29</v>
      </c>
      <c r="S422" s="1" t="s">
        <v>60</v>
      </c>
      <c r="T422" s="3">
        <v>45992</v>
      </c>
      <c r="U422" s="4">
        <v>0.45833333333333331</v>
      </c>
      <c r="V422" s="1" t="str">
        <f t="shared" si="30"/>
        <v>0 г. 0 мес. 1 дн.</v>
      </c>
      <c r="W422" s="5"/>
    </row>
    <row r="423" spans="1:23" ht="34.5" customHeight="1" x14ac:dyDescent="0.25">
      <c r="A423" s="1">
        <f t="shared" si="31"/>
        <v>422</v>
      </c>
      <c r="B423" s="1">
        <v>2694</v>
      </c>
      <c r="C423" s="2" t="s">
        <v>60</v>
      </c>
      <c r="D423" s="3">
        <v>45991</v>
      </c>
      <c r="E423" s="4">
        <v>0.79861111111111116</v>
      </c>
      <c r="F423" s="1" t="s">
        <v>1094</v>
      </c>
      <c r="G423" s="3">
        <v>39563</v>
      </c>
      <c r="H423" s="1" t="str">
        <f t="shared" si="32"/>
        <v>17 г. 7 мес. 5 дн.</v>
      </c>
      <c r="I423" s="1" t="s">
        <v>39</v>
      </c>
      <c r="K423" s="1" t="s">
        <v>137</v>
      </c>
      <c r="L423" s="1" t="s">
        <v>1093</v>
      </c>
      <c r="M423" s="1" t="s">
        <v>181</v>
      </c>
      <c r="O423" s="1" t="s">
        <v>29</v>
      </c>
      <c r="S423" s="1" t="s">
        <v>83</v>
      </c>
      <c r="T423" s="3">
        <v>45994</v>
      </c>
      <c r="U423" s="4">
        <v>0.70833333333333337</v>
      </c>
      <c r="V423" s="1" t="str">
        <f t="shared" si="30"/>
        <v>0 г. 0 мес. 3 дн.</v>
      </c>
      <c r="W423" s="5"/>
    </row>
    <row r="424" spans="1:23" ht="34.5" customHeight="1" x14ac:dyDescent="0.25">
      <c r="A424" s="1">
        <f t="shared" si="31"/>
        <v>423</v>
      </c>
      <c r="B424" s="1">
        <v>121</v>
      </c>
      <c r="C424" s="2" t="s">
        <v>46</v>
      </c>
      <c r="D424" s="3">
        <v>45993</v>
      </c>
      <c r="E424" s="4">
        <v>0.86805555555555547</v>
      </c>
      <c r="F424" s="1" t="s">
        <v>1095</v>
      </c>
      <c r="G424" s="3">
        <v>40288</v>
      </c>
      <c r="H424" s="1" t="str">
        <f t="shared" si="32"/>
        <v>15 г. 7 мес. 12 дн.</v>
      </c>
      <c r="I424" s="1" t="s">
        <v>39</v>
      </c>
      <c r="K424" s="1" t="s">
        <v>137</v>
      </c>
      <c r="L424" s="1" t="s">
        <v>1096</v>
      </c>
      <c r="M424" s="1" t="s">
        <v>135</v>
      </c>
      <c r="O424" s="1" t="s">
        <v>29</v>
      </c>
      <c r="S424" s="1" t="s">
        <v>60</v>
      </c>
      <c r="T424" s="3">
        <v>45998</v>
      </c>
      <c r="U424" s="4">
        <v>0.45833333333333331</v>
      </c>
      <c r="V424" s="1" t="str">
        <f t="shared" si="30"/>
        <v>0 г. 0 мес. 5 дн.</v>
      </c>
      <c r="W424" s="5"/>
    </row>
    <row r="425" spans="1:23" ht="34.5" customHeight="1" x14ac:dyDescent="0.25">
      <c r="A425" s="1">
        <f t="shared" si="31"/>
        <v>424</v>
      </c>
      <c r="B425" s="1">
        <v>123</v>
      </c>
      <c r="C425" s="2" t="s">
        <v>46</v>
      </c>
      <c r="D425" s="3">
        <v>45994</v>
      </c>
      <c r="E425" s="4">
        <v>0.45833333333333331</v>
      </c>
      <c r="F425" s="1" t="s">
        <v>1097</v>
      </c>
      <c r="G425" s="3">
        <v>40286</v>
      </c>
      <c r="H425" s="1" t="str">
        <f t="shared" si="32"/>
        <v>15 г. 7 мес. 15 дн.</v>
      </c>
      <c r="I425" s="1" t="s">
        <v>39</v>
      </c>
      <c r="K425" s="1" t="s">
        <v>287</v>
      </c>
      <c r="L425" s="1" t="s">
        <v>1098</v>
      </c>
      <c r="M425" s="1" t="s">
        <v>50</v>
      </c>
      <c r="O425" s="1" t="s">
        <v>29</v>
      </c>
      <c r="S425" s="1" t="s">
        <v>46</v>
      </c>
      <c r="T425" s="3">
        <v>45996</v>
      </c>
      <c r="U425" s="4">
        <v>0.5</v>
      </c>
      <c r="V425" s="1" t="str">
        <f t="shared" si="30"/>
        <v>0 г. 0 мес. 2 дн.</v>
      </c>
      <c r="W425" s="5"/>
    </row>
    <row r="426" spans="1:23" ht="34.5" customHeight="1" x14ac:dyDescent="0.25">
      <c r="A426" s="1">
        <f t="shared" si="31"/>
        <v>425</v>
      </c>
      <c r="B426" s="1">
        <v>2569</v>
      </c>
      <c r="C426" s="2" t="s">
        <v>60</v>
      </c>
      <c r="D426" s="3">
        <v>45994</v>
      </c>
      <c r="E426" s="4">
        <v>0.62152777777777779</v>
      </c>
      <c r="F426" s="1" t="s">
        <v>1099</v>
      </c>
      <c r="G426" s="3">
        <v>45149</v>
      </c>
      <c r="H426" s="1" t="str">
        <f t="shared" si="32"/>
        <v>2 г. 3 мес. 22 дн.</v>
      </c>
      <c r="I426" s="1" t="s">
        <v>62</v>
      </c>
      <c r="K426" s="1" t="s">
        <v>137</v>
      </c>
      <c r="L426" s="1" t="s">
        <v>1100</v>
      </c>
      <c r="M426" s="1" t="s">
        <v>87</v>
      </c>
      <c r="O426" s="1" t="s">
        <v>42</v>
      </c>
      <c r="P426" s="1" t="s">
        <v>101</v>
      </c>
      <c r="T426" s="3"/>
      <c r="U426" s="4"/>
      <c r="V426" s="1" t="e">
        <f t="shared" si="30"/>
        <v>#NUM!</v>
      </c>
      <c r="W426" s="5"/>
    </row>
    <row r="427" spans="1:23" ht="34.5" customHeight="1" x14ac:dyDescent="0.25">
      <c r="A427" s="1">
        <f t="shared" si="31"/>
        <v>426</v>
      </c>
      <c r="B427" s="1">
        <v>16</v>
      </c>
      <c r="C427" s="2" t="s">
        <v>96</v>
      </c>
      <c r="D427" s="3">
        <v>45996</v>
      </c>
      <c r="E427" s="4">
        <v>0.5625</v>
      </c>
      <c r="F427" s="1" t="s">
        <v>956</v>
      </c>
      <c r="G427" s="3">
        <v>41302</v>
      </c>
      <c r="H427" s="1" t="str">
        <f t="shared" si="32"/>
        <v>12 г. 10 мес. 7 дн.</v>
      </c>
      <c r="I427" s="1" t="s">
        <v>62</v>
      </c>
      <c r="K427" s="1" t="s">
        <v>1101</v>
      </c>
      <c r="L427" s="1" t="s">
        <v>1102</v>
      </c>
      <c r="M427" s="1" t="s">
        <v>100</v>
      </c>
      <c r="O427" s="1" t="s">
        <v>42</v>
      </c>
      <c r="P427" s="1" t="s">
        <v>101</v>
      </c>
      <c r="S427" s="1" t="s">
        <v>96</v>
      </c>
      <c r="T427" s="3">
        <v>45997</v>
      </c>
      <c r="U427" s="4">
        <v>0.58333333333333337</v>
      </c>
      <c r="V427" s="1" t="str">
        <f t="shared" si="30"/>
        <v>0 г. 0 мес. 1 дн.</v>
      </c>
      <c r="W427" s="5"/>
    </row>
    <row r="428" spans="1:23" ht="34.5" customHeight="1" x14ac:dyDescent="0.25">
      <c r="A428" s="1">
        <f t="shared" si="31"/>
        <v>427</v>
      </c>
      <c r="B428" s="1">
        <v>2742</v>
      </c>
      <c r="C428" s="2" t="s">
        <v>60</v>
      </c>
      <c r="D428" s="3">
        <v>45997</v>
      </c>
      <c r="E428" s="4">
        <v>0.83333333333333337</v>
      </c>
      <c r="F428" s="1" t="s">
        <v>1103</v>
      </c>
      <c r="G428" s="3">
        <v>39910</v>
      </c>
      <c r="H428" s="1" t="str">
        <f t="shared" si="32"/>
        <v>16 г. 7 мес. 29 дн.</v>
      </c>
      <c r="I428" s="1" t="s">
        <v>39</v>
      </c>
      <c r="K428" s="1" t="s">
        <v>137</v>
      </c>
      <c r="L428" s="1" t="s">
        <v>1104</v>
      </c>
      <c r="M428" s="1" t="s">
        <v>50</v>
      </c>
      <c r="O428" s="1" t="s">
        <v>29</v>
      </c>
      <c r="S428" s="1" t="s">
        <v>60</v>
      </c>
      <c r="T428" s="3">
        <v>45998</v>
      </c>
      <c r="U428" s="4">
        <v>0.54166666666666663</v>
      </c>
      <c r="V428" s="1" t="str">
        <f t="shared" si="30"/>
        <v>0 г. 0 мес. 1 дн.</v>
      </c>
      <c r="W428" s="5"/>
    </row>
    <row r="429" spans="1:23" ht="34.5" customHeight="1" x14ac:dyDescent="0.25">
      <c r="A429" s="1">
        <f t="shared" si="31"/>
        <v>428</v>
      </c>
      <c r="B429" s="1">
        <v>663</v>
      </c>
      <c r="C429" s="2" t="s">
        <v>32</v>
      </c>
      <c r="D429" s="3">
        <v>45998</v>
      </c>
      <c r="E429" s="4">
        <v>9.0277777777777776E-2</v>
      </c>
      <c r="F429" s="1" t="s">
        <v>1105</v>
      </c>
      <c r="G429" s="3">
        <v>45890</v>
      </c>
      <c r="H429" s="1" t="str">
        <f t="shared" si="32"/>
        <v>0 г. 3 мес. 16 дн.</v>
      </c>
      <c r="I429" s="1" t="s">
        <v>39</v>
      </c>
      <c r="K429" s="1" t="s">
        <v>137</v>
      </c>
      <c r="L429" s="1" t="s">
        <v>1106</v>
      </c>
      <c r="M429" s="1" t="s">
        <v>73</v>
      </c>
      <c r="O429" s="1" t="s">
        <v>29</v>
      </c>
      <c r="S429" s="1" t="s">
        <v>32</v>
      </c>
      <c r="T429" s="3">
        <v>45999</v>
      </c>
      <c r="U429" s="4">
        <v>0.45833333333333331</v>
      </c>
      <c r="V429" s="1" t="str">
        <f t="shared" si="30"/>
        <v>0 г. 0 мес. 1 дн.</v>
      </c>
      <c r="W429" s="5"/>
    </row>
    <row r="430" spans="1:23" ht="34.5" customHeight="1" x14ac:dyDescent="0.25">
      <c r="A430" s="1">
        <f t="shared" si="31"/>
        <v>429</v>
      </c>
      <c r="B430" s="1">
        <v>2741</v>
      </c>
      <c r="C430" s="2" t="s">
        <v>60</v>
      </c>
      <c r="D430" s="3">
        <v>45998</v>
      </c>
      <c r="E430" s="4">
        <v>0.66666666666666663</v>
      </c>
      <c r="F430" s="1" t="s">
        <v>1107</v>
      </c>
      <c r="G430" s="3">
        <v>45371</v>
      </c>
      <c r="H430" s="1" t="str">
        <f t="shared" si="32"/>
        <v>1 г. 8 мес. 17 дн.</v>
      </c>
      <c r="I430" s="1" t="s">
        <v>70</v>
      </c>
      <c r="K430" s="1" t="s">
        <v>137</v>
      </c>
      <c r="L430" s="1" t="s">
        <v>1108</v>
      </c>
      <c r="M430" s="1" t="s">
        <v>87</v>
      </c>
      <c r="O430" s="1" t="s">
        <v>29</v>
      </c>
      <c r="S430" s="1" t="s">
        <v>60</v>
      </c>
      <c r="T430" s="3">
        <v>45999</v>
      </c>
      <c r="U430" s="4">
        <v>0.41666666666666669</v>
      </c>
      <c r="V430" s="1" t="str">
        <f t="shared" si="30"/>
        <v>0 г. 0 мес. 1 дн.</v>
      </c>
      <c r="W430" s="5"/>
    </row>
    <row r="431" spans="1:23" ht="34.5" customHeight="1" x14ac:dyDescent="0.25">
      <c r="A431" s="1">
        <f t="shared" si="31"/>
        <v>430</v>
      </c>
      <c r="B431" s="6">
        <v>125</v>
      </c>
      <c r="C431" s="22" t="s">
        <v>46</v>
      </c>
      <c r="D431" s="3">
        <v>45999</v>
      </c>
      <c r="E431" s="23">
        <v>8.6805555555555566E-2</v>
      </c>
      <c r="F431" s="6" t="s">
        <v>1109</v>
      </c>
      <c r="G431" s="28">
        <v>40633</v>
      </c>
      <c r="H431" s="1" t="str">
        <f t="shared" si="32"/>
        <v>14 г. 8 мес. 7 дн.</v>
      </c>
      <c r="I431" s="1" t="s">
        <v>39</v>
      </c>
      <c r="K431" s="6" t="s">
        <v>107</v>
      </c>
      <c r="L431" s="6" t="s">
        <v>1110</v>
      </c>
      <c r="M431" s="6" t="s">
        <v>50</v>
      </c>
      <c r="N431" s="6"/>
      <c r="O431" s="1" t="s">
        <v>29</v>
      </c>
      <c r="P431" s="6"/>
      <c r="Q431" s="6"/>
      <c r="R431" s="6"/>
      <c r="S431" s="6" t="s">
        <v>83</v>
      </c>
      <c r="T431" s="28">
        <v>45999</v>
      </c>
      <c r="U431" s="23">
        <v>0.52777777777777779</v>
      </c>
      <c r="V431" s="1" t="str">
        <f t="shared" si="30"/>
        <v>0 г. 0 мес. 0 дн.</v>
      </c>
      <c r="W431" s="5"/>
    </row>
    <row r="432" spans="1:23" ht="34.5" customHeight="1" x14ac:dyDescent="0.25">
      <c r="A432" s="1">
        <f t="shared" si="31"/>
        <v>431</v>
      </c>
      <c r="B432" s="1">
        <v>130</v>
      </c>
      <c r="C432" s="2" t="s">
        <v>46</v>
      </c>
      <c r="D432" s="3">
        <v>45999</v>
      </c>
      <c r="E432" s="4">
        <v>0.72916666666666663</v>
      </c>
      <c r="F432" s="1" t="s">
        <v>1111</v>
      </c>
      <c r="G432" s="3">
        <v>45289</v>
      </c>
      <c r="H432" s="1" t="str">
        <f t="shared" si="32"/>
        <v>1 г. 11 мес. 9 дн.</v>
      </c>
      <c r="I432" s="1" t="s">
        <v>39</v>
      </c>
      <c r="K432" s="1" t="s">
        <v>1112</v>
      </c>
      <c r="L432" s="1" t="s">
        <v>142</v>
      </c>
      <c r="M432" s="1" t="s">
        <v>50</v>
      </c>
      <c r="O432" s="1" t="s">
        <v>29</v>
      </c>
      <c r="T432" s="3"/>
      <c r="U432" s="4"/>
      <c r="V432" s="1" t="e">
        <f t="shared" si="30"/>
        <v>#NUM!</v>
      </c>
      <c r="W432" s="5"/>
    </row>
    <row r="433" spans="1:23" ht="34.5" customHeight="1" x14ac:dyDescent="0.25">
      <c r="A433" s="1">
        <f t="shared" si="31"/>
        <v>432</v>
      </c>
      <c r="B433" s="1"/>
      <c r="C433" s="2" t="s">
        <v>278</v>
      </c>
      <c r="D433" s="3">
        <v>45999</v>
      </c>
      <c r="E433" s="4">
        <v>0.3125</v>
      </c>
      <c r="F433" s="1" t="s">
        <v>1113</v>
      </c>
      <c r="G433" s="3">
        <v>45997</v>
      </c>
      <c r="H433" s="1" t="str">
        <f t="shared" si="32"/>
        <v>0 г. 0 мес. 2 дн.</v>
      </c>
      <c r="I433" s="1" t="s">
        <v>350</v>
      </c>
      <c r="L433" s="1" t="s">
        <v>1114</v>
      </c>
      <c r="M433" s="1" t="s">
        <v>28</v>
      </c>
      <c r="O433" s="1" t="s">
        <v>29</v>
      </c>
      <c r="T433" s="3"/>
      <c r="U433" s="4"/>
      <c r="V433" s="1" t="e">
        <f t="shared" ref="V433:V496" si="33">DATEDIF(D433,T433,"y") &amp; " г. " &amp; DATEDIF(D433,T433,"ym") &amp; " мес. " &amp; DATEDIF(D433,T433,"md") &amp; " дн."</f>
        <v>#NUM!</v>
      </c>
      <c r="W433" s="5"/>
    </row>
    <row r="434" spans="1:23" ht="34.5" customHeight="1" x14ac:dyDescent="0.25">
      <c r="A434" s="1">
        <f t="shared" si="31"/>
        <v>433</v>
      </c>
      <c r="B434" s="1">
        <v>1631</v>
      </c>
      <c r="C434" s="2" t="s">
        <v>96</v>
      </c>
      <c r="D434" s="3">
        <v>46001</v>
      </c>
      <c r="E434" s="4">
        <v>0.61111111111111105</v>
      </c>
      <c r="F434" s="1" t="s">
        <v>1115</v>
      </c>
      <c r="G434" s="3">
        <v>39677</v>
      </c>
      <c r="H434" s="1" t="str">
        <f t="shared" si="32"/>
        <v>17 г. 3 мес. 23 дн.</v>
      </c>
      <c r="I434" s="1" t="s">
        <v>62</v>
      </c>
      <c r="K434" s="1" t="s">
        <v>137</v>
      </c>
      <c r="L434" s="1" t="s">
        <v>1116</v>
      </c>
      <c r="M434" s="1" t="s">
        <v>100</v>
      </c>
      <c r="O434" s="1" t="s">
        <v>29</v>
      </c>
      <c r="T434" s="3"/>
      <c r="U434" s="4"/>
      <c r="V434" s="1" t="e">
        <f t="shared" si="33"/>
        <v>#NUM!</v>
      </c>
      <c r="W434" s="5"/>
    </row>
    <row r="435" spans="1:23" ht="34.5" customHeight="1" x14ac:dyDescent="0.25">
      <c r="A435" s="1">
        <f t="shared" si="31"/>
        <v>434</v>
      </c>
      <c r="B435" s="1">
        <v>1412</v>
      </c>
      <c r="C435" s="2" t="s">
        <v>23</v>
      </c>
      <c r="D435" s="3">
        <v>46001</v>
      </c>
      <c r="E435" s="4">
        <v>0.61805555555555558</v>
      </c>
      <c r="F435" s="1" t="s">
        <v>1117</v>
      </c>
      <c r="G435" s="3">
        <v>41052</v>
      </c>
      <c r="H435" s="1" t="str">
        <f t="shared" si="32"/>
        <v>13 г. 6 мес. 17 дн.</v>
      </c>
      <c r="I435" s="1" t="s">
        <v>39</v>
      </c>
      <c r="K435" s="1" t="s">
        <v>137</v>
      </c>
      <c r="L435" s="1" t="s">
        <v>1118</v>
      </c>
      <c r="M435" s="1" t="s">
        <v>28</v>
      </c>
      <c r="O435" s="1" t="s">
        <v>42</v>
      </c>
      <c r="T435" s="3"/>
      <c r="U435" s="4"/>
      <c r="V435" s="1" t="e">
        <f t="shared" si="33"/>
        <v>#NUM!</v>
      </c>
      <c r="W435" s="5"/>
    </row>
    <row r="436" spans="1:23" ht="34.5" customHeight="1" x14ac:dyDescent="0.25">
      <c r="A436" s="1">
        <f t="shared" si="31"/>
        <v>435</v>
      </c>
      <c r="B436" s="1">
        <v>144</v>
      </c>
      <c r="C436" s="2" t="s">
        <v>46</v>
      </c>
      <c r="D436" s="3">
        <v>46004</v>
      </c>
      <c r="E436" s="4">
        <v>0.82291666666666663</v>
      </c>
      <c r="F436" s="1" t="s">
        <v>1119</v>
      </c>
      <c r="G436" s="3">
        <v>39831</v>
      </c>
      <c r="H436" s="1" t="str">
        <f t="shared" si="32"/>
        <v>16 г. 10 мес. 25 дн.</v>
      </c>
      <c r="I436" s="1" t="s">
        <v>39</v>
      </c>
      <c r="K436" s="1" t="s">
        <v>137</v>
      </c>
      <c r="L436" s="1" t="s">
        <v>1120</v>
      </c>
      <c r="M436" s="1" t="s">
        <v>50</v>
      </c>
      <c r="O436" s="1" t="s">
        <v>29</v>
      </c>
      <c r="T436" s="3"/>
      <c r="U436" s="4"/>
      <c r="V436" s="1" t="e">
        <f t="shared" si="33"/>
        <v>#NUM!</v>
      </c>
      <c r="W436" s="5"/>
    </row>
    <row r="437" spans="1:23" s="15" customFormat="1" ht="34.5" customHeight="1" x14ac:dyDescent="0.25">
      <c r="A437" s="12">
        <v>436</v>
      </c>
      <c r="B437" s="12">
        <v>670</v>
      </c>
      <c r="C437" s="89" t="s">
        <v>32</v>
      </c>
      <c r="D437" s="14">
        <v>46004</v>
      </c>
      <c r="E437" s="13">
        <v>0.47222222222222227</v>
      </c>
      <c r="F437" s="42" t="s">
        <v>1122</v>
      </c>
      <c r="G437" s="14">
        <v>41054</v>
      </c>
      <c r="H437" s="15" t="e">
        <f ca="1">J441РАЗНДАТ(G437,D437,"y") &amp; " г. " &amp; DATEDIF(G437,D437,"ym") &amp; " мес. " &amp; DATEDIF(G437,D437,"md") &amp; " дн."</f>
        <v>#NAME?</v>
      </c>
      <c r="I437" s="1" t="s">
        <v>39</v>
      </c>
      <c r="J437" s="42"/>
      <c r="K437" s="12" t="s">
        <v>287</v>
      </c>
      <c r="L437" s="12" t="s">
        <v>1123</v>
      </c>
      <c r="M437" s="12" t="s">
        <v>215</v>
      </c>
      <c r="N437" s="42"/>
      <c r="O437" s="12" t="s">
        <v>29</v>
      </c>
      <c r="P437" s="42"/>
      <c r="Q437" s="42"/>
      <c r="R437" s="42"/>
      <c r="S437" s="12" t="s">
        <v>32</v>
      </c>
      <c r="T437" s="54">
        <v>46004</v>
      </c>
      <c r="U437" s="55">
        <v>0.62013888888888891</v>
      </c>
      <c r="V437" s="12" t="str">
        <f t="shared" si="33"/>
        <v>0 г. 0 мес. 0 дн.</v>
      </c>
      <c r="W437" s="46"/>
    </row>
    <row r="438" spans="1:23" ht="34.5" customHeight="1" x14ac:dyDescent="0.25">
      <c r="A438" s="1">
        <f t="shared" si="31"/>
        <v>437</v>
      </c>
      <c r="B438" s="1">
        <v>2831</v>
      </c>
      <c r="C438" s="2" t="s">
        <v>60</v>
      </c>
      <c r="D438" s="3">
        <v>46007</v>
      </c>
      <c r="E438" s="4">
        <v>0.83333333333333337</v>
      </c>
      <c r="F438" s="1" t="s">
        <v>1053</v>
      </c>
      <c r="G438" s="3">
        <v>45822</v>
      </c>
      <c r="H438" s="1" t="str">
        <f t="shared" si="32"/>
        <v>0 г. 6 мес. 2 дн.</v>
      </c>
      <c r="I438" s="1" t="s">
        <v>62</v>
      </c>
      <c r="K438" s="1" t="s">
        <v>735</v>
      </c>
      <c r="L438" s="1" t="s">
        <v>794</v>
      </c>
      <c r="M438" s="1" t="s">
        <v>87</v>
      </c>
      <c r="O438" s="1" t="s">
        <v>42</v>
      </c>
      <c r="S438" s="1" t="s">
        <v>60</v>
      </c>
      <c r="T438" s="3">
        <v>46008</v>
      </c>
      <c r="U438" s="4">
        <v>0.58333333333333337</v>
      </c>
      <c r="V438" s="1" t="str">
        <f t="shared" si="33"/>
        <v>0 г. 0 мес. 1 дн.</v>
      </c>
      <c r="W438" s="5"/>
    </row>
    <row r="439" spans="1:23" ht="34.5" customHeight="1" x14ac:dyDescent="0.25">
      <c r="A439" s="1">
        <f t="shared" si="31"/>
        <v>438</v>
      </c>
      <c r="B439" s="1">
        <v>151</v>
      </c>
      <c r="C439" s="2" t="s">
        <v>46</v>
      </c>
      <c r="D439" s="3">
        <v>46008</v>
      </c>
      <c r="E439" s="4">
        <v>0.44444444444444442</v>
      </c>
      <c r="F439" s="1" t="s">
        <v>1124</v>
      </c>
      <c r="G439" s="3">
        <v>45897</v>
      </c>
      <c r="H439" s="1" t="str">
        <f t="shared" si="32"/>
        <v>0 г. 3 мес. 19 дн.</v>
      </c>
      <c r="I439" s="1" t="s">
        <v>39</v>
      </c>
      <c r="K439" s="1" t="s">
        <v>107</v>
      </c>
      <c r="L439" s="1" t="s">
        <v>1125</v>
      </c>
      <c r="M439" s="1" t="s">
        <v>50</v>
      </c>
      <c r="O439" s="1" t="s">
        <v>29</v>
      </c>
      <c r="T439" s="3"/>
      <c r="U439" s="23"/>
      <c r="V439" s="1" t="e">
        <f t="shared" si="33"/>
        <v>#NUM!</v>
      </c>
      <c r="W439" s="5"/>
    </row>
    <row r="440" spans="1:23" ht="34.5" customHeight="1" x14ac:dyDescent="0.25">
      <c r="A440" s="1">
        <f t="shared" si="31"/>
        <v>439</v>
      </c>
      <c r="B440" s="6"/>
      <c r="C440" s="22" t="s">
        <v>60</v>
      </c>
      <c r="D440" s="3">
        <v>46008</v>
      </c>
      <c r="E440" s="23">
        <v>0.99652777777777779</v>
      </c>
      <c r="F440" s="6" t="s">
        <v>392</v>
      </c>
      <c r="G440" s="28"/>
      <c r="H440" s="1" t="str">
        <f t="shared" si="32"/>
        <v>125 г. 11 мес. 17 дн.</v>
      </c>
      <c r="I440" s="1" t="s">
        <v>62</v>
      </c>
      <c r="K440" s="6"/>
      <c r="L440" s="6" t="s">
        <v>462</v>
      </c>
      <c r="M440" s="6" t="s">
        <v>87</v>
      </c>
      <c r="N440" s="6"/>
      <c r="O440" s="1" t="s">
        <v>42</v>
      </c>
      <c r="P440" s="6"/>
      <c r="Q440" s="6"/>
      <c r="R440" s="6"/>
      <c r="T440" s="28"/>
      <c r="U440" s="23"/>
      <c r="V440" s="1" t="e">
        <f t="shared" si="33"/>
        <v>#NUM!</v>
      </c>
      <c r="W440" s="5"/>
    </row>
    <row r="441" spans="1:23" ht="34.5" customHeight="1" x14ac:dyDescent="0.25">
      <c r="A441" s="1">
        <f t="shared" si="31"/>
        <v>440</v>
      </c>
      <c r="B441" s="1"/>
      <c r="C441" s="2"/>
      <c r="E441" s="4"/>
      <c r="G441" s="3"/>
      <c r="H441" s="1" t="str">
        <f t="shared" si="32"/>
        <v>0 г. 0 мес. 0 дн.</v>
      </c>
      <c r="T441" s="3"/>
      <c r="U441" s="4"/>
      <c r="V441" s="1" t="str">
        <f t="shared" si="33"/>
        <v>0 г. 0 мес. 0 дн.</v>
      </c>
      <c r="W441" s="5"/>
    </row>
    <row r="442" spans="1:23" ht="34.5" customHeight="1" x14ac:dyDescent="0.25">
      <c r="A442" s="1">
        <f t="shared" si="31"/>
        <v>441</v>
      </c>
      <c r="B442" s="1"/>
      <c r="C442" s="2"/>
      <c r="E442" s="4"/>
      <c r="G442" s="3"/>
      <c r="H442" s="1" t="str">
        <f t="shared" si="32"/>
        <v>0 г. 0 мес. 0 дн.</v>
      </c>
      <c r="T442" s="3"/>
      <c r="U442" s="4"/>
      <c r="V442" s="1" t="str">
        <f t="shared" si="33"/>
        <v>0 г. 0 мес. 0 дн.</v>
      </c>
      <c r="W442" s="5"/>
    </row>
    <row r="443" spans="1:23" ht="34.5" customHeight="1" x14ac:dyDescent="0.25">
      <c r="A443" s="1">
        <f t="shared" si="31"/>
        <v>442</v>
      </c>
      <c r="B443" s="1"/>
      <c r="C443" s="2"/>
      <c r="E443" s="4"/>
      <c r="G443" s="3"/>
      <c r="H443" s="1" t="str">
        <f t="shared" si="32"/>
        <v>0 г. 0 мес. 0 дн.</v>
      </c>
      <c r="T443" s="3"/>
      <c r="U443" s="4"/>
      <c r="V443" s="1" t="str">
        <f t="shared" si="33"/>
        <v>0 г. 0 мес. 0 дн.</v>
      </c>
      <c r="W443" s="5"/>
    </row>
    <row r="444" spans="1:23" ht="34.5" customHeight="1" x14ac:dyDescent="0.25">
      <c r="A444" s="1">
        <f t="shared" si="31"/>
        <v>443</v>
      </c>
      <c r="B444" s="1"/>
      <c r="C444" s="2"/>
      <c r="E444" s="4"/>
      <c r="G444" s="3"/>
      <c r="H444" s="1" t="str">
        <f t="shared" si="32"/>
        <v>0 г. 0 мес. 0 дн.</v>
      </c>
      <c r="T444" s="3"/>
      <c r="U444" s="4"/>
      <c r="V444" s="1" t="str">
        <f t="shared" si="33"/>
        <v>0 г. 0 мес. 0 дн.</v>
      </c>
      <c r="W444" s="5"/>
    </row>
    <row r="445" spans="1:23" ht="34.5" customHeight="1" x14ac:dyDescent="0.25">
      <c r="A445" s="1">
        <f t="shared" si="31"/>
        <v>444</v>
      </c>
      <c r="B445" s="1"/>
      <c r="C445" s="2"/>
      <c r="E445" s="4"/>
      <c r="G445" s="3"/>
      <c r="H445" s="1" t="str">
        <f t="shared" si="32"/>
        <v>0 г. 0 мес. 0 дн.</v>
      </c>
      <c r="T445" s="3"/>
      <c r="U445" s="4"/>
      <c r="V445" s="1" t="str">
        <f t="shared" si="33"/>
        <v>0 г. 0 мес. 0 дн.</v>
      </c>
      <c r="W445" s="5"/>
    </row>
    <row r="446" spans="1:23" ht="34.5" customHeight="1" x14ac:dyDescent="0.25">
      <c r="A446" s="1">
        <f t="shared" si="31"/>
        <v>445</v>
      </c>
      <c r="B446" s="1"/>
      <c r="C446" s="2"/>
      <c r="E446" s="4"/>
      <c r="G446" s="3"/>
      <c r="H446" s="1" t="str">
        <f t="shared" si="32"/>
        <v>0 г. 0 мес. 0 дн.</v>
      </c>
      <c r="T446" s="3"/>
      <c r="U446" s="4"/>
      <c r="V446" s="1" t="str">
        <f t="shared" si="33"/>
        <v>0 г. 0 мес. 0 дн.</v>
      </c>
      <c r="W446" s="5"/>
    </row>
    <row r="447" spans="1:23" ht="34.5" customHeight="1" x14ac:dyDescent="0.25">
      <c r="A447" s="1">
        <f t="shared" si="31"/>
        <v>446</v>
      </c>
      <c r="B447" s="1"/>
      <c r="C447" s="2"/>
      <c r="E447" s="4"/>
      <c r="G447" s="3"/>
      <c r="H447" s="1" t="str">
        <f t="shared" si="32"/>
        <v>0 г. 0 мес. 0 дн.</v>
      </c>
      <c r="T447" s="3"/>
      <c r="U447" s="4"/>
      <c r="V447" s="1" t="str">
        <f t="shared" si="33"/>
        <v>0 г. 0 мес. 0 дн.</v>
      </c>
      <c r="W447" s="5"/>
    </row>
    <row r="448" spans="1:23" ht="34.5" customHeight="1" x14ac:dyDescent="0.25">
      <c r="A448" s="1">
        <f t="shared" ref="A448:A511" si="34">ROW(A447)</f>
        <v>447</v>
      </c>
      <c r="B448" s="1"/>
      <c r="C448" s="2"/>
      <c r="E448" s="4"/>
      <c r="G448" s="3"/>
      <c r="H448" s="1" t="str">
        <f t="shared" si="32"/>
        <v>0 г. 0 мес. 0 дн.</v>
      </c>
      <c r="T448" s="3"/>
      <c r="U448" s="4"/>
      <c r="V448" s="1" t="str">
        <f t="shared" si="33"/>
        <v>0 г. 0 мес. 0 дн.</v>
      </c>
      <c r="W448" s="5"/>
    </row>
    <row r="449" spans="1:23" ht="34.5" customHeight="1" x14ac:dyDescent="0.25">
      <c r="A449" s="1">
        <f t="shared" si="34"/>
        <v>448</v>
      </c>
      <c r="B449" s="1"/>
      <c r="C449" s="2"/>
      <c r="E449" s="4"/>
      <c r="G449" s="3"/>
      <c r="H449" s="1" t="str">
        <f t="shared" si="32"/>
        <v>0 г. 0 мес. 0 дн.</v>
      </c>
      <c r="T449" s="3"/>
      <c r="U449" s="4"/>
      <c r="V449" s="1" t="str">
        <f t="shared" si="33"/>
        <v>0 г. 0 мес. 0 дн.</v>
      </c>
      <c r="W449" s="5"/>
    </row>
    <row r="450" spans="1:23" ht="34.5" customHeight="1" x14ac:dyDescent="0.25">
      <c r="A450" s="1">
        <f t="shared" si="34"/>
        <v>449</v>
      </c>
      <c r="B450" s="1"/>
      <c r="C450" s="2"/>
      <c r="E450" s="4"/>
      <c r="G450" s="3"/>
      <c r="H450" s="1" t="str">
        <f t="shared" ref="H450:H513" si="35">DATEDIF(G450,D450,"y") &amp; " г. " &amp; DATEDIF(G450,D450,"ym") &amp; " мес. " &amp; DATEDIF(G450,D450,"md") &amp; " дн."</f>
        <v>0 г. 0 мес. 0 дн.</v>
      </c>
      <c r="T450" s="3"/>
      <c r="U450" s="4"/>
      <c r="V450" s="1" t="str">
        <f t="shared" si="33"/>
        <v>0 г. 0 мес. 0 дн.</v>
      </c>
      <c r="W450" s="5"/>
    </row>
    <row r="451" spans="1:23" ht="34.5" customHeight="1" x14ac:dyDescent="0.25">
      <c r="A451" s="1">
        <f t="shared" si="34"/>
        <v>450</v>
      </c>
      <c r="B451" s="1"/>
      <c r="C451" s="2"/>
      <c r="E451" s="4"/>
      <c r="G451" s="3"/>
      <c r="H451" s="1" t="str">
        <f t="shared" si="35"/>
        <v>0 г. 0 мес. 0 дн.</v>
      </c>
      <c r="T451" s="3"/>
      <c r="U451" s="4"/>
      <c r="V451" s="1" t="str">
        <f t="shared" si="33"/>
        <v>0 г. 0 мес. 0 дн.</v>
      </c>
      <c r="W451" s="5"/>
    </row>
    <row r="452" spans="1:23" ht="34.5" customHeight="1" x14ac:dyDescent="0.25">
      <c r="A452" s="1">
        <f t="shared" si="34"/>
        <v>451</v>
      </c>
      <c r="B452" s="1"/>
      <c r="C452" s="2"/>
      <c r="E452" s="4"/>
      <c r="G452" s="3"/>
      <c r="H452" s="1" t="str">
        <f t="shared" si="35"/>
        <v>0 г. 0 мес. 0 дн.</v>
      </c>
      <c r="T452" s="3"/>
      <c r="U452" s="4"/>
      <c r="V452" s="1" t="str">
        <f t="shared" si="33"/>
        <v>0 г. 0 мес. 0 дн.</v>
      </c>
      <c r="W452" s="5"/>
    </row>
    <row r="453" spans="1:23" ht="34.5" customHeight="1" x14ac:dyDescent="0.25">
      <c r="A453" s="1">
        <f t="shared" si="34"/>
        <v>452</v>
      </c>
      <c r="B453" s="1"/>
      <c r="C453" s="2"/>
      <c r="E453" s="4"/>
      <c r="G453" s="3"/>
      <c r="H453" s="1" t="str">
        <f t="shared" si="35"/>
        <v>0 г. 0 мес. 0 дн.</v>
      </c>
      <c r="T453" s="3"/>
      <c r="U453" s="4"/>
      <c r="V453" s="1" t="str">
        <f t="shared" si="33"/>
        <v>0 г. 0 мес. 0 дн.</v>
      </c>
      <c r="W453" s="5"/>
    </row>
    <row r="454" spans="1:23" ht="34.5" customHeight="1" x14ac:dyDescent="0.25">
      <c r="A454" s="1">
        <f t="shared" si="34"/>
        <v>453</v>
      </c>
      <c r="B454" s="1"/>
      <c r="C454" s="2"/>
      <c r="E454" s="4"/>
      <c r="G454" s="3"/>
      <c r="H454" s="1" t="str">
        <f t="shared" si="35"/>
        <v>0 г. 0 мес. 0 дн.</v>
      </c>
      <c r="T454" s="3"/>
      <c r="U454" s="4"/>
      <c r="V454" s="1" t="str">
        <f t="shared" si="33"/>
        <v>0 г. 0 мес. 0 дн.</v>
      </c>
      <c r="W454" s="5"/>
    </row>
    <row r="455" spans="1:23" ht="34.5" customHeight="1" x14ac:dyDescent="0.25">
      <c r="A455" s="1">
        <f t="shared" si="34"/>
        <v>454</v>
      </c>
      <c r="B455" s="1"/>
      <c r="C455" s="2"/>
      <c r="E455" s="4"/>
      <c r="G455" s="3"/>
      <c r="H455" s="1" t="str">
        <f t="shared" si="35"/>
        <v>0 г. 0 мес. 0 дн.</v>
      </c>
      <c r="T455" s="3"/>
      <c r="U455" s="4"/>
      <c r="V455" s="1" t="str">
        <f t="shared" si="33"/>
        <v>0 г. 0 мес. 0 дн.</v>
      </c>
      <c r="W455" s="5"/>
    </row>
    <row r="456" spans="1:23" ht="34.5" customHeight="1" x14ac:dyDescent="0.25">
      <c r="A456" s="1">
        <f t="shared" si="34"/>
        <v>455</v>
      </c>
      <c r="B456" s="1"/>
      <c r="C456" s="2"/>
      <c r="E456" s="4"/>
      <c r="G456" s="3"/>
      <c r="H456" s="1" t="str">
        <f t="shared" si="35"/>
        <v>0 г. 0 мес. 0 дн.</v>
      </c>
      <c r="T456" s="3"/>
      <c r="U456" s="4"/>
      <c r="V456" s="1" t="str">
        <f t="shared" si="33"/>
        <v>0 г. 0 мес. 0 дн.</v>
      </c>
      <c r="W456" s="5"/>
    </row>
    <row r="457" spans="1:23" ht="34.5" customHeight="1" x14ac:dyDescent="0.25">
      <c r="A457" s="1">
        <f t="shared" si="34"/>
        <v>456</v>
      </c>
      <c r="B457" s="1"/>
      <c r="C457" s="2"/>
      <c r="E457" s="4"/>
      <c r="G457" s="3"/>
      <c r="H457" s="1" t="str">
        <f t="shared" si="35"/>
        <v>0 г. 0 мес. 0 дн.</v>
      </c>
      <c r="T457" s="3"/>
      <c r="U457" s="4"/>
      <c r="V457" s="1" t="str">
        <f t="shared" si="33"/>
        <v>0 г. 0 мес. 0 дн.</v>
      </c>
      <c r="W457" s="5"/>
    </row>
    <row r="458" spans="1:23" ht="34.5" customHeight="1" x14ac:dyDescent="0.25">
      <c r="A458" s="1">
        <f t="shared" si="34"/>
        <v>457</v>
      </c>
      <c r="B458" s="1"/>
      <c r="C458" s="2"/>
      <c r="E458" s="4"/>
      <c r="G458" s="3"/>
      <c r="H458" s="1" t="str">
        <f t="shared" si="35"/>
        <v>0 г. 0 мес. 0 дн.</v>
      </c>
      <c r="T458" s="3"/>
      <c r="U458" s="4"/>
      <c r="V458" s="1" t="str">
        <f t="shared" si="33"/>
        <v>0 г. 0 мес. 0 дн.</v>
      </c>
      <c r="W458" s="5"/>
    </row>
    <row r="459" spans="1:23" ht="34.5" customHeight="1" x14ac:dyDescent="0.25">
      <c r="A459" s="1">
        <f t="shared" si="34"/>
        <v>458</v>
      </c>
      <c r="B459" s="1"/>
      <c r="C459" s="2"/>
      <c r="E459" s="4"/>
      <c r="G459" s="3"/>
      <c r="H459" s="1" t="str">
        <f t="shared" si="35"/>
        <v>0 г. 0 мес. 0 дн.</v>
      </c>
      <c r="T459" s="3"/>
      <c r="U459" s="4"/>
      <c r="V459" s="1" t="str">
        <f t="shared" si="33"/>
        <v>0 г. 0 мес. 0 дн.</v>
      </c>
      <c r="W459" s="5"/>
    </row>
    <row r="460" spans="1:23" ht="34.5" customHeight="1" x14ac:dyDescent="0.25">
      <c r="A460" s="1">
        <f t="shared" si="34"/>
        <v>459</v>
      </c>
      <c r="B460" s="1"/>
      <c r="C460" s="2"/>
      <c r="E460" s="4"/>
      <c r="G460" s="3"/>
      <c r="H460" s="1" t="str">
        <f t="shared" si="35"/>
        <v>0 г. 0 мес. 0 дн.</v>
      </c>
      <c r="T460" s="3"/>
      <c r="U460" s="4"/>
      <c r="V460" s="1" t="str">
        <f t="shared" si="33"/>
        <v>0 г. 0 мес. 0 дн.</v>
      </c>
      <c r="W460" s="5"/>
    </row>
    <row r="461" spans="1:23" ht="34.5" customHeight="1" x14ac:dyDescent="0.25">
      <c r="A461" s="1">
        <f t="shared" si="34"/>
        <v>460</v>
      </c>
      <c r="B461" s="1"/>
      <c r="C461" s="2"/>
      <c r="E461" s="4"/>
      <c r="G461" s="3"/>
      <c r="H461" s="1" t="str">
        <f t="shared" si="35"/>
        <v>0 г. 0 мес. 0 дн.</v>
      </c>
      <c r="T461" s="3"/>
      <c r="U461" s="4"/>
      <c r="V461" s="1" t="str">
        <f t="shared" si="33"/>
        <v>0 г. 0 мес. 0 дн.</v>
      </c>
      <c r="W461" s="5"/>
    </row>
    <row r="462" spans="1:23" ht="34.5" customHeight="1" x14ac:dyDescent="0.25">
      <c r="A462" s="1">
        <f t="shared" si="34"/>
        <v>461</v>
      </c>
      <c r="B462" s="1"/>
      <c r="C462" s="2"/>
      <c r="E462" s="4"/>
      <c r="G462" s="3"/>
      <c r="H462" s="1" t="str">
        <f t="shared" si="35"/>
        <v>0 г. 0 мес. 0 дн.</v>
      </c>
      <c r="T462" s="3"/>
      <c r="U462" s="4"/>
      <c r="V462" s="1" t="str">
        <f t="shared" si="33"/>
        <v>0 г. 0 мес. 0 дн.</v>
      </c>
      <c r="W462" s="5"/>
    </row>
    <row r="463" spans="1:23" ht="34.5" customHeight="1" x14ac:dyDescent="0.25">
      <c r="A463" s="1">
        <f t="shared" si="34"/>
        <v>462</v>
      </c>
      <c r="B463" s="1"/>
      <c r="C463" s="2"/>
      <c r="E463" s="4"/>
      <c r="G463" s="3"/>
      <c r="H463" s="1" t="str">
        <f t="shared" si="35"/>
        <v>0 г. 0 мес. 0 дн.</v>
      </c>
      <c r="T463" s="3"/>
      <c r="U463" s="4"/>
      <c r="V463" s="1" t="str">
        <f t="shared" si="33"/>
        <v>0 г. 0 мес. 0 дн.</v>
      </c>
      <c r="W463" s="5"/>
    </row>
    <row r="464" spans="1:23" ht="34.5" customHeight="1" x14ac:dyDescent="0.25">
      <c r="A464" s="1">
        <f t="shared" si="34"/>
        <v>463</v>
      </c>
      <c r="B464" s="1"/>
      <c r="C464" s="2"/>
      <c r="E464" s="4"/>
      <c r="G464" s="3"/>
      <c r="H464" s="1" t="str">
        <f t="shared" si="35"/>
        <v>0 г. 0 мес. 0 дн.</v>
      </c>
      <c r="T464" s="3"/>
      <c r="U464" s="4"/>
      <c r="V464" s="1" t="str">
        <f t="shared" si="33"/>
        <v>0 г. 0 мес. 0 дн.</v>
      </c>
      <c r="W464" s="5"/>
    </row>
    <row r="465" spans="1:23" ht="34.5" customHeight="1" x14ac:dyDescent="0.25">
      <c r="A465" s="1">
        <f t="shared" si="34"/>
        <v>464</v>
      </c>
      <c r="B465" s="1"/>
      <c r="C465" s="2"/>
      <c r="E465" s="4"/>
      <c r="G465" s="3"/>
      <c r="H465" s="1" t="str">
        <f t="shared" si="35"/>
        <v>0 г. 0 мес. 0 дн.</v>
      </c>
      <c r="N465" s="4"/>
      <c r="P465" s="4"/>
      <c r="Q465" s="4"/>
      <c r="R465" s="4"/>
      <c r="T465" s="3"/>
      <c r="U465" s="4"/>
      <c r="V465" s="1" t="str">
        <f t="shared" si="33"/>
        <v>0 г. 0 мес. 0 дн.</v>
      </c>
      <c r="W465" s="5"/>
    </row>
    <row r="466" spans="1:23" ht="34.5" customHeight="1" x14ac:dyDescent="0.25">
      <c r="A466" s="1">
        <f t="shared" si="34"/>
        <v>465</v>
      </c>
      <c r="B466" s="1"/>
      <c r="C466" s="2"/>
      <c r="E466" s="4"/>
      <c r="G466" s="3"/>
      <c r="H466" s="1" t="str">
        <f t="shared" si="35"/>
        <v>0 г. 0 мес. 0 дн.</v>
      </c>
      <c r="T466" s="3"/>
      <c r="U466" s="4"/>
      <c r="V466" s="1" t="str">
        <f t="shared" si="33"/>
        <v>0 г. 0 мес. 0 дн.</v>
      </c>
      <c r="W466" s="5"/>
    </row>
    <row r="467" spans="1:23" ht="34.5" customHeight="1" x14ac:dyDescent="0.25">
      <c r="A467" s="1">
        <f t="shared" si="34"/>
        <v>466</v>
      </c>
      <c r="B467" s="1"/>
      <c r="C467" s="2"/>
      <c r="E467" s="4"/>
      <c r="G467" s="3"/>
      <c r="H467" s="1" t="str">
        <f t="shared" si="35"/>
        <v>0 г. 0 мес. 0 дн.</v>
      </c>
      <c r="T467" s="3"/>
      <c r="U467" s="4"/>
      <c r="V467" s="1" t="str">
        <f t="shared" si="33"/>
        <v>0 г. 0 мес. 0 дн.</v>
      </c>
      <c r="W467" s="5"/>
    </row>
    <row r="468" spans="1:23" ht="34.5" customHeight="1" x14ac:dyDescent="0.25">
      <c r="A468" s="1">
        <f t="shared" si="34"/>
        <v>467</v>
      </c>
      <c r="B468" s="1"/>
      <c r="C468" s="2"/>
      <c r="E468" s="4"/>
      <c r="G468" s="3"/>
      <c r="H468" s="1" t="str">
        <f t="shared" si="35"/>
        <v>0 г. 0 мес. 0 дн.</v>
      </c>
      <c r="T468" s="3"/>
      <c r="U468" s="4"/>
      <c r="V468" s="1" t="str">
        <f t="shared" si="33"/>
        <v>0 г. 0 мес. 0 дн.</v>
      </c>
      <c r="W468" s="5"/>
    </row>
    <row r="469" spans="1:23" ht="34.5" customHeight="1" x14ac:dyDescent="0.25">
      <c r="A469" s="1">
        <f t="shared" si="34"/>
        <v>468</v>
      </c>
      <c r="B469" s="1"/>
      <c r="C469" s="2"/>
      <c r="E469" s="4"/>
      <c r="G469" s="3"/>
      <c r="H469" s="1" t="str">
        <f t="shared" si="35"/>
        <v>0 г. 0 мес. 0 дн.</v>
      </c>
      <c r="T469" s="3"/>
      <c r="U469" s="4"/>
      <c r="V469" s="1" t="str">
        <f t="shared" si="33"/>
        <v>0 г. 0 мес. 0 дн.</v>
      </c>
      <c r="W469" s="5"/>
    </row>
    <row r="470" spans="1:23" ht="34.5" customHeight="1" x14ac:dyDescent="0.25">
      <c r="A470" s="1">
        <f t="shared" si="34"/>
        <v>469</v>
      </c>
      <c r="B470" s="1"/>
      <c r="C470" s="2"/>
      <c r="E470" s="4"/>
      <c r="G470" s="3"/>
      <c r="H470" s="1" t="str">
        <f t="shared" si="35"/>
        <v>0 г. 0 мес. 0 дн.</v>
      </c>
      <c r="T470" s="3"/>
      <c r="U470" s="4"/>
      <c r="V470" s="1" t="str">
        <f t="shared" si="33"/>
        <v>0 г. 0 мес. 0 дн.</v>
      </c>
      <c r="W470" s="5"/>
    </row>
    <row r="471" spans="1:23" ht="34.5" customHeight="1" x14ac:dyDescent="0.25">
      <c r="A471" s="1">
        <f t="shared" si="34"/>
        <v>470</v>
      </c>
      <c r="B471" s="1"/>
      <c r="C471" s="2"/>
      <c r="E471" s="4"/>
      <c r="G471" s="3"/>
      <c r="H471" s="1" t="str">
        <f t="shared" si="35"/>
        <v>0 г. 0 мес. 0 дн.</v>
      </c>
      <c r="T471" s="3"/>
      <c r="U471" s="4"/>
      <c r="V471" s="1" t="str">
        <f t="shared" si="33"/>
        <v>0 г. 0 мес. 0 дн.</v>
      </c>
      <c r="W471" s="5"/>
    </row>
    <row r="472" spans="1:23" ht="34.5" customHeight="1" x14ac:dyDescent="0.25">
      <c r="A472" s="1">
        <f t="shared" si="34"/>
        <v>471</v>
      </c>
      <c r="B472" s="1"/>
      <c r="C472" s="2"/>
      <c r="E472" s="4"/>
      <c r="G472" s="3"/>
      <c r="H472" s="1" t="str">
        <f t="shared" si="35"/>
        <v>0 г. 0 мес. 0 дн.</v>
      </c>
      <c r="T472" s="3"/>
      <c r="U472" s="4"/>
      <c r="V472" s="1" t="str">
        <f t="shared" si="33"/>
        <v>0 г. 0 мес. 0 дн.</v>
      </c>
      <c r="W472" s="5"/>
    </row>
    <row r="473" spans="1:23" ht="34.5" customHeight="1" x14ac:dyDescent="0.25">
      <c r="A473" s="1">
        <f t="shared" si="34"/>
        <v>472</v>
      </c>
      <c r="B473" s="1"/>
      <c r="C473" s="2"/>
      <c r="E473" s="4"/>
      <c r="G473" s="3"/>
      <c r="H473" s="1" t="str">
        <f t="shared" si="35"/>
        <v>0 г. 0 мес. 0 дн.</v>
      </c>
      <c r="I473" s="1" t="s">
        <v>39</v>
      </c>
      <c r="T473" s="3"/>
      <c r="U473" s="4"/>
      <c r="V473" s="1" t="str">
        <f t="shared" si="33"/>
        <v>0 г. 0 мес. 0 дн.</v>
      </c>
      <c r="W473" s="5"/>
    </row>
    <row r="474" spans="1:23" ht="34.5" customHeight="1" x14ac:dyDescent="0.25">
      <c r="A474" s="1">
        <f t="shared" si="34"/>
        <v>473</v>
      </c>
      <c r="B474" s="1"/>
      <c r="C474" s="2"/>
      <c r="E474" s="4"/>
      <c r="G474" s="3"/>
      <c r="H474" s="1" t="str">
        <f t="shared" si="35"/>
        <v>0 г. 0 мес. 0 дн.</v>
      </c>
      <c r="I474" s="1" t="s">
        <v>39</v>
      </c>
      <c r="T474" s="3"/>
      <c r="U474" s="4"/>
      <c r="V474" s="1" t="str">
        <f t="shared" si="33"/>
        <v>0 г. 0 мес. 0 дн.</v>
      </c>
      <c r="W474" s="5"/>
    </row>
    <row r="475" spans="1:23" ht="34.5" customHeight="1" x14ac:dyDescent="0.25">
      <c r="A475" s="1">
        <f t="shared" si="34"/>
        <v>474</v>
      </c>
      <c r="B475" s="1"/>
      <c r="C475" s="2"/>
      <c r="E475" s="4"/>
      <c r="G475" s="3"/>
      <c r="H475" s="1" t="str">
        <f t="shared" si="35"/>
        <v>0 г. 0 мес. 0 дн.</v>
      </c>
      <c r="I475" s="1" t="s">
        <v>39</v>
      </c>
      <c r="T475" s="3"/>
      <c r="U475" s="4"/>
      <c r="V475" s="1" t="str">
        <f t="shared" si="33"/>
        <v>0 г. 0 мес. 0 дн.</v>
      </c>
      <c r="W475" s="5"/>
    </row>
    <row r="476" spans="1:23" ht="34.5" customHeight="1" x14ac:dyDescent="0.25">
      <c r="A476" s="1">
        <f t="shared" si="34"/>
        <v>475</v>
      </c>
      <c r="B476" s="1"/>
      <c r="C476" s="2"/>
      <c r="E476" s="4"/>
      <c r="G476" s="3"/>
      <c r="H476" s="1" t="str">
        <f t="shared" si="35"/>
        <v>0 г. 0 мес. 0 дн.</v>
      </c>
      <c r="I476" s="1" t="s">
        <v>39</v>
      </c>
      <c r="T476" s="3"/>
      <c r="U476" s="4"/>
      <c r="V476" s="1" t="str">
        <f t="shared" si="33"/>
        <v>0 г. 0 мес. 0 дн.</v>
      </c>
      <c r="W476" s="5"/>
    </row>
    <row r="477" spans="1:23" ht="34.5" customHeight="1" x14ac:dyDescent="0.25">
      <c r="A477" s="1">
        <f t="shared" si="34"/>
        <v>476</v>
      </c>
      <c r="B477" s="1"/>
      <c r="C477" s="2"/>
      <c r="E477" s="4"/>
      <c r="G477" s="3"/>
      <c r="H477" s="1" t="str">
        <f t="shared" si="35"/>
        <v>0 г. 0 мес. 0 дн.</v>
      </c>
      <c r="I477" s="1" t="s">
        <v>39</v>
      </c>
      <c r="T477" s="3"/>
      <c r="U477" s="4"/>
      <c r="V477" s="1" t="str">
        <f t="shared" si="33"/>
        <v>0 г. 0 мес. 0 дн.</v>
      </c>
      <c r="W477" s="5"/>
    </row>
    <row r="478" spans="1:23" ht="34.5" customHeight="1" x14ac:dyDescent="0.25">
      <c r="A478" s="1">
        <f t="shared" si="34"/>
        <v>477</v>
      </c>
      <c r="B478" s="1"/>
      <c r="C478" s="2"/>
      <c r="E478" s="4"/>
      <c r="G478" s="3"/>
      <c r="H478" s="1" t="str">
        <f t="shared" si="35"/>
        <v>0 г. 0 мес. 0 дн.</v>
      </c>
      <c r="I478" s="1" t="s">
        <v>39</v>
      </c>
      <c r="T478" s="3"/>
      <c r="U478" s="4"/>
      <c r="V478" s="1" t="str">
        <f t="shared" si="33"/>
        <v>0 г. 0 мес. 0 дн.</v>
      </c>
      <c r="W478" s="5"/>
    </row>
    <row r="479" spans="1:23" ht="34.5" customHeight="1" x14ac:dyDescent="0.25">
      <c r="A479" s="1">
        <f t="shared" si="34"/>
        <v>478</v>
      </c>
      <c r="B479" s="1"/>
      <c r="C479" s="2"/>
      <c r="E479" s="4"/>
      <c r="G479" s="3"/>
      <c r="H479" s="1" t="str">
        <f t="shared" si="35"/>
        <v>0 г. 0 мес. 0 дн.</v>
      </c>
      <c r="I479" s="1" t="s">
        <v>39</v>
      </c>
      <c r="T479" s="3"/>
      <c r="U479" s="4"/>
      <c r="V479" s="1" t="str">
        <f t="shared" si="33"/>
        <v>0 г. 0 мес. 0 дн.</v>
      </c>
      <c r="W479" s="5"/>
    </row>
    <row r="480" spans="1:23" s="60" customFormat="1" ht="34.5" customHeight="1" x14ac:dyDescent="0.25">
      <c r="A480" s="56">
        <f t="shared" si="34"/>
        <v>479</v>
      </c>
      <c r="B480" s="56"/>
      <c r="C480" s="57"/>
      <c r="D480" s="58"/>
      <c r="E480" s="59"/>
      <c r="F480" s="56"/>
      <c r="G480" s="58"/>
      <c r="H480" s="60" t="str">
        <f t="shared" si="35"/>
        <v>0 г. 0 мес. 0 дн.</v>
      </c>
      <c r="I480" s="1" t="s">
        <v>39</v>
      </c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8"/>
      <c r="U480" s="59"/>
      <c r="V480" s="61" t="str">
        <f t="shared" si="33"/>
        <v>0 г. 0 мес. 0 дн.</v>
      </c>
      <c r="W480" s="62"/>
    </row>
    <row r="481" spans="1:23" ht="34.5" customHeight="1" x14ac:dyDescent="0.25">
      <c r="A481" s="1">
        <f t="shared" si="34"/>
        <v>480</v>
      </c>
      <c r="B481" s="1"/>
      <c r="C481" s="2"/>
      <c r="E481" s="4"/>
      <c r="G481" s="3"/>
      <c r="H481" s="1" t="str">
        <f t="shared" si="35"/>
        <v>0 г. 0 мес. 0 дн.</v>
      </c>
      <c r="I481" s="1" t="s">
        <v>39</v>
      </c>
      <c r="T481" s="3"/>
      <c r="U481" s="4"/>
      <c r="V481" s="1" t="str">
        <f t="shared" si="33"/>
        <v>0 г. 0 мес. 0 дн.</v>
      </c>
      <c r="W481" s="5"/>
    </row>
    <row r="482" spans="1:23" ht="34.5" customHeight="1" x14ac:dyDescent="0.25">
      <c r="A482" s="1">
        <f t="shared" si="34"/>
        <v>481</v>
      </c>
      <c r="B482" s="1"/>
      <c r="C482" s="2"/>
      <c r="E482" s="4"/>
      <c r="G482" s="3"/>
      <c r="H482" s="1" t="str">
        <f t="shared" si="35"/>
        <v>0 г. 0 мес. 0 дн.</v>
      </c>
      <c r="I482" s="1" t="s">
        <v>39</v>
      </c>
      <c r="T482" s="3"/>
      <c r="U482" s="4"/>
      <c r="V482" s="1" t="str">
        <f t="shared" si="33"/>
        <v>0 г. 0 мес. 0 дн.</v>
      </c>
      <c r="W482" s="5"/>
    </row>
    <row r="483" spans="1:23" ht="34.5" customHeight="1" x14ac:dyDescent="0.25">
      <c r="A483" s="1">
        <f t="shared" si="34"/>
        <v>482</v>
      </c>
      <c r="B483" s="1"/>
      <c r="C483" s="2"/>
      <c r="E483" s="4"/>
      <c r="G483" s="3"/>
      <c r="H483" s="1" t="str">
        <f t="shared" si="35"/>
        <v>0 г. 0 мес. 0 дн.</v>
      </c>
      <c r="I483" s="1" t="s">
        <v>39</v>
      </c>
      <c r="T483" s="3"/>
      <c r="U483" s="4"/>
      <c r="V483" s="1" t="str">
        <f t="shared" si="33"/>
        <v>0 г. 0 мес. 0 дн.</v>
      </c>
      <c r="W483" s="5"/>
    </row>
    <row r="484" spans="1:23" ht="34.5" customHeight="1" x14ac:dyDescent="0.25">
      <c r="A484" s="1">
        <f t="shared" si="34"/>
        <v>483</v>
      </c>
      <c r="B484" s="1"/>
      <c r="C484" s="2"/>
      <c r="E484" s="4"/>
      <c r="G484" s="3"/>
      <c r="H484" s="1" t="str">
        <f t="shared" si="35"/>
        <v>0 г. 0 мес. 0 дн.</v>
      </c>
      <c r="I484" s="1" t="s">
        <v>39</v>
      </c>
      <c r="T484" s="3"/>
      <c r="U484" s="4"/>
      <c r="V484" s="1" t="str">
        <f t="shared" si="33"/>
        <v>0 г. 0 мес. 0 дн.</v>
      </c>
      <c r="W484" s="5"/>
    </row>
    <row r="485" spans="1:23" ht="34.5" customHeight="1" x14ac:dyDescent="0.25">
      <c r="A485" s="1">
        <f t="shared" si="34"/>
        <v>484</v>
      </c>
      <c r="B485" s="1"/>
      <c r="C485" s="2"/>
      <c r="E485" s="4"/>
      <c r="G485" s="3"/>
      <c r="H485" s="1" t="str">
        <f t="shared" si="35"/>
        <v>0 г. 0 мес. 0 дн.</v>
      </c>
      <c r="I485" s="1" t="s">
        <v>39</v>
      </c>
      <c r="T485" s="3"/>
      <c r="U485" s="4"/>
      <c r="V485" s="1" t="str">
        <f t="shared" si="33"/>
        <v>0 г. 0 мес. 0 дн.</v>
      </c>
      <c r="W485" s="5"/>
    </row>
    <row r="486" spans="1:23" ht="34.5" customHeight="1" x14ac:dyDescent="0.25">
      <c r="A486" s="1">
        <f t="shared" si="34"/>
        <v>485</v>
      </c>
      <c r="B486" s="1"/>
      <c r="C486" s="2"/>
      <c r="E486" s="4"/>
      <c r="G486" s="3"/>
      <c r="H486" s="1" t="str">
        <f t="shared" si="35"/>
        <v>0 г. 0 мес. 0 дн.</v>
      </c>
      <c r="I486" s="1" t="s">
        <v>39</v>
      </c>
      <c r="T486" s="3"/>
      <c r="U486" s="4"/>
      <c r="V486" s="1" t="str">
        <f t="shared" si="33"/>
        <v>0 г. 0 мес. 0 дн.</v>
      </c>
      <c r="W486" s="5"/>
    </row>
    <row r="487" spans="1:23" ht="34.5" customHeight="1" x14ac:dyDescent="0.25">
      <c r="A487" s="1">
        <f t="shared" si="34"/>
        <v>486</v>
      </c>
      <c r="B487" s="1"/>
      <c r="C487" s="2"/>
      <c r="E487" s="4"/>
      <c r="G487" s="3"/>
      <c r="H487" s="1" t="str">
        <f t="shared" si="35"/>
        <v>0 г. 0 мес. 0 дн.</v>
      </c>
      <c r="I487" s="1" t="s">
        <v>39</v>
      </c>
      <c r="T487" s="3"/>
      <c r="U487" s="4"/>
      <c r="V487" s="1" t="str">
        <f t="shared" si="33"/>
        <v>0 г. 0 мес. 0 дн.</v>
      </c>
      <c r="W487" s="5"/>
    </row>
    <row r="488" spans="1:23" ht="34.5" customHeight="1" x14ac:dyDescent="0.25">
      <c r="A488" s="1">
        <f t="shared" si="34"/>
        <v>487</v>
      </c>
      <c r="B488" s="1"/>
      <c r="C488" s="2"/>
      <c r="E488" s="4"/>
      <c r="G488" s="3"/>
      <c r="H488" s="1" t="str">
        <f t="shared" si="35"/>
        <v>0 г. 0 мес. 0 дн.</v>
      </c>
      <c r="I488" s="1" t="s">
        <v>39</v>
      </c>
      <c r="T488" s="3"/>
      <c r="U488" s="4"/>
      <c r="V488" s="1" t="str">
        <f t="shared" si="33"/>
        <v>0 г. 0 мес. 0 дн.</v>
      </c>
      <c r="W488" s="5"/>
    </row>
    <row r="489" spans="1:23" ht="34.5" customHeight="1" x14ac:dyDescent="0.25">
      <c r="A489" s="1">
        <f t="shared" si="34"/>
        <v>488</v>
      </c>
      <c r="B489" s="1"/>
      <c r="C489" s="2"/>
      <c r="E489" s="4"/>
      <c r="G489" s="3"/>
      <c r="H489" s="1" t="str">
        <f t="shared" si="35"/>
        <v>0 г. 0 мес. 0 дн.</v>
      </c>
      <c r="I489" s="1" t="s">
        <v>39</v>
      </c>
      <c r="T489" s="3"/>
      <c r="U489" s="4"/>
      <c r="V489" s="1" t="str">
        <f t="shared" si="33"/>
        <v>0 г. 0 мес. 0 дн.</v>
      </c>
      <c r="W489" s="5"/>
    </row>
    <row r="490" spans="1:23" ht="34.5" customHeight="1" x14ac:dyDescent="0.25">
      <c r="A490" s="1">
        <f t="shared" si="34"/>
        <v>489</v>
      </c>
      <c r="B490" s="1"/>
      <c r="C490" s="2"/>
      <c r="E490" s="4"/>
      <c r="G490" s="3"/>
      <c r="H490" s="1" t="str">
        <f t="shared" si="35"/>
        <v>0 г. 0 мес. 0 дн.</v>
      </c>
      <c r="I490" s="1" t="s">
        <v>39</v>
      </c>
      <c r="T490" s="3"/>
      <c r="U490" s="4"/>
      <c r="V490" s="1" t="str">
        <f t="shared" si="33"/>
        <v>0 г. 0 мес. 0 дн.</v>
      </c>
      <c r="W490" s="5"/>
    </row>
    <row r="491" spans="1:23" ht="34.5" customHeight="1" x14ac:dyDescent="0.25">
      <c r="A491" s="1">
        <f t="shared" si="34"/>
        <v>490</v>
      </c>
      <c r="B491" s="1"/>
      <c r="C491" s="2"/>
      <c r="E491" s="4"/>
      <c r="G491" s="3"/>
      <c r="H491" s="1" t="str">
        <f t="shared" si="35"/>
        <v>0 г. 0 мес. 0 дн.</v>
      </c>
      <c r="I491" s="1" t="s">
        <v>39</v>
      </c>
      <c r="T491" s="3"/>
      <c r="U491" s="4"/>
      <c r="V491" s="1" t="str">
        <f t="shared" si="33"/>
        <v>0 г. 0 мес. 0 дн.</v>
      </c>
      <c r="W491" s="5"/>
    </row>
    <row r="492" spans="1:23" ht="34.5" customHeight="1" x14ac:dyDescent="0.25">
      <c r="A492" s="1">
        <f t="shared" si="34"/>
        <v>491</v>
      </c>
      <c r="C492" s="2"/>
      <c r="E492" s="4"/>
      <c r="G492" s="3"/>
      <c r="H492" s="1" t="str">
        <f t="shared" si="35"/>
        <v>0 г. 0 мес. 0 дн.</v>
      </c>
      <c r="I492" s="1" t="s">
        <v>39</v>
      </c>
      <c r="T492" s="3"/>
      <c r="U492" s="4"/>
      <c r="V492" s="1" t="str">
        <f t="shared" si="33"/>
        <v>0 г. 0 мес. 0 дн.</v>
      </c>
      <c r="W492" s="5"/>
    </row>
    <row r="493" spans="1:23" ht="34.5" customHeight="1" x14ac:dyDescent="0.25">
      <c r="A493" s="1">
        <f t="shared" si="34"/>
        <v>492</v>
      </c>
      <c r="B493" s="1"/>
      <c r="C493" s="2"/>
      <c r="E493" s="4"/>
      <c r="G493" s="3"/>
      <c r="H493" s="1" t="str">
        <f t="shared" si="35"/>
        <v>0 г. 0 мес. 0 дн.</v>
      </c>
      <c r="I493" s="1" t="s">
        <v>39</v>
      </c>
      <c r="T493" s="3"/>
      <c r="U493" s="4"/>
      <c r="V493" s="1" t="str">
        <f t="shared" si="33"/>
        <v>0 г. 0 мес. 0 дн.</v>
      </c>
      <c r="W493" s="5"/>
    </row>
    <row r="494" spans="1:23" ht="34.5" customHeight="1" x14ac:dyDescent="0.25">
      <c r="A494" s="1">
        <f t="shared" si="34"/>
        <v>493</v>
      </c>
      <c r="B494" s="1"/>
      <c r="C494" s="2"/>
      <c r="E494" s="4"/>
      <c r="G494" s="3"/>
      <c r="H494" s="1" t="str">
        <f t="shared" si="35"/>
        <v>0 г. 0 мес. 0 дн.</v>
      </c>
      <c r="I494" s="1" t="s">
        <v>39</v>
      </c>
      <c r="T494" s="3"/>
      <c r="U494" s="4"/>
      <c r="V494" s="1" t="str">
        <f t="shared" si="33"/>
        <v>0 г. 0 мес. 0 дн.</v>
      </c>
      <c r="W494" s="5"/>
    </row>
    <row r="495" spans="1:23" ht="34.5" customHeight="1" x14ac:dyDescent="0.25">
      <c r="A495" s="1">
        <f t="shared" si="34"/>
        <v>494</v>
      </c>
      <c r="B495" s="1"/>
      <c r="C495" s="2"/>
      <c r="E495" s="4"/>
      <c r="G495" s="3"/>
      <c r="H495" s="1" t="str">
        <f t="shared" si="35"/>
        <v>0 г. 0 мес. 0 дн.</v>
      </c>
      <c r="I495" s="1" t="s">
        <v>39</v>
      </c>
      <c r="T495" s="3"/>
      <c r="U495" s="4"/>
      <c r="V495" s="1" t="str">
        <f t="shared" si="33"/>
        <v>0 г. 0 мес. 0 дн.</v>
      </c>
      <c r="W495" s="5"/>
    </row>
    <row r="496" spans="1:23" ht="34.5" customHeight="1" x14ac:dyDescent="0.25">
      <c r="A496" s="1">
        <f t="shared" si="34"/>
        <v>495</v>
      </c>
      <c r="B496" s="1"/>
      <c r="C496" s="2"/>
      <c r="E496" s="4"/>
      <c r="G496" s="3"/>
      <c r="H496" s="1" t="str">
        <f t="shared" si="35"/>
        <v>0 г. 0 мес. 0 дн.</v>
      </c>
      <c r="I496" s="1" t="s">
        <v>39</v>
      </c>
      <c r="T496" s="3"/>
      <c r="U496" s="4"/>
      <c r="V496" s="1" t="str">
        <f t="shared" si="33"/>
        <v>0 г. 0 мес. 0 дн.</v>
      </c>
      <c r="W496" s="5"/>
    </row>
    <row r="497" spans="1:23" ht="34.5" customHeight="1" x14ac:dyDescent="0.25">
      <c r="A497" s="6">
        <f t="shared" si="34"/>
        <v>496</v>
      </c>
      <c r="B497" s="6"/>
      <c r="C497" s="22"/>
      <c r="D497" s="28"/>
      <c r="E497" s="23"/>
      <c r="F497" s="6"/>
      <c r="G497" s="28"/>
      <c r="H497" s="1" t="str">
        <f t="shared" si="35"/>
        <v>0 г. 0 мес. 0 дн.</v>
      </c>
      <c r="I497" s="1" t="s">
        <v>39</v>
      </c>
      <c r="K497" s="6"/>
      <c r="L497" s="6"/>
      <c r="M497" s="6"/>
      <c r="N497" s="6"/>
      <c r="P497" s="6"/>
      <c r="Q497" s="6"/>
      <c r="R497" s="6"/>
      <c r="S497" s="6"/>
      <c r="T497" s="28"/>
      <c r="U497" s="23"/>
      <c r="V497" s="6" t="str">
        <f t="shared" ref="V497:V560" si="36">DATEDIF(D497,T497,"y") &amp; " г. " &amp; DATEDIF(D497,T497,"ym") &amp; " мес. " &amp; DATEDIF(D497,T497,"md") &amp; " дн."</f>
        <v>0 г. 0 мес. 0 дн.</v>
      </c>
      <c r="W497" s="5"/>
    </row>
    <row r="498" spans="1:23" ht="34.5" customHeight="1" x14ac:dyDescent="0.25">
      <c r="A498" s="1">
        <f t="shared" si="34"/>
        <v>497</v>
      </c>
      <c r="B498" s="1"/>
      <c r="C498" s="2"/>
      <c r="E498" s="4"/>
      <c r="G498" s="3"/>
      <c r="H498" s="1" t="str">
        <f t="shared" si="35"/>
        <v>0 г. 0 мес. 0 дн.</v>
      </c>
      <c r="I498" s="1" t="s">
        <v>39</v>
      </c>
      <c r="T498" s="3"/>
      <c r="U498" s="4"/>
      <c r="V498" s="1" t="str">
        <f t="shared" si="36"/>
        <v>0 г. 0 мес. 0 дн.</v>
      </c>
      <c r="W498" s="5"/>
    </row>
    <row r="499" spans="1:23" ht="34.5" customHeight="1" x14ac:dyDescent="0.25">
      <c r="A499" s="1">
        <f t="shared" si="34"/>
        <v>498</v>
      </c>
      <c r="B499" s="1"/>
      <c r="C499" s="2"/>
      <c r="E499" s="4"/>
      <c r="G499" s="3"/>
      <c r="H499" s="1" t="str">
        <f t="shared" si="35"/>
        <v>0 г. 0 мес. 0 дн.</v>
      </c>
      <c r="I499" s="1" t="s">
        <v>39</v>
      </c>
      <c r="T499" s="3"/>
      <c r="U499" s="4"/>
      <c r="V499" s="1" t="str">
        <f t="shared" si="36"/>
        <v>0 г. 0 мес. 0 дн.</v>
      </c>
      <c r="W499" s="5"/>
    </row>
    <row r="500" spans="1:23" ht="34.5" customHeight="1" x14ac:dyDescent="0.25">
      <c r="A500" s="1">
        <f t="shared" si="34"/>
        <v>499</v>
      </c>
      <c r="B500" s="1"/>
      <c r="C500" s="2"/>
      <c r="E500" s="4"/>
      <c r="G500" s="3"/>
      <c r="H500" s="1" t="str">
        <f t="shared" si="35"/>
        <v>0 г. 0 мес. 0 дн.</v>
      </c>
      <c r="I500" s="1" t="s">
        <v>39</v>
      </c>
      <c r="T500" s="3"/>
      <c r="U500" s="4"/>
      <c r="V500" s="1" t="str">
        <f t="shared" si="36"/>
        <v>0 г. 0 мес. 0 дн.</v>
      </c>
      <c r="W500" s="5"/>
    </row>
    <row r="501" spans="1:23" ht="34.5" customHeight="1" x14ac:dyDescent="0.25">
      <c r="A501" s="1">
        <f t="shared" si="34"/>
        <v>500</v>
      </c>
      <c r="B501" s="1"/>
      <c r="C501" s="2"/>
      <c r="E501" s="4"/>
      <c r="G501" s="3"/>
      <c r="H501" s="1" t="str">
        <f t="shared" si="35"/>
        <v>0 г. 0 мес. 0 дн.</v>
      </c>
      <c r="I501" s="1" t="s">
        <v>39</v>
      </c>
      <c r="T501" s="3"/>
      <c r="U501" s="4"/>
      <c r="V501" s="1" t="str">
        <f t="shared" si="36"/>
        <v>0 г. 0 мес. 0 дн.</v>
      </c>
      <c r="W501" s="5"/>
    </row>
    <row r="502" spans="1:23" ht="34.5" customHeight="1" x14ac:dyDescent="0.25">
      <c r="A502" s="1">
        <f t="shared" si="34"/>
        <v>501</v>
      </c>
      <c r="B502" s="1"/>
      <c r="C502" s="2"/>
      <c r="E502" s="4"/>
      <c r="G502" s="3"/>
      <c r="H502" s="1" t="str">
        <f t="shared" si="35"/>
        <v>0 г. 0 мес. 0 дн.</v>
      </c>
      <c r="I502" s="1" t="s">
        <v>39</v>
      </c>
      <c r="T502" s="3"/>
      <c r="U502" s="4"/>
      <c r="V502" s="1" t="str">
        <f t="shared" si="36"/>
        <v>0 г. 0 мес. 0 дн.</v>
      </c>
      <c r="W502" s="5"/>
    </row>
    <row r="503" spans="1:23" ht="34.5" customHeight="1" x14ac:dyDescent="0.25">
      <c r="A503" s="1">
        <f t="shared" si="34"/>
        <v>502</v>
      </c>
      <c r="B503" s="1"/>
      <c r="C503" s="2"/>
      <c r="E503" s="4"/>
      <c r="G503" s="3"/>
      <c r="H503" s="1" t="str">
        <f t="shared" si="35"/>
        <v>0 г. 0 мес. 0 дн.</v>
      </c>
      <c r="I503" s="1" t="s">
        <v>39</v>
      </c>
      <c r="T503" s="3"/>
      <c r="U503" s="4"/>
      <c r="V503" s="1" t="str">
        <f t="shared" si="36"/>
        <v>0 г. 0 мес. 0 дн.</v>
      </c>
      <c r="W503" s="5"/>
    </row>
    <row r="504" spans="1:23" ht="34.5" customHeight="1" x14ac:dyDescent="0.25">
      <c r="A504" s="1">
        <f t="shared" si="34"/>
        <v>503</v>
      </c>
      <c r="B504" s="1"/>
      <c r="C504" s="2"/>
      <c r="E504" s="4"/>
      <c r="G504" s="3"/>
      <c r="H504" s="1" t="str">
        <f t="shared" si="35"/>
        <v>0 г. 0 мес. 0 дн.</v>
      </c>
      <c r="I504" s="1" t="s">
        <v>39</v>
      </c>
      <c r="T504" s="3"/>
      <c r="U504" s="4"/>
      <c r="V504" s="1" t="str">
        <f t="shared" si="36"/>
        <v>0 г. 0 мес. 0 дн.</v>
      </c>
      <c r="W504" s="5"/>
    </row>
    <row r="505" spans="1:23" ht="34.5" customHeight="1" x14ac:dyDescent="0.25">
      <c r="A505" s="1">
        <f t="shared" si="34"/>
        <v>504</v>
      </c>
      <c r="B505" s="1"/>
      <c r="C505" s="2"/>
      <c r="E505" s="4"/>
      <c r="G505" s="3"/>
      <c r="H505" s="1" t="str">
        <f t="shared" si="35"/>
        <v>0 г. 0 мес. 0 дн.</v>
      </c>
      <c r="I505" s="1" t="s">
        <v>39</v>
      </c>
      <c r="T505" s="3"/>
      <c r="U505" s="4"/>
      <c r="V505" s="1" t="str">
        <f t="shared" si="36"/>
        <v>0 г. 0 мес. 0 дн.</v>
      </c>
      <c r="W505" s="5"/>
    </row>
    <row r="506" spans="1:23" ht="34.5" customHeight="1" x14ac:dyDescent="0.25">
      <c r="A506" s="1">
        <f t="shared" si="34"/>
        <v>505</v>
      </c>
      <c r="B506" s="1"/>
      <c r="C506" s="2"/>
      <c r="E506" s="4"/>
      <c r="G506" s="3"/>
      <c r="H506" s="1" t="str">
        <f t="shared" si="35"/>
        <v>0 г. 0 мес. 0 дн.</v>
      </c>
      <c r="I506" s="1" t="s">
        <v>39</v>
      </c>
      <c r="T506" s="3"/>
      <c r="U506" s="4"/>
      <c r="V506" s="1" t="str">
        <f t="shared" si="36"/>
        <v>0 г. 0 мес. 0 дн.</v>
      </c>
      <c r="W506" s="5"/>
    </row>
    <row r="507" spans="1:23" ht="34.5" customHeight="1" x14ac:dyDescent="0.25">
      <c r="A507" s="1">
        <f t="shared" si="34"/>
        <v>506</v>
      </c>
      <c r="B507" s="1"/>
      <c r="C507" s="2"/>
      <c r="E507" s="4"/>
      <c r="G507" s="3"/>
      <c r="H507" s="1" t="str">
        <f t="shared" si="35"/>
        <v>0 г. 0 мес. 0 дн.</v>
      </c>
      <c r="I507" s="1" t="s">
        <v>39</v>
      </c>
      <c r="T507" s="3"/>
      <c r="U507" s="4"/>
      <c r="V507" s="1" t="str">
        <f t="shared" si="36"/>
        <v>0 г. 0 мес. 0 дн.</v>
      </c>
      <c r="W507" s="5"/>
    </row>
    <row r="508" spans="1:23" ht="34.5" customHeight="1" x14ac:dyDescent="0.25">
      <c r="A508" s="1">
        <f t="shared" si="34"/>
        <v>507</v>
      </c>
      <c r="B508" s="1"/>
      <c r="C508" s="2"/>
      <c r="E508" s="4"/>
      <c r="G508" s="3"/>
      <c r="H508" s="1" t="str">
        <f t="shared" si="35"/>
        <v>0 г. 0 мес. 0 дн.</v>
      </c>
      <c r="I508" s="1" t="s">
        <v>39</v>
      </c>
      <c r="T508" s="3"/>
      <c r="U508" s="4"/>
      <c r="V508" s="1" t="str">
        <f t="shared" si="36"/>
        <v>0 г. 0 мес. 0 дн.</v>
      </c>
      <c r="W508" s="5"/>
    </row>
    <row r="509" spans="1:23" ht="34.5" customHeight="1" x14ac:dyDescent="0.25">
      <c r="A509" s="1">
        <f t="shared" si="34"/>
        <v>508</v>
      </c>
      <c r="B509" s="1"/>
      <c r="C509" s="2"/>
      <c r="E509" s="4"/>
      <c r="G509" s="3"/>
      <c r="H509" s="1" t="str">
        <f t="shared" si="35"/>
        <v>0 г. 0 мес. 0 дн.</v>
      </c>
      <c r="I509" s="1" t="s">
        <v>39</v>
      </c>
      <c r="T509" s="3"/>
      <c r="U509" s="4"/>
      <c r="V509" s="1" t="str">
        <f t="shared" si="36"/>
        <v>0 г. 0 мес. 0 дн.</v>
      </c>
      <c r="W509" s="5"/>
    </row>
    <row r="510" spans="1:23" ht="34.5" customHeight="1" x14ac:dyDescent="0.25">
      <c r="A510" s="1">
        <f t="shared" si="34"/>
        <v>509</v>
      </c>
      <c r="B510" s="1"/>
      <c r="C510" s="2"/>
      <c r="E510" s="4"/>
      <c r="G510" s="3"/>
      <c r="H510" s="1" t="str">
        <f t="shared" si="35"/>
        <v>0 г. 0 мес. 0 дн.</v>
      </c>
      <c r="I510" s="1" t="s">
        <v>39</v>
      </c>
      <c r="T510" s="3"/>
      <c r="U510" s="4"/>
      <c r="V510" s="1" t="str">
        <f t="shared" si="36"/>
        <v>0 г. 0 мес. 0 дн.</v>
      </c>
      <c r="W510" s="5"/>
    </row>
    <row r="511" spans="1:23" ht="34.5" customHeight="1" x14ac:dyDescent="0.25">
      <c r="A511" s="1">
        <f t="shared" si="34"/>
        <v>510</v>
      </c>
      <c r="B511" s="1"/>
      <c r="C511" s="2"/>
      <c r="E511" s="4"/>
      <c r="G511" s="3"/>
      <c r="H511" s="1" t="str">
        <f t="shared" si="35"/>
        <v>0 г. 0 мес. 0 дн.</v>
      </c>
      <c r="I511" s="1" t="s">
        <v>39</v>
      </c>
      <c r="T511" s="3"/>
      <c r="U511" s="4"/>
      <c r="V511" s="1" t="str">
        <f t="shared" si="36"/>
        <v>0 г. 0 мес. 0 дн.</v>
      </c>
      <c r="W511" s="5"/>
    </row>
    <row r="512" spans="1:23" ht="34.5" customHeight="1" x14ac:dyDescent="0.25">
      <c r="A512" s="1">
        <f t="shared" ref="A512:A575" si="37">ROW(A511)</f>
        <v>511</v>
      </c>
      <c r="B512" s="1"/>
      <c r="C512" s="2"/>
      <c r="E512" s="4"/>
      <c r="G512" s="3"/>
      <c r="H512" s="1" t="str">
        <f t="shared" si="35"/>
        <v>0 г. 0 мес. 0 дн.</v>
      </c>
      <c r="I512" s="1" t="s">
        <v>39</v>
      </c>
      <c r="T512" s="3"/>
      <c r="U512" s="4"/>
      <c r="V512" s="1" t="str">
        <f t="shared" si="36"/>
        <v>0 г. 0 мес. 0 дн.</v>
      </c>
      <c r="W512" s="5"/>
    </row>
    <row r="513" spans="1:23" ht="34.5" customHeight="1" x14ac:dyDescent="0.25">
      <c r="A513" s="1">
        <f t="shared" si="37"/>
        <v>512</v>
      </c>
      <c r="B513" s="1"/>
      <c r="C513" s="2"/>
      <c r="E513" s="4"/>
      <c r="G513" s="3"/>
      <c r="H513" s="1" t="str">
        <f t="shared" si="35"/>
        <v>0 г. 0 мес. 0 дн.</v>
      </c>
      <c r="I513" s="1" t="s">
        <v>39</v>
      </c>
      <c r="T513" s="3"/>
      <c r="U513" s="4"/>
      <c r="V513" s="1" t="str">
        <f t="shared" si="36"/>
        <v>0 г. 0 мес. 0 дн.</v>
      </c>
      <c r="W513" s="5"/>
    </row>
    <row r="514" spans="1:23" ht="34.5" customHeight="1" x14ac:dyDescent="0.25">
      <c r="A514" s="1">
        <f t="shared" si="37"/>
        <v>513</v>
      </c>
      <c r="B514" s="1"/>
      <c r="C514" s="2"/>
      <c r="E514" s="4"/>
      <c r="G514" s="3"/>
      <c r="H514" s="1" t="str">
        <f t="shared" ref="H514:H577" si="38">DATEDIF(G514,D514,"y") &amp; " г. " &amp; DATEDIF(G514,D514,"ym") &amp; " мес. " &amp; DATEDIF(G514,D514,"md") &amp; " дн."</f>
        <v>0 г. 0 мес. 0 дн.</v>
      </c>
      <c r="I514" s="1" t="s">
        <v>39</v>
      </c>
      <c r="T514" s="3"/>
      <c r="U514" s="4"/>
      <c r="V514" s="1" t="str">
        <f t="shared" si="36"/>
        <v>0 г. 0 мес. 0 дн.</v>
      </c>
      <c r="W514" s="5"/>
    </row>
    <row r="515" spans="1:23" ht="34.5" customHeight="1" x14ac:dyDescent="0.25">
      <c r="A515" s="1">
        <f t="shared" si="37"/>
        <v>514</v>
      </c>
      <c r="B515" s="1"/>
      <c r="C515" s="2"/>
      <c r="E515" s="4"/>
      <c r="G515" s="3"/>
      <c r="H515" s="1" t="str">
        <f t="shared" si="38"/>
        <v>0 г. 0 мес. 0 дн.</v>
      </c>
      <c r="I515" s="1" t="s">
        <v>39</v>
      </c>
      <c r="T515" s="3"/>
      <c r="U515" s="4"/>
      <c r="V515" s="1" t="str">
        <f t="shared" si="36"/>
        <v>0 г. 0 мес. 0 дн.</v>
      </c>
      <c r="W515" s="5"/>
    </row>
    <row r="516" spans="1:23" ht="34.5" customHeight="1" x14ac:dyDescent="0.25">
      <c r="A516" s="1">
        <f t="shared" si="37"/>
        <v>515</v>
      </c>
      <c r="B516" s="1"/>
      <c r="C516" s="2"/>
      <c r="E516" s="4"/>
      <c r="G516" s="3"/>
      <c r="H516" s="1" t="str">
        <f t="shared" si="38"/>
        <v>0 г. 0 мес. 0 дн.</v>
      </c>
      <c r="I516" s="1" t="s">
        <v>39</v>
      </c>
      <c r="T516" s="3"/>
      <c r="U516" s="4"/>
      <c r="V516" s="1" t="str">
        <f t="shared" si="36"/>
        <v>0 г. 0 мес. 0 дн.</v>
      </c>
      <c r="W516" s="5"/>
    </row>
    <row r="517" spans="1:23" ht="34.5" customHeight="1" x14ac:dyDescent="0.25">
      <c r="A517" s="1">
        <f t="shared" si="37"/>
        <v>516</v>
      </c>
      <c r="B517" s="1"/>
      <c r="C517" s="2"/>
      <c r="E517" s="4"/>
      <c r="G517" s="3"/>
      <c r="H517" s="1" t="str">
        <f t="shared" si="38"/>
        <v>0 г. 0 мес. 0 дн.</v>
      </c>
      <c r="I517" s="1" t="s">
        <v>39</v>
      </c>
      <c r="T517" s="3"/>
      <c r="U517" s="4"/>
      <c r="V517" s="1" t="str">
        <f t="shared" si="36"/>
        <v>0 г. 0 мес. 0 дн.</v>
      </c>
      <c r="W517" s="5"/>
    </row>
    <row r="518" spans="1:23" ht="34.5" customHeight="1" x14ac:dyDescent="0.25">
      <c r="A518" s="1">
        <f t="shared" si="37"/>
        <v>517</v>
      </c>
      <c r="B518" s="1"/>
      <c r="C518" s="2"/>
      <c r="E518" s="4"/>
      <c r="G518" s="3"/>
      <c r="H518" s="1" t="str">
        <f t="shared" si="38"/>
        <v>0 г. 0 мес. 0 дн.</v>
      </c>
      <c r="I518" s="1" t="s">
        <v>39</v>
      </c>
      <c r="T518" s="3"/>
      <c r="U518" s="4"/>
      <c r="V518" s="1" t="str">
        <f t="shared" si="36"/>
        <v>0 г. 0 мес. 0 дн.</v>
      </c>
      <c r="W518" s="5"/>
    </row>
    <row r="519" spans="1:23" ht="34.5" customHeight="1" x14ac:dyDescent="0.25">
      <c r="A519" s="1">
        <f t="shared" si="37"/>
        <v>518</v>
      </c>
      <c r="B519" s="1"/>
      <c r="C519" s="2"/>
      <c r="E519" s="4"/>
      <c r="G519" s="3"/>
      <c r="H519" s="1" t="str">
        <f t="shared" si="38"/>
        <v>0 г. 0 мес. 0 дн.</v>
      </c>
      <c r="I519" s="1" t="s">
        <v>39</v>
      </c>
      <c r="T519" s="3"/>
      <c r="U519" s="4"/>
      <c r="V519" s="1" t="str">
        <f t="shared" si="36"/>
        <v>0 г. 0 мес. 0 дн.</v>
      </c>
      <c r="W519" s="5"/>
    </row>
    <row r="520" spans="1:23" ht="34.5" customHeight="1" x14ac:dyDescent="0.25">
      <c r="A520" s="1">
        <f t="shared" si="37"/>
        <v>519</v>
      </c>
      <c r="B520" s="1"/>
      <c r="C520" s="2"/>
      <c r="E520" s="4"/>
      <c r="G520" s="3"/>
      <c r="H520" s="1" t="str">
        <f t="shared" si="38"/>
        <v>0 г. 0 мес. 0 дн.</v>
      </c>
      <c r="I520" s="1" t="s">
        <v>39</v>
      </c>
      <c r="T520" s="3"/>
      <c r="U520" s="4"/>
      <c r="V520" s="1" t="str">
        <f t="shared" si="36"/>
        <v>0 г. 0 мес. 0 дн.</v>
      </c>
      <c r="W520" s="5"/>
    </row>
    <row r="521" spans="1:23" ht="34.5" customHeight="1" x14ac:dyDescent="0.25">
      <c r="A521" s="1">
        <f t="shared" si="37"/>
        <v>520</v>
      </c>
      <c r="B521" s="1"/>
      <c r="C521" s="2"/>
      <c r="E521" s="4"/>
      <c r="G521" s="3"/>
      <c r="H521" s="1" t="str">
        <f t="shared" si="38"/>
        <v>0 г. 0 мес. 0 дн.</v>
      </c>
      <c r="I521" s="1" t="s">
        <v>39</v>
      </c>
      <c r="T521" s="3"/>
      <c r="U521" s="4"/>
      <c r="V521" s="1" t="str">
        <f t="shared" si="36"/>
        <v>0 г. 0 мес. 0 дн.</v>
      </c>
      <c r="W521" s="5"/>
    </row>
    <row r="522" spans="1:23" ht="34.5" customHeight="1" x14ac:dyDescent="0.25">
      <c r="A522" s="1">
        <f t="shared" si="37"/>
        <v>521</v>
      </c>
      <c r="B522" s="1"/>
      <c r="C522" s="2"/>
      <c r="E522" s="4"/>
      <c r="G522" s="3"/>
      <c r="H522" s="1" t="str">
        <f t="shared" si="38"/>
        <v>0 г. 0 мес. 0 дн.</v>
      </c>
      <c r="I522" s="1" t="s">
        <v>39</v>
      </c>
      <c r="T522" s="3"/>
      <c r="U522" s="4"/>
      <c r="V522" s="1" t="str">
        <f t="shared" si="36"/>
        <v>0 г. 0 мес. 0 дн.</v>
      </c>
      <c r="W522" s="5"/>
    </row>
    <row r="523" spans="1:23" ht="34.5" customHeight="1" x14ac:dyDescent="0.25">
      <c r="A523" s="1">
        <f t="shared" si="37"/>
        <v>522</v>
      </c>
      <c r="B523" s="1"/>
      <c r="C523" s="2"/>
      <c r="E523" s="4"/>
      <c r="G523" s="3"/>
      <c r="H523" s="1" t="str">
        <f t="shared" si="38"/>
        <v>0 г. 0 мес. 0 дн.</v>
      </c>
      <c r="I523" s="1" t="s">
        <v>39</v>
      </c>
      <c r="T523" s="3"/>
      <c r="U523" s="4"/>
      <c r="V523" s="1" t="str">
        <f t="shared" si="36"/>
        <v>0 г. 0 мес. 0 дн.</v>
      </c>
      <c r="W523" s="5"/>
    </row>
    <row r="524" spans="1:23" ht="34.5" customHeight="1" x14ac:dyDescent="0.25">
      <c r="A524" s="1">
        <f t="shared" si="37"/>
        <v>523</v>
      </c>
      <c r="B524" s="1"/>
      <c r="C524" s="2"/>
      <c r="E524" s="4"/>
      <c r="G524" s="3"/>
      <c r="H524" s="1" t="str">
        <f t="shared" si="38"/>
        <v>0 г. 0 мес. 0 дн.</v>
      </c>
      <c r="I524" s="1" t="s">
        <v>39</v>
      </c>
      <c r="T524" s="3"/>
      <c r="U524" s="4"/>
      <c r="V524" s="1" t="str">
        <f t="shared" si="36"/>
        <v>0 г. 0 мес. 0 дн.</v>
      </c>
      <c r="W524" s="5"/>
    </row>
    <row r="525" spans="1:23" ht="34.5" customHeight="1" x14ac:dyDescent="0.25">
      <c r="A525" s="1">
        <f t="shared" si="37"/>
        <v>524</v>
      </c>
      <c r="B525" s="1"/>
      <c r="C525" s="2"/>
      <c r="E525" s="4"/>
      <c r="G525" s="3"/>
      <c r="H525" s="1" t="str">
        <f t="shared" si="38"/>
        <v>0 г. 0 мес. 0 дн.</v>
      </c>
      <c r="I525" s="1" t="s">
        <v>39</v>
      </c>
      <c r="T525" s="3"/>
      <c r="U525" s="4"/>
      <c r="V525" s="1" t="str">
        <f t="shared" si="36"/>
        <v>0 г. 0 мес. 0 дн.</v>
      </c>
      <c r="W525" s="5"/>
    </row>
    <row r="526" spans="1:23" ht="34.5" customHeight="1" x14ac:dyDescent="0.25">
      <c r="A526" s="1">
        <f t="shared" si="37"/>
        <v>525</v>
      </c>
      <c r="B526" s="1"/>
      <c r="C526" s="2"/>
      <c r="E526" s="4"/>
      <c r="G526" s="3"/>
      <c r="H526" s="1" t="str">
        <f t="shared" si="38"/>
        <v>0 г. 0 мес. 0 дн.</v>
      </c>
      <c r="I526" s="1" t="s">
        <v>39</v>
      </c>
      <c r="T526" s="3"/>
      <c r="U526" s="4"/>
      <c r="V526" s="1" t="str">
        <f t="shared" si="36"/>
        <v>0 г. 0 мес. 0 дн.</v>
      </c>
      <c r="W526" s="5"/>
    </row>
    <row r="527" spans="1:23" ht="34.5" customHeight="1" x14ac:dyDescent="0.25">
      <c r="A527" s="1">
        <f t="shared" si="37"/>
        <v>526</v>
      </c>
      <c r="B527" s="1"/>
      <c r="C527" s="2"/>
      <c r="E527" s="4"/>
      <c r="G527" s="3"/>
      <c r="H527" s="1" t="str">
        <f t="shared" si="38"/>
        <v>0 г. 0 мес. 0 дн.</v>
      </c>
      <c r="I527" s="1" t="s">
        <v>39</v>
      </c>
      <c r="T527" s="3"/>
      <c r="U527" s="4"/>
      <c r="V527" s="1" t="str">
        <f t="shared" si="36"/>
        <v>0 г. 0 мес. 0 дн.</v>
      </c>
      <c r="W527" s="5"/>
    </row>
    <row r="528" spans="1:23" ht="34.5" customHeight="1" x14ac:dyDescent="0.25">
      <c r="A528" s="1">
        <f t="shared" si="37"/>
        <v>527</v>
      </c>
      <c r="B528" s="1"/>
      <c r="C528" s="2"/>
      <c r="E528" s="4"/>
      <c r="G528" s="3"/>
      <c r="H528" s="1" t="str">
        <f t="shared" si="38"/>
        <v>0 г. 0 мес. 0 дн.</v>
      </c>
      <c r="I528" s="1" t="s">
        <v>39</v>
      </c>
      <c r="T528" s="3"/>
      <c r="U528" s="4"/>
      <c r="V528" s="1" t="str">
        <f t="shared" si="36"/>
        <v>0 г. 0 мес. 0 дн.</v>
      </c>
      <c r="W528" s="5"/>
    </row>
    <row r="529" spans="1:23" ht="34.5" customHeight="1" x14ac:dyDescent="0.25">
      <c r="A529" s="1">
        <f t="shared" si="37"/>
        <v>528</v>
      </c>
      <c r="B529" s="1"/>
      <c r="C529" s="2"/>
      <c r="E529" s="4"/>
      <c r="G529" s="3"/>
      <c r="H529" s="1" t="str">
        <f t="shared" si="38"/>
        <v>0 г. 0 мес. 0 дн.</v>
      </c>
      <c r="I529" s="1" t="s">
        <v>39</v>
      </c>
      <c r="T529" s="3"/>
      <c r="V529" s="1" t="str">
        <f t="shared" si="36"/>
        <v>0 г. 0 мес. 0 дн.</v>
      </c>
      <c r="W529" s="5"/>
    </row>
    <row r="530" spans="1:23" ht="34.5" customHeight="1" x14ac:dyDescent="0.25">
      <c r="A530" s="1">
        <f t="shared" si="37"/>
        <v>529</v>
      </c>
      <c r="B530" s="1"/>
      <c r="C530" s="2"/>
      <c r="E530" s="4"/>
      <c r="G530" s="3"/>
      <c r="H530" s="1" t="str">
        <f t="shared" si="38"/>
        <v>0 г. 0 мес. 0 дн.</v>
      </c>
      <c r="I530" s="1" t="s">
        <v>39</v>
      </c>
      <c r="T530" s="3"/>
      <c r="U530" s="4"/>
      <c r="V530" s="1" t="str">
        <f t="shared" si="36"/>
        <v>0 г. 0 мес. 0 дн.</v>
      </c>
      <c r="W530" s="5"/>
    </row>
    <row r="531" spans="1:23" ht="34.5" customHeight="1" x14ac:dyDescent="0.25">
      <c r="A531" s="1">
        <f t="shared" si="37"/>
        <v>530</v>
      </c>
      <c r="B531" s="1"/>
      <c r="C531" s="2"/>
      <c r="E531" s="4"/>
      <c r="G531" s="3"/>
      <c r="H531" s="1" t="str">
        <f t="shared" si="38"/>
        <v>0 г. 0 мес. 0 дн.</v>
      </c>
      <c r="I531" s="1" t="s">
        <v>39</v>
      </c>
      <c r="T531" s="3"/>
      <c r="U531" s="4"/>
      <c r="V531" s="1" t="str">
        <f t="shared" si="36"/>
        <v>0 г. 0 мес. 0 дн.</v>
      </c>
      <c r="W531" s="5"/>
    </row>
    <row r="532" spans="1:23" ht="34.5" customHeight="1" x14ac:dyDescent="0.25">
      <c r="A532" s="1">
        <f t="shared" si="37"/>
        <v>531</v>
      </c>
      <c r="B532" s="1"/>
      <c r="C532" s="2"/>
      <c r="E532" s="4"/>
      <c r="G532" s="3"/>
      <c r="H532" s="1" t="str">
        <f t="shared" si="38"/>
        <v>0 г. 0 мес. 0 дн.</v>
      </c>
      <c r="I532" s="1" t="s">
        <v>39</v>
      </c>
      <c r="T532" s="3"/>
      <c r="U532" s="4"/>
      <c r="V532" s="1" t="str">
        <f t="shared" si="36"/>
        <v>0 г. 0 мес. 0 дн.</v>
      </c>
      <c r="W532" s="5"/>
    </row>
    <row r="533" spans="1:23" ht="34.5" customHeight="1" x14ac:dyDescent="0.25">
      <c r="A533" s="1">
        <f t="shared" si="37"/>
        <v>532</v>
      </c>
      <c r="B533" s="1"/>
      <c r="C533" s="2"/>
      <c r="E533" s="4"/>
      <c r="G533" s="3"/>
      <c r="H533" s="1" t="str">
        <f t="shared" si="38"/>
        <v>0 г. 0 мес. 0 дн.</v>
      </c>
      <c r="I533" s="1" t="s">
        <v>39</v>
      </c>
      <c r="T533" s="3"/>
      <c r="U533" s="4"/>
      <c r="V533" s="1" t="str">
        <f t="shared" si="36"/>
        <v>0 г. 0 мес. 0 дн.</v>
      </c>
      <c r="W533" s="5"/>
    </row>
    <row r="534" spans="1:23" ht="34.5" customHeight="1" x14ac:dyDescent="0.25">
      <c r="A534" s="1">
        <f t="shared" si="37"/>
        <v>533</v>
      </c>
      <c r="B534" s="1"/>
      <c r="C534" s="2"/>
      <c r="E534" s="4"/>
      <c r="G534" s="3"/>
      <c r="H534" s="1" t="str">
        <f t="shared" si="38"/>
        <v>0 г. 0 мес. 0 дн.</v>
      </c>
      <c r="I534" s="1" t="s">
        <v>39</v>
      </c>
      <c r="T534" s="3"/>
      <c r="U534" s="4"/>
      <c r="V534" s="1" t="str">
        <f t="shared" si="36"/>
        <v>0 г. 0 мес. 0 дн.</v>
      </c>
      <c r="W534" s="5"/>
    </row>
    <row r="535" spans="1:23" ht="34.5" customHeight="1" x14ac:dyDescent="0.25">
      <c r="A535" s="1">
        <f t="shared" si="37"/>
        <v>534</v>
      </c>
      <c r="B535" s="1"/>
      <c r="C535" s="2"/>
      <c r="E535" s="4"/>
      <c r="G535" s="3"/>
      <c r="H535" s="1" t="str">
        <f t="shared" si="38"/>
        <v>0 г. 0 мес. 0 дн.</v>
      </c>
      <c r="I535" s="1" t="s">
        <v>39</v>
      </c>
      <c r="T535" s="3"/>
      <c r="U535" s="4"/>
      <c r="V535" s="1" t="str">
        <f t="shared" si="36"/>
        <v>0 г. 0 мес. 0 дн.</v>
      </c>
      <c r="W535" s="5"/>
    </row>
    <row r="536" spans="1:23" ht="34.5" customHeight="1" x14ac:dyDescent="0.25">
      <c r="A536" s="1">
        <f t="shared" si="37"/>
        <v>535</v>
      </c>
      <c r="B536" s="1"/>
      <c r="C536" s="2"/>
      <c r="E536" s="4"/>
      <c r="G536" s="3"/>
      <c r="H536" s="1" t="str">
        <f t="shared" si="38"/>
        <v>0 г. 0 мес. 0 дн.</v>
      </c>
      <c r="I536" s="1" t="s">
        <v>39</v>
      </c>
      <c r="T536" s="3"/>
      <c r="U536" s="4"/>
      <c r="V536" s="1" t="str">
        <f t="shared" si="36"/>
        <v>0 г. 0 мес. 0 дн.</v>
      </c>
      <c r="W536" s="5"/>
    </row>
    <row r="537" spans="1:23" ht="34.5" customHeight="1" x14ac:dyDescent="0.25">
      <c r="A537" s="1">
        <f t="shared" si="37"/>
        <v>536</v>
      </c>
      <c r="B537" s="1"/>
      <c r="C537" s="2"/>
      <c r="E537" s="4"/>
      <c r="G537" s="3"/>
      <c r="H537" s="1" t="str">
        <f t="shared" si="38"/>
        <v>0 г. 0 мес. 0 дн.</v>
      </c>
      <c r="I537" s="1" t="s">
        <v>39</v>
      </c>
      <c r="T537" s="3"/>
      <c r="U537" s="4"/>
      <c r="V537" s="1" t="str">
        <f t="shared" si="36"/>
        <v>0 г. 0 мес. 0 дн.</v>
      </c>
      <c r="W537" s="5"/>
    </row>
    <row r="538" spans="1:23" ht="34.5" customHeight="1" x14ac:dyDescent="0.25">
      <c r="A538" s="1">
        <f t="shared" si="37"/>
        <v>537</v>
      </c>
      <c r="B538" s="1"/>
      <c r="C538" s="2"/>
      <c r="E538" s="4"/>
      <c r="G538" s="3"/>
      <c r="H538" s="1" t="str">
        <f t="shared" si="38"/>
        <v>0 г. 0 мес. 0 дн.</v>
      </c>
      <c r="I538" s="1" t="s">
        <v>39</v>
      </c>
      <c r="T538" s="3"/>
      <c r="U538" s="4"/>
      <c r="V538" s="1" t="str">
        <f t="shared" si="36"/>
        <v>0 г. 0 мес. 0 дн.</v>
      </c>
      <c r="W538" s="5"/>
    </row>
    <row r="539" spans="1:23" ht="34.5" customHeight="1" x14ac:dyDescent="0.25">
      <c r="A539" s="1">
        <f t="shared" si="37"/>
        <v>538</v>
      </c>
      <c r="B539" s="1"/>
      <c r="C539" s="2"/>
      <c r="E539" s="4"/>
      <c r="G539" s="3"/>
      <c r="H539" s="1" t="str">
        <f t="shared" si="38"/>
        <v>0 г. 0 мес. 0 дн.</v>
      </c>
      <c r="I539" s="1" t="s">
        <v>39</v>
      </c>
      <c r="T539" s="3"/>
      <c r="U539" s="4"/>
      <c r="V539" s="1" t="str">
        <f t="shared" si="36"/>
        <v>0 г. 0 мес. 0 дн.</v>
      </c>
      <c r="W539" s="5"/>
    </row>
    <row r="540" spans="1:23" ht="34.5" customHeight="1" x14ac:dyDescent="0.25">
      <c r="A540" s="1">
        <f t="shared" si="37"/>
        <v>539</v>
      </c>
      <c r="B540" s="1"/>
      <c r="C540" s="2"/>
      <c r="E540" s="4"/>
      <c r="G540" s="3"/>
      <c r="H540" s="1" t="str">
        <f t="shared" si="38"/>
        <v>0 г. 0 мес. 0 дн.</v>
      </c>
      <c r="I540" s="1" t="s">
        <v>39</v>
      </c>
      <c r="T540" s="3"/>
      <c r="U540" s="4"/>
      <c r="V540" s="1" t="str">
        <f t="shared" si="36"/>
        <v>0 г. 0 мес. 0 дн.</v>
      </c>
      <c r="W540" s="5"/>
    </row>
    <row r="541" spans="1:23" ht="34.5" customHeight="1" x14ac:dyDescent="0.25">
      <c r="A541" s="1">
        <f t="shared" si="37"/>
        <v>540</v>
      </c>
      <c r="B541" s="1"/>
      <c r="C541" s="2"/>
      <c r="E541" s="4"/>
      <c r="G541" s="3"/>
      <c r="H541" s="1" t="str">
        <f t="shared" si="38"/>
        <v>0 г. 0 мес. 0 дн.</v>
      </c>
      <c r="I541" s="1" t="s">
        <v>39</v>
      </c>
      <c r="T541" s="3"/>
      <c r="U541" s="4"/>
      <c r="V541" s="1" t="str">
        <f t="shared" si="36"/>
        <v>0 г. 0 мес. 0 дн.</v>
      </c>
      <c r="W541" s="5"/>
    </row>
    <row r="542" spans="1:23" ht="34.5" customHeight="1" x14ac:dyDescent="0.25">
      <c r="A542" s="1">
        <f t="shared" si="37"/>
        <v>541</v>
      </c>
      <c r="B542" s="1"/>
      <c r="C542" s="2"/>
      <c r="E542" s="4"/>
      <c r="G542" s="3"/>
      <c r="H542" s="1" t="str">
        <f t="shared" si="38"/>
        <v>0 г. 0 мес. 0 дн.</v>
      </c>
      <c r="I542" s="1" t="s">
        <v>39</v>
      </c>
      <c r="T542" s="3"/>
      <c r="U542" s="4"/>
      <c r="V542" s="1" t="str">
        <f t="shared" si="36"/>
        <v>0 г. 0 мес. 0 дн.</v>
      </c>
      <c r="W542" s="5"/>
    </row>
    <row r="543" spans="1:23" ht="34.5" customHeight="1" x14ac:dyDescent="0.25">
      <c r="A543" s="1">
        <f t="shared" si="37"/>
        <v>542</v>
      </c>
      <c r="B543" s="1"/>
      <c r="C543" s="2"/>
      <c r="E543" s="4"/>
      <c r="G543" s="3"/>
      <c r="H543" s="1" t="str">
        <f t="shared" si="38"/>
        <v>0 г. 0 мес. 0 дн.</v>
      </c>
      <c r="I543" s="1" t="s">
        <v>39</v>
      </c>
      <c r="T543" s="3"/>
      <c r="U543" s="4"/>
      <c r="V543" s="1" t="str">
        <f t="shared" si="36"/>
        <v>0 г. 0 мес. 0 дн.</v>
      </c>
      <c r="W543" s="5"/>
    </row>
    <row r="544" spans="1:23" ht="34.5" customHeight="1" x14ac:dyDescent="0.25">
      <c r="A544" s="1">
        <f t="shared" si="37"/>
        <v>543</v>
      </c>
      <c r="B544" s="1"/>
      <c r="C544" s="2"/>
      <c r="E544" s="4"/>
      <c r="G544" s="3"/>
      <c r="H544" s="1" t="str">
        <f t="shared" si="38"/>
        <v>0 г. 0 мес. 0 дн.</v>
      </c>
      <c r="I544" s="1" t="s">
        <v>39</v>
      </c>
      <c r="T544" s="3"/>
      <c r="U544" s="4"/>
      <c r="V544" s="1" t="str">
        <f t="shared" si="36"/>
        <v>0 г. 0 мес. 0 дн.</v>
      </c>
      <c r="W544" s="5"/>
    </row>
    <row r="545" spans="1:23" ht="34.5" customHeight="1" x14ac:dyDescent="0.25">
      <c r="A545" s="1">
        <f t="shared" si="37"/>
        <v>544</v>
      </c>
      <c r="B545" s="1"/>
      <c r="C545" s="2"/>
      <c r="E545" s="4"/>
      <c r="G545" s="3"/>
      <c r="H545" s="1" t="str">
        <f t="shared" si="38"/>
        <v>0 г. 0 мес. 0 дн.</v>
      </c>
      <c r="I545" s="1" t="s">
        <v>39</v>
      </c>
      <c r="T545" s="3"/>
      <c r="U545" s="4"/>
      <c r="V545" s="1" t="str">
        <f t="shared" si="36"/>
        <v>0 г. 0 мес. 0 дн.</v>
      </c>
      <c r="W545" s="5"/>
    </row>
    <row r="546" spans="1:23" ht="34.5" customHeight="1" x14ac:dyDescent="0.25">
      <c r="A546" s="1">
        <f t="shared" si="37"/>
        <v>545</v>
      </c>
      <c r="B546" s="1"/>
      <c r="C546" s="2"/>
      <c r="E546" s="4"/>
      <c r="G546" s="3"/>
      <c r="H546" s="1" t="str">
        <f t="shared" si="38"/>
        <v>0 г. 0 мес. 0 дн.</v>
      </c>
      <c r="I546" s="1" t="s">
        <v>39</v>
      </c>
      <c r="T546" s="3"/>
      <c r="U546" s="4"/>
      <c r="V546" s="1" t="str">
        <f t="shared" si="36"/>
        <v>0 г. 0 мес. 0 дн.</v>
      </c>
      <c r="W546" s="5"/>
    </row>
    <row r="547" spans="1:23" ht="34.5" customHeight="1" x14ac:dyDescent="0.25">
      <c r="A547" s="1">
        <f t="shared" si="37"/>
        <v>546</v>
      </c>
      <c r="B547" s="1"/>
      <c r="C547" s="2"/>
      <c r="E547" s="4"/>
      <c r="G547" s="3"/>
      <c r="H547" s="1" t="str">
        <f t="shared" si="38"/>
        <v>0 г. 0 мес. 0 дн.</v>
      </c>
      <c r="I547" s="1" t="s">
        <v>39</v>
      </c>
      <c r="T547" s="3"/>
      <c r="U547" s="4"/>
      <c r="V547" s="1" t="str">
        <f t="shared" si="36"/>
        <v>0 г. 0 мес. 0 дн.</v>
      </c>
      <c r="W547" s="5"/>
    </row>
    <row r="548" spans="1:23" ht="34.5" customHeight="1" x14ac:dyDescent="0.25">
      <c r="A548" s="1">
        <f t="shared" si="37"/>
        <v>547</v>
      </c>
      <c r="B548" s="1"/>
      <c r="C548" s="2"/>
      <c r="E548" s="4"/>
      <c r="G548" s="3"/>
      <c r="H548" s="1" t="str">
        <f t="shared" si="38"/>
        <v>0 г. 0 мес. 0 дн.</v>
      </c>
      <c r="I548" s="1" t="s">
        <v>39</v>
      </c>
      <c r="T548" s="3"/>
      <c r="U548" s="4"/>
      <c r="V548" s="1" t="str">
        <f t="shared" si="36"/>
        <v>0 г. 0 мес. 0 дн.</v>
      </c>
      <c r="W548" s="5"/>
    </row>
    <row r="549" spans="1:23" ht="34.5" customHeight="1" x14ac:dyDescent="0.25">
      <c r="A549" s="1">
        <f t="shared" si="37"/>
        <v>548</v>
      </c>
      <c r="B549" s="1"/>
      <c r="C549" s="2"/>
      <c r="E549" s="4"/>
      <c r="G549" s="3"/>
      <c r="H549" s="1" t="str">
        <f t="shared" si="38"/>
        <v>0 г. 0 мес. 0 дн.</v>
      </c>
      <c r="I549" s="1" t="s">
        <v>39</v>
      </c>
      <c r="T549" s="3"/>
      <c r="U549" s="4"/>
      <c r="V549" s="1" t="str">
        <f t="shared" si="36"/>
        <v>0 г. 0 мес. 0 дн.</v>
      </c>
      <c r="W549" s="5"/>
    </row>
    <row r="550" spans="1:23" ht="34.5" customHeight="1" x14ac:dyDescent="0.25">
      <c r="A550" s="1">
        <f t="shared" si="37"/>
        <v>549</v>
      </c>
      <c r="B550" s="1"/>
      <c r="C550" s="2"/>
      <c r="E550" s="4"/>
      <c r="G550" s="3"/>
      <c r="H550" s="1" t="str">
        <f t="shared" si="38"/>
        <v>0 г. 0 мес. 0 дн.</v>
      </c>
      <c r="I550" s="1" t="s">
        <v>39</v>
      </c>
      <c r="T550" s="3"/>
      <c r="U550" s="4"/>
      <c r="V550" s="1" t="str">
        <f t="shared" si="36"/>
        <v>0 г. 0 мес. 0 дн.</v>
      </c>
      <c r="W550" s="5"/>
    </row>
    <row r="551" spans="1:23" ht="34.5" customHeight="1" x14ac:dyDescent="0.25">
      <c r="A551" s="1">
        <f t="shared" si="37"/>
        <v>550</v>
      </c>
      <c r="B551" s="1"/>
      <c r="C551" s="2"/>
      <c r="E551" s="4"/>
      <c r="G551" s="3"/>
      <c r="H551" s="1" t="str">
        <f t="shared" si="38"/>
        <v>0 г. 0 мес. 0 дн.</v>
      </c>
      <c r="I551" s="1" t="s">
        <v>39</v>
      </c>
      <c r="T551" s="3"/>
      <c r="U551" s="4"/>
      <c r="V551" s="1" t="str">
        <f t="shared" si="36"/>
        <v>0 г. 0 мес. 0 дн.</v>
      </c>
      <c r="W551" s="5"/>
    </row>
    <row r="552" spans="1:23" ht="34.5" customHeight="1" x14ac:dyDescent="0.25">
      <c r="A552" s="1">
        <f t="shared" si="37"/>
        <v>551</v>
      </c>
      <c r="B552" s="1"/>
      <c r="C552" s="2"/>
      <c r="E552" s="4"/>
      <c r="G552" s="3"/>
      <c r="H552" s="1" t="str">
        <f t="shared" si="38"/>
        <v>0 г. 0 мес. 0 дн.</v>
      </c>
      <c r="I552" s="1" t="s">
        <v>39</v>
      </c>
      <c r="T552" s="3"/>
      <c r="U552" s="4"/>
      <c r="V552" s="1" t="str">
        <f t="shared" si="36"/>
        <v>0 г. 0 мес. 0 дн.</v>
      </c>
      <c r="W552" s="5"/>
    </row>
    <row r="553" spans="1:23" ht="34.5" customHeight="1" x14ac:dyDescent="0.25">
      <c r="A553" s="1">
        <f t="shared" si="37"/>
        <v>552</v>
      </c>
      <c r="B553" s="1"/>
      <c r="C553" s="2"/>
      <c r="E553" s="4"/>
      <c r="G553" s="3"/>
      <c r="H553" s="1" t="str">
        <f t="shared" si="38"/>
        <v>0 г. 0 мес. 0 дн.</v>
      </c>
      <c r="I553" s="1" t="s">
        <v>39</v>
      </c>
      <c r="T553" s="3"/>
      <c r="U553" s="4"/>
      <c r="V553" s="1" t="str">
        <f t="shared" si="36"/>
        <v>0 г. 0 мес. 0 дн.</v>
      </c>
      <c r="W553" s="5"/>
    </row>
    <row r="554" spans="1:23" ht="34.5" customHeight="1" x14ac:dyDescent="0.25">
      <c r="A554" s="1">
        <f t="shared" si="37"/>
        <v>553</v>
      </c>
      <c r="B554" s="1"/>
      <c r="C554" s="2"/>
      <c r="E554" s="4"/>
      <c r="G554" s="3"/>
      <c r="H554" s="1" t="str">
        <f t="shared" si="38"/>
        <v>0 г. 0 мес. 0 дн.</v>
      </c>
      <c r="I554" s="1" t="s">
        <v>39</v>
      </c>
      <c r="T554" s="3"/>
      <c r="U554" s="4"/>
      <c r="V554" s="1" t="str">
        <f t="shared" si="36"/>
        <v>0 г. 0 мес. 0 дн.</v>
      </c>
      <c r="W554" s="5"/>
    </row>
    <row r="555" spans="1:23" ht="34.5" customHeight="1" x14ac:dyDescent="0.25">
      <c r="A555" s="1">
        <f t="shared" si="37"/>
        <v>554</v>
      </c>
      <c r="B555" s="1"/>
      <c r="C555" s="2"/>
      <c r="E555" s="4"/>
      <c r="G555" s="3"/>
      <c r="H555" s="1" t="str">
        <f t="shared" si="38"/>
        <v>0 г. 0 мес. 0 дн.</v>
      </c>
      <c r="I555" s="1" t="s">
        <v>39</v>
      </c>
      <c r="T555" s="3"/>
      <c r="U555" s="4"/>
      <c r="V555" s="1" t="str">
        <f t="shared" si="36"/>
        <v>0 г. 0 мес. 0 дн.</v>
      </c>
      <c r="W555" s="5"/>
    </row>
    <row r="556" spans="1:23" ht="34.5" customHeight="1" x14ac:dyDescent="0.25">
      <c r="A556" s="1">
        <f t="shared" si="37"/>
        <v>555</v>
      </c>
      <c r="B556" s="1"/>
      <c r="C556" s="2"/>
      <c r="E556" s="4"/>
      <c r="G556" s="3"/>
      <c r="H556" s="1" t="str">
        <f t="shared" si="38"/>
        <v>0 г. 0 мес. 0 дн.</v>
      </c>
      <c r="I556" s="1" t="s">
        <v>39</v>
      </c>
      <c r="T556" s="3"/>
      <c r="U556" s="4"/>
      <c r="V556" s="1" t="str">
        <f t="shared" si="36"/>
        <v>0 г. 0 мес. 0 дн.</v>
      </c>
      <c r="W556" s="5"/>
    </row>
    <row r="557" spans="1:23" ht="34.5" customHeight="1" x14ac:dyDescent="0.25">
      <c r="A557" s="1">
        <f t="shared" si="37"/>
        <v>556</v>
      </c>
      <c r="B557" s="1"/>
      <c r="C557" s="2"/>
      <c r="E557" s="4"/>
      <c r="G557" s="3"/>
      <c r="H557" s="1" t="str">
        <f t="shared" si="38"/>
        <v>0 г. 0 мес. 0 дн.</v>
      </c>
      <c r="I557" s="1" t="s">
        <v>39</v>
      </c>
      <c r="T557" s="3"/>
      <c r="U557" s="4"/>
      <c r="V557" s="1" t="str">
        <f t="shared" si="36"/>
        <v>0 г. 0 мес. 0 дн.</v>
      </c>
      <c r="W557" s="5"/>
    </row>
    <row r="558" spans="1:23" ht="34.5" customHeight="1" x14ac:dyDescent="0.25">
      <c r="A558" s="1">
        <f t="shared" si="37"/>
        <v>557</v>
      </c>
      <c r="B558" s="1"/>
      <c r="C558" s="2"/>
      <c r="E558" s="4"/>
      <c r="G558" s="3"/>
      <c r="H558" s="1" t="str">
        <f t="shared" si="38"/>
        <v>0 г. 0 мес. 0 дн.</v>
      </c>
      <c r="I558" s="1" t="s">
        <v>39</v>
      </c>
      <c r="T558" s="3"/>
      <c r="U558" s="4"/>
      <c r="V558" s="1" t="str">
        <f t="shared" si="36"/>
        <v>0 г. 0 мес. 0 дн.</v>
      </c>
      <c r="W558" s="5"/>
    </row>
    <row r="559" spans="1:23" ht="34.5" customHeight="1" x14ac:dyDescent="0.25">
      <c r="A559" s="1">
        <f t="shared" si="37"/>
        <v>558</v>
      </c>
      <c r="B559" s="1"/>
      <c r="C559" s="2"/>
      <c r="E559" s="4"/>
      <c r="G559" s="3"/>
      <c r="H559" s="1" t="str">
        <f t="shared" si="38"/>
        <v>0 г. 0 мес. 0 дн.</v>
      </c>
      <c r="I559" s="1" t="s">
        <v>39</v>
      </c>
      <c r="T559" s="3"/>
      <c r="U559" s="4"/>
      <c r="V559" s="1" t="str">
        <f t="shared" si="36"/>
        <v>0 г. 0 мес. 0 дн.</v>
      </c>
      <c r="W559" s="5"/>
    </row>
    <row r="560" spans="1:23" ht="34.5" customHeight="1" x14ac:dyDescent="0.25">
      <c r="A560" s="1">
        <f t="shared" si="37"/>
        <v>559</v>
      </c>
      <c r="B560" s="1"/>
      <c r="C560" s="2"/>
      <c r="E560" s="4"/>
      <c r="G560" s="3"/>
      <c r="H560" s="1" t="str">
        <f t="shared" si="38"/>
        <v>0 г. 0 мес. 0 дн.</v>
      </c>
      <c r="I560" s="1" t="s">
        <v>39</v>
      </c>
      <c r="T560" s="3"/>
      <c r="U560" s="4"/>
      <c r="V560" s="1" t="str">
        <f t="shared" si="36"/>
        <v>0 г. 0 мес. 0 дн.</v>
      </c>
      <c r="W560" s="5"/>
    </row>
    <row r="561" spans="1:23" ht="34.5" customHeight="1" x14ac:dyDescent="0.25">
      <c r="A561" s="1">
        <f t="shared" si="37"/>
        <v>560</v>
      </c>
      <c r="B561" s="1"/>
      <c r="C561" s="2"/>
      <c r="E561" s="4"/>
      <c r="G561" s="3"/>
      <c r="H561" s="1" t="str">
        <f t="shared" si="38"/>
        <v>0 г. 0 мес. 0 дн.</v>
      </c>
      <c r="I561" s="1" t="s">
        <v>39</v>
      </c>
      <c r="T561" s="3"/>
      <c r="U561" s="4"/>
      <c r="V561" s="1" t="str">
        <f t="shared" ref="V561:V624" si="39">DATEDIF(D561,T561,"y") &amp; " г. " &amp; DATEDIF(D561,T561,"ym") &amp; " мес. " &amp; DATEDIF(D561,T561,"md") &amp; " дн."</f>
        <v>0 г. 0 мес. 0 дн.</v>
      </c>
      <c r="W561" s="5"/>
    </row>
    <row r="562" spans="1:23" ht="34.5" customHeight="1" x14ac:dyDescent="0.25">
      <c r="A562" s="1">
        <f t="shared" si="37"/>
        <v>561</v>
      </c>
      <c r="B562" s="1"/>
      <c r="C562" s="2"/>
      <c r="E562" s="4"/>
      <c r="G562" s="3"/>
      <c r="H562" s="1" t="str">
        <f t="shared" si="38"/>
        <v>0 г. 0 мес. 0 дн.</v>
      </c>
      <c r="I562" s="1" t="s">
        <v>39</v>
      </c>
      <c r="T562" s="3"/>
      <c r="U562" s="4"/>
      <c r="V562" s="1" t="str">
        <f t="shared" si="39"/>
        <v>0 г. 0 мес. 0 дн.</v>
      </c>
      <c r="W562" s="5"/>
    </row>
    <row r="563" spans="1:23" ht="34.5" customHeight="1" x14ac:dyDescent="0.25">
      <c r="A563" s="1">
        <f t="shared" si="37"/>
        <v>562</v>
      </c>
      <c r="B563" s="1"/>
      <c r="C563" s="2"/>
      <c r="E563" s="4"/>
      <c r="G563" s="3"/>
      <c r="H563" s="1" t="str">
        <f t="shared" si="38"/>
        <v>0 г. 0 мес. 0 дн.</v>
      </c>
      <c r="I563" s="1" t="s">
        <v>39</v>
      </c>
      <c r="T563" s="3"/>
      <c r="U563" s="4"/>
      <c r="V563" s="1" t="str">
        <f t="shared" si="39"/>
        <v>0 г. 0 мес. 0 дн.</v>
      </c>
      <c r="W563" s="5"/>
    </row>
    <row r="564" spans="1:23" ht="34.5" customHeight="1" x14ac:dyDescent="0.25">
      <c r="A564" s="1">
        <f t="shared" si="37"/>
        <v>563</v>
      </c>
      <c r="B564" s="1"/>
      <c r="C564" s="2"/>
      <c r="E564" s="4"/>
      <c r="G564" s="3"/>
      <c r="H564" s="1" t="str">
        <f t="shared" si="38"/>
        <v>0 г. 0 мес. 0 дн.</v>
      </c>
      <c r="I564" s="1" t="s">
        <v>39</v>
      </c>
      <c r="T564" s="3"/>
      <c r="U564" s="4"/>
      <c r="V564" s="1" t="str">
        <f t="shared" si="39"/>
        <v>0 г. 0 мес. 0 дн.</v>
      </c>
      <c r="W564" s="5"/>
    </row>
    <row r="565" spans="1:23" ht="34.5" customHeight="1" x14ac:dyDescent="0.25">
      <c r="A565" s="1">
        <f t="shared" si="37"/>
        <v>564</v>
      </c>
      <c r="B565" s="1"/>
      <c r="C565" s="2"/>
      <c r="E565" s="4"/>
      <c r="G565" s="3"/>
      <c r="H565" s="1" t="str">
        <f t="shared" si="38"/>
        <v>0 г. 0 мес. 0 дн.</v>
      </c>
      <c r="I565" s="1" t="s">
        <v>39</v>
      </c>
      <c r="T565" s="3"/>
      <c r="U565" s="4"/>
      <c r="V565" s="1" t="str">
        <f t="shared" si="39"/>
        <v>0 г. 0 мес. 0 дн.</v>
      </c>
      <c r="W565" s="5"/>
    </row>
    <row r="566" spans="1:23" ht="34.5" customHeight="1" x14ac:dyDescent="0.25">
      <c r="A566" s="1">
        <f t="shared" si="37"/>
        <v>565</v>
      </c>
      <c r="B566" s="1"/>
      <c r="C566" s="2"/>
      <c r="E566" s="4"/>
      <c r="G566" s="3"/>
      <c r="H566" s="1" t="str">
        <f t="shared" si="38"/>
        <v>0 г. 0 мес. 0 дн.</v>
      </c>
      <c r="I566" s="1" t="s">
        <v>39</v>
      </c>
      <c r="T566" s="3"/>
      <c r="U566" s="4"/>
      <c r="V566" s="1" t="str">
        <f t="shared" si="39"/>
        <v>0 г. 0 мес. 0 дн.</v>
      </c>
      <c r="W566" s="5"/>
    </row>
    <row r="567" spans="1:23" ht="34.5" customHeight="1" x14ac:dyDescent="0.25">
      <c r="A567" s="1">
        <f t="shared" si="37"/>
        <v>566</v>
      </c>
      <c r="B567" s="1"/>
      <c r="C567" s="2"/>
      <c r="E567" s="4"/>
      <c r="G567" s="3"/>
      <c r="H567" s="1" t="str">
        <f t="shared" si="38"/>
        <v>0 г. 0 мес. 0 дн.</v>
      </c>
      <c r="I567" s="1" t="s">
        <v>39</v>
      </c>
      <c r="T567" s="3"/>
      <c r="U567" s="4"/>
      <c r="V567" s="1" t="str">
        <f t="shared" si="39"/>
        <v>0 г. 0 мес. 0 дн.</v>
      </c>
      <c r="W567" s="5"/>
    </row>
    <row r="568" spans="1:23" ht="34.5" customHeight="1" x14ac:dyDescent="0.25">
      <c r="A568" s="1">
        <f t="shared" si="37"/>
        <v>567</v>
      </c>
      <c r="B568" s="1"/>
      <c r="C568" s="2"/>
      <c r="E568" s="4"/>
      <c r="G568" s="3"/>
      <c r="H568" s="1" t="str">
        <f t="shared" si="38"/>
        <v>0 г. 0 мес. 0 дн.</v>
      </c>
      <c r="I568" s="1" t="s">
        <v>39</v>
      </c>
      <c r="T568" s="3"/>
      <c r="U568" s="4"/>
      <c r="V568" s="1" t="str">
        <f t="shared" si="39"/>
        <v>0 г. 0 мес. 0 дн.</v>
      </c>
      <c r="W568" s="5"/>
    </row>
    <row r="569" spans="1:23" ht="34.5" customHeight="1" x14ac:dyDescent="0.25">
      <c r="A569" s="1">
        <f t="shared" si="37"/>
        <v>568</v>
      </c>
      <c r="B569" s="1"/>
      <c r="C569" s="2"/>
      <c r="E569" s="4"/>
      <c r="G569" s="3"/>
      <c r="H569" s="1" t="str">
        <f t="shared" si="38"/>
        <v>0 г. 0 мес. 0 дн.</v>
      </c>
      <c r="I569" s="1" t="s">
        <v>39</v>
      </c>
      <c r="T569" s="3"/>
      <c r="U569" s="4"/>
      <c r="V569" s="1" t="str">
        <f t="shared" si="39"/>
        <v>0 г. 0 мес. 0 дн.</v>
      </c>
      <c r="W569" s="5"/>
    </row>
    <row r="570" spans="1:23" ht="34.5" customHeight="1" x14ac:dyDescent="0.25">
      <c r="A570" s="1">
        <f t="shared" si="37"/>
        <v>569</v>
      </c>
      <c r="B570" s="1"/>
      <c r="C570" s="2"/>
      <c r="E570" s="4"/>
      <c r="G570" s="3"/>
      <c r="H570" s="1" t="str">
        <f t="shared" si="38"/>
        <v>0 г. 0 мес. 0 дн.</v>
      </c>
      <c r="I570" s="1" t="s">
        <v>39</v>
      </c>
      <c r="T570" s="3"/>
      <c r="U570" s="4"/>
      <c r="V570" s="1" t="str">
        <f t="shared" si="39"/>
        <v>0 г. 0 мес. 0 дн.</v>
      </c>
      <c r="W570" s="5"/>
    </row>
    <row r="571" spans="1:23" ht="34.5" customHeight="1" x14ac:dyDescent="0.25">
      <c r="A571" s="1">
        <f t="shared" si="37"/>
        <v>570</v>
      </c>
      <c r="B571" s="1"/>
      <c r="C571" s="2"/>
      <c r="E571" s="4"/>
      <c r="G571" s="3"/>
      <c r="H571" s="1" t="str">
        <f t="shared" si="38"/>
        <v>0 г. 0 мес. 0 дн.</v>
      </c>
      <c r="I571" s="1" t="s">
        <v>39</v>
      </c>
      <c r="T571" s="3"/>
      <c r="U571" s="4"/>
      <c r="V571" s="1" t="str">
        <f t="shared" si="39"/>
        <v>0 г. 0 мес. 0 дн.</v>
      </c>
      <c r="W571" s="5"/>
    </row>
    <row r="572" spans="1:23" ht="34.5" customHeight="1" x14ac:dyDescent="0.25">
      <c r="A572" s="1">
        <f t="shared" si="37"/>
        <v>571</v>
      </c>
      <c r="B572" s="1"/>
      <c r="C572" s="2"/>
      <c r="E572" s="4"/>
      <c r="G572" s="3"/>
      <c r="H572" s="1" t="str">
        <f t="shared" si="38"/>
        <v>0 г. 0 мес. 0 дн.</v>
      </c>
      <c r="I572" s="1" t="s">
        <v>39</v>
      </c>
      <c r="T572" s="3"/>
      <c r="U572" s="4"/>
      <c r="V572" s="1" t="str">
        <f t="shared" si="39"/>
        <v>0 г. 0 мес. 0 дн.</v>
      </c>
      <c r="W572" s="5"/>
    </row>
    <row r="573" spans="1:23" ht="34.5" customHeight="1" x14ac:dyDescent="0.25">
      <c r="A573" s="1">
        <f t="shared" si="37"/>
        <v>572</v>
      </c>
      <c r="B573" s="1"/>
      <c r="C573" s="2"/>
      <c r="E573" s="4"/>
      <c r="G573" s="3"/>
      <c r="H573" s="1" t="str">
        <f t="shared" si="38"/>
        <v>0 г. 0 мес. 0 дн.</v>
      </c>
      <c r="I573" s="1" t="s">
        <v>39</v>
      </c>
      <c r="T573" s="3"/>
      <c r="U573" s="4"/>
      <c r="V573" s="1" t="str">
        <f t="shared" si="39"/>
        <v>0 г. 0 мес. 0 дн.</v>
      </c>
      <c r="W573" s="5"/>
    </row>
    <row r="574" spans="1:23" ht="34.5" customHeight="1" x14ac:dyDescent="0.25">
      <c r="A574" s="1">
        <f t="shared" si="37"/>
        <v>573</v>
      </c>
      <c r="B574" s="1"/>
      <c r="C574" s="2"/>
      <c r="E574" s="4"/>
      <c r="G574" s="3"/>
      <c r="H574" s="1" t="str">
        <f t="shared" si="38"/>
        <v>0 г. 0 мес. 0 дн.</v>
      </c>
      <c r="I574" s="1" t="s">
        <v>39</v>
      </c>
      <c r="T574" s="3"/>
      <c r="U574" s="4"/>
      <c r="V574" s="1" t="str">
        <f t="shared" si="39"/>
        <v>0 г. 0 мес. 0 дн.</v>
      </c>
      <c r="W574" s="5"/>
    </row>
    <row r="575" spans="1:23" ht="34.5" customHeight="1" x14ac:dyDescent="0.25">
      <c r="A575" s="1">
        <f t="shared" si="37"/>
        <v>574</v>
      </c>
      <c r="B575" s="1"/>
      <c r="C575" s="2"/>
      <c r="E575" s="4"/>
      <c r="G575" s="3"/>
      <c r="H575" s="1" t="str">
        <f t="shared" si="38"/>
        <v>0 г. 0 мес. 0 дн.</v>
      </c>
      <c r="I575" s="1" t="s">
        <v>39</v>
      </c>
      <c r="T575" s="3"/>
      <c r="U575" s="4"/>
      <c r="V575" s="1" t="str">
        <f t="shared" si="39"/>
        <v>0 г. 0 мес. 0 дн.</v>
      </c>
      <c r="W575" s="5"/>
    </row>
    <row r="576" spans="1:23" ht="34.5" customHeight="1" x14ac:dyDescent="0.25">
      <c r="A576" s="1">
        <f t="shared" ref="A576:A639" si="40">ROW(A575)</f>
        <v>575</v>
      </c>
      <c r="B576" s="1"/>
      <c r="C576" s="2"/>
      <c r="E576" s="4"/>
      <c r="G576" s="3"/>
      <c r="H576" s="1" t="str">
        <f t="shared" si="38"/>
        <v>0 г. 0 мес. 0 дн.</v>
      </c>
      <c r="I576" s="1" t="s">
        <v>39</v>
      </c>
      <c r="V576" s="1" t="str">
        <f t="shared" si="39"/>
        <v>0 г. 0 мес. 0 дн.</v>
      </c>
      <c r="W576" s="5"/>
    </row>
    <row r="577" spans="1:23" ht="34.5" customHeight="1" x14ac:dyDescent="0.25">
      <c r="A577" s="1">
        <f t="shared" si="40"/>
        <v>576</v>
      </c>
      <c r="B577" s="1"/>
      <c r="C577" s="2"/>
      <c r="E577" s="4"/>
      <c r="G577" s="3"/>
      <c r="H577" s="1" t="str">
        <f t="shared" si="38"/>
        <v>0 г. 0 мес. 0 дн.</v>
      </c>
      <c r="I577" s="1" t="s">
        <v>39</v>
      </c>
      <c r="T577" s="3"/>
      <c r="U577" s="4"/>
      <c r="V577" s="1" t="str">
        <f t="shared" si="39"/>
        <v>0 г. 0 мес. 0 дн.</v>
      </c>
      <c r="W577" s="5"/>
    </row>
    <row r="578" spans="1:23" ht="34.5" customHeight="1" x14ac:dyDescent="0.25">
      <c r="A578" s="1">
        <f t="shared" si="40"/>
        <v>577</v>
      </c>
      <c r="B578" s="1"/>
      <c r="C578" s="2"/>
      <c r="E578" s="4"/>
      <c r="G578" s="3"/>
      <c r="H578" s="1" t="str">
        <f t="shared" ref="H578:H641" si="41">DATEDIF(G578,D578,"y") &amp; " г. " &amp; DATEDIF(G578,D578,"ym") &amp; " мес. " &amp; DATEDIF(G578,D578,"md") &amp; " дн."</f>
        <v>0 г. 0 мес. 0 дн.</v>
      </c>
      <c r="I578" s="1" t="s">
        <v>39</v>
      </c>
      <c r="V578" s="1" t="str">
        <f t="shared" si="39"/>
        <v>0 г. 0 мес. 0 дн.</v>
      </c>
      <c r="W578" s="5"/>
    </row>
    <row r="579" spans="1:23" ht="34.5" customHeight="1" x14ac:dyDescent="0.25">
      <c r="A579" s="1">
        <f t="shared" si="40"/>
        <v>578</v>
      </c>
      <c r="B579" s="1"/>
      <c r="C579" s="2"/>
      <c r="H579" s="1" t="str">
        <f t="shared" si="41"/>
        <v>0 г. 0 мес. 0 дн.</v>
      </c>
      <c r="I579" s="1" t="s">
        <v>39</v>
      </c>
      <c r="V579" s="1" t="str">
        <f t="shared" si="39"/>
        <v>0 г. 0 мес. 0 дн.</v>
      </c>
      <c r="W579" s="5"/>
    </row>
    <row r="580" spans="1:23" ht="34.5" customHeight="1" x14ac:dyDescent="0.25">
      <c r="A580" s="1">
        <f t="shared" si="40"/>
        <v>579</v>
      </c>
      <c r="B580" s="1"/>
      <c r="C580" s="2"/>
      <c r="H580" s="1" t="str">
        <f t="shared" si="41"/>
        <v>0 г. 0 мес. 0 дн.</v>
      </c>
      <c r="I580" s="1" t="s">
        <v>39</v>
      </c>
      <c r="V580" s="1" t="str">
        <f t="shared" si="39"/>
        <v>0 г. 0 мес. 0 дн.</v>
      </c>
      <c r="W580" s="5"/>
    </row>
    <row r="581" spans="1:23" ht="34.5" customHeight="1" x14ac:dyDescent="0.25">
      <c r="A581" s="1">
        <f t="shared" si="40"/>
        <v>580</v>
      </c>
      <c r="B581" s="1"/>
      <c r="C581" s="2"/>
      <c r="H581" s="1" t="str">
        <f t="shared" si="41"/>
        <v>0 г. 0 мес. 0 дн.</v>
      </c>
      <c r="I581" s="1" t="s">
        <v>39</v>
      </c>
      <c r="V581" s="1" t="str">
        <f t="shared" si="39"/>
        <v>0 г. 0 мес. 0 дн.</v>
      </c>
      <c r="W581" s="5"/>
    </row>
    <row r="582" spans="1:23" ht="34.5" customHeight="1" x14ac:dyDescent="0.25">
      <c r="A582" s="1">
        <f t="shared" si="40"/>
        <v>581</v>
      </c>
      <c r="B582" s="1"/>
      <c r="C582" s="2"/>
      <c r="H582" s="1" t="str">
        <f t="shared" si="41"/>
        <v>0 г. 0 мес. 0 дн.</v>
      </c>
      <c r="I582" s="1" t="s">
        <v>39</v>
      </c>
      <c r="V582" s="1" t="str">
        <f t="shared" si="39"/>
        <v>0 г. 0 мес. 0 дн.</v>
      </c>
      <c r="W582" s="5"/>
    </row>
    <row r="583" spans="1:23" ht="34.5" customHeight="1" x14ac:dyDescent="0.25">
      <c r="A583" s="1">
        <f t="shared" si="40"/>
        <v>582</v>
      </c>
      <c r="B583" s="1"/>
      <c r="C583" s="2"/>
      <c r="H583" s="1" t="str">
        <f t="shared" si="41"/>
        <v>0 г. 0 мес. 0 дн.</v>
      </c>
      <c r="I583" s="1" t="s">
        <v>39</v>
      </c>
      <c r="V583" s="1" t="str">
        <f t="shared" si="39"/>
        <v>0 г. 0 мес. 0 дн.</v>
      </c>
      <c r="W583" s="5"/>
    </row>
    <row r="584" spans="1:23" ht="34.5" customHeight="1" x14ac:dyDescent="0.25">
      <c r="A584" s="1">
        <f t="shared" si="40"/>
        <v>583</v>
      </c>
      <c r="B584" s="1"/>
      <c r="C584" s="2"/>
      <c r="H584" s="1" t="str">
        <f t="shared" si="41"/>
        <v>0 г. 0 мес. 0 дн.</v>
      </c>
      <c r="I584" s="1" t="s">
        <v>39</v>
      </c>
      <c r="V584" s="1" t="str">
        <f t="shared" si="39"/>
        <v>0 г. 0 мес. 0 дн.</v>
      </c>
      <c r="W584" s="5"/>
    </row>
    <row r="585" spans="1:23" ht="34.5" customHeight="1" x14ac:dyDescent="0.25">
      <c r="A585" s="1">
        <f t="shared" si="40"/>
        <v>584</v>
      </c>
      <c r="B585" s="1"/>
      <c r="C585" s="2"/>
      <c r="H585" s="1" t="str">
        <f t="shared" si="41"/>
        <v>0 г. 0 мес. 0 дн.</v>
      </c>
      <c r="I585" s="1" t="s">
        <v>39</v>
      </c>
      <c r="V585" s="1" t="str">
        <f t="shared" si="39"/>
        <v>0 г. 0 мес. 0 дн.</v>
      </c>
      <c r="W585" s="5"/>
    </row>
    <row r="586" spans="1:23" ht="34.5" customHeight="1" x14ac:dyDescent="0.25">
      <c r="A586" s="1">
        <f t="shared" si="40"/>
        <v>585</v>
      </c>
      <c r="B586" s="1"/>
      <c r="C586" s="2"/>
      <c r="H586" s="1" t="str">
        <f t="shared" si="41"/>
        <v>0 г. 0 мес. 0 дн.</v>
      </c>
      <c r="I586" s="1" t="s">
        <v>39</v>
      </c>
      <c r="V586" s="1" t="str">
        <f t="shared" si="39"/>
        <v>0 г. 0 мес. 0 дн.</v>
      </c>
      <c r="W586" s="5"/>
    </row>
    <row r="587" spans="1:23" ht="34.5" customHeight="1" x14ac:dyDescent="0.25">
      <c r="A587" s="1">
        <f t="shared" si="40"/>
        <v>586</v>
      </c>
      <c r="B587" s="1"/>
      <c r="C587" s="2"/>
      <c r="H587" s="1" t="str">
        <f t="shared" si="41"/>
        <v>0 г. 0 мес. 0 дн.</v>
      </c>
      <c r="I587" s="1" t="s">
        <v>39</v>
      </c>
      <c r="V587" s="1" t="str">
        <f t="shared" si="39"/>
        <v>0 г. 0 мес. 0 дн.</v>
      </c>
      <c r="W587" s="5"/>
    </row>
    <row r="588" spans="1:23" ht="34.5" customHeight="1" x14ac:dyDescent="0.25">
      <c r="A588" s="1">
        <f t="shared" si="40"/>
        <v>587</v>
      </c>
      <c r="B588" s="1"/>
      <c r="C588" s="2"/>
      <c r="H588" s="1" t="str">
        <f t="shared" si="41"/>
        <v>0 г. 0 мес. 0 дн.</v>
      </c>
      <c r="I588" s="1" t="s">
        <v>39</v>
      </c>
      <c r="V588" s="1" t="str">
        <f t="shared" si="39"/>
        <v>0 г. 0 мес. 0 дн.</v>
      </c>
      <c r="W588" s="5"/>
    </row>
    <row r="589" spans="1:23" ht="34.5" customHeight="1" x14ac:dyDescent="0.25">
      <c r="A589" s="1">
        <f t="shared" si="40"/>
        <v>588</v>
      </c>
      <c r="B589" s="1"/>
      <c r="C589" s="2"/>
      <c r="H589" s="1" t="str">
        <f t="shared" si="41"/>
        <v>0 г. 0 мес. 0 дн.</v>
      </c>
      <c r="I589" s="1" t="s">
        <v>39</v>
      </c>
      <c r="V589" s="1" t="str">
        <f t="shared" si="39"/>
        <v>0 г. 0 мес. 0 дн.</v>
      </c>
      <c r="W589" s="5"/>
    </row>
    <row r="590" spans="1:23" ht="34.5" customHeight="1" x14ac:dyDescent="0.25">
      <c r="A590" s="1">
        <f t="shared" si="40"/>
        <v>589</v>
      </c>
      <c r="B590" s="1"/>
      <c r="C590" s="2"/>
      <c r="H590" s="1" t="str">
        <f t="shared" si="41"/>
        <v>0 г. 0 мес. 0 дн.</v>
      </c>
      <c r="I590" s="1" t="s">
        <v>39</v>
      </c>
      <c r="V590" s="1" t="str">
        <f t="shared" si="39"/>
        <v>0 г. 0 мес. 0 дн.</v>
      </c>
      <c r="W590" s="5"/>
    </row>
    <row r="591" spans="1:23" ht="34.5" customHeight="1" x14ac:dyDescent="0.25">
      <c r="A591" s="1">
        <f t="shared" si="40"/>
        <v>590</v>
      </c>
      <c r="B591" s="1"/>
      <c r="C591" s="2"/>
      <c r="H591" s="1" t="str">
        <f t="shared" si="41"/>
        <v>0 г. 0 мес. 0 дн.</v>
      </c>
      <c r="I591" s="1" t="s">
        <v>39</v>
      </c>
      <c r="V591" s="1" t="str">
        <f t="shared" si="39"/>
        <v>0 г. 0 мес. 0 дн.</v>
      </c>
      <c r="W591" s="5"/>
    </row>
    <row r="592" spans="1:23" ht="34.5" customHeight="1" x14ac:dyDescent="0.25">
      <c r="A592" s="1">
        <f t="shared" si="40"/>
        <v>591</v>
      </c>
      <c r="B592" s="1"/>
      <c r="C592" s="2"/>
      <c r="H592" s="1" t="str">
        <f t="shared" si="41"/>
        <v>0 г. 0 мес. 0 дн.</v>
      </c>
      <c r="I592" s="1" t="s">
        <v>39</v>
      </c>
      <c r="V592" s="1" t="str">
        <f t="shared" si="39"/>
        <v>0 г. 0 мес. 0 дн.</v>
      </c>
      <c r="W592" s="5"/>
    </row>
    <row r="593" spans="1:23" ht="34.5" customHeight="1" x14ac:dyDescent="0.25">
      <c r="A593" s="1">
        <f t="shared" si="40"/>
        <v>592</v>
      </c>
      <c r="B593" s="1"/>
      <c r="C593" s="2"/>
      <c r="H593" s="1" t="str">
        <f t="shared" si="41"/>
        <v>0 г. 0 мес. 0 дн.</v>
      </c>
      <c r="I593" s="1" t="s">
        <v>39</v>
      </c>
      <c r="V593" s="1" t="str">
        <f t="shared" si="39"/>
        <v>0 г. 0 мес. 0 дн.</v>
      </c>
      <c r="W593" s="5"/>
    </row>
    <row r="594" spans="1:23" ht="34.5" customHeight="1" x14ac:dyDescent="0.25">
      <c r="A594" s="1">
        <f t="shared" si="40"/>
        <v>593</v>
      </c>
      <c r="B594" s="1"/>
      <c r="C594" s="2"/>
      <c r="H594" s="1" t="str">
        <f t="shared" si="41"/>
        <v>0 г. 0 мес. 0 дн.</v>
      </c>
      <c r="I594" s="1" t="s">
        <v>39</v>
      </c>
      <c r="V594" s="1" t="str">
        <f t="shared" si="39"/>
        <v>0 г. 0 мес. 0 дн.</v>
      </c>
      <c r="W594" s="5"/>
    </row>
    <row r="595" spans="1:23" ht="34.5" customHeight="1" x14ac:dyDescent="0.25">
      <c r="A595" s="1">
        <f t="shared" si="40"/>
        <v>594</v>
      </c>
      <c r="B595" s="1"/>
      <c r="C595" s="2"/>
      <c r="H595" s="1" t="str">
        <f t="shared" si="41"/>
        <v>0 г. 0 мес. 0 дн.</v>
      </c>
      <c r="I595" s="1" t="s">
        <v>39</v>
      </c>
      <c r="V595" s="1" t="str">
        <f t="shared" si="39"/>
        <v>0 г. 0 мес. 0 дн.</v>
      </c>
      <c r="W595" s="5"/>
    </row>
    <row r="596" spans="1:23" ht="34.5" customHeight="1" x14ac:dyDescent="0.25">
      <c r="A596" s="1">
        <f t="shared" si="40"/>
        <v>595</v>
      </c>
      <c r="B596" s="1"/>
      <c r="C596" s="2"/>
      <c r="H596" s="1" t="str">
        <f t="shared" si="41"/>
        <v>0 г. 0 мес. 0 дн.</v>
      </c>
      <c r="I596" s="1" t="s">
        <v>39</v>
      </c>
      <c r="V596" s="1" t="str">
        <f t="shared" si="39"/>
        <v>0 г. 0 мес. 0 дн.</v>
      </c>
      <c r="W596" s="5"/>
    </row>
    <row r="597" spans="1:23" ht="34.5" customHeight="1" x14ac:dyDescent="0.25">
      <c r="A597" s="1">
        <f t="shared" si="40"/>
        <v>596</v>
      </c>
      <c r="B597" s="1"/>
      <c r="C597" s="2"/>
      <c r="H597" s="1" t="str">
        <f t="shared" si="41"/>
        <v>0 г. 0 мес. 0 дн.</v>
      </c>
      <c r="I597" s="1" t="s">
        <v>39</v>
      </c>
      <c r="V597" s="1" t="str">
        <f t="shared" si="39"/>
        <v>0 г. 0 мес. 0 дн.</v>
      </c>
      <c r="W597" s="5"/>
    </row>
    <row r="598" spans="1:23" ht="34.5" customHeight="1" x14ac:dyDescent="0.25">
      <c r="A598" s="1">
        <f t="shared" si="40"/>
        <v>597</v>
      </c>
      <c r="B598" s="1"/>
      <c r="C598" s="2"/>
      <c r="H598" s="1" t="str">
        <f t="shared" si="41"/>
        <v>0 г. 0 мес. 0 дн.</v>
      </c>
      <c r="I598" s="1" t="s">
        <v>39</v>
      </c>
      <c r="V598" s="1" t="str">
        <f t="shared" si="39"/>
        <v>0 г. 0 мес. 0 дн.</v>
      </c>
      <c r="W598" s="5"/>
    </row>
    <row r="599" spans="1:23" ht="34.5" customHeight="1" x14ac:dyDescent="0.25">
      <c r="A599" s="1">
        <f t="shared" si="40"/>
        <v>598</v>
      </c>
      <c r="B599" s="1"/>
      <c r="C599" s="2"/>
      <c r="H599" s="1" t="str">
        <f t="shared" si="41"/>
        <v>0 г. 0 мес. 0 дн.</v>
      </c>
      <c r="I599" s="1" t="s">
        <v>39</v>
      </c>
      <c r="V599" s="1" t="str">
        <f t="shared" si="39"/>
        <v>0 г. 0 мес. 0 дн.</v>
      </c>
      <c r="W599" s="5"/>
    </row>
    <row r="600" spans="1:23" ht="34.5" customHeight="1" x14ac:dyDescent="0.25">
      <c r="A600" s="1">
        <f t="shared" si="40"/>
        <v>599</v>
      </c>
      <c r="B600" s="1"/>
      <c r="C600" s="2"/>
      <c r="H600" s="1" t="str">
        <f t="shared" si="41"/>
        <v>0 г. 0 мес. 0 дн.</v>
      </c>
      <c r="I600" s="1" t="s">
        <v>39</v>
      </c>
      <c r="V600" s="1" t="str">
        <f t="shared" si="39"/>
        <v>0 г. 0 мес. 0 дн.</v>
      </c>
      <c r="W600" s="5"/>
    </row>
    <row r="601" spans="1:23" ht="34.5" customHeight="1" x14ac:dyDescent="0.25">
      <c r="A601" s="1">
        <f t="shared" si="40"/>
        <v>600</v>
      </c>
      <c r="B601" s="1"/>
      <c r="C601" s="2"/>
      <c r="H601" s="1" t="str">
        <f t="shared" si="41"/>
        <v>0 г. 0 мес. 0 дн.</v>
      </c>
      <c r="I601" s="1" t="s">
        <v>39</v>
      </c>
      <c r="V601" s="1" t="str">
        <f t="shared" si="39"/>
        <v>0 г. 0 мес. 0 дн.</v>
      </c>
      <c r="W601" s="5"/>
    </row>
    <row r="602" spans="1:23" ht="34.5" customHeight="1" x14ac:dyDescent="0.25">
      <c r="A602" s="1">
        <f t="shared" si="40"/>
        <v>601</v>
      </c>
      <c r="B602" s="1"/>
      <c r="C602" s="2"/>
      <c r="H602" s="1" t="str">
        <f t="shared" si="41"/>
        <v>0 г. 0 мес. 0 дн.</v>
      </c>
      <c r="I602" s="1" t="s">
        <v>39</v>
      </c>
      <c r="V602" s="1" t="str">
        <f t="shared" si="39"/>
        <v>0 г. 0 мес. 0 дн.</v>
      </c>
      <c r="W602" s="5"/>
    </row>
    <row r="603" spans="1:23" ht="34.5" customHeight="1" x14ac:dyDescent="0.25">
      <c r="A603" s="1">
        <f t="shared" si="40"/>
        <v>602</v>
      </c>
      <c r="B603" s="1"/>
      <c r="C603" s="2"/>
      <c r="H603" s="1" t="str">
        <f t="shared" si="41"/>
        <v>0 г. 0 мес. 0 дн.</v>
      </c>
      <c r="I603" s="1" t="s">
        <v>39</v>
      </c>
      <c r="V603" s="1" t="str">
        <f t="shared" si="39"/>
        <v>0 г. 0 мес. 0 дн.</v>
      </c>
      <c r="W603" s="5"/>
    </row>
    <row r="604" spans="1:23" ht="34.5" customHeight="1" x14ac:dyDescent="0.25">
      <c r="A604" s="1">
        <f t="shared" si="40"/>
        <v>603</v>
      </c>
      <c r="B604" s="1"/>
      <c r="C604" s="2"/>
      <c r="H604" s="1" t="str">
        <f t="shared" si="41"/>
        <v>0 г. 0 мес. 0 дн.</v>
      </c>
      <c r="I604" s="1" t="s">
        <v>39</v>
      </c>
      <c r="V604" s="1" t="str">
        <f t="shared" si="39"/>
        <v>0 г. 0 мес. 0 дн.</v>
      </c>
      <c r="W604" s="5"/>
    </row>
    <row r="605" spans="1:23" ht="34.5" customHeight="1" x14ac:dyDescent="0.25">
      <c r="A605" s="1">
        <f t="shared" si="40"/>
        <v>604</v>
      </c>
      <c r="B605" s="1"/>
      <c r="C605" s="2"/>
      <c r="H605" s="1" t="str">
        <f t="shared" si="41"/>
        <v>0 г. 0 мес. 0 дн.</v>
      </c>
      <c r="I605" s="1" t="s">
        <v>39</v>
      </c>
      <c r="V605" s="1" t="str">
        <f t="shared" si="39"/>
        <v>0 г. 0 мес. 0 дн.</v>
      </c>
      <c r="W605" s="5"/>
    </row>
    <row r="606" spans="1:23" ht="34.5" customHeight="1" x14ac:dyDescent="0.25">
      <c r="A606" s="1">
        <f t="shared" si="40"/>
        <v>605</v>
      </c>
      <c r="B606" s="1"/>
      <c r="C606" s="2"/>
      <c r="H606" s="1" t="str">
        <f t="shared" si="41"/>
        <v>0 г. 0 мес. 0 дн.</v>
      </c>
      <c r="I606" s="1" t="s">
        <v>39</v>
      </c>
      <c r="V606" s="1" t="str">
        <f t="shared" si="39"/>
        <v>0 г. 0 мес. 0 дн.</v>
      </c>
      <c r="W606" s="5"/>
    </row>
    <row r="607" spans="1:23" ht="34.5" customHeight="1" x14ac:dyDescent="0.25">
      <c r="A607" s="1">
        <f t="shared" si="40"/>
        <v>606</v>
      </c>
      <c r="B607" s="1"/>
      <c r="C607" s="2"/>
      <c r="H607" s="1" t="str">
        <f t="shared" si="41"/>
        <v>0 г. 0 мес. 0 дн.</v>
      </c>
      <c r="I607" s="1" t="s">
        <v>39</v>
      </c>
      <c r="V607" s="1" t="str">
        <f t="shared" si="39"/>
        <v>0 г. 0 мес. 0 дн.</v>
      </c>
      <c r="W607" s="5"/>
    </row>
    <row r="608" spans="1:23" ht="34.5" customHeight="1" x14ac:dyDescent="0.25">
      <c r="A608" s="1">
        <f t="shared" si="40"/>
        <v>607</v>
      </c>
      <c r="B608" s="1"/>
      <c r="C608" s="2"/>
      <c r="H608" s="1" t="str">
        <f t="shared" si="41"/>
        <v>0 г. 0 мес. 0 дн.</v>
      </c>
      <c r="I608" s="1" t="s">
        <v>39</v>
      </c>
      <c r="V608" s="1" t="str">
        <f t="shared" si="39"/>
        <v>0 г. 0 мес. 0 дн.</v>
      </c>
      <c r="W608" s="5"/>
    </row>
    <row r="609" spans="1:23" ht="34.5" customHeight="1" x14ac:dyDescent="0.25">
      <c r="A609" s="1">
        <f t="shared" si="40"/>
        <v>608</v>
      </c>
      <c r="B609" s="1"/>
      <c r="C609" s="2"/>
      <c r="H609" s="1" t="str">
        <f t="shared" si="41"/>
        <v>0 г. 0 мес. 0 дн.</v>
      </c>
      <c r="I609" s="1" t="s">
        <v>39</v>
      </c>
      <c r="V609" s="1" t="str">
        <f t="shared" si="39"/>
        <v>0 г. 0 мес. 0 дн.</v>
      </c>
      <c r="W609" s="5"/>
    </row>
    <row r="610" spans="1:23" ht="34.5" customHeight="1" x14ac:dyDescent="0.25">
      <c r="A610" s="1">
        <f t="shared" si="40"/>
        <v>609</v>
      </c>
      <c r="B610" s="1"/>
      <c r="C610" s="2"/>
      <c r="H610" s="1" t="str">
        <f t="shared" si="41"/>
        <v>0 г. 0 мес. 0 дн.</v>
      </c>
      <c r="I610" s="1" t="s">
        <v>39</v>
      </c>
      <c r="V610" s="1" t="str">
        <f t="shared" si="39"/>
        <v>0 г. 0 мес. 0 дн.</v>
      </c>
      <c r="W610" s="5"/>
    </row>
    <row r="611" spans="1:23" ht="34.5" customHeight="1" x14ac:dyDescent="0.25">
      <c r="A611" s="1">
        <f t="shared" si="40"/>
        <v>610</v>
      </c>
      <c r="B611" s="1"/>
      <c r="C611" s="2"/>
      <c r="H611" s="1" t="str">
        <f t="shared" si="41"/>
        <v>0 г. 0 мес. 0 дн.</v>
      </c>
      <c r="I611" s="1" t="s">
        <v>39</v>
      </c>
      <c r="V611" s="1" t="str">
        <f t="shared" si="39"/>
        <v>0 г. 0 мес. 0 дн.</v>
      </c>
      <c r="W611" s="5"/>
    </row>
    <row r="612" spans="1:23" ht="34.5" customHeight="1" x14ac:dyDescent="0.25">
      <c r="A612" s="1">
        <f t="shared" si="40"/>
        <v>611</v>
      </c>
      <c r="B612" s="1"/>
      <c r="C612" s="2"/>
      <c r="H612" s="1" t="str">
        <f t="shared" si="41"/>
        <v>0 г. 0 мес. 0 дн.</v>
      </c>
      <c r="I612" s="1" t="s">
        <v>39</v>
      </c>
      <c r="V612" s="1" t="str">
        <f t="shared" si="39"/>
        <v>0 г. 0 мес. 0 дн.</v>
      </c>
      <c r="W612" s="5"/>
    </row>
    <row r="613" spans="1:23" ht="34.5" customHeight="1" x14ac:dyDescent="0.25">
      <c r="A613" s="1">
        <f t="shared" si="40"/>
        <v>612</v>
      </c>
      <c r="B613" s="1"/>
      <c r="C613" s="2"/>
      <c r="H613" s="1" t="str">
        <f t="shared" si="41"/>
        <v>0 г. 0 мес. 0 дн.</v>
      </c>
      <c r="I613" s="1" t="s">
        <v>39</v>
      </c>
      <c r="V613" s="1" t="str">
        <f t="shared" si="39"/>
        <v>0 г. 0 мес. 0 дн.</v>
      </c>
      <c r="W613" s="5"/>
    </row>
    <row r="614" spans="1:23" ht="34.5" customHeight="1" x14ac:dyDescent="0.25">
      <c r="A614" s="1">
        <f t="shared" si="40"/>
        <v>613</v>
      </c>
      <c r="B614" s="1"/>
      <c r="C614" s="2"/>
      <c r="H614" s="1" t="str">
        <f t="shared" si="41"/>
        <v>0 г. 0 мес. 0 дн.</v>
      </c>
      <c r="I614" s="1" t="s">
        <v>39</v>
      </c>
      <c r="V614" s="1" t="str">
        <f t="shared" si="39"/>
        <v>0 г. 0 мес. 0 дн.</v>
      </c>
      <c r="W614" s="5"/>
    </row>
    <row r="615" spans="1:23" ht="34.5" customHeight="1" x14ac:dyDescent="0.25">
      <c r="A615" s="1">
        <f t="shared" si="40"/>
        <v>614</v>
      </c>
      <c r="B615" s="1"/>
      <c r="C615" s="2"/>
      <c r="H615" s="1" t="str">
        <f t="shared" si="41"/>
        <v>0 г. 0 мес. 0 дн.</v>
      </c>
      <c r="I615" s="1" t="s">
        <v>39</v>
      </c>
      <c r="V615" s="1" t="str">
        <f t="shared" si="39"/>
        <v>0 г. 0 мес. 0 дн.</v>
      </c>
      <c r="W615" s="5"/>
    </row>
    <row r="616" spans="1:23" ht="34.5" customHeight="1" x14ac:dyDescent="0.25">
      <c r="A616" s="1">
        <f t="shared" si="40"/>
        <v>615</v>
      </c>
      <c r="B616" s="1"/>
      <c r="C616" s="2"/>
      <c r="H616" s="1" t="str">
        <f t="shared" si="41"/>
        <v>0 г. 0 мес. 0 дн.</v>
      </c>
      <c r="I616" s="1" t="s">
        <v>39</v>
      </c>
      <c r="V616" s="1" t="str">
        <f t="shared" si="39"/>
        <v>0 г. 0 мес. 0 дн.</v>
      </c>
      <c r="W616" s="5"/>
    </row>
    <row r="617" spans="1:23" ht="34.5" customHeight="1" x14ac:dyDescent="0.25">
      <c r="A617" s="1">
        <f t="shared" si="40"/>
        <v>616</v>
      </c>
      <c r="B617" s="1"/>
      <c r="C617" s="2"/>
      <c r="H617" s="1" t="str">
        <f t="shared" si="41"/>
        <v>0 г. 0 мес. 0 дн.</v>
      </c>
      <c r="I617" s="1" t="s">
        <v>39</v>
      </c>
      <c r="V617" s="1" t="str">
        <f t="shared" si="39"/>
        <v>0 г. 0 мес. 0 дн.</v>
      </c>
      <c r="W617" s="5"/>
    </row>
    <row r="618" spans="1:23" ht="34.5" customHeight="1" x14ac:dyDescent="0.25">
      <c r="A618" s="1">
        <f t="shared" si="40"/>
        <v>617</v>
      </c>
      <c r="B618" s="1"/>
      <c r="C618" s="2"/>
      <c r="H618" s="1" t="str">
        <f t="shared" si="41"/>
        <v>0 г. 0 мес. 0 дн.</v>
      </c>
      <c r="I618" s="1" t="s">
        <v>39</v>
      </c>
      <c r="V618" s="1" t="str">
        <f t="shared" si="39"/>
        <v>0 г. 0 мес. 0 дн.</v>
      </c>
      <c r="W618" s="5"/>
    </row>
    <row r="619" spans="1:23" ht="34.5" customHeight="1" x14ac:dyDescent="0.25">
      <c r="A619" s="1">
        <f t="shared" si="40"/>
        <v>618</v>
      </c>
      <c r="B619" s="1"/>
      <c r="C619" s="2"/>
      <c r="H619" s="1" t="str">
        <f t="shared" si="41"/>
        <v>0 г. 0 мес. 0 дн.</v>
      </c>
      <c r="I619" s="1" t="s">
        <v>39</v>
      </c>
      <c r="V619" s="1" t="str">
        <f t="shared" si="39"/>
        <v>0 г. 0 мес. 0 дн.</v>
      </c>
      <c r="W619" s="5"/>
    </row>
    <row r="620" spans="1:23" ht="34.5" customHeight="1" x14ac:dyDescent="0.25">
      <c r="A620" s="1">
        <f t="shared" si="40"/>
        <v>619</v>
      </c>
      <c r="B620" s="1"/>
      <c r="C620" s="2"/>
      <c r="H620" s="1" t="str">
        <f t="shared" si="41"/>
        <v>0 г. 0 мес. 0 дн.</v>
      </c>
      <c r="I620" s="1" t="s">
        <v>39</v>
      </c>
      <c r="V620" s="1" t="str">
        <f t="shared" si="39"/>
        <v>0 г. 0 мес. 0 дн.</v>
      </c>
      <c r="W620" s="5"/>
    </row>
    <row r="621" spans="1:23" ht="34.5" customHeight="1" x14ac:dyDescent="0.25">
      <c r="A621" s="1">
        <f t="shared" si="40"/>
        <v>620</v>
      </c>
      <c r="B621" s="1"/>
      <c r="C621" s="2"/>
      <c r="H621" s="1" t="str">
        <f t="shared" si="41"/>
        <v>0 г. 0 мес. 0 дн.</v>
      </c>
      <c r="I621" s="1" t="s">
        <v>39</v>
      </c>
      <c r="V621" s="1" t="str">
        <f t="shared" si="39"/>
        <v>0 г. 0 мес. 0 дн.</v>
      </c>
      <c r="W621" s="5"/>
    </row>
    <row r="622" spans="1:23" ht="34.5" customHeight="1" x14ac:dyDescent="0.25">
      <c r="A622" s="1">
        <f t="shared" si="40"/>
        <v>621</v>
      </c>
      <c r="B622" s="1"/>
      <c r="C622" s="2"/>
      <c r="H622" s="1" t="str">
        <f t="shared" si="41"/>
        <v>0 г. 0 мес. 0 дн.</v>
      </c>
      <c r="I622" s="1" t="s">
        <v>39</v>
      </c>
      <c r="V622" s="1" t="str">
        <f t="shared" si="39"/>
        <v>0 г. 0 мес. 0 дн.</v>
      </c>
      <c r="W622" s="5"/>
    </row>
    <row r="623" spans="1:23" ht="34.5" customHeight="1" x14ac:dyDescent="0.25">
      <c r="A623" s="1">
        <f t="shared" si="40"/>
        <v>622</v>
      </c>
      <c r="B623" s="1"/>
      <c r="C623" s="2"/>
      <c r="H623" s="1" t="str">
        <f t="shared" si="41"/>
        <v>0 г. 0 мес. 0 дн.</v>
      </c>
      <c r="I623" s="1" t="s">
        <v>39</v>
      </c>
      <c r="V623" s="1" t="str">
        <f t="shared" si="39"/>
        <v>0 г. 0 мес. 0 дн.</v>
      </c>
      <c r="W623" s="5"/>
    </row>
    <row r="624" spans="1:23" ht="34.5" customHeight="1" x14ac:dyDescent="0.25">
      <c r="A624" s="1">
        <f t="shared" si="40"/>
        <v>623</v>
      </c>
      <c r="B624" s="1"/>
      <c r="C624" s="2"/>
      <c r="H624" s="1" t="str">
        <f t="shared" si="41"/>
        <v>0 г. 0 мес. 0 дн.</v>
      </c>
      <c r="I624" s="1" t="s">
        <v>39</v>
      </c>
      <c r="V624" s="1" t="str">
        <f t="shared" si="39"/>
        <v>0 г. 0 мес. 0 дн.</v>
      </c>
      <c r="W624" s="5"/>
    </row>
    <row r="625" spans="1:23" ht="34.5" customHeight="1" x14ac:dyDescent="0.25">
      <c r="A625" s="1">
        <f t="shared" si="40"/>
        <v>624</v>
      </c>
      <c r="B625" s="1"/>
      <c r="C625" s="2"/>
      <c r="H625" s="1" t="str">
        <f t="shared" si="41"/>
        <v>0 г. 0 мес. 0 дн.</v>
      </c>
      <c r="I625" s="1" t="s">
        <v>39</v>
      </c>
      <c r="V625" s="1" t="str">
        <f t="shared" ref="V625:V688" si="42">DATEDIF(D625,T625,"y") &amp; " г. " &amp; DATEDIF(D625,T625,"ym") &amp; " мес. " &amp; DATEDIF(D625,T625,"md") &amp; " дн."</f>
        <v>0 г. 0 мес. 0 дн.</v>
      </c>
      <c r="W625" s="5"/>
    </row>
    <row r="626" spans="1:23" ht="34.5" customHeight="1" x14ac:dyDescent="0.25">
      <c r="A626" s="1">
        <f t="shared" si="40"/>
        <v>625</v>
      </c>
      <c r="B626" s="1"/>
      <c r="C626" s="2"/>
      <c r="H626" s="1" t="str">
        <f t="shared" si="41"/>
        <v>0 г. 0 мес. 0 дн.</v>
      </c>
      <c r="I626" s="1" t="s">
        <v>39</v>
      </c>
      <c r="V626" s="1" t="str">
        <f t="shared" si="42"/>
        <v>0 г. 0 мес. 0 дн.</v>
      </c>
      <c r="W626" s="5"/>
    </row>
    <row r="627" spans="1:23" ht="34.5" customHeight="1" x14ac:dyDescent="0.25">
      <c r="A627" s="1">
        <f t="shared" si="40"/>
        <v>626</v>
      </c>
      <c r="B627" s="1"/>
      <c r="C627" s="2"/>
      <c r="H627" s="1" t="str">
        <f t="shared" si="41"/>
        <v>0 г. 0 мес. 0 дн.</v>
      </c>
      <c r="I627" s="1" t="s">
        <v>39</v>
      </c>
      <c r="V627" s="1" t="str">
        <f t="shared" si="42"/>
        <v>0 г. 0 мес. 0 дн.</v>
      </c>
      <c r="W627" s="5"/>
    </row>
    <row r="628" spans="1:23" ht="34.5" customHeight="1" x14ac:dyDescent="0.25">
      <c r="A628" s="1">
        <f t="shared" si="40"/>
        <v>627</v>
      </c>
      <c r="B628" s="1"/>
      <c r="C628" s="2"/>
      <c r="H628" s="1" t="str">
        <f t="shared" si="41"/>
        <v>0 г. 0 мес. 0 дн.</v>
      </c>
      <c r="I628" s="1" t="s">
        <v>39</v>
      </c>
      <c r="V628" s="1" t="str">
        <f t="shared" si="42"/>
        <v>0 г. 0 мес. 0 дн.</v>
      </c>
      <c r="W628" s="5"/>
    </row>
    <row r="629" spans="1:23" ht="34.5" customHeight="1" x14ac:dyDescent="0.25">
      <c r="A629" s="1">
        <f t="shared" si="40"/>
        <v>628</v>
      </c>
      <c r="B629" s="1"/>
      <c r="C629" s="2"/>
      <c r="H629" s="1" t="str">
        <f t="shared" si="41"/>
        <v>0 г. 0 мес. 0 дн.</v>
      </c>
      <c r="I629" s="1" t="s">
        <v>39</v>
      </c>
      <c r="V629" s="1" t="str">
        <f t="shared" si="42"/>
        <v>0 г. 0 мес. 0 дн.</v>
      </c>
      <c r="W629" s="5"/>
    </row>
    <row r="630" spans="1:23" ht="34.5" customHeight="1" x14ac:dyDescent="0.25">
      <c r="A630" s="1">
        <f t="shared" si="40"/>
        <v>629</v>
      </c>
      <c r="B630" s="1"/>
      <c r="C630" s="2"/>
      <c r="H630" s="1" t="str">
        <f t="shared" si="41"/>
        <v>0 г. 0 мес. 0 дн.</v>
      </c>
      <c r="I630" s="1" t="s">
        <v>39</v>
      </c>
      <c r="V630" s="1" t="str">
        <f t="shared" si="42"/>
        <v>0 г. 0 мес. 0 дн.</v>
      </c>
      <c r="W630" s="5"/>
    </row>
    <row r="631" spans="1:23" ht="34.5" customHeight="1" x14ac:dyDescent="0.25">
      <c r="A631" s="1">
        <f t="shared" si="40"/>
        <v>630</v>
      </c>
      <c r="B631" s="1"/>
      <c r="C631" s="2"/>
      <c r="H631" s="1" t="str">
        <f t="shared" si="41"/>
        <v>0 г. 0 мес. 0 дн.</v>
      </c>
      <c r="I631" s="1" t="s">
        <v>39</v>
      </c>
      <c r="V631" s="1" t="str">
        <f t="shared" si="42"/>
        <v>0 г. 0 мес. 0 дн.</v>
      </c>
      <c r="W631" s="5"/>
    </row>
    <row r="632" spans="1:23" ht="34.5" customHeight="1" x14ac:dyDescent="0.25">
      <c r="A632" s="1">
        <f t="shared" si="40"/>
        <v>631</v>
      </c>
      <c r="B632" s="1"/>
      <c r="C632" s="2"/>
      <c r="H632" s="1" t="str">
        <f t="shared" si="41"/>
        <v>0 г. 0 мес. 0 дн.</v>
      </c>
      <c r="I632" s="1" t="s">
        <v>39</v>
      </c>
      <c r="V632" s="1" t="str">
        <f t="shared" si="42"/>
        <v>0 г. 0 мес. 0 дн.</v>
      </c>
      <c r="W632" s="5"/>
    </row>
    <row r="633" spans="1:23" ht="34.5" customHeight="1" x14ac:dyDescent="0.25">
      <c r="A633" s="1">
        <f t="shared" si="40"/>
        <v>632</v>
      </c>
      <c r="B633" s="1"/>
      <c r="C633" s="2"/>
      <c r="H633" s="1" t="str">
        <f t="shared" si="41"/>
        <v>0 г. 0 мес. 0 дн.</v>
      </c>
      <c r="I633" s="1" t="s">
        <v>39</v>
      </c>
      <c r="V633" s="1" t="str">
        <f t="shared" si="42"/>
        <v>0 г. 0 мес. 0 дн.</v>
      </c>
      <c r="W633" s="5"/>
    </row>
    <row r="634" spans="1:23" ht="34.5" customHeight="1" x14ac:dyDescent="0.25">
      <c r="A634" s="1">
        <f t="shared" si="40"/>
        <v>633</v>
      </c>
      <c r="B634" s="1"/>
      <c r="C634" s="2"/>
      <c r="H634" s="1" t="str">
        <f t="shared" si="41"/>
        <v>0 г. 0 мес. 0 дн.</v>
      </c>
      <c r="I634" s="1" t="s">
        <v>39</v>
      </c>
      <c r="V634" s="1" t="str">
        <f t="shared" si="42"/>
        <v>0 г. 0 мес. 0 дн.</v>
      </c>
      <c r="W634" s="5"/>
    </row>
    <row r="635" spans="1:23" ht="34.5" customHeight="1" x14ac:dyDescent="0.25">
      <c r="A635" s="1">
        <f t="shared" si="40"/>
        <v>634</v>
      </c>
      <c r="B635" s="1"/>
      <c r="C635" s="2"/>
      <c r="H635" s="1" t="str">
        <f t="shared" si="41"/>
        <v>0 г. 0 мес. 0 дн.</v>
      </c>
      <c r="I635" s="1" t="s">
        <v>39</v>
      </c>
      <c r="V635" s="1" t="str">
        <f t="shared" si="42"/>
        <v>0 г. 0 мес. 0 дн.</v>
      </c>
      <c r="W635" s="5"/>
    </row>
    <row r="636" spans="1:23" ht="34.5" customHeight="1" x14ac:dyDescent="0.25">
      <c r="A636" s="1">
        <f t="shared" si="40"/>
        <v>635</v>
      </c>
      <c r="B636" s="1"/>
      <c r="C636" s="2"/>
      <c r="H636" s="1" t="str">
        <f t="shared" si="41"/>
        <v>0 г. 0 мес. 0 дн.</v>
      </c>
      <c r="I636" s="1" t="s">
        <v>39</v>
      </c>
      <c r="V636" s="1" t="str">
        <f t="shared" si="42"/>
        <v>0 г. 0 мес. 0 дн.</v>
      </c>
      <c r="W636" s="5"/>
    </row>
    <row r="637" spans="1:23" ht="34.5" customHeight="1" x14ac:dyDescent="0.25">
      <c r="A637" s="1">
        <f t="shared" si="40"/>
        <v>636</v>
      </c>
      <c r="B637" s="1"/>
      <c r="C637" s="2"/>
      <c r="H637" s="1" t="str">
        <f t="shared" si="41"/>
        <v>0 г. 0 мес. 0 дн.</v>
      </c>
      <c r="I637" s="1" t="s">
        <v>39</v>
      </c>
      <c r="V637" s="1" t="str">
        <f t="shared" si="42"/>
        <v>0 г. 0 мес. 0 дн.</v>
      </c>
      <c r="W637" s="5"/>
    </row>
    <row r="638" spans="1:23" ht="34.5" customHeight="1" x14ac:dyDescent="0.25">
      <c r="A638" s="1">
        <f t="shared" si="40"/>
        <v>637</v>
      </c>
      <c r="B638" s="1"/>
      <c r="C638" s="2"/>
      <c r="H638" s="1" t="str">
        <f t="shared" si="41"/>
        <v>0 г. 0 мес. 0 дн.</v>
      </c>
      <c r="I638" s="1" t="s">
        <v>39</v>
      </c>
      <c r="V638" s="1" t="str">
        <f t="shared" si="42"/>
        <v>0 г. 0 мес. 0 дн.</v>
      </c>
      <c r="W638" s="5"/>
    </row>
    <row r="639" spans="1:23" ht="34.5" customHeight="1" x14ac:dyDescent="0.25">
      <c r="A639" s="1">
        <f t="shared" si="40"/>
        <v>638</v>
      </c>
      <c r="B639" s="1"/>
      <c r="C639" s="2"/>
      <c r="H639" s="1" t="str">
        <f t="shared" si="41"/>
        <v>0 г. 0 мес. 0 дн.</v>
      </c>
      <c r="I639" s="1" t="s">
        <v>39</v>
      </c>
      <c r="V639" s="1" t="str">
        <f t="shared" si="42"/>
        <v>0 г. 0 мес. 0 дн.</v>
      </c>
      <c r="W639" s="5"/>
    </row>
    <row r="640" spans="1:23" ht="34.5" customHeight="1" x14ac:dyDescent="0.25">
      <c r="A640" s="1">
        <f t="shared" ref="A640:A703" si="43">ROW(A639)</f>
        <v>639</v>
      </c>
      <c r="B640" s="1"/>
      <c r="C640" s="2"/>
      <c r="H640" s="1" t="str">
        <f t="shared" si="41"/>
        <v>0 г. 0 мес. 0 дн.</v>
      </c>
      <c r="I640" s="1" t="s">
        <v>39</v>
      </c>
      <c r="V640" s="1" t="str">
        <f t="shared" si="42"/>
        <v>0 г. 0 мес. 0 дн.</v>
      </c>
      <c r="W640" s="5"/>
    </row>
    <row r="641" spans="1:23" ht="34.5" customHeight="1" x14ac:dyDescent="0.25">
      <c r="A641" s="1">
        <f t="shared" si="43"/>
        <v>640</v>
      </c>
      <c r="B641" s="1"/>
      <c r="C641" s="2"/>
      <c r="H641" s="1" t="str">
        <f t="shared" si="41"/>
        <v>0 г. 0 мес. 0 дн.</v>
      </c>
      <c r="I641" s="1" t="s">
        <v>39</v>
      </c>
      <c r="V641" s="1" t="str">
        <f t="shared" si="42"/>
        <v>0 г. 0 мес. 0 дн.</v>
      </c>
      <c r="W641" s="5"/>
    </row>
    <row r="642" spans="1:23" ht="34.5" customHeight="1" x14ac:dyDescent="0.25">
      <c r="A642" s="1">
        <f t="shared" si="43"/>
        <v>641</v>
      </c>
      <c r="B642" s="1"/>
      <c r="C642" s="2"/>
      <c r="H642" s="1" t="str">
        <f t="shared" ref="H642:H705" si="44">DATEDIF(G642,D642,"y") &amp; " г. " &amp; DATEDIF(G642,D642,"ym") &amp; " мес. " &amp; DATEDIF(G642,D642,"md") &amp; " дн."</f>
        <v>0 г. 0 мес. 0 дн.</v>
      </c>
      <c r="I642" s="1" t="s">
        <v>39</v>
      </c>
      <c r="V642" s="1" t="str">
        <f t="shared" si="42"/>
        <v>0 г. 0 мес. 0 дн.</v>
      </c>
      <c r="W642" s="5"/>
    </row>
    <row r="643" spans="1:23" ht="34.5" customHeight="1" x14ac:dyDescent="0.25">
      <c r="A643" s="1">
        <f t="shared" si="43"/>
        <v>642</v>
      </c>
      <c r="B643" s="1"/>
      <c r="C643" s="2"/>
      <c r="H643" s="1" t="str">
        <f t="shared" si="44"/>
        <v>0 г. 0 мес. 0 дн.</v>
      </c>
      <c r="I643" s="1" t="s">
        <v>39</v>
      </c>
      <c r="V643" s="1" t="str">
        <f t="shared" si="42"/>
        <v>0 г. 0 мес. 0 дн.</v>
      </c>
      <c r="W643" s="5"/>
    </row>
    <row r="644" spans="1:23" ht="34.5" customHeight="1" x14ac:dyDescent="0.25">
      <c r="A644" s="1">
        <f t="shared" si="43"/>
        <v>643</v>
      </c>
      <c r="B644" s="1"/>
      <c r="C644" s="2"/>
      <c r="H644" s="1" t="str">
        <f t="shared" si="44"/>
        <v>0 г. 0 мес. 0 дн.</v>
      </c>
      <c r="I644" s="1" t="s">
        <v>39</v>
      </c>
      <c r="V644" s="1" t="str">
        <f t="shared" si="42"/>
        <v>0 г. 0 мес. 0 дн.</v>
      </c>
      <c r="W644" s="5"/>
    </row>
    <row r="645" spans="1:23" ht="34.5" customHeight="1" x14ac:dyDescent="0.25">
      <c r="A645" s="1">
        <f t="shared" si="43"/>
        <v>644</v>
      </c>
      <c r="B645" s="1"/>
      <c r="C645" s="2"/>
      <c r="H645" s="1" t="str">
        <f t="shared" si="44"/>
        <v>0 г. 0 мес. 0 дн.</v>
      </c>
      <c r="I645" s="1" t="s">
        <v>39</v>
      </c>
      <c r="V645" s="1" t="str">
        <f t="shared" si="42"/>
        <v>0 г. 0 мес. 0 дн.</v>
      </c>
      <c r="W645" s="5"/>
    </row>
    <row r="646" spans="1:23" ht="34.5" customHeight="1" x14ac:dyDescent="0.25">
      <c r="A646" s="1">
        <f t="shared" si="43"/>
        <v>645</v>
      </c>
      <c r="B646" s="1"/>
      <c r="C646" s="2"/>
      <c r="H646" s="1" t="str">
        <f t="shared" si="44"/>
        <v>0 г. 0 мес. 0 дн.</v>
      </c>
      <c r="I646" s="1" t="s">
        <v>39</v>
      </c>
      <c r="V646" s="1" t="str">
        <f t="shared" si="42"/>
        <v>0 г. 0 мес. 0 дн.</v>
      </c>
      <c r="W646" s="5"/>
    </row>
    <row r="647" spans="1:23" ht="34.5" customHeight="1" x14ac:dyDescent="0.25">
      <c r="A647" s="1">
        <f t="shared" si="43"/>
        <v>646</v>
      </c>
      <c r="B647" s="1"/>
      <c r="C647" s="2"/>
      <c r="H647" s="1" t="str">
        <f t="shared" si="44"/>
        <v>0 г. 0 мес. 0 дн.</v>
      </c>
      <c r="I647" s="1" t="s">
        <v>39</v>
      </c>
      <c r="V647" s="1" t="str">
        <f t="shared" si="42"/>
        <v>0 г. 0 мес. 0 дн.</v>
      </c>
      <c r="W647" s="5"/>
    </row>
    <row r="648" spans="1:23" ht="34.5" customHeight="1" x14ac:dyDescent="0.25">
      <c r="A648" s="1">
        <f t="shared" si="43"/>
        <v>647</v>
      </c>
      <c r="B648" s="1"/>
      <c r="C648" s="2"/>
      <c r="H648" s="1" t="str">
        <f t="shared" si="44"/>
        <v>0 г. 0 мес. 0 дн.</v>
      </c>
      <c r="I648" s="1" t="s">
        <v>39</v>
      </c>
      <c r="V648" s="1" t="str">
        <f t="shared" si="42"/>
        <v>0 г. 0 мес. 0 дн.</v>
      </c>
      <c r="W648" s="5"/>
    </row>
    <row r="649" spans="1:23" ht="34.5" customHeight="1" x14ac:dyDescent="0.25">
      <c r="A649" s="1">
        <f t="shared" si="43"/>
        <v>648</v>
      </c>
      <c r="B649" s="1"/>
      <c r="C649" s="2"/>
      <c r="H649" s="1" t="str">
        <f t="shared" si="44"/>
        <v>0 г. 0 мес. 0 дн.</v>
      </c>
      <c r="I649" s="1" t="s">
        <v>39</v>
      </c>
      <c r="V649" s="1" t="str">
        <f t="shared" si="42"/>
        <v>0 г. 0 мес. 0 дн.</v>
      </c>
      <c r="W649" s="5"/>
    </row>
    <row r="650" spans="1:23" ht="34.5" customHeight="1" x14ac:dyDescent="0.25">
      <c r="A650" s="1">
        <f t="shared" si="43"/>
        <v>649</v>
      </c>
      <c r="B650" s="1"/>
      <c r="C650" s="2"/>
      <c r="H650" s="1" t="str">
        <f t="shared" si="44"/>
        <v>0 г. 0 мес. 0 дн.</v>
      </c>
      <c r="I650" s="1" t="s">
        <v>39</v>
      </c>
      <c r="V650" s="1" t="str">
        <f t="shared" si="42"/>
        <v>0 г. 0 мес. 0 дн.</v>
      </c>
      <c r="W650" s="5"/>
    </row>
    <row r="651" spans="1:23" ht="34.5" customHeight="1" x14ac:dyDescent="0.25">
      <c r="A651" s="1">
        <f t="shared" si="43"/>
        <v>650</v>
      </c>
      <c r="B651" s="1"/>
      <c r="C651" s="2"/>
      <c r="H651" s="1" t="str">
        <f t="shared" si="44"/>
        <v>0 г. 0 мес. 0 дн.</v>
      </c>
      <c r="I651" s="1" t="s">
        <v>39</v>
      </c>
      <c r="V651" s="1" t="str">
        <f t="shared" si="42"/>
        <v>0 г. 0 мес. 0 дн.</v>
      </c>
      <c r="W651" s="5"/>
    </row>
    <row r="652" spans="1:23" ht="34.5" customHeight="1" x14ac:dyDescent="0.25">
      <c r="A652" s="1">
        <f t="shared" si="43"/>
        <v>651</v>
      </c>
      <c r="B652" s="1"/>
      <c r="C652" s="2"/>
      <c r="H652" s="1" t="str">
        <f t="shared" si="44"/>
        <v>0 г. 0 мес. 0 дн.</v>
      </c>
      <c r="I652" s="1" t="s">
        <v>39</v>
      </c>
      <c r="V652" s="1" t="str">
        <f t="shared" si="42"/>
        <v>0 г. 0 мес. 0 дн.</v>
      </c>
      <c r="W652" s="5"/>
    </row>
    <row r="653" spans="1:23" ht="34.5" customHeight="1" x14ac:dyDescent="0.25">
      <c r="A653" s="1">
        <f t="shared" si="43"/>
        <v>652</v>
      </c>
      <c r="B653" s="1"/>
      <c r="C653" s="2"/>
      <c r="H653" s="1" t="str">
        <f t="shared" si="44"/>
        <v>0 г. 0 мес. 0 дн.</v>
      </c>
      <c r="I653" s="1" t="s">
        <v>39</v>
      </c>
      <c r="V653" s="1" t="str">
        <f t="shared" si="42"/>
        <v>0 г. 0 мес. 0 дн.</v>
      </c>
      <c r="W653" s="5"/>
    </row>
    <row r="654" spans="1:23" ht="34.5" customHeight="1" x14ac:dyDescent="0.25">
      <c r="A654" s="1">
        <f t="shared" si="43"/>
        <v>653</v>
      </c>
      <c r="B654" s="1"/>
      <c r="C654" s="2"/>
      <c r="H654" s="1" t="str">
        <f t="shared" si="44"/>
        <v>0 г. 0 мес. 0 дн.</v>
      </c>
      <c r="I654" s="1" t="s">
        <v>39</v>
      </c>
      <c r="V654" s="1" t="str">
        <f t="shared" si="42"/>
        <v>0 г. 0 мес. 0 дн.</v>
      </c>
      <c r="W654" s="5"/>
    </row>
    <row r="655" spans="1:23" ht="34.5" customHeight="1" x14ac:dyDescent="0.25">
      <c r="A655" s="1">
        <f t="shared" si="43"/>
        <v>654</v>
      </c>
      <c r="B655" s="1"/>
      <c r="C655" s="2"/>
      <c r="H655" s="1" t="str">
        <f t="shared" si="44"/>
        <v>0 г. 0 мес. 0 дн.</v>
      </c>
      <c r="I655" s="1" t="s">
        <v>39</v>
      </c>
      <c r="V655" s="1" t="str">
        <f t="shared" si="42"/>
        <v>0 г. 0 мес. 0 дн.</v>
      </c>
      <c r="W655" s="5"/>
    </row>
    <row r="656" spans="1:23" ht="34.5" customHeight="1" x14ac:dyDescent="0.25">
      <c r="A656" s="1">
        <f t="shared" si="43"/>
        <v>655</v>
      </c>
      <c r="B656" s="1"/>
      <c r="C656" s="2"/>
      <c r="H656" s="1" t="str">
        <f t="shared" si="44"/>
        <v>0 г. 0 мес. 0 дн.</v>
      </c>
      <c r="I656" s="1" t="s">
        <v>39</v>
      </c>
      <c r="V656" s="1" t="str">
        <f t="shared" si="42"/>
        <v>0 г. 0 мес. 0 дн.</v>
      </c>
      <c r="W656" s="5"/>
    </row>
    <row r="657" spans="1:23" ht="34.5" customHeight="1" x14ac:dyDescent="0.25">
      <c r="A657" s="1">
        <f t="shared" si="43"/>
        <v>656</v>
      </c>
      <c r="B657" s="1"/>
      <c r="C657" s="2"/>
      <c r="H657" s="1" t="str">
        <f t="shared" si="44"/>
        <v>0 г. 0 мес. 0 дн.</v>
      </c>
      <c r="I657" s="1" t="s">
        <v>39</v>
      </c>
      <c r="V657" s="1" t="str">
        <f t="shared" si="42"/>
        <v>0 г. 0 мес. 0 дн.</v>
      </c>
      <c r="W657" s="5"/>
    </row>
    <row r="658" spans="1:23" ht="34.5" customHeight="1" x14ac:dyDescent="0.25">
      <c r="A658" s="1">
        <f t="shared" si="43"/>
        <v>657</v>
      </c>
      <c r="B658" s="1"/>
      <c r="C658" s="2"/>
      <c r="H658" s="1" t="str">
        <f t="shared" si="44"/>
        <v>0 г. 0 мес. 0 дн.</v>
      </c>
      <c r="I658" s="1" t="s">
        <v>39</v>
      </c>
      <c r="V658" s="1" t="str">
        <f t="shared" si="42"/>
        <v>0 г. 0 мес. 0 дн.</v>
      </c>
      <c r="W658" s="5"/>
    </row>
    <row r="659" spans="1:23" ht="34.5" customHeight="1" x14ac:dyDescent="0.25">
      <c r="A659" s="1">
        <f t="shared" si="43"/>
        <v>658</v>
      </c>
      <c r="B659" s="1"/>
      <c r="C659" s="2"/>
      <c r="H659" s="1" t="str">
        <f t="shared" si="44"/>
        <v>0 г. 0 мес. 0 дн.</v>
      </c>
      <c r="I659" s="1" t="s">
        <v>39</v>
      </c>
      <c r="V659" s="1" t="str">
        <f t="shared" si="42"/>
        <v>0 г. 0 мес. 0 дн.</v>
      </c>
      <c r="W659" s="5"/>
    </row>
    <row r="660" spans="1:23" ht="34.5" customHeight="1" x14ac:dyDescent="0.25">
      <c r="A660" s="1">
        <f t="shared" si="43"/>
        <v>659</v>
      </c>
      <c r="B660" s="1"/>
      <c r="C660" s="2"/>
      <c r="H660" s="1" t="str">
        <f t="shared" si="44"/>
        <v>0 г. 0 мес. 0 дн.</v>
      </c>
      <c r="I660" s="1" t="s">
        <v>39</v>
      </c>
      <c r="V660" s="1" t="str">
        <f t="shared" si="42"/>
        <v>0 г. 0 мес. 0 дн.</v>
      </c>
      <c r="W660" s="5"/>
    </row>
    <row r="661" spans="1:23" ht="34.5" customHeight="1" x14ac:dyDescent="0.25">
      <c r="A661" s="1">
        <f t="shared" si="43"/>
        <v>660</v>
      </c>
      <c r="B661" s="1"/>
      <c r="C661" s="2"/>
      <c r="H661" s="1" t="str">
        <f t="shared" si="44"/>
        <v>0 г. 0 мес. 0 дн.</v>
      </c>
      <c r="I661" s="1" t="s">
        <v>39</v>
      </c>
      <c r="V661" s="1" t="str">
        <f t="shared" si="42"/>
        <v>0 г. 0 мес. 0 дн.</v>
      </c>
      <c r="W661" s="5"/>
    </row>
    <row r="662" spans="1:23" ht="34.5" customHeight="1" x14ac:dyDescent="0.25">
      <c r="A662" s="1">
        <f t="shared" si="43"/>
        <v>661</v>
      </c>
      <c r="B662" s="1"/>
      <c r="C662" s="2"/>
      <c r="H662" s="1" t="str">
        <f t="shared" si="44"/>
        <v>0 г. 0 мес. 0 дн.</v>
      </c>
      <c r="I662" s="1" t="s">
        <v>39</v>
      </c>
      <c r="V662" s="1" t="str">
        <f t="shared" si="42"/>
        <v>0 г. 0 мес. 0 дн.</v>
      </c>
      <c r="W662" s="5"/>
    </row>
    <row r="663" spans="1:23" ht="34.5" customHeight="1" x14ac:dyDescent="0.25">
      <c r="A663" s="1">
        <f t="shared" si="43"/>
        <v>662</v>
      </c>
      <c r="B663" s="1"/>
      <c r="C663" s="2"/>
      <c r="H663" s="1" t="str">
        <f t="shared" si="44"/>
        <v>0 г. 0 мес. 0 дн.</v>
      </c>
      <c r="I663" s="1" t="s">
        <v>39</v>
      </c>
      <c r="V663" s="1" t="str">
        <f t="shared" si="42"/>
        <v>0 г. 0 мес. 0 дн.</v>
      </c>
      <c r="W663" s="5"/>
    </row>
    <row r="664" spans="1:23" ht="34.5" customHeight="1" x14ac:dyDescent="0.25">
      <c r="A664" s="1">
        <f t="shared" si="43"/>
        <v>663</v>
      </c>
      <c r="B664" s="1"/>
      <c r="C664" s="2"/>
      <c r="H664" s="1" t="str">
        <f t="shared" si="44"/>
        <v>0 г. 0 мес. 0 дн.</v>
      </c>
      <c r="I664" s="1" t="s">
        <v>39</v>
      </c>
      <c r="V664" s="1" t="str">
        <f t="shared" si="42"/>
        <v>0 г. 0 мес. 0 дн.</v>
      </c>
      <c r="W664" s="5"/>
    </row>
    <row r="665" spans="1:23" ht="34.5" customHeight="1" x14ac:dyDescent="0.25">
      <c r="A665" s="1">
        <f t="shared" si="43"/>
        <v>664</v>
      </c>
      <c r="B665" s="1"/>
      <c r="C665" s="2"/>
      <c r="H665" s="1" t="str">
        <f t="shared" si="44"/>
        <v>0 г. 0 мес. 0 дн.</v>
      </c>
      <c r="I665" s="1" t="s">
        <v>39</v>
      </c>
      <c r="V665" s="1" t="str">
        <f t="shared" si="42"/>
        <v>0 г. 0 мес. 0 дн.</v>
      </c>
      <c r="W665" s="5"/>
    </row>
    <row r="666" spans="1:23" ht="34.5" customHeight="1" x14ac:dyDescent="0.25">
      <c r="A666" s="1">
        <f t="shared" si="43"/>
        <v>665</v>
      </c>
      <c r="B666" s="1"/>
      <c r="C666" s="2"/>
      <c r="H666" s="1" t="str">
        <f t="shared" si="44"/>
        <v>0 г. 0 мес. 0 дн.</v>
      </c>
      <c r="I666" s="1" t="s">
        <v>39</v>
      </c>
      <c r="V666" s="1" t="str">
        <f t="shared" si="42"/>
        <v>0 г. 0 мес. 0 дн.</v>
      </c>
      <c r="W666" s="5"/>
    </row>
    <row r="667" spans="1:23" ht="34.5" customHeight="1" x14ac:dyDescent="0.25">
      <c r="A667" s="1">
        <f t="shared" si="43"/>
        <v>666</v>
      </c>
      <c r="B667" s="1"/>
      <c r="C667" s="2"/>
      <c r="H667" s="1" t="str">
        <f t="shared" si="44"/>
        <v>0 г. 0 мес. 0 дн.</v>
      </c>
      <c r="I667" s="1" t="s">
        <v>39</v>
      </c>
      <c r="V667" s="1" t="str">
        <f t="shared" si="42"/>
        <v>0 г. 0 мес. 0 дн.</v>
      </c>
      <c r="W667" s="5"/>
    </row>
    <row r="668" spans="1:23" ht="34.5" customHeight="1" x14ac:dyDescent="0.25">
      <c r="A668" s="1">
        <f t="shared" si="43"/>
        <v>667</v>
      </c>
      <c r="B668" s="1"/>
      <c r="C668" s="2"/>
      <c r="H668" s="1" t="str">
        <f t="shared" si="44"/>
        <v>0 г. 0 мес. 0 дн.</v>
      </c>
      <c r="I668" s="1" t="s">
        <v>39</v>
      </c>
      <c r="V668" s="1" t="str">
        <f t="shared" si="42"/>
        <v>0 г. 0 мес. 0 дн.</v>
      </c>
      <c r="W668" s="5"/>
    </row>
    <row r="669" spans="1:23" ht="34.5" customHeight="1" x14ac:dyDescent="0.25">
      <c r="A669" s="1">
        <f t="shared" si="43"/>
        <v>668</v>
      </c>
      <c r="B669" s="1"/>
      <c r="C669" s="2"/>
      <c r="H669" s="1" t="str">
        <f t="shared" si="44"/>
        <v>0 г. 0 мес. 0 дн.</v>
      </c>
      <c r="I669" s="1" t="s">
        <v>39</v>
      </c>
      <c r="V669" s="1" t="str">
        <f t="shared" si="42"/>
        <v>0 г. 0 мес. 0 дн.</v>
      </c>
      <c r="W669" s="5"/>
    </row>
    <row r="670" spans="1:23" ht="34.5" customHeight="1" x14ac:dyDescent="0.25">
      <c r="A670" s="1">
        <f t="shared" si="43"/>
        <v>669</v>
      </c>
      <c r="B670" s="1"/>
      <c r="C670" s="2"/>
      <c r="H670" s="1" t="str">
        <f t="shared" si="44"/>
        <v>0 г. 0 мес. 0 дн.</v>
      </c>
      <c r="I670" s="1" t="s">
        <v>39</v>
      </c>
      <c r="V670" s="1" t="str">
        <f t="shared" si="42"/>
        <v>0 г. 0 мес. 0 дн.</v>
      </c>
      <c r="W670" s="5"/>
    </row>
    <row r="671" spans="1:23" ht="34.5" customHeight="1" x14ac:dyDescent="0.25">
      <c r="A671" s="1">
        <f t="shared" si="43"/>
        <v>670</v>
      </c>
      <c r="B671" s="1"/>
      <c r="C671" s="2"/>
      <c r="H671" s="1" t="str">
        <f t="shared" si="44"/>
        <v>0 г. 0 мес. 0 дн.</v>
      </c>
      <c r="I671" s="1" t="s">
        <v>39</v>
      </c>
      <c r="V671" s="1" t="str">
        <f t="shared" si="42"/>
        <v>0 г. 0 мес. 0 дн.</v>
      </c>
      <c r="W671" s="5"/>
    </row>
    <row r="672" spans="1:23" ht="34.5" customHeight="1" x14ac:dyDescent="0.25">
      <c r="A672" s="1">
        <f t="shared" si="43"/>
        <v>671</v>
      </c>
      <c r="B672" s="1"/>
      <c r="C672" s="2"/>
      <c r="H672" s="1" t="str">
        <f t="shared" si="44"/>
        <v>0 г. 0 мес. 0 дн.</v>
      </c>
      <c r="I672" s="1" t="s">
        <v>39</v>
      </c>
      <c r="V672" s="1" t="str">
        <f t="shared" si="42"/>
        <v>0 г. 0 мес. 0 дн.</v>
      </c>
      <c r="W672" s="5"/>
    </row>
    <row r="673" spans="1:23" ht="34.5" customHeight="1" x14ac:dyDescent="0.25">
      <c r="A673" s="1">
        <f t="shared" si="43"/>
        <v>672</v>
      </c>
      <c r="B673" s="1"/>
      <c r="C673" s="2"/>
      <c r="H673" s="1" t="str">
        <f t="shared" si="44"/>
        <v>0 г. 0 мес. 0 дн.</v>
      </c>
      <c r="I673" s="1" t="s">
        <v>39</v>
      </c>
      <c r="V673" s="1" t="str">
        <f t="shared" si="42"/>
        <v>0 г. 0 мес. 0 дн.</v>
      </c>
      <c r="W673" s="5"/>
    </row>
    <row r="674" spans="1:23" ht="34.5" customHeight="1" x14ac:dyDescent="0.25">
      <c r="A674" s="1">
        <f t="shared" si="43"/>
        <v>673</v>
      </c>
      <c r="B674" s="1"/>
      <c r="C674" s="2"/>
      <c r="H674" s="1" t="str">
        <f t="shared" si="44"/>
        <v>0 г. 0 мес. 0 дн.</v>
      </c>
      <c r="I674" s="1" t="s">
        <v>39</v>
      </c>
      <c r="V674" s="1" t="str">
        <f t="shared" si="42"/>
        <v>0 г. 0 мес. 0 дн.</v>
      </c>
      <c r="W674" s="5"/>
    </row>
    <row r="675" spans="1:23" ht="34.5" customHeight="1" x14ac:dyDescent="0.25">
      <c r="A675" s="1">
        <f t="shared" si="43"/>
        <v>674</v>
      </c>
      <c r="B675" s="1"/>
      <c r="C675" s="2"/>
      <c r="H675" s="1" t="str">
        <f t="shared" si="44"/>
        <v>0 г. 0 мес. 0 дн.</v>
      </c>
      <c r="I675" s="1" t="s">
        <v>39</v>
      </c>
      <c r="V675" s="1" t="str">
        <f t="shared" si="42"/>
        <v>0 г. 0 мес. 0 дн.</v>
      </c>
      <c r="W675" s="5"/>
    </row>
    <row r="676" spans="1:23" ht="34.5" customHeight="1" x14ac:dyDescent="0.25">
      <c r="A676" s="1">
        <f t="shared" si="43"/>
        <v>675</v>
      </c>
      <c r="B676" s="1"/>
      <c r="C676" s="2"/>
      <c r="H676" s="1" t="str">
        <f t="shared" si="44"/>
        <v>0 г. 0 мес. 0 дн.</v>
      </c>
      <c r="I676" s="1" t="s">
        <v>39</v>
      </c>
      <c r="V676" s="1" t="str">
        <f t="shared" si="42"/>
        <v>0 г. 0 мес. 0 дн.</v>
      </c>
      <c r="W676" s="5"/>
    </row>
    <row r="677" spans="1:23" ht="34.5" customHeight="1" x14ac:dyDescent="0.25">
      <c r="A677" s="1">
        <f t="shared" si="43"/>
        <v>676</v>
      </c>
      <c r="B677" s="1"/>
      <c r="C677" s="2"/>
      <c r="H677" s="1" t="str">
        <f t="shared" si="44"/>
        <v>0 г. 0 мес. 0 дн.</v>
      </c>
      <c r="I677" s="1" t="s">
        <v>39</v>
      </c>
      <c r="V677" s="1" t="str">
        <f t="shared" si="42"/>
        <v>0 г. 0 мес. 0 дн.</v>
      </c>
      <c r="W677" s="5"/>
    </row>
    <row r="678" spans="1:23" ht="34.5" customHeight="1" x14ac:dyDescent="0.25">
      <c r="A678" s="1">
        <f t="shared" si="43"/>
        <v>677</v>
      </c>
      <c r="B678" s="1"/>
      <c r="C678" s="2"/>
      <c r="H678" s="1" t="str">
        <f t="shared" si="44"/>
        <v>0 г. 0 мес. 0 дн.</v>
      </c>
      <c r="I678" s="1" t="s">
        <v>39</v>
      </c>
      <c r="V678" s="1" t="str">
        <f t="shared" si="42"/>
        <v>0 г. 0 мес. 0 дн.</v>
      </c>
      <c r="W678" s="5"/>
    </row>
    <row r="679" spans="1:23" ht="34.5" customHeight="1" x14ac:dyDescent="0.25">
      <c r="A679" s="1">
        <f t="shared" si="43"/>
        <v>678</v>
      </c>
      <c r="B679" s="1"/>
      <c r="C679" s="2"/>
      <c r="H679" s="1" t="str">
        <f t="shared" si="44"/>
        <v>0 г. 0 мес. 0 дн.</v>
      </c>
      <c r="I679" s="1" t="s">
        <v>39</v>
      </c>
      <c r="V679" s="1" t="str">
        <f t="shared" si="42"/>
        <v>0 г. 0 мес. 0 дн.</v>
      </c>
      <c r="W679" s="5"/>
    </row>
    <row r="680" spans="1:23" ht="34.5" customHeight="1" x14ac:dyDescent="0.25">
      <c r="A680" s="1">
        <f t="shared" si="43"/>
        <v>679</v>
      </c>
      <c r="B680" s="1"/>
      <c r="C680" s="2"/>
      <c r="H680" s="1" t="str">
        <f t="shared" si="44"/>
        <v>0 г. 0 мес. 0 дн.</v>
      </c>
      <c r="I680" s="1" t="s">
        <v>39</v>
      </c>
      <c r="V680" s="1" t="str">
        <f t="shared" si="42"/>
        <v>0 г. 0 мес. 0 дн.</v>
      </c>
      <c r="W680" s="5"/>
    </row>
    <row r="681" spans="1:23" ht="34.5" customHeight="1" x14ac:dyDescent="0.25">
      <c r="A681" s="1">
        <f t="shared" si="43"/>
        <v>680</v>
      </c>
      <c r="B681" s="1"/>
      <c r="C681" s="2"/>
      <c r="H681" s="1" t="str">
        <f t="shared" si="44"/>
        <v>0 г. 0 мес. 0 дн.</v>
      </c>
      <c r="I681" s="1" t="s">
        <v>39</v>
      </c>
      <c r="V681" s="1" t="str">
        <f t="shared" si="42"/>
        <v>0 г. 0 мес. 0 дн.</v>
      </c>
      <c r="W681" s="5"/>
    </row>
    <row r="682" spans="1:23" ht="34.5" customHeight="1" x14ac:dyDescent="0.25">
      <c r="A682" s="1">
        <f t="shared" si="43"/>
        <v>681</v>
      </c>
      <c r="B682" s="1"/>
      <c r="C682" s="2"/>
      <c r="H682" s="1" t="str">
        <f t="shared" si="44"/>
        <v>0 г. 0 мес. 0 дн.</v>
      </c>
      <c r="I682" s="1" t="s">
        <v>39</v>
      </c>
      <c r="V682" s="1" t="str">
        <f t="shared" si="42"/>
        <v>0 г. 0 мес. 0 дн.</v>
      </c>
      <c r="W682" s="5"/>
    </row>
    <row r="683" spans="1:23" ht="34.5" customHeight="1" x14ac:dyDescent="0.25">
      <c r="A683" s="1">
        <f t="shared" si="43"/>
        <v>682</v>
      </c>
      <c r="B683" s="1"/>
      <c r="C683" s="2"/>
      <c r="H683" s="1" t="str">
        <f t="shared" si="44"/>
        <v>0 г. 0 мес. 0 дн.</v>
      </c>
      <c r="I683" s="1" t="s">
        <v>39</v>
      </c>
      <c r="V683" s="1" t="str">
        <f t="shared" si="42"/>
        <v>0 г. 0 мес. 0 дн.</v>
      </c>
      <c r="W683" s="5"/>
    </row>
    <row r="684" spans="1:23" ht="34.5" customHeight="1" x14ac:dyDescent="0.25">
      <c r="A684" s="1">
        <f t="shared" si="43"/>
        <v>683</v>
      </c>
      <c r="B684" s="1"/>
      <c r="C684" s="2"/>
      <c r="H684" s="1" t="str">
        <f t="shared" si="44"/>
        <v>0 г. 0 мес. 0 дн.</v>
      </c>
      <c r="I684" s="1" t="s">
        <v>39</v>
      </c>
      <c r="V684" s="1" t="str">
        <f t="shared" si="42"/>
        <v>0 г. 0 мес. 0 дн.</v>
      </c>
      <c r="W684" s="5"/>
    </row>
    <row r="685" spans="1:23" ht="34.5" customHeight="1" x14ac:dyDescent="0.25">
      <c r="A685" s="1">
        <f t="shared" si="43"/>
        <v>684</v>
      </c>
      <c r="B685" s="1"/>
      <c r="C685" s="2"/>
      <c r="H685" s="1" t="str">
        <f t="shared" si="44"/>
        <v>0 г. 0 мес. 0 дн.</v>
      </c>
      <c r="I685" s="1" t="s">
        <v>39</v>
      </c>
      <c r="V685" s="1" t="str">
        <f t="shared" si="42"/>
        <v>0 г. 0 мес. 0 дн.</v>
      </c>
      <c r="W685" s="5"/>
    </row>
    <row r="686" spans="1:23" ht="34.5" customHeight="1" x14ac:dyDescent="0.25">
      <c r="A686" s="1">
        <f t="shared" si="43"/>
        <v>685</v>
      </c>
      <c r="B686" s="1"/>
      <c r="C686" s="2"/>
      <c r="H686" s="1" t="str">
        <f t="shared" si="44"/>
        <v>0 г. 0 мес. 0 дн.</v>
      </c>
      <c r="I686" s="1" t="s">
        <v>39</v>
      </c>
      <c r="V686" s="1" t="str">
        <f t="shared" si="42"/>
        <v>0 г. 0 мес. 0 дн.</v>
      </c>
      <c r="W686" s="5"/>
    </row>
    <row r="687" spans="1:23" ht="34.5" customHeight="1" x14ac:dyDescent="0.25">
      <c r="A687" s="1">
        <f t="shared" si="43"/>
        <v>686</v>
      </c>
      <c r="B687" s="1"/>
      <c r="C687" s="2"/>
      <c r="H687" s="1" t="str">
        <f t="shared" si="44"/>
        <v>0 г. 0 мес. 0 дн.</v>
      </c>
      <c r="I687" s="1" t="s">
        <v>39</v>
      </c>
      <c r="V687" s="1" t="str">
        <f t="shared" si="42"/>
        <v>0 г. 0 мес. 0 дн.</v>
      </c>
      <c r="W687" s="5"/>
    </row>
    <row r="688" spans="1:23" ht="34.5" customHeight="1" x14ac:dyDescent="0.25">
      <c r="A688" s="1">
        <f t="shared" si="43"/>
        <v>687</v>
      </c>
      <c r="B688" s="1"/>
      <c r="C688" s="2"/>
      <c r="H688" s="1" t="str">
        <f t="shared" si="44"/>
        <v>0 г. 0 мес. 0 дн.</v>
      </c>
      <c r="I688" s="1" t="s">
        <v>39</v>
      </c>
      <c r="V688" s="1" t="str">
        <f t="shared" si="42"/>
        <v>0 г. 0 мес. 0 дн.</v>
      </c>
      <c r="W688" s="5"/>
    </row>
    <row r="689" spans="1:23" ht="34.5" customHeight="1" x14ac:dyDescent="0.25">
      <c r="A689" s="1">
        <f t="shared" si="43"/>
        <v>688</v>
      </c>
      <c r="B689" s="1"/>
      <c r="C689" s="2"/>
      <c r="H689" s="1" t="str">
        <f t="shared" si="44"/>
        <v>0 г. 0 мес. 0 дн.</v>
      </c>
      <c r="I689" s="1" t="s">
        <v>39</v>
      </c>
      <c r="V689" s="1" t="str">
        <f t="shared" ref="V689:V752" si="45">DATEDIF(D689,T689,"y") &amp; " г. " &amp; DATEDIF(D689,T689,"ym") &amp; " мес. " &amp; DATEDIF(D689,T689,"md") &amp; " дн."</f>
        <v>0 г. 0 мес. 0 дн.</v>
      </c>
      <c r="W689" s="5"/>
    </row>
    <row r="690" spans="1:23" ht="34.5" customHeight="1" x14ac:dyDescent="0.25">
      <c r="A690" s="1">
        <f t="shared" si="43"/>
        <v>689</v>
      </c>
      <c r="B690" s="1"/>
      <c r="C690" s="2"/>
      <c r="H690" s="1" t="str">
        <f t="shared" si="44"/>
        <v>0 г. 0 мес. 0 дн.</v>
      </c>
      <c r="I690" s="1" t="s">
        <v>39</v>
      </c>
      <c r="V690" s="1" t="str">
        <f t="shared" si="45"/>
        <v>0 г. 0 мес. 0 дн.</v>
      </c>
      <c r="W690" s="5"/>
    </row>
    <row r="691" spans="1:23" ht="34.5" customHeight="1" x14ac:dyDescent="0.25">
      <c r="A691" s="1">
        <f t="shared" si="43"/>
        <v>690</v>
      </c>
      <c r="B691" s="1"/>
      <c r="C691" s="2"/>
      <c r="H691" s="1" t="str">
        <f t="shared" si="44"/>
        <v>0 г. 0 мес. 0 дн.</v>
      </c>
      <c r="I691" s="1" t="s">
        <v>39</v>
      </c>
      <c r="V691" s="1" t="str">
        <f t="shared" si="45"/>
        <v>0 г. 0 мес. 0 дн.</v>
      </c>
      <c r="W691" s="5"/>
    </row>
    <row r="692" spans="1:23" ht="34.5" customHeight="1" x14ac:dyDescent="0.25">
      <c r="A692" s="1">
        <f t="shared" si="43"/>
        <v>691</v>
      </c>
      <c r="B692" s="1"/>
      <c r="C692" s="2"/>
      <c r="H692" s="1" t="str">
        <f t="shared" si="44"/>
        <v>0 г. 0 мес. 0 дн.</v>
      </c>
      <c r="I692" s="1" t="s">
        <v>39</v>
      </c>
      <c r="V692" s="1" t="str">
        <f t="shared" si="45"/>
        <v>0 г. 0 мес. 0 дн.</v>
      </c>
      <c r="W692" s="5"/>
    </row>
    <row r="693" spans="1:23" ht="34.5" customHeight="1" x14ac:dyDescent="0.25">
      <c r="A693" s="1">
        <f t="shared" si="43"/>
        <v>692</v>
      </c>
      <c r="B693" s="1"/>
      <c r="C693" s="2"/>
      <c r="H693" s="1" t="str">
        <f t="shared" si="44"/>
        <v>0 г. 0 мес. 0 дн.</v>
      </c>
      <c r="I693" s="1" t="s">
        <v>39</v>
      </c>
      <c r="V693" s="1" t="str">
        <f t="shared" si="45"/>
        <v>0 г. 0 мес. 0 дн.</v>
      </c>
      <c r="W693" s="5"/>
    </row>
    <row r="694" spans="1:23" ht="34.5" customHeight="1" x14ac:dyDescent="0.25">
      <c r="A694" s="1">
        <f t="shared" si="43"/>
        <v>693</v>
      </c>
      <c r="B694" s="1"/>
      <c r="C694" s="2"/>
      <c r="H694" s="1" t="str">
        <f t="shared" si="44"/>
        <v>0 г. 0 мес. 0 дн.</v>
      </c>
      <c r="I694" s="1" t="s">
        <v>39</v>
      </c>
      <c r="V694" s="1" t="str">
        <f t="shared" si="45"/>
        <v>0 г. 0 мес. 0 дн.</v>
      </c>
      <c r="W694" s="5"/>
    </row>
    <row r="695" spans="1:23" ht="34.5" customHeight="1" x14ac:dyDescent="0.25">
      <c r="A695" s="1">
        <f t="shared" si="43"/>
        <v>694</v>
      </c>
      <c r="B695" s="1"/>
      <c r="C695" s="2"/>
      <c r="H695" s="1" t="str">
        <f t="shared" si="44"/>
        <v>0 г. 0 мес. 0 дн.</v>
      </c>
      <c r="I695" s="1" t="s">
        <v>39</v>
      </c>
      <c r="V695" s="1" t="str">
        <f t="shared" si="45"/>
        <v>0 г. 0 мес. 0 дн.</v>
      </c>
      <c r="W695" s="5"/>
    </row>
    <row r="696" spans="1:23" ht="34.5" customHeight="1" x14ac:dyDescent="0.25">
      <c r="A696" s="1">
        <f t="shared" si="43"/>
        <v>695</v>
      </c>
      <c r="B696" s="1"/>
      <c r="C696" s="2"/>
      <c r="H696" s="1" t="str">
        <f t="shared" si="44"/>
        <v>0 г. 0 мес. 0 дн.</v>
      </c>
      <c r="I696" s="1" t="s">
        <v>39</v>
      </c>
      <c r="V696" s="1" t="str">
        <f t="shared" si="45"/>
        <v>0 г. 0 мес. 0 дн.</v>
      </c>
      <c r="W696" s="5"/>
    </row>
    <row r="697" spans="1:23" ht="34.5" customHeight="1" x14ac:dyDescent="0.25">
      <c r="A697" s="1">
        <f t="shared" si="43"/>
        <v>696</v>
      </c>
      <c r="B697" s="1"/>
      <c r="C697" s="2"/>
      <c r="H697" s="1" t="str">
        <f t="shared" si="44"/>
        <v>0 г. 0 мес. 0 дн.</v>
      </c>
      <c r="I697" s="1" t="s">
        <v>39</v>
      </c>
      <c r="V697" s="1" t="str">
        <f t="shared" si="45"/>
        <v>0 г. 0 мес. 0 дн.</v>
      </c>
      <c r="W697" s="5"/>
    </row>
    <row r="698" spans="1:23" ht="34.5" customHeight="1" x14ac:dyDescent="0.25">
      <c r="A698" s="1">
        <f t="shared" si="43"/>
        <v>697</v>
      </c>
      <c r="B698" s="1"/>
      <c r="C698" s="2"/>
      <c r="H698" s="1" t="str">
        <f t="shared" si="44"/>
        <v>0 г. 0 мес. 0 дн.</v>
      </c>
      <c r="I698" s="1" t="s">
        <v>39</v>
      </c>
      <c r="V698" s="1" t="str">
        <f t="shared" si="45"/>
        <v>0 г. 0 мес. 0 дн.</v>
      </c>
      <c r="W698" s="5"/>
    </row>
    <row r="699" spans="1:23" ht="34.5" customHeight="1" x14ac:dyDescent="0.25">
      <c r="A699" s="1">
        <f t="shared" si="43"/>
        <v>698</v>
      </c>
      <c r="B699" s="1"/>
      <c r="C699" s="2"/>
      <c r="H699" s="1" t="str">
        <f t="shared" si="44"/>
        <v>0 г. 0 мес. 0 дн.</v>
      </c>
      <c r="I699" s="1" t="s">
        <v>39</v>
      </c>
      <c r="V699" s="1" t="str">
        <f t="shared" si="45"/>
        <v>0 г. 0 мес. 0 дн.</v>
      </c>
      <c r="W699" s="5"/>
    </row>
    <row r="700" spans="1:23" ht="34.5" customHeight="1" x14ac:dyDescent="0.25">
      <c r="A700" s="1">
        <f t="shared" si="43"/>
        <v>699</v>
      </c>
      <c r="B700" s="1"/>
      <c r="C700" s="2"/>
      <c r="H700" s="1" t="str">
        <f t="shared" si="44"/>
        <v>0 г. 0 мес. 0 дн.</v>
      </c>
      <c r="I700" s="1" t="s">
        <v>39</v>
      </c>
      <c r="V700" s="1" t="str">
        <f t="shared" si="45"/>
        <v>0 г. 0 мес. 0 дн.</v>
      </c>
      <c r="W700" s="5"/>
    </row>
    <row r="701" spans="1:23" ht="34.5" customHeight="1" x14ac:dyDescent="0.25">
      <c r="A701" s="1">
        <f t="shared" si="43"/>
        <v>700</v>
      </c>
      <c r="B701" s="1"/>
      <c r="C701" s="2"/>
      <c r="H701" s="1" t="str">
        <f t="shared" si="44"/>
        <v>0 г. 0 мес. 0 дн.</v>
      </c>
      <c r="I701" s="1" t="s">
        <v>39</v>
      </c>
      <c r="V701" s="1" t="str">
        <f t="shared" si="45"/>
        <v>0 г. 0 мес. 0 дн.</v>
      </c>
      <c r="W701" s="5"/>
    </row>
    <row r="702" spans="1:23" ht="34.5" customHeight="1" x14ac:dyDescent="0.25">
      <c r="A702" s="1">
        <f t="shared" si="43"/>
        <v>701</v>
      </c>
      <c r="B702" s="1"/>
      <c r="C702" s="2"/>
      <c r="H702" s="1" t="str">
        <f t="shared" si="44"/>
        <v>0 г. 0 мес. 0 дн.</v>
      </c>
      <c r="I702" s="1" t="s">
        <v>39</v>
      </c>
      <c r="V702" s="1" t="str">
        <f t="shared" si="45"/>
        <v>0 г. 0 мес. 0 дн.</v>
      </c>
      <c r="W702" s="5"/>
    </row>
    <row r="703" spans="1:23" ht="34.5" customHeight="1" x14ac:dyDescent="0.25">
      <c r="A703" s="1">
        <f t="shared" si="43"/>
        <v>702</v>
      </c>
      <c r="B703" s="1"/>
      <c r="C703" s="2"/>
      <c r="H703" s="1" t="str">
        <f t="shared" si="44"/>
        <v>0 г. 0 мес. 0 дн.</v>
      </c>
      <c r="I703" s="1" t="s">
        <v>39</v>
      </c>
      <c r="V703" s="1" t="str">
        <f t="shared" si="45"/>
        <v>0 г. 0 мес. 0 дн.</v>
      </c>
      <c r="W703" s="5"/>
    </row>
    <row r="704" spans="1:23" ht="34.5" customHeight="1" x14ac:dyDescent="0.25">
      <c r="A704" s="1">
        <f t="shared" ref="A704:A767" si="46">ROW(A703)</f>
        <v>703</v>
      </c>
      <c r="B704" s="1"/>
      <c r="C704" s="2"/>
      <c r="H704" s="1" t="str">
        <f t="shared" si="44"/>
        <v>0 г. 0 мес. 0 дн.</v>
      </c>
      <c r="I704" s="1" t="s">
        <v>39</v>
      </c>
      <c r="V704" s="1" t="str">
        <f t="shared" si="45"/>
        <v>0 г. 0 мес. 0 дн.</v>
      </c>
      <c r="W704" s="5"/>
    </row>
    <row r="705" spans="1:23" ht="34.5" customHeight="1" x14ac:dyDescent="0.25">
      <c r="A705" s="1">
        <f t="shared" si="46"/>
        <v>704</v>
      </c>
      <c r="B705" s="1"/>
      <c r="C705" s="2"/>
      <c r="H705" s="1" t="str">
        <f t="shared" si="44"/>
        <v>0 г. 0 мес. 0 дн.</v>
      </c>
      <c r="I705" s="1" t="s">
        <v>39</v>
      </c>
      <c r="V705" s="1" t="str">
        <f t="shared" si="45"/>
        <v>0 г. 0 мес. 0 дн.</v>
      </c>
      <c r="W705" s="5"/>
    </row>
    <row r="706" spans="1:23" ht="34.5" customHeight="1" x14ac:dyDescent="0.25">
      <c r="A706" s="1">
        <f t="shared" si="46"/>
        <v>705</v>
      </c>
      <c r="B706" s="1"/>
      <c r="C706" s="2"/>
      <c r="H706" s="1" t="str">
        <f t="shared" ref="H706:H769" si="47">DATEDIF(G706,D706,"y") &amp; " г. " &amp; DATEDIF(G706,D706,"ym") &amp; " мес. " &amp; DATEDIF(G706,D706,"md") &amp; " дн."</f>
        <v>0 г. 0 мес. 0 дн.</v>
      </c>
      <c r="I706" s="1" t="s">
        <v>39</v>
      </c>
      <c r="V706" s="1" t="str">
        <f t="shared" si="45"/>
        <v>0 г. 0 мес. 0 дн.</v>
      </c>
      <c r="W706" s="5"/>
    </row>
    <row r="707" spans="1:23" ht="34.5" customHeight="1" x14ac:dyDescent="0.25">
      <c r="A707" s="1">
        <f t="shared" si="46"/>
        <v>706</v>
      </c>
      <c r="B707" s="1"/>
      <c r="C707" s="2"/>
      <c r="H707" s="1" t="str">
        <f t="shared" si="47"/>
        <v>0 г. 0 мес. 0 дн.</v>
      </c>
      <c r="I707" s="1" t="s">
        <v>39</v>
      </c>
      <c r="V707" s="1" t="str">
        <f t="shared" si="45"/>
        <v>0 г. 0 мес. 0 дн.</v>
      </c>
      <c r="W707" s="5"/>
    </row>
    <row r="708" spans="1:23" ht="34.5" customHeight="1" x14ac:dyDescent="0.25">
      <c r="A708" s="1">
        <f t="shared" si="46"/>
        <v>707</v>
      </c>
      <c r="B708" s="1"/>
      <c r="C708" s="2"/>
      <c r="H708" s="1" t="str">
        <f t="shared" si="47"/>
        <v>0 г. 0 мес. 0 дн.</v>
      </c>
      <c r="I708" s="1" t="s">
        <v>39</v>
      </c>
      <c r="V708" s="1" t="str">
        <f t="shared" si="45"/>
        <v>0 г. 0 мес. 0 дн.</v>
      </c>
      <c r="W708" s="5"/>
    </row>
    <row r="709" spans="1:23" ht="34.5" customHeight="1" x14ac:dyDescent="0.25">
      <c r="A709" s="1">
        <f t="shared" si="46"/>
        <v>708</v>
      </c>
      <c r="B709" s="1"/>
      <c r="C709" s="2"/>
      <c r="H709" s="1" t="str">
        <f t="shared" si="47"/>
        <v>0 г. 0 мес. 0 дн.</v>
      </c>
      <c r="I709" s="1" t="s">
        <v>39</v>
      </c>
      <c r="V709" s="1" t="str">
        <f t="shared" si="45"/>
        <v>0 г. 0 мес. 0 дн.</v>
      </c>
      <c r="W709" s="5"/>
    </row>
    <row r="710" spans="1:23" ht="34.5" customHeight="1" x14ac:dyDescent="0.25">
      <c r="A710" s="1">
        <f t="shared" si="46"/>
        <v>709</v>
      </c>
      <c r="B710" s="1"/>
      <c r="C710" s="2"/>
      <c r="H710" s="1" t="str">
        <f t="shared" si="47"/>
        <v>0 г. 0 мес. 0 дн.</v>
      </c>
      <c r="I710" s="1" t="s">
        <v>39</v>
      </c>
      <c r="V710" s="1" t="str">
        <f t="shared" si="45"/>
        <v>0 г. 0 мес. 0 дн.</v>
      </c>
      <c r="W710" s="5"/>
    </row>
    <row r="711" spans="1:23" ht="34.5" customHeight="1" x14ac:dyDescent="0.25">
      <c r="A711" s="1">
        <f t="shared" si="46"/>
        <v>710</v>
      </c>
      <c r="B711" s="1"/>
      <c r="C711" s="2"/>
      <c r="H711" s="1" t="str">
        <f t="shared" si="47"/>
        <v>0 г. 0 мес. 0 дн.</v>
      </c>
      <c r="I711" s="1" t="s">
        <v>39</v>
      </c>
      <c r="V711" s="1" t="str">
        <f t="shared" si="45"/>
        <v>0 г. 0 мес. 0 дн.</v>
      </c>
      <c r="W711" s="5"/>
    </row>
    <row r="712" spans="1:23" ht="34.5" customHeight="1" x14ac:dyDescent="0.25">
      <c r="A712" s="1">
        <f t="shared" si="46"/>
        <v>711</v>
      </c>
      <c r="B712" s="1"/>
      <c r="C712" s="2"/>
      <c r="H712" s="1" t="str">
        <f t="shared" si="47"/>
        <v>0 г. 0 мес. 0 дн.</v>
      </c>
      <c r="I712" s="1" t="s">
        <v>39</v>
      </c>
      <c r="V712" s="1" t="str">
        <f t="shared" si="45"/>
        <v>0 г. 0 мес. 0 дн.</v>
      </c>
      <c r="W712" s="5"/>
    </row>
    <row r="713" spans="1:23" ht="34.5" customHeight="1" x14ac:dyDescent="0.25">
      <c r="A713" s="1">
        <f t="shared" si="46"/>
        <v>712</v>
      </c>
      <c r="B713" s="1"/>
      <c r="C713" s="2"/>
      <c r="H713" s="1" t="str">
        <f t="shared" si="47"/>
        <v>0 г. 0 мес. 0 дн.</v>
      </c>
      <c r="I713" s="1" t="s">
        <v>39</v>
      </c>
      <c r="V713" s="1" t="str">
        <f t="shared" si="45"/>
        <v>0 г. 0 мес. 0 дн.</v>
      </c>
      <c r="W713" s="5"/>
    </row>
    <row r="714" spans="1:23" ht="34.5" customHeight="1" x14ac:dyDescent="0.25">
      <c r="A714" s="1">
        <f t="shared" si="46"/>
        <v>713</v>
      </c>
      <c r="B714" s="1"/>
      <c r="C714" s="2"/>
      <c r="H714" s="1" t="str">
        <f t="shared" si="47"/>
        <v>0 г. 0 мес. 0 дн.</v>
      </c>
      <c r="I714" s="1" t="s">
        <v>39</v>
      </c>
      <c r="V714" s="1" t="str">
        <f t="shared" si="45"/>
        <v>0 г. 0 мес. 0 дн.</v>
      </c>
      <c r="W714" s="5"/>
    </row>
    <row r="715" spans="1:23" ht="34.5" customHeight="1" x14ac:dyDescent="0.25">
      <c r="A715" s="1">
        <f t="shared" si="46"/>
        <v>714</v>
      </c>
      <c r="B715" s="1"/>
      <c r="C715" s="2"/>
      <c r="H715" s="1" t="str">
        <f t="shared" si="47"/>
        <v>0 г. 0 мес. 0 дн.</v>
      </c>
      <c r="I715" s="1" t="s">
        <v>39</v>
      </c>
      <c r="V715" s="1" t="str">
        <f t="shared" si="45"/>
        <v>0 г. 0 мес. 0 дн.</v>
      </c>
      <c r="W715" s="5"/>
    </row>
    <row r="716" spans="1:23" ht="34.5" customHeight="1" x14ac:dyDescent="0.25">
      <c r="A716" s="1">
        <f t="shared" si="46"/>
        <v>715</v>
      </c>
      <c r="B716" s="1"/>
      <c r="C716" s="2"/>
      <c r="H716" s="1" t="str">
        <f t="shared" si="47"/>
        <v>0 г. 0 мес. 0 дн.</v>
      </c>
      <c r="I716" s="1" t="s">
        <v>39</v>
      </c>
      <c r="V716" s="1" t="str">
        <f t="shared" si="45"/>
        <v>0 г. 0 мес. 0 дн.</v>
      </c>
      <c r="W716" s="5"/>
    </row>
    <row r="717" spans="1:23" ht="34.5" customHeight="1" x14ac:dyDescent="0.25">
      <c r="A717" s="1">
        <f t="shared" si="46"/>
        <v>716</v>
      </c>
      <c r="B717" s="1"/>
      <c r="C717" s="2"/>
      <c r="H717" s="1" t="str">
        <f t="shared" si="47"/>
        <v>0 г. 0 мес. 0 дн.</v>
      </c>
      <c r="I717" s="1" t="s">
        <v>39</v>
      </c>
      <c r="V717" s="1" t="str">
        <f t="shared" si="45"/>
        <v>0 г. 0 мес. 0 дн.</v>
      </c>
      <c r="W717" s="5"/>
    </row>
    <row r="718" spans="1:23" ht="34.5" customHeight="1" x14ac:dyDescent="0.25">
      <c r="A718" s="1">
        <f t="shared" si="46"/>
        <v>717</v>
      </c>
      <c r="B718" s="1"/>
      <c r="C718" s="2"/>
      <c r="H718" s="1" t="str">
        <f t="shared" si="47"/>
        <v>0 г. 0 мес. 0 дн.</v>
      </c>
      <c r="I718" s="1" t="s">
        <v>39</v>
      </c>
      <c r="V718" s="1" t="str">
        <f t="shared" si="45"/>
        <v>0 г. 0 мес. 0 дн.</v>
      </c>
      <c r="W718" s="5"/>
    </row>
    <row r="719" spans="1:23" ht="34.5" customHeight="1" x14ac:dyDescent="0.25">
      <c r="A719" s="1">
        <f t="shared" si="46"/>
        <v>718</v>
      </c>
      <c r="B719" s="1"/>
      <c r="C719" s="2"/>
      <c r="H719" s="1" t="str">
        <f t="shared" si="47"/>
        <v>0 г. 0 мес. 0 дн.</v>
      </c>
      <c r="I719" s="1" t="s">
        <v>39</v>
      </c>
      <c r="V719" s="1" t="str">
        <f t="shared" si="45"/>
        <v>0 г. 0 мес. 0 дн.</v>
      </c>
      <c r="W719" s="5"/>
    </row>
    <row r="720" spans="1:23" ht="34.5" customHeight="1" x14ac:dyDescent="0.25">
      <c r="A720" s="1">
        <f t="shared" si="46"/>
        <v>719</v>
      </c>
      <c r="B720" s="1"/>
      <c r="C720" s="2"/>
      <c r="H720" s="1" t="str">
        <f t="shared" si="47"/>
        <v>0 г. 0 мес. 0 дн.</v>
      </c>
      <c r="I720" s="1" t="s">
        <v>39</v>
      </c>
      <c r="V720" s="1" t="str">
        <f t="shared" si="45"/>
        <v>0 г. 0 мес. 0 дн.</v>
      </c>
      <c r="W720" s="5"/>
    </row>
    <row r="721" spans="1:23" ht="34.5" customHeight="1" x14ac:dyDescent="0.25">
      <c r="A721" s="1">
        <f t="shared" si="46"/>
        <v>720</v>
      </c>
      <c r="B721" s="1"/>
      <c r="C721" s="2"/>
      <c r="H721" s="1" t="str">
        <f t="shared" si="47"/>
        <v>0 г. 0 мес. 0 дн.</v>
      </c>
      <c r="I721" s="1" t="s">
        <v>39</v>
      </c>
      <c r="V721" s="1" t="str">
        <f t="shared" si="45"/>
        <v>0 г. 0 мес. 0 дн.</v>
      </c>
      <c r="W721" s="5"/>
    </row>
    <row r="722" spans="1:23" ht="34.5" customHeight="1" x14ac:dyDescent="0.25">
      <c r="A722" s="1">
        <f t="shared" si="46"/>
        <v>721</v>
      </c>
      <c r="B722" s="1"/>
      <c r="C722" s="2"/>
      <c r="H722" s="1" t="str">
        <f t="shared" si="47"/>
        <v>0 г. 0 мес. 0 дн.</v>
      </c>
      <c r="I722" s="1" t="s">
        <v>39</v>
      </c>
      <c r="V722" s="1" t="str">
        <f t="shared" si="45"/>
        <v>0 г. 0 мес. 0 дн.</v>
      </c>
      <c r="W722" s="5"/>
    </row>
    <row r="723" spans="1:23" ht="34.5" customHeight="1" x14ac:dyDescent="0.25">
      <c r="A723" s="1">
        <f t="shared" si="46"/>
        <v>722</v>
      </c>
      <c r="B723" s="1"/>
      <c r="C723" s="2"/>
      <c r="H723" s="1" t="str">
        <f t="shared" si="47"/>
        <v>0 г. 0 мес. 0 дн.</v>
      </c>
      <c r="I723" s="1" t="s">
        <v>39</v>
      </c>
      <c r="V723" s="1" t="str">
        <f t="shared" si="45"/>
        <v>0 г. 0 мес. 0 дн.</v>
      </c>
      <c r="W723" s="5"/>
    </row>
    <row r="724" spans="1:23" ht="34.5" customHeight="1" x14ac:dyDescent="0.25">
      <c r="A724" s="1">
        <f t="shared" si="46"/>
        <v>723</v>
      </c>
      <c r="B724" s="1"/>
      <c r="C724" s="2"/>
      <c r="H724" s="1" t="str">
        <f t="shared" si="47"/>
        <v>0 г. 0 мес. 0 дн.</v>
      </c>
      <c r="I724" s="1" t="s">
        <v>39</v>
      </c>
      <c r="V724" s="1" t="str">
        <f t="shared" si="45"/>
        <v>0 г. 0 мес. 0 дн.</v>
      </c>
      <c r="W724" s="5"/>
    </row>
    <row r="725" spans="1:23" ht="34.5" customHeight="1" x14ac:dyDescent="0.25">
      <c r="A725" s="1">
        <f t="shared" si="46"/>
        <v>724</v>
      </c>
      <c r="B725" s="1"/>
      <c r="C725" s="2"/>
      <c r="H725" s="1" t="str">
        <f t="shared" si="47"/>
        <v>0 г. 0 мес. 0 дн.</v>
      </c>
      <c r="I725" s="1" t="s">
        <v>39</v>
      </c>
      <c r="V725" s="1" t="str">
        <f t="shared" si="45"/>
        <v>0 г. 0 мес. 0 дн.</v>
      </c>
      <c r="W725" s="5"/>
    </row>
    <row r="726" spans="1:23" ht="34.5" customHeight="1" x14ac:dyDescent="0.25">
      <c r="A726" s="1">
        <f t="shared" si="46"/>
        <v>725</v>
      </c>
      <c r="B726" s="1"/>
      <c r="C726" s="2"/>
      <c r="H726" s="1" t="str">
        <f t="shared" si="47"/>
        <v>0 г. 0 мес. 0 дн.</v>
      </c>
      <c r="I726" s="1" t="s">
        <v>39</v>
      </c>
      <c r="V726" s="1" t="str">
        <f t="shared" si="45"/>
        <v>0 г. 0 мес. 0 дн.</v>
      </c>
      <c r="W726" s="5"/>
    </row>
    <row r="727" spans="1:23" ht="34.5" customHeight="1" x14ac:dyDescent="0.25">
      <c r="A727" s="1">
        <f t="shared" si="46"/>
        <v>726</v>
      </c>
      <c r="B727" s="1"/>
      <c r="C727" s="2"/>
      <c r="H727" s="1" t="str">
        <f t="shared" si="47"/>
        <v>0 г. 0 мес. 0 дн.</v>
      </c>
      <c r="I727" s="1" t="s">
        <v>39</v>
      </c>
      <c r="V727" s="1" t="str">
        <f t="shared" si="45"/>
        <v>0 г. 0 мес. 0 дн.</v>
      </c>
      <c r="W727" s="5"/>
    </row>
    <row r="728" spans="1:23" ht="34.5" customHeight="1" x14ac:dyDescent="0.25">
      <c r="A728" s="1">
        <f t="shared" si="46"/>
        <v>727</v>
      </c>
      <c r="B728" s="1"/>
      <c r="C728" s="2"/>
      <c r="H728" s="1" t="str">
        <f t="shared" si="47"/>
        <v>0 г. 0 мес. 0 дн.</v>
      </c>
      <c r="I728" s="1" t="s">
        <v>39</v>
      </c>
      <c r="V728" s="1" t="str">
        <f t="shared" si="45"/>
        <v>0 г. 0 мес. 0 дн.</v>
      </c>
      <c r="W728" s="5"/>
    </row>
    <row r="729" spans="1:23" ht="34.5" customHeight="1" x14ac:dyDescent="0.25">
      <c r="A729" s="1">
        <f t="shared" si="46"/>
        <v>728</v>
      </c>
      <c r="B729" s="1"/>
      <c r="C729" s="2"/>
      <c r="H729" s="1" t="str">
        <f t="shared" si="47"/>
        <v>0 г. 0 мес. 0 дн.</v>
      </c>
      <c r="I729" s="1" t="s">
        <v>39</v>
      </c>
      <c r="V729" s="1" t="str">
        <f t="shared" si="45"/>
        <v>0 г. 0 мес. 0 дн.</v>
      </c>
      <c r="W729" s="5"/>
    </row>
    <row r="730" spans="1:23" ht="34.5" customHeight="1" x14ac:dyDescent="0.25">
      <c r="A730" s="1">
        <f t="shared" si="46"/>
        <v>729</v>
      </c>
      <c r="B730" s="1"/>
      <c r="C730" s="2"/>
      <c r="H730" s="1" t="str">
        <f t="shared" si="47"/>
        <v>0 г. 0 мес. 0 дн.</v>
      </c>
      <c r="I730" s="1" t="s">
        <v>39</v>
      </c>
      <c r="V730" s="1" t="str">
        <f t="shared" si="45"/>
        <v>0 г. 0 мес. 0 дн.</v>
      </c>
      <c r="W730" s="5"/>
    </row>
    <row r="731" spans="1:23" ht="34.5" customHeight="1" x14ac:dyDescent="0.25">
      <c r="A731" s="1">
        <f t="shared" si="46"/>
        <v>730</v>
      </c>
      <c r="B731" s="1"/>
      <c r="C731" s="2"/>
      <c r="H731" s="1" t="str">
        <f t="shared" si="47"/>
        <v>0 г. 0 мес. 0 дн.</v>
      </c>
      <c r="I731" s="1" t="s">
        <v>39</v>
      </c>
      <c r="V731" s="1" t="str">
        <f t="shared" si="45"/>
        <v>0 г. 0 мес. 0 дн.</v>
      </c>
      <c r="W731" s="5"/>
    </row>
    <row r="732" spans="1:23" ht="34.5" customHeight="1" x14ac:dyDescent="0.25">
      <c r="A732" s="1">
        <f t="shared" si="46"/>
        <v>731</v>
      </c>
      <c r="B732" s="1"/>
      <c r="C732" s="2"/>
      <c r="H732" s="1" t="str">
        <f t="shared" si="47"/>
        <v>0 г. 0 мес. 0 дн.</v>
      </c>
      <c r="I732" s="1" t="s">
        <v>39</v>
      </c>
      <c r="V732" s="1" t="str">
        <f t="shared" si="45"/>
        <v>0 г. 0 мес. 0 дн.</v>
      </c>
      <c r="W732" s="5"/>
    </row>
    <row r="733" spans="1:23" ht="34.5" customHeight="1" x14ac:dyDescent="0.25">
      <c r="A733" s="1">
        <f t="shared" si="46"/>
        <v>732</v>
      </c>
      <c r="B733" s="1"/>
      <c r="C733" s="2"/>
      <c r="H733" s="1" t="str">
        <f t="shared" si="47"/>
        <v>0 г. 0 мес. 0 дн.</v>
      </c>
      <c r="I733" s="1" t="s">
        <v>39</v>
      </c>
      <c r="V733" s="1" t="str">
        <f t="shared" si="45"/>
        <v>0 г. 0 мес. 0 дн.</v>
      </c>
      <c r="W733" s="5"/>
    </row>
    <row r="734" spans="1:23" ht="34.5" customHeight="1" x14ac:dyDescent="0.25">
      <c r="A734" s="1">
        <f t="shared" si="46"/>
        <v>733</v>
      </c>
      <c r="B734" s="1"/>
      <c r="C734" s="2"/>
      <c r="H734" s="1" t="str">
        <f t="shared" si="47"/>
        <v>0 г. 0 мес. 0 дн.</v>
      </c>
      <c r="I734" s="1" t="s">
        <v>39</v>
      </c>
      <c r="V734" s="1" t="str">
        <f t="shared" si="45"/>
        <v>0 г. 0 мес. 0 дн.</v>
      </c>
      <c r="W734" s="5"/>
    </row>
    <row r="735" spans="1:23" ht="34.5" customHeight="1" x14ac:dyDescent="0.25">
      <c r="A735" s="1">
        <f t="shared" si="46"/>
        <v>734</v>
      </c>
      <c r="B735" s="1"/>
      <c r="C735" s="2"/>
      <c r="H735" s="1" t="str">
        <f t="shared" si="47"/>
        <v>0 г. 0 мес. 0 дн.</v>
      </c>
      <c r="I735" s="1" t="s">
        <v>39</v>
      </c>
      <c r="V735" s="1" t="str">
        <f t="shared" si="45"/>
        <v>0 г. 0 мес. 0 дн.</v>
      </c>
      <c r="W735" s="5"/>
    </row>
    <row r="736" spans="1:23" ht="34.5" customHeight="1" x14ac:dyDescent="0.25">
      <c r="A736" s="1">
        <f t="shared" si="46"/>
        <v>735</v>
      </c>
      <c r="B736" s="1"/>
      <c r="C736" s="2"/>
      <c r="H736" s="1" t="str">
        <f t="shared" si="47"/>
        <v>0 г. 0 мес. 0 дн.</v>
      </c>
      <c r="I736" s="1" t="s">
        <v>39</v>
      </c>
      <c r="V736" s="1" t="str">
        <f t="shared" si="45"/>
        <v>0 г. 0 мес. 0 дн.</v>
      </c>
      <c r="W736" s="5"/>
    </row>
    <row r="737" spans="1:23" ht="34.5" customHeight="1" x14ac:dyDescent="0.25">
      <c r="A737" s="1">
        <f t="shared" si="46"/>
        <v>736</v>
      </c>
      <c r="B737" s="1"/>
      <c r="C737" s="2"/>
      <c r="H737" s="1" t="str">
        <f t="shared" si="47"/>
        <v>0 г. 0 мес. 0 дн.</v>
      </c>
      <c r="I737" s="1" t="s">
        <v>39</v>
      </c>
      <c r="V737" s="1" t="str">
        <f t="shared" si="45"/>
        <v>0 г. 0 мес. 0 дн.</v>
      </c>
      <c r="W737" s="5"/>
    </row>
    <row r="738" spans="1:23" ht="34.5" customHeight="1" x14ac:dyDescent="0.25">
      <c r="A738" s="1">
        <f t="shared" si="46"/>
        <v>737</v>
      </c>
      <c r="B738" s="1"/>
      <c r="C738" s="2"/>
      <c r="H738" s="1" t="str">
        <f t="shared" si="47"/>
        <v>0 г. 0 мес. 0 дн.</v>
      </c>
      <c r="I738" s="1" t="s">
        <v>39</v>
      </c>
      <c r="V738" s="1" t="str">
        <f t="shared" si="45"/>
        <v>0 г. 0 мес. 0 дн.</v>
      </c>
      <c r="W738" s="5"/>
    </row>
    <row r="739" spans="1:23" ht="34.5" customHeight="1" x14ac:dyDescent="0.25">
      <c r="A739" s="1">
        <f t="shared" si="46"/>
        <v>738</v>
      </c>
      <c r="B739" s="1"/>
      <c r="C739" s="2"/>
      <c r="H739" s="1" t="str">
        <f t="shared" si="47"/>
        <v>0 г. 0 мес. 0 дн.</v>
      </c>
      <c r="I739" s="1" t="s">
        <v>39</v>
      </c>
      <c r="V739" s="1" t="str">
        <f t="shared" si="45"/>
        <v>0 г. 0 мес. 0 дн.</v>
      </c>
      <c r="W739" s="5"/>
    </row>
    <row r="740" spans="1:23" ht="34.5" customHeight="1" x14ac:dyDescent="0.25">
      <c r="A740" s="1">
        <f t="shared" si="46"/>
        <v>739</v>
      </c>
      <c r="B740" s="1"/>
      <c r="C740" s="2"/>
      <c r="H740" s="1" t="str">
        <f t="shared" si="47"/>
        <v>0 г. 0 мес. 0 дн.</v>
      </c>
      <c r="I740" s="1" t="s">
        <v>39</v>
      </c>
      <c r="V740" s="1" t="str">
        <f t="shared" si="45"/>
        <v>0 г. 0 мес. 0 дн.</v>
      </c>
      <c r="W740" s="5"/>
    </row>
    <row r="741" spans="1:23" ht="34.5" customHeight="1" x14ac:dyDescent="0.25">
      <c r="A741" s="1">
        <f t="shared" si="46"/>
        <v>740</v>
      </c>
      <c r="B741" s="1"/>
      <c r="C741" s="2"/>
      <c r="H741" s="1" t="str">
        <f t="shared" si="47"/>
        <v>0 г. 0 мес. 0 дн.</v>
      </c>
      <c r="I741" s="1" t="s">
        <v>39</v>
      </c>
      <c r="V741" s="1" t="str">
        <f t="shared" si="45"/>
        <v>0 г. 0 мес. 0 дн.</v>
      </c>
      <c r="W741" s="5"/>
    </row>
    <row r="742" spans="1:23" ht="34.5" customHeight="1" x14ac:dyDescent="0.25">
      <c r="A742" s="1">
        <f t="shared" si="46"/>
        <v>741</v>
      </c>
      <c r="B742" s="1"/>
      <c r="C742" s="2"/>
      <c r="H742" s="1" t="str">
        <f t="shared" si="47"/>
        <v>0 г. 0 мес. 0 дн.</v>
      </c>
      <c r="I742" s="1" t="s">
        <v>39</v>
      </c>
      <c r="V742" s="1" t="str">
        <f t="shared" si="45"/>
        <v>0 г. 0 мес. 0 дн.</v>
      </c>
      <c r="W742" s="5"/>
    </row>
    <row r="743" spans="1:23" ht="34.5" customHeight="1" x14ac:dyDescent="0.25">
      <c r="A743" s="1">
        <f t="shared" si="46"/>
        <v>742</v>
      </c>
      <c r="B743" s="1"/>
      <c r="C743" s="2"/>
      <c r="H743" s="1" t="str">
        <f t="shared" si="47"/>
        <v>0 г. 0 мес. 0 дн.</v>
      </c>
      <c r="I743" s="1" t="s">
        <v>39</v>
      </c>
      <c r="V743" s="1" t="str">
        <f t="shared" si="45"/>
        <v>0 г. 0 мес. 0 дн.</v>
      </c>
      <c r="W743" s="5"/>
    </row>
    <row r="744" spans="1:23" ht="34.5" customHeight="1" x14ac:dyDescent="0.25">
      <c r="A744" s="1">
        <f t="shared" si="46"/>
        <v>743</v>
      </c>
      <c r="B744" s="1"/>
      <c r="C744" s="2"/>
      <c r="H744" s="1" t="str">
        <f t="shared" si="47"/>
        <v>0 г. 0 мес. 0 дн.</v>
      </c>
      <c r="I744" s="1" t="s">
        <v>39</v>
      </c>
      <c r="V744" s="1" t="str">
        <f t="shared" si="45"/>
        <v>0 г. 0 мес. 0 дн.</v>
      </c>
      <c r="W744" s="5"/>
    </row>
    <row r="745" spans="1:23" ht="34.5" customHeight="1" x14ac:dyDescent="0.25">
      <c r="A745" s="1">
        <f t="shared" si="46"/>
        <v>744</v>
      </c>
      <c r="B745" s="1"/>
      <c r="C745" s="2"/>
      <c r="H745" s="1" t="str">
        <f t="shared" si="47"/>
        <v>0 г. 0 мес. 0 дн.</v>
      </c>
      <c r="I745" s="1" t="s">
        <v>39</v>
      </c>
      <c r="V745" s="1" t="str">
        <f t="shared" si="45"/>
        <v>0 г. 0 мес. 0 дн.</v>
      </c>
      <c r="W745" s="5"/>
    </row>
    <row r="746" spans="1:23" ht="34.5" customHeight="1" x14ac:dyDescent="0.25">
      <c r="A746" s="1">
        <f t="shared" si="46"/>
        <v>745</v>
      </c>
      <c r="B746" s="1"/>
      <c r="C746" s="2"/>
      <c r="H746" s="1" t="str">
        <f t="shared" si="47"/>
        <v>0 г. 0 мес. 0 дн.</v>
      </c>
      <c r="I746" s="1" t="s">
        <v>39</v>
      </c>
      <c r="V746" s="1" t="str">
        <f t="shared" si="45"/>
        <v>0 г. 0 мес. 0 дн.</v>
      </c>
      <c r="W746" s="5"/>
    </row>
    <row r="747" spans="1:23" ht="34.5" customHeight="1" x14ac:dyDescent="0.25">
      <c r="A747" s="1">
        <f t="shared" si="46"/>
        <v>746</v>
      </c>
      <c r="B747" s="1"/>
      <c r="C747" s="2"/>
      <c r="H747" s="1" t="str">
        <f t="shared" si="47"/>
        <v>0 г. 0 мес. 0 дн.</v>
      </c>
      <c r="I747" s="1" t="s">
        <v>39</v>
      </c>
      <c r="V747" s="1" t="str">
        <f t="shared" si="45"/>
        <v>0 г. 0 мес. 0 дн.</v>
      </c>
      <c r="W747" s="5"/>
    </row>
    <row r="748" spans="1:23" ht="34.5" customHeight="1" x14ac:dyDescent="0.25">
      <c r="A748" s="1">
        <f t="shared" si="46"/>
        <v>747</v>
      </c>
      <c r="B748" s="1"/>
      <c r="C748" s="2"/>
      <c r="H748" s="1" t="str">
        <f t="shared" si="47"/>
        <v>0 г. 0 мес. 0 дн.</v>
      </c>
      <c r="I748" s="1" t="s">
        <v>39</v>
      </c>
      <c r="V748" s="1" t="str">
        <f t="shared" si="45"/>
        <v>0 г. 0 мес. 0 дн.</v>
      </c>
      <c r="W748" s="5"/>
    </row>
    <row r="749" spans="1:23" ht="34.5" customHeight="1" x14ac:dyDescent="0.25">
      <c r="A749" s="1">
        <f t="shared" si="46"/>
        <v>748</v>
      </c>
      <c r="B749" s="1"/>
      <c r="C749" s="2"/>
      <c r="H749" s="1" t="str">
        <f t="shared" si="47"/>
        <v>0 г. 0 мес. 0 дн.</v>
      </c>
      <c r="I749" s="1" t="s">
        <v>39</v>
      </c>
      <c r="V749" s="1" t="str">
        <f t="shared" si="45"/>
        <v>0 г. 0 мес. 0 дн.</v>
      </c>
      <c r="W749" s="5"/>
    </row>
    <row r="750" spans="1:23" ht="34.5" customHeight="1" x14ac:dyDescent="0.25">
      <c r="A750" s="1">
        <f t="shared" si="46"/>
        <v>749</v>
      </c>
      <c r="B750" s="1"/>
      <c r="C750" s="2"/>
      <c r="H750" s="1" t="str">
        <f t="shared" si="47"/>
        <v>0 г. 0 мес. 0 дн.</v>
      </c>
      <c r="I750" s="1" t="s">
        <v>39</v>
      </c>
      <c r="V750" s="1" t="str">
        <f t="shared" si="45"/>
        <v>0 г. 0 мес. 0 дн.</v>
      </c>
      <c r="W750" s="5"/>
    </row>
    <row r="751" spans="1:23" ht="34.5" customHeight="1" x14ac:dyDescent="0.25">
      <c r="A751" s="1">
        <f t="shared" si="46"/>
        <v>750</v>
      </c>
      <c r="B751" s="1"/>
      <c r="C751" s="2"/>
      <c r="H751" s="1" t="str">
        <f t="shared" si="47"/>
        <v>0 г. 0 мес. 0 дн.</v>
      </c>
      <c r="I751" s="1" t="s">
        <v>39</v>
      </c>
      <c r="V751" s="1" t="str">
        <f t="shared" si="45"/>
        <v>0 г. 0 мес. 0 дн.</v>
      </c>
      <c r="W751" s="5"/>
    </row>
    <row r="752" spans="1:23" ht="34.5" customHeight="1" x14ac:dyDescent="0.25">
      <c r="A752" s="1">
        <f t="shared" si="46"/>
        <v>751</v>
      </c>
      <c r="B752" s="1"/>
      <c r="C752" s="2"/>
      <c r="H752" s="1" t="str">
        <f t="shared" si="47"/>
        <v>0 г. 0 мес. 0 дн.</v>
      </c>
      <c r="I752" s="1" t="s">
        <v>39</v>
      </c>
      <c r="V752" s="1" t="str">
        <f t="shared" si="45"/>
        <v>0 г. 0 мес. 0 дн.</v>
      </c>
      <c r="W752" s="5"/>
    </row>
    <row r="753" spans="1:23" ht="34.5" customHeight="1" x14ac:dyDescent="0.25">
      <c r="A753" s="1">
        <f t="shared" si="46"/>
        <v>752</v>
      </c>
      <c r="B753" s="1"/>
      <c r="C753" s="2"/>
      <c r="H753" s="1" t="str">
        <f t="shared" si="47"/>
        <v>0 г. 0 мес. 0 дн.</v>
      </c>
      <c r="I753" s="1" t="s">
        <v>39</v>
      </c>
      <c r="V753" s="1" t="str">
        <f t="shared" ref="V753:V816" si="48">DATEDIF(D753,T753,"y") &amp; " г. " &amp; DATEDIF(D753,T753,"ym") &amp; " мес. " &amp; DATEDIF(D753,T753,"md") &amp; " дн."</f>
        <v>0 г. 0 мес. 0 дн.</v>
      </c>
      <c r="W753" s="5"/>
    </row>
    <row r="754" spans="1:23" ht="34.5" customHeight="1" x14ac:dyDescent="0.25">
      <c r="A754" s="1">
        <f t="shared" si="46"/>
        <v>753</v>
      </c>
      <c r="B754" s="1"/>
      <c r="C754" s="2"/>
      <c r="H754" s="1" t="str">
        <f t="shared" si="47"/>
        <v>0 г. 0 мес. 0 дн.</v>
      </c>
      <c r="I754" s="1" t="s">
        <v>39</v>
      </c>
      <c r="V754" s="1" t="str">
        <f t="shared" si="48"/>
        <v>0 г. 0 мес. 0 дн.</v>
      </c>
      <c r="W754" s="5"/>
    </row>
    <row r="755" spans="1:23" ht="34.5" customHeight="1" x14ac:dyDescent="0.25">
      <c r="A755" s="1">
        <f t="shared" si="46"/>
        <v>754</v>
      </c>
      <c r="B755" s="1"/>
      <c r="C755" s="2"/>
      <c r="H755" s="1" t="str">
        <f t="shared" si="47"/>
        <v>0 г. 0 мес. 0 дн.</v>
      </c>
      <c r="I755" s="1" t="s">
        <v>39</v>
      </c>
      <c r="V755" s="1" t="str">
        <f t="shared" si="48"/>
        <v>0 г. 0 мес. 0 дн.</v>
      </c>
      <c r="W755" s="5"/>
    </row>
    <row r="756" spans="1:23" ht="34.5" customHeight="1" x14ac:dyDescent="0.25">
      <c r="A756" s="1">
        <f t="shared" si="46"/>
        <v>755</v>
      </c>
      <c r="B756" s="1"/>
      <c r="C756" s="2"/>
      <c r="H756" s="1" t="str">
        <f t="shared" si="47"/>
        <v>0 г. 0 мес. 0 дн.</v>
      </c>
      <c r="I756" s="1" t="s">
        <v>39</v>
      </c>
      <c r="V756" s="1" t="str">
        <f t="shared" si="48"/>
        <v>0 г. 0 мес. 0 дн.</v>
      </c>
      <c r="W756" s="5"/>
    </row>
    <row r="757" spans="1:23" ht="34.5" customHeight="1" x14ac:dyDescent="0.25">
      <c r="A757" s="1">
        <f t="shared" si="46"/>
        <v>756</v>
      </c>
      <c r="B757" s="1"/>
      <c r="C757" s="2"/>
      <c r="H757" s="1" t="str">
        <f t="shared" si="47"/>
        <v>0 г. 0 мес. 0 дн.</v>
      </c>
      <c r="I757" s="1" t="s">
        <v>39</v>
      </c>
      <c r="V757" s="1" t="str">
        <f t="shared" si="48"/>
        <v>0 г. 0 мес. 0 дн.</v>
      </c>
      <c r="W757" s="5"/>
    </row>
    <row r="758" spans="1:23" ht="34.5" customHeight="1" x14ac:dyDescent="0.25">
      <c r="A758" s="1">
        <f t="shared" si="46"/>
        <v>757</v>
      </c>
      <c r="B758" s="1"/>
      <c r="C758" s="2"/>
      <c r="H758" s="1" t="str">
        <f t="shared" si="47"/>
        <v>0 г. 0 мес. 0 дн.</v>
      </c>
      <c r="I758" s="1" t="s">
        <v>39</v>
      </c>
      <c r="V758" s="1" t="str">
        <f t="shared" si="48"/>
        <v>0 г. 0 мес. 0 дн.</v>
      </c>
      <c r="W758" s="5"/>
    </row>
    <row r="759" spans="1:23" ht="34.5" customHeight="1" x14ac:dyDescent="0.25">
      <c r="A759" s="1">
        <f t="shared" si="46"/>
        <v>758</v>
      </c>
      <c r="B759" s="1"/>
      <c r="C759" s="2"/>
      <c r="H759" s="1" t="str">
        <f t="shared" si="47"/>
        <v>0 г. 0 мес. 0 дн.</v>
      </c>
      <c r="I759" s="1" t="s">
        <v>39</v>
      </c>
      <c r="V759" s="1" t="str">
        <f t="shared" si="48"/>
        <v>0 г. 0 мес. 0 дн.</v>
      </c>
      <c r="W759" s="5"/>
    </row>
    <row r="760" spans="1:23" ht="34.5" customHeight="1" x14ac:dyDescent="0.25">
      <c r="A760" s="1">
        <f t="shared" si="46"/>
        <v>759</v>
      </c>
      <c r="B760" s="1"/>
      <c r="C760" s="2"/>
      <c r="H760" s="1" t="str">
        <f t="shared" si="47"/>
        <v>0 г. 0 мес. 0 дн.</v>
      </c>
      <c r="I760" s="1" t="s">
        <v>39</v>
      </c>
      <c r="V760" s="1" t="str">
        <f t="shared" si="48"/>
        <v>0 г. 0 мес. 0 дн.</v>
      </c>
      <c r="W760" s="5"/>
    </row>
    <row r="761" spans="1:23" ht="34.5" customHeight="1" x14ac:dyDescent="0.25">
      <c r="A761" s="1">
        <f t="shared" si="46"/>
        <v>760</v>
      </c>
      <c r="B761" s="1"/>
      <c r="C761" s="2"/>
      <c r="H761" s="1" t="str">
        <f t="shared" si="47"/>
        <v>0 г. 0 мес. 0 дн.</v>
      </c>
      <c r="I761" s="1" t="s">
        <v>39</v>
      </c>
      <c r="V761" s="1" t="str">
        <f t="shared" si="48"/>
        <v>0 г. 0 мес. 0 дн.</v>
      </c>
      <c r="W761" s="5"/>
    </row>
    <row r="762" spans="1:23" ht="34.5" customHeight="1" x14ac:dyDescent="0.25">
      <c r="A762" s="1">
        <f t="shared" si="46"/>
        <v>761</v>
      </c>
      <c r="B762" s="1"/>
      <c r="C762" s="2"/>
      <c r="H762" s="1" t="str">
        <f t="shared" si="47"/>
        <v>0 г. 0 мес. 0 дн.</v>
      </c>
      <c r="I762" s="1" t="s">
        <v>39</v>
      </c>
      <c r="V762" s="1" t="str">
        <f t="shared" si="48"/>
        <v>0 г. 0 мес. 0 дн.</v>
      </c>
      <c r="W762" s="5"/>
    </row>
    <row r="763" spans="1:23" ht="34.5" customHeight="1" x14ac:dyDescent="0.25">
      <c r="A763" s="1">
        <f t="shared" si="46"/>
        <v>762</v>
      </c>
      <c r="B763" s="1"/>
      <c r="C763" s="2"/>
      <c r="H763" s="1" t="str">
        <f t="shared" si="47"/>
        <v>0 г. 0 мес. 0 дн.</v>
      </c>
      <c r="I763" s="1" t="s">
        <v>39</v>
      </c>
      <c r="V763" s="1" t="str">
        <f t="shared" si="48"/>
        <v>0 г. 0 мес. 0 дн.</v>
      </c>
      <c r="W763" s="5"/>
    </row>
    <row r="764" spans="1:23" ht="34.5" customHeight="1" x14ac:dyDescent="0.25">
      <c r="A764" s="1">
        <f t="shared" si="46"/>
        <v>763</v>
      </c>
      <c r="B764" s="1"/>
      <c r="C764" s="2"/>
      <c r="H764" s="1" t="str">
        <f t="shared" si="47"/>
        <v>0 г. 0 мес. 0 дн.</v>
      </c>
      <c r="I764" s="1" t="s">
        <v>39</v>
      </c>
      <c r="V764" s="1" t="str">
        <f t="shared" si="48"/>
        <v>0 г. 0 мес. 0 дн.</v>
      </c>
      <c r="W764" s="5"/>
    </row>
    <row r="765" spans="1:23" ht="34.5" customHeight="1" x14ac:dyDescent="0.25">
      <c r="A765" s="1">
        <f t="shared" si="46"/>
        <v>764</v>
      </c>
      <c r="B765" s="1"/>
      <c r="C765" s="2"/>
      <c r="H765" s="1" t="str">
        <f t="shared" si="47"/>
        <v>0 г. 0 мес. 0 дн.</v>
      </c>
      <c r="I765" s="1" t="s">
        <v>39</v>
      </c>
      <c r="V765" s="1" t="str">
        <f t="shared" si="48"/>
        <v>0 г. 0 мес. 0 дн.</v>
      </c>
      <c r="W765" s="5"/>
    </row>
    <row r="766" spans="1:23" ht="34.5" customHeight="1" x14ac:dyDescent="0.25">
      <c r="A766" s="1">
        <f t="shared" si="46"/>
        <v>765</v>
      </c>
      <c r="B766" s="1"/>
      <c r="C766" s="2"/>
      <c r="H766" s="1" t="str">
        <f t="shared" si="47"/>
        <v>0 г. 0 мес. 0 дн.</v>
      </c>
      <c r="I766" s="1" t="s">
        <v>39</v>
      </c>
      <c r="V766" s="1" t="str">
        <f t="shared" si="48"/>
        <v>0 г. 0 мес. 0 дн.</v>
      </c>
      <c r="W766" s="5"/>
    </row>
    <row r="767" spans="1:23" ht="34.5" customHeight="1" x14ac:dyDescent="0.25">
      <c r="A767" s="1">
        <f t="shared" si="46"/>
        <v>766</v>
      </c>
      <c r="B767" s="1"/>
      <c r="C767" s="2"/>
      <c r="H767" s="1" t="str">
        <f t="shared" si="47"/>
        <v>0 г. 0 мес. 0 дн.</v>
      </c>
      <c r="I767" s="1" t="s">
        <v>39</v>
      </c>
      <c r="V767" s="1" t="str">
        <f t="shared" si="48"/>
        <v>0 г. 0 мес. 0 дн.</v>
      </c>
      <c r="W767" s="5"/>
    </row>
    <row r="768" spans="1:23" ht="34.5" customHeight="1" x14ac:dyDescent="0.25">
      <c r="A768" s="1">
        <f t="shared" ref="A768:A831" si="49">ROW(A767)</f>
        <v>767</v>
      </c>
      <c r="B768" s="1"/>
      <c r="C768" s="2"/>
      <c r="H768" s="1" t="str">
        <f t="shared" si="47"/>
        <v>0 г. 0 мес. 0 дн.</v>
      </c>
      <c r="I768" s="1" t="s">
        <v>39</v>
      </c>
      <c r="V768" s="1" t="str">
        <f t="shared" si="48"/>
        <v>0 г. 0 мес. 0 дн.</v>
      </c>
      <c r="W768" s="5"/>
    </row>
    <row r="769" spans="1:23" ht="34.5" customHeight="1" x14ac:dyDescent="0.25">
      <c r="A769" s="1">
        <f t="shared" si="49"/>
        <v>768</v>
      </c>
      <c r="B769" s="1"/>
      <c r="C769" s="2"/>
      <c r="H769" s="1" t="str">
        <f t="shared" si="47"/>
        <v>0 г. 0 мес. 0 дн.</v>
      </c>
      <c r="I769" s="1" t="s">
        <v>39</v>
      </c>
      <c r="V769" s="1" t="str">
        <f t="shared" si="48"/>
        <v>0 г. 0 мес. 0 дн.</v>
      </c>
      <c r="W769" s="5"/>
    </row>
    <row r="770" spans="1:23" ht="34.5" customHeight="1" x14ac:dyDescent="0.25">
      <c r="A770" s="1">
        <f t="shared" si="49"/>
        <v>769</v>
      </c>
      <c r="B770" s="1"/>
      <c r="C770" s="2"/>
      <c r="H770" s="1" t="str">
        <f t="shared" ref="H770:H833" si="50">DATEDIF(G770,D770,"y") &amp; " г. " &amp; DATEDIF(G770,D770,"ym") &amp; " мес. " &amp; DATEDIF(G770,D770,"md") &amp; " дн."</f>
        <v>0 г. 0 мес. 0 дн.</v>
      </c>
      <c r="I770" s="1" t="s">
        <v>39</v>
      </c>
      <c r="V770" s="1" t="str">
        <f t="shared" si="48"/>
        <v>0 г. 0 мес. 0 дн.</v>
      </c>
      <c r="W770" s="5"/>
    </row>
    <row r="771" spans="1:23" ht="34.5" customHeight="1" x14ac:dyDescent="0.25">
      <c r="A771" s="1">
        <f t="shared" si="49"/>
        <v>770</v>
      </c>
      <c r="B771" s="1"/>
      <c r="C771" s="2"/>
      <c r="H771" s="1" t="str">
        <f t="shared" si="50"/>
        <v>0 г. 0 мес. 0 дн.</v>
      </c>
      <c r="I771" s="1" t="s">
        <v>39</v>
      </c>
      <c r="V771" s="1" t="str">
        <f t="shared" si="48"/>
        <v>0 г. 0 мес. 0 дн.</v>
      </c>
      <c r="W771" s="5"/>
    </row>
    <row r="772" spans="1:23" ht="34.5" customHeight="1" x14ac:dyDescent="0.25">
      <c r="A772" s="1">
        <f t="shared" si="49"/>
        <v>771</v>
      </c>
      <c r="B772" s="1"/>
      <c r="C772" s="2"/>
      <c r="H772" s="1" t="str">
        <f t="shared" si="50"/>
        <v>0 г. 0 мес. 0 дн.</v>
      </c>
      <c r="I772" s="1" t="s">
        <v>39</v>
      </c>
      <c r="V772" s="1" t="str">
        <f t="shared" si="48"/>
        <v>0 г. 0 мес. 0 дн.</v>
      </c>
      <c r="W772" s="5"/>
    </row>
    <row r="773" spans="1:23" ht="34.5" customHeight="1" x14ac:dyDescent="0.25">
      <c r="A773" s="1">
        <f t="shared" si="49"/>
        <v>772</v>
      </c>
      <c r="B773" s="1"/>
      <c r="C773" s="2"/>
      <c r="H773" s="1" t="str">
        <f t="shared" si="50"/>
        <v>0 г. 0 мес. 0 дн.</v>
      </c>
      <c r="I773" s="1" t="s">
        <v>39</v>
      </c>
      <c r="V773" s="1" t="str">
        <f t="shared" si="48"/>
        <v>0 г. 0 мес. 0 дн.</v>
      </c>
      <c r="W773" s="5"/>
    </row>
    <row r="774" spans="1:23" ht="34.5" customHeight="1" x14ac:dyDescent="0.25">
      <c r="A774" s="1">
        <f t="shared" si="49"/>
        <v>773</v>
      </c>
      <c r="B774" s="1"/>
      <c r="C774" s="2"/>
      <c r="H774" s="1" t="str">
        <f t="shared" si="50"/>
        <v>0 г. 0 мес. 0 дн.</v>
      </c>
      <c r="I774" s="1" t="s">
        <v>39</v>
      </c>
      <c r="V774" s="1" t="str">
        <f t="shared" si="48"/>
        <v>0 г. 0 мес. 0 дн.</v>
      </c>
      <c r="W774" s="5"/>
    </row>
    <row r="775" spans="1:23" ht="34.5" customHeight="1" x14ac:dyDescent="0.25">
      <c r="A775" s="1">
        <f t="shared" si="49"/>
        <v>774</v>
      </c>
      <c r="B775" s="1"/>
      <c r="C775" s="2"/>
      <c r="H775" s="1" t="str">
        <f t="shared" si="50"/>
        <v>0 г. 0 мес. 0 дн.</v>
      </c>
      <c r="I775" s="1" t="s">
        <v>39</v>
      </c>
      <c r="V775" s="1" t="str">
        <f t="shared" si="48"/>
        <v>0 г. 0 мес. 0 дн.</v>
      </c>
      <c r="W775" s="5"/>
    </row>
    <row r="776" spans="1:23" ht="34.5" customHeight="1" x14ac:dyDescent="0.25">
      <c r="A776" s="1">
        <f t="shared" si="49"/>
        <v>775</v>
      </c>
      <c r="B776" s="1"/>
      <c r="C776" s="2"/>
      <c r="H776" s="1" t="str">
        <f t="shared" si="50"/>
        <v>0 г. 0 мес. 0 дн.</v>
      </c>
      <c r="I776" s="1" t="s">
        <v>39</v>
      </c>
      <c r="V776" s="1" t="str">
        <f t="shared" si="48"/>
        <v>0 г. 0 мес. 0 дн.</v>
      </c>
      <c r="W776" s="5"/>
    </row>
    <row r="777" spans="1:23" ht="34.5" customHeight="1" x14ac:dyDescent="0.25">
      <c r="A777" s="1">
        <f t="shared" si="49"/>
        <v>776</v>
      </c>
      <c r="B777" s="1"/>
      <c r="C777" s="2"/>
      <c r="H777" s="1" t="str">
        <f t="shared" si="50"/>
        <v>0 г. 0 мес. 0 дн.</v>
      </c>
      <c r="I777" s="1" t="s">
        <v>39</v>
      </c>
      <c r="V777" s="1" t="str">
        <f t="shared" si="48"/>
        <v>0 г. 0 мес. 0 дн.</v>
      </c>
      <c r="W777" s="5"/>
    </row>
    <row r="778" spans="1:23" ht="34.5" customHeight="1" x14ac:dyDescent="0.25">
      <c r="A778" s="1">
        <f t="shared" si="49"/>
        <v>777</v>
      </c>
      <c r="B778" s="1"/>
      <c r="C778" s="2"/>
      <c r="H778" s="1" t="str">
        <f t="shared" si="50"/>
        <v>0 г. 0 мес. 0 дн.</v>
      </c>
      <c r="I778" s="1" t="s">
        <v>39</v>
      </c>
      <c r="V778" s="1" t="str">
        <f t="shared" si="48"/>
        <v>0 г. 0 мес. 0 дн.</v>
      </c>
      <c r="W778" s="5"/>
    </row>
    <row r="779" spans="1:23" ht="34.5" customHeight="1" x14ac:dyDescent="0.25">
      <c r="A779" s="1">
        <f t="shared" si="49"/>
        <v>778</v>
      </c>
      <c r="B779" s="1"/>
      <c r="C779" s="2"/>
      <c r="H779" s="1" t="str">
        <f t="shared" si="50"/>
        <v>0 г. 0 мес. 0 дн.</v>
      </c>
      <c r="I779" s="1" t="s">
        <v>39</v>
      </c>
      <c r="V779" s="1" t="str">
        <f t="shared" si="48"/>
        <v>0 г. 0 мес. 0 дн.</v>
      </c>
      <c r="W779" s="5"/>
    </row>
    <row r="780" spans="1:23" ht="34.5" customHeight="1" x14ac:dyDescent="0.25">
      <c r="A780" s="1">
        <f t="shared" si="49"/>
        <v>779</v>
      </c>
      <c r="B780" s="1"/>
      <c r="C780" s="2"/>
      <c r="H780" s="1" t="str">
        <f t="shared" si="50"/>
        <v>0 г. 0 мес. 0 дн.</v>
      </c>
      <c r="I780" s="1" t="s">
        <v>39</v>
      </c>
      <c r="V780" s="1" t="str">
        <f t="shared" si="48"/>
        <v>0 г. 0 мес. 0 дн.</v>
      </c>
      <c r="W780" s="5"/>
    </row>
    <row r="781" spans="1:23" ht="34.5" customHeight="1" x14ac:dyDescent="0.25">
      <c r="A781" s="1">
        <f t="shared" si="49"/>
        <v>780</v>
      </c>
      <c r="B781" s="1"/>
      <c r="C781" s="2"/>
      <c r="H781" s="1" t="str">
        <f t="shared" si="50"/>
        <v>0 г. 0 мес. 0 дн.</v>
      </c>
      <c r="I781" s="1" t="s">
        <v>39</v>
      </c>
      <c r="V781" s="1" t="str">
        <f t="shared" si="48"/>
        <v>0 г. 0 мес. 0 дн.</v>
      </c>
      <c r="W781" s="5"/>
    </row>
    <row r="782" spans="1:23" ht="34.5" customHeight="1" x14ac:dyDescent="0.25">
      <c r="A782" s="1">
        <f t="shared" si="49"/>
        <v>781</v>
      </c>
      <c r="B782" s="1"/>
      <c r="C782" s="2"/>
      <c r="H782" s="1" t="str">
        <f t="shared" si="50"/>
        <v>0 г. 0 мес. 0 дн.</v>
      </c>
      <c r="I782" s="1" t="s">
        <v>39</v>
      </c>
      <c r="V782" s="1" t="str">
        <f t="shared" si="48"/>
        <v>0 г. 0 мес. 0 дн.</v>
      </c>
      <c r="W782" s="5"/>
    </row>
    <row r="783" spans="1:23" ht="34.5" customHeight="1" x14ac:dyDescent="0.25">
      <c r="A783" s="1">
        <f t="shared" si="49"/>
        <v>782</v>
      </c>
      <c r="B783" s="1"/>
      <c r="C783" s="2"/>
      <c r="H783" s="1" t="str">
        <f t="shared" si="50"/>
        <v>0 г. 0 мес. 0 дн.</v>
      </c>
      <c r="I783" s="1" t="s">
        <v>39</v>
      </c>
      <c r="V783" s="1" t="str">
        <f t="shared" si="48"/>
        <v>0 г. 0 мес. 0 дн.</v>
      </c>
      <c r="W783" s="5"/>
    </row>
    <row r="784" spans="1:23" ht="34.5" customHeight="1" x14ac:dyDescent="0.25">
      <c r="A784" s="1">
        <f t="shared" si="49"/>
        <v>783</v>
      </c>
      <c r="B784" s="1"/>
      <c r="C784" s="2"/>
      <c r="H784" s="1" t="str">
        <f t="shared" si="50"/>
        <v>0 г. 0 мес. 0 дн.</v>
      </c>
      <c r="I784" s="1" t="s">
        <v>39</v>
      </c>
      <c r="V784" s="1" t="str">
        <f t="shared" si="48"/>
        <v>0 г. 0 мес. 0 дн.</v>
      </c>
      <c r="W784" s="5"/>
    </row>
    <row r="785" spans="1:23" ht="34.5" customHeight="1" x14ac:dyDescent="0.25">
      <c r="A785" s="1">
        <f t="shared" si="49"/>
        <v>784</v>
      </c>
      <c r="B785" s="1"/>
      <c r="C785" s="2"/>
      <c r="H785" s="1" t="str">
        <f t="shared" si="50"/>
        <v>0 г. 0 мес. 0 дн.</v>
      </c>
      <c r="I785" s="1" t="s">
        <v>39</v>
      </c>
      <c r="V785" s="1" t="str">
        <f t="shared" si="48"/>
        <v>0 г. 0 мес. 0 дн.</v>
      </c>
      <c r="W785" s="5"/>
    </row>
    <row r="786" spans="1:23" ht="34.5" customHeight="1" x14ac:dyDescent="0.25">
      <c r="A786" s="1">
        <f t="shared" si="49"/>
        <v>785</v>
      </c>
      <c r="B786" s="1"/>
      <c r="C786" s="2"/>
      <c r="H786" s="1" t="str">
        <f t="shared" si="50"/>
        <v>0 г. 0 мес. 0 дн.</v>
      </c>
      <c r="I786" s="1" t="s">
        <v>39</v>
      </c>
      <c r="V786" s="1" t="str">
        <f t="shared" si="48"/>
        <v>0 г. 0 мес. 0 дн.</v>
      </c>
      <c r="W786" s="5"/>
    </row>
    <row r="787" spans="1:23" ht="34.5" customHeight="1" x14ac:dyDescent="0.25">
      <c r="A787" s="1">
        <f t="shared" si="49"/>
        <v>786</v>
      </c>
      <c r="B787" s="1"/>
      <c r="C787" s="2"/>
      <c r="H787" s="1" t="str">
        <f t="shared" si="50"/>
        <v>0 г. 0 мес. 0 дн.</v>
      </c>
      <c r="I787" s="1" t="s">
        <v>39</v>
      </c>
      <c r="V787" s="1" t="str">
        <f t="shared" si="48"/>
        <v>0 г. 0 мес. 0 дн.</v>
      </c>
      <c r="W787" s="5"/>
    </row>
    <row r="788" spans="1:23" ht="34.5" customHeight="1" x14ac:dyDescent="0.25">
      <c r="A788" s="1">
        <f t="shared" si="49"/>
        <v>787</v>
      </c>
      <c r="B788" s="1"/>
      <c r="C788" s="2"/>
      <c r="H788" s="1" t="str">
        <f t="shared" si="50"/>
        <v>0 г. 0 мес. 0 дн.</v>
      </c>
      <c r="I788" s="1" t="s">
        <v>39</v>
      </c>
      <c r="V788" s="1" t="str">
        <f t="shared" si="48"/>
        <v>0 г. 0 мес. 0 дн.</v>
      </c>
      <c r="W788" s="5"/>
    </row>
    <row r="789" spans="1:23" ht="34.5" customHeight="1" x14ac:dyDescent="0.25">
      <c r="A789" s="1">
        <f t="shared" si="49"/>
        <v>788</v>
      </c>
      <c r="B789" s="1"/>
      <c r="C789" s="2"/>
      <c r="H789" s="1" t="str">
        <f t="shared" si="50"/>
        <v>0 г. 0 мес. 0 дн.</v>
      </c>
      <c r="I789" s="1" t="s">
        <v>39</v>
      </c>
      <c r="V789" s="1" t="str">
        <f t="shared" si="48"/>
        <v>0 г. 0 мес. 0 дн.</v>
      </c>
      <c r="W789" s="5"/>
    </row>
    <row r="790" spans="1:23" ht="34.5" customHeight="1" x14ac:dyDescent="0.25">
      <c r="A790" s="1">
        <f t="shared" si="49"/>
        <v>789</v>
      </c>
      <c r="B790" s="1"/>
      <c r="C790" s="2"/>
      <c r="H790" s="1" t="str">
        <f t="shared" si="50"/>
        <v>0 г. 0 мес. 0 дн.</v>
      </c>
      <c r="I790" s="1" t="s">
        <v>39</v>
      </c>
      <c r="V790" s="1" t="str">
        <f t="shared" si="48"/>
        <v>0 г. 0 мес. 0 дн.</v>
      </c>
      <c r="W790" s="5"/>
    </row>
    <row r="791" spans="1:23" ht="34.5" customHeight="1" x14ac:dyDescent="0.25">
      <c r="A791" s="1">
        <f t="shared" si="49"/>
        <v>790</v>
      </c>
      <c r="B791" s="1"/>
      <c r="C791" s="2"/>
      <c r="H791" s="1" t="str">
        <f t="shared" si="50"/>
        <v>0 г. 0 мес. 0 дн.</v>
      </c>
      <c r="I791" s="1" t="s">
        <v>39</v>
      </c>
      <c r="V791" s="1" t="str">
        <f t="shared" si="48"/>
        <v>0 г. 0 мес. 0 дн.</v>
      </c>
      <c r="W791" s="5"/>
    </row>
    <row r="792" spans="1:23" ht="34.5" customHeight="1" x14ac:dyDescent="0.25">
      <c r="A792" s="1">
        <f t="shared" si="49"/>
        <v>791</v>
      </c>
      <c r="B792" s="1"/>
      <c r="C792" s="2"/>
      <c r="H792" s="1" t="str">
        <f t="shared" si="50"/>
        <v>0 г. 0 мес. 0 дн.</v>
      </c>
      <c r="I792" s="1" t="s">
        <v>39</v>
      </c>
      <c r="V792" s="1" t="str">
        <f t="shared" si="48"/>
        <v>0 г. 0 мес. 0 дн.</v>
      </c>
      <c r="W792" s="5"/>
    </row>
    <row r="793" spans="1:23" ht="34.5" customHeight="1" x14ac:dyDescent="0.25">
      <c r="A793" s="1">
        <f t="shared" si="49"/>
        <v>792</v>
      </c>
      <c r="B793" s="1"/>
      <c r="C793" s="2"/>
      <c r="H793" s="1" t="str">
        <f t="shared" si="50"/>
        <v>0 г. 0 мес. 0 дн.</v>
      </c>
      <c r="I793" s="1" t="s">
        <v>39</v>
      </c>
      <c r="V793" s="1" t="str">
        <f t="shared" si="48"/>
        <v>0 г. 0 мес. 0 дн.</v>
      </c>
      <c r="W793" s="5"/>
    </row>
    <row r="794" spans="1:23" ht="34.5" customHeight="1" x14ac:dyDescent="0.25">
      <c r="A794" s="1">
        <f t="shared" si="49"/>
        <v>793</v>
      </c>
      <c r="B794" s="1"/>
      <c r="C794" s="2"/>
      <c r="H794" s="1" t="str">
        <f t="shared" si="50"/>
        <v>0 г. 0 мес. 0 дн.</v>
      </c>
      <c r="I794" s="1" t="s">
        <v>39</v>
      </c>
      <c r="V794" s="1" t="str">
        <f t="shared" si="48"/>
        <v>0 г. 0 мес. 0 дн.</v>
      </c>
      <c r="W794" s="5"/>
    </row>
    <row r="795" spans="1:23" ht="34.5" customHeight="1" x14ac:dyDescent="0.25">
      <c r="A795" s="1">
        <f t="shared" si="49"/>
        <v>794</v>
      </c>
      <c r="B795" s="1"/>
      <c r="C795" s="2"/>
      <c r="H795" s="1" t="str">
        <f t="shared" si="50"/>
        <v>0 г. 0 мес. 0 дн.</v>
      </c>
      <c r="I795" s="1" t="s">
        <v>39</v>
      </c>
      <c r="V795" s="1" t="str">
        <f t="shared" si="48"/>
        <v>0 г. 0 мес. 0 дн.</v>
      </c>
      <c r="W795" s="5"/>
    </row>
    <row r="796" spans="1:23" ht="34.5" customHeight="1" x14ac:dyDescent="0.25">
      <c r="A796" s="1">
        <f t="shared" si="49"/>
        <v>795</v>
      </c>
      <c r="B796" s="1"/>
      <c r="C796" s="2"/>
      <c r="H796" s="1" t="str">
        <f t="shared" si="50"/>
        <v>0 г. 0 мес. 0 дн.</v>
      </c>
      <c r="I796" s="1" t="s">
        <v>39</v>
      </c>
      <c r="V796" s="1" t="str">
        <f t="shared" si="48"/>
        <v>0 г. 0 мес. 0 дн.</v>
      </c>
      <c r="W796" s="5"/>
    </row>
    <row r="797" spans="1:23" ht="34.5" customHeight="1" x14ac:dyDescent="0.25">
      <c r="A797" s="1">
        <f t="shared" si="49"/>
        <v>796</v>
      </c>
      <c r="B797" s="1"/>
      <c r="C797" s="2"/>
      <c r="H797" s="1" t="str">
        <f t="shared" si="50"/>
        <v>0 г. 0 мес. 0 дн.</v>
      </c>
      <c r="I797" s="1" t="s">
        <v>39</v>
      </c>
      <c r="V797" s="1" t="str">
        <f t="shared" si="48"/>
        <v>0 г. 0 мес. 0 дн.</v>
      </c>
      <c r="W797" s="5"/>
    </row>
    <row r="798" spans="1:23" ht="34.5" customHeight="1" x14ac:dyDescent="0.25">
      <c r="A798" s="1">
        <f t="shared" si="49"/>
        <v>797</v>
      </c>
      <c r="B798" s="1"/>
      <c r="C798" s="2"/>
      <c r="H798" s="1" t="str">
        <f t="shared" si="50"/>
        <v>0 г. 0 мес. 0 дн.</v>
      </c>
      <c r="I798" s="1" t="s">
        <v>39</v>
      </c>
      <c r="V798" s="1" t="str">
        <f t="shared" si="48"/>
        <v>0 г. 0 мес. 0 дн.</v>
      </c>
      <c r="W798" s="5"/>
    </row>
    <row r="799" spans="1:23" ht="34.5" customHeight="1" x14ac:dyDescent="0.25">
      <c r="A799" s="1">
        <f t="shared" si="49"/>
        <v>798</v>
      </c>
      <c r="B799" s="1"/>
      <c r="C799" s="2"/>
      <c r="H799" s="1" t="str">
        <f t="shared" si="50"/>
        <v>0 г. 0 мес. 0 дн.</v>
      </c>
      <c r="I799" s="1" t="s">
        <v>39</v>
      </c>
      <c r="V799" s="1" t="str">
        <f t="shared" si="48"/>
        <v>0 г. 0 мес. 0 дн.</v>
      </c>
      <c r="W799" s="5"/>
    </row>
    <row r="800" spans="1:23" ht="34.5" customHeight="1" x14ac:dyDescent="0.25">
      <c r="A800" s="1">
        <f t="shared" si="49"/>
        <v>799</v>
      </c>
      <c r="B800" s="1"/>
      <c r="C800" s="2"/>
      <c r="H800" s="1" t="str">
        <f t="shared" si="50"/>
        <v>0 г. 0 мес. 0 дн.</v>
      </c>
      <c r="I800" s="1" t="s">
        <v>39</v>
      </c>
      <c r="V800" s="1" t="str">
        <f t="shared" si="48"/>
        <v>0 г. 0 мес. 0 дн.</v>
      </c>
      <c r="W800" s="5"/>
    </row>
    <row r="801" spans="1:23" ht="34.5" customHeight="1" x14ac:dyDescent="0.25">
      <c r="A801" s="1">
        <f t="shared" si="49"/>
        <v>800</v>
      </c>
      <c r="B801" s="1"/>
      <c r="C801" s="2"/>
      <c r="H801" s="1" t="str">
        <f t="shared" si="50"/>
        <v>0 г. 0 мес. 0 дн.</v>
      </c>
      <c r="I801" s="1" t="s">
        <v>39</v>
      </c>
      <c r="V801" s="1" t="str">
        <f t="shared" si="48"/>
        <v>0 г. 0 мес. 0 дн.</v>
      </c>
      <c r="W801" s="5"/>
    </row>
    <row r="802" spans="1:23" ht="34.5" customHeight="1" x14ac:dyDescent="0.25">
      <c r="A802" s="1">
        <f t="shared" si="49"/>
        <v>801</v>
      </c>
      <c r="B802" s="1"/>
      <c r="C802" s="2"/>
      <c r="H802" s="1" t="str">
        <f t="shared" si="50"/>
        <v>0 г. 0 мес. 0 дн.</v>
      </c>
      <c r="I802" s="1" t="s">
        <v>39</v>
      </c>
      <c r="V802" s="1" t="str">
        <f t="shared" si="48"/>
        <v>0 г. 0 мес. 0 дн.</v>
      </c>
      <c r="W802" s="5"/>
    </row>
    <row r="803" spans="1:23" ht="34.5" customHeight="1" x14ac:dyDescent="0.25">
      <c r="A803" s="1">
        <f t="shared" si="49"/>
        <v>802</v>
      </c>
      <c r="B803" s="1"/>
      <c r="C803" s="2"/>
      <c r="H803" s="1" t="str">
        <f t="shared" si="50"/>
        <v>0 г. 0 мес. 0 дн.</v>
      </c>
      <c r="I803" s="1" t="s">
        <v>39</v>
      </c>
      <c r="V803" s="1" t="str">
        <f t="shared" si="48"/>
        <v>0 г. 0 мес. 0 дн.</v>
      </c>
      <c r="W803" s="5"/>
    </row>
    <row r="804" spans="1:23" ht="34.5" customHeight="1" x14ac:dyDescent="0.25">
      <c r="A804" s="1">
        <f t="shared" si="49"/>
        <v>803</v>
      </c>
      <c r="B804" s="1"/>
      <c r="C804" s="2"/>
      <c r="H804" s="1" t="str">
        <f t="shared" si="50"/>
        <v>0 г. 0 мес. 0 дн.</v>
      </c>
      <c r="I804" s="1" t="s">
        <v>39</v>
      </c>
      <c r="V804" s="1" t="str">
        <f t="shared" si="48"/>
        <v>0 г. 0 мес. 0 дн.</v>
      </c>
      <c r="W804" s="5"/>
    </row>
    <row r="805" spans="1:23" ht="34.5" customHeight="1" x14ac:dyDescent="0.25">
      <c r="A805" s="1">
        <f t="shared" si="49"/>
        <v>804</v>
      </c>
      <c r="B805" s="1"/>
      <c r="C805" s="2"/>
      <c r="H805" s="1" t="str">
        <f t="shared" si="50"/>
        <v>0 г. 0 мес. 0 дн.</v>
      </c>
      <c r="I805" s="1" t="s">
        <v>39</v>
      </c>
      <c r="V805" s="1" t="str">
        <f t="shared" si="48"/>
        <v>0 г. 0 мес. 0 дн.</v>
      </c>
      <c r="W805" s="5"/>
    </row>
    <row r="806" spans="1:23" ht="34.5" customHeight="1" x14ac:dyDescent="0.25">
      <c r="A806" s="1">
        <f t="shared" si="49"/>
        <v>805</v>
      </c>
      <c r="B806" s="1"/>
      <c r="C806" s="2"/>
      <c r="H806" s="1" t="str">
        <f t="shared" si="50"/>
        <v>0 г. 0 мес. 0 дн.</v>
      </c>
      <c r="I806" s="1" t="s">
        <v>39</v>
      </c>
      <c r="V806" s="1" t="str">
        <f t="shared" si="48"/>
        <v>0 г. 0 мес. 0 дн.</v>
      </c>
      <c r="W806" s="5"/>
    </row>
    <row r="807" spans="1:23" ht="34.5" customHeight="1" x14ac:dyDescent="0.25">
      <c r="A807" s="1">
        <f t="shared" si="49"/>
        <v>806</v>
      </c>
      <c r="B807" s="1"/>
      <c r="C807" s="2"/>
      <c r="H807" s="1" t="str">
        <f t="shared" si="50"/>
        <v>0 г. 0 мес. 0 дн.</v>
      </c>
      <c r="I807" s="1" t="s">
        <v>39</v>
      </c>
      <c r="V807" s="1" t="str">
        <f t="shared" si="48"/>
        <v>0 г. 0 мес. 0 дн.</v>
      </c>
      <c r="W807" s="5"/>
    </row>
    <row r="808" spans="1:23" ht="34.5" customHeight="1" x14ac:dyDescent="0.25">
      <c r="A808" s="1">
        <f t="shared" si="49"/>
        <v>807</v>
      </c>
      <c r="B808" s="1"/>
      <c r="C808" s="2"/>
      <c r="H808" s="1" t="str">
        <f t="shared" si="50"/>
        <v>0 г. 0 мес. 0 дн.</v>
      </c>
      <c r="I808" s="1" t="s">
        <v>39</v>
      </c>
      <c r="V808" s="1" t="str">
        <f t="shared" si="48"/>
        <v>0 г. 0 мес. 0 дн.</v>
      </c>
      <c r="W808" s="5"/>
    </row>
    <row r="809" spans="1:23" ht="34.5" customHeight="1" x14ac:dyDescent="0.25">
      <c r="A809" s="1">
        <f t="shared" si="49"/>
        <v>808</v>
      </c>
      <c r="B809" s="1"/>
      <c r="C809" s="2"/>
      <c r="H809" s="1" t="str">
        <f t="shared" si="50"/>
        <v>0 г. 0 мес. 0 дн.</v>
      </c>
      <c r="I809" s="1" t="s">
        <v>39</v>
      </c>
      <c r="V809" s="1" t="str">
        <f t="shared" si="48"/>
        <v>0 г. 0 мес. 0 дн.</v>
      </c>
      <c r="W809" s="5"/>
    </row>
    <row r="810" spans="1:23" ht="34.5" customHeight="1" x14ac:dyDescent="0.25">
      <c r="A810" s="1">
        <f t="shared" si="49"/>
        <v>809</v>
      </c>
      <c r="B810" s="1"/>
      <c r="C810" s="2"/>
      <c r="H810" s="1" t="str">
        <f t="shared" si="50"/>
        <v>0 г. 0 мес. 0 дн.</v>
      </c>
      <c r="I810" s="1" t="s">
        <v>39</v>
      </c>
      <c r="V810" s="1" t="str">
        <f t="shared" si="48"/>
        <v>0 г. 0 мес. 0 дн.</v>
      </c>
      <c r="W810" s="5"/>
    </row>
    <row r="811" spans="1:23" ht="34.5" customHeight="1" x14ac:dyDescent="0.25">
      <c r="A811" s="1">
        <f t="shared" si="49"/>
        <v>810</v>
      </c>
      <c r="B811" s="1"/>
      <c r="C811" s="2"/>
      <c r="H811" s="1" t="str">
        <f t="shared" si="50"/>
        <v>0 г. 0 мес. 0 дн.</v>
      </c>
      <c r="I811" s="1" t="s">
        <v>39</v>
      </c>
      <c r="V811" s="1" t="str">
        <f t="shared" si="48"/>
        <v>0 г. 0 мес. 0 дн.</v>
      </c>
      <c r="W811" s="5"/>
    </row>
    <row r="812" spans="1:23" ht="34.5" customHeight="1" x14ac:dyDescent="0.25">
      <c r="A812" s="1">
        <f t="shared" si="49"/>
        <v>811</v>
      </c>
      <c r="B812" s="1"/>
      <c r="C812" s="2"/>
      <c r="H812" s="1" t="str">
        <f t="shared" si="50"/>
        <v>0 г. 0 мес. 0 дн.</v>
      </c>
      <c r="I812" s="1" t="s">
        <v>39</v>
      </c>
      <c r="V812" s="1" t="str">
        <f t="shared" si="48"/>
        <v>0 г. 0 мес. 0 дн.</v>
      </c>
      <c r="W812" s="5"/>
    </row>
    <row r="813" spans="1:23" ht="34.5" customHeight="1" x14ac:dyDescent="0.25">
      <c r="A813" s="1">
        <f t="shared" si="49"/>
        <v>812</v>
      </c>
      <c r="B813" s="1"/>
      <c r="C813" s="2"/>
      <c r="H813" s="1" t="str">
        <f t="shared" si="50"/>
        <v>0 г. 0 мес. 0 дн.</v>
      </c>
      <c r="I813" s="1" t="s">
        <v>39</v>
      </c>
      <c r="V813" s="1" t="str">
        <f t="shared" si="48"/>
        <v>0 г. 0 мес. 0 дн.</v>
      </c>
      <c r="W813" s="5"/>
    </row>
    <row r="814" spans="1:23" ht="34.5" customHeight="1" x14ac:dyDescent="0.25">
      <c r="A814" s="1">
        <f t="shared" si="49"/>
        <v>813</v>
      </c>
      <c r="B814" s="1"/>
      <c r="C814" s="2"/>
      <c r="H814" s="1" t="str">
        <f t="shared" si="50"/>
        <v>0 г. 0 мес. 0 дн.</v>
      </c>
      <c r="I814" s="1" t="s">
        <v>39</v>
      </c>
      <c r="V814" s="1" t="str">
        <f t="shared" si="48"/>
        <v>0 г. 0 мес. 0 дн.</v>
      </c>
      <c r="W814" s="5"/>
    </row>
    <row r="815" spans="1:23" ht="34.5" customHeight="1" x14ac:dyDescent="0.25">
      <c r="A815" s="1">
        <f t="shared" si="49"/>
        <v>814</v>
      </c>
      <c r="B815" s="1"/>
      <c r="C815" s="2"/>
      <c r="H815" s="1" t="str">
        <f t="shared" si="50"/>
        <v>0 г. 0 мес. 0 дн.</v>
      </c>
      <c r="I815" s="1" t="s">
        <v>39</v>
      </c>
      <c r="V815" s="1" t="str">
        <f t="shared" si="48"/>
        <v>0 г. 0 мес. 0 дн.</v>
      </c>
      <c r="W815" s="5"/>
    </row>
    <row r="816" spans="1:23" ht="34.5" customHeight="1" x14ac:dyDescent="0.25">
      <c r="A816" s="1">
        <f t="shared" si="49"/>
        <v>815</v>
      </c>
      <c r="B816" s="1"/>
      <c r="C816" s="2"/>
      <c r="H816" s="1" t="str">
        <f t="shared" si="50"/>
        <v>0 г. 0 мес. 0 дн.</v>
      </c>
      <c r="I816" s="1" t="s">
        <v>39</v>
      </c>
      <c r="V816" s="1" t="str">
        <f t="shared" si="48"/>
        <v>0 г. 0 мес. 0 дн.</v>
      </c>
      <c r="W816" s="5"/>
    </row>
    <row r="817" spans="1:23" ht="34.5" customHeight="1" x14ac:dyDescent="0.25">
      <c r="A817" s="1">
        <f t="shared" si="49"/>
        <v>816</v>
      </c>
      <c r="B817" s="1"/>
      <c r="C817" s="2"/>
      <c r="H817" s="1" t="str">
        <f t="shared" si="50"/>
        <v>0 г. 0 мес. 0 дн.</v>
      </c>
      <c r="I817" s="1" t="s">
        <v>39</v>
      </c>
      <c r="V817" s="1" t="str">
        <f t="shared" ref="V817:V880" si="51">DATEDIF(D817,T817,"y") &amp; " г. " &amp; DATEDIF(D817,T817,"ym") &amp; " мес. " &amp; DATEDIF(D817,T817,"md") &amp; " дн."</f>
        <v>0 г. 0 мес. 0 дн.</v>
      </c>
      <c r="W817" s="5"/>
    </row>
    <row r="818" spans="1:23" ht="34.5" customHeight="1" x14ac:dyDescent="0.25">
      <c r="A818" s="1">
        <f t="shared" si="49"/>
        <v>817</v>
      </c>
      <c r="B818" s="1"/>
      <c r="C818" s="2"/>
      <c r="H818" s="1" t="str">
        <f t="shared" si="50"/>
        <v>0 г. 0 мес. 0 дн.</v>
      </c>
      <c r="I818" s="1" t="s">
        <v>39</v>
      </c>
      <c r="V818" s="1" t="str">
        <f t="shared" si="51"/>
        <v>0 г. 0 мес. 0 дн.</v>
      </c>
      <c r="W818" s="5"/>
    </row>
    <row r="819" spans="1:23" ht="34.5" customHeight="1" x14ac:dyDescent="0.25">
      <c r="A819" s="1">
        <f t="shared" si="49"/>
        <v>818</v>
      </c>
      <c r="B819" s="1"/>
      <c r="C819" s="2"/>
      <c r="H819" s="1" t="str">
        <f t="shared" si="50"/>
        <v>0 г. 0 мес. 0 дн.</v>
      </c>
      <c r="I819" s="1" t="s">
        <v>39</v>
      </c>
      <c r="V819" s="1" t="str">
        <f t="shared" si="51"/>
        <v>0 г. 0 мес. 0 дн.</v>
      </c>
      <c r="W819" s="5"/>
    </row>
    <row r="820" spans="1:23" ht="34.5" customHeight="1" x14ac:dyDescent="0.25">
      <c r="A820" s="1">
        <f t="shared" si="49"/>
        <v>819</v>
      </c>
      <c r="B820" s="1"/>
      <c r="C820" s="2"/>
      <c r="H820" s="1" t="str">
        <f t="shared" si="50"/>
        <v>0 г. 0 мес. 0 дн.</v>
      </c>
      <c r="I820" s="1" t="s">
        <v>39</v>
      </c>
      <c r="V820" s="1" t="str">
        <f t="shared" si="51"/>
        <v>0 г. 0 мес. 0 дн.</v>
      </c>
      <c r="W820" s="5"/>
    </row>
    <row r="821" spans="1:23" ht="34.5" customHeight="1" x14ac:dyDescent="0.25">
      <c r="A821" s="1">
        <f t="shared" si="49"/>
        <v>820</v>
      </c>
      <c r="B821" s="1"/>
      <c r="C821" s="2"/>
      <c r="H821" s="1" t="str">
        <f t="shared" si="50"/>
        <v>0 г. 0 мес. 0 дн.</v>
      </c>
      <c r="I821" s="1" t="s">
        <v>39</v>
      </c>
      <c r="V821" s="1" t="str">
        <f t="shared" si="51"/>
        <v>0 г. 0 мес. 0 дн.</v>
      </c>
      <c r="W821" s="5"/>
    </row>
    <row r="822" spans="1:23" ht="34.5" customHeight="1" x14ac:dyDescent="0.25">
      <c r="A822" s="1">
        <f t="shared" si="49"/>
        <v>821</v>
      </c>
      <c r="B822" s="1"/>
      <c r="C822" s="2"/>
      <c r="H822" s="1" t="str">
        <f t="shared" si="50"/>
        <v>0 г. 0 мес. 0 дн.</v>
      </c>
      <c r="I822" s="1" t="s">
        <v>39</v>
      </c>
      <c r="V822" s="1" t="str">
        <f t="shared" si="51"/>
        <v>0 г. 0 мес. 0 дн.</v>
      </c>
      <c r="W822" s="5"/>
    </row>
    <row r="823" spans="1:23" ht="34.5" customHeight="1" x14ac:dyDescent="0.25">
      <c r="A823" s="1">
        <f t="shared" si="49"/>
        <v>822</v>
      </c>
      <c r="B823" s="1"/>
      <c r="C823" s="2"/>
      <c r="H823" s="1" t="str">
        <f t="shared" si="50"/>
        <v>0 г. 0 мес. 0 дн.</v>
      </c>
      <c r="I823" s="1" t="s">
        <v>39</v>
      </c>
      <c r="V823" s="1" t="str">
        <f t="shared" si="51"/>
        <v>0 г. 0 мес. 0 дн.</v>
      </c>
      <c r="W823" s="5"/>
    </row>
    <row r="824" spans="1:23" ht="34.5" customHeight="1" x14ac:dyDescent="0.25">
      <c r="A824" s="1">
        <f t="shared" si="49"/>
        <v>823</v>
      </c>
      <c r="B824" s="1"/>
      <c r="C824" s="2"/>
      <c r="H824" s="1" t="str">
        <f t="shared" si="50"/>
        <v>0 г. 0 мес. 0 дн.</v>
      </c>
      <c r="I824" s="1" t="s">
        <v>39</v>
      </c>
      <c r="V824" s="1" t="str">
        <f t="shared" si="51"/>
        <v>0 г. 0 мес. 0 дн.</v>
      </c>
      <c r="W824" s="5"/>
    </row>
    <row r="825" spans="1:23" ht="34.5" customHeight="1" x14ac:dyDescent="0.25">
      <c r="A825" s="1">
        <f t="shared" si="49"/>
        <v>824</v>
      </c>
      <c r="B825" s="1"/>
      <c r="C825" s="2"/>
      <c r="H825" s="1" t="str">
        <f t="shared" si="50"/>
        <v>0 г. 0 мес. 0 дн.</v>
      </c>
      <c r="I825" s="1" t="s">
        <v>39</v>
      </c>
      <c r="V825" s="1" t="str">
        <f t="shared" si="51"/>
        <v>0 г. 0 мес. 0 дн.</v>
      </c>
      <c r="W825" s="5"/>
    </row>
    <row r="826" spans="1:23" ht="34.5" customHeight="1" x14ac:dyDescent="0.25">
      <c r="A826" s="1">
        <f t="shared" si="49"/>
        <v>825</v>
      </c>
      <c r="B826" s="1"/>
      <c r="C826" s="2"/>
      <c r="H826" s="1" t="str">
        <f t="shared" si="50"/>
        <v>0 г. 0 мес. 0 дн.</v>
      </c>
      <c r="I826" s="1" t="s">
        <v>39</v>
      </c>
      <c r="V826" s="1" t="str">
        <f t="shared" si="51"/>
        <v>0 г. 0 мес. 0 дн.</v>
      </c>
      <c r="W826" s="5"/>
    </row>
    <row r="827" spans="1:23" ht="34.5" customHeight="1" x14ac:dyDescent="0.25">
      <c r="A827" s="1">
        <f t="shared" si="49"/>
        <v>826</v>
      </c>
      <c r="B827" s="1"/>
      <c r="C827" s="2"/>
      <c r="H827" s="1" t="str">
        <f t="shared" si="50"/>
        <v>0 г. 0 мес. 0 дн.</v>
      </c>
      <c r="I827" s="1" t="s">
        <v>39</v>
      </c>
      <c r="V827" s="1" t="str">
        <f t="shared" si="51"/>
        <v>0 г. 0 мес. 0 дн.</v>
      </c>
      <c r="W827" s="5"/>
    </row>
    <row r="828" spans="1:23" ht="34.5" customHeight="1" x14ac:dyDescent="0.25">
      <c r="A828" s="1">
        <f t="shared" si="49"/>
        <v>827</v>
      </c>
      <c r="B828" s="1"/>
      <c r="C828" s="2"/>
      <c r="H828" s="1" t="str">
        <f t="shared" si="50"/>
        <v>0 г. 0 мес. 0 дн.</v>
      </c>
      <c r="I828" s="1" t="s">
        <v>39</v>
      </c>
      <c r="V828" s="1" t="str">
        <f t="shared" si="51"/>
        <v>0 г. 0 мес. 0 дн.</v>
      </c>
      <c r="W828" s="5"/>
    </row>
    <row r="829" spans="1:23" ht="34.5" customHeight="1" x14ac:dyDescent="0.25">
      <c r="A829" s="1">
        <f t="shared" si="49"/>
        <v>828</v>
      </c>
      <c r="B829" s="1"/>
      <c r="C829" s="2"/>
      <c r="H829" s="1" t="str">
        <f t="shared" si="50"/>
        <v>0 г. 0 мес. 0 дн.</v>
      </c>
      <c r="I829" s="1" t="s">
        <v>39</v>
      </c>
      <c r="V829" s="1" t="str">
        <f t="shared" si="51"/>
        <v>0 г. 0 мес. 0 дн.</v>
      </c>
      <c r="W829" s="5"/>
    </row>
    <row r="830" spans="1:23" ht="34.5" customHeight="1" x14ac:dyDescent="0.25">
      <c r="A830" s="1">
        <f t="shared" si="49"/>
        <v>829</v>
      </c>
      <c r="B830" s="1"/>
      <c r="C830" s="2"/>
      <c r="H830" s="1" t="str">
        <f t="shared" si="50"/>
        <v>0 г. 0 мес. 0 дн.</v>
      </c>
      <c r="I830" s="1" t="s">
        <v>39</v>
      </c>
      <c r="V830" s="1" t="str">
        <f t="shared" si="51"/>
        <v>0 г. 0 мес. 0 дн.</v>
      </c>
      <c r="W830" s="5"/>
    </row>
    <row r="831" spans="1:23" ht="34.5" customHeight="1" x14ac:dyDescent="0.25">
      <c r="A831" s="1">
        <f t="shared" si="49"/>
        <v>830</v>
      </c>
      <c r="B831" s="1"/>
      <c r="C831" s="2"/>
      <c r="H831" s="1" t="str">
        <f t="shared" si="50"/>
        <v>0 г. 0 мес. 0 дн.</v>
      </c>
      <c r="I831" s="1" t="s">
        <v>39</v>
      </c>
      <c r="V831" s="1" t="str">
        <f t="shared" si="51"/>
        <v>0 г. 0 мес. 0 дн.</v>
      </c>
      <c r="W831" s="5"/>
    </row>
    <row r="832" spans="1:23" ht="34.5" customHeight="1" x14ac:dyDescent="0.25">
      <c r="A832" s="1">
        <f t="shared" ref="A832:A895" si="52">ROW(A831)</f>
        <v>831</v>
      </c>
      <c r="B832" s="1"/>
      <c r="C832" s="2"/>
      <c r="H832" s="1" t="str">
        <f t="shared" si="50"/>
        <v>0 г. 0 мес. 0 дн.</v>
      </c>
      <c r="I832" s="1" t="s">
        <v>39</v>
      </c>
      <c r="V832" s="1" t="str">
        <f t="shared" si="51"/>
        <v>0 г. 0 мес. 0 дн.</v>
      </c>
      <c r="W832" s="5"/>
    </row>
    <row r="833" spans="1:23" ht="34.5" customHeight="1" x14ac:dyDescent="0.25">
      <c r="A833" s="1">
        <f t="shared" si="52"/>
        <v>832</v>
      </c>
      <c r="B833" s="1"/>
      <c r="C833" s="2"/>
      <c r="H833" s="1" t="str">
        <f t="shared" si="50"/>
        <v>0 г. 0 мес. 0 дн.</v>
      </c>
      <c r="I833" s="1" t="s">
        <v>39</v>
      </c>
      <c r="V833" s="1" t="str">
        <f t="shared" si="51"/>
        <v>0 г. 0 мес. 0 дн.</v>
      </c>
      <c r="W833" s="5"/>
    </row>
    <row r="834" spans="1:23" ht="34.5" customHeight="1" x14ac:dyDescent="0.25">
      <c r="A834" s="1">
        <f t="shared" si="52"/>
        <v>833</v>
      </c>
      <c r="B834" s="1"/>
      <c r="C834" s="2"/>
      <c r="H834" s="1" t="str">
        <f t="shared" ref="H834:H897" si="53">DATEDIF(G834,D834,"y") &amp; " г. " &amp; DATEDIF(G834,D834,"ym") &amp; " мес. " &amp; DATEDIF(G834,D834,"md") &amp; " дн."</f>
        <v>0 г. 0 мес. 0 дн.</v>
      </c>
      <c r="I834" s="1" t="s">
        <v>39</v>
      </c>
      <c r="V834" s="1" t="str">
        <f t="shared" si="51"/>
        <v>0 г. 0 мес. 0 дн.</v>
      </c>
      <c r="W834" s="5"/>
    </row>
    <row r="835" spans="1:23" ht="34.5" customHeight="1" x14ac:dyDescent="0.25">
      <c r="A835" s="1">
        <f t="shared" si="52"/>
        <v>834</v>
      </c>
      <c r="B835" s="1"/>
      <c r="C835" s="2"/>
      <c r="H835" s="1" t="str">
        <f t="shared" si="53"/>
        <v>0 г. 0 мес. 0 дн.</v>
      </c>
      <c r="I835" s="1" t="s">
        <v>39</v>
      </c>
      <c r="V835" s="1" t="str">
        <f t="shared" si="51"/>
        <v>0 г. 0 мес. 0 дн.</v>
      </c>
      <c r="W835" s="5"/>
    </row>
    <row r="836" spans="1:23" ht="34.5" customHeight="1" x14ac:dyDescent="0.25">
      <c r="A836" s="1">
        <f t="shared" si="52"/>
        <v>835</v>
      </c>
      <c r="B836" s="1"/>
      <c r="C836" s="2"/>
      <c r="H836" s="1" t="str">
        <f t="shared" si="53"/>
        <v>0 г. 0 мес. 0 дн.</v>
      </c>
      <c r="I836" s="1" t="s">
        <v>39</v>
      </c>
      <c r="V836" s="1" t="str">
        <f t="shared" si="51"/>
        <v>0 г. 0 мес. 0 дн.</v>
      </c>
      <c r="W836" s="5"/>
    </row>
    <row r="837" spans="1:23" ht="34.5" customHeight="1" x14ac:dyDescent="0.25">
      <c r="A837" s="1">
        <f t="shared" si="52"/>
        <v>836</v>
      </c>
      <c r="B837" s="1"/>
      <c r="C837" s="2"/>
      <c r="H837" s="1" t="str">
        <f t="shared" si="53"/>
        <v>0 г. 0 мес. 0 дн.</v>
      </c>
      <c r="I837" s="1" t="s">
        <v>39</v>
      </c>
      <c r="V837" s="1" t="str">
        <f t="shared" si="51"/>
        <v>0 г. 0 мес. 0 дн.</v>
      </c>
      <c r="W837" s="5"/>
    </row>
    <row r="838" spans="1:23" ht="34.5" customHeight="1" x14ac:dyDescent="0.25">
      <c r="A838" s="1">
        <f t="shared" si="52"/>
        <v>837</v>
      </c>
      <c r="B838" s="1"/>
      <c r="C838" s="2"/>
      <c r="H838" s="1" t="str">
        <f t="shared" si="53"/>
        <v>0 г. 0 мес. 0 дн.</v>
      </c>
      <c r="I838" s="1" t="s">
        <v>39</v>
      </c>
      <c r="V838" s="1" t="str">
        <f t="shared" si="51"/>
        <v>0 г. 0 мес. 0 дн.</v>
      </c>
      <c r="W838" s="5"/>
    </row>
    <row r="839" spans="1:23" ht="34.5" customHeight="1" x14ac:dyDescent="0.25">
      <c r="A839" s="1">
        <f t="shared" si="52"/>
        <v>838</v>
      </c>
      <c r="B839" s="1"/>
      <c r="C839" s="2"/>
      <c r="H839" s="1" t="str">
        <f t="shared" si="53"/>
        <v>0 г. 0 мес. 0 дн.</v>
      </c>
      <c r="I839" s="1" t="s">
        <v>39</v>
      </c>
      <c r="V839" s="1" t="str">
        <f t="shared" si="51"/>
        <v>0 г. 0 мес. 0 дн.</v>
      </c>
      <c r="W839" s="5"/>
    </row>
    <row r="840" spans="1:23" ht="34.5" customHeight="1" x14ac:dyDescent="0.25">
      <c r="A840" s="1">
        <f t="shared" si="52"/>
        <v>839</v>
      </c>
      <c r="B840" s="1"/>
      <c r="C840" s="2"/>
      <c r="H840" s="1" t="str">
        <f t="shared" si="53"/>
        <v>0 г. 0 мес. 0 дн.</v>
      </c>
      <c r="I840" s="1" t="s">
        <v>39</v>
      </c>
      <c r="V840" s="1" t="str">
        <f t="shared" si="51"/>
        <v>0 г. 0 мес. 0 дн.</v>
      </c>
      <c r="W840" s="5"/>
    </row>
    <row r="841" spans="1:23" ht="34.5" customHeight="1" x14ac:dyDescent="0.25">
      <c r="A841" s="1">
        <f t="shared" si="52"/>
        <v>840</v>
      </c>
      <c r="B841" s="1"/>
      <c r="C841" s="2"/>
      <c r="H841" s="1" t="str">
        <f t="shared" si="53"/>
        <v>0 г. 0 мес. 0 дн.</v>
      </c>
      <c r="I841" s="1" t="s">
        <v>39</v>
      </c>
      <c r="V841" s="1" t="str">
        <f t="shared" si="51"/>
        <v>0 г. 0 мес. 0 дн.</v>
      </c>
      <c r="W841" s="5"/>
    </row>
    <row r="842" spans="1:23" ht="34.5" customHeight="1" x14ac:dyDescent="0.25">
      <c r="A842" s="1">
        <f t="shared" si="52"/>
        <v>841</v>
      </c>
      <c r="B842" s="1"/>
      <c r="C842" s="2"/>
      <c r="H842" s="1" t="str">
        <f t="shared" si="53"/>
        <v>0 г. 0 мес. 0 дн.</v>
      </c>
      <c r="I842" s="1" t="s">
        <v>39</v>
      </c>
      <c r="V842" s="1" t="str">
        <f t="shared" si="51"/>
        <v>0 г. 0 мес. 0 дн.</v>
      </c>
      <c r="W842" s="5"/>
    </row>
    <row r="843" spans="1:23" ht="34.5" customHeight="1" x14ac:dyDescent="0.25">
      <c r="A843" s="1">
        <f t="shared" si="52"/>
        <v>842</v>
      </c>
      <c r="B843" s="1"/>
      <c r="C843" s="2"/>
      <c r="H843" s="1" t="str">
        <f t="shared" si="53"/>
        <v>0 г. 0 мес. 0 дн.</v>
      </c>
      <c r="I843" s="1" t="s">
        <v>39</v>
      </c>
      <c r="V843" s="1" t="str">
        <f t="shared" si="51"/>
        <v>0 г. 0 мес. 0 дн.</v>
      </c>
      <c r="W843" s="5"/>
    </row>
    <row r="844" spans="1:23" ht="34.5" customHeight="1" x14ac:dyDescent="0.25">
      <c r="A844" s="1">
        <f t="shared" si="52"/>
        <v>843</v>
      </c>
      <c r="B844" s="1"/>
      <c r="C844" s="2"/>
      <c r="H844" s="1" t="str">
        <f t="shared" si="53"/>
        <v>0 г. 0 мес. 0 дн.</v>
      </c>
      <c r="I844" s="1" t="s">
        <v>39</v>
      </c>
      <c r="V844" s="1" t="str">
        <f t="shared" si="51"/>
        <v>0 г. 0 мес. 0 дн.</v>
      </c>
      <c r="W844" s="5"/>
    </row>
    <row r="845" spans="1:23" ht="34.5" customHeight="1" x14ac:dyDescent="0.25">
      <c r="A845" s="1">
        <f t="shared" si="52"/>
        <v>844</v>
      </c>
      <c r="B845" s="1"/>
      <c r="C845" s="2"/>
      <c r="H845" s="1" t="str">
        <f t="shared" si="53"/>
        <v>0 г. 0 мес. 0 дн.</v>
      </c>
      <c r="I845" s="1" t="s">
        <v>39</v>
      </c>
      <c r="V845" s="1" t="str">
        <f t="shared" si="51"/>
        <v>0 г. 0 мес. 0 дн.</v>
      </c>
      <c r="W845" s="5"/>
    </row>
    <row r="846" spans="1:23" ht="34.5" customHeight="1" x14ac:dyDescent="0.25">
      <c r="A846" s="1">
        <f t="shared" si="52"/>
        <v>845</v>
      </c>
      <c r="B846" s="1"/>
      <c r="C846" s="2"/>
      <c r="H846" s="1" t="str">
        <f t="shared" si="53"/>
        <v>0 г. 0 мес. 0 дн.</v>
      </c>
      <c r="I846" s="1" t="s">
        <v>39</v>
      </c>
      <c r="V846" s="1" t="str">
        <f t="shared" si="51"/>
        <v>0 г. 0 мес. 0 дн.</v>
      </c>
      <c r="W846" s="5"/>
    </row>
    <row r="847" spans="1:23" ht="34.5" customHeight="1" x14ac:dyDescent="0.25">
      <c r="A847" s="1">
        <f t="shared" si="52"/>
        <v>846</v>
      </c>
      <c r="B847" s="1"/>
      <c r="C847" s="2"/>
      <c r="H847" s="1" t="str">
        <f t="shared" si="53"/>
        <v>0 г. 0 мес. 0 дн.</v>
      </c>
      <c r="I847" s="1" t="s">
        <v>39</v>
      </c>
      <c r="V847" s="1" t="str">
        <f t="shared" si="51"/>
        <v>0 г. 0 мес. 0 дн.</v>
      </c>
      <c r="W847" s="5"/>
    </row>
    <row r="848" spans="1:23" ht="34.5" customHeight="1" x14ac:dyDescent="0.25">
      <c r="A848" s="1">
        <f t="shared" si="52"/>
        <v>847</v>
      </c>
      <c r="B848" s="1"/>
      <c r="C848" s="2"/>
      <c r="H848" s="1" t="str">
        <f t="shared" si="53"/>
        <v>0 г. 0 мес. 0 дн.</v>
      </c>
      <c r="I848" s="1" t="s">
        <v>39</v>
      </c>
      <c r="V848" s="1" t="str">
        <f t="shared" si="51"/>
        <v>0 г. 0 мес. 0 дн.</v>
      </c>
      <c r="W848" s="5"/>
    </row>
    <row r="849" spans="1:23" ht="34.5" customHeight="1" x14ac:dyDescent="0.25">
      <c r="A849" s="1">
        <f t="shared" si="52"/>
        <v>848</v>
      </c>
      <c r="B849" s="1"/>
      <c r="C849" s="2"/>
      <c r="H849" s="1" t="str">
        <f t="shared" si="53"/>
        <v>0 г. 0 мес. 0 дн.</v>
      </c>
      <c r="I849" s="1" t="s">
        <v>39</v>
      </c>
      <c r="V849" s="1" t="str">
        <f t="shared" si="51"/>
        <v>0 г. 0 мес. 0 дн.</v>
      </c>
      <c r="W849" s="5"/>
    </row>
    <row r="850" spans="1:23" ht="34.5" customHeight="1" x14ac:dyDescent="0.25">
      <c r="A850" s="1">
        <f t="shared" si="52"/>
        <v>849</v>
      </c>
      <c r="B850" s="1"/>
      <c r="C850" s="2"/>
      <c r="H850" s="1" t="str">
        <f t="shared" si="53"/>
        <v>0 г. 0 мес. 0 дн.</v>
      </c>
      <c r="I850" s="1" t="s">
        <v>39</v>
      </c>
      <c r="V850" s="1" t="str">
        <f t="shared" si="51"/>
        <v>0 г. 0 мес. 0 дн.</v>
      </c>
      <c r="W850" s="5"/>
    </row>
    <row r="851" spans="1:23" ht="34.5" customHeight="1" x14ac:dyDescent="0.25">
      <c r="A851" s="1">
        <f t="shared" si="52"/>
        <v>850</v>
      </c>
      <c r="B851" s="1"/>
      <c r="C851" s="2"/>
      <c r="H851" s="1" t="str">
        <f t="shared" si="53"/>
        <v>0 г. 0 мес. 0 дн.</v>
      </c>
      <c r="I851" s="1" t="s">
        <v>39</v>
      </c>
      <c r="V851" s="1" t="str">
        <f t="shared" si="51"/>
        <v>0 г. 0 мес. 0 дн.</v>
      </c>
      <c r="W851" s="5"/>
    </row>
    <row r="852" spans="1:23" ht="34.5" customHeight="1" x14ac:dyDescent="0.25">
      <c r="A852" s="1">
        <f t="shared" si="52"/>
        <v>851</v>
      </c>
      <c r="B852" s="1"/>
      <c r="C852" s="2"/>
      <c r="H852" s="1" t="str">
        <f t="shared" si="53"/>
        <v>0 г. 0 мес. 0 дн.</v>
      </c>
      <c r="I852" s="1" t="s">
        <v>39</v>
      </c>
      <c r="V852" s="1" t="str">
        <f t="shared" si="51"/>
        <v>0 г. 0 мес. 0 дн.</v>
      </c>
      <c r="W852" s="5"/>
    </row>
    <row r="853" spans="1:23" ht="34.5" customHeight="1" x14ac:dyDescent="0.25">
      <c r="A853" s="1">
        <f t="shared" si="52"/>
        <v>852</v>
      </c>
      <c r="B853" s="1"/>
      <c r="C853" s="2"/>
      <c r="H853" s="1" t="str">
        <f t="shared" si="53"/>
        <v>0 г. 0 мес. 0 дн.</v>
      </c>
      <c r="I853" s="1" t="s">
        <v>39</v>
      </c>
      <c r="V853" s="1" t="str">
        <f t="shared" si="51"/>
        <v>0 г. 0 мес. 0 дн.</v>
      </c>
      <c r="W853" s="5"/>
    </row>
    <row r="854" spans="1:23" ht="34.5" customHeight="1" x14ac:dyDescent="0.25">
      <c r="A854" s="1">
        <f t="shared" si="52"/>
        <v>853</v>
      </c>
      <c r="B854" s="1"/>
      <c r="C854" s="2"/>
      <c r="H854" s="1" t="str">
        <f t="shared" si="53"/>
        <v>0 г. 0 мес. 0 дн.</v>
      </c>
      <c r="I854" s="1" t="s">
        <v>39</v>
      </c>
      <c r="V854" s="1" t="str">
        <f t="shared" si="51"/>
        <v>0 г. 0 мес. 0 дн.</v>
      </c>
      <c r="W854" s="5"/>
    </row>
    <row r="855" spans="1:23" ht="34.5" customHeight="1" x14ac:dyDescent="0.25">
      <c r="A855" s="1">
        <f t="shared" si="52"/>
        <v>854</v>
      </c>
      <c r="B855" s="1"/>
      <c r="C855" s="2"/>
      <c r="H855" s="1" t="str">
        <f t="shared" si="53"/>
        <v>0 г. 0 мес. 0 дн.</v>
      </c>
      <c r="I855" s="1" t="s">
        <v>39</v>
      </c>
      <c r="V855" s="1" t="str">
        <f t="shared" si="51"/>
        <v>0 г. 0 мес. 0 дн.</v>
      </c>
      <c r="W855" s="5"/>
    </row>
    <row r="856" spans="1:23" ht="34.5" customHeight="1" x14ac:dyDescent="0.25">
      <c r="A856" s="1">
        <f t="shared" si="52"/>
        <v>855</v>
      </c>
      <c r="B856" s="1"/>
      <c r="C856" s="2"/>
      <c r="H856" s="1" t="str">
        <f t="shared" si="53"/>
        <v>0 г. 0 мес. 0 дн.</v>
      </c>
      <c r="I856" s="1" t="s">
        <v>39</v>
      </c>
      <c r="V856" s="1" t="str">
        <f t="shared" si="51"/>
        <v>0 г. 0 мес. 0 дн.</v>
      </c>
      <c r="W856" s="5"/>
    </row>
    <row r="857" spans="1:23" ht="34.5" customHeight="1" x14ac:dyDescent="0.25">
      <c r="A857" s="1">
        <f t="shared" si="52"/>
        <v>856</v>
      </c>
      <c r="B857" s="1"/>
      <c r="C857" s="2"/>
      <c r="H857" s="1" t="str">
        <f t="shared" si="53"/>
        <v>0 г. 0 мес. 0 дн.</v>
      </c>
      <c r="I857" s="1" t="s">
        <v>39</v>
      </c>
      <c r="V857" s="1" t="str">
        <f t="shared" si="51"/>
        <v>0 г. 0 мес. 0 дн.</v>
      </c>
      <c r="W857" s="5"/>
    </row>
    <row r="858" spans="1:23" ht="34.5" customHeight="1" x14ac:dyDescent="0.25">
      <c r="A858" s="1">
        <f t="shared" si="52"/>
        <v>857</v>
      </c>
      <c r="B858" s="1"/>
      <c r="C858" s="2"/>
      <c r="H858" s="1" t="str">
        <f t="shared" si="53"/>
        <v>0 г. 0 мес. 0 дн.</v>
      </c>
      <c r="I858" s="1" t="s">
        <v>39</v>
      </c>
      <c r="V858" s="1" t="str">
        <f t="shared" si="51"/>
        <v>0 г. 0 мес. 0 дн.</v>
      </c>
      <c r="W858" s="5"/>
    </row>
    <row r="859" spans="1:23" ht="34.5" customHeight="1" x14ac:dyDescent="0.25">
      <c r="A859" s="1">
        <f t="shared" si="52"/>
        <v>858</v>
      </c>
      <c r="B859" s="1"/>
      <c r="C859" s="2"/>
      <c r="H859" s="1" t="str">
        <f t="shared" si="53"/>
        <v>0 г. 0 мес. 0 дн.</v>
      </c>
      <c r="I859" s="1" t="s">
        <v>39</v>
      </c>
      <c r="V859" s="1" t="str">
        <f t="shared" si="51"/>
        <v>0 г. 0 мес. 0 дн.</v>
      </c>
      <c r="W859" s="5"/>
    </row>
    <row r="860" spans="1:23" ht="34.5" customHeight="1" x14ac:dyDescent="0.25">
      <c r="A860" s="1">
        <f t="shared" si="52"/>
        <v>859</v>
      </c>
      <c r="B860" s="1"/>
      <c r="C860" s="2"/>
      <c r="H860" s="1" t="str">
        <f t="shared" si="53"/>
        <v>0 г. 0 мес. 0 дн.</v>
      </c>
      <c r="I860" s="1" t="s">
        <v>39</v>
      </c>
      <c r="V860" s="1" t="str">
        <f t="shared" si="51"/>
        <v>0 г. 0 мес. 0 дн.</v>
      </c>
      <c r="W860" s="5"/>
    </row>
    <row r="861" spans="1:23" ht="34.5" customHeight="1" x14ac:dyDescent="0.25">
      <c r="A861" s="1">
        <f t="shared" si="52"/>
        <v>860</v>
      </c>
      <c r="B861" s="1"/>
      <c r="C861" s="2"/>
      <c r="H861" s="1" t="str">
        <f t="shared" si="53"/>
        <v>0 г. 0 мес. 0 дн.</v>
      </c>
      <c r="I861" s="1" t="s">
        <v>39</v>
      </c>
      <c r="V861" s="1" t="str">
        <f t="shared" si="51"/>
        <v>0 г. 0 мес. 0 дн.</v>
      </c>
      <c r="W861" s="5"/>
    </row>
    <row r="862" spans="1:23" ht="34.5" customHeight="1" x14ac:dyDescent="0.25">
      <c r="A862" s="1">
        <f t="shared" si="52"/>
        <v>861</v>
      </c>
      <c r="B862" s="1"/>
      <c r="C862" s="2"/>
      <c r="H862" s="1" t="str">
        <f t="shared" si="53"/>
        <v>0 г. 0 мес. 0 дн.</v>
      </c>
      <c r="I862" s="1" t="s">
        <v>39</v>
      </c>
      <c r="V862" s="1" t="str">
        <f t="shared" si="51"/>
        <v>0 г. 0 мес. 0 дн.</v>
      </c>
      <c r="W862" s="5"/>
    </row>
    <row r="863" spans="1:23" ht="34.5" customHeight="1" x14ac:dyDescent="0.25">
      <c r="A863" s="1">
        <f t="shared" si="52"/>
        <v>862</v>
      </c>
      <c r="B863" s="1"/>
      <c r="C863" s="2"/>
      <c r="H863" s="1" t="str">
        <f t="shared" si="53"/>
        <v>0 г. 0 мес. 0 дн.</v>
      </c>
      <c r="I863" s="1" t="s">
        <v>39</v>
      </c>
      <c r="V863" s="1" t="str">
        <f t="shared" si="51"/>
        <v>0 г. 0 мес. 0 дн.</v>
      </c>
      <c r="W863" s="5"/>
    </row>
    <row r="864" spans="1:23" ht="34.5" customHeight="1" x14ac:dyDescent="0.25">
      <c r="A864" s="1">
        <f t="shared" si="52"/>
        <v>863</v>
      </c>
      <c r="B864" s="1"/>
      <c r="C864" s="2"/>
      <c r="H864" s="1" t="str">
        <f t="shared" si="53"/>
        <v>0 г. 0 мес. 0 дн.</v>
      </c>
      <c r="I864" s="1" t="s">
        <v>39</v>
      </c>
      <c r="V864" s="1" t="str">
        <f t="shared" si="51"/>
        <v>0 г. 0 мес. 0 дн.</v>
      </c>
      <c r="W864" s="5"/>
    </row>
    <row r="865" spans="1:23" ht="34.5" customHeight="1" x14ac:dyDescent="0.25">
      <c r="A865" s="1">
        <f t="shared" si="52"/>
        <v>864</v>
      </c>
      <c r="B865" s="1"/>
      <c r="C865" s="2"/>
      <c r="H865" s="1" t="str">
        <f t="shared" si="53"/>
        <v>0 г. 0 мес. 0 дн.</v>
      </c>
      <c r="I865" s="1" t="s">
        <v>39</v>
      </c>
      <c r="V865" s="1" t="str">
        <f t="shared" si="51"/>
        <v>0 г. 0 мес. 0 дн.</v>
      </c>
      <c r="W865" s="5"/>
    </row>
    <row r="866" spans="1:23" ht="34.5" customHeight="1" x14ac:dyDescent="0.25">
      <c r="A866" s="1">
        <f t="shared" si="52"/>
        <v>865</v>
      </c>
      <c r="B866" s="1"/>
      <c r="C866" s="2"/>
      <c r="H866" s="1" t="str">
        <f t="shared" si="53"/>
        <v>0 г. 0 мес. 0 дн.</v>
      </c>
      <c r="I866" s="1" t="s">
        <v>39</v>
      </c>
      <c r="V866" s="1" t="str">
        <f t="shared" si="51"/>
        <v>0 г. 0 мес. 0 дн.</v>
      </c>
      <c r="W866" s="5"/>
    </row>
    <row r="867" spans="1:23" ht="34.5" customHeight="1" x14ac:dyDescent="0.25">
      <c r="A867" s="1">
        <f t="shared" si="52"/>
        <v>866</v>
      </c>
      <c r="B867" s="1"/>
      <c r="C867" s="2"/>
      <c r="H867" s="1" t="str">
        <f t="shared" si="53"/>
        <v>0 г. 0 мес. 0 дн.</v>
      </c>
      <c r="I867" s="1" t="s">
        <v>39</v>
      </c>
      <c r="V867" s="1" t="str">
        <f t="shared" si="51"/>
        <v>0 г. 0 мес. 0 дн.</v>
      </c>
      <c r="W867" s="5"/>
    </row>
    <row r="868" spans="1:23" ht="34.5" customHeight="1" x14ac:dyDescent="0.25">
      <c r="A868" s="1">
        <f t="shared" si="52"/>
        <v>867</v>
      </c>
      <c r="B868" s="1"/>
      <c r="C868" s="2"/>
      <c r="H868" s="1" t="str">
        <f t="shared" si="53"/>
        <v>0 г. 0 мес. 0 дн.</v>
      </c>
      <c r="I868" s="1" t="s">
        <v>39</v>
      </c>
      <c r="V868" s="1" t="str">
        <f t="shared" si="51"/>
        <v>0 г. 0 мес. 0 дн.</v>
      </c>
      <c r="W868" s="5"/>
    </row>
    <row r="869" spans="1:23" ht="34.5" customHeight="1" x14ac:dyDescent="0.25">
      <c r="A869" s="1">
        <f t="shared" si="52"/>
        <v>868</v>
      </c>
      <c r="B869" s="1"/>
      <c r="C869" s="2"/>
      <c r="H869" s="1" t="str">
        <f t="shared" si="53"/>
        <v>0 г. 0 мес. 0 дн.</v>
      </c>
      <c r="I869" s="1" t="s">
        <v>39</v>
      </c>
      <c r="V869" s="1" t="str">
        <f t="shared" si="51"/>
        <v>0 г. 0 мес. 0 дн.</v>
      </c>
      <c r="W869" s="5"/>
    </row>
    <row r="870" spans="1:23" ht="34.5" customHeight="1" x14ac:dyDescent="0.25">
      <c r="A870" s="1">
        <f t="shared" si="52"/>
        <v>869</v>
      </c>
      <c r="B870" s="1"/>
      <c r="C870" s="2"/>
      <c r="H870" s="1" t="str">
        <f t="shared" si="53"/>
        <v>0 г. 0 мес. 0 дн.</v>
      </c>
      <c r="I870" s="1" t="s">
        <v>39</v>
      </c>
      <c r="V870" s="1" t="str">
        <f t="shared" si="51"/>
        <v>0 г. 0 мес. 0 дн.</v>
      </c>
      <c r="W870" s="5"/>
    </row>
    <row r="871" spans="1:23" ht="34.5" customHeight="1" x14ac:dyDescent="0.25">
      <c r="A871" s="1">
        <f t="shared" si="52"/>
        <v>870</v>
      </c>
      <c r="B871" s="1"/>
      <c r="C871" s="2"/>
      <c r="H871" s="1" t="str">
        <f t="shared" si="53"/>
        <v>0 г. 0 мес. 0 дн.</v>
      </c>
      <c r="I871" s="1" t="s">
        <v>39</v>
      </c>
      <c r="V871" s="1" t="str">
        <f t="shared" si="51"/>
        <v>0 г. 0 мес. 0 дн.</v>
      </c>
      <c r="W871" s="5"/>
    </row>
    <row r="872" spans="1:23" ht="34.5" customHeight="1" x14ac:dyDescent="0.25">
      <c r="A872" s="1">
        <f t="shared" si="52"/>
        <v>871</v>
      </c>
      <c r="B872" s="1"/>
      <c r="C872" s="2"/>
      <c r="H872" s="1" t="str">
        <f t="shared" si="53"/>
        <v>0 г. 0 мес. 0 дн.</v>
      </c>
      <c r="I872" s="1" t="s">
        <v>39</v>
      </c>
      <c r="V872" s="1" t="str">
        <f t="shared" si="51"/>
        <v>0 г. 0 мес. 0 дн.</v>
      </c>
      <c r="W872" s="5"/>
    </row>
    <row r="873" spans="1:23" ht="34.5" customHeight="1" x14ac:dyDescent="0.25">
      <c r="A873" s="1">
        <f t="shared" si="52"/>
        <v>872</v>
      </c>
      <c r="B873" s="1"/>
      <c r="C873" s="2"/>
      <c r="H873" s="1" t="str">
        <f t="shared" si="53"/>
        <v>0 г. 0 мес. 0 дн.</v>
      </c>
      <c r="I873" s="1" t="s">
        <v>39</v>
      </c>
      <c r="V873" s="1" t="str">
        <f t="shared" si="51"/>
        <v>0 г. 0 мес. 0 дн.</v>
      </c>
      <c r="W873" s="5"/>
    </row>
    <row r="874" spans="1:23" ht="34.5" customHeight="1" x14ac:dyDescent="0.25">
      <c r="A874" s="1">
        <f t="shared" si="52"/>
        <v>873</v>
      </c>
      <c r="B874" s="1"/>
      <c r="C874" s="2"/>
      <c r="H874" s="1" t="str">
        <f t="shared" si="53"/>
        <v>0 г. 0 мес. 0 дн.</v>
      </c>
      <c r="I874" s="1" t="s">
        <v>39</v>
      </c>
      <c r="V874" s="1" t="str">
        <f t="shared" si="51"/>
        <v>0 г. 0 мес. 0 дн.</v>
      </c>
      <c r="W874" s="5"/>
    </row>
    <row r="875" spans="1:23" ht="34.5" customHeight="1" x14ac:dyDescent="0.25">
      <c r="A875" s="1">
        <f t="shared" si="52"/>
        <v>874</v>
      </c>
      <c r="B875" s="1"/>
      <c r="C875" s="2"/>
      <c r="H875" s="1" t="str">
        <f t="shared" si="53"/>
        <v>0 г. 0 мес. 0 дн.</v>
      </c>
      <c r="I875" s="1" t="s">
        <v>39</v>
      </c>
      <c r="V875" s="1" t="str">
        <f t="shared" si="51"/>
        <v>0 г. 0 мес. 0 дн.</v>
      </c>
      <c r="W875" s="5"/>
    </row>
    <row r="876" spans="1:23" ht="34.5" customHeight="1" x14ac:dyDescent="0.25">
      <c r="A876" s="1">
        <f t="shared" si="52"/>
        <v>875</v>
      </c>
      <c r="B876" s="1"/>
      <c r="C876" s="2"/>
      <c r="H876" s="1" t="str">
        <f t="shared" si="53"/>
        <v>0 г. 0 мес. 0 дн.</v>
      </c>
      <c r="I876" s="1" t="s">
        <v>39</v>
      </c>
      <c r="V876" s="1" t="str">
        <f t="shared" si="51"/>
        <v>0 г. 0 мес. 0 дн.</v>
      </c>
      <c r="W876" s="5"/>
    </row>
    <row r="877" spans="1:23" ht="34.5" customHeight="1" x14ac:dyDescent="0.25">
      <c r="A877" s="1">
        <f t="shared" si="52"/>
        <v>876</v>
      </c>
      <c r="B877" s="1"/>
      <c r="C877" s="2"/>
      <c r="H877" s="1" t="str">
        <f t="shared" si="53"/>
        <v>0 г. 0 мес. 0 дн.</v>
      </c>
      <c r="I877" s="1" t="s">
        <v>39</v>
      </c>
      <c r="V877" s="1" t="str">
        <f t="shared" si="51"/>
        <v>0 г. 0 мес. 0 дн.</v>
      </c>
      <c r="W877" s="5"/>
    </row>
    <row r="878" spans="1:23" ht="34.5" customHeight="1" x14ac:dyDescent="0.25">
      <c r="A878" s="1">
        <f t="shared" si="52"/>
        <v>877</v>
      </c>
      <c r="B878" s="1"/>
      <c r="C878" s="2"/>
      <c r="H878" s="1" t="str">
        <f t="shared" si="53"/>
        <v>0 г. 0 мес. 0 дн.</v>
      </c>
      <c r="I878" s="1" t="s">
        <v>39</v>
      </c>
      <c r="V878" s="1" t="str">
        <f t="shared" si="51"/>
        <v>0 г. 0 мес. 0 дн.</v>
      </c>
      <c r="W878" s="5"/>
    </row>
    <row r="879" spans="1:23" ht="34.5" customHeight="1" x14ac:dyDescent="0.25">
      <c r="A879" s="1">
        <f t="shared" si="52"/>
        <v>878</v>
      </c>
      <c r="B879" s="1"/>
      <c r="C879" s="2"/>
      <c r="H879" s="1" t="str">
        <f t="shared" si="53"/>
        <v>0 г. 0 мес. 0 дн.</v>
      </c>
      <c r="I879" s="1" t="s">
        <v>39</v>
      </c>
      <c r="V879" s="1" t="str">
        <f t="shared" si="51"/>
        <v>0 г. 0 мес. 0 дн.</v>
      </c>
      <c r="W879" s="5"/>
    </row>
    <row r="880" spans="1:23" ht="34.5" customHeight="1" x14ac:dyDescent="0.25">
      <c r="A880" s="1">
        <f t="shared" si="52"/>
        <v>879</v>
      </c>
      <c r="B880" s="1"/>
      <c r="C880" s="2"/>
      <c r="H880" s="1" t="str">
        <f t="shared" si="53"/>
        <v>0 г. 0 мес. 0 дн.</v>
      </c>
      <c r="I880" s="1" t="s">
        <v>39</v>
      </c>
      <c r="V880" s="1" t="str">
        <f t="shared" si="51"/>
        <v>0 г. 0 мес. 0 дн.</v>
      </c>
      <c r="W880" s="5"/>
    </row>
    <row r="881" spans="1:23" ht="34.5" customHeight="1" x14ac:dyDescent="0.25">
      <c r="A881" s="1">
        <f t="shared" si="52"/>
        <v>880</v>
      </c>
      <c r="B881" s="1"/>
      <c r="C881" s="2"/>
      <c r="H881" s="1" t="str">
        <f t="shared" si="53"/>
        <v>0 г. 0 мес. 0 дн.</v>
      </c>
      <c r="I881" s="1" t="s">
        <v>39</v>
      </c>
      <c r="V881" s="1" t="str">
        <f t="shared" ref="V881:V944" si="54">DATEDIF(D881,T881,"y") &amp; " г. " &amp; DATEDIF(D881,T881,"ym") &amp; " мес. " &amp; DATEDIF(D881,T881,"md") &amp; " дн."</f>
        <v>0 г. 0 мес. 0 дн.</v>
      </c>
      <c r="W881" s="5"/>
    </row>
    <row r="882" spans="1:23" ht="34.5" customHeight="1" x14ac:dyDescent="0.25">
      <c r="A882" s="1">
        <f t="shared" si="52"/>
        <v>881</v>
      </c>
      <c r="B882" s="1"/>
      <c r="C882" s="2"/>
      <c r="H882" s="1" t="str">
        <f t="shared" si="53"/>
        <v>0 г. 0 мес. 0 дн.</v>
      </c>
      <c r="I882" s="1" t="s">
        <v>39</v>
      </c>
      <c r="V882" s="1" t="str">
        <f t="shared" si="54"/>
        <v>0 г. 0 мес. 0 дн.</v>
      </c>
      <c r="W882" s="5"/>
    </row>
    <row r="883" spans="1:23" ht="34.5" customHeight="1" x14ac:dyDescent="0.25">
      <c r="A883" s="1">
        <f t="shared" si="52"/>
        <v>882</v>
      </c>
      <c r="B883" s="1"/>
      <c r="C883" s="2"/>
      <c r="H883" s="1" t="str">
        <f t="shared" si="53"/>
        <v>0 г. 0 мес. 0 дн.</v>
      </c>
      <c r="I883" s="1" t="s">
        <v>39</v>
      </c>
      <c r="V883" s="1" t="str">
        <f t="shared" si="54"/>
        <v>0 г. 0 мес. 0 дн.</v>
      </c>
      <c r="W883" s="5"/>
    </row>
    <row r="884" spans="1:23" ht="34.5" customHeight="1" x14ac:dyDescent="0.25">
      <c r="A884" s="1">
        <f t="shared" si="52"/>
        <v>883</v>
      </c>
      <c r="B884" s="1"/>
      <c r="C884" s="2"/>
      <c r="H884" s="1" t="str">
        <f t="shared" si="53"/>
        <v>0 г. 0 мес. 0 дн.</v>
      </c>
      <c r="I884" s="1" t="s">
        <v>39</v>
      </c>
      <c r="V884" s="1" t="str">
        <f t="shared" si="54"/>
        <v>0 г. 0 мес. 0 дн.</v>
      </c>
      <c r="W884" s="5"/>
    </row>
    <row r="885" spans="1:23" ht="34.5" customHeight="1" x14ac:dyDescent="0.25">
      <c r="A885" s="1">
        <f t="shared" si="52"/>
        <v>884</v>
      </c>
      <c r="B885" s="1"/>
      <c r="C885" s="2"/>
      <c r="H885" s="1" t="str">
        <f t="shared" si="53"/>
        <v>0 г. 0 мес. 0 дн.</v>
      </c>
      <c r="I885" s="1" t="s">
        <v>39</v>
      </c>
      <c r="V885" s="1" t="str">
        <f t="shared" si="54"/>
        <v>0 г. 0 мес. 0 дн.</v>
      </c>
      <c r="W885" s="5"/>
    </row>
    <row r="886" spans="1:23" ht="34.5" customHeight="1" x14ac:dyDescent="0.25">
      <c r="A886" s="1">
        <f t="shared" si="52"/>
        <v>885</v>
      </c>
      <c r="B886" s="1"/>
      <c r="C886" s="2"/>
      <c r="H886" s="1" t="str">
        <f t="shared" si="53"/>
        <v>0 г. 0 мес. 0 дн.</v>
      </c>
      <c r="I886" s="1" t="s">
        <v>39</v>
      </c>
      <c r="V886" s="1" t="str">
        <f t="shared" si="54"/>
        <v>0 г. 0 мес. 0 дн.</v>
      </c>
      <c r="W886" s="5"/>
    </row>
    <row r="887" spans="1:23" ht="34.5" customHeight="1" x14ac:dyDescent="0.25">
      <c r="A887" s="1">
        <f t="shared" si="52"/>
        <v>886</v>
      </c>
      <c r="B887" s="1"/>
      <c r="C887" s="2"/>
      <c r="H887" s="1" t="str">
        <f t="shared" si="53"/>
        <v>0 г. 0 мес. 0 дн.</v>
      </c>
      <c r="I887" s="1" t="s">
        <v>39</v>
      </c>
      <c r="V887" s="1" t="str">
        <f t="shared" si="54"/>
        <v>0 г. 0 мес. 0 дн.</v>
      </c>
      <c r="W887" s="5"/>
    </row>
    <row r="888" spans="1:23" ht="34.5" customHeight="1" x14ac:dyDescent="0.25">
      <c r="A888" s="1">
        <f t="shared" si="52"/>
        <v>887</v>
      </c>
      <c r="B888" s="1"/>
      <c r="C888" s="2"/>
      <c r="H888" s="1" t="str">
        <f t="shared" si="53"/>
        <v>0 г. 0 мес. 0 дн.</v>
      </c>
      <c r="I888" s="1" t="s">
        <v>39</v>
      </c>
      <c r="V888" s="1" t="str">
        <f t="shared" si="54"/>
        <v>0 г. 0 мес. 0 дн.</v>
      </c>
      <c r="W888" s="5"/>
    </row>
    <row r="889" spans="1:23" ht="34.5" customHeight="1" x14ac:dyDescent="0.25">
      <c r="A889" s="1">
        <f t="shared" si="52"/>
        <v>888</v>
      </c>
      <c r="B889" s="1"/>
      <c r="C889" s="2"/>
      <c r="H889" s="1" t="str">
        <f t="shared" si="53"/>
        <v>0 г. 0 мес. 0 дн.</v>
      </c>
      <c r="I889" s="1" t="s">
        <v>39</v>
      </c>
      <c r="V889" s="1" t="str">
        <f t="shared" si="54"/>
        <v>0 г. 0 мес. 0 дн.</v>
      </c>
      <c r="W889" s="5"/>
    </row>
    <row r="890" spans="1:23" ht="34.5" customHeight="1" x14ac:dyDescent="0.25">
      <c r="A890" s="1">
        <f t="shared" si="52"/>
        <v>889</v>
      </c>
      <c r="B890" s="1"/>
      <c r="C890" s="2"/>
      <c r="H890" s="1" t="str">
        <f t="shared" si="53"/>
        <v>0 г. 0 мес. 0 дн.</v>
      </c>
      <c r="I890" s="1" t="s">
        <v>39</v>
      </c>
      <c r="V890" s="1" t="str">
        <f t="shared" si="54"/>
        <v>0 г. 0 мес. 0 дн.</v>
      </c>
      <c r="W890" s="5"/>
    </row>
    <row r="891" spans="1:23" ht="34.5" customHeight="1" x14ac:dyDescent="0.25">
      <c r="A891" s="1">
        <f t="shared" si="52"/>
        <v>890</v>
      </c>
      <c r="B891" s="1"/>
      <c r="C891" s="2"/>
      <c r="H891" s="1" t="str">
        <f t="shared" si="53"/>
        <v>0 г. 0 мес. 0 дн.</v>
      </c>
      <c r="I891" s="1" t="s">
        <v>39</v>
      </c>
      <c r="V891" s="1" t="str">
        <f t="shared" si="54"/>
        <v>0 г. 0 мес. 0 дн.</v>
      </c>
      <c r="W891" s="5"/>
    </row>
    <row r="892" spans="1:23" ht="34.5" customHeight="1" x14ac:dyDescent="0.25">
      <c r="A892" s="1">
        <f t="shared" si="52"/>
        <v>891</v>
      </c>
      <c r="B892" s="1"/>
      <c r="C892" s="2"/>
      <c r="H892" s="1" t="str">
        <f t="shared" si="53"/>
        <v>0 г. 0 мес. 0 дн.</v>
      </c>
      <c r="I892" s="1" t="s">
        <v>39</v>
      </c>
      <c r="V892" s="1" t="str">
        <f t="shared" si="54"/>
        <v>0 г. 0 мес. 0 дн.</v>
      </c>
      <c r="W892" s="5"/>
    </row>
    <row r="893" spans="1:23" ht="34.5" customHeight="1" x14ac:dyDescent="0.25">
      <c r="A893" s="1">
        <f t="shared" si="52"/>
        <v>892</v>
      </c>
      <c r="B893" s="1"/>
      <c r="C893" s="2"/>
      <c r="H893" s="1" t="str">
        <f t="shared" si="53"/>
        <v>0 г. 0 мес. 0 дн.</v>
      </c>
      <c r="I893" s="1" t="s">
        <v>39</v>
      </c>
      <c r="V893" s="1" t="str">
        <f t="shared" si="54"/>
        <v>0 г. 0 мес. 0 дн.</v>
      </c>
      <c r="W893" s="5"/>
    </row>
    <row r="894" spans="1:23" ht="34.5" customHeight="1" x14ac:dyDescent="0.25">
      <c r="A894" s="1">
        <f t="shared" si="52"/>
        <v>893</v>
      </c>
      <c r="B894" s="1"/>
      <c r="C894" s="2"/>
      <c r="H894" s="1" t="str">
        <f t="shared" si="53"/>
        <v>0 г. 0 мес. 0 дн.</v>
      </c>
      <c r="I894" s="1" t="s">
        <v>39</v>
      </c>
      <c r="V894" s="1" t="str">
        <f t="shared" si="54"/>
        <v>0 г. 0 мес. 0 дн.</v>
      </c>
      <c r="W894" s="5"/>
    </row>
    <row r="895" spans="1:23" ht="34.5" customHeight="1" x14ac:dyDescent="0.25">
      <c r="A895" s="1">
        <f t="shared" si="52"/>
        <v>894</v>
      </c>
      <c r="B895" s="1"/>
      <c r="C895" s="2"/>
      <c r="H895" s="1" t="str">
        <f t="shared" si="53"/>
        <v>0 г. 0 мес. 0 дн.</v>
      </c>
      <c r="I895" s="1" t="s">
        <v>39</v>
      </c>
      <c r="V895" s="1" t="str">
        <f t="shared" si="54"/>
        <v>0 г. 0 мес. 0 дн.</v>
      </c>
      <c r="W895" s="5"/>
    </row>
    <row r="896" spans="1:23" ht="34.5" customHeight="1" x14ac:dyDescent="0.25">
      <c r="A896" s="1">
        <f t="shared" ref="A896:A959" si="55">ROW(A895)</f>
        <v>895</v>
      </c>
      <c r="B896" s="1"/>
      <c r="C896" s="2"/>
      <c r="H896" s="1" t="str">
        <f t="shared" si="53"/>
        <v>0 г. 0 мес. 0 дн.</v>
      </c>
      <c r="I896" s="1" t="s">
        <v>39</v>
      </c>
      <c r="V896" s="1" t="str">
        <f t="shared" si="54"/>
        <v>0 г. 0 мес. 0 дн.</v>
      </c>
      <c r="W896" s="5"/>
    </row>
    <row r="897" spans="1:23" ht="34.5" customHeight="1" x14ac:dyDescent="0.25">
      <c r="A897" s="1">
        <f t="shared" si="55"/>
        <v>896</v>
      </c>
      <c r="B897" s="1"/>
      <c r="C897" s="2"/>
      <c r="H897" s="1" t="str">
        <f t="shared" si="53"/>
        <v>0 г. 0 мес. 0 дн.</v>
      </c>
      <c r="I897" s="1" t="s">
        <v>39</v>
      </c>
      <c r="V897" s="1" t="str">
        <f t="shared" si="54"/>
        <v>0 г. 0 мес. 0 дн.</v>
      </c>
      <c r="W897" s="5"/>
    </row>
    <row r="898" spans="1:23" ht="34.5" customHeight="1" x14ac:dyDescent="0.25">
      <c r="A898" s="1">
        <f t="shared" si="55"/>
        <v>897</v>
      </c>
      <c r="B898" s="1"/>
      <c r="C898" s="2"/>
      <c r="H898" s="1" t="str">
        <f t="shared" ref="H898:H961" si="56">DATEDIF(G898,D898,"y") &amp; " г. " &amp; DATEDIF(G898,D898,"ym") &amp; " мес. " &amp; DATEDIF(G898,D898,"md") &amp; " дн."</f>
        <v>0 г. 0 мес. 0 дн.</v>
      </c>
      <c r="I898" s="1" t="s">
        <v>39</v>
      </c>
      <c r="V898" s="1" t="str">
        <f t="shared" si="54"/>
        <v>0 г. 0 мес. 0 дн.</v>
      </c>
      <c r="W898" s="5"/>
    </row>
    <row r="899" spans="1:23" ht="34.5" customHeight="1" x14ac:dyDescent="0.25">
      <c r="A899" s="1">
        <f t="shared" si="55"/>
        <v>898</v>
      </c>
      <c r="B899" s="1"/>
      <c r="C899" s="2"/>
      <c r="H899" s="1" t="str">
        <f t="shared" si="56"/>
        <v>0 г. 0 мес. 0 дн.</v>
      </c>
      <c r="I899" s="1" t="s">
        <v>39</v>
      </c>
      <c r="V899" s="1" t="str">
        <f t="shared" si="54"/>
        <v>0 г. 0 мес. 0 дн.</v>
      </c>
      <c r="W899" s="5"/>
    </row>
    <row r="900" spans="1:23" ht="34.5" customHeight="1" x14ac:dyDescent="0.25">
      <c r="A900" s="1">
        <f t="shared" si="55"/>
        <v>899</v>
      </c>
      <c r="B900" s="1"/>
      <c r="C900" s="2"/>
      <c r="H900" s="1" t="str">
        <f t="shared" si="56"/>
        <v>0 г. 0 мес. 0 дн.</v>
      </c>
      <c r="I900" s="1" t="s">
        <v>39</v>
      </c>
      <c r="V900" s="1" t="str">
        <f t="shared" si="54"/>
        <v>0 г. 0 мес. 0 дн.</v>
      </c>
      <c r="W900" s="5"/>
    </row>
    <row r="901" spans="1:23" ht="34.5" customHeight="1" x14ac:dyDescent="0.25">
      <c r="A901" s="1">
        <f t="shared" si="55"/>
        <v>900</v>
      </c>
      <c r="B901" s="1"/>
      <c r="C901" s="2"/>
      <c r="H901" s="1" t="str">
        <f t="shared" si="56"/>
        <v>0 г. 0 мес. 0 дн.</v>
      </c>
      <c r="I901" s="1" t="s">
        <v>39</v>
      </c>
      <c r="V901" s="1" t="str">
        <f t="shared" si="54"/>
        <v>0 г. 0 мес. 0 дн.</v>
      </c>
      <c r="W901" s="5"/>
    </row>
    <row r="902" spans="1:23" ht="34.5" customHeight="1" x14ac:dyDescent="0.25">
      <c r="A902" s="1">
        <f t="shared" si="55"/>
        <v>901</v>
      </c>
      <c r="B902" s="1"/>
      <c r="C902" s="2"/>
      <c r="H902" s="1" t="str">
        <f t="shared" si="56"/>
        <v>0 г. 0 мес. 0 дн.</v>
      </c>
      <c r="I902" s="1" t="s">
        <v>39</v>
      </c>
      <c r="V902" s="1" t="str">
        <f t="shared" si="54"/>
        <v>0 г. 0 мес. 0 дн.</v>
      </c>
      <c r="W902" s="5"/>
    </row>
    <row r="903" spans="1:23" ht="34.5" customHeight="1" x14ac:dyDescent="0.25">
      <c r="A903" s="1">
        <f t="shared" si="55"/>
        <v>902</v>
      </c>
      <c r="B903" s="1"/>
      <c r="C903" s="2"/>
      <c r="H903" s="1" t="str">
        <f t="shared" si="56"/>
        <v>0 г. 0 мес. 0 дн.</v>
      </c>
      <c r="I903" s="1" t="s">
        <v>39</v>
      </c>
      <c r="V903" s="1" t="str">
        <f t="shared" si="54"/>
        <v>0 г. 0 мес. 0 дн.</v>
      </c>
      <c r="W903" s="5"/>
    </row>
    <row r="904" spans="1:23" ht="34.5" customHeight="1" x14ac:dyDescent="0.25">
      <c r="A904" s="1">
        <f t="shared" si="55"/>
        <v>903</v>
      </c>
      <c r="B904" s="1"/>
      <c r="C904" s="2"/>
      <c r="H904" s="1" t="str">
        <f t="shared" si="56"/>
        <v>0 г. 0 мес. 0 дн.</v>
      </c>
      <c r="I904" s="1" t="s">
        <v>39</v>
      </c>
      <c r="V904" s="1" t="str">
        <f t="shared" si="54"/>
        <v>0 г. 0 мес. 0 дн.</v>
      </c>
      <c r="W904" s="5"/>
    </row>
    <row r="905" spans="1:23" ht="34.5" customHeight="1" x14ac:dyDescent="0.25">
      <c r="A905" s="1">
        <f t="shared" si="55"/>
        <v>904</v>
      </c>
      <c r="B905" s="1"/>
      <c r="C905" s="2"/>
      <c r="H905" s="1" t="str">
        <f t="shared" si="56"/>
        <v>0 г. 0 мес. 0 дн.</v>
      </c>
      <c r="I905" s="1" t="s">
        <v>39</v>
      </c>
      <c r="V905" s="1" t="str">
        <f t="shared" si="54"/>
        <v>0 г. 0 мес. 0 дн.</v>
      </c>
      <c r="W905" s="5"/>
    </row>
    <row r="906" spans="1:23" ht="34.5" customHeight="1" x14ac:dyDescent="0.25">
      <c r="A906" s="1">
        <f t="shared" si="55"/>
        <v>905</v>
      </c>
      <c r="B906" s="1"/>
      <c r="C906" s="2"/>
      <c r="H906" s="1" t="str">
        <f t="shared" si="56"/>
        <v>0 г. 0 мес. 0 дн.</v>
      </c>
      <c r="I906" s="1" t="s">
        <v>39</v>
      </c>
      <c r="V906" s="1" t="str">
        <f t="shared" si="54"/>
        <v>0 г. 0 мес. 0 дн.</v>
      </c>
      <c r="W906" s="5"/>
    </row>
    <row r="907" spans="1:23" ht="34.5" customHeight="1" x14ac:dyDescent="0.25">
      <c r="A907" s="1">
        <f t="shared" si="55"/>
        <v>906</v>
      </c>
      <c r="B907" s="1"/>
      <c r="C907" s="2"/>
      <c r="H907" s="1" t="str">
        <f t="shared" si="56"/>
        <v>0 г. 0 мес. 0 дн.</v>
      </c>
      <c r="I907" s="1" t="s">
        <v>39</v>
      </c>
      <c r="V907" s="1" t="str">
        <f t="shared" si="54"/>
        <v>0 г. 0 мес. 0 дн.</v>
      </c>
      <c r="W907" s="5"/>
    </row>
    <row r="908" spans="1:23" ht="34.5" customHeight="1" x14ac:dyDescent="0.25">
      <c r="A908" s="1">
        <f t="shared" si="55"/>
        <v>907</v>
      </c>
      <c r="B908" s="1"/>
      <c r="C908" s="2"/>
      <c r="H908" s="1" t="str">
        <f t="shared" si="56"/>
        <v>0 г. 0 мес. 0 дн.</v>
      </c>
      <c r="I908" s="1" t="s">
        <v>39</v>
      </c>
      <c r="V908" s="1" t="str">
        <f t="shared" si="54"/>
        <v>0 г. 0 мес. 0 дн.</v>
      </c>
      <c r="W908" s="5"/>
    </row>
    <row r="909" spans="1:23" ht="34.5" customHeight="1" x14ac:dyDescent="0.25">
      <c r="A909" s="1">
        <f t="shared" si="55"/>
        <v>908</v>
      </c>
      <c r="B909" s="1"/>
      <c r="C909" s="2"/>
      <c r="H909" s="1" t="str">
        <f t="shared" si="56"/>
        <v>0 г. 0 мес. 0 дн.</v>
      </c>
      <c r="I909" s="1" t="s">
        <v>39</v>
      </c>
      <c r="V909" s="1" t="str">
        <f t="shared" si="54"/>
        <v>0 г. 0 мес. 0 дн.</v>
      </c>
      <c r="W909" s="5"/>
    </row>
    <row r="910" spans="1:23" ht="34.5" customHeight="1" x14ac:dyDescent="0.25">
      <c r="A910" s="1">
        <f t="shared" si="55"/>
        <v>909</v>
      </c>
      <c r="B910" s="1"/>
      <c r="C910" s="2"/>
      <c r="H910" s="1" t="str">
        <f t="shared" si="56"/>
        <v>0 г. 0 мес. 0 дн.</v>
      </c>
      <c r="I910" s="1" t="s">
        <v>39</v>
      </c>
      <c r="V910" s="1" t="str">
        <f t="shared" si="54"/>
        <v>0 г. 0 мес. 0 дн.</v>
      </c>
      <c r="W910" s="5"/>
    </row>
    <row r="911" spans="1:23" ht="34.5" customHeight="1" x14ac:dyDescent="0.25">
      <c r="A911" s="1">
        <f t="shared" si="55"/>
        <v>910</v>
      </c>
      <c r="B911" s="1"/>
      <c r="C911" s="2"/>
      <c r="H911" s="1" t="str">
        <f t="shared" si="56"/>
        <v>0 г. 0 мес. 0 дн.</v>
      </c>
      <c r="I911" s="1" t="s">
        <v>39</v>
      </c>
      <c r="V911" s="1" t="str">
        <f t="shared" si="54"/>
        <v>0 г. 0 мес. 0 дн.</v>
      </c>
      <c r="W911" s="5"/>
    </row>
    <row r="912" spans="1:23" ht="34.5" customHeight="1" x14ac:dyDescent="0.25">
      <c r="A912" s="1">
        <f t="shared" si="55"/>
        <v>911</v>
      </c>
      <c r="B912" s="1"/>
      <c r="C912" s="2"/>
      <c r="H912" s="1" t="str">
        <f t="shared" si="56"/>
        <v>0 г. 0 мес. 0 дн.</v>
      </c>
      <c r="I912" s="1" t="s">
        <v>39</v>
      </c>
      <c r="V912" s="1" t="str">
        <f t="shared" si="54"/>
        <v>0 г. 0 мес. 0 дн.</v>
      </c>
      <c r="W912" s="5"/>
    </row>
    <row r="913" spans="1:23" ht="34.5" customHeight="1" x14ac:dyDescent="0.25">
      <c r="A913" s="1">
        <f t="shared" si="55"/>
        <v>912</v>
      </c>
      <c r="B913" s="1"/>
      <c r="C913" s="2"/>
      <c r="H913" s="1" t="str">
        <f t="shared" si="56"/>
        <v>0 г. 0 мес. 0 дн.</v>
      </c>
      <c r="I913" s="1" t="s">
        <v>39</v>
      </c>
      <c r="V913" s="1" t="str">
        <f t="shared" si="54"/>
        <v>0 г. 0 мес. 0 дн.</v>
      </c>
      <c r="W913" s="5"/>
    </row>
    <row r="914" spans="1:23" ht="34.5" customHeight="1" x14ac:dyDescent="0.25">
      <c r="A914" s="1">
        <f t="shared" si="55"/>
        <v>913</v>
      </c>
      <c r="B914" s="1"/>
      <c r="C914" s="2"/>
      <c r="H914" s="1" t="str">
        <f t="shared" si="56"/>
        <v>0 г. 0 мес. 0 дн.</v>
      </c>
      <c r="I914" s="1" t="s">
        <v>39</v>
      </c>
      <c r="V914" s="1" t="str">
        <f t="shared" si="54"/>
        <v>0 г. 0 мес. 0 дн.</v>
      </c>
      <c r="W914" s="5"/>
    </row>
    <row r="915" spans="1:23" ht="34.5" customHeight="1" x14ac:dyDescent="0.25">
      <c r="A915" s="1">
        <f t="shared" si="55"/>
        <v>914</v>
      </c>
      <c r="B915" s="1"/>
      <c r="C915" s="2"/>
      <c r="H915" s="1" t="str">
        <f t="shared" si="56"/>
        <v>0 г. 0 мес. 0 дн.</v>
      </c>
      <c r="I915" s="1" t="s">
        <v>39</v>
      </c>
      <c r="V915" s="1" t="str">
        <f t="shared" si="54"/>
        <v>0 г. 0 мес. 0 дн.</v>
      </c>
      <c r="W915" s="5"/>
    </row>
    <row r="916" spans="1:23" ht="34.5" customHeight="1" x14ac:dyDescent="0.25">
      <c r="A916" s="1">
        <f t="shared" si="55"/>
        <v>915</v>
      </c>
      <c r="B916" s="1"/>
      <c r="C916" s="2"/>
      <c r="H916" s="1" t="str">
        <f t="shared" si="56"/>
        <v>0 г. 0 мес. 0 дн.</v>
      </c>
      <c r="I916" s="1" t="s">
        <v>39</v>
      </c>
      <c r="V916" s="1" t="str">
        <f t="shared" si="54"/>
        <v>0 г. 0 мес. 0 дн.</v>
      </c>
      <c r="W916" s="5"/>
    </row>
    <row r="917" spans="1:23" ht="34.5" customHeight="1" x14ac:dyDescent="0.25">
      <c r="A917" s="1">
        <f t="shared" si="55"/>
        <v>916</v>
      </c>
      <c r="B917" s="1"/>
      <c r="C917" s="2"/>
      <c r="H917" s="1" t="str">
        <f t="shared" si="56"/>
        <v>0 г. 0 мес. 0 дн.</v>
      </c>
      <c r="I917" s="1" t="s">
        <v>39</v>
      </c>
      <c r="V917" s="1" t="str">
        <f t="shared" si="54"/>
        <v>0 г. 0 мес. 0 дн.</v>
      </c>
      <c r="W917" s="5"/>
    </row>
    <row r="918" spans="1:23" ht="34.5" customHeight="1" x14ac:dyDescent="0.25">
      <c r="A918" s="1">
        <f t="shared" si="55"/>
        <v>917</v>
      </c>
      <c r="B918" s="1"/>
      <c r="C918" s="2"/>
      <c r="H918" s="1" t="str">
        <f t="shared" si="56"/>
        <v>0 г. 0 мес. 0 дн.</v>
      </c>
      <c r="I918" s="1" t="s">
        <v>39</v>
      </c>
      <c r="V918" s="1" t="str">
        <f t="shared" si="54"/>
        <v>0 г. 0 мес. 0 дн.</v>
      </c>
      <c r="W918" s="5"/>
    </row>
    <row r="919" spans="1:23" ht="34.5" customHeight="1" x14ac:dyDescent="0.25">
      <c r="A919" s="1">
        <f t="shared" si="55"/>
        <v>918</v>
      </c>
      <c r="B919" s="1"/>
      <c r="C919" s="2"/>
      <c r="H919" s="1" t="str">
        <f t="shared" si="56"/>
        <v>0 г. 0 мес. 0 дн.</v>
      </c>
      <c r="I919" s="1" t="s">
        <v>39</v>
      </c>
      <c r="V919" s="1" t="str">
        <f t="shared" si="54"/>
        <v>0 г. 0 мес. 0 дн.</v>
      </c>
      <c r="W919" s="5"/>
    </row>
    <row r="920" spans="1:23" ht="34.5" customHeight="1" x14ac:dyDescent="0.25">
      <c r="A920" s="1">
        <f t="shared" si="55"/>
        <v>919</v>
      </c>
      <c r="B920" s="1"/>
      <c r="C920" s="2"/>
      <c r="H920" s="1" t="str">
        <f t="shared" si="56"/>
        <v>0 г. 0 мес. 0 дн.</v>
      </c>
      <c r="I920" s="1" t="s">
        <v>39</v>
      </c>
      <c r="V920" s="1" t="str">
        <f t="shared" si="54"/>
        <v>0 г. 0 мес. 0 дн.</v>
      </c>
      <c r="W920" s="5"/>
    </row>
    <row r="921" spans="1:23" ht="34.5" customHeight="1" x14ac:dyDescent="0.25">
      <c r="A921" s="1">
        <f t="shared" si="55"/>
        <v>920</v>
      </c>
      <c r="B921" s="1"/>
      <c r="C921" s="2"/>
      <c r="H921" s="1" t="str">
        <f t="shared" si="56"/>
        <v>0 г. 0 мес. 0 дн.</v>
      </c>
      <c r="I921" s="1" t="s">
        <v>39</v>
      </c>
      <c r="V921" s="1" t="str">
        <f t="shared" si="54"/>
        <v>0 г. 0 мес. 0 дн.</v>
      </c>
      <c r="W921" s="5"/>
    </row>
    <row r="922" spans="1:23" ht="34.5" customHeight="1" x14ac:dyDescent="0.25">
      <c r="A922" s="1">
        <f t="shared" si="55"/>
        <v>921</v>
      </c>
      <c r="B922" s="1"/>
      <c r="C922" s="2"/>
      <c r="H922" s="1" t="str">
        <f t="shared" si="56"/>
        <v>0 г. 0 мес. 0 дн.</v>
      </c>
      <c r="I922" s="1" t="s">
        <v>39</v>
      </c>
      <c r="V922" s="1" t="str">
        <f t="shared" si="54"/>
        <v>0 г. 0 мес. 0 дн.</v>
      </c>
      <c r="W922" s="5"/>
    </row>
    <row r="923" spans="1:23" ht="34.5" customHeight="1" x14ac:dyDescent="0.25">
      <c r="A923" s="1">
        <f t="shared" si="55"/>
        <v>922</v>
      </c>
      <c r="B923" s="1"/>
      <c r="C923" s="2"/>
      <c r="H923" s="1" t="str">
        <f t="shared" si="56"/>
        <v>0 г. 0 мес. 0 дн.</v>
      </c>
      <c r="I923" s="1" t="s">
        <v>39</v>
      </c>
      <c r="V923" s="1" t="str">
        <f t="shared" si="54"/>
        <v>0 г. 0 мес. 0 дн.</v>
      </c>
      <c r="W923" s="5"/>
    </row>
    <row r="924" spans="1:23" ht="34.5" customHeight="1" x14ac:dyDescent="0.25">
      <c r="A924" s="1">
        <f t="shared" si="55"/>
        <v>923</v>
      </c>
      <c r="B924" s="1"/>
      <c r="C924" s="2"/>
      <c r="H924" s="1" t="str">
        <f t="shared" si="56"/>
        <v>0 г. 0 мес. 0 дн.</v>
      </c>
      <c r="I924" s="1" t="s">
        <v>39</v>
      </c>
      <c r="V924" s="1" t="str">
        <f t="shared" si="54"/>
        <v>0 г. 0 мес. 0 дн.</v>
      </c>
      <c r="W924" s="5"/>
    </row>
    <row r="925" spans="1:23" ht="34.5" customHeight="1" x14ac:dyDescent="0.25">
      <c r="A925" s="1">
        <f t="shared" si="55"/>
        <v>924</v>
      </c>
      <c r="B925" s="1"/>
      <c r="C925" s="2"/>
      <c r="H925" s="1" t="str">
        <f t="shared" si="56"/>
        <v>0 г. 0 мес. 0 дн.</v>
      </c>
      <c r="I925" s="1" t="s">
        <v>39</v>
      </c>
      <c r="V925" s="1" t="str">
        <f t="shared" si="54"/>
        <v>0 г. 0 мес. 0 дн.</v>
      </c>
      <c r="W925" s="5"/>
    </row>
    <row r="926" spans="1:23" ht="34.5" customHeight="1" x14ac:dyDescent="0.25">
      <c r="A926" s="1">
        <f t="shared" si="55"/>
        <v>925</v>
      </c>
      <c r="B926" s="1"/>
      <c r="C926" s="2"/>
      <c r="H926" s="1" t="str">
        <f t="shared" si="56"/>
        <v>0 г. 0 мес. 0 дн.</v>
      </c>
      <c r="I926" s="1" t="s">
        <v>39</v>
      </c>
      <c r="V926" s="1" t="str">
        <f t="shared" si="54"/>
        <v>0 г. 0 мес. 0 дн.</v>
      </c>
      <c r="W926" s="5"/>
    </row>
    <row r="927" spans="1:23" ht="34.5" customHeight="1" x14ac:dyDescent="0.25">
      <c r="A927" s="1">
        <f t="shared" si="55"/>
        <v>926</v>
      </c>
      <c r="B927" s="1"/>
      <c r="C927" s="2"/>
      <c r="H927" s="1" t="str">
        <f t="shared" si="56"/>
        <v>0 г. 0 мес. 0 дн.</v>
      </c>
      <c r="I927" s="1" t="s">
        <v>39</v>
      </c>
      <c r="V927" s="1" t="str">
        <f t="shared" si="54"/>
        <v>0 г. 0 мес. 0 дн.</v>
      </c>
      <c r="W927" s="5"/>
    </row>
    <row r="928" spans="1:23" ht="34.5" customHeight="1" x14ac:dyDescent="0.25">
      <c r="A928" s="1">
        <f t="shared" si="55"/>
        <v>927</v>
      </c>
      <c r="B928" s="1"/>
      <c r="C928" s="2"/>
      <c r="H928" s="1" t="str">
        <f t="shared" si="56"/>
        <v>0 г. 0 мес. 0 дн.</v>
      </c>
      <c r="I928" s="1" t="s">
        <v>39</v>
      </c>
      <c r="V928" s="1" t="str">
        <f t="shared" si="54"/>
        <v>0 г. 0 мес. 0 дн.</v>
      </c>
      <c r="W928" s="5"/>
    </row>
    <row r="929" spans="1:23" ht="34.5" customHeight="1" x14ac:dyDescent="0.25">
      <c r="A929" s="1">
        <f t="shared" si="55"/>
        <v>928</v>
      </c>
      <c r="B929" s="1"/>
      <c r="C929" s="2"/>
      <c r="H929" s="1" t="str">
        <f t="shared" si="56"/>
        <v>0 г. 0 мес. 0 дн.</v>
      </c>
      <c r="I929" s="1" t="s">
        <v>39</v>
      </c>
      <c r="V929" s="1" t="str">
        <f t="shared" si="54"/>
        <v>0 г. 0 мес. 0 дн.</v>
      </c>
      <c r="W929" s="5"/>
    </row>
    <row r="930" spans="1:23" ht="34.5" customHeight="1" x14ac:dyDescent="0.25">
      <c r="A930" s="1">
        <f t="shared" si="55"/>
        <v>929</v>
      </c>
      <c r="B930" s="1"/>
      <c r="C930" s="2"/>
      <c r="H930" s="1" t="str">
        <f t="shared" si="56"/>
        <v>0 г. 0 мес. 0 дн.</v>
      </c>
      <c r="I930" s="1" t="s">
        <v>39</v>
      </c>
      <c r="V930" s="1" t="str">
        <f t="shared" si="54"/>
        <v>0 г. 0 мес. 0 дн.</v>
      </c>
      <c r="W930" s="5"/>
    </row>
    <row r="931" spans="1:23" ht="34.5" customHeight="1" x14ac:dyDescent="0.25">
      <c r="A931" s="1">
        <f t="shared" si="55"/>
        <v>930</v>
      </c>
      <c r="B931" s="1"/>
      <c r="C931" s="2"/>
      <c r="H931" s="1" t="str">
        <f t="shared" si="56"/>
        <v>0 г. 0 мес. 0 дн.</v>
      </c>
      <c r="I931" s="1" t="s">
        <v>39</v>
      </c>
      <c r="V931" s="1" t="str">
        <f t="shared" si="54"/>
        <v>0 г. 0 мес. 0 дн.</v>
      </c>
      <c r="W931" s="5"/>
    </row>
    <row r="932" spans="1:23" ht="34.5" customHeight="1" x14ac:dyDescent="0.25">
      <c r="A932" s="1">
        <f t="shared" si="55"/>
        <v>931</v>
      </c>
      <c r="B932" s="1"/>
      <c r="C932" s="2"/>
      <c r="H932" s="1" t="str">
        <f t="shared" si="56"/>
        <v>0 г. 0 мес. 0 дн.</v>
      </c>
      <c r="I932" s="1" t="s">
        <v>39</v>
      </c>
      <c r="V932" s="1" t="str">
        <f t="shared" si="54"/>
        <v>0 г. 0 мес. 0 дн.</v>
      </c>
      <c r="W932" s="5"/>
    </row>
    <row r="933" spans="1:23" ht="34.5" customHeight="1" x14ac:dyDescent="0.25">
      <c r="A933" s="1">
        <f t="shared" si="55"/>
        <v>932</v>
      </c>
      <c r="B933" s="1"/>
      <c r="C933" s="2"/>
      <c r="H933" s="1" t="str">
        <f t="shared" si="56"/>
        <v>0 г. 0 мес. 0 дн.</v>
      </c>
      <c r="I933" s="1" t="s">
        <v>39</v>
      </c>
      <c r="V933" s="1" t="str">
        <f t="shared" si="54"/>
        <v>0 г. 0 мес. 0 дн.</v>
      </c>
      <c r="W933" s="5"/>
    </row>
    <row r="934" spans="1:23" ht="34.5" customHeight="1" x14ac:dyDescent="0.25">
      <c r="A934" s="1">
        <f t="shared" si="55"/>
        <v>933</v>
      </c>
      <c r="B934" s="1"/>
      <c r="C934" s="2"/>
      <c r="H934" s="1" t="str">
        <f t="shared" si="56"/>
        <v>0 г. 0 мес. 0 дн.</v>
      </c>
      <c r="I934" s="1" t="s">
        <v>39</v>
      </c>
      <c r="V934" s="1" t="str">
        <f t="shared" si="54"/>
        <v>0 г. 0 мес. 0 дн.</v>
      </c>
      <c r="W934" s="5"/>
    </row>
    <row r="935" spans="1:23" ht="34.5" customHeight="1" x14ac:dyDescent="0.25">
      <c r="A935" s="1">
        <f t="shared" si="55"/>
        <v>934</v>
      </c>
      <c r="B935" s="1"/>
      <c r="C935" s="2"/>
      <c r="H935" s="1" t="str">
        <f t="shared" si="56"/>
        <v>0 г. 0 мес. 0 дн.</v>
      </c>
      <c r="I935" s="1" t="s">
        <v>39</v>
      </c>
      <c r="V935" s="1" t="str">
        <f t="shared" si="54"/>
        <v>0 г. 0 мес. 0 дн.</v>
      </c>
      <c r="W935" s="5"/>
    </row>
    <row r="936" spans="1:23" ht="34.5" customHeight="1" x14ac:dyDescent="0.25">
      <c r="A936" s="1">
        <f t="shared" si="55"/>
        <v>935</v>
      </c>
      <c r="B936" s="1"/>
      <c r="C936" s="2"/>
      <c r="H936" s="1" t="str">
        <f t="shared" si="56"/>
        <v>0 г. 0 мес. 0 дн.</v>
      </c>
      <c r="I936" s="1" t="s">
        <v>39</v>
      </c>
      <c r="V936" s="1" t="str">
        <f t="shared" si="54"/>
        <v>0 г. 0 мес. 0 дн.</v>
      </c>
      <c r="W936" s="5"/>
    </row>
    <row r="937" spans="1:23" ht="34.5" customHeight="1" x14ac:dyDescent="0.25">
      <c r="A937" s="1">
        <f t="shared" si="55"/>
        <v>936</v>
      </c>
      <c r="B937" s="1"/>
      <c r="C937" s="2"/>
      <c r="H937" s="1" t="str">
        <f t="shared" si="56"/>
        <v>0 г. 0 мес. 0 дн.</v>
      </c>
      <c r="I937" s="1" t="s">
        <v>39</v>
      </c>
      <c r="V937" s="1" t="str">
        <f t="shared" si="54"/>
        <v>0 г. 0 мес. 0 дн.</v>
      </c>
      <c r="W937" s="5"/>
    </row>
    <row r="938" spans="1:23" ht="34.5" customHeight="1" x14ac:dyDescent="0.25">
      <c r="A938" s="1">
        <f t="shared" si="55"/>
        <v>937</v>
      </c>
      <c r="B938" s="1"/>
      <c r="C938" s="2"/>
      <c r="H938" s="1" t="str">
        <f t="shared" si="56"/>
        <v>0 г. 0 мес. 0 дн.</v>
      </c>
      <c r="I938" s="1" t="s">
        <v>39</v>
      </c>
      <c r="V938" s="1" t="str">
        <f t="shared" si="54"/>
        <v>0 г. 0 мес. 0 дн.</v>
      </c>
      <c r="W938" s="5"/>
    </row>
    <row r="939" spans="1:23" ht="34.5" customHeight="1" x14ac:dyDescent="0.25">
      <c r="A939" s="1">
        <f t="shared" si="55"/>
        <v>938</v>
      </c>
      <c r="B939" s="1"/>
      <c r="C939" s="2"/>
      <c r="H939" s="1" t="str">
        <f t="shared" si="56"/>
        <v>0 г. 0 мес. 0 дн.</v>
      </c>
      <c r="I939" s="1" t="s">
        <v>39</v>
      </c>
      <c r="V939" s="1" t="str">
        <f t="shared" si="54"/>
        <v>0 г. 0 мес. 0 дн.</v>
      </c>
      <c r="W939" s="5"/>
    </row>
    <row r="940" spans="1:23" ht="34.5" customHeight="1" x14ac:dyDescent="0.25">
      <c r="A940" s="1">
        <f t="shared" si="55"/>
        <v>939</v>
      </c>
      <c r="B940" s="1"/>
      <c r="C940" s="2"/>
      <c r="H940" s="1" t="str">
        <f t="shared" si="56"/>
        <v>0 г. 0 мес. 0 дн.</v>
      </c>
      <c r="I940" s="1" t="s">
        <v>39</v>
      </c>
      <c r="V940" s="1" t="str">
        <f t="shared" si="54"/>
        <v>0 г. 0 мес. 0 дн.</v>
      </c>
      <c r="W940" s="5"/>
    </row>
    <row r="941" spans="1:23" ht="34.5" customHeight="1" x14ac:dyDescent="0.25">
      <c r="A941" s="1">
        <f t="shared" si="55"/>
        <v>940</v>
      </c>
      <c r="B941" s="1"/>
      <c r="C941" s="2"/>
      <c r="H941" s="1" t="str">
        <f t="shared" si="56"/>
        <v>0 г. 0 мес. 0 дн.</v>
      </c>
      <c r="I941" s="1" t="s">
        <v>39</v>
      </c>
      <c r="V941" s="1" t="str">
        <f t="shared" si="54"/>
        <v>0 г. 0 мес. 0 дн.</v>
      </c>
      <c r="W941" s="5"/>
    </row>
    <row r="942" spans="1:23" ht="34.5" customHeight="1" x14ac:dyDescent="0.25">
      <c r="A942" s="1">
        <f t="shared" si="55"/>
        <v>941</v>
      </c>
      <c r="B942" s="1"/>
      <c r="C942" s="2"/>
      <c r="H942" s="1" t="str">
        <f t="shared" si="56"/>
        <v>0 г. 0 мес. 0 дн.</v>
      </c>
      <c r="I942" s="1" t="s">
        <v>39</v>
      </c>
      <c r="V942" s="1" t="str">
        <f t="shared" si="54"/>
        <v>0 г. 0 мес. 0 дн.</v>
      </c>
      <c r="W942" s="5"/>
    </row>
    <row r="943" spans="1:23" ht="34.5" customHeight="1" x14ac:dyDescent="0.25">
      <c r="A943" s="1">
        <f t="shared" si="55"/>
        <v>942</v>
      </c>
      <c r="B943" s="1"/>
      <c r="C943" s="2"/>
      <c r="H943" s="1" t="str">
        <f t="shared" si="56"/>
        <v>0 г. 0 мес. 0 дн.</v>
      </c>
      <c r="I943" s="1" t="s">
        <v>39</v>
      </c>
      <c r="V943" s="1" t="str">
        <f t="shared" si="54"/>
        <v>0 г. 0 мес. 0 дн.</v>
      </c>
      <c r="W943" s="5"/>
    </row>
    <row r="944" spans="1:23" ht="34.5" customHeight="1" x14ac:dyDescent="0.25">
      <c r="A944" s="1">
        <f t="shared" si="55"/>
        <v>943</v>
      </c>
      <c r="B944" s="1"/>
      <c r="C944" s="2"/>
      <c r="H944" s="1" t="str">
        <f t="shared" si="56"/>
        <v>0 г. 0 мес. 0 дн.</v>
      </c>
      <c r="I944" s="1" t="s">
        <v>39</v>
      </c>
      <c r="V944" s="1" t="str">
        <f t="shared" si="54"/>
        <v>0 г. 0 мес. 0 дн.</v>
      </c>
      <c r="W944" s="5"/>
    </row>
    <row r="945" spans="1:23" ht="34.5" customHeight="1" x14ac:dyDescent="0.25">
      <c r="A945" s="1">
        <f t="shared" si="55"/>
        <v>944</v>
      </c>
      <c r="B945" s="1"/>
      <c r="C945" s="2"/>
      <c r="H945" s="1" t="str">
        <f t="shared" si="56"/>
        <v>0 г. 0 мес. 0 дн.</v>
      </c>
      <c r="I945" s="1" t="s">
        <v>39</v>
      </c>
      <c r="V945" s="1" t="str">
        <f t="shared" ref="V945:V1008" si="57">DATEDIF(D945,T945,"y") &amp; " г. " &amp; DATEDIF(D945,T945,"ym") &amp; " мес. " &amp; DATEDIF(D945,T945,"md") &amp; " дн."</f>
        <v>0 г. 0 мес. 0 дн.</v>
      </c>
      <c r="W945" s="5"/>
    </row>
    <row r="946" spans="1:23" ht="34.5" customHeight="1" x14ac:dyDescent="0.25">
      <c r="A946" s="1">
        <f t="shared" si="55"/>
        <v>945</v>
      </c>
      <c r="B946" s="1"/>
      <c r="C946" s="2"/>
      <c r="H946" s="1" t="str">
        <f t="shared" si="56"/>
        <v>0 г. 0 мес. 0 дн.</v>
      </c>
      <c r="I946" s="1" t="s">
        <v>39</v>
      </c>
      <c r="V946" s="1" t="str">
        <f t="shared" si="57"/>
        <v>0 г. 0 мес. 0 дн.</v>
      </c>
      <c r="W946" s="5"/>
    </row>
    <row r="947" spans="1:23" ht="34.5" customHeight="1" x14ac:dyDescent="0.25">
      <c r="A947" s="1">
        <f t="shared" si="55"/>
        <v>946</v>
      </c>
      <c r="B947" s="1"/>
      <c r="C947" s="2"/>
      <c r="H947" s="1" t="str">
        <f t="shared" si="56"/>
        <v>0 г. 0 мес. 0 дн.</v>
      </c>
      <c r="I947" s="1" t="s">
        <v>39</v>
      </c>
      <c r="V947" s="1" t="str">
        <f t="shared" si="57"/>
        <v>0 г. 0 мес. 0 дн.</v>
      </c>
      <c r="W947" s="5"/>
    </row>
    <row r="948" spans="1:23" ht="34.5" customHeight="1" x14ac:dyDescent="0.25">
      <c r="A948" s="1">
        <f t="shared" si="55"/>
        <v>947</v>
      </c>
      <c r="B948" s="1"/>
      <c r="C948" s="2"/>
      <c r="H948" s="1" t="str">
        <f t="shared" si="56"/>
        <v>0 г. 0 мес. 0 дн.</v>
      </c>
      <c r="I948" s="1" t="s">
        <v>39</v>
      </c>
      <c r="V948" s="1" t="str">
        <f t="shared" si="57"/>
        <v>0 г. 0 мес. 0 дн.</v>
      </c>
      <c r="W948" s="5"/>
    </row>
    <row r="949" spans="1:23" ht="34.5" customHeight="1" x14ac:dyDescent="0.25">
      <c r="A949" s="1">
        <f t="shared" si="55"/>
        <v>948</v>
      </c>
      <c r="B949" s="1"/>
      <c r="C949" s="2"/>
      <c r="H949" s="1" t="str">
        <f t="shared" si="56"/>
        <v>0 г. 0 мес. 0 дн.</v>
      </c>
      <c r="I949" s="1" t="s">
        <v>39</v>
      </c>
      <c r="V949" s="1" t="str">
        <f t="shared" si="57"/>
        <v>0 г. 0 мес. 0 дн.</v>
      </c>
      <c r="W949" s="5"/>
    </row>
    <row r="950" spans="1:23" ht="34.5" customHeight="1" x14ac:dyDescent="0.25">
      <c r="A950" s="1">
        <f t="shared" si="55"/>
        <v>949</v>
      </c>
      <c r="B950" s="1"/>
      <c r="C950" s="2"/>
      <c r="H950" s="1" t="str">
        <f t="shared" si="56"/>
        <v>0 г. 0 мес. 0 дн.</v>
      </c>
      <c r="I950" s="1" t="s">
        <v>39</v>
      </c>
      <c r="V950" s="1" t="str">
        <f t="shared" si="57"/>
        <v>0 г. 0 мес. 0 дн.</v>
      </c>
      <c r="W950" s="5"/>
    </row>
    <row r="951" spans="1:23" ht="34.5" customHeight="1" x14ac:dyDescent="0.25">
      <c r="A951" s="1">
        <f t="shared" si="55"/>
        <v>950</v>
      </c>
      <c r="B951" s="1"/>
      <c r="C951" s="2"/>
      <c r="H951" s="1" t="str">
        <f t="shared" si="56"/>
        <v>0 г. 0 мес. 0 дн.</v>
      </c>
      <c r="I951" s="1" t="s">
        <v>39</v>
      </c>
      <c r="V951" s="1" t="str">
        <f t="shared" si="57"/>
        <v>0 г. 0 мес. 0 дн.</v>
      </c>
      <c r="W951" s="5"/>
    </row>
    <row r="952" spans="1:23" ht="34.5" customHeight="1" x14ac:dyDescent="0.25">
      <c r="A952" s="1">
        <f t="shared" si="55"/>
        <v>951</v>
      </c>
      <c r="B952" s="1"/>
      <c r="C952" s="2"/>
      <c r="H952" s="1" t="str">
        <f t="shared" si="56"/>
        <v>0 г. 0 мес. 0 дн.</v>
      </c>
      <c r="I952" s="1" t="s">
        <v>39</v>
      </c>
      <c r="V952" s="1" t="str">
        <f t="shared" si="57"/>
        <v>0 г. 0 мес. 0 дн.</v>
      </c>
      <c r="W952" s="5"/>
    </row>
    <row r="953" spans="1:23" ht="34.5" customHeight="1" x14ac:dyDescent="0.25">
      <c r="A953" s="1">
        <f t="shared" si="55"/>
        <v>952</v>
      </c>
      <c r="B953" s="1"/>
      <c r="C953" s="2"/>
      <c r="H953" s="1" t="str">
        <f t="shared" si="56"/>
        <v>0 г. 0 мес. 0 дн.</v>
      </c>
      <c r="I953" s="1" t="s">
        <v>39</v>
      </c>
      <c r="V953" s="1" t="str">
        <f t="shared" si="57"/>
        <v>0 г. 0 мес. 0 дн.</v>
      </c>
      <c r="W953" s="5"/>
    </row>
    <row r="954" spans="1:23" ht="34.5" customHeight="1" x14ac:dyDescent="0.25">
      <c r="A954" s="1">
        <f t="shared" si="55"/>
        <v>953</v>
      </c>
      <c r="B954" s="1"/>
      <c r="C954" s="2"/>
      <c r="H954" s="1" t="str">
        <f t="shared" si="56"/>
        <v>0 г. 0 мес. 0 дн.</v>
      </c>
      <c r="I954" s="1" t="s">
        <v>39</v>
      </c>
      <c r="V954" s="1" t="str">
        <f t="shared" si="57"/>
        <v>0 г. 0 мес. 0 дн.</v>
      </c>
      <c r="W954" s="5"/>
    </row>
    <row r="955" spans="1:23" ht="34.5" customHeight="1" x14ac:dyDescent="0.25">
      <c r="A955" s="1">
        <f t="shared" si="55"/>
        <v>954</v>
      </c>
      <c r="B955" s="1"/>
      <c r="C955" s="2"/>
      <c r="H955" s="1" t="str">
        <f t="shared" si="56"/>
        <v>0 г. 0 мес. 0 дн.</v>
      </c>
      <c r="I955" s="1" t="s">
        <v>39</v>
      </c>
      <c r="V955" s="1" t="str">
        <f t="shared" si="57"/>
        <v>0 г. 0 мес. 0 дн.</v>
      </c>
      <c r="W955" s="5"/>
    </row>
    <row r="956" spans="1:23" ht="34.5" customHeight="1" x14ac:dyDescent="0.25">
      <c r="A956" s="1">
        <f t="shared" si="55"/>
        <v>955</v>
      </c>
      <c r="B956" s="1"/>
      <c r="C956" s="2"/>
      <c r="H956" s="1" t="str">
        <f t="shared" si="56"/>
        <v>0 г. 0 мес. 0 дн.</v>
      </c>
      <c r="I956" s="1" t="s">
        <v>39</v>
      </c>
      <c r="V956" s="1" t="str">
        <f t="shared" si="57"/>
        <v>0 г. 0 мес. 0 дн.</v>
      </c>
      <c r="W956" s="5"/>
    </row>
    <row r="957" spans="1:23" ht="34.5" customHeight="1" x14ac:dyDescent="0.25">
      <c r="A957" s="1">
        <f t="shared" si="55"/>
        <v>956</v>
      </c>
      <c r="B957" s="1"/>
      <c r="C957" s="2"/>
      <c r="H957" s="1" t="str">
        <f t="shared" si="56"/>
        <v>0 г. 0 мес. 0 дн.</v>
      </c>
      <c r="I957" s="1" t="s">
        <v>39</v>
      </c>
      <c r="V957" s="1" t="str">
        <f t="shared" si="57"/>
        <v>0 г. 0 мес. 0 дн.</v>
      </c>
      <c r="W957" s="5"/>
    </row>
    <row r="958" spans="1:23" ht="34.5" customHeight="1" x14ac:dyDescent="0.25">
      <c r="A958" s="1">
        <f t="shared" si="55"/>
        <v>957</v>
      </c>
      <c r="B958" s="1"/>
      <c r="C958" s="2"/>
      <c r="H958" s="1" t="str">
        <f t="shared" si="56"/>
        <v>0 г. 0 мес. 0 дн.</v>
      </c>
      <c r="I958" s="1" t="s">
        <v>39</v>
      </c>
      <c r="V958" s="1" t="str">
        <f t="shared" si="57"/>
        <v>0 г. 0 мес. 0 дн.</v>
      </c>
      <c r="W958" s="5"/>
    </row>
    <row r="959" spans="1:23" ht="34.5" customHeight="1" x14ac:dyDescent="0.25">
      <c r="A959" s="1">
        <f t="shared" si="55"/>
        <v>958</v>
      </c>
      <c r="B959" s="1"/>
      <c r="C959" s="2"/>
      <c r="H959" s="1" t="str">
        <f t="shared" si="56"/>
        <v>0 г. 0 мес. 0 дн.</v>
      </c>
      <c r="I959" s="1" t="s">
        <v>39</v>
      </c>
      <c r="V959" s="1" t="str">
        <f t="shared" si="57"/>
        <v>0 г. 0 мес. 0 дн.</v>
      </c>
      <c r="W959" s="5"/>
    </row>
    <row r="960" spans="1:23" ht="34.5" customHeight="1" x14ac:dyDescent="0.25">
      <c r="A960" s="1">
        <f t="shared" ref="A960:A1023" si="58">ROW(A959)</f>
        <v>959</v>
      </c>
      <c r="B960" s="1"/>
      <c r="C960" s="2"/>
      <c r="H960" s="1" t="str">
        <f t="shared" si="56"/>
        <v>0 г. 0 мес. 0 дн.</v>
      </c>
      <c r="I960" s="1" t="s">
        <v>39</v>
      </c>
      <c r="V960" s="1" t="str">
        <f t="shared" si="57"/>
        <v>0 г. 0 мес. 0 дн.</v>
      </c>
      <c r="W960" s="5"/>
    </row>
    <row r="961" spans="1:23" ht="34.5" customHeight="1" x14ac:dyDescent="0.25">
      <c r="A961" s="1">
        <f t="shared" si="58"/>
        <v>960</v>
      </c>
      <c r="B961" s="1"/>
      <c r="C961" s="2"/>
      <c r="H961" s="1" t="str">
        <f t="shared" si="56"/>
        <v>0 г. 0 мес. 0 дн.</v>
      </c>
      <c r="I961" s="1" t="s">
        <v>39</v>
      </c>
      <c r="V961" s="1" t="str">
        <f t="shared" si="57"/>
        <v>0 г. 0 мес. 0 дн.</v>
      </c>
      <c r="W961" s="5"/>
    </row>
    <row r="962" spans="1:23" ht="34.5" customHeight="1" x14ac:dyDescent="0.25">
      <c r="A962" s="1">
        <f t="shared" si="58"/>
        <v>961</v>
      </c>
      <c r="B962" s="1"/>
      <c r="C962" s="2"/>
      <c r="H962" s="1" t="str">
        <f t="shared" ref="H962:H1025" si="59">DATEDIF(G962,D962,"y") &amp; " г. " &amp; DATEDIF(G962,D962,"ym") &amp; " мес. " &amp; DATEDIF(G962,D962,"md") &amp; " дн."</f>
        <v>0 г. 0 мес. 0 дн.</v>
      </c>
      <c r="I962" s="1" t="s">
        <v>39</v>
      </c>
      <c r="V962" s="1" t="str">
        <f t="shared" si="57"/>
        <v>0 г. 0 мес. 0 дн.</v>
      </c>
      <c r="W962" s="5"/>
    </row>
    <row r="963" spans="1:23" ht="34.5" customHeight="1" x14ac:dyDescent="0.25">
      <c r="A963" s="1">
        <f t="shared" si="58"/>
        <v>962</v>
      </c>
      <c r="B963" s="1"/>
      <c r="C963" s="2"/>
      <c r="H963" s="1" t="str">
        <f t="shared" si="59"/>
        <v>0 г. 0 мес. 0 дн.</v>
      </c>
      <c r="I963" s="1" t="s">
        <v>39</v>
      </c>
      <c r="V963" s="1" t="str">
        <f t="shared" si="57"/>
        <v>0 г. 0 мес. 0 дн.</v>
      </c>
      <c r="W963" s="5"/>
    </row>
    <row r="964" spans="1:23" ht="34.5" customHeight="1" x14ac:dyDescent="0.25">
      <c r="A964" s="1">
        <f t="shared" si="58"/>
        <v>963</v>
      </c>
      <c r="B964" s="1"/>
      <c r="C964" s="2"/>
      <c r="H964" s="1" t="str">
        <f t="shared" si="59"/>
        <v>0 г. 0 мес. 0 дн.</v>
      </c>
      <c r="I964" s="1" t="s">
        <v>39</v>
      </c>
      <c r="V964" s="1" t="str">
        <f t="shared" si="57"/>
        <v>0 г. 0 мес. 0 дн.</v>
      </c>
      <c r="W964" s="5"/>
    </row>
    <row r="965" spans="1:23" ht="34.5" customHeight="1" x14ac:dyDescent="0.25">
      <c r="A965" s="1">
        <f t="shared" si="58"/>
        <v>964</v>
      </c>
      <c r="B965" s="1"/>
      <c r="C965" s="2"/>
      <c r="H965" s="1" t="str">
        <f t="shared" si="59"/>
        <v>0 г. 0 мес. 0 дн.</v>
      </c>
      <c r="I965" s="1" t="s">
        <v>39</v>
      </c>
      <c r="V965" s="1" t="str">
        <f t="shared" si="57"/>
        <v>0 г. 0 мес. 0 дн.</v>
      </c>
      <c r="W965" s="5"/>
    </row>
    <row r="966" spans="1:23" ht="34.5" customHeight="1" x14ac:dyDescent="0.25">
      <c r="A966" s="1">
        <f t="shared" si="58"/>
        <v>965</v>
      </c>
      <c r="B966" s="1"/>
      <c r="C966" s="2"/>
      <c r="H966" s="1" t="str">
        <f t="shared" si="59"/>
        <v>0 г. 0 мес. 0 дн.</v>
      </c>
      <c r="I966" s="1" t="s">
        <v>39</v>
      </c>
      <c r="V966" s="1" t="str">
        <f t="shared" si="57"/>
        <v>0 г. 0 мес. 0 дн.</v>
      </c>
      <c r="W966" s="5"/>
    </row>
    <row r="967" spans="1:23" ht="34.5" customHeight="1" x14ac:dyDescent="0.25">
      <c r="A967" s="1">
        <f t="shared" si="58"/>
        <v>966</v>
      </c>
      <c r="B967" s="1"/>
      <c r="C967" s="2"/>
      <c r="H967" s="1" t="str">
        <f t="shared" si="59"/>
        <v>0 г. 0 мес. 0 дн.</v>
      </c>
      <c r="I967" s="1" t="s">
        <v>39</v>
      </c>
      <c r="V967" s="1" t="str">
        <f t="shared" si="57"/>
        <v>0 г. 0 мес. 0 дн.</v>
      </c>
      <c r="W967" s="5"/>
    </row>
    <row r="968" spans="1:23" ht="34.5" customHeight="1" x14ac:dyDescent="0.25">
      <c r="A968" s="1">
        <f t="shared" si="58"/>
        <v>967</v>
      </c>
      <c r="B968" s="1"/>
      <c r="C968" s="2"/>
      <c r="H968" s="1" t="str">
        <f t="shared" si="59"/>
        <v>0 г. 0 мес. 0 дн.</v>
      </c>
      <c r="I968" s="1" t="s">
        <v>39</v>
      </c>
      <c r="V968" s="1" t="str">
        <f t="shared" si="57"/>
        <v>0 г. 0 мес. 0 дн.</v>
      </c>
      <c r="W968" s="5"/>
    </row>
    <row r="969" spans="1:23" ht="34.5" customHeight="1" x14ac:dyDescent="0.25">
      <c r="A969" s="1">
        <f t="shared" si="58"/>
        <v>968</v>
      </c>
      <c r="B969" s="1"/>
      <c r="C969" s="2"/>
      <c r="H969" s="1" t="str">
        <f t="shared" si="59"/>
        <v>0 г. 0 мес. 0 дн.</v>
      </c>
      <c r="I969" s="1" t="s">
        <v>39</v>
      </c>
      <c r="V969" s="1" t="str">
        <f t="shared" si="57"/>
        <v>0 г. 0 мес. 0 дн.</v>
      </c>
      <c r="W969" s="5"/>
    </row>
    <row r="970" spans="1:23" ht="34.5" customHeight="1" x14ac:dyDescent="0.25">
      <c r="A970" s="1">
        <f t="shared" si="58"/>
        <v>969</v>
      </c>
      <c r="B970" s="1"/>
      <c r="C970" s="2"/>
      <c r="H970" s="1" t="str">
        <f t="shared" si="59"/>
        <v>0 г. 0 мес. 0 дн.</v>
      </c>
      <c r="I970" s="1" t="s">
        <v>39</v>
      </c>
      <c r="V970" s="1" t="str">
        <f t="shared" si="57"/>
        <v>0 г. 0 мес. 0 дн.</v>
      </c>
      <c r="W970" s="5"/>
    </row>
    <row r="971" spans="1:23" ht="34.5" customHeight="1" x14ac:dyDescent="0.25">
      <c r="A971" s="1">
        <f t="shared" si="58"/>
        <v>970</v>
      </c>
      <c r="B971" s="1"/>
      <c r="C971" s="2"/>
      <c r="H971" s="1" t="str">
        <f t="shared" si="59"/>
        <v>0 г. 0 мес. 0 дн.</v>
      </c>
      <c r="I971" s="1" t="s">
        <v>39</v>
      </c>
      <c r="V971" s="1" t="str">
        <f t="shared" si="57"/>
        <v>0 г. 0 мес. 0 дн.</v>
      </c>
      <c r="W971" s="5"/>
    </row>
    <row r="972" spans="1:23" ht="34.5" customHeight="1" x14ac:dyDescent="0.25">
      <c r="A972" s="1">
        <f t="shared" si="58"/>
        <v>971</v>
      </c>
      <c r="B972" s="1"/>
      <c r="C972" s="2"/>
      <c r="H972" s="1" t="str">
        <f t="shared" si="59"/>
        <v>0 г. 0 мес. 0 дн.</v>
      </c>
      <c r="I972" s="1" t="s">
        <v>39</v>
      </c>
      <c r="V972" s="1" t="str">
        <f t="shared" si="57"/>
        <v>0 г. 0 мес. 0 дн.</v>
      </c>
      <c r="W972" s="5"/>
    </row>
    <row r="973" spans="1:23" ht="34.5" customHeight="1" x14ac:dyDescent="0.25">
      <c r="A973" s="1">
        <f t="shared" si="58"/>
        <v>972</v>
      </c>
      <c r="B973" s="1"/>
      <c r="C973" s="2"/>
      <c r="H973" s="1" t="str">
        <f t="shared" si="59"/>
        <v>0 г. 0 мес. 0 дн.</v>
      </c>
      <c r="I973" s="1" t="s">
        <v>39</v>
      </c>
      <c r="V973" s="1" t="str">
        <f t="shared" si="57"/>
        <v>0 г. 0 мес. 0 дн.</v>
      </c>
      <c r="W973" s="5"/>
    </row>
    <row r="974" spans="1:23" ht="34.5" customHeight="1" x14ac:dyDescent="0.25">
      <c r="A974" s="1">
        <f t="shared" si="58"/>
        <v>973</v>
      </c>
      <c r="B974" s="1"/>
      <c r="C974" s="2"/>
      <c r="H974" s="1" t="str">
        <f t="shared" si="59"/>
        <v>0 г. 0 мес. 0 дн.</v>
      </c>
      <c r="I974" s="1" t="s">
        <v>39</v>
      </c>
      <c r="V974" s="1" t="str">
        <f t="shared" si="57"/>
        <v>0 г. 0 мес. 0 дн.</v>
      </c>
      <c r="W974" s="5"/>
    </row>
    <row r="975" spans="1:23" ht="34.5" customHeight="1" x14ac:dyDescent="0.25">
      <c r="A975" s="1">
        <f t="shared" si="58"/>
        <v>974</v>
      </c>
      <c r="B975" s="1"/>
      <c r="C975" s="2"/>
      <c r="H975" s="1" t="str">
        <f t="shared" si="59"/>
        <v>0 г. 0 мес. 0 дн.</v>
      </c>
      <c r="I975" s="1" t="s">
        <v>39</v>
      </c>
      <c r="V975" s="1" t="str">
        <f t="shared" si="57"/>
        <v>0 г. 0 мес. 0 дн.</v>
      </c>
      <c r="W975" s="5"/>
    </row>
    <row r="976" spans="1:23" ht="34.5" customHeight="1" x14ac:dyDescent="0.25">
      <c r="A976" s="1">
        <f t="shared" si="58"/>
        <v>975</v>
      </c>
      <c r="B976" s="1"/>
      <c r="C976" s="2"/>
      <c r="H976" s="1" t="str">
        <f t="shared" si="59"/>
        <v>0 г. 0 мес. 0 дн.</v>
      </c>
      <c r="I976" s="1" t="s">
        <v>39</v>
      </c>
      <c r="V976" s="1" t="str">
        <f t="shared" si="57"/>
        <v>0 г. 0 мес. 0 дн.</v>
      </c>
      <c r="W976" s="5"/>
    </row>
    <row r="977" spans="1:23" ht="34.5" customHeight="1" x14ac:dyDescent="0.25">
      <c r="A977" s="1">
        <f t="shared" si="58"/>
        <v>976</v>
      </c>
      <c r="B977" s="1"/>
      <c r="C977" s="2"/>
      <c r="H977" s="1" t="str">
        <f t="shared" si="59"/>
        <v>0 г. 0 мес. 0 дн.</v>
      </c>
      <c r="I977" s="1" t="s">
        <v>39</v>
      </c>
      <c r="V977" s="1" t="str">
        <f t="shared" si="57"/>
        <v>0 г. 0 мес. 0 дн.</v>
      </c>
      <c r="W977" s="5"/>
    </row>
    <row r="978" spans="1:23" ht="34.5" customHeight="1" x14ac:dyDescent="0.25">
      <c r="A978" s="1">
        <f t="shared" si="58"/>
        <v>977</v>
      </c>
      <c r="B978" s="1"/>
      <c r="C978" s="2"/>
      <c r="H978" s="1" t="str">
        <f t="shared" si="59"/>
        <v>0 г. 0 мес. 0 дн.</v>
      </c>
      <c r="I978" s="1" t="s">
        <v>39</v>
      </c>
      <c r="V978" s="1" t="str">
        <f t="shared" si="57"/>
        <v>0 г. 0 мес. 0 дн.</v>
      </c>
      <c r="W978" s="5"/>
    </row>
    <row r="979" spans="1:23" ht="34.5" customHeight="1" x14ac:dyDescent="0.25">
      <c r="A979" s="1">
        <f t="shared" si="58"/>
        <v>978</v>
      </c>
      <c r="B979" s="1"/>
      <c r="C979" s="2"/>
      <c r="H979" s="1" t="str">
        <f t="shared" si="59"/>
        <v>0 г. 0 мес. 0 дн.</v>
      </c>
      <c r="I979" s="1" t="s">
        <v>39</v>
      </c>
      <c r="V979" s="1" t="str">
        <f t="shared" si="57"/>
        <v>0 г. 0 мес. 0 дн.</v>
      </c>
      <c r="W979" s="5"/>
    </row>
    <row r="980" spans="1:23" ht="34.5" customHeight="1" x14ac:dyDescent="0.25">
      <c r="A980" s="1">
        <f t="shared" si="58"/>
        <v>979</v>
      </c>
      <c r="B980" s="1"/>
      <c r="C980" s="2"/>
      <c r="H980" s="1" t="str">
        <f t="shared" si="59"/>
        <v>0 г. 0 мес. 0 дн.</v>
      </c>
      <c r="I980" s="1" t="s">
        <v>39</v>
      </c>
      <c r="V980" s="1" t="str">
        <f t="shared" si="57"/>
        <v>0 г. 0 мес. 0 дн.</v>
      </c>
      <c r="W980" s="5"/>
    </row>
    <row r="981" spans="1:23" ht="34.5" customHeight="1" x14ac:dyDescent="0.25">
      <c r="A981" s="1">
        <f t="shared" si="58"/>
        <v>980</v>
      </c>
      <c r="B981" s="1"/>
      <c r="C981" s="2"/>
      <c r="H981" s="1" t="str">
        <f t="shared" si="59"/>
        <v>0 г. 0 мес. 0 дн.</v>
      </c>
      <c r="I981" s="1" t="s">
        <v>39</v>
      </c>
      <c r="V981" s="1" t="str">
        <f t="shared" si="57"/>
        <v>0 г. 0 мес. 0 дн.</v>
      </c>
      <c r="W981" s="5"/>
    </row>
    <row r="982" spans="1:23" ht="34.5" customHeight="1" x14ac:dyDescent="0.25">
      <c r="A982" s="1">
        <f t="shared" si="58"/>
        <v>981</v>
      </c>
      <c r="B982" s="1"/>
      <c r="C982" s="2"/>
      <c r="H982" s="1" t="str">
        <f t="shared" si="59"/>
        <v>0 г. 0 мес. 0 дн.</v>
      </c>
      <c r="I982" s="1" t="s">
        <v>39</v>
      </c>
      <c r="V982" s="1" t="str">
        <f t="shared" si="57"/>
        <v>0 г. 0 мес. 0 дн.</v>
      </c>
      <c r="W982" s="5"/>
    </row>
    <row r="983" spans="1:23" ht="34.5" customHeight="1" x14ac:dyDescent="0.25">
      <c r="A983" s="1">
        <f t="shared" si="58"/>
        <v>982</v>
      </c>
      <c r="B983" s="1"/>
      <c r="C983" s="2"/>
      <c r="H983" s="1" t="str">
        <f t="shared" si="59"/>
        <v>0 г. 0 мес. 0 дн.</v>
      </c>
      <c r="I983" s="1" t="s">
        <v>39</v>
      </c>
      <c r="V983" s="1" t="str">
        <f t="shared" si="57"/>
        <v>0 г. 0 мес. 0 дн.</v>
      </c>
      <c r="W983" s="5"/>
    </row>
    <row r="984" spans="1:23" ht="34.5" customHeight="1" x14ac:dyDescent="0.25">
      <c r="A984" s="1">
        <f t="shared" si="58"/>
        <v>983</v>
      </c>
      <c r="B984" s="1"/>
      <c r="C984" s="2"/>
      <c r="H984" s="1" t="str">
        <f t="shared" si="59"/>
        <v>0 г. 0 мес. 0 дн.</v>
      </c>
      <c r="I984" s="1" t="s">
        <v>39</v>
      </c>
      <c r="V984" s="1" t="str">
        <f t="shared" si="57"/>
        <v>0 г. 0 мес. 0 дн.</v>
      </c>
      <c r="W984" s="5"/>
    </row>
    <row r="985" spans="1:23" ht="34.5" customHeight="1" x14ac:dyDescent="0.25">
      <c r="A985" s="1">
        <f t="shared" si="58"/>
        <v>984</v>
      </c>
      <c r="B985" s="1"/>
      <c r="C985" s="2"/>
      <c r="H985" s="1" t="str">
        <f t="shared" si="59"/>
        <v>0 г. 0 мес. 0 дн.</v>
      </c>
      <c r="I985" s="1" t="s">
        <v>39</v>
      </c>
      <c r="V985" s="1" t="str">
        <f t="shared" si="57"/>
        <v>0 г. 0 мес. 0 дн.</v>
      </c>
      <c r="W985" s="5"/>
    </row>
    <row r="986" spans="1:23" ht="34.5" customHeight="1" x14ac:dyDescent="0.25">
      <c r="A986" s="1">
        <f t="shared" si="58"/>
        <v>985</v>
      </c>
      <c r="B986" s="1"/>
      <c r="C986" s="2"/>
      <c r="H986" s="1" t="str">
        <f t="shared" si="59"/>
        <v>0 г. 0 мес. 0 дн.</v>
      </c>
      <c r="I986" s="1" t="s">
        <v>39</v>
      </c>
      <c r="V986" s="1" t="str">
        <f t="shared" si="57"/>
        <v>0 г. 0 мес. 0 дн.</v>
      </c>
      <c r="W986" s="5"/>
    </row>
    <row r="987" spans="1:23" ht="34.5" customHeight="1" x14ac:dyDescent="0.25">
      <c r="A987" s="1">
        <f t="shared" si="58"/>
        <v>986</v>
      </c>
      <c r="B987" s="1"/>
      <c r="C987" s="2"/>
      <c r="H987" s="1" t="str">
        <f t="shared" si="59"/>
        <v>0 г. 0 мес. 0 дн.</v>
      </c>
      <c r="I987" s="1" t="s">
        <v>39</v>
      </c>
      <c r="V987" s="1" t="str">
        <f t="shared" si="57"/>
        <v>0 г. 0 мес. 0 дн.</v>
      </c>
      <c r="W987" s="5"/>
    </row>
    <row r="988" spans="1:23" ht="34.5" customHeight="1" x14ac:dyDescent="0.25">
      <c r="A988" s="1">
        <f t="shared" si="58"/>
        <v>987</v>
      </c>
      <c r="B988" s="1"/>
      <c r="C988" s="2"/>
      <c r="H988" s="1" t="str">
        <f t="shared" si="59"/>
        <v>0 г. 0 мес. 0 дн.</v>
      </c>
      <c r="I988" s="1" t="s">
        <v>39</v>
      </c>
      <c r="V988" s="1" t="str">
        <f t="shared" si="57"/>
        <v>0 г. 0 мес. 0 дн.</v>
      </c>
      <c r="W988" s="5"/>
    </row>
    <row r="989" spans="1:23" ht="34.5" customHeight="1" x14ac:dyDescent="0.25">
      <c r="A989" s="1">
        <f t="shared" si="58"/>
        <v>988</v>
      </c>
      <c r="B989" s="1"/>
      <c r="C989" s="2"/>
      <c r="H989" s="1" t="str">
        <f t="shared" si="59"/>
        <v>0 г. 0 мес. 0 дн.</v>
      </c>
      <c r="I989" s="1" t="s">
        <v>39</v>
      </c>
      <c r="V989" s="1" t="str">
        <f t="shared" si="57"/>
        <v>0 г. 0 мес. 0 дн.</v>
      </c>
      <c r="W989" s="5"/>
    </row>
    <row r="990" spans="1:23" ht="34.5" customHeight="1" x14ac:dyDescent="0.25">
      <c r="A990" s="1">
        <f t="shared" si="58"/>
        <v>989</v>
      </c>
      <c r="B990" s="1"/>
      <c r="C990" s="2"/>
      <c r="H990" s="1" t="str">
        <f t="shared" si="59"/>
        <v>0 г. 0 мес. 0 дн.</v>
      </c>
      <c r="I990" s="1" t="s">
        <v>39</v>
      </c>
      <c r="V990" s="1" t="str">
        <f t="shared" si="57"/>
        <v>0 г. 0 мес. 0 дн.</v>
      </c>
      <c r="W990" s="5"/>
    </row>
    <row r="991" spans="1:23" ht="34.5" customHeight="1" x14ac:dyDescent="0.25">
      <c r="A991" s="1">
        <f t="shared" si="58"/>
        <v>990</v>
      </c>
      <c r="B991" s="1"/>
      <c r="C991" s="2"/>
      <c r="H991" s="1" t="str">
        <f t="shared" si="59"/>
        <v>0 г. 0 мес. 0 дн.</v>
      </c>
      <c r="I991" s="1" t="s">
        <v>39</v>
      </c>
      <c r="V991" s="1" t="str">
        <f t="shared" si="57"/>
        <v>0 г. 0 мес. 0 дн.</v>
      </c>
      <c r="W991" s="5"/>
    </row>
    <row r="992" spans="1:23" ht="34.5" customHeight="1" x14ac:dyDescent="0.25">
      <c r="A992" s="1">
        <f t="shared" si="58"/>
        <v>991</v>
      </c>
      <c r="B992" s="1"/>
      <c r="C992" s="2"/>
      <c r="H992" s="1" t="str">
        <f t="shared" si="59"/>
        <v>0 г. 0 мес. 0 дн.</v>
      </c>
      <c r="I992" s="1" t="s">
        <v>39</v>
      </c>
      <c r="V992" s="1" t="str">
        <f t="shared" si="57"/>
        <v>0 г. 0 мес. 0 дн.</v>
      </c>
      <c r="W992" s="5"/>
    </row>
    <row r="993" spans="1:23" ht="34.5" customHeight="1" x14ac:dyDescent="0.25">
      <c r="A993" s="1">
        <f t="shared" si="58"/>
        <v>992</v>
      </c>
      <c r="B993" s="1"/>
      <c r="C993" s="2"/>
      <c r="H993" s="1" t="str">
        <f t="shared" si="59"/>
        <v>0 г. 0 мес. 0 дн.</v>
      </c>
      <c r="I993" s="1" t="s">
        <v>39</v>
      </c>
      <c r="V993" s="1" t="str">
        <f t="shared" si="57"/>
        <v>0 г. 0 мес. 0 дн.</v>
      </c>
      <c r="W993" s="5"/>
    </row>
    <row r="994" spans="1:23" ht="34.5" customHeight="1" x14ac:dyDescent="0.25">
      <c r="A994" s="1">
        <f t="shared" si="58"/>
        <v>993</v>
      </c>
      <c r="B994" s="1"/>
      <c r="C994" s="2"/>
      <c r="H994" s="1" t="str">
        <f t="shared" si="59"/>
        <v>0 г. 0 мес. 0 дн.</v>
      </c>
      <c r="I994" s="1" t="s">
        <v>39</v>
      </c>
      <c r="V994" s="1" t="str">
        <f t="shared" si="57"/>
        <v>0 г. 0 мес. 0 дн.</v>
      </c>
      <c r="W994" s="5"/>
    </row>
    <row r="995" spans="1:23" ht="34.5" customHeight="1" x14ac:dyDescent="0.25">
      <c r="A995" s="1">
        <f t="shared" si="58"/>
        <v>994</v>
      </c>
      <c r="B995" s="1"/>
      <c r="C995" s="2"/>
      <c r="H995" s="1" t="str">
        <f t="shared" si="59"/>
        <v>0 г. 0 мес. 0 дн.</v>
      </c>
      <c r="I995" s="1" t="s">
        <v>39</v>
      </c>
      <c r="V995" s="1" t="str">
        <f t="shared" si="57"/>
        <v>0 г. 0 мес. 0 дн.</v>
      </c>
      <c r="W995" s="5"/>
    </row>
    <row r="996" spans="1:23" ht="34.5" customHeight="1" x14ac:dyDescent="0.25">
      <c r="A996" s="1">
        <f t="shared" si="58"/>
        <v>995</v>
      </c>
      <c r="B996" s="1"/>
      <c r="C996" s="2"/>
      <c r="H996" s="1" t="str">
        <f t="shared" si="59"/>
        <v>0 г. 0 мес. 0 дн.</v>
      </c>
      <c r="I996" s="1" t="s">
        <v>39</v>
      </c>
      <c r="V996" s="1" t="str">
        <f t="shared" si="57"/>
        <v>0 г. 0 мес. 0 дн.</v>
      </c>
      <c r="W996" s="5"/>
    </row>
    <row r="997" spans="1:23" ht="34.5" customHeight="1" x14ac:dyDescent="0.25">
      <c r="A997" s="1">
        <f t="shared" si="58"/>
        <v>996</v>
      </c>
      <c r="B997" s="1"/>
      <c r="C997" s="2"/>
      <c r="H997" s="1" t="str">
        <f t="shared" si="59"/>
        <v>0 г. 0 мес. 0 дн.</v>
      </c>
      <c r="I997" s="1" t="s">
        <v>39</v>
      </c>
      <c r="V997" s="1" t="str">
        <f t="shared" si="57"/>
        <v>0 г. 0 мес. 0 дн.</v>
      </c>
      <c r="W997" s="5"/>
    </row>
    <row r="998" spans="1:23" ht="34.5" customHeight="1" x14ac:dyDescent="0.25">
      <c r="A998" s="1">
        <f t="shared" si="58"/>
        <v>997</v>
      </c>
      <c r="B998" s="1"/>
      <c r="C998" s="2"/>
      <c r="H998" s="1" t="str">
        <f t="shared" si="59"/>
        <v>0 г. 0 мес. 0 дн.</v>
      </c>
      <c r="I998" s="1" t="s">
        <v>39</v>
      </c>
      <c r="V998" s="1" t="str">
        <f t="shared" si="57"/>
        <v>0 г. 0 мес. 0 дн.</v>
      </c>
      <c r="W998" s="5"/>
    </row>
    <row r="999" spans="1:23" ht="34.5" customHeight="1" x14ac:dyDescent="0.25">
      <c r="A999" s="1">
        <f t="shared" si="58"/>
        <v>998</v>
      </c>
      <c r="B999" s="1"/>
      <c r="C999" s="2"/>
      <c r="H999" s="1" t="str">
        <f t="shared" si="59"/>
        <v>0 г. 0 мес. 0 дн.</v>
      </c>
      <c r="I999" s="1" t="s">
        <v>39</v>
      </c>
      <c r="V999" s="1" t="str">
        <f t="shared" si="57"/>
        <v>0 г. 0 мес. 0 дн.</v>
      </c>
      <c r="W999" s="5"/>
    </row>
    <row r="1000" spans="1:23" ht="34.5" customHeight="1" x14ac:dyDescent="0.25">
      <c r="A1000" s="1">
        <f t="shared" si="58"/>
        <v>999</v>
      </c>
      <c r="B1000" s="1"/>
      <c r="C1000" s="2"/>
      <c r="H1000" s="1" t="str">
        <f t="shared" si="59"/>
        <v>0 г. 0 мес. 0 дн.</v>
      </c>
      <c r="I1000" s="1" t="s">
        <v>39</v>
      </c>
      <c r="V1000" s="1" t="str">
        <f t="shared" si="57"/>
        <v>0 г. 0 мес. 0 дн.</v>
      </c>
      <c r="W1000" s="5"/>
    </row>
    <row r="1001" spans="1:23" ht="34.5" customHeight="1" x14ac:dyDescent="0.25">
      <c r="A1001" s="1">
        <f t="shared" si="58"/>
        <v>1000</v>
      </c>
      <c r="B1001" s="1"/>
      <c r="C1001" s="2"/>
      <c r="H1001" s="1" t="str">
        <f t="shared" si="59"/>
        <v>0 г. 0 мес. 0 дн.</v>
      </c>
      <c r="I1001" s="1" t="s">
        <v>39</v>
      </c>
      <c r="V1001" s="1" t="str">
        <f t="shared" si="57"/>
        <v>0 г. 0 мес. 0 дн.</v>
      </c>
      <c r="W1001" s="5"/>
    </row>
    <row r="1002" spans="1:23" ht="34.5" customHeight="1" x14ac:dyDescent="0.25">
      <c r="A1002" s="1">
        <f t="shared" si="58"/>
        <v>1001</v>
      </c>
      <c r="B1002" s="1"/>
      <c r="C1002" s="2"/>
      <c r="H1002" s="1" t="str">
        <f t="shared" si="59"/>
        <v>0 г. 0 мес. 0 дн.</v>
      </c>
      <c r="I1002" s="1" t="s">
        <v>39</v>
      </c>
      <c r="V1002" s="1" t="str">
        <f t="shared" si="57"/>
        <v>0 г. 0 мес. 0 дн.</v>
      </c>
      <c r="W1002" s="5"/>
    </row>
    <row r="1003" spans="1:23" ht="34.5" customHeight="1" x14ac:dyDescent="0.25">
      <c r="A1003" s="1">
        <f t="shared" si="58"/>
        <v>1002</v>
      </c>
      <c r="B1003" s="1"/>
      <c r="C1003" s="2"/>
      <c r="H1003" s="1" t="str">
        <f t="shared" si="59"/>
        <v>0 г. 0 мес. 0 дн.</v>
      </c>
      <c r="I1003" s="1" t="s">
        <v>39</v>
      </c>
      <c r="V1003" s="1" t="str">
        <f t="shared" si="57"/>
        <v>0 г. 0 мес. 0 дн.</v>
      </c>
      <c r="W1003" s="5"/>
    </row>
    <row r="1004" spans="1:23" ht="34.5" customHeight="1" x14ac:dyDescent="0.25">
      <c r="A1004" s="1">
        <f t="shared" si="58"/>
        <v>1003</v>
      </c>
      <c r="B1004" s="1"/>
      <c r="C1004" s="2"/>
      <c r="H1004" s="1" t="str">
        <f t="shared" si="59"/>
        <v>0 г. 0 мес. 0 дн.</v>
      </c>
      <c r="I1004" s="1" t="s">
        <v>39</v>
      </c>
      <c r="V1004" s="1" t="str">
        <f t="shared" si="57"/>
        <v>0 г. 0 мес. 0 дн.</v>
      </c>
      <c r="W1004" s="5"/>
    </row>
    <row r="1005" spans="1:23" ht="34.5" customHeight="1" x14ac:dyDescent="0.25">
      <c r="A1005" s="1">
        <f t="shared" si="58"/>
        <v>1004</v>
      </c>
      <c r="B1005" s="1"/>
      <c r="C1005" s="2"/>
      <c r="H1005" s="1" t="str">
        <f t="shared" si="59"/>
        <v>0 г. 0 мес. 0 дн.</v>
      </c>
      <c r="I1005" s="1" t="s">
        <v>39</v>
      </c>
      <c r="V1005" s="1" t="str">
        <f t="shared" si="57"/>
        <v>0 г. 0 мес. 0 дн.</v>
      </c>
      <c r="W1005" s="5"/>
    </row>
    <row r="1006" spans="1:23" ht="34.5" customHeight="1" x14ac:dyDescent="0.25">
      <c r="A1006" s="1">
        <f t="shared" si="58"/>
        <v>1005</v>
      </c>
      <c r="B1006" s="1"/>
      <c r="C1006" s="2"/>
      <c r="H1006" s="1" t="str">
        <f t="shared" si="59"/>
        <v>0 г. 0 мес. 0 дн.</v>
      </c>
      <c r="I1006" s="1" t="s">
        <v>39</v>
      </c>
      <c r="V1006" s="1" t="str">
        <f t="shared" si="57"/>
        <v>0 г. 0 мес. 0 дн.</v>
      </c>
      <c r="W1006" s="5"/>
    </row>
    <row r="1007" spans="1:23" ht="34.5" customHeight="1" x14ac:dyDescent="0.25">
      <c r="A1007" s="1">
        <f t="shared" si="58"/>
        <v>1006</v>
      </c>
      <c r="B1007" s="1"/>
      <c r="C1007" s="2"/>
      <c r="H1007" s="1" t="str">
        <f t="shared" si="59"/>
        <v>0 г. 0 мес. 0 дн.</v>
      </c>
      <c r="I1007" s="1" t="s">
        <v>39</v>
      </c>
      <c r="V1007" s="1" t="str">
        <f t="shared" si="57"/>
        <v>0 г. 0 мес. 0 дн.</v>
      </c>
      <c r="W1007" s="5"/>
    </row>
    <row r="1008" spans="1:23" ht="34.5" customHeight="1" x14ac:dyDescent="0.25">
      <c r="A1008" s="1">
        <f t="shared" si="58"/>
        <v>1007</v>
      </c>
      <c r="B1008" s="1"/>
      <c r="C1008" s="2"/>
      <c r="H1008" s="1" t="str">
        <f t="shared" si="59"/>
        <v>0 г. 0 мес. 0 дн.</v>
      </c>
      <c r="I1008" s="1" t="s">
        <v>39</v>
      </c>
      <c r="V1008" s="1" t="str">
        <f t="shared" si="57"/>
        <v>0 г. 0 мес. 0 дн.</v>
      </c>
      <c r="W1008" s="5"/>
    </row>
    <row r="1009" spans="1:23" ht="34.5" customHeight="1" x14ac:dyDescent="0.25">
      <c r="A1009" s="1">
        <f t="shared" si="58"/>
        <v>1008</v>
      </c>
      <c r="B1009" s="1"/>
      <c r="C1009" s="2"/>
      <c r="H1009" s="1" t="str">
        <f t="shared" si="59"/>
        <v>0 г. 0 мес. 0 дн.</v>
      </c>
      <c r="I1009" s="1" t="s">
        <v>39</v>
      </c>
      <c r="V1009" s="1" t="str">
        <f t="shared" ref="V1009:V1072" si="60">DATEDIF(D1009,T1009,"y") &amp; " г. " &amp; DATEDIF(D1009,T1009,"ym") &amp; " мес. " &amp; DATEDIF(D1009,T1009,"md") &amp; " дн."</f>
        <v>0 г. 0 мес. 0 дн.</v>
      </c>
      <c r="W1009" s="5"/>
    </row>
    <row r="1010" spans="1:23" ht="34.5" customHeight="1" x14ac:dyDescent="0.25">
      <c r="A1010" s="1">
        <f t="shared" si="58"/>
        <v>1009</v>
      </c>
      <c r="B1010" s="1"/>
      <c r="C1010" s="2"/>
      <c r="H1010" s="1" t="str">
        <f t="shared" si="59"/>
        <v>0 г. 0 мес. 0 дн.</v>
      </c>
      <c r="I1010" s="1" t="s">
        <v>39</v>
      </c>
      <c r="V1010" s="1" t="str">
        <f t="shared" si="60"/>
        <v>0 г. 0 мес. 0 дн.</v>
      </c>
      <c r="W1010" s="5"/>
    </row>
    <row r="1011" spans="1:23" ht="34.5" customHeight="1" x14ac:dyDescent="0.25">
      <c r="A1011" s="1">
        <f t="shared" si="58"/>
        <v>1010</v>
      </c>
      <c r="B1011" s="1"/>
      <c r="C1011" s="2"/>
      <c r="H1011" s="1" t="str">
        <f t="shared" si="59"/>
        <v>0 г. 0 мес. 0 дн.</v>
      </c>
      <c r="I1011" s="1" t="s">
        <v>39</v>
      </c>
      <c r="V1011" s="1" t="str">
        <f t="shared" si="60"/>
        <v>0 г. 0 мес. 0 дн.</v>
      </c>
      <c r="W1011" s="5"/>
    </row>
    <row r="1012" spans="1:23" ht="34.5" customHeight="1" x14ac:dyDescent="0.25">
      <c r="A1012" s="1">
        <f t="shared" si="58"/>
        <v>1011</v>
      </c>
      <c r="B1012" s="1"/>
      <c r="C1012" s="2"/>
      <c r="H1012" s="1" t="str">
        <f t="shared" si="59"/>
        <v>0 г. 0 мес. 0 дн.</v>
      </c>
      <c r="I1012" s="1" t="s">
        <v>39</v>
      </c>
      <c r="V1012" s="1" t="str">
        <f t="shared" si="60"/>
        <v>0 г. 0 мес. 0 дн.</v>
      </c>
      <c r="W1012" s="5"/>
    </row>
    <row r="1013" spans="1:23" ht="34.5" customHeight="1" x14ac:dyDescent="0.25">
      <c r="A1013" s="1">
        <f t="shared" si="58"/>
        <v>1012</v>
      </c>
      <c r="B1013" s="1"/>
      <c r="C1013" s="2"/>
      <c r="H1013" s="1" t="str">
        <f t="shared" si="59"/>
        <v>0 г. 0 мес. 0 дн.</v>
      </c>
      <c r="I1013" s="1" t="s">
        <v>39</v>
      </c>
      <c r="V1013" s="1" t="str">
        <f t="shared" si="60"/>
        <v>0 г. 0 мес. 0 дн.</v>
      </c>
      <c r="W1013" s="5"/>
    </row>
    <row r="1014" spans="1:23" ht="34.5" customHeight="1" x14ac:dyDescent="0.25">
      <c r="A1014" s="1">
        <f t="shared" si="58"/>
        <v>1013</v>
      </c>
      <c r="B1014" s="1"/>
      <c r="C1014" s="2"/>
      <c r="H1014" s="1" t="str">
        <f t="shared" si="59"/>
        <v>0 г. 0 мес. 0 дн.</v>
      </c>
      <c r="I1014" s="1" t="s">
        <v>39</v>
      </c>
      <c r="V1014" s="1" t="str">
        <f t="shared" si="60"/>
        <v>0 г. 0 мес. 0 дн.</v>
      </c>
      <c r="W1014" s="5"/>
    </row>
    <row r="1015" spans="1:23" ht="34.5" customHeight="1" x14ac:dyDescent="0.25">
      <c r="A1015" s="1">
        <f t="shared" si="58"/>
        <v>1014</v>
      </c>
      <c r="B1015" s="1"/>
      <c r="C1015" s="2"/>
      <c r="H1015" s="1" t="str">
        <f t="shared" si="59"/>
        <v>0 г. 0 мес. 0 дн.</v>
      </c>
      <c r="I1015" s="1" t="s">
        <v>39</v>
      </c>
      <c r="V1015" s="1" t="str">
        <f t="shared" si="60"/>
        <v>0 г. 0 мес. 0 дн.</v>
      </c>
      <c r="W1015" s="5"/>
    </row>
    <row r="1016" spans="1:23" ht="34.5" customHeight="1" x14ac:dyDescent="0.25">
      <c r="A1016" s="1">
        <f t="shared" si="58"/>
        <v>1015</v>
      </c>
      <c r="B1016" s="1"/>
      <c r="C1016" s="2"/>
      <c r="H1016" s="1" t="str">
        <f t="shared" si="59"/>
        <v>0 г. 0 мес. 0 дн.</v>
      </c>
      <c r="I1016" s="1" t="s">
        <v>39</v>
      </c>
      <c r="V1016" s="1" t="str">
        <f t="shared" si="60"/>
        <v>0 г. 0 мес. 0 дн.</v>
      </c>
      <c r="W1016" s="5"/>
    </row>
    <row r="1017" spans="1:23" ht="34.5" customHeight="1" x14ac:dyDescent="0.25">
      <c r="A1017" s="1">
        <f t="shared" si="58"/>
        <v>1016</v>
      </c>
      <c r="B1017" s="1"/>
      <c r="C1017" s="2"/>
      <c r="H1017" s="1" t="str">
        <f t="shared" si="59"/>
        <v>0 г. 0 мес. 0 дн.</v>
      </c>
      <c r="I1017" s="1" t="s">
        <v>39</v>
      </c>
      <c r="V1017" s="1" t="str">
        <f t="shared" si="60"/>
        <v>0 г. 0 мес. 0 дн.</v>
      </c>
      <c r="W1017" s="5"/>
    </row>
    <row r="1018" spans="1:23" ht="34.5" customHeight="1" x14ac:dyDescent="0.25">
      <c r="A1018" s="1">
        <f t="shared" si="58"/>
        <v>1017</v>
      </c>
      <c r="B1018" s="1"/>
      <c r="C1018" s="2"/>
      <c r="H1018" s="1" t="str">
        <f t="shared" si="59"/>
        <v>0 г. 0 мес. 0 дн.</v>
      </c>
      <c r="I1018" s="1" t="s">
        <v>39</v>
      </c>
      <c r="V1018" s="1" t="str">
        <f t="shared" si="60"/>
        <v>0 г. 0 мес. 0 дн.</v>
      </c>
      <c r="W1018" s="5"/>
    </row>
    <row r="1019" spans="1:23" ht="34.5" customHeight="1" x14ac:dyDescent="0.25">
      <c r="A1019" s="1">
        <f t="shared" si="58"/>
        <v>1018</v>
      </c>
      <c r="B1019" s="1"/>
      <c r="C1019" s="2"/>
      <c r="H1019" s="1" t="str">
        <f t="shared" si="59"/>
        <v>0 г. 0 мес. 0 дн.</v>
      </c>
      <c r="I1019" s="1" t="s">
        <v>39</v>
      </c>
      <c r="V1019" s="1" t="str">
        <f t="shared" si="60"/>
        <v>0 г. 0 мес. 0 дн.</v>
      </c>
      <c r="W1019" s="5"/>
    </row>
    <row r="1020" spans="1:23" ht="34.5" customHeight="1" x14ac:dyDescent="0.25">
      <c r="A1020" s="1">
        <f t="shared" si="58"/>
        <v>1019</v>
      </c>
      <c r="B1020" s="1"/>
      <c r="C1020" s="2"/>
      <c r="H1020" s="1" t="str">
        <f t="shared" si="59"/>
        <v>0 г. 0 мес. 0 дн.</v>
      </c>
      <c r="I1020" s="1" t="s">
        <v>39</v>
      </c>
      <c r="V1020" s="1" t="str">
        <f t="shared" si="60"/>
        <v>0 г. 0 мес. 0 дн.</v>
      </c>
      <c r="W1020" s="5"/>
    </row>
    <row r="1021" spans="1:23" ht="34.5" customHeight="1" x14ac:dyDescent="0.25">
      <c r="A1021" s="1">
        <f t="shared" si="58"/>
        <v>1020</v>
      </c>
      <c r="B1021" s="1"/>
      <c r="C1021" s="2"/>
      <c r="H1021" s="1" t="str">
        <f t="shared" si="59"/>
        <v>0 г. 0 мес. 0 дн.</v>
      </c>
      <c r="I1021" s="1" t="s">
        <v>39</v>
      </c>
      <c r="V1021" s="1" t="str">
        <f t="shared" si="60"/>
        <v>0 г. 0 мес. 0 дн.</v>
      </c>
      <c r="W1021" s="5"/>
    </row>
    <row r="1022" spans="1:23" ht="34.5" customHeight="1" x14ac:dyDescent="0.25">
      <c r="A1022" s="1">
        <f t="shared" si="58"/>
        <v>1021</v>
      </c>
      <c r="B1022" s="1"/>
      <c r="C1022" s="2"/>
      <c r="H1022" s="1" t="str">
        <f t="shared" si="59"/>
        <v>0 г. 0 мес. 0 дн.</v>
      </c>
      <c r="I1022" s="1" t="s">
        <v>39</v>
      </c>
      <c r="V1022" s="1" t="str">
        <f t="shared" si="60"/>
        <v>0 г. 0 мес. 0 дн.</v>
      </c>
      <c r="W1022" s="5"/>
    </row>
    <row r="1023" spans="1:23" ht="34.5" customHeight="1" x14ac:dyDescent="0.25">
      <c r="A1023" s="1">
        <f t="shared" si="58"/>
        <v>1022</v>
      </c>
      <c r="B1023" s="1"/>
      <c r="C1023" s="2"/>
      <c r="H1023" s="1" t="str">
        <f t="shared" si="59"/>
        <v>0 г. 0 мес. 0 дн.</v>
      </c>
      <c r="I1023" s="1" t="s">
        <v>39</v>
      </c>
      <c r="V1023" s="1" t="str">
        <f t="shared" si="60"/>
        <v>0 г. 0 мес. 0 дн.</v>
      </c>
      <c r="W1023" s="5"/>
    </row>
    <row r="1024" spans="1:23" ht="34.5" customHeight="1" x14ac:dyDescent="0.25">
      <c r="A1024" s="1">
        <f t="shared" ref="A1024:A1087" si="61">ROW(A1023)</f>
        <v>1023</v>
      </c>
      <c r="B1024" s="1"/>
      <c r="C1024" s="2"/>
      <c r="H1024" s="1" t="str">
        <f t="shared" si="59"/>
        <v>0 г. 0 мес. 0 дн.</v>
      </c>
      <c r="I1024" s="1" t="s">
        <v>39</v>
      </c>
      <c r="V1024" s="1" t="str">
        <f t="shared" si="60"/>
        <v>0 г. 0 мес. 0 дн.</v>
      </c>
      <c r="W1024" s="5"/>
    </row>
    <row r="1025" spans="1:23" ht="34.5" customHeight="1" x14ac:dyDescent="0.25">
      <c r="A1025" s="1">
        <f t="shared" si="61"/>
        <v>1024</v>
      </c>
      <c r="B1025" s="1"/>
      <c r="C1025" s="2"/>
      <c r="H1025" s="1" t="str">
        <f t="shared" si="59"/>
        <v>0 г. 0 мес. 0 дн.</v>
      </c>
      <c r="I1025" s="1" t="s">
        <v>39</v>
      </c>
      <c r="V1025" s="1" t="str">
        <f t="shared" si="60"/>
        <v>0 г. 0 мес. 0 дн.</v>
      </c>
      <c r="W1025" s="5"/>
    </row>
    <row r="1026" spans="1:23" ht="34.5" customHeight="1" x14ac:dyDescent="0.25">
      <c r="A1026" s="1">
        <f t="shared" si="61"/>
        <v>1025</v>
      </c>
      <c r="B1026" s="1"/>
      <c r="C1026" s="2"/>
      <c r="H1026" s="1" t="str">
        <f t="shared" ref="H1026:H1089" si="62">DATEDIF(G1026,D1026,"y") &amp; " г. " &amp; DATEDIF(G1026,D1026,"ym") &amp; " мес. " &amp; DATEDIF(G1026,D1026,"md") &amp; " дн."</f>
        <v>0 г. 0 мес. 0 дн.</v>
      </c>
      <c r="I1026" s="1" t="s">
        <v>39</v>
      </c>
      <c r="V1026" s="1" t="str">
        <f t="shared" si="60"/>
        <v>0 г. 0 мес. 0 дн.</v>
      </c>
      <c r="W1026" s="5"/>
    </row>
    <row r="1027" spans="1:23" ht="34.5" customHeight="1" x14ac:dyDescent="0.25">
      <c r="A1027" s="1">
        <f t="shared" si="61"/>
        <v>1026</v>
      </c>
      <c r="B1027" s="1"/>
      <c r="C1027" s="2"/>
      <c r="H1027" s="1" t="str">
        <f t="shared" si="62"/>
        <v>0 г. 0 мес. 0 дн.</v>
      </c>
      <c r="I1027" s="1" t="s">
        <v>39</v>
      </c>
      <c r="V1027" s="1" t="str">
        <f t="shared" si="60"/>
        <v>0 г. 0 мес. 0 дн.</v>
      </c>
      <c r="W1027" s="5"/>
    </row>
    <row r="1028" spans="1:23" ht="34.5" customHeight="1" x14ac:dyDescent="0.25">
      <c r="A1028" s="1">
        <f t="shared" si="61"/>
        <v>1027</v>
      </c>
      <c r="B1028" s="1"/>
      <c r="C1028" s="2"/>
      <c r="H1028" s="1" t="str">
        <f t="shared" si="62"/>
        <v>0 г. 0 мес. 0 дн.</v>
      </c>
      <c r="I1028" s="1" t="s">
        <v>39</v>
      </c>
      <c r="V1028" s="1" t="str">
        <f t="shared" si="60"/>
        <v>0 г. 0 мес. 0 дн.</v>
      </c>
      <c r="W1028" s="5"/>
    </row>
    <row r="1029" spans="1:23" ht="34.5" customHeight="1" x14ac:dyDescent="0.25">
      <c r="A1029" s="1">
        <f t="shared" si="61"/>
        <v>1028</v>
      </c>
      <c r="B1029" s="1"/>
      <c r="C1029" s="2"/>
      <c r="H1029" s="1" t="str">
        <f t="shared" si="62"/>
        <v>0 г. 0 мес. 0 дн.</v>
      </c>
      <c r="I1029" s="1" t="s">
        <v>39</v>
      </c>
      <c r="V1029" s="1" t="str">
        <f t="shared" si="60"/>
        <v>0 г. 0 мес. 0 дн.</v>
      </c>
      <c r="W1029" s="5"/>
    </row>
    <row r="1030" spans="1:23" ht="34.5" customHeight="1" x14ac:dyDescent="0.25">
      <c r="A1030" s="1">
        <f t="shared" si="61"/>
        <v>1029</v>
      </c>
      <c r="B1030" s="1"/>
      <c r="C1030" s="2"/>
      <c r="H1030" s="1" t="str">
        <f t="shared" si="62"/>
        <v>0 г. 0 мес. 0 дн.</v>
      </c>
      <c r="I1030" s="1" t="s">
        <v>39</v>
      </c>
      <c r="V1030" s="1" t="str">
        <f t="shared" si="60"/>
        <v>0 г. 0 мес. 0 дн.</v>
      </c>
      <c r="W1030" s="5"/>
    </row>
    <row r="1031" spans="1:23" ht="34.5" customHeight="1" x14ac:dyDescent="0.25">
      <c r="A1031" s="1">
        <f t="shared" si="61"/>
        <v>1030</v>
      </c>
      <c r="B1031" s="1"/>
      <c r="C1031" s="2"/>
      <c r="H1031" s="1" t="str">
        <f t="shared" si="62"/>
        <v>0 г. 0 мес. 0 дн.</v>
      </c>
      <c r="I1031" s="1" t="s">
        <v>39</v>
      </c>
      <c r="V1031" s="1" t="str">
        <f t="shared" si="60"/>
        <v>0 г. 0 мес. 0 дн.</v>
      </c>
      <c r="W1031" s="5"/>
    </row>
    <row r="1032" spans="1:23" ht="34.5" customHeight="1" x14ac:dyDescent="0.25">
      <c r="A1032" s="1">
        <f t="shared" si="61"/>
        <v>1031</v>
      </c>
      <c r="B1032" s="1"/>
      <c r="C1032" s="2"/>
      <c r="H1032" s="1" t="str">
        <f t="shared" si="62"/>
        <v>0 г. 0 мес. 0 дн.</v>
      </c>
      <c r="I1032" s="1" t="s">
        <v>39</v>
      </c>
      <c r="V1032" s="1" t="str">
        <f t="shared" si="60"/>
        <v>0 г. 0 мес. 0 дн.</v>
      </c>
      <c r="W1032" s="5"/>
    </row>
    <row r="1033" spans="1:23" ht="34.5" customHeight="1" x14ac:dyDescent="0.25">
      <c r="A1033" s="1">
        <f t="shared" si="61"/>
        <v>1032</v>
      </c>
      <c r="B1033" s="1"/>
      <c r="C1033" s="2"/>
      <c r="H1033" s="1" t="str">
        <f t="shared" si="62"/>
        <v>0 г. 0 мес. 0 дн.</v>
      </c>
      <c r="I1033" s="1" t="s">
        <v>39</v>
      </c>
      <c r="V1033" s="1" t="str">
        <f t="shared" si="60"/>
        <v>0 г. 0 мес. 0 дн.</v>
      </c>
      <c r="W1033" s="5"/>
    </row>
    <row r="1034" spans="1:23" ht="34.5" customHeight="1" x14ac:dyDescent="0.25">
      <c r="A1034" s="1">
        <f t="shared" si="61"/>
        <v>1033</v>
      </c>
      <c r="B1034" s="1"/>
      <c r="C1034" s="2"/>
      <c r="H1034" s="1" t="str">
        <f t="shared" si="62"/>
        <v>0 г. 0 мес. 0 дн.</v>
      </c>
      <c r="I1034" s="1" t="s">
        <v>39</v>
      </c>
      <c r="V1034" s="1" t="str">
        <f t="shared" si="60"/>
        <v>0 г. 0 мес. 0 дн.</v>
      </c>
      <c r="W1034" s="5"/>
    </row>
    <row r="1035" spans="1:23" ht="34.5" customHeight="1" x14ac:dyDescent="0.25">
      <c r="A1035" s="1">
        <f t="shared" si="61"/>
        <v>1034</v>
      </c>
      <c r="B1035" s="1"/>
      <c r="C1035" s="2"/>
      <c r="H1035" s="1" t="str">
        <f t="shared" si="62"/>
        <v>0 г. 0 мес. 0 дн.</v>
      </c>
      <c r="I1035" s="1" t="s">
        <v>39</v>
      </c>
      <c r="V1035" s="1" t="str">
        <f t="shared" si="60"/>
        <v>0 г. 0 мес. 0 дн.</v>
      </c>
      <c r="W1035" s="5"/>
    </row>
    <row r="1036" spans="1:23" ht="34.5" customHeight="1" x14ac:dyDescent="0.25">
      <c r="A1036" s="1">
        <f t="shared" si="61"/>
        <v>1035</v>
      </c>
      <c r="B1036" s="1"/>
      <c r="C1036" s="2"/>
      <c r="H1036" s="1" t="str">
        <f t="shared" si="62"/>
        <v>0 г. 0 мес. 0 дн.</v>
      </c>
      <c r="I1036" s="1" t="s">
        <v>39</v>
      </c>
      <c r="V1036" s="1" t="str">
        <f t="shared" si="60"/>
        <v>0 г. 0 мес. 0 дн.</v>
      </c>
      <c r="W1036" s="5"/>
    </row>
    <row r="1037" spans="1:23" ht="34.5" customHeight="1" x14ac:dyDescent="0.25">
      <c r="A1037" s="1">
        <f t="shared" si="61"/>
        <v>1036</v>
      </c>
      <c r="B1037" s="1"/>
      <c r="C1037" s="2"/>
      <c r="H1037" s="1" t="str">
        <f t="shared" si="62"/>
        <v>0 г. 0 мес. 0 дн.</v>
      </c>
      <c r="I1037" s="1" t="s">
        <v>39</v>
      </c>
      <c r="V1037" s="1" t="str">
        <f t="shared" si="60"/>
        <v>0 г. 0 мес. 0 дн.</v>
      </c>
      <c r="W1037" s="5"/>
    </row>
    <row r="1038" spans="1:23" ht="34.5" customHeight="1" x14ac:dyDescent="0.25">
      <c r="A1038" s="1">
        <f t="shared" si="61"/>
        <v>1037</v>
      </c>
      <c r="B1038" s="1"/>
      <c r="C1038" s="2"/>
      <c r="H1038" s="1" t="str">
        <f t="shared" si="62"/>
        <v>0 г. 0 мес. 0 дн.</v>
      </c>
      <c r="I1038" s="1" t="s">
        <v>39</v>
      </c>
      <c r="V1038" s="1" t="str">
        <f t="shared" si="60"/>
        <v>0 г. 0 мес. 0 дн.</v>
      </c>
      <c r="W1038" s="5"/>
    </row>
    <row r="1039" spans="1:23" ht="34.5" customHeight="1" x14ac:dyDescent="0.25">
      <c r="A1039" s="1">
        <f t="shared" si="61"/>
        <v>1038</v>
      </c>
      <c r="B1039" s="1"/>
      <c r="C1039" s="2"/>
      <c r="H1039" s="1" t="str">
        <f t="shared" si="62"/>
        <v>0 г. 0 мес. 0 дн.</v>
      </c>
      <c r="I1039" s="1" t="s">
        <v>39</v>
      </c>
      <c r="V1039" s="1" t="str">
        <f t="shared" si="60"/>
        <v>0 г. 0 мес. 0 дн.</v>
      </c>
      <c r="W1039" s="5"/>
    </row>
    <row r="1040" spans="1:23" ht="34.5" customHeight="1" x14ac:dyDescent="0.25">
      <c r="A1040" s="1">
        <f t="shared" si="61"/>
        <v>1039</v>
      </c>
      <c r="B1040" s="1"/>
      <c r="C1040" s="2"/>
      <c r="H1040" s="1" t="str">
        <f t="shared" si="62"/>
        <v>0 г. 0 мес. 0 дн.</v>
      </c>
      <c r="I1040" s="1" t="s">
        <v>39</v>
      </c>
      <c r="V1040" s="1" t="str">
        <f t="shared" si="60"/>
        <v>0 г. 0 мес. 0 дн.</v>
      </c>
      <c r="W1040" s="5"/>
    </row>
    <row r="1041" spans="1:23" ht="34.5" customHeight="1" x14ac:dyDescent="0.25">
      <c r="A1041" s="1">
        <f t="shared" si="61"/>
        <v>1040</v>
      </c>
      <c r="B1041" s="1"/>
      <c r="C1041" s="2"/>
      <c r="H1041" s="1" t="str">
        <f t="shared" si="62"/>
        <v>0 г. 0 мес. 0 дн.</v>
      </c>
      <c r="I1041" s="1" t="s">
        <v>39</v>
      </c>
      <c r="V1041" s="1" t="str">
        <f t="shared" si="60"/>
        <v>0 г. 0 мес. 0 дн.</v>
      </c>
      <c r="W1041" s="5"/>
    </row>
    <row r="1042" spans="1:23" ht="34.5" customHeight="1" x14ac:dyDescent="0.25">
      <c r="A1042" s="1">
        <f t="shared" si="61"/>
        <v>1041</v>
      </c>
      <c r="B1042" s="1"/>
      <c r="C1042" s="2"/>
      <c r="H1042" s="1" t="str">
        <f t="shared" si="62"/>
        <v>0 г. 0 мес. 0 дн.</v>
      </c>
      <c r="I1042" s="1" t="s">
        <v>39</v>
      </c>
      <c r="V1042" s="1" t="str">
        <f t="shared" si="60"/>
        <v>0 г. 0 мес. 0 дн.</v>
      </c>
      <c r="W1042" s="5"/>
    </row>
    <row r="1043" spans="1:23" ht="34.5" customHeight="1" x14ac:dyDescent="0.25">
      <c r="A1043" s="1">
        <f t="shared" si="61"/>
        <v>1042</v>
      </c>
      <c r="B1043" s="1"/>
      <c r="C1043" s="2"/>
      <c r="H1043" s="1" t="str">
        <f t="shared" si="62"/>
        <v>0 г. 0 мес. 0 дн.</v>
      </c>
      <c r="I1043" s="1" t="s">
        <v>39</v>
      </c>
      <c r="V1043" s="1" t="str">
        <f t="shared" si="60"/>
        <v>0 г. 0 мес. 0 дн.</v>
      </c>
      <c r="W1043" s="5"/>
    </row>
    <row r="1044" spans="1:23" ht="34.5" customHeight="1" x14ac:dyDescent="0.25">
      <c r="A1044" s="1">
        <f t="shared" si="61"/>
        <v>1043</v>
      </c>
      <c r="B1044" s="1"/>
      <c r="C1044" s="2"/>
      <c r="H1044" s="1" t="str">
        <f t="shared" si="62"/>
        <v>0 г. 0 мес. 0 дн.</v>
      </c>
      <c r="I1044" s="1" t="s">
        <v>39</v>
      </c>
      <c r="V1044" s="1" t="str">
        <f t="shared" si="60"/>
        <v>0 г. 0 мес. 0 дн.</v>
      </c>
      <c r="W1044" s="5"/>
    </row>
    <row r="1045" spans="1:23" ht="34.5" customHeight="1" x14ac:dyDescent="0.25">
      <c r="A1045" s="1">
        <f t="shared" si="61"/>
        <v>1044</v>
      </c>
      <c r="B1045" s="1"/>
      <c r="C1045" s="2"/>
      <c r="H1045" s="1" t="str">
        <f t="shared" si="62"/>
        <v>0 г. 0 мес. 0 дн.</v>
      </c>
      <c r="I1045" s="1" t="s">
        <v>39</v>
      </c>
      <c r="V1045" s="1" t="str">
        <f t="shared" si="60"/>
        <v>0 г. 0 мес. 0 дн.</v>
      </c>
      <c r="W1045" s="5"/>
    </row>
    <row r="1046" spans="1:23" ht="34.5" customHeight="1" x14ac:dyDescent="0.25">
      <c r="A1046" s="1">
        <f t="shared" si="61"/>
        <v>1045</v>
      </c>
      <c r="B1046" s="1"/>
      <c r="C1046" s="2"/>
      <c r="H1046" s="1" t="str">
        <f t="shared" si="62"/>
        <v>0 г. 0 мес. 0 дн.</v>
      </c>
      <c r="I1046" s="1" t="s">
        <v>39</v>
      </c>
      <c r="V1046" s="1" t="str">
        <f t="shared" si="60"/>
        <v>0 г. 0 мес. 0 дн.</v>
      </c>
      <c r="W1046" s="5"/>
    </row>
    <row r="1047" spans="1:23" ht="34.5" customHeight="1" x14ac:dyDescent="0.25">
      <c r="A1047" s="1">
        <f t="shared" si="61"/>
        <v>1046</v>
      </c>
      <c r="B1047" s="1"/>
      <c r="C1047" s="2"/>
      <c r="H1047" s="1" t="str">
        <f t="shared" si="62"/>
        <v>0 г. 0 мес. 0 дн.</v>
      </c>
      <c r="I1047" s="1" t="s">
        <v>39</v>
      </c>
      <c r="V1047" s="1" t="str">
        <f t="shared" si="60"/>
        <v>0 г. 0 мес. 0 дн.</v>
      </c>
      <c r="W1047" s="5"/>
    </row>
    <row r="1048" spans="1:23" ht="34.5" customHeight="1" x14ac:dyDescent="0.25">
      <c r="A1048" s="1">
        <f t="shared" si="61"/>
        <v>1047</v>
      </c>
      <c r="B1048" s="1"/>
      <c r="C1048" s="2"/>
      <c r="H1048" s="1" t="str">
        <f t="shared" si="62"/>
        <v>0 г. 0 мес. 0 дн.</v>
      </c>
      <c r="I1048" s="1" t="s">
        <v>39</v>
      </c>
      <c r="V1048" s="1" t="str">
        <f t="shared" si="60"/>
        <v>0 г. 0 мес. 0 дн.</v>
      </c>
      <c r="W1048" s="5"/>
    </row>
    <row r="1049" spans="1:23" ht="34.5" customHeight="1" x14ac:dyDescent="0.25">
      <c r="A1049" s="1">
        <f t="shared" si="61"/>
        <v>1048</v>
      </c>
      <c r="B1049" s="1"/>
      <c r="C1049" s="2"/>
      <c r="H1049" s="1" t="str">
        <f t="shared" si="62"/>
        <v>0 г. 0 мес. 0 дн.</v>
      </c>
      <c r="I1049" s="1" t="s">
        <v>39</v>
      </c>
      <c r="V1049" s="1" t="str">
        <f t="shared" si="60"/>
        <v>0 г. 0 мес. 0 дн.</v>
      </c>
      <c r="W1049" s="5"/>
    </row>
    <row r="1050" spans="1:23" ht="34.5" customHeight="1" x14ac:dyDescent="0.25">
      <c r="A1050" s="1">
        <f t="shared" si="61"/>
        <v>1049</v>
      </c>
      <c r="B1050" s="1"/>
      <c r="C1050" s="2"/>
      <c r="H1050" s="1" t="str">
        <f t="shared" si="62"/>
        <v>0 г. 0 мес. 0 дн.</v>
      </c>
      <c r="I1050" s="1" t="s">
        <v>39</v>
      </c>
      <c r="V1050" s="1" t="str">
        <f t="shared" si="60"/>
        <v>0 г. 0 мес. 0 дн.</v>
      </c>
      <c r="W1050" s="5"/>
    </row>
    <row r="1051" spans="1:23" ht="34.5" customHeight="1" x14ac:dyDescent="0.25">
      <c r="A1051" s="1">
        <f t="shared" si="61"/>
        <v>1050</v>
      </c>
      <c r="B1051" s="1"/>
      <c r="C1051" s="2"/>
      <c r="H1051" s="1" t="str">
        <f t="shared" si="62"/>
        <v>0 г. 0 мес. 0 дн.</v>
      </c>
      <c r="I1051" s="1" t="s">
        <v>39</v>
      </c>
      <c r="V1051" s="1" t="str">
        <f t="shared" si="60"/>
        <v>0 г. 0 мес. 0 дн.</v>
      </c>
      <c r="W1051" s="5"/>
    </row>
    <row r="1052" spans="1:23" ht="34.5" customHeight="1" x14ac:dyDescent="0.25">
      <c r="A1052" s="1">
        <f t="shared" si="61"/>
        <v>1051</v>
      </c>
      <c r="B1052" s="1"/>
      <c r="C1052" s="2"/>
      <c r="H1052" s="1" t="str">
        <f t="shared" si="62"/>
        <v>0 г. 0 мес. 0 дн.</v>
      </c>
      <c r="I1052" s="1" t="s">
        <v>39</v>
      </c>
      <c r="V1052" s="1" t="str">
        <f t="shared" si="60"/>
        <v>0 г. 0 мес. 0 дн.</v>
      </c>
      <c r="W1052" s="5"/>
    </row>
    <row r="1053" spans="1:23" ht="34.5" customHeight="1" x14ac:dyDescent="0.25">
      <c r="A1053" s="1">
        <f t="shared" si="61"/>
        <v>1052</v>
      </c>
      <c r="B1053" s="1"/>
      <c r="C1053" s="2"/>
      <c r="H1053" s="1" t="str">
        <f t="shared" si="62"/>
        <v>0 г. 0 мес. 0 дн.</v>
      </c>
      <c r="I1053" s="1" t="s">
        <v>39</v>
      </c>
      <c r="V1053" s="1" t="str">
        <f t="shared" si="60"/>
        <v>0 г. 0 мес. 0 дн.</v>
      </c>
      <c r="W1053" s="5"/>
    </row>
    <row r="1054" spans="1:23" ht="34.5" customHeight="1" x14ac:dyDescent="0.25">
      <c r="A1054" s="1">
        <f t="shared" si="61"/>
        <v>1053</v>
      </c>
      <c r="B1054" s="1"/>
      <c r="C1054" s="2"/>
      <c r="H1054" s="1" t="str">
        <f t="shared" si="62"/>
        <v>0 г. 0 мес. 0 дн.</v>
      </c>
      <c r="I1054" s="1" t="s">
        <v>39</v>
      </c>
      <c r="V1054" s="1" t="str">
        <f t="shared" si="60"/>
        <v>0 г. 0 мес. 0 дн.</v>
      </c>
      <c r="W1054" s="5"/>
    </row>
    <row r="1055" spans="1:23" ht="34.5" customHeight="1" x14ac:dyDescent="0.25">
      <c r="A1055" s="1">
        <f t="shared" si="61"/>
        <v>1054</v>
      </c>
      <c r="B1055" s="1"/>
      <c r="C1055" s="2"/>
      <c r="H1055" s="1" t="str">
        <f t="shared" si="62"/>
        <v>0 г. 0 мес. 0 дн.</v>
      </c>
      <c r="I1055" s="1" t="s">
        <v>39</v>
      </c>
      <c r="V1055" s="1" t="str">
        <f t="shared" si="60"/>
        <v>0 г. 0 мес. 0 дн.</v>
      </c>
      <c r="W1055" s="5"/>
    </row>
    <row r="1056" spans="1:23" ht="34.5" customHeight="1" x14ac:dyDescent="0.25">
      <c r="A1056" s="1">
        <f t="shared" si="61"/>
        <v>1055</v>
      </c>
      <c r="B1056" s="1"/>
      <c r="C1056" s="2"/>
      <c r="H1056" s="1" t="str">
        <f t="shared" si="62"/>
        <v>0 г. 0 мес. 0 дн.</v>
      </c>
      <c r="I1056" s="1" t="s">
        <v>39</v>
      </c>
      <c r="V1056" s="1" t="str">
        <f t="shared" si="60"/>
        <v>0 г. 0 мес. 0 дн.</v>
      </c>
      <c r="W1056" s="5"/>
    </row>
    <row r="1057" spans="1:23" ht="34.5" customHeight="1" x14ac:dyDescent="0.25">
      <c r="A1057" s="1">
        <f t="shared" si="61"/>
        <v>1056</v>
      </c>
      <c r="B1057" s="1"/>
      <c r="C1057" s="2"/>
      <c r="H1057" s="1" t="str">
        <f t="shared" si="62"/>
        <v>0 г. 0 мес. 0 дн.</v>
      </c>
      <c r="I1057" s="1" t="s">
        <v>39</v>
      </c>
      <c r="V1057" s="1" t="str">
        <f t="shared" si="60"/>
        <v>0 г. 0 мес. 0 дн.</v>
      </c>
      <c r="W1057" s="5"/>
    </row>
    <row r="1058" spans="1:23" ht="34.5" customHeight="1" x14ac:dyDescent="0.25">
      <c r="A1058" s="1">
        <f t="shared" si="61"/>
        <v>1057</v>
      </c>
      <c r="B1058" s="1"/>
      <c r="C1058" s="2"/>
      <c r="H1058" s="1" t="str">
        <f t="shared" si="62"/>
        <v>0 г. 0 мес. 0 дн.</v>
      </c>
      <c r="I1058" s="1" t="s">
        <v>39</v>
      </c>
      <c r="V1058" s="1" t="str">
        <f t="shared" si="60"/>
        <v>0 г. 0 мес. 0 дн.</v>
      </c>
      <c r="W1058" s="5"/>
    </row>
    <row r="1059" spans="1:23" ht="34.5" customHeight="1" x14ac:dyDescent="0.25">
      <c r="A1059" s="1">
        <f t="shared" si="61"/>
        <v>1058</v>
      </c>
      <c r="B1059" s="1"/>
      <c r="C1059" s="2"/>
      <c r="H1059" s="1" t="str">
        <f t="shared" si="62"/>
        <v>0 г. 0 мес. 0 дн.</v>
      </c>
      <c r="I1059" s="1" t="s">
        <v>39</v>
      </c>
      <c r="V1059" s="1" t="str">
        <f t="shared" si="60"/>
        <v>0 г. 0 мес. 0 дн.</v>
      </c>
      <c r="W1059" s="5"/>
    </row>
    <row r="1060" spans="1:23" ht="34.5" customHeight="1" x14ac:dyDescent="0.25">
      <c r="A1060" s="1">
        <f t="shared" si="61"/>
        <v>1059</v>
      </c>
      <c r="B1060" s="1"/>
      <c r="C1060" s="2"/>
      <c r="H1060" s="1" t="str">
        <f t="shared" si="62"/>
        <v>0 г. 0 мес. 0 дн.</v>
      </c>
      <c r="I1060" s="1" t="s">
        <v>39</v>
      </c>
      <c r="V1060" s="1" t="str">
        <f t="shared" si="60"/>
        <v>0 г. 0 мес. 0 дн.</v>
      </c>
      <c r="W1060" s="5"/>
    </row>
    <row r="1061" spans="1:23" ht="34.5" customHeight="1" x14ac:dyDescent="0.25">
      <c r="A1061" s="1">
        <f t="shared" si="61"/>
        <v>1060</v>
      </c>
      <c r="B1061" s="1"/>
      <c r="C1061" s="2"/>
      <c r="H1061" s="1" t="str">
        <f t="shared" si="62"/>
        <v>0 г. 0 мес. 0 дн.</v>
      </c>
      <c r="I1061" s="1" t="s">
        <v>39</v>
      </c>
      <c r="V1061" s="1" t="str">
        <f t="shared" si="60"/>
        <v>0 г. 0 мес. 0 дн.</v>
      </c>
      <c r="W1061" s="5"/>
    </row>
    <row r="1062" spans="1:23" ht="34.5" customHeight="1" x14ac:dyDescent="0.25">
      <c r="A1062" s="1">
        <f t="shared" si="61"/>
        <v>1061</v>
      </c>
      <c r="B1062" s="1"/>
      <c r="C1062" s="2"/>
      <c r="H1062" s="1" t="str">
        <f t="shared" si="62"/>
        <v>0 г. 0 мес. 0 дн.</v>
      </c>
      <c r="I1062" s="1" t="s">
        <v>39</v>
      </c>
      <c r="V1062" s="1" t="str">
        <f t="shared" si="60"/>
        <v>0 г. 0 мес. 0 дн.</v>
      </c>
      <c r="W1062" s="5"/>
    </row>
    <row r="1063" spans="1:23" ht="34.5" customHeight="1" x14ac:dyDescent="0.25">
      <c r="A1063" s="1">
        <f t="shared" si="61"/>
        <v>1062</v>
      </c>
      <c r="B1063" s="1"/>
      <c r="C1063" s="2"/>
      <c r="H1063" s="1" t="str">
        <f t="shared" si="62"/>
        <v>0 г. 0 мес. 0 дн.</v>
      </c>
      <c r="I1063" s="1" t="s">
        <v>39</v>
      </c>
      <c r="V1063" s="1" t="str">
        <f t="shared" si="60"/>
        <v>0 г. 0 мес. 0 дн.</v>
      </c>
      <c r="W1063" s="5"/>
    </row>
    <row r="1064" spans="1:23" ht="34.5" customHeight="1" x14ac:dyDescent="0.25">
      <c r="A1064" s="1">
        <f t="shared" si="61"/>
        <v>1063</v>
      </c>
      <c r="B1064" s="1"/>
      <c r="C1064" s="2"/>
      <c r="H1064" s="1" t="str">
        <f t="shared" si="62"/>
        <v>0 г. 0 мес. 0 дн.</v>
      </c>
      <c r="I1064" s="1" t="s">
        <v>39</v>
      </c>
      <c r="V1064" s="1" t="str">
        <f t="shared" si="60"/>
        <v>0 г. 0 мес. 0 дн.</v>
      </c>
      <c r="W1064" s="5"/>
    </row>
    <row r="1065" spans="1:23" ht="34.5" customHeight="1" x14ac:dyDescent="0.25">
      <c r="A1065" s="1">
        <f t="shared" si="61"/>
        <v>1064</v>
      </c>
      <c r="B1065" s="1"/>
      <c r="C1065" s="2"/>
      <c r="H1065" s="1" t="str">
        <f t="shared" si="62"/>
        <v>0 г. 0 мес. 0 дн.</v>
      </c>
      <c r="I1065" s="1" t="s">
        <v>39</v>
      </c>
      <c r="V1065" s="1" t="str">
        <f t="shared" si="60"/>
        <v>0 г. 0 мес. 0 дн.</v>
      </c>
      <c r="W1065" s="5"/>
    </row>
    <row r="1066" spans="1:23" ht="34.5" customHeight="1" x14ac:dyDescent="0.25">
      <c r="A1066" s="1">
        <f t="shared" si="61"/>
        <v>1065</v>
      </c>
      <c r="B1066" s="1"/>
      <c r="C1066" s="2"/>
      <c r="H1066" s="1" t="str">
        <f t="shared" si="62"/>
        <v>0 г. 0 мес. 0 дн.</v>
      </c>
      <c r="I1066" s="1" t="s">
        <v>39</v>
      </c>
      <c r="V1066" s="1" t="str">
        <f t="shared" si="60"/>
        <v>0 г. 0 мес. 0 дн.</v>
      </c>
      <c r="W1066" s="5"/>
    </row>
    <row r="1067" spans="1:23" ht="34.5" customHeight="1" x14ac:dyDescent="0.25">
      <c r="A1067" s="1">
        <f t="shared" si="61"/>
        <v>1066</v>
      </c>
      <c r="B1067" s="1"/>
      <c r="C1067" s="2"/>
      <c r="H1067" s="1" t="str">
        <f t="shared" si="62"/>
        <v>0 г. 0 мес. 0 дн.</v>
      </c>
      <c r="I1067" s="1" t="s">
        <v>39</v>
      </c>
      <c r="V1067" s="1" t="str">
        <f t="shared" si="60"/>
        <v>0 г. 0 мес. 0 дн.</v>
      </c>
      <c r="W1067" s="5"/>
    </row>
    <row r="1068" spans="1:23" ht="34.5" customHeight="1" x14ac:dyDescent="0.25">
      <c r="A1068" s="1">
        <f t="shared" si="61"/>
        <v>1067</v>
      </c>
      <c r="B1068" s="1"/>
      <c r="C1068" s="2"/>
      <c r="H1068" s="1" t="str">
        <f t="shared" si="62"/>
        <v>0 г. 0 мес. 0 дн.</v>
      </c>
      <c r="I1068" s="1" t="s">
        <v>39</v>
      </c>
      <c r="V1068" s="1" t="str">
        <f t="shared" si="60"/>
        <v>0 г. 0 мес. 0 дн.</v>
      </c>
      <c r="W1068" s="5"/>
    </row>
    <row r="1069" spans="1:23" ht="34.5" customHeight="1" x14ac:dyDescent="0.25">
      <c r="A1069" s="1">
        <f t="shared" si="61"/>
        <v>1068</v>
      </c>
      <c r="B1069" s="1"/>
      <c r="C1069" s="2"/>
      <c r="H1069" s="1" t="str">
        <f t="shared" si="62"/>
        <v>0 г. 0 мес. 0 дн.</v>
      </c>
      <c r="I1069" s="1" t="s">
        <v>39</v>
      </c>
      <c r="V1069" s="1" t="str">
        <f t="shared" si="60"/>
        <v>0 г. 0 мес. 0 дн.</v>
      </c>
      <c r="W1069" s="5"/>
    </row>
    <row r="1070" spans="1:23" ht="34.5" customHeight="1" x14ac:dyDescent="0.25">
      <c r="A1070" s="1">
        <f t="shared" si="61"/>
        <v>1069</v>
      </c>
      <c r="B1070" s="1"/>
      <c r="C1070" s="2"/>
      <c r="H1070" s="1" t="str">
        <f t="shared" si="62"/>
        <v>0 г. 0 мес. 0 дн.</v>
      </c>
      <c r="I1070" s="1" t="s">
        <v>39</v>
      </c>
      <c r="V1070" s="1" t="str">
        <f t="shared" si="60"/>
        <v>0 г. 0 мес. 0 дн.</v>
      </c>
      <c r="W1070" s="5"/>
    </row>
    <row r="1071" spans="1:23" ht="34.5" customHeight="1" x14ac:dyDescent="0.25">
      <c r="A1071" s="1">
        <f t="shared" si="61"/>
        <v>1070</v>
      </c>
      <c r="B1071" s="1"/>
      <c r="C1071" s="2"/>
      <c r="H1071" s="1" t="str">
        <f t="shared" si="62"/>
        <v>0 г. 0 мес. 0 дн.</v>
      </c>
      <c r="I1071" s="1" t="s">
        <v>39</v>
      </c>
      <c r="V1071" s="1" t="str">
        <f t="shared" si="60"/>
        <v>0 г. 0 мес. 0 дн.</v>
      </c>
      <c r="W1071" s="5"/>
    </row>
    <row r="1072" spans="1:23" ht="34.5" customHeight="1" x14ac:dyDescent="0.25">
      <c r="A1072" s="1">
        <f t="shared" si="61"/>
        <v>1071</v>
      </c>
      <c r="B1072" s="1"/>
      <c r="C1072" s="2"/>
      <c r="H1072" s="1" t="str">
        <f t="shared" si="62"/>
        <v>0 г. 0 мес. 0 дн.</v>
      </c>
      <c r="I1072" s="1" t="s">
        <v>39</v>
      </c>
      <c r="V1072" s="1" t="str">
        <f t="shared" si="60"/>
        <v>0 г. 0 мес. 0 дн.</v>
      </c>
      <c r="W1072" s="5"/>
    </row>
    <row r="1073" spans="1:23" ht="34.5" customHeight="1" x14ac:dyDescent="0.25">
      <c r="A1073" s="1">
        <f t="shared" si="61"/>
        <v>1072</v>
      </c>
      <c r="B1073" s="1"/>
      <c r="C1073" s="2"/>
      <c r="H1073" s="1" t="str">
        <f t="shared" si="62"/>
        <v>0 г. 0 мес. 0 дн.</v>
      </c>
      <c r="I1073" s="1" t="s">
        <v>39</v>
      </c>
      <c r="V1073" s="1" t="str">
        <f t="shared" ref="V1073:V1136" si="63">DATEDIF(D1073,T1073,"y") &amp; " г. " &amp; DATEDIF(D1073,T1073,"ym") &amp; " мес. " &amp; DATEDIF(D1073,T1073,"md") &amp; " дн."</f>
        <v>0 г. 0 мес. 0 дн.</v>
      </c>
      <c r="W1073" s="5"/>
    </row>
    <row r="1074" spans="1:23" ht="34.5" customHeight="1" x14ac:dyDescent="0.25">
      <c r="A1074" s="1">
        <f t="shared" si="61"/>
        <v>1073</v>
      </c>
      <c r="B1074" s="1"/>
      <c r="C1074" s="2"/>
      <c r="H1074" s="1" t="str">
        <f t="shared" si="62"/>
        <v>0 г. 0 мес. 0 дн.</v>
      </c>
      <c r="I1074" s="1" t="s">
        <v>39</v>
      </c>
      <c r="V1074" s="1" t="str">
        <f t="shared" si="63"/>
        <v>0 г. 0 мес. 0 дн.</v>
      </c>
      <c r="W1074" s="5"/>
    </row>
    <row r="1075" spans="1:23" ht="34.5" customHeight="1" x14ac:dyDescent="0.25">
      <c r="A1075" s="1">
        <f t="shared" si="61"/>
        <v>1074</v>
      </c>
      <c r="B1075" s="1"/>
      <c r="C1075" s="2"/>
      <c r="H1075" s="1" t="str">
        <f t="shared" si="62"/>
        <v>0 г. 0 мес. 0 дн.</v>
      </c>
      <c r="I1075" s="1" t="s">
        <v>39</v>
      </c>
      <c r="V1075" s="1" t="str">
        <f t="shared" si="63"/>
        <v>0 г. 0 мес. 0 дн.</v>
      </c>
      <c r="W1075" s="5"/>
    </row>
    <row r="1076" spans="1:23" ht="34.5" customHeight="1" x14ac:dyDescent="0.25">
      <c r="A1076" s="1">
        <f t="shared" si="61"/>
        <v>1075</v>
      </c>
      <c r="B1076" s="1"/>
      <c r="C1076" s="2"/>
      <c r="H1076" s="1" t="str">
        <f t="shared" si="62"/>
        <v>0 г. 0 мес. 0 дн.</v>
      </c>
      <c r="I1076" s="1" t="s">
        <v>39</v>
      </c>
      <c r="V1076" s="1" t="str">
        <f t="shared" si="63"/>
        <v>0 г. 0 мес. 0 дн.</v>
      </c>
      <c r="W1076" s="5"/>
    </row>
    <row r="1077" spans="1:23" ht="34.5" customHeight="1" x14ac:dyDescent="0.25">
      <c r="A1077" s="1">
        <f t="shared" si="61"/>
        <v>1076</v>
      </c>
      <c r="B1077" s="1"/>
      <c r="C1077" s="2"/>
      <c r="H1077" s="1" t="str">
        <f t="shared" si="62"/>
        <v>0 г. 0 мес. 0 дн.</v>
      </c>
      <c r="I1077" s="1" t="s">
        <v>39</v>
      </c>
      <c r="V1077" s="1" t="str">
        <f t="shared" si="63"/>
        <v>0 г. 0 мес. 0 дн.</v>
      </c>
      <c r="W1077" s="5"/>
    </row>
    <row r="1078" spans="1:23" ht="34.5" customHeight="1" x14ac:dyDescent="0.25">
      <c r="A1078" s="1">
        <f t="shared" si="61"/>
        <v>1077</v>
      </c>
      <c r="B1078" s="1"/>
      <c r="C1078" s="2"/>
      <c r="H1078" s="1" t="str">
        <f t="shared" si="62"/>
        <v>0 г. 0 мес. 0 дн.</v>
      </c>
      <c r="I1078" s="1" t="s">
        <v>39</v>
      </c>
      <c r="V1078" s="1" t="str">
        <f t="shared" si="63"/>
        <v>0 г. 0 мес. 0 дн.</v>
      </c>
      <c r="W1078" s="5"/>
    </row>
    <row r="1079" spans="1:23" ht="34.5" customHeight="1" x14ac:dyDescent="0.25">
      <c r="A1079" s="1">
        <f t="shared" si="61"/>
        <v>1078</v>
      </c>
      <c r="B1079" s="1"/>
      <c r="C1079" s="2"/>
      <c r="H1079" s="1" t="str">
        <f t="shared" si="62"/>
        <v>0 г. 0 мес. 0 дн.</v>
      </c>
      <c r="I1079" s="1" t="s">
        <v>39</v>
      </c>
      <c r="V1079" s="1" t="str">
        <f t="shared" si="63"/>
        <v>0 г. 0 мес. 0 дн.</v>
      </c>
      <c r="W1079" s="5"/>
    </row>
    <row r="1080" spans="1:23" ht="34.5" customHeight="1" x14ac:dyDescent="0.25">
      <c r="A1080" s="1">
        <f t="shared" si="61"/>
        <v>1079</v>
      </c>
      <c r="B1080" s="1"/>
      <c r="C1080" s="2"/>
      <c r="H1080" s="1" t="str">
        <f t="shared" si="62"/>
        <v>0 г. 0 мес. 0 дн.</v>
      </c>
      <c r="I1080" s="1" t="s">
        <v>39</v>
      </c>
      <c r="V1080" s="1" t="str">
        <f t="shared" si="63"/>
        <v>0 г. 0 мес. 0 дн.</v>
      </c>
      <c r="W1080" s="5"/>
    </row>
    <row r="1081" spans="1:23" ht="34.5" customHeight="1" x14ac:dyDescent="0.25">
      <c r="A1081" s="1">
        <f t="shared" si="61"/>
        <v>1080</v>
      </c>
      <c r="B1081" s="1"/>
      <c r="C1081" s="2"/>
      <c r="H1081" s="1" t="str">
        <f t="shared" si="62"/>
        <v>0 г. 0 мес. 0 дн.</v>
      </c>
      <c r="I1081" s="1" t="s">
        <v>39</v>
      </c>
      <c r="V1081" s="1" t="str">
        <f t="shared" si="63"/>
        <v>0 г. 0 мес. 0 дн.</v>
      </c>
      <c r="W1081" s="5"/>
    </row>
    <row r="1082" spans="1:23" ht="34.5" customHeight="1" x14ac:dyDescent="0.25">
      <c r="A1082" s="1">
        <f t="shared" si="61"/>
        <v>1081</v>
      </c>
      <c r="B1082" s="1"/>
      <c r="C1082" s="2"/>
      <c r="H1082" s="1" t="str">
        <f t="shared" si="62"/>
        <v>0 г. 0 мес. 0 дн.</v>
      </c>
      <c r="I1082" s="1" t="s">
        <v>39</v>
      </c>
      <c r="V1082" s="1" t="str">
        <f t="shared" si="63"/>
        <v>0 г. 0 мес. 0 дн.</v>
      </c>
      <c r="W1082" s="5"/>
    </row>
    <row r="1083" spans="1:23" ht="34.5" customHeight="1" x14ac:dyDescent="0.25">
      <c r="A1083" s="1">
        <f t="shared" si="61"/>
        <v>1082</v>
      </c>
      <c r="B1083" s="1"/>
      <c r="C1083" s="2"/>
      <c r="H1083" s="1" t="str">
        <f t="shared" si="62"/>
        <v>0 г. 0 мес. 0 дн.</v>
      </c>
      <c r="I1083" s="1" t="s">
        <v>39</v>
      </c>
      <c r="V1083" s="1" t="str">
        <f t="shared" si="63"/>
        <v>0 г. 0 мес. 0 дн.</v>
      </c>
      <c r="W1083" s="5"/>
    </row>
    <row r="1084" spans="1:23" ht="34.5" customHeight="1" x14ac:dyDescent="0.25">
      <c r="A1084" s="1">
        <f t="shared" si="61"/>
        <v>1083</v>
      </c>
      <c r="B1084" s="1"/>
      <c r="C1084" s="2"/>
      <c r="H1084" s="1" t="str">
        <f t="shared" si="62"/>
        <v>0 г. 0 мес. 0 дн.</v>
      </c>
      <c r="I1084" s="1" t="s">
        <v>39</v>
      </c>
      <c r="V1084" s="1" t="str">
        <f t="shared" si="63"/>
        <v>0 г. 0 мес. 0 дн.</v>
      </c>
      <c r="W1084" s="5"/>
    </row>
    <row r="1085" spans="1:23" ht="34.5" customHeight="1" x14ac:dyDescent="0.25">
      <c r="A1085" s="1">
        <f t="shared" si="61"/>
        <v>1084</v>
      </c>
      <c r="B1085" s="1"/>
      <c r="C1085" s="2"/>
      <c r="H1085" s="1" t="str">
        <f t="shared" si="62"/>
        <v>0 г. 0 мес. 0 дн.</v>
      </c>
      <c r="I1085" s="1" t="s">
        <v>39</v>
      </c>
      <c r="V1085" s="1" t="str">
        <f t="shared" si="63"/>
        <v>0 г. 0 мес. 0 дн.</v>
      </c>
      <c r="W1085" s="5"/>
    </row>
    <row r="1086" spans="1:23" ht="34.5" customHeight="1" x14ac:dyDescent="0.25">
      <c r="A1086" s="1">
        <f t="shared" si="61"/>
        <v>1085</v>
      </c>
      <c r="B1086" s="1"/>
      <c r="C1086" s="2"/>
      <c r="H1086" s="1" t="str">
        <f t="shared" si="62"/>
        <v>0 г. 0 мес. 0 дн.</v>
      </c>
      <c r="I1086" s="1" t="s">
        <v>39</v>
      </c>
      <c r="V1086" s="1" t="str">
        <f t="shared" si="63"/>
        <v>0 г. 0 мес. 0 дн.</v>
      </c>
      <c r="W1086" s="5"/>
    </row>
    <row r="1087" spans="1:23" ht="34.5" customHeight="1" x14ac:dyDescent="0.25">
      <c r="A1087" s="1">
        <f t="shared" si="61"/>
        <v>1086</v>
      </c>
      <c r="B1087" s="1"/>
      <c r="C1087" s="2"/>
      <c r="H1087" s="1" t="str">
        <f t="shared" si="62"/>
        <v>0 г. 0 мес. 0 дн.</v>
      </c>
      <c r="I1087" s="1" t="s">
        <v>39</v>
      </c>
      <c r="V1087" s="1" t="str">
        <f t="shared" si="63"/>
        <v>0 г. 0 мес. 0 дн.</v>
      </c>
      <c r="W1087" s="5"/>
    </row>
    <row r="1088" spans="1:23" ht="34.5" customHeight="1" x14ac:dyDescent="0.25">
      <c r="A1088" s="1">
        <f t="shared" ref="A1088:A1151" si="64">ROW(A1087)</f>
        <v>1087</v>
      </c>
      <c r="B1088" s="1"/>
      <c r="C1088" s="2"/>
      <c r="H1088" s="1" t="str">
        <f t="shared" si="62"/>
        <v>0 г. 0 мес. 0 дн.</v>
      </c>
      <c r="I1088" s="1" t="s">
        <v>39</v>
      </c>
      <c r="V1088" s="1" t="str">
        <f t="shared" si="63"/>
        <v>0 г. 0 мес. 0 дн.</v>
      </c>
      <c r="W1088" s="5"/>
    </row>
    <row r="1089" spans="1:23" ht="34.5" customHeight="1" x14ac:dyDescent="0.25">
      <c r="A1089" s="1">
        <f t="shared" si="64"/>
        <v>1088</v>
      </c>
      <c r="B1089" s="1"/>
      <c r="C1089" s="2"/>
      <c r="H1089" s="1" t="str">
        <f t="shared" si="62"/>
        <v>0 г. 0 мес. 0 дн.</v>
      </c>
      <c r="I1089" s="1" t="s">
        <v>39</v>
      </c>
      <c r="V1089" s="1" t="str">
        <f t="shared" si="63"/>
        <v>0 г. 0 мес. 0 дн.</v>
      </c>
      <c r="W1089" s="5"/>
    </row>
    <row r="1090" spans="1:23" ht="34.5" customHeight="1" x14ac:dyDescent="0.25">
      <c r="A1090" s="1">
        <f t="shared" si="64"/>
        <v>1089</v>
      </c>
      <c r="B1090" s="1"/>
      <c r="C1090" s="2"/>
      <c r="H1090" s="1" t="str">
        <f t="shared" ref="H1090:H1153" si="65">DATEDIF(G1090,D1090,"y") &amp; " г. " &amp; DATEDIF(G1090,D1090,"ym") &amp; " мес. " &amp; DATEDIF(G1090,D1090,"md") &amp; " дн."</f>
        <v>0 г. 0 мес. 0 дн.</v>
      </c>
      <c r="I1090" s="1" t="s">
        <v>39</v>
      </c>
      <c r="V1090" s="1" t="str">
        <f t="shared" si="63"/>
        <v>0 г. 0 мес. 0 дн.</v>
      </c>
      <c r="W1090" s="5"/>
    </row>
    <row r="1091" spans="1:23" ht="34.5" customHeight="1" x14ac:dyDescent="0.25">
      <c r="A1091" s="1">
        <f t="shared" si="64"/>
        <v>1090</v>
      </c>
      <c r="B1091" s="1"/>
      <c r="C1091" s="2"/>
      <c r="H1091" s="1" t="str">
        <f t="shared" si="65"/>
        <v>0 г. 0 мес. 0 дн.</v>
      </c>
      <c r="I1091" s="1" t="s">
        <v>39</v>
      </c>
      <c r="V1091" s="1" t="str">
        <f t="shared" si="63"/>
        <v>0 г. 0 мес. 0 дн.</v>
      </c>
      <c r="W1091" s="5"/>
    </row>
    <row r="1092" spans="1:23" ht="34.5" customHeight="1" x14ac:dyDescent="0.25">
      <c r="A1092" s="1">
        <f t="shared" si="64"/>
        <v>1091</v>
      </c>
      <c r="B1092" s="1"/>
      <c r="C1092" s="2"/>
      <c r="H1092" s="1" t="str">
        <f t="shared" si="65"/>
        <v>0 г. 0 мес. 0 дн.</v>
      </c>
      <c r="I1092" s="1" t="s">
        <v>39</v>
      </c>
      <c r="V1092" s="1" t="str">
        <f t="shared" si="63"/>
        <v>0 г. 0 мес. 0 дн.</v>
      </c>
      <c r="W1092" s="5"/>
    </row>
    <row r="1093" spans="1:23" ht="34.5" customHeight="1" x14ac:dyDescent="0.25">
      <c r="A1093" s="1">
        <f t="shared" si="64"/>
        <v>1092</v>
      </c>
      <c r="B1093" s="1"/>
      <c r="C1093" s="2"/>
      <c r="H1093" s="1" t="str">
        <f t="shared" si="65"/>
        <v>0 г. 0 мес. 0 дн.</v>
      </c>
      <c r="I1093" s="1" t="s">
        <v>39</v>
      </c>
      <c r="V1093" s="1" t="str">
        <f t="shared" si="63"/>
        <v>0 г. 0 мес. 0 дн.</v>
      </c>
      <c r="W1093" s="5"/>
    </row>
    <row r="1094" spans="1:23" ht="34.5" customHeight="1" x14ac:dyDescent="0.25">
      <c r="A1094" s="1">
        <f t="shared" si="64"/>
        <v>1093</v>
      </c>
      <c r="B1094" s="1"/>
      <c r="C1094" s="2"/>
      <c r="H1094" s="1" t="str">
        <f t="shared" si="65"/>
        <v>0 г. 0 мес. 0 дн.</v>
      </c>
      <c r="I1094" s="1" t="s">
        <v>39</v>
      </c>
      <c r="V1094" s="1" t="str">
        <f t="shared" si="63"/>
        <v>0 г. 0 мес. 0 дн.</v>
      </c>
      <c r="W1094" s="5"/>
    </row>
    <row r="1095" spans="1:23" ht="34.5" customHeight="1" x14ac:dyDescent="0.25">
      <c r="A1095" s="1">
        <f t="shared" si="64"/>
        <v>1094</v>
      </c>
      <c r="B1095" s="1"/>
      <c r="C1095" s="2"/>
      <c r="H1095" s="1" t="str">
        <f t="shared" si="65"/>
        <v>0 г. 0 мес. 0 дн.</v>
      </c>
      <c r="I1095" s="1" t="s">
        <v>39</v>
      </c>
      <c r="V1095" s="1" t="str">
        <f t="shared" si="63"/>
        <v>0 г. 0 мес. 0 дн.</v>
      </c>
      <c r="W1095" s="5"/>
    </row>
    <row r="1096" spans="1:23" ht="34.5" customHeight="1" x14ac:dyDescent="0.25">
      <c r="A1096" s="1">
        <f t="shared" si="64"/>
        <v>1095</v>
      </c>
      <c r="B1096" s="1"/>
      <c r="C1096" s="2"/>
      <c r="H1096" s="1" t="str">
        <f t="shared" si="65"/>
        <v>0 г. 0 мес. 0 дн.</v>
      </c>
      <c r="I1096" s="1" t="s">
        <v>39</v>
      </c>
      <c r="V1096" s="1" t="str">
        <f t="shared" si="63"/>
        <v>0 г. 0 мес. 0 дн.</v>
      </c>
      <c r="W1096" s="5"/>
    </row>
    <row r="1097" spans="1:23" ht="34.5" customHeight="1" x14ac:dyDescent="0.25">
      <c r="A1097" s="1">
        <f t="shared" si="64"/>
        <v>1096</v>
      </c>
      <c r="B1097" s="1"/>
      <c r="C1097" s="2"/>
      <c r="H1097" s="1" t="str">
        <f t="shared" si="65"/>
        <v>0 г. 0 мес. 0 дн.</v>
      </c>
      <c r="I1097" s="1" t="s">
        <v>39</v>
      </c>
      <c r="V1097" s="1" t="str">
        <f t="shared" si="63"/>
        <v>0 г. 0 мес. 0 дн.</v>
      </c>
      <c r="W1097" s="5"/>
    </row>
    <row r="1098" spans="1:23" ht="34.5" customHeight="1" x14ac:dyDescent="0.25">
      <c r="A1098" s="1">
        <f t="shared" si="64"/>
        <v>1097</v>
      </c>
      <c r="B1098" s="1"/>
      <c r="C1098" s="2"/>
      <c r="H1098" s="1" t="str">
        <f t="shared" si="65"/>
        <v>0 г. 0 мес. 0 дн.</v>
      </c>
      <c r="I1098" s="1" t="s">
        <v>39</v>
      </c>
      <c r="V1098" s="1" t="str">
        <f t="shared" si="63"/>
        <v>0 г. 0 мес. 0 дн.</v>
      </c>
      <c r="W1098" s="5"/>
    </row>
    <row r="1099" spans="1:23" ht="34.5" customHeight="1" x14ac:dyDescent="0.25">
      <c r="A1099" s="1">
        <f t="shared" si="64"/>
        <v>1098</v>
      </c>
      <c r="B1099" s="1"/>
      <c r="C1099" s="2"/>
      <c r="H1099" s="1" t="str">
        <f t="shared" si="65"/>
        <v>0 г. 0 мес. 0 дн.</v>
      </c>
      <c r="I1099" s="1" t="s">
        <v>39</v>
      </c>
      <c r="V1099" s="1" t="str">
        <f t="shared" si="63"/>
        <v>0 г. 0 мес. 0 дн.</v>
      </c>
      <c r="W1099" s="5"/>
    </row>
    <row r="1100" spans="1:23" ht="34.5" customHeight="1" x14ac:dyDescent="0.25">
      <c r="A1100" s="1">
        <f t="shared" si="64"/>
        <v>1099</v>
      </c>
      <c r="B1100" s="1"/>
      <c r="C1100" s="2"/>
      <c r="H1100" s="1" t="str">
        <f t="shared" si="65"/>
        <v>0 г. 0 мес. 0 дн.</v>
      </c>
      <c r="I1100" s="1" t="s">
        <v>39</v>
      </c>
      <c r="V1100" s="1" t="str">
        <f t="shared" si="63"/>
        <v>0 г. 0 мес. 0 дн.</v>
      </c>
      <c r="W1100" s="5"/>
    </row>
    <row r="1101" spans="1:23" ht="34.5" customHeight="1" x14ac:dyDescent="0.25">
      <c r="A1101" s="1">
        <f t="shared" si="64"/>
        <v>1100</v>
      </c>
      <c r="B1101" s="1"/>
      <c r="C1101" s="2"/>
      <c r="H1101" s="1" t="str">
        <f t="shared" si="65"/>
        <v>0 г. 0 мес. 0 дн.</v>
      </c>
      <c r="I1101" s="1" t="s">
        <v>39</v>
      </c>
      <c r="V1101" s="1" t="str">
        <f t="shared" si="63"/>
        <v>0 г. 0 мес. 0 дн.</v>
      </c>
      <c r="W1101" s="5"/>
    </row>
    <row r="1102" spans="1:23" ht="34.5" customHeight="1" x14ac:dyDescent="0.25">
      <c r="A1102" s="1">
        <f t="shared" si="64"/>
        <v>1101</v>
      </c>
      <c r="B1102" s="1"/>
      <c r="C1102" s="2"/>
      <c r="H1102" s="1" t="str">
        <f t="shared" si="65"/>
        <v>0 г. 0 мес. 0 дн.</v>
      </c>
      <c r="I1102" s="1" t="s">
        <v>39</v>
      </c>
      <c r="V1102" s="1" t="str">
        <f t="shared" si="63"/>
        <v>0 г. 0 мес. 0 дн.</v>
      </c>
      <c r="W1102" s="5"/>
    </row>
    <row r="1103" spans="1:23" ht="34.5" customHeight="1" x14ac:dyDescent="0.25">
      <c r="A1103" s="1">
        <f t="shared" si="64"/>
        <v>1102</v>
      </c>
      <c r="B1103" s="1"/>
      <c r="C1103" s="2"/>
      <c r="H1103" s="1" t="str">
        <f t="shared" si="65"/>
        <v>0 г. 0 мес. 0 дн.</v>
      </c>
      <c r="I1103" s="1" t="s">
        <v>39</v>
      </c>
      <c r="V1103" s="1" t="str">
        <f t="shared" si="63"/>
        <v>0 г. 0 мес. 0 дн.</v>
      </c>
      <c r="W1103" s="5"/>
    </row>
    <row r="1104" spans="1:23" ht="34.5" customHeight="1" x14ac:dyDescent="0.25">
      <c r="A1104" s="1">
        <f t="shared" si="64"/>
        <v>1103</v>
      </c>
      <c r="B1104" s="1"/>
      <c r="C1104" s="2"/>
      <c r="H1104" s="1" t="str">
        <f t="shared" si="65"/>
        <v>0 г. 0 мес. 0 дн.</v>
      </c>
      <c r="I1104" s="1" t="s">
        <v>39</v>
      </c>
      <c r="V1104" s="1" t="str">
        <f t="shared" si="63"/>
        <v>0 г. 0 мес. 0 дн.</v>
      </c>
      <c r="W1104" s="5"/>
    </row>
    <row r="1105" spans="1:23" ht="34.5" customHeight="1" x14ac:dyDescent="0.25">
      <c r="A1105" s="1">
        <f t="shared" si="64"/>
        <v>1104</v>
      </c>
      <c r="B1105" s="1"/>
      <c r="C1105" s="2"/>
      <c r="H1105" s="1" t="str">
        <f t="shared" si="65"/>
        <v>0 г. 0 мес. 0 дн.</v>
      </c>
      <c r="I1105" s="1" t="s">
        <v>39</v>
      </c>
      <c r="V1105" s="1" t="str">
        <f t="shared" si="63"/>
        <v>0 г. 0 мес. 0 дн.</v>
      </c>
      <c r="W1105" s="5"/>
    </row>
    <row r="1106" spans="1:23" ht="34.5" customHeight="1" x14ac:dyDescent="0.25">
      <c r="A1106" s="1">
        <f t="shared" si="64"/>
        <v>1105</v>
      </c>
      <c r="B1106" s="1"/>
      <c r="C1106" s="2"/>
      <c r="H1106" s="1" t="str">
        <f t="shared" si="65"/>
        <v>0 г. 0 мес. 0 дн.</v>
      </c>
      <c r="I1106" s="1" t="s">
        <v>39</v>
      </c>
      <c r="V1106" s="1" t="str">
        <f t="shared" si="63"/>
        <v>0 г. 0 мес. 0 дн.</v>
      </c>
      <c r="W1106" s="5"/>
    </row>
    <row r="1107" spans="1:23" ht="34.5" customHeight="1" x14ac:dyDescent="0.25">
      <c r="A1107" s="1">
        <f t="shared" si="64"/>
        <v>1106</v>
      </c>
      <c r="B1107" s="1"/>
      <c r="C1107" s="2"/>
      <c r="H1107" s="1" t="str">
        <f t="shared" si="65"/>
        <v>0 г. 0 мес. 0 дн.</v>
      </c>
      <c r="I1107" s="1" t="s">
        <v>39</v>
      </c>
      <c r="V1107" s="1" t="str">
        <f t="shared" si="63"/>
        <v>0 г. 0 мес. 0 дн.</v>
      </c>
      <c r="W1107" s="5"/>
    </row>
    <row r="1108" spans="1:23" ht="34.5" customHeight="1" x14ac:dyDescent="0.25">
      <c r="A1108" s="1">
        <f t="shared" si="64"/>
        <v>1107</v>
      </c>
      <c r="B1108" s="1"/>
      <c r="C1108" s="2"/>
      <c r="H1108" s="1" t="str">
        <f t="shared" si="65"/>
        <v>0 г. 0 мес. 0 дн.</v>
      </c>
      <c r="I1108" s="1" t="s">
        <v>39</v>
      </c>
      <c r="V1108" s="1" t="str">
        <f t="shared" si="63"/>
        <v>0 г. 0 мес. 0 дн.</v>
      </c>
      <c r="W1108" s="5"/>
    </row>
    <row r="1109" spans="1:23" ht="34.5" customHeight="1" x14ac:dyDescent="0.25">
      <c r="A1109" s="1">
        <f t="shared" si="64"/>
        <v>1108</v>
      </c>
      <c r="B1109" s="1"/>
      <c r="C1109" s="2"/>
      <c r="H1109" s="1" t="str">
        <f t="shared" si="65"/>
        <v>0 г. 0 мес. 0 дн.</v>
      </c>
      <c r="I1109" s="1" t="s">
        <v>39</v>
      </c>
      <c r="V1109" s="1" t="str">
        <f t="shared" si="63"/>
        <v>0 г. 0 мес. 0 дн.</v>
      </c>
      <c r="W1109" s="5"/>
    </row>
    <row r="1110" spans="1:23" ht="34.5" customHeight="1" x14ac:dyDescent="0.25">
      <c r="A1110" s="1">
        <f t="shared" si="64"/>
        <v>1109</v>
      </c>
      <c r="B1110" s="1"/>
      <c r="C1110" s="2"/>
      <c r="H1110" s="1" t="str">
        <f t="shared" si="65"/>
        <v>0 г. 0 мес. 0 дн.</v>
      </c>
      <c r="I1110" s="1" t="s">
        <v>39</v>
      </c>
      <c r="V1110" s="1" t="str">
        <f t="shared" si="63"/>
        <v>0 г. 0 мес. 0 дн.</v>
      </c>
      <c r="W1110" s="5"/>
    </row>
    <row r="1111" spans="1:23" ht="34.5" customHeight="1" x14ac:dyDescent="0.25">
      <c r="A1111" s="1">
        <f t="shared" si="64"/>
        <v>1110</v>
      </c>
      <c r="B1111" s="1"/>
      <c r="C1111" s="2"/>
      <c r="H1111" s="1" t="str">
        <f t="shared" si="65"/>
        <v>0 г. 0 мес. 0 дн.</v>
      </c>
      <c r="I1111" s="1" t="s">
        <v>39</v>
      </c>
      <c r="V1111" s="1" t="str">
        <f t="shared" si="63"/>
        <v>0 г. 0 мес. 0 дн.</v>
      </c>
      <c r="W1111" s="5"/>
    </row>
    <row r="1112" spans="1:23" ht="34.5" customHeight="1" x14ac:dyDescent="0.25">
      <c r="A1112" s="1">
        <f t="shared" si="64"/>
        <v>1111</v>
      </c>
      <c r="B1112" s="1"/>
      <c r="C1112" s="2"/>
      <c r="H1112" s="1" t="str">
        <f t="shared" si="65"/>
        <v>0 г. 0 мес. 0 дн.</v>
      </c>
      <c r="I1112" s="1" t="s">
        <v>39</v>
      </c>
      <c r="V1112" s="1" t="str">
        <f t="shared" si="63"/>
        <v>0 г. 0 мес. 0 дн.</v>
      </c>
      <c r="W1112" s="5"/>
    </row>
    <row r="1113" spans="1:23" ht="34.5" customHeight="1" x14ac:dyDescent="0.25">
      <c r="A1113" s="1">
        <f t="shared" si="64"/>
        <v>1112</v>
      </c>
      <c r="B1113" s="1"/>
      <c r="C1113" s="2"/>
      <c r="H1113" s="1" t="str">
        <f t="shared" si="65"/>
        <v>0 г. 0 мес. 0 дн.</v>
      </c>
      <c r="I1113" s="1" t="s">
        <v>39</v>
      </c>
      <c r="V1113" s="1" t="str">
        <f t="shared" si="63"/>
        <v>0 г. 0 мес. 0 дн.</v>
      </c>
      <c r="W1113" s="5"/>
    </row>
    <row r="1114" spans="1:23" ht="34.5" customHeight="1" x14ac:dyDescent="0.25">
      <c r="A1114" s="1">
        <f t="shared" si="64"/>
        <v>1113</v>
      </c>
      <c r="B1114" s="1"/>
      <c r="C1114" s="2"/>
      <c r="H1114" s="1" t="str">
        <f t="shared" si="65"/>
        <v>0 г. 0 мес. 0 дн.</v>
      </c>
      <c r="I1114" s="1" t="s">
        <v>39</v>
      </c>
      <c r="V1114" s="1" t="str">
        <f t="shared" si="63"/>
        <v>0 г. 0 мес. 0 дн.</v>
      </c>
      <c r="W1114" s="5"/>
    </row>
    <row r="1115" spans="1:23" ht="34.5" customHeight="1" x14ac:dyDescent="0.25">
      <c r="A1115" s="1">
        <f t="shared" si="64"/>
        <v>1114</v>
      </c>
      <c r="B1115" s="1"/>
      <c r="C1115" s="2"/>
      <c r="H1115" s="1" t="str">
        <f t="shared" si="65"/>
        <v>0 г. 0 мес. 0 дн.</v>
      </c>
      <c r="I1115" s="1" t="s">
        <v>39</v>
      </c>
      <c r="V1115" s="1" t="str">
        <f t="shared" si="63"/>
        <v>0 г. 0 мес. 0 дн.</v>
      </c>
      <c r="W1115" s="5"/>
    </row>
    <row r="1116" spans="1:23" ht="34.5" customHeight="1" x14ac:dyDescent="0.25">
      <c r="A1116" s="1">
        <f t="shared" si="64"/>
        <v>1115</v>
      </c>
      <c r="B1116" s="1"/>
      <c r="C1116" s="2"/>
      <c r="H1116" s="1" t="str">
        <f t="shared" si="65"/>
        <v>0 г. 0 мес. 0 дн.</v>
      </c>
      <c r="I1116" s="1" t="s">
        <v>39</v>
      </c>
      <c r="V1116" s="1" t="str">
        <f t="shared" si="63"/>
        <v>0 г. 0 мес. 0 дн.</v>
      </c>
      <c r="W1116" s="5"/>
    </row>
    <row r="1117" spans="1:23" ht="34.5" customHeight="1" x14ac:dyDescent="0.25">
      <c r="A1117" s="1">
        <f t="shared" si="64"/>
        <v>1116</v>
      </c>
      <c r="B1117" s="1"/>
      <c r="C1117" s="2"/>
      <c r="H1117" s="1" t="str">
        <f t="shared" si="65"/>
        <v>0 г. 0 мес. 0 дн.</v>
      </c>
      <c r="I1117" s="1" t="s">
        <v>39</v>
      </c>
      <c r="V1117" s="1" t="str">
        <f t="shared" si="63"/>
        <v>0 г. 0 мес. 0 дн.</v>
      </c>
      <c r="W1117" s="5"/>
    </row>
    <row r="1118" spans="1:23" ht="34.5" customHeight="1" x14ac:dyDescent="0.25">
      <c r="A1118" s="1">
        <f t="shared" si="64"/>
        <v>1117</v>
      </c>
      <c r="B1118" s="1"/>
      <c r="C1118" s="2"/>
      <c r="H1118" s="1" t="str">
        <f t="shared" si="65"/>
        <v>0 г. 0 мес. 0 дн.</v>
      </c>
      <c r="I1118" s="1" t="s">
        <v>39</v>
      </c>
      <c r="V1118" s="1" t="str">
        <f t="shared" si="63"/>
        <v>0 г. 0 мес. 0 дн.</v>
      </c>
      <c r="W1118" s="5"/>
    </row>
    <row r="1119" spans="1:23" ht="34.5" customHeight="1" x14ac:dyDescent="0.25">
      <c r="A1119" s="1">
        <f t="shared" si="64"/>
        <v>1118</v>
      </c>
      <c r="B1119" s="1"/>
      <c r="C1119" s="2"/>
      <c r="H1119" s="1" t="str">
        <f t="shared" si="65"/>
        <v>0 г. 0 мес. 0 дн.</v>
      </c>
      <c r="I1119" s="1" t="s">
        <v>39</v>
      </c>
      <c r="V1119" s="1" t="str">
        <f t="shared" si="63"/>
        <v>0 г. 0 мес. 0 дн.</v>
      </c>
      <c r="W1119" s="5"/>
    </row>
    <row r="1120" spans="1:23" ht="34.5" customHeight="1" x14ac:dyDescent="0.25">
      <c r="A1120" s="1">
        <f t="shared" si="64"/>
        <v>1119</v>
      </c>
      <c r="B1120" s="1"/>
      <c r="C1120" s="2"/>
      <c r="H1120" s="1" t="str">
        <f t="shared" si="65"/>
        <v>0 г. 0 мес. 0 дн.</v>
      </c>
      <c r="I1120" s="1" t="s">
        <v>39</v>
      </c>
      <c r="V1120" s="1" t="str">
        <f t="shared" si="63"/>
        <v>0 г. 0 мес. 0 дн.</v>
      </c>
      <c r="W1120" s="5"/>
    </row>
    <row r="1121" spans="1:23" ht="34.5" customHeight="1" x14ac:dyDescent="0.25">
      <c r="A1121" s="1">
        <f t="shared" si="64"/>
        <v>1120</v>
      </c>
      <c r="B1121" s="1"/>
      <c r="C1121" s="2"/>
      <c r="H1121" s="1" t="str">
        <f t="shared" si="65"/>
        <v>0 г. 0 мес. 0 дн.</v>
      </c>
      <c r="I1121" s="1" t="s">
        <v>39</v>
      </c>
      <c r="V1121" s="1" t="str">
        <f t="shared" si="63"/>
        <v>0 г. 0 мес. 0 дн.</v>
      </c>
      <c r="W1121" s="5"/>
    </row>
    <row r="1122" spans="1:23" ht="34.5" customHeight="1" x14ac:dyDescent="0.25">
      <c r="A1122" s="1">
        <f t="shared" si="64"/>
        <v>1121</v>
      </c>
      <c r="B1122" s="1"/>
      <c r="C1122" s="2"/>
      <c r="H1122" s="1" t="str">
        <f t="shared" si="65"/>
        <v>0 г. 0 мес. 0 дн.</v>
      </c>
      <c r="I1122" s="1" t="s">
        <v>39</v>
      </c>
      <c r="V1122" s="1" t="str">
        <f t="shared" si="63"/>
        <v>0 г. 0 мес. 0 дн.</v>
      </c>
      <c r="W1122" s="5"/>
    </row>
    <row r="1123" spans="1:23" ht="34.5" customHeight="1" x14ac:dyDescent="0.25">
      <c r="A1123" s="1">
        <f t="shared" si="64"/>
        <v>1122</v>
      </c>
      <c r="B1123" s="1"/>
      <c r="C1123" s="2"/>
      <c r="H1123" s="1" t="str">
        <f t="shared" si="65"/>
        <v>0 г. 0 мес. 0 дн.</v>
      </c>
      <c r="I1123" s="1" t="s">
        <v>39</v>
      </c>
      <c r="V1123" s="1" t="str">
        <f t="shared" si="63"/>
        <v>0 г. 0 мес. 0 дн.</v>
      </c>
      <c r="W1123" s="5"/>
    </row>
    <row r="1124" spans="1:23" ht="34.5" customHeight="1" x14ac:dyDescent="0.25">
      <c r="A1124" s="1">
        <f t="shared" si="64"/>
        <v>1123</v>
      </c>
      <c r="B1124" s="1"/>
      <c r="C1124" s="2"/>
      <c r="H1124" s="1" t="str">
        <f t="shared" si="65"/>
        <v>0 г. 0 мес. 0 дн.</v>
      </c>
      <c r="I1124" s="1" t="s">
        <v>39</v>
      </c>
      <c r="V1124" s="1" t="str">
        <f t="shared" si="63"/>
        <v>0 г. 0 мес. 0 дн.</v>
      </c>
      <c r="W1124" s="5"/>
    </row>
    <row r="1125" spans="1:23" ht="34.5" customHeight="1" x14ac:dyDescent="0.25">
      <c r="A1125" s="1">
        <f t="shared" si="64"/>
        <v>1124</v>
      </c>
      <c r="B1125" s="1"/>
      <c r="C1125" s="2"/>
      <c r="H1125" s="1" t="str">
        <f t="shared" si="65"/>
        <v>0 г. 0 мес. 0 дн.</v>
      </c>
      <c r="I1125" s="1" t="s">
        <v>39</v>
      </c>
      <c r="V1125" s="1" t="str">
        <f t="shared" si="63"/>
        <v>0 г. 0 мес. 0 дн.</v>
      </c>
      <c r="W1125" s="5"/>
    </row>
    <row r="1126" spans="1:23" ht="34.5" customHeight="1" x14ac:dyDescent="0.25">
      <c r="A1126" s="1">
        <f t="shared" si="64"/>
        <v>1125</v>
      </c>
      <c r="B1126" s="1"/>
      <c r="C1126" s="2"/>
      <c r="H1126" s="1" t="str">
        <f t="shared" si="65"/>
        <v>0 г. 0 мес. 0 дн.</v>
      </c>
      <c r="I1126" s="1" t="s">
        <v>39</v>
      </c>
      <c r="V1126" s="1" t="str">
        <f t="shared" si="63"/>
        <v>0 г. 0 мес. 0 дн.</v>
      </c>
      <c r="W1126" s="5"/>
    </row>
    <row r="1127" spans="1:23" ht="34.5" customHeight="1" x14ac:dyDescent="0.25">
      <c r="A1127" s="1">
        <f t="shared" si="64"/>
        <v>1126</v>
      </c>
      <c r="B1127" s="1"/>
      <c r="C1127" s="2"/>
      <c r="H1127" s="1" t="str">
        <f t="shared" si="65"/>
        <v>0 г. 0 мес. 0 дн.</v>
      </c>
      <c r="I1127" s="1" t="s">
        <v>39</v>
      </c>
      <c r="V1127" s="1" t="str">
        <f t="shared" si="63"/>
        <v>0 г. 0 мес. 0 дн.</v>
      </c>
      <c r="W1127" s="5"/>
    </row>
    <row r="1128" spans="1:23" ht="34.5" customHeight="1" x14ac:dyDescent="0.25">
      <c r="A1128" s="1">
        <f t="shared" si="64"/>
        <v>1127</v>
      </c>
      <c r="B1128" s="1"/>
      <c r="C1128" s="2"/>
      <c r="H1128" s="1" t="str">
        <f t="shared" si="65"/>
        <v>0 г. 0 мес. 0 дн.</v>
      </c>
      <c r="I1128" s="1" t="s">
        <v>39</v>
      </c>
      <c r="V1128" s="1" t="str">
        <f t="shared" si="63"/>
        <v>0 г. 0 мес. 0 дн.</v>
      </c>
      <c r="W1128" s="5"/>
    </row>
    <row r="1129" spans="1:23" ht="34.5" customHeight="1" x14ac:dyDescent="0.25">
      <c r="A1129" s="1">
        <f t="shared" si="64"/>
        <v>1128</v>
      </c>
      <c r="B1129" s="1"/>
      <c r="C1129" s="2"/>
      <c r="H1129" s="1" t="str">
        <f t="shared" si="65"/>
        <v>0 г. 0 мес. 0 дн.</v>
      </c>
      <c r="I1129" s="1" t="s">
        <v>39</v>
      </c>
      <c r="V1129" s="1" t="str">
        <f t="shared" si="63"/>
        <v>0 г. 0 мес. 0 дн.</v>
      </c>
      <c r="W1129" s="5"/>
    </row>
    <row r="1130" spans="1:23" ht="34.5" customHeight="1" x14ac:dyDescent="0.25">
      <c r="A1130" s="1">
        <f t="shared" si="64"/>
        <v>1129</v>
      </c>
      <c r="B1130" s="1"/>
      <c r="C1130" s="2"/>
      <c r="H1130" s="1" t="str">
        <f t="shared" si="65"/>
        <v>0 г. 0 мес. 0 дн.</v>
      </c>
      <c r="I1130" s="1" t="s">
        <v>39</v>
      </c>
      <c r="V1130" s="1" t="str">
        <f t="shared" si="63"/>
        <v>0 г. 0 мес. 0 дн.</v>
      </c>
      <c r="W1130" s="5"/>
    </row>
    <row r="1131" spans="1:23" ht="34.5" customHeight="1" x14ac:dyDescent="0.25">
      <c r="A1131" s="1">
        <f t="shared" si="64"/>
        <v>1130</v>
      </c>
      <c r="B1131" s="1"/>
      <c r="C1131" s="2"/>
      <c r="H1131" s="1" t="str">
        <f t="shared" si="65"/>
        <v>0 г. 0 мес. 0 дн.</v>
      </c>
      <c r="I1131" s="1" t="s">
        <v>39</v>
      </c>
      <c r="V1131" s="1" t="str">
        <f t="shared" si="63"/>
        <v>0 г. 0 мес. 0 дн.</v>
      </c>
      <c r="W1131" s="5"/>
    </row>
    <row r="1132" spans="1:23" ht="34.5" customHeight="1" x14ac:dyDescent="0.25">
      <c r="A1132" s="1">
        <f t="shared" si="64"/>
        <v>1131</v>
      </c>
      <c r="B1132" s="1"/>
      <c r="C1132" s="2"/>
      <c r="H1132" s="1" t="str">
        <f t="shared" si="65"/>
        <v>0 г. 0 мес. 0 дн.</v>
      </c>
      <c r="I1132" s="1" t="s">
        <v>39</v>
      </c>
      <c r="V1132" s="1" t="str">
        <f t="shared" si="63"/>
        <v>0 г. 0 мес. 0 дн.</v>
      </c>
      <c r="W1132" s="5"/>
    </row>
    <row r="1133" spans="1:23" ht="34.5" customHeight="1" x14ac:dyDescent="0.25">
      <c r="A1133" s="1">
        <f t="shared" si="64"/>
        <v>1132</v>
      </c>
      <c r="B1133" s="1"/>
      <c r="C1133" s="2"/>
      <c r="H1133" s="1" t="str">
        <f t="shared" si="65"/>
        <v>0 г. 0 мес. 0 дн.</v>
      </c>
      <c r="I1133" s="1" t="s">
        <v>39</v>
      </c>
      <c r="V1133" s="1" t="str">
        <f t="shared" si="63"/>
        <v>0 г. 0 мес. 0 дн.</v>
      </c>
      <c r="W1133" s="5"/>
    </row>
    <row r="1134" spans="1:23" ht="34.5" customHeight="1" x14ac:dyDescent="0.25">
      <c r="A1134" s="1">
        <f t="shared" si="64"/>
        <v>1133</v>
      </c>
      <c r="B1134" s="1"/>
      <c r="C1134" s="2"/>
      <c r="H1134" s="1" t="str">
        <f t="shared" si="65"/>
        <v>0 г. 0 мес. 0 дн.</v>
      </c>
      <c r="I1134" s="1" t="s">
        <v>39</v>
      </c>
      <c r="V1134" s="1" t="str">
        <f t="shared" si="63"/>
        <v>0 г. 0 мес. 0 дн.</v>
      </c>
      <c r="W1134" s="5"/>
    </row>
    <row r="1135" spans="1:23" ht="34.5" customHeight="1" x14ac:dyDescent="0.25">
      <c r="A1135" s="1">
        <f t="shared" si="64"/>
        <v>1134</v>
      </c>
      <c r="B1135" s="1"/>
      <c r="C1135" s="2"/>
      <c r="H1135" s="1" t="str">
        <f t="shared" si="65"/>
        <v>0 г. 0 мес. 0 дн.</v>
      </c>
      <c r="I1135" s="1" t="s">
        <v>39</v>
      </c>
      <c r="V1135" s="1" t="str">
        <f t="shared" si="63"/>
        <v>0 г. 0 мес. 0 дн.</v>
      </c>
      <c r="W1135" s="5"/>
    </row>
    <row r="1136" spans="1:23" ht="34.5" customHeight="1" x14ac:dyDescent="0.25">
      <c r="A1136" s="1">
        <f t="shared" si="64"/>
        <v>1135</v>
      </c>
      <c r="B1136" s="1"/>
      <c r="C1136" s="2"/>
      <c r="H1136" s="1" t="str">
        <f t="shared" si="65"/>
        <v>0 г. 0 мес. 0 дн.</v>
      </c>
      <c r="I1136" s="1" t="s">
        <v>39</v>
      </c>
      <c r="V1136" s="1" t="str">
        <f t="shared" si="63"/>
        <v>0 г. 0 мес. 0 дн.</v>
      </c>
      <c r="W1136" s="5"/>
    </row>
    <row r="1137" spans="1:23" ht="34.5" customHeight="1" x14ac:dyDescent="0.25">
      <c r="A1137" s="1">
        <f t="shared" si="64"/>
        <v>1136</v>
      </c>
      <c r="B1137" s="1"/>
      <c r="C1137" s="2"/>
      <c r="H1137" s="1" t="str">
        <f t="shared" si="65"/>
        <v>0 г. 0 мес. 0 дн.</v>
      </c>
      <c r="I1137" s="1" t="s">
        <v>39</v>
      </c>
      <c r="V1137" s="1" t="str">
        <f t="shared" ref="V1137:V1200" si="66">DATEDIF(D1137,T1137,"y") &amp; " г. " &amp; DATEDIF(D1137,T1137,"ym") &amp; " мес. " &amp; DATEDIF(D1137,T1137,"md") &amp; " дн."</f>
        <v>0 г. 0 мес. 0 дн.</v>
      </c>
      <c r="W1137" s="5"/>
    </row>
    <row r="1138" spans="1:23" ht="34.5" customHeight="1" x14ac:dyDescent="0.25">
      <c r="A1138" s="1">
        <f t="shared" si="64"/>
        <v>1137</v>
      </c>
      <c r="B1138" s="1"/>
      <c r="C1138" s="2"/>
      <c r="H1138" s="1" t="str">
        <f t="shared" si="65"/>
        <v>0 г. 0 мес. 0 дн.</v>
      </c>
      <c r="I1138" s="1" t="s">
        <v>39</v>
      </c>
      <c r="V1138" s="1" t="str">
        <f t="shared" si="66"/>
        <v>0 г. 0 мес. 0 дн.</v>
      </c>
      <c r="W1138" s="5"/>
    </row>
    <row r="1139" spans="1:23" ht="34.5" customHeight="1" x14ac:dyDescent="0.25">
      <c r="A1139" s="1">
        <f t="shared" si="64"/>
        <v>1138</v>
      </c>
      <c r="B1139" s="1"/>
      <c r="C1139" s="2"/>
      <c r="H1139" s="1" t="str">
        <f t="shared" si="65"/>
        <v>0 г. 0 мес. 0 дн.</v>
      </c>
      <c r="I1139" s="1" t="s">
        <v>39</v>
      </c>
      <c r="V1139" s="1" t="str">
        <f t="shared" si="66"/>
        <v>0 г. 0 мес. 0 дн.</v>
      </c>
      <c r="W1139" s="5"/>
    </row>
    <row r="1140" spans="1:23" ht="34.5" customHeight="1" x14ac:dyDescent="0.25">
      <c r="A1140" s="1">
        <f t="shared" si="64"/>
        <v>1139</v>
      </c>
      <c r="B1140" s="1"/>
      <c r="C1140" s="2"/>
      <c r="H1140" s="1" t="str">
        <f t="shared" si="65"/>
        <v>0 г. 0 мес. 0 дн.</v>
      </c>
      <c r="I1140" s="1" t="s">
        <v>39</v>
      </c>
      <c r="V1140" s="1" t="str">
        <f t="shared" si="66"/>
        <v>0 г. 0 мес. 0 дн.</v>
      </c>
      <c r="W1140" s="5"/>
    </row>
    <row r="1141" spans="1:23" ht="34.5" customHeight="1" x14ac:dyDescent="0.25">
      <c r="A1141" s="1">
        <f t="shared" si="64"/>
        <v>1140</v>
      </c>
      <c r="B1141" s="1"/>
      <c r="C1141" s="2"/>
      <c r="H1141" s="1" t="str">
        <f t="shared" si="65"/>
        <v>0 г. 0 мес. 0 дн.</v>
      </c>
      <c r="I1141" s="1" t="s">
        <v>39</v>
      </c>
      <c r="V1141" s="1" t="str">
        <f t="shared" si="66"/>
        <v>0 г. 0 мес. 0 дн.</v>
      </c>
      <c r="W1141" s="5"/>
    </row>
    <row r="1142" spans="1:23" ht="34.5" customHeight="1" x14ac:dyDescent="0.25">
      <c r="A1142" s="1">
        <f t="shared" si="64"/>
        <v>1141</v>
      </c>
      <c r="B1142" s="1"/>
      <c r="C1142" s="2"/>
      <c r="H1142" s="1" t="str">
        <f t="shared" si="65"/>
        <v>0 г. 0 мес. 0 дн.</v>
      </c>
      <c r="I1142" s="1" t="s">
        <v>39</v>
      </c>
      <c r="V1142" s="1" t="str">
        <f t="shared" si="66"/>
        <v>0 г. 0 мес. 0 дн.</v>
      </c>
      <c r="W1142" s="5"/>
    </row>
    <row r="1143" spans="1:23" ht="34.5" customHeight="1" x14ac:dyDescent="0.25">
      <c r="A1143" s="1">
        <f t="shared" si="64"/>
        <v>1142</v>
      </c>
      <c r="B1143" s="1"/>
      <c r="C1143" s="2"/>
      <c r="H1143" s="1" t="str">
        <f t="shared" si="65"/>
        <v>0 г. 0 мес. 0 дн.</v>
      </c>
      <c r="I1143" s="1" t="s">
        <v>39</v>
      </c>
      <c r="V1143" s="1" t="str">
        <f t="shared" si="66"/>
        <v>0 г. 0 мес. 0 дн.</v>
      </c>
      <c r="W1143" s="5"/>
    </row>
    <row r="1144" spans="1:23" ht="34.5" customHeight="1" x14ac:dyDescent="0.25">
      <c r="A1144" s="1">
        <f t="shared" si="64"/>
        <v>1143</v>
      </c>
      <c r="B1144" s="1"/>
      <c r="C1144" s="2"/>
      <c r="H1144" s="1" t="str">
        <f t="shared" si="65"/>
        <v>0 г. 0 мес. 0 дн.</v>
      </c>
      <c r="I1144" s="1" t="s">
        <v>39</v>
      </c>
      <c r="V1144" s="1" t="str">
        <f t="shared" si="66"/>
        <v>0 г. 0 мес. 0 дн.</v>
      </c>
      <c r="W1144" s="5"/>
    </row>
    <row r="1145" spans="1:23" ht="34.5" customHeight="1" x14ac:dyDescent="0.25">
      <c r="A1145" s="1">
        <f t="shared" si="64"/>
        <v>1144</v>
      </c>
      <c r="B1145" s="1"/>
      <c r="C1145" s="2"/>
      <c r="H1145" s="1" t="str">
        <f t="shared" si="65"/>
        <v>0 г. 0 мес. 0 дн.</v>
      </c>
      <c r="I1145" s="1" t="s">
        <v>39</v>
      </c>
      <c r="V1145" s="1" t="str">
        <f t="shared" si="66"/>
        <v>0 г. 0 мес. 0 дн.</v>
      </c>
      <c r="W1145" s="5"/>
    </row>
    <row r="1146" spans="1:23" ht="34.5" customHeight="1" x14ac:dyDescent="0.25">
      <c r="A1146" s="1">
        <f t="shared" si="64"/>
        <v>1145</v>
      </c>
      <c r="B1146" s="1"/>
      <c r="C1146" s="2"/>
      <c r="H1146" s="1" t="str">
        <f t="shared" si="65"/>
        <v>0 г. 0 мес. 0 дн.</v>
      </c>
      <c r="I1146" s="1" t="s">
        <v>39</v>
      </c>
      <c r="V1146" s="1" t="str">
        <f t="shared" si="66"/>
        <v>0 г. 0 мес. 0 дн.</v>
      </c>
      <c r="W1146" s="5"/>
    </row>
    <row r="1147" spans="1:23" ht="34.5" customHeight="1" x14ac:dyDescent="0.25">
      <c r="A1147" s="1">
        <f t="shared" si="64"/>
        <v>1146</v>
      </c>
      <c r="B1147" s="1"/>
      <c r="C1147" s="2"/>
      <c r="H1147" s="1" t="str">
        <f t="shared" si="65"/>
        <v>0 г. 0 мес. 0 дн.</v>
      </c>
      <c r="I1147" s="1" t="s">
        <v>39</v>
      </c>
      <c r="V1147" s="1" t="str">
        <f t="shared" si="66"/>
        <v>0 г. 0 мес. 0 дн.</v>
      </c>
      <c r="W1147" s="5"/>
    </row>
    <row r="1148" spans="1:23" ht="34.5" customHeight="1" x14ac:dyDescent="0.25">
      <c r="A1148" s="1">
        <f t="shared" si="64"/>
        <v>1147</v>
      </c>
      <c r="B1148" s="1"/>
      <c r="C1148" s="2"/>
      <c r="H1148" s="1" t="str">
        <f t="shared" si="65"/>
        <v>0 г. 0 мес. 0 дн.</v>
      </c>
      <c r="I1148" s="1" t="s">
        <v>39</v>
      </c>
      <c r="V1148" s="1" t="str">
        <f t="shared" si="66"/>
        <v>0 г. 0 мес. 0 дн.</v>
      </c>
      <c r="W1148" s="5"/>
    </row>
    <row r="1149" spans="1:23" ht="34.5" customHeight="1" x14ac:dyDescent="0.25">
      <c r="A1149" s="1">
        <f t="shared" si="64"/>
        <v>1148</v>
      </c>
      <c r="B1149" s="1"/>
      <c r="C1149" s="2"/>
      <c r="H1149" s="1" t="str">
        <f t="shared" si="65"/>
        <v>0 г. 0 мес. 0 дн.</v>
      </c>
      <c r="I1149" s="1" t="s">
        <v>39</v>
      </c>
      <c r="V1149" s="1" t="str">
        <f t="shared" si="66"/>
        <v>0 г. 0 мес. 0 дн.</v>
      </c>
      <c r="W1149" s="5"/>
    </row>
    <row r="1150" spans="1:23" ht="34.5" customHeight="1" x14ac:dyDescent="0.25">
      <c r="A1150" s="1">
        <f t="shared" si="64"/>
        <v>1149</v>
      </c>
      <c r="B1150" s="1"/>
      <c r="C1150" s="2"/>
      <c r="H1150" s="1" t="str">
        <f t="shared" si="65"/>
        <v>0 г. 0 мес. 0 дн.</v>
      </c>
      <c r="I1150" s="1" t="s">
        <v>39</v>
      </c>
      <c r="V1150" s="1" t="str">
        <f t="shared" si="66"/>
        <v>0 г. 0 мес. 0 дн.</v>
      </c>
      <c r="W1150" s="5"/>
    </row>
    <row r="1151" spans="1:23" ht="34.5" customHeight="1" x14ac:dyDescent="0.25">
      <c r="A1151" s="1">
        <f t="shared" si="64"/>
        <v>1150</v>
      </c>
      <c r="B1151" s="1"/>
      <c r="C1151" s="2"/>
      <c r="H1151" s="1" t="str">
        <f t="shared" si="65"/>
        <v>0 г. 0 мес. 0 дн.</v>
      </c>
      <c r="I1151" s="1" t="s">
        <v>39</v>
      </c>
      <c r="V1151" s="1" t="str">
        <f t="shared" si="66"/>
        <v>0 г. 0 мес. 0 дн.</v>
      </c>
      <c r="W1151" s="5"/>
    </row>
    <row r="1152" spans="1:23" ht="34.5" customHeight="1" x14ac:dyDescent="0.25">
      <c r="A1152" s="1">
        <f t="shared" ref="A1152:A1215" si="67">ROW(A1151)</f>
        <v>1151</v>
      </c>
      <c r="B1152" s="1"/>
      <c r="C1152" s="2"/>
      <c r="H1152" s="1" t="str">
        <f t="shared" si="65"/>
        <v>0 г. 0 мес. 0 дн.</v>
      </c>
      <c r="I1152" s="1" t="s">
        <v>39</v>
      </c>
      <c r="V1152" s="1" t="str">
        <f t="shared" si="66"/>
        <v>0 г. 0 мес. 0 дн.</v>
      </c>
      <c r="W1152" s="5"/>
    </row>
    <row r="1153" spans="1:23" ht="34.5" customHeight="1" x14ac:dyDescent="0.25">
      <c r="A1153" s="1">
        <f t="shared" si="67"/>
        <v>1152</v>
      </c>
      <c r="B1153" s="1"/>
      <c r="C1153" s="2"/>
      <c r="H1153" s="1" t="str">
        <f t="shared" si="65"/>
        <v>0 г. 0 мес. 0 дн.</v>
      </c>
      <c r="I1153" s="1" t="s">
        <v>39</v>
      </c>
      <c r="V1153" s="1" t="str">
        <f t="shared" si="66"/>
        <v>0 г. 0 мес. 0 дн.</v>
      </c>
      <c r="W1153" s="5"/>
    </row>
    <row r="1154" spans="1:23" ht="34.5" customHeight="1" x14ac:dyDescent="0.25">
      <c r="A1154" s="1">
        <f t="shared" si="67"/>
        <v>1153</v>
      </c>
      <c r="B1154" s="1"/>
      <c r="C1154" s="2"/>
      <c r="H1154" s="1" t="str">
        <f t="shared" ref="H1154:H1217" si="68">DATEDIF(G1154,D1154,"y") &amp; " г. " &amp; DATEDIF(G1154,D1154,"ym") &amp; " мес. " &amp; DATEDIF(G1154,D1154,"md") &amp; " дн."</f>
        <v>0 г. 0 мес. 0 дн.</v>
      </c>
      <c r="I1154" s="1" t="s">
        <v>39</v>
      </c>
      <c r="V1154" s="1" t="str">
        <f t="shared" si="66"/>
        <v>0 г. 0 мес. 0 дн.</v>
      </c>
      <c r="W1154" s="5"/>
    </row>
    <row r="1155" spans="1:23" ht="34.5" customHeight="1" x14ac:dyDescent="0.25">
      <c r="A1155" s="1">
        <f t="shared" si="67"/>
        <v>1154</v>
      </c>
      <c r="B1155" s="1"/>
      <c r="C1155" s="2"/>
      <c r="H1155" s="1" t="str">
        <f t="shared" si="68"/>
        <v>0 г. 0 мес. 0 дн.</v>
      </c>
      <c r="I1155" s="1" t="s">
        <v>39</v>
      </c>
      <c r="V1155" s="1" t="str">
        <f t="shared" si="66"/>
        <v>0 г. 0 мес. 0 дн.</v>
      </c>
      <c r="W1155" s="5"/>
    </row>
    <row r="1156" spans="1:23" ht="34.5" customHeight="1" x14ac:dyDescent="0.25">
      <c r="A1156" s="1">
        <f t="shared" si="67"/>
        <v>1155</v>
      </c>
      <c r="B1156" s="1"/>
      <c r="C1156" s="2"/>
      <c r="H1156" s="1" t="str">
        <f t="shared" si="68"/>
        <v>0 г. 0 мес. 0 дн.</v>
      </c>
      <c r="I1156" s="1" t="s">
        <v>39</v>
      </c>
      <c r="V1156" s="1" t="str">
        <f t="shared" si="66"/>
        <v>0 г. 0 мес. 0 дн.</v>
      </c>
      <c r="W1156" s="5"/>
    </row>
    <row r="1157" spans="1:23" ht="34.5" customHeight="1" x14ac:dyDescent="0.25">
      <c r="A1157" s="1">
        <f t="shared" si="67"/>
        <v>1156</v>
      </c>
      <c r="B1157" s="1"/>
      <c r="C1157" s="2"/>
      <c r="H1157" s="1" t="str">
        <f t="shared" si="68"/>
        <v>0 г. 0 мес. 0 дн.</v>
      </c>
      <c r="I1157" s="1" t="s">
        <v>39</v>
      </c>
      <c r="V1157" s="1" t="str">
        <f t="shared" si="66"/>
        <v>0 г. 0 мес. 0 дн.</v>
      </c>
      <c r="W1157" s="5"/>
    </row>
    <row r="1158" spans="1:23" ht="34.5" customHeight="1" x14ac:dyDescent="0.25">
      <c r="A1158" s="1">
        <f t="shared" si="67"/>
        <v>1157</v>
      </c>
      <c r="B1158" s="1"/>
      <c r="C1158" s="2"/>
      <c r="H1158" s="1" t="str">
        <f t="shared" si="68"/>
        <v>0 г. 0 мес. 0 дн.</v>
      </c>
      <c r="I1158" s="1" t="s">
        <v>39</v>
      </c>
      <c r="V1158" s="1" t="str">
        <f t="shared" si="66"/>
        <v>0 г. 0 мес. 0 дн.</v>
      </c>
      <c r="W1158" s="5"/>
    </row>
    <row r="1159" spans="1:23" ht="34.5" customHeight="1" x14ac:dyDescent="0.25">
      <c r="A1159" s="1">
        <f t="shared" si="67"/>
        <v>1158</v>
      </c>
      <c r="B1159" s="1"/>
      <c r="C1159" s="2"/>
      <c r="H1159" s="1" t="str">
        <f t="shared" si="68"/>
        <v>0 г. 0 мес. 0 дн.</v>
      </c>
      <c r="I1159" s="1" t="s">
        <v>39</v>
      </c>
      <c r="V1159" s="1" t="str">
        <f t="shared" si="66"/>
        <v>0 г. 0 мес. 0 дн.</v>
      </c>
      <c r="W1159" s="5"/>
    </row>
    <row r="1160" spans="1:23" ht="34.5" customHeight="1" x14ac:dyDescent="0.25">
      <c r="A1160" s="1">
        <f t="shared" si="67"/>
        <v>1159</v>
      </c>
      <c r="B1160" s="1"/>
      <c r="C1160" s="2"/>
      <c r="H1160" s="1" t="str">
        <f t="shared" si="68"/>
        <v>0 г. 0 мес. 0 дн.</v>
      </c>
      <c r="I1160" s="1" t="s">
        <v>39</v>
      </c>
      <c r="V1160" s="1" t="str">
        <f t="shared" si="66"/>
        <v>0 г. 0 мес. 0 дн.</v>
      </c>
      <c r="W1160" s="5"/>
    </row>
    <row r="1161" spans="1:23" ht="34.5" customHeight="1" x14ac:dyDescent="0.25">
      <c r="A1161" s="1">
        <f t="shared" si="67"/>
        <v>1160</v>
      </c>
      <c r="B1161" s="1"/>
      <c r="C1161" s="2"/>
      <c r="H1161" s="1" t="str">
        <f t="shared" si="68"/>
        <v>0 г. 0 мес. 0 дн.</v>
      </c>
      <c r="I1161" s="1" t="s">
        <v>39</v>
      </c>
      <c r="V1161" s="1" t="str">
        <f t="shared" si="66"/>
        <v>0 г. 0 мес. 0 дн.</v>
      </c>
      <c r="W1161" s="5"/>
    </row>
    <row r="1162" spans="1:23" ht="34.5" customHeight="1" x14ac:dyDescent="0.25">
      <c r="A1162" s="1">
        <f t="shared" si="67"/>
        <v>1161</v>
      </c>
      <c r="B1162" s="1"/>
      <c r="C1162" s="2"/>
      <c r="H1162" s="1" t="str">
        <f t="shared" si="68"/>
        <v>0 г. 0 мес. 0 дн.</v>
      </c>
      <c r="I1162" s="1" t="s">
        <v>39</v>
      </c>
      <c r="V1162" s="1" t="str">
        <f t="shared" si="66"/>
        <v>0 г. 0 мес. 0 дн.</v>
      </c>
      <c r="W1162" s="5"/>
    </row>
    <row r="1163" spans="1:23" ht="34.5" customHeight="1" x14ac:dyDescent="0.25">
      <c r="A1163" s="1">
        <f t="shared" si="67"/>
        <v>1162</v>
      </c>
      <c r="B1163" s="1"/>
      <c r="C1163" s="2"/>
      <c r="H1163" s="1" t="str">
        <f t="shared" si="68"/>
        <v>0 г. 0 мес. 0 дн.</v>
      </c>
      <c r="I1163" s="1" t="s">
        <v>39</v>
      </c>
      <c r="V1163" s="1" t="str">
        <f t="shared" si="66"/>
        <v>0 г. 0 мес. 0 дн.</v>
      </c>
      <c r="W1163" s="5"/>
    </row>
    <row r="1164" spans="1:23" ht="34.5" customHeight="1" x14ac:dyDescent="0.25">
      <c r="A1164" s="1">
        <f t="shared" si="67"/>
        <v>1163</v>
      </c>
      <c r="B1164" s="1"/>
      <c r="C1164" s="2"/>
      <c r="H1164" s="1" t="str">
        <f t="shared" si="68"/>
        <v>0 г. 0 мес. 0 дн.</v>
      </c>
      <c r="I1164" s="1" t="s">
        <v>39</v>
      </c>
      <c r="V1164" s="1" t="str">
        <f t="shared" si="66"/>
        <v>0 г. 0 мес. 0 дн.</v>
      </c>
      <c r="W1164" s="5"/>
    </row>
    <row r="1165" spans="1:23" ht="34.5" customHeight="1" x14ac:dyDescent="0.25">
      <c r="A1165" s="1">
        <f t="shared" si="67"/>
        <v>1164</v>
      </c>
      <c r="B1165" s="1"/>
      <c r="C1165" s="2"/>
      <c r="H1165" s="1" t="str">
        <f t="shared" si="68"/>
        <v>0 г. 0 мес. 0 дн.</v>
      </c>
      <c r="I1165" s="1" t="s">
        <v>39</v>
      </c>
      <c r="V1165" s="1" t="str">
        <f t="shared" si="66"/>
        <v>0 г. 0 мес. 0 дн.</v>
      </c>
      <c r="W1165" s="5"/>
    </row>
    <row r="1166" spans="1:23" ht="34.5" customHeight="1" x14ac:dyDescent="0.25">
      <c r="A1166" s="1">
        <f t="shared" si="67"/>
        <v>1165</v>
      </c>
      <c r="B1166" s="1"/>
      <c r="C1166" s="2"/>
      <c r="H1166" s="1" t="str">
        <f t="shared" si="68"/>
        <v>0 г. 0 мес. 0 дн.</v>
      </c>
      <c r="I1166" s="1" t="s">
        <v>39</v>
      </c>
      <c r="V1166" s="1" t="str">
        <f t="shared" si="66"/>
        <v>0 г. 0 мес. 0 дн.</v>
      </c>
      <c r="W1166" s="5"/>
    </row>
    <row r="1167" spans="1:23" ht="34.5" customHeight="1" x14ac:dyDescent="0.25">
      <c r="A1167" s="1">
        <f t="shared" si="67"/>
        <v>1166</v>
      </c>
      <c r="B1167" s="1"/>
      <c r="C1167" s="2"/>
      <c r="H1167" s="1" t="str">
        <f t="shared" si="68"/>
        <v>0 г. 0 мес. 0 дн.</v>
      </c>
      <c r="I1167" s="1" t="s">
        <v>39</v>
      </c>
      <c r="V1167" s="1" t="str">
        <f t="shared" si="66"/>
        <v>0 г. 0 мес. 0 дн.</v>
      </c>
      <c r="W1167" s="5"/>
    </row>
    <row r="1168" spans="1:23" ht="34.5" customHeight="1" x14ac:dyDescent="0.25">
      <c r="A1168" s="1">
        <f t="shared" si="67"/>
        <v>1167</v>
      </c>
      <c r="B1168" s="1"/>
      <c r="C1168" s="2"/>
      <c r="H1168" s="1" t="str">
        <f t="shared" si="68"/>
        <v>0 г. 0 мес. 0 дн.</v>
      </c>
      <c r="I1168" s="1" t="s">
        <v>39</v>
      </c>
      <c r="V1168" s="1" t="str">
        <f t="shared" si="66"/>
        <v>0 г. 0 мес. 0 дн.</v>
      </c>
      <c r="W1168" s="5"/>
    </row>
    <row r="1169" spans="1:23" ht="34.5" customHeight="1" x14ac:dyDescent="0.25">
      <c r="A1169" s="1">
        <f t="shared" si="67"/>
        <v>1168</v>
      </c>
      <c r="B1169" s="1"/>
      <c r="C1169" s="2"/>
      <c r="H1169" s="1" t="str">
        <f t="shared" si="68"/>
        <v>0 г. 0 мес. 0 дн.</v>
      </c>
      <c r="I1169" s="1" t="s">
        <v>39</v>
      </c>
      <c r="V1169" s="1" t="str">
        <f t="shared" si="66"/>
        <v>0 г. 0 мес. 0 дн.</v>
      </c>
      <c r="W1169" s="5"/>
    </row>
    <row r="1170" spans="1:23" ht="34.5" customHeight="1" x14ac:dyDescent="0.25">
      <c r="A1170" s="1">
        <f t="shared" si="67"/>
        <v>1169</v>
      </c>
      <c r="B1170" s="1"/>
      <c r="C1170" s="2"/>
      <c r="H1170" s="1" t="str">
        <f t="shared" si="68"/>
        <v>0 г. 0 мес. 0 дн.</v>
      </c>
      <c r="I1170" s="1" t="s">
        <v>39</v>
      </c>
      <c r="V1170" s="1" t="str">
        <f t="shared" si="66"/>
        <v>0 г. 0 мес. 0 дн.</v>
      </c>
      <c r="W1170" s="5"/>
    </row>
    <row r="1171" spans="1:23" ht="34.5" customHeight="1" x14ac:dyDescent="0.25">
      <c r="A1171" s="1">
        <f t="shared" si="67"/>
        <v>1170</v>
      </c>
      <c r="B1171" s="1"/>
      <c r="C1171" s="2"/>
      <c r="H1171" s="1" t="str">
        <f t="shared" si="68"/>
        <v>0 г. 0 мес. 0 дн.</v>
      </c>
      <c r="I1171" s="1" t="s">
        <v>39</v>
      </c>
      <c r="V1171" s="1" t="str">
        <f t="shared" si="66"/>
        <v>0 г. 0 мес. 0 дн.</v>
      </c>
      <c r="W1171" s="5"/>
    </row>
    <row r="1172" spans="1:23" ht="34.5" customHeight="1" x14ac:dyDescent="0.25">
      <c r="A1172" s="1">
        <f t="shared" si="67"/>
        <v>1171</v>
      </c>
      <c r="B1172" s="1"/>
      <c r="C1172" s="2"/>
      <c r="H1172" s="1" t="str">
        <f t="shared" si="68"/>
        <v>0 г. 0 мес. 0 дн.</v>
      </c>
      <c r="I1172" s="1" t="s">
        <v>39</v>
      </c>
      <c r="V1172" s="1" t="str">
        <f t="shared" si="66"/>
        <v>0 г. 0 мес. 0 дн.</v>
      </c>
      <c r="W1172" s="5"/>
    </row>
    <row r="1173" spans="1:23" ht="34.5" customHeight="1" x14ac:dyDescent="0.25">
      <c r="A1173" s="1">
        <f t="shared" si="67"/>
        <v>1172</v>
      </c>
      <c r="B1173" s="1"/>
      <c r="C1173" s="2"/>
      <c r="H1173" s="1" t="str">
        <f t="shared" si="68"/>
        <v>0 г. 0 мес. 0 дн.</v>
      </c>
      <c r="I1173" s="1" t="s">
        <v>39</v>
      </c>
      <c r="V1173" s="1" t="str">
        <f t="shared" si="66"/>
        <v>0 г. 0 мес. 0 дн.</v>
      </c>
      <c r="W1173" s="5"/>
    </row>
    <row r="1174" spans="1:23" ht="34.5" customHeight="1" x14ac:dyDescent="0.25">
      <c r="A1174" s="1">
        <f t="shared" si="67"/>
        <v>1173</v>
      </c>
      <c r="B1174" s="1"/>
      <c r="C1174" s="2"/>
      <c r="H1174" s="1" t="str">
        <f t="shared" si="68"/>
        <v>0 г. 0 мес. 0 дн.</v>
      </c>
      <c r="I1174" s="1" t="s">
        <v>39</v>
      </c>
      <c r="V1174" s="1" t="str">
        <f t="shared" si="66"/>
        <v>0 г. 0 мес. 0 дн.</v>
      </c>
      <c r="W1174" s="5"/>
    </row>
    <row r="1175" spans="1:23" ht="34.5" customHeight="1" x14ac:dyDescent="0.25">
      <c r="A1175" s="1">
        <f t="shared" si="67"/>
        <v>1174</v>
      </c>
      <c r="B1175" s="1"/>
      <c r="C1175" s="2"/>
      <c r="H1175" s="1" t="str">
        <f t="shared" si="68"/>
        <v>0 г. 0 мес. 0 дн.</v>
      </c>
      <c r="I1175" s="1" t="s">
        <v>39</v>
      </c>
      <c r="V1175" s="1" t="str">
        <f t="shared" si="66"/>
        <v>0 г. 0 мес. 0 дн.</v>
      </c>
      <c r="W1175" s="5"/>
    </row>
    <row r="1176" spans="1:23" ht="34.5" customHeight="1" x14ac:dyDescent="0.25">
      <c r="A1176" s="1">
        <f t="shared" si="67"/>
        <v>1175</v>
      </c>
      <c r="B1176" s="1"/>
      <c r="C1176" s="2"/>
      <c r="H1176" s="1" t="str">
        <f t="shared" si="68"/>
        <v>0 г. 0 мес. 0 дн.</v>
      </c>
      <c r="I1176" s="1" t="s">
        <v>39</v>
      </c>
      <c r="V1176" s="1" t="str">
        <f t="shared" si="66"/>
        <v>0 г. 0 мес. 0 дн.</v>
      </c>
      <c r="W1176" s="5"/>
    </row>
    <row r="1177" spans="1:23" ht="34.5" customHeight="1" x14ac:dyDescent="0.25">
      <c r="A1177" s="1">
        <f t="shared" si="67"/>
        <v>1176</v>
      </c>
      <c r="B1177" s="1"/>
      <c r="C1177" s="2"/>
      <c r="H1177" s="1" t="str">
        <f t="shared" si="68"/>
        <v>0 г. 0 мес. 0 дн.</v>
      </c>
      <c r="I1177" s="1" t="s">
        <v>39</v>
      </c>
      <c r="V1177" s="1" t="str">
        <f t="shared" si="66"/>
        <v>0 г. 0 мес. 0 дн.</v>
      </c>
      <c r="W1177" s="5"/>
    </row>
    <row r="1178" spans="1:23" ht="34.5" customHeight="1" x14ac:dyDescent="0.25">
      <c r="A1178" s="1">
        <f t="shared" si="67"/>
        <v>1177</v>
      </c>
      <c r="B1178" s="1"/>
      <c r="C1178" s="2"/>
      <c r="H1178" s="1" t="str">
        <f t="shared" si="68"/>
        <v>0 г. 0 мес. 0 дн.</v>
      </c>
      <c r="I1178" s="1" t="s">
        <v>39</v>
      </c>
      <c r="V1178" s="1" t="str">
        <f t="shared" si="66"/>
        <v>0 г. 0 мес. 0 дн.</v>
      </c>
      <c r="W1178" s="5"/>
    </row>
    <row r="1179" spans="1:23" ht="34.5" customHeight="1" x14ac:dyDescent="0.25">
      <c r="A1179" s="1">
        <f t="shared" si="67"/>
        <v>1178</v>
      </c>
      <c r="B1179" s="1"/>
      <c r="C1179" s="2"/>
      <c r="H1179" s="1" t="str">
        <f t="shared" si="68"/>
        <v>0 г. 0 мес. 0 дн.</v>
      </c>
      <c r="I1179" s="1" t="s">
        <v>39</v>
      </c>
      <c r="V1179" s="1" t="str">
        <f t="shared" si="66"/>
        <v>0 г. 0 мес. 0 дн.</v>
      </c>
      <c r="W1179" s="5"/>
    </row>
    <row r="1180" spans="1:23" ht="34.5" customHeight="1" x14ac:dyDescent="0.25">
      <c r="A1180" s="1">
        <f t="shared" si="67"/>
        <v>1179</v>
      </c>
      <c r="B1180" s="1"/>
      <c r="C1180" s="2"/>
      <c r="H1180" s="1" t="str">
        <f t="shared" si="68"/>
        <v>0 г. 0 мес. 0 дн.</v>
      </c>
      <c r="I1180" s="1" t="s">
        <v>39</v>
      </c>
      <c r="V1180" s="1" t="str">
        <f t="shared" si="66"/>
        <v>0 г. 0 мес. 0 дн.</v>
      </c>
      <c r="W1180" s="5"/>
    </row>
    <row r="1181" spans="1:23" ht="34.5" customHeight="1" x14ac:dyDescent="0.25">
      <c r="A1181" s="1">
        <f t="shared" si="67"/>
        <v>1180</v>
      </c>
      <c r="B1181" s="1"/>
      <c r="C1181" s="2"/>
      <c r="H1181" s="1" t="str">
        <f t="shared" si="68"/>
        <v>0 г. 0 мес. 0 дн.</v>
      </c>
      <c r="I1181" s="1" t="s">
        <v>39</v>
      </c>
      <c r="V1181" s="1" t="str">
        <f t="shared" si="66"/>
        <v>0 г. 0 мес. 0 дн.</v>
      </c>
      <c r="W1181" s="5"/>
    </row>
    <row r="1182" spans="1:23" ht="34.5" customHeight="1" x14ac:dyDescent="0.25">
      <c r="A1182" s="1">
        <f t="shared" si="67"/>
        <v>1181</v>
      </c>
      <c r="B1182" s="1"/>
      <c r="C1182" s="2"/>
      <c r="H1182" s="1" t="str">
        <f t="shared" si="68"/>
        <v>0 г. 0 мес. 0 дн.</v>
      </c>
      <c r="I1182" s="1" t="s">
        <v>39</v>
      </c>
      <c r="V1182" s="1" t="str">
        <f t="shared" si="66"/>
        <v>0 г. 0 мес. 0 дн.</v>
      </c>
      <c r="W1182" s="5"/>
    </row>
    <row r="1183" spans="1:23" ht="34.5" customHeight="1" x14ac:dyDescent="0.25">
      <c r="A1183" s="1">
        <f t="shared" si="67"/>
        <v>1182</v>
      </c>
      <c r="B1183" s="1"/>
      <c r="C1183" s="2"/>
      <c r="H1183" s="1" t="str">
        <f t="shared" si="68"/>
        <v>0 г. 0 мес. 0 дн.</v>
      </c>
      <c r="I1183" s="1" t="s">
        <v>39</v>
      </c>
      <c r="V1183" s="1" t="str">
        <f t="shared" si="66"/>
        <v>0 г. 0 мес. 0 дн.</v>
      </c>
      <c r="W1183" s="5"/>
    </row>
    <row r="1184" spans="1:23" ht="34.5" customHeight="1" x14ac:dyDescent="0.25">
      <c r="A1184" s="1">
        <f t="shared" si="67"/>
        <v>1183</v>
      </c>
      <c r="B1184" s="1"/>
      <c r="C1184" s="2"/>
      <c r="H1184" s="1" t="str">
        <f t="shared" si="68"/>
        <v>0 г. 0 мес. 0 дн.</v>
      </c>
      <c r="I1184" s="1" t="s">
        <v>39</v>
      </c>
      <c r="V1184" s="1" t="str">
        <f t="shared" si="66"/>
        <v>0 г. 0 мес. 0 дн.</v>
      </c>
      <c r="W1184" s="5"/>
    </row>
    <row r="1185" spans="1:23" ht="34.5" customHeight="1" x14ac:dyDescent="0.25">
      <c r="A1185" s="1">
        <f t="shared" si="67"/>
        <v>1184</v>
      </c>
      <c r="B1185" s="1"/>
      <c r="C1185" s="2"/>
      <c r="H1185" s="1" t="str">
        <f t="shared" si="68"/>
        <v>0 г. 0 мес. 0 дн.</v>
      </c>
      <c r="I1185" s="1" t="s">
        <v>39</v>
      </c>
      <c r="V1185" s="1" t="str">
        <f t="shared" si="66"/>
        <v>0 г. 0 мес. 0 дн.</v>
      </c>
      <c r="W1185" s="5"/>
    </row>
    <row r="1186" spans="1:23" ht="34.5" customHeight="1" x14ac:dyDescent="0.25">
      <c r="A1186" s="1">
        <f t="shared" si="67"/>
        <v>1185</v>
      </c>
      <c r="B1186" s="1"/>
      <c r="C1186" s="2"/>
      <c r="H1186" s="1" t="str">
        <f t="shared" si="68"/>
        <v>0 г. 0 мес. 0 дн.</v>
      </c>
      <c r="I1186" s="1" t="s">
        <v>39</v>
      </c>
      <c r="V1186" s="1" t="str">
        <f t="shared" si="66"/>
        <v>0 г. 0 мес. 0 дн.</v>
      </c>
      <c r="W1186" s="5"/>
    </row>
    <row r="1187" spans="1:23" ht="34.5" customHeight="1" x14ac:dyDescent="0.25">
      <c r="A1187" s="1">
        <f t="shared" si="67"/>
        <v>1186</v>
      </c>
      <c r="B1187" s="1"/>
      <c r="C1187" s="2"/>
      <c r="H1187" s="1" t="str">
        <f t="shared" si="68"/>
        <v>0 г. 0 мес. 0 дн.</v>
      </c>
      <c r="I1187" s="1" t="s">
        <v>39</v>
      </c>
      <c r="V1187" s="1" t="str">
        <f t="shared" si="66"/>
        <v>0 г. 0 мес. 0 дн.</v>
      </c>
      <c r="W1187" s="5"/>
    </row>
    <row r="1188" spans="1:23" ht="34.5" customHeight="1" x14ac:dyDescent="0.25">
      <c r="A1188" s="1">
        <f t="shared" si="67"/>
        <v>1187</v>
      </c>
      <c r="B1188" s="1"/>
      <c r="C1188" s="2"/>
      <c r="H1188" s="1" t="str">
        <f t="shared" si="68"/>
        <v>0 г. 0 мес. 0 дн.</v>
      </c>
      <c r="I1188" s="1" t="s">
        <v>39</v>
      </c>
      <c r="V1188" s="1" t="str">
        <f t="shared" si="66"/>
        <v>0 г. 0 мес. 0 дн.</v>
      </c>
      <c r="W1188" s="5"/>
    </row>
    <row r="1189" spans="1:23" ht="34.5" customHeight="1" x14ac:dyDescent="0.25">
      <c r="A1189" s="1">
        <f t="shared" si="67"/>
        <v>1188</v>
      </c>
      <c r="B1189" s="1"/>
      <c r="C1189" s="2"/>
      <c r="H1189" s="1" t="str">
        <f t="shared" si="68"/>
        <v>0 г. 0 мес. 0 дн.</v>
      </c>
      <c r="I1189" s="1" t="s">
        <v>39</v>
      </c>
      <c r="V1189" s="1" t="str">
        <f t="shared" si="66"/>
        <v>0 г. 0 мес. 0 дн.</v>
      </c>
      <c r="W1189" s="5"/>
    </row>
    <row r="1190" spans="1:23" ht="34.5" customHeight="1" x14ac:dyDescent="0.25">
      <c r="A1190" s="1">
        <f t="shared" si="67"/>
        <v>1189</v>
      </c>
      <c r="B1190" s="1"/>
      <c r="C1190" s="2"/>
      <c r="H1190" s="1" t="str">
        <f t="shared" si="68"/>
        <v>0 г. 0 мес. 0 дн.</v>
      </c>
      <c r="I1190" s="1" t="s">
        <v>39</v>
      </c>
      <c r="V1190" s="1" t="str">
        <f t="shared" si="66"/>
        <v>0 г. 0 мес. 0 дн.</v>
      </c>
      <c r="W1190" s="5"/>
    </row>
    <row r="1191" spans="1:23" ht="34.5" customHeight="1" x14ac:dyDescent="0.25">
      <c r="A1191" s="1">
        <f t="shared" si="67"/>
        <v>1190</v>
      </c>
      <c r="B1191" s="1"/>
      <c r="C1191" s="2"/>
      <c r="H1191" s="1" t="str">
        <f t="shared" si="68"/>
        <v>0 г. 0 мес. 0 дн.</v>
      </c>
      <c r="I1191" s="1" t="s">
        <v>39</v>
      </c>
      <c r="V1191" s="1" t="str">
        <f t="shared" si="66"/>
        <v>0 г. 0 мес. 0 дн.</v>
      </c>
      <c r="W1191" s="5"/>
    </row>
    <row r="1192" spans="1:23" ht="34.5" customHeight="1" x14ac:dyDescent="0.25">
      <c r="A1192" s="1">
        <f t="shared" si="67"/>
        <v>1191</v>
      </c>
      <c r="B1192" s="1"/>
      <c r="C1192" s="2"/>
      <c r="H1192" s="1" t="str">
        <f t="shared" si="68"/>
        <v>0 г. 0 мес. 0 дн.</v>
      </c>
      <c r="I1192" s="1" t="s">
        <v>39</v>
      </c>
      <c r="V1192" s="1" t="str">
        <f t="shared" si="66"/>
        <v>0 г. 0 мес. 0 дн.</v>
      </c>
      <c r="W1192" s="5"/>
    </row>
    <row r="1193" spans="1:23" ht="34.5" customHeight="1" x14ac:dyDescent="0.25">
      <c r="A1193" s="1">
        <f t="shared" si="67"/>
        <v>1192</v>
      </c>
      <c r="B1193" s="1"/>
      <c r="C1193" s="2"/>
      <c r="H1193" s="1" t="str">
        <f t="shared" si="68"/>
        <v>0 г. 0 мес. 0 дн.</v>
      </c>
      <c r="I1193" s="1" t="s">
        <v>39</v>
      </c>
      <c r="V1193" s="1" t="str">
        <f t="shared" si="66"/>
        <v>0 г. 0 мес. 0 дн.</v>
      </c>
      <c r="W1193" s="5"/>
    </row>
    <row r="1194" spans="1:23" ht="34.5" customHeight="1" x14ac:dyDescent="0.25">
      <c r="A1194" s="1">
        <f t="shared" si="67"/>
        <v>1193</v>
      </c>
      <c r="B1194" s="1"/>
      <c r="C1194" s="2"/>
      <c r="H1194" s="1" t="str">
        <f t="shared" si="68"/>
        <v>0 г. 0 мес. 0 дн.</v>
      </c>
      <c r="I1194" s="1" t="s">
        <v>39</v>
      </c>
      <c r="V1194" s="1" t="str">
        <f t="shared" si="66"/>
        <v>0 г. 0 мес. 0 дн.</v>
      </c>
      <c r="W1194" s="5"/>
    </row>
    <row r="1195" spans="1:23" ht="34.5" customHeight="1" x14ac:dyDescent="0.25">
      <c r="A1195" s="1">
        <f t="shared" si="67"/>
        <v>1194</v>
      </c>
      <c r="B1195" s="1"/>
      <c r="C1195" s="2"/>
      <c r="H1195" s="1" t="str">
        <f t="shared" si="68"/>
        <v>0 г. 0 мес. 0 дн.</v>
      </c>
      <c r="I1195" s="1" t="s">
        <v>39</v>
      </c>
      <c r="V1195" s="1" t="str">
        <f t="shared" si="66"/>
        <v>0 г. 0 мес. 0 дн.</v>
      </c>
      <c r="W1195" s="5"/>
    </row>
    <row r="1196" spans="1:23" ht="34.5" customHeight="1" x14ac:dyDescent="0.25">
      <c r="A1196" s="1">
        <f t="shared" si="67"/>
        <v>1195</v>
      </c>
      <c r="B1196" s="1"/>
      <c r="C1196" s="2"/>
      <c r="H1196" s="1" t="str">
        <f t="shared" si="68"/>
        <v>0 г. 0 мес. 0 дн.</v>
      </c>
      <c r="I1196" s="1" t="s">
        <v>39</v>
      </c>
      <c r="V1196" s="1" t="str">
        <f t="shared" si="66"/>
        <v>0 г. 0 мес. 0 дн.</v>
      </c>
      <c r="W1196" s="5"/>
    </row>
    <row r="1197" spans="1:23" ht="34.5" customHeight="1" x14ac:dyDescent="0.25">
      <c r="A1197" s="1">
        <f t="shared" si="67"/>
        <v>1196</v>
      </c>
      <c r="B1197" s="1"/>
      <c r="C1197" s="2"/>
      <c r="H1197" s="1" t="str">
        <f t="shared" si="68"/>
        <v>0 г. 0 мес. 0 дн.</v>
      </c>
      <c r="I1197" s="1" t="s">
        <v>39</v>
      </c>
      <c r="V1197" s="1" t="str">
        <f t="shared" si="66"/>
        <v>0 г. 0 мес. 0 дн.</v>
      </c>
      <c r="W1197" s="5"/>
    </row>
    <row r="1198" spans="1:23" ht="34.5" customHeight="1" x14ac:dyDescent="0.25">
      <c r="A1198" s="1">
        <f t="shared" si="67"/>
        <v>1197</v>
      </c>
      <c r="B1198" s="1"/>
      <c r="C1198" s="2"/>
      <c r="H1198" s="1" t="str">
        <f t="shared" si="68"/>
        <v>0 г. 0 мес. 0 дн.</v>
      </c>
      <c r="I1198" s="1" t="s">
        <v>39</v>
      </c>
      <c r="V1198" s="1" t="str">
        <f t="shared" si="66"/>
        <v>0 г. 0 мес. 0 дн.</v>
      </c>
      <c r="W1198" s="5"/>
    </row>
    <row r="1199" spans="1:23" ht="34.5" customHeight="1" x14ac:dyDescent="0.25">
      <c r="A1199" s="1">
        <f t="shared" si="67"/>
        <v>1198</v>
      </c>
      <c r="B1199" s="1"/>
      <c r="C1199" s="2"/>
      <c r="H1199" s="1" t="str">
        <f t="shared" si="68"/>
        <v>0 г. 0 мес. 0 дн.</v>
      </c>
      <c r="I1199" s="1" t="s">
        <v>39</v>
      </c>
      <c r="V1199" s="1" t="str">
        <f t="shared" si="66"/>
        <v>0 г. 0 мес. 0 дн.</v>
      </c>
      <c r="W1199" s="5"/>
    </row>
    <row r="1200" spans="1:23" ht="34.5" customHeight="1" x14ac:dyDescent="0.25">
      <c r="A1200" s="1">
        <f t="shared" si="67"/>
        <v>1199</v>
      </c>
      <c r="B1200" s="1"/>
      <c r="C1200" s="2"/>
      <c r="H1200" s="1" t="str">
        <f t="shared" si="68"/>
        <v>0 г. 0 мес. 0 дн.</v>
      </c>
      <c r="I1200" s="1" t="s">
        <v>39</v>
      </c>
      <c r="V1200" s="1" t="str">
        <f t="shared" si="66"/>
        <v>0 г. 0 мес. 0 дн.</v>
      </c>
      <c r="W1200" s="5"/>
    </row>
    <row r="1201" spans="1:23" ht="34.5" customHeight="1" x14ac:dyDescent="0.25">
      <c r="A1201" s="1">
        <f t="shared" si="67"/>
        <v>1200</v>
      </c>
      <c r="B1201" s="1"/>
      <c r="C1201" s="2"/>
      <c r="H1201" s="1" t="str">
        <f t="shared" si="68"/>
        <v>0 г. 0 мес. 0 дн.</v>
      </c>
      <c r="I1201" s="1" t="s">
        <v>39</v>
      </c>
      <c r="V1201" s="1" t="str">
        <f t="shared" ref="V1201:V1264" si="69">DATEDIF(D1201,T1201,"y") &amp; " г. " &amp; DATEDIF(D1201,T1201,"ym") &amp; " мес. " &amp; DATEDIF(D1201,T1201,"md") &amp; " дн."</f>
        <v>0 г. 0 мес. 0 дн.</v>
      </c>
      <c r="W1201" s="5"/>
    </row>
    <row r="1202" spans="1:23" ht="34.5" customHeight="1" x14ac:dyDescent="0.25">
      <c r="A1202" s="1">
        <f t="shared" si="67"/>
        <v>1201</v>
      </c>
      <c r="B1202" s="1"/>
      <c r="C1202" s="2"/>
      <c r="H1202" s="1" t="str">
        <f t="shared" si="68"/>
        <v>0 г. 0 мес. 0 дн.</v>
      </c>
      <c r="I1202" s="1" t="s">
        <v>39</v>
      </c>
      <c r="V1202" s="1" t="str">
        <f t="shared" si="69"/>
        <v>0 г. 0 мес. 0 дн.</v>
      </c>
      <c r="W1202" s="5"/>
    </row>
    <row r="1203" spans="1:23" ht="34.5" customHeight="1" x14ac:dyDescent="0.25">
      <c r="A1203" s="1">
        <f t="shared" si="67"/>
        <v>1202</v>
      </c>
      <c r="B1203" s="1"/>
      <c r="C1203" s="2"/>
      <c r="H1203" s="1" t="str">
        <f t="shared" si="68"/>
        <v>0 г. 0 мес. 0 дн.</v>
      </c>
      <c r="I1203" s="1" t="s">
        <v>39</v>
      </c>
      <c r="V1203" s="1" t="str">
        <f t="shared" si="69"/>
        <v>0 г. 0 мес. 0 дн.</v>
      </c>
      <c r="W1203" s="5"/>
    </row>
    <row r="1204" spans="1:23" ht="34.5" customHeight="1" x14ac:dyDescent="0.25">
      <c r="A1204" s="1">
        <f t="shared" si="67"/>
        <v>1203</v>
      </c>
      <c r="B1204" s="1"/>
      <c r="C1204" s="2"/>
      <c r="H1204" s="1" t="str">
        <f t="shared" si="68"/>
        <v>0 г. 0 мес. 0 дн.</v>
      </c>
      <c r="I1204" s="1" t="s">
        <v>39</v>
      </c>
      <c r="V1204" s="1" t="str">
        <f t="shared" si="69"/>
        <v>0 г. 0 мес. 0 дн.</v>
      </c>
      <c r="W1204" s="5"/>
    </row>
    <row r="1205" spans="1:23" ht="34.5" customHeight="1" x14ac:dyDescent="0.25">
      <c r="A1205" s="1">
        <f t="shared" si="67"/>
        <v>1204</v>
      </c>
      <c r="B1205" s="1"/>
      <c r="C1205" s="2"/>
      <c r="H1205" s="1" t="str">
        <f t="shared" si="68"/>
        <v>0 г. 0 мес. 0 дн.</v>
      </c>
      <c r="I1205" s="1" t="s">
        <v>39</v>
      </c>
      <c r="V1205" s="1" t="str">
        <f t="shared" si="69"/>
        <v>0 г. 0 мес. 0 дн.</v>
      </c>
      <c r="W1205" s="5"/>
    </row>
    <row r="1206" spans="1:23" ht="34.5" customHeight="1" x14ac:dyDescent="0.25">
      <c r="A1206" s="1">
        <f t="shared" si="67"/>
        <v>1205</v>
      </c>
      <c r="B1206" s="1"/>
      <c r="C1206" s="2"/>
      <c r="H1206" s="1" t="str">
        <f t="shared" si="68"/>
        <v>0 г. 0 мес. 0 дн.</v>
      </c>
      <c r="I1206" s="1" t="s">
        <v>39</v>
      </c>
      <c r="V1206" s="1" t="str">
        <f t="shared" si="69"/>
        <v>0 г. 0 мес. 0 дн.</v>
      </c>
      <c r="W1206" s="5"/>
    </row>
    <row r="1207" spans="1:23" ht="34.5" customHeight="1" x14ac:dyDescent="0.25">
      <c r="A1207" s="1">
        <f t="shared" si="67"/>
        <v>1206</v>
      </c>
      <c r="B1207" s="1"/>
      <c r="C1207" s="2"/>
      <c r="H1207" s="1" t="str">
        <f t="shared" si="68"/>
        <v>0 г. 0 мес. 0 дн.</v>
      </c>
      <c r="I1207" s="1" t="s">
        <v>39</v>
      </c>
      <c r="V1207" s="1" t="str">
        <f t="shared" si="69"/>
        <v>0 г. 0 мес. 0 дн.</v>
      </c>
      <c r="W1207" s="5"/>
    </row>
    <row r="1208" spans="1:23" ht="34.5" customHeight="1" x14ac:dyDescent="0.25">
      <c r="A1208" s="1">
        <f t="shared" si="67"/>
        <v>1207</v>
      </c>
      <c r="B1208" s="1"/>
      <c r="C1208" s="2"/>
      <c r="H1208" s="1" t="str">
        <f t="shared" si="68"/>
        <v>0 г. 0 мес. 0 дн.</v>
      </c>
      <c r="I1208" s="1" t="s">
        <v>39</v>
      </c>
      <c r="V1208" s="1" t="str">
        <f t="shared" si="69"/>
        <v>0 г. 0 мес. 0 дн.</v>
      </c>
      <c r="W1208" s="5"/>
    </row>
    <row r="1209" spans="1:23" ht="34.5" customHeight="1" x14ac:dyDescent="0.25">
      <c r="A1209" s="1">
        <f t="shared" si="67"/>
        <v>1208</v>
      </c>
      <c r="B1209" s="1"/>
      <c r="C1209" s="2"/>
      <c r="H1209" s="1" t="str">
        <f t="shared" si="68"/>
        <v>0 г. 0 мес. 0 дн.</v>
      </c>
      <c r="I1209" s="1" t="s">
        <v>39</v>
      </c>
      <c r="V1209" s="1" t="str">
        <f t="shared" si="69"/>
        <v>0 г. 0 мес. 0 дн.</v>
      </c>
      <c r="W1209" s="5"/>
    </row>
    <row r="1210" spans="1:23" ht="34.5" customHeight="1" x14ac:dyDescent="0.25">
      <c r="A1210" s="1">
        <f t="shared" si="67"/>
        <v>1209</v>
      </c>
      <c r="B1210" s="1"/>
      <c r="C1210" s="2"/>
      <c r="H1210" s="1" t="str">
        <f t="shared" si="68"/>
        <v>0 г. 0 мес. 0 дн.</v>
      </c>
      <c r="I1210" s="1" t="s">
        <v>39</v>
      </c>
      <c r="V1210" s="1" t="str">
        <f t="shared" si="69"/>
        <v>0 г. 0 мес. 0 дн.</v>
      </c>
      <c r="W1210" s="5"/>
    </row>
    <row r="1211" spans="1:23" ht="34.5" customHeight="1" x14ac:dyDescent="0.25">
      <c r="A1211" s="1">
        <f t="shared" si="67"/>
        <v>1210</v>
      </c>
      <c r="B1211" s="1"/>
      <c r="C1211" s="2"/>
      <c r="H1211" s="1" t="str">
        <f t="shared" si="68"/>
        <v>0 г. 0 мес. 0 дн.</v>
      </c>
      <c r="I1211" s="1" t="s">
        <v>39</v>
      </c>
      <c r="V1211" s="1" t="str">
        <f t="shared" si="69"/>
        <v>0 г. 0 мес. 0 дн.</v>
      </c>
      <c r="W1211" s="5"/>
    </row>
    <row r="1212" spans="1:23" ht="34.5" customHeight="1" x14ac:dyDescent="0.25">
      <c r="A1212" s="1">
        <f t="shared" si="67"/>
        <v>1211</v>
      </c>
      <c r="B1212" s="1"/>
      <c r="C1212" s="2"/>
      <c r="H1212" s="1" t="str">
        <f t="shared" si="68"/>
        <v>0 г. 0 мес. 0 дн.</v>
      </c>
      <c r="I1212" s="1" t="s">
        <v>39</v>
      </c>
      <c r="V1212" s="1" t="str">
        <f t="shared" si="69"/>
        <v>0 г. 0 мес. 0 дн.</v>
      </c>
      <c r="W1212" s="5"/>
    </row>
    <row r="1213" spans="1:23" ht="34.5" customHeight="1" x14ac:dyDescent="0.25">
      <c r="A1213" s="1">
        <f t="shared" si="67"/>
        <v>1212</v>
      </c>
      <c r="B1213" s="1"/>
      <c r="C1213" s="2"/>
      <c r="H1213" s="1" t="str">
        <f t="shared" si="68"/>
        <v>0 г. 0 мес. 0 дн.</v>
      </c>
      <c r="I1213" s="1" t="s">
        <v>39</v>
      </c>
      <c r="V1213" s="1" t="str">
        <f t="shared" si="69"/>
        <v>0 г. 0 мес. 0 дн.</v>
      </c>
      <c r="W1213" s="5"/>
    </row>
    <row r="1214" spans="1:23" ht="34.5" customHeight="1" x14ac:dyDescent="0.25">
      <c r="A1214" s="1">
        <f t="shared" si="67"/>
        <v>1213</v>
      </c>
      <c r="B1214" s="1"/>
      <c r="C1214" s="2"/>
      <c r="H1214" s="1" t="str">
        <f t="shared" si="68"/>
        <v>0 г. 0 мес. 0 дн.</v>
      </c>
      <c r="I1214" s="1" t="s">
        <v>39</v>
      </c>
      <c r="V1214" s="1" t="str">
        <f t="shared" si="69"/>
        <v>0 г. 0 мес. 0 дн.</v>
      </c>
      <c r="W1214" s="5"/>
    </row>
    <row r="1215" spans="1:23" ht="34.5" customHeight="1" x14ac:dyDescent="0.25">
      <c r="A1215" s="1">
        <f t="shared" si="67"/>
        <v>1214</v>
      </c>
      <c r="B1215" s="1"/>
      <c r="C1215" s="2"/>
      <c r="H1215" s="1" t="str">
        <f t="shared" si="68"/>
        <v>0 г. 0 мес. 0 дн.</v>
      </c>
      <c r="I1215" s="1" t="s">
        <v>39</v>
      </c>
      <c r="V1215" s="1" t="str">
        <f t="shared" si="69"/>
        <v>0 г. 0 мес. 0 дн.</v>
      </c>
      <c r="W1215" s="5"/>
    </row>
    <row r="1216" spans="1:23" ht="34.5" customHeight="1" x14ac:dyDescent="0.25">
      <c r="A1216" s="1">
        <f t="shared" ref="A1216:A1279" si="70">ROW(A1215)</f>
        <v>1215</v>
      </c>
      <c r="B1216" s="1"/>
      <c r="C1216" s="2"/>
      <c r="H1216" s="1" t="str">
        <f t="shared" si="68"/>
        <v>0 г. 0 мес. 0 дн.</v>
      </c>
      <c r="I1216" s="1" t="s">
        <v>39</v>
      </c>
      <c r="V1216" s="1" t="str">
        <f t="shared" si="69"/>
        <v>0 г. 0 мес. 0 дн.</v>
      </c>
      <c r="W1216" s="5"/>
    </row>
    <row r="1217" spans="1:23" ht="34.5" customHeight="1" x14ac:dyDescent="0.25">
      <c r="A1217" s="1">
        <f t="shared" si="70"/>
        <v>1216</v>
      </c>
      <c r="B1217" s="1"/>
      <c r="C1217" s="2"/>
      <c r="H1217" s="1" t="str">
        <f t="shared" si="68"/>
        <v>0 г. 0 мес. 0 дн.</v>
      </c>
      <c r="I1217" s="1" t="s">
        <v>39</v>
      </c>
      <c r="V1217" s="1" t="str">
        <f t="shared" si="69"/>
        <v>0 г. 0 мес. 0 дн.</v>
      </c>
      <c r="W1217" s="5"/>
    </row>
    <row r="1218" spans="1:23" ht="34.5" customHeight="1" x14ac:dyDescent="0.25">
      <c r="A1218" s="1">
        <f t="shared" si="70"/>
        <v>1217</v>
      </c>
      <c r="B1218" s="1"/>
      <c r="C1218" s="2"/>
      <c r="H1218" s="1" t="str">
        <f t="shared" ref="H1218:H1281" si="71">DATEDIF(G1218,D1218,"y") &amp; " г. " &amp; DATEDIF(G1218,D1218,"ym") &amp; " мес. " &amp; DATEDIF(G1218,D1218,"md") &amp; " дн."</f>
        <v>0 г. 0 мес. 0 дн.</v>
      </c>
      <c r="I1218" s="1" t="s">
        <v>39</v>
      </c>
      <c r="V1218" s="1" t="str">
        <f t="shared" si="69"/>
        <v>0 г. 0 мес. 0 дн.</v>
      </c>
      <c r="W1218" s="5"/>
    </row>
    <row r="1219" spans="1:23" ht="34.5" customHeight="1" x14ac:dyDescent="0.25">
      <c r="A1219" s="1">
        <f t="shared" si="70"/>
        <v>1218</v>
      </c>
      <c r="B1219" s="1"/>
      <c r="C1219" s="2"/>
      <c r="H1219" s="1" t="str">
        <f t="shared" si="71"/>
        <v>0 г. 0 мес. 0 дн.</v>
      </c>
      <c r="I1219" s="1" t="s">
        <v>39</v>
      </c>
      <c r="V1219" s="1" t="str">
        <f t="shared" si="69"/>
        <v>0 г. 0 мес. 0 дн.</v>
      </c>
      <c r="W1219" s="5"/>
    </row>
    <row r="1220" spans="1:23" ht="34.5" customHeight="1" x14ac:dyDescent="0.25">
      <c r="A1220" s="1">
        <f t="shared" si="70"/>
        <v>1219</v>
      </c>
      <c r="B1220" s="1"/>
      <c r="C1220" s="2"/>
      <c r="H1220" s="1" t="str">
        <f t="shared" si="71"/>
        <v>0 г. 0 мес. 0 дн.</v>
      </c>
      <c r="I1220" s="1" t="s">
        <v>39</v>
      </c>
      <c r="V1220" s="1" t="str">
        <f t="shared" si="69"/>
        <v>0 г. 0 мес. 0 дн.</v>
      </c>
      <c r="W1220" s="5"/>
    </row>
    <row r="1221" spans="1:23" ht="34.5" customHeight="1" x14ac:dyDescent="0.25">
      <c r="A1221" s="1">
        <f t="shared" si="70"/>
        <v>1220</v>
      </c>
      <c r="B1221" s="1"/>
      <c r="C1221" s="2"/>
      <c r="H1221" s="1" t="str">
        <f t="shared" si="71"/>
        <v>0 г. 0 мес. 0 дн.</v>
      </c>
      <c r="I1221" s="1" t="s">
        <v>39</v>
      </c>
      <c r="V1221" s="1" t="str">
        <f t="shared" si="69"/>
        <v>0 г. 0 мес. 0 дн.</v>
      </c>
      <c r="W1221" s="5"/>
    </row>
    <row r="1222" spans="1:23" ht="34.5" customHeight="1" x14ac:dyDescent="0.25">
      <c r="A1222" s="1">
        <f t="shared" si="70"/>
        <v>1221</v>
      </c>
      <c r="B1222" s="1"/>
      <c r="C1222" s="2"/>
      <c r="H1222" s="1" t="str">
        <f t="shared" si="71"/>
        <v>0 г. 0 мес. 0 дн.</v>
      </c>
      <c r="I1222" s="1" t="s">
        <v>39</v>
      </c>
      <c r="V1222" s="1" t="str">
        <f t="shared" si="69"/>
        <v>0 г. 0 мес. 0 дн.</v>
      </c>
      <c r="W1222" s="5"/>
    </row>
    <row r="1223" spans="1:23" ht="34.5" customHeight="1" x14ac:dyDescent="0.25">
      <c r="A1223" s="1">
        <f t="shared" si="70"/>
        <v>1222</v>
      </c>
      <c r="B1223" s="1"/>
      <c r="C1223" s="2"/>
      <c r="H1223" s="1" t="str">
        <f t="shared" si="71"/>
        <v>0 г. 0 мес. 0 дн.</v>
      </c>
      <c r="I1223" s="1" t="s">
        <v>39</v>
      </c>
      <c r="V1223" s="1" t="str">
        <f t="shared" si="69"/>
        <v>0 г. 0 мес. 0 дн.</v>
      </c>
      <c r="W1223" s="5"/>
    </row>
    <row r="1224" spans="1:23" ht="34.5" customHeight="1" x14ac:dyDescent="0.25">
      <c r="A1224" s="1">
        <f t="shared" si="70"/>
        <v>1223</v>
      </c>
      <c r="B1224" s="1"/>
      <c r="C1224" s="2"/>
      <c r="H1224" s="1" t="str">
        <f t="shared" si="71"/>
        <v>0 г. 0 мес. 0 дн.</v>
      </c>
      <c r="I1224" s="1" t="s">
        <v>39</v>
      </c>
      <c r="V1224" s="1" t="str">
        <f t="shared" si="69"/>
        <v>0 г. 0 мес. 0 дн.</v>
      </c>
      <c r="W1224" s="5"/>
    </row>
    <row r="1225" spans="1:23" ht="34.5" customHeight="1" x14ac:dyDescent="0.25">
      <c r="A1225" s="1">
        <f t="shared" si="70"/>
        <v>1224</v>
      </c>
      <c r="B1225" s="1"/>
      <c r="C1225" s="2"/>
      <c r="H1225" s="1" t="str">
        <f t="shared" si="71"/>
        <v>0 г. 0 мес. 0 дн.</v>
      </c>
      <c r="I1225" s="1" t="s">
        <v>39</v>
      </c>
      <c r="V1225" s="1" t="str">
        <f t="shared" si="69"/>
        <v>0 г. 0 мес. 0 дн.</v>
      </c>
      <c r="W1225" s="5"/>
    </row>
    <row r="1226" spans="1:23" ht="34.5" customHeight="1" x14ac:dyDescent="0.25">
      <c r="A1226" s="1">
        <f t="shared" si="70"/>
        <v>1225</v>
      </c>
      <c r="B1226" s="1"/>
      <c r="C1226" s="2"/>
      <c r="H1226" s="1" t="str">
        <f t="shared" si="71"/>
        <v>0 г. 0 мес. 0 дн.</v>
      </c>
      <c r="I1226" s="1" t="s">
        <v>39</v>
      </c>
      <c r="V1226" s="1" t="str">
        <f t="shared" si="69"/>
        <v>0 г. 0 мес. 0 дн.</v>
      </c>
      <c r="W1226" s="5"/>
    </row>
    <row r="1227" spans="1:23" ht="34.5" customHeight="1" x14ac:dyDescent="0.25">
      <c r="A1227" s="1">
        <f t="shared" si="70"/>
        <v>1226</v>
      </c>
      <c r="B1227" s="1"/>
      <c r="C1227" s="2"/>
      <c r="H1227" s="1" t="str">
        <f t="shared" si="71"/>
        <v>0 г. 0 мес. 0 дн.</v>
      </c>
      <c r="I1227" s="1" t="s">
        <v>39</v>
      </c>
      <c r="V1227" s="1" t="str">
        <f t="shared" si="69"/>
        <v>0 г. 0 мес. 0 дн.</v>
      </c>
      <c r="W1227" s="5"/>
    </row>
    <row r="1228" spans="1:23" ht="34.5" customHeight="1" x14ac:dyDescent="0.25">
      <c r="A1228" s="1">
        <f t="shared" si="70"/>
        <v>1227</v>
      </c>
      <c r="B1228" s="1"/>
      <c r="C1228" s="2"/>
      <c r="H1228" s="1" t="str">
        <f t="shared" si="71"/>
        <v>0 г. 0 мес. 0 дн.</v>
      </c>
      <c r="I1228" s="1" t="s">
        <v>39</v>
      </c>
      <c r="V1228" s="1" t="str">
        <f t="shared" si="69"/>
        <v>0 г. 0 мес. 0 дн.</v>
      </c>
      <c r="W1228" s="5"/>
    </row>
    <row r="1229" spans="1:23" ht="34.5" customHeight="1" x14ac:dyDescent="0.25">
      <c r="A1229" s="1">
        <f t="shared" si="70"/>
        <v>1228</v>
      </c>
      <c r="B1229" s="1"/>
      <c r="C1229" s="2"/>
      <c r="H1229" s="1" t="str">
        <f t="shared" si="71"/>
        <v>0 г. 0 мес. 0 дн.</v>
      </c>
      <c r="I1229" s="1" t="s">
        <v>39</v>
      </c>
      <c r="V1229" s="1" t="str">
        <f t="shared" si="69"/>
        <v>0 г. 0 мес. 0 дн.</v>
      </c>
      <c r="W1229" s="5"/>
    </row>
    <row r="1230" spans="1:23" ht="34.5" customHeight="1" x14ac:dyDescent="0.25">
      <c r="A1230" s="1">
        <f t="shared" si="70"/>
        <v>1229</v>
      </c>
      <c r="B1230" s="1"/>
      <c r="C1230" s="2"/>
      <c r="H1230" s="1" t="str">
        <f t="shared" si="71"/>
        <v>0 г. 0 мес. 0 дн.</v>
      </c>
      <c r="I1230" s="1" t="s">
        <v>39</v>
      </c>
      <c r="V1230" s="1" t="str">
        <f t="shared" si="69"/>
        <v>0 г. 0 мес. 0 дн.</v>
      </c>
      <c r="W1230" s="5"/>
    </row>
    <row r="1231" spans="1:23" ht="34.5" customHeight="1" x14ac:dyDescent="0.25">
      <c r="A1231" s="1">
        <f t="shared" si="70"/>
        <v>1230</v>
      </c>
      <c r="B1231" s="1"/>
      <c r="C1231" s="2"/>
      <c r="H1231" s="1" t="str">
        <f t="shared" si="71"/>
        <v>0 г. 0 мес. 0 дн.</v>
      </c>
      <c r="I1231" s="1" t="s">
        <v>39</v>
      </c>
      <c r="V1231" s="1" t="str">
        <f t="shared" si="69"/>
        <v>0 г. 0 мес. 0 дн.</v>
      </c>
      <c r="W1231" s="5"/>
    </row>
    <row r="1232" spans="1:23" ht="34.5" customHeight="1" x14ac:dyDescent="0.25">
      <c r="A1232" s="1">
        <f t="shared" si="70"/>
        <v>1231</v>
      </c>
      <c r="B1232" s="1"/>
      <c r="C1232" s="2"/>
      <c r="H1232" s="1" t="str">
        <f t="shared" si="71"/>
        <v>0 г. 0 мес. 0 дн.</v>
      </c>
      <c r="I1232" s="1" t="s">
        <v>39</v>
      </c>
      <c r="V1232" s="1" t="str">
        <f t="shared" si="69"/>
        <v>0 г. 0 мес. 0 дн.</v>
      </c>
      <c r="W1232" s="5"/>
    </row>
    <row r="1233" spans="1:23" ht="34.5" customHeight="1" x14ac:dyDescent="0.25">
      <c r="A1233" s="1">
        <f t="shared" si="70"/>
        <v>1232</v>
      </c>
      <c r="B1233" s="1"/>
      <c r="C1233" s="2"/>
      <c r="H1233" s="1" t="str">
        <f t="shared" si="71"/>
        <v>0 г. 0 мес. 0 дн.</v>
      </c>
      <c r="I1233" s="1" t="s">
        <v>39</v>
      </c>
      <c r="V1233" s="1" t="str">
        <f t="shared" si="69"/>
        <v>0 г. 0 мес. 0 дн.</v>
      </c>
      <c r="W1233" s="5"/>
    </row>
    <row r="1234" spans="1:23" ht="34.5" customHeight="1" x14ac:dyDescent="0.25">
      <c r="A1234" s="1">
        <f t="shared" si="70"/>
        <v>1233</v>
      </c>
      <c r="B1234" s="1"/>
      <c r="C1234" s="2"/>
      <c r="H1234" s="1" t="str">
        <f t="shared" si="71"/>
        <v>0 г. 0 мес. 0 дн.</v>
      </c>
      <c r="I1234" s="1" t="s">
        <v>39</v>
      </c>
      <c r="V1234" s="1" t="str">
        <f t="shared" si="69"/>
        <v>0 г. 0 мес. 0 дн.</v>
      </c>
      <c r="W1234" s="5"/>
    </row>
    <row r="1235" spans="1:23" ht="34.5" customHeight="1" x14ac:dyDescent="0.25">
      <c r="A1235" s="1">
        <f t="shared" si="70"/>
        <v>1234</v>
      </c>
      <c r="B1235" s="1"/>
      <c r="C1235" s="2"/>
      <c r="H1235" s="1" t="str">
        <f t="shared" si="71"/>
        <v>0 г. 0 мес. 0 дн.</v>
      </c>
      <c r="I1235" s="1" t="s">
        <v>39</v>
      </c>
      <c r="V1235" s="1" t="str">
        <f t="shared" si="69"/>
        <v>0 г. 0 мес. 0 дн.</v>
      </c>
      <c r="W1235" s="5"/>
    </row>
    <row r="1236" spans="1:23" ht="34.5" customHeight="1" x14ac:dyDescent="0.25">
      <c r="A1236" s="1">
        <f t="shared" si="70"/>
        <v>1235</v>
      </c>
      <c r="B1236" s="1"/>
      <c r="C1236" s="2"/>
      <c r="H1236" s="1" t="str">
        <f t="shared" si="71"/>
        <v>0 г. 0 мес. 0 дн.</v>
      </c>
      <c r="I1236" s="1" t="s">
        <v>39</v>
      </c>
      <c r="V1236" s="1" t="str">
        <f t="shared" si="69"/>
        <v>0 г. 0 мес. 0 дн.</v>
      </c>
      <c r="W1236" s="5"/>
    </row>
    <row r="1237" spans="1:23" ht="34.5" customHeight="1" x14ac:dyDescent="0.25">
      <c r="A1237" s="1">
        <f t="shared" si="70"/>
        <v>1236</v>
      </c>
      <c r="B1237" s="1"/>
      <c r="C1237" s="2"/>
      <c r="H1237" s="1" t="str">
        <f t="shared" si="71"/>
        <v>0 г. 0 мес. 0 дн.</v>
      </c>
      <c r="I1237" s="1" t="s">
        <v>39</v>
      </c>
      <c r="V1237" s="1" t="str">
        <f t="shared" si="69"/>
        <v>0 г. 0 мес. 0 дн.</v>
      </c>
      <c r="W1237" s="5"/>
    </row>
    <row r="1238" spans="1:23" ht="34.5" customHeight="1" x14ac:dyDescent="0.25">
      <c r="A1238" s="1">
        <f t="shared" si="70"/>
        <v>1237</v>
      </c>
      <c r="B1238" s="1"/>
      <c r="C1238" s="2"/>
      <c r="H1238" s="1" t="str">
        <f t="shared" si="71"/>
        <v>0 г. 0 мес. 0 дн.</v>
      </c>
      <c r="I1238" s="1" t="s">
        <v>39</v>
      </c>
      <c r="V1238" s="1" t="str">
        <f t="shared" si="69"/>
        <v>0 г. 0 мес. 0 дн.</v>
      </c>
      <c r="W1238" s="5"/>
    </row>
    <row r="1239" spans="1:23" ht="34.5" customHeight="1" x14ac:dyDescent="0.25">
      <c r="A1239" s="1">
        <f t="shared" si="70"/>
        <v>1238</v>
      </c>
      <c r="B1239" s="1"/>
      <c r="C1239" s="2"/>
      <c r="H1239" s="1" t="str">
        <f t="shared" si="71"/>
        <v>0 г. 0 мес. 0 дн.</v>
      </c>
      <c r="I1239" s="1" t="s">
        <v>39</v>
      </c>
      <c r="V1239" s="1" t="str">
        <f t="shared" si="69"/>
        <v>0 г. 0 мес. 0 дн.</v>
      </c>
      <c r="W1239" s="5"/>
    </row>
    <row r="1240" spans="1:23" ht="34.5" customHeight="1" x14ac:dyDescent="0.25">
      <c r="A1240" s="1">
        <f t="shared" si="70"/>
        <v>1239</v>
      </c>
      <c r="B1240" s="1"/>
      <c r="C1240" s="2"/>
      <c r="H1240" s="1" t="str">
        <f t="shared" si="71"/>
        <v>0 г. 0 мес. 0 дн.</v>
      </c>
      <c r="I1240" s="1" t="s">
        <v>39</v>
      </c>
      <c r="V1240" s="1" t="str">
        <f t="shared" si="69"/>
        <v>0 г. 0 мес. 0 дн.</v>
      </c>
      <c r="W1240" s="5"/>
    </row>
    <row r="1241" spans="1:23" ht="34.5" customHeight="1" x14ac:dyDescent="0.25">
      <c r="A1241" s="1">
        <f t="shared" si="70"/>
        <v>1240</v>
      </c>
      <c r="B1241" s="1"/>
      <c r="C1241" s="2"/>
      <c r="H1241" s="1" t="str">
        <f t="shared" si="71"/>
        <v>0 г. 0 мес. 0 дн.</v>
      </c>
      <c r="I1241" s="1" t="s">
        <v>39</v>
      </c>
      <c r="V1241" s="1" t="str">
        <f t="shared" si="69"/>
        <v>0 г. 0 мес. 0 дн.</v>
      </c>
      <c r="W1241" s="5"/>
    </row>
    <row r="1242" spans="1:23" ht="34.5" customHeight="1" x14ac:dyDescent="0.25">
      <c r="A1242" s="1">
        <f t="shared" si="70"/>
        <v>1241</v>
      </c>
      <c r="B1242" s="1"/>
      <c r="C1242" s="2"/>
      <c r="H1242" s="1" t="str">
        <f t="shared" si="71"/>
        <v>0 г. 0 мес. 0 дн.</v>
      </c>
      <c r="I1242" s="1" t="s">
        <v>39</v>
      </c>
      <c r="V1242" s="1" t="str">
        <f t="shared" si="69"/>
        <v>0 г. 0 мес. 0 дн.</v>
      </c>
      <c r="W1242" s="5"/>
    </row>
    <row r="1243" spans="1:23" ht="34.5" customHeight="1" x14ac:dyDescent="0.25">
      <c r="A1243" s="1">
        <f t="shared" si="70"/>
        <v>1242</v>
      </c>
      <c r="B1243" s="1"/>
      <c r="C1243" s="2"/>
      <c r="H1243" s="1" t="str">
        <f t="shared" si="71"/>
        <v>0 г. 0 мес. 0 дн.</v>
      </c>
      <c r="I1243" s="1" t="s">
        <v>39</v>
      </c>
      <c r="V1243" s="1" t="str">
        <f t="shared" si="69"/>
        <v>0 г. 0 мес. 0 дн.</v>
      </c>
      <c r="W1243" s="5"/>
    </row>
    <row r="1244" spans="1:23" ht="34.5" customHeight="1" x14ac:dyDescent="0.25">
      <c r="A1244" s="1">
        <f t="shared" si="70"/>
        <v>1243</v>
      </c>
      <c r="B1244" s="1"/>
      <c r="C1244" s="2"/>
      <c r="H1244" s="1" t="str">
        <f t="shared" si="71"/>
        <v>0 г. 0 мес. 0 дн.</v>
      </c>
      <c r="I1244" s="1" t="s">
        <v>39</v>
      </c>
      <c r="V1244" s="1" t="str">
        <f t="shared" si="69"/>
        <v>0 г. 0 мес. 0 дн.</v>
      </c>
      <c r="W1244" s="5"/>
    </row>
    <row r="1245" spans="1:23" ht="34.5" customHeight="1" x14ac:dyDescent="0.25">
      <c r="A1245" s="1">
        <f t="shared" si="70"/>
        <v>1244</v>
      </c>
      <c r="B1245" s="1"/>
      <c r="C1245" s="2"/>
      <c r="H1245" s="1" t="str">
        <f t="shared" si="71"/>
        <v>0 г. 0 мес. 0 дн.</v>
      </c>
      <c r="I1245" s="1" t="s">
        <v>39</v>
      </c>
      <c r="V1245" s="1" t="str">
        <f t="shared" si="69"/>
        <v>0 г. 0 мес. 0 дн.</v>
      </c>
      <c r="W1245" s="5"/>
    </row>
    <row r="1246" spans="1:23" ht="34.5" customHeight="1" x14ac:dyDescent="0.25">
      <c r="A1246" s="1">
        <f t="shared" si="70"/>
        <v>1245</v>
      </c>
      <c r="B1246" s="1"/>
      <c r="C1246" s="2"/>
      <c r="H1246" s="1" t="str">
        <f t="shared" si="71"/>
        <v>0 г. 0 мес. 0 дн.</v>
      </c>
      <c r="I1246" s="1" t="s">
        <v>39</v>
      </c>
      <c r="V1246" s="1" t="str">
        <f t="shared" si="69"/>
        <v>0 г. 0 мес. 0 дн.</v>
      </c>
      <c r="W1246" s="5"/>
    </row>
    <row r="1247" spans="1:23" ht="34.5" customHeight="1" x14ac:dyDescent="0.25">
      <c r="A1247" s="1">
        <f t="shared" si="70"/>
        <v>1246</v>
      </c>
      <c r="B1247" s="1"/>
      <c r="C1247" s="2"/>
      <c r="H1247" s="1" t="str">
        <f t="shared" si="71"/>
        <v>0 г. 0 мес. 0 дн.</v>
      </c>
      <c r="I1247" s="1" t="s">
        <v>39</v>
      </c>
      <c r="V1247" s="1" t="str">
        <f t="shared" si="69"/>
        <v>0 г. 0 мес. 0 дн.</v>
      </c>
      <c r="W1247" s="5"/>
    </row>
    <row r="1248" spans="1:23" ht="34.5" customHeight="1" x14ac:dyDescent="0.25">
      <c r="A1248" s="1">
        <f t="shared" si="70"/>
        <v>1247</v>
      </c>
      <c r="B1248" s="1"/>
      <c r="C1248" s="2"/>
      <c r="H1248" s="1" t="str">
        <f t="shared" si="71"/>
        <v>0 г. 0 мес. 0 дн.</v>
      </c>
      <c r="I1248" s="1" t="s">
        <v>39</v>
      </c>
      <c r="V1248" s="1" t="str">
        <f t="shared" si="69"/>
        <v>0 г. 0 мес. 0 дн.</v>
      </c>
      <c r="W1248" s="5"/>
    </row>
    <row r="1249" spans="1:23" ht="34.5" customHeight="1" x14ac:dyDescent="0.25">
      <c r="A1249" s="1">
        <f t="shared" si="70"/>
        <v>1248</v>
      </c>
      <c r="B1249" s="1"/>
      <c r="C1249" s="2"/>
      <c r="H1249" s="1" t="str">
        <f t="shared" si="71"/>
        <v>0 г. 0 мес. 0 дн.</v>
      </c>
      <c r="I1249" s="1" t="s">
        <v>39</v>
      </c>
      <c r="V1249" s="1" t="str">
        <f t="shared" si="69"/>
        <v>0 г. 0 мес. 0 дн.</v>
      </c>
      <c r="W1249" s="5"/>
    </row>
    <row r="1250" spans="1:23" ht="34.5" customHeight="1" x14ac:dyDescent="0.25">
      <c r="A1250" s="1">
        <f t="shared" si="70"/>
        <v>1249</v>
      </c>
      <c r="B1250" s="1"/>
      <c r="C1250" s="2"/>
      <c r="H1250" s="1" t="str">
        <f t="shared" si="71"/>
        <v>0 г. 0 мес. 0 дн.</v>
      </c>
      <c r="I1250" s="1" t="s">
        <v>39</v>
      </c>
      <c r="V1250" s="1" t="str">
        <f t="shared" si="69"/>
        <v>0 г. 0 мес. 0 дн.</v>
      </c>
      <c r="W1250" s="5"/>
    </row>
    <row r="1251" spans="1:23" ht="34.5" customHeight="1" x14ac:dyDescent="0.25">
      <c r="A1251" s="1">
        <f t="shared" si="70"/>
        <v>1250</v>
      </c>
      <c r="B1251" s="1"/>
      <c r="C1251" s="2"/>
      <c r="H1251" s="1" t="str">
        <f t="shared" si="71"/>
        <v>0 г. 0 мес. 0 дн.</v>
      </c>
      <c r="I1251" s="1" t="s">
        <v>39</v>
      </c>
      <c r="V1251" s="1" t="str">
        <f t="shared" si="69"/>
        <v>0 г. 0 мес. 0 дн.</v>
      </c>
      <c r="W1251" s="5"/>
    </row>
    <row r="1252" spans="1:23" ht="34.5" customHeight="1" x14ac:dyDescent="0.25">
      <c r="A1252" s="1">
        <f t="shared" si="70"/>
        <v>1251</v>
      </c>
      <c r="B1252" s="1"/>
      <c r="C1252" s="2"/>
      <c r="H1252" s="1" t="str">
        <f t="shared" si="71"/>
        <v>0 г. 0 мес. 0 дн.</v>
      </c>
      <c r="I1252" s="1" t="s">
        <v>39</v>
      </c>
      <c r="V1252" s="1" t="str">
        <f t="shared" si="69"/>
        <v>0 г. 0 мес. 0 дн.</v>
      </c>
      <c r="W1252" s="5"/>
    </row>
    <row r="1253" spans="1:23" ht="34.5" customHeight="1" x14ac:dyDescent="0.25">
      <c r="A1253" s="1">
        <f t="shared" si="70"/>
        <v>1252</v>
      </c>
      <c r="B1253" s="1"/>
      <c r="C1253" s="2"/>
      <c r="H1253" s="1" t="str">
        <f t="shared" si="71"/>
        <v>0 г. 0 мес. 0 дн.</v>
      </c>
      <c r="I1253" s="1" t="s">
        <v>39</v>
      </c>
      <c r="V1253" s="1" t="str">
        <f t="shared" si="69"/>
        <v>0 г. 0 мес. 0 дн.</v>
      </c>
      <c r="W1253" s="5"/>
    </row>
    <row r="1254" spans="1:23" ht="34.5" customHeight="1" x14ac:dyDescent="0.25">
      <c r="A1254" s="1">
        <f t="shared" si="70"/>
        <v>1253</v>
      </c>
      <c r="B1254" s="1"/>
      <c r="C1254" s="2"/>
      <c r="H1254" s="1" t="str">
        <f t="shared" si="71"/>
        <v>0 г. 0 мес. 0 дн.</v>
      </c>
      <c r="I1254" s="1" t="s">
        <v>39</v>
      </c>
      <c r="V1254" s="1" t="str">
        <f t="shared" si="69"/>
        <v>0 г. 0 мес. 0 дн.</v>
      </c>
      <c r="W1254" s="5"/>
    </row>
    <row r="1255" spans="1:23" ht="34.5" customHeight="1" x14ac:dyDescent="0.25">
      <c r="A1255" s="1">
        <f t="shared" si="70"/>
        <v>1254</v>
      </c>
      <c r="B1255" s="1"/>
      <c r="C1255" s="2"/>
      <c r="H1255" s="1" t="str">
        <f t="shared" si="71"/>
        <v>0 г. 0 мес. 0 дн.</v>
      </c>
      <c r="I1255" s="1" t="s">
        <v>39</v>
      </c>
      <c r="V1255" s="1" t="str">
        <f t="shared" si="69"/>
        <v>0 г. 0 мес. 0 дн.</v>
      </c>
      <c r="W1255" s="5"/>
    </row>
    <row r="1256" spans="1:23" ht="34.5" customHeight="1" x14ac:dyDescent="0.25">
      <c r="A1256" s="1">
        <f t="shared" si="70"/>
        <v>1255</v>
      </c>
      <c r="B1256" s="1"/>
      <c r="C1256" s="2"/>
      <c r="H1256" s="1" t="str">
        <f t="shared" si="71"/>
        <v>0 г. 0 мес. 0 дн.</v>
      </c>
      <c r="I1256" s="1" t="s">
        <v>39</v>
      </c>
      <c r="V1256" s="1" t="str">
        <f t="shared" si="69"/>
        <v>0 г. 0 мес. 0 дн.</v>
      </c>
      <c r="W1256" s="5"/>
    </row>
    <row r="1257" spans="1:23" ht="34.5" customHeight="1" x14ac:dyDescent="0.25">
      <c r="A1257" s="1">
        <f t="shared" si="70"/>
        <v>1256</v>
      </c>
      <c r="B1257" s="1"/>
      <c r="C1257" s="2"/>
      <c r="H1257" s="1" t="str">
        <f t="shared" si="71"/>
        <v>0 г. 0 мес. 0 дн.</v>
      </c>
      <c r="I1257" s="1" t="s">
        <v>39</v>
      </c>
      <c r="V1257" s="1" t="str">
        <f t="shared" si="69"/>
        <v>0 г. 0 мес. 0 дн.</v>
      </c>
      <c r="W1257" s="5"/>
    </row>
    <row r="1258" spans="1:23" ht="34.5" customHeight="1" x14ac:dyDescent="0.25">
      <c r="A1258" s="1">
        <f t="shared" si="70"/>
        <v>1257</v>
      </c>
      <c r="B1258" s="1"/>
      <c r="C1258" s="2"/>
      <c r="H1258" s="1" t="str">
        <f t="shared" si="71"/>
        <v>0 г. 0 мес. 0 дн.</v>
      </c>
      <c r="I1258" s="1" t="s">
        <v>39</v>
      </c>
      <c r="V1258" s="1" t="str">
        <f t="shared" si="69"/>
        <v>0 г. 0 мес. 0 дн.</v>
      </c>
      <c r="W1258" s="5"/>
    </row>
    <row r="1259" spans="1:23" ht="34.5" customHeight="1" x14ac:dyDescent="0.25">
      <c r="A1259" s="1">
        <f t="shared" si="70"/>
        <v>1258</v>
      </c>
      <c r="B1259" s="1"/>
      <c r="C1259" s="2"/>
      <c r="H1259" s="1" t="str">
        <f t="shared" si="71"/>
        <v>0 г. 0 мес. 0 дн.</v>
      </c>
      <c r="I1259" s="1" t="s">
        <v>39</v>
      </c>
      <c r="V1259" s="1" t="str">
        <f t="shared" si="69"/>
        <v>0 г. 0 мес. 0 дн.</v>
      </c>
      <c r="W1259" s="5"/>
    </row>
    <row r="1260" spans="1:23" ht="34.5" customHeight="1" x14ac:dyDescent="0.25">
      <c r="A1260" s="1">
        <f t="shared" si="70"/>
        <v>1259</v>
      </c>
      <c r="B1260" s="1"/>
      <c r="C1260" s="2"/>
      <c r="H1260" s="1" t="str">
        <f t="shared" si="71"/>
        <v>0 г. 0 мес. 0 дн.</v>
      </c>
      <c r="I1260" s="1" t="s">
        <v>39</v>
      </c>
      <c r="V1260" s="1" t="str">
        <f t="shared" si="69"/>
        <v>0 г. 0 мес. 0 дн.</v>
      </c>
      <c r="W1260" s="5"/>
    </row>
    <row r="1261" spans="1:23" ht="34.5" customHeight="1" x14ac:dyDescent="0.25">
      <c r="A1261" s="1">
        <f t="shared" si="70"/>
        <v>1260</v>
      </c>
      <c r="B1261" s="1"/>
      <c r="C1261" s="2"/>
      <c r="H1261" s="1" t="str">
        <f t="shared" si="71"/>
        <v>0 г. 0 мес. 0 дн.</v>
      </c>
      <c r="I1261" s="1" t="s">
        <v>39</v>
      </c>
      <c r="V1261" s="1" t="str">
        <f t="shared" si="69"/>
        <v>0 г. 0 мес. 0 дн.</v>
      </c>
      <c r="W1261" s="5"/>
    </row>
    <row r="1262" spans="1:23" ht="34.5" customHeight="1" x14ac:dyDescent="0.25">
      <c r="A1262" s="1">
        <f t="shared" si="70"/>
        <v>1261</v>
      </c>
      <c r="B1262" s="1"/>
      <c r="C1262" s="2"/>
      <c r="H1262" s="1" t="str">
        <f t="shared" si="71"/>
        <v>0 г. 0 мес. 0 дн.</v>
      </c>
      <c r="I1262" s="1" t="s">
        <v>39</v>
      </c>
      <c r="V1262" s="1" t="str">
        <f t="shared" si="69"/>
        <v>0 г. 0 мес. 0 дн.</v>
      </c>
      <c r="W1262" s="5"/>
    </row>
    <row r="1263" spans="1:23" ht="34.5" customHeight="1" x14ac:dyDescent="0.25">
      <c r="A1263" s="1">
        <f t="shared" si="70"/>
        <v>1262</v>
      </c>
      <c r="B1263" s="1"/>
      <c r="C1263" s="2"/>
      <c r="H1263" s="1" t="str">
        <f t="shared" si="71"/>
        <v>0 г. 0 мес. 0 дн.</v>
      </c>
      <c r="I1263" s="1" t="s">
        <v>39</v>
      </c>
      <c r="V1263" s="1" t="str">
        <f t="shared" si="69"/>
        <v>0 г. 0 мес. 0 дн.</v>
      </c>
      <c r="W1263" s="5"/>
    </row>
    <row r="1264" spans="1:23" ht="34.5" customHeight="1" x14ac:dyDescent="0.25">
      <c r="A1264" s="1">
        <f t="shared" si="70"/>
        <v>1263</v>
      </c>
      <c r="B1264" s="1"/>
      <c r="C1264" s="2"/>
      <c r="H1264" s="1" t="str">
        <f t="shared" si="71"/>
        <v>0 г. 0 мес. 0 дн.</v>
      </c>
      <c r="I1264" s="1" t="s">
        <v>39</v>
      </c>
      <c r="V1264" s="1" t="str">
        <f t="shared" si="69"/>
        <v>0 г. 0 мес. 0 дн.</v>
      </c>
      <c r="W1264" s="5"/>
    </row>
    <row r="1265" spans="1:23" ht="34.5" customHeight="1" x14ac:dyDescent="0.25">
      <c r="A1265" s="1">
        <f t="shared" si="70"/>
        <v>1264</v>
      </c>
      <c r="B1265" s="1"/>
      <c r="C1265" s="2"/>
      <c r="H1265" s="1" t="str">
        <f t="shared" si="71"/>
        <v>0 г. 0 мес. 0 дн.</v>
      </c>
      <c r="I1265" s="1" t="s">
        <v>39</v>
      </c>
      <c r="V1265" s="1" t="str">
        <f t="shared" ref="V1265:V1328" si="72">DATEDIF(D1265,T1265,"y") &amp; " г. " &amp; DATEDIF(D1265,T1265,"ym") &amp; " мес. " &amp; DATEDIF(D1265,T1265,"md") &amp; " дн."</f>
        <v>0 г. 0 мес. 0 дн.</v>
      </c>
      <c r="W1265" s="5"/>
    </row>
    <row r="1266" spans="1:23" ht="34.5" customHeight="1" x14ac:dyDescent="0.25">
      <c r="A1266" s="1">
        <f t="shared" si="70"/>
        <v>1265</v>
      </c>
      <c r="B1266" s="1"/>
      <c r="C1266" s="2"/>
      <c r="H1266" s="1" t="str">
        <f t="shared" si="71"/>
        <v>0 г. 0 мес. 0 дн.</v>
      </c>
      <c r="I1266" s="1" t="s">
        <v>39</v>
      </c>
      <c r="V1266" s="1" t="str">
        <f t="shared" si="72"/>
        <v>0 г. 0 мес. 0 дн.</v>
      </c>
      <c r="W1266" s="5"/>
    </row>
    <row r="1267" spans="1:23" ht="34.5" customHeight="1" x14ac:dyDescent="0.25">
      <c r="A1267" s="1">
        <f t="shared" si="70"/>
        <v>1266</v>
      </c>
      <c r="B1267" s="1"/>
      <c r="C1267" s="2"/>
      <c r="H1267" s="1" t="str">
        <f t="shared" si="71"/>
        <v>0 г. 0 мес. 0 дн.</v>
      </c>
      <c r="I1267" s="1" t="s">
        <v>39</v>
      </c>
      <c r="V1267" s="1" t="str">
        <f t="shared" si="72"/>
        <v>0 г. 0 мес. 0 дн.</v>
      </c>
      <c r="W1267" s="5"/>
    </row>
    <row r="1268" spans="1:23" ht="34.5" customHeight="1" x14ac:dyDescent="0.25">
      <c r="A1268" s="1">
        <f t="shared" si="70"/>
        <v>1267</v>
      </c>
      <c r="B1268" s="1"/>
      <c r="C1268" s="2"/>
      <c r="H1268" s="1" t="str">
        <f t="shared" si="71"/>
        <v>0 г. 0 мес. 0 дн.</v>
      </c>
      <c r="I1268" s="1" t="s">
        <v>39</v>
      </c>
      <c r="V1268" s="1" t="str">
        <f t="shared" si="72"/>
        <v>0 г. 0 мес. 0 дн.</v>
      </c>
      <c r="W1268" s="5"/>
    </row>
    <row r="1269" spans="1:23" ht="34.5" customHeight="1" x14ac:dyDescent="0.25">
      <c r="A1269" s="1">
        <f t="shared" si="70"/>
        <v>1268</v>
      </c>
      <c r="B1269" s="1"/>
      <c r="C1269" s="2"/>
      <c r="H1269" s="1" t="str">
        <f t="shared" si="71"/>
        <v>0 г. 0 мес. 0 дн.</v>
      </c>
      <c r="I1269" s="1" t="s">
        <v>39</v>
      </c>
      <c r="V1269" s="1" t="str">
        <f t="shared" si="72"/>
        <v>0 г. 0 мес. 0 дн.</v>
      </c>
      <c r="W1269" s="5"/>
    </row>
    <row r="1270" spans="1:23" ht="34.5" customHeight="1" x14ac:dyDescent="0.25">
      <c r="A1270" s="1">
        <f t="shared" si="70"/>
        <v>1269</v>
      </c>
      <c r="B1270" s="1"/>
      <c r="C1270" s="2"/>
      <c r="H1270" s="1" t="str">
        <f t="shared" si="71"/>
        <v>0 г. 0 мес. 0 дн.</v>
      </c>
      <c r="I1270" s="1" t="s">
        <v>39</v>
      </c>
      <c r="V1270" s="1" t="str">
        <f t="shared" si="72"/>
        <v>0 г. 0 мес. 0 дн.</v>
      </c>
      <c r="W1270" s="5"/>
    </row>
    <row r="1271" spans="1:23" ht="34.5" customHeight="1" x14ac:dyDescent="0.25">
      <c r="A1271" s="1">
        <f t="shared" si="70"/>
        <v>1270</v>
      </c>
      <c r="B1271" s="1"/>
      <c r="C1271" s="2"/>
      <c r="H1271" s="1" t="str">
        <f t="shared" si="71"/>
        <v>0 г. 0 мес. 0 дн.</v>
      </c>
      <c r="I1271" s="1" t="s">
        <v>39</v>
      </c>
      <c r="V1271" s="1" t="str">
        <f t="shared" si="72"/>
        <v>0 г. 0 мес. 0 дн.</v>
      </c>
      <c r="W1271" s="5"/>
    </row>
    <row r="1272" spans="1:23" ht="34.5" customHeight="1" x14ac:dyDescent="0.25">
      <c r="A1272" s="1">
        <f t="shared" si="70"/>
        <v>1271</v>
      </c>
      <c r="B1272" s="1"/>
      <c r="C1272" s="2"/>
      <c r="H1272" s="1" t="str">
        <f t="shared" si="71"/>
        <v>0 г. 0 мес. 0 дн.</v>
      </c>
      <c r="I1272" s="1" t="s">
        <v>39</v>
      </c>
      <c r="V1272" s="1" t="str">
        <f t="shared" si="72"/>
        <v>0 г. 0 мес. 0 дн.</v>
      </c>
      <c r="W1272" s="5"/>
    </row>
    <row r="1273" spans="1:23" ht="34.5" customHeight="1" x14ac:dyDescent="0.25">
      <c r="A1273" s="1">
        <f t="shared" si="70"/>
        <v>1272</v>
      </c>
      <c r="B1273" s="1"/>
      <c r="C1273" s="2"/>
      <c r="H1273" s="1" t="str">
        <f t="shared" si="71"/>
        <v>0 г. 0 мес. 0 дн.</v>
      </c>
      <c r="I1273" s="1" t="s">
        <v>39</v>
      </c>
      <c r="V1273" s="1" t="str">
        <f t="shared" si="72"/>
        <v>0 г. 0 мес. 0 дн.</v>
      </c>
      <c r="W1273" s="5"/>
    </row>
    <row r="1274" spans="1:23" ht="34.5" customHeight="1" x14ac:dyDescent="0.25">
      <c r="A1274" s="1">
        <f t="shared" si="70"/>
        <v>1273</v>
      </c>
      <c r="B1274" s="1"/>
      <c r="C1274" s="2"/>
      <c r="H1274" s="1" t="str">
        <f t="shared" si="71"/>
        <v>0 г. 0 мес. 0 дн.</v>
      </c>
      <c r="I1274" s="1" t="s">
        <v>39</v>
      </c>
      <c r="V1274" s="1" t="str">
        <f t="shared" si="72"/>
        <v>0 г. 0 мес. 0 дн.</v>
      </c>
      <c r="W1274" s="5"/>
    </row>
    <row r="1275" spans="1:23" ht="34.5" customHeight="1" x14ac:dyDescent="0.25">
      <c r="A1275" s="1">
        <f t="shared" si="70"/>
        <v>1274</v>
      </c>
      <c r="B1275" s="1"/>
      <c r="C1275" s="2"/>
      <c r="H1275" s="1" t="str">
        <f t="shared" si="71"/>
        <v>0 г. 0 мес. 0 дн.</v>
      </c>
      <c r="I1275" s="1" t="s">
        <v>39</v>
      </c>
      <c r="V1275" s="1" t="str">
        <f t="shared" si="72"/>
        <v>0 г. 0 мес. 0 дн.</v>
      </c>
      <c r="W1275" s="5"/>
    </row>
    <row r="1276" spans="1:23" ht="34.5" customHeight="1" x14ac:dyDescent="0.25">
      <c r="A1276" s="1">
        <f t="shared" si="70"/>
        <v>1275</v>
      </c>
      <c r="B1276" s="1"/>
      <c r="C1276" s="2"/>
      <c r="H1276" s="1" t="str">
        <f t="shared" si="71"/>
        <v>0 г. 0 мес. 0 дн.</v>
      </c>
      <c r="I1276" s="1" t="s">
        <v>39</v>
      </c>
      <c r="V1276" s="1" t="str">
        <f t="shared" si="72"/>
        <v>0 г. 0 мес. 0 дн.</v>
      </c>
      <c r="W1276" s="5"/>
    </row>
    <row r="1277" spans="1:23" ht="34.5" customHeight="1" x14ac:dyDescent="0.25">
      <c r="A1277" s="1">
        <f t="shared" si="70"/>
        <v>1276</v>
      </c>
      <c r="B1277" s="1"/>
      <c r="C1277" s="2"/>
      <c r="H1277" s="1" t="str">
        <f t="shared" si="71"/>
        <v>0 г. 0 мес. 0 дн.</v>
      </c>
      <c r="I1277" s="1" t="s">
        <v>39</v>
      </c>
      <c r="V1277" s="1" t="str">
        <f t="shared" si="72"/>
        <v>0 г. 0 мес. 0 дн.</v>
      </c>
      <c r="W1277" s="5"/>
    </row>
    <row r="1278" spans="1:23" ht="34.5" customHeight="1" x14ac:dyDescent="0.25">
      <c r="A1278" s="1">
        <f t="shared" si="70"/>
        <v>1277</v>
      </c>
      <c r="B1278" s="1"/>
      <c r="C1278" s="2"/>
      <c r="H1278" s="1" t="str">
        <f t="shared" si="71"/>
        <v>0 г. 0 мес. 0 дн.</v>
      </c>
      <c r="I1278" s="1" t="s">
        <v>39</v>
      </c>
      <c r="V1278" s="1" t="str">
        <f t="shared" si="72"/>
        <v>0 г. 0 мес. 0 дн.</v>
      </c>
      <c r="W1278" s="5"/>
    </row>
    <row r="1279" spans="1:23" ht="34.5" customHeight="1" x14ac:dyDescent="0.25">
      <c r="A1279" s="1">
        <f t="shared" si="70"/>
        <v>1278</v>
      </c>
      <c r="B1279" s="1"/>
      <c r="C1279" s="2"/>
      <c r="H1279" s="1" t="str">
        <f t="shared" si="71"/>
        <v>0 г. 0 мес. 0 дн.</v>
      </c>
      <c r="I1279" s="1" t="s">
        <v>39</v>
      </c>
      <c r="V1279" s="1" t="str">
        <f t="shared" si="72"/>
        <v>0 г. 0 мес. 0 дн.</v>
      </c>
      <c r="W1279" s="5"/>
    </row>
    <row r="1280" spans="1:23" ht="34.5" customHeight="1" x14ac:dyDescent="0.25">
      <c r="A1280" s="1">
        <f t="shared" ref="A1280:A1343" si="73">ROW(A1279)</f>
        <v>1279</v>
      </c>
      <c r="B1280" s="1"/>
      <c r="C1280" s="2"/>
      <c r="H1280" s="1" t="str">
        <f t="shared" si="71"/>
        <v>0 г. 0 мес. 0 дн.</v>
      </c>
      <c r="I1280" s="1" t="s">
        <v>39</v>
      </c>
      <c r="V1280" s="1" t="str">
        <f t="shared" si="72"/>
        <v>0 г. 0 мес. 0 дн.</v>
      </c>
      <c r="W1280" s="5"/>
    </row>
    <row r="1281" spans="1:23" ht="34.5" customHeight="1" x14ac:dyDescent="0.25">
      <c r="A1281" s="1">
        <f t="shared" si="73"/>
        <v>1280</v>
      </c>
      <c r="B1281" s="1"/>
      <c r="C1281" s="2"/>
      <c r="H1281" s="1" t="str">
        <f t="shared" si="71"/>
        <v>0 г. 0 мес. 0 дн.</v>
      </c>
      <c r="I1281" s="1" t="s">
        <v>39</v>
      </c>
      <c r="V1281" s="1" t="str">
        <f t="shared" si="72"/>
        <v>0 г. 0 мес. 0 дн.</v>
      </c>
      <c r="W1281" s="5"/>
    </row>
    <row r="1282" spans="1:23" ht="34.5" customHeight="1" x14ac:dyDescent="0.25">
      <c r="A1282" s="1">
        <f t="shared" si="73"/>
        <v>1281</v>
      </c>
      <c r="B1282" s="1"/>
      <c r="C1282" s="2"/>
      <c r="H1282" s="1" t="str">
        <f t="shared" ref="H1282:H1345" si="74">DATEDIF(G1282,D1282,"y") &amp; " г. " &amp; DATEDIF(G1282,D1282,"ym") &amp; " мес. " &amp; DATEDIF(G1282,D1282,"md") &amp; " дн."</f>
        <v>0 г. 0 мес. 0 дн.</v>
      </c>
      <c r="I1282" s="1" t="s">
        <v>39</v>
      </c>
      <c r="V1282" s="1" t="str">
        <f t="shared" si="72"/>
        <v>0 г. 0 мес. 0 дн.</v>
      </c>
      <c r="W1282" s="5"/>
    </row>
    <row r="1283" spans="1:23" ht="34.5" customHeight="1" x14ac:dyDescent="0.25">
      <c r="A1283" s="1">
        <f t="shared" si="73"/>
        <v>1282</v>
      </c>
      <c r="B1283" s="1"/>
      <c r="C1283" s="2"/>
      <c r="H1283" s="1" t="str">
        <f t="shared" si="74"/>
        <v>0 г. 0 мес. 0 дн.</v>
      </c>
      <c r="I1283" s="1" t="s">
        <v>39</v>
      </c>
      <c r="V1283" s="1" t="str">
        <f t="shared" si="72"/>
        <v>0 г. 0 мес. 0 дн.</v>
      </c>
      <c r="W1283" s="5"/>
    </row>
    <row r="1284" spans="1:23" ht="34.5" customHeight="1" x14ac:dyDescent="0.25">
      <c r="A1284" s="1">
        <f t="shared" si="73"/>
        <v>1283</v>
      </c>
      <c r="B1284" s="1"/>
      <c r="C1284" s="2"/>
      <c r="H1284" s="1" t="str">
        <f t="shared" si="74"/>
        <v>0 г. 0 мес. 0 дн.</v>
      </c>
      <c r="I1284" s="1" t="s">
        <v>39</v>
      </c>
      <c r="V1284" s="1" t="str">
        <f t="shared" si="72"/>
        <v>0 г. 0 мес. 0 дн.</v>
      </c>
      <c r="W1284" s="5"/>
    </row>
    <row r="1285" spans="1:23" ht="34.5" customHeight="1" x14ac:dyDescent="0.25">
      <c r="A1285" s="1">
        <f t="shared" si="73"/>
        <v>1284</v>
      </c>
      <c r="B1285" s="1"/>
      <c r="C1285" s="2"/>
      <c r="H1285" s="1" t="str">
        <f t="shared" si="74"/>
        <v>0 г. 0 мес. 0 дн.</v>
      </c>
      <c r="I1285" s="1" t="s">
        <v>39</v>
      </c>
      <c r="V1285" s="1" t="str">
        <f t="shared" si="72"/>
        <v>0 г. 0 мес. 0 дн.</v>
      </c>
      <c r="W1285" s="5"/>
    </row>
    <row r="1286" spans="1:23" ht="34.5" customHeight="1" x14ac:dyDescent="0.25">
      <c r="A1286" s="1">
        <f t="shared" si="73"/>
        <v>1285</v>
      </c>
      <c r="B1286" s="1"/>
      <c r="C1286" s="2"/>
      <c r="H1286" s="1" t="str">
        <f t="shared" si="74"/>
        <v>0 г. 0 мес. 0 дн.</v>
      </c>
      <c r="I1286" s="1" t="s">
        <v>39</v>
      </c>
      <c r="V1286" s="1" t="str">
        <f t="shared" si="72"/>
        <v>0 г. 0 мес. 0 дн.</v>
      </c>
      <c r="W1286" s="5"/>
    </row>
    <row r="1287" spans="1:23" ht="34.5" customHeight="1" x14ac:dyDescent="0.25">
      <c r="A1287" s="1">
        <f t="shared" si="73"/>
        <v>1286</v>
      </c>
      <c r="B1287" s="1"/>
      <c r="C1287" s="2"/>
      <c r="H1287" s="1" t="str">
        <f t="shared" si="74"/>
        <v>0 г. 0 мес. 0 дн.</v>
      </c>
      <c r="I1287" s="1" t="s">
        <v>39</v>
      </c>
      <c r="V1287" s="1" t="str">
        <f t="shared" si="72"/>
        <v>0 г. 0 мес. 0 дн.</v>
      </c>
      <c r="W1287" s="5"/>
    </row>
    <row r="1288" spans="1:23" ht="34.5" customHeight="1" x14ac:dyDescent="0.25">
      <c r="A1288" s="1">
        <f t="shared" si="73"/>
        <v>1287</v>
      </c>
      <c r="B1288" s="1"/>
      <c r="C1288" s="2"/>
      <c r="H1288" s="1" t="str">
        <f t="shared" si="74"/>
        <v>0 г. 0 мес. 0 дн.</v>
      </c>
      <c r="I1288" s="1" t="s">
        <v>39</v>
      </c>
      <c r="V1288" s="1" t="str">
        <f t="shared" si="72"/>
        <v>0 г. 0 мес. 0 дн.</v>
      </c>
      <c r="W1288" s="5"/>
    </row>
    <row r="1289" spans="1:23" ht="34.5" customHeight="1" x14ac:dyDescent="0.25">
      <c r="A1289" s="1">
        <f t="shared" si="73"/>
        <v>1288</v>
      </c>
      <c r="B1289" s="1"/>
      <c r="C1289" s="2"/>
      <c r="H1289" s="1" t="str">
        <f t="shared" si="74"/>
        <v>0 г. 0 мес. 0 дн.</v>
      </c>
      <c r="I1289" s="1" t="s">
        <v>39</v>
      </c>
      <c r="V1289" s="1" t="str">
        <f t="shared" si="72"/>
        <v>0 г. 0 мес. 0 дн.</v>
      </c>
      <c r="W1289" s="5"/>
    </row>
    <row r="1290" spans="1:23" ht="34.5" customHeight="1" x14ac:dyDescent="0.25">
      <c r="A1290" s="1">
        <f t="shared" si="73"/>
        <v>1289</v>
      </c>
      <c r="B1290" s="1"/>
      <c r="C1290" s="2"/>
      <c r="H1290" s="1" t="str">
        <f t="shared" si="74"/>
        <v>0 г. 0 мес. 0 дн.</v>
      </c>
      <c r="I1290" s="1" t="s">
        <v>39</v>
      </c>
      <c r="V1290" s="1" t="str">
        <f t="shared" si="72"/>
        <v>0 г. 0 мес. 0 дн.</v>
      </c>
      <c r="W1290" s="5"/>
    </row>
    <row r="1291" spans="1:23" ht="34.5" customHeight="1" x14ac:dyDescent="0.25">
      <c r="A1291" s="1">
        <f t="shared" si="73"/>
        <v>1290</v>
      </c>
      <c r="B1291" s="1"/>
      <c r="C1291" s="2"/>
      <c r="H1291" s="1" t="str">
        <f t="shared" si="74"/>
        <v>0 г. 0 мес. 0 дн.</v>
      </c>
      <c r="I1291" s="1" t="s">
        <v>39</v>
      </c>
      <c r="V1291" s="1" t="str">
        <f t="shared" si="72"/>
        <v>0 г. 0 мес. 0 дн.</v>
      </c>
      <c r="W1291" s="5"/>
    </row>
    <row r="1292" spans="1:23" ht="34.5" customHeight="1" x14ac:dyDescent="0.25">
      <c r="A1292" s="1">
        <f t="shared" si="73"/>
        <v>1291</v>
      </c>
      <c r="B1292" s="1"/>
      <c r="C1292" s="2"/>
      <c r="H1292" s="1" t="str">
        <f t="shared" si="74"/>
        <v>0 г. 0 мес. 0 дн.</v>
      </c>
      <c r="I1292" s="1" t="s">
        <v>39</v>
      </c>
      <c r="V1292" s="1" t="str">
        <f t="shared" si="72"/>
        <v>0 г. 0 мес. 0 дн.</v>
      </c>
      <c r="W1292" s="5"/>
    </row>
    <row r="1293" spans="1:23" ht="34.5" customHeight="1" x14ac:dyDescent="0.25">
      <c r="A1293" s="1">
        <f t="shared" si="73"/>
        <v>1292</v>
      </c>
      <c r="B1293" s="1"/>
      <c r="C1293" s="2"/>
      <c r="H1293" s="1" t="str">
        <f t="shared" si="74"/>
        <v>0 г. 0 мес. 0 дн.</v>
      </c>
      <c r="I1293" s="1" t="s">
        <v>39</v>
      </c>
      <c r="V1293" s="1" t="str">
        <f t="shared" si="72"/>
        <v>0 г. 0 мес. 0 дн.</v>
      </c>
      <c r="W1293" s="5"/>
    </row>
    <row r="1294" spans="1:23" ht="34.5" customHeight="1" x14ac:dyDescent="0.25">
      <c r="A1294" s="1">
        <f t="shared" si="73"/>
        <v>1293</v>
      </c>
      <c r="B1294" s="1"/>
      <c r="C1294" s="2"/>
      <c r="H1294" s="1" t="str">
        <f t="shared" si="74"/>
        <v>0 г. 0 мес. 0 дн.</v>
      </c>
      <c r="I1294" s="1" t="s">
        <v>39</v>
      </c>
      <c r="V1294" s="1" t="str">
        <f t="shared" si="72"/>
        <v>0 г. 0 мес. 0 дн.</v>
      </c>
      <c r="W1294" s="5"/>
    </row>
    <row r="1295" spans="1:23" ht="34.5" customHeight="1" x14ac:dyDescent="0.25">
      <c r="A1295" s="1">
        <f t="shared" si="73"/>
        <v>1294</v>
      </c>
      <c r="B1295" s="1"/>
      <c r="C1295" s="2"/>
      <c r="H1295" s="1" t="str">
        <f t="shared" si="74"/>
        <v>0 г. 0 мес. 0 дн.</v>
      </c>
      <c r="I1295" s="1" t="s">
        <v>39</v>
      </c>
      <c r="V1295" s="1" t="str">
        <f t="shared" si="72"/>
        <v>0 г. 0 мес. 0 дн.</v>
      </c>
      <c r="W1295" s="5"/>
    </row>
    <row r="1296" spans="1:23" ht="34.5" customHeight="1" x14ac:dyDescent="0.25">
      <c r="A1296" s="1">
        <f t="shared" si="73"/>
        <v>1295</v>
      </c>
      <c r="B1296" s="1"/>
      <c r="C1296" s="2"/>
      <c r="H1296" s="1" t="str">
        <f t="shared" si="74"/>
        <v>0 г. 0 мес. 0 дн.</v>
      </c>
      <c r="I1296" s="1" t="s">
        <v>39</v>
      </c>
      <c r="V1296" s="1" t="str">
        <f t="shared" si="72"/>
        <v>0 г. 0 мес. 0 дн.</v>
      </c>
      <c r="W1296" s="5"/>
    </row>
    <row r="1297" spans="1:23" ht="34.5" customHeight="1" x14ac:dyDescent="0.25">
      <c r="A1297" s="1">
        <f t="shared" si="73"/>
        <v>1296</v>
      </c>
      <c r="B1297" s="1"/>
      <c r="C1297" s="2"/>
      <c r="H1297" s="1" t="str">
        <f t="shared" si="74"/>
        <v>0 г. 0 мес. 0 дн.</v>
      </c>
      <c r="I1297" s="1" t="s">
        <v>39</v>
      </c>
      <c r="V1297" s="1" t="str">
        <f t="shared" si="72"/>
        <v>0 г. 0 мес. 0 дн.</v>
      </c>
      <c r="W1297" s="5"/>
    </row>
    <row r="1298" spans="1:23" ht="34.5" customHeight="1" x14ac:dyDescent="0.25">
      <c r="A1298" s="1">
        <f t="shared" si="73"/>
        <v>1297</v>
      </c>
      <c r="B1298" s="1"/>
      <c r="C1298" s="2"/>
      <c r="H1298" s="1" t="str">
        <f t="shared" si="74"/>
        <v>0 г. 0 мес. 0 дн.</v>
      </c>
      <c r="I1298" s="1" t="s">
        <v>39</v>
      </c>
      <c r="V1298" s="1" t="str">
        <f t="shared" si="72"/>
        <v>0 г. 0 мес. 0 дн.</v>
      </c>
      <c r="W1298" s="5"/>
    </row>
    <row r="1299" spans="1:23" ht="34.5" customHeight="1" x14ac:dyDescent="0.25">
      <c r="A1299" s="1">
        <f t="shared" si="73"/>
        <v>1298</v>
      </c>
      <c r="B1299" s="1"/>
      <c r="C1299" s="2"/>
      <c r="H1299" s="1" t="str">
        <f t="shared" si="74"/>
        <v>0 г. 0 мес. 0 дн.</v>
      </c>
      <c r="I1299" s="1" t="s">
        <v>39</v>
      </c>
      <c r="V1299" s="1" t="str">
        <f t="shared" si="72"/>
        <v>0 г. 0 мес. 0 дн.</v>
      </c>
      <c r="W1299" s="5"/>
    </row>
    <row r="1300" spans="1:23" ht="34.5" customHeight="1" x14ac:dyDescent="0.25">
      <c r="A1300" s="1">
        <f t="shared" si="73"/>
        <v>1299</v>
      </c>
      <c r="B1300" s="1"/>
      <c r="C1300" s="2"/>
      <c r="H1300" s="1" t="str">
        <f t="shared" si="74"/>
        <v>0 г. 0 мес. 0 дн.</v>
      </c>
      <c r="I1300" s="1" t="s">
        <v>39</v>
      </c>
      <c r="V1300" s="1" t="str">
        <f t="shared" si="72"/>
        <v>0 г. 0 мес. 0 дн.</v>
      </c>
      <c r="W1300" s="5"/>
    </row>
    <row r="1301" spans="1:23" ht="34.5" customHeight="1" x14ac:dyDescent="0.25">
      <c r="A1301" s="1">
        <f t="shared" si="73"/>
        <v>1300</v>
      </c>
      <c r="B1301" s="1"/>
      <c r="C1301" s="2"/>
      <c r="H1301" s="1" t="str">
        <f t="shared" si="74"/>
        <v>0 г. 0 мес. 0 дн.</v>
      </c>
      <c r="I1301" s="1" t="s">
        <v>39</v>
      </c>
      <c r="V1301" s="1" t="str">
        <f t="shared" si="72"/>
        <v>0 г. 0 мес. 0 дн.</v>
      </c>
      <c r="W1301" s="5"/>
    </row>
    <row r="1302" spans="1:23" ht="34.5" customHeight="1" x14ac:dyDescent="0.25">
      <c r="A1302" s="1">
        <f t="shared" si="73"/>
        <v>1301</v>
      </c>
      <c r="B1302" s="1"/>
      <c r="C1302" s="2"/>
      <c r="H1302" s="1" t="str">
        <f t="shared" si="74"/>
        <v>0 г. 0 мес. 0 дн.</v>
      </c>
      <c r="I1302" s="1" t="s">
        <v>39</v>
      </c>
      <c r="V1302" s="1" t="str">
        <f t="shared" si="72"/>
        <v>0 г. 0 мес. 0 дн.</v>
      </c>
      <c r="W1302" s="5"/>
    </row>
    <row r="1303" spans="1:23" ht="34.5" customHeight="1" x14ac:dyDescent="0.25">
      <c r="A1303" s="1">
        <f t="shared" si="73"/>
        <v>1302</v>
      </c>
      <c r="B1303" s="1"/>
      <c r="C1303" s="2"/>
      <c r="H1303" s="1" t="str">
        <f t="shared" si="74"/>
        <v>0 г. 0 мес. 0 дн.</v>
      </c>
      <c r="I1303" s="1" t="s">
        <v>39</v>
      </c>
      <c r="V1303" s="1" t="str">
        <f t="shared" si="72"/>
        <v>0 г. 0 мес. 0 дн.</v>
      </c>
      <c r="W1303" s="5"/>
    </row>
    <row r="1304" spans="1:23" ht="34.5" customHeight="1" x14ac:dyDescent="0.25">
      <c r="A1304" s="1">
        <f t="shared" si="73"/>
        <v>1303</v>
      </c>
      <c r="B1304" s="1"/>
      <c r="C1304" s="2"/>
      <c r="H1304" s="1" t="str">
        <f t="shared" si="74"/>
        <v>0 г. 0 мес. 0 дн.</v>
      </c>
      <c r="I1304" s="1" t="s">
        <v>39</v>
      </c>
      <c r="V1304" s="1" t="str">
        <f t="shared" si="72"/>
        <v>0 г. 0 мес. 0 дн.</v>
      </c>
      <c r="W1304" s="5"/>
    </row>
    <row r="1305" spans="1:23" ht="34.5" customHeight="1" x14ac:dyDescent="0.25">
      <c r="A1305" s="1">
        <f t="shared" si="73"/>
        <v>1304</v>
      </c>
      <c r="B1305" s="1"/>
      <c r="C1305" s="2"/>
      <c r="H1305" s="1" t="str">
        <f t="shared" si="74"/>
        <v>0 г. 0 мес. 0 дн.</v>
      </c>
      <c r="I1305" s="1" t="s">
        <v>39</v>
      </c>
      <c r="V1305" s="1" t="str">
        <f t="shared" si="72"/>
        <v>0 г. 0 мес. 0 дн.</v>
      </c>
      <c r="W1305" s="5"/>
    </row>
    <row r="1306" spans="1:23" ht="34.5" customHeight="1" x14ac:dyDescent="0.25">
      <c r="A1306" s="1">
        <f t="shared" si="73"/>
        <v>1305</v>
      </c>
      <c r="B1306" s="1"/>
      <c r="C1306" s="2"/>
      <c r="H1306" s="1" t="str">
        <f t="shared" si="74"/>
        <v>0 г. 0 мес. 0 дн.</v>
      </c>
      <c r="I1306" s="1" t="s">
        <v>39</v>
      </c>
      <c r="V1306" s="1" t="str">
        <f t="shared" si="72"/>
        <v>0 г. 0 мес. 0 дн.</v>
      </c>
      <c r="W1306" s="5"/>
    </row>
    <row r="1307" spans="1:23" ht="34.5" customHeight="1" x14ac:dyDescent="0.25">
      <c r="A1307" s="1">
        <f t="shared" si="73"/>
        <v>1306</v>
      </c>
      <c r="B1307" s="1"/>
      <c r="C1307" s="2"/>
      <c r="H1307" s="1" t="str">
        <f t="shared" si="74"/>
        <v>0 г. 0 мес. 0 дн.</v>
      </c>
      <c r="I1307" s="1" t="s">
        <v>39</v>
      </c>
      <c r="V1307" s="1" t="str">
        <f t="shared" si="72"/>
        <v>0 г. 0 мес. 0 дн.</v>
      </c>
      <c r="W1307" s="5"/>
    </row>
    <row r="1308" spans="1:23" ht="34.5" customHeight="1" x14ac:dyDescent="0.25">
      <c r="A1308" s="1">
        <f t="shared" si="73"/>
        <v>1307</v>
      </c>
      <c r="B1308" s="1"/>
      <c r="C1308" s="2"/>
      <c r="H1308" s="1" t="str">
        <f t="shared" si="74"/>
        <v>0 г. 0 мес. 0 дн.</v>
      </c>
      <c r="I1308" s="1" t="s">
        <v>39</v>
      </c>
      <c r="V1308" s="1" t="str">
        <f t="shared" si="72"/>
        <v>0 г. 0 мес. 0 дн.</v>
      </c>
      <c r="W1308" s="5"/>
    </row>
    <row r="1309" spans="1:23" ht="34.5" customHeight="1" x14ac:dyDescent="0.25">
      <c r="A1309" s="1">
        <f t="shared" si="73"/>
        <v>1308</v>
      </c>
      <c r="B1309" s="1"/>
      <c r="C1309" s="2"/>
      <c r="H1309" s="1" t="str">
        <f t="shared" si="74"/>
        <v>0 г. 0 мес. 0 дн.</v>
      </c>
      <c r="I1309" s="1" t="s">
        <v>39</v>
      </c>
      <c r="V1309" s="1" t="str">
        <f t="shared" si="72"/>
        <v>0 г. 0 мес. 0 дн.</v>
      </c>
      <c r="W1309" s="5"/>
    </row>
    <row r="1310" spans="1:23" ht="34.5" customHeight="1" x14ac:dyDescent="0.25">
      <c r="A1310" s="1">
        <f t="shared" si="73"/>
        <v>1309</v>
      </c>
      <c r="B1310" s="1"/>
      <c r="C1310" s="2"/>
      <c r="H1310" s="1" t="str">
        <f t="shared" si="74"/>
        <v>0 г. 0 мес. 0 дн.</v>
      </c>
      <c r="I1310" s="1" t="s">
        <v>39</v>
      </c>
      <c r="V1310" s="1" t="str">
        <f t="shared" si="72"/>
        <v>0 г. 0 мес. 0 дн.</v>
      </c>
      <c r="W1310" s="5"/>
    </row>
    <row r="1311" spans="1:23" ht="34.5" customHeight="1" x14ac:dyDescent="0.25">
      <c r="A1311" s="1">
        <f t="shared" si="73"/>
        <v>1310</v>
      </c>
      <c r="B1311" s="1"/>
      <c r="C1311" s="2"/>
      <c r="H1311" s="1" t="str">
        <f t="shared" si="74"/>
        <v>0 г. 0 мес. 0 дн.</v>
      </c>
      <c r="I1311" s="1" t="s">
        <v>39</v>
      </c>
      <c r="V1311" s="1" t="str">
        <f t="shared" si="72"/>
        <v>0 г. 0 мес. 0 дн.</v>
      </c>
      <c r="W1311" s="5"/>
    </row>
    <row r="1312" spans="1:23" ht="34.5" customHeight="1" x14ac:dyDescent="0.25">
      <c r="A1312" s="1">
        <f t="shared" si="73"/>
        <v>1311</v>
      </c>
      <c r="B1312" s="1"/>
      <c r="C1312" s="2"/>
      <c r="H1312" s="1" t="str">
        <f t="shared" si="74"/>
        <v>0 г. 0 мес. 0 дн.</v>
      </c>
      <c r="I1312" s="1" t="s">
        <v>39</v>
      </c>
      <c r="V1312" s="1" t="str">
        <f t="shared" si="72"/>
        <v>0 г. 0 мес. 0 дн.</v>
      </c>
      <c r="W1312" s="5"/>
    </row>
    <row r="1313" spans="1:23" ht="34.5" customHeight="1" x14ac:dyDescent="0.25">
      <c r="A1313" s="1">
        <f t="shared" si="73"/>
        <v>1312</v>
      </c>
      <c r="B1313" s="1"/>
      <c r="C1313" s="2"/>
      <c r="H1313" s="1" t="str">
        <f t="shared" si="74"/>
        <v>0 г. 0 мес. 0 дн.</v>
      </c>
      <c r="I1313" s="1" t="s">
        <v>39</v>
      </c>
      <c r="V1313" s="1" t="str">
        <f t="shared" si="72"/>
        <v>0 г. 0 мес. 0 дн.</v>
      </c>
      <c r="W1313" s="5"/>
    </row>
    <row r="1314" spans="1:23" ht="34.5" customHeight="1" x14ac:dyDescent="0.25">
      <c r="A1314" s="1">
        <f t="shared" si="73"/>
        <v>1313</v>
      </c>
      <c r="B1314" s="1"/>
      <c r="C1314" s="2"/>
      <c r="H1314" s="1" t="str">
        <f t="shared" si="74"/>
        <v>0 г. 0 мес. 0 дн.</v>
      </c>
      <c r="I1314" s="1" t="s">
        <v>39</v>
      </c>
      <c r="V1314" s="1" t="str">
        <f t="shared" si="72"/>
        <v>0 г. 0 мес. 0 дн.</v>
      </c>
      <c r="W1314" s="5"/>
    </row>
    <row r="1315" spans="1:23" ht="34.5" customHeight="1" x14ac:dyDescent="0.25">
      <c r="A1315" s="1">
        <f t="shared" si="73"/>
        <v>1314</v>
      </c>
      <c r="B1315" s="1"/>
      <c r="C1315" s="2"/>
      <c r="H1315" s="1" t="str">
        <f t="shared" si="74"/>
        <v>0 г. 0 мес. 0 дн.</v>
      </c>
      <c r="I1315" s="1" t="s">
        <v>39</v>
      </c>
      <c r="V1315" s="1" t="str">
        <f t="shared" si="72"/>
        <v>0 г. 0 мес. 0 дн.</v>
      </c>
      <c r="W1315" s="5"/>
    </row>
    <row r="1316" spans="1:23" ht="34.5" customHeight="1" x14ac:dyDescent="0.25">
      <c r="A1316" s="1">
        <f t="shared" si="73"/>
        <v>1315</v>
      </c>
      <c r="B1316" s="1"/>
      <c r="C1316" s="2"/>
      <c r="H1316" s="1" t="str">
        <f t="shared" si="74"/>
        <v>0 г. 0 мес. 0 дн.</v>
      </c>
      <c r="I1316" s="1" t="s">
        <v>39</v>
      </c>
      <c r="V1316" s="1" t="str">
        <f t="shared" si="72"/>
        <v>0 г. 0 мес. 0 дн.</v>
      </c>
      <c r="W1316" s="5"/>
    </row>
    <row r="1317" spans="1:23" ht="34.5" customHeight="1" x14ac:dyDescent="0.25">
      <c r="A1317" s="1">
        <f t="shared" si="73"/>
        <v>1316</v>
      </c>
      <c r="B1317" s="1"/>
      <c r="C1317" s="2"/>
      <c r="H1317" s="1" t="str">
        <f t="shared" si="74"/>
        <v>0 г. 0 мес. 0 дн.</v>
      </c>
      <c r="I1317" s="1" t="s">
        <v>39</v>
      </c>
      <c r="V1317" s="1" t="str">
        <f t="shared" si="72"/>
        <v>0 г. 0 мес. 0 дн.</v>
      </c>
      <c r="W1317" s="5"/>
    </row>
    <row r="1318" spans="1:23" ht="34.5" customHeight="1" x14ac:dyDescent="0.25">
      <c r="A1318" s="1">
        <f t="shared" si="73"/>
        <v>1317</v>
      </c>
      <c r="B1318" s="1"/>
      <c r="C1318" s="2"/>
      <c r="H1318" s="1" t="str">
        <f t="shared" si="74"/>
        <v>0 г. 0 мес. 0 дн.</v>
      </c>
      <c r="I1318" s="1" t="s">
        <v>39</v>
      </c>
      <c r="V1318" s="1" t="str">
        <f t="shared" si="72"/>
        <v>0 г. 0 мес. 0 дн.</v>
      </c>
      <c r="W1318" s="5"/>
    </row>
    <row r="1319" spans="1:23" ht="34.5" customHeight="1" x14ac:dyDescent="0.25">
      <c r="A1319" s="1">
        <f t="shared" si="73"/>
        <v>1318</v>
      </c>
      <c r="B1319" s="1"/>
      <c r="C1319" s="2"/>
      <c r="H1319" s="1" t="str">
        <f t="shared" si="74"/>
        <v>0 г. 0 мес. 0 дн.</v>
      </c>
      <c r="I1319" s="1" t="s">
        <v>39</v>
      </c>
      <c r="V1319" s="1" t="str">
        <f t="shared" si="72"/>
        <v>0 г. 0 мес. 0 дн.</v>
      </c>
      <c r="W1319" s="5"/>
    </row>
    <row r="1320" spans="1:23" ht="34.5" customHeight="1" x14ac:dyDescent="0.25">
      <c r="A1320" s="1">
        <f t="shared" si="73"/>
        <v>1319</v>
      </c>
      <c r="B1320" s="1"/>
      <c r="C1320" s="2"/>
      <c r="H1320" s="1" t="str">
        <f t="shared" si="74"/>
        <v>0 г. 0 мес. 0 дн.</v>
      </c>
      <c r="I1320" s="1" t="s">
        <v>39</v>
      </c>
      <c r="V1320" s="1" t="str">
        <f t="shared" si="72"/>
        <v>0 г. 0 мес. 0 дн.</v>
      </c>
      <c r="W1320" s="5"/>
    </row>
    <row r="1321" spans="1:23" ht="34.5" customHeight="1" x14ac:dyDescent="0.25">
      <c r="A1321" s="1">
        <f t="shared" si="73"/>
        <v>1320</v>
      </c>
      <c r="B1321" s="1"/>
      <c r="C1321" s="2"/>
      <c r="H1321" s="1" t="str">
        <f t="shared" si="74"/>
        <v>0 г. 0 мес. 0 дн.</v>
      </c>
      <c r="I1321" s="1" t="s">
        <v>39</v>
      </c>
      <c r="V1321" s="1" t="str">
        <f t="shared" si="72"/>
        <v>0 г. 0 мес. 0 дн.</v>
      </c>
      <c r="W1321" s="5"/>
    </row>
    <row r="1322" spans="1:23" ht="34.5" customHeight="1" x14ac:dyDescent="0.25">
      <c r="A1322" s="1">
        <f t="shared" si="73"/>
        <v>1321</v>
      </c>
      <c r="B1322" s="1"/>
      <c r="C1322" s="2"/>
      <c r="H1322" s="1" t="str">
        <f t="shared" si="74"/>
        <v>0 г. 0 мес. 0 дн.</v>
      </c>
      <c r="I1322" s="1" t="s">
        <v>39</v>
      </c>
      <c r="V1322" s="1" t="str">
        <f t="shared" si="72"/>
        <v>0 г. 0 мес. 0 дн.</v>
      </c>
      <c r="W1322" s="5"/>
    </row>
    <row r="1323" spans="1:23" ht="34.5" customHeight="1" x14ac:dyDescent="0.25">
      <c r="A1323" s="1">
        <f t="shared" si="73"/>
        <v>1322</v>
      </c>
      <c r="B1323" s="1"/>
      <c r="C1323" s="2"/>
      <c r="H1323" s="1" t="str">
        <f t="shared" si="74"/>
        <v>0 г. 0 мес. 0 дн.</v>
      </c>
      <c r="I1323" s="1" t="s">
        <v>39</v>
      </c>
      <c r="V1323" s="1" t="str">
        <f t="shared" si="72"/>
        <v>0 г. 0 мес. 0 дн.</v>
      </c>
      <c r="W1323" s="5"/>
    </row>
    <row r="1324" spans="1:23" ht="34.5" customHeight="1" x14ac:dyDescent="0.25">
      <c r="A1324" s="1">
        <f t="shared" si="73"/>
        <v>1323</v>
      </c>
      <c r="B1324" s="1"/>
      <c r="C1324" s="2"/>
      <c r="H1324" s="1" t="str">
        <f t="shared" si="74"/>
        <v>0 г. 0 мес. 0 дн.</v>
      </c>
      <c r="I1324" s="1" t="s">
        <v>39</v>
      </c>
      <c r="V1324" s="1" t="str">
        <f t="shared" si="72"/>
        <v>0 г. 0 мес. 0 дн.</v>
      </c>
      <c r="W1324" s="5"/>
    </row>
    <row r="1325" spans="1:23" ht="34.5" customHeight="1" x14ac:dyDescent="0.25">
      <c r="A1325" s="1">
        <f t="shared" si="73"/>
        <v>1324</v>
      </c>
      <c r="B1325" s="1"/>
      <c r="C1325" s="2"/>
      <c r="H1325" s="1" t="str">
        <f t="shared" si="74"/>
        <v>0 г. 0 мес. 0 дн.</v>
      </c>
      <c r="I1325" s="1" t="s">
        <v>39</v>
      </c>
      <c r="V1325" s="1" t="str">
        <f t="shared" si="72"/>
        <v>0 г. 0 мес. 0 дн.</v>
      </c>
      <c r="W1325" s="5"/>
    </row>
    <row r="1326" spans="1:23" ht="34.5" customHeight="1" x14ac:dyDescent="0.25">
      <c r="A1326" s="1">
        <f t="shared" si="73"/>
        <v>1325</v>
      </c>
      <c r="B1326" s="1"/>
      <c r="C1326" s="2"/>
      <c r="H1326" s="1" t="str">
        <f t="shared" si="74"/>
        <v>0 г. 0 мес. 0 дн.</v>
      </c>
      <c r="I1326" s="1" t="s">
        <v>39</v>
      </c>
      <c r="V1326" s="1" t="str">
        <f t="shared" si="72"/>
        <v>0 г. 0 мес. 0 дн.</v>
      </c>
      <c r="W1326" s="5"/>
    </row>
    <row r="1327" spans="1:23" ht="34.5" customHeight="1" x14ac:dyDescent="0.25">
      <c r="A1327" s="1">
        <f t="shared" si="73"/>
        <v>1326</v>
      </c>
      <c r="B1327" s="1"/>
      <c r="C1327" s="2"/>
      <c r="H1327" s="1" t="str">
        <f t="shared" si="74"/>
        <v>0 г. 0 мес. 0 дн.</v>
      </c>
      <c r="I1327" s="1" t="s">
        <v>39</v>
      </c>
      <c r="V1327" s="1" t="str">
        <f t="shared" si="72"/>
        <v>0 г. 0 мес. 0 дн.</v>
      </c>
      <c r="W1327" s="5"/>
    </row>
    <row r="1328" spans="1:23" ht="34.5" customHeight="1" x14ac:dyDescent="0.25">
      <c r="A1328" s="1">
        <f t="shared" si="73"/>
        <v>1327</v>
      </c>
      <c r="B1328" s="1"/>
      <c r="C1328" s="2"/>
      <c r="H1328" s="1" t="str">
        <f t="shared" si="74"/>
        <v>0 г. 0 мес. 0 дн.</v>
      </c>
      <c r="I1328" s="1" t="s">
        <v>39</v>
      </c>
      <c r="V1328" s="1" t="str">
        <f t="shared" si="72"/>
        <v>0 г. 0 мес. 0 дн.</v>
      </c>
      <c r="W1328" s="5"/>
    </row>
    <row r="1329" spans="1:23" ht="34.5" customHeight="1" x14ac:dyDescent="0.25">
      <c r="A1329" s="1">
        <f t="shared" si="73"/>
        <v>1328</v>
      </c>
      <c r="B1329" s="1"/>
      <c r="C1329" s="2"/>
      <c r="H1329" s="1" t="str">
        <f t="shared" si="74"/>
        <v>0 г. 0 мес. 0 дн.</v>
      </c>
      <c r="I1329" s="1" t="s">
        <v>39</v>
      </c>
      <c r="V1329" s="1" t="str">
        <f t="shared" ref="V1329:V1392" si="75">DATEDIF(D1329,T1329,"y") &amp; " г. " &amp; DATEDIF(D1329,T1329,"ym") &amp; " мес. " &amp; DATEDIF(D1329,T1329,"md") &amp; " дн."</f>
        <v>0 г. 0 мес. 0 дн.</v>
      </c>
      <c r="W1329" s="5"/>
    </row>
    <row r="1330" spans="1:23" ht="34.5" customHeight="1" x14ac:dyDescent="0.25">
      <c r="A1330" s="1">
        <f t="shared" si="73"/>
        <v>1329</v>
      </c>
      <c r="B1330" s="1"/>
      <c r="C1330" s="2"/>
      <c r="H1330" s="1" t="str">
        <f t="shared" si="74"/>
        <v>0 г. 0 мес. 0 дн.</v>
      </c>
      <c r="I1330" s="1" t="s">
        <v>39</v>
      </c>
      <c r="V1330" s="1" t="str">
        <f t="shared" si="75"/>
        <v>0 г. 0 мес. 0 дн.</v>
      </c>
      <c r="W1330" s="5"/>
    </row>
    <row r="1331" spans="1:23" ht="34.5" customHeight="1" x14ac:dyDescent="0.25">
      <c r="A1331" s="1">
        <f t="shared" si="73"/>
        <v>1330</v>
      </c>
      <c r="B1331" s="1"/>
      <c r="C1331" s="2"/>
      <c r="H1331" s="1" t="str">
        <f t="shared" si="74"/>
        <v>0 г. 0 мес. 0 дн.</v>
      </c>
      <c r="I1331" s="1" t="s">
        <v>39</v>
      </c>
      <c r="V1331" s="1" t="str">
        <f t="shared" si="75"/>
        <v>0 г. 0 мес. 0 дн.</v>
      </c>
      <c r="W1331" s="5"/>
    </row>
    <row r="1332" spans="1:23" ht="34.5" customHeight="1" x14ac:dyDescent="0.25">
      <c r="A1332" s="1">
        <f t="shared" si="73"/>
        <v>1331</v>
      </c>
      <c r="B1332" s="1"/>
      <c r="C1332" s="2"/>
      <c r="H1332" s="1" t="str">
        <f t="shared" si="74"/>
        <v>0 г. 0 мес. 0 дн.</v>
      </c>
      <c r="I1332" s="1" t="s">
        <v>39</v>
      </c>
      <c r="V1332" s="1" t="str">
        <f t="shared" si="75"/>
        <v>0 г. 0 мес. 0 дн.</v>
      </c>
      <c r="W1332" s="5"/>
    </row>
    <row r="1333" spans="1:23" ht="34.5" customHeight="1" x14ac:dyDescent="0.25">
      <c r="A1333" s="1">
        <f t="shared" si="73"/>
        <v>1332</v>
      </c>
      <c r="B1333" s="1"/>
      <c r="C1333" s="2"/>
      <c r="H1333" s="1" t="str">
        <f t="shared" si="74"/>
        <v>0 г. 0 мес. 0 дн.</v>
      </c>
      <c r="I1333" s="1" t="s">
        <v>39</v>
      </c>
      <c r="V1333" s="1" t="str">
        <f t="shared" si="75"/>
        <v>0 г. 0 мес. 0 дн.</v>
      </c>
      <c r="W1333" s="5"/>
    </row>
    <row r="1334" spans="1:23" ht="34.5" customHeight="1" x14ac:dyDescent="0.25">
      <c r="A1334" s="1">
        <f t="shared" si="73"/>
        <v>1333</v>
      </c>
      <c r="B1334" s="1"/>
      <c r="C1334" s="2"/>
      <c r="H1334" s="1" t="str">
        <f t="shared" si="74"/>
        <v>0 г. 0 мес. 0 дн.</v>
      </c>
      <c r="I1334" s="1" t="s">
        <v>39</v>
      </c>
      <c r="V1334" s="1" t="str">
        <f t="shared" si="75"/>
        <v>0 г. 0 мес. 0 дн.</v>
      </c>
      <c r="W1334" s="5"/>
    </row>
    <row r="1335" spans="1:23" ht="34.5" customHeight="1" x14ac:dyDescent="0.25">
      <c r="A1335" s="1">
        <f t="shared" si="73"/>
        <v>1334</v>
      </c>
      <c r="B1335" s="1"/>
      <c r="C1335" s="2"/>
      <c r="H1335" s="1" t="str">
        <f t="shared" si="74"/>
        <v>0 г. 0 мес. 0 дн.</v>
      </c>
      <c r="I1335" s="1" t="s">
        <v>39</v>
      </c>
      <c r="V1335" s="1" t="str">
        <f t="shared" si="75"/>
        <v>0 г. 0 мес. 0 дн.</v>
      </c>
      <c r="W1335" s="5"/>
    </row>
    <row r="1336" spans="1:23" ht="34.5" customHeight="1" x14ac:dyDescent="0.25">
      <c r="A1336" s="1">
        <f t="shared" si="73"/>
        <v>1335</v>
      </c>
      <c r="B1336" s="1"/>
      <c r="C1336" s="2"/>
      <c r="H1336" s="1" t="str">
        <f t="shared" si="74"/>
        <v>0 г. 0 мес. 0 дн.</v>
      </c>
      <c r="I1336" s="1" t="s">
        <v>39</v>
      </c>
      <c r="V1336" s="1" t="str">
        <f t="shared" si="75"/>
        <v>0 г. 0 мес. 0 дн.</v>
      </c>
      <c r="W1336" s="5"/>
    </row>
    <row r="1337" spans="1:23" ht="34.5" customHeight="1" x14ac:dyDescent="0.25">
      <c r="A1337" s="1">
        <f t="shared" si="73"/>
        <v>1336</v>
      </c>
      <c r="B1337" s="1"/>
      <c r="C1337" s="2"/>
      <c r="H1337" s="1" t="str">
        <f t="shared" si="74"/>
        <v>0 г. 0 мес. 0 дн.</v>
      </c>
      <c r="I1337" s="1" t="s">
        <v>39</v>
      </c>
      <c r="V1337" s="1" t="str">
        <f t="shared" si="75"/>
        <v>0 г. 0 мес. 0 дн.</v>
      </c>
      <c r="W1337" s="5"/>
    </row>
    <row r="1338" spans="1:23" ht="34.5" customHeight="1" x14ac:dyDescent="0.25">
      <c r="A1338" s="1">
        <f t="shared" si="73"/>
        <v>1337</v>
      </c>
      <c r="B1338" s="1"/>
      <c r="C1338" s="2"/>
      <c r="H1338" s="1" t="str">
        <f t="shared" si="74"/>
        <v>0 г. 0 мес. 0 дн.</v>
      </c>
      <c r="I1338" s="1" t="s">
        <v>39</v>
      </c>
      <c r="V1338" s="1" t="str">
        <f t="shared" si="75"/>
        <v>0 г. 0 мес. 0 дн.</v>
      </c>
      <c r="W1338" s="5"/>
    </row>
    <row r="1339" spans="1:23" ht="34.5" customHeight="1" x14ac:dyDescent="0.25">
      <c r="A1339" s="1">
        <f t="shared" si="73"/>
        <v>1338</v>
      </c>
      <c r="B1339" s="1"/>
      <c r="C1339" s="2"/>
      <c r="H1339" s="1" t="str">
        <f t="shared" si="74"/>
        <v>0 г. 0 мес. 0 дн.</v>
      </c>
      <c r="I1339" s="1" t="s">
        <v>39</v>
      </c>
      <c r="V1339" s="1" t="str">
        <f t="shared" si="75"/>
        <v>0 г. 0 мес. 0 дн.</v>
      </c>
      <c r="W1339" s="5"/>
    </row>
    <row r="1340" spans="1:23" ht="34.5" customHeight="1" x14ac:dyDescent="0.25">
      <c r="A1340" s="1">
        <f t="shared" si="73"/>
        <v>1339</v>
      </c>
      <c r="B1340" s="1"/>
      <c r="C1340" s="2"/>
      <c r="H1340" s="1" t="str">
        <f t="shared" si="74"/>
        <v>0 г. 0 мес. 0 дн.</v>
      </c>
      <c r="I1340" s="1" t="s">
        <v>39</v>
      </c>
      <c r="V1340" s="1" t="str">
        <f t="shared" si="75"/>
        <v>0 г. 0 мес. 0 дн.</v>
      </c>
      <c r="W1340" s="5"/>
    </row>
    <row r="1341" spans="1:23" ht="34.5" customHeight="1" x14ac:dyDescent="0.25">
      <c r="A1341" s="1">
        <f t="shared" si="73"/>
        <v>1340</v>
      </c>
      <c r="B1341" s="1"/>
      <c r="C1341" s="2"/>
      <c r="H1341" s="1" t="str">
        <f t="shared" si="74"/>
        <v>0 г. 0 мес. 0 дн.</v>
      </c>
      <c r="I1341" s="1" t="s">
        <v>39</v>
      </c>
      <c r="V1341" s="1" t="str">
        <f t="shared" si="75"/>
        <v>0 г. 0 мес. 0 дн.</v>
      </c>
      <c r="W1341" s="5"/>
    </row>
    <row r="1342" spans="1:23" ht="34.5" customHeight="1" x14ac:dyDescent="0.25">
      <c r="A1342" s="1">
        <f t="shared" si="73"/>
        <v>1341</v>
      </c>
      <c r="B1342" s="1"/>
      <c r="C1342" s="2"/>
      <c r="H1342" s="1" t="str">
        <f t="shared" si="74"/>
        <v>0 г. 0 мес. 0 дн.</v>
      </c>
      <c r="I1342" s="1" t="s">
        <v>39</v>
      </c>
      <c r="V1342" s="1" t="str">
        <f t="shared" si="75"/>
        <v>0 г. 0 мес. 0 дн.</v>
      </c>
      <c r="W1342" s="5"/>
    </row>
    <row r="1343" spans="1:23" ht="34.5" customHeight="1" x14ac:dyDescent="0.25">
      <c r="A1343" s="1">
        <f t="shared" si="73"/>
        <v>1342</v>
      </c>
      <c r="B1343" s="1"/>
      <c r="C1343" s="2"/>
      <c r="H1343" s="1" t="str">
        <f t="shared" si="74"/>
        <v>0 г. 0 мес. 0 дн.</v>
      </c>
      <c r="I1343" s="1" t="s">
        <v>39</v>
      </c>
      <c r="V1343" s="1" t="str">
        <f t="shared" si="75"/>
        <v>0 г. 0 мес. 0 дн.</v>
      </c>
      <c r="W1343" s="5"/>
    </row>
    <row r="1344" spans="1:23" ht="34.5" customHeight="1" x14ac:dyDescent="0.25">
      <c r="A1344" s="1">
        <f t="shared" ref="A1344:A1407" si="76">ROW(A1343)</f>
        <v>1343</v>
      </c>
      <c r="B1344" s="1"/>
      <c r="C1344" s="2"/>
      <c r="H1344" s="1" t="str">
        <f t="shared" si="74"/>
        <v>0 г. 0 мес. 0 дн.</v>
      </c>
      <c r="I1344" s="1" t="s">
        <v>39</v>
      </c>
      <c r="V1344" s="1" t="str">
        <f t="shared" si="75"/>
        <v>0 г. 0 мес. 0 дн.</v>
      </c>
      <c r="W1344" s="5"/>
    </row>
    <row r="1345" spans="1:23" ht="34.5" customHeight="1" x14ac:dyDescent="0.25">
      <c r="A1345" s="1">
        <f t="shared" si="76"/>
        <v>1344</v>
      </c>
      <c r="B1345" s="1"/>
      <c r="C1345" s="2"/>
      <c r="H1345" s="1" t="str">
        <f t="shared" si="74"/>
        <v>0 г. 0 мес. 0 дн.</v>
      </c>
      <c r="I1345" s="1" t="s">
        <v>39</v>
      </c>
      <c r="V1345" s="1" t="str">
        <f t="shared" si="75"/>
        <v>0 г. 0 мес. 0 дн.</v>
      </c>
      <c r="W1345" s="5"/>
    </row>
    <row r="1346" spans="1:23" ht="34.5" customHeight="1" x14ac:dyDescent="0.25">
      <c r="A1346" s="1">
        <f t="shared" si="76"/>
        <v>1345</v>
      </c>
      <c r="B1346" s="1"/>
      <c r="C1346" s="2"/>
      <c r="H1346" s="1" t="str">
        <f t="shared" ref="H1346:H1409" si="77">DATEDIF(G1346,D1346,"y") &amp; " г. " &amp; DATEDIF(G1346,D1346,"ym") &amp; " мес. " &amp; DATEDIF(G1346,D1346,"md") &amp; " дн."</f>
        <v>0 г. 0 мес. 0 дн.</v>
      </c>
      <c r="I1346" s="1" t="s">
        <v>39</v>
      </c>
      <c r="V1346" s="1" t="str">
        <f t="shared" si="75"/>
        <v>0 г. 0 мес. 0 дн.</v>
      </c>
      <c r="W1346" s="5"/>
    </row>
    <row r="1347" spans="1:23" ht="34.5" customHeight="1" x14ac:dyDescent="0.25">
      <c r="A1347" s="1">
        <f t="shared" si="76"/>
        <v>1346</v>
      </c>
      <c r="B1347" s="1"/>
      <c r="C1347" s="2"/>
      <c r="H1347" s="1" t="str">
        <f t="shared" si="77"/>
        <v>0 г. 0 мес. 0 дн.</v>
      </c>
      <c r="I1347" s="1" t="s">
        <v>39</v>
      </c>
      <c r="V1347" s="1" t="str">
        <f t="shared" si="75"/>
        <v>0 г. 0 мес. 0 дн.</v>
      </c>
      <c r="W1347" s="5"/>
    </row>
    <row r="1348" spans="1:23" ht="34.5" customHeight="1" x14ac:dyDescent="0.25">
      <c r="A1348" s="1">
        <f t="shared" si="76"/>
        <v>1347</v>
      </c>
      <c r="B1348" s="1"/>
      <c r="C1348" s="2"/>
      <c r="H1348" s="1" t="str">
        <f t="shared" si="77"/>
        <v>0 г. 0 мес. 0 дн.</v>
      </c>
      <c r="I1348" s="1" t="s">
        <v>39</v>
      </c>
      <c r="V1348" s="1" t="str">
        <f t="shared" si="75"/>
        <v>0 г. 0 мес. 0 дн.</v>
      </c>
      <c r="W1348" s="5"/>
    </row>
    <row r="1349" spans="1:23" ht="34.5" customHeight="1" x14ac:dyDescent="0.25">
      <c r="A1349" s="1">
        <f t="shared" si="76"/>
        <v>1348</v>
      </c>
      <c r="B1349" s="1"/>
      <c r="C1349" s="2"/>
      <c r="H1349" s="1" t="str">
        <f t="shared" si="77"/>
        <v>0 г. 0 мес. 0 дн.</v>
      </c>
      <c r="I1349" s="1" t="s">
        <v>39</v>
      </c>
      <c r="V1349" s="1" t="str">
        <f t="shared" si="75"/>
        <v>0 г. 0 мес. 0 дн.</v>
      </c>
      <c r="W1349" s="5"/>
    </row>
    <row r="1350" spans="1:23" ht="34.5" customHeight="1" x14ac:dyDescent="0.25">
      <c r="A1350" s="1">
        <f t="shared" si="76"/>
        <v>1349</v>
      </c>
      <c r="B1350" s="1"/>
      <c r="C1350" s="2"/>
      <c r="H1350" s="1" t="str">
        <f t="shared" si="77"/>
        <v>0 г. 0 мес. 0 дн.</v>
      </c>
      <c r="I1350" s="1" t="s">
        <v>39</v>
      </c>
      <c r="V1350" s="1" t="str">
        <f t="shared" si="75"/>
        <v>0 г. 0 мес. 0 дн.</v>
      </c>
      <c r="W1350" s="5"/>
    </row>
    <row r="1351" spans="1:23" ht="34.5" customHeight="1" x14ac:dyDescent="0.25">
      <c r="A1351" s="1">
        <f t="shared" si="76"/>
        <v>1350</v>
      </c>
      <c r="B1351" s="1"/>
      <c r="C1351" s="2"/>
      <c r="H1351" s="1" t="str">
        <f t="shared" si="77"/>
        <v>0 г. 0 мес. 0 дн.</v>
      </c>
      <c r="I1351" s="1" t="s">
        <v>39</v>
      </c>
      <c r="V1351" s="1" t="str">
        <f t="shared" si="75"/>
        <v>0 г. 0 мес. 0 дн.</v>
      </c>
      <c r="W1351" s="5"/>
    </row>
    <row r="1352" spans="1:23" ht="34.5" customHeight="1" x14ac:dyDescent="0.25">
      <c r="A1352" s="1">
        <f t="shared" si="76"/>
        <v>1351</v>
      </c>
      <c r="B1352" s="1"/>
      <c r="C1352" s="2"/>
      <c r="H1352" s="1" t="str">
        <f t="shared" si="77"/>
        <v>0 г. 0 мес. 0 дн.</v>
      </c>
      <c r="I1352" s="1" t="s">
        <v>39</v>
      </c>
      <c r="V1352" s="1" t="str">
        <f t="shared" si="75"/>
        <v>0 г. 0 мес. 0 дн.</v>
      </c>
      <c r="W1352" s="5"/>
    </row>
    <row r="1353" spans="1:23" ht="34.5" customHeight="1" x14ac:dyDescent="0.25">
      <c r="A1353" s="1">
        <f t="shared" si="76"/>
        <v>1352</v>
      </c>
      <c r="B1353" s="1"/>
      <c r="C1353" s="2"/>
      <c r="H1353" s="1" t="str">
        <f t="shared" si="77"/>
        <v>0 г. 0 мес. 0 дн.</v>
      </c>
      <c r="I1353" s="1" t="s">
        <v>39</v>
      </c>
      <c r="V1353" s="1" t="str">
        <f t="shared" si="75"/>
        <v>0 г. 0 мес. 0 дн.</v>
      </c>
      <c r="W1353" s="5"/>
    </row>
    <row r="1354" spans="1:23" ht="34.5" customHeight="1" x14ac:dyDescent="0.25">
      <c r="A1354" s="1">
        <f t="shared" si="76"/>
        <v>1353</v>
      </c>
      <c r="B1354" s="1"/>
      <c r="C1354" s="2"/>
      <c r="H1354" s="1" t="str">
        <f t="shared" si="77"/>
        <v>0 г. 0 мес. 0 дн.</v>
      </c>
      <c r="I1354" s="1" t="s">
        <v>39</v>
      </c>
      <c r="V1354" s="1" t="str">
        <f t="shared" si="75"/>
        <v>0 г. 0 мес. 0 дн.</v>
      </c>
      <c r="W1354" s="5"/>
    </row>
    <row r="1355" spans="1:23" ht="34.5" customHeight="1" x14ac:dyDescent="0.25">
      <c r="A1355" s="1">
        <f t="shared" si="76"/>
        <v>1354</v>
      </c>
      <c r="B1355" s="1"/>
      <c r="C1355" s="2"/>
      <c r="H1355" s="1" t="str">
        <f t="shared" si="77"/>
        <v>0 г. 0 мес. 0 дн.</v>
      </c>
      <c r="I1355" s="1" t="s">
        <v>39</v>
      </c>
      <c r="V1355" s="1" t="str">
        <f t="shared" si="75"/>
        <v>0 г. 0 мес. 0 дн.</v>
      </c>
      <c r="W1355" s="5"/>
    </row>
    <row r="1356" spans="1:23" ht="34.5" customHeight="1" x14ac:dyDescent="0.25">
      <c r="A1356" s="1">
        <f t="shared" si="76"/>
        <v>1355</v>
      </c>
      <c r="B1356" s="1"/>
      <c r="C1356" s="2"/>
      <c r="H1356" s="1" t="str">
        <f t="shared" si="77"/>
        <v>0 г. 0 мес. 0 дн.</v>
      </c>
      <c r="I1356" s="1" t="s">
        <v>39</v>
      </c>
      <c r="V1356" s="1" t="str">
        <f t="shared" si="75"/>
        <v>0 г. 0 мес. 0 дн.</v>
      </c>
      <c r="W1356" s="5"/>
    </row>
    <row r="1357" spans="1:23" ht="34.5" customHeight="1" x14ac:dyDescent="0.25">
      <c r="A1357" s="1">
        <f t="shared" si="76"/>
        <v>1356</v>
      </c>
      <c r="B1357" s="1"/>
      <c r="C1357" s="2"/>
      <c r="H1357" s="1" t="str">
        <f t="shared" si="77"/>
        <v>0 г. 0 мес. 0 дн.</v>
      </c>
      <c r="I1357" s="1" t="s">
        <v>39</v>
      </c>
      <c r="V1357" s="1" t="str">
        <f t="shared" si="75"/>
        <v>0 г. 0 мес. 0 дн.</v>
      </c>
      <c r="W1357" s="5"/>
    </row>
    <row r="1358" spans="1:23" ht="34.5" customHeight="1" x14ac:dyDescent="0.25">
      <c r="A1358" s="1">
        <f t="shared" si="76"/>
        <v>1357</v>
      </c>
      <c r="B1358" s="1"/>
      <c r="C1358" s="2"/>
      <c r="H1358" s="1" t="str">
        <f t="shared" si="77"/>
        <v>0 г. 0 мес. 0 дн.</v>
      </c>
      <c r="I1358" s="1" t="s">
        <v>39</v>
      </c>
      <c r="V1358" s="1" t="str">
        <f t="shared" si="75"/>
        <v>0 г. 0 мес. 0 дн.</v>
      </c>
      <c r="W1358" s="5"/>
    </row>
    <row r="1359" spans="1:23" ht="34.5" customHeight="1" x14ac:dyDescent="0.25">
      <c r="A1359" s="1">
        <f t="shared" si="76"/>
        <v>1358</v>
      </c>
      <c r="B1359" s="1"/>
      <c r="C1359" s="2"/>
      <c r="H1359" s="1" t="str">
        <f t="shared" si="77"/>
        <v>0 г. 0 мес. 0 дн.</v>
      </c>
      <c r="I1359" s="1" t="s">
        <v>39</v>
      </c>
      <c r="V1359" s="1" t="str">
        <f t="shared" si="75"/>
        <v>0 г. 0 мес. 0 дн.</v>
      </c>
      <c r="W1359" s="5"/>
    </row>
    <row r="1360" spans="1:23" ht="34.5" customHeight="1" x14ac:dyDescent="0.25">
      <c r="A1360" s="1">
        <f t="shared" si="76"/>
        <v>1359</v>
      </c>
      <c r="B1360" s="1"/>
      <c r="C1360" s="2"/>
      <c r="H1360" s="1" t="str">
        <f t="shared" si="77"/>
        <v>0 г. 0 мес. 0 дн.</v>
      </c>
      <c r="I1360" s="1" t="s">
        <v>39</v>
      </c>
      <c r="V1360" s="1" t="str">
        <f t="shared" si="75"/>
        <v>0 г. 0 мес. 0 дн.</v>
      </c>
      <c r="W1360" s="5"/>
    </row>
    <row r="1361" spans="1:23" ht="34.5" customHeight="1" x14ac:dyDescent="0.25">
      <c r="A1361" s="1">
        <f t="shared" si="76"/>
        <v>1360</v>
      </c>
      <c r="B1361" s="1"/>
      <c r="C1361" s="2"/>
      <c r="H1361" s="1" t="str">
        <f t="shared" si="77"/>
        <v>0 г. 0 мес. 0 дн.</v>
      </c>
      <c r="I1361" s="1" t="s">
        <v>39</v>
      </c>
      <c r="V1361" s="1" t="str">
        <f t="shared" si="75"/>
        <v>0 г. 0 мес. 0 дн.</v>
      </c>
      <c r="W1361" s="5"/>
    </row>
    <row r="1362" spans="1:23" ht="34.5" customHeight="1" x14ac:dyDescent="0.25">
      <c r="A1362" s="1">
        <f t="shared" si="76"/>
        <v>1361</v>
      </c>
      <c r="B1362" s="1"/>
      <c r="C1362" s="2"/>
      <c r="H1362" s="1" t="str">
        <f t="shared" si="77"/>
        <v>0 г. 0 мес. 0 дн.</v>
      </c>
      <c r="I1362" s="1" t="s">
        <v>39</v>
      </c>
      <c r="V1362" s="1" t="str">
        <f t="shared" si="75"/>
        <v>0 г. 0 мес. 0 дн.</v>
      </c>
      <c r="W1362" s="5"/>
    </row>
    <row r="1363" spans="1:23" ht="34.5" customHeight="1" x14ac:dyDescent="0.25">
      <c r="A1363" s="1">
        <f t="shared" si="76"/>
        <v>1362</v>
      </c>
      <c r="B1363" s="1"/>
      <c r="C1363" s="2"/>
      <c r="H1363" s="1" t="str">
        <f t="shared" si="77"/>
        <v>0 г. 0 мес. 0 дн.</v>
      </c>
      <c r="I1363" s="1" t="s">
        <v>39</v>
      </c>
      <c r="V1363" s="1" t="str">
        <f t="shared" si="75"/>
        <v>0 г. 0 мес. 0 дн.</v>
      </c>
      <c r="W1363" s="5"/>
    </row>
    <row r="1364" spans="1:23" ht="34.5" customHeight="1" x14ac:dyDescent="0.25">
      <c r="A1364" s="1">
        <f t="shared" si="76"/>
        <v>1363</v>
      </c>
      <c r="B1364" s="1"/>
      <c r="C1364" s="2"/>
      <c r="H1364" s="1" t="str">
        <f t="shared" si="77"/>
        <v>0 г. 0 мес. 0 дн.</v>
      </c>
      <c r="I1364" s="1" t="s">
        <v>39</v>
      </c>
      <c r="V1364" s="1" t="str">
        <f t="shared" si="75"/>
        <v>0 г. 0 мес. 0 дн.</v>
      </c>
      <c r="W1364" s="5"/>
    </row>
    <row r="1365" spans="1:23" ht="34.5" customHeight="1" x14ac:dyDescent="0.25">
      <c r="A1365" s="1">
        <f t="shared" si="76"/>
        <v>1364</v>
      </c>
      <c r="B1365" s="1"/>
      <c r="C1365" s="2"/>
      <c r="H1365" s="1" t="str">
        <f t="shared" si="77"/>
        <v>0 г. 0 мес. 0 дн.</v>
      </c>
      <c r="I1365" s="1" t="s">
        <v>39</v>
      </c>
      <c r="V1365" s="1" t="str">
        <f t="shared" si="75"/>
        <v>0 г. 0 мес. 0 дн.</v>
      </c>
      <c r="W1365" s="5"/>
    </row>
    <row r="1366" spans="1:23" ht="34.5" customHeight="1" x14ac:dyDescent="0.25">
      <c r="A1366" s="1">
        <f t="shared" si="76"/>
        <v>1365</v>
      </c>
      <c r="B1366" s="1"/>
      <c r="C1366" s="2"/>
      <c r="H1366" s="1" t="str">
        <f t="shared" si="77"/>
        <v>0 г. 0 мес. 0 дн.</v>
      </c>
      <c r="I1366" s="1" t="s">
        <v>39</v>
      </c>
      <c r="V1366" s="1" t="str">
        <f t="shared" si="75"/>
        <v>0 г. 0 мес. 0 дн.</v>
      </c>
      <c r="W1366" s="5"/>
    </row>
    <row r="1367" spans="1:23" ht="34.5" customHeight="1" x14ac:dyDescent="0.25">
      <c r="A1367" s="1">
        <f t="shared" si="76"/>
        <v>1366</v>
      </c>
      <c r="B1367" s="1"/>
      <c r="C1367" s="2"/>
      <c r="H1367" s="1" t="str">
        <f t="shared" si="77"/>
        <v>0 г. 0 мес. 0 дн.</v>
      </c>
      <c r="I1367" s="1" t="s">
        <v>39</v>
      </c>
      <c r="V1367" s="1" t="str">
        <f t="shared" si="75"/>
        <v>0 г. 0 мес. 0 дн.</v>
      </c>
      <c r="W1367" s="5"/>
    </row>
    <row r="1368" spans="1:23" ht="34.5" customHeight="1" x14ac:dyDescent="0.25">
      <c r="A1368" s="1">
        <f t="shared" si="76"/>
        <v>1367</v>
      </c>
      <c r="B1368" s="1"/>
      <c r="C1368" s="2"/>
      <c r="H1368" s="1" t="str">
        <f t="shared" si="77"/>
        <v>0 г. 0 мес. 0 дн.</v>
      </c>
      <c r="I1368" s="1" t="s">
        <v>39</v>
      </c>
      <c r="V1368" s="1" t="str">
        <f t="shared" si="75"/>
        <v>0 г. 0 мес. 0 дн.</v>
      </c>
      <c r="W1368" s="5"/>
    </row>
    <row r="1369" spans="1:23" ht="34.5" customHeight="1" x14ac:dyDescent="0.25">
      <c r="A1369" s="1">
        <f t="shared" si="76"/>
        <v>1368</v>
      </c>
      <c r="B1369" s="1"/>
      <c r="C1369" s="2"/>
      <c r="H1369" s="1" t="str">
        <f t="shared" si="77"/>
        <v>0 г. 0 мес. 0 дн.</v>
      </c>
      <c r="I1369" s="1" t="s">
        <v>39</v>
      </c>
      <c r="V1369" s="1" t="str">
        <f t="shared" si="75"/>
        <v>0 г. 0 мес. 0 дн.</v>
      </c>
      <c r="W1369" s="5"/>
    </row>
    <row r="1370" spans="1:23" ht="34.5" customHeight="1" x14ac:dyDescent="0.25">
      <c r="A1370" s="1">
        <f t="shared" si="76"/>
        <v>1369</v>
      </c>
      <c r="B1370" s="1"/>
      <c r="C1370" s="2"/>
      <c r="H1370" s="1" t="str">
        <f t="shared" si="77"/>
        <v>0 г. 0 мес. 0 дн.</v>
      </c>
      <c r="I1370" s="1" t="s">
        <v>39</v>
      </c>
      <c r="V1370" s="1" t="str">
        <f t="shared" si="75"/>
        <v>0 г. 0 мес. 0 дн.</v>
      </c>
      <c r="W1370" s="5"/>
    </row>
    <row r="1371" spans="1:23" ht="34.5" customHeight="1" x14ac:dyDescent="0.25">
      <c r="A1371" s="1">
        <f t="shared" si="76"/>
        <v>1370</v>
      </c>
      <c r="B1371" s="1"/>
      <c r="C1371" s="2"/>
      <c r="H1371" s="1" t="str">
        <f t="shared" si="77"/>
        <v>0 г. 0 мес. 0 дн.</v>
      </c>
      <c r="I1371" s="1" t="s">
        <v>39</v>
      </c>
      <c r="V1371" s="1" t="str">
        <f t="shared" si="75"/>
        <v>0 г. 0 мес. 0 дн.</v>
      </c>
      <c r="W1371" s="5"/>
    </row>
    <row r="1372" spans="1:23" ht="34.5" customHeight="1" x14ac:dyDescent="0.25">
      <c r="A1372" s="1">
        <f t="shared" si="76"/>
        <v>1371</v>
      </c>
      <c r="B1372" s="1"/>
      <c r="C1372" s="2"/>
      <c r="H1372" s="1" t="str">
        <f t="shared" si="77"/>
        <v>0 г. 0 мес. 0 дн.</v>
      </c>
      <c r="I1372" s="1" t="s">
        <v>39</v>
      </c>
      <c r="V1372" s="1" t="str">
        <f t="shared" si="75"/>
        <v>0 г. 0 мес. 0 дн.</v>
      </c>
      <c r="W1372" s="5"/>
    </row>
    <row r="1373" spans="1:23" ht="34.5" customHeight="1" x14ac:dyDescent="0.25">
      <c r="A1373" s="1">
        <f t="shared" si="76"/>
        <v>1372</v>
      </c>
      <c r="B1373" s="1"/>
      <c r="C1373" s="2"/>
      <c r="H1373" s="1" t="str">
        <f t="shared" si="77"/>
        <v>0 г. 0 мес. 0 дн.</v>
      </c>
      <c r="I1373" s="1" t="s">
        <v>39</v>
      </c>
      <c r="V1373" s="1" t="str">
        <f t="shared" si="75"/>
        <v>0 г. 0 мес. 0 дн.</v>
      </c>
      <c r="W1373" s="5"/>
    </row>
    <row r="1374" spans="1:23" ht="34.5" customHeight="1" x14ac:dyDescent="0.25">
      <c r="A1374" s="1">
        <f t="shared" si="76"/>
        <v>1373</v>
      </c>
      <c r="B1374" s="1"/>
      <c r="C1374" s="2"/>
      <c r="H1374" s="1" t="str">
        <f t="shared" si="77"/>
        <v>0 г. 0 мес. 0 дн.</v>
      </c>
      <c r="I1374" s="1" t="s">
        <v>39</v>
      </c>
      <c r="V1374" s="1" t="str">
        <f t="shared" si="75"/>
        <v>0 г. 0 мес. 0 дн.</v>
      </c>
      <c r="W1374" s="5"/>
    </row>
    <row r="1375" spans="1:23" ht="34.5" customHeight="1" x14ac:dyDescent="0.25">
      <c r="A1375" s="1">
        <f t="shared" si="76"/>
        <v>1374</v>
      </c>
      <c r="B1375" s="1"/>
      <c r="C1375" s="2"/>
      <c r="H1375" s="1" t="str">
        <f t="shared" si="77"/>
        <v>0 г. 0 мес. 0 дн.</v>
      </c>
      <c r="I1375" s="1" t="s">
        <v>39</v>
      </c>
      <c r="V1375" s="1" t="str">
        <f t="shared" si="75"/>
        <v>0 г. 0 мес. 0 дн.</v>
      </c>
      <c r="W1375" s="5"/>
    </row>
    <row r="1376" spans="1:23" ht="34.5" customHeight="1" x14ac:dyDescent="0.25">
      <c r="A1376" s="1">
        <f t="shared" si="76"/>
        <v>1375</v>
      </c>
      <c r="B1376" s="1"/>
      <c r="C1376" s="2"/>
      <c r="H1376" s="1" t="str">
        <f t="shared" si="77"/>
        <v>0 г. 0 мес. 0 дн.</v>
      </c>
      <c r="I1376" s="1" t="s">
        <v>39</v>
      </c>
      <c r="V1376" s="1" t="str">
        <f t="shared" si="75"/>
        <v>0 г. 0 мес. 0 дн.</v>
      </c>
      <c r="W1376" s="5"/>
    </row>
    <row r="1377" spans="1:23" ht="34.5" customHeight="1" x14ac:dyDescent="0.25">
      <c r="A1377" s="1">
        <f t="shared" si="76"/>
        <v>1376</v>
      </c>
      <c r="B1377" s="1"/>
      <c r="C1377" s="2"/>
      <c r="H1377" s="1" t="str">
        <f t="shared" si="77"/>
        <v>0 г. 0 мес. 0 дн.</v>
      </c>
      <c r="I1377" s="1" t="s">
        <v>39</v>
      </c>
      <c r="V1377" s="1" t="str">
        <f t="shared" si="75"/>
        <v>0 г. 0 мес. 0 дн.</v>
      </c>
      <c r="W1377" s="5"/>
    </row>
    <row r="1378" spans="1:23" ht="34.5" customHeight="1" x14ac:dyDescent="0.25">
      <c r="A1378" s="1">
        <f t="shared" si="76"/>
        <v>1377</v>
      </c>
      <c r="B1378" s="1"/>
      <c r="C1378" s="2"/>
      <c r="H1378" s="1" t="str">
        <f t="shared" si="77"/>
        <v>0 г. 0 мес. 0 дн.</v>
      </c>
      <c r="I1378" s="1" t="s">
        <v>39</v>
      </c>
      <c r="V1378" s="1" t="str">
        <f t="shared" si="75"/>
        <v>0 г. 0 мес. 0 дн.</v>
      </c>
      <c r="W1378" s="5"/>
    </row>
    <row r="1379" spans="1:23" ht="34.5" customHeight="1" x14ac:dyDescent="0.25">
      <c r="A1379" s="1">
        <f t="shared" si="76"/>
        <v>1378</v>
      </c>
      <c r="B1379" s="1"/>
      <c r="C1379" s="2"/>
      <c r="H1379" s="1" t="str">
        <f t="shared" si="77"/>
        <v>0 г. 0 мес. 0 дн.</v>
      </c>
      <c r="I1379" s="1" t="s">
        <v>39</v>
      </c>
      <c r="V1379" s="1" t="str">
        <f t="shared" si="75"/>
        <v>0 г. 0 мес. 0 дн.</v>
      </c>
      <c r="W1379" s="5"/>
    </row>
    <row r="1380" spans="1:23" ht="34.5" customHeight="1" x14ac:dyDescent="0.25">
      <c r="A1380" s="1">
        <f t="shared" si="76"/>
        <v>1379</v>
      </c>
      <c r="B1380" s="1"/>
      <c r="C1380" s="2"/>
      <c r="H1380" s="1" t="str">
        <f t="shared" si="77"/>
        <v>0 г. 0 мес. 0 дн.</v>
      </c>
      <c r="I1380" s="1" t="s">
        <v>39</v>
      </c>
      <c r="V1380" s="1" t="str">
        <f t="shared" si="75"/>
        <v>0 г. 0 мес. 0 дн.</v>
      </c>
      <c r="W1380" s="5"/>
    </row>
    <row r="1381" spans="1:23" ht="34.5" customHeight="1" x14ac:dyDescent="0.25">
      <c r="A1381" s="1">
        <f t="shared" si="76"/>
        <v>1380</v>
      </c>
      <c r="B1381" s="1"/>
      <c r="C1381" s="2"/>
      <c r="H1381" s="1" t="str">
        <f t="shared" si="77"/>
        <v>0 г. 0 мес. 0 дн.</v>
      </c>
      <c r="I1381" s="1" t="s">
        <v>39</v>
      </c>
      <c r="V1381" s="1" t="str">
        <f t="shared" si="75"/>
        <v>0 г. 0 мес. 0 дн.</v>
      </c>
      <c r="W1381" s="5"/>
    </row>
    <row r="1382" spans="1:23" ht="34.5" customHeight="1" x14ac:dyDescent="0.25">
      <c r="A1382" s="1">
        <f t="shared" si="76"/>
        <v>1381</v>
      </c>
      <c r="B1382" s="1"/>
      <c r="C1382" s="2"/>
      <c r="H1382" s="1" t="str">
        <f t="shared" si="77"/>
        <v>0 г. 0 мес. 0 дн.</v>
      </c>
      <c r="I1382" s="1" t="s">
        <v>39</v>
      </c>
      <c r="V1382" s="1" t="str">
        <f t="shared" si="75"/>
        <v>0 г. 0 мес. 0 дн.</v>
      </c>
      <c r="W1382" s="5"/>
    </row>
    <row r="1383" spans="1:23" ht="34.5" customHeight="1" x14ac:dyDescent="0.25">
      <c r="A1383" s="1">
        <f t="shared" si="76"/>
        <v>1382</v>
      </c>
      <c r="B1383" s="1"/>
      <c r="C1383" s="2"/>
      <c r="H1383" s="1" t="str">
        <f t="shared" si="77"/>
        <v>0 г. 0 мес. 0 дн.</v>
      </c>
      <c r="I1383" s="1" t="s">
        <v>39</v>
      </c>
      <c r="V1383" s="1" t="str">
        <f t="shared" si="75"/>
        <v>0 г. 0 мес. 0 дн.</v>
      </c>
      <c r="W1383" s="5"/>
    </row>
    <row r="1384" spans="1:23" ht="34.5" customHeight="1" x14ac:dyDescent="0.25">
      <c r="A1384" s="1">
        <f t="shared" si="76"/>
        <v>1383</v>
      </c>
      <c r="B1384" s="1"/>
      <c r="C1384" s="2"/>
      <c r="H1384" s="1" t="str">
        <f t="shared" si="77"/>
        <v>0 г. 0 мес. 0 дн.</v>
      </c>
      <c r="I1384" s="1" t="s">
        <v>39</v>
      </c>
      <c r="V1384" s="1" t="str">
        <f t="shared" si="75"/>
        <v>0 г. 0 мес. 0 дн.</v>
      </c>
      <c r="W1384" s="5"/>
    </row>
    <row r="1385" spans="1:23" ht="34.5" customHeight="1" x14ac:dyDescent="0.25">
      <c r="A1385" s="1">
        <f t="shared" si="76"/>
        <v>1384</v>
      </c>
      <c r="B1385" s="1"/>
      <c r="C1385" s="2"/>
      <c r="H1385" s="1" t="str">
        <f t="shared" si="77"/>
        <v>0 г. 0 мес. 0 дн.</v>
      </c>
      <c r="I1385" s="1" t="s">
        <v>39</v>
      </c>
      <c r="V1385" s="1" t="str">
        <f t="shared" si="75"/>
        <v>0 г. 0 мес. 0 дн.</v>
      </c>
      <c r="W1385" s="5"/>
    </row>
    <row r="1386" spans="1:23" ht="34.5" customHeight="1" x14ac:dyDescent="0.25">
      <c r="A1386" s="1">
        <f t="shared" si="76"/>
        <v>1385</v>
      </c>
      <c r="B1386" s="1"/>
      <c r="C1386" s="2"/>
      <c r="H1386" s="1" t="str">
        <f t="shared" si="77"/>
        <v>0 г. 0 мес. 0 дн.</v>
      </c>
      <c r="I1386" s="1" t="s">
        <v>39</v>
      </c>
      <c r="V1386" s="1" t="str">
        <f t="shared" si="75"/>
        <v>0 г. 0 мес. 0 дн.</v>
      </c>
      <c r="W1386" s="5"/>
    </row>
    <row r="1387" spans="1:23" ht="34.5" customHeight="1" x14ac:dyDescent="0.25">
      <c r="A1387" s="1">
        <f t="shared" si="76"/>
        <v>1386</v>
      </c>
      <c r="B1387" s="1"/>
      <c r="C1387" s="2"/>
      <c r="H1387" s="1" t="str">
        <f t="shared" si="77"/>
        <v>0 г. 0 мес. 0 дн.</v>
      </c>
      <c r="I1387" s="1" t="s">
        <v>39</v>
      </c>
      <c r="V1387" s="1" t="str">
        <f t="shared" si="75"/>
        <v>0 г. 0 мес. 0 дн.</v>
      </c>
      <c r="W1387" s="5"/>
    </row>
    <row r="1388" spans="1:23" ht="34.5" customHeight="1" x14ac:dyDescent="0.25">
      <c r="A1388" s="1">
        <f t="shared" si="76"/>
        <v>1387</v>
      </c>
      <c r="B1388" s="1"/>
      <c r="C1388" s="2"/>
      <c r="H1388" s="1" t="str">
        <f t="shared" si="77"/>
        <v>0 г. 0 мес. 0 дн.</v>
      </c>
      <c r="I1388" s="1" t="s">
        <v>39</v>
      </c>
      <c r="V1388" s="1" t="str">
        <f t="shared" si="75"/>
        <v>0 г. 0 мес. 0 дн.</v>
      </c>
      <c r="W1388" s="5"/>
    </row>
    <row r="1389" spans="1:23" ht="34.5" customHeight="1" x14ac:dyDescent="0.25">
      <c r="A1389" s="1">
        <f t="shared" si="76"/>
        <v>1388</v>
      </c>
      <c r="B1389" s="1"/>
      <c r="C1389" s="2"/>
      <c r="H1389" s="1" t="str">
        <f t="shared" si="77"/>
        <v>0 г. 0 мес. 0 дн.</v>
      </c>
      <c r="I1389" s="1" t="s">
        <v>39</v>
      </c>
      <c r="V1389" s="1" t="str">
        <f t="shared" si="75"/>
        <v>0 г. 0 мес. 0 дн.</v>
      </c>
      <c r="W1389" s="5"/>
    </row>
    <row r="1390" spans="1:23" ht="34.5" customHeight="1" x14ac:dyDescent="0.25">
      <c r="A1390" s="1">
        <f t="shared" si="76"/>
        <v>1389</v>
      </c>
      <c r="B1390" s="1"/>
      <c r="C1390" s="2"/>
      <c r="H1390" s="1" t="str">
        <f t="shared" si="77"/>
        <v>0 г. 0 мес. 0 дн.</v>
      </c>
      <c r="I1390" s="1" t="s">
        <v>39</v>
      </c>
      <c r="V1390" s="1" t="str">
        <f t="shared" si="75"/>
        <v>0 г. 0 мес. 0 дн.</v>
      </c>
      <c r="W1390" s="5"/>
    </row>
    <row r="1391" spans="1:23" ht="34.5" customHeight="1" x14ac:dyDescent="0.25">
      <c r="A1391" s="1">
        <f t="shared" si="76"/>
        <v>1390</v>
      </c>
      <c r="B1391" s="1"/>
      <c r="C1391" s="2"/>
      <c r="H1391" s="1" t="str">
        <f t="shared" si="77"/>
        <v>0 г. 0 мес. 0 дн.</v>
      </c>
      <c r="I1391" s="1" t="s">
        <v>39</v>
      </c>
      <c r="V1391" s="1" t="str">
        <f t="shared" si="75"/>
        <v>0 г. 0 мес. 0 дн.</v>
      </c>
      <c r="W1391" s="5"/>
    </row>
    <row r="1392" spans="1:23" ht="34.5" customHeight="1" x14ac:dyDescent="0.25">
      <c r="A1392" s="1">
        <f t="shared" si="76"/>
        <v>1391</v>
      </c>
      <c r="B1392" s="1"/>
      <c r="C1392" s="2"/>
      <c r="H1392" s="1" t="str">
        <f t="shared" si="77"/>
        <v>0 г. 0 мес. 0 дн.</v>
      </c>
      <c r="I1392" s="1" t="s">
        <v>39</v>
      </c>
      <c r="V1392" s="1" t="str">
        <f t="shared" si="75"/>
        <v>0 г. 0 мес. 0 дн.</v>
      </c>
      <c r="W1392" s="5"/>
    </row>
    <row r="1393" spans="1:23" ht="34.5" customHeight="1" x14ac:dyDescent="0.25">
      <c r="A1393" s="1">
        <f t="shared" si="76"/>
        <v>1392</v>
      </c>
      <c r="B1393" s="1"/>
      <c r="C1393" s="2"/>
      <c r="H1393" s="1" t="str">
        <f t="shared" si="77"/>
        <v>0 г. 0 мес. 0 дн.</v>
      </c>
      <c r="I1393" s="1" t="s">
        <v>39</v>
      </c>
      <c r="V1393" s="1" t="str">
        <f t="shared" ref="V1393:V1456" si="78">DATEDIF(D1393,T1393,"y") &amp; " г. " &amp; DATEDIF(D1393,T1393,"ym") &amp; " мес. " &amp; DATEDIF(D1393,T1393,"md") &amp; " дн."</f>
        <v>0 г. 0 мес. 0 дн.</v>
      </c>
      <c r="W1393" s="5"/>
    </row>
    <row r="1394" spans="1:23" ht="34.5" customHeight="1" x14ac:dyDescent="0.25">
      <c r="A1394" s="1">
        <f t="shared" si="76"/>
        <v>1393</v>
      </c>
      <c r="B1394" s="1"/>
      <c r="C1394" s="2"/>
      <c r="H1394" s="1" t="str">
        <f t="shared" si="77"/>
        <v>0 г. 0 мес. 0 дн.</v>
      </c>
      <c r="I1394" s="1" t="s">
        <v>39</v>
      </c>
      <c r="V1394" s="1" t="str">
        <f t="shared" si="78"/>
        <v>0 г. 0 мес. 0 дн.</v>
      </c>
      <c r="W1394" s="5"/>
    </row>
    <row r="1395" spans="1:23" ht="34.5" customHeight="1" x14ac:dyDescent="0.25">
      <c r="A1395" s="1">
        <f t="shared" si="76"/>
        <v>1394</v>
      </c>
      <c r="B1395" s="1"/>
      <c r="C1395" s="2"/>
      <c r="H1395" s="1" t="str">
        <f t="shared" si="77"/>
        <v>0 г. 0 мес. 0 дн.</v>
      </c>
      <c r="I1395" s="1" t="s">
        <v>39</v>
      </c>
      <c r="V1395" s="1" t="str">
        <f t="shared" si="78"/>
        <v>0 г. 0 мес. 0 дн.</v>
      </c>
      <c r="W1395" s="5"/>
    </row>
    <row r="1396" spans="1:23" ht="34.5" customHeight="1" x14ac:dyDescent="0.25">
      <c r="A1396" s="1">
        <f t="shared" si="76"/>
        <v>1395</v>
      </c>
      <c r="B1396" s="1"/>
      <c r="C1396" s="2"/>
      <c r="H1396" s="1" t="str">
        <f t="shared" si="77"/>
        <v>0 г. 0 мес. 0 дн.</v>
      </c>
      <c r="I1396" s="1" t="s">
        <v>39</v>
      </c>
      <c r="V1396" s="1" t="str">
        <f t="shared" si="78"/>
        <v>0 г. 0 мес. 0 дн.</v>
      </c>
      <c r="W1396" s="5"/>
    </row>
    <row r="1397" spans="1:23" ht="34.5" customHeight="1" x14ac:dyDescent="0.25">
      <c r="A1397" s="1">
        <f t="shared" si="76"/>
        <v>1396</v>
      </c>
      <c r="B1397" s="1"/>
      <c r="C1397" s="2"/>
      <c r="H1397" s="1" t="str">
        <f t="shared" si="77"/>
        <v>0 г. 0 мес. 0 дн.</v>
      </c>
      <c r="I1397" s="1" t="s">
        <v>39</v>
      </c>
      <c r="V1397" s="1" t="str">
        <f t="shared" si="78"/>
        <v>0 г. 0 мес. 0 дн.</v>
      </c>
      <c r="W1397" s="5"/>
    </row>
    <row r="1398" spans="1:23" ht="34.5" customHeight="1" x14ac:dyDescent="0.25">
      <c r="A1398" s="1">
        <f t="shared" si="76"/>
        <v>1397</v>
      </c>
      <c r="B1398" s="1"/>
      <c r="C1398" s="2"/>
      <c r="H1398" s="1" t="str">
        <f t="shared" si="77"/>
        <v>0 г. 0 мес. 0 дн.</v>
      </c>
      <c r="I1398" s="1" t="s">
        <v>39</v>
      </c>
      <c r="V1398" s="1" t="str">
        <f t="shared" si="78"/>
        <v>0 г. 0 мес. 0 дн.</v>
      </c>
      <c r="W1398" s="5"/>
    </row>
    <row r="1399" spans="1:23" ht="34.5" customHeight="1" x14ac:dyDescent="0.25">
      <c r="A1399" s="1">
        <f t="shared" si="76"/>
        <v>1398</v>
      </c>
      <c r="B1399" s="1"/>
      <c r="C1399" s="2"/>
      <c r="H1399" s="1" t="str">
        <f t="shared" si="77"/>
        <v>0 г. 0 мес. 0 дн.</v>
      </c>
      <c r="I1399" s="1" t="s">
        <v>39</v>
      </c>
      <c r="V1399" s="1" t="str">
        <f t="shared" si="78"/>
        <v>0 г. 0 мес. 0 дн.</v>
      </c>
      <c r="W1399" s="5"/>
    </row>
    <row r="1400" spans="1:23" ht="34.5" customHeight="1" x14ac:dyDescent="0.25">
      <c r="A1400" s="1">
        <f t="shared" si="76"/>
        <v>1399</v>
      </c>
      <c r="B1400" s="1"/>
      <c r="C1400" s="2"/>
      <c r="H1400" s="1" t="str">
        <f t="shared" si="77"/>
        <v>0 г. 0 мес. 0 дн.</v>
      </c>
      <c r="I1400" s="1" t="s">
        <v>39</v>
      </c>
      <c r="V1400" s="1" t="str">
        <f t="shared" si="78"/>
        <v>0 г. 0 мес. 0 дн.</v>
      </c>
      <c r="W1400" s="5"/>
    </row>
    <row r="1401" spans="1:23" ht="34.5" customHeight="1" x14ac:dyDescent="0.25">
      <c r="A1401" s="1">
        <f t="shared" si="76"/>
        <v>1400</v>
      </c>
      <c r="B1401" s="1"/>
      <c r="C1401" s="2"/>
      <c r="H1401" s="1" t="str">
        <f t="shared" si="77"/>
        <v>0 г. 0 мес. 0 дн.</v>
      </c>
      <c r="I1401" s="1" t="s">
        <v>39</v>
      </c>
      <c r="V1401" s="1" t="str">
        <f t="shared" si="78"/>
        <v>0 г. 0 мес. 0 дн.</v>
      </c>
      <c r="W1401" s="5"/>
    </row>
    <row r="1402" spans="1:23" ht="34.5" customHeight="1" x14ac:dyDescent="0.25">
      <c r="A1402" s="1">
        <f t="shared" si="76"/>
        <v>1401</v>
      </c>
      <c r="B1402" s="1"/>
      <c r="C1402" s="2"/>
      <c r="H1402" s="1" t="str">
        <f t="shared" si="77"/>
        <v>0 г. 0 мес. 0 дн.</v>
      </c>
      <c r="I1402" s="1" t="s">
        <v>39</v>
      </c>
      <c r="V1402" s="1" t="str">
        <f t="shared" si="78"/>
        <v>0 г. 0 мес. 0 дн.</v>
      </c>
      <c r="W1402" s="5"/>
    </row>
    <row r="1403" spans="1:23" ht="34.5" customHeight="1" x14ac:dyDescent="0.25">
      <c r="A1403" s="1">
        <f t="shared" si="76"/>
        <v>1402</v>
      </c>
      <c r="B1403" s="1"/>
      <c r="C1403" s="2"/>
      <c r="H1403" s="1" t="str">
        <f t="shared" si="77"/>
        <v>0 г. 0 мес. 0 дн.</v>
      </c>
      <c r="I1403" s="1" t="s">
        <v>39</v>
      </c>
      <c r="V1403" s="1" t="str">
        <f t="shared" si="78"/>
        <v>0 г. 0 мес. 0 дн.</v>
      </c>
      <c r="W1403" s="5"/>
    </row>
    <row r="1404" spans="1:23" ht="34.5" customHeight="1" x14ac:dyDescent="0.25">
      <c r="A1404" s="1">
        <f t="shared" si="76"/>
        <v>1403</v>
      </c>
      <c r="B1404" s="1"/>
      <c r="C1404" s="2"/>
      <c r="H1404" s="1" t="str">
        <f t="shared" si="77"/>
        <v>0 г. 0 мес. 0 дн.</v>
      </c>
      <c r="I1404" s="1" t="s">
        <v>39</v>
      </c>
      <c r="V1404" s="1" t="str">
        <f t="shared" si="78"/>
        <v>0 г. 0 мес. 0 дн.</v>
      </c>
      <c r="W1404" s="5"/>
    </row>
    <row r="1405" spans="1:23" ht="34.5" customHeight="1" x14ac:dyDescent="0.25">
      <c r="A1405" s="1">
        <f t="shared" si="76"/>
        <v>1404</v>
      </c>
      <c r="B1405" s="1"/>
      <c r="C1405" s="2"/>
      <c r="H1405" s="1" t="str">
        <f t="shared" si="77"/>
        <v>0 г. 0 мес. 0 дн.</v>
      </c>
      <c r="I1405" s="1" t="s">
        <v>39</v>
      </c>
      <c r="V1405" s="1" t="str">
        <f t="shared" si="78"/>
        <v>0 г. 0 мес. 0 дн.</v>
      </c>
      <c r="W1405" s="5"/>
    </row>
    <row r="1406" spans="1:23" ht="34.5" customHeight="1" x14ac:dyDescent="0.25">
      <c r="A1406" s="1">
        <f t="shared" si="76"/>
        <v>1405</v>
      </c>
      <c r="B1406" s="1"/>
      <c r="C1406" s="2"/>
      <c r="H1406" s="1" t="str">
        <f t="shared" si="77"/>
        <v>0 г. 0 мес. 0 дн.</v>
      </c>
      <c r="I1406" s="1" t="s">
        <v>39</v>
      </c>
      <c r="V1406" s="1" t="str">
        <f t="shared" si="78"/>
        <v>0 г. 0 мес. 0 дн.</v>
      </c>
      <c r="W1406" s="5"/>
    </row>
    <row r="1407" spans="1:23" ht="34.5" customHeight="1" x14ac:dyDescent="0.25">
      <c r="A1407" s="1">
        <f t="shared" si="76"/>
        <v>1406</v>
      </c>
      <c r="B1407" s="1"/>
      <c r="C1407" s="2"/>
      <c r="H1407" s="1" t="str">
        <f t="shared" si="77"/>
        <v>0 г. 0 мес. 0 дн.</v>
      </c>
      <c r="I1407" s="1" t="s">
        <v>39</v>
      </c>
      <c r="V1407" s="1" t="str">
        <f t="shared" si="78"/>
        <v>0 г. 0 мес. 0 дн.</v>
      </c>
      <c r="W1407" s="5"/>
    </row>
    <row r="1408" spans="1:23" ht="34.5" customHeight="1" x14ac:dyDescent="0.25">
      <c r="A1408" s="1">
        <f t="shared" ref="A1408:A1471" si="79">ROW(A1407)</f>
        <v>1407</v>
      </c>
      <c r="B1408" s="1"/>
      <c r="C1408" s="2"/>
      <c r="H1408" s="1" t="str">
        <f t="shared" si="77"/>
        <v>0 г. 0 мес. 0 дн.</v>
      </c>
      <c r="I1408" s="1" t="s">
        <v>39</v>
      </c>
      <c r="V1408" s="1" t="str">
        <f t="shared" si="78"/>
        <v>0 г. 0 мес. 0 дн.</v>
      </c>
      <c r="W1408" s="5"/>
    </row>
    <row r="1409" spans="1:23" ht="34.5" customHeight="1" x14ac:dyDescent="0.25">
      <c r="A1409" s="1">
        <f t="shared" si="79"/>
        <v>1408</v>
      </c>
      <c r="B1409" s="1"/>
      <c r="C1409" s="2"/>
      <c r="H1409" s="1" t="str">
        <f t="shared" si="77"/>
        <v>0 г. 0 мес. 0 дн.</v>
      </c>
      <c r="I1409" s="1" t="s">
        <v>39</v>
      </c>
      <c r="V1409" s="1" t="str">
        <f t="shared" si="78"/>
        <v>0 г. 0 мес. 0 дн.</v>
      </c>
      <c r="W1409" s="5"/>
    </row>
    <row r="1410" spans="1:23" ht="34.5" customHeight="1" x14ac:dyDescent="0.25">
      <c r="A1410" s="1">
        <f t="shared" si="79"/>
        <v>1409</v>
      </c>
      <c r="B1410" s="1"/>
      <c r="C1410" s="2"/>
      <c r="H1410" s="1" t="str">
        <f t="shared" ref="H1410:H1473" si="80">DATEDIF(G1410,D1410,"y") &amp; " г. " &amp; DATEDIF(G1410,D1410,"ym") &amp; " мес. " &amp; DATEDIF(G1410,D1410,"md") &amp; " дн."</f>
        <v>0 г. 0 мес. 0 дн.</v>
      </c>
      <c r="I1410" s="1" t="s">
        <v>39</v>
      </c>
      <c r="V1410" s="1" t="str">
        <f t="shared" si="78"/>
        <v>0 г. 0 мес. 0 дн.</v>
      </c>
      <c r="W1410" s="5"/>
    </row>
    <row r="1411" spans="1:23" ht="34.5" customHeight="1" x14ac:dyDescent="0.25">
      <c r="A1411" s="1">
        <f t="shared" si="79"/>
        <v>1410</v>
      </c>
      <c r="B1411" s="1"/>
      <c r="C1411" s="2"/>
      <c r="H1411" s="1" t="str">
        <f t="shared" si="80"/>
        <v>0 г. 0 мес. 0 дн.</v>
      </c>
      <c r="I1411" s="1" t="s">
        <v>39</v>
      </c>
      <c r="V1411" s="1" t="str">
        <f t="shared" si="78"/>
        <v>0 г. 0 мес. 0 дн.</v>
      </c>
      <c r="W1411" s="5"/>
    </row>
    <row r="1412" spans="1:23" ht="34.5" customHeight="1" x14ac:dyDescent="0.25">
      <c r="A1412" s="1">
        <f t="shared" si="79"/>
        <v>1411</v>
      </c>
      <c r="B1412" s="1"/>
      <c r="C1412" s="2"/>
      <c r="H1412" s="1" t="str">
        <f t="shared" si="80"/>
        <v>0 г. 0 мес. 0 дн.</v>
      </c>
      <c r="I1412" s="1" t="s">
        <v>39</v>
      </c>
      <c r="V1412" s="1" t="str">
        <f t="shared" si="78"/>
        <v>0 г. 0 мес. 0 дн.</v>
      </c>
      <c r="W1412" s="5"/>
    </row>
    <row r="1413" spans="1:23" ht="34.5" customHeight="1" x14ac:dyDescent="0.25">
      <c r="A1413" s="1">
        <f t="shared" si="79"/>
        <v>1412</v>
      </c>
      <c r="B1413" s="1"/>
      <c r="C1413" s="2"/>
      <c r="H1413" s="1" t="str">
        <f t="shared" si="80"/>
        <v>0 г. 0 мес. 0 дн.</v>
      </c>
      <c r="I1413" s="1" t="s">
        <v>39</v>
      </c>
      <c r="V1413" s="1" t="str">
        <f t="shared" si="78"/>
        <v>0 г. 0 мес. 0 дн.</v>
      </c>
      <c r="W1413" s="5"/>
    </row>
    <row r="1414" spans="1:23" ht="34.5" customHeight="1" x14ac:dyDescent="0.25">
      <c r="A1414" s="1">
        <f t="shared" si="79"/>
        <v>1413</v>
      </c>
      <c r="B1414" s="1"/>
      <c r="C1414" s="2"/>
      <c r="H1414" s="1" t="str">
        <f t="shared" si="80"/>
        <v>0 г. 0 мес. 0 дн.</v>
      </c>
      <c r="I1414" s="1" t="s">
        <v>39</v>
      </c>
      <c r="V1414" s="1" t="str">
        <f t="shared" si="78"/>
        <v>0 г. 0 мес. 0 дн.</v>
      </c>
      <c r="W1414" s="5"/>
    </row>
    <row r="1415" spans="1:23" ht="34.5" customHeight="1" x14ac:dyDescent="0.25">
      <c r="A1415" s="1">
        <f t="shared" si="79"/>
        <v>1414</v>
      </c>
      <c r="B1415" s="1"/>
      <c r="C1415" s="2"/>
      <c r="H1415" s="1" t="str">
        <f t="shared" si="80"/>
        <v>0 г. 0 мес. 0 дн.</v>
      </c>
      <c r="I1415" s="1" t="s">
        <v>39</v>
      </c>
      <c r="V1415" s="1" t="str">
        <f t="shared" si="78"/>
        <v>0 г. 0 мес. 0 дн.</v>
      </c>
      <c r="W1415" s="5"/>
    </row>
    <row r="1416" spans="1:23" ht="34.5" customHeight="1" x14ac:dyDescent="0.25">
      <c r="A1416" s="1">
        <f t="shared" si="79"/>
        <v>1415</v>
      </c>
      <c r="B1416" s="1"/>
      <c r="C1416" s="2"/>
      <c r="H1416" s="1" t="str">
        <f t="shared" si="80"/>
        <v>0 г. 0 мес. 0 дн.</v>
      </c>
      <c r="I1416" s="1" t="s">
        <v>39</v>
      </c>
      <c r="V1416" s="1" t="str">
        <f t="shared" si="78"/>
        <v>0 г. 0 мес. 0 дн.</v>
      </c>
      <c r="W1416" s="5"/>
    </row>
    <row r="1417" spans="1:23" ht="34.5" customHeight="1" x14ac:dyDescent="0.25">
      <c r="A1417" s="1">
        <f t="shared" si="79"/>
        <v>1416</v>
      </c>
      <c r="B1417" s="1"/>
      <c r="C1417" s="2"/>
      <c r="H1417" s="1" t="str">
        <f t="shared" si="80"/>
        <v>0 г. 0 мес. 0 дн.</v>
      </c>
      <c r="I1417" s="1" t="s">
        <v>39</v>
      </c>
      <c r="V1417" s="1" t="str">
        <f t="shared" si="78"/>
        <v>0 г. 0 мес. 0 дн.</v>
      </c>
      <c r="W1417" s="5"/>
    </row>
    <row r="1418" spans="1:23" ht="34.5" customHeight="1" x14ac:dyDescent="0.25">
      <c r="A1418" s="1">
        <f t="shared" si="79"/>
        <v>1417</v>
      </c>
      <c r="B1418" s="1"/>
      <c r="C1418" s="2"/>
      <c r="H1418" s="1" t="str">
        <f t="shared" si="80"/>
        <v>0 г. 0 мес. 0 дн.</v>
      </c>
      <c r="I1418" s="1" t="s">
        <v>39</v>
      </c>
      <c r="V1418" s="1" t="str">
        <f t="shared" si="78"/>
        <v>0 г. 0 мес. 0 дн.</v>
      </c>
      <c r="W1418" s="5"/>
    </row>
    <row r="1419" spans="1:23" ht="34.5" customHeight="1" x14ac:dyDescent="0.25">
      <c r="A1419" s="1">
        <f t="shared" si="79"/>
        <v>1418</v>
      </c>
      <c r="B1419" s="1"/>
      <c r="C1419" s="2"/>
      <c r="H1419" s="1" t="str">
        <f t="shared" si="80"/>
        <v>0 г. 0 мес. 0 дн.</v>
      </c>
      <c r="I1419" s="1" t="s">
        <v>39</v>
      </c>
      <c r="V1419" s="1" t="str">
        <f t="shared" si="78"/>
        <v>0 г. 0 мес. 0 дн.</v>
      </c>
      <c r="W1419" s="5"/>
    </row>
    <row r="1420" spans="1:23" ht="34.5" customHeight="1" x14ac:dyDescent="0.25">
      <c r="A1420" s="1">
        <f t="shared" si="79"/>
        <v>1419</v>
      </c>
      <c r="B1420" s="1"/>
      <c r="C1420" s="2"/>
      <c r="H1420" s="1" t="str">
        <f t="shared" si="80"/>
        <v>0 г. 0 мес. 0 дн.</v>
      </c>
      <c r="I1420" s="1" t="s">
        <v>39</v>
      </c>
      <c r="V1420" s="1" t="str">
        <f t="shared" si="78"/>
        <v>0 г. 0 мес. 0 дн.</v>
      </c>
      <c r="W1420" s="5"/>
    </row>
    <row r="1421" spans="1:23" ht="34.5" customHeight="1" x14ac:dyDescent="0.25">
      <c r="A1421" s="1">
        <f t="shared" si="79"/>
        <v>1420</v>
      </c>
      <c r="B1421" s="1"/>
      <c r="C1421" s="2"/>
      <c r="H1421" s="1" t="str">
        <f t="shared" si="80"/>
        <v>0 г. 0 мес. 0 дн.</v>
      </c>
      <c r="I1421" s="1" t="s">
        <v>39</v>
      </c>
      <c r="V1421" s="1" t="str">
        <f t="shared" si="78"/>
        <v>0 г. 0 мес. 0 дн.</v>
      </c>
      <c r="W1421" s="5"/>
    </row>
    <row r="1422" spans="1:23" ht="34.5" customHeight="1" x14ac:dyDescent="0.25">
      <c r="A1422" s="1">
        <f t="shared" si="79"/>
        <v>1421</v>
      </c>
      <c r="B1422" s="1"/>
      <c r="C1422" s="2"/>
      <c r="H1422" s="1" t="str">
        <f t="shared" si="80"/>
        <v>0 г. 0 мес. 0 дн.</v>
      </c>
      <c r="I1422" s="1" t="s">
        <v>39</v>
      </c>
      <c r="V1422" s="1" t="str">
        <f t="shared" si="78"/>
        <v>0 г. 0 мес. 0 дн.</v>
      </c>
      <c r="W1422" s="5"/>
    </row>
    <row r="1423" spans="1:23" ht="34.5" customHeight="1" x14ac:dyDescent="0.25">
      <c r="A1423" s="1">
        <f t="shared" si="79"/>
        <v>1422</v>
      </c>
      <c r="B1423" s="1"/>
      <c r="C1423" s="2"/>
      <c r="H1423" s="1" t="str">
        <f t="shared" si="80"/>
        <v>0 г. 0 мес. 0 дн.</v>
      </c>
      <c r="I1423" s="1" t="s">
        <v>39</v>
      </c>
      <c r="V1423" s="1" t="str">
        <f t="shared" si="78"/>
        <v>0 г. 0 мес. 0 дн.</v>
      </c>
      <c r="W1423" s="5"/>
    </row>
    <row r="1424" spans="1:23" ht="34.5" customHeight="1" x14ac:dyDescent="0.25">
      <c r="A1424" s="1">
        <f t="shared" si="79"/>
        <v>1423</v>
      </c>
      <c r="B1424" s="1"/>
      <c r="C1424" s="2"/>
      <c r="H1424" s="1" t="str">
        <f t="shared" si="80"/>
        <v>0 г. 0 мес. 0 дн.</v>
      </c>
      <c r="I1424" s="1" t="s">
        <v>39</v>
      </c>
      <c r="V1424" s="1" t="str">
        <f t="shared" si="78"/>
        <v>0 г. 0 мес. 0 дн.</v>
      </c>
      <c r="W1424" s="5"/>
    </row>
    <row r="1425" spans="1:23" ht="34.5" customHeight="1" x14ac:dyDescent="0.25">
      <c r="A1425" s="1">
        <f t="shared" si="79"/>
        <v>1424</v>
      </c>
      <c r="B1425" s="1"/>
      <c r="C1425" s="2"/>
      <c r="H1425" s="1" t="str">
        <f t="shared" si="80"/>
        <v>0 г. 0 мес. 0 дн.</v>
      </c>
      <c r="I1425" s="1" t="s">
        <v>39</v>
      </c>
      <c r="V1425" s="1" t="str">
        <f t="shared" si="78"/>
        <v>0 г. 0 мес. 0 дн.</v>
      </c>
      <c r="W1425" s="5"/>
    </row>
    <row r="1426" spans="1:23" ht="34.5" customHeight="1" x14ac:dyDescent="0.25">
      <c r="A1426" s="1">
        <f t="shared" si="79"/>
        <v>1425</v>
      </c>
      <c r="B1426" s="1"/>
      <c r="C1426" s="2"/>
      <c r="H1426" s="1" t="str">
        <f t="shared" si="80"/>
        <v>0 г. 0 мес. 0 дн.</v>
      </c>
      <c r="I1426" s="1" t="s">
        <v>39</v>
      </c>
      <c r="V1426" s="1" t="str">
        <f t="shared" si="78"/>
        <v>0 г. 0 мес. 0 дн.</v>
      </c>
      <c r="W1426" s="5"/>
    </row>
    <row r="1427" spans="1:23" ht="34.5" customHeight="1" x14ac:dyDescent="0.25">
      <c r="A1427" s="1">
        <f t="shared" si="79"/>
        <v>1426</v>
      </c>
      <c r="B1427" s="1"/>
      <c r="C1427" s="2"/>
      <c r="H1427" s="1" t="str">
        <f t="shared" si="80"/>
        <v>0 г. 0 мес. 0 дн.</v>
      </c>
      <c r="I1427" s="1" t="s">
        <v>39</v>
      </c>
      <c r="V1427" s="1" t="str">
        <f t="shared" si="78"/>
        <v>0 г. 0 мес. 0 дн.</v>
      </c>
      <c r="W1427" s="5"/>
    </row>
    <row r="1428" spans="1:23" ht="34.5" customHeight="1" x14ac:dyDescent="0.25">
      <c r="A1428" s="1">
        <f t="shared" si="79"/>
        <v>1427</v>
      </c>
      <c r="B1428" s="1"/>
      <c r="C1428" s="2"/>
      <c r="H1428" s="1" t="str">
        <f t="shared" si="80"/>
        <v>0 г. 0 мес. 0 дн.</v>
      </c>
      <c r="I1428" s="1" t="s">
        <v>39</v>
      </c>
      <c r="V1428" s="1" t="str">
        <f t="shared" si="78"/>
        <v>0 г. 0 мес. 0 дн.</v>
      </c>
      <c r="W1428" s="5"/>
    </row>
    <row r="1429" spans="1:23" ht="34.5" customHeight="1" x14ac:dyDescent="0.25">
      <c r="A1429" s="1">
        <f t="shared" si="79"/>
        <v>1428</v>
      </c>
      <c r="B1429" s="1"/>
      <c r="C1429" s="2"/>
      <c r="H1429" s="1" t="str">
        <f t="shared" si="80"/>
        <v>0 г. 0 мес. 0 дн.</v>
      </c>
      <c r="I1429" s="1" t="s">
        <v>39</v>
      </c>
      <c r="V1429" s="1" t="str">
        <f t="shared" si="78"/>
        <v>0 г. 0 мес. 0 дн.</v>
      </c>
      <c r="W1429" s="5"/>
    </row>
    <row r="1430" spans="1:23" ht="34.5" customHeight="1" x14ac:dyDescent="0.25">
      <c r="A1430" s="1">
        <f t="shared" si="79"/>
        <v>1429</v>
      </c>
      <c r="B1430" s="1"/>
      <c r="C1430" s="2"/>
      <c r="H1430" s="1" t="str">
        <f t="shared" si="80"/>
        <v>0 г. 0 мес. 0 дн.</v>
      </c>
      <c r="I1430" s="1" t="s">
        <v>39</v>
      </c>
      <c r="V1430" s="1" t="str">
        <f t="shared" si="78"/>
        <v>0 г. 0 мес. 0 дн.</v>
      </c>
      <c r="W1430" s="5"/>
    </row>
    <row r="1431" spans="1:23" ht="34.5" customHeight="1" x14ac:dyDescent="0.25">
      <c r="A1431" s="1">
        <f t="shared" si="79"/>
        <v>1430</v>
      </c>
      <c r="B1431" s="1"/>
      <c r="C1431" s="2"/>
      <c r="H1431" s="1" t="str">
        <f t="shared" si="80"/>
        <v>0 г. 0 мес. 0 дн.</v>
      </c>
      <c r="I1431" s="1" t="s">
        <v>39</v>
      </c>
      <c r="V1431" s="1" t="str">
        <f t="shared" si="78"/>
        <v>0 г. 0 мес. 0 дн.</v>
      </c>
      <c r="W1431" s="5"/>
    </row>
    <row r="1432" spans="1:23" ht="34.5" customHeight="1" x14ac:dyDescent="0.25">
      <c r="A1432" s="1">
        <f t="shared" si="79"/>
        <v>1431</v>
      </c>
      <c r="B1432" s="1"/>
      <c r="C1432" s="2"/>
      <c r="H1432" s="1" t="str">
        <f t="shared" si="80"/>
        <v>0 г. 0 мес. 0 дн.</v>
      </c>
      <c r="I1432" s="1" t="s">
        <v>39</v>
      </c>
      <c r="V1432" s="1" t="str">
        <f t="shared" si="78"/>
        <v>0 г. 0 мес. 0 дн.</v>
      </c>
      <c r="W1432" s="5"/>
    </row>
    <row r="1433" spans="1:23" ht="34.5" customHeight="1" x14ac:dyDescent="0.25">
      <c r="A1433" s="1">
        <f t="shared" si="79"/>
        <v>1432</v>
      </c>
      <c r="B1433" s="1"/>
      <c r="C1433" s="2"/>
      <c r="H1433" s="1" t="str">
        <f t="shared" si="80"/>
        <v>0 г. 0 мес. 0 дн.</v>
      </c>
      <c r="I1433" s="1" t="s">
        <v>39</v>
      </c>
      <c r="V1433" s="1" t="str">
        <f t="shared" si="78"/>
        <v>0 г. 0 мес. 0 дн.</v>
      </c>
      <c r="W1433" s="5"/>
    </row>
    <row r="1434" spans="1:23" ht="34.5" customHeight="1" x14ac:dyDescent="0.25">
      <c r="A1434" s="1">
        <f t="shared" si="79"/>
        <v>1433</v>
      </c>
      <c r="B1434" s="1"/>
      <c r="C1434" s="2"/>
      <c r="H1434" s="1" t="str">
        <f t="shared" si="80"/>
        <v>0 г. 0 мес. 0 дн.</v>
      </c>
      <c r="I1434" s="1" t="s">
        <v>39</v>
      </c>
      <c r="V1434" s="1" t="str">
        <f t="shared" si="78"/>
        <v>0 г. 0 мес. 0 дн.</v>
      </c>
      <c r="W1434" s="5"/>
    </row>
    <row r="1435" spans="1:23" ht="34.5" customHeight="1" x14ac:dyDescent="0.25">
      <c r="A1435" s="1">
        <f t="shared" si="79"/>
        <v>1434</v>
      </c>
      <c r="B1435" s="1"/>
      <c r="C1435" s="2"/>
      <c r="H1435" s="1" t="str">
        <f t="shared" si="80"/>
        <v>0 г. 0 мес. 0 дн.</v>
      </c>
      <c r="I1435" s="1" t="s">
        <v>39</v>
      </c>
      <c r="V1435" s="1" t="str">
        <f t="shared" si="78"/>
        <v>0 г. 0 мес. 0 дн.</v>
      </c>
      <c r="W1435" s="5"/>
    </row>
    <row r="1436" spans="1:23" ht="34.5" customHeight="1" x14ac:dyDescent="0.25">
      <c r="A1436" s="1">
        <f t="shared" si="79"/>
        <v>1435</v>
      </c>
      <c r="B1436" s="1"/>
      <c r="C1436" s="2"/>
      <c r="H1436" s="1" t="str">
        <f t="shared" si="80"/>
        <v>0 г. 0 мес. 0 дн.</v>
      </c>
      <c r="I1436" s="1" t="s">
        <v>39</v>
      </c>
      <c r="V1436" s="1" t="str">
        <f t="shared" si="78"/>
        <v>0 г. 0 мес. 0 дн.</v>
      </c>
      <c r="W1436" s="5"/>
    </row>
    <row r="1437" spans="1:23" ht="34.5" customHeight="1" x14ac:dyDescent="0.25">
      <c r="A1437" s="1">
        <f t="shared" si="79"/>
        <v>1436</v>
      </c>
      <c r="B1437" s="1"/>
      <c r="C1437" s="2"/>
      <c r="H1437" s="1" t="str">
        <f t="shared" si="80"/>
        <v>0 г. 0 мес. 0 дн.</v>
      </c>
      <c r="I1437" s="1" t="s">
        <v>39</v>
      </c>
      <c r="V1437" s="1" t="str">
        <f t="shared" si="78"/>
        <v>0 г. 0 мес. 0 дн.</v>
      </c>
      <c r="W1437" s="5"/>
    </row>
    <row r="1438" spans="1:23" ht="34.5" customHeight="1" x14ac:dyDescent="0.25">
      <c r="A1438" s="1">
        <f t="shared" si="79"/>
        <v>1437</v>
      </c>
      <c r="B1438" s="1"/>
      <c r="C1438" s="2"/>
      <c r="H1438" s="1" t="str">
        <f t="shared" si="80"/>
        <v>0 г. 0 мес. 0 дн.</v>
      </c>
      <c r="I1438" s="1" t="s">
        <v>39</v>
      </c>
      <c r="V1438" s="1" t="str">
        <f t="shared" si="78"/>
        <v>0 г. 0 мес. 0 дн.</v>
      </c>
      <c r="W1438" s="5"/>
    </row>
    <row r="1439" spans="1:23" ht="34.5" customHeight="1" x14ac:dyDescent="0.25">
      <c r="A1439" s="1">
        <f t="shared" si="79"/>
        <v>1438</v>
      </c>
      <c r="B1439" s="1"/>
      <c r="C1439" s="2"/>
      <c r="H1439" s="1" t="str">
        <f t="shared" si="80"/>
        <v>0 г. 0 мес. 0 дн.</v>
      </c>
      <c r="I1439" s="1" t="s">
        <v>39</v>
      </c>
      <c r="V1439" s="1" t="str">
        <f t="shared" si="78"/>
        <v>0 г. 0 мес. 0 дн.</v>
      </c>
      <c r="W1439" s="5"/>
    </row>
    <row r="1440" spans="1:23" ht="34.5" customHeight="1" x14ac:dyDescent="0.25">
      <c r="A1440" s="1">
        <f t="shared" si="79"/>
        <v>1439</v>
      </c>
      <c r="B1440" s="1"/>
      <c r="C1440" s="2"/>
      <c r="H1440" s="1" t="str">
        <f t="shared" si="80"/>
        <v>0 г. 0 мес. 0 дн.</v>
      </c>
      <c r="I1440" s="1" t="s">
        <v>39</v>
      </c>
      <c r="V1440" s="1" t="str">
        <f t="shared" si="78"/>
        <v>0 г. 0 мес. 0 дн.</v>
      </c>
      <c r="W1440" s="5"/>
    </row>
    <row r="1441" spans="1:23" ht="34.5" customHeight="1" x14ac:dyDescent="0.25">
      <c r="A1441" s="1">
        <f t="shared" si="79"/>
        <v>1440</v>
      </c>
      <c r="B1441" s="1"/>
      <c r="C1441" s="2"/>
      <c r="H1441" s="1" t="str">
        <f t="shared" si="80"/>
        <v>0 г. 0 мес. 0 дн.</v>
      </c>
      <c r="I1441" s="1" t="s">
        <v>39</v>
      </c>
      <c r="V1441" s="1" t="str">
        <f t="shared" si="78"/>
        <v>0 г. 0 мес. 0 дн.</v>
      </c>
      <c r="W1441" s="5"/>
    </row>
    <row r="1442" spans="1:23" ht="34.5" customHeight="1" x14ac:dyDescent="0.25">
      <c r="A1442" s="1">
        <f t="shared" si="79"/>
        <v>1441</v>
      </c>
      <c r="B1442" s="1"/>
      <c r="C1442" s="2"/>
      <c r="H1442" s="1" t="str">
        <f t="shared" si="80"/>
        <v>0 г. 0 мес. 0 дн.</v>
      </c>
      <c r="I1442" s="1" t="s">
        <v>39</v>
      </c>
      <c r="V1442" s="1" t="str">
        <f t="shared" si="78"/>
        <v>0 г. 0 мес. 0 дн.</v>
      </c>
      <c r="W1442" s="5"/>
    </row>
    <row r="1443" spans="1:23" ht="34.5" customHeight="1" x14ac:dyDescent="0.25">
      <c r="A1443" s="1">
        <f t="shared" si="79"/>
        <v>1442</v>
      </c>
      <c r="B1443" s="1"/>
      <c r="C1443" s="2"/>
      <c r="H1443" s="1" t="str">
        <f t="shared" si="80"/>
        <v>0 г. 0 мес. 0 дн.</v>
      </c>
      <c r="I1443" s="1" t="s">
        <v>39</v>
      </c>
      <c r="V1443" s="1" t="str">
        <f t="shared" si="78"/>
        <v>0 г. 0 мес. 0 дн.</v>
      </c>
      <c r="W1443" s="5"/>
    </row>
    <row r="1444" spans="1:23" ht="34.5" customHeight="1" x14ac:dyDescent="0.25">
      <c r="A1444" s="1">
        <f t="shared" si="79"/>
        <v>1443</v>
      </c>
      <c r="B1444" s="1"/>
      <c r="C1444" s="2"/>
      <c r="H1444" s="1" t="str">
        <f t="shared" si="80"/>
        <v>0 г. 0 мес. 0 дн.</v>
      </c>
      <c r="I1444" s="1" t="s">
        <v>39</v>
      </c>
      <c r="V1444" s="1" t="str">
        <f t="shared" si="78"/>
        <v>0 г. 0 мес. 0 дн.</v>
      </c>
      <c r="W1444" s="5"/>
    </row>
    <row r="1445" spans="1:23" ht="34.5" customHeight="1" x14ac:dyDescent="0.25">
      <c r="A1445" s="1">
        <f t="shared" si="79"/>
        <v>1444</v>
      </c>
      <c r="B1445" s="1"/>
      <c r="C1445" s="2"/>
      <c r="H1445" s="1" t="str">
        <f t="shared" si="80"/>
        <v>0 г. 0 мес. 0 дн.</v>
      </c>
      <c r="I1445" s="1" t="s">
        <v>39</v>
      </c>
      <c r="V1445" s="1" t="str">
        <f t="shared" si="78"/>
        <v>0 г. 0 мес. 0 дн.</v>
      </c>
      <c r="W1445" s="5"/>
    </row>
    <row r="1446" spans="1:23" ht="34.5" customHeight="1" x14ac:dyDescent="0.25">
      <c r="A1446" s="1">
        <f t="shared" si="79"/>
        <v>1445</v>
      </c>
      <c r="B1446" s="1"/>
      <c r="C1446" s="2"/>
      <c r="H1446" s="1" t="str">
        <f t="shared" si="80"/>
        <v>0 г. 0 мес. 0 дн.</v>
      </c>
      <c r="I1446" s="1" t="s">
        <v>39</v>
      </c>
      <c r="V1446" s="1" t="str">
        <f t="shared" si="78"/>
        <v>0 г. 0 мес. 0 дн.</v>
      </c>
      <c r="W1446" s="5"/>
    </row>
    <row r="1447" spans="1:23" ht="34.5" customHeight="1" x14ac:dyDescent="0.25">
      <c r="A1447" s="1">
        <f t="shared" si="79"/>
        <v>1446</v>
      </c>
      <c r="B1447" s="1"/>
      <c r="C1447" s="2"/>
      <c r="H1447" s="1" t="str">
        <f t="shared" si="80"/>
        <v>0 г. 0 мес. 0 дн.</v>
      </c>
      <c r="I1447" s="1" t="s">
        <v>39</v>
      </c>
      <c r="V1447" s="1" t="str">
        <f t="shared" si="78"/>
        <v>0 г. 0 мес. 0 дн.</v>
      </c>
      <c r="W1447" s="5"/>
    </row>
    <row r="1448" spans="1:23" ht="34.5" customHeight="1" x14ac:dyDescent="0.25">
      <c r="A1448" s="1">
        <f t="shared" si="79"/>
        <v>1447</v>
      </c>
      <c r="B1448" s="1"/>
      <c r="C1448" s="2"/>
      <c r="H1448" s="1" t="str">
        <f t="shared" si="80"/>
        <v>0 г. 0 мес. 0 дн.</v>
      </c>
      <c r="I1448" s="1" t="s">
        <v>39</v>
      </c>
      <c r="V1448" s="1" t="str">
        <f t="shared" si="78"/>
        <v>0 г. 0 мес. 0 дн.</v>
      </c>
      <c r="W1448" s="5"/>
    </row>
    <row r="1449" spans="1:23" ht="34.5" customHeight="1" x14ac:dyDescent="0.25">
      <c r="A1449" s="1">
        <f t="shared" si="79"/>
        <v>1448</v>
      </c>
      <c r="B1449" s="1"/>
      <c r="C1449" s="2"/>
      <c r="H1449" s="1" t="str">
        <f t="shared" si="80"/>
        <v>0 г. 0 мес. 0 дн.</v>
      </c>
      <c r="I1449" s="1" t="s">
        <v>39</v>
      </c>
      <c r="V1449" s="1" t="str">
        <f t="shared" si="78"/>
        <v>0 г. 0 мес. 0 дн.</v>
      </c>
      <c r="W1449" s="5"/>
    </row>
    <row r="1450" spans="1:23" ht="34.5" customHeight="1" x14ac:dyDescent="0.25">
      <c r="A1450" s="1">
        <f t="shared" si="79"/>
        <v>1449</v>
      </c>
      <c r="B1450" s="1"/>
      <c r="C1450" s="2"/>
      <c r="H1450" s="1" t="str">
        <f t="shared" si="80"/>
        <v>0 г. 0 мес. 0 дн.</v>
      </c>
      <c r="I1450" s="1" t="s">
        <v>39</v>
      </c>
      <c r="V1450" s="1" t="str">
        <f t="shared" si="78"/>
        <v>0 г. 0 мес. 0 дн.</v>
      </c>
      <c r="W1450" s="5"/>
    </row>
    <row r="1451" spans="1:23" ht="34.5" customHeight="1" x14ac:dyDescent="0.25">
      <c r="A1451" s="1">
        <f t="shared" si="79"/>
        <v>1450</v>
      </c>
      <c r="B1451" s="1"/>
      <c r="C1451" s="2"/>
      <c r="H1451" s="1" t="str">
        <f t="shared" si="80"/>
        <v>0 г. 0 мес. 0 дн.</v>
      </c>
      <c r="I1451" s="1" t="s">
        <v>39</v>
      </c>
      <c r="V1451" s="1" t="str">
        <f t="shared" si="78"/>
        <v>0 г. 0 мес. 0 дн.</v>
      </c>
      <c r="W1451" s="5"/>
    </row>
    <row r="1452" spans="1:23" ht="34.5" customHeight="1" x14ac:dyDescent="0.25">
      <c r="A1452" s="1">
        <f t="shared" si="79"/>
        <v>1451</v>
      </c>
      <c r="B1452" s="1"/>
      <c r="C1452" s="2"/>
      <c r="H1452" s="1" t="str">
        <f t="shared" si="80"/>
        <v>0 г. 0 мес. 0 дн.</v>
      </c>
      <c r="I1452" s="1" t="s">
        <v>39</v>
      </c>
      <c r="V1452" s="1" t="str">
        <f t="shared" si="78"/>
        <v>0 г. 0 мес. 0 дн.</v>
      </c>
      <c r="W1452" s="5"/>
    </row>
    <row r="1453" spans="1:23" ht="34.5" customHeight="1" x14ac:dyDescent="0.25">
      <c r="A1453" s="1">
        <f t="shared" si="79"/>
        <v>1452</v>
      </c>
      <c r="B1453" s="1"/>
      <c r="C1453" s="2"/>
      <c r="H1453" s="1" t="str">
        <f t="shared" si="80"/>
        <v>0 г. 0 мес. 0 дн.</v>
      </c>
      <c r="I1453" s="1" t="s">
        <v>39</v>
      </c>
      <c r="V1453" s="1" t="str">
        <f t="shared" si="78"/>
        <v>0 г. 0 мес. 0 дн.</v>
      </c>
      <c r="W1453" s="5"/>
    </row>
    <row r="1454" spans="1:23" ht="34.5" customHeight="1" x14ac:dyDescent="0.25">
      <c r="A1454" s="1">
        <f t="shared" si="79"/>
        <v>1453</v>
      </c>
      <c r="B1454" s="1"/>
      <c r="C1454" s="2"/>
      <c r="H1454" s="1" t="str">
        <f t="shared" si="80"/>
        <v>0 г. 0 мес. 0 дн.</v>
      </c>
      <c r="I1454" s="1" t="s">
        <v>39</v>
      </c>
      <c r="V1454" s="1" t="str">
        <f t="shared" si="78"/>
        <v>0 г. 0 мес. 0 дн.</v>
      </c>
      <c r="W1454" s="5"/>
    </row>
    <row r="1455" spans="1:23" ht="34.5" customHeight="1" x14ac:dyDescent="0.25">
      <c r="A1455" s="1">
        <f t="shared" si="79"/>
        <v>1454</v>
      </c>
      <c r="B1455" s="1"/>
      <c r="C1455" s="2"/>
      <c r="H1455" s="1" t="str">
        <f t="shared" si="80"/>
        <v>0 г. 0 мес. 0 дн.</v>
      </c>
      <c r="I1455" s="1" t="s">
        <v>39</v>
      </c>
      <c r="V1455" s="1" t="str">
        <f t="shared" si="78"/>
        <v>0 г. 0 мес. 0 дн.</v>
      </c>
      <c r="W1455" s="5"/>
    </row>
    <row r="1456" spans="1:23" ht="34.5" customHeight="1" x14ac:dyDescent="0.25">
      <c r="A1456" s="1">
        <f t="shared" si="79"/>
        <v>1455</v>
      </c>
      <c r="B1456" s="1"/>
      <c r="C1456" s="2"/>
      <c r="H1456" s="1" t="str">
        <f t="shared" si="80"/>
        <v>0 г. 0 мес. 0 дн.</v>
      </c>
      <c r="I1456" s="1" t="s">
        <v>39</v>
      </c>
      <c r="V1456" s="1" t="str">
        <f t="shared" si="78"/>
        <v>0 г. 0 мес. 0 дн.</v>
      </c>
      <c r="W1456" s="5"/>
    </row>
    <row r="1457" spans="1:23" ht="34.5" customHeight="1" x14ac:dyDescent="0.25">
      <c r="A1457" s="1">
        <f t="shared" si="79"/>
        <v>1456</v>
      </c>
      <c r="B1457" s="1"/>
      <c r="C1457" s="2"/>
      <c r="H1457" s="1" t="str">
        <f t="shared" si="80"/>
        <v>0 г. 0 мес. 0 дн.</v>
      </c>
      <c r="I1457" s="1" t="s">
        <v>39</v>
      </c>
      <c r="V1457" s="1" t="str">
        <f t="shared" ref="V1457:V1520" si="81">DATEDIF(D1457,T1457,"y") &amp; " г. " &amp; DATEDIF(D1457,T1457,"ym") &amp; " мес. " &amp; DATEDIF(D1457,T1457,"md") &amp; " дн."</f>
        <v>0 г. 0 мес. 0 дн.</v>
      </c>
      <c r="W1457" s="5"/>
    </row>
    <row r="1458" spans="1:23" ht="34.5" customHeight="1" x14ac:dyDescent="0.25">
      <c r="A1458" s="1">
        <f t="shared" si="79"/>
        <v>1457</v>
      </c>
      <c r="B1458" s="1"/>
      <c r="C1458" s="2"/>
      <c r="H1458" s="1" t="str">
        <f t="shared" si="80"/>
        <v>0 г. 0 мес. 0 дн.</v>
      </c>
      <c r="I1458" s="1" t="s">
        <v>39</v>
      </c>
      <c r="V1458" s="1" t="str">
        <f t="shared" si="81"/>
        <v>0 г. 0 мес. 0 дн.</v>
      </c>
      <c r="W1458" s="5"/>
    </row>
    <row r="1459" spans="1:23" ht="34.5" customHeight="1" x14ac:dyDescent="0.25">
      <c r="A1459" s="1">
        <f t="shared" si="79"/>
        <v>1458</v>
      </c>
      <c r="B1459" s="1"/>
      <c r="C1459" s="2"/>
      <c r="H1459" s="1" t="str">
        <f t="shared" si="80"/>
        <v>0 г. 0 мес. 0 дн.</v>
      </c>
      <c r="I1459" s="1" t="s">
        <v>39</v>
      </c>
      <c r="V1459" s="1" t="str">
        <f t="shared" si="81"/>
        <v>0 г. 0 мес. 0 дн.</v>
      </c>
      <c r="W1459" s="5"/>
    </row>
    <row r="1460" spans="1:23" ht="34.5" customHeight="1" x14ac:dyDescent="0.25">
      <c r="A1460" s="1">
        <f t="shared" si="79"/>
        <v>1459</v>
      </c>
      <c r="B1460" s="1"/>
      <c r="C1460" s="2"/>
      <c r="H1460" s="1" t="str">
        <f t="shared" si="80"/>
        <v>0 г. 0 мес. 0 дн.</v>
      </c>
      <c r="I1460" s="1" t="s">
        <v>39</v>
      </c>
      <c r="V1460" s="1" t="str">
        <f t="shared" si="81"/>
        <v>0 г. 0 мес. 0 дн.</v>
      </c>
      <c r="W1460" s="5"/>
    </row>
    <row r="1461" spans="1:23" ht="34.5" customHeight="1" x14ac:dyDescent="0.25">
      <c r="A1461" s="1">
        <f t="shared" si="79"/>
        <v>1460</v>
      </c>
      <c r="B1461" s="1"/>
      <c r="C1461" s="2"/>
      <c r="H1461" s="1" t="str">
        <f t="shared" si="80"/>
        <v>0 г. 0 мес. 0 дн.</v>
      </c>
      <c r="I1461" s="1" t="s">
        <v>39</v>
      </c>
      <c r="V1461" s="1" t="str">
        <f t="shared" si="81"/>
        <v>0 г. 0 мес. 0 дн.</v>
      </c>
      <c r="W1461" s="5"/>
    </row>
    <row r="1462" spans="1:23" ht="34.5" customHeight="1" x14ac:dyDescent="0.25">
      <c r="A1462" s="1">
        <f t="shared" si="79"/>
        <v>1461</v>
      </c>
      <c r="B1462" s="1"/>
      <c r="C1462" s="2"/>
      <c r="H1462" s="1" t="str">
        <f t="shared" si="80"/>
        <v>0 г. 0 мес. 0 дн.</v>
      </c>
      <c r="I1462" s="1" t="s">
        <v>39</v>
      </c>
      <c r="V1462" s="1" t="str">
        <f t="shared" si="81"/>
        <v>0 г. 0 мес. 0 дн.</v>
      </c>
      <c r="W1462" s="5"/>
    </row>
    <row r="1463" spans="1:23" ht="34.5" customHeight="1" x14ac:dyDescent="0.25">
      <c r="A1463" s="1">
        <f t="shared" si="79"/>
        <v>1462</v>
      </c>
      <c r="B1463" s="1"/>
      <c r="C1463" s="2"/>
      <c r="H1463" s="1" t="str">
        <f t="shared" si="80"/>
        <v>0 г. 0 мес. 0 дн.</v>
      </c>
      <c r="I1463" s="1" t="s">
        <v>39</v>
      </c>
      <c r="V1463" s="1" t="str">
        <f t="shared" si="81"/>
        <v>0 г. 0 мес. 0 дн.</v>
      </c>
      <c r="W1463" s="5"/>
    </row>
    <row r="1464" spans="1:23" ht="34.5" customHeight="1" x14ac:dyDescent="0.25">
      <c r="A1464" s="1">
        <f t="shared" si="79"/>
        <v>1463</v>
      </c>
      <c r="B1464" s="1"/>
      <c r="C1464" s="2"/>
      <c r="H1464" s="1" t="str">
        <f t="shared" si="80"/>
        <v>0 г. 0 мес. 0 дн.</v>
      </c>
      <c r="I1464" s="1" t="s">
        <v>39</v>
      </c>
      <c r="V1464" s="1" t="str">
        <f t="shared" si="81"/>
        <v>0 г. 0 мес. 0 дн.</v>
      </c>
      <c r="W1464" s="5"/>
    </row>
    <row r="1465" spans="1:23" ht="34.5" customHeight="1" x14ac:dyDescent="0.25">
      <c r="A1465" s="1">
        <f t="shared" si="79"/>
        <v>1464</v>
      </c>
      <c r="B1465" s="1"/>
      <c r="C1465" s="2"/>
      <c r="H1465" s="1" t="str">
        <f t="shared" si="80"/>
        <v>0 г. 0 мес. 0 дн.</v>
      </c>
      <c r="I1465" s="1" t="s">
        <v>39</v>
      </c>
      <c r="V1465" s="1" t="str">
        <f t="shared" si="81"/>
        <v>0 г. 0 мес. 0 дн.</v>
      </c>
      <c r="W1465" s="5"/>
    </row>
    <row r="1466" spans="1:23" ht="34.5" customHeight="1" x14ac:dyDescent="0.25">
      <c r="A1466" s="1">
        <f t="shared" si="79"/>
        <v>1465</v>
      </c>
      <c r="B1466" s="1"/>
      <c r="C1466" s="2"/>
      <c r="H1466" s="1" t="str">
        <f t="shared" si="80"/>
        <v>0 г. 0 мес. 0 дн.</v>
      </c>
      <c r="I1466" s="1" t="s">
        <v>39</v>
      </c>
      <c r="V1466" s="1" t="str">
        <f t="shared" si="81"/>
        <v>0 г. 0 мес. 0 дн.</v>
      </c>
      <c r="W1466" s="5"/>
    </row>
    <row r="1467" spans="1:23" ht="34.5" customHeight="1" x14ac:dyDescent="0.25">
      <c r="A1467" s="1">
        <f t="shared" si="79"/>
        <v>1466</v>
      </c>
      <c r="B1467" s="1"/>
      <c r="C1467" s="2"/>
      <c r="H1467" s="1" t="str">
        <f t="shared" si="80"/>
        <v>0 г. 0 мес. 0 дн.</v>
      </c>
      <c r="I1467" s="1" t="s">
        <v>39</v>
      </c>
      <c r="V1467" s="1" t="str">
        <f t="shared" si="81"/>
        <v>0 г. 0 мес. 0 дн.</v>
      </c>
      <c r="W1467" s="5"/>
    </row>
    <row r="1468" spans="1:23" ht="34.5" customHeight="1" x14ac:dyDescent="0.25">
      <c r="A1468" s="1">
        <f t="shared" si="79"/>
        <v>1467</v>
      </c>
      <c r="B1468" s="1"/>
      <c r="C1468" s="2"/>
      <c r="H1468" s="1" t="str">
        <f t="shared" si="80"/>
        <v>0 г. 0 мес. 0 дн.</v>
      </c>
      <c r="I1468" s="1" t="s">
        <v>39</v>
      </c>
      <c r="V1468" s="1" t="str">
        <f t="shared" si="81"/>
        <v>0 г. 0 мес. 0 дн.</v>
      </c>
      <c r="W1468" s="5"/>
    </row>
    <row r="1469" spans="1:23" ht="34.5" customHeight="1" x14ac:dyDescent="0.25">
      <c r="A1469" s="1">
        <f t="shared" si="79"/>
        <v>1468</v>
      </c>
      <c r="B1469" s="1"/>
      <c r="C1469" s="2"/>
      <c r="H1469" s="1" t="str">
        <f t="shared" si="80"/>
        <v>0 г. 0 мес. 0 дн.</v>
      </c>
      <c r="I1469" s="1" t="s">
        <v>39</v>
      </c>
      <c r="V1469" s="1" t="str">
        <f t="shared" si="81"/>
        <v>0 г. 0 мес. 0 дн.</v>
      </c>
      <c r="W1469" s="5"/>
    </row>
    <row r="1470" spans="1:23" ht="34.5" customHeight="1" x14ac:dyDescent="0.25">
      <c r="A1470" s="1">
        <f t="shared" si="79"/>
        <v>1469</v>
      </c>
      <c r="B1470" s="1"/>
      <c r="C1470" s="2"/>
      <c r="H1470" s="1" t="str">
        <f t="shared" si="80"/>
        <v>0 г. 0 мес. 0 дн.</v>
      </c>
      <c r="I1470" s="1" t="s">
        <v>39</v>
      </c>
      <c r="V1470" s="1" t="str">
        <f t="shared" si="81"/>
        <v>0 г. 0 мес. 0 дн.</v>
      </c>
      <c r="W1470" s="5"/>
    </row>
    <row r="1471" spans="1:23" ht="34.5" customHeight="1" x14ac:dyDescent="0.25">
      <c r="A1471" s="1">
        <f t="shared" si="79"/>
        <v>1470</v>
      </c>
      <c r="B1471" s="1"/>
      <c r="C1471" s="2"/>
      <c r="H1471" s="1" t="str">
        <f t="shared" si="80"/>
        <v>0 г. 0 мес. 0 дн.</v>
      </c>
      <c r="I1471" s="1" t="s">
        <v>39</v>
      </c>
      <c r="V1471" s="1" t="str">
        <f t="shared" si="81"/>
        <v>0 г. 0 мес. 0 дн.</v>
      </c>
      <c r="W1471" s="5"/>
    </row>
    <row r="1472" spans="1:23" ht="34.5" customHeight="1" x14ac:dyDescent="0.25">
      <c r="A1472" s="1">
        <f t="shared" ref="A1472:A1535" si="82">ROW(A1471)</f>
        <v>1471</v>
      </c>
      <c r="B1472" s="1"/>
      <c r="C1472" s="2"/>
      <c r="H1472" s="1" t="str">
        <f t="shared" si="80"/>
        <v>0 г. 0 мес. 0 дн.</v>
      </c>
      <c r="I1472" s="1" t="s">
        <v>39</v>
      </c>
      <c r="V1472" s="1" t="str">
        <f t="shared" si="81"/>
        <v>0 г. 0 мес. 0 дн.</v>
      </c>
      <c r="W1472" s="5"/>
    </row>
    <row r="1473" spans="1:23" ht="34.5" customHeight="1" x14ac:dyDescent="0.25">
      <c r="A1473" s="1">
        <f t="shared" si="82"/>
        <v>1472</v>
      </c>
      <c r="B1473" s="1"/>
      <c r="C1473" s="2"/>
      <c r="H1473" s="1" t="str">
        <f t="shared" si="80"/>
        <v>0 г. 0 мес. 0 дн.</v>
      </c>
      <c r="I1473" s="1" t="s">
        <v>39</v>
      </c>
      <c r="V1473" s="1" t="str">
        <f t="shared" si="81"/>
        <v>0 г. 0 мес. 0 дн.</v>
      </c>
      <c r="W1473" s="5"/>
    </row>
    <row r="1474" spans="1:23" ht="34.5" customHeight="1" x14ac:dyDescent="0.25">
      <c r="A1474" s="1">
        <f t="shared" si="82"/>
        <v>1473</v>
      </c>
      <c r="B1474" s="1"/>
      <c r="C1474" s="2"/>
      <c r="H1474" s="1" t="str">
        <f t="shared" ref="H1474:H1537" si="83">DATEDIF(G1474,D1474,"y") &amp; " г. " &amp; DATEDIF(G1474,D1474,"ym") &amp; " мес. " &amp; DATEDIF(G1474,D1474,"md") &amp; " дн."</f>
        <v>0 г. 0 мес. 0 дн.</v>
      </c>
      <c r="I1474" s="1" t="s">
        <v>39</v>
      </c>
      <c r="V1474" s="1" t="str">
        <f t="shared" si="81"/>
        <v>0 г. 0 мес. 0 дн.</v>
      </c>
      <c r="W1474" s="5"/>
    </row>
    <row r="1475" spans="1:23" ht="34.5" customHeight="1" x14ac:dyDescent="0.25">
      <c r="A1475" s="1">
        <f t="shared" si="82"/>
        <v>1474</v>
      </c>
      <c r="B1475" s="1"/>
      <c r="C1475" s="2"/>
      <c r="H1475" s="1" t="str">
        <f t="shared" si="83"/>
        <v>0 г. 0 мес. 0 дн.</v>
      </c>
      <c r="I1475" s="1" t="s">
        <v>39</v>
      </c>
      <c r="V1475" s="1" t="str">
        <f t="shared" si="81"/>
        <v>0 г. 0 мес. 0 дн.</v>
      </c>
      <c r="W1475" s="5"/>
    </row>
    <row r="1476" spans="1:23" ht="34.5" customHeight="1" x14ac:dyDescent="0.25">
      <c r="A1476" s="1">
        <f t="shared" si="82"/>
        <v>1475</v>
      </c>
      <c r="B1476" s="1"/>
      <c r="C1476" s="2"/>
      <c r="H1476" s="1" t="str">
        <f t="shared" si="83"/>
        <v>0 г. 0 мес. 0 дн.</v>
      </c>
      <c r="I1476" s="1" t="s">
        <v>39</v>
      </c>
      <c r="V1476" s="1" t="str">
        <f t="shared" si="81"/>
        <v>0 г. 0 мес. 0 дн.</v>
      </c>
      <c r="W1476" s="5"/>
    </row>
    <row r="1477" spans="1:23" ht="34.5" customHeight="1" x14ac:dyDescent="0.25">
      <c r="A1477" s="1">
        <f t="shared" si="82"/>
        <v>1476</v>
      </c>
      <c r="B1477" s="1"/>
      <c r="C1477" s="2"/>
      <c r="H1477" s="1" t="str">
        <f t="shared" si="83"/>
        <v>0 г. 0 мес. 0 дн.</v>
      </c>
      <c r="I1477" s="1" t="s">
        <v>39</v>
      </c>
      <c r="V1477" s="1" t="str">
        <f t="shared" si="81"/>
        <v>0 г. 0 мес. 0 дн.</v>
      </c>
      <c r="W1477" s="5"/>
    </row>
    <row r="1478" spans="1:23" ht="34.5" customHeight="1" x14ac:dyDescent="0.25">
      <c r="A1478" s="1">
        <f t="shared" si="82"/>
        <v>1477</v>
      </c>
      <c r="B1478" s="1"/>
      <c r="C1478" s="2"/>
      <c r="H1478" s="1" t="str">
        <f t="shared" si="83"/>
        <v>0 г. 0 мес. 0 дн.</v>
      </c>
      <c r="I1478" s="1" t="s">
        <v>39</v>
      </c>
      <c r="V1478" s="1" t="str">
        <f t="shared" si="81"/>
        <v>0 г. 0 мес. 0 дн.</v>
      </c>
      <c r="W1478" s="5"/>
    </row>
    <row r="1479" spans="1:23" ht="34.5" customHeight="1" x14ac:dyDescent="0.25">
      <c r="A1479" s="1">
        <f t="shared" si="82"/>
        <v>1478</v>
      </c>
      <c r="B1479" s="1"/>
      <c r="C1479" s="2"/>
      <c r="H1479" s="1" t="str">
        <f t="shared" si="83"/>
        <v>0 г. 0 мес. 0 дн.</v>
      </c>
      <c r="I1479" s="1" t="s">
        <v>39</v>
      </c>
      <c r="V1479" s="1" t="str">
        <f t="shared" si="81"/>
        <v>0 г. 0 мес. 0 дн.</v>
      </c>
      <c r="W1479" s="5"/>
    </row>
    <row r="1480" spans="1:23" ht="34.5" customHeight="1" x14ac:dyDescent="0.25">
      <c r="A1480" s="1">
        <f t="shared" si="82"/>
        <v>1479</v>
      </c>
      <c r="B1480" s="1"/>
      <c r="C1480" s="2"/>
      <c r="H1480" s="1" t="str">
        <f t="shared" si="83"/>
        <v>0 г. 0 мес. 0 дн.</v>
      </c>
      <c r="I1480" s="1" t="s">
        <v>39</v>
      </c>
      <c r="V1480" s="1" t="str">
        <f t="shared" si="81"/>
        <v>0 г. 0 мес. 0 дн.</v>
      </c>
      <c r="W1480" s="5"/>
    </row>
    <row r="1481" spans="1:23" ht="34.5" customHeight="1" x14ac:dyDescent="0.25">
      <c r="A1481" s="1">
        <f t="shared" si="82"/>
        <v>1480</v>
      </c>
      <c r="B1481" s="1"/>
      <c r="C1481" s="2"/>
      <c r="H1481" s="1" t="str">
        <f t="shared" si="83"/>
        <v>0 г. 0 мес. 0 дн.</v>
      </c>
      <c r="I1481" s="1" t="s">
        <v>39</v>
      </c>
      <c r="V1481" s="1" t="str">
        <f t="shared" si="81"/>
        <v>0 г. 0 мес. 0 дн.</v>
      </c>
      <c r="W1481" s="5"/>
    </row>
    <row r="1482" spans="1:23" ht="34.5" customHeight="1" x14ac:dyDescent="0.25">
      <c r="A1482" s="1">
        <f t="shared" si="82"/>
        <v>1481</v>
      </c>
      <c r="B1482" s="1"/>
      <c r="C1482" s="2"/>
      <c r="H1482" s="1" t="str">
        <f t="shared" si="83"/>
        <v>0 г. 0 мес. 0 дн.</v>
      </c>
      <c r="I1482" s="1" t="s">
        <v>39</v>
      </c>
      <c r="V1482" s="1" t="str">
        <f t="shared" si="81"/>
        <v>0 г. 0 мес. 0 дн.</v>
      </c>
      <c r="W1482" s="5"/>
    </row>
    <row r="1483" spans="1:23" ht="34.5" customHeight="1" x14ac:dyDescent="0.25">
      <c r="A1483" s="1">
        <f t="shared" si="82"/>
        <v>1482</v>
      </c>
      <c r="B1483" s="1"/>
      <c r="C1483" s="2"/>
      <c r="H1483" s="1" t="str">
        <f t="shared" si="83"/>
        <v>0 г. 0 мес. 0 дн.</v>
      </c>
      <c r="I1483" s="1" t="s">
        <v>39</v>
      </c>
      <c r="V1483" s="1" t="str">
        <f t="shared" si="81"/>
        <v>0 г. 0 мес. 0 дн.</v>
      </c>
      <c r="W1483" s="5"/>
    </row>
    <row r="1484" spans="1:23" ht="34.5" customHeight="1" x14ac:dyDescent="0.25">
      <c r="A1484" s="1">
        <f t="shared" si="82"/>
        <v>1483</v>
      </c>
      <c r="B1484" s="1"/>
      <c r="C1484" s="2"/>
      <c r="H1484" s="1" t="str">
        <f t="shared" si="83"/>
        <v>0 г. 0 мес. 0 дн.</v>
      </c>
      <c r="I1484" s="1" t="s">
        <v>39</v>
      </c>
      <c r="V1484" s="1" t="str">
        <f t="shared" si="81"/>
        <v>0 г. 0 мес. 0 дн.</v>
      </c>
      <c r="W1484" s="5"/>
    </row>
    <row r="1485" spans="1:23" ht="34.5" customHeight="1" x14ac:dyDescent="0.25">
      <c r="A1485" s="1">
        <f t="shared" si="82"/>
        <v>1484</v>
      </c>
      <c r="B1485" s="1"/>
      <c r="C1485" s="2"/>
      <c r="H1485" s="1" t="str">
        <f t="shared" si="83"/>
        <v>0 г. 0 мес. 0 дн.</v>
      </c>
      <c r="I1485" s="1" t="s">
        <v>39</v>
      </c>
      <c r="V1485" s="1" t="str">
        <f t="shared" si="81"/>
        <v>0 г. 0 мес. 0 дн.</v>
      </c>
      <c r="W1485" s="5"/>
    </row>
    <row r="1486" spans="1:23" ht="34.5" customHeight="1" x14ac:dyDescent="0.25">
      <c r="A1486" s="1">
        <f t="shared" si="82"/>
        <v>1485</v>
      </c>
      <c r="B1486" s="1"/>
      <c r="C1486" s="2"/>
      <c r="H1486" s="1" t="str">
        <f t="shared" si="83"/>
        <v>0 г. 0 мес. 0 дн.</v>
      </c>
      <c r="I1486" s="1" t="s">
        <v>39</v>
      </c>
      <c r="V1486" s="1" t="str">
        <f t="shared" si="81"/>
        <v>0 г. 0 мес. 0 дн.</v>
      </c>
      <c r="W1486" s="5"/>
    </row>
    <row r="1487" spans="1:23" ht="34.5" customHeight="1" x14ac:dyDescent="0.25">
      <c r="A1487" s="1">
        <f t="shared" si="82"/>
        <v>1486</v>
      </c>
      <c r="B1487" s="1"/>
      <c r="C1487" s="2"/>
      <c r="H1487" s="1" t="str">
        <f t="shared" si="83"/>
        <v>0 г. 0 мес. 0 дн.</v>
      </c>
      <c r="I1487" s="1" t="s">
        <v>39</v>
      </c>
      <c r="V1487" s="1" t="str">
        <f t="shared" si="81"/>
        <v>0 г. 0 мес. 0 дн.</v>
      </c>
      <c r="W1487" s="5"/>
    </row>
    <row r="1488" spans="1:23" ht="34.5" customHeight="1" x14ac:dyDescent="0.25">
      <c r="A1488" s="1">
        <f t="shared" si="82"/>
        <v>1487</v>
      </c>
      <c r="B1488" s="1"/>
      <c r="C1488" s="2"/>
      <c r="H1488" s="1" t="str">
        <f t="shared" si="83"/>
        <v>0 г. 0 мес. 0 дн.</v>
      </c>
      <c r="I1488" s="1" t="s">
        <v>39</v>
      </c>
      <c r="V1488" s="1" t="str">
        <f t="shared" si="81"/>
        <v>0 г. 0 мес. 0 дн.</v>
      </c>
      <c r="W1488" s="5"/>
    </row>
    <row r="1489" spans="1:23" ht="34.5" customHeight="1" x14ac:dyDescent="0.25">
      <c r="A1489" s="1">
        <f t="shared" si="82"/>
        <v>1488</v>
      </c>
      <c r="B1489" s="1"/>
      <c r="C1489" s="2"/>
      <c r="H1489" s="1" t="str">
        <f t="shared" si="83"/>
        <v>0 г. 0 мес. 0 дн.</v>
      </c>
      <c r="I1489" s="1" t="s">
        <v>39</v>
      </c>
      <c r="V1489" s="1" t="str">
        <f t="shared" si="81"/>
        <v>0 г. 0 мес. 0 дн.</v>
      </c>
      <c r="W1489" s="5"/>
    </row>
    <row r="1490" spans="1:23" ht="34.5" customHeight="1" x14ac:dyDescent="0.25">
      <c r="A1490" s="1">
        <f t="shared" si="82"/>
        <v>1489</v>
      </c>
      <c r="B1490" s="1"/>
      <c r="C1490" s="2"/>
      <c r="H1490" s="1" t="str">
        <f t="shared" si="83"/>
        <v>0 г. 0 мес. 0 дн.</v>
      </c>
      <c r="I1490" s="1" t="s">
        <v>39</v>
      </c>
      <c r="V1490" s="1" t="str">
        <f t="shared" si="81"/>
        <v>0 г. 0 мес. 0 дн.</v>
      </c>
      <c r="W1490" s="5"/>
    </row>
    <row r="1491" spans="1:23" ht="34.5" customHeight="1" x14ac:dyDescent="0.25">
      <c r="A1491" s="1">
        <f t="shared" si="82"/>
        <v>1490</v>
      </c>
      <c r="B1491" s="1"/>
      <c r="C1491" s="2"/>
      <c r="H1491" s="1" t="str">
        <f t="shared" si="83"/>
        <v>0 г. 0 мес. 0 дн.</v>
      </c>
      <c r="I1491" s="1" t="s">
        <v>39</v>
      </c>
      <c r="V1491" s="1" t="str">
        <f t="shared" si="81"/>
        <v>0 г. 0 мес. 0 дн.</v>
      </c>
      <c r="W1491" s="5"/>
    </row>
    <row r="1492" spans="1:23" ht="34.5" customHeight="1" x14ac:dyDescent="0.25">
      <c r="A1492" s="1">
        <f t="shared" si="82"/>
        <v>1491</v>
      </c>
      <c r="B1492" s="1"/>
      <c r="C1492" s="2"/>
      <c r="H1492" s="1" t="str">
        <f t="shared" si="83"/>
        <v>0 г. 0 мес. 0 дн.</v>
      </c>
      <c r="I1492" s="1" t="s">
        <v>39</v>
      </c>
      <c r="V1492" s="1" t="str">
        <f t="shared" si="81"/>
        <v>0 г. 0 мес. 0 дн.</v>
      </c>
      <c r="W1492" s="5"/>
    </row>
    <row r="1493" spans="1:23" ht="34.5" customHeight="1" x14ac:dyDescent="0.25">
      <c r="A1493" s="1">
        <f t="shared" si="82"/>
        <v>1492</v>
      </c>
      <c r="B1493" s="1"/>
      <c r="C1493" s="2"/>
      <c r="H1493" s="1" t="str">
        <f t="shared" si="83"/>
        <v>0 г. 0 мес. 0 дн.</v>
      </c>
      <c r="I1493" s="1" t="s">
        <v>39</v>
      </c>
      <c r="V1493" s="1" t="str">
        <f t="shared" si="81"/>
        <v>0 г. 0 мес. 0 дн.</v>
      </c>
      <c r="W1493" s="5"/>
    </row>
    <row r="1494" spans="1:23" ht="34.5" customHeight="1" x14ac:dyDescent="0.25">
      <c r="A1494" s="1">
        <f t="shared" si="82"/>
        <v>1493</v>
      </c>
      <c r="B1494" s="1"/>
      <c r="C1494" s="2"/>
      <c r="H1494" s="1" t="str">
        <f t="shared" si="83"/>
        <v>0 г. 0 мес. 0 дн.</v>
      </c>
      <c r="I1494" s="1" t="s">
        <v>39</v>
      </c>
      <c r="V1494" s="1" t="str">
        <f t="shared" si="81"/>
        <v>0 г. 0 мес. 0 дн.</v>
      </c>
      <c r="W1494" s="5"/>
    </row>
    <row r="1495" spans="1:23" ht="34.5" customHeight="1" x14ac:dyDescent="0.25">
      <c r="A1495" s="1">
        <f t="shared" si="82"/>
        <v>1494</v>
      </c>
      <c r="B1495" s="1"/>
      <c r="C1495" s="2"/>
      <c r="H1495" s="1" t="str">
        <f t="shared" si="83"/>
        <v>0 г. 0 мес. 0 дн.</v>
      </c>
      <c r="I1495" s="1" t="s">
        <v>39</v>
      </c>
      <c r="V1495" s="1" t="str">
        <f t="shared" si="81"/>
        <v>0 г. 0 мес. 0 дн.</v>
      </c>
      <c r="W1495" s="5"/>
    </row>
    <row r="1496" spans="1:23" ht="34.5" customHeight="1" x14ac:dyDescent="0.25">
      <c r="A1496" s="1">
        <f t="shared" si="82"/>
        <v>1495</v>
      </c>
      <c r="B1496" s="1"/>
      <c r="C1496" s="2"/>
      <c r="H1496" s="1" t="str">
        <f t="shared" si="83"/>
        <v>0 г. 0 мес. 0 дн.</v>
      </c>
      <c r="I1496" s="1" t="s">
        <v>39</v>
      </c>
      <c r="V1496" s="1" t="str">
        <f t="shared" si="81"/>
        <v>0 г. 0 мес. 0 дн.</v>
      </c>
      <c r="W1496" s="5"/>
    </row>
    <row r="1497" spans="1:23" ht="34.5" customHeight="1" x14ac:dyDescent="0.25">
      <c r="A1497" s="1">
        <f t="shared" si="82"/>
        <v>1496</v>
      </c>
      <c r="B1497" s="1"/>
      <c r="C1497" s="2"/>
      <c r="H1497" s="1" t="str">
        <f t="shared" si="83"/>
        <v>0 г. 0 мес. 0 дн.</v>
      </c>
      <c r="I1497" s="1" t="s">
        <v>39</v>
      </c>
      <c r="V1497" s="1" t="str">
        <f t="shared" si="81"/>
        <v>0 г. 0 мес. 0 дн.</v>
      </c>
      <c r="W1497" s="5"/>
    </row>
    <row r="1498" spans="1:23" ht="34.5" customHeight="1" x14ac:dyDescent="0.25">
      <c r="A1498" s="1">
        <f t="shared" si="82"/>
        <v>1497</v>
      </c>
      <c r="B1498" s="1"/>
      <c r="C1498" s="2"/>
      <c r="H1498" s="1" t="str">
        <f t="shared" si="83"/>
        <v>0 г. 0 мес. 0 дн.</v>
      </c>
      <c r="I1498" s="1" t="s">
        <v>39</v>
      </c>
      <c r="V1498" s="1" t="str">
        <f t="shared" si="81"/>
        <v>0 г. 0 мес. 0 дн.</v>
      </c>
      <c r="W1498" s="5"/>
    </row>
    <row r="1499" spans="1:23" ht="34.5" customHeight="1" x14ac:dyDescent="0.25">
      <c r="A1499" s="1">
        <f t="shared" si="82"/>
        <v>1498</v>
      </c>
      <c r="B1499" s="1"/>
      <c r="C1499" s="2"/>
      <c r="H1499" s="1" t="str">
        <f t="shared" si="83"/>
        <v>0 г. 0 мес. 0 дн.</v>
      </c>
      <c r="I1499" s="1" t="s">
        <v>39</v>
      </c>
      <c r="V1499" s="1" t="str">
        <f t="shared" si="81"/>
        <v>0 г. 0 мес. 0 дн.</v>
      </c>
      <c r="W1499" s="5"/>
    </row>
    <row r="1500" spans="1:23" ht="34.5" customHeight="1" x14ac:dyDescent="0.25">
      <c r="A1500" s="1">
        <f t="shared" si="82"/>
        <v>1499</v>
      </c>
      <c r="B1500" s="1"/>
      <c r="C1500" s="2"/>
      <c r="H1500" s="1" t="str">
        <f t="shared" si="83"/>
        <v>0 г. 0 мес. 0 дн.</v>
      </c>
      <c r="I1500" s="1" t="s">
        <v>39</v>
      </c>
      <c r="V1500" s="1" t="str">
        <f t="shared" si="81"/>
        <v>0 г. 0 мес. 0 дн.</v>
      </c>
      <c r="W1500" s="5"/>
    </row>
    <row r="1501" spans="1:23" ht="34.5" customHeight="1" x14ac:dyDescent="0.25">
      <c r="A1501" s="1">
        <f t="shared" si="82"/>
        <v>1500</v>
      </c>
      <c r="B1501" s="1"/>
      <c r="C1501" s="2"/>
      <c r="H1501" s="1" t="str">
        <f t="shared" si="83"/>
        <v>0 г. 0 мес. 0 дн.</v>
      </c>
      <c r="I1501" s="1" t="s">
        <v>39</v>
      </c>
      <c r="V1501" s="1" t="str">
        <f t="shared" si="81"/>
        <v>0 г. 0 мес. 0 дн.</v>
      </c>
      <c r="W1501" s="5"/>
    </row>
    <row r="1502" spans="1:23" ht="34.5" customHeight="1" x14ac:dyDescent="0.25">
      <c r="A1502" s="1">
        <f t="shared" si="82"/>
        <v>1501</v>
      </c>
      <c r="B1502" s="1"/>
      <c r="C1502" s="2"/>
      <c r="H1502" s="1" t="str">
        <f t="shared" si="83"/>
        <v>0 г. 0 мес. 0 дн.</v>
      </c>
      <c r="I1502" s="1" t="s">
        <v>39</v>
      </c>
      <c r="V1502" s="1" t="str">
        <f t="shared" si="81"/>
        <v>0 г. 0 мес. 0 дн.</v>
      </c>
      <c r="W1502" s="5"/>
    </row>
    <row r="1503" spans="1:23" ht="34.5" customHeight="1" x14ac:dyDescent="0.25">
      <c r="A1503" s="1">
        <f t="shared" si="82"/>
        <v>1502</v>
      </c>
      <c r="B1503" s="1"/>
      <c r="C1503" s="2"/>
      <c r="H1503" s="1" t="str">
        <f t="shared" si="83"/>
        <v>0 г. 0 мес. 0 дн.</v>
      </c>
      <c r="I1503" s="1" t="s">
        <v>39</v>
      </c>
      <c r="V1503" s="1" t="str">
        <f t="shared" si="81"/>
        <v>0 г. 0 мес. 0 дн.</v>
      </c>
      <c r="W1503" s="5"/>
    </row>
    <row r="1504" spans="1:23" ht="34.5" customHeight="1" x14ac:dyDescent="0.25">
      <c r="A1504" s="1">
        <f t="shared" si="82"/>
        <v>1503</v>
      </c>
      <c r="B1504" s="1"/>
      <c r="C1504" s="2"/>
      <c r="H1504" s="1" t="str">
        <f t="shared" si="83"/>
        <v>0 г. 0 мес. 0 дн.</v>
      </c>
      <c r="I1504" s="1" t="s">
        <v>39</v>
      </c>
      <c r="V1504" s="1" t="str">
        <f t="shared" si="81"/>
        <v>0 г. 0 мес. 0 дн.</v>
      </c>
      <c r="W1504" s="5"/>
    </row>
    <row r="1505" spans="1:23" ht="34.5" customHeight="1" x14ac:dyDescent="0.25">
      <c r="A1505" s="1">
        <f t="shared" si="82"/>
        <v>1504</v>
      </c>
      <c r="B1505" s="1"/>
      <c r="C1505" s="2"/>
      <c r="H1505" s="1" t="str">
        <f t="shared" si="83"/>
        <v>0 г. 0 мес. 0 дн.</v>
      </c>
      <c r="I1505" s="1" t="s">
        <v>39</v>
      </c>
      <c r="V1505" s="1" t="str">
        <f t="shared" si="81"/>
        <v>0 г. 0 мес. 0 дн.</v>
      </c>
      <c r="W1505" s="5"/>
    </row>
    <row r="1506" spans="1:23" ht="34.5" customHeight="1" x14ac:dyDescent="0.25">
      <c r="A1506" s="1">
        <f t="shared" si="82"/>
        <v>1505</v>
      </c>
      <c r="B1506" s="1"/>
      <c r="C1506" s="2"/>
      <c r="H1506" s="1" t="str">
        <f t="shared" si="83"/>
        <v>0 г. 0 мес. 0 дн.</v>
      </c>
      <c r="I1506" s="1" t="s">
        <v>39</v>
      </c>
      <c r="V1506" s="1" t="str">
        <f t="shared" si="81"/>
        <v>0 г. 0 мес. 0 дн.</v>
      </c>
      <c r="W1506" s="5"/>
    </row>
    <row r="1507" spans="1:23" ht="34.5" customHeight="1" x14ac:dyDescent="0.25">
      <c r="A1507" s="1">
        <f t="shared" si="82"/>
        <v>1506</v>
      </c>
      <c r="B1507" s="1"/>
      <c r="C1507" s="2"/>
      <c r="H1507" s="1" t="str">
        <f t="shared" si="83"/>
        <v>0 г. 0 мес. 0 дн.</v>
      </c>
      <c r="I1507" s="1" t="s">
        <v>39</v>
      </c>
      <c r="V1507" s="1" t="str">
        <f t="shared" si="81"/>
        <v>0 г. 0 мес. 0 дн.</v>
      </c>
      <c r="W1507" s="5"/>
    </row>
    <row r="1508" spans="1:23" ht="34.5" customHeight="1" x14ac:dyDescent="0.25">
      <c r="A1508" s="1">
        <f t="shared" si="82"/>
        <v>1507</v>
      </c>
      <c r="B1508" s="1"/>
      <c r="C1508" s="2"/>
      <c r="H1508" s="1" t="str">
        <f t="shared" si="83"/>
        <v>0 г. 0 мес. 0 дн.</v>
      </c>
      <c r="I1508" s="1" t="s">
        <v>39</v>
      </c>
      <c r="V1508" s="1" t="str">
        <f t="shared" si="81"/>
        <v>0 г. 0 мес. 0 дн.</v>
      </c>
      <c r="W1508" s="5"/>
    </row>
    <row r="1509" spans="1:23" ht="34.5" customHeight="1" x14ac:dyDescent="0.25">
      <c r="A1509" s="1">
        <f t="shared" si="82"/>
        <v>1508</v>
      </c>
      <c r="B1509" s="1"/>
      <c r="C1509" s="2"/>
      <c r="H1509" s="1" t="str">
        <f t="shared" si="83"/>
        <v>0 г. 0 мес. 0 дн.</v>
      </c>
      <c r="I1509" s="1" t="s">
        <v>39</v>
      </c>
      <c r="V1509" s="1" t="str">
        <f t="shared" si="81"/>
        <v>0 г. 0 мес. 0 дн.</v>
      </c>
      <c r="W1509" s="5"/>
    </row>
    <row r="1510" spans="1:23" ht="34.5" customHeight="1" x14ac:dyDescent="0.25">
      <c r="A1510" s="1">
        <f t="shared" si="82"/>
        <v>1509</v>
      </c>
      <c r="B1510" s="1"/>
      <c r="C1510" s="2"/>
      <c r="H1510" s="1" t="str">
        <f t="shared" si="83"/>
        <v>0 г. 0 мес. 0 дн.</v>
      </c>
      <c r="I1510" s="1" t="s">
        <v>39</v>
      </c>
      <c r="V1510" s="1" t="str">
        <f t="shared" si="81"/>
        <v>0 г. 0 мес. 0 дн.</v>
      </c>
      <c r="W1510" s="5"/>
    </row>
    <row r="1511" spans="1:23" ht="34.5" customHeight="1" x14ac:dyDescent="0.25">
      <c r="A1511" s="1">
        <f t="shared" si="82"/>
        <v>1510</v>
      </c>
      <c r="B1511" s="1"/>
      <c r="C1511" s="2"/>
      <c r="H1511" s="1" t="str">
        <f t="shared" si="83"/>
        <v>0 г. 0 мес. 0 дн.</v>
      </c>
      <c r="I1511" s="1" t="s">
        <v>39</v>
      </c>
      <c r="V1511" s="1" t="str">
        <f t="shared" si="81"/>
        <v>0 г. 0 мес. 0 дн.</v>
      </c>
      <c r="W1511" s="5"/>
    </row>
    <row r="1512" spans="1:23" ht="34.5" customHeight="1" x14ac:dyDescent="0.25">
      <c r="A1512" s="1">
        <f t="shared" si="82"/>
        <v>1511</v>
      </c>
      <c r="B1512" s="1"/>
      <c r="C1512" s="2"/>
      <c r="H1512" s="1" t="str">
        <f t="shared" si="83"/>
        <v>0 г. 0 мес. 0 дн.</v>
      </c>
      <c r="I1512" s="1" t="s">
        <v>39</v>
      </c>
      <c r="V1512" s="1" t="str">
        <f t="shared" si="81"/>
        <v>0 г. 0 мес. 0 дн.</v>
      </c>
      <c r="W1512" s="5"/>
    </row>
    <row r="1513" spans="1:23" ht="34.5" customHeight="1" x14ac:dyDescent="0.25">
      <c r="A1513" s="1">
        <f t="shared" si="82"/>
        <v>1512</v>
      </c>
      <c r="B1513" s="1"/>
      <c r="C1513" s="2"/>
      <c r="H1513" s="1" t="str">
        <f t="shared" si="83"/>
        <v>0 г. 0 мес. 0 дн.</v>
      </c>
      <c r="I1513" s="1" t="s">
        <v>39</v>
      </c>
      <c r="V1513" s="1" t="str">
        <f t="shared" si="81"/>
        <v>0 г. 0 мес. 0 дн.</v>
      </c>
      <c r="W1513" s="5"/>
    </row>
    <row r="1514" spans="1:23" ht="34.5" customHeight="1" x14ac:dyDescent="0.25">
      <c r="A1514" s="1">
        <f t="shared" si="82"/>
        <v>1513</v>
      </c>
      <c r="B1514" s="1"/>
      <c r="C1514" s="2"/>
      <c r="H1514" s="1" t="str">
        <f t="shared" si="83"/>
        <v>0 г. 0 мес. 0 дн.</v>
      </c>
      <c r="I1514" s="1" t="s">
        <v>39</v>
      </c>
      <c r="V1514" s="1" t="str">
        <f t="shared" si="81"/>
        <v>0 г. 0 мес. 0 дн.</v>
      </c>
      <c r="W1514" s="5"/>
    </row>
    <row r="1515" spans="1:23" ht="34.5" customHeight="1" x14ac:dyDescent="0.25">
      <c r="A1515" s="1">
        <f t="shared" si="82"/>
        <v>1514</v>
      </c>
      <c r="B1515" s="1"/>
      <c r="C1515" s="2"/>
      <c r="H1515" s="1" t="str">
        <f t="shared" si="83"/>
        <v>0 г. 0 мес. 0 дн.</v>
      </c>
      <c r="I1515" s="1" t="s">
        <v>39</v>
      </c>
      <c r="V1515" s="1" t="str">
        <f t="shared" si="81"/>
        <v>0 г. 0 мес. 0 дн.</v>
      </c>
      <c r="W1515" s="5"/>
    </row>
    <row r="1516" spans="1:23" ht="34.5" customHeight="1" x14ac:dyDescent="0.25">
      <c r="A1516" s="1">
        <f t="shared" si="82"/>
        <v>1515</v>
      </c>
      <c r="B1516" s="1"/>
      <c r="C1516" s="2"/>
      <c r="H1516" s="1" t="str">
        <f t="shared" si="83"/>
        <v>0 г. 0 мес. 0 дн.</v>
      </c>
      <c r="I1516" s="1" t="s">
        <v>39</v>
      </c>
      <c r="V1516" s="1" t="str">
        <f t="shared" si="81"/>
        <v>0 г. 0 мес. 0 дн.</v>
      </c>
      <c r="W1516" s="5"/>
    </row>
    <row r="1517" spans="1:23" ht="34.5" customHeight="1" x14ac:dyDescent="0.25">
      <c r="A1517" s="1">
        <f t="shared" si="82"/>
        <v>1516</v>
      </c>
      <c r="B1517" s="1"/>
      <c r="C1517" s="2"/>
      <c r="H1517" s="1" t="str">
        <f t="shared" si="83"/>
        <v>0 г. 0 мес. 0 дн.</v>
      </c>
      <c r="I1517" s="1" t="s">
        <v>39</v>
      </c>
      <c r="V1517" s="1" t="str">
        <f t="shared" si="81"/>
        <v>0 г. 0 мес. 0 дн.</v>
      </c>
      <c r="W1517" s="5"/>
    </row>
    <row r="1518" spans="1:23" ht="34.5" customHeight="1" x14ac:dyDescent="0.25">
      <c r="A1518" s="1">
        <f t="shared" si="82"/>
        <v>1517</v>
      </c>
      <c r="B1518" s="1"/>
      <c r="C1518" s="2"/>
      <c r="H1518" s="1" t="str">
        <f t="shared" si="83"/>
        <v>0 г. 0 мес. 0 дн.</v>
      </c>
      <c r="I1518" s="1" t="s">
        <v>39</v>
      </c>
      <c r="V1518" s="1" t="str">
        <f t="shared" si="81"/>
        <v>0 г. 0 мес. 0 дн.</v>
      </c>
      <c r="W1518" s="5"/>
    </row>
    <row r="1519" spans="1:23" ht="34.5" customHeight="1" x14ac:dyDescent="0.25">
      <c r="A1519" s="1">
        <f t="shared" si="82"/>
        <v>1518</v>
      </c>
      <c r="B1519" s="1"/>
      <c r="C1519" s="2"/>
      <c r="H1519" s="1" t="str">
        <f t="shared" si="83"/>
        <v>0 г. 0 мес. 0 дн.</v>
      </c>
      <c r="I1519" s="1" t="s">
        <v>39</v>
      </c>
      <c r="V1519" s="1" t="str">
        <f t="shared" si="81"/>
        <v>0 г. 0 мес. 0 дн.</v>
      </c>
      <c r="W1519" s="5"/>
    </row>
    <row r="1520" spans="1:23" ht="34.5" customHeight="1" x14ac:dyDescent="0.25">
      <c r="A1520" s="1">
        <f t="shared" si="82"/>
        <v>1519</v>
      </c>
      <c r="B1520" s="1"/>
      <c r="C1520" s="2"/>
      <c r="H1520" s="1" t="str">
        <f t="shared" si="83"/>
        <v>0 г. 0 мес. 0 дн.</v>
      </c>
      <c r="I1520" s="1" t="s">
        <v>39</v>
      </c>
      <c r="V1520" s="1" t="str">
        <f t="shared" si="81"/>
        <v>0 г. 0 мес. 0 дн.</v>
      </c>
      <c r="W1520" s="5"/>
    </row>
    <row r="1521" spans="1:23" ht="34.5" customHeight="1" x14ac:dyDescent="0.25">
      <c r="A1521" s="1">
        <f t="shared" si="82"/>
        <v>1520</v>
      </c>
      <c r="B1521" s="1"/>
      <c r="C1521" s="2"/>
      <c r="H1521" s="1" t="str">
        <f t="shared" si="83"/>
        <v>0 г. 0 мес. 0 дн.</v>
      </c>
      <c r="I1521" s="1" t="s">
        <v>39</v>
      </c>
      <c r="V1521" s="1" t="str">
        <f t="shared" ref="V1521:V1584" si="84">DATEDIF(D1521,T1521,"y") &amp; " г. " &amp; DATEDIF(D1521,T1521,"ym") &amp; " мес. " &amp; DATEDIF(D1521,T1521,"md") &amp; " дн."</f>
        <v>0 г. 0 мес. 0 дн.</v>
      </c>
      <c r="W1521" s="5"/>
    </row>
    <row r="1522" spans="1:23" ht="34.5" customHeight="1" x14ac:dyDescent="0.25">
      <c r="A1522" s="1">
        <f t="shared" si="82"/>
        <v>1521</v>
      </c>
      <c r="B1522" s="1"/>
      <c r="C1522" s="2"/>
      <c r="H1522" s="1" t="str">
        <f t="shared" si="83"/>
        <v>0 г. 0 мес. 0 дн.</v>
      </c>
      <c r="I1522" s="1" t="s">
        <v>39</v>
      </c>
      <c r="V1522" s="1" t="str">
        <f t="shared" si="84"/>
        <v>0 г. 0 мес. 0 дн.</v>
      </c>
      <c r="W1522" s="5"/>
    </row>
    <row r="1523" spans="1:23" ht="34.5" customHeight="1" x14ac:dyDescent="0.25">
      <c r="A1523" s="1">
        <f t="shared" si="82"/>
        <v>1522</v>
      </c>
      <c r="B1523" s="1"/>
      <c r="C1523" s="2"/>
      <c r="H1523" s="1" t="str">
        <f t="shared" si="83"/>
        <v>0 г. 0 мес. 0 дн.</v>
      </c>
      <c r="I1523" s="1" t="s">
        <v>39</v>
      </c>
      <c r="V1523" s="1" t="str">
        <f t="shared" si="84"/>
        <v>0 г. 0 мес. 0 дн.</v>
      </c>
      <c r="W1523" s="5"/>
    </row>
    <row r="1524" spans="1:23" ht="34.5" customHeight="1" x14ac:dyDescent="0.25">
      <c r="A1524" s="1">
        <f t="shared" si="82"/>
        <v>1523</v>
      </c>
      <c r="B1524" s="1"/>
      <c r="C1524" s="2"/>
      <c r="H1524" s="1" t="str">
        <f t="shared" si="83"/>
        <v>0 г. 0 мес. 0 дн.</v>
      </c>
      <c r="I1524" s="1" t="s">
        <v>39</v>
      </c>
      <c r="V1524" s="1" t="str">
        <f t="shared" si="84"/>
        <v>0 г. 0 мес. 0 дн.</v>
      </c>
      <c r="W1524" s="5"/>
    </row>
    <row r="1525" spans="1:23" ht="34.5" customHeight="1" x14ac:dyDescent="0.25">
      <c r="A1525" s="1">
        <f t="shared" si="82"/>
        <v>1524</v>
      </c>
      <c r="B1525" s="1"/>
      <c r="C1525" s="2"/>
      <c r="H1525" s="1" t="str">
        <f t="shared" si="83"/>
        <v>0 г. 0 мес. 0 дн.</v>
      </c>
      <c r="I1525" s="1" t="s">
        <v>39</v>
      </c>
      <c r="V1525" s="1" t="str">
        <f t="shared" si="84"/>
        <v>0 г. 0 мес. 0 дн.</v>
      </c>
      <c r="W1525" s="5"/>
    </row>
    <row r="1526" spans="1:23" ht="34.5" customHeight="1" x14ac:dyDescent="0.25">
      <c r="A1526" s="1">
        <f t="shared" si="82"/>
        <v>1525</v>
      </c>
      <c r="B1526" s="1"/>
      <c r="C1526" s="2"/>
      <c r="H1526" s="1" t="str">
        <f t="shared" si="83"/>
        <v>0 г. 0 мес. 0 дн.</v>
      </c>
      <c r="I1526" s="1" t="s">
        <v>39</v>
      </c>
      <c r="V1526" s="1" t="str">
        <f t="shared" si="84"/>
        <v>0 г. 0 мес. 0 дн.</v>
      </c>
      <c r="W1526" s="5"/>
    </row>
    <row r="1527" spans="1:23" ht="34.5" customHeight="1" x14ac:dyDescent="0.25">
      <c r="A1527" s="1">
        <f t="shared" si="82"/>
        <v>1526</v>
      </c>
      <c r="B1527" s="1"/>
      <c r="C1527" s="2"/>
      <c r="H1527" s="1" t="str">
        <f t="shared" si="83"/>
        <v>0 г. 0 мес. 0 дн.</v>
      </c>
      <c r="I1527" s="1" t="s">
        <v>39</v>
      </c>
      <c r="V1527" s="1" t="str">
        <f t="shared" si="84"/>
        <v>0 г. 0 мес. 0 дн.</v>
      </c>
      <c r="W1527" s="5"/>
    </row>
    <row r="1528" spans="1:23" ht="34.5" customHeight="1" x14ac:dyDescent="0.25">
      <c r="A1528" s="1">
        <f t="shared" si="82"/>
        <v>1527</v>
      </c>
      <c r="B1528" s="1"/>
      <c r="C1528" s="2"/>
      <c r="H1528" s="1" t="str">
        <f t="shared" si="83"/>
        <v>0 г. 0 мес. 0 дн.</v>
      </c>
      <c r="I1528" s="1" t="s">
        <v>39</v>
      </c>
      <c r="V1528" s="1" t="str">
        <f t="shared" si="84"/>
        <v>0 г. 0 мес. 0 дн.</v>
      </c>
      <c r="W1528" s="5"/>
    </row>
    <row r="1529" spans="1:23" ht="34.5" customHeight="1" x14ac:dyDescent="0.25">
      <c r="A1529" s="1">
        <f t="shared" si="82"/>
        <v>1528</v>
      </c>
      <c r="B1529" s="1"/>
      <c r="C1529" s="2"/>
      <c r="H1529" s="1" t="str">
        <f t="shared" si="83"/>
        <v>0 г. 0 мес. 0 дн.</v>
      </c>
      <c r="I1529" s="1" t="s">
        <v>39</v>
      </c>
      <c r="V1529" s="1" t="str">
        <f t="shared" si="84"/>
        <v>0 г. 0 мес. 0 дн.</v>
      </c>
      <c r="W1529" s="5"/>
    </row>
    <row r="1530" spans="1:23" ht="34.5" customHeight="1" x14ac:dyDescent="0.25">
      <c r="A1530" s="1">
        <f t="shared" si="82"/>
        <v>1529</v>
      </c>
      <c r="B1530" s="1"/>
      <c r="C1530" s="2"/>
      <c r="H1530" s="1" t="str">
        <f t="shared" si="83"/>
        <v>0 г. 0 мес. 0 дн.</v>
      </c>
      <c r="I1530" s="1" t="s">
        <v>39</v>
      </c>
      <c r="V1530" s="1" t="str">
        <f t="shared" si="84"/>
        <v>0 г. 0 мес. 0 дн.</v>
      </c>
      <c r="W1530" s="5"/>
    </row>
    <row r="1531" spans="1:23" ht="34.5" customHeight="1" x14ac:dyDescent="0.25">
      <c r="A1531" s="1">
        <f t="shared" si="82"/>
        <v>1530</v>
      </c>
      <c r="B1531" s="1"/>
      <c r="C1531" s="2"/>
      <c r="H1531" s="1" t="str">
        <f t="shared" si="83"/>
        <v>0 г. 0 мес. 0 дн.</v>
      </c>
      <c r="I1531" s="1" t="s">
        <v>39</v>
      </c>
      <c r="V1531" s="1" t="str">
        <f t="shared" si="84"/>
        <v>0 г. 0 мес. 0 дн.</v>
      </c>
      <c r="W1531" s="5"/>
    </row>
    <row r="1532" spans="1:23" ht="34.5" customHeight="1" x14ac:dyDescent="0.25">
      <c r="A1532" s="1">
        <f t="shared" si="82"/>
        <v>1531</v>
      </c>
      <c r="B1532" s="1"/>
      <c r="C1532" s="2"/>
      <c r="H1532" s="1" t="str">
        <f t="shared" si="83"/>
        <v>0 г. 0 мес. 0 дн.</v>
      </c>
      <c r="I1532" s="1" t="s">
        <v>39</v>
      </c>
      <c r="V1532" s="1" t="str">
        <f t="shared" si="84"/>
        <v>0 г. 0 мес. 0 дн.</v>
      </c>
      <c r="W1532" s="5"/>
    </row>
    <row r="1533" spans="1:23" ht="34.5" customHeight="1" x14ac:dyDescent="0.25">
      <c r="A1533" s="1">
        <f t="shared" si="82"/>
        <v>1532</v>
      </c>
      <c r="B1533" s="1"/>
      <c r="C1533" s="2"/>
      <c r="H1533" s="1" t="str">
        <f t="shared" si="83"/>
        <v>0 г. 0 мес. 0 дн.</v>
      </c>
      <c r="I1533" s="1" t="s">
        <v>39</v>
      </c>
      <c r="V1533" s="1" t="str">
        <f t="shared" si="84"/>
        <v>0 г. 0 мес. 0 дн.</v>
      </c>
      <c r="W1533" s="5"/>
    </row>
    <row r="1534" spans="1:23" ht="34.5" customHeight="1" x14ac:dyDescent="0.25">
      <c r="A1534" s="1">
        <f t="shared" si="82"/>
        <v>1533</v>
      </c>
      <c r="B1534" s="1"/>
      <c r="C1534" s="2"/>
      <c r="H1534" s="1" t="str">
        <f t="shared" si="83"/>
        <v>0 г. 0 мес. 0 дн.</v>
      </c>
      <c r="I1534" s="1" t="s">
        <v>39</v>
      </c>
      <c r="V1534" s="1" t="str">
        <f t="shared" si="84"/>
        <v>0 г. 0 мес. 0 дн.</v>
      </c>
      <c r="W1534" s="5"/>
    </row>
    <row r="1535" spans="1:23" ht="34.5" customHeight="1" x14ac:dyDescent="0.25">
      <c r="A1535" s="1">
        <f t="shared" si="82"/>
        <v>1534</v>
      </c>
      <c r="B1535" s="1"/>
      <c r="C1535" s="2"/>
      <c r="H1535" s="1" t="str">
        <f t="shared" si="83"/>
        <v>0 г. 0 мес. 0 дн.</v>
      </c>
      <c r="I1535" s="1" t="s">
        <v>39</v>
      </c>
      <c r="V1535" s="1" t="str">
        <f t="shared" si="84"/>
        <v>0 г. 0 мес. 0 дн.</v>
      </c>
      <c r="W1535" s="5"/>
    </row>
    <row r="1536" spans="1:23" ht="34.5" customHeight="1" x14ac:dyDescent="0.25">
      <c r="A1536" s="1">
        <f t="shared" ref="A1536:A1599" si="85">ROW(A1535)</f>
        <v>1535</v>
      </c>
      <c r="B1536" s="1"/>
      <c r="C1536" s="2"/>
      <c r="H1536" s="1" t="str">
        <f t="shared" si="83"/>
        <v>0 г. 0 мес. 0 дн.</v>
      </c>
      <c r="I1536" s="1" t="s">
        <v>39</v>
      </c>
      <c r="V1536" s="1" t="str">
        <f t="shared" si="84"/>
        <v>0 г. 0 мес. 0 дн.</v>
      </c>
      <c r="W1536" s="5"/>
    </row>
    <row r="1537" spans="1:23" ht="34.5" customHeight="1" x14ac:dyDescent="0.25">
      <c r="A1537" s="1">
        <f t="shared" si="85"/>
        <v>1536</v>
      </c>
      <c r="B1537" s="1"/>
      <c r="C1537" s="2"/>
      <c r="H1537" s="1" t="str">
        <f t="shared" si="83"/>
        <v>0 г. 0 мес. 0 дн.</v>
      </c>
      <c r="I1537" s="1" t="s">
        <v>39</v>
      </c>
      <c r="V1537" s="1" t="str">
        <f t="shared" si="84"/>
        <v>0 г. 0 мес. 0 дн.</v>
      </c>
      <c r="W1537" s="5"/>
    </row>
    <row r="1538" spans="1:23" ht="34.5" customHeight="1" x14ac:dyDescent="0.25">
      <c r="A1538" s="1">
        <f t="shared" si="85"/>
        <v>1537</v>
      </c>
      <c r="B1538" s="1"/>
      <c r="C1538" s="2"/>
      <c r="H1538" s="1" t="str">
        <f t="shared" ref="H1538:H1601" si="86">DATEDIF(G1538,D1538,"y") &amp; " г. " &amp; DATEDIF(G1538,D1538,"ym") &amp; " мес. " &amp; DATEDIF(G1538,D1538,"md") &amp; " дн."</f>
        <v>0 г. 0 мес. 0 дн.</v>
      </c>
      <c r="I1538" s="1" t="s">
        <v>39</v>
      </c>
      <c r="V1538" s="1" t="str">
        <f t="shared" si="84"/>
        <v>0 г. 0 мес. 0 дн.</v>
      </c>
      <c r="W1538" s="5"/>
    </row>
    <row r="1539" spans="1:23" ht="34.5" customHeight="1" x14ac:dyDescent="0.25">
      <c r="A1539" s="1">
        <f t="shared" si="85"/>
        <v>1538</v>
      </c>
      <c r="B1539" s="1"/>
      <c r="C1539" s="2"/>
      <c r="H1539" s="1" t="str">
        <f t="shared" si="86"/>
        <v>0 г. 0 мес. 0 дн.</v>
      </c>
      <c r="I1539" s="1" t="s">
        <v>39</v>
      </c>
      <c r="V1539" s="1" t="str">
        <f t="shared" si="84"/>
        <v>0 г. 0 мес. 0 дн.</v>
      </c>
      <c r="W1539" s="5"/>
    </row>
    <row r="1540" spans="1:23" ht="34.5" customHeight="1" x14ac:dyDescent="0.25">
      <c r="A1540" s="1">
        <f t="shared" si="85"/>
        <v>1539</v>
      </c>
      <c r="B1540" s="1"/>
      <c r="C1540" s="2"/>
      <c r="H1540" s="1" t="str">
        <f t="shared" si="86"/>
        <v>0 г. 0 мес. 0 дн.</v>
      </c>
      <c r="I1540" s="1" t="s">
        <v>39</v>
      </c>
      <c r="V1540" s="1" t="str">
        <f t="shared" si="84"/>
        <v>0 г. 0 мес. 0 дн.</v>
      </c>
      <c r="W1540" s="5"/>
    </row>
    <row r="1541" spans="1:23" ht="34.5" customHeight="1" x14ac:dyDescent="0.25">
      <c r="A1541" s="1">
        <f t="shared" si="85"/>
        <v>1540</v>
      </c>
      <c r="B1541" s="1"/>
      <c r="C1541" s="2"/>
      <c r="H1541" s="1" t="str">
        <f t="shared" si="86"/>
        <v>0 г. 0 мес. 0 дн.</v>
      </c>
      <c r="I1541" s="1" t="s">
        <v>39</v>
      </c>
      <c r="V1541" s="1" t="str">
        <f t="shared" si="84"/>
        <v>0 г. 0 мес. 0 дн.</v>
      </c>
      <c r="W1541" s="5"/>
    </row>
    <row r="1542" spans="1:23" ht="34.5" customHeight="1" x14ac:dyDescent="0.25">
      <c r="A1542" s="1">
        <f t="shared" si="85"/>
        <v>1541</v>
      </c>
      <c r="B1542" s="1"/>
      <c r="C1542" s="2"/>
      <c r="H1542" s="1" t="str">
        <f t="shared" si="86"/>
        <v>0 г. 0 мес. 0 дн.</v>
      </c>
      <c r="I1542" s="1" t="s">
        <v>39</v>
      </c>
      <c r="V1542" s="1" t="str">
        <f t="shared" si="84"/>
        <v>0 г. 0 мес. 0 дн.</v>
      </c>
      <c r="W1542" s="5"/>
    </row>
    <row r="1543" spans="1:23" ht="34.5" customHeight="1" x14ac:dyDescent="0.25">
      <c r="A1543" s="1">
        <f t="shared" si="85"/>
        <v>1542</v>
      </c>
      <c r="B1543" s="1"/>
      <c r="C1543" s="2"/>
      <c r="H1543" s="1" t="str">
        <f t="shared" si="86"/>
        <v>0 г. 0 мес. 0 дн.</v>
      </c>
      <c r="I1543" s="1" t="s">
        <v>39</v>
      </c>
      <c r="V1543" s="1" t="str">
        <f t="shared" si="84"/>
        <v>0 г. 0 мес. 0 дн.</v>
      </c>
      <c r="W1543" s="5"/>
    </row>
    <row r="1544" spans="1:23" ht="34.5" customHeight="1" x14ac:dyDescent="0.25">
      <c r="A1544" s="1">
        <f t="shared" si="85"/>
        <v>1543</v>
      </c>
      <c r="B1544" s="1"/>
      <c r="C1544" s="2"/>
      <c r="H1544" s="1" t="str">
        <f t="shared" si="86"/>
        <v>0 г. 0 мес. 0 дн.</v>
      </c>
      <c r="I1544" s="1" t="s">
        <v>39</v>
      </c>
      <c r="V1544" s="1" t="str">
        <f t="shared" si="84"/>
        <v>0 г. 0 мес. 0 дн.</v>
      </c>
      <c r="W1544" s="5"/>
    </row>
    <row r="1545" spans="1:23" ht="34.5" customHeight="1" x14ac:dyDescent="0.25">
      <c r="A1545" s="1">
        <f t="shared" si="85"/>
        <v>1544</v>
      </c>
      <c r="B1545" s="1"/>
      <c r="C1545" s="2"/>
      <c r="H1545" s="1" t="str">
        <f t="shared" si="86"/>
        <v>0 г. 0 мес. 0 дн.</v>
      </c>
      <c r="I1545" s="1" t="s">
        <v>39</v>
      </c>
      <c r="V1545" s="1" t="str">
        <f t="shared" si="84"/>
        <v>0 г. 0 мес. 0 дн.</v>
      </c>
      <c r="W1545" s="5"/>
    </row>
    <row r="1546" spans="1:23" ht="34.5" customHeight="1" x14ac:dyDescent="0.25">
      <c r="A1546" s="1">
        <f t="shared" si="85"/>
        <v>1545</v>
      </c>
      <c r="B1546" s="1"/>
      <c r="C1546" s="2"/>
      <c r="H1546" s="1" t="str">
        <f t="shared" si="86"/>
        <v>0 г. 0 мес. 0 дн.</v>
      </c>
      <c r="I1546" s="1" t="s">
        <v>39</v>
      </c>
      <c r="V1546" s="1" t="str">
        <f t="shared" si="84"/>
        <v>0 г. 0 мес. 0 дн.</v>
      </c>
      <c r="W1546" s="5"/>
    </row>
    <row r="1547" spans="1:23" ht="34.5" customHeight="1" x14ac:dyDescent="0.25">
      <c r="A1547" s="1">
        <f t="shared" si="85"/>
        <v>1546</v>
      </c>
      <c r="B1547" s="1"/>
      <c r="C1547" s="2"/>
      <c r="H1547" s="1" t="str">
        <f t="shared" si="86"/>
        <v>0 г. 0 мес. 0 дн.</v>
      </c>
      <c r="I1547" s="1" t="s">
        <v>39</v>
      </c>
      <c r="V1547" s="1" t="str">
        <f t="shared" si="84"/>
        <v>0 г. 0 мес. 0 дн.</v>
      </c>
      <c r="W1547" s="5"/>
    </row>
    <row r="1548" spans="1:23" ht="34.5" customHeight="1" x14ac:dyDescent="0.25">
      <c r="A1548" s="1">
        <f t="shared" si="85"/>
        <v>1547</v>
      </c>
      <c r="B1548" s="1"/>
      <c r="C1548" s="2"/>
      <c r="H1548" s="1" t="str">
        <f t="shared" si="86"/>
        <v>0 г. 0 мес. 0 дн.</v>
      </c>
      <c r="I1548" s="1" t="s">
        <v>39</v>
      </c>
      <c r="V1548" s="1" t="str">
        <f t="shared" si="84"/>
        <v>0 г. 0 мес. 0 дн.</v>
      </c>
      <c r="W1548" s="5"/>
    </row>
    <row r="1549" spans="1:23" ht="34.5" customHeight="1" x14ac:dyDescent="0.25">
      <c r="A1549" s="1">
        <f t="shared" si="85"/>
        <v>1548</v>
      </c>
      <c r="B1549" s="1"/>
      <c r="C1549" s="2"/>
      <c r="H1549" s="1" t="str">
        <f t="shared" si="86"/>
        <v>0 г. 0 мес. 0 дн.</v>
      </c>
      <c r="I1549" s="1" t="s">
        <v>39</v>
      </c>
      <c r="V1549" s="1" t="str">
        <f t="shared" si="84"/>
        <v>0 г. 0 мес. 0 дн.</v>
      </c>
      <c r="W1549" s="5"/>
    </row>
    <row r="1550" spans="1:23" ht="34.5" customHeight="1" x14ac:dyDescent="0.25">
      <c r="A1550" s="1">
        <f t="shared" si="85"/>
        <v>1549</v>
      </c>
      <c r="B1550" s="1"/>
      <c r="C1550" s="2"/>
      <c r="H1550" s="1" t="str">
        <f t="shared" si="86"/>
        <v>0 г. 0 мес. 0 дн.</v>
      </c>
      <c r="I1550" s="1" t="s">
        <v>39</v>
      </c>
      <c r="V1550" s="1" t="str">
        <f t="shared" si="84"/>
        <v>0 г. 0 мес. 0 дн.</v>
      </c>
      <c r="W1550" s="5"/>
    </row>
    <row r="1551" spans="1:23" ht="34.5" customHeight="1" x14ac:dyDescent="0.25">
      <c r="A1551" s="1">
        <f t="shared" si="85"/>
        <v>1550</v>
      </c>
      <c r="B1551" s="1"/>
      <c r="C1551" s="2"/>
      <c r="H1551" s="1" t="str">
        <f t="shared" si="86"/>
        <v>0 г. 0 мес. 0 дн.</v>
      </c>
      <c r="I1551" s="1" t="s">
        <v>39</v>
      </c>
      <c r="V1551" s="1" t="str">
        <f t="shared" si="84"/>
        <v>0 г. 0 мес. 0 дн.</v>
      </c>
      <c r="W1551" s="5"/>
    </row>
    <row r="1552" spans="1:23" ht="34.5" customHeight="1" x14ac:dyDescent="0.25">
      <c r="A1552" s="1">
        <f t="shared" si="85"/>
        <v>1551</v>
      </c>
      <c r="B1552" s="1"/>
      <c r="C1552" s="2"/>
      <c r="H1552" s="1" t="str">
        <f t="shared" si="86"/>
        <v>0 г. 0 мес. 0 дн.</v>
      </c>
      <c r="I1552" s="1" t="s">
        <v>39</v>
      </c>
      <c r="V1552" s="1" t="str">
        <f t="shared" si="84"/>
        <v>0 г. 0 мес. 0 дн.</v>
      </c>
      <c r="W1552" s="5"/>
    </row>
    <row r="1553" spans="1:23" ht="34.5" customHeight="1" x14ac:dyDescent="0.25">
      <c r="A1553" s="1">
        <f t="shared" si="85"/>
        <v>1552</v>
      </c>
      <c r="B1553" s="1"/>
      <c r="C1553" s="2"/>
      <c r="H1553" s="1" t="str">
        <f t="shared" si="86"/>
        <v>0 г. 0 мес. 0 дн.</v>
      </c>
      <c r="I1553" s="1" t="s">
        <v>39</v>
      </c>
      <c r="V1553" s="1" t="str">
        <f t="shared" si="84"/>
        <v>0 г. 0 мес. 0 дн.</v>
      </c>
      <c r="W1553" s="5"/>
    </row>
    <row r="1554" spans="1:23" ht="34.5" customHeight="1" x14ac:dyDescent="0.25">
      <c r="A1554" s="1">
        <f t="shared" si="85"/>
        <v>1553</v>
      </c>
      <c r="B1554" s="1"/>
      <c r="C1554" s="2"/>
      <c r="H1554" s="1" t="str">
        <f t="shared" si="86"/>
        <v>0 г. 0 мес. 0 дн.</v>
      </c>
      <c r="I1554" s="1" t="s">
        <v>39</v>
      </c>
      <c r="V1554" s="1" t="str">
        <f t="shared" si="84"/>
        <v>0 г. 0 мес. 0 дн.</v>
      </c>
      <c r="W1554" s="5"/>
    </row>
    <row r="1555" spans="1:23" ht="34.5" customHeight="1" x14ac:dyDescent="0.25">
      <c r="A1555" s="1">
        <f t="shared" si="85"/>
        <v>1554</v>
      </c>
      <c r="B1555" s="1"/>
      <c r="C1555" s="2"/>
      <c r="H1555" s="1" t="str">
        <f t="shared" si="86"/>
        <v>0 г. 0 мес. 0 дн.</v>
      </c>
      <c r="I1555" s="1" t="s">
        <v>39</v>
      </c>
      <c r="V1555" s="1" t="str">
        <f t="shared" si="84"/>
        <v>0 г. 0 мес. 0 дн.</v>
      </c>
      <c r="W1555" s="5"/>
    </row>
    <row r="1556" spans="1:23" ht="34.5" customHeight="1" x14ac:dyDescent="0.25">
      <c r="A1556" s="1">
        <f t="shared" si="85"/>
        <v>1555</v>
      </c>
      <c r="B1556" s="1"/>
      <c r="C1556" s="2"/>
      <c r="H1556" s="1" t="str">
        <f t="shared" si="86"/>
        <v>0 г. 0 мес. 0 дн.</v>
      </c>
      <c r="I1556" s="1" t="s">
        <v>39</v>
      </c>
      <c r="V1556" s="1" t="str">
        <f t="shared" si="84"/>
        <v>0 г. 0 мес. 0 дн.</v>
      </c>
      <c r="W1556" s="5"/>
    </row>
    <row r="1557" spans="1:23" ht="34.5" customHeight="1" x14ac:dyDescent="0.25">
      <c r="A1557" s="1">
        <f t="shared" si="85"/>
        <v>1556</v>
      </c>
      <c r="B1557" s="1"/>
      <c r="C1557" s="2"/>
      <c r="H1557" s="1" t="str">
        <f t="shared" si="86"/>
        <v>0 г. 0 мес. 0 дн.</v>
      </c>
      <c r="I1557" s="1" t="s">
        <v>39</v>
      </c>
      <c r="V1557" s="1" t="str">
        <f t="shared" si="84"/>
        <v>0 г. 0 мес. 0 дн.</v>
      </c>
      <c r="W1557" s="5"/>
    </row>
    <row r="1558" spans="1:23" ht="34.5" customHeight="1" x14ac:dyDescent="0.25">
      <c r="A1558" s="1">
        <f t="shared" si="85"/>
        <v>1557</v>
      </c>
      <c r="B1558" s="1"/>
      <c r="C1558" s="2"/>
      <c r="H1558" s="1" t="str">
        <f t="shared" si="86"/>
        <v>0 г. 0 мес. 0 дн.</v>
      </c>
      <c r="I1558" s="1" t="s">
        <v>39</v>
      </c>
      <c r="V1558" s="1" t="str">
        <f t="shared" si="84"/>
        <v>0 г. 0 мес. 0 дн.</v>
      </c>
      <c r="W1558" s="5"/>
    </row>
    <row r="1559" spans="1:23" ht="34.5" customHeight="1" x14ac:dyDescent="0.25">
      <c r="A1559" s="1">
        <f t="shared" si="85"/>
        <v>1558</v>
      </c>
      <c r="B1559" s="1"/>
      <c r="C1559" s="2"/>
      <c r="H1559" s="1" t="str">
        <f t="shared" si="86"/>
        <v>0 г. 0 мес. 0 дн.</v>
      </c>
      <c r="I1559" s="1" t="s">
        <v>39</v>
      </c>
      <c r="V1559" s="1" t="str">
        <f t="shared" si="84"/>
        <v>0 г. 0 мес. 0 дн.</v>
      </c>
      <c r="W1559" s="5"/>
    </row>
    <row r="1560" spans="1:23" ht="34.5" customHeight="1" x14ac:dyDescent="0.25">
      <c r="A1560" s="1">
        <f t="shared" si="85"/>
        <v>1559</v>
      </c>
      <c r="B1560" s="1"/>
      <c r="C1560" s="2"/>
      <c r="H1560" s="1" t="str">
        <f t="shared" si="86"/>
        <v>0 г. 0 мес. 0 дн.</v>
      </c>
      <c r="I1560" s="1" t="s">
        <v>39</v>
      </c>
      <c r="V1560" s="1" t="str">
        <f t="shared" si="84"/>
        <v>0 г. 0 мес. 0 дн.</v>
      </c>
      <c r="W1560" s="5"/>
    </row>
    <row r="1561" spans="1:23" ht="34.5" customHeight="1" x14ac:dyDescent="0.25">
      <c r="A1561" s="1">
        <f t="shared" si="85"/>
        <v>1560</v>
      </c>
      <c r="B1561" s="1"/>
      <c r="C1561" s="2"/>
      <c r="H1561" s="1" t="str">
        <f t="shared" si="86"/>
        <v>0 г. 0 мес. 0 дн.</v>
      </c>
      <c r="I1561" s="1" t="s">
        <v>39</v>
      </c>
      <c r="V1561" s="1" t="str">
        <f t="shared" si="84"/>
        <v>0 г. 0 мес. 0 дн.</v>
      </c>
      <c r="W1561" s="5"/>
    </row>
    <row r="1562" spans="1:23" ht="34.5" customHeight="1" x14ac:dyDescent="0.25">
      <c r="A1562" s="1">
        <f t="shared" si="85"/>
        <v>1561</v>
      </c>
      <c r="B1562" s="1"/>
      <c r="C1562" s="2"/>
      <c r="H1562" s="1" t="str">
        <f t="shared" si="86"/>
        <v>0 г. 0 мес. 0 дн.</v>
      </c>
      <c r="I1562" s="1" t="s">
        <v>39</v>
      </c>
      <c r="V1562" s="1" t="str">
        <f t="shared" si="84"/>
        <v>0 г. 0 мес. 0 дн.</v>
      </c>
      <c r="W1562" s="5"/>
    </row>
    <row r="1563" spans="1:23" ht="34.5" customHeight="1" x14ac:dyDescent="0.25">
      <c r="A1563" s="1">
        <f t="shared" si="85"/>
        <v>1562</v>
      </c>
      <c r="B1563" s="1"/>
      <c r="C1563" s="2"/>
      <c r="H1563" s="1" t="str">
        <f t="shared" si="86"/>
        <v>0 г. 0 мес. 0 дн.</v>
      </c>
      <c r="I1563" s="1" t="s">
        <v>39</v>
      </c>
      <c r="V1563" s="1" t="str">
        <f t="shared" si="84"/>
        <v>0 г. 0 мес. 0 дн.</v>
      </c>
      <c r="W1563" s="5"/>
    </row>
    <row r="1564" spans="1:23" ht="34.5" customHeight="1" x14ac:dyDescent="0.25">
      <c r="A1564" s="1">
        <f t="shared" si="85"/>
        <v>1563</v>
      </c>
      <c r="B1564" s="1"/>
      <c r="C1564" s="2"/>
      <c r="H1564" s="1" t="str">
        <f t="shared" si="86"/>
        <v>0 г. 0 мес. 0 дн.</v>
      </c>
      <c r="I1564" s="1" t="s">
        <v>39</v>
      </c>
      <c r="V1564" s="1" t="str">
        <f t="shared" si="84"/>
        <v>0 г. 0 мес. 0 дн.</v>
      </c>
      <c r="W1564" s="5"/>
    </row>
    <row r="1565" spans="1:23" ht="34.5" customHeight="1" x14ac:dyDescent="0.25">
      <c r="A1565" s="1">
        <f t="shared" si="85"/>
        <v>1564</v>
      </c>
      <c r="B1565" s="1"/>
      <c r="C1565" s="2"/>
      <c r="H1565" s="1" t="str">
        <f t="shared" si="86"/>
        <v>0 г. 0 мес. 0 дн.</v>
      </c>
      <c r="I1565" s="1" t="s">
        <v>39</v>
      </c>
      <c r="V1565" s="1" t="str">
        <f t="shared" si="84"/>
        <v>0 г. 0 мес. 0 дн.</v>
      </c>
      <c r="W1565" s="5"/>
    </row>
    <row r="1566" spans="1:23" ht="34.5" customHeight="1" x14ac:dyDescent="0.25">
      <c r="A1566" s="1">
        <f t="shared" si="85"/>
        <v>1565</v>
      </c>
      <c r="B1566" s="1"/>
      <c r="C1566" s="2"/>
      <c r="H1566" s="1" t="str">
        <f t="shared" si="86"/>
        <v>0 г. 0 мес. 0 дн.</v>
      </c>
      <c r="I1566" s="1" t="s">
        <v>39</v>
      </c>
      <c r="V1566" s="1" t="str">
        <f t="shared" si="84"/>
        <v>0 г. 0 мес. 0 дн.</v>
      </c>
      <c r="W1566" s="5"/>
    </row>
    <row r="1567" spans="1:23" ht="34.5" customHeight="1" x14ac:dyDescent="0.25">
      <c r="A1567" s="1">
        <f t="shared" si="85"/>
        <v>1566</v>
      </c>
      <c r="B1567" s="1"/>
      <c r="C1567" s="2"/>
      <c r="H1567" s="1" t="str">
        <f t="shared" si="86"/>
        <v>0 г. 0 мес. 0 дн.</v>
      </c>
      <c r="I1567" s="1" t="s">
        <v>39</v>
      </c>
      <c r="V1567" s="1" t="str">
        <f t="shared" si="84"/>
        <v>0 г. 0 мес. 0 дн.</v>
      </c>
      <c r="W1567" s="5"/>
    </row>
    <row r="1568" spans="1:23" ht="34.5" customHeight="1" x14ac:dyDescent="0.25">
      <c r="A1568" s="1">
        <f t="shared" si="85"/>
        <v>1567</v>
      </c>
      <c r="B1568" s="1"/>
      <c r="C1568" s="2"/>
      <c r="H1568" s="1" t="str">
        <f t="shared" si="86"/>
        <v>0 г. 0 мес. 0 дн.</v>
      </c>
      <c r="I1568" s="1" t="s">
        <v>39</v>
      </c>
      <c r="V1568" s="1" t="str">
        <f t="shared" si="84"/>
        <v>0 г. 0 мес. 0 дн.</v>
      </c>
      <c r="W1568" s="5"/>
    </row>
    <row r="1569" spans="1:23" ht="34.5" customHeight="1" x14ac:dyDescent="0.25">
      <c r="A1569" s="1">
        <f t="shared" si="85"/>
        <v>1568</v>
      </c>
      <c r="B1569" s="1"/>
      <c r="C1569" s="2"/>
      <c r="H1569" s="1" t="str">
        <f t="shared" si="86"/>
        <v>0 г. 0 мес. 0 дн.</v>
      </c>
      <c r="I1569" s="1" t="s">
        <v>39</v>
      </c>
      <c r="V1569" s="1" t="str">
        <f t="shared" si="84"/>
        <v>0 г. 0 мес. 0 дн.</v>
      </c>
      <c r="W1569" s="5"/>
    </row>
    <row r="1570" spans="1:23" ht="34.5" customHeight="1" x14ac:dyDescent="0.25">
      <c r="A1570" s="1">
        <f t="shared" si="85"/>
        <v>1569</v>
      </c>
      <c r="B1570" s="1"/>
      <c r="C1570" s="2"/>
      <c r="H1570" s="1" t="str">
        <f t="shared" si="86"/>
        <v>0 г. 0 мес. 0 дн.</v>
      </c>
      <c r="I1570" s="1" t="s">
        <v>39</v>
      </c>
      <c r="V1570" s="1" t="str">
        <f t="shared" si="84"/>
        <v>0 г. 0 мес. 0 дн.</v>
      </c>
      <c r="W1570" s="5"/>
    </row>
    <row r="1571" spans="1:23" ht="34.5" customHeight="1" x14ac:dyDescent="0.25">
      <c r="A1571" s="1">
        <f t="shared" si="85"/>
        <v>1570</v>
      </c>
      <c r="B1571" s="1"/>
      <c r="C1571" s="2"/>
      <c r="H1571" s="1" t="str">
        <f t="shared" si="86"/>
        <v>0 г. 0 мес. 0 дн.</v>
      </c>
      <c r="I1571" s="1" t="s">
        <v>39</v>
      </c>
      <c r="V1571" s="1" t="str">
        <f t="shared" si="84"/>
        <v>0 г. 0 мес. 0 дн.</v>
      </c>
      <c r="W1571" s="5"/>
    </row>
    <row r="1572" spans="1:23" ht="34.5" customHeight="1" x14ac:dyDescent="0.25">
      <c r="A1572" s="1">
        <f t="shared" si="85"/>
        <v>1571</v>
      </c>
      <c r="B1572" s="1"/>
      <c r="C1572" s="2"/>
      <c r="H1572" s="1" t="str">
        <f t="shared" si="86"/>
        <v>0 г. 0 мес. 0 дн.</v>
      </c>
      <c r="I1572" s="1" t="s">
        <v>39</v>
      </c>
      <c r="V1572" s="1" t="str">
        <f t="shared" si="84"/>
        <v>0 г. 0 мес. 0 дн.</v>
      </c>
      <c r="W1572" s="5"/>
    </row>
    <row r="1573" spans="1:23" ht="34.5" customHeight="1" x14ac:dyDescent="0.25">
      <c r="A1573" s="1">
        <f t="shared" si="85"/>
        <v>1572</v>
      </c>
      <c r="B1573" s="1"/>
      <c r="C1573" s="2"/>
      <c r="H1573" s="1" t="str">
        <f t="shared" si="86"/>
        <v>0 г. 0 мес. 0 дн.</v>
      </c>
      <c r="I1573" s="1" t="s">
        <v>39</v>
      </c>
      <c r="V1573" s="1" t="str">
        <f t="shared" si="84"/>
        <v>0 г. 0 мес. 0 дн.</v>
      </c>
      <c r="W1573" s="5"/>
    </row>
    <row r="1574" spans="1:23" ht="34.5" customHeight="1" x14ac:dyDescent="0.25">
      <c r="A1574" s="1">
        <f t="shared" si="85"/>
        <v>1573</v>
      </c>
      <c r="B1574" s="1"/>
      <c r="C1574" s="2"/>
      <c r="H1574" s="1" t="str">
        <f t="shared" si="86"/>
        <v>0 г. 0 мес. 0 дн.</v>
      </c>
      <c r="I1574" s="1" t="s">
        <v>39</v>
      </c>
      <c r="V1574" s="1" t="str">
        <f t="shared" si="84"/>
        <v>0 г. 0 мес. 0 дн.</v>
      </c>
      <c r="W1574" s="5"/>
    </row>
    <row r="1575" spans="1:23" ht="34.5" customHeight="1" x14ac:dyDescent="0.25">
      <c r="A1575" s="1">
        <f t="shared" si="85"/>
        <v>1574</v>
      </c>
      <c r="B1575" s="1"/>
      <c r="C1575" s="2"/>
      <c r="H1575" s="1" t="str">
        <f t="shared" si="86"/>
        <v>0 г. 0 мес. 0 дн.</v>
      </c>
      <c r="I1575" s="1" t="s">
        <v>39</v>
      </c>
      <c r="V1575" s="1" t="str">
        <f t="shared" si="84"/>
        <v>0 г. 0 мес. 0 дн.</v>
      </c>
      <c r="W1575" s="5"/>
    </row>
    <row r="1576" spans="1:23" ht="34.5" customHeight="1" x14ac:dyDescent="0.25">
      <c r="A1576" s="1">
        <f t="shared" si="85"/>
        <v>1575</v>
      </c>
      <c r="B1576" s="1"/>
      <c r="C1576" s="2"/>
      <c r="H1576" s="1" t="str">
        <f t="shared" si="86"/>
        <v>0 г. 0 мес. 0 дн.</v>
      </c>
      <c r="I1576" s="1" t="s">
        <v>39</v>
      </c>
      <c r="V1576" s="1" t="str">
        <f t="shared" si="84"/>
        <v>0 г. 0 мес. 0 дн.</v>
      </c>
      <c r="W1576" s="5"/>
    </row>
    <row r="1577" spans="1:23" ht="34.5" customHeight="1" x14ac:dyDescent="0.25">
      <c r="A1577" s="1">
        <f t="shared" si="85"/>
        <v>1576</v>
      </c>
      <c r="B1577" s="1"/>
      <c r="C1577" s="2"/>
      <c r="H1577" s="1" t="str">
        <f t="shared" si="86"/>
        <v>0 г. 0 мес. 0 дн.</v>
      </c>
      <c r="I1577" s="1" t="s">
        <v>39</v>
      </c>
      <c r="V1577" s="1" t="str">
        <f t="shared" si="84"/>
        <v>0 г. 0 мес. 0 дн.</v>
      </c>
      <c r="W1577" s="5"/>
    </row>
    <row r="1578" spans="1:23" ht="34.5" customHeight="1" x14ac:dyDescent="0.25">
      <c r="A1578" s="1">
        <f t="shared" si="85"/>
        <v>1577</v>
      </c>
      <c r="B1578" s="1"/>
      <c r="C1578" s="2"/>
      <c r="H1578" s="1" t="str">
        <f t="shared" si="86"/>
        <v>0 г. 0 мес. 0 дн.</v>
      </c>
      <c r="I1578" s="1" t="s">
        <v>39</v>
      </c>
      <c r="V1578" s="1" t="str">
        <f t="shared" si="84"/>
        <v>0 г. 0 мес. 0 дн.</v>
      </c>
      <c r="W1578" s="5"/>
    </row>
    <row r="1579" spans="1:23" ht="34.5" customHeight="1" x14ac:dyDescent="0.25">
      <c r="A1579" s="1">
        <f t="shared" si="85"/>
        <v>1578</v>
      </c>
      <c r="B1579" s="1"/>
      <c r="C1579" s="2"/>
      <c r="H1579" s="1" t="str">
        <f t="shared" si="86"/>
        <v>0 г. 0 мес. 0 дн.</v>
      </c>
      <c r="I1579" s="1" t="s">
        <v>39</v>
      </c>
      <c r="V1579" s="1" t="str">
        <f t="shared" si="84"/>
        <v>0 г. 0 мес. 0 дн.</v>
      </c>
      <c r="W1579" s="5"/>
    </row>
    <row r="1580" spans="1:23" ht="34.5" customHeight="1" x14ac:dyDescent="0.25">
      <c r="A1580" s="1">
        <f t="shared" si="85"/>
        <v>1579</v>
      </c>
      <c r="B1580" s="1"/>
      <c r="C1580" s="2"/>
      <c r="H1580" s="1" t="str">
        <f t="shared" si="86"/>
        <v>0 г. 0 мес. 0 дн.</v>
      </c>
      <c r="I1580" s="1" t="s">
        <v>39</v>
      </c>
      <c r="V1580" s="1" t="str">
        <f t="shared" si="84"/>
        <v>0 г. 0 мес. 0 дн.</v>
      </c>
      <c r="W1580" s="5"/>
    </row>
    <row r="1581" spans="1:23" ht="34.5" customHeight="1" x14ac:dyDescent="0.25">
      <c r="A1581" s="1">
        <f t="shared" si="85"/>
        <v>1580</v>
      </c>
      <c r="B1581" s="1"/>
      <c r="C1581" s="2"/>
      <c r="H1581" s="1" t="str">
        <f t="shared" si="86"/>
        <v>0 г. 0 мес. 0 дн.</v>
      </c>
      <c r="I1581" s="1" t="s">
        <v>39</v>
      </c>
      <c r="V1581" s="1" t="str">
        <f t="shared" si="84"/>
        <v>0 г. 0 мес. 0 дн.</v>
      </c>
      <c r="W1581" s="5"/>
    </row>
    <row r="1582" spans="1:23" ht="34.5" customHeight="1" x14ac:dyDescent="0.25">
      <c r="A1582" s="1">
        <f t="shared" si="85"/>
        <v>1581</v>
      </c>
      <c r="B1582" s="1"/>
      <c r="C1582" s="2"/>
      <c r="H1582" s="1" t="str">
        <f t="shared" si="86"/>
        <v>0 г. 0 мес. 0 дн.</v>
      </c>
      <c r="I1582" s="1" t="s">
        <v>39</v>
      </c>
      <c r="V1582" s="1" t="str">
        <f t="shared" si="84"/>
        <v>0 г. 0 мес. 0 дн.</v>
      </c>
      <c r="W1582" s="5"/>
    </row>
    <row r="1583" spans="1:23" ht="34.5" customHeight="1" x14ac:dyDescent="0.25">
      <c r="A1583" s="1">
        <f t="shared" si="85"/>
        <v>1582</v>
      </c>
      <c r="B1583" s="1"/>
      <c r="C1583" s="2"/>
      <c r="H1583" s="1" t="str">
        <f t="shared" si="86"/>
        <v>0 г. 0 мес. 0 дн.</v>
      </c>
      <c r="I1583" s="1" t="s">
        <v>39</v>
      </c>
      <c r="V1583" s="1" t="str">
        <f t="shared" si="84"/>
        <v>0 г. 0 мес. 0 дн.</v>
      </c>
      <c r="W1583" s="5"/>
    </row>
    <row r="1584" spans="1:23" ht="34.5" customHeight="1" x14ac:dyDescent="0.25">
      <c r="A1584" s="1">
        <f t="shared" si="85"/>
        <v>1583</v>
      </c>
      <c r="B1584" s="1"/>
      <c r="C1584" s="2"/>
      <c r="H1584" s="1" t="str">
        <f t="shared" si="86"/>
        <v>0 г. 0 мес. 0 дн.</v>
      </c>
      <c r="I1584" s="1" t="s">
        <v>39</v>
      </c>
      <c r="V1584" s="1" t="str">
        <f t="shared" si="84"/>
        <v>0 г. 0 мес. 0 дн.</v>
      </c>
      <c r="W1584" s="5"/>
    </row>
    <row r="1585" spans="1:23" ht="34.5" customHeight="1" x14ac:dyDescent="0.25">
      <c r="A1585" s="1">
        <f t="shared" si="85"/>
        <v>1584</v>
      </c>
      <c r="B1585" s="1"/>
      <c r="C1585" s="2"/>
      <c r="H1585" s="1" t="str">
        <f t="shared" si="86"/>
        <v>0 г. 0 мес. 0 дн.</v>
      </c>
      <c r="I1585" s="1" t="s">
        <v>39</v>
      </c>
      <c r="V1585" s="1" t="str">
        <f t="shared" ref="V1585:V1648" si="87">DATEDIF(D1585,T1585,"y") &amp; " г. " &amp; DATEDIF(D1585,T1585,"ym") &amp; " мес. " &amp; DATEDIF(D1585,T1585,"md") &amp; " дн."</f>
        <v>0 г. 0 мес. 0 дн.</v>
      </c>
      <c r="W1585" s="5"/>
    </row>
    <row r="1586" spans="1:23" ht="34.5" customHeight="1" x14ac:dyDescent="0.25">
      <c r="A1586" s="1">
        <f t="shared" si="85"/>
        <v>1585</v>
      </c>
      <c r="B1586" s="1"/>
      <c r="C1586" s="2"/>
      <c r="H1586" s="1" t="str">
        <f t="shared" si="86"/>
        <v>0 г. 0 мес. 0 дн.</v>
      </c>
      <c r="I1586" s="1" t="s">
        <v>39</v>
      </c>
      <c r="V1586" s="1" t="str">
        <f t="shared" si="87"/>
        <v>0 г. 0 мес. 0 дн.</v>
      </c>
      <c r="W1586" s="5"/>
    </row>
    <row r="1587" spans="1:23" ht="34.5" customHeight="1" x14ac:dyDescent="0.25">
      <c r="A1587" s="1">
        <f t="shared" si="85"/>
        <v>1586</v>
      </c>
      <c r="B1587" s="1"/>
      <c r="C1587" s="2"/>
      <c r="H1587" s="1" t="str">
        <f t="shared" si="86"/>
        <v>0 г. 0 мес. 0 дн.</v>
      </c>
      <c r="I1587" s="1" t="s">
        <v>39</v>
      </c>
      <c r="V1587" s="1" t="str">
        <f t="shared" si="87"/>
        <v>0 г. 0 мес. 0 дн.</v>
      </c>
      <c r="W1587" s="5"/>
    </row>
    <row r="1588" spans="1:23" ht="34.5" customHeight="1" x14ac:dyDescent="0.25">
      <c r="A1588" s="1">
        <f t="shared" si="85"/>
        <v>1587</v>
      </c>
      <c r="B1588" s="1"/>
      <c r="C1588" s="2"/>
      <c r="H1588" s="1" t="str">
        <f t="shared" si="86"/>
        <v>0 г. 0 мес. 0 дн.</v>
      </c>
      <c r="I1588" s="1" t="s">
        <v>39</v>
      </c>
      <c r="V1588" s="1" t="str">
        <f t="shared" si="87"/>
        <v>0 г. 0 мес. 0 дн.</v>
      </c>
      <c r="W1588" s="5"/>
    </row>
    <row r="1589" spans="1:23" ht="34.5" customHeight="1" x14ac:dyDescent="0.25">
      <c r="A1589" s="1">
        <f t="shared" si="85"/>
        <v>1588</v>
      </c>
      <c r="B1589" s="1"/>
      <c r="C1589" s="2"/>
      <c r="H1589" s="1" t="str">
        <f t="shared" si="86"/>
        <v>0 г. 0 мес. 0 дн.</v>
      </c>
      <c r="I1589" s="1" t="s">
        <v>39</v>
      </c>
      <c r="V1589" s="1" t="str">
        <f t="shared" si="87"/>
        <v>0 г. 0 мес. 0 дн.</v>
      </c>
      <c r="W1589" s="5"/>
    </row>
    <row r="1590" spans="1:23" ht="34.5" customHeight="1" x14ac:dyDescent="0.25">
      <c r="A1590" s="1">
        <f t="shared" si="85"/>
        <v>1589</v>
      </c>
      <c r="B1590" s="1"/>
      <c r="C1590" s="2"/>
      <c r="H1590" s="1" t="str">
        <f t="shared" si="86"/>
        <v>0 г. 0 мес. 0 дн.</v>
      </c>
      <c r="I1590" s="1" t="s">
        <v>39</v>
      </c>
      <c r="V1590" s="1" t="str">
        <f t="shared" si="87"/>
        <v>0 г. 0 мес. 0 дн.</v>
      </c>
      <c r="W1590" s="5"/>
    </row>
    <row r="1591" spans="1:23" ht="34.5" customHeight="1" x14ac:dyDescent="0.25">
      <c r="A1591" s="1">
        <f t="shared" si="85"/>
        <v>1590</v>
      </c>
      <c r="B1591" s="1"/>
      <c r="C1591" s="2"/>
      <c r="H1591" s="1" t="str">
        <f t="shared" si="86"/>
        <v>0 г. 0 мес. 0 дн.</v>
      </c>
      <c r="I1591" s="1" t="s">
        <v>39</v>
      </c>
      <c r="V1591" s="1" t="str">
        <f t="shared" si="87"/>
        <v>0 г. 0 мес. 0 дн.</v>
      </c>
      <c r="W1591" s="5"/>
    </row>
    <row r="1592" spans="1:23" ht="34.5" customHeight="1" x14ac:dyDescent="0.25">
      <c r="A1592" s="1">
        <f t="shared" si="85"/>
        <v>1591</v>
      </c>
      <c r="B1592" s="1"/>
      <c r="C1592" s="2"/>
      <c r="H1592" s="1" t="str">
        <f t="shared" si="86"/>
        <v>0 г. 0 мес. 0 дн.</v>
      </c>
      <c r="I1592" s="1" t="s">
        <v>39</v>
      </c>
      <c r="V1592" s="1" t="str">
        <f t="shared" si="87"/>
        <v>0 г. 0 мес. 0 дн.</v>
      </c>
      <c r="W1592" s="5"/>
    </row>
    <row r="1593" spans="1:23" ht="34.5" customHeight="1" x14ac:dyDescent="0.25">
      <c r="A1593" s="1">
        <f t="shared" si="85"/>
        <v>1592</v>
      </c>
      <c r="B1593" s="1"/>
      <c r="C1593" s="2"/>
      <c r="H1593" s="1" t="str">
        <f t="shared" si="86"/>
        <v>0 г. 0 мес. 0 дн.</v>
      </c>
      <c r="I1593" s="1" t="s">
        <v>39</v>
      </c>
      <c r="V1593" s="1" t="str">
        <f t="shared" si="87"/>
        <v>0 г. 0 мес. 0 дн.</v>
      </c>
      <c r="W1593" s="5"/>
    </row>
    <row r="1594" spans="1:23" ht="34.5" customHeight="1" x14ac:dyDescent="0.25">
      <c r="A1594" s="1">
        <f t="shared" si="85"/>
        <v>1593</v>
      </c>
      <c r="B1594" s="1"/>
      <c r="C1594" s="2"/>
      <c r="H1594" s="1" t="str">
        <f t="shared" si="86"/>
        <v>0 г. 0 мес. 0 дн.</v>
      </c>
      <c r="I1594" s="1" t="s">
        <v>39</v>
      </c>
      <c r="V1594" s="1" t="str">
        <f t="shared" si="87"/>
        <v>0 г. 0 мес. 0 дн.</v>
      </c>
      <c r="W1594" s="5"/>
    </row>
    <row r="1595" spans="1:23" ht="34.5" customHeight="1" x14ac:dyDescent="0.25">
      <c r="A1595" s="1">
        <f t="shared" si="85"/>
        <v>1594</v>
      </c>
      <c r="B1595" s="1"/>
      <c r="C1595" s="2"/>
      <c r="H1595" s="1" t="str">
        <f t="shared" si="86"/>
        <v>0 г. 0 мес. 0 дн.</v>
      </c>
      <c r="I1595" s="1" t="s">
        <v>39</v>
      </c>
      <c r="V1595" s="1" t="str">
        <f t="shared" si="87"/>
        <v>0 г. 0 мес. 0 дн.</v>
      </c>
      <c r="W1595" s="5"/>
    </row>
    <row r="1596" spans="1:23" ht="34.5" customHeight="1" x14ac:dyDescent="0.25">
      <c r="A1596" s="1">
        <f t="shared" si="85"/>
        <v>1595</v>
      </c>
      <c r="B1596" s="1"/>
      <c r="C1596" s="2"/>
      <c r="H1596" s="1" t="str">
        <f t="shared" si="86"/>
        <v>0 г. 0 мес. 0 дн.</v>
      </c>
      <c r="I1596" s="1" t="s">
        <v>39</v>
      </c>
      <c r="V1596" s="1" t="str">
        <f t="shared" si="87"/>
        <v>0 г. 0 мес. 0 дн.</v>
      </c>
      <c r="W1596" s="5"/>
    </row>
    <row r="1597" spans="1:23" ht="34.5" customHeight="1" x14ac:dyDescent="0.25">
      <c r="A1597" s="1">
        <f t="shared" si="85"/>
        <v>1596</v>
      </c>
      <c r="B1597" s="1"/>
      <c r="C1597" s="2"/>
      <c r="H1597" s="1" t="str">
        <f t="shared" si="86"/>
        <v>0 г. 0 мес. 0 дн.</v>
      </c>
      <c r="I1597" s="1" t="s">
        <v>39</v>
      </c>
      <c r="V1597" s="1" t="str">
        <f t="shared" si="87"/>
        <v>0 г. 0 мес. 0 дн.</v>
      </c>
      <c r="W1597" s="5"/>
    </row>
    <row r="1598" spans="1:23" ht="34.5" customHeight="1" x14ac:dyDescent="0.25">
      <c r="A1598" s="1">
        <f t="shared" si="85"/>
        <v>1597</v>
      </c>
      <c r="B1598" s="1"/>
      <c r="C1598" s="2"/>
      <c r="H1598" s="1" t="str">
        <f t="shared" si="86"/>
        <v>0 г. 0 мес. 0 дн.</v>
      </c>
      <c r="I1598" s="1" t="s">
        <v>39</v>
      </c>
      <c r="V1598" s="1" t="str">
        <f t="shared" si="87"/>
        <v>0 г. 0 мес. 0 дн.</v>
      </c>
      <c r="W1598" s="5"/>
    </row>
    <row r="1599" spans="1:23" ht="34.5" customHeight="1" x14ac:dyDescent="0.25">
      <c r="A1599" s="1">
        <f t="shared" si="85"/>
        <v>1598</v>
      </c>
      <c r="B1599" s="1"/>
      <c r="C1599" s="2"/>
      <c r="H1599" s="1" t="str">
        <f t="shared" si="86"/>
        <v>0 г. 0 мес. 0 дн.</v>
      </c>
      <c r="I1599" s="1" t="s">
        <v>39</v>
      </c>
      <c r="V1599" s="1" t="str">
        <f t="shared" si="87"/>
        <v>0 г. 0 мес. 0 дн.</v>
      </c>
      <c r="W1599" s="5"/>
    </row>
    <row r="1600" spans="1:23" ht="34.5" customHeight="1" x14ac:dyDescent="0.25">
      <c r="A1600" s="1">
        <f t="shared" ref="A1600:A1663" si="88">ROW(A1599)</f>
        <v>1599</v>
      </c>
      <c r="B1600" s="1"/>
      <c r="C1600" s="2"/>
      <c r="H1600" s="1" t="str">
        <f t="shared" si="86"/>
        <v>0 г. 0 мес. 0 дн.</v>
      </c>
      <c r="I1600" s="1" t="s">
        <v>39</v>
      </c>
      <c r="V1600" s="1" t="str">
        <f t="shared" si="87"/>
        <v>0 г. 0 мес. 0 дн.</v>
      </c>
      <c r="W1600" s="5"/>
    </row>
    <row r="1601" spans="1:23" ht="34.5" customHeight="1" x14ac:dyDescent="0.25">
      <c r="A1601" s="1">
        <f t="shared" si="88"/>
        <v>1600</v>
      </c>
      <c r="B1601" s="1"/>
      <c r="C1601" s="2"/>
      <c r="H1601" s="1" t="str">
        <f t="shared" si="86"/>
        <v>0 г. 0 мес. 0 дн.</v>
      </c>
      <c r="I1601" s="1" t="s">
        <v>39</v>
      </c>
      <c r="V1601" s="1" t="str">
        <f t="shared" si="87"/>
        <v>0 г. 0 мес. 0 дн.</v>
      </c>
      <c r="W1601" s="5"/>
    </row>
    <row r="1602" spans="1:23" ht="34.5" customHeight="1" x14ac:dyDescent="0.25">
      <c r="A1602" s="1">
        <f t="shared" si="88"/>
        <v>1601</v>
      </c>
      <c r="B1602" s="1"/>
      <c r="C1602" s="2"/>
      <c r="H1602" s="1" t="str">
        <f t="shared" ref="H1602:H1665" si="89">DATEDIF(G1602,D1602,"y") &amp; " г. " &amp; DATEDIF(G1602,D1602,"ym") &amp; " мес. " &amp; DATEDIF(G1602,D1602,"md") &amp; " дн."</f>
        <v>0 г. 0 мес. 0 дн.</v>
      </c>
      <c r="I1602" s="1" t="s">
        <v>39</v>
      </c>
      <c r="V1602" s="1" t="str">
        <f t="shared" si="87"/>
        <v>0 г. 0 мес. 0 дн.</v>
      </c>
      <c r="W1602" s="5"/>
    </row>
    <row r="1603" spans="1:23" ht="34.5" customHeight="1" x14ac:dyDescent="0.25">
      <c r="A1603" s="1">
        <f t="shared" si="88"/>
        <v>1602</v>
      </c>
      <c r="B1603" s="1"/>
      <c r="C1603" s="2"/>
      <c r="H1603" s="1" t="str">
        <f t="shared" si="89"/>
        <v>0 г. 0 мес. 0 дн.</v>
      </c>
      <c r="I1603" s="1" t="s">
        <v>39</v>
      </c>
      <c r="V1603" s="1" t="str">
        <f t="shared" si="87"/>
        <v>0 г. 0 мес. 0 дн.</v>
      </c>
      <c r="W1603" s="5"/>
    </row>
    <row r="1604" spans="1:23" ht="34.5" customHeight="1" x14ac:dyDescent="0.25">
      <c r="A1604" s="1">
        <f t="shared" si="88"/>
        <v>1603</v>
      </c>
      <c r="B1604" s="1"/>
      <c r="C1604" s="2"/>
      <c r="H1604" s="1" t="str">
        <f t="shared" si="89"/>
        <v>0 г. 0 мес. 0 дн.</v>
      </c>
      <c r="I1604" s="1" t="s">
        <v>39</v>
      </c>
      <c r="V1604" s="1" t="str">
        <f t="shared" si="87"/>
        <v>0 г. 0 мес. 0 дн.</v>
      </c>
      <c r="W1604" s="5"/>
    </row>
    <row r="1605" spans="1:23" ht="34.5" customHeight="1" x14ac:dyDescent="0.25">
      <c r="A1605" s="1">
        <f t="shared" si="88"/>
        <v>1604</v>
      </c>
      <c r="B1605" s="1"/>
      <c r="C1605" s="2"/>
      <c r="H1605" s="1" t="str">
        <f t="shared" si="89"/>
        <v>0 г. 0 мес. 0 дн.</v>
      </c>
      <c r="I1605" s="1" t="s">
        <v>39</v>
      </c>
      <c r="V1605" s="1" t="str">
        <f t="shared" si="87"/>
        <v>0 г. 0 мес. 0 дн.</v>
      </c>
      <c r="W1605" s="5"/>
    </row>
    <row r="1606" spans="1:23" ht="34.5" customHeight="1" x14ac:dyDescent="0.25">
      <c r="A1606" s="1">
        <f t="shared" si="88"/>
        <v>1605</v>
      </c>
      <c r="B1606" s="1"/>
      <c r="C1606" s="2"/>
      <c r="H1606" s="1" t="str">
        <f t="shared" si="89"/>
        <v>0 г. 0 мес. 0 дн.</v>
      </c>
      <c r="I1606" s="1" t="s">
        <v>39</v>
      </c>
      <c r="V1606" s="1" t="str">
        <f t="shared" si="87"/>
        <v>0 г. 0 мес. 0 дн.</v>
      </c>
      <c r="W1606" s="5"/>
    </row>
    <row r="1607" spans="1:23" ht="34.5" customHeight="1" x14ac:dyDescent="0.25">
      <c r="A1607" s="1">
        <f t="shared" si="88"/>
        <v>1606</v>
      </c>
      <c r="B1607" s="1"/>
      <c r="C1607" s="2"/>
      <c r="H1607" s="1" t="str">
        <f t="shared" si="89"/>
        <v>0 г. 0 мес. 0 дн.</v>
      </c>
      <c r="I1607" s="1" t="s">
        <v>39</v>
      </c>
      <c r="V1607" s="1" t="str">
        <f t="shared" si="87"/>
        <v>0 г. 0 мес. 0 дн.</v>
      </c>
      <c r="W1607" s="5"/>
    </row>
    <row r="1608" spans="1:23" ht="34.5" customHeight="1" x14ac:dyDescent="0.25">
      <c r="A1608" s="1">
        <f t="shared" si="88"/>
        <v>1607</v>
      </c>
      <c r="B1608" s="1"/>
      <c r="C1608" s="2"/>
      <c r="H1608" s="1" t="str">
        <f t="shared" si="89"/>
        <v>0 г. 0 мес. 0 дн.</v>
      </c>
      <c r="I1608" s="1" t="s">
        <v>39</v>
      </c>
      <c r="V1608" s="1" t="str">
        <f t="shared" si="87"/>
        <v>0 г. 0 мес. 0 дн.</v>
      </c>
      <c r="W1608" s="5"/>
    </row>
    <row r="1609" spans="1:23" ht="34.5" customHeight="1" x14ac:dyDescent="0.25">
      <c r="A1609" s="1">
        <f t="shared" si="88"/>
        <v>1608</v>
      </c>
      <c r="B1609" s="1"/>
      <c r="C1609" s="2"/>
      <c r="H1609" s="1" t="str">
        <f t="shared" si="89"/>
        <v>0 г. 0 мес. 0 дн.</v>
      </c>
      <c r="I1609" s="1" t="s">
        <v>39</v>
      </c>
      <c r="V1609" s="1" t="str">
        <f t="shared" si="87"/>
        <v>0 г. 0 мес. 0 дн.</v>
      </c>
      <c r="W1609" s="5"/>
    </row>
    <row r="1610" spans="1:23" ht="34.5" customHeight="1" x14ac:dyDescent="0.25">
      <c r="A1610" s="1">
        <f t="shared" si="88"/>
        <v>1609</v>
      </c>
      <c r="B1610" s="1"/>
      <c r="C1610" s="2"/>
      <c r="H1610" s="1" t="str">
        <f t="shared" si="89"/>
        <v>0 г. 0 мес. 0 дн.</v>
      </c>
      <c r="I1610" s="1" t="s">
        <v>39</v>
      </c>
      <c r="V1610" s="1" t="str">
        <f t="shared" si="87"/>
        <v>0 г. 0 мес. 0 дн.</v>
      </c>
      <c r="W1610" s="5"/>
    </row>
    <row r="1611" spans="1:23" ht="34.5" customHeight="1" x14ac:dyDescent="0.25">
      <c r="A1611" s="1">
        <f t="shared" si="88"/>
        <v>1610</v>
      </c>
      <c r="B1611" s="1"/>
      <c r="C1611" s="2"/>
      <c r="H1611" s="1" t="str">
        <f t="shared" si="89"/>
        <v>0 г. 0 мес. 0 дн.</v>
      </c>
      <c r="I1611" s="1" t="s">
        <v>39</v>
      </c>
      <c r="V1611" s="1" t="str">
        <f t="shared" si="87"/>
        <v>0 г. 0 мес. 0 дн.</v>
      </c>
      <c r="W1611" s="5"/>
    </row>
    <row r="1612" spans="1:23" ht="34.5" customHeight="1" x14ac:dyDescent="0.25">
      <c r="A1612" s="1">
        <f t="shared" si="88"/>
        <v>1611</v>
      </c>
      <c r="B1612" s="1"/>
      <c r="C1612" s="2"/>
      <c r="H1612" s="1" t="str">
        <f t="shared" si="89"/>
        <v>0 г. 0 мес. 0 дн.</v>
      </c>
      <c r="I1612" s="1" t="s">
        <v>39</v>
      </c>
      <c r="V1612" s="1" t="str">
        <f t="shared" si="87"/>
        <v>0 г. 0 мес. 0 дн.</v>
      </c>
      <c r="W1612" s="5"/>
    </row>
    <row r="1613" spans="1:23" ht="34.5" customHeight="1" x14ac:dyDescent="0.25">
      <c r="A1613" s="1">
        <f t="shared" si="88"/>
        <v>1612</v>
      </c>
      <c r="B1613" s="1"/>
      <c r="C1613" s="2"/>
      <c r="H1613" s="1" t="str">
        <f t="shared" si="89"/>
        <v>0 г. 0 мес. 0 дн.</v>
      </c>
      <c r="I1613" s="1" t="s">
        <v>39</v>
      </c>
      <c r="V1613" s="1" t="str">
        <f t="shared" si="87"/>
        <v>0 г. 0 мес. 0 дн.</v>
      </c>
      <c r="W1613" s="5"/>
    </row>
    <row r="1614" spans="1:23" ht="34.5" customHeight="1" x14ac:dyDescent="0.25">
      <c r="A1614" s="1">
        <f t="shared" si="88"/>
        <v>1613</v>
      </c>
      <c r="B1614" s="1"/>
      <c r="C1614" s="2"/>
      <c r="H1614" s="1" t="str">
        <f t="shared" si="89"/>
        <v>0 г. 0 мес. 0 дн.</v>
      </c>
      <c r="I1614" s="1" t="s">
        <v>39</v>
      </c>
      <c r="V1614" s="1" t="str">
        <f t="shared" si="87"/>
        <v>0 г. 0 мес. 0 дн.</v>
      </c>
      <c r="W1614" s="5"/>
    </row>
    <row r="1615" spans="1:23" ht="34.5" customHeight="1" x14ac:dyDescent="0.25">
      <c r="A1615" s="1">
        <f t="shared" si="88"/>
        <v>1614</v>
      </c>
      <c r="B1615" s="1"/>
      <c r="C1615" s="2"/>
      <c r="H1615" s="1" t="str">
        <f t="shared" si="89"/>
        <v>0 г. 0 мес. 0 дн.</v>
      </c>
      <c r="I1615" s="1" t="s">
        <v>39</v>
      </c>
      <c r="V1615" s="1" t="str">
        <f t="shared" si="87"/>
        <v>0 г. 0 мес. 0 дн.</v>
      </c>
      <c r="W1615" s="5"/>
    </row>
    <row r="1616" spans="1:23" ht="34.5" customHeight="1" x14ac:dyDescent="0.25">
      <c r="A1616" s="1">
        <f t="shared" si="88"/>
        <v>1615</v>
      </c>
      <c r="B1616" s="1"/>
      <c r="C1616" s="2"/>
      <c r="H1616" s="1" t="str">
        <f t="shared" si="89"/>
        <v>0 г. 0 мес. 0 дн.</v>
      </c>
      <c r="I1616" s="1" t="s">
        <v>39</v>
      </c>
      <c r="V1616" s="1" t="str">
        <f t="shared" si="87"/>
        <v>0 г. 0 мес. 0 дн.</v>
      </c>
      <c r="W1616" s="5"/>
    </row>
    <row r="1617" spans="1:23" ht="34.5" customHeight="1" x14ac:dyDescent="0.25">
      <c r="A1617" s="1">
        <f t="shared" si="88"/>
        <v>1616</v>
      </c>
      <c r="B1617" s="1"/>
      <c r="C1617" s="2"/>
      <c r="H1617" s="1" t="str">
        <f t="shared" si="89"/>
        <v>0 г. 0 мес. 0 дн.</v>
      </c>
      <c r="I1617" s="1" t="s">
        <v>39</v>
      </c>
      <c r="V1617" s="1" t="str">
        <f t="shared" si="87"/>
        <v>0 г. 0 мес. 0 дн.</v>
      </c>
      <c r="W1617" s="5"/>
    </row>
    <row r="1618" spans="1:23" ht="34.5" customHeight="1" x14ac:dyDescent="0.25">
      <c r="A1618" s="1">
        <f t="shared" si="88"/>
        <v>1617</v>
      </c>
      <c r="B1618" s="1"/>
      <c r="C1618" s="2"/>
      <c r="H1618" s="1" t="str">
        <f t="shared" si="89"/>
        <v>0 г. 0 мес. 0 дн.</v>
      </c>
      <c r="I1618" s="1" t="s">
        <v>39</v>
      </c>
      <c r="V1618" s="1" t="str">
        <f t="shared" si="87"/>
        <v>0 г. 0 мес. 0 дн.</v>
      </c>
      <c r="W1618" s="5"/>
    </row>
    <row r="1619" spans="1:23" ht="34.5" customHeight="1" x14ac:dyDescent="0.25">
      <c r="A1619" s="1">
        <f t="shared" si="88"/>
        <v>1618</v>
      </c>
      <c r="B1619" s="1"/>
      <c r="C1619" s="2"/>
      <c r="H1619" s="1" t="str">
        <f t="shared" si="89"/>
        <v>0 г. 0 мес. 0 дн.</v>
      </c>
      <c r="I1619" s="1" t="s">
        <v>39</v>
      </c>
      <c r="V1619" s="1" t="str">
        <f t="shared" si="87"/>
        <v>0 г. 0 мес. 0 дн.</v>
      </c>
      <c r="W1619" s="5"/>
    </row>
    <row r="1620" spans="1:23" ht="34.5" customHeight="1" x14ac:dyDescent="0.25">
      <c r="A1620" s="1">
        <f t="shared" si="88"/>
        <v>1619</v>
      </c>
      <c r="B1620" s="1"/>
      <c r="C1620" s="2"/>
      <c r="H1620" s="1" t="str">
        <f t="shared" si="89"/>
        <v>0 г. 0 мес. 0 дн.</v>
      </c>
      <c r="I1620" s="1" t="s">
        <v>39</v>
      </c>
      <c r="V1620" s="1" t="str">
        <f t="shared" si="87"/>
        <v>0 г. 0 мес. 0 дн.</v>
      </c>
      <c r="W1620" s="5"/>
    </row>
    <row r="1621" spans="1:23" ht="34.5" customHeight="1" x14ac:dyDescent="0.25">
      <c r="A1621" s="1">
        <f t="shared" si="88"/>
        <v>1620</v>
      </c>
      <c r="B1621" s="1"/>
      <c r="C1621" s="2"/>
      <c r="H1621" s="1" t="str">
        <f t="shared" si="89"/>
        <v>0 г. 0 мес. 0 дн.</v>
      </c>
      <c r="I1621" s="1" t="s">
        <v>39</v>
      </c>
      <c r="V1621" s="1" t="str">
        <f t="shared" si="87"/>
        <v>0 г. 0 мес. 0 дн.</v>
      </c>
      <c r="W1621" s="5"/>
    </row>
    <row r="1622" spans="1:23" ht="34.5" customHeight="1" x14ac:dyDescent="0.25">
      <c r="A1622" s="1">
        <f t="shared" si="88"/>
        <v>1621</v>
      </c>
      <c r="B1622" s="1"/>
      <c r="C1622" s="2"/>
      <c r="H1622" s="1" t="str">
        <f t="shared" si="89"/>
        <v>0 г. 0 мес. 0 дн.</v>
      </c>
      <c r="I1622" s="1" t="s">
        <v>39</v>
      </c>
      <c r="V1622" s="1" t="str">
        <f t="shared" si="87"/>
        <v>0 г. 0 мес. 0 дн.</v>
      </c>
      <c r="W1622" s="5"/>
    </row>
    <row r="1623" spans="1:23" ht="34.5" customHeight="1" x14ac:dyDescent="0.25">
      <c r="A1623" s="1">
        <f t="shared" si="88"/>
        <v>1622</v>
      </c>
      <c r="B1623" s="1"/>
      <c r="C1623" s="2"/>
      <c r="H1623" s="1" t="str">
        <f t="shared" si="89"/>
        <v>0 г. 0 мес. 0 дн.</v>
      </c>
      <c r="I1623" s="1" t="s">
        <v>39</v>
      </c>
      <c r="V1623" s="1" t="str">
        <f t="shared" si="87"/>
        <v>0 г. 0 мес. 0 дн.</v>
      </c>
      <c r="W1623" s="5"/>
    </row>
    <row r="1624" spans="1:23" ht="34.5" customHeight="1" x14ac:dyDescent="0.25">
      <c r="A1624" s="1">
        <f t="shared" si="88"/>
        <v>1623</v>
      </c>
      <c r="B1624" s="1"/>
      <c r="C1624" s="2"/>
      <c r="H1624" s="1" t="str">
        <f t="shared" si="89"/>
        <v>0 г. 0 мес. 0 дн.</v>
      </c>
      <c r="I1624" s="1" t="s">
        <v>39</v>
      </c>
      <c r="V1624" s="1" t="str">
        <f t="shared" si="87"/>
        <v>0 г. 0 мес. 0 дн.</v>
      </c>
      <c r="W1624" s="5"/>
    </row>
    <row r="1625" spans="1:23" ht="34.5" customHeight="1" x14ac:dyDescent="0.25">
      <c r="A1625" s="1">
        <f t="shared" si="88"/>
        <v>1624</v>
      </c>
      <c r="B1625" s="1"/>
      <c r="C1625" s="2"/>
      <c r="H1625" s="1" t="str">
        <f t="shared" si="89"/>
        <v>0 г. 0 мес. 0 дн.</v>
      </c>
      <c r="I1625" s="1" t="s">
        <v>39</v>
      </c>
      <c r="V1625" s="1" t="str">
        <f t="shared" si="87"/>
        <v>0 г. 0 мес. 0 дн.</v>
      </c>
      <c r="W1625" s="5"/>
    </row>
    <row r="1626" spans="1:23" ht="34.5" customHeight="1" x14ac:dyDescent="0.25">
      <c r="A1626" s="1">
        <f t="shared" si="88"/>
        <v>1625</v>
      </c>
      <c r="B1626" s="1"/>
      <c r="C1626" s="2"/>
      <c r="H1626" s="1" t="str">
        <f t="shared" si="89"/>
        <v>0 г. 0 мес. 0 дн.</v>
      </c>
      <c r="I1626" s="1" t="s">
        <v>39</v>
      </c>
      <c r="V1626" s="1" t="str">
        <f t="shared" si="87"/>
        <v>0 г. 0 мес. 0 дн.</v>
      </c>
      <c r="W1626" s="5"/>
    </row>
    <row r="1627" spans="1:23" ht="34.5" customHeight="1" x14ac:dyDescent="0.25">
      <c r="A1627" s="1">
        <f t="shared" si="88"/>
        <v>1626</v>
      </c>
      <c r="B1627" s="1"/>
      <c r="C1627" s="2"/>
      <c r="H1627" s="1" t="str">
        <f t="shared" si="89"/>
        <v>0 г. 0 мес. 0 дн.</v>
      </c>
      <c r="I1627" s="1" t="s">
        <v>39</v>
      </c>
      <c r="V1627" s="1" t="str">
        <f t="shared" si="87"/>
        <v>0 г. 0 мес. 0 дн.</v>
      </c>
      <c r="W1627" s="5"/>
    </row>
    <row r="1628" spans="1:23" ht="34.5" customHeight="1" x14ac:dyDescent="0.25">
      <c r="A1628" s="1">
        <f t="shared" si="88"/>
        <v>1627</v>
      </c>
      <c r="B1628" s="1"/>
      <c r="C1628" s="2"/>
      <c r="H1628" s="1" t="str">
        <f t="shared" si="89"/>
        <v>0 г. 0 мес. 0 дн.</v>
      </c>
      <c r="I1628" s="1" t="s">
        <v>39</v>
      </c>
      <c r="V1628" s="1" t="str">
        <f t="shared" si="87"/>
        <v>0 г. 0 мес. 0 дн.</v>
      </c>
      <c r="W1628" s="5"/>
    </row>
    <row r="1629" spans="1:23" ht="34.5" customHeight="1" x14ac:dyDescent="0.25">
      <c r="A1629" s="1">
        <f t="shared" si="88"/>
        <v>1628</v>
      </c>
      <c r="B1629" s="1"/>
      <c r="C1629" s="2"/>
      <c r="H1629" s="1" t="str">
        <f t="shared" si="89"/>
        <v>0 г. 0 мес. 0 дн.</v>
      </c>
      <c r="I1629" s="1" t="s">
        <v>39</v>
      </c>
      <c r="V1629" s="1" t="str">
        <f t="shared" si="87"/>
        <v>0 г. 0 мес. 0 дн.</v>
      </c>
      <c r="W1629" s="5"/>
    </row>
    <row r="1630" spans="1:23" ht="34.5" customHeight="1" x14ac:dyDescent="0.25">
      <c r="A1630" s="1">
        <f t="shared" si="88"/>
        <v>1629</v>
      </c>
      <c r="B1630" s="1"/>
      <c r="C1630" s="2"/>
      <c r="H1630" s="1" t="str">
        <f t="shared" si="89"/>
        <v>0 г. 0 мес. 0 дн.</v>
      </c>
      <c r="I1630" s="1" t="s">
        <v>39</v>
      </c>
      <c r="V1630" s="1" t="str">
        <f t="shared" si="87"/>
        <v>0 г. 0 мес. 0 дн.</v>
      </c>
      <c r="W1630" s="5"/>
    </row>
    <row r="1631" spans="1:23" ht="34.5" customHeight="1" x14ac:dyDescent="0.25">
      <c r="A1631" s="1">
        <f t="shared" si="88"/>
        <v>1630</v>
      </c>
      <c r="B1631" s="1"/>
      <c r="C1631" s="2"/>
      <c r="H1631" s="1" t="str">
        <f t="shared" si="89"/>
        <v>0 г. 0 мес. 0 дн.</v>
      </c>
      <c r="I1631" s="1" t="s">
        <v>39</v>
      </c>
      <c r="V1631" s="1" t="str">
        <f t="shared" si="87"/>
        <v>0 г. 0 мес. 0 дн.</v>
      </c>
      <c r="W1631" s="5"/>
    </row>
    <row r="1632" spans="1:23" ht="34.5" customHeight="1" x14ac:dyDescent="0.25">
      <c r="A1632" s="1">
        <f t="shared" si="88"/>
        <v>1631</v>
      </c>
      <c r="B1632" s="1"/>
      <c r="C1632" s="2"/>
      <c r="H1632" s="1" t="str">
        <f t="shared" si="89"/>
        <v>0 г. 0 мес. 0 дн.</v>
      </c>
      <c r="I1632" s="1" t="s">
        <v>39</v>
      </c>
      <c r="V1632" s="1" t="str">
        <f t="shared" si="87"/>
        <v>0 г. 0 мес. 0 дн.</v>
      </c>
      <c r="W1632" s="5"/>
    </row>
    <row r="1633" spans="1:23" ht="34.5" customHeight="1" x14ac:dyDescent="0.25">
      <c r="A1633" s="1">
        <f t="shared" si="88"/>
        <v>1632</v>
      </c>
      <c r="B1633" s="1"/>
      <c r="C1633" s="2"/>
      <c r="H1633" s="1" t="str">
        <f t="shared" si="89"/>
        <v>0 г. 0 мес. 0 дн.</v>
      </c>
      <c r="I1633" s="1" t="s">
        <v>39</v>
      </c>
      <c r="V1633" s="1" t="str">
        <f t="shared" si="87"/>
        <v>0 г. 0 мес. 0 дн.</v>
      </c>
      <c r="W1633" s="5"/>
    </row>
    <row r="1634" spans="1:23" ht="34.5" customHeight="1" x14ac:dyDescent="0.25">
      <c r="A1634" s="1">
        <f t="shared" si="88"/>
        <v>1633</v>
      </c>
      <c r="B1634" s="1"/>
      <c r="C1634" s="2"/>
      <c r="H1634" s="1" t="str">
        <f t="shared" si="89"/>
        <v>0 г. 0 мес. 0 дн.</v>
      </c>
      <c r="I1634" s="1" t="s">
        <v>39</v>
      </c>
      <c r="V1634" s="1" t="str">
        <f t="shared" si="87"/>
        <v>0 г. 0 мес. 0 дн.</v>
      </c>
      <c r="W1634" s="5"/>
    </row>
    <row r="1635" spans="1:23" ht="34.5" customHeight="1" x14ac:dyDescent="0.25">
      <c r="A1635" s="1">
        <f t="shared" si="88"/>
        <v>1634</v>
      </c>
      <c r="B1635" s="1"/>
      <c r="C1635" s="2"/>
      <c r="H1635" s="1" t="str">
        <f t="shared" si="89"/>
        <v>0 г. 0 мес. 0 дн.</v>
      </c>
      <c r="I1635" s="1" t="s">
        <v>39</v>
      </c>
      <c r="V1635" s="1" t="str">
        <f t="shared" si="87"/>
        <v>0 г. 0 мес. 0 дн.</v>
      </c>
      <c r="W1635" s="5"/>
    </row>
    <row r="1636" spans="1:23" ht="34.5" customHeight="1" x14ac:dyDescent="0.25">
      <c r="A1636" s="1">
        <f t="shared" si="88"/>
        <v>1635</v>
      </c>
      <c r="B1636" s="1"/>
      <c r="C1636" s="2"/>
      <c r="H1636" s="1" t="str">
        <f t="shared" si="89"/>
        <v>0 г. 0 мес. 0 дн.</v>
      </c>
      <c r="I1636" s="1" t="s">
        <v>39</v>
      </c>
      <c r="V1636" s="1" t="str">
        <f t="shared" si="87"/>
        <v>0 г. 0 мес. 0 дн.</v>
      </c>
      <c r="W1636" s="5"/>
    </row>
    <row r="1637" spans="1:23" ht="34.5" customHeight="1" x14ac:dyDescent="0.25">
      <c r="A1637" s="1">
        <f t="shared" si="88"/>
        <v>1636</v>
      </c>
      <c r="B1637" s="1"/>
      <c r="C1637" s="2"/>
      <c r="H1637" s="1" t="str">
        <f t="shared" si="89"/>
        <v>0 г. 0 мес. 0 дн.</v>
      </c>
      <c r="I1637" s="1" t="s">
        <v>39</v>
      </c>
      <c r="V1637" s="1" t="str">
        <f t="shared" si="87"/>
        <v>0 г. 0 мес. 0 дн.</v>
      </c>
      <c r="W1637" s="5"/>
    </row>
    <row r="1638" spans="1:23" ht="34.5" customHeight="1" x14ac:dyDescent="0.25">
      <c r="A1638" s="1">
        <f t="shared" si="88"/>
        <v>1637</v>
      </c>
      <c r="B1638" s="1"/>
      <c r="C1638" s="2"/>
      <c r="H1638" s="1" t="str">
        <f t="shared" si="89"/>
        <v>0 г. 0 мес. 0 дн.</v>
      </c>
      <c r="I1638" s="1" t="s">
        <v>39</v>
      </c>
      <c r="V1638" s="1" t="str">
        <f t="shared" si="87"/>
        <v>0 г. 0 мес. 0 дн.</v>
      </c>
      <c r="W1638" s="5"/>
    </row>
    <row r="1639" spans="1:23" ht="34.5" customHeight="1" x14ac:dyDescent="0.25">
      <c r="A1639" s="1">
        <f t="shared" si="88"/>
        <v>1638</v>
      </c>
      <c r="B1639" s="1"/>
      <c r="C1639" s="2"/>
      <c r="H1639" s="1" t="str">
        <f t="shared" si="89"/>
        <v>0 г. 0 мес. 0 дн.</v>
      </c>
      <c r="I1639" s="1" t="s">
        <v>39</v>
      </c>
      <c r="V1639" s="1" t="str">
        <f t="shared" si="87"/>
        <v>0 г. 0 мес. 0 дн.</v>
      </c>
      <c r="W1639" s="5"/>
    </row>
    <row r="1640" spans="1:23" ht="34.5" customHeight="1" x14ac:dyDescent="0.25">
      <c r="A1640" s="1">
        <f t="shared" si="88"/>
        <v>1639</v>
      </c>
      <c r="B1640" s="1"/>
      <c r="C1640" s="2"/>
      <c r="H1640" s="1" t="str">
        <f t="shared" si="89"/>
        <v>0 г. 0 мес. 0 дн.</v>
      </c>
      <c r="I1640" s="1" t="s">
        <v>39</v>
      </c>
      <c r="V1640" s="1" t="str">
        <f t="shared" si="87"/>
        <v>0 г. 0 мес. 0 дн.</v>
      </c>
      <c r="W1640" s="5"/>
    </row>
    <row r="1641" spans="1:23" ht="34.5" customHeight="1" x14ac:dyDescent="0.25">
      <c r="A1641" s="1">
        <f t="shared" si="88"/>
        <v>1640</v>
      </c>
      <c r="B1641" s="1"/>
      <c r="C1641" s="2"/>
      <c r="H1641" s="1" t="str">
        <f t="shared" si="89"/>
        <v>0 г. 0 мес. 0 дн.</v>
      </c>
      <c r="I1641" s="1" t="s">
        <v>39</v>
      </c>
      <c r="V1641" s="1" t="str">
        <f t="shared" si="87"/>
        <v>0 г. 0 мес. 0 дн.</v>
      </c>
      <c r="W1641" s="5"/>
    </row>
    <row r="1642" spans="1:23" ht="34.5" customHeight="1" x14ac:dyDescent="0.25">
      <c r="A1642" s="1">
        <f t="shared" si="88"/>
        <v>1641</v>
      </c>
      <c r="B1642" s="1"/>
      <c r="C1642" s="2"/>
      <c r="H1642" s="1" t="str">
        <f t="shared" si="89"/>
        <v>0 г. 0 мес. 0 дн.</v>
      </c>
      <c r="I1642" s="1" t="s">
        <v>39</v>
      </c>
      <c r="V1642" s="1" t="str">
        <f t="shared" si="87"/>
        <v>0 г. 0 мес. 0 дн.</v>
      </c>
      <c r="W1642" s="5"/>
    </row>
    <row r="1643" spans="1:23" ht="34.5" customHeight="1" x14ac:dyDescent="0.25">
      <c r="A1643" s="1">
        <f t="shared" si="88"/>
        <v>1642</v>
      </c>
      <c r="B1643" s="1"/>
      <c r="C1643" s="2"/>
      <c r="H1643" s="1" t="str">
        <f t="shared" si="89"/>
        <v>0 г. 0 мес. 0 дн.</v>
      </c>
      <c r="I1643" s="1" t="s">
        <v>39</v>
      </c>
      <c r="V1643" s="1" t="str">
        <f t="shared" si="87"/>
        <v>0 г. 0 мес. 0 дн.</v>
      </c>
      <c r="W1643" s="5"/>
    </row>
    <row r="1644" spans="1:23" ht="34.5" customHeight="1" x14ac:dyDescent="0.25">
      <c r="A1644" s="1">
        <f t="shared" si="88"/>
        <v>1643</v>
      </c>
      <c r="B1644" s="1"/>
      <c r="C1644" s="2"/>
      <c r="H1644" s="1" t="str">
        <f t="shared" si="89"/>
        <v>0 г. 0 мес. 0 дн.</v>
      </c>
      <c r="I1644" s="1" t="s">
        <v>39</v>
      </c>
      <c r="V1644" s="1" t="str">
        <f t="shared" si="87"/>
        <v>0 г. 0 мес. 0 дн.</v>
      </c>
      <c r="W1644" s="5"/>
    </row>
    <row r="1645" spans="1:23" ht="34.5" customHeight="1" x14ac:dyDescent="0.25">
      <c r="A1645" s="1">
        <f t="shared" si="88"/>
        <v>1644</v>
      </c>
      <c r="B1645" s="1"/>
      <c r="C1645" s="2"/>
      <c r="H1645" s="1" t="str">
        <f t="shared" si="89"/>
        <v>0 г. 0 мес. 0 дн.</v>
      </c>
      <c r="I1645" s="1" t="s">
        <v>39</v>
      </c>
      <c r="V1645" s="1" t="str">
        <f t="shared" si="87"/>
        <v>0 г. 0 мес. 0 дн.</v>
      </c>
      <c r="W1645" s="5"/>
    </row>
    <row r="1646" spans="1:23" ht="34.5" customHeight="1" x14ac:dyDescent="0.25">
      <c r="A1646" s="1">
        <f t="shared" si="88"/>
        <v>1645</v>
      </c>
      <c r="B1646" s="1"/>
      <c r="C1646" s="2"/>
      <c r="H1646" s="1" t="str">
        <f t="shared" si="89"/>
        <v>0 г. 0 мес. 0 дн.</v>
      </c>
      <c r="I1646" s="1" t="s">
        <v>39</v>
      </c>
      <c r="V1646" s="1" t="str">
        <f t="shared" si="87"/>
        <v>0 г. 0 мес. 0 дн.</v>
      </c>
      <c r="W1646" s="5"/>
    </row>
    <row r="1647" spans="1:23" ht="34.5" customHeight="1" x14ac:dyDescent="0.25">
      <c r="A1647" s="1">
        <f t="shared" si="88"/>
        <v>1646</v>
      </c>
      <c r="B1647" s="1"/>
      <c r="C1647" s="2"/>
      <c r="H1647" s="1" t="str">
        <f t="shared" si="89"/>
        <v>0 г. 0 мес. 0 дн.</v>
      </c>
      <c r="I1647" s="1" t="s">
        <v>39</v>
      </c>
      <c r="V1647" s="1" t="str">
        <f t="shared" si="87"/>
        <v>0 г. 0 мес. 0 дн.</v>
      </c>
      <c r="W1647" s="5"/>
    </row>
    <row r="1648" spans="1:23" ht="34.5" customHeight="1" x14ac:dyDescent="0.25">
      <c r="A1648" s="1">
        <f t="shared" si="88"/>
        <v>1647</v>
      </c>
      <c r="B1648" s="1"/>
      <c r="C1648" s="2"/>
      <c r="H1648" s="1" t="str">
        <f t="shared" si="89"/>
        <v>0 г. 0 мес. 0 дн.</v>
      </c>
      <c r="I1648" s="1" t="s">
        <v>39</v>
      </c>
      <c r="V1648" s="1" t="str">
        <f t="shared" si="87"/>
        <v>0 г. 0 мес. 0 дн.</v>
      </c>
      <c r="W1648" s="5"/>
    </row>
    <row r="1649" spans="1:23" ht="34.5" customHeight="1" x14ac:dyDescent="0.25">
      <c r="A1649" s="1">
        <f t="shared" si="88"/>
        <v>1648</v>
      </c>
      <c r="B1649" s="1"/>
      <c r="C1649" s="2"/>
      <c r="H1649" s="1" t="str">
        <f t="shared" si="89"/>
        <v>0 г. 0 мес. 0 дн.</v>
      </c>
      <c r="I1649" s="1" t="s">
        <v>39</v>
      </c>
      <c r="V1649" s="1" t="str">
        <f t="shared" ref="V1649:V1712" si="90">DATEDIF(D1649,T1649,"y") &amp; " г. " &amp; DATEDIF(D1649,T1649,"ym") &amp; " мес. " &amp; DATEDIF(D1649,T1649,"md") &amp; " дн."</f>
        <v>0 г. 0 мес. 0 дн.</v>
      </c>
      <c r="W1649" s="5"/>
    </row>
    <row r="1650" spans="1:23" ht="34.5" customHeight="1" x14ac:dyDescent="0.25">
      <c r="A1650" s="1">
        <f t="shared" si="88"/>
        <v>1649</v>
      </c>
      <c r="B1650" s="1"/>
      <c r="C1650" s="2"/>
      <c r="H1650" s="1" t="str">
        <f t="shared" si="89"/>
        <v>0 г. 0 мес. 0 дн.</v>
      </c>
      <c r="I1650" s="1" t="s">
        <v>39</v>
      </c>
      <c r="V1650" s="1" t="str">
        <f t="shared" si="90"/>
        <v>0 г. 0 мес. 0 дн.</v>
      </c>
      <c r="W1650" s="5"/>
    </row>
    <row r="1651" spans="1:23" ht="34.5" customHeight="1" x14ac:dyDescent="0.25">
      <c r="A1651" s="1">
        <f t="shared" si="88"/>
        <v>1650</v>
      </c>
      <c r="B1651" s="1"/>
      <c r="C1651" s="2"/>
      <c r="H1651" s="1" t="str">
        <f t="shared" si="89"/>
        <v>0 г. 0 мес. 0 дн.</v>
      </c>
      <c r="I1651" s="1" t="s">
        <v>39</v>
      </c>
      <c r="V1651" s="1" t="str">
        <f t="shared" si="90"/>
        <v>0 г. 0 мес. 0 дн.</v>
      </c>
      <c r="W1651" s="5"/>
    </row>
    <row r="1652" spans="1:23" ht="34.5" customHeight="1" x14ac:dyDescent="0.25">
      <c r="A1652" s="1">
        <f t="shared" si="88"/>
        <v>1651</v>
      </c>
      <c r="B1652" s="1"/>
      <c r="C1652" s="2"/>
      <c r="H1652" s="1" t="str">
        <f t="shared" si="89"/>
        <v>0 г. 0 мес. 0 дн.</v>
      </c>
      <c r="I1652" s="1" t="s">
        <v>39</v>
      </c>
      <c r="V1652" s="1" t="str">
        <f t="shared" si="90"/>
        <v>0 г. 0 мес. 0 дн.</v>
      </c>
      <c r="W1652" s="5"/>
    </row>
    <row r="1653" spans="1:23" ht="34.5" customHeight="1" x14ac:dyDescent="0.25">
      <c r="A1653" s="1">
        <f t="shared" si="88"/>
        <v>1652</v>
      </c>
      <c r="B1653" s="1"/>
      <c r="C1653" s="2"/>
      <c r="H1653" s="1" t="str">
        <f t="shared" si="89"/>
        <v>0 г. 0 мес. 0 дн.</v>
      </c>
      <c r="I1653" s="1" t="s">
        <v>39</v>
      </c>
      <c r="V1653" s="1" t="str">
        <f t="shared" si="90"/>
        <v>0 г. 0 мес. 0 дн.</v>
      </c>
      <c r="W1653" s="5"/>
    </row>
    <row r="1654" spans="1:23" ht="34.5" customHeight="1" x14ac:dyDescent="0.25">
      <c r="A1654" s="1">
        <f t="shared" si="88"/>
        <v>1653</v>
      </c>
      <c r="B1654" s="1"/>
      <c r="C1654" s="2"/>
      <c r="H1654" s="1" t="str">
        <f t="shared" si="89"/>
        <v>0 г. 0 мес. 0 дн.</v>
      </c>
      <c r="I1654" s="1" t="s">
        <v>39</v>
      </c>
      <c r="V1654" s="1" t="str">
        <f t="shared" si="90"/>
        <v>0 г. 0 мес. 0 дн.</v>
      </c>
      <c r="W1654" s="5"/>
    </row>
    <row r="1655" spans="1:23" ht="34.5" customHeight="1" x14ac:dyDescent="0.25">
      <c r="A1655" s="1">
        <f t="shared" si="88"/>
        <v>1654</v>
      </c>
      <c r="B1655" s="1"/>
      <c r="C1655" s="2"/>
      <c r="H1655" s="1" t="str">
        <f t="shared" si="89"/>
        <v>0 г. 0 мес. 0 дн.</v>
      </c>
      <c r="I1655" s="1" t="s">
        <v>39</v>
      </c>
      <c r="V1655" s="1" t="str">
        <f t="shared" si="90"/>
        <v>0 г. 0 мес. 0 дн.</v>
      </c>
      <c r="W1655" s="5"/>
    </row>
    <row r="1656" spans="1:23" ht="34.5" customHeight="1" x14ac:dyDescent="0.25">
      <c r="A1656" s="1">
        <f t="shared" si="88"/>
        <v>1655</v>
      </c>
      <c r="B1656" s="1"/>
      <c r="C1656" s="2"/>
      <c r="H1656" s="1" t="str">
        <f t="shared" si="89"/>
        <v>0 г. 0 мес. 0 дн.</v>
      </c>
      <c r="I1656" s="1" t="s">
        <v>39</v>
      </c>
      <c r="V1656" s="1" t="str">
        <f t="shared" si="90"/>
        <v>0 г. 0 мес. 0 дн.</v>
      </c>
      <c r="W1656" s="5"/>
    </row>
    <row r="1657" spans="1:23" ht="34.5" customHeight="1" x14ac:dyDescent="0.25">
      <c r="A1657" s="1">
        <f t="shared" si="88"/>
        <v>1656</v>
      </c>
      <c r="B1657" s="1"/>
      <c r="C1657" s="2"/>
      <c r="H1657" s="1" t="str">
        <f t="shared" si="89"/>
        <v>0 г. 0 мес. 0 дн.</v>
      </c>
      <c r="I1657" s="1" t="s">
        <v>39</v>
      </c>
      <c r="V1657" s="1" t="str">
        <f t="shared" si="90"/>
        <v>0 г. 0 мес. 0 дн.</v>
      </c>
      <c r="W1657" s="5"/>
    </row>
    <row r="1658" spans="1:23" ht="34.5" customHeight="1" x14ac:dyDescent="0.25">
      <c r="A1658" s="1">
        <f t="shared" si="88"/>
        <v>1657</v>
      </c>
      <c r="B1658" s="1"/>
      <c r="C1658" s="2"/>
      <c r="H1658" s="1" t="str">
        <f t="shared" si="89"/>
        <v>0 г. 0 мес. 0 дн.</v>
      </c>
      <c r="I1658" s="1" t="s">
        <v>39</v>
      </c>
      <c r="V1658" s="1" t="str">
        <f t="shared" si="90"/>
        <v>0 г. 0 мес. 0 дн.</v>
      </c>
      <c r="W1658" s="5"/>
    </row>
    <row r="1659" spans="1:23" ht="34.5" customHeight="1" x14ac:dyDescent="0.25">
      <c r="A1659" s="1">
        <f t="shared" si="88"/>
        <v>1658</v>
      </c>
      <c r="B1659" s="1"/>
      <c r="C1659" s="2"/>
      <c r="H1659" s="1" t="str">
        <f t="shared" si="89"/>
        <v>0 г. 0 мес. 0 дн.</v>
      </c>
      <c r="I1659" s="1" t="s">
        <v>39</v>
      </c>
      <c r="V1659" s="1" t="str">
        <f t="shared" si="90"/>
        <v>0 г. 0 мес. 0 дн.</v>
      </c>
      <c r="W1659" s="5"/>
    </row>
    <row r="1660" spans="1:23" ht="34.5" customHeight="1" x14ac:dyDescent="0.25">
      <c r="A1660" s="1">
        <f t="shared" si="88"/>
        <v>1659</v>
      </c>
      <c r="B1660" s="1"/>
      <c r="C1660" s="2"/>
      <c r="H1660" s="1" t="str">
        <f t="shared" si="89"/>
        <v>0 г. 0 мес. 0 дн.</v>
      </c>
      <c r="I1660" s="1" t="s">
        <v>39</v>
      </c>
      <c r="V1660" s="1" t="str">
        <f t="shared" si="90"/>
        <v>0 г. 0 мес. 0 дн.</v>
      </c>
      <c r="W1660" s="5"/>
    </row>
    <row r="1661" spans="1:23" ht="34.5" customHeight="1" x14ac:dyDescent="0.25">
      <c r="A1661" s="1">
        <f t="shared" si="88"/>
        <v>1660</v>
      </c>
      <c r="B1661" s="1"/>
      <c r="C1661" s="2"/>
      <c r="H1661" s="1" t="str">
        <f t="shared" si="89"/>
        <v>0 г. 0 мес. 0 дн.</v>
      </c>
      <c r="I1661" s="1" t="s">
        <v>39</v>
      </c>
      <c r="V1661" s="1" t="str">
        <f t="shared" si="90"/>
        <v>0 г. 0 мес. 0 дн.</v>
      </c>
      <c r="W1661" s="5"/>
    </row>
    <row r="1662" spans="1:23" ht="34.5" customHeight="1" x14ac:dyDescent="0.25">
      <c r="A1662" s="1">
        <f t="shared" si="88"/>
        <v>1661</v>
      </c>
      <c r="B1662" s="1"/>
      <c r="C1662" s="2"/>
      <c r="H1662" s="1" t="str">
        <f t="shared" si="89"/>
        <v>0 г. 0 мес. 0 дн.</v>
      </c>
      <c r="I1662" s="1" t="s">
        <v>39</v>
      </c>
      <c r="V1662" s="1" t="str">
        <f t="shared" si="90"/>
        <v>0 г. 0 мес. 0 дн.</v>
      </c>
      <c r="W1662" s="5"/>
    </row>
    <row r="1663" spans="1:23" ht="34.5" customHeight="1" x14ac:dyDescent="0.25">
      <c r="A1663" s="1">
        <f t="shared" si="88"/>
        <v>1662</v>
      </c>
      <c r="B1663" s="1"/>
      <c r="C1663" s="2"/>
      <c r="H1663" s="1" t="str">
        <f t="shared" si="89"/>
        <v>0 г. 0 мес. 0 дн.</v>
      </c>
      <c r="I1663" s="1" t="s">
        <v>39</v>
      </c>
      <c r="V1663" s="1" t="str">
        <f t="shared" si="90"/>
        <v>0 г. 0 мес. 0 дн.</v>
      </c>
      <c r="W1663" s="5"/>
    </row>
    <row r="1664" spans="1:23" ht="34.5" customHeight="1" x14ac:dyDescent="0.25">
      <c r="A1664" s="1">
        <f t="shared" ref="A1664:A1727" si="91">ROW(A1663)</f>
        <v>1663</v>
      </c>
      <c r="B1664" s="1"/>
      <c r="C1664" s="2"/>
      <c r="H1664" s="1" t="str">
        <f t="shared" si="89"/>
        <v>0 г. 0 мес. 0 дн.</v>
      </c>
      <c r="I1664" s="1" t="s">
        <v>39</v>
      </c>
      <c r="V1664" s="1" t="str">
        <f t="shared" si="90"/>
        <v>0 г. 0 мес. 0 дн.</v>
      </c>
      <c r="W1664" s="5"/>
    </row>
    <row r="1665" spans="1:23" ht="34.5" customHeight="1" x14ac:dyDescent="0.25">
      <c r="A1665" s="1">
        <f t="shared" si="91"/>
        <v>1664</v>
      </c>
      <c r="B1665" s="1"/>
      <c r="C1665" s="2"/>
      <c r="H1665" s="1" t="str">
        <f t="shared" si="89"/>
        <v>0 г. 0 мес. 0 дн.</v>
      </c>
      <c r="I1665" s="1" t="s">
        <v>39</v>
      </c>
      <c r="V1665" s="1" t="str">
        <f t="shared" si="90"/>
        <v>0 г. 0 мес. 0 дн.</v>
      </c>
      <c r="W1665" s="5"/>
    </row>
    <row r="1666" spans="1:23" ht="34.5" customHeight="1" x14ac:dyDescent="0.25">
      <c r="A1666" s="1">
        <f t="shared" si="91"/>
        <v>1665</v>
      </c>
      <c r="B1666" s="1"/>
      <c r="C1666" s="2"/>
      <c r="H1666" s="1" t="str">
        <f t="shared" ref="H1666:H1729" si="92">DATEDIF(G1666,D1666,"y") &amp; " г. " &amp; DATEDIF(G1666,D1666,"ym") &amp; " мес. " &amp; DATEDIF(G1666,D1666,"md") &amp; " дн."</f>
        <v>0 г. 0 мес. 0 дн.</v>
      </c>
      <c r="I1666" s="1" t="s">
        <v>39</v>
      </c>
      <c r="V1666" s="1" t="str">
        <f t="shared" si="90"/>
        <v>0 г. 0 мес. 0 дн.</v>
      </c>
      <c r="W1666" s="5"/>
    </row>
    <row r="1667" spans="1:23" ht="34.5" customHeight="1" x14ac:dyDescent="0.25">
      <c r="A1667" s="1">
        <f t="shared" si="91"/>
        <v>1666</v>
      </c>
      <c r="B1667" s="1"/>
      <c r="C1667" s="2"/>
      <c r="H1667" s="1" t="str">
        <f t="shared" si="92"/>
        <v>0 г. 0 мес. 0 дн.</v>
      </c>
      <c r="I1667" s="1" t="s">
        <v>39</v>
      </c>
      <c r="V1667" s="1" t="str">
        <f t="shared" si="90"/>
        <v>0 г. 0 мес. 0 дн.</v>
      </c>
      <c r="W1667" s="5"/>
    </row>
    <row r="1668" spans="1:23" ht="34.5" customHeight="1" x14ac:dyDescent="0.25">
      <c r="A1668" s="1">
        <f t="shared" si="91"/>
        <v>1667</v>
      </c>
      <c r="B1668" s="1"/>
      <c r="C1668" s="2"/>
      <c r="H1668" s="1" t="str">
        <f t="shared" si="92"/>
        <v>0 г. 0 мес. 0 дн.</v>
      </c>
      <c r="I1668" s="1" t="s">
        <v>39</v>
      </c>
      <c r="V1668" s="1" t="str">
        <f t="shared" si="90"/>
        <v>0 г. 0 мес. 0 дн.</v>
      </c>
      <c r="W1668" s="5"/>
    </row>
    <row r="1669" spans="1:23" ht="34.5" customHeight="1" x14ac:dyDescent="0.25">
      <c r="A1669" s="1">
        <f t="shared" si="91"/>
        <v>1668</v>
      </c>
      <c r="B1669" s="1"/>
      <c r="C1669" s="2"/>
      <c r="H1669" s="1" t="str">
        <f t="shared" si="92"/>
        <v>0 г. 0 мес. 0 дн.</v>
      </c>
      <c r="I1669" s="1" t="s">
        <v>39</v>
      </c>
      <c r="V1669" s="1" t="str">
        <f t="shared" si="90"/>
        <v>0 г. 0 мес. 0 дн.</v>
      </c>
      <c r="W1669" s="5"/>
    </row>
    <row r="1670" spans="1:23" ht="34.5" customHeight="1" x14ac:dyDescent="0.25">
      <c r="A1670" s="1">
        <f t="shared" si="91"/>
        <v>1669</v>
      </c>
      <c r="B1670" s="1"/>
      <c r="C1670" s="2"/>
      <c r="H1670" s="1" t="str">
        <f t="shared" si="92"/>
        <v>0 г. 0 мес. 0 дн.</v>
      </c>
      <c r="I1670" s="1" t="s">
        <v>39</v>
      </c>
      <c r="V1670" s="1" t="str">
        <f t="shared" si="90"/>
        <v>0 г. 0 мес. 0 дн.</v>
      </c>
      <c r="W1670" s="5"/>
    </row>
    <row r="1671" spans="1:23" ht="34.5" customHeight="1" x14ac:dyDescent="0.25">
      <c r="A1671" s="1">
        <f t="shared" si="91"/>
        <v>1670</v>
      </c>
      <c r="B1671" s="1"/>
      <c r="C1671" s="2"/>
      <c r="H1671" s="1" t="str">
        <f t="shared" si="92"/>
        <v>0 г. 0 мес. 0 дн.</v>
      </c>
      <c r="I1671" s="1" t="s">
        <v>39</v>
      </c>
      <c r="V1671" s="1" t="str">
        <f t="shared" si="90"/>
        <v>0 г. 0 мес. 0 дн.</v>
      </c>
      <c r="W1671" s="5"/>
    </row>
    <row r="1672" spans="1:23" ht="34.5" customHeight="1" x14ac:dyDescent="0.25">
      <c r="A1672" s="1">
        <f t="shared" si="91"/>
        <v>1671</v>
      </c>
      <c r="B1672" s="1"/>
      <c r="C1672" s="2"/>
      <c r="H1672" s="1" t="str">
        <f t="shared" si="92"/>
        <v>0 г. 0 мес. 0 дн.</v>
      </c>
      <c r="I1672" s="1" t="s">
        <v>39</v>
      </c>
      <c r="V1672" s="1" t="str">
        <f t="shared" si="90"/>
        <v>0 г. 0 мес. 0 дн.</v>
      </c>
      <c r="W1672" s="5"/>
    </row>
    <row r="1673" spans="1:23" ht="34.5" customHeight="1" x14ac:dyDescent="0.25">
      <c r="A1673" s="1">
        <f t="shared" si="91"/>
        <v>1672</v>
      </c>
      <c r="B1673" s="1"/>
      <c r="C1673" s="2"/>
      <c r="H1673" s="1" t="str">
        <f t="shared" si="92"/>
        <v>0 г. 0 мес. 0 дн.</v>
      </c>
      <c r="I1673" s="1" t="s">
        <v>39</v>
      </c>
      <c r="V1673" s="1" t="str">
        <f t="shared" si="90"/>
        <v>0 г. 0 мес. 0 дн.</v>
      </c>
      <c r="W1673" s="5"/>
    </row>
    <row r="1674" spans="1:23" ht="34.5" customHeight="1" x14ac:dyDescent="0.25">
      <c r="A1674" s="1">
        <f t="shared" si="91"/>
        <v>1673</v>
      </c>
      <c r="B1674" s="1"/>
      <c r="C1674" s="2"/>
      <c r="H1674" s="1" t="str">
        <f t="shared" si="92"/>
        <v>0 г. 0 мес. 0 дн.</v>
      </c>
      <c r="I1674" s="1" t="s">
        <v>39</v>
      </c>
      <c r="V1674" s="1" t="str">
        <f t="shared" si="90"/>
        <v>0 г. 0 мес. 0 дн.</v>
      </c>
      <c r="W1674" s="5"/>
    </row>
    <row r="1675" spans="1:23" ht="34.5" customHeight="1" x14ac:dyDescent="0.25">
      <c r="A1675" s="1">
        <f t="shared" si="91"/>
        <v>1674</v>
      </c>
      <c r="B1675" s="1"/>
      <c r="C1675" s="2"/>
      <c r="H1675" s="1" t="str">
        <f t="shared" si="92"/>
        <v>0 г. 0 мес. 0 дн.</v>
      </c>
      <c r="I1675" s="1" t="s">
        <v>39</v>
      </c>
      <c r="V1675" s="1" t="str">
        <f t="shared" si="90"/>
        <v>0 г. 0 мес. 0 дн.</v>
      </c>
      <c r="W1675" s="5"/>
    </row>
    <row r="1676" spans="1:23" ht="34.5" customHeight="1" x14ac:dyDescent="0.25">
      <c r="A1676" s="1">
        <f t="shared" si="91"/>
        <v>1675</v>
      </c>
      <c r="B1676" s="1"/>
      <c r="C1676" s="2"/>
      <c r="H1676" s="1" t="str">
        <f t="shared" si="92"/>
        <v>0 г. 0 мес. 0 дн.</v>
      </c>
      <c r="I1676" s="1" t="s">
        <v>39</v>
      </c>
      <c r="V1676" s="1" t="str">
        <f t="shared" si="90"/>
        <v>0 г. 0 мес. 0 дн.</v>
      </c>
      <c r="W1676" s="5"/>
    </row>
    <row r="1677" spans="1:23" ht="34.5" customHeight="1" x14ac:dyDescent="0.25">
      <c r="A1677" s="1">
        <f t="shared" si="91"/>
        <v>1676</v>
      </c>
      <c r="B1677" s="1"/>
      <c r="C1677" s="2"/>
      <c r="H1677" s="1" t="str">
        <f t="shared" si="92"/>
        <v>0 г. 0 мес. 0 дн.</v>
      </c>
      <c r="I1677" s="1" t="s">
        <v>39</v>
      </c>
      <c r="V1677" s="1" t="str">
        <f t="shared" si="90"/>
        <v>0 г. 0 мес. 0 дн.</v>
      </c>
      <c r="W1677" s="5"/>
    </row>
    <row r="1678" spans="1:23" ht="34.5" customHeight="1" x14ac:dyDescent="0.25">
      <c r="A1678" s="1">
        <f t="shared" si="91"/>
        <v>1677</v>
      </c>
      <c r="B1678" s="1"/>
      <c r="C1678" s="2"/>
      <c r="H1678" s="1" t="str">
        <f t="shared" si="92"/>
        <v>0 г. 0 мес. 0 дн.</v>
      </c>
      <c r="I1678" s="1" t="s">
        <v>39</v>
      </c>
      <c r="V1678" s="1" t="str">
        <f t="shared" si="90"/>
        <v>0 г. 0 мес. 0 дн.</v>
      </c>
      <c r="W1678" s="5"/>
    </row>
    <row r="1679" spans="1:23" ht="34.5" customHeight="1" x14ac:dyDescent="0.25">
      <c r="A1679" s="1">
        <f t="shared" si="91"/>
        <v>1678</v>
      </c>
      <c r="B1679" s="1"/>
      <c r="C1679" s="2"/>
      <c r="H1679" s="1" t="str">
        <f t="shared" si="92"/>
        <v>0 г. 0 мес. 0 дн.</v>
      </c>
      <c r="I1679" s="1" t="s">
        <v>39</v>
      </c>
      <c r="V1679" s="1" t="str">
        <f t="shared" si="90"/>
        <v>0 г. 0 мес. 0 дн.</v>
      </c>
      <c r="W1679" s="5"/>
    </row>
    <row r="1680" spans="1:23" ht="34.5" customHeight="1" x14ac:dyDescent="0.25">
      <c r="A1680" s="1">
        <f t="shared" si="91"/>
        <v>1679</v>
      </c>
      <c r="B1680" s="1"/>
      <c r="C1680" s="2"/>
      <c r="H1680" s="1" t="str">
        <f t="shared" si="92"/>
        <v>0 г. 0 мес. 0 дн.</v>
      </c>
      <c r="I1680" s="1" t="s">
        <v>39</v>
      </c>
      <c r="V1680" s="1" t="str">
        <f t="shared" si="90"/>
        <v>0 г. 0 мес. 0 дн.</v>
      </c>
      <c r="W1680" s="5"/>
    </row>
    <row r="1681" spans="1:23" ht="34.5" customHeight="1" x14ac:dyDescent="0.25">
      <c r="A1681" s="1">
        <f t="shared" si="91"/>
        <v>1680</v>
      </c>
      <c r="B1681" s="1"/>
      <c r="C1681" s="2"/>
      <c r="H1681" s="1" t="str">
        <f t="shared" si="92"/>
        <v>0 г. 0 мес. 0 дн.</v>
      </c>
      <c r="I1681" s="1" t="s">
        <v>39</v>
      </c>
      <c r="V1681" s="1" t="str">
        <f t="shared" si="90"/>
        <v>0 г. 0 мес. 0 дн.</v>
      </c>
      <c r="W1681" s="5"/>
    </row>
    <row r="1682" spans="1:23" ht="34.5" customHeight="1" x14ac:dyDescent="0.25">
      <c r="A1682" s="1">
        <f t="shared" si="91"/>
        <v>1681</v>
      </c>
      <c r="B1682" s="1"/>
      <c r="C1682" s="2"/>
      <c r="H1682" s="1" t="str">
        <f t="shared" si="92"/>
        <v>0 г. 0 мес. 0 дн.</v>
      </c>
      <c r="I1682" s="1" t="s">
        <v>39</v>
      </c>
      <c r="V1682" s="1" t="str">
        <f t="shared" si="90"/>
        <v>0 г. 0 мес. 0 дн.</v>
      </c>
      <c r="W1682" s="5"/>
    </row>
    <row r="1683" spans="1:23" ht="34.5" customHeight="1" x14ac:dyDescent="0.25">
      <c r="A1683" s="1">
        <f t="shared" si="91"/>
        <v>1682</v>
      </c>
      <c r="B1683" s="1"/>
      <c r="C1683" s="2"/>
      <c r="H1683" s="1" t="str">
        <f t="shared" si="92"/>
        <v>0 г. 0 мес. 0 дн.</v>
      </c>
      <c r="I1683" s="1" t="s">
        <v>39</v>
      </c>
      <c r="V1683" s="1" t="str">
        <f t="shared" si="90"/>
        <v>0 г. 0 мес. 0 дн.</v>
      </c>
      <c r="W1683" s="5"/>
    </row>
    <row r="1684" spans="1:23" ht="34.5" customHeight="1" x14ac:dyDescent="0.25">
      <c r="A1684" s="1">
        <f t="shared" si="91"/>
        <v>1683</v>
      </c>
      <c r="B1684" s="1"/>
      <c r="C1684" s="2"/>
      <c r="H1684" s="1" t="str">
        <f t="shared" si="92"/>
        <v>0 г. 0 мес. 0 дн.</v>
      </c>
      <c r="I1684" s="1" t="s">
        <v>39</v>
      </c>
      <c r="V1684" s="1" t="str">
        <f t="shared" si="90"/>
        <v>0 г. 0 мес. 0 дн.</v>
      </c>
      <c r="W1684" s="5"/>
    </row>
    <row r="1685" spans="1:23" ht="34.5" customHeight="1" x14ac:dyDescent="0.25">
      <c r="A1685" s="1">
        <f t="shared" si="91"/>
        <v>1684</v>
      </c>
      <c r="B1685" s="1"/>
      <c r="C1685" s="2"/>
      <c r="H1685" s="1" t="str">
        <f t="shared" si="92"/>
        <v>0 г. 0 мес. 0 дн.</v>
      </c>
      <c r="I1685" s="1" t="s">
        <v>39</v>
      </c>
      <c r="V1685" s="1" t="str">
        <f t="shared" si="90"/>
        <v>0 г. 0 мес. 0 дн.</v>
      </c>
      <c r="W1685" s="5"/>
    </row>
    <row r="1686" spans="1:23" ht="34.5" customHeight="1" x14ac:dyDescent="0.25">
      <c r="A1686" s="1">
        <f t="shared" si="91"/>
        <v>1685</v>
      </c>
      <c r="B1686" s="1"/>
      <c r="C1686" s="2"/>
      <c r="H1686" s="1" t="str">
        <f t="shared" si="92"/>
        <v>0 г. 0 мес. 0 дн.</v>
      </c>
      <c r="I1686" s="1" t="s">
        <v>39</v>
      </c>
      <c r="V1686" s="1" t="str">
        <f t="shared" si="90"/>
        <v>0 г. 0 мес. 0 дн.</v>
      </c>
      <c r="W1686" s="5"/>
    </row>
    <row r="1687" spans="1:23" ht="34.5" customHeight="1" x14ac:dyDescent="0.25">
      <c r="A1687" s="1">
        <f t="shared" si="91"/>
        <v>1686</v>
      </c>
      <c r="B1687" s="1"/>
      <c r="C1687" s="2"/>
      <c r="H1687" s="1" t="str">
        <f t="shared" si="92"/>
        <v>0 г. 0 мес. 0 дн.</v>
      </c>
      <c r="I1687" s="1" t="s">
        <v>39</v>
      </c>
      <c r="V1687" s="1" t="str">
        <f t="shared" si="90"/>
        <v>0 г. 0 мес. 0 дн.</v>
      </c>
      <c r="W1687" s="5"/>
    </row>
    <row r="1688" spans="1:23" ht="34.5" customHeight="1" x14ac:dyDescent="0.25">
      <c r="A1688" s="1">
        <f t="shared" si="91"/>
        <v>1687</v>
      </c>
      <c r="B1688" s="1"/>
      <c r="C1688" s="2"/>
      <c r="H1688" s="1" t="str">
        <f t="shared" si="92"/>
        <v>0 г. 0 мес. 0 дн.</v>
      </c>
      <c r="I1688" s="1" t="s">
        <v>39</v>
      </c>
      <c r="V1688" s="1" t="str">
        <f t="shared" si="90"/>
        <v>0 г. 0 мес. 0 дн.</v>
      </c>
      <c r="W1688" s="5"/>
    </row>
    <row r="1689" spans="1:23" ht="34.5" customHeight="1" x14ac:dyDescent="0.25">
      <c r="A1689" s="1">
        <f t="shared" si="91"/>
        <v>1688</v>
      </c>
      <c r="B1689" s="1"/>
      <c r="C1689" s="2"/>
      <c r="H1689" s="1" t="str">
        <f t="shared" si="92"/>
        <v>0 г. 0 мес. 0 дн.</v>
      </c>
      <c r="I1689" s="1" t="s">
        <v>39</v>
      </c>
      <c r="V1689" s="1" t="str">
        <f t="shared" si="90"/>
        <v>0 г. 0 мес. 0 дн.</v>
      </c>
      <c r="W1689" s="5"/>
    </row>
    <row r="1690" spans="1:23" ht="34.5" customHeight="1" x14ac:dyDescent="0.25">
      <c r="A1690" s="1">
        <f t="shared" si="91"/>
        <v>1689</v>
      </c>
      <c r="B1690" s="1"/>
      <c r="C1690" s="2"/>
      <c r="H1690" s="1" t="str">
        <f t="shared" si="92"/>
        <v>0 г. 0 мес. 0 дн.</v>
      </c>
      <c r="I1690" s="1" t="s">
        <v>39</v>
      </c>
      <c r="V1690" s="1" t="str">
        <f t="shared" si="90"/>
        <v>0 г. 0 мес. 0 дн.</v>
      </c>
      <c r="W1690" s="5"/>
    </row>
    <row r="1691" spans="1:23" ht="34.5" customHeight="1" x14ac:dyDescent="0.25">
      <c r="A1691" s="1">
        <f t="shared" si="91"/>
        <v>1690</v>
      </c>
      <c r="B1691" s="1"/>
      <c r="C1691" s="2"/>
      <c r="H1691" s="1" t="str">
        <f t="shared" si="92"/>
        <v>0 г. 0 мес. 0 дн.</v>
      </c>
      <c r="I1691" s="1" t="s">
        <v>39</v>
      </c>
      <c r="V1691" s="1" t="str">
        <f t="shared" si="90"/>
        <v>0 г. 0 мес. 0 дн.</v>
      </c>
      <c r="W1691" s="5"/>
    </row>
    <row r="1692" spans="1:23" ht="34.5" customHeight="1" x14ac:dyDescent="0.25">
      <c r="A1692" s="1">
        <f t="shared" si="91"/>
        <v>1691</v>
      </c>
      <c r="B1692" s="1"/>
      <c r="C1692" s="2"/>
      <c r="H1692" s="1" t="str">
        <f t="shared" si="92"/>
        <v>0 г. 0 мес. 0 дн.</v>
      </c>
      <c r="I1692" s="1" t="s">
        <v>39</v>
      </c>
      <c r="V1692" s="1" t="str">
        <f t="shared" si="90"/>
        <v>0 г. 0 мес. 0 дн.</v>
      </c>
      <c r="W1692" s="5"/>
    </row>
    <row r="1693" spans="1:23" ht="34.5" customHeight="1" x14ac:dyDescent="0.25">
      <c r="A1693" s="1">
        <f t="shared" si="91"/>
        <v>1692</v>
      </c>
      <c r="B1693" s="1"/>
      <c r="C1693" s="2"/>
      <c r="H1693" s="1" t="str">
        <f t="shared" si="92"/>
        <v>0 г. 0 мес. 0 дн.</v>
      </c>
      <c r="I1693" s="1" t="s">
        <v>39</v>
      </c>
      <c r="V1693" s="1" t="str">
        <f t="shared" si="90"/>
        <v>0 г. 0 мес. 0 дн.</v>
      </c>
      <c r="W1693" s="5"/>
    </row>
    <row r="1694" spans="1:23" ht="34.5" customHeight="1" x14ac:dyDescent="0.25">
      <c r="A1694" s="1">
        <f t="shared" si="91"/>
        <v>1693</v>
      </c>
      <c r="B1694" s="1"/>
      <c r="C1694" s="2"/>
      <c r="H1694" s="1" t="str">
        <f t="shared" si="92"/>
        <v>0 г. 0 мес. 0 дн.</v>
      </c>
      <c r="I1694" s="1" t="s">
        <v>39</v>
      </c>
      <c r="V1694" s="1" t="str">
        <f t="shared" si="90"/>
        <v>0 г. 0 мес. 0 дн.</v>
      </c>
      <c r="W1694" s="5"/>
    </row>
    <row r="1695" spans="1:23" ht="34.5" customHeight="1" x14ac:dyDescent="0.25">
      <c r="A1695" s="1">
        <f t="shared" si="91"/>
        <v>1694</v>
      </c>
      <c r="B1695" s="1"/>
      <c r="C1695" s="2"/>
      <c r="H1695" s="1" t="str">
        <f t="shared" si="92"/>
        <v>0 г. 0 мес. 0 дн.</v>
      </c>
      <c r="I1695" s="1" t="s">
        <v>39</v>
      </c>
      <c r="V1695" s="1" t="str">
        <f t="shared" si="90"/>
        <v>0 г. 0 мес. 0 дн.</v>
      </c>
      <c r="W1695" s="5"/>
    </row>
    <row r="1696" spans="1:23" ht="34.5" customHeight="1" x14ac:dyDescent="0.25">
      <c r="A1696" s="1">
        <f t="shared" si="91"/>
        <v>1695</v>
      </c>
      <c r="B1696" s="1"/>
      <c r="C1696" s="2"/>
      <c r="H1696" s="1" t="str">
        <f t="shared" si="92"/>
        <v>0 г. 0 мес. 0 дн.</v>
      </c>
      <c r="I1696" s="1" t="s">
        <v>39</v>
      </c>
      <c r="V1696" s="1" t="str">
        <f t="shared" si="90"/>
        <v>0 г. 0 мес. 0 дн.</v>
      </c>
      <c r="W1696" s="5"/>
    </row>
    <row r="1697" spans="1:23" ht="34.5" customHeight="1" x14ac:dyDescent="0.25">
      <c r="A1697" s="1">
        <f t="shared" si="91"/>
        <v>1696</v>
      </c>
      <c r="B1697" s="1"/>
      <c r="C1697" s="2"/>
      <c r="H1697" s="1" t="str">
        <f t="shared" si="92"/>
        <v>0 г. 0 мес. 0 дн.</v>
      </c>
      <c r="I1697" s="1" t="s">
        <v>39</v>
      </c>
      <c r="V1697" s="1" t="str">
        <f t="shared" si="90"/>
        <v>0 г. 0 мес. 0 дн.</v>
      </c>
      <c r="W1697" s="5"/>
    </row>
    <row r="1698" spans="1:23" ht="34.5" customHeight="1" x14ac:dyDescent="0.25">
      <c r="A1698" s="1">
        <f t="shared" si="91"/>
        <v>1697</v>
      </c>
      <c r="B1698" s="1"/>
      <c r="C1698" s="2"/>
      <c r="H1698" s="1" t="str">
        <f t="shared" si="92"/>
        <v>0 г. 0 мес. 0 дн.</v>
      </c>
      <c r="I1698" s="1" t="s">
        <v>39</v>
      </c>
      <c r="V1698" s="1" t="str">
        <f t="shared" si="90"/>
        <v>0 г. 0 мес. 0 дн.</v>
      </c>
      <c r="W1698" s="5"/>
    </row>
    <row r="1699" spans="1:23" ht="34.5" customHeight="1" x14ac:dyDescent="0.25">
      <c r="A1699" s="1">
        <f t="shared" si="91"/>
        <v>1698</v>
      </c>
      <c r="B1699" s="1"/>
      <c r="C1699" s="2"/>
      <c r="H1699" s="1" t="str">
        <f t="shared" si="92"/>
        <v>0 г. 0 мес. 0 дн.</v>
      </c>
      <c r="I1699" s="1" t="s">
        <v>39</v>
      </c>
      <c r="V1699" s="1" t="str">
        <f t="shared" si="90"/>
        <v>0 г. 0 мес. 0 дн.</v>
      </c>
      <c r="W1699" s="5"/>
    </row>
    <row r="1700" spans="1:23" ht="34.5" customHeight="1" x14ac:dyDescent="0.25">
      <c r="A1700" s="1">
        <f t="shared" si="91"/>
        <v>1699</v>
      </c>
      <c r="B1700" s="1"/>
      <c r="C1700" s="2"/>
      <c r="H1700" s="1" t="str">
        <f t="shared" si="92"/>
        <v>0 г. 0 мес. 0 дн.</v>
      </c>
      <c r="I1700" s="1" t="s">
        <v>39</v>
      </c>
      <c r="V1700" s="1" t="str">
        <f t="shared" si="90"/>
        <v>0 г. 0 мес. 0 дн.</v>
      </c>
      <c r="W1700" s="5"/>
    </row>
    <row r="1701" spans="1:23" ht="34.5" customHeight="1" x14ac:dyDescent="0.25">
      <c r="A1701" s="1">
        <f t="shared" si="91"/>
        <v>1700</v>
      </c>
      <c r="B1701" s="1"/>
      <c r="C1701" s="2"/>
      <c r="H1701" s="1" t="str">
        <f t="shared" si="92"/>
        <v>0 г. 0 мес. 0 дн.</v>
      </c>
      <c r="I1701" s="1" t="s">
        <v>39</v>
      </c>
      <c r="V1701" s="1" t="str">
        <f t="shared" si="90"/>
        <v>0 г. 0 мес. 0 дн.</v>
      </c>
      <c r="W1701" s="5"/>
    </row>
    <row r="1702" spans="1:23" ht="34.5" customHeight="1" x14ac:dyDescent="0.25">
      <c r="A1702" s="1">
        <f t="shared" si="91"/>
        <v>1701</v>
      </c>
      <c r="B1702" s="1"/>
      <c r="C1702" s="2"/>
      <c r="H1702" s="1" t="str">
        <f t="shared" si="92"/>
        <v>0 г. 0 мес. 0 дн.</v>
      </c>
      <c r="I1702" s="1" t="s">
        <v>39</v>
      </c>
      <c r="V1702" s="1" t="str">
        <f t="shared" si="90"/>
        <v>0 г. 0 мес. 0 дн.</v>
      </c>
      <c r="W1702" s="5"/>
    </row>
    <row r="1703" spans="1:23" ht="34.5" customHeight="1" x14ac:dyDescent="0.25">
      <c r="A1703" s="1">
        <f t="shared" si="91"/>
        <v>1702</v>
      </c>
      <c r="B1703" s="1"/>
      <c r="C1703" s="2"/>
      <c r="H1703" s="1" t="str">
        <f t="shared" si="92"/>
        <v>0 г. 0 мес. 0 дн.</v>
      </c>
      <c r="I1703" s="1" t="s">
        <v>39</v>
      </c>
      <c r="V1703" s="1" t="str">
        <f t="shared" si="90"/>
        <v>0 г. 0 мес. 0 дн.</v>
      </c>
      <c r="W1703" s="5"/>
    </row>
    <row r="1704" spans="1:23" ht="34.5" customHeight="1" x14ac:dyDescent="0.25">
      <c r="A1704" s="1">
        <f t="shared" si="91"/>
        <v>1703</v>
      </c>
      <c r="B1704" s="1"/>
      <c r="C1704" s="2"/>
      <c r="H1704" s="1" t="str">
        <f t="shared" si="92"/>
        <v>0 г. 0 мес. 0 дн.</v>
      </c>
      <c r="I1704" s="1" t="s">
        <v>39</v>
      </c>
      <c r="V1704" s="1" t="str">
        <f t="shared" si="90"/>
        <v>0 г. 0 мес. 0 дн.</v>
      </c>
      <c r="W1704" s="5"/>
    </row>
    <row r="1705" spans="1:23" ht="34.5" customHeight="1" x14ac:dyDescent="0.25">
      <c r="A1705" s="1">
        <f t="shared" si="91"/>
        <v>1704</v>
      </c>
      <c r="B1705" s="1"/>
      <c r="C1705" s="2"/>
      <c r="H1705" s="1" t="str">
        <f t="shared" si="92"/>
        <v>0 г. 0 мес. 0 дн.</v>
      </c>
      <c r="I1705" s="1" t="s">
        <v>39</v>
      </c>
      <c r="V1705" s="1" t="str">
        <f t="shared" si="90"/>
        <v>0 г. 0 мес. 0 дн.</v>
      </c>
      <c r="W1705" s="5"/>
    </row>
    <row r="1706" spans="1:23" ht="34.5" customHeight="1" x14ac:dyDescent="0.25">
      <c r="A1706" s="1">
        <f t="shared" si="91"/>
        <v>1705</v>
      </c>
      <c r="B1706" s="1"/>
      <c r="C1706" s="2"/>
      <c r="H1706" s="1" t="str">
        <f t="shared" si="92"/>
        <v>0 г. 0 мес. 0 дн.</v>
      </c>
      <c r="I1706" s="1" t="s">
        <v>39</v>
      </c>
      <c r="V1706" s="1" t="str">
        <f t="shared" si="90"/>
        <v>0 г. 0 мес. 0 дн.</v>
      </c>
      <c r="W1706" s="5"/>
    </row>
    <row r="1707" spans="1:23" ht="34.5" customHeight="1" x14ac:dyDescent="0.25">
      <c r="A1707" s="1">
        <f t="shared" si="91"/>
        <v>1706</v>
      </c>
      <c r="B1707" s="1"/>
      <c r="C1707" s="2"/>
      <c r="H1707" s="1" t="str">
        <f t="shared" si="92"/>
        <v>0 г. 0 мес. 0 дн.</v>
      </c>
      <c r="I1707" s="1" t="s">
        <v>39</v>
      </c>
      <c r="V1707" s="1" t="str">
        <f t="shared" si="90"/>
        <v>0 г. 0 мес. 0 дн.</v>
      </c>
      <c r="W1707" s="5"/>
    </row>
    <row r="1708" spans="1:23" ht="34.5" customHeight="1" x14ac:dyDescent="0.25">
      <c r="A1708" s="1">
        <f t="shared" si="91"/>
        <v>1707</v>
      </c>
      <c r="B1708" s="1"/>
      <c r="C1708" s="2"/>
      <c r="H1708" s="1" t="str">
        <f t="shared" si="92"/>
        <v>0 г. 0 мес. 0 дн.</v>
      </c>
      <c r="I1708" s="1" t="s">
        <v>39</v>
      </c>
      <c r="V1708" s="1" t="str">
        <f t="shared" si="90"/>
        <v>0 г. 0 мес. 0 дн.</v>
      </c>
      <c r="W1708" s="5"/>
    </row>
    <row r="1709" spans="1:23" ht="34.5" customHeight="1" x14ac:dyDescent="0.25">
      <c r="A1709" s="1">
        <f t="shared" si="91"/>
        <v>1708</v>
      </c>
      <c r="B1709" s="1"/>
      <c r="C1709" s="2"/>
      <c r="H1709" s="1" t="str">
        <f t="shared" si="92"/>
        <v>0 г. 0 мес. 0 дн.</v>
      </c>
      <c r="I1709" s="1" t="s">
        <v>39</v>
      </c>
      <c r="V1709" s="1" t="str">
        <f t="shared" si="90"/>
        <v>0 г. 0 мес. 0 дн.</v>
      </c>
      <c r="W1709" s="5"/>
    </row>
    <row r="1710" spans="1:23" ht="34.5" customHeight="1" x14ac:dyDescent="0.25">
      <c r="A1710" s="1">
        <f t="shared" si="91"/>
        <v>1709</v>
      </c>
      <c r="B1710" s="1"/>
      <c r="C1710" s="2"/>
      <c r="H1710" s="1" t="str">
        <f t="shared" si="92"/>
        <v>0 г. 0 мес. 0 дн.</v>
      </c>
      <c r="I1710" s="1" t="s">
        <v>39</v>
      </c>
      <c r="V1710" s="1" t="str">
        <f t="shared" si="90"/>
        <v>0 г. 0 мес. 0 дн.</v>
      </c>
      <c r="W1710" s="5"/>
    </row>
    <row r="1711" spans="1:23" ht="34.5" customHeight="1" x14ac:dyDescent="0.25">
      <c r="A1711" s="1">
        <f t="shared" si="91"/>
        <v>1710</v>
      </c>
      <c r="B1711" s="1"/>
      <c r="C1711" s="2"/>
      <c r="H1711" s="1" t="str">
        <f t="shared" si="92"/>
        <v>0 г. 0 мес. 0 дн.</v>
      </c>
      <c r="I1711" s="1" t="s">
        <v>39</v>
      </c>
      <c r="V1711" s="1" t="str">
        <f t="shared" si="90"/>
        <v>0 г. 0 мес. 0 дн.</v>
      </c>
      <c r="W1711" s="5"/>
    </row>
    <row r="1712" spans="1:23" ht="34.5" customHeight="1" x14ac:dyDescent="0.25">
      <c r="A1712" s="1">
        <f t="shared" si="91"/>
        <v>1711</v>
      </c>
      <c r="B1712" s="1"/>
      <c r="C1712" s="2"/>
      <c r="H1712" s="1" t="str">
        <f t="shared" si="92"/>
        <v>0 г. 0 мес. 0 дн.</v>
      </c>
      <c r="I1712" s="1" t="s">
        <v>39</v>
      </c>
      <c r="V1712" s="1" t="str">
        <f t="shared" si="90"/>
        <v>0 г. 0 мес. 0 дн.</v>
      </c>
      <c r="W1712" s="5"/>
    </row>
    <row r="1713" spans="1:23" ht="34.5" customHeight="1" x14ac:dyDescent="0.25">
      <c r="A1713" s="1">
        <f t="shared" si="91"/>
        <v>1712</v>
      </c>
      <c r="B1713" s="1"/>
      <c r="C1713" s="2"/>
      <c r="H1713" s="1" t="str">
        <f t="shared" si="92"/>
        <v>0 г. 0 мес. 0 дн.</v>
      </c>
      <c r="I1713" s="1" t="s">
        <v>39</v>
      </c>
      <c r="V1713" s="1" t="str">
        <f t="shared" ref="V1713:V1776" si="93">DATEDIF(D1713,T1713,"y") &amp; " г. " &amp; DATEDIF(D1713,T1713,"ym") &amp; " мес. " &amp; DATEDIF(D1713,T1713,"md") &amp; " дн."</f>
        <v>0 г. 0 мес. 0 дн.</v>
      </c>
      <c r="W1713" s="5"/>
    </row>
    <row r="1714" spans="1:23" ht="34.5" customHeight="1" x14ac:dyDescent="0.25">
      <c r="A1714" s="1">
        <f t="shared" si="91"/>
        <v>1713</v>
      </c>
      <c r="B1714" s="1"/>
      <c r="C1714" s="2"/>
      <c r="H1714" s="1" t="str">
        <f t="shared" si="92"/>
        <v>0 г. 0 мес. 0 дн.</v>
      </c>
      <c r="I1714" s="1" t="s">
        <v>39</v>
      </c>
      <c r="V1714" s="1" t="str">
        <f t="shared" si="93"/>
        <v>0 г. 0 мес. 0 дн.</v>
      </c>
      <c r="W1714" s="5"/>
    </row>
    <row r="1715" spans="1:23" ht="34.5" customHeight="1" x14ac:dyDescent="0.25">
      <c r="A1715" s="1">
        <f t="shared" si="91"/>
        <v>1714</v>
      </c>
      <c r="B1715" s="1"/>
      <c r="C1715" s="2"/>
      <c r="H1715" s="1" t="str">
        <f t="shared" si="92"/>
        <v>0 г. 0 мес. 0 дн.</v>
      </c>
      <c r="I1715" s="1" t="s">
        <v>39</v>
      </c>
      <c r="V1715" s="1" t="str">
        <f t="shared" si="93"/>
        <v>0 г. 0 мес. 0 дн.</v>
      </c>
      <c r="W1715" s="5"/>
    </row>
    <row r="1716" spans="1:23" ht="34.5" customHeight="1" x14ac:dyDescent="0.25">
      <c r="A1716" s="1">
        <f t="shared" si="91"/>
        <v>1715</v>
      </c>
      <c r="B1716" s="1"/>
      <c r="C1716" s="2"/>
      <c r="H1716" s="1" t="str">
        <f t="shared" si="92"/>
        <v>0 г. 0 мес. 0 дн.</v>
      </c>
      <c r="I1716" s="1" t="s">
        <v>39</v>
      </c>
      <c r="V1716" s="1" t="str">
        <f t="shared" si="93"/>
        <v>0 г. 0 мес. 0 дн.</v>
      </c>
      <c r="W1716" s="5"/>
    </row>
    <row r="1717" spans="1:23" ht="34.5" customHeight="1" x14ac:dyDescent="0.25">
      <c r="A1717" s="1">
        <f t="shared" si="91"/>
        <v>1716</v>
      </c>
      <c r="B1717" s="1"/>
      <c r="C1717" s="2"/>
      <c r="H1717" s="1" t="str">
        <f t="shared" si="92"/>
        <v>0 г. 0 мес. 0 дн.</v>
      </c>
      <c r="I1717" s="1" t="s">
        <v>39</v>
      </c>
      <c r="V1717" s="1" t="str">
        <f t="shared" si="93"/>
        <v>0 г. 0 мес. 0 дн.</v>
      </c>
      <c r="W1717" s="5"/>
    </row>
    <row r="1718" spans="1:23" ht="34.5" customHeight="1" x14ac:dyDescent="0.25">
      <c r="A1718" s="1">
        <f t="shared" si="91"/>
        <v>1717</v>
      </c>
      <c r="B1718" s="1"/>
      <c r="C1718" s="2"/>
      <c r="H1718" s="1" t="str">
        <f t="shared" si="92"/>
        <v>0 г. 0 мес. 0 дн.</v>
      </c>
      <c r="I1718" s="1" t="s">
        <v>39</v>
      </c>
      <c r="V1718" s="1" t="str">
        <f t="shared" si="93"/>
        <v>0 г. 0 мес. 0 дн.</v>
      </c>
      <c r="W1718" s="5"/>
    </row>
    <row r="1719" spans="1:23" ht="34.5" customHeight="1" x14ac:dyDescent="0.25">
      <c r="A1719" s="1">
        <f t="shared" si="91"/>
        <v>1718</v>
      </c>
      <c r="B1719" s="1"/>
      <c r="C1719" s="2"/>
      <c r="H1719" s="1" t="str">
        <f t="shared" si="92"/>
        <v>0 г. 0 мес. 0 дн.</v>
      </c>
      <c r="I1719" s="1" t="s">
        <v>39</v>
      </c>
      <c r="V1719" s="1" t="str">
        <f t="shared" si="93"/>
        <v>0 г. 0 мес. 0 дн.</v>
      </c>
      <c r="W1719" s="5"/>
    </row>
    <row r="1720" spans="1:23" ht="34.5" customHeight="1" x14ac:dyDescent="0.25">
      <c r="A1720" s="1">
        <f t="shared" si="91"/>
        <v>1719</v>
      </c>
      <c r="B1720" s="1"/>
      <c r="C1720" s="2"/>
      <c r="H1720" s="1" t="str">
        <f t="shared" si="92"/>
        <v>0 г. 0 мес. 0 дн.</v>
      </c>
      <c r="I1720" s="1" t="s">
        <v>39</v>
      </c>
      <c r="V1720" s="1" t="str">
        <f t="shared" si="93"/>
        <v>0 г. 0 мес. 0 дн.</v>
      </c>
      <c r="W1720" s="5"/>
    </row>
    <row r="1721" spans="1:23" ht="34.5" customHeight="1" x14ac:dyDescent="0.25">
      <c r="A1721" s="1">
        <f t="shared" si="91"/>
        <v>1720</v>
      </c>
      <c r="B1721" s="1"/>
      <c r="C1721" s="2"/>
      <c r="H1721" s="1" t="str">
        <f t="shared" si="92"/>
        <v>0 г. 0 мес. 0 дн.</v>
      </c>
      <c r="I1721" s="1" t="s">
        <v>39</v>
      </c>
      <c r="V1721" s="1" t="str">
        <f t="shared" si="93"/>
        <v>0 г. 0 мес. 0 дн.</v>
      </c>
      <c r="W1721" s="5"/>
    </row>
    <row r="1722" spans="1:23" ht="34.5" customHeight="1" x14ac:dyDescent="0.25">
      <c r="A1722" s="1">
        <f t="shared" si="91"/>
        <v>1721</v>
      </c>
      <c r="B1722" s="1"/>
      <c r="C1722" s="2"/>
      <c r="H1722" s="1" t="str">
        <f t="shared" si="92"/>
        <v>0 г. 0 мес. 0 дн.</v>
      </c>
      <c r="I1722" s="1" t="s">
        <v>39</v>
      </c>
      <c r="V1722" s="1" t="str">
        <f t="shared" si="93"/>
        <v>0 г. 0 мес. 0 дн.</v>
      </c>
      <c r="W1722" s="5"/>
    </row>
    <row r="1723" spans="1:23" ht="34.5" customHeight="1" x14ac:dyDescent="0.25">
      <c r="A1723" s="1">
        <f t="shared" si="91"/>
        <v>1722</v>
      </c>
      <c r="B1723" s="1"/>
      <c r="C1723" s="2"/>
      <c r="H1723" s="1" t="str">
        <f t="shared" si="92"/>
        <v>0 г. 0 мес. 0 дн.</v>
      </c>
      <c r="I1723" s="1" t="s">
        <v>39</v>
      </c>
      <c r="V1723" s="1" t="str">
        <f t="shared" si="93"/>
        <v>0 г. 0 мес. 0 дн.</v>
      </c>
      <c r="W1723" s="5"/>
    </row>
    <row r="1724" spans="1:23" ht="34.5" customHeight="1" x14ac:dyDescent="0.25">
      <c r="A1724" s="1">
        <f t="shared" si="91"/>
        <v>1723</v>
      </c>
      <c r="B1724" s="1"/>
      <c r="C1724" s="2"/>
      <c r="H1724" s="1" t="str">
        <f t="shared" si="92"/>
        <v>0 г. 0 мес. 0 дн.</v>
      </c>
      <c r="I1724" s="1" t="s">
        <v>39</v>
      </c>
      <c r="V1724" s="1" t="str">
        <f t="shared" si="93"/>
        <v>0 г. 0 мес. 0 дн.</v>
      </c>
      <c r="W1724" s="5"/>
    </row>
    <row r="1725" spans="1:23" ht="34.5" customHeight="1" x14ac:dyDescent="0.25">
      <c r="A1725" s="1">
        <f t="shared" si="91"/>
        <v>1724</v>
      </c>
      <c r="B1725" s="1"/>
      <c r="C1725" s="2"/>
      <c r="H1725" s="1" t="str">
        <f t="shared" si="92"/>
        <v>0 г. 0 мес. 0 дн.</v>
      </c>
      <c r="I1725" s="1" t="s">
        <v>39</v>
      </c>
      <c r="V1725" s="1" t="str">
        <f t="shared" si="93"/>
        <v>0 г. 0 мес. 0 дн.</v>
      </c>
      <c r="W1725" s="5"/>
    </row>
    <row r="1726" spans="1:23" ht="34.5" customHeight="1" x14ac:dyDescent="0.25">
      <c r="A1726" s="1">
        <f t="shared" si="91"/>
        <v>1725</v>
      </c>
      <c r="B1726" s="1"/>
      <c r="C1726" s="2"/>
      <c r="H1726" s="1" t="str">
        <f t="shared" si="92"/>
        <v>0 г. 0 мес. 0 дн.</v>
      </c>
      <c r="I1726" s="1" t="s">
        <v>39</v>
      </c>
      <c r="V1726" s="1" t="str">
        <f t="shared" si="93"/>
        <v>0 г. 0 мес. 0 дн.</v>
      </c>
      <c r="W1726" s="5"/>
    </row>
    <row r="1727" spans="1:23" ht="34.5" customHeight="1" x14ac:dyDescent="0.25">
      <c r="A1727" s="1">
        <f t="shared" si="91"/>
        <v>1726</v>
      </c>
      <c r="B1727" s="1"/>
      <c r="C1727" s="2"/>
      <c r="H1727" s="1" t="str">
        <f t="shared" si="92"/>
        <v>0 г. 0 мес. 0 дн.</v>
      </c>
      <c r="I1727" s="1" t="s">
        <v>39</v>
      </c>
      <c r="V1727" s="1" t="str">
        <f t="shared" si="93"/>
        <v>0 г. 0 мес. 0 дн.</v>
      </c>
      <c r="W1727" s="5"/>
    </row>
    <row r="1728" spans="1:23" ht="34.5" customHeight="1" x14ac:dyDescent="0.25">
      <c r="A1728" s="1">
        <f t="shared" ref="A1728:A1791" si="94">ROW(A1727)</f>
        <v>1727</v>
      </c>
      <c r="B1728" s="1"/>
      <c r="C1728" s="2"/>
      <c r="H1728" s="1" t="str">
        <f t="shared" si="92"/>
        <v>0 г. 0 мес. 0 дн.</v>
      </c>
      <c r="I1728" s="1" t="s">
        <v>39</v>
      </c>
      <c r="V1728" s="1" t="str">
        <f t="shared" si="93"/>
        <v>0 г. 0 мес. 0 дн.</v>
      </c>
      <c r="W1728" s="5"/>
    </row>
    <row r="1729" spans="1:23" ht="34.5" customHeight="1" x14ac:dyDescent="0.25">
      <c r="A1729" s="1">
        <f t="shared" si="94"/>
        <v>1728</v>
      </c>
      <c r="B1729" s="1"/>
      <c r="C1729" s="2"/>
      <c r="H1729" s="1" t="str">
        <f t="shared" si="92"/>
        <v>0 г. 0 мес. 0 дн.</v>
      </c>
      <c r="I1729" s="1" t="s">
        <v>39</v>
      </c>
      <c r="V1729" s="1" t="str">
        <f t="shared" si="93"/>
        <v>0 г. 0 мес. 0 дн.</v>
      </c>
      <c r="W1729" s="5"/>
    </row>
    <row r="1730" spans="1:23" ht="34.5" customHeight="1" x14ac:dyDescent="0.25">
      <c r="A1730" s="1">
        <f t="shared" si="94"/>
        <v>1729</v>
      </c>
      <c r="B1730" s="1"/>
      <c r="C1730" s="2"/>
      <c r="H1730" s="1" t="str">
        <f t="shared" ref="H1730:H1793" si="95">DATEDIF(G1730,D1730,"y") &amp; " г. " &amp; DATEDIF(G1730,D1730,"ym") &amp; " мес. " &amp; DATEDIF(G1730,D1730,"md") &amp; " дн."</f>
        <v>0 г. 0 мес. 0 дн.</v>
      </c>
      <c r="I1730" s="1" t="s">
        <v>39</v>
      </c>
      <c r="V1730" s="1" t="str">
        <f t="shared" si="93"/>
        <v>0 г. 0 мес. 0 дн.</v>
      </c>
      <c r="W1730" s="5"/>
    </row>
    <row r="1731" spans="1:23" ht="34.5" customHeight="1" x14ac:dyDescent="0.25">
      <c r="A1731" s="1">
        <f t="shared" si="94"/>
        <v>1730</v>
      </c>
      <c r="B1731" s="1"/>
      <c r="C1731" s="2"/>
      <c r="H1731" s="1" t="str">
        <f t="shared" si="95"/>
        <v>0 г. 0 мес. 0 дн.</v>
      </c>
      <c r="I1731" s="1" t="s">
        <v>39</v>
      </c>
      <c r="V1731" s="1" t="str">
        <f t="shared" si="93"/>
        <v>0 г. 0 мес. 0 дн.</v>
      </c>
      <c r="W1731" s="5"/>
    </row>
    <row r="1732" spans="1:23" ht="34.5" customHeight="1" x14ac:dyDescent="0.25">
      <c r="A1732" s="1">
        <f t="shared" si="94"/>
        <v>1731</v>
      </c>
      <c r="B1732" s="1"/>
      <c r="C1732" s="2"/>
      <c r="H1732" s="1" t="str">
        <f t="shared" si="95"/>
        <v>0 г. 0 мес. 0 дн.</v>
      </c>
      <c r="I1732" s="1" t="s">
        <v>39</v>
      </c>
      <c r="V1732" s="1" t="str">
        <f t="shared" si="93"/>
        <v>0 г. 0 мес. 0 дн.</v>
      </c>
      <c r="W1732" s="5"/>
    </row>
    <row r="1733" spans="1:23" ht="34.5" customHeight="1" x14ac:dyDescent="0.25">
      <c r="A1733" s="1">
        <f t="shared" si="94"/>
        <v>1732</v>
      </c>
      <c r="B1733" s="1"/>
      <c r="C1733" s="2"/>
      <c r="H1733" s="1" t="str">
        <f t="shared" si="95"/>
        <v>0 г. 0 мес. 0 дн.</v>
      </c>
      <c r="I1733" s="1" t="s">
        <v>39</v>
      </c>
      <c r="V1733" s="1" t="str">
        <f t="shared" si="93"/>
        <v>0 г. 0 мес. 0 дн.</v>
      </c>
      <c r="W1733" s="5"/>
    </row>
    <row r="1734" spans="1:23" ht="34.5" customHeight="1" x14ac:dyDescent="0.25">
      <c r="A1734" s="1">
        <f t="shared" si="94"/>
        <v>1733</v>
      </c>
      <c r="B1734" s="1"/>
      <c r="C1734" s="2"/>
      <c r="H1734" s="1" t="str">
        <f t="shared" si="95"/>
        <v>0 г. 0 мес. 0 дн.</v>
      </c>
      <c r="I1734" s="1" t="s">
        <v>39</v>
      </c>
      <c r="V1734" s="1" t="str">
        <f t="shared" si="93"/>
        <v>0 г. 0 мес. 0 дн.</v>
      </c>
      <c r="W1734" s="5"/>
    </row>
    <row r="1735" spans="1:23" ht="34.5" customHeight="1" x14ac:dyDescent="0.25">
      <c r="A1735" s="1">
        <f t="shared" si="94"/>
        <v>1734</v>
      </c>
      <c r="B1735" s="1"/>
      <c r="C1735" s="2"/>
      <c r="H1735" s="1" t="str">
        <f t="shared" si="95"/>
        <v>0 г. 0 мес. 0 дн.</v>
      </c>
      <c r="I1735" s="1" t="s">
        <v>39</v>
      </c>
      <c r="V1735" s="1" t="str">
        <f t="shared" si="93"/>
        <v>0 г. 0 мес. 0 дн.</v>
      </c>
      <c r="W1735" s="5"/>
    </row>
    <row r="1736" spans="1:23" ht="34.5" customHeight="1" x14ac:dyDescent="0.25">
      <c r="A1736" s="1">
        <f t="shared" si="94"/>
        <v>1735</v>
      </c>
      <c r="B1736" s="1"/>
      <c r="C1736" s="2"/>
      <c r="H1736" s="1" t="str">
        <f t="shared" si="95"/>
        <v>0 г. 0 мес. 0 дн.</v>
      </c>
      <c r="I1736" s="1" t="s">
        <v>39</v>
      </c>
      <c r="V1736" s="1" t="str">
        <f t="shared" si="93"/>
        <v>0 г. 0 мес. 0 дн.</v>
      </c>
      <c r="W1736" s="5"/>
    </row>
    <row r="1737" spans="1:23" ht="34.5" customHeight="1" x14ac:dyDescent="0.25">
      <c r="A1737" s="1">
        <f t="shared" si="94"/>
        <v>1736</v>
      </c>
      <c r="B1737" s="1"/>
      <c r="C1737" s="2"/>
      <c r="H1737" s="1" t="str">
        <f t="shared" si="95"/>
        <v>0 г. 0 мес. 0 дн.</v>
      </c>
      <c r="I1737" s="1" t="s">
        <v>39</v>
      </c>
      <c r="V1737" s="1" t="str">
        <f t="shared" si="93"/>
        <v>0 г. 0 мес. 0 дн.</v>
      </c>
      <c r="W1737" s="5"/>
    </row>
    <row r="1738" spans="1:23" ht="34.5" customHeight="1" x14ac:dyDescent="0.25">
      <c r="A1738" s="1">
        <f t="shared" si="94"/>
        <v>1737</v>
      </c>
      <c r="B1738" s="1"/>
      <c r="C1738" s="2"/>
      <c r="H1738" s="1" t="str">
        <f t="shared" si="95"/>
        <v>0 г. 0 мес. 0 дн.</v>
      </c>
      <c r="I1738" s="1" t="s">
        <v>39</v>
      </c>
      <c r="V1738" s="1" t="str">
        <f t="shared" si="93"/>
        <v>0 г. 0 мес. 0 дн.</v>
      </c>
      <c r="W1738" s="5"/>
    </row>
    <row r="1739" spans="1:23" ht="34.5" customHeight="1" x14ac:dyDescent="0.25">
      <c r="A1739" s="1">
        <f t="shared" si="94"/>
        <v>1738</v>
      </c>
      <c r="B1739" s="1"/>
      <c r="C1739" s="2"/>
      <c r="H1739" s="1" t="str">
        <f t="shared" si="95"/>
        <v>0 г. 0 мес. 0 дн.</v>
      </c>
      <c r="I1739" s="1" t="s">
        <v>39</v>
      </c>
      <c r="V1739" s="1" t="str">
        <f t="shared" si="93"/>
        <v>0 г. 0 мес. 0 дн.</v>
      </c>
      <c r="W1739" s="5"/>
    </row>
    <row r="1740" spans="1:23" ht="34.5" customHeight="1" x14ac:dyDescent="0.25">
      <c r="A1740" s="1">
        <f t="shared" si="94"/>
        <v>1739</v>
      </c>
      <c r="B1740" s="1"/>
      <c r="C1740" s="2"/>
      <c r="H1740" s="1" t="str">
        <f t="shared" si="95"/>
        <v>0 г. 0 мес. 0 дн.</v>
      </c>
      <c r="I1740" s="1" t="s">
        <v>39</v>
      </c>
      <c r="V1740" s="1" t="str">
        <f t="shared" si="93"/>
        <v>0 г. 0 мес. 0 дн.</v>
      </c>
      <c r="W1740" s="5"/>
    </row>
    <row r="1741" spans="1:23" ht="34.5" customHeight="1" x14ac:dyDescent="0.25">
      <c r="A1741" s="1">
        <f t="shared" si="94"/>
        <v>1740</v>
      </c>
      <c r="B1741" s="1"/>
      <c r="C1741" s="2"/>
      <c r="H1741" s="1" t="str">
        <f t="shared" si="95"/>
        <v>0 г. 0 мес. 0 дн.</v>
      </c>
      <c r="I1741" s="1" t="s">
        <v>39</v>
      </c>
      <c r="V1741" s="1" t="str">
        <f t="shared" si="93"/>
        <v>0 г. 0 мес. 0 дн.</v>
      </c>
      <c r="W1741" s="5"/>
    </row>
    <row r="1742" spans="1:23" ht="34.5" customHeight="1" x14ac:dyDescent="0.25">
      <c r="A1742" s="1">
        <f t="shared" si="94"/>
        <v>1741</v>
      </c>
      <c r="B1742" s="1"/>
      <c r="C1742" s="2"/>
      <c r="H1742" s="1" t="str">
        <f t="shared" si="95"/>
        <v>0 г. 0 мес. 0 дн.</v>
      </c>
      <c r="I1742" s="1" t="s">
        <v>39</v>
      </c>
      <c r="V1742" s="1" t="str">
        <f t="shared" si="93"/>
        <v>0 г. 0 мес. 0 дн.</v>
      </c>
      <c r="W1742" s="5"/>
    </row>
    <row r="1743" spans="1:23" ht="34.5" customHeight="1" x14ac:dyDescent="0.25">
      <c r="A1743" s="1">
        <f t="shared" si="94"/>
        <v>1742</v>
      </c>
      <c r="B1743" s="1"/>
      <c r="C1743" s="2"/>
      <c r="H1743" s="1" t="str">
        <f t="shared" si="95"/>
        <v>0 г. 0 мес. 0 дн.</v>
      </c>
      <c r="I1743" s="1" t="s">
        <v>39</v>
      </c>
      <c r="V1743" s="1" t="str">
        <f t="shared" si="93"/>
        <v>0 г. 0 мес. 0 дн.</v>
      </c>
      <c r="W1743" s="5"/>
    </row>
    <row r="1744" spans="1:23" ht="34.5" customHeight="1" x14ac:dyDescent="0.25">
      <c r="A1744" s="1">
        <f t="shared" si="94"/>
        <v>1743</v>
      </c>
      <c r="B1744" s="1"/>
      <c r="C1744" s="2"/>
      <c r="H1744" s="1" t="str">
        <f t="shared" si="95"/>
        <v>0 г. 0 мес. 0 дн.</v>
      </c>
      <c r="I1744" s="1" t="s">
        <v>39</v>
      </c>
      <c r="V1744" s="1" t="str">
        <f t="shared" si="93"/>
        <v>0 г. 0 мес. 0 дн.</v>
      </c>
      <c r="W1744" s="5"/>
    </row>
    <row r="1745" spans="1:23" ht="34.5" customHeight="1" x14ac:dyDescent="0.25">
      <c r="A1745" s="1">
        <f t="shared" si="94"/>
        <v>1744</v>
      </c>
      <c r="B1745" s="1"/>
      <c r="C1745" s="2"/>
      <c r="H1745" s="1" t="str">
        <f t="shared" si="95"/>
        <v>0 г. 0 мес. 0 дн.</v>
      </c>
      <c r="I1745" s="1" t="s">
        <v>39</v>
      </c>
      <c r="V1745" s="1" t="str">
        <f t="shared" si="93"/>
        <v>0 г. 0 мес. 0 дн.</v>
      </c>
      <c r="W1745" s="5"/>
    </row>
    <row r="1746" spans="1:23" ht="34.5" customHeight="1" x14ac:dyDescent="0.25">
      <c r="A1746" s="1">
        <f t="shared" si="94"/>
        <v>1745</v>
      </c>
      <c r="B1746" s="1"/>
      <c r="C1746" s="2"/>
      <c r="H1746" s="1" t="str">
        <f t="shared" si="95"/>
        <v>0 г. 0 мес. 0 дн.</v>
      </c>
      <c r="I1746" s="1" t="s">
        <v>39</v>
      </c>
      <c r="V1746" s="1" t="str">
        <f t="shared" si="93"/>
        <v>0 г. 0 мес. 0 дн.</v>
      </c>
      <c r="W1746" s="5"/>
    </row>
    <row r="1747" spans="1:23" ht="34.5" customHeight="1" x14ac:dyDescent="0.25">
      <c r="A1747" s="1">
        <f t="shared" si="94"/>
        <v>1746</v>
      </c>
      <c r="B1747" s="1"/>
      <c r="C1747" s="2"/>
      <c r="H1747" s="1" t="str">
        <f t="shared" si="95"/>
        <v>0 г. 0 мес. 0 дн.</v>
      </c>
      <c r="I1747" s="1" t="s">
        <v>39</v>
      </c>
      <c r="V1747" s="1" t="str">
        <f t="shared" si="93"/>
        <v>0 г. 0 мес. 0 дн.</v>
      </c>
      <c r="W1747" s="5"/>
    </row>
    <row r="1748" spans="1:23" ht="34.5" customHeight="1" x14ac:dyDescent="0.25">
      <c r="A1748" s="1">
        <f t="shared" si="94"/>
        <v>1747</v>
      </c>
      <c r="B1748" s="1"/>
      <c r="C1748" s="2"/>
      <c r="H1748" s="1" t="str">
        <f t="shared" si="95"/>
        <v>0 г. 0 мес. 0 дн.</v>
      </c>
      <c r="I1748" s="1" t="s">
        <v>39</v>
      </c>
      <c r="V1748" s="1" t="str">
        <f t="shared" si="93"/>
        <v>0 г. 0 мес. 0 дн.</v>
      </c>
      <c r="W1748" s="5"/>
    </row>
    <row r="1749" spans="1:23" ht="34.5" customHeight="1" x14ac:dyDescent="0.25">
      <c r="A1749" s="1">
        <f t="shared" si="94"/>
        <v>1748</v>
      </c>
      <c r="B1749" s="1"/>
      <c r="C1749" s="2"/>
      <c r="H1749" s="1" t="str">
        <f t="shared" si="95"/>
        <v>0 г. 0 мес. 0 дн.</v>
      </c>
      <c r="I1749" s="1" t="s">
        <v>39</v>
      </c>
      <c r="V1749" s="1" t="str">
        <f t="shared" si="93"/>
        <v>0 г. 0 мес. 0 дн.</v>
      </c>
      <c r="W1749" s="5"/>
    </row>
    <row r="1750" spans="1:23" ht="34.5" customHeight="1" x14ac:dyDescent="0.25">
      <c r="A1750" s="1">
        <f t="shared" si="94"/>
        <v>1749</v>
      </c>
      <c r="B1750" s="1"/>
      <c r="C1750" s="2"/>
      <c r="H1750" s="1" t="str">
        <f t="shared" si="95"/>
        <v>0 г. 0 мес. 0 дн.</v>
      </c>
      <c r="I1750" s="1" t="s">
        <v>39</v>
      </c>
      <c r="V1750" s="1" t="str">
        <f t="shared" si="93"/>
        <v>0 г. 0 мес. 0 дн.</v>
      </c>
      <c r="W1750" s="5"/>
    </row>
    <row r="1751" spans="1:23" ht="34.5" customHeight="1" x14ac:dyDescent="0.25">
      <c r="A1751" s="1">
        <f t="shared" si="94"/>
        <v>1750</v>
      </c>
      <c r="B1751" s="1"/>
      <c r="C1751" s="2"/>
      <c r="H1751" s="1" t="str">
        <f t="shared" si="95"/>
        <v>0 г. 0 мес. 0 дн.</v>
      </c>
      <c r="I1751" s="1" t="s">
        <v>39</v>
      </c>
      <c r="V1751" s="1" t="str">
        <f t="shared" si="93"/>
        <v>0 г. 0 мес. 0 дн.</v>
      </c>
      <c r="W1751" s="5"/>
    </row>
    <row r="1752" spans="1:23" ht="34.5" customHeight="1" x14ac:dyDescent="0.25">
      <c r="A1752" s="1">
        <f t="shared" si="94"/>
        <v>1751</v>
      </c>
      <c r="B1752" s="1"/>
      <c r="C1752" s="2"/>
      <c r="H1752" s="1" t="str">
        <f t="shared" si="95"/>
        <v>0 г. 0 мес. 0 дн.</v>
      </c>
      <c r="I1752" s="1" t="s">
        <v>39</v>
      </c>
      <c r="V1752" s="1" t="str">
        <f t="shared" si="93"/>
        <v>0 г. 0 мес. 0 дн.</v>
      </c>
      <c r="W1752" s="5"/>
    </row>
    <row r="1753" spans="1:23" ht="34.5" customHeight="1" x14ac:dyDescent="0.25">
      <c r="A1753" s="1">
        <f t="shared" si="94"/>
        <v>1752</v>
      </c>
      <c r="B1753" s="1"/>
      <c r="C1753" s="2"/>
      <c r="H1753" s="1" t="str">
        <f t="shared" si="95"/>
        <v>0 г. 0 мес. 0 дн.</v>
      </c>
      <c r="I1753" s="1" t="s">
        <v>39</v>
      </c>
      <c r="V1753" s="1" t="str">
        <f t="shared" si="93"/>
        <v>0 г. 0 мес. 0 дн.</v>
      </c>
      <c r="W1753" s="5"/>
    </row>
    <row r="1754" spans="1:23" ht="34.5" customHeight="1" x14ac:dyDescent="0.25">
      <c r="A1754" s="1">
        <f t="shared" si="94"/>
        <v>1753</v>
      </c>
      <c r="B1754" s="1"/>
      <c r="C1754" s="2"/>
      <c r="H1754" s="1" t="str">
        <f t="shared" si="95"/>
        <v>0 г. 0 мес. 0 дн.</v>
      </c>
      <c r="I1754" s="1" t="s">
        <v>39</v>
      </c>
      <c r="V1754" s="1" t="str">
        <f t="shared" si="93"/>
        <v>0 г. 0 мес. 0 дн.</v>
      </c>
      <c r="W1754" s="5"/>
    </row>
    <row r="1755" spans="1:23" ht="34.5" customHeight="1" x14ac:dyDescent="0.25">
      <c r="A1755" s="1">
        <f t="shared" si="94"/>
        <v>1754</v>
      </c>
      <c r="B1755" s="1"/>
      <c r="C1755" s="2"/>
      <c r="H1755" s="1" t="str">
        <f t="shared" si="95"/>
        <v>0 г. 0 мес. 0 дн.</v>
      </c>
      <c r="I1755" s="1" t="s">
        <v>39</v>
      </c>
      <c r="V1755" s="1" t="str">
        <f t="shared" si="93"/>
        <v>0 г. 0 мес. 0 дн.</v>
      </c>
      <c r="W1755" s="5"/>
    </row>
    <row r="1756" spans="1:23" ht="34.5" customHeight="1" x14ac:dyDescent="0.25">
      <c r="A1756" s="1">
        <f t="shared" si="94"/>
        <v>1755</v>
      </c>
      <c r="B1756" s="1"/>
      <c r="C1756" s="2"/>
      <c r="H1756" s="1" t="str">
        <f t="shared" si="95"/>
        <v>0 г. 0 мес. 0 дн.</v>
      </c>
      <c r="I1756" s="1" t="s">
        <v>39</v>
      </c>
      <c r="V1756" s="1" t="str">
        <f t="shared" si="93"/>
        <v>0 г. 0 мес. 0 дн.</v>
      </c>
      <c r="W1756" s="5"/>
    </row>
    <row r="1757" spans="1:23" ht="34.5" customHeight="1" x14ac:dyDescent="0.25">
      <c r="A1757" s="1">
        <f t="shared" si="94"/>
        <v>1756</v>
      </c>
      <c r="B1757" s="1"/>
      <c r="C1757" s="2"/>
      <c r="H1757" s="1" t="str">
        <f t="shared" si="95"/>
        <v>0 г. 0 мес. 0 дн.</v>
      </c>
      <c r="I1757" s="1" t="s">
        <v>39</v>
      </c>
      <c r="V1757" s="1" t="str">
        <f t="shared" si="93"/>
        <v>0 г. 0 мес. 0 дн.</v>
      </c>
      <c r="W1757" s="5"/>
    </row>
    <row r="1758" spans="1:23" ht="34.5" customHeight="1" x14ac:dyDescent="0.25">
      <c r="A1758" s="1">
        <f t="shared" si="94"/>
        <v>1757</v>
      </c>
      <c r="B1758" s="1"/>
      <c r="C1758" s="2"/>
      <c r="H1758" s="1" t="str">
        <f t="shared" si="95"/>
        <v>0 г. 0 мес. 0 дн.</v>
      </c>
      <c r="I1758" s="1" t="s">
        <v>39</v>
      </c>
      <c r="V1758" s="1" t="str">
        <f t="shared" si="93"/>
        <v>0 г. 0 мес. 0 дн.</v>
      </c>
      <c r="W1758" s="5"/>
    </row>
    <row r="1759" spans="1:23" ht="34.5" customHeight="1" x14ac:dyDescent="0.25">
      <c r="A1759" s="1">
        <f t="shared" si="94"/>
        <v>1758</v>
      </c>
      <c r="B1759" s="1"/>
      <c r="C1759" s="2"/>
      <c r="H1759" s="1" t="str">
        <f t="shared" si="95"/>
        <v>0 г. 0 мес. 0 дн.</v>
      </c>
      <c r="I1759" s="1" t="s">
        <v>39</v>
      </c>
      <c r="V1759" s="1" t="str">
        <f t="shared" si="93"/>
        <v>0 г. 0 мес. 0 дн.</v>
      </c>
      <c r="W1759" s="5"/>
    </row>
    <row r="1760" spans="1:23" ht="34.5" customHeight="1" x14ac:dyDescent="0.25">
      <c r="A1760" s="1">
        <f t="shared" si="94"/>
        <v>1759</v>
      </c>
      <c r="B1760" s="1"/>
      <c r="C1760" s="2"/>
      <c r="H1760" s="1" t="str">
        <f t="shared" si="95"/>
        <v>0 г. 0 мес. 0 дн.</v>
      </c>
      <c r="I1760" s="1" t="s">
        <v>39</v>
      </c>
      <c r="V1760" s="1" t="str">
        <f t="shared" si="93"/>
        <v>0 г. 0 мес. 0 дн.</v>
      </c>
      <c r="W1760" s="5"/>
    </row>
    <row r="1761" spans="1:23" ht="34.5" customHeight="1" x14ac:dyDescent="0.25">
      <c r="A1761" s="1">
        <f t="shared" si="94"/>
        <v>1760</v>
      </c>
      <c r="B1761" s="1"/>
      <c r="C1761" s="2"/>
      <c r="H1761" s="1" t="str">
        <f t="shared" si="95"/>
        <v>0 г. 0 мес. 0 дн.</v>
      </c>
      <c r="I1761" s="1" t="s">
        <v>39</v>
      </c>
      <c r="V1761" s="1" t="str">
        <f t="shared" si="93"/>
        <v>0 г. 0 мес. 0 дн.</v>
      </c>
      <c r="W1761" s="5"/>
    </row>
    <row r="1762" spans="1:23" ht="34.5" customHeight="1" x14ac:dyDescent="0.25">
      <c r="A1762" s="1">
        <f t="shared" si="94"/>
        <v>1761</v>
      </c>
      <c r="B1762" s="1"/>
      <c r="C1762" s="2"/>
      <c r="H1762" s="1" t="str">
        <f t="shared" si="95"/>
        <v>0 г. 0 мес. 0 дн.</v>
      </c>
      <c r="I1762" s="1" t="s">
        <v>39</v>
      </c>
      <c r="V1762" s="1" t="str">
        <f t="shared" si="93"/>
        <v>0 г. 0 мес. 0 дн.</v>
      </c>
      <c r="W1762" s="5"/>
    </row>
    <row r="1763" spans="1:23" ht="34.5" customHeight="1" x14ac:dyDescent="0.25">
      <c r="A1763" s="1">
        <f t="shared" si="94"/>
        <v>1762</v>
      </c>
      <c r="B1763" s="1"/>
      <c r="C1763" s="2"/>
      <c r="H1763" s="1" t="str">
        <f t="shared" si="95"/>
        <v>0 г. 0 мес. 0 дн.</v>
      </c>
      <c r="I1763" s="1" t="s">
        <v>39</v>
      </c>
      <c r="V1763" s="1" t="str">
        <f t="shared" si="93"/>
        <v>0 г. 0 мес. 0 дн.</v>
      </c>
      <c r="W1763" s="5"/>
    </row>
    <row r="1764" spans="1:23" ht="34.5" customHeight="1" x14ac:dyDescent="0.25">
      <c r="A1764" s="1">
        <f t="shared" si="94"/>
        <v>1763</v>
      </c>
      <c r="B1764" s="1"/>
      <c r="C1764" s="2"/>
      <c r="H1764" s="1" t="str">
        <f t="shared" si="95"/>
        <v>0 г. 0 мес. 0 дн.</v>
      </c>
      <c r="I1764" s="1" t="s">
        <v>39</v>
      </c>
      <c r="V1764" s="1" t="str">
        <f t="shared" si="93"/>
        <v>0 г. 0 мес. 0 дн.</v>
      </c>
      <c r="W1764" s="5"/>
    </row>
    <row r="1765" spans="1:23" ht="34.5" customHeight="1" x14ac:dyDescent="0.25">
      <c r="A1765" s="1">
        <f t="shared" si="94"/>
        <v>1764</v>
      </c>
      <c r="B1765" s="1"/>
      <c r="C1765" s="2"/>
      <c r="H1765" s="1" t="str">
        <f t="shared" si="95"/>
        <v>0 г. 0 мес. 0 дн.</v>
      </c>
      <c r="I1765" s="1" t="s">
        <v>39</v>
      </c>
      <c r="V1765" s="1" t="str">
        <f t="shared" si="93"/>
        <v>0 г. 0 мес. 0 дн.</v>
      </c>
      <c r="W1765" s="5"/>
    </row>
    <row r="1766" spans="1:23" ht="34.5" customHeight="1" x14ac:dyDescent="0.25">
      <c r="A1766" s="1">
        <f t="shared" si="94"/>
        <v>1765</v>
      </c>
      <c r="B1766" s="1"/>
      <c r="C1766" s="2"/>
      <c r="H1766" s="1" t="str">
        <f t="shared" si="95"/>
        <v>0 г. 0 мес. 0 дн.</v>
      </c>
      <c r="I1766" s="1" t="s">
        <v>39</v>
      </c>
      <c r="V1766" s="1" t="str">
        <f t="shared" si="93"/>
        <v>0 г. 0 мес. 0 дн.</v>
      </c>
      <c r="W1766" s="5"/>
    </row>
    <row r="1767" spans="1:23" ht="34.5" customHeight="1" x14ac:dyDescent="0.25">
      <c r="A1767" s="1">
        <f t="shared" si="94"/>
        <v>1766</v>
      </c>
      <c r="B1767" s="1"/>
      <c r="C1767" s="2"/>
      <c r="H1767" s="1" t="str">
        <f t="shared" si="95"/>
        <v>0 г. 0 мес. 0 дн.</v>
      </c>
      <c r="I1767" s="1" t="s">
        <v>39</v>
      </c>
      <c r="V1767" s="1" t="str">
        <f t="shared" si="93"/>
        <v>0 г. 0 мес. 0 дн.</v>
      </c>
      <c r="W1767" s="5"/>
    </row>
    <row r="1768" spans="1:23" ht="34.5" customHeight="1" x14ac:dyDescent="0.25">
      <c r="A1768" s="1">
        <f t="shared" si="94"/>
        <v>1767</v>
      </c>
      <c r="B1768" s="1"/>
      <c r="C1768" s="2"/>
      <c r="H1768" s="1" t="str">
        <f t="shared" si="95"/>
        <v>0 г. 0 мес. 0 дн.</v>
      </c>
      <c r="I1768" s="1" t="s">
        <v>39</v>
      </c>
      <c r="V1768" s="1" t="str">
        <f t="shared" si="93"/>
        <v>0 г. 0 мес. 0 дн.</v>
      </c>
      <c r="W1768" s="5"/>
    </row>
    <row r="1769" spans="1:23" ht="34.5" customHeight="1" x14ac:dyDescent="0.25">
      <c r="A1769" s="1">
        <f t="shared" si="94"/>
        <v>1768</v>
      </c>
      <c r="B1769" s="1"/>
      <c r="C1769" s="2"/>
      <c r="H1769" s="1" t="str">
        <f t="shared" si="95"/>
        <v>0 г. 0 мес. 0 дн.</v>
      </c>
      <c r="I1769" s="1" t="s">
        <v>39</v>
      </c>
      <c r="V1769" s="1" t="str">
        <f t="shared" si="93"/>
        <v>0 г. 0 мес. 0 дн.</v>
      </c>
      <c r="W1769" s="5"/>
    </row>
    <row r="1770" spans="1:23" ht="34.5" customHeight="1" x14ac:dyDescent="0.25">
      <c r="A1770" s="1">
        <f t="shared" si="94"/>
        <v>1769</v>
      </c>
      <c r="B1770" s="1"/>
      <c r="C1770" s="2"/>
      <c r="H1770" s="1" t="str">
        <f t="shared" si="95"/>
        <v>0 г. 0 мес. 0 дн.</v>
      </c>
      <c r="I1770" s="1" t="s">
        <v>39</v>
      </c>
      <c r="V1770" s="1" t="str">
        <f t="shared" si="93"/>
        <v>0 г. 0 мес. 0 дн.</v>
      </c>
      <c r="W1770" s="5"/>
    </row>
    <row r="1771" spans="1:23" ht="34.5" customHeight="1" x14ac:dyDescent="0.25">
      <c r="A1771" s="1">
        <f t="shared" si="94"/>
        <v>1770</v>
      </c>
      <c r="B1771" s="1"/>
      <c r="C1771" s="2"/>
      <c r="H1771" s="1" t="str">
        <f t="shared" si="95"/>
        <v>0 г. 0 мес. 0 дн.</v>
      </c>
      <c r="I1771" s="1" t="s">
        <v>39</v>
      </c>
      <c r="V1771" s="1" t="str">
        <f t="shared" si="93"/>
        <v>0 г. 0 мес. 0 дн.</v>
      </c>
      <c r="W1771" s="5"/>
    </row>
    <row r="1772" spans="1:23" ht="34.5" customHeight="1" x14ac:dyDescent="0.25">
      <c r="A1772" s="1">
        <f t="shared" si="94"/>
        <v>1771</v>
      </c>
      <c r="B1772" s="1"/>
      <c r="C1772" s="2"/>
      <c r="H1772" s="1" t="str">
        <f t="shared" si="95"/>
        <v>0 г. 0 мес. 0 дн.</v>
      </c>
      <c r="I1772" s="1" t="s">
        <v>39</v>
      </c>
      <c r="V1772" s="1" t="str">
        <f t="shared" si="93"/>
        <v>0 г. 0 мес. 0 дн.</v>
      </c>
      <c r="W1772" s="5"/>
    </row>
    <row r="1773" spans="1:23" ht="34.5" customHeight="1" x14ac:dyDescent="0.25">
      <c r="A1773" s="1">
        <f t="shared" si="94"/>
        <v>1772</v>
      </c>
      <c r="B1773" s="1"/>
      <c r="C1773" s="2"/>
      <c r="H1773" s="1" t="str">
        <f t="shared" si="95"/>
        <v>0 г. 0 мес. 0 дн.</v>
      </c>
      <c r="I1773" s="1" t="s">
        <v>39</v>
      </c>
      <c r="V1773" s="1" t="str">
        <f t="shared" si="93"/>
        <v>0 г. 0 мес. 0 дн.</v>
      </c>
      <c r="W1773" s="5"/>
    </row>
    <row r="1774" spans="1:23" ht="34.5" customHeight="1" x14ac:dyDescent="0.25">
      <c r="A1774" s="1">
        <f t="shared" si="94"/>
        <v>1773</v>
      </c>
      <c r="B1774" s="1"/>
      <c r="C1774" s="2"/>
      <c r="H1774" s="1" t="str">
        <f t="shared" si="95"/>
        <v>0 г. 0 мес. 0 дн.</v>
      </c>
      <c r="I1774" s="1" t="s">
        <v>39</v>
      </c>
      <c r="V1774" s="1" t="str">
        <f t="shared" si="93"/>
        <v>0 г. 0 мес. 0 дн.</v>
      </c>
      <c r="W1774" s="5"/>
    </row>
    <row r="1775" spans="1:23" ht="34.5" customHeight="1" x14ac:dyDescent="0.25">
      <c r="A1775" s="1">
        <f t="shared" si="94"/>
        <v>1774</v>
      </c>
      <c r="B1775" s="1"/>
      <c r="C1775" s="2"/>
      <c r="H1775" s="1" t="str">
        <f t="shared" si="95"/>
        <v>0 г. 0 мес. 0 дн.</v>
      </c>
      <c r="I1775" s="1" t="s">
        <v>39</v>
      </c>
      <c r="V1775" s="1" t="str">
        <f t="shared" si="93"/>
        <v>0 г. 0 мес. 0 дн.</v>
      </c>
      <c r="W1775" s="5"/>
    </row>
    <row r="1776" spans="1:23" ht="34.5" customHeight="1" x14ac:dyDescent="0.25">
      <c r="A1776" s="1">
        <f t="shared" si="94"/>
        <v>1775</v>
      </c>
      <c r="B1776" s="1"/>
      <c r="C1776" s="2"/>
      <c r="H1776" s="1" t="str">
        <f t="shared" si="95"/>
        <v>0 г. 0 мес. 0 дн.</v>
      </c>
      <c r="I1776" s="1" t="s">
        <v>39</v>
      </c>
      <c r="V1776" s="1" t="str">
        <f t="shared" si="93"/>
        <v>0 г. 0 мес. 0 дн.</v>
      </c>
      <c r="W1776" s="5"/>
    </row>
    <row r="1777" spans="1:23" ht="34.5" customHeight="1" x14ac:dyDescent="0.25">
      <c r="A1777" s="1">
        <f t="shared" si="94"/>
        <v>1776</v>
      </c>
      <c r="B1777" s="1"/>
      <c r="C1777" s="2"/>
      <c r="H1777" s="1" t="str">
        <f t="shared" si="95"/>
        <v>0 г. 0 мес. 0 дн.</v>
      </c>
      <c r="I1777" s="1" t="s">
        <v>39</v>
      </c>
      <c r="V1777" s="1" t="str">
        <f t="shared" ref="V1777:V1840" si="96">DATEDIF(D1777,T1777,"y") &amp; " г. " &amp; DATEDIF(D1777,T1777,"ym") &amp; " мес. " &amp; DATEDIF(D1777,T1777,"md") &amp; " дн."</f>
        <v>0 г. 0 мес. 0 дн.</v>
      </c>
      <c r="W1777" s="5"/>
    </row>
    <row r="1778" spans="1:23" ht="34.5" customHeight="1" x14ac:dyDescent="0.25">
      <c r="A1778" s="1">
        <f t="shared" si="94"/>
        <v>1777</v>
      </c>
      <c r="B1778" s="1"/>
      <c r="C1778" s="2"/>
      <c r="H1778" s="1" t="str">
        <f t="shared" si="95"/>
        <v>0 г. 0 мес. 0 дн.</v>
      </c>
      <c r="I1778" s="1" t="s">
        <v>39</v>
      </c>
      <c r="V1778" s="1" t="str">
        <f t="shared" si="96"/>
        <v>0 г. 0 мес. 0 дн.</v>
      </c>
      <c r="W1778" s="5"/>
    </row>
    <row r="1779" spans="1:23" ht="34.5" customHeight="1" x14ac:dyDescent="0.25">
      <c r="A1779" s="1">
        <f t="shared" si="94"/>
        <v>1778</v>
      </c>
      <c r="B1779" s="1"/>
      <c r="C1779" s="2"/>
      <c r="H1779" s="1" t="str">
        <f t="shared" si="95"/>
        <v>0 г. 0 мес. 0 дн.</v>
      </c>
      <c r="I1779" s="1" t="s">
        <v>39</v>
      </c>
      <c r="V1779" s="1" t="str">
        <f t="shared" si="96"/>
        <v>0 г. 0 мес. 0 дн.</v>
      </c>
      <c r="W1779" s="5"/>
    </row>
    <row r="1780" spans="1:23" ht="34.5" customHeight="1" x14ac:dyDescent="0.25">
      <c r="A1780" s="1">
        <f t="shared" si="94"/>
        <v>1779</v>
      </c>
      <c r="B1780" s="1"/>
      <c r="C1780" s="2"/>
      <c r="H1780" s="1" t="str">
        <f t="shared" si="95"/>
        <v>0 г. 0 мес. 0 дн.</v>
      </c>
      <c r="I1780" s="1" t="s">
        <v>39</v>
      </c>
      <c r="V1780" s="1" t="str">
        <f t="shared" si="96"/>
        <v>0 г. 0 мес. 0 дн.</v>
      </c>
      <c r="W1780" s="5"/>
    </row>
    <row r="1781" spans="1:23" ht="34.5" customHeight="1" x14ac:dyDescent="0.25">
      <c r="A1781" s="1">
        <f t="shared" si="94"/>
        <v>1780</v>
      </c>
      <c r="B1781" s="1"/>
      <c r="C1781" s="2"/>
      <c r="H1781" s="1" t="str">
        <f t="shared" si="95"/>
        <v>0 г. 0 мес. 0 дн.</v>
      </c>
      <c r="I1781" s="1" t="s">
        <v>39</v>
      </c>
      <c r="V1781" s="1" t="str">
        <f t="shared" si="96"/>
        <v>0 г. 0 мес. 0 дн.</v>
      </c>
      <c r="W1781" s="5"/>
    </row>
    <row r="1782" spans="1:23" ht="34.5" customHeight="1" x14ac:dyDescent="0.25">
      <c r="A1782" s="1">
        <f t="shared" si="94"/>
        <v>1781</v>
      </c>
      <c r="B1782" s="1"/>
      <c r="C1782" s="2"/>
      <c r="H1782" s="1" t="str">
        <f t="shared" si="95"/>
        <v>0 г. 0 мес. 0 дн.</v>
      </c>
      <c r="I1782" s="1" t="s">
        <v>39</v>
      </c>
      <c r="V1782" s="1" t="str">
        <f t="shared" si="96"/>
        <v>0 г. 0 мес. 0 дн.</v>
      </c>
      <c r="W1782" s="5"/>
    </row>
    <row r="1783" spans="1:23" ht="34.5" customHeight="1" x14ac:dyDescent="0.25">
      <c r="A1783" s="1">
        <f t="shared" si="94"/>
        <v>1782</v>
      </c>
      <c r="B1783" s="1"/>
      <c r="C1783" s="2"/>
      <c r="H1783" s="1" t="str">
        <f t="shared" si="95"/>
        <v>0 г. 0 мес. 0 дн.</v>
      </c>
      <c r="I1783" s="1" t="s">
        <v>39</v>
      </c>
      <c r="V1783" s="1" t="str">
        <f t="shared" si="96"/>
        <v>0 г. 0 мес. 0 дн.</v>
      </c>
      <c r="W1783" s="5"/>
    </row>
    <row r="1784" spans="1:23" ht="34.5" customHeight="1" x14ac:dyDescent="0.25">
      <c r="A1784" s="1">
        <f t="shared" si="94"/>
        <v>1783</v>
      </c>
      <c r="B1784" s="1"/>
      <c r="C1784" s="2"/>
      <c r="H1784" s="1" t="str">
        <f t="shared" si="95"/>
        <v>0 г. 0 мес. 0 дн.</v>
      </c>
      <c r="I1784" s="1" t="s">
        <v>39</v>
      </c>
      <c r="V1784" s="1" t="str">
        <f t="shared" si="96"/>
        <v>0 г. 0 мес. 0 дн.</v>
      </c>
      <c r="W1784" s="5"/>
    </row>
    <row r="1785" spans="1:23" ht="34.5" customHeight="1" x14ac:dyDescent="0.25">
      <c r="A1785" s="1">
        <f t="shared" si="94"/>
        <v>1784</v>
      </c>
      <c r="B1785" s="1"/>
      <c r="C1785" s="2"/>
      <c r="H1785" s="1" t="str">
        <f t="shared" si="95"/>
        <v>0 г. 0 мес. 0 дн.</v>
      </c>
      <c r="I1785" s="1" t="s">
        <v>39</v>
      </c>
      <c r="V1785" s="1" t="str">
        <f t="shared" si="96"/>
        <v>0 г. 0 мес. 0 дн.</v>
      </c>
      <c r="W1785" s="5"/>
    </row>
    <row r="1786" spans="1:23" ht="34.5" customHeight="1" x14ac:dyDescent="0.25">
      <c r="A1786" s="1">
        <f t="shared" si="94"/>
        <v>1785</v>
      </c>
      <c r="B1786" s="1"/>
      <c r="C1786" s="2"/>
      <c r="H1786" s="1" t="str">
        <f t="shared" si="95"/>
        <v>0 г. 0 мес. 0 дн.</v>
      </c>
      <c r="I1786" s="1" t="s">
        <v>39</v>
      </c>
      <c r="V1786" s="1" t="str">
        <f t="shared" si="96"/>
        <v>0 г. 0 мес. 0 дн.</v>
      </c>
      <c r="W1786" s="5"/>
    </row>
    <row r="1787" spans="1:23" ht="34.5" customHeight="1" x14ac:dyDescent="0.25">
      <c r="A1787" s="1">
        <f t="shared" si="94"/>
        <v>1786</v>
      </c>
      <c r="B1787" s="1"/>
      <c r="C1787" s="2"/>
      <c r="H1787" s="1" t="str">
        <f t="shared" si="95"/>
        <v>0 г. 0 мес. 0 дн.</v>
      </c>
      <c r="I1787" s="1" t="s">
        <v>39</v>
      </c>
      <c r="V1787" s="1" t="str">
        <f t="shared" si="96"/>
        <v>0 г. 0 мес. 0 дн.</v>
      </c>
      <c r="W1787" s="5"/>
    </row>
    <row r="1788" spans="1:23" ht="34.5" customHeight="1" x14ac:dyDescent="0.25">
      <c r="A1788" s="1">
        <f t="shared" si="94"/>
        <v>1787</v>
      </c>
      <c r="B1788" s="1"/>
      <c r="C1788" s="2"/>
      <c r="H1788" s="1" t="str">
        <f t="shared" si="95"/>
        <v>0 г. 0 мес. 0 дн.</v>
      </c>
      <c r="I1788" s="1" t="s">
        <v>39</v>
      </c>
      <c r="V1788" s="1" t="str">
        <f t="shared" si="96"/>
        <v>0 г. 0 мес. 0 дн.</v>
      </c>
      <c r="W1788" s="5"/>
    </row>
    <row r="1789" spans="1:23" ht="34.5" customHeight="1" x14ac:dyDescent="0.25">
      <c r="A1789" s="1">
        <f t="shared" si="94"/>
        <v>1788</v>
      </c>
      <c r="B1789" s="1"/>
      <c r="C1789" s="2"/>
      <c r="H1789" s="1" t="str">
        <f t="shared" si="95"/>
        <v>0 г. 0 мес. 0 дн.</v>
      </c>
      <c r="I1789" s="1" t="s">
        <v>39</v>
      </c>
      <c r="V1789" s="1" t="str">
        <f t="shared" si="96"/>
        <v>0 г. 0 мес. 0 дн.</v>
      </c>
      <c r="W1789" s="5"/>
    </row>
    <row r="1790" spans="1:23" ht="34.5" customHeight="1" x14ac:dyDescent="0.25">
      <c r="A1790" s="1">
        <f t="shared" si="94"/>
        <v>1789</v>
      </c>
      <c r="B1790" s="1"/>
      <c r="C1790" s="2"/>
      <c r="H1790" s="1" t="str">
        <f t="shared" si="95"/>
        <v>0 г. 0 мес. 0 дн.</v>
      </c>
      <c r="I1790" s="1" t="s">
        <v>39</v>
      </c>
      <c r="V1790" s="1" t="str">
        <f t="shared" si="96"/>
        <v>0 г. 0 мес. 0 дн.</v>
      </c>
      <c r="W1790" s="5"/>
    </row>
    <row r="1791" spans="1:23" ht="34.5" customHeight="1" x14ac:dyDescent="0.25">
      <c r="A1791" s="1">
        <f t="shared" si="94"/>
        <v>1790</v>
      </c>
      <c r="B1791" s="1"/>
      <c r="C1791" s="2"/>
      <c r="H1791" s="1" t="str">
        <f t="shared" si="95"/>
        <v>0 г. 0 мес. 0 дн.</v>
      </c>
      <c r="I1791" s="1" t="s">
        <v>39</v>
      </c>
      <c r="V1791" s="1" t="str">
        <f t="shared" si="96"/>
        <v>0 г. 0 мес. 0 дн.</v>
      </c>
      <c r="W1791" s="5"/>
    </row>
    <row r="1792" spans="1:23" ht="34.5" customHeight="1" x14ac:dyDescent="0.25">
      <c r="A1792" s="1">
        <f t="shared" ref="A1792:A1855" si="97">ROW(A1791)</f>
        <v>1791</v>
      </c>
      <c r="B1792" s="1"/>
      <c r="C1792" s="2"/>
      <c r="H1792" s="1" t="str">
        <f t="shared" si="95"/>
        <v>0 г. 0 мес. 0 дн.</v>
      </c>
      <c r="I1792" s="1" t="s">
        <v>39</v>
      </c>
      <c r="V1792" s="1" t="str">
        <f t="shared" si="96"/>
        <v>0 г. 0 мес. 0 дн.</v>
      </c>
      <c r="W1792" s="5"/>
    </row>
    <row r="1793" spans="1:23" ht="34.5" customHeight="1" x14ac:dyDescent="0.25">
      <c r="A1793" s="1">
        <f t="shared" si="97"/>
        <v>1792</v>
      </c>
      <c r="B1793" s="1"/>
      <c r="C1793" s="2"/>
      <c r="H1793" s="1" t="str">
        <f t="shared" si="95"/>
        <v>0 г. 0 мес. 0 дн.</v>
      </c>
      <c r="I1793" s="1" t="s">
        <v>39</v>
      </c>
      <c r="V1793" s="1" t="str">
        <f t="shared" si="96"/>
        <v>0 г. 0 мес. 0 дн.</v>
      </c>
      <c r="W1793" s="5"/>
    </row>
    <row r="1794" spans="1:23" ht="34.5" customHeight="1" x14ac:dyDescent="0.25">
      <c r="A1794" s="1">
        <f t="shared" si="97"/>
        <v>1793</v>
      </c>
      <c r="B1794" s="1"/>
      <c r="C1794" s="2"/>
      <c r="H1794" s="1" t="str">
        <f t="shared" ref="H1794:H1857" si="98">DATEDIF(G1794,D1794,"y") &amp; " г. " &amp; DATEDIF(G1794,D1794,"ym") &amp; " мес. " &amp; DATEDIF(G1794,D1794,"md") &amp; " дн."</f>
        <v>0 г. 0 мес. 0 дн.</v>
      </c>
      <c r="I1794" s="1" t="s">
        <v>39</v>
      </c>
      <c r="V1794" s="1" t="str">
        <f t="shared" si="96"/>
        <v>0 г. 0 мес. 0 дн.</v>
      </c>
      <c r="W1794" s="5"/>
    </row>
    <row r="1795" spans="1:23" ht="34.5" customHeight="1" x14ac:dyDescent="0.25">
      <c r="A1795" s="1">
        <f t="shared" si="97"/>
        <v>1794</v>
      </c>
      <c r="B1795" s="1"/>
      <c r="C1795" s="2"/>
      <c r="H1795" s="1" t="str">
        <f t="shared" si="98"/>
        <v>0 г. 0 мес. 0 дн.</v>
      </c>
      <c r="I1795" s="1" t="s">
        <v>39</v>
      </c>
      <c r="V1795" s="1" t="str">
        <f t="shared" si="96"/>
        <v>0 г. 0 мес. 0 дн.</v>
      </c>
      <c r="W1795" s="5"/>
    </row>
    <row r="1796" spans="1:23" ht="34.5" customHeight="1" x14ac:dyDescent="0.25">
      <c r="A1796" s="1">
        <f t="shared" si="97"/>
        <v>1795</v>
      </c>
      <c r="B1796" s="1"/>
      <c r="C1796" s="2"/>
      <c r="H1796" s="1" t="str">
        <f t="shared" si="98"/>
        <v>0 г. 0 мес. 0 дн.</v>
      </c>
      <c r="I1796" s="1" t="s">
        <v>39</v>
      </c>
      <c r="V1796" s="1" t="str">
        <f t="shared" si="96"/>
        <v>0 г. 0 мес. 0 дн.</v>
      </c>
      <c r="W1796" s="5"/>
    </row>
    <row r="1797" spans="1:23" ht="34.5" customHeight="1" x14ac:dyDescent="0.25">
      <c r="A1797" s="1">
        <f t="shared" si="97"/>
        <v>1796</v>
      </c>
      <c r="B1797" s="1"/>
      <c r="C1797" s="2"/>
      <c r="H1797" s="1" t="str">
        <f t="shared" si="98"/>
        <v>0 г. 0 мес. 0 дн.</v>
      </c>
      <c r="I1797" s="1" t="s">
        <v>39</v>
      </c>
      <c r="V1797" s="1" t="str">
        <f t="shared" si="96"/>
        <v>0 г. 0 мес. 0 дн.</v>
      </c>
      <c r="W1797" s="5"/>
    </row>
    <row r="1798" spans="1:23" ht="34.5" customHeight="1" x14ac:dyDescent="0.25">
      <c r="A1798" s="1">
        <f t="shared" si="97"/>
        <v>1797</v>
      </c>
      <c r="B1798" s="1"/>
      <c r="C1798" s="2"/>
      <c r="H1798" s="1" t="str">
        <f t="shared" si="98"/>
        <v>0 г. 0 мес. 0 дн.</v>
      </c>
      <c r="I1798" s="1" t="s">
        <v>39</v>
      </c>
      <c r="V1798" s="1" t="str">
        <f t="shared" si="96"/>
        <v>0 г. 0 мес. 0 дн.</v>
      </c>
      <c r="W1798" s="5"/>
    </row>
    <row r="1799" spans="1:23" ht="34.5" customHeight="1" x14ac:dyDescent="0.25">
      <c r="A1799" s="1">
        <f t="shared" si="97"/>
        <v>1798</v>
      </c>
      <c r="B1799" s="1"/>
      <c r="C1799" s="2"/>
      <c r="H1799" s="1" t="str">
        <f t="shared" si="98"/>
        <v>0 г. 0 мес. 0 дн.</v>
      </c>
      <c r="I1799" s="1" t="s">
        <v>39</v>
      </c>
      <c r="V1799" s="1" t="str">
        <f t="shared" si="96"/>
        <v>0 г. 0 мес. 0 дн.</v>
      </c>
      <c r="W1799" s="5"/>
    </row>
    <row r="1800" spans="1:23" ht="34.5" customHeight="1" x14ac:dyDescent="0.25">
      <c r="A1800" s="1">
        <f t="shared" si="97"/>
        <v>1799</v>
      </c>
      <c r="B1800" s="1"/>
      <c r="C1800" s="2"/>
      <c r="H1800" s="1" t="str">
        <f t="shared" si="98"/>
        <v>0 г. 0 мес. 0 дн.</v>
      </c>
      <c r="I1800" s="1" t="s">
        <v>39</v>
      </c>
      <c r="V1800" s="1" t="str">
        <f t="shared" si="96"/>
        <v>0 г. 0 мес. 0 дн.</v>
      </c>
      <c r="W1800" s="5"/>
    </row>
    <row r="1801" spans="1:23" ht="34.5" customHeight="1" x14ac:dyDescent="0.25">
      <c r="A1801" s="1">
        <f t="shared" si="97"/>
        <v>1800</v>
      </c>
      <c r="B1801" s="1"/>
      <c r="C1801" s="2"/>
      <c r="H1801" s="1" t="str">
        <f t="shared" si="98"/>
        <v>0 г. 0 мес. 0 дн.</v>
      </c>
      <c r="I1801" s="1" t="s">
        <v>39</v>
      </c>
      <c r="V1801" s="1" t="str">
        <f t="shared" si="96"/>
        <v>0 г. 0 мес. 0 дн.</v>
      </c>
      <c r="W1801" s="5"/>
    </row>
    <row r="1802" spans="1:23" ht="34.5" customHeight="1" x14ac:dyDescent="0.25">
      <c r="A1802" s="1">
        <f t="shared" si="97"/>
        <v>1801</v>
      </c>
      <c r="B1802" s="1"/>
      <c r="C1802" s="2"/>
      <c r="H1802" s="1" t="str">
        <f t="shared" si="98"/>
        <v>0 г. 0 мес. 0 дн.</v>
      </c>
      <c r="I1802" s="1" t="s">
        <v>39</v>
      </c>
      <c r="V1802" s="1" t="str">
        <f t="shared" si="96"/>
        <v>0 г. 0 мес. 0 дн.</v>
      </c>
      <c r="W1802" s="5"/>
    </row>
    <row r="1803" spans="1:23" ht="34.5" customHeight="1" x14ac:dyDescent="0.25">
      <c r="A1803" s="1">
        <f t="shared" si="97"/>
        <v>1802</v>
      </c>
      <c r="B1803" s="1"/>
      <c r="C1803" s="2"/>
      <c r="H1803" s="1" t="str">
        <f t="shared" si="98"/>
        <v>0 г. 0 мес. 0 дн.</v>
      </c>
      <c r="I1803" s="1" t="s">
        <v>39</v>
      </c>
      <c r="V1803" s="1" t="str">
        <f t="shared" si="96"/>
        <v>0 г. 0 мес. 0 дн.</v>
      </c>
      <c r="W1803" s="5"/>
    </row>
    <row r="1804" spans="1:23" ht="34.5" customHeight="1" x14ac:dyDescent="0.25">
      <c r="A1804" s="1">
        <f t="shared" si="97"/>
        <v>1803</v>
      </c>
      <c r="B1804" s="1"/>
      <c r="C1804" s="2"/>
      <c r="H1804" s="1" t="str">
        <f t="shared" si="98"/>
        <v>0 г. 0 мес. 0 дн.</v>
      </c>
      <c r="I1804" s="1" t="s">
        <v>39</v>
      </c>
      <c r="V1804" s="1" t="str">
        <f t="shared" si="96"/>
        <v>0 г. 0 мес. 0 дн.</v>
      </c>
      <c r="W1804" s="5"/>
    </row>
    <row r="1805" spans="1:23" ht="34.5" customHeight="1" x14ac:dyDescent="0.25">
      <c r="A1805" s="1">
        <f t="shared" si="97"/>
        <v>1804</v>
      </c>
      <c r="B1805" s="1"/>
      <c r="C1805" s="2"/>
      <c r="H1805" s="1" t="str">
        <f t="shared" si="98"/>
        <v>0 г. 0 мес. 0 дн.</v>
      </c>
      <c r="I1805" s="1" t="s">
        <v>39</v>
      </c>
      <c r="V1805" s="1" t="str">
        <f t="shared" si="96"/>
        <v>0 г. 0 мес. 0 дн.</v>
      </c>
      <c r="W1805" s="5"/>
    </row>
    <row r="1806" spans="1:23" ht="34.5" customHeight="1" x14ac:dyDescent="0.25">
      <c r="A1806" s="1">
        <f t="shared" si="97"/>
        <v>1805</v>
      </c>
      <c r="B1806" s="1"/>
      <c r="C1806" s="2"/>
      <c r="H1806" s="1" t="str">
        <f t="shared" si="98"/>
        <v>0 г. 0 мес. 0 дн.</v>
      </c>
      <c r="I1806" s="1" t="s">
        <v>39</v>
      </c>
      <c r="V1806" s="1" t="str">
        <f t="shared" si="96"/>
        <v>0 г. 0 мес. 0 дн.</v>
      </c>
      <c r="W1806" s="5"/>
    </row>
    <row r="1807" spans="1:23" ht="34.5" customHeight="1" x14ac:dyDescent="0.25">
      <c r="A1807" s="1">
        <f t="shared" si="97"/>
        <v>1806</v>
      </c>
      <c r="B1807" s="1"/>
      <c r="C1807" s="2"/>
      <c r="H1807" s="1" t="str">
        <f t="shared" si="98"/>
        <v>0 г. 0 мес. 0 дн.</v>
      </c>
      <c r="I1807" s="1" t="s">
        <v>39</v>
      </c>
      <c r="V1807" s="1" t="str">
        <f t="shared" si="96"/>
        <v>0 г. 0 мес. 0 дн.</v>
      </c>
      <c r="W1807" s="5"/>
    </row>
    <row r="1808" spans="1:23" ht="34.5" customHeight="1" x14ac:dyDescent="0.25">
      <c r="A1808" s="1">
        <f t="shared" si="97"/>
        <v>1807</v>
      </c>
      <c r="B1808" s="1"/>
      <c r="C1808" s="2"/>
      <c r="H1808" s="1" t="str">
        <f t="shared" si="98"/>
        <v>0 г. 0 мес. 0 дн.</v>
      </c>
      <c r="I1808" s="1" t="s">
        <v>39</v>
      </c>
      <c r="V1808" s="1" t="str">
        <f t="shared" si="96"/>
        <v>0 г. 0 мес. 0 дн.</v>
      </c>
      <c r="W1808" s="5"/>
    </row>
    <row r="1809" spans="1:23" ht="34.5" customHeight="1" x14ac:dyDescent="0.25">
      <c r="A1809" s="1">
        <f t="shared" si="97"/>
        <v>1808</v>
      </c>
      <c r="B1809" s="1"/>
      <c r="C1809" s="2"/>
      <c r="H1809" s="1" t="str">
        <f t="shared" si="98"/>
        <v>0 г. 0 мес. 0 дн.</v>
      </c>
      <c r="I1809" s="1" t="s">
        <v>39</v>
      </c>
      <c r="V1809" s="1" t="str">
        <f t="shared" si="96"/>
        <v>0 г. 0 мес. 0 дн.</v>
      </c>
      <c r="W1809" s="5"/>
    </row>
    <row r="1810" spans="1:23" ht="34.5" customHeight="1" x14ac:dyDescent="0.25">
      <c r="A1810" s="1">
        <f t="shared" si="97"/>
        <v>1809</v>
      </c>
      <c r="B1810" s="1"/>
      <c r="C1810" s="2"/>
      <c r="H1810" s="1" t="str">
        <f t="shared" si="98"/>
        <v>0 г. 0 мес. 0 дн.</v>
      </c>
      <c r="I1810" s="1" t="s">
        <v>39</v>
      </c>
      <c r="V1810" s="1" t="str">
        <f t="shared" si="96"/>
        <v>0 г. 0 мес. 0 дн.</v>
      </c>
      <c r="W1810" s="5"/>
    </row>
    <row r="1811" spans="1:23" ht="34.5" customHeight="1" x14ac:dyDescent="0.25">
      <c r="A1811" s="1">
        <f t="shared" si="97"/>
        <v>1810</v>
      </c>
      <c r="B1811" s="1"/>
      <c r="C1811" s="2"/>
      <c r="H1811" s="1" t="str">
        <f t="shared" si="98"/>
        <v>0 г. 0 мес. 0 дн.</v>
      </c>
      <c r="I1811" s="1" t="s">
        <v>39</v>
      </c>
      <c r="V1811" s="1" t="str">
        <f t="shared" si="96"/>
        <v>0 г. 0 мес. 0 дн.</v>
      </c>
      <c r="W1811" s="5"/>
    </row>
    <row r="1812" spans="1:23" ht="34.5" customHeight="1" x14ac:dyDescent="0.25">
      <c r="A1812" s="1">
        <f t="shared" si="97"/>
        <v>1811</v>
      </c>
      <c r="B1812" s="1"/>
      <c r="C1812" s="2"/>
      <c r="H1812" s="1" t="str">
        <f t="shared" si="98"/>
        <v>0 г. 0 мес. 0 дн.</v>
      </c>
      <c r="I1812" s="1" t="s">
        <v>39</v>
      </c>
      <c r="V1812" s="1" t="str">
        <f t="shared" si="96"/>
        <v>0 г. 0 мес. 0 дн.</v>
      </c>
      <c r="W1812" s="5"/>
    </row>
    <row r="1813" spans="1:23" ht="34.5" customHeight="1" x14ac:dyDescent="0.25">
      <c r="A1813" s="1">
        <f t="shared" si="97"/>
        <v>1812</v>
      </c>
      <c r="B1813" s="1"/>
      <c r="C1813" s="2"/>
      <c r="H1813" s="1" t="str">
        <f t="shared" si="98"/>
        <v>0 г. 0 мес. 0 дн.</v>
      </c>
      <c r="I1813" s="1" t="s">
        <v>39</v>
      </c>
      <c r="V1813" s="1" t="str">
        <f t="shared" si="96"/>
        <v>0 г. 0 мес. 0 дн.</v>
      </c>
      <c r="W1813" s="5"/>
    </row>
    <row r="1814" spans="1:23" ht="34.5" customHeight="1" x14ac:dyDescent="0.25">
      <c r="A1814" s="1">
        <f t="shared" si="97"/>
        <v>1813</v>
      </c>
      <c r="B1814" s="1"/>
      <c r="C1814" s="2"/>
      <c r="H1814" s="1" t="str">
        <f t="shared" si="98"/>
        <v>0 г. 0 мес. 0 дн.</v>
      </c>
      <c r="I1814" s="1" t="s">
        <v>39</v>
      </c>
      <c r="V1814" s="1" t="str">
        <f t="shared" si="96"/>
        <v>0 г. 0 мес. 0 дн.</v>
      </c>
      <c r="W1814" s="5"/>
    </row>
    <row r="1815" spans="1:23" ht="34.5" customHeight="1" x14ac:dyDescent="0.25">
      <c r="A1815" s="1">
        <f t="shared" si="97"/>
        <v>1814</v>
      </c>
      <c r="B1815" s="1"/>
      <c r="C1815" s="2"/>
      <c r="H1815" s="1" t="str">
        <f t="shared" si="98"/>
        <v>0 г. 0 мес. 0 дн.</v>
      </c>
      <c r="I1815" s="1" t="s">
        <v>39</v>
      </c>
      <c r="V1815" s="1" t="str">
        <f t="shared" si="96"/>
        <v>0 г. 0 мес. 0 дн.</v>
      </c>
      <c r="W1815" s="5"/>
    </row>
    <row r="1816" spans="1:23" ht="34.5" customHeight="1" x14ac:dyDescent="0.25">
      <c r="A1816" s="1">
        <f t="shared" si="97"/>
        <v>1815</v>
      </c>
      <c r="B1816" s="1"/>
      <c r="C1816" s="2"/>
      <c r="H1816" s="1" t="str">
        <f t="shared" si="98"/>
        <v>0 г. 0 мес. 0 дн.</v>
      </c>
      <c r="I1816" s="1" t="s">
        <v>39</v>
      </c>
      <c r="V1816" s="1" t="str">
        <f t="shared" si="96"/>
        <v>0 г. 0 мес. 0 дн.</v>
      </c>
      <c r="W1816" s="5"/>
    </row>
    <row r="1817" spans="1:23" ht="34.5" customHeight="1" x14ac:dyDescent="0.25">
      <c r="A1817" s="1">
        <f t="shared" si="97"/>
        <v>1816</v>
      </c>
      <c r="B1817" s="1"/>
      <c r="C1817" s="2"/>
      <c r="H1817" s="1" t="str">
        <f t="shared" si="98"/>
        <v>0 г. 0 мес. 0 дн.</v>
      </c>
      <c r="I1817" s="1" t="s">
        <v>39</v>
      </c>
      <c r="V1817" s="1" t="str">
        <f t="shared" si="96"/>
        <v>0 г. 0 мес. 0 дн.</v>
      </c>
      <c r="W1817" s="5"/>
    </row>
    <row r="1818" spans="1:23" ht="34.5" customHeight="1" x14ac:dyDescent="0.25">
      <c r="A1818" s="1">
        <f t="shared" si="97"/>
        <v>1817</v>
      </c>
      <c r="B1818" s="1"/>
      <c r="C1818" s="2"/>
      <c r="H1818" s="1" t="str">
        <f t="shared" si="98"/>
        <v>0 г. 0 мес. 0 дн.</v>
      </c>
      <c r="I1818" s="1" t="s">
        <v>39</v>
      </c>
      <c r="V1818" s="1" t="str">
        <f t="shared" si="96"/>
        <v>0 г. 0 мес. 0 дн.</v>
      </c>
      <c r="W1818" s="5"/>
    </row>
    <row r="1819" spans="1:23" ht="34.5" customHeight="1" x14ac:dyDescent="0.25">
      <c r="A1819" s="1">
        <f t="shared" si="97"/>
        <v>1818</v>
      </c>
      <c r="B1819" s="1"/>
      <c r="C1819" s="2"/>
      <c r="H1819" s="1" t="str">
        <f t="shared" si="98"/>
        <v>0 г. 0 мес. 0 дн.</v>
      </c>
      <c r="I1819" s="1" t="s">
        <v>39</v>
      </c>
      <c r="V1819" s="1" t="str">
        <f t="shared" si="96"/>
        <v>0 г. 0 мес. 0 дн.</v>
      </c>
      <c r="W1819" s="5"/>
    </row>
    <row r="1820" spans="1:23" ht="34.5" customHeight="1" x14ac:dyDescent="0.25">
      <c r="A1820" s="1">
        <f t="shared" si="97"/>
        <v>1819</v>
      </c>
      <c r="B1820" s="1"/>
      <c r="C1820" s="2"/>
      <c r="H1820" s="1" t="str">
        <f t="shared" si="98"/>
        <v>0 г. 0 мес. 0 дн.</v>
      </c>
      <c r="I1820" s="1" t="s">
        <v>39</v>
      </c>
      <c r="V1820" s="1" t="str">
        <f t="shared" si="96"/>
        <v>0 г. 0 мес. 0 дн.</v>
      </c>
      <c r="W1820" s="5"/>
    </row>
    <row r="1821" spans="1:23" ht="34.5" customHeight="1" x14ac:dyDescent="0.25">
      <c r="A1821" s="1">
        <f t="shared" si="97"/>
        <v>1820</v>
      </c>
      <c r="B1821" s="1"/>
      <c r="C1821" s="2"/>
      <c r="H1821" s="1" t="str">
        <f t="shared" si="98"/>
        <v>0 г. 0 мес. 0 дн.</v>
      </c>
      <c r="I1821" s="1" t="s">
        <v>39</v>
      </c>
      <c r="V1821" s="1" t="str">
        <f t="shared" si="96"/>
        <v>0 г. 0 мес. 0 дн.</v>
      </c>
      <c r="W1821" s="5"/>
    </row>
    <row r="1822" spans="1:23" ht="34.5" customHeight="1" x14ac:dyDescent="0.25">
      <c r="A1822" s="1">
        <f t="shared" si="97"/>
        <v>1821</v>
      </c>
      <c r="B1822" s="1"/>
      <c r="C1822" s="2"/>
      <c r="H1822" s="1" t="str">
        <f t="shared" si="98"/>
        <v>0 г. 0 мес. 0 дн.</v>
      </c>
      <c r="I1822" s="1" t="s">
        <v>39</v>
      </c>
      <c r="V1822" s="1" t="str">
        <f t="shared" si="96"/>
        <v>0 г. 0 мес. 0 дн.</v>
      </c>
      <c r="W1822" s="5"/>
    </row>
    <row r="1823" spans="1:23" ht="34.5" customHeight="1" x14ac:dyDescent="0.25">
      <c r="A1823" s="1">
        <f t="shared" si="97"/>
        <v>1822</v>
      </c>
      <c r="B1823" s="1"/>
      <c r="C1823" s="2"/>
      <c r="H1823" s="1" t="str">
        <f t="shared" si="98"/>
        <v>0 г. 0 мес. 0 дн.</v>
      </c>
      <c r="I1823" s="1" t="s">
        <v>39</v>
      </c>
      <c r="V1823" s="1" t="str">
        <f t="shared" si="96"/>
        <v>0 г. 0 мес. 0 дн.</v>
      </c>
      <c r="W1823" s="5"/>
    </row>
    <row r="1824" spans="1:23" ht="34.5" customHeight="1" x14ac:dyDescent="0.25">
      <c r="A1824" s="1">
        <f t="shared" si="97"/>
        <v>1823</v>
      </c>
      <c r="B1824" s="1"/>
      <c r="C1824" s="2"/>
      <c r="H1824" s="1" t="str">
        <f t="shared" si="98"/>
        <v>0 г. 0 мес. 0 дн.</v>
      </c>
      <c r="I1824" s="1" t="s">
        <v>39</v>
      </c>
      <c r="V1824" s="1" t="str">
        <f t="shared" si="96"/>
        <v>0 г. 0 мес. 0 дн.</v>
      </c>
      <c r="W1824" s="5"/>
    </row>
    <row r="1825" spans="1:23" ht="34.5" customHeight="1" x14ac:dyDescent="0.25">
      <c r="A1825" s="1">
        <f t="shared" si="97"/>
        <v>1824</v>
      </c>
      <c r="B1825" s="1"/>
      <c r="C1825" s="2"/>
      <c r="H1825" s="1" t="str">
        <f t="shared" si="98"/>
        <v>0 г. 0 мес. 0 дн.</v>
      </c>
      <c r="I1825" s="1" t="s">
        <v>39</v>
      </c>
      <c r="V1825" s="1" t="str">
        <f t="shared" si="96"/>
        <v>0 г. 0 мес. 0 дн.</v>
      </c>
      <c r="W1825" s="5"/>
    </row>
    <row r="1826" spans="1:23" ht="34.5" customHeight="1" x14ac:dyDescent="0.25">
      <c r="A1826" s="1">
        <f t="shared" si="97"/>
        <v>1825</v>
      </c>
      <c r="B1826" s="1"/>
      <c r="C1826" s="2"/>
      <c r="H1826" s="1" t="str">
        <f t="shared" si="98"/>
        <v>0 г. 0 мес. 0 дн.</v>
      </c>
      <c r="I1826" s="1" t="s">
        <v>39</v>
      </c>
      <c r="V1826" s="1" t="str">
        <f t="shared" si="96"/>
        <v>0 г. 0 мес. 0 дн.</v>
      </c>
      <c r="W1826" s="5"/>
    </row>
    <row r="1827" spans="1:23" ht="34.5" customHeight="1" x14ac:dyDescent="0.25">
      <c r="A1827" s="1">
        <f t="shared" si="97"/>
        <v>1826</v>
      </c>
      <c r="B1827" s="1"/>
      <c r="C1827" s="2"/>
      <c r="H1827" s="1" t="str">
        <f t="shared" si="98"/>
        <v>0 г. 0 мес. 0 дн.</v>
      </c>
      <c r="I1827" s="1" t="s">
        <v>39</v>
      </c>
      <c r="V1827" s="1" t="str">
        <f t="shared" si="96"/>
        <v>0 г. 0 мес. 0 дн.</v>
      </c>
      <c r="W1827" s="5"/>
    </row>
    <row r="1828" spans="1:23" ht="34.5" customHeight="1" x14ac:dyDescent="0.25">
      <c r="A1828" s="1">
        <f t="shared" si="97"/>
        <v>1827</v>
      </c>
      <c r="B1828" s="1"/>
      <c r="C1828" s="2"/>
      <c r="H1828" s="1" t="str">
        <f t="shared" si="98"/>
        <v>0 г. 0 мес. 0 дн.</v>
      </c>
      <c r="I1828" s="1" t="s">
        <v>39</v>
      </c>
      <c r="V1828" s="1" t="str">
        <f t="shared" si="96"/>
        <v>0 г. 0 мес. 0 дн.</v>
      </c>
      <c r="W1828" s="5"/>
    </row>
    <row r="1829" spans="1:23" ht="34.5" customHeight="1" x14ac:dyDescent="0.25">
      <c r="A1829" s="1">
        <f t="shared" si="97"/>
        <v>1828</v>
      </c>
      <c r="B1829" s="1"/>
      <c r="C1829" s="2"/>
      <c r="H1829" s="1" t="str">
        <f t="shared" si="98"/>
        <v>0 г. 0 мес. 0 дн.</v>
      </c>
      <c r="I1829" s="1" t="s">
        <v>39</v>
      </c>
      <c r="V1829" s="1" t="str">
        <f t="shared" si="96"/>
        <v>0 г. 0 мес. 0 дн.</v>
      </c>
      <c r="W1829" s="5"/>
    </row>
    <row r="1830" spans="1:23" ht="34.5" customHeight="1" x14ac:dyDescent="0.25">
      <c r="A1830" s="1">
        <f t="shared" si="97"/>
        <v>1829</v>
      </c>
      <c r="B1830" s="1"/>
      <c r="C1830" s="2"/>
      <c r="H1830" s="1" t="str">
        <f t="shared" si="98"/>
        <v>0 г. 0 мес. 0 дн.</v>
      </c>
      <c r="I1830" s="1" t="s">
        <v>39</v>
      </c>
      <c r="V1830" s="1" t="str">
        <f t="shared" si="96"/>
        <v>0 г. 0 мес. 0 дн.</v>
      </c>
      <c r="W1830" s="5"/>
    </row>
    <row r="1831" spans="1:23" ht="34.5" customHeight="1" x14ac:dyDescent="0.25">
      <c r="A1831" s="1">
        <f t="shared" si="97"/>
        <v>1830</v>
      </c>
      <c r="B1831" s="1"/>
      <c r="C1831" s="2"/>
      <c r="H1831" s="1" t="str">
        <f t="shared" si="98"/>
        <v>0 г. 0 мес. 0 дн.</v>
      </c>
      <c r="I1831" s="1" t="s">
        <v>39</v>
      </c>
      <c r="V1831" s="1" t="str">
        <f t="shared" si="96"/>
        <v>0 г. 0 мес. 0 дн.</v>
      </c>
      <c r="W1831" s="5"/>
    </row>
    <row r="1832" spans="1:23" ht="34.5" customHeight="1" x14ac:dyDescent="0.25">
      <c r="A1832" s="1">
        <f t="shared" si="97"/>
        <v>1831</v>
      </c>
      <c r="B1832" s="1"/>
      <c r="C1832" s="2"/>
      <c r="H1832" s="1" t="str">
        <f t="shared" si="98"/>
        <v>0 г. 0 мес. 0 дн.</v>
      </c>
      <c r="I1832" s="1" t="s">
        <v>39</v>
      </c>
      <c r="V1832" s="1" t="str">
        <f t="shared" si="96"/>
        <v>0 г. 0 мес. 0 дн.</v>
      </c>
      <c r="W1832" s="5"/>
    </row>
    <row r="1833" spans="1:23" ht="34.5" customHeight="1" x14ac:dyDescent="0.25">
      <c r="A1833" s="1">
        <f t="shared" si="97"/>
        <v>1832</v>
      </c>
      <c r="B1833" s="1"/>
      <c r="C1833" s="2"/>
      <c r="H1833" s="1" t="str">
        <f t="shared" si="98"/>
        <v>0 г. 0 мес. 0 дн.</v>
      </c>
      <c r="I1833" s="1" t="s">
        <v>39</v>
      </c>
      <c r="V1833" s="1" t="str">
        <f t="shared" si="96"/>
        <v>0 г. 0 мес. 0 дн.</v>
      </c>
      <c r="W1833" s="5"/>
    </row>
    <row r="1834" spans="1:23" ht="34.5" customHeight="1" x14ac:dyDescent="0.25">
      <c r="A1834" s="1">
        <f t="shared" si="97"/>
        <v>1833</v>
      </c>
      <c r="B1834" s="1"/>
      <c r="C1834" s="2"/>
      <c r="H1834" s="1" t="str">
        <f t="shared" si="98"/>
        <v>0 г. 0 мес. 0 дн.</v>
      </c>
      <c r="I1834" s="1" t="s">
        <v>39</v>
      </c>
      <c r="V1834" s="1" t="str">
        <f t="shared" si="96"/>
        <v>0 г. 0 мес. 0 дн.</v>
      </c>
      <c r="W1834" s="5"/>
    </row>
    <row r="1835" spans="1:23" ht="34.5" customHeight="1" x14ac:dyDescent="0.25">
      <c r="A1835" s="1">
        <f t="shared" si="97"/>
        <v>1834</v>
      </c>
      <c r="B1835" s="1"/>
      <c r="C1835" s="2"/>
      <c r="H1835" s="1" t="str">
        <f t="shared" si="98"/>
        <v>0 г. 0 мес. 0 дн.</v>
      </c>
      <c r="I1835" s="1" t="s">
        <v>39</v>
      </c>
      <c r="V1835" s="1" t="str">
        <f t="shared" si="96"/>
        <v>0 г. 0 мес. 0 дн.</v>
      </c>
      <c r="W1835" s="5"/>
    </row>
    <row r="1836" spans="1:23" ht="34.5" customHeight="1" x14ac:dyDescent="0.25">
      <c r="A1836" s="1">
        <f t="shared" si="97"/>
        <v>1835</v>
      </c>
      <c r="B1836" s="1"/>
      <c r="C1836" s="2"/>
      <c r="H1836" s="1" t="str">
        <f t="shared" si="98"/>
        <v>0 г. 0 мес. 0 дн.</v>
      </c>
      <c r="I1836" s="1" t="s">
        <v>39</v>
      </c>
      <c r="V1836" s="1" t="str">
        <f t="shared" si="96"/>
        <v>0 г. 0 мес. 0 дн.</v>
      </c>
      <c r="W1836" s="5"/>
    </row>
    <row r="1837" spans="1:23" ht="34.5" customHeight="1" x14ac:dyDescent="0.25">
      <c r="A1837" s="1">
        <f t="shared" si="97"/>
        <v>1836</v>
      </c>
      <c r="B1837" s="1"/>
      <c r="C1837" s="2"/>
      <c r="H1837" s="1" t="str">
        <f t="shared" si="98"/>
        <v>0 г. 0 мес. 0 дн.</v>
      </c>
      <c r="I1837" s="1" t="s">
        <v>39</v>
      </c>
      <c r="V1837" s="1" t="str">
        <f t="shared" si="96"/>
        <v>0 г. 0 мес. 0 дн.</v>
      </c>
      <c r="W1837" s="5"/>
    </row>
    <row r="1838" spans="1:23" ht="34.5" customHeight="1" x14ac:dyDescent="0.25">
      <c r="A1838" s="1">
        <f t="shared" si="97"/>
        <v>1837</v>
      </c>
      <c r="B1838" s="1"/>
      <c r="C1838" s="2"/>
      <c r="H1838" s="1" t="str">
        <f t="shared" si="98"/>
        <v>0 г. 0 мес. 0 дн.</v>
      </c>
      <c r="I1838" s="1" t="s">
        <v>39</v>
      </c>
      <c r="V1838" s="1" t="str">
        <f t="shared" si="96"/>
        <v>0 г. 0 мес. 0 дн.</v>
      </c>
      <c r="W1838" s="5"/>
    </row>
    <row r="1839" spans="1:23" ht="34.5" customHeight="1" x14ac:dyDescent="0.25">
      <c r="A1839" s="1">
        <f t="shared" si="97"/>
        <v>1838</v>
      </c>
      <c r="B1839" s="1"/>
      <c r="C1839" s="2"/>
      <c r="H1839" s="1" t="str">
        <f t="shared" si="98"/>
        <v>0 г. 0 мес. 0 дн.</v>
      </c>
      <c r="I1839" s="1" t="s">
        <v>39</v>
      </c>
      <c r="V1839" s="1" t="str">
        <f t="shared" si="96"/>
        <v>0 г. 0 мес. 0 дн.</v>
      </c>
      <c r="W1839" s="5"/>
    </row>
    <row r="1840" spans="1:23" ht="34.5" customHeight="1" x14ac:dyDescent="0.25">
      <c r="A1840" s="1">
        <f t="shared" si="97"/>
        <v>1839</v>
      </c>
      <c r="B1840" s="1"/>
      <c r="C1840" s="2"/>
      <c r="H1840" s="1" t="str">
        <f t="shared" si="98"/>
        <v>0 г. 0 мес. 0 дн.</v>
      </c>
      <c r="I1840" s="1" t="s">
        <v>39</v>
      </c>
      <c r="V1840" s="1" t="str">
        <f t="shared" si="96"/>
        <v>0 г. 0 мес. 0 дн.</v>
      </c>
      <c r="W1840" s="5"/>
    </row>
    <row r="1841" spans="1:23" ht="34.5" customHeight="1" x14ac:dyDescent="0.25">
      <c r="A1841" s="1">
        <f t="shared" si="97"/>
        <v>1840</v>
      </c>
      <c r="B1841" s="1"/>
      <c r="C1841" s="2"/>
      <c r="H1841" s="1" t="str">
        <f t="shared" si="98"/>
        <v>0 г. 0 мес. 0 дн.</v>
      </c>
      <c r="I1841" s="1" t="s">
        <v>39</v>
      </c>
      <c r="V1841" s="1" t="str">
        <f t="shared" ref="V1841:V1904" si="99">DATEDIF(D1841,T1841,"y") &amp; " г. " &amp; DATEDIF(D1841,T1841,"ym") &amp; " мес. " &amp; DATEDIF(D1841,T1841,"md") &amp; " дн."</f>
        <v>0 г. 0 мес. 0 дн.</v>
      </c>
      <c r="W1841" s="5"/>
    </row>
    <row r="1842" spans="1:23" ht="34.5" customHeight="1" x14ac:dyDescent="0.25">
      <c r="A1842" s="1">
        <f t="shared" si="97"/>
        <v>1841</v>
      </c>
      <c r="B1842" s="1"/>
      <c r="C1842" s="2"/>
      <c r="H1842" s="1" t="str">
        <f t="shared" si="98"/>
        <v>0 г. 0 мес. 0 дн.</v>
      </c>
      <c r="I1842" s="1" t="s">
        <v>39</v>
      </c>
      <c r="V1842" s="1" t="str">
        <f t="shared" si="99"/>
        <v>0 г. 0 мес. 0 дн.</v>
      </c>
      <c r="W1842" s="5"/>
    </row>
    <row r="1843" spans="1:23" ht="34.5" customHeight="1" x14ac:dyDescent="0.25">
      <c r="A1843" s="1">
        <f t="shared" si="97"/>
        <v>1842</v>
      </c>
      <c r="B1843" s="1"/>
      <c r="C1843" s="2"/>
      <c r="H1843" s="1" t="str">
        <f t="shared" si="98"/>
        <v>0 г. 0 мес. 0 дн.</v>
      </c>
      <c r="I1843" s="1" t="s">
        <v>39</v>
      </c>
      <c r="V1843" s="1" t="str">
        <f t="shared" si="99"/>
        <v>0 г. 0 мес. 0 дн.</v>
      </c>
      <c r="W1843" s="5"/>
    </row>
    <row r="1844" spans="1:23" ht="34.5" customHeight="1" x14ac:dyDescent="0.25">
      <c r="A1844" s="1">
        <f t="shared" si="97"/>
        <v>1843</v>
      </c>
      <c r="B1844" s="1"/>
      <c r="C1844" s="2"/>
      <c r="H1844" s="1" t="str">
        <f t="shared" si="98"/>
        <v>0 г. 0 мес. 0 дн.</v>
      </c>
      <c r="I1844" s="1" t="s">
        <v>39</v>
      </c>
      <c r="V1844" s="1" t="str">
        <f t="shared" si="99"/>
        <v>0 г. 0 мес. 0 дн.</v>
      </c>
      <c r="W1844" s="5"/>
    </row>
    <row r="1845" spans="1:23" ht="34.5" customHeight="1" x14ac:dyDescent="0.25">
      <c r="A1845" s="1">
        <f t="shared" si="97"/>
        <v>1844</v>
      </c>
      <c r="B1845" s="1"/>
      <c r="C1845" s="2"/>
      <c r="H1845" s="1" t="str">
        <f t="shared" si="98"/>
        <v>0 г. 0 мес. 0 дн.</v>
      </c>
      <c r="I1845" s="1" t="s">
        <v>39</v>
      </c>
      <c r="V1845" s="1" t="str">
        <f t="shared" si="99"/>
        <v>0 г. 0 мес. 0 дн.</v>
      </c>
      <c r="W1845" s="5"/>
    </row>
    <row r="1846" spans="1:23" ht="34.5" customHeight="1" x14ac:dyDescent="0.25">
      <c r="A1846" s="1">
        <f t="shared" si="97"/>
        <v>1845</v>
      </c>
      <c r="B1846" s="1"/>
      <c r="C1846" s="2"/>
      <c r="H1846" s="1" t="str">
        <f t="shared" si="98"/>
        <v>0 г. 0 мес. 0 дн.</v>
      </c>
      <c r="I1846" s="1" t="s">
        <v>39</v>
      </c>
      <c r="V1846" s="1" t="str">
        <f t="shared" si="99"/>
        <v>0 г. 0 мес. 0 дн.</v>
      </c>
      <c r="W1846" s="5"/>
    </row>
    <row r="1847" spans="1:23" ht="34.5" customHeight="1" x14ac:dyDescent="0.25">
      <c r="A1847" s="1">
        <f t="shared" si="97"/>
        <v>1846</v>
      </c>
      <c r="B1847" s="1"/>
      <c r="C1847" s="2"/>
      <c r="H1847" s="1" t="str">
        <f t="shared" si="98"/>
        <v>0 г. 0 мес. 0 дн.</v>
      </c>
      <c r="I1847" s="1" t="s">
        <v>39</v>
      </c>
      <c r="V1847" s="1" t="str">
        <f t="shared" si="99"/>
        <v>0 г. 0 мес. 0 дн.</v>
      </c>
      <c r="W1847" s="5"/>
    </row>
    <row r="1848" spans="1:23" ht="34.5" customHeight="1" x14ac:dyDescent="0.25">
      <c r="A1848" s="1">
        <f t="shared" si="97"/>
        <v>1847</v>
      </c>
      <c r="B1848" s="1"/>
      <c r="C1848" s="2"/>
      <c r="H1848" s="1" t="str">
        <f t="shared" si="98"/>
        <v>0 г. 0 мес. 0 дн.</v>
      </c>
      <c r="I1848" s="1" t="s">
        <v>39</v>
      </c>
      <c r="V1848" s="1" t="str">
        <f t="shared" si="99"/>
        <v>0 г. 0 мес. 0 дн.</v>
      </c>
      <c r="W1848" s="5"/>
    </row>
    <row r="1849" spans="1:23" ht="34.5" customHeight="1" x14ac:dyDescent="0.25">
      <c r="A1849" s="1">
        <f t="shared" si="97"/>
        <v>1848</v>
      </c>
      <c r="B1849" s="1"/>
      <c r="C1849" s="2"/>
      <c r="H1849" s="1" t="str">
        <f t="shared" si="98"/>
        <v>0 г. 0 мес. 0 дн.</v>
      </c>
      <c r="I1849" s="1" t="s">
        <v>39</v>
      </c>
      <c r="V1849" s="1" t="str">
        <f t="shared" si="99"/>
        <v>0 г. 0 мес. 0 дн.</v>
      </c>
      <c r="W1849" s="5"/>
    </row>
    <row r="1850" spans="1:23" ht="34.5" customHeight="1" x14ac:dyDescent="0.25">
      <c r="A1850" s="1">
        <f t="shared" si="97"/>
        <v>1849</v>
      </c>
      <c r="B1850" s="1"/>
      <c r="C1850" s="2"/>
      <c r="H1850" s="1" t="str">
        <f t="shared" si="98"/>
        <v>0 г. 0 мес. 0 дн.</v>
      </c>
      <c r="I1850" s="1" t="s">
        <v>39</v>
      </c>
      <c r="V1850" s="1" t="str">
        <f t="shared" si="99"/>
        <v>0 г. 0 мес. 0 дн.</v>
      </c>
      <c r="W1850" s="5"/>
    </row>
    <row r="1851" spans="1:23" ht="34.5" customHeight="1" x14ac:dyDescent="0.25">
      <c r="A1851" s="1">
        <f t="shared" si="97"/>
        <v>1850</v>
      </c>
      <c r="B1851" s="1"/>
      <c r="C1851" s="2"/>
      <c r="H1851" s="1" t="str">
        <f t="shared" si="98"/>
        <v>0 г. 0 мес. 0 дн.</v>
      </c>
      <c r="I1851" s="1" t="s">
        <v>39</v>
      </c>
      <c r="V1851" s="1" t="str">
        <f t="shared" si="99"/>
        <v>0 г. 0 мес. 0 дн.</v>
      </c>
      <c r="W1851" s="5"/>
    </row>
    <row r="1852" spans="1:23" ht="34.5" customHeight="1" x14ac:dyDescent="0.25">
      <c r="A1852" s="1">
        <f t="shared" si="97"/>
        <v>1851</v>
      </c>
      <c r="B1852" s="1"/>
      <c r="C1852" s="2"/>
      <c r="H1852" s="1" t="str">
        <f t="shared" si="98"/>
        <v>0 г. 0 мес. 0 дн.</v>
      </c>
      <c r="I1852" s="1" t="s">
        <v>39</v>
      </c>
      <c r="V1852" s="1" t="str">
        <f t="shared" si="99"/>
        <v>0 г. 0 мес. 0 дн.</v>
      </c>
      <c r="W1852" s="5"/>
    </row>
    <row r="1853" spans="1:23" ht="34.5" customHeight="1" x14ac:dyDescent="0.25">
      <c r="A1853" s="1">
        <f t="shared" si="97"/>
        <v>1852</v>
      </c>
      <c r="B1853" s="1"/>
      <c r="C1853" s="2"/>
      <c r="H1853" s="1" t="str">
        <f t="shared" si="98"/>
        <v>0 г. 0 мес. 0 дн.</v>
      </c>
      <c r="I1853" s="1" t="s">
        <v>39</v>
      </c>
      <c r="V1853" s="1" t="str">
        <f t="shared" si="99"/>
        <v>0 г. 0 мес. 0 дн.</v>
      </c>
      <c r="W1853" s="5"/>
    </row>
    <row r="1854" spans="1:23" ht="34.5" customHeight="1" x14ac:dyDescent="0.25">
      <c r="A1854" s="1">
        <f t="shared" si="97"/>
        <v>1853</v>
      </c>
      <c r="B1854" s="1"/>
      <c r="C1854" s="2"/>
      <c r="H1854" s="1" t="str">
        <f t="shared" si="98"/>
        <v>0 г. 0 мес. 0 дн.</v>
      </c>
      <c r="I1854" s="1" t="s">
        <v>39</v>
      </c>
      <c r="V1854" s="1" t="str">
        <f t="shared" si="99"/>
        <v>0 г. 0 мес. 0 дн.</v>
      </c>
      <c r="W1854" s="5"/>
    </row>
    <row r="1855" spans="1:23" ht="34.5" customHeight="1" x14ac:dyDescent="0.25">
      <c r="A1855" s="1">
        <f t="shared" si="97"/>
        <v>1854</v>
      </c>
      <c r="B1855" s="1"/>
      <c r="C1855" s="2"/>
      <c r="H1855" s="1" t="str">
        <f t="shared" si="98"/>
        <v>0 г. 0 мес. 0 дн.</v>
      </c>
      <c r="I1855" s="1" t="s">
        <v>39</v>
      </c>
      <c r="V1855" s="1" t="str">
        <f t="shared" si="99"/>
        <v>0 г. 0 мес. 0 дн.</v>
      </c>
      <c r="W1855" s="5"/>
    </row>
    <row r="1856" spans="1:23" ht="34.5" customHeight="1" x14ac:dyDescent="0.25">
      <c r="A1856" s="1">
        <f t="shared" ref="A1856:A1919" si="100">ROW(A1855)</f>
        <v>1855</v>
      </c>
      <c r="B1856" s="1"/>
      <c r="C1856" s="2"/>
      <c r="H1856" s="1" t="str">
        <f t="shared" si="98"/>
        <v>0 г. 0 мес. 0 дн.</v>
      </c>
      <c r="I1856" s="1" t="s">
        <v>39</v>
      </c>
      <c r="V1856" s="1" t="str">
        <f t="shared" si="99"/>
        <v>0 г. 0 мес. 0 дн.</v>
      </c>
      <c r="W1856" s="5"/>
    </row>
    <row r="1857" spans="1:23" ht="34.5" customHeight="1" x14ac:dyDescent="0.25">
      <c r="A1857" s="1">
        <f t="shared" si="100"/>
        <v>1856</v>
      </c>
      <c r="B1857" s="1"/>
      <c r="C1857" s="2"/>
      <c r="H1857" s="1" t="str">
        <f t="shared" si="98"/>
        <v>0 г. 0 мес. 0 дн.</v>
      </c>
      <c r="I1857" s="1" t="s">
        <v>39</v>
      </c>
      <c r="V1857" s="1" t="str">
        <f t="shared" si="99"/>
        <v>0 г. 0 мес. 0 дн.</v>
      </c>
      <c r="W1857" s="5"/>
    </row>
    <row r="1858" spans="1:23" ht="34.5" customHeight="1" x14ac:dyDescent="0.25">
      <c r="A1858" s="1">
        <f t="shared" si="100"/>
        <v>1857</v>
      </c>
      <c r="B1858" s="1"/>
      <c r="C1858" s="2"/>
      <c r="H1858" s="1" t="str">
        <f t="shared" ref="H1858:H1921" si="101">DATEDIF(G1858,D1858,"y") &amp; " г. " &amp; DATEDIF(G1858,D1858,"ym") &amp; " мес. " &amp; DATEDIF(G1858,D1858,"md") &amp; " дн."</f>
        <v>0 г. 0 мес. 0 дн.</v>
      </c>
      <c r="I1858" s="1" t="s">
        <v>39</v>
      </c>
      <c r="V1858" s="1" t="str">
        <f t="shared" si="99"/>
        <v>0 г. 0 мес. 0 дн.</v>
      </c>
      <c r="W1858" s="5"/>
    </row>
    <row r="1859" spans="1:23" ht="34.5" customHeight="1" x14ac:dyDescent="0.25">
      <c r="A1859" s="1">
        <f t="shared" si="100"/>
        <v>1858</v>
      </c>
      <c r="B1859" s="1"/>
      <c r="C1859" s="2"/>
      <c r="H1859" s="1" t="str">
        <f t="shared" si="101"/>
        <v>0 г. 0 мес. 0 дн.</v>
      </c>
      <c r="I1859" s="1" t="s">
        <v>39</v>
      </c>
      <c r="V1859" s="1" t="str">
        <f t="shared" si="99"/>
        <v>0 г. 0 мес. 0 дн.</v>
      </c>
      <c r="W1859" s="5"/>
    </row>
    <row r="1860" spans="1:23" ht="34.5" customHeight="1" x14ac:dyDescent="0.25">
      <c r="A1860" s="1">
        <f t="shared" si="100"/>
        <v>1859</v>
      </c>
      <c r="B1860" s="1"/>
      <c r="C1860" s="2"/>
      <c r="H1860" s="1" t="str">
        <f t="shared" si="101"/>
        <v>0 г. 0 мес. 0 дн.</v>
      </c>
      <c r="I1860" s="1" t="s">
        <v>39</v>
      </c>
      <c r="V1860" s="1" t="str">
        <f t="shared" si="99"/>
        <v>0 г. 0 мес. 0 дн.</v>
      </c>
      <c r="W1860" s="5"/>
    </row>
    <row r="1861" spans="1:23" ht="34.5" customHeight="1" x14ac:dyDescent="0.25">
      <c r="A1861" s="1">
        <f t="shared" si="100"/>
        <v>1860</v>
      </c>
      <c r="B1861" s="1"/>
      <c r="C1861" s="2"/>
      <c r="H1861" s="1" t="str">
        <f t="shared" si="101"/>
        <v>0 г. 0 мес. 0 дн.</v>
      </c>
      <c r="I1861" s="1" t="s">
        <v>39</v>
      </c>
      <c r="V1861" s="1" t="str">
        <f t="shared" si="99"/>
        <v>0 г. 0 мес. 0 дн.</v>
      </c>
      <c r="W1861" s="5"/>
    </row>
    <row r="1862" spans="1:23" ht="34.5" customHeight="1" x14ac:dyDescent="0.25">
      <c r="A1862" s="1">
        <f t="shared" si="100"/>
        <v>1861</v>
      </c>
      <c r="B1862" s="1"/>
      <c r="C1862" s="2"/>
      <c r="H1862" s="1" t="str">
        <f t="shared" si="101"/>
        <v>0 г. 0 мес. 0 дн.</v>
      </c>
      <c r="I1862" s="1" t="s">
        <v>39</v>
      </c>
      <c r="V1862" s="1" t="str">
        <f t="shared" si="99"/>
        <v>0 г. 0 мес. 0 дн.</v>
      </c>
      <c r="W1862" s="5"/>
    </row>
    <row r="1863" spans="1:23" ht="34.5" customHeight="1" x14ac:dyDescent="0.25">
      <c r="A1863" s="1">
        <f t="shared" si="100"/>
        <v>1862</v>
      </c>
      <c r="B1863" s="1"/>
      <c r="C1863" s="2"/>
      <c r="H1863" s="1" t="str">
        <f t="shared" si="101"/>
        <v>0 г. 0 мес. 0 дн.</v>
      </c>
      <c r="I1863" s="1" t="s">
        <v>39</v>
      </c>
      <c r="V1863" s="1" t="str">
        <f t="shared" si="99"/>
        <v>0 г. 0 мес. 0 дн.</v>
      </c>
      <c r="W1863" s="5"/>
    </row>
    <row r="1864" spans="1:23" ht="34.5" customHeight="1" x14ac:dyDescent="0.25">
      <c r="A1864" s="1">
        <f t="shared" si="100"/>
        <v>1863</v>
      </c>
      <c r="B1864" s="1"/>
      <c r="C1864" s="2"/>
      <c r="H1864" s="1" t="str">
        <f t="shared" si="101"/>
        <v>0 г. 0 мес. 0 дн.</v>
      </c>
      <c r="I1864" s="1" t="s">
        <v>39</v>
      </c>
      <c r="V1864" s="1" t="str">
        <f t="shared" si="99"/>
        <v>0 г. 0 мес. 0 дн.</v>
      </c>
      <c r="W1864" s="5"/>
    </row>
    <row r="1865" spans="1:23" ht="34.5" customHeight="1" x14ac:dyDescent="0.25">
      <c r="A1865" s="1">
        <f t="shared" si="100"/>
        <v>1864</v>
      </c>
      <c r="B1865" s="1"/>
      <c r="C1865" s="2"/>
      <c r="H1865" s="1" t="str">
        <f t="shared" si="101"/>
        <v>0 г. 0 мес. 0 дн.</v>
      </c>
      <c r="I1865" s="1" t="s">
        <v>39</v>
      </c>
      <c r="V1865" s="1" t="str">
        <f t="shared" si="99"/>
        <v>0 г. 0 мес. 0 дн.</v>
      </c>
      <c r="W1865" s="5"/>
    </row>
    <row r="1866" spans="1:23" ht="34.5" customHeight="1" x14ac:dyDescent="0.25">
      <c r="A1866" s="1">
        <f t="shared" si="100"/>
        <v>1865</v>
      </c>
      <c r="B1866" s="1"/>
      <c r="C1866" s="2"/>
      <c r="H1866" s="1" t="str">
        <f t="shared" si="101"/>
        <v>0 г. 0 мес. 0 дн.</v>
      </c>
      <c r="I1866" s="1" t="s">
        <v>39</v>
      </c>
      <c r="V1866" s="1" t="str">
        <f t="shared" si="99"/>
        <v>0 г. 0 мес. 0 дн.</v>
      </c>
      <c r="W1866" s="5"/>
    </row>
    <row r="1867" spans="1:23" ht="34.5" customHeight="1" x14ac:dyDescent="0.25">
      <c r="A1867" s="1">
        <f t="shared" si="100"/>
        <v>1866</v>
      </c>
      <c r="B1867" s="1"/>
      <c r="C1867" s="2"/>
      <c r="H1867" s="1" t="str">
        <f t="shared" si="101"/>
        <v>0 г. 0 мес. 0 дн.</v>
      </c>
      <c r="I1867" s="1" t="s">
        <v>39</v>
      </c>
      <c r="V1867" s="1" t="str">
        <f t="shared" si="99"/>
        <v>0 г. 0 мес. 0 дн.</v>
      </c>
      <c r="W1867" s="5"/>
    </row>
    <row r="1868" spans="1:23" ht="34.5" customHeight="1" x14ac:dyDescent="0.25">
      <c r="A1868" s="1">
        <f t="shared" si="100"/>
        <v>1867</v>
      </c>
      <c r="B1868" s="1"/>
      <c r="C1868" s="2"/>
      <c r="H1868" s="1" t="str">
        <f t="shared" si="101"/>
        <v>0 г. 0 мес. 0 дн.</v>
      </c>
      <c r="I1868" s="1" t="s">
        <v>39</v>
      </c>
      <c r="V1868" s="1" t="str">
        <f t="shared" si="99"/>
        <v>0 г. 0 мес. 0 дн.</v>
      </c>
      <c r="W1868" s="5"/>
    </row>
    <row r="1869" spans="1:23" ht="34.5" customHeight="1" x14ac:dyDescent="0.25">
      <c r="A1869" s="1">
        <f t="shared" si="100"/>
        <v>1868</v>
      </c>
      <c r="B1869" s="1"/>
      <c r="C1869" s="2"/>
      <c r="H1869" s="1" t="str">
        <f t="shared" si="101"/>
        <v>0 г. 0 мес. 0 дн.</v>
      </c>
      <c r="I1869" s="1" t="s">
        <v>39</v>
      </c>
      <c r="V1869" s="1" t="str">
        <f t="shared" si="99"/>
        <v>0 г. 0 мес. 0 дн.</v>
      </c>
      <c r="W1869" s="5"/>
    </row>
    <row r="1870" spans="1:23" ht="34.5" customHeight="1" x14ac:dyDescent="0.25">
      <c r="A1870" s="1">
        <f t="shared" si="100"/>
        <v>1869</v>
      </c>
      <c r="B1870" s="1"/>
      <c r="C1870" s="2"/>
      <c r="H1870" s="1" t="str">
        <f t="shared" si="101"/>
        <v>0 г. 0 мес. 0 дн.</v>
      </c>
      <c r="I1870" s="1" t="s">
        <v>39</v>
      </c>
      <c r="V1870" s="1" t="str">
        <f t="shared" si="99"/>
        <v>0 г. 0 мес. 0 дн.</v>
      </c>
      <c r="W1870" s="5"/>
    </row>
    <row r="1871" spans="1:23" ht="34.5" customHeight="1" x14ac:dyDescent="0.25">
      <c r="A1871" s="1">
        <f t="shared" si="100"/>
        <v>1870</v>
      </c>
      <c r="B1871" s="1"/>
      <c r="C1871" s="2"/>
      <c r="H1871" s="1" t="str">
        <f t="shared" si="101"/>
        <v>0 г. 0 мес. 0 дн.</v>
      </c>
      <c r="I1871" s="1" t="s">
        <v>39</v>
      </c>
      <c r="V1871" s="1" t="str">
        <f t="shared" si="99"/>
        <v>0 г. 0 мес. 0 дн.</v>
      </c>
      <c r="W1871" s="5"/>
    </row>
    <row r="1872" spans="1:23" ht="34.5" customHeight="1" x14ac:dyDescent="0.25">
      <c r="A1872" s="1">
        <f t="shared" si="100"/>
        <v>1871</v>
      </c>
      <c r="B1872" s="1"/>
      <c r="C1872" s="2"/>
      <c r="H1872" s="1" t="str">
        <f t="shared" si="101"/>
        <v>0 г. 0 мес. 0 дн.</v>
      </c>
      <c r="I1872" s="1" t="s">
        <v>39</v>
      </c>
      <c r="V1872" s="1" t="str">
        <f t="shared" si="99"/>
        <v>0 г. 0 мес. 0 дн.</v>
      </c>
      <c r="W1872" s="5"/>
    </row>
    <row r="1873" spans="1:23" ht="34.5" customHeight="1" x14ac:dyDescent="0.25">
      <c r="A1873" s="1">
        <f t="shared" si="100"/>
        <v>1872</v>
      </c>
      <c r="B1873" s="1"/>
      <c r="C1873" s="2"/>
      <c r="H1873" s="1" t="str">
        <f t="shared" si="101"/>
        <v>0 г. 0 мес. 0 дн.</v>
      </c>
      <c r="I1873" s="1" t="s">
        <v>39</v>
      </c>
      <c r="V1873" s="1" t="str">
        <f t="shared" si="99"/>
        <v>0 г. 0 мес. 0 дн.</v>
      </c>
      <c r="W1873" s="5"/>
    </row>
    <row r="1874" spans="1:23" ht="34.5" customHeight="1" x14ac:dyDescent="0.25">
      <c r="A1874" s="1">
        <f t="shared" si="100"/>
        <v>1873</v>
      </c>
      <c r="B1874" s="1"/>
      <c r="C1874" s="2"/>
      <c r="H1874" s="1" t="str">
        <f t="shared" si="101"/>
        <v>0 г. 0 мес. 0 дн.</v>
      </c>
      <c r="I1874" s="1" t="s">
        <v>39</v>
      </c>
      <c r="V1874" s="1" t="str">
        <f t="shared" si="99"/>
        <v>0 г. 0 мес. 0 дн.</v>
      </c>
      <c r="W1874" s="5"/>
    </row>
    <row r="1875" spans="1:23" ht="34.5" customHeight="1" x14ac:dyDescent="0.25">
      <c r="A1875" s="1">
        <f t="shared" si="100"/>
        <v>1874</v>
      </c>
      <c r="B1875" s="1"/>
      <c r="C1875" s="2"/>
      <c r="H1875" s="1" t="str">
        <f t="shared" si="101"/>
        <v>0 г. 0 мес. 0 дн.</v>
      </c>
      <c r="I1875" s="1" t="s">
        <v>39</v>
      </c>
      <c r="V1875" s="1" t="str">
        <f t="shared" si="99"/>
        <v>0 г. 0 мес. 0 дн.</v>
      </c>
      <c r="W1875" s="5"/>
    </row>
    <row r="1876" spans="1:23" ht="34.5" customHeight="1" x14ac:dyDescent="0.25">
      <c r="A1876" s="1">
        <f t="shared" si="100"/>
        <v>1875</v>
      </c>
      <c r="B1876" s="1"/>
      <c r="C1876" s="2"/>
      <c r="H1876" s="1" t="str">
        <f t="shared" si="101"/>
        <v>0 г. 0 мес. 0 дн.</v>
      </c>
      <c r="I1876" s="1" t="s">
        <v>39</v>
      </c>
      <c r="V1876" s="1" t="str">
        <f t="shared" si="99"/>
        <v>0 г. 0 мес. 0 дн.</v>
      </c>
      <c r="W1876" s="5"/>
    </row>
    <row r="1877" spans="1:23" ht="34.5" customHeight="1" x14ac:dyDescent="0.25">
      <c r="A1877" s="1">
        <f t="shared" si="100"/>
        <v>1876</v>
      </c>
      <c r="B1877" s="1"/>
      <c r="C1877" s="2"/>
      <c r="H1877" s="1" t="str">
        <f t="shared" si="101"/>
        <v>0 г. 0 мес. 0 дн.</v>
      </c>
      <c r="I1877" s="1" t="s">
        <v>39</v>
      </c>
      <c r="V1877" s="1" t="str">
        <f t="shared" si="99"/>
        <v>0 г. 0 мес. 0 дн.</v>
      </c>
      <c r="W1877" s="5"/>
    </row>
    <row r="1878" spans="1:23" ht="34.5" customHeight="1" x14ac:dyDescent="0.25">
      <c r="A1878" s="1">
        <f t="shared" si="100"/>
        <v>1877</v>
      </c>
      <c r="B1878" s="1"/>
      <c r="C1878" s="2"/>
      <c r="H1878" s="1" t="str">
        <f t="shared" si="101"/>
        <v>0 г. 0 мес. 0 дн.</v>
      </c>
      <c r="I1878" s="1" t="s">
        <v>39</v>
      </c>
      <c r="V1878" s="1" t="str">
        <f t="shared" si="99"/>
        <v>0 г. 0 мес. 0 дн.</v>
      </c>
      <c r="W1878" s="5"/>
    </row>
    <row r="1879" spans="1:23" ht="34.5" customHeight="1" x14ac:dyDescent="0.25">
      <c r="A1879" s="1">
        <f t="shared" si="100"/>
        <v>1878</v>
      </c>
      <c r="B1879" s="1"/>
      <c r="C1879" s="2"/>
      <c r="H1879" s="1" t="str">
        <f t="shared" si="101"/>
        <v>0 г. 0 мес. 0 дн.</v>
      </c>
      <c r="I1879" s="1" t="s">
        <v>39</v>
      </c>
      <c r="V1879" s="1" t="str">
        <f t="shared" si="99"/>
        <v>0 г. 0 мес. 0 дн.</v>
      </c>
      <c r="W1879" s="5"/>
    </row>
    <row r="1880" spans="1:23" ht="34.5" customHeight="1" x14ac:dyDescent="0.25">
      <c r="A1880" s="1">
        <f t="shared" si="100"/>
        <v>1879</v>
      </c>
      <c r="B1880" s="1"/>
      <c r="C1880" s="2"/>
      <c r="H1880" s="1" t="str">
        <f t="shared" si="101"/>
        <v>0 г. 0 мес. 0 дн.</v>
      </c>
      <c r="I1880" s="1" t="s">
        <v>39</v>
      </c>
      <c r="V1880" s="1" t="str">
        <f t="shared" si="99"/>
        <v>0 г. 0 мес. 0 дн.</v>
      </c>
      <c r="W1880" s="5"/>
    </row>
    <row r="1881" spans="1:23" ht="34.5" customHeight="1" x14ac:dyDescent="0.25">
      <c r="A1881" s="1">
        <f t="shared" si="100"/>
        <v>1880</v>
      </c>
      <c r="B1881" s="1"/>
      <c r="C1881" s="2"/>
      <c r="H1881" s="1" t="str">
        <f t="shared" si="101"/>
        <v>0 г. 0 мес. 0 дн.</v>
      </c>
      <c r="I1881" s="1" t="s">
        <v>39</v>
      </c>
      <c r="V1881" s="1" t="str">
        <f t="shared" si="99"/>
        <v>0 г. 0 мес. 0 дн.</v>
      </c>
      <c r="W1881" s="5"/>
    </row>
    <row r="1882" spans="1:23" ht="34.5" customHeight="1" x14ac:dyDescent="0.25">
      <c r="A1882" s="1">
        <f t="shared" si="100"/>
        <v>1881</v>
      </c>
      <c r="B1882" s="1"/>
      <c r="C1882" s="2"/>
      <c r="H1882" s="1" t="str">
        <f t="shared" si="101"/>
        <v>0 г. 0 мес. 0 дн.</v>
      </c>
      <c r="I1882" s="1" t="s">
        <v>39</v>
      </c>
      <c r="V1882" s="1" t="str">
        <f t="shared" si="99"/>
        <v>0 г. 0 мес. 0 дн.</v>
      </c>
      <c r="W1882" s="5"/>
    </row>
    <row r="1883" spans="1:23" ht="34.5" customHeight="1" x14ac:dyDescent="0.25">
      <c r="A1883" s="1">
        <f t="shared" si="100"/>
        <v>1882</v>
      </c>
      <c r="B1883" s="1"/>
      <c r="C1883" s="2"/>
      <c r="H1883" s="1" t="str">
        <f t="shared" si="101"/>
        <v>0 г. 0 мес. 0 дн.</v>
      </c>
      <c r="I1883" s="1" t="s">
        <v>39</v>
      </c>
      <c r="V1883" s="1" t="str">
        <f t="shared" si="99"/>
        <v>0 г. 0 мес. 0 дн.</v>
      </c>
      <c r="W1883" s="5"/>
    </row>
    <row r="1884" spans="1:23" ht="34.5" customHeight="1" x14ac:dyDescent="0.25">
      <c r="A1884" s="1">
        <f t="shared" si="100"/>
        <v>1883</v>
      </c>
      <c r="B1884" s="1"/>
      <c r="C1884" s="2"/>
      <c r="H1884" s="1" t="str">
        <f t="shared" si="101"/>
        <v>0 г. 0 мес. 0 дн.</v>
      </c>
      <c r="I1884" s="1" t="s">
        <v>39</v>
      </c>
      <c r="V1884" s="1" t="str">
        <f t="shared" si="99"/>
        <v>0 г. 0 мес. 0 дн.</v>
      </c>
      <c r="W1884" s="5"/>
    </row>
    <row r="1885" spans="1:23" ht="34.5" customHeight="1" x14ac:dyDescent="0.25">
      <c r="A1885" s="1">
        <f t="shared" si="100"/>
        <v>1884</v>
      </c>
      <c r="B1885" s="1"/>
      <c r="C1885" s="2"/>
      <c r="H1885" s="1" t="str">
        <f t="shared" si="101"/>
        <v>0 г. 0 мес. 0 дн.</v>
      </c>
      <c r="I1885" s="1" t="s">
        <v>39</v>
      </c>
      <c r="V1885" s="1" t="str">
        <f t="shared" si="99"/>
        <v>0 г. 0 мес. 0 дн.</v>
      </c>
      <c r="W1885" s="5"/>
    </row>
    <row r="1886" spans="1:23" ht="34.5" customHeight="1" x14ac:dyDescent="0.25">
      <c r="A1886" s="1">
        <f t="shared" si="100"/>
        <v>1885</v>
      </c>
      <c r="B1886" s="1"/>
      <c r="C1886" s="2"/>
      <c r="H1886" s="1" t="str">
        <f t="shared" si="101"/>
        <v>0 г. 0 мес. 0 дн.</v>
      </c>
      <c r="I1886" s="1" t="s">
        <v>39</v>
      </c>
      <c r="V1886" s="1" t="str">
        <f t="shared" si="99"/>
        <v>0 г. 0 мес. 0 дн.</v>
      </c>
      <c r="W1886" s="5"/>
    </row>
    <row r="1887" spans="1:23" ht="34.5" customHeight="1" x14ac:dyDescent="0.25">
      <c r="A1887" s="1">
        <f t="shared" si="100"/>
        <v>1886</v>
      </c>
      <c r="B1887" s="1"/>
      <c r="C1887" s="2"/>
      <c r="H1887" s="1" t="str">
        <f t="shared" si="101"/>
        <v>0 г. 0 мес. 0 дн.</v>
      </c>
      <c r="I1887" s="1" t="s">
        <v>39</v>
      </c>
      <c r="V1887" s="1" t="str">
        <f t="shared" si="99"/>
        <v>0 г. 0 мес. 0 дн.</v>
      </c>
      <c r="W1887" s="5"/>
    </row>
    <row r="1888" spans="1:23" ht="34.5" customHeight="1" x14ac:dyDescent="0.25">
      <c r="A1888" s="1">
        <f t="shared" si="100"/>
        <v>1887</v>
      </c>
      <c r="B1888" s="1"/>
      <c r="C1888" s="2"/>
      <c r="H1888" s="1" t="str">
        <f t="shared" si="101"/>
        <v>0 г. 0 мес. 0 дн.</v>
      </c>
      <c r="I1888" s="1" t="s">
        <v>39</v>
      </c>
      <c r="V1888" s="1" t="str">
        <f t="shared" si="99"/>
        <v>0 г. 0 мес. 0 дн.</v>
      </c>
      <c r="W1888" s="5"/>
    </row>
    <row r="1889" spans="1:23" ht="34.5" customHeight="1" x14ac:dyDescent="0.25">
      <c r="A1889" s="1">
        <f t="shared" si="100"/>
        <v>1888</v>
      </c>
      <c r="B1889" s="1"/>
      <c r="C1889" s="2"/>
      <c r="H1889" s="1" t="str">
        <f t="shared" si="101"/>
        <v>0 г. 0 мес. 0 дн.</v>
      </c>
      <c r="I1889" s="1" t="s">
        <v>39</v>
      </c>
      <c r="V1889" s="1" t="str">
        <f t="shared" si="99"/>
        <v>0 г. 0 мес. 0 дн.</v>
      </c>
      <c r="W1889" s="5"/>
    </row>
    <row r="1890" spans="1:23" ht="34.5" customHeight="1" x14ac:dyDescent="0.25">
      <c r="A1890" s="1">
        <f t="shared" si="100"/>
        <v>1889</v>
      </c>
      <c r="B1890" s="1"/>
      <c r="C1890" s="2"/>
      <c r="H1890" s="1" t="str">
        <f t="shared" si="101"/>
        <v>0 г. 0 мес. 0 дн.</v>
      </c>
      <c r="I1890" s="1" t="s">
        <v>39</v>
      </c>
      <c r="V1890" s="1" t="str">
        <f t="shared" si="99"/>
        <v>0 г. 0 мес. 0 дн.</v>
      </c>
      <c r="W1890" s="5"/>
    </row>
    <row r="1891" spans="1:23" ht="34.5" customHeight="1" x14ac:dyDescent="0.25">
      <c r="A1891" s="1">
        <f t="shared" si="100"/>
        <v>1890</v>
      </c>
      <c r="B1891" s="1"/>
      <c r="C1891" s="2"/>
      <c r="H1891" s="1" t="str">
        <f t="shared" si="101"/>
        <v>0 г. 0 мес. 0 дн.</v>
      </c>
      <c r="I1891" s="1" t="s">
        <v>39</v>
      </c>
      <c r="V1891" s="1" t="str">
        <f t="shared" si="99"/>
        <v>0 г. 0 мес. 0 дн.</v>
      </c>
      <c r="W1891" s="5"/>
    </row>
    <row r="1892" spans="1:23" ht="34.5" customHeight="1" x14ac:dyDescent="0.25">
      <c r="A1892" s="1">
        <f t="shared" si="100"/>
        <v>1891</v>
      </c>
      <c r="B1892" s="1"/>
      <c r="C1892" s="2"/>
      <c r="H1892" s="1" t="str">
        <f t="shared" si="101"/>
        <v>0 г. 0 мес. 0 дн.</v>
      </c>
      <c r="I1892" s="1" t="s">
        <v>39</v>
      </c>
      <c r="V1892" s="1" t="str">
        <f t="shared" si="99"/>
        <v>0 г. 0 мес. 0 дн.</v>
      </c>
      <c r="W1892" s="5"/>
    </row>
    <row r="1893" spans="1:23" ht="34.5" customHeight="1" x14ac:dyDescent="0.25">
      <c r="A1893" s="1">
        <f t="shared" si="100"/>
        <v>1892</v>
      </c>
      <c r="B1893" s="1"/>
      <c r="C1893" s="2"/>
      <c r="H1893" s="1" t="str">
        <f t="shared" si="101"/>
        <v>0 г. 0 мес. 0 дн.</v>
      </c>
      <c r="I1893" s="1" t="s">
        <v>39</v>
      </c>
      <c r="V1893" s="1" t="str">
        <f t="shared" si="99"/>
        <v>0 г. 0 мес. 0 дн.</v>
      </c>
      <c r="W1893" s="5"/>
    </row>
    <row r="1894" spans="1:23" ht="34.5" customHeight="1" x14ac:dyDescent="0.25">
      <c r="A1894" s="1">
        <f t="shared" si="100"/>
        <v>1893</v>
      </c>
      <c r="B1894" s="1"/>
      <c r="C1894" s="2"/>
      <c r="H1894" s="1" t="str">
        <f t="shared" si="101"/>
        <v>0 г. 0 мес. 0 дн.</v>
      </c>
      <c r="I1894" s="1" t="s">
        <v>39</v>
      </c>
      <c r="V1894" s="1" t="str">
        <f t="shared" si="99"/>
        <v>0 г. 0 мес. 0 дн.</v>
      </c>
      <c r="W1894" s="5"/>
    </row>
    <row r="1895" spans="1:23" ht="34.5" customHeight="1" x14ac:dyDescent="0.25">
      <c r="A1895" s="1">
        <f t="shared" si="100"/>
        <v>1894</v>
      </c>
      <c r="B1895" s="1"/>
      <c r="C1895" s="2"/>
      <c r="H1895" s="1" t="str">
        <f t="shared" si="101"/>
        <v>0 г. 0 мес. 0 дн.</v>
      </c>
      <c r="I1895" s="1" t="s">
        <v>39</v>
      </c>
      <c r="V1895" s="1" t="str">
        <f t="shared" si="99"/>
        <v>0 г. 0 мес. 0 дн.</v>
      </c>
      <c r="W1895" s="5"/>
    </row>
    <row r="1896" spans="1:23" ht="34.5" customHeight="1" x14ac:dyDescent="0.25">
      <c r="A1896" s="1">
        <f t="shared" si="100"/>
        <v>1895</v>
      </c>
      <c r="B1896" s="1"/>
      <c r="C1896" s="2"/>
      <c r="H1896" s="1" t="str">
        <f t="shared" si="101"/>
        <v>0 г. 0 мес. 0 дн.</v>
      </c>
      <c r="I1896" s="1" t="s">
        <v>39</v>
      </c>
      <c r="V1896" s="1" t="str">
        <f t="shared" si="99"/>
        <v>0 г. 0 мес. 0 дн.</v>
      </c>
      <c r="W1896" s="5"/>
    </row>
    <row r="1897" spans="1:23" ht="34.5" customHeight="1" x14ac:dyDescent="0.25">
      <c r="A1897" s="1">
        <f t="shared" si="100"/>
        <v>1896</v>
      </c>
      <c r="B1897" s="1"/>
      <c r="C1897" s="2"/>
      <c r="H1897" s="1" t="str">
        <f t="shared" si="101"/>
        <v>0 г. 0 мес. 0 дн.</v>
      </c>
      <c r="I1897" s="1" t="s">
        <v>39</v>
      </c>
      <c r="V1897" s="1" t="str">
        <f t="shared" si="99"/>
        <v>0 г. 0 мес. 0 дн.</v>
      </c>
      <c r="W1897" s="5"/>
    </row>
    <row r="1898" spans="1:23" ht="34.5" customHeight="1" x14ac:dyDescent="0.25">
      <c r="A1898" s="1">
        <f t="shared" si="100"/>
        <v>1897</v>
      </c>
      <c r="B1898" s="1"/>
      <c r="C1898" s="2"/>
      <c r="H1898" s="1" t="str">
        <f t="shared" si="101"/>
        <v>0 г. 0 мес. 0 дн.</v>
      </c>
      <c r="I1898" s="1" t="s">
        <v>39</v>
      </c>
      <c r="V1898" s="1" t="str">
        <f t="shared" si="99"/>
        <v>0 г. 0 мес. 0 дн.</v>
      </c>
      <c r="W1898" s="5"/>
    </row>
    <row r="1899" spans="1:23" ht="34.5" customHeight="1" x14ac:dyDescent="0.25">
      <c r="A1899" s="1">
        <f t="shared" si="100"/>
        <v>1898</v>
      </c>
      <c r="B1899" s="1"/>
      <c r="C1899" s="2"/>
      <c r="H1899" s="1" t="str">
        <f t="shared" si="101"/>
        <v>0 г. 0 мес. 0 дн.</v>
      </c>
      <c r="I1899" s="1" t="s">
        <v>39</v>
      </c>
      <c r="V1899" s="1" t="str">
        <f t="shared" si="99"/>
        <v>0 г. 0 мес. 0 дн.</v>
      </c>
      <c r="W1899" s="5"/>
    </row>
    <row r="1900" spans="1:23" ht="34.5" customHeight="1" x14ac:dyDescent="0.25">
      <c r="A1900" s="1">
        <f t="shared" si="100"/>
        <v>1899</v>
      </c>
      <c r="B1900" s="1"/>
      <c r="C1900" s="2"/>
      <c r="H1900" s="1" t="str">
        <f t="shared" si="101"/>
        <v>0 г. 0 мес. 0 дн.</v>
      </c>
      <c r="I1900" s="1" t="s">
        <v>39</v>
      </c>
      <c r="V1900" s="1" t="str">
        <f t="shared" si="99"/>
        <v>0 г. 0 мес. 0 дн.</v>
      </c>
      <c r="W1900" s="5"/>
    </row>
    <row r="1901" spans="1:23" ht="34.5" customHeight="1" x14ac:dyDescent="0.25">
      <c r="A1901" s="1">
        <f t="shared" si="100"/>
        <v>1900</v>
      </c>
      <c r="B1901" s="1"/>
      <c r="C1901" s="2"/>
      <c r="H1901" s="1" t="str">
        <f t="shared" si="101"/>
        <v>0 г. 0 мес. 0 дн.</v>
      </c>
      <c r="I1901" s="1" t="s">
        <v>39</v>
      </c>
      <c r="V1901" s="1" t="str">
        <f t="shared" si="99"/>
        <v>0 г. 0 мес. 0 дн.</v>
      </c>
      <c r="W1901" s="5"/>
    </row>
    <row r="1902" spans="1:23" ht="34.5" customHeight="1" x14ac:dyDescent="0.25">
      <c r="A1902" s="1">
        <f t="shared" si="100"/>
        <v>1901</v>
      </c>
      <c r="B1902" s="1"/>
      <c r="C1902" s="2"/>
      <c r="H1902" s="1" t="str">
        <f t="shared" si="101"/>
        <v>0 г. 0 мес. 0 дн.</v>
      </c>
      <c r="I1902" s="1" t="s">
        <v>39</v>
      </c>
      <c r="V1902" s="1" t="str">
        <f t="shared" si="99"/>
        <v>0 г. 0 мес. 0 дн.</v>
      </c>
      <c r="W1902" s="5"/>
    </row>
    <row r="1903" spans="1:23" ht="34.5" customHeight="1" x14ac:dyDescent="0.25">
      <c r="A1903" s="1">
        <f t="shared" si="100"/>
        <v>1902</v>
      </c>
      <c r="B1903" s="1"/>
      <c r="C1903" s="2"/>
      <c r="H1903" s="1" t="str">
        <f t="shared" si="101"/>
        <v>0 г. 0 мес. 0 дн.</v>
      </c>
      <c r="I1903" s="1" t="s">
        <v>39</v>
      </c>
      <c r="V1903" s="1" t="str">
        <f t="shared" si="99"/>
        <v>0 г. 0 мес. 0 дн.</v>
      </c>
      <c r="W1903" s="5"/>
    </row>
    <row r="1904" spans="1:23" ht="34.5" customHeight="1" x14ac:dyDescent="0.25">
      <c r="A1904" s="1">
        <f t="shared" si="100"/>
        <v>1903</v>
      </c>
      <c r="B1904" s="1"/>
      <c r="C1904" s="2"/>
      <c r="H1904" s="1" t="str">
        <f t="shared" si="101"/>
        <v>0 г. 0 мес. 0 дн.</v>
      </c>
      <c r="I1904" s="1" t="s">
        <v>39</v>
      </c>
      <c r="V1904" s="1" t="str">
        <f t="shared" si="99"/>
        <v>0 г. 0 мес. 0 дн.</v>
      </c>
      <c r="W1904" s="5"/>
    </row>
    <row r="1905" spans="1:23" ht="34.5" customHeight="1" x14ac:dyDescent="0.25">
      <c r="A1905" s="1">
        <f t="shared" si="100"/>
        <v>1904</v>
      </c>
      <c r="B1905" s="1"/>
      <c r="C1905" s="2"/>
      <c r="H1905" s="1" t="str">
        <f t="shared" si="101"/>
        <v>0 г. 0 мес. 0 дн.</v>
      </c>
      <c r="I1905" s="1" t="s">
        <v>39</v>
      </c>
      <c r="V1905" s="1" t="str">
        <f t="shared" ref="V1905:V1968" si="102">DATEDIF(D1905,T1905,"y") &amp; " г. " &amp; DATEDIF(D1905,T1905,"ym") &amp; " мес. " &amp; DATEDIF(D1905,T1905,"md") &amp; " дн."</f>
        <v>0 г. 0 мес. 0 дн.</v>
      </c>
      <c r="W1905" s="5"/>
    </row>
    <row r="1906" spans="1:23" ht="34.5" customHeight="1" x14ac:dyDescent="0.25">
      <c r="A1906" s="1">
        <f t="shared" si="100"/>
        <v>1905</v>
      </c>
      <c r="B1906" s="1"/>
      <c r="C1906" s="2"/>
      <c r="H1906" s="1" t="str">
        <f t="shared" si="101"/>
        <v>0 г. 0 мес. 0 дн.</v>
      </c>
      <c r="I1906" s="1" t="s">
        <v>39</v>
      </c>
      <c r="V1906" s="1" t="str">
        <f t="shared" si="102"/>
        <v>0 г. 0 мес. 0 дн.</v>
      </c>
      <c r="W1906" s="5"/>
    </row>
    <row r="1907" spans="1:23" ht="34.5" customHeight="1" x14ac:dyDescent="0.25">
      <c r="A1907" s="1">
        <f t="shared" si="100"/>
        <v>1906</v>
      </c>
      <c r="B1907" s="1"/>
      <c r="C1907" s="2"/>
      <c r="H1907" s="1" t="str">
        <f t="shared" si="101"/>
        <v>0 г. 0 мес. 0 дн.</v>
      </c>
      <c r="I1907" s="1" t="s">
        <v>39</v>
      </c>
      <c r="V1907" s="1" t="str">
        <f t="shared" si="102"/>
        <v>0 г. 0 мес. 0 дн.</v>
      </c>
      <c r="W1907" s="5"/>
    </row>
    <row r="1908" spans="1:23" ht="34.5" customHeight="1" x14ac:dyDescent="0.25">
      <c r="A1908" s="1">
        <f t="shared" si="100"/>
        <v>1907</v>
      </c>
      <c r="B1908" s="1"/>
      <c r="C1908" s="2"/>
      <c r="H1908" s="1" t="str">
        <f t="shared" si="101"/>
        <v>0 г. 0 мес. 0 дн.</v>
      </c>
      <c r="I1908" s="1" t="s">
        <v>39</v>
      </c>
      <c r="V1908" s="1" t="str">
        <f t="shared" si="102"/>
        <v>0 г. 0 мес. 0 дн.</v>
      </c>
      <c r="W1908" s="5"/>
    </row>
    <row r="1909" spans="1:23" ht="34.5" customHeight="1" x14ac:dyDescent="0.25">
      <c r="A1909" s="1">
        <f t="shared" si="100"/>
        <v>1908</v>
      </c>
      <c r="B1909" s="1"/>
      <c r="C1909" s="2"/>
      <c r="H1909" s="1" t="str">
        <f t="shared" si="101"/>
        <v>0 г. 0 мес. 0 дн.</v>
      </c>
      <c r="I1909" s="1" t="s">
        <v>39</v>
      </c>
      <c r="V1909" s="1" t="str">
        <f t="shared" si="102"/>
        <v>0 г. 0 мес. 0 дн.</v>
      </c>
      <c r="W1909" s="5"/>
    </row>
    <row r="1910" spans="1:23" ht="34.5" customHeight="1" x14ac:dyDescent="0.25">
      <c r="A1910" s="1">
        <f t="shared" si="100"/>
        <v>1909</v>
      </c>
      <c r="B1910" s="1"/>
      <c r="C1910" s="2"/>
      <c r="H1910" s="1" t="str">
        <f t="shared" si="101"/>
        <v>0 г. 0 мес. 0 дн.</v>
      </c>
      <c r="I1910" s="1" t="s">
        <v>39</v>
      </c>
      <c r="V1910" s="1" t="str">
        <f t="shared" si="102"/>
        <v>0 г. 0 мес. 0 дн.</v>
      </c>
      <c r="W1910" s="5"/>
    </row>
    <row r="1911" spans="1:23" ht="34.5" customHeight="1" x14ac:dyDescent="0.25">
      <c r="A1911" s="1">
        <f t="shared" si="100"/>
        <v>1910</v>
      </c>
      <c r="B1911" s="1"/>
      <c r="C1911" s="2"/>
      <c r="H1911" s="1" t="str">
        <f t="shared" si="101"/>
        <v>0 г. 0 мес. 0 дн.</v>
      </c>
      <c r="I1911" s="1" t="s">
        <v>39</v>
      </c>
      <c r="V1911" s="1" t="str">
        <f t="shared" si="102"/>
        <v>0 г. 0 мес. 0 дн.</v>
      </c>
      <c r="W1911" s="5"/>
    </row>
    <row r="1912" spans="1:23" ht="34.5" customHeight="1" x14ac:dyDescent="0.25">
      <c r="A1912" s="1">
        <f t="shared" si="100"/>
        <v>1911</v>
      </c>
      <c r="B1912" s="1"/>
      <c r="C1912" s="2"/>
      <c r="H1912" s="1" t="str">
        <f t="shared" si="101"/>
        <v>0 г. 0 мес. 0 дн.</v>
      </c>
      <c r="I1912" s="1" t="s">
        <v>39</v>
      </c>
      <c r="V1912" s="1" t="str">
        <f t="shared" si="102"/>
        <v>0 г. 0 мес. 0 дн.</v>
      </c>
      <c r="W1912" s="5"/>
    </row>
    <row r="1913" spans="1:23" ht="34.5" customHeight="1" x14ac:dyDescent="0.25">
      <c r="A1913" s="1">
        <f t="shared" si="100"/>
        <v>1912</v>
      </c>
      <c r="B1913" s="1"/>
      <c r="C1913" s="2"/>
      <c r="H1913" s="1" t="str">
        <f t="shared" si="101"/>
        <v>0 г. 0 мес. 0 дн.</v>
      </c>
      <c r="I1913" s="1" t="s">
        <v>39</v>
      </c>
      <c r="V1913" s="1" t="str">
        <f t="shared" si="102"/>
        <v>0 г. 0 мес. 0 дн.</v>
      </c>
      <c r="W1913" s="5"/>
    </row>
    <row r="1914" spans="1:23" ht="34.5" customHeight="1" x14ac:dyDescent="0.25">
      <c r="A1914" s="1">
        <f t="shared" si="100"/>
        <v>1913</v>
      </c>
      <c r="B1914" s="1"/>
      <c r="C1914" s="2"/>
      <c r="H1914" s="1" t="str">
        <f t="shared" si="101"/>
        <v>0 г. 0 мес. 0 дн.</v>
      </c>
      <c r="I1914" s="1" t="s">
        <v>39</v>
      </c>
      <c r="V1914" s="1" t="str">
        <f t="shared" si="102"/>
        <v>0 г. 0 мес. 0 дн.</v>
      </c>
      <c r="W1914" s="5"/>
    </row>
    <row r="1915" spans="1:23" ht="34.5" customHeight="1" x14ac:dyDescent="0.25">
      <c r="A1915" s="1">
        <f t="shared" si="100"/>
        <v>1914</v>
      </c>
      <c r="B1915" s="1"/>
      <c r="C1915" s="2"/>
      <c r="H1915" s="1" t="str">
        <f t="shared" si="101"/>
        <v>0 г. 0 мес. 0 дн.</v>
      </c>
      <c r="I1915" s="1" t="s">
        <v>39</v>
      </c>
      <c r="V1915" s="1" t="str">
        <f t="shared" si="102"/>
        <v>0 г. 0 мес. 0 дн.</v>
      </c>
      <c r="W1915" s="5"/>
    </row>
    <row r="1916" spans="1:23" ht="34.5" customHeight="1" x14ac:dyDescent="0.25">
      <c r="A1916" s="1">
        <f t="shared" si="100"/>
        <v>1915</v>
      </c>
      <c r="B1916" s="1"/>
      <c r="C1916" s="2"/>
      <c r="H1916" s="1" t="str">
        <f t="shared" si="101"/>
        <v>0 г. 0 мес. 0 дн.</v>
      </c>
      <c r="I1916" s="1" t="s">
        <v>39</v>
      </c>
      <c r="V1916" s="1" t="str">
        <f t="shared" si="102"/>
        <v>0 г. 0 мес. 0 дн.</v>
      </c>
      <c r="W1916" s="5"/>
    </row>
    <row r="1917" spans="1:23" ht="34.5" customHeight="1" x14ac:dyDescent="0.25">
      <c r="A1917" s="1">
        <f t="shared" si="100"/>
        <v>1916</v>
      </c>
      <c r="B1917" s="1"/>
      <c r="C1917" s="2"/>
      <c r="H1917" s="1" t="str">
        <f t="shared" si="101"/>
        <v>0 г. 0 мес. 0 дн.</v>
      </c>
      <c r="I1917" s="1" t="s">
        <v>39</v>
      </c>
      <c r="V1917" s="1" t="str">
        <f t="shared" si="102"/>
        <v>0 г. 0 мес. 0 дн.</v>
      </c>
      <c r="W1917" s="5"/>
    </row>
    <row r="1918" spans="1:23" ht="34.5" customHeight="1" x14ac:dyDescent="0.25">
      <c r="A1918" s="1">
        <f t="shared" si="100"/>
        <v>1917</v>
      </c>
      <c r="B1918" s="1"/>
      <c r="C1918" s="2"/>
      <c r="H1918" s="1" t="str">
        <f t="shared" si="101"/>
        <v>0 г. 0 мес. 0 дн.</v>
      </c>
      <c r="I1918" s="1" t="s">
        <v>39</v>
      </c>
      <c r="V1918" s="1" t="str">
        <f t="shared" si="102"/>
        <v>0 г. 0 мес. 0 дн.</v>
      </c>
      <c r="W1918" s="5"/>
    </row>
    <row r="1919" spans="1:23" ht="34.5" customHeight="1" x14ac:dyDescent="0.25">
      <c r="A1919" s="1">
        <f t="shared" si="100"/>
        <v>1918</v>
      </c>
      <c r="B1919" s="1"/>
      <c r="C1919" s="2"/>
      <c r="H1919" s="1" t="str">
        <f t="shared" si="101"/>
        <v>0 г. 0 мес. 0 дн.</v>
      </c>
      <c r="I1919" s="1" t="s">
        <v>39</v>
      </c>
      <c r="V1919" s="1" t="str">
        <f t="shared" si="102"/>
        <v>0 г. 0 мес. 0 дн.</v>
      </c>
      <c r="W1919" s="5"/>
    </row>
    <row r="1920" spans="1:23" ht="34.5" customHeight="1" x14ac:dyDescent="0.25">
      <c r="A1920" s="1">
        <f t="shared" ref="A1920:A1983" si="103">ROW(A1919)</f>
        <v>1919</v>
      </c>
      <c r="B1920" s="1"/>
      <c r="C1920" s="2"/>
      <c r="H1920" s="1" t="str">
        <f t="shared" si="101"/>
        <v>0 г. 0 мес. 0 дн.</v>
      </c>
      <c r="I1920" s="1" t="s">
        <v>39</v>
      </c>
      <c r="V1920" s="1" t="str">
        <f t="shared" si="102"/>
        <v>0 г. 0 мес. 0 дн.</v>
      </c>
      <c r="W1920" s="5"/>
    </row>
    <row r="1921" spans="1:23" ht="34.5" customHeight="1" x14ac:dyDescent="0.25">
      <c r="A1921" s="1">
        <f t="shared" si="103"/>
        <v>1920</v>
      </c>
      <c r="B1921" s="1"/>
      <c r="C1921" s="2"/>
      <c r="H1921" s="1" t="str">
        <f t="shared" si="101"/>
        <v>0 г. 0 мес. 0 дн.</v>
      </c>
      <c r="I1921" s="1" t="s">
        <v>39</v>
      </c>
      <c r="V1921" s="1" t="str">
        <f t="shared" si="102"/>
        <v>0 г. 0 мес. 0 дн.</v>
      </c>
      <c r="W1921" s="5"/>
    </row>
    <row r="1922" spans="1:23" ht="34.5" customHeight="1" x14ac:dyDescent="0.25">
      <c r="A1922" s="1">
        <f t="shared" si="103"/>
        <v>1921</v>
      </c>
      <c r="B1922" s="1"/>
      <c r="C1922" s="2"/>
      <c r="H1922" s="1" t="str">
        <f t="shared" ref="H1922:H1985" si="104">DATEDIF(G1922,D1922,"y") &amp; " г. " &amp; DATEDIF(G1922,D1922,"ym") &amp; " мес. " &amp; DATEDIF(G1922,D1922,"md") &amp; " дн."</f>
        <v>0 г. 0 мес. 0 дн.</v>
      </c>
      <c r="I1922" s="1" t="s">
        <v>39</v>
      </c>
      <c r="V1922" s="1" t="str">
        <f t="shared" si="102"/>
        <v>0 г. 0 мес. 0 дн.</v>
      </c>
      <c r="W1922" s="5"/>
    </row>
    <row r="1923" spans="1:23" ht="34.5" customHeight="1" x14ac:dyDescent="0.25">
      <c r="A1923" s="1">
        <f t="shared" si="103"/>
        <v>1922</v>
      </c>
      <c r="B1923" s="1"/>
      <c r="C1923" s="2"/>
      <c r="H1923" s="1" t="str">
        <f t="shared" si="104"/>
        <v>0 г. 0 мес. 0 дн.</v>
      </c>
      <c r="I1923" s="1" t="s">
        <v>39</v>
      </c>
      <c r="V1923" s="1" t="str">
        <f t="shared" si="102"/>
        <v>0 г. 0 мес. 0 дн.</v>
      </c>
      <c r="W1923" s="5"/>
    </row>
    <row r="1924" spans="1:23" ht="34.5" customHeight="1" x14ac:dyDescent="0.25">
      <c r="A1924" s="1">
        <f t="shared" si="103"/>
        <v>1923</v>
      </c>
      <c r="B1924" s="1"/>
      <c r="C1924" s="2"/>
      <c r="H1924" s="1" t="str">
        <f t="shared" si="104"/>
        <v>0 г. 0 мес. 0 дн.</v>
      </c>
      <c r="I1924" s="1" t="s">
        <v>39</v>
      </c>
      <c r="V1924" s="1" t="str">
        <f t="shared" si="102"/>
        <v>0 г. 0 мес. 0 дн.</v>
      </c>
      <c r="W1924" s="5"/>
    </row>
    <row r="1925" spans="1:23" ht="34.5" customHeight="1" x14ac:dyDescent="0.25">
      <c r="A1925" s="1">
        <f t="shared" si="103"/>
        <v>1924</v>
      </c>
      <c r="B1925" s="1"/>
      <c r="C1925" s="2"/>
      <c r="H1925" s="1" t="str">
        <f t="shared" si="104"/>
        <v>0 г. 0 мес. 0 дн.</v>
      </c>
      <c r="I1925" s="1" t="s">
        <v>39</v>
      </c>
      <c r="V1925" s="1" t="str">
        <f t="shared" si="102"/>
        <v>0 г. 0 мес. 0 дн.</v>
      </c>
      <c r="W1925" s="5"/>
    </row>
    <row r="1926" spans="1:23" ht="34.5" customHeight="1" x14ac:dyDescent="0.25">
      <c r="A1926" s="1">
        <f t="shared" si="103"/>
        <v>1925</v>
      </c>
      <c r="B1926" s="1"/>
      <c r="C1926" s="2"/>
      <c r="H1926" s="1" t="str">
        <f t="shared" si="104"/>
        <v>0 г. 0 мес. 0 дн.</v>
      </c>
      <c r="I1926" s="1" t="s">
        <v>39</v>
      </c>
      <c r="V1926" s="1" t="str">
        <f t="shared" si="102"/>
        <v>0 г. 0 мес. 0 дн.</v>
      </c>
      <c r="W1926" s="5"/>
    </row>
    <row r="1927" spans="1:23" ht="34.5" customHeight="1" x14ac:dyDescent="0.25">
      <c r="A1927" s="1">
        <f t="shared" si="103"/>
        <v>1926</v>
      </c>
      <c r="B1927" s="1"/>
      <c r="C1927" s="2"/>
      <c r="H1927" s="1" t="str">
        <f t="shared" si="104"/>
        <v>0 г. 0 мес. 0 дн.</v>
      </c>
      <c r="I1927" s="1" t="s">
        <v>39</v>
      </c>
      <c r="V1927" s="1" t="str">
        <f t="shared" si="102"/>
        <v>0 г. 0 мес. 0 дн.</v>
      </c>
      <c r="W1927" s="5"/>
    </row>
    <row r="1928" spans="1:23" ht="34.5" customHeight="1" x14ac:dyDescent="0.25">
      <c r="A1928" s="1">
        <f t="shared" si="103"/>
        <v>1927</v>
      </c>
      <c r="B1928" s="1"/>
      <c r="C1928" s="2"/>
      <c r="H1928" s="1" t="str">
        <f t="shared" si="104"/>
        <v>0 г. 0 мес. 0 дн.</v>
      </c>
      <c r="I1928" s="1" t="s">
        <v>39</v>
      </c>
      <c r="V1928" s="1" t="str">
        <f t="shared" si="102"/>
        <v>0 г. 0 мес. 0 дн.</v>
      </c>
      <c r="W1928" s="5"/>
    </row>
    <row r="1929" spans="1:23" ht="34.5" customHeight="1" x14ac:dyDescent="0.25">
      <c r="A1929" s="1">
        <f t="shared" si="103"/>
        <v>1928</v>
      </c>
      <c r="B1929" s="1"/>
      <c r="C1929" s="2"/>
      <c r="H1929" s="1" t="str">
        <f t="shared" si="104"/>
        <v>0 г. 0 мес. 0 дн.</v>
      </c>
      <c r="I1929" s="1" t="s">
        <v>39</v>
      </c>
      <c r="V1929" s="1" t="str">
        <f t="shared" si="102"/>
        <v>0 г. 0 мес. 0 дн.</v>
      </c>
      <c r="W1929" s="5"/>
    </row>
    <row r="1930" spans="1:23" ht="34.5" customHeight="1" x14ac:dyDescent="0.25">
      <c r="A1930" s="1">
        <f t="shared" si="103"/>
        <v>1929</v>
      </c>
      <c r="B1930" s="1"/>
      <c r="C1930" s="2"/>
      <c r="H1930" s="1" t="str">
        <f t="shared" si="104"/>
        <v>0 г. 0 мес. 0 дн.</v>
      </c>
      <c r="I1930" s="1" t="s">
        <v>39</v>
      </c>
      <c r="V1930" s="1" t="str">
        <f t="shared" si="102"/>
        <v>0 г. 0 мес. 0 дн.</v>
      </c>
      <c r="W1930" s="5"/>
    </row>
    <row r="1931" spans="1:23" ht="34.5" customHeight="1" x14ac:dyDescent="0.25">
      <c r="A1931" s="1">
        <f t="shared" si="103"/>
        <v>1930</v>
      </c>
      <c r="B1931" s="1"/>
      <c r="C1931" s="2"/>
      <c r="H1931" s="1" t="str">
        <f t="shared" si="104"/>
        <v>0 г. 0 мес. 0 дн.</v>
      </c>
      <c r="I1931" s="1" t="s">
        <v>39</v>
      </c>
      <c r="V1931" s="1" t="str">
        <f t="shared" si="102"/>
        <v>0 г. 0 мес. 0 дн.</v>
      </c>
      <c r="W1931" s="5"/>
    </row>
    <row r="1932" spans="1:23" ht="34.5" customHeight="1" x14ac:dyDescent="0.25">
      <c r="A1932" s="1">
        <f t="shared" si="103"/>
        <v>1931</v>
      </c>
      <c r="B1932" s="1"/>
      <c r="C1932" s="2"/>
      <c r="H1932" s="1" t="str">
        <f t="shared" si="104"/>
        <v>0 г. 0 мес. 0 дн.</v>
      </c>
      <c r="I1932" s="1" t="s">
        <v>39</v>
      </c>
      <c r="V1932" s="1" t="str">
        <f t="shared" si="102"/>
        <v>0 г. 0 мес. 0 дн.</v>
      </c>
      <c r="W1932" s="5"/>
    </row>
    <row r="1933" spans="1:23" ht="34.5" customHeight="1" x14ac:dyDescent="0.25">
      <c r="A1933" s="1">
        <f t="shared" si="103"/>
        <v>1932</v>
      </c>
      <c r="B1933" s="1"/>
      <c r="C1933" s="2"/>
      <c r="H1933" s="1" t="str">
        <f t="shared" si="104"/>
        <v>0 г. 0 мес. 0 дн.</v>
      </c>
      <c r="I1933" s="1" t="s">
        <v>39</v>
      </c>
      <c r="V1933" s="1" t="str">
        <f t="shared" si="102"/>
        <v>0 г. 0 мес. 0 дн.</v>
      </c>
      <c r="W1933" s="5"/>
    </row>
    <row r="1934" spans="1:23" ht="34.5" customHeight="1" x14ac:dyDescent="0.25">
      <c r="A1934" s="1">
        <f t="shared" si="103"/>
        <v>1933</v>
      </c>
      <c r="B1934" s="1"/>
      <c r="C1934" s="2"/>
      <c r="H1934" s="1" t="str">
        <f t="shared" si="104"/>
        <v>0 г. 0 мес. 0 дн.</v>
      </c>
      <c r="I1934" s="1" t="s">
        <v>39</v>
      </c>
      <c r="V1934" s="1" t="str">
        <f t="shared" si="102"/>
        <v>0 г. 0 мес. 0 дн.</v>
      </c>
      <c r="W1934" s="5"/>
    </row>
    <row r="1935" spans="1:23" ht="34.5" customHeight="1" x14ac:dyDescent="0.25">
      <c r="A1935" s="1">
        <f t="shared" si="103"/>
        <v>1934</v>
      </c>
      <c r="B1935" s="1"/>
      <c r="C1935" s="2"/>
      <c r="H1935" s="1" t="str">
        <f t="shared" si="104"/>
        <v>0 г. 0 мес. 0 дн.</v>
      </c>
      <c r="I1935" s="1" t="s">
        <v>39</v>
      </c>
      <c r="V1935" s="1" t="str">
        <f t="shared" si="102"/>
        <v>0 г. 0 мес. 0 дн.</v>
      </c>
      <c r="W1935" s="5"/>
    </row>
    <row r="1936" spans="1:23" ht="34.5" customHeight="1" x14ac:dyDescent="0.25">
      <c r="A1936" s="1">
        <f t="shared" si="103"/>
        <v>1935</v>
      </c>
      <c r="B1936" s="1"/>
      <c r="C1936" s="2"/>
      <c r="H1936" s="1" t="str">
        <f t="shared" si="104"/>
        <v>0 г. 0 мес. 0 дн.</v>
      </c>
      <c r="I1936" s="1" t="s">
        <v>39</v>
      </c>
      <c r="V1936" s="1" t="str">
        <f t="shared" si="102"/>
        <v>0 г. 0 мес. 0 дн.</v>
      </c>
      <c r="W1936" s="5"/>
    </row>
    <row r="1937" spans="1:23" ht="34.5" customHeight="1" x14ac:dyDescent="0.25">
      <c r="A1937" s="1">
        <f t="shared" si="103"/>
        <v>1936</v>
      </c>
      <c r="B1937" s="1"/>
      <c r="C1937" s="2"/>
      <c r="H1937" s="1" t="str">
        <f t="shared" si="104"/>
        <v>0 г. 0 мес. 0 дн.</v>
      </c>
      <c r="I1937" s="1" t="s">
        <v>39</v>
      </c>
      <c r="V1937" s="1" t="str">
        <f t="shared" si="102"/>
        <v>0 г. 0 мес. 0 дн.</v>
      </c>
      <c r="W1937" s="5"/>
    </row>
    <row r="1938" spans="1:23" ht="34.5" customHeight="1" x14ac:dyDescent="0.25">
      <c r="A1938" s="1">
        <f t="shared" si="103"/>
        <v>1937</v>
      </c>
      <c r="B1938" s="1"/>
      <c r="C1938" s="2"/>
      <c r="H1938" s="1" t="str">
        <f t="shared" si="104"/>
        <v>0 г. 0 мес. 0 дн.</v>
      </c>
      <c r="I1938" s="1" t="s">
        <v>39</v>
      </c>
      <c r="V1938" s="1" t="str">
        <f t="shared" si="102"/>
        <v>0 г. 0 мес. 0 дн.</v>
      </c>
      <c r="W1938" s="5"/>
    </row>
    <row r="1939" spans="1:23" ht="34.5" customHeight="1" x14ac:dyDescent="0.25">
      <c r="A1939" s="1">
        <f t="shared" si="103"/>
        <v>1938</v>
      </c>
      <c r="B1939" s="1"/>
      <c r="C1939" s="2"/>
      <c r="H1939" s="1" t="str">
        <f t="shared" si="104"/>
        <v>0 г. 0 мес. 0 дн.</v>
      </c>
      <c r="I1939" s="1" t="s">
        <v>39</v>
      </c>
      <c r="V1939" s="1" t="str">
        <f t="shared" si="102"/>
        <v>0 г. 0 мес. 0 дн.</v>
      </c>
      <c r="W1939" s="5"/>
    </row>
    <row r="1940" spans="1:23" ht="34.5" customHeight="1" x14ac:dyDescent="0.25">
      <c r="A1940" s="1">
        <f t="shared" si="103"/>
        <v>1939</v>
      </c>
      <c r="B1940" s="1"/>
      <c r="C1940" s="2"/>
      <c r="H1940" s="1" t="str">
        <f t="shared" si="104"/>
        <v>0 г. 0 мес. 0 дн.</v>
      </c>
      <c r="I1940" s="1" t="s">
        <v>39</v>
      </c>
      <c r="V1940" s="1" t="str">
        <f t="shared" si="102"/>
        <v>0 г. 0 мес. 0 дн.</v>
      </c>
      <c r="W1940" s="5"/>
    </row>
    <row r="1941" spans="1:23" ht="34.5" customHeight="1" x14ac:dyDescent="0.25">
      <c r="A1941" s="1">
        <f t="shared" si="103"/>
        <v>1940</v>
      </c>
      <c r="B1941" s="1"/>
      <c r="C1941" s="2"/>
      <c r="H1941" s="1" t="str">
        <f t="shared" si="104"/>
        <v>0 г. 0 мес. 0 дн.</v>
      </c>
      <c r="I1941" s="1" t="s">
        <v>39</v>
      </c>
      <c r="V1941" s="1" t="str">
        <f t="shared" si="102"/>
        <v>0 г. 0 мес. 0 дн.</v>
      </c>
      <c r="W1941" s="5"/>
    </row>
    <row r="1942" spans="1:23" ht="34.5" customHeight="1" x14ac:dyDescent="0.25">
      <c r="A1942" s="1">
        <f t="shared" si="103"/>
        <v>1941</v>
      </c>
      <c r="B1942" s="1"/>
      <c r="C1942" s="2"/>
      <c r="H1942" s="1" t="str">
        <f t="shared" si="104"/>
        <v>0 г. 0 мес. 0 дн.</v>
      </c>
      <c r="I1942" s="1" t="s">
        <v>39</v>
      </c>
      <c r="V1942" s="1" t="str">
        <f t="shared" si="102"/>
        <v>0 г. 0 мес. 0 дн.</v>
      </c>
      <c r="W1942" s="5"/>
    </row>
    <row r="1943" spans="1:23" ht="34.5" customHeight="1" x14ac:dyDescent="0.25">
      <c r="A1943" s="1">
        <f t="shared" si="103"/>
        <v>1942</v>
      </c>
      <c r="B1943" s="1"/>
      <c r="C1943" s="2"/>
      <c r="H1943" s="1" t="str">
        <f t="shared" si="104"/>
        <v>0 г. 0 мес. 0 дн.</v>
      </c>
      <c r="I1943" s="1" t="s">
        <v>39</v>
      </c>
      <c r="V1943" s="1" t="str">
        <f t="shared" si="102"/>
        <v>0 г. 0 мес. 0 дн.</v>
      </c>
      <c r="W1943" s="5"/>
    </row>
    <row r="1944" spans="1:23" ht="34.5" customHeight="1" x14ac:dyDescent="0.25">
      <c r="A1944" s="1">
        <f t="shared" si="103"/>
        <v>1943</v>
      </c>
      <c r="B1944" s="1"/>
      <c r="C1944" s="2"/>
      <c r="H1944" s="1" t="str">
        <f t="shared" si="104"/>
        <v>0 г. 0 мес. 0 дн.</v>
      </c>
      <c r="I1944" s="1" t="s">
        <v>39</v>
      </c>
      <c r="V1944" s="1" t="str">
        <f t="shared" si="102"/>
        <v>0 г. 0 мес. 0 дн.</v>
      </c>
      <c r="W1944" s="5"/>
    </row>
    <row r="1945" spans="1:23" ht="34.5" customHeight="1" x14ac:dyDescent="0.25">
      <c r="A1945" s="1">
        <f t="shared" si="103"/>
        <v>1944</v>
      </c>
      <c r="B1945" s="1"/>
      <c r="C1945" s="2"/>
      <c r="H1945" s="1" t="str">
        <f t="shared" si="104"/>
        <v>0 г. 0 мес. 0 дн.</v>
      </c>
      <c r="I1945" s="1" t="s">
        <v>39</v>
      </c>
      <c r="V1945" s="1" t="str">
        <f t="shared" si="102"/>
        <v>0 г. 0 мес. 0 дн.</v>
      </c>
      <c r="W1945" s="5"/>
    </row>
    <row r="1946" spans="1:23" ht="34.5" customHeight="1" x14ac:dyDescent="0.25">
      <c r="A1946" s="1">
        <f t="shared" si="103"/>
        <v>1945</v>
      </c>
      <c r="B1946" s="1"/>
      <c r="C1946" s="2"/>
      <c r="H1946" s="1" t="str">
        <f t="shared" si="104"/>
        <v>0 г. 0 мес. 0 дн.</v>
      </c>
      <c r="I1946" s="1" t="s">
        <v>39</v>
      </c>
      <c r="V1946" s="1" t="str">
        <f t="shared" si="102"/>
        <v>0 г. 0 мес. 0 дн.</v>
      </c>
      <c r="W1946" s="5"/>
    </row>
    <row r="1947" spans="1:23" ht="34.5" customHeight="1" x14ac:dyDescent="0.25">
      <c r="A1947" s="1">
        <f t="shared" si="103"/>
        <v>1946</v>
      </c>
      <c r="B1947" s="1"/>
      <c r="C1947" s="2"/>
      <c r="H1947" s="1" t="str">
        <f t="shared" si="104"/>
        <v>0 г. 0 мес. 0 дн.</v>
      </c>
      <c r="I1947" s="1" t="s">
        <v>39</v>
      </c>
      <c r="V1947" s="1" t="str">
        <f t="shared" si="102"/>
        <v>0 г. 0 мес. 0 дн.</v>
      </c>
      <c r="W1947" s="5"/>
    </row>
    <row r="1948" spans="1:23" ht="34.5" customHeight="1" x14ac:dyDescent="0.25">
      <c r="A1948" s="1">
        <f t="shared" si="103"/>
        <v>1947</v>
      </c>
      <c r="B1948" s="1"/>
      <c r="C1948" s="2"/>
      <c r="H1948" s="1" t="str">
        <f t="shared" si="104"/>
        <v>0 г. 0 мес. 0 дн.</v>
      </c>
      <c r="I1948" s="1" t="s">
        <v>39</v>
      </c>
      <c r="V1948" s="1" t="str">
        <f t="shared" si="102"/>
        <v>0 г. 0 мес. 0 дн.</v>
      </c>
      <c r="W1948" s="5"/>
    </row>
    <row r="1949" spans="1:23" ht="34.5" customHeight="1" x14ac:dyDescent="0.25">
      <c r="A1949" s="1">
        <f t="shared" si="103"/>
        <v>1948</v>
      </c>
      <c r="B1949" s="1"/>
      <c r="C1949" s="2"/>
      <c r="H1949" s="1" t="str">
        <f t="shared" si="104"/>
        <v>0 г. 0 мес. 0 дн.</v>
      </c>
      <c r="I1949" s="1" t="s">
        <v>39</v>
      </c>
      <c r="V1949" s="1" t="str">
        <f t="shared" si="102"/>
        <v>0 г. 0 мес. 0 дн.</v>
      </c>
      <c r="W1949" s="5"/>
    </row>
    <row r="1950" spans="1:23" ht="34.5" customHeight="1" x14ac:dyDescent="0.25">
      <c r="A1950" s="1">
        <f t="shared" si="103"/>
        <v>1949</v>
      </c>
      <c r="B1950" s="1"/>
      <c r="C1950" s="2"/>
      <c r="H1950" s="1" t="str">
        <f t="shared" si="104"/>
        <v>0 г. 0 мес. 0 дн.</v>
      </c>
      <c r="I1950" s="1" t="s">
        <v>39</v>
      </c>
      <c r="V1950" s="1" t="str">
        <f t="shared" si="102"/>
        <v>0 г. 0 мес. 0 дн.</v>
      </c>
      <c r="W1950" s="5"/>
    </row>
    <row r="1951" spans="1:23" ht="34.5" customHeight="1" x14ac:dyDescent="0.25">
      <c r="A1951" s="1">
        <f t="shared" si="103"/>
        <v>1950</v>
      </c>
      <c r="B1951" s="1"/>
      <c r="C1951" s="2"/>
      <c r="H1951" s="1" t="str">
        <f t="shared" si="104"/>
        <v>0 г. 0 мес. 0 дн.</v>
      </c>
      <c r="I1951" s="1" t="s">
        <v>39</v>
      </c>
      <c r="V1951" s="1" t="str">
        <f t="shared" si="102"/>
        <v>0 г. 0 мес. 0 дн.</v>
      </c>
      <c r="W1951" s="5"/>
    </row>
    <row r="1952" spans="1:23" ht="34.5" customHeight="1" x14ac:dyDescent="0.25">
      <c r="A1952" s="1">
        <f t="shared" si="103"/>
        <v>1951</v>
      </c>
      <c r="B1952" s="1"/>
      <c r="C1952" s="2"/>
      <c r="H1952" s="1" t="str">
        <f t="shared" si="104"/>
        <v>0 г. 0 мес. 0 дн.</v>
      </c>
      <c r="I1952" s="1" t="s">
        <v>39</v>
      </c>
      <c r="V1952" s="1" t="str">
        <f t="shared" si="102"/>
        <v>0 г. 0 мес. 0 дн.</v>
      </c>
      <c r="W1952" s="5"/>
    </row>
    <row r="1953" spans="1:23" ht="34.5" customHeight="1" x14ac:dyDescent="0.25">
      <c r="A1953" s="1">
        <f t="shared" si="103"/>
        <v>1952</v>
      </c>
      <c r="B1953" s="1"/>
      <c r="C1953" s="2"/>
      <c r="H1953" s="1" t="str">
        <f t="shared" si="104"/>
        <v>0 г. 0 мес. 0 дн.</v>
      </c>
      <c r="I1953" s="1" t="s">
        <v>39</v>
      </c>
      <c r="V1953" s="1" t="str">
        <f t="shared" si="102"/>
        <v>0 г. 0 мес. 0 дн.</v>
      </c>
      <c r="W1953" s="5"/>
    </row>
    <row r="1954" spans="1:23" ht="34.5" customHeight="1" x14ac:dyDescent="0.25">
      <c r="A1954" s="1">
        <f t="shared" si="103"/>
        <v>1953</v>
      </c>
      <c r="B1954" s="1"/>
      <c r="C1954" s="2"/>
      <c r="H1954" s="1" t="str">
        <f t="shared" si="104"/>
        <v>0 г. 0 мес. 0 дн.</v>
      </c>
      <c r="I1954" s="1" t="s">
        <v>39</v>
      </c>
      <c r="V1954" s="1" t="str">
        <f t="shared" si="102"/>
        <v>0 г. 0 мес. 0 дн.</v>
      </c>
      <c r="W1954" s="5"/>
    </row>
    <row r="1955" spans="1:23" ht="34.5" customHeight="1" x14ac:dyDescent="0.25">
      <c r="A1955" s="1">
        <f t="shared" si="103"/>
        <v>1954</v>
      </c>
      <c r="B1955" s="1"/>
      <c r="C1955" s="2"/>
      <c r="H1955" s="1" t="str">
        <f t="shared" si="104"/>
        <v>0 г. 0 мес. 0 дн.</v>
      </c>
      <c r="I1955" s="1" t="s">
        <v>39</v>
      </c>
      <c r="V1955" s="1" t="str">
        <f t="shared" si="102"/>
        <v>0 г. 0 мес. 0 дн.</v>
      </c>
      <c r="W1955" s="5"/>
    </row>
    <row r="1956" spans="1:23" ht="34.5" customHeight="1" x14ac:dyDescent="0.25">
      <c r="A1956" s="1">
        <f t="shared" si="103"/>
        <v>1955</v>
      </c>
      <c r="B1956" s="1"/>
      <c r="C1956" s="2"/>
      <c r="H1956" s="1" t="str">
        <f t="shared" si="104"/>
        <v>0 г. 0 мес. 0 дн.</v>
      </c>
      <c r="I1956" s="1" t="s">
        <v>39</v>
      </c>
      <c r="V1956" s="1" t="str">
        <f t="shared" si="102"/>
        <v>0 г. 0 мес. 0 дн.</v>
      </c>
      <c r="W1956" s="5"/>
    </row>
    <row r="1957" spans="1:23" ht="34.5" customHeight="1" x14ac:dyDescent="0.25">
      <c r="A1957" s="1">
        <f t="shared" si="103"/>
        <v>1956</v>
      </c>
      <c r="B1957" s="1"/>
      <c r="C1957" s="2"/>
      <c r="H1957" s="1" t="str">
        <f t="shared" si="104"/>
        <v>0 г. 0 мес. 0 дн.</v>
      </c>
      <c r="I1957" s="1" t="s">
        <v>39</v>
      </c>
      <c r="V1957" s="1" t="str">
        <f t="shared" si="102"/>
        <v>0 г. 0 мес. 0 дн.</v>
      </c>
      <c r="W1957" s="5"/>
    </row>
    <row r="1958" spans="1:23" ht="34.5" customHeight="1" x14ac:dyDescent="0.25">
      <c r="A1958" s="1">
        <f t="shared" si="103"/>
        <v>1957</v>
      </c>
      <c r="B1958" s="1"/>
      <c r="C1958" s="2"/>
      <c r="H1958" s="1" t="str">
        <f t="shared" si="104"/>
        <v>0 г. 0 мес. 0 дн.</v>
      </c>
      <c r="I1958" s="1" t="s">
        <v>39</v>
      </c>
      <c r="V1958" s="1" t="str">
        <f t="shared" si="102"/>
        <v>0 г. 0 мес. 0 дн.</v>
      </c>
      <c r="W1958" s="5"/>
    </row>
    <row r="1959" spans="1:23" ht="34.5" customHeight="1" x14ac:dyDescent="0.25">
      <c r="A1959" s="1">
        <f t="shared" si="103"/>
        <v>1958</v>
      </c>
      <c r="B1959" s="1"/>
      <c r="C1959" s="2"/>
      <c r="H1959" s="1" t="str">
        <f t="shared" si="104"/>
        <v>0 г. 0 мес. 0 дн.</v>
      </c>
      <c r="I1959" s="1" t="s">
        <v>39</v>
      </c>
      <c r="V1959" s="1" t="str">
        <f t="shared" si="102"/>
        <v>0 г. 0 мес. 0 дн.</v>
      </c>
      <c r="W1959" s="5"/>
    </row>
    <row r="1960" spans="1:23" ht="34.5" customHeight="1" x14ac:dyDescent="0.25">
      <c r="A1960" s="1">
        <f t="shared" si="103"/>
        <v>1959</v>
      </c>
      <c r="B1960" s="1"/>
      <c r="C1960" s="2"/>
      <c r="H1960" s="1" t="str">
        <f t="shared" si="104"/>
        <v>0 г. 0 мес. 0 дн.</v>
      </c>
      <c r="I1960" s="1" t="s">
        <v>39</v>
      </c>
      <c r="V1960" s="1" t="str">
        <f t="shared" si="102"/>
        <v>0 г. 0 мес. 0 дн.</v>
      </c>
      <c r="W1960" s="5"/>
    </row>
    <row r="1961" spans="1:23" ht="34.5" customHeight="1" x14ac:dyDescent="0.25">
      <c r="A1961" s="1">
        <f t="shared" si="103"/>
        <v>1960</v>
      </c>
      <c r="B1961" s="1"/>
      <c r="C1961" s="2"/>
      <c r="H1961" s="1" t="str">
        <f t="shared" si="104"/>
        <v>0 г. 0 мес. 0 дн.</v>
      </c>
      <c r="I1961" s="1" t="s">
        <v>39</v>
      </c>
      <c r="V1961" s="1" t="str">
        <f t="shared" si="102"/>
        <v>0 г. 0 мес. 0 дн.</v>
      </c>
      <c r="W1961" s="5"/>
    </row>
    <row r="1962" spans="1:23" ht="34.5" customHeight="1" x14ac:dyDescent="0.25">
      <c r="A1962" s="1">
        <f t="shared" si="103"/>
        <v>1961</v>
      </c>
      <c r="B1962" s="1"/>
      <c r="C1962" s="2"/>
      <c r="H1962" s="1" t="str">
        <f t="shared" si="104"/>
        <v>0 г. 0 мес. 0 дн.</v>
      </c>
      <c r="I1962" s="1" t="s">
        <v>39</v>
      </c>
      <c r="V1962" s="1" t="str">
        <f t="shared" si="102"/>
        <v>0 г. 0 мес. 0 дн.</v>
      </c>
      <c r="W1962" s="5"/>
    </row>
    <row r="1963" spans="1:23" ht="34.5" customHeight="1" x14ac:dyDescent="0.25">
      <c r="A1963" s="1">
        <f t="shared" si="103"/>
        <v>1962</v>
      </c>
      <c r="B1963" s="1"/>
      <c r="C1963" s="2"/>
      <c r="H1963" s="1" t="str">
        <f t="shared" si="104"/>
        <v>0 г. 0 мес. 0 дн.</v>
      </c>
      <c r="I1963" s="1" t="s">
        <v>39</v>
      </c>
      <c r="V1963" s="1" t="str">
        <f t="shared" si="102"/>
        <v>0 г. 0 мес. 0 дн.</v>
      </c>
      <c r="W1963" s="5"/>
    </row>
    <row r="1964" spans="1:23" ht="34.5" customHeight="1" x14ac:dyDescent="0.25">
      <c r="A1964" s="1">
        <f t="shared" si="103"/>
        <v>1963</v>
      </c>
      <c r="B1964" s="1"/>
      <c r="C1964" s="2"/>
      <c r="H1964" s="1" t="str">
        <f t="shared" si="104"/>
        <v>0 г. 0 мес. 0 дн.</v>
      </c>
      <c r="I1964" s="1" t="s">
        <v>39</v>
      </c>
      <c r="V1964" s="1" t="str">
        <f t="shared" si="102"/>
        <v>0 г. 0 мес. 0 дн.</v>
      </c>
      <c r="W1964" s="5"/>
    </row>
    <row r="1965" spans="1:23" ht="34.5" customHeight="1" x14ac:dyDescent="0.25">
      <c r="A1965" s="1">
        <f t="shared" si="103"/>
        <v>1964</v>
      </c>
      <c r="B1965" s="1"/>
      <c r="C1965" s="2"/>
      <c r="H1965" s="1" t="str">
        <f t="shared" si="104"/>
        <v>0 г. 0 мес. 0 дн.</v>
      </c>
      <c r="I1965" s="1" t="s">
        <v>39</v>
      </c>
      <c r="V1965" s="1" t="str">
        <f t="shared" si="102"/>
        <v>0 г. 0 мес. 0 дн.</v>
      </c>
      <c r="W1965" s="5"/>
    </row>
    <row r="1966" spans="1:23" ht="34.5" customHeight="1" x14ac:dyDescent="0.25">
      <c r="A1966" s="1">
        <f t="shared" si="103"/>
        <v>1965</v>
      </c>
      <c r="B1966" s="1"/>
      <c r="C1966" s="2"/>
      <c r="H1966" s="1" t="str">
        <f t="shared" si="104"/>
        <v>0 г. 0 мес. 0 дн.</v>
      </c>
      <c r="I1966" s="1" t="s">
        <v>39</v>
      </c>
      <c r="V1966" s="1" t="str">
        <f t="shared" si="102"/>
        <v>0 г. 0 мес. 0 дн.</v>
      </c>
      <c r="W1966" s="5"/>
    </row>
    <row r="1967" spans="1:23" ht="34.5" customHeight="1" x14ac:dyDescent="0.25">
      <c r="A1967" s="1">
        <f t="shared" si="103"/>
        <v>1966</v>
      </c>
      <c r="B1967" s="1"/>
      <c r="C1967" s="2"/>
      <c r="H1967" s="1" t="str">
        <f t="shared" si="104"/>
        <v>0 г. 0 мес. 0 дн.</v>
      </c>
      <c r="I1967" s="1" t="s">
        <v>39</v>
      </c>
      <c r="V1967" s="1" t="str">
        <f t="shared" si="102"/>
        <v>0 г. 0 мес. 0 дн.</v>
      </c>
      <c r="W1967" s="5"/>
    </row>
    <row r="1968" spans="1:23" ht="34.5" customHeight="1" x14ac:dyDescent="0.25">
      <c r="A1968" s="1">
        <f t="shared" si="103"/>
        <v>1967</v>
      </c>
      <c r="B1968" s="1"/>
      <c r="C1968" s="2"/>
      <c r="H1968" s="1" t="str">
        <f t="shared" si="104"/>
        <v>0 г. 0 мес. 0 дн.</v>
      </c>
      <c r="I1968" s="1" t="s">
        <v>39</v>
      </c>
      <c r="V1968" s="1" t="str">
        <f t="shared" si="102"/>
        <v>0 г. 0 мес. 0 дн.</v>
      </c>
      <c r="W1968" s="5"/>
    </row>
    <row r="1969" spans="1:23" ht="34.5" customHeight="1" x14ac:dyDescent="0.25">
      <c r="A1969" s="1">
        <f t="shared" si="103"/>
        <v>1968</v>
      </c>
      <c r="B1969" s="1"/>
      <c r="C1969" s="2"/>
      <c r="H1969" s="1" t="str">
        <f t="shared" si="104"/>
        <v>0 г. 0 мес. 0 дн.</v>
      </c>
      <c r="I1969" s="1" t="s">
        <v>39</v>
      </c>
      <c r="V1969" s="1" t="str">
        <f t="shared" ref="V1969:V2032" si="105">DATEDIF(D1969,T1969,"y") &amp; " г. " &amp; DATEDIF(D1969,T1969,"ym") &amp; " мес. " &amp; DATEDIF(D1969,T1969,"md") &amp; " дн."</f>
        <v>0 г. 0 мес. 0 дн.</v>
      </c>
      <c r="W1969" s="5"/>
    </row>
    <row r="1970" spans="1:23" ht="34.5" customHeight="1" x14ac:dyDescent="0.25">
      <c r="A1970" s="1">
        <f t="shared" si="103"/>
        <v>1969</v>
      </c>
      <c r="B1970" s="1"/>
      <c r="C1970" s="2"/>
      <c r="H1970" s="1" t="str">
        <f t="shared" si="104"/>
        <v>0 г. 0 мес. 0 дн.</v>
      </c>
      <c r="I1970" s="1" t="s">
        <v>39</v>
      </c>
      <c r="V1970" s="1" t="str">
        <f t="shared" si="105"/>
        <v>0 г. 0 мес. 0 дн.</v>
      </c>
      <c r="W1970" s="5"/>
    </row>
    <row r="1971" spans="1:23" ht="34.5" customHeight="1" x14ac:dyDescent="0.25">
      <c r="A1971" s="1">
        <f t="shared" si="103"/>
        <v>1970</v>
      </c>
      <c r="B1971" s="1"/>
      <c r="C1971" s="2"/>
      <c r="H1971" s="1" t="str">
        <f t="shared" si="104"/>
        <v>0 г. 0 мес. 0 дн.</v>
      </c>
      <c r="I1971" s="1" t="s">
        <v>39</v>
      </c>
      <c r="V1971" s="1" t="str">
        <f t="shared" si="105"/>
        <v>0 г. 0 мес. 0 дн.</v>
      </c>
      <c r="W1971" s="5"/>
    </row>
    <row r="1972" spans="1:23" ht="34.5" customHeight="1" x14ac:dyDescent="0.25">
      <c r="A1972" s="1">
        <f t="shared" si="103"/>
        <v>1971</v>
      </c>
      <c r="B1972" s="1"/>
      <c r="C1972" s="2"/>
      <c r="H1972" s="1" t="str">
        <f t="shared" si="104"/>
        <v>0 г. 0 мес. 0 дн.</v>
      </c>
      <c r="I1972" s="1" t="s">
        <v>39</v>
      </c>
      <c r="V1972" s="1" t="str">
        <f t="shared" si="105"/>
        <v>0 г. 0 мес. 0 дн.</v>
      </c>
      <c r="W1972" s="5"/>
    </row>
    <row r="1973" spans="1:23" ht="34.5" customHeight="1" x14ac:dyDescent="0.25">
      <c r="A1973" s="1">
        <f t="shared" si="103"/>
        <v>1972</v>
      </c>
      <c r="B1973" s="1"/>
      <c r="C1973" s="2"/>
      <c r="H1973" s="1" t="str">
        <f t="shared" si="104"/>
        <v>0 г. 0 мес. 0 дн.</v>
      </c>
      <c r="I1973" s="1" t="s">
        <v>39</v>
      </c>
      <c r="V1973" s="1" t="str">
        <f t="shared" si="105"/>
        <v>0 г. 0 мес. 0 дн.</v>
      </c>
      <c r="W1973" s="5"/>
    </row>
    <row r="1974" spans="1:23" ht="34.5" customHeight="1" x14ac:dyDescent="0.25">
      <c r="A1974" s="1">
        <f t="shared" si="103"/>
        <v>1973</v>
      </c>
      <c r="B1974" s="1"/>
      <c r="C1974" s="2"/>
      <c r="H1974" s="1" t="str">
        <f t="shared" si="104"/>
        <v>0 г. 0 мес. 0 дн.</v>
      </c>
      <c r="I1974" s="1" t="s">
        <v>39</v>
      </c>
      <c r="V1974" s="1" t="str">
        <f t="shared" si="105"/>
        <v>0 г. 0 мес. 0 дн.</v>
      </c>
      <c r="W1974" s="5"/>
    </row>
    <row r="1975" spans="1:23" ht="34.5" customHeight="1" x14ac:dyDescent="0.25">
      <c r="A1975" s="1">
        <f t="shared" si="103"/>
        <v>1974</v>
      </c>
      <c r="B1975" s="1"/>
      <c r="C1975" s="2"/>
      <c r="H1975" s="1" t="str">
        <f t="shared" si="104"/>
        <v>0 г. 0 мес. 0 дн.</v>
      </c>
      <c r="I1975" s="1" t="s">
        <v>39</v>
      </c>
      <c r="V1975" s="1" t="str">
        <f t="shared" si="105"/>
        <v>0 г. 0 мес. 0 дн.</v>
      </c>
      <c r="W1975" s="5"/>
    </row>
    <row r="1976" spans="1:23" ht="34.5" customHeight="1" x14ac:dyDescent="0.25">
      <c r="A1976" s="1">
        <f t="shared" si="103"/>
        <v>1975</v>
      </c>
      <c r="B1976" s="1"/>
      <c r="C1976" s="2"/>
      <c r="H1976" s="1" t="str">
        <f t="shared" si="104"/>
        <v>0 г. 0 мес. 0 дн.</v>
      </c>
      <c r="I1976" s="1" t="s">
        <v>39</v>
      </c>
      <c r="V1976" s="1" t="str">
        <f t="shared" si="105"/>
        <v>0 г. 0 мес. 0 дн.</v>
      </c>
      <c r="W1976" s="5"/>
    </row>
    <row r="1977" spans="1:23" ht="34.5" customHeight="1" x14ac:dyDescent="0.25">
      <c r="A1977" s="1">
        <f t="shared" si="103"/>
        <v>1976</v>
      </c>
      <c r="B1977" s="1"/>
      <c r="C1977" s="2"/>
      <c r="H1977" s="1" t="str">
        <f t="shared" si="104"/>
        <v>0 г. 0 мес. 0 дн.</v>
      </c>
      <c r="I1977" s="1" t="s">
        <v>39</v>
      </c>
      <c r="V1977" s="1" t="str">
        <f t="shared" si="105"/>
        <v>0 г. 0 мес. 0 дн.</v>
      </c>
      <c r="W1977" s="5"/>
    </row>
    <row r="1978" spans="1:23" ht="34.5" customHeight="1" x14ac:dyDescent="0.25">
      <c r="A1978" s="1">
        <f t="shared" si="103"/>
        <v>1977</v>
      </c>
      <c r="B1978" s="1"/>
      <c r="C1978" s="2"/>
      <c r="H1978" s="1" t="str">
        <f t="shared" si="104"/>
        <v>0 г. 0 мес. 0 дн.</v>
      </c>
      <c r="I1978" s="1" t="s">
        <v>39</v>
      </c>
      <c r="V1978" s="1" t="str">
        <f t="shared" si="105"/>
        <v>0 г. 0 мес. 0 дн.</v>
      </c>
      <c r="W1978" s="5"/>
    </row>
    <row r="1979" spans="1:23" ht="34.5" customHeight="1" x14ac:dyDescent="0.25">
      <c r="A1979" s="1">
        <f t="shared" si="103"/>
        <v>1978</v>
      </c>
      <c r="B1979" s="1"/>
      <c r="C1979" s="2"/>
      <c r="H1979" s="1" t="str">
        <f t="shared" si="104"/>
        <v>0 г. 0 мес. 0 дн.</v>
      </c>
      <c r="I1979" s="1" t="s">
        <v>39</v>
      </c>
      <c r="V1979" s="1" t="str">
        <f t="shared" si="105"/>
        <v>0 г. 0 мес. 0 дн.</v>
      </c>
      <c r="W1979" s="5"/>
    </row>
    <row r="1980" spans="1:23" ht="34.5" customHeight="1" x14ac:dyDescent="0.25">
      <c r="A1980" s="1">
        <f t="shared" si="103"/>
        <v>1979</v>
      </c>
      <c r="B1980" s="1"/>
      <c r="C1980" s="2"/>
      <c r="H1980" s="1" t="str">
        <f t="shared" si="104"/>
        <v>0 г. 0 мес. 0 дн.</v>
      </c>
      <c r="I1980" s="1" t="s">
        <v>39</v>
      </c>
      <c r="V1980" s="1" t="str">
        <f t="shared" si="105"/>
        <v>0 г. 0 мес. 0 дн.</v>
      </c>
      <c r="W1980" s="5"/>
    </row>
    <row r="1981" spans="1:23" ht="34.5" customHeight="1" x14ac:dyDescent="0.25">
      <c r="A1981" s="1">
        <f t="shared" si="103"/>
        <v>1980</v>
      </c>
      <c r="B1981" s="1"/>
      <c r="C1981" s="2"/>
      <c r="H1981" s="1" t="str">
        <f t="shared" si="104"/>
        <v>0 г. 0 мес. 0 дн.</v>
      </c>
      <c r="I1981" s="1" t="s">
        <v>39</v>
      </c>
      <c r="V1981" s="1" t="str">
        <f t="shared" si="105"/>
        <v>0 г. 0 мес. 0 дн.</v>
      </c>
      <c r="W1981" s="5"/>
    </row>
    <row r="1982" spans="1:23" ht="34.5" customHeight="1" x14ac:dyDescent="0.25">
      <c r="A1982" s="1">
        <f t="shared" si="103"/>
        <v>1981</v>
      </c>
      <c r="B1982" s="1"/>
      <c r="C1982" s="2"/>
      <c r="H1982" s="1" t="str">
        <f t="shared" si="104"/>
        <v>0 г. 0 мес. 0 дн.</v>
      </c>
      <c r="I1982" s="1" t="s">
        <v>39</v>
      </c>
      <c r="V1982" s="1" t="str">
        <f t="shared" si="105"/>
        <v>0 г. 0 мес. 0 дн.</v>
      </c>
      <c r="W1982" s="5"/>
    </row>
    <row r="1983" spans="1:23" ht="34.5" customHeight="1" x14ac:dyDescent="0.25">
      <c r="A1983" s="1">
        <f t="shared" si="103"/>
        <v>1982</v>
      </c>
      <c r="B1983" s="1"/>
      <c r="C1983" s="2"/>
      <c r="H1983" s="1" t="str">
        <f t="shared" si="104"/>
        <v>0 г. 0 мес. 0 дн.</v>
      </c>
      <c r="I1983" s="1" t="s">
        <v>39</v>
      </c>
      <c r="V1983" s="1" t="str">
        <f t="shared" si="105"/>
        <v>0 г. 0 мес. 0 дн.</v>
      </c>
      <c r="W1983" s="5"/>
    </row>
    <row r="1984" spans="1:23" ht="34.5" customHeight="1" x14ac:dyDescent="0.25">
      <c r="A1984" s="1">
        <f t="shared" ref="A1984:A2047" si="106">ROW(A1983)</f>
        <v>1983</v>
      </c>
      <c r="B1984" s="1"/>
      <c r="C1984" s="2"/>
      <c r="H1984" s="1" t="str">
        <f t="shared" si="104"/>
        <v>0 г. 0 мес. 0 дн.</v>
      </c>
      <c r="I1984" s="1" t="s">
        <v>39</v>
      </c>
      <c r="V1984" s="1" t="str">
        <f t="shared" si="105"/>
        <v>0 г. 0 мес. 0 дн.</v>
      </c>
      <c r="W1984" s="5"/>
    </row>
    <row r="1985" spans="1:23" ht="34.5" customHeight="1" x14ac:dyDescent="0.25">
      <c r="A1985" s="1">
        <f t="shared" si="106"/>
        <v>1984</v>
      </c>
      <c r="B1985" s="1"/>
      <c r="C1985" s="2"/>
      <c r="H1985" s="1" t="str">
        <f t="shared" si="104"/>
        <v>0 г. 0 мес. 0 дн.</v>
      </c>
      <c r="I1985" s="1" t="s">
        <v>39</v>
      </c>
      <c r="V1985" s="1" t="str">
        <f t="shared" si="105"/>
        <v>0 г. 0 мес. 0 дн.</v>
      </c>
      <c r="W1985" s="5"/>
    </row>
    <row r="1986" spans="1:23" ht="34.5" customHeight="1" x14ac:dyDescent="0.25">
      <c r="A1986" s="1">
        <f t="shared" si="106"/>
        <v>1985</v>
      </c>
      <c r="B1986" s="1"/>
      <c r="C1986" s="2"/>
      <c r="H1986" s="1" t="str">
        <f t="shared" ref="H1986:H2049" si="107">DATEDIF(G1986,D1986,"y") &amp; " г. " &amp; DATEDIF(G1986,D1986,"ym") &amp; " мес. " &amp; DATEDIF(G1986,D1986,"md") &amp; " дн."</f>
        <v>0 г. 0 мес. 0 дн.</v>
      </c>
      <c r="I1986" s="1" t="s">
        <v>39</v>
      </c>
      <c r="V1986" s="1" t="str">
        <f t="shared" si="105"/>
        <v>0 г. 0 мес. 0 дн.</v>
      </c>
      <c r="W1986" s="5"/>
    </row>
    <row r="1987" spans="1:23" ht="34.5" customHeight="1" x14ac:dyDescent="0.25">
      <c r="A1987" s="1">
        <f t="shared" si="106"/>
        <v>1986</v>
      </c>
      <c r="B1987" s="1"/>
      <c r="C1987" s="2"/>
      <c r="H1987" s="1" t="str">
        <f t="shared" si="107"/>
        <v>0 г. 0 мес. 0 дн.</v>
      </c>
      <c r="I1987" s="1" t="s">
        <v>39</v>
      </c>
      <c r="V1987" s="1" t="str">
        <f t="shared" si="105"/>
        <v>0 г. 0 мес. 0 дн.</v>
      </c>
      <c r="W1987" s="5"/>
    </row>
    <row r="1988" spans="1:23" ht="34.5" customHeight="1" x14ac:dyDescent="0.25">
      <c r="A1988" s="1">
        <f t="shared" si="106"/>
        <v>1987</v>
      </c>
      <c r="B1988" s="1"/>
      <c r="C1988" s="2"/>
      <c r="H1988" s="1" t="str">
        <f t="shared" si="107"/>
        <v>0 г. 0 мес. 0 дн.</v>
      </c>
      <c r="I1988" s="1" t="s">
        <v>39</v>
      </c>
      <c r="V1988" s="1" t="str">
        <f t="shared" si="105"/>
        <v>0 г. 0 мес. 0 дн.</v>
      </c>
      <c r="W1988" s="5"/>
    </row>
    <row r="1989" spans="1:23" ht="34.5" customHeight="1" x14ac:dyDescent="0.25">
      <c r="A1989" s="1">
        <f t="shared" si="106"/>
        <v>1988</v>
      </c>
      <c r="B1989" s="1"/>
      <c r="C1989" s="2"/>
      <c r="H1989" s="1" t="str">
        <f t="shared" si="107"/>
        <v>0 г. 0 мес. 0 дн.</v>
      </c>
      <c r="I1989" s="1" t="s">
        <v>39</v>
      </c>
      <c r="V1989" s="1" t="str">
        <f t="shared" si="105"/>
        <v>0 г. 0 мес. 0 дн.</v>
      </c>
      <c r="W1989" s="5"/>
    </row>
    <row r="1990" spans="1:23" ht="34.5" customHeight="1" x14ac:dyDescent="0.25">
      <c r="A1990" s="1">
        <f t="shared" si="106"/>
        <v>1989</v>
      </c>
      <c r="B1990" s="1"/>
      <c r="C1990" s="2"/>
      <c r="H1990" s="1" t="str">
        <f t="shared" si="107"/>
        <v>0 г. 0 мес. 0 дн.</v>
      </c>
      <c r="I1990" s="1" t="s">
        <v>39</v>
      </c>
      <c r="V1990" s="1" t="str">
        <f t="shared" si="105"/>
        <v>0 г. 0 мес. 0 дн.</v>
      </c>
      <c r="W1990" s="5"/>
    </row>
    <row r="1991" spans="1:23" ht="34.5" customHeight="1" x14ac:dyDescent="0.25">
      <c r="A1991" s="1">
        <f t="shared" si="106"/>
        <v>1990</v>
      </c>
      <c r="B1991" s="1"/>
      <c r="C1991" s="2"/>
      <c r="H1991" s="1" t="str">
        <f t="shared" si="107"/>
        <v>0 г. 0 мес. 0 дн.</v>
      </c>
      <c r="I1991" s="1" t="s">
        <v>39</v>
      </c>
      <c r="V1991" s="1" t="str">
        <f t="shared" si="105"/>
        <v>0 г. 0 мес. 0 дн.</v>
      </c>
      <c r="W1991" s="5"/>
    </row>
    <row r="1992" spans="1:23" ht="34.5" customHeight="1" x14ac:dyDescent="0.25">
      <c r="A1992" s="1">
        <f t="shared" si="106"/>
        <v>1991</v>
      </c>
      <c r="B1992" s="1"/>
      <c r="C1992" s="2"/>
      <c r="H1992" s="1" t="str">
        <f t="shared" si="107"/>
        <v>0 г. 0 мес. 0 дн.</v>
      </c>
      <c r="I1992" s="1" t="s">
        <v>39</v>
      </c>
      <c r="V1992" s="1" t="str">
        <f t="shared" si="105"/>
        <v>0 г. 0 мес. 0 дн.</v>
      </c>
      <c r="W1992" s="5"/>
    </row>
    <row r="1993" spans="1:23" ht="34.5" customHeight="1" x14ac:dyDescent="0.25">
      <c r="A1993" s="1">
        <f t="shared" si="106"/>
        <v>1992</v>
      </c>
      <c r="B1993" s="1"/>
      <c r="C1993" s="2"/>
      <c r="H1993" s="1" t="str">
        <f t="shared" si="107"/>
        <v>0 г. 0 мес. 0 дн.</v>
      </c>
      <c r="I1993" s="1" t="s">
        <v>39</v>
      </c>
      <c r="V1993" s="1" t="str">
        <f t="shared" si="105"/>
        <v>0 г. 0 мес. 0 дн.</v>
      </c>
      <c r="W1993" s="5"/>
    </row>
    <row r="1994" spans="1:23" ht="34.5" customHeight="1" x14ac:dyDescent="0.25">
      <c r="A1994" s="1">
        <f t="shared" si="106"/>
        <v>1993</v>
      </c>
      <c r="B1994" s="1"/>
      <c r="C1994" s="2"/>
      <c r="H1994" s="1" t="str">
        <f t="shared" si="107"/>
        <v>0 г. 0 мес. 0 дн.</v>
      </c>
      <c r="I1994" s="1" t="s">
        <v>39</v>
      </c>
      <c r="V1994" s="1" t="str">
        <f t="shared" si="105"/>
        <v>0 г. 0 мес. 0 дн.</v>
      </c>
      <c r="W1994" s="5"/>
    </row>
    <row r="1995" spans="1:23" ht="34.5" customHeight="1" x14ac:dyDescent="0.25">
      <c r="A1995" s="1">
        <f t="shared" si="106"/>
        <v>1994</v>
      </c>
      <c r="B1995" s="1"/>
      <c r="C1995" s="2"/>
      <c r="H1995" s="1" t="str">
        <f t="shared" si="107"/>
        <v>0 г. 0 мес. 0 дн.</v>
      </c>
      <c r="I1995" s="1" t="s">
        <v>39</v>
      </c>
      <c r="V1995" s="1" t="str">
        <f t="shared" si="105"/>
        <v>0 г. 0 мес. 0 дн.</v>
      </c>
      <c r="W1995" s="5"/>
    </row>
    <row r="1996" spans="1:23" ht="34.5" customHeight="1" x14ac:dyDescent="0.25">
      <c r="A1996" s="1">
        <f t="shared" si="106"/>
        <v>1995</v>
      </c>
      <c r="B1996" s="1"/>
      <c r="C1996" s="2"/>
      <c r="H1996" s="1" t="str">
        <f t="shared" si="107"/>
        <v>0 г. 0 мес. 0 дн.</v>
      </c>
      <c r="I1996" s="1" t="s">
        <v>39</v>
      </c>
      <c r="V1996" s="1" t="str">
        <f t="shared" si="105"/>
        <v>0 г. 0 мес. 0 дн.</v>
      </c>
      <c r="W1996" s="5"/>
    </row>
    <row r="1997" spans="1:23" ht="34.5" customHeight="1" x14ac:dyDescent="0.25">
      <c r="A1997" s="1">
        <f t="shared" si="106"/>
        <v>1996</v>
      </c>
      <c r="B1997" s="1"/>
      <c r="C1997" s="2"/>
      <c r="H1997" s="1" t="str">
        <f t="shared" si="107"/>
        <v>0 г. 0 мес. 0 дн.</v>
      </c>
      <c r="I1997" s="1" t="s">
        <v>39</v>
      </c>
      <c r="V1997" s="1" t="str">
        <f t="shared" si="105"/>
        <v>0 г. 0 мес. 0 дн.</v>
      </c>
      <c r="W1997" s="5"/>
    </row>
    <row r="1998" spans="1:23" ht="34.5" customHeight="1" x14ac:dyDescent="0.25">
      <c r="A1998" s="1">
        <f t="shared" si="106"/>
        <v>1997</v>
      </c>
      <c r="B1998" s="1"/>
      <c r="C1998" s="2"/>
      <c r="H1998" s="1" t="str">
        <f t="shared" si="107"/>
        <v>0 г. 0 мес. 0 дн.</v>
      </c>
      <c r="I1998" s="1" t="s">
        <v>39</v>
      </c>
      <c r="V1998" s="1" t="str">
        <f t="shared" si="105"/>
        <v>0 г. 0 мес. 0 дн.</v>
      </c>
      <c r="W1998" s="5"/>
    </row>
    <row r="1999" spans="1:23" ht="34.5" customHeight="1" x14ac:dyDescent="0.25">
      <c r="A1999" s="1">
        <f t="shared" si="106"/>
        <v>1998</v>
      </c>
      <c r="B1999" s="1"/>
      <c r="C1999" s="2"/>
      <c r="H1999" s="1" t="str">
        <f t="shared" si="107"/>
        <v>0 г. 0 мес. 0 дн.</v>
      </c>
      <c r="I1999" s="1" t="s">
        <v>39</v>
      </c>
      <c r="V1999" s="1" t="str">
        <f t="shared" si="105"/>
        <v>0 г. 0 мес. 0 дн.</v>
      </c>
      <c r="W1999" s="5"/>
    </row>
    <row r="2000" spans="1:23" ht="34.5" customHeight="1" x14ac:dyDescent="0.25">
      <c r="A2000" s="1">
        <f t="shared" si="106"/>
        <v>1999</v>
      </c>
      <c r="B2000" s="1"/>
      <c r="C2000" s="2"/>
      <c r="H2000" s="1" t="str">
        <f t="shared" si="107"/>
        <v>0 г. 0 мес. 0 дн.</v>
      </c>
      <c r="I2000" s="1" t="s">
        <v>39</v>
      </c>
      <c r="V2000" s="1" t="str">
        <f t="shared" si="105"/>
        <v>0 г. 0 мес. 0 дн.</v>
      </c>
      <c r="W2000" s="5"/>
    </row>
    <row r="2001" spans="1:23" ht="34.5" customHeight="1" x14ac:dyDescent="0.25">
      <c r="A2001" s="1">
        <f t="shared" si="106"/>
        <v>2000</v>
      </c>
      <c r="B2001" s="1"/>
      <c r="C2001" s="2"/>
      <c r="H2001" s="1" t="str">
        <f t="shared" si="107"/>
        <v>0 г. 0 мес. 0 дн.</v>
      </c>
      <c r="I2001" s="1" t="s">
        <v>39</v>
      </c>
      <c r="V2001" s="1" t="str">
        <f t="shared" si="105"/>
        <v>0 г. 0 мес. 0 дн.</v>
      </c>
      <c r="W2001" s="5"/>
    </row>
    <row r="2002" spans="1:23" ht="34.5" customHeight="1" x14ac:dyDescent="0.25">
      <c r="A2002" s="1">
        <f t="shared" si="106"/>
        <v>2001</v>
      </c>
      <c r="B2002" s="1"/>
      <c r="C2002" s="2"/>
      <c r="H2002" s="1" t="str">
        <f t="shared" si="107"/>
        <v>0 г. 0 мес. 0 дн.</v>
      </c>
      <c r="I2002" s="1" t="s">
        <v>39</v>
      </c>
      <c r="V2002" s="1" t="str">
        <f t="shared" si="105"/>
        <v>0 г. 0 мес. 0 дн.</v>
      </c>
      <c r="W2002" s="5"/>
    </row>
    <row r="2003" spans="1:23" ht="34.5" customHeight="1" x14ac:dyDescent="0.25">
      <c r="A2003" s="1">
        <f t="shared" si="106"/>
        <v>2002</v>
      </c>
      <c r="B2003" s="1"/>
      <c r="C2003" s="2"/>
      <c r="H2003" s="1" t="str">
        <f t="shared" si="107"/>
        <v>0 г. 0 мес. 0 дн.</v>
      </c>
      <c r="I2003" s="1" t="s">
        <v>39</v>
      </c>
      <c r="V2003" s="1" t="str">
        <f t="shared" si="105"/>
        <v>0 г. 0 мес. 0 дн.</v>
      </c>
      <c r="W2003" s="5"/>
    </row>
    <row r="2004" spans="1:23" ht="34.5" customHeight="1" x14ac:dyDescent="0.25">
      <c r="A2004" s="1">
        <f t="shared" si="106"/>
        <v>2003</v>
      </c>
      <c r="B2004" s="1"/>
      <c r="C2004" s="2"/>
      <c r="H2004" s="1" t="str">
        <f t="shared" si="107"/>
        <v>0 г. 0 мес. 0 дн.</v>
      </c>
      <c r="I2004" s="1" t="s">
        <v>39</v>
      </c>
      <c r="V2004" s="1" t="str">
        <f t="shared" si="105"/>
        <v>0 г. 0 мес. 0 дн.</v>
      </c>
      <c r="W2004" s="5"/>
    </row>
    <row r="2005" spans="1:23" ht="34.5" customHeight="1" x14ac:dyDescent="0.25">
      <c r="A2005" s="1">
        <f t="shared" si="106"/>
        <v>2004</v>
      </c>
      <c r="B2005" s="1"/>
      <c r="C2005" s="2"/>
      <c r="H2005" s="1" t="str">
        <f t="shared" si="107"/>
        <v>0 г. 0 мес. 0 дн.</v>
      </c>
      <c r="I2005" s="1" t="s">
        <v>39</v>
      </c>
      <c r="V2005" s="1" t="str">
        <f t="shared" si="105"/>
        <v>0 г. 0 мес. 0 дн.</v>
      </c>
      <c r="W2005" s="5"/>
    </row>
    <row r="2006" spans="1:23" ht="34.5" customHeight="1" x14ac:dyDescent="0.25">
      <c r="A2006" s="1">
        <f t="shared" si="106"/>
        <v>2005</v>
      </c>
      <c r="B2006" s="1"/>
      <c r="C2006" s="2"/>
      <c r="H2006" s="1" t="str">
        <f t="shared" si="107"/>
        <v>0 г. 0 мес. 0 дн.</v>
      </c>
      <c r="I2006" s="1" t="s">
        <v>39</v>
      </c>
      <c r="V2006" s="1" t="str">
        <f t="shared" si="105"/>
        <v>0 г. 0 мес. 0 дн.</v>
      </c>
      <c r="W2006" s="5"/>
    </row>
    <row r="2007" spans="1:23" ht="34.5" customHeight="1" x14ac:dyDescent="0.25">
      <c r="A2007" s="1">
        <f t="shared" si="106"/>
        <v>2006</v>
      </c>
      <c r="B2007" s="1"/>
      <c r="C2007" s="2"/>
      <c r="H2007" s="1" t="str">
        <f t="shared" si="107"/>
        <v>0 г. 0 мес. 0 дн.</v>
      </c>
      <c r="I2007" s="1" t="s">
        <v>39</v>
      </c>
      <c r="V2007" s="1" t="str">
        <f t="shared" si="105"/>
        <v>0 г. 0 мес. 0 дн.</v>
      </c>
      <c r="W2007" s="5"/>
    </row>
    <row r="2008" spans="1:23" ht="34.5" customHeight="1" x14ac:dyDescent="0.25">
      <c r="A2008" s="1">
        <f t="shared" si="106"/>
        <v>2007</v>
      </c>
      <c r="B2008" s="1"/>
      <c r="C2008" s="2"/>
      <c r="H2008" s="1" t="str">
        <f t="shared" si="107"/>
        <v>0 г. 0 мес. 0 дн.</v>
      </c>
      <c r="I2008" s="1" t="s">
        <v>39</v>
      </c>
      <c r="V2008" s="1" t="str">
        <f t="shared" si="105"/>
        <v>0 г. 0 мес. 0 дн.</v>
      </c>
      <c r="W2008" s="5"/>
    </row>
    <row r="2009" spans="1:23" ht="34.5" customHeight="1" x14ac:dyDescent="0.25">
      <c r="A2009" s="1">
        <f t="shared" si="106"/>
        <v>2008</v>
      </c>
      <c r="B2009" s="1"/>
      <c r="C2009" s="2"/>
      <c r="H2009" s="1" t="str">
        <f t="shared" si="107"/>
        <v>0 г. 0 мес. 0 дн.</v>
      </c>
      <c r="I2009" s="1" t="s">
        <v>39</v>
      </c>
      <c r="V2009" s="1" t="str">
        <f t="shared" si="105"/>
        <v>0 г. 0 мес. 0 дн.</v>
      </c>
      <c r="W2009" s="5"/>
    </row>
    <row r="2010" spans="1:23" ht="34.5" customHeight="1" x14ac:dyDescent="0.25">
      <c r="A2010" s="1">
        <f t="shared" si="106"/>
        <v>2009</v>
      </c>
      <c r="B2010" s="1"/>
      <c r="C2010" s="2"/>
      <c r="H2010" s="1" t="str">
        <f t="shared" si="107"/>
        <v>0 г. 0 мес. 0 дн.</v>
      </c>
      <c r="I2010" s="1" t="s">
        <v>39</v>
      </c>
      <c r="V2010" s="1" t="str">
        <f t="shared" si="105"/>
        <v>0 г. 0 мес. 0 дн.</v>
      </c>
      <c r="W2010" s="5"/>
    </row>
    <row r="2011" spans="1:23" ht="34.5" customHeight="1" x14ac:dyDescent="0.25">
      <c r="A2011" s="1">
        <f t="shared" si="106"/>
        <v>2010</v>
      </c>
      <c r="B2011" s="1"/>
      <c r="C2011" s="2"/>
      <c r="H2011" s="1" t="str">
        <f t="shared" si="107"/>
        <v>0 г. 0 мес. 0 дн.</v>
      </c>
      <c r="I2011" s="1" t="s">
        <v>39</v>
      </c>
      <c r="V2011" s="1" t="str">
        <f t="shared" si="105"/>
        <v>0 г. 0 мес. 0 дн.</v>
      </c>
      <c r="W2011" s="5"/>
    </row>
    <row r="2012" spans="1:23" ht="34.5" customHeight="1" x14ac:dyDescent="0.25">
      <c r="A2012" s="1">
        <f t="shared" si="106"/>
        <v>2011</v>
      </c>
      <c r="B2012" s="1"/>
      <c r="C2012" s="2"/>
      <c r="H2012" s="1" t="str">
        <f t="shared" si="107"/>
        <v>0 г. 0 мес. 0 дн.</v>
      </c>
      <c r="I2012" s="1" t="s">
        <v>39</v>
      </c>
      <c r="V2012" s="1" t="str">
        <f t="shared" si="105"/>
        <v>0 г. 0 мес. 0 дн.</v>
      </c>
      <c r="W2012" s="5"/>
    </row>
    <row r="2013" spans="1:23" ht="34.5" customHeight="1" x14ac:dyDescent="0.25">
      <c r="A2013" s="1">
        <f t="shared" si="106"/>
        <v>2012</v>
      </c>
      <c r="B2013" s="1"/>
      <c r="C2013" s="2"/>
      <c r="H2013" s="1" t="str">
        <f t="shared" si="107"/>
        <v>0 г. 0 мес. 0 дн.</v>
      </c>
      <c r="I2013" s="1" t="s">
        <v>39</v>
      </c>
      <c r="V2013" s="1" t="str">
        <f t="shared" si="105"/>
        <v>0 г. 0 мес. 0 дн.</v>
      </c>
      <c r="W2013" s="5"/>
    </row>
    <row r="2014" spans="1:23" ht="34.5" customHeight="1" x14ac:dyDescent="0.25">
      <c r="A2014" s="1">
        <f t="shared" si="106"/>
        <v>2013</v>
      </c>
      <c r="B2014" s="1"/>
      <c r="C2014" s="2"/>
      <c r="H2014" s="1" t="str">
        <f t="shared" si="107"/>
        <v>0 г. 0 мес. 0 дн.</v>
      </c>
      <c r="I2014" s="1" t="s">
        <v>39</v>
      </c>
      <c r="V2014" s="1" t="str">
        <f t="shared" si="105"/>
        <v>0 г. 0 мес. 0 дн.</v>
      </c>
      <c r="W2014" s="5"/>
    </row>
    <row r="2015" spans="1:23" ht="34.5" customHeight="1" x14ac:dyDescent="0.25">
      <c r="A2015" s="1">
        <f t="shared" si="106"/>
        <v>2014</v>
      </c>
      <c r="B2015" s="1"/>
      <c r="C2015" s="2"/>
      <c r="H2015" s="1" t="str">
        <f t="shared" si="107"/>
        <v>0 г. 0 мес. 0 дн.</v>
      </c>
      <c r="I2015" s="1" t="s">
        <v>39</v>
      </c>
      <c r="V2015" s="1" t="str">
        <f t="shared" si="105"/>
        <v>0 г. 0 мес. 0 дн.</v>
      </c>
      <c r="W2015" s="5"/>
    </row>
    <row r="2016" spans="1:23" ht="34.5" customHeight="1" x14ac:dyDescent="0.25">
      <c r="A2016" s="1">
        <f t="shared" si="106"/>
        <v>2015</v>
      </c>
      <c r="B2016" s="1"/>
      <c r="C2016" s="2"/>
      <c r="H2016" s="1" t="str">
        <f t="shared" si="107"/>
        <v>0 г. 0 мес. 0 дн.</v>
      </c>
      <c r="I2016" s="1" t="s">
        <v>39</v>
      </c>
      <c r="V2016" s="1" t="str">
        <f t="shared" si="105"/>
        <v>0 г. 0 мес. 0 дн.</v>
      </c>
      <c r="W2016" s="5"/>
    </row>
    <row r="2017" spans="1:23" ht="34.5" customHeight="1" x14ac:dyDescent="0.25">
      <c r="A2017" s="1">
        <f t="shared" si="106"/>
        <v>2016</v>
      </c>
      <c r="B2017" s="1"/>
      <c r="C2017" s="2"/>
      <c r="H2017" s="1" t="str">
        <f t="shared" si="107"/>
        <v>0 г. 0 мес. 0 дн.</v>
      </c>
      <c r="I2017" s="1" t="s">
        <v>39</v>
      </c>
      <c r="V2017" s="1" t="str">
        <f t="shared" si="105"/>
        <v>0 г. 0 мес. 0 дн.</v>
      </c>
      <c r="W2017" s="5"/>
    </row>
    <row r="2018" spans="1:23" ht="34.5" customHeight="1" x14ac:dyDescent="0.25">
      <c r="A2018" s="1">
        <f t="shared" si="106"/>
        <v>2017</v>
      </c>
      <c r="B2018" s="1"/>
      <c r="C2018" s="2"/>
      <c r="H2018" s="1" t="str">
        <f t="shared" si="107"/>
        <v>0 г. 0 мес. 0 дн.</v>
      </c>
      <c r="I2018" s="1" t="s">
        <v>39</v>
      </c>
      <c r="V2018" s="1" t="str">
        <f t="shared" si="105"/>
        <v>0 г. 0 мес. 0 дн.</v>
      </c>
      <c r="W2018" s="5"/>
    </row>
    <row r="2019" spans="1:23" ht="34.5" customHeight="1" x14ac:dyDescent="0.25">
      <c r="A2019" s="1">
        <f t="shared" si="106"/>
        <v>2018</v>
      </c>
      <c r="B2019" s="1"/>
      <c r="C2019" s="2"/>
      <c r="H2019" s="1" t="str">
        <f t="shared" si="107"/>
        <v>0 г. 0 мес. 0 дн.</v>
      </c>
      <c r="I2019" s="1" t="s">
        <v>39</v>
      </c>
      <c r="V2019" s="1" t="str">
        <f t="shared" si="105"/>
        <v>0 г. 0 мес. 0 дн.</v>
      </c>
      <c r="W2019" s="5"/>
    </row>
    <row r="2020" spans="1:23" ht="34.5" customHeight="1" x14ac:dyDescent="0.25">
      <c r="A2020" s="1">
        <f t="shared" si="106"/>
        <v>2019</v>
      </c>
      <c r="B2020" s="1"/>
      <c r="C2020" s="2"/>
      <c r="H2020" s="1" t="str">
        <f t="shared" si="107"/>
        <v>0 г. 0 мес. 0 дн.</v>
      </c>
      <c r="I2020" s="1" t="s">
        <v>39</v>
      </c>
      <c r="V2020" s="1" t="str">
        <f t="shared" si="105"/>
        <v>0 г. 0 мес. 0 дн.</v>
      </c>
      <c r="W2020" s="5"/>
    </row>
    <row r="2021" spans="1:23" ht="34.5" customHeight="1" x14ac:dyDescent="0.25">
      <c r="A2021" s="1">
        <f t="shared" si="106"/>
        <v>2020</v>
      </c>
      <c r="B2021" s="1"/>
      <c r="C2021" s="2"/>
      <c r="H2021" s="1" t="str">
        <f t="shared" si="107"/>
        <v>0 г. 0 мес. 0 дн.</v>
      </c>
      <c r="I2021" s="1" t="s">
        <v>39</v>
      </c>
      <c r="V2021" s="1" t="str">
        <f t="shared" si="105"/>
        <v>0 г. 0 мес. 0 дн.</v>
      </c>
      <c r="W2021" s="5"/>
    </row>
    <row r="2022" spans="1:23" ht="34.5" customHeight="1" x14ac:dyDescent="0.25">
      <c r="A2022" s="1">
        <f t="shared" si="106"/>
        <v>2021</v>
      </c>
      <c r="B2022" s="1"/>
      <c r="C2022" s="2"/>
      <c r="H2022" s="1" t="str">
        <f t="shared" si="107"/>
        <v>0 г. 0 мес. 0 дн.</v>
      </c>
      <c r="I2022" s="1" t="s">
        <v>39</v>
      </c>
      <c r="V2022" s="1" t="str">
        <f t="shared" si="105"/>
        <v>0 г. 0 мес. 0 дн.</v>
      </c>
      <c r="W2022" s="5"/>
    </row>
    <row r="2023" spans="1:23" ht="34.5" customHeight="1" x14ac:dyDescent="0.25">
      <c r="A2023" s="1">
        <f t="shared" si="106"/>
        <v>2022</v>
      </c>
      <c r="B2023" s="1"/>
      <c r="C2023" s="2"/>
      <c r="H2023" s="1" t="str">
        <f t="shared" si="107"/>
        <v>0 г. 0 мес. 0 дн.</v>
      </c>
      <c r="I2023" s="1" t="s">
        <v>39</v>
      </c>
      <c r="V2023" s="1" t="str">
        <f t="shared" si="105"/>
        <v>0 г. 0 мес. 0 дн.</v>
      </c>
      <c r="W2023" s="5"/>
    </row>
    <row r="2024" spans="1:23" ht="34.5" customHeight="1" x14ac:dyDescent="0.25">
      <c r="A2024" s="1">
        <f t="shared" si="106"/>
        <v>2023</v>
      </c>
      <c r="B2024" s="1"/>
      <c r="C2024" s="2"/>
      <c r="H2024" s="1" t="str">
        <f t="shared" si="107"/>
        <v>0 г. 0 мес. 0 дн.</v>
      </c>
      <c r="I2024" s="1" t="s">
        <v>39</v>
      </c>
      <c r="V2024" s="1" t="str">
        <f t="shared" si="105"/>
        <v>0 г. 0 мес. 0 дн.</v>
      </c>
      <c r="W2024" s="5"/>
    </row>
    <row r="2025" spans="1:23" ht="34.5" customHeight="1" x14ac:dyDescent="0.25">
      <c r="A2025" s="1">
        <f t="shared" si="106"/>
        <v>2024</v>
      </c>
      <c r="B2025" s="1"/>
      <c r="C2025" s="2"/>
      <c r="H2025" s="1" t="str">
        <f t="shared" si="107"/>
        <v>0 г. 0 мес. 0 дн.</v>
      </c>
      <c r="I2025" s="1" t="s">
        <v>39</v>
      </c>
      <c r="V2025" s="1" t="str">
        <f t="shared" si="105"/>
        <v>0 г. 0 мес. 0 дн.</v>
      </c>
      <c r="W2025" s="5"/>
    </row>
    <row r="2026" spans="1:23" ht="34.5" customHeight="1" x14ac:dyDescent="0.25">
      <c r="A2026" s="1">
        <f t="shared" si="106"/>
        <v>2025</v>
      </c>
      <c r="B2026" s="1"/>
      <c r="C2026" s="2"/>
      <c r="H2026" s="1" t="str">
        <f t="shared" si="107"/>
        <v>0 г. 0 мес. 0 дн.</v>
      </c>
      <c r="I2026" s="1" t="s">
        <v>39</v>
      </c>
      <c r="V2026" s="1" t="str">
        <f t="shared" si="105"/>
        <v>0 г. 0 мес. 0 дн.</v>
      </c>
      <c r="W2026" s="5"/>
    </row>
    <row r="2027" spans="1:23" ht="34.5" customHeight="1" x14ac:dyDescent="0.25">
      <c r="A2027" s="1">
        <f t="shared" si="106"/>
        <v>2026</v>
      </c>
      <c r="B2027" s="1"/>
      <c r="C2027" s="2"/>
      <c r="H2027" s="1" t="str">
        <f t="shared" si="107"/>
        <v>0 г. 0 мес. 0 дн.</v>
      </c>
      <c r="I2027" s="1" t="s">
        <v>39</v>
      </c>
      <c r="V2027" s="1" t="str">
        <f t="shared" si="105"/>
        <v>0 г. 0 мес. 0 дн.</v>
      </c>
      <c r="W2027" s="5"/>
    </row>
    <row r="2028" spans="1:23" ht="34.5" customHeight="1" x14ac:dyDescent="0.25">
      <c r="A2028" s="1">
        <f t="shared" si="106"/>
        <v>2027</v>
      </c>
      <c r="B2028" s="1"/>
      <c r="C2028" s="2"/>
      <c r="H2028" s="1" t="str">
        <f t="shared" si="107"/>
        <v>0 г. 0 мес. 0 дн.</v>
      </c>
      <c r="I2028" s="1" t="s">
        <v>39</v>
      </c>
      <c r="V2028" s="1" t="str">
        <f t="shared" si="105"/>
        <v>0 г. 0 мес. 0 дн.</v>
      </c>
      <c r="W2028" s="5"/>
    </row>
    <row r="2029" spans="1:23" ht="34.5" customHeight="1" x14ac:dyDescent="0.25">
      <c r="A2029" s="1">
        <f t="shared" si="106"/>
        <v>2028</v>
      </c>
      <c r="B2029" s="1"/>
      <c r="C2029" s="2"/>
      <c r="H2029" s="1" t="str">
        <f t="shared" si="107"/>
        <v>0 г. 0 мес. 0 дн.</v>
      </c>
      <c r="I2029" s="1" t="s">
        <v>39</v>
      </c>
      <c r="V2029" s="1" t="str">
        <f t="shared" si="105"/>
        <v>0 г. 0 мес. 0 дн.</v>
      </c>
      <c r="W2029" s="5"/>
    </row>
    <row r="2030" spans="1:23" ht="34.5" customHeight="1" x14ac:dyDescent="0.25">
      <c r="A2030" s="1">
        <f t="shared" si="106"/>
        <v>2029</v>
      </c>
      <c r="B2030" s="1"/>
      <c r="C2030" s="2"/>
      <c r="H2030" s="1" t="str">
        <f t="shared" si="107"/>
        <v>0 г. 0 мес. 0 дн.</v>
      </c>
      <c r="I2030" s="1" t="s">
        <v>39</v>
      </c>
      <c r="V2030" s="1" t="str">
        <f t="shared" si="105"/>
        <v>0 г. 0 мес. 0 дн.</v>
      </c>
      <c r="W2030" s="5"/>
    </row>
    <row r="2031" spans="1:23" ht="34.5" customHeight="1" x14ac:dyDescent="0.25">
      <c r="A2031" s="1">
        <f t="shared" si="106"/>
        <v>2030</v>
      </c>
      <c r="B2031" s="1"/>
      <c r="C2031" s="2"/>
      <c r="H2031" s="1" t="str">
        <f t="shared" si="107"/>
        <v>0 г. 0 мес. 0 дн.</v>
      </c>
      <c r="I2031" s="1" t="s">
        <v>39</v>
      </c>
      <c r="V2031" s="1" t="str">
        <f t="shared" si="105"/>
        <v>0 г. 0 мес. 0 дн.</v>
      </c>
      <c r="W2031" s="5"/>
    </row>
    <row r="2032" spans="1:23" ht="34.5" customHeight="1" x14ac:dyDescent="0.25">
      <c r="A2032" s="1">
        <f t="shared" si="106"/>
        <v>2031</v>
      </c>
      <c r="B2032" s="1"/>
      <c r="C2032" s="2"/>
      <c r="H2032" s="1" t="str">
        <f t="shared" si="107"/>
        <v>0 г. 0 мес. 0 дн.</v>
      </c>
      <c r="I2032" s="1" t="s">
        <v>39</v>
      </c>
      <c r="V2032" s="1" t="str">
        <f t="shared" si="105"/>
        <v>0 г. 0 мес. 0 дн.</v>
      </c>
      <c r="W2032" s="5"/>
    </row>
    <row r="2033" spans="1:23" ht="34.5" customHeight="1" x14ac:dyDescent="0.25">
      <c r="A2033" s="1">
        <f t="shared" si="106"/>
        <v>2032</v>
      </c>
      <c r="B2033" s="1"/>
      <c r="C2033" s="2"/>
      <c r="H2033" s="1" t="str">
        <f t="shared" si="107"/>
        <v>0 г. 0 мес. 0 дн.</v>
      </c>
      <c r="I2033" s="1" t="s">
        <v>39</v>
      </c>
      <c r="V2033" s="1" t="str">
        <f t="shared" ref="V2033:V2096" si="108">DATEDIF(D2033,T2033,"y") &amp; " г. " &amp; DATEDIF(D2033,T2033,"ym") &amp; " мес. " &amp; DATEDIF(D2033,T2033,"md") &amp; " дн."</f>
        <v>0 г. 0 мес. 0 дн.</v>
      </c>
      <c r="W2033" s="5"/>
    </row>
    <row r="2034" spans="1:23" ht="34.5" customHeight="1" x14ac:dyDescent="0.25">
      <c r="A2034" s="1">
        <f t="shared" si="106"/>
        <v>2033</v>
      </c>
      <c r="B2034" s="1"/>
      <c r="C2034" s="2"/>
      <c r="H2034" s="1" t="str">
        <f t="shared" si="107"/>
        <v>0 г. 0 мес. 0 дн.</v>
      </c>
      <c r="I2034" s="1" t="s">
        <v>39</v>
      </c>
      <c r="V2034" s="1" t="str">
        <f t="shared" si="108"/>
        <v>0 г. 0 мес. 0 дн.</v>
      </c>
      <c r="W2034" s="5"/>
    </row>
    <row r="2035" spans="1:23" ht="34.5" customHeight="1" x14ac:dyDescent="0.25">
      <c r="A2035" s="1">
        <f t="shared" si="106"/>
        <v>2034</v>
      </c>
      <c r="B2035" s="1"/>
      <c r="C2035" s="2"/>
      <c r="H2035" s="1" t="str">
        <f t="shared" si="107"/>
        <v>0 г. 0 мес. 0 дн.</v>
      </c>
      <c r="I2035" s="1" t="s">
        <v>39</v>
      </c>
      <c r="V2035" s="1" t="str">
        <f t="shared" si="108"/>
        <v>0 г. 0 мес. 0 дн.</v>
      </c>
      <c r="W2035" s="5"/>
    </row>
    <row r="2036" spans="1:23" ht="34.5" customHeight="1" x14ac:dyDescent="0.25">
      <c r="A2036" s="1">
        <f t="shared" si="106"/>
        <v>2035</v>
      </c>
      <c r="B2036" s="1"/>
      <c r="C2036" s="2"/>
      <c r="H2036" s="1" t="str">
        <f t="shared" si="107"/>
        <v>0 г. 0 мес. 0 дн.</v>
      </c>
      <c r="I2036" s="1" t="s">
        <v>39</v>
      </c>
      <c r="V2036" s="1" t="str">
        <f t="shared" si="108"/>
        <v>0 г. 0 мес. 0 дн.</v>
      </c>
      <c r="W2036" s="5"/>
    </row>
    <row r="2037" spans="1:23" ht="34.5" customHeight="1" x14ac:dyDescent="0.25">
      <c r="A2037" s="1">
        <f t="shared" si="106"/>
        <v>2036</v>
      </c>
      <c r="B2037" s="1"/>
      <c r="C2037" s="2"/>
      <c r="H2037" s="1" t="str">
        <f t="shared" si="107"/>
        <v>0 г. 0 мес. 0 дн.</v>
      </c>
      <c r="I2037" s="1" t="s">
        <v>39</v>
      </c>
      <c r="V2037" s="1" t="str">
        <f t="shared" si="108"/>
        <v>0 г. 0 мес. 0 дн.</v>
      </c>
      <c r="W2037" s="5"/>
    </row>
    <row r="2038" spans="1:23" ht="34.5" customHeight="1" x14ac:dyDescent="0.25">
      <c r="A2038" s="1">
        <f t="shared" si="106"/>
        <v>2037</v>
      </c>
      <c r="B2038" s="1"/>
      <c r="C2038" s="2"/>
      <c r="H2038" s="1" t="str">
        <f t="shared" si="107"/>
        <v>0 г. 0 мес. 0 дн.</v>
      </c>
      <c r="I2038" s="1" t="s">
        <v>39</v>
      </c>
      <c r="V2038" s="1" t="str">
        <f t="shared" si="108"/>
        <v>0 г. 0 мес. 0 дн.</v>
      </c>
      <c r="W2038" s="5"/>
    </row>
    <row r="2039" spans="1:23" ht="34.5" customHeight="1" x14ac:dyDescent="0.25">
      <c r="A2039" s="1">
        <f t="shared" si="106"/>
        <v>2038</v>
      </c>
      <c r="B2039" s="1"/>
      <c r="C2039" s="2"/>
      <c r="H2039" s="1" t="str">
        <f t="shared" si="107"/>
        <v>0 г. 0 мес. 0 дн.</v>
      </c>
      <c r="I2039" s="1" t="s">
        <v>39</v>
      </c>
      <c r="V2039" s="1" t="str">
        <f t="shared" si="108"/>
        <v>0 г. 0 мес. 0 дн.</v>
      </c>
      <c r="W2039" s="5"/>
    </row>
    <row r="2040" spans="1:23" ht="34.5" customHeight="1" x14ac:dyDescent="0.25">
      <c r="A2040" s="1">
        <f t="shared" si="106"/>
        <v>2039</v>
      </c>
      <c r="B2040" s="1"/>
      <c r="C2040" s="2"/>
      <c r="H2040" s="1" t="str">
        <f t="shared" si="107"/>
        <v>0 г. 0 мес. 0 дн.</v>
      </c>
      <c r="I2040" s="1" t="s">
        <v>39</v>
      </c>
      <c r="V2040" s="1" t="str">
        <f t="shared" si="108"/>
        <v>0 г. 0 мес. 0 дн.</v>
      </c>
      <c r="W2040" s="5"/>
    </row>
    <row r="2041" spans="1:23" ht="34.5" customHeight="1" x14ac:dyDescent="0.25">
      <c r="A2041" s="1">
        <f t="shared" si="106"/>
        <v>2040</v>
      </c>
      <c r="B2041" s="1"/>
      <c r="C2041" s="2"/>
      <c r="H2041" s="1" t="str">
        <f t="shared" si="107"/>
        <v>0 г. 0 мес. 0 дн.</v>
      </c>
      <c r="I2041" s="1" t="s">
        <v>39</v>
      </c>
      <c r="V2041" s="1" t="str">
        <f t="shared" si="108"/>
        <v>0 г. 0 мес. 0 дн.</v>
      </c>
      <c r="W2041" s="5"/>
    </row>
    <row r="2042" spans="1:23" ht="34.5" customHeight="1" x14ac:dyDescent="0.25">
      <c r="A2042" s="1">
        <f t="shared" si="106"/>
        <v>2041</v>
      </c>
      <c r="B2042" s="1"/>
      <c r="C2042" s="2"/>
      <c r="H2042" s="1" t="str">
        <f t="shared" si="107"/>
        <v>0 г. 0 мес. 0 дн.</v>
      </c>
      <c r="I2042" s="1" t="s">
        <v>39</v>
      </c>
      <c r="V2042" s="1" t="str">
        <f t="shared" si="108"/>
        <v>0 г. 0 мес. 0 дн.</v>
      </c>
      <c r="W2042" s="5"/>
    </row>
    <row r="2043" spans="1:23" ht="34.5" customHeight="1" x14ac:dyDescent="0.25">
      <c r="A2043" s="1">
        <f t="shared" si="106"/>
        <v>2042</v>
      </c>
      <c r="B2043" s="1"/>
      <c r="C2043" s="2"/>
      <c r="H2043" s="1" t="str">
        <f t="shared" si="107"/>
        <v>0 г. 0 мес. 0 дн.</v>
      </c>
      <c r="I2043" s="1" t="s">
        <v>39</v>
      </c>
      <c r="V2043" s="1" t="str">
        <f t="shared" si="108"/>
        <v>0 г. 0 мес. 0 дн.</v>
      </c>
      <c r="W2043" s="5"/>
    </row>
    <row r="2044" spans="1:23" ht="34.5" customHeight="1" x14ac:dyDescent="0.25">
      <c r="A2044" s="1">
        <f t="shared" si="106"/>
        <v>2043</v>
      </c>
      <c r="B2044" s="1"/>
      <c r="C2044" s="2"/>
      <c r="H2044" s="1" t="str">
        <f t="shared" si="107"/>
        <v>0 г. 0 мес. 0 дн.</v>
      </c>
      <c r="I2044" s="1" t="s">
        <v>39</v>
      </c>
      <c r="V2044" s="1" t="str">
        <f t="shared" si="108"/>
        <v>0 г. 0 мес. 0 дн.</v>
      </c>
      <c r="W2044" s="5"/>
    </row>
    <row r="2045" spans="1:23" ht="34.5" customHeight="1" x14ac:dyDescent="0.25">
      <c r="A2045" s="1">
        <f t="shared" si="106"/>
        <v>2044</v>
      </c>
      <c r="B2045" s="1"/>
      <c r="C2045" s="2"/>
      <c r="H2045" s="1" t="str">
        <f t="shared" si="107"/>
        <v>0 г. 0 мес. 0 дн.</v>
      </c>
      <c r="I2045" s="1" t="s">
        <v>39</v>
      </c>
      <c r="V2045" s="1" t="str">
        <f t="shared" si="108"/>
        <v>0 г. 0 мес. 0 дн.</v>
      </c>
      <c r="W2045" s="5"/>
    </row>
    <row r="2046" spans="1:23" ht="34.5" customHeight="1" x14ac:dyDescent="0.25">
      <c r="A2046" s="1">
        <f t="shared" si="106"/>
        <v>2045</v>
      </c>
      <c r="B2046" s="1"/>
      <c r="C2046" s="2"/>
      <c r="H2046" s="1" t="str">
        <f t="shared" si="107"/>
        <v>0 г. 0 мес. 0 дн.</v>
      </c>
      <c r="I2046" s="1" t="s">
        <v>39</v>
      </c>
      <c r="V2046" s="1" t="str">
        <f t="shared" si="108"/>
        <v>0 г. 0 мес. 0 дн.</v>
      </c>
      <c r="W2046" s="5"/>
    </row>
    <row r="2047" spans="1:23" ht="34.5" customHeight="1" x14ac:dyDescent="0.25">
      <c r="A2047" s="1">
        <f t="shared" si="106"/>
        <v>2046</v>
      </c>
      <c r="B2047" s="1"/>
      <c r="C2047" s="2"/>
      <c r="H2047" s="1" t="str">
        <f t="shared" si="107"/>
        <v>0 г. 0 мес. 0 дн.</v>
      </c>
      <c r="I2047" s="1" t="s">
        <v>39</v>
      </c>
      <c r="V2047" s="1" t="str">
        <f t="shared" si="108"/>
        <v>0 г. 0 мес. 0 дн.</v>
      </c>
      <c r="W2047" s="5"/>
    </row>
    <row r="2048" spans="1:23" ht="34.5" customHeight="1" x14ac:dyDescent="0.25">
      <c r="A2048" s="1">
        <f t="shared" ref="A2048:A2111" si="109">ROW(A2047)</f>
        <v>2047</v>
      </c>
      <c r="B2048" s="1"/>
      <c r="C2048" s="2"/>
      <c r="H2048" s="1" t="str">
        <f t="shared" si="107"/>
        <v>0 г. 0 мес. 0 дн.</v>
      </c>
      <c r="I2048" s="1" t="s">
        <v>39</v>
      </c>
      <c r="V2048" s="1" t="str">
        <f t="shared" si="108"/>
        <v>0 г. 0 мес. 0 дн.</v>
      </c>
      <c r="W2048" s="5"/>
    </row>
    <row r="2049" spans="1:23" ht="34.5" customHeight="1" x14ac:dyDescent="0.25">
      <c r="A2049" s="1">
        <f t="shared" si="109"/>
        <v>2048</v>
      </c>
      <c r="B2049" s="1"/>
      <c r="C2049" s="2"/>
      <c r="H2049" s="1" t="str">
        <f t="shared" si="107"/>
        <v>0 г. 0 мес. 0 дн.</v>
      </c>
      <c r="I2049" s="1" t="s">
        <v>39</v>
      </c>
      <c r="V2049" s="1" t="str">
        <f t="shared" si="108"/>
        <v>0 г. 0 мес. 0 дн.</v>
      </c>
      <c r="W2049" s="5"/>
    </row>
    <row r="2050" spans="1:23" ht="34.5" customHeight="1" x14ac:dyDescent="0.25">
      <c r="A2050" s="1">
        <f t="shared" si="109"/>
        <v>2049</v>
      </c>
      <c r="B2050" s="1"/>
      <c r="C2050" s="2"/>
      <c r="H2050" s="1" t="str">
        <f t="shared" ref="H2050:H2113" si="110">DATEDIF(G2050,D2050,"y") &amp; " г. " &amp; DATEDIF(G2050,D2050,"ym") &amp; " мес. " &amp; DATEDIF(G2050,D2050,"md") &amp; " дн."</f>
        <v>0 г. 0 мес. 0 дн.</v>
      </c>
      <c r="I2050" s="1" t="s">
        <v>39</v>
      </c>
      <c r="V2050" s="1" t="str">
        <f t="shared" si="108"/>
        <v>0 г. 0 мес. 0 дн.</v>
      </c>
      <c r="W2050" s="5"/>
    </row>
    <row r="2051" spans="1:23" ht="34.5" customHeight="1" x14ac:dyDescent="0.25">
      <c r="A2051" s="1">
        <f t="shared" si="109"/>
        <v>2050</v>
      </c>
      <c r="B2051" s="1"/>
      <c r="C2051" s="2"/>
      <c r="H2051" s="1" t="str">
        <f t="shared" si="110"/>
        <v>0 г. 0 мес. 0 дн.</v>
      </c>
      <c r="I2051" s="1" t="s">
        <v>39</v>
      </c>
      <c r="V2051" s="1" t="str">
        <f t="shared" si="108"/>
        <v>0 г. 0 мес. 0 дн.</v>
      </c>
      <c r="W2051" s="5"/>
    </row>
    <row r="2052" spans="1:23" ht="34.5" customHeight="1" x14ac:dyDescent="0.25">
      <c r="A2052" s="1">
        <f t="shared" si="109"/>
        <v>2051</v>
      </c>
      <c r="B2052" s="1"/>
      <c r="C2052" s="2"/>
      <c r="H2052" s="1" t="str">
        <f t="shared" si="110"/>
        <v>0 г. 0 мес. 0 дн.</v>
      </c>
      <c r="I2052" s="1" t="s">
        <v>39</v>
      </c>
      <c r="V2052" s="1" t="str">
        <f t="shared" si="108"/>
        <v>0 г. 0 мес. 0 дн.</v>
      </c>
      <c r="W2052" s="5"/>
    </row>
    <row r="2053" spans="1:23" ht="34.5" customHeight="1" x14ac:dyDescent="0.25">
      <c r="A2053" s="1">
        <f t="shared" si="109"/>
        <v>2052</v>
      </c>
      <c r="B2053" s="1"/>
      <c r="C2053" s="2"/>
      <c r="H2053" s="1" t="str">
        <f t="shared" si="110"/>
        <v>0 г. 0 мес. 0 дн.</v>
      </c>
      <c r="I2053" s="1" t="s">
        <v>39</v>
      </c>
      <c r="V2053" s="1" t="str">
        <f t="shared" si="108"/>
        <v>0 г. 0 мес. 0 дн.</v>
      </c>
      <c r="W2053" s="5"/>
    </row>
    <row r="2054" spans="1:23" ht="34.5" customHeight="1" x14ac:dyDescent="0.25">
      <c r="A2054" s="1">
        <f t="shared" si="109"/>
        <v>2053</v>
      </c>
      <c r="B2054" s="1"/>
      <c r="C2054" s="2"/>
      <c r="H2054" s="1" t="str">
        <f t="shared" si="110"/>
        <v>0 г. 0 мес. 0 дн.</v>
      </c>
      <c r="I2054" s="1" t="s">
        <v>39</v>
      </c>
      <c r="V2054" s="1" t="str">
        <f t="shared" si="108"/>
        <v>0 г. 0 мес. 0 дн.</v>
      </c>
      <c r="W2054" s="5"/>
    </row>
    <row r="2055" spans="1:23" ht="34.5" customHeight="1" x14ac:dyDescent="0.25">
      <c r="A2055" s="1">
        <f t="shared" si="109"/>
        <v>2054</v>
      </c>
      <c r="B2055" s="1"/>
      <c r="C2055" s="2"/>
      <c r="H2055" s="1" t="str">
        <f t="shared" si="110"/>
        <v>0 г. 0 мес. 0 дн.</v>
      </c>
      <c r="I2055" s="1" t="s">
        <v>39</v>
      </c>
      <c r="V2055" s="1" t="str">
        <f t="shared" si="108"/>
        <v>0 г. 0 мес. 0 дн.</v>
      </c>
      <c r="W2055" s="5"/>
    </row>
    <row r="2056" spans="1:23" ht="34.5" customHeight="1" x14ac:dyDescent="0.25">
      <c r="A2056" s="1">
        <f t="shared" si="109"/>
        <v>2055</v>
      </c>
      <c r="B2056" s="1"/>
      <c r="C2056" s="2"/>
      <c r="H2056" s="1" t="str">
        <f t="shared" si="110"/>
        <v>0 г. 0 мес. 0 дн.</v>
      </c>
      <c r="I2056" s="1" t="s">
        <v>39</v>
      </c>
      <c r="V2056" s="1" t="str">
        <f t="shared" si="108"/>
        <v>0 г. 0 мес. 0 дн.</v>
      </c>
      <c r="W2056" s="5"/>
    </row>
    <row r="2057" spans="1:23" ht="34.5" customHeight="1" x14ac:dyDescent="0.25">
      <c r="A2057" s="1">
        <f t="shared" si="109"/>
        <v>2056</v>
      </c>
      <c r="B2057" s="1"/>
      <c r="C2057" s="2"/>
      <c r="H2057" s="1" t="str">
        <f t="shared" si="110"/>
        <v>0 г. 0 мес. 0 дн.</v>
      </c>
      <c r="I2057" s="1" t="s">
        <v>39</v>
      </c>
      <c r="V2057" s="1" t="str">
        <f t="shared" si="108"/>
        <v>0 г. 0 мес. 0 дн.</v>
      </c>
      <c r="W2057" s="5"/>
    </row>
    <row r="2058" spans="1:23" ht="34.5" customHeight="1" x14ac:dyDescent="0.25">
      <c r="A2058" s="1">
        <f t="shared" si="109"/>
        <v>2057</v>
      </c>
      <c r="B2058" s="1"/>
      <c r="C2058" s="2"/>
      <c r="H2058" s="1" t="str">
        <f t="shared" si="110"/>
        <v>0 г. 0 мес. 0 дн.</v>
      </c>
      <c r="I2058" s="1" t="s">
        <v>39</v>
      </c>
      <c r="V2058" s="1" t="str">
        <f t="shared" si="108"/>
        <v>0 г. 0 мес. 0 дн.</v>
      </c>
      <c r="W2058" s="5"/>
    </row>
    <row r="2059" spans="1:23" ht="34.5" customHeight="1" x14ac:dyDescent="0.25">
      <c r="A2059" s="1">
        <f t="shared" si="109"/>
        <v>2058</v>
      </c>
      <c r="B2059" s="1"/>
      <c r="C2059" s="2"/>
      <c r="H2059" s="1" t="str">
        <f t="shared" si="110"/>
        <v>0 г. 0 мес. 0 дн.</v>
      </c>
      <c r="I2059" s="1" t="s">
        <v>39</v>
      </c>
      <c r="V2059" s="1" t="str">
        <f t="shared" si="108"/>
        <v>0 г. 0 мес. 0 дн.</v>
      </c>
      <c r="W2059" s="5"/>
    </row>
    <row r="2060" spans="1:23" ht="34.5" customHeight="1" x14ac:dyDescent="0.25">
      <c r="A2060" s="1">
        <f t="shared" si="109"/>
        <v>2059</v>
      </c>
      <c r="B2060" s="1"/>
      <c r="C2060" s="2"/>
      <c r="H2060" s="1" t="str">
        <f t="shared" si="110"/>
        <v>0 г. 0 мес. 0 дн.</v>
      </c>
      <c r="I2060" s="1" t="s">
        <v>39</v>
      </c>
      <c r="V2060" s="1" t="str">
        <f t="shared" si="108"/>
        <v>0 г. 0 мес. 0 дн.</v>
      </c>
      <c r="W2060" s="5"/>
    </row>
    <row r="2061" spans="1:23" ht="34.5" customHeight="1" x14ac:dyDescent="0.25">
      <c r="A2061" s="1">
        <f t="shared" si="109"/>
        <v>2060</v>
      </c>
      <c r="B2061" s="1"/>
      <c r="C2061" s="2"/>
      <c r="H2061" s="1" t="str">
        <f t="shared" si="110"/>
        <v>0 г. 0 мес. 0 дн.</v>
      </c>
      <c r="I2061" s="1" t="s">
        <v>39</v>
      </c>
      <c r="V2061" s="1" t="str">
        <f t="shared" si="108"/>
        <v>0 г. 0 мес. 0 дн.</v>
      </c>
      <c r="W2061" s="5"/>
    </row>
    <row r="2062" spans="1:23" ht="34.5" customHeight="1" x14ac:dyDescent="0.25">
      <c r="A2062" s="1">
        <f t="shared" si="109"/>
        <v>2061</v>
      </c>
      <c r="B2062" s="1"/>
      <c r="C2062" s="2"/>
      <c r="H2062" s="1" t="str">
        <f t="shared" si="110"/>
        <v>0 г. 0 мес. 0 дн.</v>
      </c>
      <c r="I2062" s="1" t="s">
        <v>39</v>
      </c>
      <c r="V2062" s="1" t="str">
        <f t="shared" si="108"/>
        <v>0 г. 0 мес. 0 дн.</v>
      </c>
      <c r="W2062" s="5"/>
    </row>
    <row r="2063" spans="1:23" ht="34.5" customHeight="1" x14ac:dyDescent="0.25">
      <c r="A2063" s="1">
        <f t="shared" si="109"/>
        <v>2062</v>
      </c>
      <c r="B2063" s="1"/>
      <c r="C2063" s="2"/>
      <c r="H2063" s="1" t="str">
        <f t="shared" si="110"/>
        <v>0 г. 0 мес. 0 дн.</v>
      </c>
      <c r="I2063" s="1" t="s">
        <v>39</v>
      </c>
      <c r="V2063" s="1" t="str">
        <f t="shared" si="108"/>
        <v>0 г. 0 мес. 0 дн.</v>
      </c>
      <c r="W2063" s="5"/>
    </row>
    <row r="2064" spans="1:23" ht="34.5" customHeight="1" x14ac:dyDescent="0.25">
      <c r="A2064" s="1">
        <f t="shared" si="109"/>
        <v>2063</v>
      </c>
      <c r="B2064" s="1"/>
      <c r="C2064" s="2"/>
      <c r="H2064" s="1" t="str">
        <f t="shared" si="110"/>
        <v>0 г. 0 мес. 0 дн.</v>
      </c>
      <c r="I2064" s="1" t="s">
        <v>39</v>
      </c>
      <c r="V2064" s="1" t="str">
        <f t="shared" si="108"/>
        <v>0 г. 0 мес. 0 дн.</v>
      </c>
      <c r="W2064" s="5"/>
    </row>
    <row r="2065" spans="1:23" ht="34.5" customHeight="1" x14ac:dyDescent="0.25">
      <c r="A2065" s="1">
        <f t="shared" si="109"/>
        <v>2064</v>
      </c>
      <c r="B2065" s="1"/>
      <c r="C2065" s="2"/>
      <c r="H2065" s="1" t="str">
        <f t="shared" si="110"/>
        <v>0 г. 0 мес. 0 дн.</v>
      </c>
      <c r="I2065" s="1" t="s">
        <v>39</v>
      </c>
      <c r="V2065" s="1" t="str">
        <f t="shared" si="108"/>
        <v>0 г. 0 мес. 0 дн.</v>
      </c>
      <c r="W2065" s="5"/>
    </row>
    <row r="2066" spans="1:23" ht="34.5" customHeight="1" x14ac:dyDescent="0.25">
      <c r="A2066" s="1">
        <f t="shared" si="109"/>
        <v>2065</v>
      </c>
      <c r="B2066" s="1"/>
      <c r="C2066" s="2"/>
      <c r="H2066" s="1" t="str">
        <f t="shared" si="110"/>
        <v>0 г. 0 мес. 0 дн.</v>
      </c>
      <c r="I2066" s="1" t="s">
        <v>39</v>
      </c>
      <c r="V2066" s="1" t="str">
        <f t="shared" si="108"/>
        <v>0 г. 0 мес. 0 дн.</v>
      </c>
      <c r="W2066" s="5"/>
    </row>
    <row r="2067" spans="1:23" ht="34.5" customHeight="1" x14ac:dyDescent="0.25">
      <c r="A2067" s="1">
        <f t="shared" si="109"/>
        <v>2066</v>
      </c>
      <c r="B2067" s="1"/>
      <c r="C2067" s="2"/>
      <c r="H2067" s="1" t="str">
        <f t="shared" si="110"/>
        <v>0 г. 0 мес. 0 дн.</v>
      </c>
      <c r="I2067" s="1" t="s">
        <v>39</v>
      </c>
      <c r="V2067" s="1" t="str">
        <f t="shared" si="108"/>
        <v>0 г. 0 мес. 0 дн.</v>
      </c>
      <c r="W2067" s="5"/>
    </row>
    <row r="2068" spans="1:23" ht="34.5" customHeight="1" x14ac:dyDescent="0.25">
      <c r="A2068" s="1">
        <f t="shared" si="109"/>
        <v>2067</v>
      </c>
      <c r="B2068" s="1"/>
      <c r="C2068" s="2"/>
      <c r="H2068" s="1" t="str">
        <f t="shared" si="110"/>
        <v>0 г. 0 мес. 0 дн.</v>
      </c>
      <c r="I2068" s="1" t="s">
        <v>39</v>
      </c>
      <c r="V2068" s="1" t="str">
        <f t="shared" si="108"/>
        <v>0 г. 0 мес. 0 дн.</v>
      </c>
      <c r="W2068" s="5"/>
    </row>
    <row r="2069" spans="1:23" ht="34.5" customHeight="1" x14ac:dyDescent="0.25">
      <c r="A2069" s="1">
        <f t="shared" si="109"/>
        <v>2068</v>
      </c>
      <c r="B2069" s="1"/>
      <c r="C2069" s="2"/>
      <c r="H2069" s="1" t="str">
        <f t="shared" si="110"/>
        <v>0 г. 0 мес. 0 дн.</v>
      </c>
      <c r="I2069" s="1" t="s">
        <v>39</v>
      </c>
      <c r="V2069" s="1" t="str">
        <f t="shared" si="108"/>
        <v>0 г. 0 мес. 0 дн.</v>
      </c>
      <c r="W2069" s="5"/>
    </row>
    <row r="2070" spans="1:23" ht="34.5" customHeight="1" x14ac:dyDescent="0.25">
      <c r="A2070" s="1">
        <f t="shared" si="109"/>
        <v>2069</v>
      </c>
      <c r="B2070" s="1"/>
      <c r="C2070" s="2"/>
      <c r="H2070" s="1" t="str">
        <f t="shared" si="110"/>
        <v>0 г. 0 мес. 0 дн.</v>
      </c>
      <c r="I2070" s="1" t="s">
        <v>39</v>
      </c>
      <c r="V2070" s="1" t="str">
        <f t="shared" si="108"/>
        <v>0 г. 0 мес. 0 дн.</v>
      </c>
      <c r="W2070" s="5"/>
    </row>
    <row r="2071" spans="1:23" ht="34.5" customHeight="1" x14ac:dyDescent="0.25">
      <c r="A2071" s="1">
        <f t="shared" si="109"/>
        <v>2070</v>
      </c>
      <c r="B2071" s="1"/>
      <c r="C2071" s="2"/>
      <c r="H2071" s="1" t="str">
        <f t="shared" si="110"/>
        <v>0 г. 0 мес. 0 дн.</v>
      </c>
      <c r="I2071" s="1" t="s">
        <v>39</v>
      </c>
      <c r="V2071" s="1" t="str">
        <f t="shared" si="108"/>
        <v>0 г. 0 мес. 0 дн.</v>
      </c>
      <c r="W2071" s="5"/>
    </row>
    <row r="2072" spans="1:23" ht="34.5" customHeight="1" x14ac:dyDescent="0.25">
      <c r="A2072" s="1">
        <f t="shared" si="109"/>
        <v>2071</v>
      </c>
      <c r="B2072" s="1"/>
      <c r="C2072" s="2"/>
      <c r="H2072" s="1" t="str">
        <f t="shared" si="110"/>
        <v>0 г. 0 мес. 0 дн.</v>
      </c>
      <c r="I2072" s="1" t="s">
        <v>39</v>
      </c>
      <c r="V2072" s="1" t="str">
        <f t="shared" si="108"/>
        <v>0 г. 0 мес. 0 дн.</v>
      </c>
      <c r="W2072" s="5"/>
    </row>
    <row r="2073" spans="1:23" ht="34.5" customHeight="1" x14ac:dyDescent="0.25">
      <c r="A2073" s="1">
        <f t="shared" si="109"/>
        <v>2072</v>
      </c>
      <c r="B2073" s="1"/>
      <c r="C2073" s="2"/>
      <c r="H2073" s="1" t="str">
        <f t="shared" si="110"/>
        <v>0 г. 0 мес. 0 дн.</v>
      </c>
      <c r="I2073" s="1" t="s">
        <v>39</v>
      </c>
      <c r="V2073" s="1" t="str">
        <f t="shared" si="108"/>
        <v>0 г. 0 мес. 0 дн.</v>
      </c>
      <c r="W2073" s="5"/>
    </row>
    <row r="2074" spans="1:23" ht="34.5" customHeight="1" x14ac:dyDescent="0.25">
      <c r="A2074" s="1">
        <f t="shared" si="109"/>
        <v>2073</v>
      </c>
      <c r="B2074" s="1"/>
      <c r="C2074" s="2"/>
      <c r="H2074" s="1" t="str">
        <f t="shared" si="110"/>
        <v>0 г. 0 мес. 0 дн.</v>
      </c>
      <c r="I2074" s="1" t="s">
        <v>39</v>
      </c>
      <c r="V2074" s="1" t="str">
        <f t="shared" si="108"/>
        <v>0 г. 0 мес. 0 дн.</v>
      </c>
      <c r="W2074" s="5"/>
    </row>
    <row r="2075" spans="1:23" ht="34.5" customHeight="1" x14ac:dyDescent="0.25">
      <c r="A2075" s="1">
        <f t="shared" si="109"/>
        <v>2074</v>
      </c>
      <c r="B2075" s="1"/>
      <c r="C2075" s="2"/>
      <c r="H2075" s="1" t="str">
        <f t="shared" si="110"/>
        <v>0 г. 0 мес. 0 дн.</v>
      </c>
      <c r="I2075" s="1" t="s">
        <v>39</v>
      </c>
      <c r="V2075" s="1" t="str">
        <f t="shared" si="108"/>
        <v>0 г. 0 мес. 0 дн.</v>
      </c>
      <c r="W2075" s="5"/>
    </row>
    <row r="2076" spans="1:23" ht="34.5" customHeight="1" x14ac:dyDescent="0.25">
      <c r="A2076" s="1">
        <f t="shared" si="109"/>
        <v>2075</v>
      </c>
      <c r="B2076" s="1"/>
      <c r="C2076" s="2"/>
      <c r="H2076" s="1" t="str">
        <f t="shared" si="110"/>
        <v>0 г. 0 мес. 0 дн.</v>
      </c>
      <c r="I2076" s="1" t="s">
        <v>39</v>
      </c>
      <c r="V2076" s="1" t="str">
        <f t="shared" si="108"/>
        <v>0 г. 0 мес. 0 дн.</v>
      </c>
      <c r="W2076" s="5"/>
    </row>
    <row r="2077" spans="1:23" ht="34.5" customHeight="1" x14ac:dyDescent="0.25">
      <c r="A2077" s="1">
        <f t="shared" si="109"/>
        <v>2076</v>
      </c>
      <c r="B2077" s="1"/>
      <c r="C2077" s="2"/>
      <c r="H2077" s="1" t="str">
        <f t="shared" si="110"/>
        <v>0 г. 0 мес. 0 дн.</v>
      </c>
      <c r="I2077" s="1" t="s">
        <v>39</v>
      </c>
      <c r="V2077" s="1" t="str">
        <f t="shared" si="108"/>
        <v>0 г. 0 мес. 0 дн.</v>
      </c>
      <c r="W2077" s="5"/>
    </row>
    <row r="2078" spans="1:23" ht="34.5" customHeight="1" x14ac:dyDescent="0.25">
      <c r="A2078" s="1">
        <f t="shared" si="109"/>
        <v>2077</v>
      </c>
      <c r="B2078" s="1"/>
      <c r="C2078" s="2"/>
      <c r="H2078" s="1" t="str">
        <f t="shared" si="110"/>
        <v>0 г. 0 мес. 0 дн.</v>
      </c>
      <c r="I2078" s="1" t="s">
        <v>39</v>
      </c>
      <c r="V2078" s="1" t="str">
        <f t="shared" si="108"/>
        <v>0 г. 0 мес. 0 дн.</v>
      </c>
      <c r="W2078" s="5"/>
    </row>
    <row r="2079" spans="1:23" ht="34.5" customHeight="1" x14ac:dyDescent="0.25">
      <c r="A2079" s="1">
        <f t="shared" si="109"/>
        <v>2078</v>
      </c>
      <c r="B2079" s="1"/>
      <c r="C2079" s="2"/>
      <c r="H2079" s="1" t="str">
        <f t="shared" si="110"/>
        <v>0 г. 0 мес. 0 дн.</v>
      </c>
      <c r="I2079" s="1" t="s">
        <v>39</v>
      </c>
      <c r="V2079" s="1" t="str">
        <f t="shared" si="108"/>
        <v>0 г. 0 мес. 0 дн.</v>
      </c>
      <c r="W2079" s="5"/>
    </row>
    <row r="2080" spans="1:23" ht="34.5" customHeight="1" x14ac:dyDescent="0.25">
      <c r="A2080" s="1">
        <f t="shared" si="109"/>
        <v>2079</v>
      </c>
      <c r="B2080" s="1"/>
      <c r="C2080" s="2"/>
      <c r="H2080" s="1" t="str">
        <f t="shared" si="110"/>
        <v>0 г. 0 мес. 0 дн.</v>
      </c>
      <c r="I2080" s="1" t="s">
        <v>39</v>
      </c>
      <c r="V2080" s="1" t="str">
        <f t="shared" si="108"/>
        <v>0 г. 0 мес. 0 дн.</v>
      </c>
      <c r="W2080" s="5"/>
    </row>
    <row r="2081" spans="1:23" ht="34.5" customHeight="1" x14ac:dyDescent="0.25">
      <c r="A2081" s="1">
        <f t="shared" si="109"/>
        <v>2080</v>
      </c>
      <c r="B2081" s="1"/>
      <c r="C2081" s="2"/>
      <c r="H2081" s="1" t="str">
        <f t="shared" si="110"/>
        <v>0 г. 0 мес. 0 дн.</v>
      </c>
      <c r="I2081" s="1" t="s">
        <v>39</v>
      </c>
      <c r="V2081" s="1" t="str">
        <f t="shared" si="108"/>
        <v>0 г. 0 мес. 0 дн.</v>
      </c>
      <c r="W2081" s="5"/>
    </row>
    <row r="2082" spans="1:23" ht="34.5" customHeight="1" x14ac:dyDescent="0.25">
      <c r="A2082" s="1">
        <f t="shared" si="109"/>
        <v>2081</v>
      </c>
      <c r="B2082" s="1"/>
      <c r="C2082" s="2"/>
      <c r="H2082" s="1" t="str">
        <f t="shared" si="110"/>
        <v>0 г. 0 мес. 0 дн.</v>
      </c>
      <c r="I2082" s="1" t="s">
        <v>39</v>
      </c>
      <c r="V2082" s="1" t="str">
        <f t="shared" si="108"/>
        <v>0 г. 0 мес. 0 дн.</v>
      </c>
      <c r="W2082" s="5"/>
    </row>
    <row r="2083" spans="1:23" ht="34.5" customHeight="1" x14ac:dyDescent="0.25">
      <c r="A2083" s="1">
        <f t="shared" si="109"/>
        <v>2082</v>
      </c>
      <c r="B2083" s="1"/>
      <c r="C2083" s="2"/>
      <c r="H2083" s="1" t="str">
        <f t="shared" si="110"/>
        <v>0 г. 0 мес. 0 дн.</v>
      </c>
      <c r="I2083" s="1" t="s">
        <v>39</v>
      </c>
      <c r="V2083" s="1" t="str">
        <f t="shared" si="108"/>
        <v>0 г. 0 мес. 0 дн.</v>
      </c>
      <c r="W2083" s="5"/>
    </row>
    <row r="2084" spans="1:23" ht="34.5" customHeight="1" x14ac:dyDescent="0.25">
      <c r="A2084" s="1">
        <f t="shared" si="109"/>
        <v>2083</v>
      </c>
      <c r="B2084" s="1"/>
      <c r="C2084" s="2"/>
      <c r="H2084" s="1" t="str">
        <f t="shared" si="110"/>
        <v>0 г. 0 мес. 0 дн.</v>
      </c>
      <c r="I2084" s="1" t="s">
        <v>39</v>
      </c>
      <c r="V2084" s="1" t="str">
        <f t="shared" si="108"/>
        <v>0 г. 0 мес. 0 дн.</v>
      </c>
      <c r="W2084" s="5"/>
    </row>
    <row r="2085" spans="1:23" ht="34.5" customHeight="1" x14ac:dyDescent="0.25">
      <c r="A2085" s="1">
        <f t="shared" si="109"/>
        <v>2084</v>
      </c>
      <c r="B2085" s="1"/>
      <c r="C2085" s="2"/>
      <c r="H2085" s="1" t="str">
        <f t="shared" si="110"/>
        <v>0 г. 0 мес. 0 дн.</v>
      </c>
      <c r="I2085" s="1" t="s">
        <v>39</v>
      </c>
      <c r="V2085" s="1" t="str">
        <f t="shared" si="108"/>
        <v>0 г. 0 мес. 0 дн.</v>
      </c>
      <c r="W2085" s="5"/>
    </row>
    <row r="2086" spans="1:23" ht="34.5" customHeight="1" x14ac:dyDescent="0.25">
      <c r="A2086" s="1">
        <f t="shared" si="109"/>
        <v>2085</v>
      </c>
      <c r="B2086" s="1"/>
      <c r="C2086" s="2"/>
      <c r="H2086" s="1" t="str">
        <f t="shared" si="110"/>
        <v>0 г. 0 мес. 0 дн.</v>
      </c>
      <c r="I2086" s="1" t="s">
        <v>39</v>
      </c>
      <c r="V2086" s="1" t="str">
        <f t="shared" si="108"/>
        <v>0 г. 0 мес. 0 дн.</v>
      </c>
      <c r="W2086" s="5"/>
    </row>
    <row r="2087" spans="1:23" ht="34.5" customHeight="1" x14ac:dyDescent="0.25">
      <c r="A2087" s="1">
        <f t="shared" si="109"/>
        <v>2086</v>
      </c>
      <c r="B2087" s="1"/>
      <c r="C2087" s="2"/>
      <c r="H2087" s="1" t="str">
        <f t="shared" si="110"/>
        <v>0 г. 0 мес. 0 дн.</v>
      </c>
      <c r="I2087" s="1" t="s">
        <v>39</v>
      </c>
      <c r="V2087" s="1" t="str">
        <f t="shared" si="108"/>
        <v>0 г. 0 мес. 0 дн.</v>
      </c>
      <c r="W2087" s="5"/>
    </row>
    <row r="2088" spans="1:23" ht="34.5" customHeight="1" x14ac:dyDescent="0.25">
      <c r="A2088" s="1">
        <f t="shared" si="109"/>
        <v>2087</v>
      </c>
      <c r="B2088" s="1"/>
      <c r="C2088" s="2"/>
      <c r="H2088" s="1" t="str">
        <f t="shared" si="110"/>
        <v>0 г. 0 мес. 0 дн.</v>
      </c>
      <c r="I2088" s="1" t="s">
        <v>39</v>
      </c>
      <c r="V2088" s="1" t="str">
        <f t="shared" si="108"/>
        <v>0 г. 0 мес. 0 дн.</v>
      </c>
      <c r="W2088" s="5"/>
    </row>
    <row r="2089" spans="1:23" ht="34.5" customHeight="1" x14ac:dyDescent="0.25">
      <c r="A2089" s="1">
        <f t="shared" si="109"/>
        <v>2088</v>
      </c>
      <c r="B2089" s="1"/>
      <c r="C2089" s="2"/>
      <c r="H2089" s="1" t="str">
        <f t="shared" si="110"/>
        <v>0 г. 0 мес. 0 дн.</v>
      </c>
      <c r="I2089" s="1" t="s">
        <v>39</v>
      </c>
      <c r="V2089" s="1" t="str">
        <f t="shared" si="108"/>
        <v>0 г. 0 мес. 0 дн.</v>
      </c>
      <c r="W2089" s="5"/>
    </row>
    <row r="2090" spans="1:23" ht="34.5" customHeight="1" x14ac:dyDescent="0.25">
      <c r="A2090" s="1">
        <f t="shared" si="109"/>
        <v>2089</v>
      </c>
      <c r="B2090" s="1"/>
      <c r="C2090" s="2"/>
      <c r="H2090" s="1" t="str">
        <f t="shared" si="110"/>
        <v>0 г. 0 мес. 0 дн.</v>
      </c>
      <c r="I2090" s="1" t="s">
        <v>39</v>
      </c>
      <c r="V2090" s="1" t="str">
        <f t="shared" si="108"/>
        <v>0 г. 0 мес. 0 дн.</v>
      </c>
      <c r="W2090" s="5"/>
    </row>
    <row r="2091" spans="1:23" ht="34.5" customHeight="1" x14ac:dyDescent="0.25">
      <c r="A2091" s="1">
        <f t="shared" si="109"/>
        <v>2090</v>
      </c>
      <c r="B2091" s="1"/>
      <c r="C2091" s="2"/>
      <c r="H2091" s="1" t="str">
        <f t="shared" si="110"/>
        <v>0 г. 0 мес. 0 дн.</v>
      </c>
      <c r="I2091" s="1" t="s">
        <v>39</v>
      </c>
      <c r="V2091" s="1" t="str">
        <f t="shared" si="108"/>
        <v>0 г. 0 мес. 0 дн.</v>
      </c>
      <c r="W2091" s="5"/>
    </row>
    <row r="2092" spans="1:23" ht="34.5" customHeight="1" x14ac:dyDescent="0.25">
      <c r="A2092" s="1">
        <f t="shared" si="109"/>
        <v>2091</v>
      </c>
      <c r="B2092" s="1"/>
      <c r="C2092" s="2"/>
      <c r="H2092" s="1" t="str">
        <f t="shared" si="110"/>
        <v>0 г. 0 мес. 0 дн.</v>
      </c>
      <c r="I2092" s="1" t="s">
        <v>39</v>
      </c>
      <c r="V2092" s="1" t="str">
        <f t="shared" si="108"/>
        <v>0 г. 0 мес. 0 дн.</v>
      </c>
      <c r="W2092" s="5"/>
    </row>
    <row r="2093" spans="1:23" ht="34.5" customHeight="1" x14ac:dyDescent="0.25">
      <c r="A2093" s="1">
        <f t="shared" si="109"/>
        <v>2092</v>
      </c>
      <c r="B2093" s="1"/>
      <c r="C2093" s="2"/>
      <c r="H2093" s="1" t="str">
        <f t="shared" si="110"/>
        <v>0 г. 0 мес. 0 дн.</v>
      </c>
      <c r="I2093" s="1" t="s">
        <v>39</v>
      </c>
      <c r="V2093" s="1" t="str">
        <f t="shared" si="108"/>
        <v>0 г. 0 мес. 0 дн.</v>
      </c>
      <c r="W2093" s="5"/>
    </row>
    <row r="2094" spans="1:23" ht="34.5" customHeight="1" x14ac:dyDescent="0.25">
      <c r="A2094" s="1">
        <f t="shared" si="109"/>
        <v>2093</v>
      </c>
      <c r="B2094" s="1"/>
      <c r="C2094" s="2"/>
      <c r="H2094" s="1" t="str">
        <f t="shared" si="110"/>
        <v>0 г. 0 мес. 0 дн.</v>
      </c>
      <c r="I2094" s="1" t="s">
        <v>39</v>
      </c>
      <c r="V2094" s="1" t="str">
        <f t="shared" si="108"/>
        <v>0 г. 0 мес. 0 дн.</v>
      </c>
      <c r="W2094" s="5"/>
    </row>
    <row r="2095" spans="1:23" ht="34.5" customHeight="1" x14ac:dyDescent="0.25">
      <c r="A2095" s="1">
        <f t="shared" si="109"/>
        <v>2094</v>
      </c>
      <c r="B2095" s="1"/>
      <c r="C2095" s="2"/>
      <c r="H2095" s="1" t="str">
        <f t="shared" si="110"/>
        <v>0 г. 0 мес. 0 дн.</v>
      </c>
      <c r="I2095" s="1" t="s">
        <v>39</v>
      </c>
      <c r="V2095" s="1" t="str">
        <f t="shared" si="108"/>
        <v>0 г. 0 мес. 0 дн.</v>
      </c>
      <c r="W2095" s="5"/>
    </row>
    <row r="2096" spans="1:23" ht="34.5" customHeight="1" x14ac:dyDescent="0.25">
      <c r="A2096" s="1">
        <f t="shared" si="109"/>
        <v>2095</v>
      </c>
      <c r="B2096" s="1"/>
      <c r="C2096" s="2"/>
      <c r="H2096" s="1" t="str">
        <f t="shared" si="110"/>
        <v>0 г. 0 мес. 0 дн.</v>
      </c>
      <c r="I2096" s="1" t="s">
        <v>39</v>
      </c>
      <c r="V2096" s="1" t="str">
        <f t="shared" si="108"/>
        <v>0 г. 0 мес. 0 дн.</v>
      </c>
      <c r="W2096" s="5"/>
    </row>
    <row r="2097" spans="1:23" ht="34.5" customHeight="1" x14ac:dyDescent="0.25">
      <c r="A2097" s="1">
        <f t="shared" si="109"/>
        <v>2096</v>
      </c>
      <c r="B2097" s="1"/>
      <c r="C2097" s="2"/>
      <c r="H2097" s="1" t="str">
        <f t="shared" si="110"/>
        <v>0 г. 0 мес. 0 дн.</v>
      </c>
      <c r="I2097" s="1" t="s">
        <v>39</v>
      </c>
      <c r="V2097" s="1" t="str">
        <f t="shared" ref="V2097:V2160" si="111">DATEDIF(D2097,T2097,"y") &amp; " г. " &amp; DATEDIF(D2097,T2097,"ym") &amp; " мес. " &amp; DATEDIF(D2097,T2097,"md") &amp; " дн."</f>
        <v>0 г. 0 мес. 0 дн.</v>
      </c>
      <c r="W2097" s="5"/>
    </row>
    <row r="2098" spans="1:23" ht="34.5" customHeight="1" x14ac:dyDescent="0.25">
      <c r="A2098" s="1">
        <f t="shared" si="109"/>
        <v>2097</v>
      </c>
      <c r="B2098" s="1"/>
      <c r="C2098" s="2"/>
      <c r="H2098" s="1" t="str">
        <f t="shared" si="110"/>
        <v>0 г. 0 мес. 0 дн.</v>
      </c>
      <c r="I2098" s="1" t="s">
        <v>39</v>
      </c>
      <c r="V2098" s="1" t="str">
        <f t="shared" si="111"/>
        <v>0 г. 0 мес. 0 дн.</v>
      </c>
      <c r="W2098" s="5"/>
    </row>
    <row r="2099" spans="1:23" ht="34.5" customHeight="1" x14ac:dyDescent="0.25">
      <c r="A2099" s="1">
        <f t="shared" si="109"/>
        <v>2098</v>
      </c>
      <c r="B2099" s="1"/>
      <c r="C2099" s="2"/>
      <c r="H2099" s="1" t="str">
        <f t="shared" si="110"/>
        <v>0 г. 0 мес. 0 дн.</v>
      </c>
      <c r="I2099" s="1" t="s">
        <v>39</v>
      </c>
      <c r="V2099" s="1" t="str">
        <f t="shared" si="111"/>
        <v>0 г. 0 мес. 0 дн.</v>
      </c>
      <c r="W2099" s="5"/>
    </row>
    <row r="2100" spans="1:23" ht="34.5" customHeight="1" x14ac:dyDescent="0.25">
      <c r="A2100" s="1">
        <f t="shared" si="109"/>
        <v>2099</v>
      </c>
      <c r="B2100" s="1"/>
      <c r="C2100" s="2"/>
      <c r="H2100" s="1" t="str">
        <f t="shared" si="110"/>
        <v>0 г. 0 мес. 0 дн.</v>
      </c>
      <c r="I2100" s="1" t="s">
        <v>39</v>
      </c>
      <c r="V2100" s="1" t="str">
        <f t="shared" si="111"/>
        <v>0 г. 0 мес. 0 дн.</v>
      </c>
      <c r="W2100" s="5"/>
    </row>
    <row r="2101" spans="1:23" ht="34.5" customHeight="1" x14ac:dyDescent="0.25">
      <c r="A2101" s="1">
        <f t="shared" si="109"/>
        <v>2100</v>
      </c>
      <c r="B2101" s="1"/>
      <c r="C2101" s="2"/>
      <c r="H2101" s="1" t="str">
        <f t="shared" si="110"/>
        <v>0 г. 0 мес. 0 дн.</v>
      </c>
      <c r="I2101" s="1" t="s">
        <v>39</v>
      </c>
      <c r="V2101" s="1" t="str">
        <f t="shared" si="111"/>
        <v>0 г. 0 мес. 0 дн.</v>
      </c>
      <c r="W2101" s="5"/>
    </row>
    <row r="2102" spans="1:23" ht="34.5" customHeight="1" x14ac:dyDescent="0.25">
      <c r="A2102" s="1">
        <f t="shared" si="109"/>
        <v>2101</v>
      </c>
      <c r="B2102" s="1"/>
      <c r="C2102" s="2"/>
      <c r="H2102" s="1" t="str">
        <f t="shared" si="110"/>
        <v>0 г. 0 мес. 0 дн.</v>
      </c>
      <c r="I2102" s="1" t="s">
        <v>39</v>
      </c>
      <c r="V2102" s="1" t="str">
        <f t="shared" si="111"/>
        <v>0 г. 0 мес. 0 дн.</v>
      </c>
      <c r="W2102" s="5"/>
    </row>
    <row r="2103" spans="1:23" ht="34.5" customHeight="1" x14ac:dyDescent="0.25">
      <c r="A2103" s="1">
        <f t="shared" si="109"/>
        <v>2102</v>
      </c>
      <c r="B2103" s="1"/>
      <c r="C2103" s="2"/>
      <c r="H2103" s="1" t="str">
        <f t="shared" si="110"/>
        <v>0 г. 0 мес. 0 дн.</v>
      </c>
      <c r="I2103" s="1" t="s">
        <v>39</v>
      </c>
      <c r="V2103" s="1" t="str">
        <f t="shared" si="111"/>
        <v>0 г. 0 мес. 0 дн.</v>
      </c>
      <c r="W2103" s="5"/>
    </row>
    <row r="2104" spans="1:23" ht="34.5" customHeight="1" x14ac:dyDescent="0.25">
      <c r="A2104" s="1">
        <f t="shared" si="109"/>
        <v>2103</v>
      </c>
      <c r="B2104" s="1"/>
      <c r="C2104" s="2"/>
      <c r="H2104" s="1" t="str">
        <f t="shared" si="110"/>
        <v>0 г. 0 мес. 0 дн.</v>
      </c>
      <c r="I2104" s="1" t="s">
        <v>39</v>
      </c>
      <c r="V2104" s="1" t="str">
        <f t="shared" si="111"/>
        <v>0 г. 0 мес. 0 дн.</v>
      </c>
      <c r="W2104" s="5"/>
    </row>
    <row r="2105" spans="1:23" ht="34.5" customHeight="1" x14ac:dyDescent="0.25">
      <c r="A2105" s="1">
        <f t="shared" si="109"/>
        <v>2104</v>
      </c>
      <c r="B2105" s="1"/>
      <c r="C2105" s="2"/>
      <c r="H2105" s="1" t="str">
        <f t="shared" si="110"/>
        <v>0 г. 0 мес. 0 дн.</v>
      </c>
      <c r="I2105" s="1" t="s">
        <v>39</v>
      </c>
      <c r="V2105" s="1" t="str">
        <f t="shared" si="111"/>
        <v>0 г. 0 мес. 0 дн.</v>
      </c>
      <c r="W2105" s="5"/>
    </row>
    <row r="2106" spans="1:23" ht="34.5" customHeight="1" x14ac:dyDescent="0.25">
      <c r="A2106" s="1">
        <f t="shared" si="109"/>
        <v>2105</v>
      </c>
      <c r="B2106" s="1"/>
      <c r="C2106" s="2"/>
      <c r="H2106" s="1" t="str">
        <f t="shared" si="110"/>
        <v>0 г. 0 мес. 0 дн.</v>
      </c>
      <c r="I2106" s="1" t="s">
        <v>39</v>
      </c>
      <c r="V2106" s="1" t="str">
        <f t="shared" si="111"/>
        <v>0 г. 0 мес. 0 дн.</v>
      </c>
      <c r="W2106" s="5"/>
    </row>
    <row r="2107" spans="1:23" ht="34.5" customHeight="1" x14ac:dyDescent="0.25">
      <c r="A2107" s="1">
        <f t="shared" si="109"/>
        <v>2106</v>
      </c>
      <c r="B2107" s="1"/>
      <c r="C2107" s="2"/>
      <c r="H2107" s="1" t="str">
        <f t="shared" si="110"/>
        <v>0 г. 0 мес. 0 дн.</v>
      </c>
      <c r="I2107" s="1" t="s">
        <v>39</v>
      </c>
      <c r="V2107" s="1" t="str">
        <f t="shared" si="111"/>
        <v>0 г. 0 мес. 0 дн.</v>
      </c>
      <c r="W2107" s="5"/>
    </row>
    <row r="2108" spans="1:23" ht="34.5" customHeight="1" x14ac:dyDescent="0.25">
      <c r="A2108" s="1">
        <f t="shared" si="109"/>
        <v>2107</v>
      </c>
      <c r="B2108" s="1"/>
      <c r="C2108" s="2"/>
      <c r="H2108" s="1" t="str">
        <f t="shared" si="110"/>
        <v>0 г. 0 мес. 0 дн.</v>
      </c>
      <c r="I2108" s="1" t="s">
        <v>39</v>
      </c>
      <c r="V2108" s="1" t="str">
        <f t="shared" si="111"/>
        <v>0 г. 0 мес. 0 дн.</v>
      </c>
      <c r="W2108" s="5"/>
    </row>
    <row r="2109" spans="1:23" ht="34.5" customHeight="1" x14ac:dyDescent="0.25">
      <c r="A2109" s="1">
        <f t="shared" si="109"/>
        <v>2108</v>
      </c>
      <c r="B2109" s="1"/>
      <c r="C2109" s="2"/>
      <c r="H2109" s="1" t="str">
        <f t="shared" si="110"/>
        <v>0 г. 0 мес. 0 дн.</v>
      </c>
      <c r="I2109" s="1" t="s">
        <v>39</v>
      </c>
      <c r="V2109" s="1" t="str">
        <f t="shared" si="111"/>
        <v>0 г. 0 мес. 0 дн.</v>
      </c>
      <c r="W2109" s="5"/>
    </row>
    <row r="2110" spans="1:23" ht="34.5" customHeight="1" x14ac:dyDescent="0.25">
      <c r="A2110" s="1">
        <f t="shared" si="109"/>
        <v>2109</v>
      </c>
      <c r="B2110" s="1"/>
      <c r="C2110" s="2"/>
      <c r="H2110" s="1" t="str">
        <f t="shared" si="110"/>
        <v>0 г. 0 мес. 0 дн.</v>
      </c>
      <c r="I2110" s="1" t="s">
        <v>39</v>
      </c>
      <c r="V2110" s="1" t="str">
        <f t="shared" si="111"/>
        <v>0 г. 0 мес. 0 дн.</v>
      </c>
      <c r="W2110" s="5"/>
    </row>
    <row r="2111" spans="1:23" ht="34.5" customHeight="1" x14ac:dyDescent="0.25">
      <c r="A2111" s="1">
        <f t="shared" si="109"/>
        <v>2110</v>
      </c>
      <c r="B2111" s="1"/>
      <c r="C2111" s="2"/>
      <c r="H2111" s="1" t="str">
        <f t="shared" si="110"/>
        <v>0 г. 0 мес. 0 дн.</v>
      </c>
      <c r="I2111" s="1" t="s">
        <v>39</v>
      </c>
      <c r="V2111" s="1" t="str">
        <f t="shared" si="111"/>
        <v>0 г. 0 мес. 0 дн.</v>
      </c>
      <c r="W2111" s="5"/>
    </row>
    <row r="2112" spans="1:23" ht="34.5" customHeight="1" x14ac:dyDescent="0.25">
      <c r="A2112" s="1">
        <f t="shared" ref="A2112:A2175" si="112">ROW(A2111)</f>
        <v>2111</v>
      </c>
      <c r="B2112" s="1"/>
      <c r="C2112" s="2"/>
      <c r="H2112" s="1" t="str">
        <f t="shared" si="110"/>
        <v>0 г. 0 мес. 0 дн.</v>
      </c>
      <c r="I2112" s="1" t="s">
        <v>39</v>
      </c>
      <c r="V2112" s="1" t="str">
        <f t="shared" si="111"/>
        <v>0 г. 0 мес. 0 дн.</v>
      </c>
      <c r="W2112" s="5"/>
    </row>
    <row r="2113" spans="1:23" ht="34.5" customHeight="1" x14ac:dyDescent="0.25">
      <c r="A2113" s="1">
        <f t="shared" si="112"/>
        <v>2112</v>
      </c>
      <c r="B2113" s="1"/>
      <c r="C2113" s="2"/>
      <c r="H2113" s="1" t="str">
        <f t="shared" si="110"/>
        <v>0 г. 0 мес. 0 дн.</v>
      </c>
      <c r="I2113" s="1" t="s">
        <v>39</v>
      </c>
      <c r="V2113" s="1" t="str">
        <f t="shared" si="111"/>
        <v>0 г. 0 мес. 0 дн.</v>
      </c>
      <c r="W2113" s="5"/>
    </row>
    <row r="2114" spans="1:23" ht="34.5" customHeight="1" x14ac:dyDescent="0.25">
      <c r="A2114" s="1">
        <f t="shared" si="112"/>
        <v>2113</v>
      </c>
      <c r="B2114" s="1"/>
      <c r="C2114" s="2"/>
      <c r="H2114" s="1" t="str">
        <f t="shared" ref="H2114:H2177" si="113">DATEDIF(G2114,D2114,"y") &amp; " г. " &amp; DATEDIF(G2114,D2114,"ym") &amp; " мес. " &amp; DATEDIF(G2114,D2114,"md") &amp; " дн."</f>
        <v>0 г. 0 мес. 0 дн.</v>
      </c>
      <c r="I2114" s="1" t="s">
        <v>39</v>
      </c>
      <c r="V2114" s="1" t="str">
        <f t="shared" si="111"/>
        <v>0 г. 0 мес. 0 дн.</v>
      </c>
      <c r="W2114" s="5"/>
    </row>
    <row r="2115" spans="1:23" ht="34.5" customHeight="1" x14ac:dyDescent="0.25">
      <c r="A2115" s="1">
        <f t="shared" si="112"/>
        <v>2114</v>
      </c>
      <c r="B2115" s="1"/>
      <c r="C2115" s="2"/>
      <c r="H2115" s="1" t="str">
        <f t="shared" si="113"/>
        <v>0 г. 0 мес. 0 дн.</v>
      </c>
      <c r="I2115" s="1" t="s">
        <v>39</v>
      </c>
      <c r="V2115" s="1" t="str">
        <f t="shared" si="111"/>
        <v>0 г. 0 мес. 0 дн.</v>
      </c>
      <c r="W2115" s="5"/>
    </row>
    <row r="2116" spans="1:23" ht="34.5" customHeight="1" x14ac:dyDescent="0.25">
      <c r="A2116" s="1">
        <f t="shared" si="112"/>
        <v>2115</v>
      </c>
      <c r="B2116" s="1"/>
      <c r="C2116" s="2"/>
      <c r="H2116" s="1" t="str">
        <f t="shared" si="113"/>
        <v>0 г. 0 мес. 0 дн.</v>
      </c>
      <c r="I2116" s="1" t="s">
        <v>39</v>
      </c>
      <c r="V2116" s="1" t="str">
        <f t="shared" si="111"/>
        <v>0 г. 0 мес. 0 дн.</v>
      </c>
      <c r="W2116" s="5"/>
    </row>
    <row r="2117" spans="1:23" ht="34.5" customHeight="1" x14ac:dyDescent="0.25">
      <c r="A2117" s="1">
        <f t="shared" si="112"/>
        <v>2116</v>
      </c>
      <c r="B2117" s="1"/>
      <c r="C2117" s="2"/>
      <c r="H2117" s="1" t="str">
        <f t="shared" si="113"/>
        <v>0 г. 0 мес. 0 дн.</v>
      </c>
      <c r="I2117" s="1" t="s">
        <v>39</v>
      </c>
      <c r="V2117" s="1" t="str">
        <f t="shared" si="111"/>
        <v>0 г. 0 мес. 0 дн.</v>
      </c>
      <c r="W2117" s="5"/>
    </row>
    <row r="2118" spans="1:23" ht="34.5" customHeight="1" x14ac:dyDescent="0.25">
      <c r="A2118" s="1">
        <f t="shared" si="112"/>
        <v>2117</v>
      </c>
      <c r="B2118" s="1"/>
      <c r="C2118" s="2"/>
      <c r="H2118" s="1" t="str">
        <f t="shared" si="113"/>
        <v>0 г. 0 мес. 0 дн.</v>
      </c>
      <c r="I2118" s="1" t="s">
        <v>39</v>
      </c>
      <c r="V2118" s="1" t="str">
        <f t="shared" si="111"/>
        <v>0 г. 0 мес. 0 дн.</v>
      </c>
      <c r="W2118" s="5"/>
    </row>
    <row r="2119" spans="1:23" ht="34.5" customHeight="1" x14ac:dyDescent="0.25">
      <c r="A2119" s="1">
        <f t="shared" si="112"/>
        <v>2118</v>
      </c>
      <c r="B2119" s="1"/>
      <c r="C2119" s="2"/>
      <c r="H2119" s="1" t="str">
        <f t="shared" si="113"/>
        <v>0 г. 0 мес. 0 дн.</v>
      </c>
      <c r="I2119" s="1" t="s">
        <v>39</v>
      </c>
      <c r="V2119" s="1" t="str">
        <f t="shared" si="111"/>
        <v>0 г. 0 мес. 0 дн.</v>
      </c>
      <c r="W2119" s="5"/>
    </row>
    <row r="2120" spans="1:23" ht="34.5" customHeight="1" x14ac:dyDescent="0.25">
      <c r="A2120" s="1">
        <f t="shared" si="112"/>
        <v>2119</v>
      </c>
      <c r="B2120" s="1"/>
      <c r="C2120" s="2"/>
      <c r="H2120" s="1" t="str">
        <f t="shared" si="113"/>
        <v>0 г. 0 мес. 0 дн.</v>
      </c>
      <c r="I2120" s="1" t="s">
        <v>39</v>
      </c>
      <c r="V2120" s="1" t="str">
        <f t="shared" si="111"/>
        <v>0 г. 0 мес. 0 дн.</v>
      </c>
      <c r="W2120" s="5"/>
    </row>
    <row r="2121" spans="1:23" ht="34.5" customHeight="1" x14ac:dyDescent="0.25">
      <c r="A2121" s="1">
        <f t="shared" si="112"/>
        <v>2120</v>
      </c>
      <c r="B2121" s="1"/>
      <c r="C2121" s="2"/>
      <c r="H2121" s="1" t="str">
        <f t="shared" si="113"/>
        <v>0 г. 0 мес. 0 дн.</v>
      </c>
      <c r="I2121" s="1" t="s">
        <v>39</v>
      </c>
      <c r="V2121" s="1" t="str">
        <f t="shared" si="111"/>
        <v>0 г. 0 мес. 0 дн.</v>
      </c>
      <c r="W2121" s="5"/>
    </row>
    <row r="2122" spans="1:23" ht="34.5" customHeight="1" x14ac:dyDescent="0.25">
      <c r="A2122" s="1">
        <f t="shared" si="112"/>
        <v>2121</v>
      </c>
      <c r="B2122" s="1"/>
      <c r="C2122" s="2"/>
      <c r="H2122" s="1" t="str">
        <f t="shared" si="113"/>
        <v>0 г. 0 мес. 0 дн.</v>
      </c>
      <c r="I2122" s="1" t="s">
        <v>39</v>
      </c>
      <c r="V2122" s="1" t="str">
        <f t="shared" si="111"/>
        <v>0 г. 0 мес. 0 дн.</v>
      </c>
      <c r="W2122" s="5"/>
    </row>
    <row r="2123" spans="1:23" ht="34.5" customHeight="1" x14ac:dyDescent="0.25">
      <c r="A2123" s="1">
        <f t="shared" si="112"/>
        <v>2122</v>
      </c>
      <c r="B2123" s="1"/>
      <c r="C2123" s="2"/>
      <c r="H2123" s="1" t="str">
        <f t="shared" si="113"/>
        <v>0 г. 0 мес. 0 дн.</v>
      </c>
      <c r="I2123" s="1" t="s">
        <v>39</v>
      </c>
      <c r="V2123" s="1" t="str">
        <f t="shared" si="111"/>
        <v>0 г. 0 мес. 0 дн.</v>
      </c>
      <c r="W2123" s="5"/>
    </row>
    <row r="2124" spans="1:23" ht="34.5" customHeight="1" x14ac:dyDescent="0.25">
      <c r="A2124" s="1">
        <f t="shared" si="112"/>
        <v>2123</v>
      </c>
      <c r="B2124" s="1"/>
      <c r="C2124" s="2"/>
      <c r="H2124" s="1" t="str">
        <f t="shared" si="113"/>
        <v>0 г. 0 мес. 0 дн.</v>
      </c>
      <c r="I2124" s="1" t="s">
        <v>39</v>
      </c>
      <c r="V2124" s="1" t="str">
        <f t="shared" si="111"/>
        <v>0 г. 0 мес. 0 дн.</v>
      </c>
      <c r="W2124" s="5"/>
    </row>
    <row r="2125" spans="1:23" ht="34.5" customHeight="1" x14ac:dyDescent="0.25">
      <c r="A2125" s="1">
        <f t="shared" si="112"/>
        <v>2124</v>
      </c>
      <c r="B2125" s="1"/>
      <c r="C2125" s="2"/>
      <c r="H2125" s="1" t="str">
        <f t="shared" si="113"/>
        <v>0 г. 0 мес. 0 дн.</v>
      </c>
      <c r="I2125" s="1" t="s">
        <v>39</v>
      </c>
      <c r="V2125" s="1" t="str">
        <f t="shared" si="111"/>
        <v>0 г. 0 мес. 0 дн.</v>
      </c>
      <c r="W2125" s="5"/>
    </row>
    <row r="2126" spans="1:23" ht="34.5" customHeight="1" x14ac:dyDescent="0.25">
      <c r="A2126" s="1">
        <f t="shared" si="112"/>
        <v>2125</v>
      </c>
      <c r="B2126" s="1"/>
      <c r="C2126" s="2"/>
      <c r="H2126" s="1" t="str">
        <f t="shared" si="113"/>
        <v>0 г. 0 мес. 0 дн.</v>
      </c>
      <c r="I2126" s="1" t="s">
        <v>39</v>
      </c>
      <c r="V2126" s="1" t="str">
        <f t="shared" si="111"/>
        <v>0 г. 0 мес. 0 дн.</v>
      </c>
      <c r="W2126" s="5"/>
    </row>
    <row r="2127" spans="1:23" ht="34.5" customHeight="1" x14ac:dyDescent="0.25">
      <c r="A2127" s="1">
        <f t="shared" si="112"/>
        <v>2126</v>
      </c>
      <c r="B2127" s="1"/>
      <c r="C2127" s="2"/>
      <c r="H2127" s="1" t="str">
        <f t="shared" si="113"/>
        <v>0 г. 0 мес. 0 дн.</v>
      </c>
      <c r="I2127" s="1" t="s">
        <v>39</v>
      </c>
      <c r="V2127" s="1" t="str">
        <f t="shared" si="111"/>
        <v>0 г. 0 мес. 0 дн.</v>
      </c>
      <c r="W2127" s="5"/>
    </row>
    <row r="2128" spans="1:23" ht="34.5" customHeight="1" x14ac:dyDescent="0.25">
      <c r="A2128" s="1">
        <f t="shared" si="112"/>
        <v>2127</v>
      </c>
      <c r="B2128" s="1"/>
      <c r="C2128" s="2"/>
      <c r="H2128" s="1" t="str">
        <f t="shared" si="113"/>
        <v>0 г. 0 мес. 0 дн.</v>
      </c>
      <c r="I2128" s="1" t="s">
        <v>39</v>
      </c>
      <c r="V2128" s="1" t="str">
        <f t="shared" si="111"/>
        <v>0 г. 0 мес. 0 дн.</v>
      </c>
      <c r="W2128" s="5"/>
    </row>
    <row r="2129" spans="1:23" ht="34.5" customHeight="1" x14ac:dyDescent="0.25">
      <c r="A2129" s="1">
        <f t="shared" si="112"/>
        <v>2128</v>
      </c>
      <c r="B2129" s="1"/>
      <c r="C2129" s="2"/>
      <c r="H2129" s="1" t="str">
        <f t="shared" si="113"/>
        <v>0 г. 0 мес. 0 дн.</v>
      </c>
      <c r="I2129" s="1" t="s">
        <v>39</v>
      </c>
      <c r="V2129" s="1" t="str">
        <f t="shared" si="111"/>
        <v>0 г. 0 мес. 0 дн.</v>
      </c>
      <c r="W2129" s="5"/>
    </row>
    <row r="2130" spans="1:23" ht="34.5" customHeight="1" x14ac:dyDescent="0.25">
      <c r="A2130" s="1">
        <f t="shared" si="112"/>
        <v>2129</v>
      </c>
      <c r="B2130" s="1"/>
      <c r="C2130" s="2"/>
      <c r="H2130" s="1" t="str">
        <f t="shared" si="113"/>
        <v>0 г. 0 мес. 0 дн.</v>
      </c>
      <c r="I2130" s="1" t="s">
        <v>39</v>
      </c>
      <c r="V2130" s="1" t="str">
        <f t="shared" si="111"/>
        <v>0 г. 0 мес. 0 дн.</v>
      </c>
      <c r="W2130" s="5"/>
    </row>
    <row r="2131" spans="1:23" ht="34.5" customHeight="1" x14ac:dyDescent="0.25">
      <c r="A2131" s="1">
        <f t="shared" si="112"/>
        <v>2130</v>
      </c>
      <c r="B2131" s="1"/>
      <c r="C2131" s="2"/>
      <c r="H2131" s="1" t="str">
        <f t="shared" si="113"/>
        <v>0 г. 0 мес. 0 дн.</v>
      </c>
      <c r="I2131" s="1" t="s">
        <v>39</v>
      </c>
      <c r="V2131" s="1" t="str">
        <f t="shared" si="111"/>
        <v>0 г. 0 мес. 0 дн.</v>
      </c>
      <c r="W2131" s="5"/>
    </row>
    <row r="2132" spans="1:23" ht="34.5" customHeight="1" x14ac:dyDescent="0.25">
      <c r="A2132" s="1">
        <f t="shared" si="112"/>
        <v>2131</v>
      </c>
      <c r="B2132" s="1"/>
      <c r="C2132" s="2"/>
      <c r="H2132" s="1" t="str">
        <f t="shared" si="113"/>
        <v>0 г. 0 мес. 0 дн.</v>
      </c>
      <c r="I2132" s="1" t="s">
        <v>39</v>
      </c>
      <c r="V2132" s="1" t="str">
        <f t="shared" si="111"/>
        <v>0 г. 0 мес. 0 дн.</v>
      </c>
      <c r="W2132" s="5"/>
    </row>
    <row r="2133" spans="1:23" ht="34.5" customHeight="1" x14ac:dyDescent="0.25">
      <c r="A2133" s="1">
        <f t="shared" si="112"/>
        <v>2132</v>
      </c>
      <c r="B2133" s="1"/>
      <c r="C2133" s="2"/>
      <c r="H2133" s="1" t="str">
        <f t="shared" si="113"/>
        <v>0 г. 0 мес. 0 дн.</v>
      </c>
      <c r="I2133" s="1" t="s">
        <v>39</v>
      </c>
      <c r="V2133" s="1" t="str">
        <f t="shared" si="111"/>
        <v>0 г. 0 мес. 0 дн.</v>
      </c>
      <c r="W2133" s="5"/>
    </row>
    <row r="2134" spans="1:23" ht="34.5" customHeight="1" x14ac:dyDescent="0.25">
      <c r="A2134" s="1">
        <f t="shared" si="112"/>
        <v>2133</v>
      </c>
      <c r="B2134" s="1"/>
      <c r="C2134" s="2"/>
      <c r="H2134" s="1" t="str">
        <f t="shared" si="113"/>
        <v>0 г. 0 мес. 0 дн.</v>
      </c>
      <c r="I2134" s="1" t="s">
        <v>39</v>
      </c>
      <c r="V2134" s="1" t="str">
        <f t="shared" si="111"/>
        <v>0 г. 0 мес. 0 дн.</v>
      </c>
      <c r="W2134" s="5"/>
    </row>
    <row r="2135" spans="1:23" ht="34.5" customHeight="1" x14ac:dyDescent="0.25">
      <c r="A2135" s="1">
        <f t="shared" si="112"/>
        <v>2134</v>
      </c>
      <c r="B2135" s="1"/>
      <c r="C2135" s="2"/>
      <c r="H2135" s="1" t="str">
        <f t="shared" si="113"/>
        <v>0 г. 0 мес. 0 дн.</v>
      </c>
      <c r="I2135" s="1" t="s">
        <v>39</v>
      </c>
      <c r="V2135" s="1" t="str">
        <f t="shared" si="111"/>
        <v>0 г. 0 мес. 0 дн.</v>
      </c>
      <c r="W2135" s="5"/>
    </row>
    <row r="2136" spans="1:23" ht="34.5" customHeight="1" x14ac:dyDescent="0.25">
      <c r="A2136" s="1">
        <f t="shared" si="112"/>
        <v>2135</v>
      </c>
      <c r="B2136" s="1"/>
      <c r="C2136" s="2"/>
      <c r="H2136" s="1" t="str">
        <f t="shared" si="113"/>
        <v>0 г. 0 мес. 0 дн.</v>
      </c>
      <c r="I2136" s="1" t="s">
        <v>39</v>
      </c>
      <c r="V2136" s="1" t="str">
        <f t="shared" si="111"/>
        <v>0 г. 0 мес. 0 дн.</v>
      </c>
      <c r="W2136" s="5"/>
    </row>
    <row r="2137" spans="1:23" ht="34.5" customHeight="1" x14ac:dyDescent="0.25">
      <c r="A2137" s="1">
        <f t="shared" si="112"/>
        <v>2136</v>
      </c>
      <c r="B2137" s="1"/>
      <c r="C2137" s="2"/>
      <c r="H2137" s="1" t="str">
        <f t="shared" si="113"/>
        <v>0 г. 0 мес. 0 дн.</v>
      </c>
      <c r="I2137" s="1" t="s">
        <v>39</v>
      </c>
      <c r="V2137" s="1" t="str">
        <f t="shared" si="111"/>
        <v>0 г. 0 мес. 0 дн.</v>
      </c>
      <c r="W2137" s="5"/>
    </row>
    <row r="2138" spans="1:23" ht="34.5" customHeight="1" x14ac:dyDescent="0.25">
      <c r="A2138" s="1">
        <f t="shared" si="112"/>
        <v>2137</v>
      </c>
      <c r="B2138" s="1"/>
      <c r="C2138" s="2"/>
      <c r="H2138" s="1" t="str">
        <f t="shared" si="113"/>
        <v>0 г. 0 мес. 0 дн.</v>
      </c>
      <c r="I2138" s="1" t="s">
        <v>39</v>
      </c>
      <c r="V2138" s="1" t="str">
        <f t="shared" si="111"/>
        <v>0 г. 0 мес. 0 дн.</v>
      </c>
      <c r="W2138" s="5"/>
    </row>
    <row r="2139" spans="1:23" ht="34.5" customHeight="1" x14ac:dyDescent="0.25">
      <c r="A2139" s="1">
        <f t="shared" si="112"/>
        <v>2138</v>
      </c>
      <c r="B2139" s="1"/>
      <c r="C2139" s="2"/>
      <c r="H2139" s="1" t="str">
        <f t="shared" si="113"/>
        <v>0 г. 0 мес. 0 дн.</v>
      </c>
      <c r="I2139" s="1" t="s">
        <v>39</v>
      </c>
      <c r="V2139" s="1" t="str">
        <f t="shared" si="111"/>
        <v>0 г. 0 мес. 0 дн.</v>
      </c>
      <c r="W2139" s="5"/>
    </row>
    <row r="2140" spans="1:23" ht="34.5" customHeight="1" x14ac:dyDescent="0.25">
      <c r="A2140" s="1">
        <f t="shared" si="112"/>
        <v>2139</v>
      </c>
      <c r="B2140" s="1"/>
      <c r="C2140" s="2"/>
      <c r="H2140" s="1" t="str">
        <f t="shared" si="113"/>
        <v>0 г. 0 мес. 0 дн.</v>
      </c>
      <c r="I2140" s="1" t="s">
        <v>39</v>
      </c>
      <c r="V2140" s="1" t="str">
        <f t="shared" si="111"/>
        <v>0 г. 0 мес. 0 дн.</v>
      </c>
      <c r="W2140" s="5"/>
    </row>
    <row r="2141" spans="1:23" ht="34.5" customHeight="1" x14ac:dyDescent="0.25">
      <c r="A2141" s="1">
        <f t="shared" si="112"/>
        <v>2140</v>
      </c>
      <c r="B2141" s="1"/>
      <c r="C2141" s="2"/>
      <c r="H2141" s="1" t="str">
        <f t="shared" si="113"/>
        <v>0 г. 0 мес. 0 дн.</v>
      </c>
      <c r="I2141" s="1" t="s">
        <v>39</v>
      </c>
      <c r="V2141" s="1" t="str">
        <f t="shared" si="111"/>
        <v>0 г. 0 мес. 0 дн.</v>
      </c>
      <c r="W2141" s="5"/>
    </row>
    <row r="2142" spans="1:23" ht="34.5" customHeight="1" x14ac:dyDescent="0.25">
      <c r="A2142" s="1">
        <f t="shared" si="112"/>
        <v>2141</v>
      </c>
      <c r="B2142" s="1"/>
      <c r="C2142" s="2"/>
      <c r="H2142" s="1" t="str">
        <f t="shared" si="113"/>
        <v>0 г. 0 мес. 0 дн.</v>
      </c>
      <c r="I2142" s="1" t="s">
        <v>39</v>
      </c>
      <c r="V2142" s="1" t="str">
        <f t="shared" si="111"/>
        <v>0 г. 0 мес. 0 дн.</v>
      </c>
      <c r="W2142" s="5"/>
    </row>
    <row r="2143" spans="1:23" ht="34.5" customHeight="1" x14ac:dyDescent="0.25">
      <c r="A2143" s="1">
        <f t="shared" si="112"/>
        <v>2142</v>
      </c>
      <c r="B2143" s="1"/>
      <c r="C2143" s="2"/>
      <c r="H2143" s="1" t="str">
        <f t="shared" si="113"/>
        <v>0 г. 0 мес. 0 дн.</v>
      </c>
      <c r="I2143" s="1" t="s">
        <v>39</v>
      </c>
      <c r="V2143" s="1" t="str">
        <f t="shared" si="111"/>
        <v>0 г. 0 мес. 0 дн.</v>
      </c>
      <c r="W2143" s="5"/>
    </row>
    <row r="2144" spans="1:23" ht="34.5" customHeight="1" x14ac:dyDescent="0.25">
      <c r="A2144" s="1">
        <f t="shared" si="112"/>
        <v>2143</v>
      </c>
      <c r="B2144" s="1"/>
      <c r="C2144" s="2"/>
      <c r="H2144" s="1" t="str">
        <f t="shared" si="113"/>
        <v>0 г. 0 мес. 0 дн.</v>
      </c>
      <c r="I2144" s="1" t="s">
        <v>39</v>
      </c>
      <c r="V2144" s="1" t="str">
        <f t="shared" si="111"/>
        <v>0 г. 0 мес. 0 дн.</v>
      </c>
      <c r="W2144" s="5"/>
    </row>
    <row r="2145" spans="1:23" ht="34.5" customHeight="1" x14ac:dyDescent="0.25">
      <c r="A2145" s="1">
        <f t="shared" si="112"/>
        <v>2144</v>
      </c>
      <c r="B2145" s="1"/>
      <c r="C2145" s="2"/>
      <c r="H2145" s="1" t="str">
        <f t="shared" si="113"/>
        <v>0 г. 0 мес. 0 дн.</v>
      </c>
      <c r="I2145" s="1" t="s">
        <v>39</v>
      </c>
      <c r="V2145" s="1" t="str">
        <f t="shared" si="111"/>
        <v>0 г. 0 мес. 0 дн.</v>
      </c>
      <c r="W2145" s="5"/>
    </row>
    <row r="2146" spans="1:23" ht="34.5" customHeight="1" x14ac:dyDescent="0.25">
      <c r="A2146" s="1">
        <f t="shared" si="112"/>
        <v>2145</v>
      </c>
      <c r="B2146" s="1"/>
      <c r="C2146" s="2"/>
      <c r="H2146" s="1" t="str">
        <f t="shared" si="113"/>
        <v>0 г. 0 мес. 0 дн.</v>
      </c>
      <c r="I2146" s="1" t="s">
        <v>39</v>
      </c>
      <c r="V2146" s="1" t="str">
        <f t="shared" si="111"/>
        <v>0 г. 0 мес. 0 дн.</v>
      </c>
      <c r="W2146" s="5"/>
    </row>
    <row r="2147" spans="1:23" ht="34.5" customHeight="1" x14ac:dyDescent="0.25">
      <c r="A2147" s="1">
        <f t="shared" si="112"/>
        <v>2146</v>
      </c>
      <c r="B2147" s="1"/>
      <c r="C2147" s="2"/>
      <c r="H2147" s="1" t="str">
        <f t="shared" si="113"/>
        <v>0 г. 0 мес. 0 дн.</v>
      </c>
      <c r="I2147" s="1" t="s">
        <v>39</v>
      </c>
      <c r="V2147" s="1" t="str">
        <f t="shared" si="111"/>
        <v>0 г. 0 мес. 0 дн.</v>
      </c>
      <c r="W2147" s="5"/>
    </row>
    <row r="2148" spans="1:23" ht="34.5" customHeight="1" x14ac:dyDescent="0.25">
      <c r="A2148" s="1">
        <f t="shared" si="112"/>
        <v>2147</v>
      </c>
      <c r="B2148" s="1"/>
      <c r="C2148" s="2"/>
      <c r="H2148" s="1" t="str">
        <f t="shared" si="113"/>
        <v>0 г. 0 мес. 0 дн.</v>
      </c>
      <c r="I2148" s="1" t="s">
        <v>39</v>
      </c>
      <c r="V2148" s="1" t="str">
        <f t="shared" si="111"/>
        <v>0 г. 0 мес. 0 дн.</v>
      </c>
      <c r="W2148" s="5"/>
    </row>
    <row r="2149" spans="1:23" ht="34.5" customHeight="1" x14ac:dyDescent="0.25">
      <c r="A2149" s="1">
        <f t="shared" si="112"/>
        <v>2148</v>
      </c>
      <c r="B2149" s="1"/>
      <c r="C2149" s="2"/>
      <c r="H2149" s="1" t="str">
        <f t="shared" si="113"/>
        <v>0 г. 0 мес. 0 дн.</v>
      </c>
      <c r="I2149" s="1" t="s">
        <v>39</v>
      </c>
      <c r="V2149" s="1" t="str">
        <f t="shared" si="111"/>
        <v>0 г. 0 мес. 0 дн.</v>
      </c>
      <c r="W2149" s="5"/>
    </row>
    <row r="2150" spans="1:23" ht="34.5" customHeight="1" x14ac:dyDescent="0.25">
      <c r="A2150" s="1">
        <f t="shared" si="112"/>
        <v>2149</v>
      </c>
      <c r="B2150" s="1"/>
      <c r="C2150" s="2"/>
      <c r="H2150" s="1" t="str">
        <f t="shared" si="113"/>
        <v>0 г. 0 мес. 0 дн.</v>
      </c>
      <c r="I2150" s="1" t="s">
        <v>39</v>
      </c>
      <c r="V2150" s="1" t="str">
        <f t="shared" si="111"/>
        <v>0 г. 0 мес. 0 дн.</v>
      </c>
      <c r="W2150" s="5"/>
    </row>
    <row r="2151" spans="1:23" ht="34.5" customHeight="1" x14ac:dyDescent="0.25">
      <c r="A2151" s="1">
        <f t="shared" si="112"/>
        <v>2150</v>
      </c>
      <c r="B2151" s="1"/>
      <c r="C2151" s="2"/>
      <c r="H2151" s="1" t="str">
        <f t="shared" si="113"/>
        <v>0 г. 0 мес. 0 дн.</v>
      </c>
      <c r="I2151" s="1" t="s">
        <v>39</v>
      </c>
      <c r="V2151" s="1" t="str">
        <f t="shared" si="111"/>
        <v>0 г. 0 мес. 0 дн.</v>
      </c>
      <c r="W2151" s="5"/>
    </row>
    <row r="2152" spans="1:23" ht="34.5" customHeight="1" x14ac:dyDescent="0.25">
      <c r="A2152" s="1">
        <f t="shared" si="112"/>
        <v>2151</v>
      </c>
      <c r="B2152" s="1"/>
      <c r="C2152" s="2"/>
      <c r="H2152" s="1" t="str">
        <f t="shared" si="113"/>
        <v>0 г. 0 мес. 0 дн.</v>
      </c>
      <c r="I2152" s="1" t="s">
        <v>39</v>
      </c>
      <c r="V2152" s="1" t="str">
        <f t="shared" si="111"/>
        <v>0 г. 0 мес. 0 дн.</v>
      </c>
      <c r="W2152" s="5"/>
    </row>
    <row r="2153" spans="1:23" ht="34.5" customHeight="1" x14ac:dyDescent="0.25">
      <c r="A2153" s="1">
        <f t="shared" si="112"/>
        <v>2152</v>
      </c>
      <c r="B2153" s="1"/>
      <c r="C2153" s="2"/>
      <c r="H2153" s="1" t="str">
        <f t="shared" si="113"/>
        <v>0 г. 0 мес. 0 дн.</v>
      </c>
      <c r="I2153" s="1" t="s">
        <v>39</v>
      </c>
      <c r="V2153" s="1" t="str">
        <f t="shared" si="111"/>
        <v>0 г. 0 мес. 0 дн.</v>
      </c>
      <c r="W2153" s="5"/>
    </row>
    <row r="2154" spans="1:23" ht="34.5" customHeight="1" x14ac:dyDescent="0.25">
      <c r="A2154" s="1">
        <f t="shared" si="112"/>
        <v>2153</v>
      </c>
      <c r="B2154" s="1"/>
      <c r="C2154" s="2"/>
      <c r="H2154" s="1" t="str">
        <f t="shared" si="113"/>
        <v>0 г. 0 мес. 0 дн.</v>
      </c>
      <c r="I2154" s="1" t="s">
        <v>39</v>
      </c>
      <c r="V2154" s="1" t="str">
        <f t="shared" si="111"/>
        <v>0 г. 0 мес. 0 дн.</v>
      </c>
      <c r="W2154" s="5"/>
    </row>
    <row r="2155" spans="1:23" ht="34.5" customHeight="1" x14ac:dyDescent="0.25">
      <c r="A2155" s="1">
        <f t="shared" si="112"/>
        <v>2154</v>
      </c>
      <c r="B2155" s="1"/>
      <c r="C2155" s="2"/>
      <c r="H2155" s="1" t="str">
        <f t="shared" si="113"/>
        <v>0 г. 0 мес. 0 дн.</v>
      </c>
      <c r="I2155" s="1" t="s">
        <v>39</v>
      </c>
      <c r="V2155" s="1" t="str">
        <f t="shared" si="111"/>
        <v>0 г. 0 мес. 0 дн.</v>
      </c>
      <c r="W2155" s="5"/>
    </row>
    <row r="2156" spans="1:23" ht="34.5" customHeight="1" x14ac:dyDescent="0.25">
      <c r="A2156" s="1">
        <f t="shared" si="112"/>
        <v>2155</v>
      </c>
      <c r="B2156" s="1"/>
      <c r="C2156" s="2"/>
      <c r="H2156" s="1" t="str">
        <f t="shared" si="113"/>
        <v>0 г. 0 мес. 0 дн.</v>
      </c>
      <c r="I2156" s="1" t="s">
        <v>39</v>
      </c>
      <c r="V2156" s="1" t="str">
        <f t="shared" si="111"/>
        <v>0 г. 0 мес. 0 дн.</v>
      </c>
      <c r="W2156" s="5"/>
    </row>
    <row r="2157" spans="1:23" ht="34.5" customHeight="1" x14ac:dyDescent="0.25">
      <c r="A2157" s="1">
        <f t="shared" si="112"/>
        <v>2156</v>
      </c>
      <c r="B2157" s="1"/>
      <c r="C2157" s="2"/>
      <c r="H2157" s="1" t="str">
        <f t="shared" si="113"/>
        <v>0 г. 0 мес. 0 дн.</v>
      </c>
      <c r="I2157" s="1" t="s">
        <v>39</v>
      </c>
      <c r="V2157" s="1" t="str">
        <f t="shared" si="111"/>
        <v>0 г. 0 мес. 0 дн.</v>
      </c>
      <c r="W2157" s="5"/>
    </row>
    <row r="2158" spans="1:23" ht="34.5" customHeight="1" x14ac:dyDescent="0.25">
      <c r="A2158" s="1">
        <f t="shared" si="112"/>
        <v>2157</v>
      </c>
      <c r="B2158" s="1"/>
      <c r="C2158" s="2"/>
      <c r="H2158" s="1" t="str">
        <f t="shared" si="113"/>
        <v>0 г. 0 мес. 0 дн.</v>
      </c>
      <c r="I2158" s="1" t="s">
        <v>39</v>
      </c>
      <c r="V2158" s="1" t="str">
        <f t="shared" si="111"/>
        <v>0 г. 0 мес. 0 дн.</v>
      </c>
      <c r="W2158" s="5"/>
    </row>
    <row r="2159" spans="1:23" ht="34.5" customHeight="1" x14ac:dyDescent="0.25">
      <c r="A2159" s="1">
        <f t="shared" si="112"/>
        <v>2158</v>
      </c>
      <c r="B2159" s="1"/>
      <c r="C2159" s="2"/>
      <c r="H2159" s="1" t="str">
        <f t="shared" si="113"/>
        <v>0 г. 0 мес. 0 дн.</v>
      </c>
      <c r="I2159" s="1" t="s">
        <v>39</v>
      </c>
      <c r="V2159" s="1" t="str">
        <f t="shared" si="111"/>
        <v>0 г. 0 мес. 0 дн.</v>
      </c>
      <c r="W2159" s="5"/>
    </row>
    <row r="2160" spans="1:23" ht="34.5" customHeight="1" x14ac:dyDescent="0.25">
      <c r="A2160" s="1">
        <f t="shared" si="112"/>
        <v>2159</v>
      </c>
      <c r="B2160" s="1"/>
      <c r="C2160" s="2"/>
      <c r="H2160" s="1" t="str">
        <f t="shared" si="113"/>
        <v>0 г. 0 мес. 0 дн.</v>
      </c>
      <c r="I2160" s="1" t="s">
        <v>39</v>
      </c>
      <c r="V2160" s="1" t="str">
        <f t="shared" si="111"/>
        <v>0 г. 0 мес. 0 дн.</v>
      </c>
      <c r="W2160" s="5"/>
    </row>
    <row r="2161" spans="1:23" ht="34.5" customHeight="1" x14ac:dyDescent="0.25">
      <c r="A2161" s="1">
        <f t="shared" si="112"/>
        <v>2160</v>
      </c>
      <c r="B2161" s="1"/>
      <c r="C2161" s="2"/>
      <c r="H2161" s="1" t="str">
        <f t="shared" si="113"/>
        <v>0 г. 0 мес. 0 дн.</v>
      </c>
      <c r="I2161" s="1" t="s">
        <v>39</v>
      </c>
      <c r="V2161" s="1" t="str">
        <f t="shared" ref="V2161:V2224" si="114">DATEDIF(D2161,T2161,"y") &amp; " г. " &amp; DATEDIF(D2161,T2161,"ym") &amp; " мес. " &amp; DATEDIF(D2161,T2161,"md") &amp; " дн."</f>
        <v>0 г. 0 мес. 0 дн.</v>
      </c>
      <c r="W2161" s="5"/>
    </row>
    <row r="2162" spans="1:23" ht="34.5" customHeight="1" x14ac:dyDescent="0.25">
      <c r="A2162" s="1">
        <f t="shared" si="112"/>
        <v>2161</v>
      </c>
      <c r="B2162" s="1"/>
      <c r="C2162" s="2"/>
      <c r="H2162" s="1" t="str">
        <f t="shared" si="113"/>
        <v>0 г. 0 мес. 0 дн.</v>
      </c>
      <c r="I2162" s="1" t="s">
        <v>39</v>
      </c>
      <c r="V2162" s="1" t="str">
        <f t="shared" si="114"/>
        <v>0 г. 0 мес. 0 дн.</v>
      </c>
      <c r="W2162" s="5"/>
    </row>
    <row r="2163" spans="1:23" ht="34.5" customHeight="1" x14ac:dyDescent="0.25">
      <c r="A2163" s="1">
        <f t="shared" si="112"/>
        <v>2162</v>
      </c>
      <c r="B2163" s="1"/>
      <c r="C2163" s="2"/>
      <c r="H2163" s="1" t="str">
        <f t="shared" si="113"/>
        <v>0 г. 0 мес. 0 дн.</v>
      </c>
      <c r="I2163" s="1" t="s">
        <v>39</v>
      </c>
      <c r="V2163" s="1" t="str">
        <f t="shared" si="114"/>
        <v>0 г. 0 мес. 0 дн.</v>
      </c>
      <c r="W2163" s="5"/>
    </row>
    <row r="2164" spans="1:23" ht="34.5" customHeight="1" x14ac:dyDescent="0.25">
      <c r="A2164" s="1">
        <f t="shared" si="112"/>
        <v>2163</v>
      </c>
      <c r="B2164" s="1"/>
      <c r="C2164" s="2"/>
      <c r="H2164" s="1" t="str">
        <f t="shared" si="113"/>
        <v>0 г. 0 мес. 0 дн.</v>
      </c>
      <c r="I2164" s="1" t="s">
        <v>39</v>
      </c>
      <c r="V2164" s="1" t="str">
        <f t="shared" si="114"/>
        <v>0 г. 0 мес. 0 дн.</v>
      </c>
      <c r="W2164" s="5"/>
    </row>
    <row r="2165" spans="1:23" ht="34.5" customHeight="1" x14ac:dyDescent="0.25">
      <c r="A2165" s="1">
        <f t="shared" si="112"/>
        <v>2164</v>
      </c>
      <c r="B2165" s="1"/>
      <c r="C2165" s="2"/>
      <c r="H2165" s="1" t="str">
        <f t="shared" si="113"/>
        <v>0 г. 0 мес. 0 дн.</v>
      </c>
      <c r="I2165" s="1" t="s">
        <v>39</v>
      </c>
      <c r="V2165" s="1" t="str">
        <f t="shared" si="114"/>
        <v>0 г. 0 мес. 0 дн.</v>
      </c>
      <c r="W2165" s="5"/>
    </row>
    <row r="2166" spans="1:23" ht="34.5" customHeight="1" x14ac:dyDescent="0.25">
      <c r="A2166" s="1">
        <f t="shared" si="112"/>
        <v>2165</v>
      </c>
      <c r="B2166" s="1"/>
      <c r="C2166" s="2"/>
      <c r="H2166" s="1" t="str">
        <f t="shared" si="113"/>
        <v>0 г. 0 мес. 0 дн.</v>
      </c>
      <c r="I2166" s="1" t="s">
        <v>39</v>
      </c>
      <c r="V2166" s="1" t="str">
        <f t="shared" si="114"/>
        <v>0 г. 0 мес. 0 дн.</v>
      </c>
      <c r="W2166" s="5"/>
    </row>
    <row r="2167" spans="1:23" ht="34.5" customHeight="1" x14ac:dyDescent="0.25">
      <c r="A2167" s="1">
        <f t="shared" si="112"/>
        <v>2166</v>
      </c>
      <c r="B2167" s="1"/>
      <c r="C2167" s="2"/>
      <c r="H2167" s="1" t="str">
        <f t="shared" si="113"/>
        <v>0 г. 0 мес. 0 дн.</v>
      </c>
      <c r="I2167" s="1" t="s">
        <v>39</v>
      </c>
      <c r="V2167" s="1" t="str">
        <f t="shared" si="114"/>
        <v>0 г. 0 мес. 0 дн.</v>
      </c>
      <c r="W2167" s="5"/>
    </row>
    <row r="2168" spans="1:23" ht="34.5" customHeight="1" x14ac:dyDescent="0.25">
      <c r="A2168" s="1">
        <f t="shared" si="112"/>
        <v>2167</v>
      </c>
      <c r="B2168" s="1"/>
      <c r="C2168" s="2"/>
      <c r="H2168" s="1" t="str">
        <f t="shared" si="113"/>
        <v>0 г. 0 мес. 0 дн.</v>
      </c>
      <c r="I2168" s="1" t="s">
        <v>39</v>
      </c>
      <c r="V2168" s="1" t="str">
        <f t="shared" si="114"/>
        <v>0 г. 0 мес. 0 дн.</v>
      </c>
      <c r="W2168" s="5"/>
    </row>
    <row r="2169" spans="1:23" ht="34.5" customHeight="1" x14ac:dyDescent="0.25">
      <c r="A2169" s="1">
        <f t="shared" si="112"/>
        <v>2168</v>
      </c>
      <c r="B2169" s="1"/>
      <c r="C2169" s="2"/>
      <c r="H2169" s="1" t="str">
        <f t="shared" si="113"/>
        <v>0 г. 0 мес. 0 дн.</v>
      </c>
      <c r="I2169" s="1" t="s">
        <v>39</v>
      </c>
      <c r="V2169" s="1" t="str">
        <f t="shared" si="114"/>
        <v>0 г. 0 мес. 0 дн.</v>
      </c>
      <c r="W2169" s="5"/>
    </row>
    <row r="2170" spans="1:23" ht="34.5" customHeight="1" x14ac:dyDescent="0.25">
      <c r="A2170" s="1">
        <f t="shared" si="112"/>
        <v>2169</v>
      </c>
      <c r="B2170" s="1"/>
      <c r="C2170" s="2"/>
      <c r="H2170" s="1" t="str">
        <f t="shared" si="113"/>
        <v>0 г. 0 мес. 0 дн.</v>
      </c>
      <c r="I2170" s="1" t="s">
        <v>39</v>
      </c>
      <c r="V2170" s="1" t="str">
        <f t="shared" si="114"/>
        <v>0 г. 0 мес. 0 дн.</v>
      </c>
      <c r="W2170" s="5"/>
    </row>
    <row r="2171" spans="1:23" ht="34.5" customHeight="1" x14ac:dyDescent="0.25">
      <c r="A2171" s="1">
        <f t="shared" si="112"/>
        <v>2170</v>
      </c>
      <c r="B2171" s="1"/>
      <c r="C2171" s="2"/>
      <c r="H2171" s="1" t="str">
        <f t="shared" si="113"/>
        <v>0 г. 0 мес. 0 дн.</v>
      </c>
      <c r="I2171" s="1" t="s">
        <v>39</v>
      </c>
      <c r="V2171" s="1" t="str">
        <f t="shared" si="114"/>
        <v>0 г. 0 мес. 0 дн.</v>
      </c>
      <c r="W2171" s="5"/>
    </row>
    <row r="2172" spans="1:23" ht="34.5" customHeight="1" x14ac:dyDescent="0.25">
      <c r="A2172" s="1">
        <f t="shared" si="112"/>
        <v>2171</v>
      </c>
      <c r="B2172" s="1"/>
      <c r="C2172" s="2"/>
      <c r="H2172" s="1" t="str">
        <f t="shared" si="113"/>
        <v>0 г. 0 мес. 0 дн.</v>
      </c>
      <c r="I2172" s="1" t="s">
        <v>39</v>
      </c>
      <c r="V2172" s="1" t="str">
        <f t="shared" si="114"/>
        <v>0 г. 0 мес. 0 дн.</v>
      </c>
      <c r="W2172" s="5"/>
    </row>
    <row r="2173" spans="1:23" ht="34.5" customHeight="1" x14ac:dyDescent="0.25">
      <c r="A2173" s="1">
        <f t="shared" si="112"/>
        <v>2172</v>
      </c>
      <c r="B2173" s="1"/>
      <c r="C2173" s="2"/>
      <c r="H2173" s="1" t="str">
        <f t="shared" si="113"/>
        <v>0 г. 0 мес. 0 дн.</v>
      </c>
      <c r="I2173" s="1" t="s">
        <v>39</v>
      </c>
      <c r="V2173" s="1" t="str">
        <f t="shared" si="114"/>
        <v>0 г. 0 мес. 0 дн.</v>
      </c>
      <c r="W2173" s="5"/>
    </row>
    <row r="2174" spans="1:23" ht="34.5" customHeight="1" x14ac:dyDescent="0.25">
      <c r="A2174" s="1">
        <f t="shared" si="112"/>
        <v>2173</v>
      </c>
      <c r="B2174" s="1"/>
      <c r="C2174" s="2"/>
      <c r="H2174" s="1" t="str">
        <f t="shared" si="113"/>
        <v>0 г. 0 мес. 0 дн.</v>
      </c>
      <c r="I2174" s="1" t="s">
        <v>39</v>
      </c>
      <c r="V2174" s="1" t="str">
        <f t="shared" si="114"/>
        <v>0 г. 0 мес. 0 дн.</v>
      </c>
      <c r="W2174" s="5"/>
    </row>
    <row r="2175" spans="1:23" ht="34.5" customHeight="1" x14ac:dyDescent="0.25">
      <c r="A2175" s="1">
        <f t="shared" si="112"/>
        <v>2174</v>
      </c>
      <c r="B2175" s="1"/>
      <c r="C2175" s="2"/>
      <c r="H2175" s="1" t="str">
        <f t="shared" si="113"/>
        <v>0 г. 0 мес. 0 дн.</v>
      </c>
      <c r="I2175" s="1" t="s">
        <v>39</v>
      </c>
      <c r="V2175" s="1" t="str">
        <f t="shared" si="114"/>
        <v>0 г. 0 мес. 0 дн.</v>
      </c>
      <c r="W2175" s="5"/>
    </row>
    <row r="2176" spans="1:23" ht="34.5" customHeight="1" x14ac:dyDescent="0.25">
      <c r="A2176" s="1">
        <f t="shared" ref="A2176:A2239" si="115">ROW(A2175)</f>
        <v>2175</v>
      </c>
      <c r="B2176" s="1"/>
      <c r="C2176" s="2"/>
      <c r="H2176" s="1" t="str">
        <f t="shared" si="113"/>
        <v>0 г. 0 мес. 0 дн.</v>
      </c>
      <c r="I2176" s="1" t="s">
        <v>39</v>
      </c>
      <c r="V2176" s="1" t="str">
        <f t="shared" si="114"/>
        <v>0 г. 0 мес. 0 дн.</v>
      </c>
      <c r="W2176" s="5"/>
    </row>
    <row r="2177" spans="1:23" ht="34.5" customHeight="1" x14ac:dyDescent="0.25">
      <c r="A2177" s="1">
        <f t="shared" si="115"/>
        <v>2176</v>
      </c>
      <c r="B2177" s="1"/>
      <c r="C2177" s="2"/>
      <c r="H2177" s="1" t="str">
        <f t="shared" si="113"/>
        <v>0 г. 0 мес. 0 дн.</v>
      </c>
      <c r="I2177" s="1" t="s">
        <v>39</v>
      </c>
      <c r="V2177" s="1" t="str">
        <f t="shared" si="114"/>
        <v>0 г. 0 мес. 0 дн.</v>
      </c>
      <c r="W2177" s="5"/>
    </row>
    <row r="2178" spans="1:23" ht="34.5" customHeight="1" x14ac:dyDescent="0.25">
      <c r="A2178" s="1">
        <f t="shared" si="115"/>
        <v>2177</v>
      </c>
      <c r="B2178" s="1"/>
      <c r="C2178" s="2"/>
      <c r="H2178" s="1" t="str">
        <f t="shared" ref="H2178:H2241" si="116">DATEDIF(G2178,D2178,"y") &amp; " г. " &amp; DATEDIF(G2178,D2178,"ym") &amp; " мес. " &amp; DATEDIF(G2178,D2178,"md") &amp; " дн."</f>
        <v>0 г. 0 мес. 0 дн.</v>
      </c>
      <c r="I2178" s="1" t="s">
        <v>39</v>
      </c>
      <c r="V2178" s="1" t="str">
        <f t="shared" si="114"/>
        <v>0 г. 0 мес. 0 дн.</v>
      </c>
      <c r="W2178" s="5"/>
    </row>
    <row r="2179" spans="1:23" ht="34.5" customHeight="1" x14ac:dyDescent="0.25">
      <c r="A2179" s="1">
        <f t="shared" si="115"/>
        <v>2178</v>
      </c>
      <c r="B2179" s="1"/>
      <c r="C2179" s="2"/>
      <c r="H2179" s="1" t="str">
        <f t="shared" si="116"/>
        <v>0 г. 0 мес. 0 дн.</v>
      </c>
      <c r="I2179" s="1" t="s">
        <v>39</v>
      </c>
      <c r="V2179" s="1" t="str">
        <f t="shared" si="114"/>
        <v>0 г. 0 мес. 0 дн.</v>
      </c>
      <c r="W2179" s="5"/>
    </row>
    <row r="2180" spans="1:23" ht="34.5" customHeight="1" x14ac:dyDescent="0.25">
      <c r="A2180" s="1">
        <f t="shared" si="115"/>
        <v>2179</v>
      </c>
      <c r="B2180" s="1"/>
      <c r="C2180" s="2"/>
      <c r="H2180" s="1" t="str">
        <f t="shared" si="116"/>
        <v>0 г. 0 мес. 0 дн.</v>
      </c>
      <c r="I2180" s="1" t="s">
        <v>39</v>
      </c>
      <c r="V2180" s="1" t="str">
        <f t="shared" si="114"/>
        <v>0 г. 0 мес. 0 дн.</v>
      </c>
      <c r="W2180" s="5"/>
    </row>
    <row r="2181" spans="1:23" ht="34.5" customHeight="1" x14ac:dyDescent="0.25">
      <c r="A2181" s="1">
        <f t="shared" si="115"/>
        <v>2180</v>
      </c>
      <c r="B2181" s="1"/>
      <c r="C2181" s="2"/>
      <c r="H2181" s="1" t="str">
        <f t="shared" si="116"/>
        <v>0 г. 0 мес. 0 дн.</v>
      </c>
      <c r="I2181" s="1" t="s">
        <v>39</v>
      </c>
      <c r="V2181" s="1" t="str">
        <f t="shared" si="114"/>
        <v>0 г. 0 мес. 0 дн.</v>
      </c>
      <c r="W2181" s="5"/>
    </row>
    <row r="2182" spans="1:23" ht="34.5" customHeight="1" x14ac:dyDescent="0.25">
      <c r="A2182" s="1">
        <f t="shared" si="115"/>
        <v>2181</v>
      </c>
      <c r="B2182" s="1"/>
      <c r="C2182" s="2"/>
      <c r="H2182" s="1" t="str">
        <f t="shared" si="116"/>
        <v>0 г. 0 мес. 0 дн.</v>
      </c>
      <c r="I2182" s="1" t="s">
        <v>39</v>
      </c>
      <c r="V2182" s="1" t="str">
        <f t="shared" si="114"/>
        <v>0 г. 0 мес. 0 дн.</v>
      </c>
      <c r="W2182" s="5"/>
    </row>
    <row r="2183" spans="1:23" ht="34.5" customHeight="1" x14ac:dyDescent="0.25">
      <c r="A2183" s="1">
        <f t="shared" si="115"/>
        <v>2182</v>
      </c>
      <c r="B2183" s="1"/>
      <c r="C2183" s="2"/>
      <c r="H2183" s="1" t="str">
        <f t="shared" si="116"/>
        <v>0 г. 0 мес. 0 дн.</v>
      </c>
      <c r="I2183" s="1" t="s">
        <v>39</v>
      </c>
      <c r="V2183" s="1" t="str">
        <f t="shared" si="114"/>
        <v>0 г. 0 мес. 0 дн.</v>
      </c>
      <c r="W2183" s="5"/>
    </row>
    <row r="2184" spans="1:23" ht="34.5" customHeight="1" x14ac:dyDescent="0.25">
      <c r="A2184" s="1">
        <f t="shared" si="115"/>
        <v>2183</v>
      </c>
      <c r="B2184" s="1"/>
      <c r="C2184" s="2"/>
      <c r="H2184" s="1" t="str">
        <f t="shared" si="116"/>
        <v>0 г. 0 мес. 0 дн.</v>
      </c>
      <c r="I2184" s="1" t="s">
        <v>39</v>
      </c>
      <c r="V2184" s="1" t="str">
        <f t="shared" si="114"/>
        <v>0 г. 0 мес. 0 дн.</v>
      </c>
      <c r="W2184" s="5"/>
    </row>
    <row r="2185" spans="1:23" ht="34.5" customHeight="1" x14ac:dyDescent="0.25">
      <c r="A2185" s="1">
        <f t="shared" si="115"/>
        <v>2184</v>
      </c>
      <c r="B2185" s="1"/>
      <c r="C2185" s="2"/>
      <c r="H2185" s="1" t="str">
        <f t="shared" si="116"/>
        <v>0 г. 0 мес. 0 дн.</v>
      </c>
      <c r="I2185" s="1" t="s">
        <v>39</v>
      </c>
      <c r="V2185" s="1" t="str">
        <f t="shared" si="114"/>
        <v>0 г. 0 мес. 0 дн.</v>
      </c>
      <c r="W2185" s="5"/>
    </row>
    <row r="2186" spans="1:23" ht="34.5" customHeight="1" x14ac:dyDescent="0.25">
      <c r="A2186" s="1">
        <f t="shared" si="115"/>
        <v>2185</v>
      </c>
      <c r="B2186" s="1"/>
      <c r="C2186" s="2"/>
      <c r="H2186" s="1" t="str">
        <f t="shared" si="116"/>
        <v>0 г. 0 мес. 0 дн.</v>
      </c>
      <c r="I2186" s="1" t="s">
        <v>39</v>
      </c>
      <c r="V2186" s="1" t="str">
        <f t="shared" si="114"/>
        <v>0 г. 0 мес. 0 дн.</v>
      </c>
      <c r="W2186" s="5"/>
    </row>
    <row r="2187" spans="1:23" ht="34.5" customHeight="1" x14ac:dyDescent="0.25">
      <c r="A2187" s="1">
        <f t="shared" si="115"/>
        <v>2186</v>
      </c>
      <c r="B2187" s="1"/>
      <c r="C2187" s="2"/>
      <c r="H2187" s="1" t="str">
        <f t="shared" si="116"/>
        <v>0 г. 0 мес. 0 дн.</v>
      </c>
      <c r="I2187" s="1" t="s">
        <v>39</v>
      </c>
      <c r="V2187" s="1" t="str">
        <f t="shared" si="114"/>
        <v>0 г. 0 мес. 0 дн.</v>
      </c>
      <c r="W2187" s="5"/>
    </row>
    <row r="2188" spans="1:23" ht="34.5" customHeight="1" x14ac:dyDescent="0.25">
      <c r="A2188" s="1">
        <f t="shared" si="115"/>
        <v>2187</v>
      </c>
      <c r="B2188" s="1"/>
      <c r="C2188" s="2"/>
      <c r="H2188" s="1" t="str">
        <f t="shared" si="116"/>
        <v>0 г. 0 мес. 0 дн.</v>
      </c>
      <c r="I2188" s="1" t="s">
        <v>39</v>
      </c>
      <c r="V2188" s="1" t="str">
        <f t="shared" si="114"/>
        <v>0 г. 0 мес. 0 дн.</v>
      </c>
      <c r="W2188" s="5"/>
    </row>
    <row r="2189" spans="1:23" ht="34.5" customHeight="1" x14ac:dyDescent="0.25">
      <c r="A2189" s="1">
        <f t="shared" si="115"/>
        <v>2188</v>
      </c>
      <c r="B2189" s="1"/>
      <c r="C2189" s="2"/>
      <c r="H2189" s="1" t="str">
        <f t="shared" si="116"/>
        <v>0 г. 0 мес. 0 дн.</v>
      </c>
      <c r="I2189" s="1" t="s">
        <v>39</v>
      </c>
      <c r="V2189" s="1" t="str">
        <f t="shared" si="114"/>
        <v>0 г. 0 мес. 0 дн.</v>
      </c>
      <c r="W2189" s="5"/>
    </row>
    <row r="2190" spans="1:23" ht="34.5" customHeight="1" x14ac:dyDescent="0.25">
      <c r="A2190" s="1">
        <f t="shared" si="115"/>
        <v>2189</v>
      </c>
      <c r="B2190" s="1"/>
      <c r="C2190" s="2"/>
      <c r="H2190" s="1" t="str">
        <f t="shared" si="116"/>
        <v>0 г. 0 мес. 0 дн.</v>
      </c>
      <c r="I2190" s="1" t="s">
        <v>39</v>
      </c>
      <c r="V2190" s="1" t="str">
        <f t="shared" si="114"/>
        <v>0 г. 0 мес. 0 дн.</v>
      </c>
      <c r="W2190" s="5"/>
    </row>
    <row r="2191" spans="1:23" ht="34.5" customHeight="1" x14ac:dyDescent="0.25">
      <c r="A2191" s="1">
        <f t="shared" si="115"/>
        <v>2190</v>
      </c>
      <c r="B2191" s="1"/>
      <c r="C2191" s="2"/>
      <c r="H2191" s="1" t="str">
        <f t="shared" si="116"/>
        <v>0 г. 0 мес. 0 дн.</v>
      </c>
      <c r="I2191" s="1" t="s">
        <v>39</v>
      </c>
      <c r="V2191" s="1" t="str">
        <f t="shared" si="114"/>
        <v>0 г. 0 мес. 0 дн.</v>
      </c>
      <c r="W2191" s="5"/>
    </row>
    <row r="2192" spans="1:23" ht="34.5" customHeight="1" x14ac:dyDescent="0.25">
      <c r="A2192" s="1">
        <f t="shared" si="115"/>
        <v>2191</v>
      </c>
      <c r="B2192" s="1"/>
      <c r="C2192" s="2"/>
      <c r="H2192" s="1" t="str">
        <f t="shared" si="116"/>
        <v>0 г. 0 мес. 0 дн.</v>
      </c>
      <c r="I2192" s="1" t="s">
        <v>39</v>
      </c>
      <c r="V2192" s="1" t="str">
        <f t="shared" si="114"/>
        <v>0 г. 0 мес. 0 дн.</v>
      </c>
      <c r="W2192" s="5"/>
    </row>
    <row r="2193" spans="1:23" ht="34.5" customHeight="1" x14ac:dyDescent="0.25">
      <c r="A2193" s="1">
        <f t="shared" si="115"/>
        <v>2192</v>
      </c>
      <c r="B2193" s="1"/>
      <c r="C2193" s="2"/>
      <c r="H2193" s="1" t="str">
        <f t="shared" si="116"/>
        <v>0 г. 0 мес. 0 дн.</v>
      </c>
      <c r="I2193" s="1" t="s">
        <v>39</v>
      </c>
      <c r="V2193" s="1" t="str">
        <f t="shared" si="114"/>
        <v>0 г. 0 мес. 0 дн.</v>
      </c>
      <c r="W2193" s="5"/>
    </row>
    <row r="2194" spans="1:23" ht="34.5" customHeight="1" x14ac:dyDescent="0.25">
      <c r="A2194" s="1">
        <f t="shared" si="115"/>
        <v>2193</v>
      </c>
      <c r="B2194" s="1"/>
      <c r="C2194" s="2"/>
      <c r="H2194" s="1" t="str">
        <f t="shared" si="116"/>
        <v>0 г. 0 мес. 0 дн.</v>
      </c>
      <c r="I2194" s="1" t="s">
        <v>39</v>
      </c>
      <c r="V2194" s="1" t="str">
        <f t="shared" si="114"/>
        <v>0 г. 0 мес. 0 дн.</v>
      </c>
      <c r="W2194" s="5"/>
    </row>
    <row r="2195" spans="1:23" ht="34.5" customHeight="1" x14ac:dyDescent="0.25">
      <c r="A2195" s="1">
        <f t="shared" si="115"/>
        <v>2194</v>
      </c>
      <c r="B2195" s="1"/>
      <c r="C2195" s="2"/>
      <c r="H2195" s="1" t="str">
        <f t="shared" si="116"/>
        <v>0 г. 0 мес. 0 дн.</v>
      </c>
      <c r="I2195" s="1" t="s">
        <v>39</v>
      </c>
      <c r="V2195" s="1" t="str">
        <f t="shared" si="114"/>
        <v>0 г. 0 мес. 0 дн.</v>
      </c>
      <c r="W2195" s="5"/>
    </row>
    <row r="2196" spans="1:23" ht="34.5" customHeight="1" x14ac:dyDescent="0.25">
      <c r="A2196" s="1">
        <f t="shared" si="115"/>
        <v>2195</v>
      </c>
      <c r="B2196" s="1"/>
      <c r="C2196" s="2"/>
      <c r="H2196" s="1" t="str">
        <f t="shared" si="116"/>
        <v>0 г. 0 мес. 0 дн.</v>
      </c>
      <c r="I2196" s="1" t="s">
        <v>39</v>
      </c>
      <c r="V2196" s="1" t="str">
        <f t="shared" si="114"/>
        <v>0 г. 0 мес. 0 дн.</v>
      </c>
      <c r="W2196" s="5"/>
    </row>
    <row r="2197" spans="1:23" ht="34.5" customHeight="1" x14ac:dyDescent="0.25">
      <c r="A2197" s="1">
        <f t="shared" si="115"/>
        <v>2196</v>
      </c>
      <c r="B2197" s="1"/>
      <c r="C2197" s="2"/>
      <c r="H2197" s="1" t="str">
        <f t="shared" si="116"/>
        <v>0 г. 0 мес. 0 дн.</v>
      </c>
      <c r="I2197" s="1" t="s">
        <v>39</v>
      </c>
      <c r="V2197" s="1" t="str">
        <f t="shared" si="114"/>
        <v>0 г. 0 мес. 0 дн.</v>
      </c>
      <c r="W2197" s="5"/>
    </row>
    <row r="2198" spans="1:23" ht="34.5" customHeight="1" x14ac:dyDescent="0.25">
      <c r="A2198" s="1">
        <f t="shared" si="115"/>
        <v>2197</v>
      </c>
      <c r="B2198" s="1"/>
      <c r="C2198" s="2"/>
      <c r="H2198" s="1" t="str">
        <f t="shared" si="116"/>
        <v>0 г. 0 мес. 0 дн.</v>
      </c>
      <c r="I2198" s="1" t="s">
        <v>39</v>
      </c>
      <c r="V2198" s="1" t="str">
        <f t="shared" si="114"/>
        <v>0 г. 0 мес. 0 дн.</v>
      </c>
      <c r="W2198" s="5"/>
    </row>
    <row r="2199" spans="1:23" ht="34.5" customHeight="1" x14ac:dyDescent="0.25">
      <c r="A2199" s="1">
        <f t="shared" si="115"/>
        <v>2198</v>
      </c>
      <c r="B2199" s="1"/>
      <c r="C2199" s="2"/>
      <c r="H2199" s="1" t="str">
        <f t="shared" si="116"/>
        <v>0 г. 0 мес. 0 дн.</v>
      </c>
      <c r="I2199" s="1" t="s">
        <v>39</v>
      </c>
      <c r="V2199" s="1" t="str">
        <f t="shared" si="114"/>
        <v>0 г. 0 мес. 0 дн.</v>
      </c>
      <c r="W2199" s="5"/>
    </row>
    <row r="2200" spans="1:23" ht="34.5" customHeight="1" x14ac:dyDescent="0.25">
      <c r="A2200" s="1">
        <f t="shared" si="115"/>
        <v>2199</v>
      </c>
      <c r="B2200" s="1"/>
      <c r="C2200" s="2"/>
      <c r="H2200" s="1" t="str">
        <f t="shared" si="116"/>
        <v>0 г. 0 мес. 0 дн.</v>
      </c>
      <c r="I2200" s="1" t="s">
        <v>39</v>
      </c>
      <c r="V2200" s="1" t="str">
        <f t="shared" si="114"/>
        <v>0 г. 0 мес. 0 дн.</v>
      </c>
      <c r="W2200" s="5"/>
    </row>
    <row r="2201" spans="1:23" ht="34.5" customHeight="1" x14ac:dyDescent="0.25">
      <c r="A2201" s="1">
        <f t="shared" si="115"/>
        <v>2200</v>
      </c>
      <c r="B2201" s="1"/>
      <c r="C2201" s="2"/>
      <c r="H2201" s="1" t="str">
        <f t="shared" si="116"/>
        <v>0 г. 0 мес. 0 дн.</v>
      </c>
      <c r="I2201" s="1" t="s">
        <v>39</v>
      </c>
      <c r="V2201" s="1" t="str">
        <f t="shared" si="114"/>
        <v>0 г. 0 мес. 0 дн.</v>
      </c>
      <c r="W2201" s="5"/>
    </row>
    <row r="2202" spans="1:23" ht="34.5" customHeight="1" x14ac:dyDescent="0.25">
      <c r="A2202" s="1">
        <f t="shared" si="115"/>
        <v>2201</v>
      </c>
      <c r="B2202" s="1"/>
      <c r="C2202" s="2"/>
      <c r="H2202" s="1" t="str">
        <f t="shared" si="116"/>
        <v>0 г. 0 мес. 0 дн.</v>
      </c>
      <c r="I2202" s="1" t="s">
        <v>39</v>
      </c>
      <c r="V2202" s="1" t="str">
        <f t="shared" si="114"/>
        <v>0 г. 0 мес. 0 дн.</v>
      </c>
      <c r="W2202" s="5"/>
    </row>
    <row r="2203" spans="1:23" ht="34.5" customHeight="1" x14ac:dyDescent="0.25">
      <c r="A2203" s="1">
        <f t="shared" si="115"/>
        <v>2202</v>
      </c>
      <c r="B2203" s="1"/>
      <c r="C2203" s="2"/>
      <c r="H2203" s="1" t="str">
        <f t="shared" si="116"/>
        <v>0 г. 0 мес. 0 дн.</v>
      </c>
      <c r="I2203" s="1" t="s">
        <v>39</v>
      </c>
      <c r="V2203" s="1" t="str">
        <f t="shared" si="114"/>
        <v>0 г. 0 мес. 0 дн.</v>
      </c>
      <c r="W2203" s="5"/>
    </row>
    <row r="2204" spans="1:23" ht="34.5" customHeight="1" x14ac:dyDescent="0.25">
      <c r="A2204" s="1">
        <f t="shared" si="115"/>
        <v>2203</v>
      </c>
      <c r="B2204" s="1"/>
      <c r="C2204" s="2"/>
      <c r="H2204" s="1" t="str">
        <f t="shared" si="116"/>
        <v>0 г. 0 мес. 0 дн.</v>
      </c>
      <c r="I2204" s="1" t="s">
        <v>39</v>
      </c>
      <c r="V2204" s="1" t="str">
        <f t="shared" si="114"/>
        <v>0 г. 0 мес. 0 дн.</v>
      </c>
      <c r="W2204" s="5"/>
    </row>
    <row r="2205" spans="1:23" ht="34.5" customHeight="1" x14ac:dyDescent="0.25">
      <c r="A2205" s="1">
        <f t="shared" si="115"/>
        <v>2204</v>
      </c>
      <c r="B2205" s="1"/>
      <c r="C2205" s="2"/>
      <c r="H2205" s="1" t="str">
        <f t="shared" si="116"/>
        <v>0 г. 0 мес. 0 дн.</v>
      </c>
      <c r="I2205" s="1" t="s">
        <v>39</v>
      </c>
      <c r="V2205" s="1" t="str">
        <f t="shared" si="114"/>
        <v>0 г. 0 мес. 0 дн.</v>
      </c>
      <c r="W2205" s="5"/>
    </row>
    <row r="2206" spans="1:23" ht="34.5" customHeight="1" x14ac:dyDescent="0.25">
      <c r="A2206" s="1">
        <f t="shared" si="115"/>
        <v>2205</v>
      </c>
      <c r="B2206" s="1"/>
      <c r="C2206" s="2"/>
      <c r="H2206" s="1" t="str">
        <f t="shared" si="116"/>
        <v>0 г. 0 мес. 0 дн.</v>
      </c>
      <c r="I2206" s="1" t="s">
        <v>39</v>
      </c>
      <c r="V2206" s="1" t="str">
        <f t="shared" si="114"/>
        <v>0 г. 0 мес. 0 дн.</v>
      </c>
      <c r="W2206" s="5"/>
    </row>
    <row r="2207" spans="1:23" ht="34.5" customHeight="1" x14ac:dyDescent="0.25">
      <c r="A2207" s="1">
        <f t="shared" si="115"/>
        <v>2206</v>
      </c>
      <c r="B2207" s="1"/>
      <c r="C2207" s="2"/>
      <c r="H2207" s="1" t="str">
        <f t="shared" si="116"/>
        <v>0 г. 0 мес. 0 дн.</v>
      </c>
      <c r="I2207" s="1" t="s">
        <v>39</v>
      </c>
      <c r="V2207" s="1" t="str">
        <f t="shared" si="114"/>
        <v>0 г. 0 мес. 0 дн.</v>
      </c>
      <c r="W2207" s="5"/>
    </row>
    <row r="2208" spans="1:23" ht="34.5" customHeight="1" x14ac:dyDescent="0.25">
      <c r="A2208" s="1">
        <f t="shared" si="115"/>
        <v>2207</v>
      </c>
      <c r="B2208" s="1"/>
      <c r="C2208" s="2"/>
      <c r="H2208" s="1" t="str">
        <f t="shared" si="116"/>
        <v>0 г. 0 мес. 0 дн.</v>
      </c>
      <c r="I2208" s="1" t="s">
        <v>39</v>
      </c>
      <c r="V2208" s="1" t="str">
        <f t="shared" si="114"/>
        <v>0 г. 0 мес. 0 дн.</v>
      </c>
      <c r="W2208" s="5"/>
    </row>
    <row r="2209" spans="1:23" ht="34.5" customHeight="1" x14ac:dyDescent="0.25">
      <c r="A2209" s="1">
        <f t="shared" si="115"/>
        <v>2208</v>
      </c>
      <c r="B2209" s="1"/>
      <c r="C2209" s="2"/>
      <c r="H2209" s="1" t="str">
        <f t="shared" si="116"/>
        <v>0 г. 0 мес. 0 дн.</v>
      </c>
      <c r="I2209" s="1" t="s">
        <v>39</v>
      </c>
      <c r="V2209" s="1" t="str">
        <f t="shared" si="114"/>
        <v>0 г. 0 мес. 0 дн.</v>
      </c>
      <c r="W2209" s="5"/>
    </row>
    <row r="2210" spans="1:23" ht="34.5" customHeight="1" x14ac:dyDescent="0.25">
      <c r="A2210" s="1">
        <f t="shared" si="115"/>
        <v>2209</v>
      </c>
      <c r="B2210" s="1"/>
      <c r="C2210" s="2"/>
      <c r="H2210" s="1" t="str">
        <f t="shared" si="116"/>
        <v>0 г. 0 мес. 0 дн.</v>
      </c>
      <c r="I2210" s="1" t="s">
        <v>39</v>
      </c>
      <c r="V2210" s="1" t="str">
        <f t="shared" si="114"/>
        <v>0 г. 0 мес. 0 дн.</v>
      </c>
      <c r="W2210" s="5"/>
    </row>
    <row r="2211" spans="1:23" ht="34.5" customHeight="1" x14ac:dyDescent="0.25">
      <c r="A2211" s="1">
        <f t="shared" si="115"/>
        <v>2210</v>
      </c>
      <c r="B2211" s="1"/>
      <c r="C2211" s="2"/>
      <c r="H2211" s="1" t="str">
        <f t="shared" si="116"/>
        <v>0 г. 0 мес. 0 дн.</v>
      </c>
      <c r="I2211" s="1" t="s">
        <v>39</v>
      </c>
      <c r="V2211" s="1" t="str">
        <f t="shared" si="114"/>
        <v>0 г. 0 мес. 0 дн.</v>
      </c>
      <c r="W2211" s="5"/>
    </row>
    <row r="2212" spans="1:23" ht="34.5" customHeight="1" x14ac:dyDescent="0.25">
      <c r="A2212" s="1">
        <f t="shared" si="115"/>
        <v>2211</v>
      </c>
      <c r="B2212" s="1"/>
      <c r="C2212" s="2"/>
      <c r="H2212" s="1" t="str">
        <f t="shared" si="116"/>
        <v>0 г. 0 мес. 0 дн.</v>
      </c>
      <c r="I2212" s="1" t="s">
        <v>39</v>
      </c>
      <c r="V2212" s="1" t="str">
        <f t="shared" si="114"/>
        <v>0 г. 0 мес. 0 дн.</v>
      </c>
      <c r="W2212" s="5"/>
    </row>
    <row r="2213" spans="1:23" ht="34.5" customHeight="1" x14ac:dyDescent="0.25">
      <c r="A2213" s="1">
        <f t="shared" si="115"/>
        <v>2212</v>
      </c>
      <c r="B2213" s="1"/>
      <c r="C2213" s="2"/>
      <c r="H2213" s="1" t="str">
        <f t="shared" si="116"/>
        <v>0 г. 0 мес. 0 дн.</v>
      </c>
      <c r="I2213" s="1" t="s">
        <v>39</v>
      </c>
      <c r="V2213" s="1" t="str">
        <f t="shared" si="114"/>
        <v>0 г. 0 мес. 0 дн.</v>
      </c>
      <c r="W2213" s="5"/>
    </row>
    <row r="2214" spans="1:23" ht="34.5" customHeight="1" x14ac:dyDescent="0.25">
      <c r="A2214" s="1">
        <f t="shared" si="115"/>
        <v>2213</v>
      </c>
      <c r="B2214" s="1"/>
      <c r="C2214" s="2"/>
      <c r="H2214" s="1" t="str">
        <f t="shared" si="116"/>
        <v>0 г. 0 мес. 0 дн.</v>
      </c>
      <c r="I2214" s="1" t="s">
        <v>39</v>
      </c>
      <c r="V2214" s="1" t="str">
        <f t="shared" si="114"/>
        <v>0 г. 0 мес. 0 дн.</v>
      </c>
      <c r="W2214" s="5"/>
    </row>
    <row r="2215" spans="1:23" ht="34.5" customHeight="1" x14ac:dyDescent="0.25">
      <c r="A2215" s="1">
        <f t="shared" si="115"/>
        <v>2214</v>
      </c>
      <c r="B2215" s="1"/>
      <c r="C2215" s="2"/>
      <c r="H2215" s="1" t="str">
        <f t="shared" si="116"/>
        <v>0 г. 0 мес. 0 дн.</v>
      </c>
      <c r="I2215" s="1" t="s">
        <v>39</v>
      </c>
      <c r="V2215" s="1" t="str">
        <f t="shared" si="114"/>
        <v>0 г. 0 мес. 0 дн.</v>
      </c>
      <c r="W2215" s="5"/>
    </row>
    <row r="2216" spans="1:23" ht="34.5" customHeight="1" x14ac:dyDescent="0.25">
      <c r="A2216" s="1">
        <f t="shared" si="115"/>
        <v>2215</v>
      </c>
      <c r="B2216" s="1"/>
      <c r="C2216" s="2"/>
      <c r="H2216" s="1" t="str">
        <f t="shared" si="116"/>
        <v>0 г. 0 мес. 0 дн.</v>
      </c>
      <c r="I2216" s="1" t="s">
        <v>39</v>
      </c>
      <c r="V2216" s="1" t="str">
        <f t="shared" si="114"/>
        <v>0 г. 0 мес. 0 дн.</v>
      </c>
      <c r="W2216" s="5"/>
    </row>
    <row r="2217" spans="1:23" ht="34.5" customHeight="1" x14ac:dyDescent="0.25">
      <c r="A2217" s="1">
        <f t="shared" si="115"/>
        <v>2216</v>
      </c>
      <c r="B2217" s="1"/>
      <c r="C2217" s="2"/>
      <c r="H2217" s="1" t="str">
        <f t="shared" si="116"/>
        <v>0 г. 0 мес. 0 дн.</v>
      </c>
      <c r="I2217" s="1" t="s">
        <v>39</v>
      </c>
      <c r="V2217" s="1" t="str">
        <f t="shared" si="114"/>
        <v>0 г. 0 мес. 0 дн.</v>
      </c>
      <c r="W2217" s="5"/>
    </row>
    <row r="2218" spans="1:23" ht="34.5" customHeight="1" x14ac:dyDescent="0.25">
      <c r="A2218" s="1">
        <f t="shared" si="115"/>
        <v>2217</v>
      </c>
      <c r="B2218" s="1"/>
      <c r="C2218" s="2"/>
      <c r="H2218" s="1" t="str">
        <f t="shared" si="116"/>
        <v>0 г. 0 мес. 0 дн.</v>
      </c>
      <c r="I2218" s="1" t="s">
        <v>39</v>
      </c>
      <c r="V2218" s="1" t="str">
        <f t="shared" si="114"/>
        <v>0 г. 0 мес. 0 дн.</v>
      </c>
      <c r="W2218" s="5"/>
    </row>
    <row r="2219" spans="1:23" ht="34.5" customHeight="1" x14ac:dyDescent="0.25">
      <c r="A2219" s="1">
        <f t="shared" si="115"/>
        <v>2218</v>
      </c>
      <c r="B2219" s="1"/>
      <c r="C2219" s="2"/>
      <c r="H2219" s="1" t="str">
        <f t="shared" si="116"/>
        <v>0 г. 0 мес. 0 дн.</v>
      </c>
      <c r="I2219" s="1" t="s">
        <v>39</v>
      </c>
      <c r="V2219" s="1" t="str">
        <f t="shared" si="114"/>
        <v>0 г. 0 мес. 0 дн.</v>
      </c>
      <c r="W2219" s="5"/>
    </row>
    <row r="2220" spans="1:23" ht="34.5" customHeight="1" x14ac:dyDescent="0.25">
      <c r="A2220" s="1">
        <f t="shared" si="115"/>
        <v>2219</v>
      </c>
      <c r="B2220" s="1"/>
      <c r="C2220" s="2"/>
      <c r="H2220" s="1" t="str">
        <f t="shared" si="116"/>
        <v>0 г. 0 мес. 0 дн.</v>
      </c>
      <c r="I2220" s="1" t="s">
        <v>39</v>
      </c>
      <c r="V2220" s="1" t="str">
        <f t="shared" si="114"/>
        <v>0 г. 0 мес. 0 дн.</v>
      </c>
      <c r="W2220" s="5"/>
    </row>
    <row r="2221" spans="1:23" ht="34.5" customHeight="1" x14ac:dyDescent="0.25">
      <c r="A2221" s="1">
        <f t="shared" si="115"/>
        <v>2220</v>
      </c>
      <c r="B2221" s="1"/>
      <c r="C2221" s="2"/>
      <c r="H2221" s="1" t="str">
        <f t="shared" si="116"/>
        <v>0 г. 0 мес. 0 дн.</v>
      </c>
      <c r="I2221" s="1" t="s">
        <v>39</v>
      </c>
      <c r="V2221" s="1" t="str">
        <f t="shared" si="114"/>
        <v>0 г. 0 мес. 0 дн.</v>
      </c>
      <c r="W2221" s="5"/>
    </row>
    <row r="2222" spans="1:23" ht="34.5" customHeight="1" x14ac:dyDescent="0.25">
      <c r="A2222" s="1">
        <f t="shared" si="115"/>
        <v>2221</v>
      </c>
      <c r="B2222" s="1"/>
      <c r="C2222" s="2"/>
      <c r="H2222" s="1" t="str">
        <f t="shared" si="116"/>
        <v>0 г. 0 мес. 0 дн.</v>
      </c>
      <c r="I2222" s="1" t="s">
        <v>39</v>
      </c>
      <c r="V2222" s="1" t="str">
        <f t="shared" si="114"/>
        <v>0 г. 0 мес. 0 дн.</v>
      </c>
      <c r="W2222" s="5"/>
    </row>
    <row r="2223" spans="1:23" ht="34.5" customHeight="1" x14ac:dyDescent="0.25">
      <c r="A2223" s="1">
        <f t="shared" si="115"/>
        <v>2222</v>
      </c>
      <c r="B2223" s="1"/>
      <c r="C2223" s="2"/>
      <c r="H2223" s="1" t="str">
        <f t="shared" si="116"/>
        <v>0 г. 0 мес. 0 дн.</v>
      </c>
      <c r="I2223" s="1" t="s">
        <v>39</v>
      </c>
      <c r="V2223" s="1" t="str">
        <f t="shared" si="114"/>
        <v>0 г. 0 мес. 0 дн.</v>
      </c>
      <c r="W2223" s="5"/>
    </row>
    <row r="2224" spans="1:23" ht="34.5" customHeight="1" x14ac:dyDescent="0.25">
      <c r="A2224" s="1">
        <f t="shared" si="115"/>
        <v>2223</v>
      </c>
      <c r="B2224" s="1"/>
      <c r="C2224" s="2"/>
      <c r="H2224" s="1" t="str">
        <f t="shared" si="116"/>
        <v>0 г. 0 мес. 0 дн.</v>
      </c>
      <c r="I2224" s="1" t="s">
        <v>39</v>
      </c>
      <c r="V2224" s="1" t="str">
        <f t="shared" si="114"/>
        <v>0 г. 0 мес. 0 дн.</v>
      </c>
      <c r="W2224" s="5"/>
    </row>
    <row r="2225" spans="1:23" ht="34.5" customHeight="1" x14ac:dyDescent="0.25">
      <c r="A2225" s="1">
        <f t="shared" si="115"/>
        <v>2224</v>
      </c>
      <c r="B2225" s="1"/>
      <c r="C2225" s="2"/>
      <c r="H2225" s="1" t="str">
        <f t="shared" si="116"/>
        <v>0 г. 0 мес. 0 дн.</v>
      </c>
      <c r="I2225" s="1" t="s">
        <v>39</v>
      </c>
      <c r="V2225" s="1" t="str">
        <f t="shared" ref="V2225:V2288" si="117">DATEDIF(D2225,T2225,"y") &amp; " г. " &amp; DATEDIF(D2225,T2225,"ym") &amp; " мес. " &amp; DATEDIF(D2225,T2225,"md") &amp; " дн."</f>
        <v>0 г. 0 мес. 0 дн.</v>
      </c>
      <c r="W2225" s="5"/>
    </row>
    <row r="2226" spans="1:23" ht="34.5" customHeight="1" x14ac:dyDescent="0.25">
      <c r="A2226" s="1">
        <f t="shared" si="115"/>
        <v>2225</v>
      </c>
      <c r="B2226" s="1"/>
      <c r="C2226" s="2"/>
      <c r="H2226" s="1" t="str">
        <f t="shared" si="116"/>
        <v>0 г. 0 мес. 0 дн.</v>
      </c>
      <c r="I2226" s="1" t="s">
        <v>39</v>
      </c>
      <c r="V2226" s="1" t="str">
        <f t="shared" si="117"/>
        <v>0 г. 0 мес. 0 дн.</v>
      </c>
      <c r="W2226" s="5"/>
    </row>
    <row r="2227" spans="1:23" ht="34.5" customHeight="1" x14ac:dyDescent="0.25">
      <c r="A2227" s="1">
        <f t="shared" si="115"/>
        <v>2226</v>
      </c>
      <c r="B2227" s="1"/>
      <c r="C2227" s="2"/>
      <c r="H2227" s="1" t="str">
        <f t="shared" si="116"/>
        <v>0 г. 0 мес. 0 дн.</v>
      </c>
      <c r="I2227" s="1" t="s">
        <v>39</v>
      </c>
      <c r="V2227" s="1" t="str">
        <f t="shared" si="117"/>
        <v>0 г. 0 мес. 0 дн.</v>
      </c>
      <c r="W2227" s="5"/>
    </row>
    <row r="2228" spans="1:23" ht="34.5" customHeight="1" x14ac:dyDescent="0.25">
      <c r="A2228" s="1">
        <f t="shared" si="115"/>
        <v>2227</v>
      </c>
      <c r="B2228" s="1"/>
      <c r="C2228" s="2"/>
      <c r="H2228" s="1" t="str">
        <f t="shared" si="116"/>
        <v>0 г. 0 мес. 0 дн.</v>
      </c>
      <c r="I2228" s="1" t="s">
        <v>39</v>
      </c>
      <c r="V2228" s="1" t="str">
        <f t="shared" si="117"/>
        <v>0 г. 0 мес. 0 дн.</v>
      </c>
      <c r="W2228" s="5"/>
    </row>
    <row r="2229" spans="1:23" ht="34.5" customHeight="1" x14ac:dyDescent="0.25">
      <c r="A2229" s="1">
        <f t="shared" si="115"/>
        <v>2228</v>
      </c>
      <c r="B2229" s="1"/>
      <c r="C2229" s="2"/>
      <c r="H2229" s="1" t="str">
        <f t="shared" si="116"/>
        <v>0 г. 0 мес. 0 дн.</v>
      </c>
      <c r="I2229" s="1" t="s">
        <v>39</v>
      </c>
      <c r="V2229" s="1" t="str">
        <f t="shared" si="117"/>
        <v>0 г. 0 мес. 0 дн.</v>
      </c>
      <c r="W2229" s="5"/>
    </row>
    <row r="2230" spans="1:23" ht="34.5" customHeight="1" x14ac:dyDescent="0.25">
      <c r="A2230" s="1">
        <f t="shared" si="115"/>
        <v>2229</v>
      </c>
      <c r="B2230" s="1"/>
      <c r="C2230" s="2"/>
      <c r="H2230" s="1" t="str">
        <f t="shared" si="116"/>
        <v>0 г. 0 мес. 0 дн.</v>
      </c>
      <c r="I2230" s="1" t="s">
        <v>39</v>
      </c>
      <c r="V2230" s="1" t="str">
        <f t="shared" si="117"/>
        <v>0 г. 0 мес. 0 дн.</v>
      </c>
      <c r="W2230" s="5"/>
    </row>
    <row r="2231" spans="1:23" ht="34.5" customHeight="1" x14ac:dyDescent="0.25">
      <c r="A2231" s="1">
        <f t="shared" si="115"/>
        <v>2230</v>
      </c>
      <c r="B2231" s="1"/>
      <c r="C2231" s="2"/>
      <c r="H2231" s="1" t="str">
        <f t="shared" si="116"/>
        <v>0 г. 0 мес. 0 дн.</v>
      </c>
      <c r="I2231" s="1" t="s">
        <v>39</v>
      </c>
      <c r="V2231" s="1" t="str">
        <f t="shared" si="117"/>
        <v>0 г. 0 мес. 0 дн.</v>
      </c>
      <c r="W2231" s="5"/>
    </row>
    <row r="2232" spans="1:23" ht="34.5" customHeight="1" x14ac:dyDescent="0.25">
      <c r="A2232" s="1">
        <f t="shared" si="115"/>
        <v>2231</v>
      </c>
      <c r="B2232" s="1"/>
      <c r="C2232" s="2"/>
      <c r="H2232" s="1" t="str">
        <f t="shared" si="116"/>
        <v>0 г. 0 мес. 0 дн.</v>
      </c>
      <c r="I2232" s="1" t="s">
        <v>39</v>
      </c>
      <c r="V2232" s="1" t="str">
        <f t="shared" si="117"/>
        <v>0 г. 0 мес. 0 дн.</v>
      </c>
      <c r="W2232" s="5"/>
    </row>
    <row r="2233" spans="1:23" ht="34.5" customHeight="1" x14ac:dyDescent="0.25">
      <c r="A2233" s="1">
        <f t="shared" si="115"/>
        <v>2232</v>
      </c>
      <c r="B2233" s="1"/>
      <c r="C2233" s="2"/>
      <c r="H2233" s="1" t="str">
        <f t="shared" si="116"/>
        <v>0 г. 0 мес. 0 дн.</v>
      </c>
      <c r="I2233" s="1" t="s">
        <v>39</v>
      </c>
      <c r="V2233" s="1" t="str">
        <f t="shared" si="117"/>
        <v>0 г. 0 мес. 0 дн.</v>
      </c>
      <c r="W2233" s="5"/>
    </row>
    <row r="2234" spans="1:23" ht="34.5" customHeight="1" x14ac:dyDescent="0.25">
      <c r="A2234" s="1">
        <f t="shared" si="115"/>
        <v>2233</v>
      </c>
      <c r="B2234" s="1"/>
      <c r="C2234" s="2"/>
      <c r="H2234" s="1" t="str">
        <f t="shared" si="116"/>
        <v>0 г. 0 мес. 0 дн.</v>
      </c>
      <c r="I2234" s="1" t="s">
        <v>39</v>
      </c>
      <c r="V2234" s="1" t="str">
        <f t="shared" si="117"/>
        <v>0 г. 0 мес. 0 дн.</v>
      </c>
      <c r="W2234" s="5"/>
    </row>
    <row r="2235" spans="1:23" ht="34.5" customHeight="1" x14ac:dyDescent="0.25">
      <c r="A2235" s="1">
        <f t="shared" si="115"/>
        <v>2234</v>
      </c>
      <c r="B2235" s="1"/>
      <c r="C2235" s="2"/>
      <c r="H2235" s="1" t="str">
        <f t="shared" si="116"/>
        <v>0 г. 0 мес. 0 дн.</v>
      </c>
      <c r="I2235" s="1" t="s">
        <v>39</v>
      </c>
      <c r="V2235" s="1" t="str">
        <f t="shared" si="117"/>
        <v>0 г. 0 мес. 0 дн.</v>
      </c>
      <c r="W2235" s="5"/>
    </row>
    <row r="2236" spans="1:23" ht="34.5" customHeight="1" x14ac:dyDescent="0.25">
      <c r="A2236" s="1">
        <f t="shared" si="115"/>
        <v>2235</v>
      </c>
      <c r="B2236" s="1"/>
      <c r="C2236" s="2"/>
      <c r="H2236" s="1" t="str">
        <f t="shared" si="116"/>
        <v>0 г. 0 мес. 0 дн.</v>
      </c>
      <c r="I2236" s="1" t="s">
        <v>39</v>
      </c>
      <c r="V2236" s="1" t="str">
        <f t="shared" si="117"/>
        <v>0 г. 0 мес. 0 дн.</v>
      </c>
      <c r="W2236" s="5"/>
    </row>
    <row r="2237" spans="1:23" ht="34.5" customHeight="1" x14ac:dyDescent="0.25">
      <c r="A2237" s="1">
        <f t="shared" si="115"/>
        <v>2236</v>
      </c>
      <c r="B2237" s="1"/>
      <c r="C2237" s="2"/>
      <c r="H2237" s="1" t="str">
        <f t="shared" si="116"/>
        <v>0 г. 0 мес. 0 дн.</v>
      </c>
      <c r="I2237" s="1" t="s">
        <v>39</v>
      </c>
      <c r="V2237" s="1" t="str">
        <f t="shared" si="117"/>
        <v>0 г. 0 мес. 0 дн.</v>
      </c>
      <c r="W2237" s="5"/>
    </row>
    <row r="2238" spans="1:23" ht="34.5" customHeight="1" x14ac:dyDescent="0.25">
      <c r="A2238" s="1">
        <f t="shared" si="115"/>
        <v>2237</v>
      </c>
      <c r="B2238" s="1"/>
      <c r="C2238" s="2"/>
      <c r="H2238" s="1" t="str">
        <f t="shared" si="116"/>
        <v>0 г. 0 мес. 0 дн.</v>
      </c>
      <c r="I2238" s="1" t="s">
        <v>39</v>
      </c>
      <c r="V2238" s="1" t="str">
        <f t="shared" si="117"/>
        <v>0 г. 0 мес. 0 дн.</v>
      </c>
      <c r="W2238" s="5"/>
    </row>
    <row r="2239" spans="1:23" ht="34.5" customHeight="1" x14ac:dyDescent="0.25">
      <c r="A2239" s="1">
        <f t="shared" si="115"/>
        <v>2238</v>
      </c>
      <c r="B2239" s="1"/>
      <c r="C2239" s="2"/>
      <c r="H2239" s="1" t="str">
        <f t="shared" si="116"/>
        <v>0 г. 0 мес. 0 дн.</v>
      </c>
      <c r="I2239" s="1" t="s">
        <v>39</v>
      </c>
      <c r="V2239" s="1" t="str">
        <f t="shared" si="117"/>
        <v>0 г. 0 мес. 0 дн.</v>
      </c>
      <c r="W2239" s="5"/>
    </row>
    <row r="2240" spans="1:23" ht="34.5" customHeight="1" x14ac:dyDescent="0.25">
      <c r="A2240" s="1">
        <f t="shared" ref="A2240:A2303" si="118">ROW(A2239)</f>
        <v>2239</v>
      </c>
      <c r="B2240" s="1"/>
      <c r="C2240" s="2"/>
      <c r="H2240" s="1" t="str">
        <f t="shared" si="116"/>
        <v>0 г. 0 мес. 0 дн.</v>
      </c>
      <c r="I2240" s="1" t="s">
        <v>39</v>
      </c>
      <c r="V2240" s="1" t="str">
        <f t="shared" si="117"/>
        <v>0 г. 0 мес. 0 дн.</v>
      </c>
      <c r="W2240" s="5"/>
    </row>
    <row r="2241" spans="1:23" ht="34.5" customHeight="1" x14ac:dyDescent="0.25">
      <c r="A2241" s="1">
        <f t="shared" si="118"/>
        <v>2240</v>
      </c>
      <c r="B2241" s="1"/>
      <c r="C2241" s="2"/>
      <c r="H2241" s="1" t="str">
        <f t="shared" si="116"/>
        <v>0 г. 0 мес. 0 дн.</v>
      </c>
      <c r="I2241" s="1" t="s">
        <v>39</v>
      </c>
      <c r="V2241" s="1" t="str">
        <f t="shared" si="117"/>
        <v>0 г. 0 мес. 0 дн.</v>
      </c>
      <c r="W2241" s="5"/>
    </row>
    <row r="2242" spans="1:23" ht="34.5" customHeight="1" x14ac:dyDescent="0.25">
      <c r="A2242" s="1">
        <f t="shared" si="118"/>
        <v>2241</v>
      </c>
      <c r="B2242" s="1"/>
      <c r="C2242" s="2"/>
      <c r="H2242" s="1" t="str">
        <f t="shared" ref="H2242:H2305" si="119">DATEDIF(G2242,D2242,"y") &amp; " г. " &amp; DATEDIF(G2242,D2242,"ym") &amp; " мес. " &amp; DATEDIF(G2242,D2242,"md") &amp; " дн."</f>
        <v>0 г. 0 мес. 0 дн.</v>
      </c>
      <c r="I2242" s="1" t="s">
        <v>39</v>
      </c>
      <c r="V2242" s="1" t="str">
        <f t="shared" si="117"/>
        <v>0 г. 0 мес. 0 дн.</v>
      </c>
      <c r="W2242" s="5"/>
    </row>
    <row r="2243" spans="1:23" ht="34.5" customHeight="1" x14ac:dyDescent="0.25">
      <c r="A2243" s="1">
        <f t="shared" si="118"/>
        <v>2242</v>
      </c>
      <c r="B2243" s="1"/>
      <c r="C2243" s="2"/>
      <c r="H2243" s="1" t="str">
        <f t="shared" si="119"/>
        <v>0 г. 0 мес. 0 дн.</v>
      </c>
      <c r="I2243" s="1" t="s">
        <v>39</v>
      </c>
      <c r="V2243" s="1" t="str">
        <f t="shared" si="117"/>
        <v>0 г. 0 мес. 0 дн.</v>
      </c>
      <c r="W2243" s="5"/>
    </row>
    <row r="2244" spans="1:23" ht="34.5" customHeight="1" x14ac:dyDescent="0.25">
      <c r="A2244" s="1">
        <f t="shared" si="118"/>
        <v>2243</v>
      </c>
      <c r="B2244" s="1"/>
      <c r="C2244" s="2"/>
      <c r="H2244" s="1" t="str">
        <f t="shared" si="119"/>
        <v>0 г. 0 мес. 0 дн.</v>
      </c>
      <c r="I2244" s="1" t="s">
        <v>39</v>
      </c>
      <c r="V2244" s="1" t="str">
        <f t="shared" si="117"/>
        <v>0 г. 0 мес. 0 дн.</v>
      </c>
      <c r="W2244" s="5"/>
    </row>
    <row r="2245" spans="1:23" ht="34.5" customHeight="1" x14ac:dyDescent="0.25">
      <c r="A2245" s="1">
        <f t="shared" si="118"/>
        <v>2244</v>
      </c>
      <c r="B2245" s="1"/>
      <c r="C2245" s="2"/>
      <c r="H2245" s="1" t="str">
        <f t="shared" si="119"/>
        <v>0 г. 0 мес. 0 дн.</v>
      </c>
      <c r="I2245" s="1" t="s">
        <v>39</v>
      </c>
      <c r="V2245" s="1" t="str">
        <f t="shared" si="117"/>
        <v>0 г. 0 мес. 0 дн.</v>
      </c>
      <c r="W2245" s="5"/>
    </row>
    <row r="2246" spans="1:23" ht="34.5" customHeight="1" x14ac:dyDescent="0.25">
      <c r="A2246" s="1">
        <f t="shared" si="118"/>
        <v>2245</v>
      </c>
      <c r="B2246" s="1"/>
      <c r="C2246" s="2"/>
      <c r="H2246" s="1" t="str">
        <f t="shared" si="119"/>
        <v>0 г. 0 мес. 0 дн.</v>
      </c>
      <c r="I2246" s="1" t="s">
        <v>39</v>
      </c>
      <c r="V2246" s="1" t="str">
        <f t="shared" si="117"/>
        <v>0 г. 0 мес. 0 дн.</v>
      </c>
      <c r="W2246" s="5"/>
    </row>
    <row r="2247" spans="1:23" ht="34.5" customHeight="1" x14ac:dyDescent="0.25">
      <c r="A2247" s="1">
        <f t="shared" si="118"/>
        <v>2246</v>
      </c>
      <c r="B2247" s="1"/>
      <c r="C2247" s="2"/>
      <c r="H2247" s="1" t="str">
        <f t="shared" si="119"/>
        <v>0 г. 0 мес. 0 дн.</v>
      </c>
      <c r="I2247" s="1" t="s">
        <v>39</v>
      </c>
      <c r="V2247" s="1" t="str">
        <f t="shared" si="117"/>
        <v>0 г. 0 мес. 0 дн.</v>
      </c>
      <c r="W2247" s="5"/>
    </row>
    <row r="2248" spans="1:23" ht="34.5" customHeight="1" x14ac:dyDescent="0.25">
      <c r="A2248" s="1">
        <f t="shared" si="118"/>
        <v>2247</v>
      </c>
      <c r="B2248" s="1"/>
      <c r="C2248" s="2"/>
      <c r="H2248" s="1" t="str">
        <f t="shared" si="119"/>
        <v>0 г. 0 мес. 0 дн.</v>
      </c>
      <c r="I2248" s="1" t="s">
        <v>39</v>
      </c>
      <c r="V2248" s="1" t="str">
        <f t="shared" si="117"/>
        <v>0 г. 0 мес. 0 дн.</v>
      </c>
      <c r="W2248" s="5"/>
    </row>
    <row r="2249" spans="1:23" ht="34.5" customHeight="1" x14ac:dyDescent="0.25">
      <c r="A2249" s="1">
        <f t="shared" si="118"/>
        <v>2248</v>
      </c>
      <c r="B2249" s="1"/>
      <c r="C2249" s="2"/>
      <c r="H2249" s="1" t="str">
        <f t="shared" si="119"/>
        <v>0 г. 0 мес. 0 дн.</v>
      </c>
      <c r="I2249" s="1" t="s">
        <v>39</v>
      </c>
      <c r="V2249" s="1" t="str">
        <f t="shared" si="117"/>
        <v>0 г. 0 мес. 0 дн.</v>
      </c>
      <c r="W2249" s="5"/>
    </row>
    <row r="2250" spans="1:23" ht="34.5" customHeight="1" x14ac:dyDescent="0.25">
      <c r="A2250" s="1">
        <f t="shared" si="118"/>
        <v>2249</v>
      </c>
      <c r="B2250" s="1"/>
      <c r="C2250" s="2"/>
      <c r="H2250" s="1" t="str">
        <f t="shared" si="119"/>
        <v>0 г. 0 мес. 0 дн.</v>
      </c>
      <c r="I2250" s="1" t="s">
        <v>39</v>
      </c>
      <c r="V2250" s="1" t="str">
        <f t="shared" si="117"/>
        <v>0 г. 0 мес. 0 дн.</v>
      </c>
      <c r="W2250" s="5"/>
    </row>
    <row r="2251" spans="1:23" ht="34.5" customHeight="1" x14ac:dyDescent="0.25">
      <c r="A2251" s="1">
        <f t="shared" si="118"/>
        <v>2250</v>
      </c>
      <c r="B2251" s="1"/>
      <c r="C2251" s="2"/>
      <c r="H2251" s="1" t="str">
        <f t="shared" si="119"/>
        <v>0 г. 0 мес. 0 дн.</v>
      </c>
      <c r="I2251" s="1" t="s">
        <v>39</v>
      </c>
      <c r="V2251" s="1" t="str">
        <f t="shared" si="117"/>
        <v>0 г. 0 мес. 0 дн.</v>
      </c>
      <c r="W2251" s="5"/>
    </row>
    <row r="2252" spans="1:23" ht="34.5" customHeight="1" x14ac:dyDescent="0.25">
      <c r="A2252" s="1">
        <f t="shared" si="118"/>
        <v>2251</v>
      </c>
      <c r="B2252" s="1"/>
      <c r="C2252" s="2"/>
      <c r="H2252" s="1" t="str">
        <f t="shared" si="119"/>
        <v>0 г. 0 мес. 0 дн.</v>
      </c>
      <c r="I2252" s="1" t="s">
        <v>39</v>
      </c>
      <c r="V2252" s="1" t="str">
        <f t="shared" si="117"/>
        <v>0 г. 0 мес. 0 дн.</v>
      </c>
      <c r="W2252" s="5"/>
    </row>
    <row r="2253" spans="1:23" ht="34.5" customHeight="1" x14ac:dyDescent="0.25">
      <c r="A2253" s="1">
        <f t="shared" si="118"/>
        <v>2252</v>
      </c>
      <c r="B2253" s="1"/>
      <c r="C2253" s="2"/>
      <c r="H2253" s="1" t="str">
        <f t="shared" si="119"/>
        <v>0 г. 0 мес. 0 дн.</v>
      </c>
      <c r="I2253" s="1" t="s">
        <v>39</v>
      </c>
      <c r="V2253" s="1" t="str">
        <f t="shared" si="117"/>
        <v>0 г. 0 мес. 0 дн.</v>
      </c>
      <c r="W2253" s="5"/>
    </row>
    <row r="2254" spans="1:23" ht="34.5" customHeight="1" x14ac:dyDescent="0.25">
      <c r="A2254" s="1">
        <f t="shared" si="118"/>
        <v>2253</v>
      </c>
      <c r="B2254" s="1"/>
      <c r="C2254" s="2"/>
      <c r="H2254" s="1" t="str">
        <f t="shared" si="119"/>
        <v>0 г. 0 мес. 0 дн.</v>
      </c>
      <c r="I2254" s="1" t="s">
        <v>39</v>
      </c>
      <c r="V2254" s="1" t="str">
        <f t="shared" si="117"/>
        <v>0 г. 0 мес. 0 дн.</v>
      </c>
      <c r="W2254" s="5"/>
    </row>
    <row r="2255" spans="1:23" ht="34.5" customHeight="1" x14ac:dyDescent="0.25">
      <c r="A2255" s="1">
        <f t="shared" si="118"/>
        <v>2254</v>
      </c>
      <c r="B2255" s="1"/>
      <c r="C2255" s="2"/>
      <c r="H2255" s="1" t="str">
        <f t="shared" si="119"/>
        <v>0 г. 0 мес. 0 дн.</v>
      </c>
      <c r="I2255" s="1" t="s">
        <v>39</v>
      </c>
      <c r="V2255" s="1" t="str">
        <f t="shared" si="117"/>
        <v>0 г. 0 мес. 0 дн.</v>
      </c>
      <c r="W2255" s="5"/>
    </row>
    <row r="2256" spans="1:23" ht="34.5" customHeight="1" x14ac:dyDescent="0.25">
      <c r="A2256" s="1">
        <f t="shared" si="118"/>
        <v>2255</v>
      </c>
      <c r="B2256" s="1"/>
      <c r="C2256" s="2"/>
      <c r="H2256" s="1" t="str">
        <f t="shared" si="119"/>
        <v>0 г. 0 мес. 0 дн.</v>
      </c>
      <c r="I2256" s="1" t="s">
        <v>39</v>
      </c>
      <c r="V2256" s="1" t="str">
        <f t="shared" si="117"/>
        <v>0 г. 0 мес. 0 дн.</v>
      </c>
      <c r="W2256" s="5"/>
    </row>
    <row r="2257" spans="1:23" ht="34.5" customHeight="1" x14ac:dyDescent="0.25">
      <c r="A2257" s="1">
        <f t="shared" si="118"/>
        <v>2256</v>
      </c>
      <c r="B2257" s="1"/>
      <c r="C2257" s="2"/>
      <c r="H2257" s="1" t="str">
        <f t="shared" si="119"/>
        <v>0 г. 0 мес. 0 дн.</v>
      </c>
      <c r="I2257" s="1" t="s">
        <v>39</v>
      </c>
      <c r="V2257" s="1" t="str">
        <f t="shared" si="117"/>
        <v>0 г. 0 мес. 0 дн.</v>
      </c>
      <c r="W2257" s="5"/>
    </row>
    <row r="2258" spans="1:23" ht="34.5" customHeight="1" x14ac:dyDescent="0.25">
      <c r="A2258" s="1">
        <f t="shared" si="118"/>
        <v>2257</v>
      </c>
      <c r="B2258" s="1"/>
      <c r="C2258" s="2"/>
      <c r="H2258" s="1" t="str">
        <f t="shared" si="119"/>
        <v>0 г. 0 мес. 0 дн.</v>
      </c>
      <c r="I2258" s="1" t="s">
        <v>39</v>
      </c>
      <c r="V2258" s="1" t="str">
        <f t="shared" si="117"/>
        <v>0 г. 0 мес. 0 дн.</v>
      </c>
      <c r="W2258" s="5"/>
    </row>
    <row r="2259" spans="1:23" ht="34.5" customHeight="1" x14ac:dyDescent="0.25">
      <c r="A2259" s="1">
        <f t="shared" si="118"/>
        <v>2258</v>
      </c>
      <c r="B2259" s="1"/>
      <c r="C2259" s="2"/>
      <c r="H2259" s="1" t="str">
        <f t="shared" si="119"/>
        <v>0 г. 0 мес. 0 дн.</v>
      </c>
      <c r="I2259" s="1" t="s">
        <v>39</v>
      </c>
      <c r="V2259" s="1" t="str">
        <f t="shared" si="117"/>
        <v>0 г. 0 мес. 0 дн.</v>
      </c>
      <c r="W2259" s="5"/>
    </row>
    <row r="2260" spans="1:23" ht="34.5" customHeight="1" x14ac:dyDescent="0.25">
      <c r="A2260" s="1">
        <f t="shared" si="118"/>
        <v>2259</v>
      </c>
      <c r="B2260" s="1"/>
      <c r="C2260" s="2"/>
      <c r="H2260" s="1" t="str">
        <f t="shared" si="119"/>
        <v>0 г. 0 мес. 0 дн.</v>
      </c>
      <c r="I2260" s="1" t="s">
        <v>39</v>
      </c>
      <c r="V2260" s="1" t="str">
        <f t="shared" si="117"/>
        <v>0 г. 0 мес. 0 дн.</v>
      </c>
      <c r="W2260" s="5"/>
    </row>
    <row r="2261" spans="1:23" ht="34.5" customHeight="1" x14ac:dyDescent="0.25">
      <c r="A2261" s="1">
        <f t="shared" si="118"/>
        <v>2260</v>
      </c>
      <c r="B2261" s="1"/>
      <c r="C2261" s="2"/>
      <c r="H2261" s="1" t="str">
        <f t="shared" si="119"/>
        <v>0 г. 0 мес. 0 дн.</v>
      </c>
      <c r="I2261" s="1" t="s">
        <v>39</v>
      </c>
      <c r="V2261" s="1" t="str">
        <f t="shared" si="117"/>
        <v>0 г. 0 мес. 0 дн.</v>
      </c>
      <c r="W2261" s="5"/>
    </row>
    <row r="2262" spans="1:23" ht="34.5" customHeight="1" x14ac:dyDescent="0.25">
      <c r="A2262" s="1">
        <f t="shared" si="118"/>
        <v>2261</v>
      </c>
      <c r="B2262" s="1"/>
      <c r="C2262" s="2"/>
      <c r="H2262" s="1" t="str">
        <f t="shared" si="119"/>
        <v>0 г. 0 мес. 0 дн.</v>
      </c>
      <c r="I2262" s="1" t="s">
        <v>39</v>
      </c>
      <c r="V2262" s="1" t="str">
        <f t="shared" si="117"/>
        <v>0 г. 0 мес. 0 дн.</v>
      </c>
      <c r="W2262" s="5"/>
    </row>
    <row r="2263" spans="1:23" ht="34.5" customHeight="1" x14ac:dyDescent="0.25">
      <c r="A2263" s="1">
        <f t="shared" si="118"/>
        <v>2262</v>
      </c>
      <c r="B2263" s="1"/>
      <c r="C2263" s="2"/>
      <c r="H2263" s="1" t="str">
        <f t="shared" si="119"/>
        <v>0 г. 0 мес. 0 дн.</v>
      </c>
      <c r="I2263" s="1" t="s">
        <v>39</v>
      </c>
      <c r="V2263" s="1" t="str">
        <f t="shared" si="117"/>
        <v>0 г. 0 мес. 0 дн.</v>
      </c>
      <c r="W2263" s="5"/>
    </row>
    <row r="2264" spans="1:23" ht="34.5" customHeight="1" x14ac:dyDescent="0.25">
      <c r="A2264" s="1">
        <f t="shared" si="118"/>
        <v>2263</v>
      </c>
      <c r="B2264" s="1"/>
      <c r="C2264" s="2"/>
      <c r="H2264" s="1" t="str">
        <f t="shared" si="119"/>
        <v>0 г. 0 мес. 0 дн.</v>
      </c>
      <c r="I2264" s="1" t="s">
        <v>39</v>
      </c>
      <c r="V2264" s="1" t="str">
        <f t="shared" si="117"/>
        <v>0 г. 0 мес. 0 дн.</v>
      </c>
      <c r="W2264" s="5"/>
    </row>
    <row r="2265" spans="1:23" ht="34.5" customHeight="1" x14ac:dyDescent="0.25">
      <c r="A2265" s="1">
        <f t="shared" si="118"/>
        <v>2264</v>
      </c>
      <c r="B2265" s="1"/>
      <c r="C2265" s="2"/>
      <c r="H2265" s="1" t="str">
        <f t="shared" si="119"/>
        <v>0 г. 0 мес. 0 дн.</v>
      </c>
      <c r="I2265" s="1" t="s">
        <v>39</v>
      </c>
      <c r="V2265" s="1" t="str">
        <f t="shared" si="117"/>
        <v>0 г. 0 мес. 0 дн.</v>
      </c>
      <c r="W2265" s="5"/>
    </row>
    <row r="2266" spans="1:23" ht="34.5" customHeight="1" x14ac:dyDescent="0.25">
      <c r="A2266" s="1">
        <f t="shared" si="118"/>
        <v>2265</v>
      </c>
      <c r="B2266" s="1"/>
      <c r="C2266" s="2"/>
      <c r="H2266" s="1" t="str">
        <f t="shared" si="119"/>
        <v>0 г. 0 мес. 0 дн.</v>
      </c>
      <c r="I2266" s="1" t="s">
        <v>39</v>
      </c>
      <c r="V2266" s="1" t="str">
        <f t="shared" si="117"/>
        <v>0 г. 0 мес. 0 дн.</v>
      </c>
      <c r="W2266" s="5"/>
    </row>
    <row r="2267" spans="1:23" ht="34.5" customHeight="1" x14ac:dyDescent="0.25">
      <c r="A2267" s="1">
        <f t="shared" si="118"/>
        <v>2266</v>
      </c>
      <c r="B2267" s="1"/>
      <c r="C2267" s="2"/>
      <c r="H2267" s="1" t="str">
        <f t="shared" si="119"/>
        <v>0 г. 0 мес. 0 дн.</v>
      </c>
      <c r="I2267" s="1" t="s">
        <v>39</v>
      </c>
      <c r="V2267" s="1" t="str">
        <f t="shared" si="117"/>
        <v>0 г. 0 мес. 0 дн.</v>
      </c>
      <c r="W2267" s="5"/>
    </row>
    <row r="2268" spans="1:23" ht="34.5" customHeight="1" x14ac:dyDescent="0.25">
      <c r="A2268" s="1">
        <f t="shared" si="118"/>
        <v>2267</v>
      </c>
      <c r="B2268" s="1"/>
      <c r="C2268" s="2"/>
      <c r="H2268" s="1" t="str">
        <f t="shared" si="119"/>
        <v>0 г. 0 мес. 0 дн.</v>
      </c>
      <c r="I2268" s="1" t="s">
        <v>39</v>
      </c>
      <c r="V2268" s="1" t="str">
        <f t="shared" si="117"/>
        <v>0 г. 0 мес. 0 дн.</v>
      </c>
      <c r="W2268" s="5"/>
    </row>
    <row r="2269" spans="1:23" ht="34.5" customHeight="1" x14ac:dyDescent="0.25">
      <c r="A2269" s="1">
        <f t="shared" si="118"/>
        <v>2268</v>
      </c>
      <c r="B2269" s="1"/>
      <c r="C2269" s="2"/>
      <c r="H2269" s="1" t="str">
        <f t="shared" si="119"/>
        <v>0 г. 0 мес. 0 дн.</v>
      </c>
      <c r="I2269" s="1" t="s">
        <v>39</v>
      </c>
      <c r="V2269" s="1" t="str">
        <f t="shared" si="117"/>
        <v>0 г. 0 мес. 0 дн.</v>
      </c>
      <c r="W2269" s="5"/>
    </row>
    <row r="2270" spans="1:23" ht="34.5" customHeight="1" x14ac:dyDescent="0.25">
      <c r="A2270" s="1">
        <f t="shared" si="118"/>
        <v>2269</v>
      </c>
      <c r="B2270" s="1"/>
      <c r="C2270" s="2"/>
      <c r="H2270" s="1" t="str">
        <f t="shared" si="119"/>
        <v>0 г. 0 мес. 0 дн.</v>
      </c>
      <c r="I2270" s="1" t="s">
        <v>39</v>
      </c>
      <c r="V2270" s="1" t="str">
        <f t="shared" si="117"/>
        <v>0 г. 0 мес. 0 дн.</v>
      </c>
      <c r="W2270" s="5"/>
    </row>
    <row r="2271" spans="1:23" ht="34.5" customHeight="1" x14ac:dyDescent="0.25">
      <c r="A2271" s="1">
        <f t="shared" si="118"/>
        <v>2270</v>
      </c>
      <c r="B2271" s="1"/>
      <c r="C2271" s="2"/>
      <c r="H2271" s="1" t="str">
        <f t="shared" si="119"/>
        <v>0 г. 0 мес. 0 дн.</v>
      </c>
      <c r="I2271" s="1" t="s">
        <v>39</v>
      </c>
      <c r="V2271" s="1" t="str">
        <f t="shared" si="117"/>
        <v>0 г. 0 мес. 0 дн.</v>
      </c>
      <c r="W2271" s="5"/>
    </row>
    <row r="2272" spans="1:23" ht="34.5" customHeight="1" x14ac:dyDescent="0.25">
      <c r="A2272" s="1">
        <f t="shared" si="118"/>
        <v>2271</v>
      </c>
      <c r="B2272" s="1"/>
      <c r="C2272" s="2"/>
      <c r="H2272" s="1" t="str">
        <f t="shared" si="119"/>
        <v>0 г. 0 мес. 0 дн.</v>
      </c>
      <c r="I2272" s="1" t="s">
        <v>39</v>
      </c>
      <c r="V2272" s="1" t="str">
        <f t="shared" si="117"/>
        <v>0 г. 0 мес. 0 дн.</v>
      </c>
      <c r="W2272" s="5"/>
    </row>
    <row r="2273" spans="1:23" ht="34.5" customHeight="1" x14ac:dyDescent="0.25">
      <c r="A2273" s="1">
        <f t="shared" si="118"/>
        <v>2272</v>
      </c>
      <c r="B2273" s="1"/>
      <c r="C2273" s="2"/>
      <c r="H2273" s="1" t="str">
        <f t="shared" si="119"/>
        <v>0 г. 0 мес. 0 дн.</v>
      </c>
      <c r="I2273" s="1" t="s">
        <v>39</v>
      </c>
      <c r="V2273" s="1" t="str">
        <f t="shared" si="117"/>
        <v>0 г. 0 мес. 0 дн.</v>
      </c>
      <c r="W2273" s="5"/>
    </row>
    <row r="2274" spans="1:23" ht="34.5" customHeight="1" x14ac:dyDescent="0.25">
      <c r="A2274" s="1">
        <f t="shared" si="118"/>
        <v>2273</v>
      </c>
      <c r="B2274" s="1"/>
      <c r="C2274" s="2"/>
      <c r="H2274" s="1" t="str">
        <f t="shared" si="119"/>
        <v>0 г. 0 мес. 0 дн.</v>
      </c>
      <c r="I2274" s="1" t="s">
        <v>39</v>
      </c>
      <c r="V2274" s="1" t="str">
        <f t="shared" si="117"/>
        <v>0 г. 0 мес. 0 дн.</v>
      </c>
      <c r="W2274" s="5"/>
    </row>
    <row r="2275" spans="1:23" ht="34.5" customHeight="1" x14ac:dyDescent="0.25">
      <c r="A2275" s="1">
        <f t="shared" si="118"/>
        <v>2274</v>
      </c>
      <c r="B2275" s="1"/>
      <c r="C2275" s="2"/>
      <c r="H2275" s="1" t="str">
        <f t="shared" si="119"/>
        <v>0 г. 0 мес. 0 дн.</v>
      </c>
      <c r="I2275" s="1" t="s">
        <v>39</v>
      </c>
      <c r="V2275" s="1" t="str">
        <f t="shared" si="117"/>
        <v>0 г. 0 мес. 0 дн.</v>
      </c>
      <c r="W2275" s="5"/>
    </row>
    <row r="2276" spans="1:23" ht="34.5" customHeight="1" x14ac:dyDescent="0.25">
      <c r="A2276" s="1">
        <f t="shared" si="118"/>
        <v>2275</v>
      </c>
      <c r="B2276" s="1"/>
      <c r="C2276" s="2"/>
      <c r="H2276" s="1" t="str">
        <f t="shared" si="119"/>
        <v>0 г. 0 мес. 0 дн.</v>
      </c>
      <c r="I2276" s="1" t="s">
        <v>39</v>
      </c>
      <c r="V2276" s="1" t="str">
        <f t="shared" si="117"/>
        <v>0 г. 0 мес. 0 дн.</v>
      </c>
      <c r="W2276" s="5"/>
    </row>
    <row r="2277" spans="1:23" ht="34.5" customHeight="1" x14ac:dyDescent="0.25">
      <c r="A2277" s="1">
        <f t="shared" si="118"/>
        <v>2276</v>
      </c>
      <c r="B2277" s="1"/>
      <c r="C2277" s="2"/>
      <c r="H2277" s="1" t="str">
        <f t="shared" si="119"/>
        <v>0 г. 0 мес. 0 дн.</v>
      </c>
      <c r="I2277" s="1" t="s">
        <v>39</v>
      </c>
      <c r="V2277" s="1" t="str">
        <f t="shared" si="117"/>
        <v>0 г. 0 мес. 0 дн.</v>
      </c>
      <c r="W2277" s="5"/>
    </row>
    <row r="2278" spans="1:23" ht="34.5" customHeight="1" x14ac:dyDescent="0.25">
      <c r="A2278" s="1">
        <f t="shared" si="118"/>
        <v>2277</v>
      </c>
      <c r="B2278" s="1"/>
      <c r="C2278" s="2"/>
      <c r="H2278" s="1" t="str">
        <f t="shared" si="119"/>
        <v>0 г. 0 мес. 0 дн.</v>
      </c>
      <c r="I2278" s="1" t="s">
        <v>39</v>
      </c>
      <c r="V2278" s="1" t="str">
        <f t="shared" si="117"/>
        <v>0 г. 0 мес. 0 дн.</v>
      </c>
      <c r="W2278" s="5"/>
    </row>
    <row r="2279" spans="1:23" ht="34.5" customHeight="1" x14ac:dyDescent="0.25">
      <c r="A2279" s="1">
        <f t="shared" si="118"/>
        <v>2278</v>
      </c>
      <c r="B2279" s="1"/>
      <c r="C2279" s="2"/>
      <c r="H2279" s="1" t="str">
        <f t="shared" si="119"/>
        <v>0 г. 0 мес. 0 дн.</v>
      </c>
      <c r="I2279" s="1" t="s">
        <v>39</v>
      </c>
      <c r="V2279" s="1" t="str">
        <f t="shared" si="117"/>
        <v>0 г. 0 мес. 0 дн.</v>
      </c>
      <c r="W2279" s="5"/>
    </row>
    <row r="2280" spans="1:23" ht="34.5" customHeight="1" x14ac:dyDescent="0.25">
      <c r="A2280" s="1">
        <f t="shared" si="118"/>
        <v>2279</v>
      </c>
      <c r="B2280" s="1"/>
      <c r="C2280" s="2"/>
      <c r="H2280" s="1" t="str">
        <f t="shared" si="119"/>
        <v>0 г. 0 мес. 0 дн.</v>
      </c>
      <c r="I2280" s="1" t="s">
        <v>39</v>
      </c>
      <c r="V2280" s="1" t="str">
        <f t="shared" si="117"/>
        <v>0 г. 0 мес. 0 дн.</v>
      </c>
      <c r="W2280" s="5"/>
    </row>
    <row r="2281" spans="1:23" ht="34.5" customHeight="1" x14ac:dyDescent="0.25">
      <c r="A2281" s="1">
        <f t="shared" si="118"/>
        <v>2280</v>
      </c>
      <c r="B2281" s="1"/>
      <c r="C2281" s="2"/>
      <c r="H2281" s="1" t="str">
        <f t="shared" si="119"/>
        <v>0 г. 0 мес. 0 дн.</v>
      </c>
      <c r="I2281" s="1" t="s">
        <v>39</v>
      </c>
      <c r="V2281" s="1" t="str">
        <f t="shared" si="117"/>
        <v>0 г. 0 мес. 0 дн.</v>
      </c>
      <c r="W2281" s="5"/>
    </row>
    <row r="2282" spans="1:23" ht="34.5" customHeight="1" x14ac:dyDescent="0.25">
      <c r="A2282" s="1">
        <f t="shared" si="118"/>
        <v>2281</v>
      </c>
      <c r="B2282" s="1"/>
      <c r="C2282" s="2"/>
      <c r="H2282" s="1" t="str">
        <f t="shared" si="119"/>
        <v>0 г. 0 мес. 0 дн.</v>
      </c>
      <c r="I2282" s="1" t="s">
        <v>39</v>
      </c>
      <c r="V2282" s="1" t="str">
        <f t="shared" si="117"/>
        <v>0 г. 0 мес. 0 дн.</v>
      </c>
      <c r="W2282" s="5"/>
    </row>
    <row r="2283" spans="1:23" ht="34.5" customHeight="1" x14ac:dyDescent="0.25">
      <c r="A2283" s="1">
        <f t="shared" si="118"/>
        <v>2282</v>
      </c>
      <c r="B2283" s="1"/>
      <c r="C2283" s="2"/>
      <c r="H2283" s="1" t="str">
        <f t="shared" si="119"/>
        <v>0 г. 0 мес. 0 дн.</v>
      </c>
      <c r="I2283" s="1" t="s">
        <v>39</v>
      </c>
      <c r="V2283" s="1" t="str">
        <f t="shared" si="117"/>
        <v>0 г. 0 мес. 0 дн.</v>
      </c>
      <c r="W2283" s="5"/>
    </row>
    <row r="2284" spans="1:23" ht="34.5" customHeight="1" x14ac:dyDescent="0.25">
      <c r="A2284" s="1">
        <f t="shared" si="118"/>
        <v>2283</v>
      </c>
      <c r="B2284" s="1"/>
      <c r="C2284" s="2"/>
      <c r="H2284" s="1" t="str">
        <f t="shared" si="119"/>
        <v>0 г. 0 мес. 0 дн.</v>
      </c>
      <c r="I2284" s="1" t="s">
        <v>39</v>
      </c>
      <c r="V2284" s="1" t="str">
        <f t="shared" si="117"/>
        <v>0 г. 0 мес. 0 дн.</v>
      </c>
      <c r="W2284" s="5"/>
    </row>
    <row r="2285" spans="1:23" ht="34.5" customHeight="1" x14ac:dyDescent="0.25">
      <c r="A2285" s="1">
        <f t="shared" si="118"/>
        <v>2284</v>
      </c>
      <c r="B2285" s="1"/>
      <c r="C2285" s="2"/>
      <c r="H2285" s="1" t="str">
        <f t="shared" si="119"/>
        <v>0 г. 0 мес. 0 дн.</v>
      </c>
      <c r="I2285" s="1" t="s">
        <v>39</v>
      </c>
      <c r="V2285" s="1" t="str">
        <f t="shared" si="117"/>
        <v>0 г. 0 мес. 0 дн.</v>
      </c>
      <c r="W2285" s="5"/>
    </row>
    <row r="2286" spans="1:23" ht="34.5" customHeight="1" x14ac:dyDescent="0.25">
      <c r="A2286" s="1">
        <f t="shared" si="118"/>
        <v>2285</v>
      </c>
      <c r="B2286" s="1"/>
      <c r="C2286" s="2"/>
      <c r="H2286" s="1" t="str">
        <f t="shared" si="119"/>
        <v>0 г. 0 мес. 0 дн.</v>
      </c>
      <c r="I2286" s="1" t="s">
        <v>39</v>
      </c>
      <c r="V2286" s="1" t="str">
        <f t="shared" si="117"/>
        <v>0 г. 0 мес. 0 дн.</v>
      </c>
      <c r="W2286" s="5"/>
    </row>
    <row r="2287" spans="1:23" ht="34.5" customHeight="1" x14ac:dyDescent="0.25">
      <c r="A2287" s="1">
        <f t="shared" si="118"/>
        <v>2286</v>
      </c>
      <c r="B2287" s="1"/>
      <c r="C2287" s="2"/>
      <c r="H2287" s="1" t="str">
        <f t="shared" si="119"/>
        <v>0 г. 0 мес. 0 дн.</v>
      </c>
      <c r="I2287" s="1" t="s">
        <v>39</v>
      </c>
      <c r="V2287" s="1" t="str">
        <f t="shared" si="117"/>
        <v>0 г. 0 мес. 0 дн.</v>
      </c>
      <c r="W2287" s="5"/>
    </row>
    <row r="2288" spans="1:23" ht="34.5" customHeight="1" x14ac:dyDescent="0.25">
      <c r="A2288" s="1">
        <f t="shared" si="118"/>
        <v>2287</v>
      </c>
      <c r="B2288" s="1"/>
      <c r="C2288" s="2"/>
      <c r="H2288" s="1" t="str">
        <f t="shared" si="119"/>
        <v>0 г. 0 мес. 0 дн.</v>
      </c>
      <c r="I2288" s="1" t="s">
        <v>39</v>
      </c>
      <c r="V2288" s="1" t="str">
        <f t="shared" si="117"/>
        <v>0 г. 0 мес. 0 дн.</v>
      </c>
      <c r="W2288" s="5"/>
    </row>
    <row r="2289" spans="1:23" ht="34.5" customHeight="1" x14ac:dyDescent="0.25">
      <c r="A2289" s="1">
        <f t="shared" si="118"/>
        <v>2288</v>
      </c>
      <c r="B2289" s="1"/>
      <c r="C2289" s="2"/>
      <c r="H2289" s="1" t="str">
        <f t="shared" si="119"/>
        <v>0 г. 0 мес. 0 дн.</v>
      </c>
      <c r="I2289" s="1" t="s">
        <v>39</v>
      </c>
      <c r="V2289" s="1" t="str">
        <f t="shared" ref="V2289:V2352" si="120">DATEDIF(D2289,T2289,"y") &amp; " г. " &amp; DATEDIF(D2289,T2289,"ym") &amp; " мес. " &amp; DATEDIF(D2289,T2289,"md") &amp; " дн."</f>
        <v>0 г. 0 мес. 0 дн.</v>
      </c>
      <c r="W2289" s="5"/>
    </row>
    <row r="2290" spans="1:23" ht="34.5" customHeight="1" x14ac:dyDescent="0.25">
      <c r="A2290" s="1">
        <f t="shared" si="118"/>
        <v>2289</v>
      </c>
      <c r="B2290" s="1"/>
      <c r="C2290" s="2"/>
      <c r="H2290" s="1" t="str">
        <f t="shared" si="119"/>
        <v>0 г. 0 мес. 0 дн.</v>
      </c>
      <c r="I2290" s="1" t="s">
        <v>39</v>
      </c>
      <c r="V2290" s="1" t="str">
        <f t="shared" si="120"/>
        <v>0 г. 0 мес. 0 дн.</v>
      </c>
      <c r="W2290" s="5"/>
    </row>
    <row r="2291" spans="1:23" ht="34.5" customHeight="1" x14ac:dyDescent="0.25">
      <c r="A2291" s="1">
        <f t="shared" si="118"/>
        <v>2290</v>
      </c>
      <c r="B2291" s="1"/>
      <c r="C2291" s="2"/>
      <c r="H2291" s="1" t="str">
        <f t="shared" si="119"/>
        <v>0 г. 0 мес. 0 дн.</v>
      </c>
      <c r="I2291" s="1" t="s">
        <v>39</v>
      </c>
      <c r="V2291" s="1" t="str">
        <f t="shared" si="120"/>
        <v>0 г. 0 мес. 0 дн.</v>
      </c>
      <c r="W2291" s="5"/>
    </row>
    <row r="2292" spans="1:23" ht="34.5" customHeight="1" x14ac:dyDescent="0.25">
      <c r="A2292" s="1">
        <f t="shared" si="118"/>
        <v>2291</v>
      </c>
      <c r="B2292" s="1"/>
      <c r="C2292" s="2"/>
      <c r="H2292" s="1" t="str">
        <f t="shared" si="119"/>
        <v>0 г. 0 мес. 0 дн.</v>
      </c>
      <c r="I2292" s="1" t="s">
        <v>39</v>
      </c>
      <c r="V2292" s="1" t="str">
        <f t="shared" si="120"/>
        <v>0 г. 0 мес. 0 дн.</v>
      </c>
      <c r="W2292" s="5"/>
    </row>
    <row r="2293" spans="1:23" ht="34.5" customHeight="1" x14ac:dyDescent="0.25">
      <c r="A2293" s="1">
        <f t="shared" si="118"/>
        <v>2292</v>
      </c>
      <c r="B2293" s="1"/>
      <c r="C2293" s="2"/>
      <c r="H2293" s="1" t="str">
        <f t="shared" si="119"/>
        <v>0 г. 0 мес. 0 дн.</v>
      </c>
      <c r="I2293" s="1" t="s">
        <v>39</v>
      </c>
      <c r="V2293" s="1" t="str">
        <f t="shared" si="120"/>
        <v>0 г. 0 мес. 0 дн.</v>
      </c>
      <c r="W2293" s="5"/>
    </row>
    <row r="2294" spans="1:23" ht="34.5" customHeight="1" x14ac:dyDescent="0.25">
      <c r="A2294" s="1">
        <f t="shared" si="118"/>
        <v>2293</v>
      </c>
      <c r="B2294" s="1"/>
      <c r="C2294" s="2"/>
      <c r="H2294" s="1" t="str">
        <f t="shared" si="119"/>
        <v>0 г. 0 мес. 0 дн.</v>
      </c>
      <c r="I2294" s="1" t="s">
        <v>39</v>
      </c>
      <c r="V2294" s="1" t="str">
        <f t="shared" si="120"/>
        <v>0 г. 0 мес. 0 дн.</v>
      </c>
      <c r="W2294" s="5"/>
    </row>
    <row r="2295" spans="1:23" ht="34.5" customHeight="1" x14ac:dyDescent="0.25">
      <c r="A2295" s="1">
        <f t="shared" si="118"/>
        <v>2294</v>
      </c>
      <c r="B2295" s="1"/>
      <c r="C2295" s="2"/>
      <c r="H2295" s="1" t="str">
        <f t="shared" si="119"/>
        <v>0 г. 0 мес. 0 дн.</v>
      </c>
      <c r="I2295" s="1" t="s">
        <v>39</v>
      </c>
      <c r="V2295" s="1" t="str">
        <f t="shared" si="120"/>
        <v>0 г. 0 мес. 0 дн.</v>
      </c>
      <c r="W2295" s="5"/>
    </row>
    <row r="2296" spans="1:23" ht="34.5" customHeight="1" x14ac:dyDescent="0.25">
      <c r="A2296" s="1">
        <f t="shared" si="118"/>
        <v>2295</v>
      </c>
      <c r="B2296" s="1"/>
      <c r="C2296" s="2"/>
      <c r="H2296" s="1" t="str">
        <f t="shared" si="119"/>
        <v>0 г. 0 мес. 0 дн.</v>
      </c>
      <c r="I2296" s="1" t="s">
        <v>39</v>
      </c>
      <c r="V2296" s="1" t="str">
        <f t="shared" si="120"/>
        <v>0 г. 0 мес. 0 дн.</v>
      </c>
      <c r="W2296" s="5"/>
    </row>
    <row r="2297" spans="1:23" ht="34.5" customHeight="1" x14ac:dyDescent="0.25">
      <c r="A2297" s="1">
        <f t="shared" si="118"/>
        <v>2296</v>
      </c>
      <c r="B2297" s="1"/>
      <c r="C2297" s="2"/>
      <c r="H2297" s="1" t="str">
        <f t="shared" si="119"/>
        <v>0 г. 0 мес. 0 дн.</v>
      </c>
      <c r="I2297" s="1" t="s">
        <v>39</v>
      </c>
      <c r="V2297" s="1" t="str">
        <f t="shared" si="120"/>
        <v>0 г. 0 мес. 0 дн.</v>
      </c>
      <c r="W2297" s="5"/>
    </row>
    <row r="2298" spans="1:23" ht="34.5" customHeight="1" x14ac:dyDescent="0.25">
      <c r="A2298" s="1">
        <f t="shared" si="118"/>
        <v>2297</v>
      </c>
      <c r="B2298" s="1"/>
      <c r="C2298" s="2"/>
      <c r="H2298" s="1" t="str">
        <f t="shared" si="119"/>
        <v>0 г. 0 мес. 0 дн.</v>
      </c>
      <c r="I2298" s="1" t="s">
        <v>39</v>
      </c>
      <c r="V2298" s="1" t="str">
        <f t="shared" si="120"/>
        <v>0 г. 0 мес. 0 дн.</v>
      </c>
      <c r="W2298" s="5"/>
    </row>
    <row r="2299" spans="1:23" ht="34.5" customHeight="1" x14ac:dyDescent="0.25">
      <c r="A2299" s="1">
        <f t="shared" si="118"/>
        <v>2298</v>
      </c>
      <c r="B2299" s="1"/>
      <c r="C2299" s="2"/>
      <c r="H2299" s="1" t="str">
        <f t="shared" si="119"/>
        <v>0 г. 0 мес. 0 дн.</v>
      </c>
      <c r="I2299" s="1" t="s">
        <v>39</v>
      </c>
      <c r="V2299" s="1" t="str">
        <f t="shared" si="120"/>
        <v>0 г. 0 мес. 0 дн.</v>
      </c>
      <c r="W2299" s="5"/>
    </row>
    <row r="2300" spans="1:23" ht="34.5" customHeight="1" x14ac:dyDescent="0.25">
      <c r="A2300" s="1">
        <f t="shared" si="118"/>
        <v>2299</v>
      </c>
      <c r="B2300" s="1"/>
      <c r="C2300" s="2"/>
      <c r="H2300" s="1" t="str">
        <f t="shared" si="119"/>
        <v>0 г. 0 мес. 0 дн.</v>
      </c>
      <c r="I2300" s="1" t="s">
        <v>39</v>
      </c>
      <c r="V2300" s="1" t="str">
        <f t="shared" si="120"/>
        <v>0 г. 0 мес. 0 дн.</v>
      </c>
      <c r="W2300" s="5"/>
    </row>
    <row r="2301" spans="1:23" ht="34.5" customHeight="1" x14ac:dyDescent="0.25">
      <c r="A2301" s="1">
        <f t="shared" si="118"/>
        <v>2300</v>
      </c>
      <c r="B2301" s="1"/>
      <c r="C2301" s="2"/>
      <c r="H2301" s="1" t="str">
        <f t="shared" si="119"/>
        <v>0 г. 0 мес. 0 дн.</v>
      </c>
      <c r="I2301" s="1" t="s">
        <v>39</v>
      </c>
      <c r="V2301" s="1" t="str">
        <f t="shared" si="120"/>
        <v>0 г. 0 мес. 0 дн.</v>
      </c>
      <c r="W2301" s="5"/>
    </row>
    <row r="2302" spans="1:23" ht="34.5" customHeight="1" x14ac:dyDescent="0.25">
      <c r="A2302" s="1">
        <f t="shared" si="118"/>
        <v>2301</v>
      </c>
      <c r="B2302" s="1"/>
      <c r="C2302" s="2"/>
      <c r="H2302" s="1" t="str">
        <f t="shared" si="119"/>
        <v>0 г. 0 мес. 0 дн.</v>
      </c>
      <c r="I2302" s="1" t="s">
        <v>39</v>
      </c>
      <c r="V2302" s="1" t="str">
        <f t="shared" si="120"/>
        <v>0 г. 0 мес. 0 дн.</v>
      </c>
      <c r="W2302" s="5"/>
    </row>
    <row r="2303" spans="1:23" ht="34.5" customHeight="1" x14ac:dyDescent="0.25">
      <c r="A2303" s="1">
        <f t="shared" si="118"/>
        <v>2302</v>
      </c>
      <c r="B2303" s="1"/>
      <c r="C2303" s="2"/>
      <c r="H2303" s="1" t="str">
        <f t="shared" si="119"/>
        <v>0 г. 0 мес. 0 дн.</v>
      </c>
      <c r="I2303" s="1" t="s">
        <v>39</v>
      </c>
      <c r="V2303" s="1" t="str">
        <f t="shared" si="120"/>
        <v>0 г. 0 мес. 0 дн.</v>
      </c>
      <c r="W2303" s="5"/>
    </row>
    <row r="2304" spans="1:23" ht="34.5" customHeight="1" x14ac:dyDescent="0.25">
      <c r="A2304" s="1">
        <f t="shared" ref="A2304:A2367" si="121">ROW(A2303)</f>
        <v>2303</v>
      </c>
      <c r="B2304" s="1"/>
      <c r="C2304" s="2"/>
      <c r="H2304" s="1" t="str">
        <f t="shared" si="119"/>
        <v>0 г. 0 мес. 0 дн.</v>
      </c>
      <c r="I2304" s="1" t="s">
        <v>39</v>
      </c>
      <c r="V2304" s="1" t="str">
        <f t="shared" si="120"/>
        <v>0 г. 0 мес. 0 дн.</v>
      </c>
      <c r="W2304" s="5"/>
    </row>
    <row r="2305" spans="1:23" ht="34.5" customHeight="1" x14ac:dyDescent="0.25">
      <c r="A2305" s="1">
        <f t="shared" si="121"/>
        <v>2304</v>
      </c>
      <c r="B2305" s="1"/>
      <c r="C2305" s="2"/>
      <c r="H2305" s="1" t="str">
        <f t="shared" si="119"/>
        <v>0 г. 0 мес. 0 дн.</v>
      </c>
      <c r="I2305" s="1" t="s">
        <v>39</v>
      </c>
      <c r="V2305" s="1" t="str">
        <f t="shared" si="120"/>
        <v>0 г. 0 мес. 0 дн.</v>
      </c>
      <c r="W2305" s="5"/>
    </row>
    <row r="2306" spans="1:23" ht="34.5" customHeight="1" x14ac:dyDescent="0.25">
      <c r="A2306" s="1">
        <f t="shared" si="121"/>
        <v>2305</v>
      </c>
      <c r="B2306" s="1"/>
      <c r="C2306" s="2"/>
      <c r="H2306" s="1" t="str">
        <f t="shared" ref="H2306:H2369" si="122">DATEDIF(G2306,D2306,"y") &amp; " г. " &amp; DATEDIF(G2306,D2306,"ym") &amp; " мес. " &amp; DATEDIF(G2306,D2306,"md") &amp; " дн."</f>
        <v>0 г. 0 мес. 0 дн.</v>
      </c>
      <c r="I2306" s="1" t="s">
        <v>39</v>
      </c>
      <c r="V2306" s="1" t="str">
        <f t="shared" si="120"/>
        <v>0 г. 0 мес. 0 дн.</v>
      </c>
      <c r="W2306" s="5"/>
    </row>
    <row r="2307" spans="1:23" ht="34.5" customHeight="1" x14ac:dyDescent="0.25">
      <c r="A2307" s="1">
        <f t="shared" si="121"/>
        <v>2306</v>
      </c>
      <c r="B2307" s="1"/>
      <c r="C2307" s="2"/>
      <c r="H2307" s="1" t="str">
        <f t="shared" si="122"/>
        <v>0 г. 0 мес. 0 дн.</v>
      </c>
      <c r="I2307" s="1" t="s">
        <v>39</v>
      </c>
      <c r="V2307" s="1" t="str">
        <f t="shared" si="120"/>
        <v>0 г. 0 мес. 0 дн.</v>
      </c>
      <c r="W2307" s="5"/>
    </row>
    <row r="2308" spans="1:23" ht="34.5" customHeight="1" x14ac:dyDescent="0.25">
      <c r="A2308" s="1">
        <f t="shared" si="121"/>
        <v>2307</v>
      </c>
      <c r="B2308" s="1"/>
      <c r="C2308" s="2"/>
      <c r="H2308" s="1" t="str">
        <f t="shared" si="122"/>
        <v>0 г. 0 мес. 0 дн.</v>
      </c>
      <c r="I2308" s="1" t="s">
        <v>39</v>
      </c>
      <c r="V2308" s="1" t="str">
        <f t="shared" si="120"/>
        <v>0 г. 0 мес. 0 дн.</v>
      </c>
      <c r="W2308" s="5"/>
    </row>
    <row r="2309" spans="1:23" ht="34.5" customHeight="1" x14ac:dyDescent="0.25">
      <c r="A2309" s="1">
        <f t="shared" si="121"/>
        <v>2308</v>
      </c>
      <c r="B2309" s="1"/>
      <c r="C2309" s="2"/>
      <c r="H2309" s="1" t="str">
        <f t="shared" si="122"/>
        <v>0 г. 0 мес. 0 дн.</v>
      </c>
      <c r="I2309" s="1" t="s">
        <v>39</v>
      </c>
      <c r="V2309" s="1" t="str">
        <f t="shared" si="120"/>
        <v>0 г. 0 мес. 0 дн.</v>
      </c>
      <c r="W2309" s="5"/>
    </row>
    <row r="2310" spans="1:23" ht="34.5" customHeight="1" x14ac:dyDescent="0.25">
      <c r="A2310" s="1">
        <f t="shared" si="121"/>
        <v>2309</v>
      </c>
      <c r="B2310" s="1"/>
      <c r="C2310" s="2"/>
      <c r="H2310" s="1" t="str">
        <f t="shared" si="122"/>
        <v>0 г. 0 мес. 0 дн.</v>
      </c>
      <c r="I2310" s="1" t="s">
        <v>39</v>
      </c>
      <c r="V2310" s="1" t="str">
        <f t="shared" si="120"/>
        <v>0 г. 0 мес. 0 дн.</v>
      </c>
      <c r="W2310" s="5"/>
    </row>
    <row r="2311" spans="1:23" ht="34.5" customHeight="1" x14ac:dyDescent="0.25">
      <c r="A2311" s="1">
        <f t="shared" si="121"/>
        <v>2310</v>
      </c>
      <c r="B2311" s="1"/>
      <c r="C2311" s="2"/>
      <c r="H2311" s="1" t="str">
        <f t="shared" si="122"/>
        <v>0 г. 0 мес. 0 дн.</v>
      </c>
      <c r="I2311" s="1" t="s">
        <v>39</v>
      </c>
      <c r="V2311" s="1" t="str">
        <f t="shared" si="120"/>
        <v>0 г. 0 мес. 0 дн.</v>
      </c>
      <c r="W2311" s="5"/>
    </row>
    <row r="2312" spans="1:23" ht="34.5" customHeight="1" x14ac:dyDescent="0.25">
      <c r="A2312" s="1">
        <f t="shared" si="121"/>
        <v>2311</v>
      </c>
      <c r="B2312" s="1"/>
      <c r="C2312" s="2"/>
      <c r="H2312" s="1" t="str">
        <f t="shared" si="122"/>
        <v>0 г. 0 мес. 0 дн.</v>
      </c>
      <c r="I2312" s="1" t="s">
        <v>39</v>
      </c>
      <c r="V2312" s="1" t="str">
        <f t="shared" si="120"/>
        <v>0 г. 0 мес. 0 дн.</v>
      </c>
      <c r="W2312" s="5"/>
    </row>
    <row r="2313" spans="1:23" ht="34.5" customHeight="1" x14ac:dyDescent="0.25">
      <c r="A2313" s="1">
        <f t="shared" si="121"/>
        <v>2312</v>
      </c>
      <c r="B2313" s="1"/>
      <c r="C2313" s="2"/>
      <c r="H2313" s="1" t="str">
        <f t="shared" si="122"/>
        <v>0 г. 0 мес. 0 дн.</v>
      </c>
      <c r="I2313" s="1" t="s">
        <v>39</v>
      </c>
      <c r="V2313" s="1" t="str">
        <f t="shared" si="120"/>
        <v>0 г. 0 мес. 0 дн.</v>
      </c>
      <c r="W2313" s="5"/>
    </row>
    <row r="2314" spans="1:23" ht="34.5" customHeight="1" x14ac:dyDescent="0.25">
      <c r="A2314" s="1">
        <f t="shared" si="121"/>
        <v>2313</v>
      </c>
      <c r="B2314" s="1"/>
      <c r="C2314" s="2"/>
      <c r="H2314" s="1" t="str">
        <f t="shared" si="122"/>
        <v>0 г. 0 мес. 0 дн.</v>
      </c>
      <c r="I2314" s="1" t="s">
        <v>39</v>
      </c>
      <c r="V2314" s="1" t="str">
        <f t="shared" si="120"/>
        <v>0 г. 0 мес. 0 дн.</v>
      </c>
      <c r="W2314" s="5"/>
    </row>
    <row r="2315" spans="1:23" ht="34.5" customHeight="1" x14ac:dyDescent="0.25">
      <c r="A2315" s="1">
        <f t="shared" si="121"/>
        <v>2314</v>
      </c>
      <c r="B2315" s="1"/>
      <c r="C2315" s="2"/>
      <c r="H2315" s="1" t="str">
        <f t="shared" si="122"/>
        <v>0 г. 0 мес. 0 дн.</v>
      </c>
      <c r="I2315" s="1" t="s">
        <v>39</v>
      </c>
      <c r="V2315" s="1" t="str">
        <f t="shared" si="120"/>
        <v>0 г. 0 мес. 0 дн.</v>
      </c>
      <c r="W2315" s="5"/>
    </row>
    <row r="2316" spans="1:23" ht="34.5" customHeight="1" x14ac:dyDescent="0.25">
      <c r="A2316" s="1">
        <f t="shared" si="121"/>
        <v>2315</v>
      </c>
      <c r="B2316" s="1"/>
      <c r="C2316" s="2"/>
      <c r="H2316" s="1" t="str">
        <f t="shared" si="122"/>
        <v>0 г. 0 мес. 0 дн.</v>
      </c>
      <c r="I2316" s="1" t="s">
        <v>39</v>
      </c>
      <c r="V2316" s="1" t="str">
        <f t="shared" si="120"/>
        <v>0 г. 0 мес. 0 дн.</v>
      </c>
      <c r="W2316" s="5"/>
    </row>
    <row r="2317" spans="1:23" ht="34.5" customHeight="1" x14ac:dyDescent="0.25">
      <c r="A2317" s="1">
        <f t="shared" si="121"/>
        <v>2316</v>
      </c>
      <c r="B2317" s="1"/>
      <c r="C2317" s="2"/>
      <c r="H2317" s="1" t="str">
        <f t="shared" si="122"/>
        <v>0 г. 0 мес. 0 дн.</v>
      </c>
      <c r="I2317" s="1" t="s">
        <v>39</v>
      </c>
      <c r="V2317" s="1" t="str">
        <f t="shared" si="120"/>
        <v>0 г. 0 мес. 0 дн.</v>
      </c>
      <c r="W2317" s="5"/>
    </row>
    <row r="2318" spans="1:23" ht="34.5" customHeight="1" x14ac:dyDescent="0.25">
      <c r="A2318" s="1">
        <f t="shared" si="121"/>
        <v>2317</v>
      </c>
      <c r="B2318" s="1"/>
      <c r="C2318" s="2"/>
      <c r="H2318" s="1" t="str">
        <f t="shared" si="122"/>
        <v>0 г. 0 мес. 0 дн.</v>
      </c>
      <c r="I2318" s="1" t="s">
        <v>39</v>
      </c>
      <c r="V2318" s="1" t="str">
        <f t="shared" si="120"/>
        <v>0 г. 0 мес. 0 дн.</v>
      </c>
      <c r="W2318" s="5"/>
    </row>
    <row r="2319" spans="1:23" ht="34.5" customHeight="1" x14ac:dyDescent="0.25">
      <c r="A2319" s="1">
        <f t="shared" si="121"/>
        <v>2318</v>
      </c>
      <c r="B2319" s="1"/>
      <c r="C2319" s="2"/>
      <c r="H2319" s="1" t="str">
        <f t="shared" si="122"/>
        <v>0 г. 0 мес. 0 дн.</v>
      </c>
      <c r="I2319" s="1" t="s">
        <v>39</v>
      </c>
      <c r="V2319" s="1" t="str">
        <f t="shared" si="120"/>
        <v>0 г. 0 мес. 0 дн.</v>
      </c>
      <c r="W2319" s="5"/>
    </row>
    <row r="2320" spans="1:23" ht="34.5" customHeight="1" x14ac:dyDescent="0.25">
      <c r="A2320" s="1">
        <f t="shared" si="121"/>
        <v>2319</v>
      </c>
      <c r="B2320" s="1"/>
      <c r="C2320" s="2"/>
      <c r="H2320" s="1" t="str">
        <f t="shared" si="122"/>
        <v>0 г. 0 мес. 0 дн.</v>
      </c>
      <c r="I2320" s="1" t="s">
        <v>39</v>
      </c>
      <c r="V2320" s="1" t="str">
        <f t="shared" si="120"/>
        <v>0 г. 0 мес. 0 дн.</v>
      </c>
      <c r="W2320" s="5"/>
    </row>
    <row r="2321" spans="1:23" ht="34.5" customHeight="1" x14ac:dyDescent="0.25">
      <c r="A2321" s="1">
        <f t="shared" si="121"/>
        <v>2320</v>
      </c>
      <c r="B2321" s="1"/>
      <c r="C2321" s="2"/>
      <c r="H2321" s="1" t="str">
        <f t="shared" si="122"/>
        <v>0 г. 0 мес. 0 дн.</v>
      </c>
      <c r="I2321" s="1" t="s">
        <v>39</v>
      </c>
      <c r="V2321" s="1" t="str">
        <f t="shared" si="120"/>
        <v>0 г. 0 мес. 0 дн.</v>
      </c>
      <c r="W2321" s="5"/>
    </row>
    <row r="2322" spans="1:23" ht="34.5" customHeight="1" x14ac:dyDescent="0.25">
      <c r="A2322" s="1">
        <f t="shared" si="121"/>
        <v>2321</v>
      </c>
      <c r="B2322" s="1"/>
      <c r="C2322" s="2"/>
      <c r="H2322" s="1" t="str">
        <f t="shared" si="122"/>
        <v>0 г. 0 мес. 0 дн.</v>
      </c>
      <c r="I2322" s="1" t="s">
        <v>39</v>
      </c>
      <c r="V2322" s="1" t="str">
        <f t="shared" si="120"/>
        <v>0 г. 0 мес. 0 дн.</v>
      </c>
      <c r="W2322" s="5"/>
    </row>
    <row r="2323" spans="1:23" ht="34.5" customHeight="1" x14ac:dyDescent="0.25">
      <c r="A2323" s="1">
        <f t="shared" si="121"/>
        <v>2322</v>
      </c>
      <c r="B2323" s="1"/>
      <c r="C2323" s="2"/>
      <c r="H2323" s="1" t="str">
        <f t="shared" si="122"/>
        <v>0 г. 0 мес. 0 дн.</v>
      </c>
      <c r="I2323" s="1" t="s">
        <v>39</v>
      </c>
      <c r="V2323" s="1" t="str">
        <f t="shared" si="120"/>
        <v>0 г. 0 мес. 0 дн.</v>
      </c>
      <c r="W2323" s="5"/>
    </row>
    <row r="2324" spans="1:23" ht="34.5" customHeight="1" x14ac:dyDescent="0.25">
      <c r="A2324" s="1">
        <f t="shared" si="121"/>
        <v>2323</v>
      </c>
      <c r="B2324" s="1"/>
      <c r="C2324" s="2"/>
      <c r="H2324" s="1" t="str">
        <f t="shared" si="122"/>
        <v>0 г. 0 мес. 0 дн.</v>
      </c>
      <c r="I2324" s="1" t="s">
        <v>39</v>
      </c>
      <c r="V2324" s="1" t="str">
        <f t="shared" si="120"/>
        <v>0 г. 0 мес. 0 дн.</v>
      </c>
      <c r="W2324" s="5"/>
    </row>
    <row r="2325" spans="1:23" ht="34.5" customHeight="1" x14ac:dyDescent="0.25">
      <c r="A2325" s="1">
        <f t="shared" si="121"/>
        <v>2324</v>
      </c>
      <c r="B2325" s="1"/>
      <c r="C2325" s="2"/>
      <c r="H2325" s="1" t="str">
        <f t="shared" si="122"/>
        <v>0 г. 0 мес. 0 дн.</v>
      </c>
      <c r="I2325" s="1" t="s">
        <v>39</v>
      </c>
      <c r="V2325" s="1" t="str">
        <f t="shared" si="120"/>
        <v>0 г. 0 мес. 0 дн.</v>
      </c>
      <c r="W2325" s="5"/>
    </row>
    <row r="2326" spans="1:23" ht="34.5" customHeight="1" x14ac:dyDescent="0.25">
      <c r="A2326" s="1">
        <f t="shared" si="121"/>
        <v>2325</v>
      </c>
      <c r="B2326" s="1"/>
      <c r="C2326" s="2"/>
      <c r="H2326" s="1" t="str">
        <f t="shared" si="122"/>
        <v>0 г. 0 мес. 0 дн.</v>
      </c>
      <c r="I2326" s="1" t="s">
        <v>39</v>
      </c>
      <c r="V2326" s="1" t="str">
        <f t="shared" si="120"/>
        <v>0 г. 0 мес. 0 дн.</v>
      </c>
      <c r="W2326" s="5"/>
    </row>
    <row r="2327" spans="1:23" ht="34.5" customHeight="1" x14ac:dyDescent="0.25">
      <c r="A2327" s="1">
        <f t="shared" si="121"/>
        <v>2326</v>
      </c>
      <c r="B2327" s="1"/>
      <c r="C2327" s="2"/>
      <c r="H2327" s="1" t="str">
        <f t="shared" si="122"/>
        <v>0 г. 0 мес. 0 дн.</v>
      </c>
      <c r="I2327" s="1" t="s">
        <v>39</v>
      </c>
      <c r="V2327" s="1" t="str">
        <f t="shared" si="120"/>
        <v>0 г. 0 мес. 0 дн.</v>
      </c>
      <c r="W2327" s="5"/>
    </row>
    <row r="2328" spans="1:23" ht="34.5" customHeight="1" x14ac:dyDescent="0.25">
      <c r="A2328" s="1">
        <f t="shared" si="121"/>
        <v>2327</v>
      </c>
      <c r="B2328" s="1"/>
      <c r="C2328" s="2"/>
      <c r="H2328" s="1" t="str">
        <f t="shared" si="122"/>
        <v>0 г. 0 мес. 0 дн.</v>
      </c>
      <c r="I2328" s="1" t="s">
        <v>39</v>
      </c>
      <c r="V2328" s="1" t="str">
        <f t="shared" si="120"/>
        <v>0 г. 0 мес. 0 дн.</v>
      </c>
      <c r="W2328" s="5"/>
    </row>
    <row r="2329" spans="1:23" ht="34.5" customHeight="1" x14ac:dyDescent="0.25">
      <c r="A2329" s="1">
        <f t="shared" si="121"/>
        <v>2328</v>
      </c>
      <c r="B2329" s="1"/>
      <c r="C2329" s="2"/>
      <c r="H2329" s="1" t="str">
        <f t="shared" si="122"/>
        <v>0 г. 0 мес. 0 дн.</v>
      </c>
      <c r="I2329" s="1" t="s">
        <v>39</v>
      </c>
      <c r="V2329" s="1" t="str">
        <f t="shared" si="120"/>
        <v>0 г. 0 мес. 0 дн.</v>
      </c>
      <c r="W2329" s="5"/>
    </row>
    <row r="2330" spans="1:23" ht="34.5" customHeight="1" x14ac:dyDescent="0.25">
      <c r="A2330" s="1">
        <f t="shared" si="121"/>
        <v>2329</v>
      </c>
      <c r="B2330" s="1"/>
      <c r="C2330" s="2"/>
      <c r="H2330" s="1" t="str">
        <f t="shared" si="122"/>
        <v>0 г. 0 мес. 0 дн.</v>
      </c>
      <c r="I2330" s="1" t="s">
        <v>39</v>
      </c>
      <c r="V2330" s="1" t="str">
        <f t="shared" si="120"/>
        <v>0 г. 0 мес. 0 дн.</v>
      </c>
      <c r="W2330" s="5"/>
    </row>
    <row r="2331" spans="1:23" ht="34.5" customHeight="1" x14ac:dyDescent="0.25">
      <c r="A2331" s="1">
        <f t="shared" si="121"/>
        <v>2330</v>
      </c>
      <c r="B2331" s="1"/>
      <c r="C2331" s="2"/>
      <c r="H2331" s="1" t="str">
        <f t="shared" si="122"/>
        <v>0 г. 0 мес. 0 дн.</v>
      </c>
      <c r="I2331" s="1" t="s">
        <v>39</v>
      </c>
      <c r="V2331" s="1" t="str">
        <f t="shared" si="120"/>
        <v>0 г. 0 мес. 0 дн.</v>
      </c>
      <c r="W2331" s="5"/>
    </row>
    <row r="2332" spans="1:23" ht="34.5" customHeight="1" x14ac:dyDescent="0.25">
      <c r="A2332" s="1">
        <f t="shared" si="121"/>
        <v>2331</v>
      </c>
      <c r="B2332" s="1"/>
      <c r="C2332" s="2"/>
      <c r="H2332" s="1" t="str">
        <f t="shared" si="122"/>
        <v>0 г. 0 мес. 0 дн.</v>
      </c>
      <c r="I2332" s="1" t="s">
        <v>39</v>
      </c>
      <c r="V2332" s="1" t="str">
        <f t="shared" si="120"/>
        <v>0 г. 0 мес. 0 дн.</v>
      </c>
      <c r="W2332" s="5"/>
    </row>
    <row r="2333" spans="1:23" ht="34.5" customHeight="1" x14ac:dyDescent="0.25">
      <c r="A2333" s="1">
        <f t="shared" si="121"/>
        <v>2332</v>
      </c>
      <c r="B2333" s="1"/>
      <c r="C2333" s="2"/>
      <c r="H2333" s="1" t="str">
        <f t="shared" si="122"/>
        <v>0 г. 0 мес. 0 дн.</v>
      </c>
      <c r="I2333" s="1" t="s">
        <v>39</v>
      </c>
      <c r="V2333" s="1" t="str">
        <f t="shared" si="120"/>
        <v>0 г. 0 мес. 0 дн.</v>
      </c>
      <c r="W2333" s="5"/>
    </row>
    <row r="2334" spans="1:23" ht="34.5" customHeight="1" x14ac:dyDescent="0.25">
      <c r="A2334" s="1">
        <f t="shared" si="121"/>
        <v>2333</v>
      </c>
      <c r="B2334" s="1"/>
      <c r="C2334" s="2"/>
      <c r="H2334" s="1" t="str">
        <f t="shared" si="122"/>
        <v>0 г. 0 мес. 0 дн.</v>
      </c>
      <c r="I2334" s="1" t="s">
        <v>39</v>
      </c>
      <c r="V2334" s="1" t="str">
        <f t="shared" si="120"/>
        <v>0 г. 0 мес. 0 дн.</v>
      </c>
      <c r="W2334" s="5"/>
    </row>
    <row r="2335" spans="1:23" ht="34.5" customHeight="1" x14ac:dyDescent="0.25">
      <c r="A2335" s="1">
        <f t="shared" si="121"/>
        <v>2334</v>
      </c>
      <c r="B2335" s="1"/>
      <c r="C2335" s="2"/>
      <c r="H2335" s="1" t="str">
        <f t="shared" si="122"/>
        <v>0 г. 0 мес. 0 дн.</v>
      </c>
      <c r="I2335" s="1" t="s">
        <v>39</v>
      </c>
      <c r="V2335" s="1" t="str">
        <f t="shared" si="120"/>
        <v>0 г. 0 мес. 0 дн.</v>
      </c>
      <c r="W2335" s="5"/>
    </row>
    <row r="2336" spans="1:23" ht="34.5" customHeight="1" x14ac:dyDescent="0.25">
      <c r="A2336" s="1">
        <f t="shared" si="121"/>
        <v>2335</v>
      </c>
      <c r="B2336" s="1"/>
      <c r="C2336" s="2"/>
      <c r="H2336" s="1" t="str">
        <f t="shared" si="122"/>
        <v>0 г. 0 мес. 0 дн.</v>
      </c>
      <c r="I2336" s="1" t="s">
        <v>39</v>
      </c>
      <c r="V2336" s="1" t="str">
        <f t="shared" si="120"/>
        <v>0 г. 0 мес. 0 дн.</v>
      </c>
      <c r="W2336" s="5"/>
    </row>
    <row r="2337" spans="1:23" ht="34.5" customHeight="1" x14ac:dyDescent="0.25">
      <c r="A2337" s="1">
        <f t="shared" si="121"/>
        <v>2336</v>
      </c>
      <c r="B2337" s="1"/>
      <c r="C2337" s="2"/>
      <c r="H2337" s="1" t="str">
        <f t="shared" si="122"/>
        <v>0 г. 0 мес. 0 дн.</v>
      </c>
      <c r="I2337" s="1" t="s">
        <v>39</v>
      </c>
      <c r="V2337" s="1" t="str">
        <f t="shared" si="120"/>
        <v>0 г. 0 мес. 0 дн.</v>
      </c>
      <c r="W2337" s="5"/>
    </row>
    <row r="2338" spans="1:23" ht="34.5" customHeight="1" x14ac:dyDescent="0.25">
      <c r="A2338" s="1">
        <f t="shared" si="121"/>
        <v>2337</v>
      </c>
      <c r="B2338" s="1"/>
      <c r="C2338" s="2"/>
      <c r="H2338" s="1" t="str">
        <f t="shared" si="122"/>
        <v>0 г. 0 мес. 0 дн.</v>
      </c>
      <c r="I2338" s="1" t="s">
        <v>39</v>
      </c>
      <c r="V2338" s="1" t="str">
        <f t="shared" si="120"/>
        <v>0 г. 0 мес. 0 дн.</v>
      </c>
      <c r="W2338" s="5"/>
    </row>
    <row r="2339" spans="1:23" ht="34.5" customHeight="1" x14ac:dyDescent="0.25">
      <c r="A2339" s="1">
        <f t="shared" si="121"/>
        <v>2338</v>
      </c>
      <c r="B2339" s="1"/>
      <c r="C2339" s="2"/>
      <c r="H2339" s="1" t="str">
        <f t="shared" si="122"/>
        <v>0 г. 0 мес. 0 дн.</v>
      </c>
      <c r="I2339" s="1" t="s">
        <v>39</v>
      </c>
      <c r="V2339" s="1" t="str">
        <f t="shared" si="120"/>
        <v>0 г. 0 мес. 0 дн.</v>
      </c>
      <c r="W2339" s="5"/>
    </row>
    <row r="2340" spans="1:23" ht="34.5" customHeight="1" x14ac:dyDescent="0.25">
      <c r="A2340" s="1">
        <f t="shared" si="121"/>
        <v>2339</v>
      </c>
      <c r="B2340" s="1"/>
      <c r="C2340" s="2"/>
      <c r="H2340" s="1" t="str">
        <f t="shared" si="122"/>
        <v>0 г. 0 мес. 0 дн.</v>
      </c>
      <c r="I2340" s="1" t="s">
        <v>39</v>
      </c>
      <c r="V2340" s="1" t="str">
        <f t="shared" si="120"/>
        <v>0 г. 0 мес. 0 дн.</v>
      </c>
      <c r="W2340" s="5"/>
    </row>
    <row r="2341" spans="1:23" ht="34.5" customHeight="1" x14ac:dyDescent="0.25">
      <c r="A2341" s="1">
        <f t="shared" si="121"/>
        <v>2340</v>
      </c>
      <c r="B2341" s="1"/>
      <c r="C2341" s="2"/>
      <c r="H2341" s="1" t="str">
        <f t="shared" si="122"/>
        <v>0 г. 0 мес. 0 дн.</v>
      </c>
      <c r="I2341" s="1" t="s">
        <v>39</v>
      </c>
      <c r="V2341" s="1" t="str">
        <f t="shared" si="120"/>
        <v>0 г. 0 мес. 0 дн.</v>
      </c>
      <c r="W2341" s="5"/>
    </row>
    <row r="2342" spans="1:23" ht="34.5" customHeight="1" x14ac:dyDescent="0.25">
      <c r="A2342" s="1">
        <f t="shared" si="121"/>
        <v>2341</v>
      </c>
      <c r="B2342" s="1"/>
      <c r="C2342" s="2"/>
      <c r="H2342" s="1" t="str">
        <f t="shared" si="122"/>
        <v>0 г. 0 мес. 0 дн.</v>
      </c>
      <c r="I2342" s="1" t="s">
        <v>39</v>
      </c>
      <c r="V2342" s="1" t="str">
        <f t="shared" si="120"/>
        <v>0 г. 0 мес. 0 дн.</v>
      </c>
      <c r="W2342" s="5"/>
    </row>
    <row r="2343" spans="1:23" ht="34.5" customHeight="1" x14ac:dyDescent="0.25">
      <c r="A2343" s="1">
        <f t="shared" si="121"/>
        <v>2342</v>
      </c>
      <c r="B2343" s="1"/>
      <c r="C2343" s="2"/>
      <c r="H2343" s="1" t="str">
        <f t="shared" si="122"/>
        <v>0 г. 0 мес. 0 дн.</v>
      </c>
      <c r="I2343" s="1" t="s">
        <v>39</v>
      </c>
      <c r="V2343" s="1" t="str">
        <f t="shared" si="120"/>
        <v>0 г. 0 мес. 0 дн.</v>
      </c>
      <c r="W2343" s="5"/>
    </row>
    <row r="2344" spans="1:23" ht="34.5" customHeight="1" x14ac:dyDescent="0.25">
      <c r="A2344" s="1">
        <f t="shared" si="121"/>
        <v>2343</v>
      </c>
      <c r="B2344" s="1"/>
      <c r="C2344" s="2"/>
      <c r="H2344" s="1" t="str">
        <f t="shared" si="122"/>
        <v>0 г. 0 мес. 0 дн.</v>
      </c>
      <c r="I2344" s="1" t="s">
        <v>39</v>
      </c>
      <c r="V2344" s="1" t="str">
        <f t="shared" si="120"/>
        <v>0 г. 0 мес. 0 дн.</v>
      </c>
      <c r="W2344" s="5"/>
    </row>
    <row r="2345" spans="1:23" ht="34.5" customHeight="1" x14ac:dyDescent="0.25">
      <c r="A2345" s="1">
        <f t="shared" si="121"/>
        <v>2344</v>
      </c>
      <c r="B2345" s="1"/>
      <c r="C2345" s="2"/>
      <c r="H2345" s="1" t="str">
        <f t="shared" si="122"/>
        <v>0 г. 0 мес. 0 дн.</v>
      </c>
      <c r="I2345" s="1" t="s">
        <v>39</v>
      </c>
      <c r="V2345" s="1" t="str">
        <f t="shared" si="120"/>
        <v>0 г. 0 мес. 0 дн.</v>
      </c>
      <c r="W2345" s="5"/>
    </row>
    <row r="2346" spans="1:23" ht="34.5" customHeight="1" x14ac:dyDescent="0.25">
      <c r="A2346" s="1">
        <f t="shared" si="121"/>
        <v>2345</v>
      </c>
      <c r="B2346" s="1"/>
      <c r="C2346" s="2"/>
      <c r="H2346" s="1" t="str">
        <f t="shared" si="122"/>
        <v>0 г. 0 мес. 0 дн.</v>
      </c>
      <c r="I2346" s="1" t="s">
        <v>39</v>
      </c>
      <c r="V2346" s="1" t="str">
        <f t="shared" si="120"/>
        <v>0 г. 0 мес. 0 дн.</v>
      </c>
      <c r="W2346" s="5"/>
    </row>
    <row r="2347" spans="1:23" ht="34.5" customHeight="1" x14ac:dyDescent="0.25">
      <c r="A2347" s="1">
        <f t="shared" si="121"/>
        <v>2346</v>
      </c>
      <c r="B2347" s="1"/>
      <c r="C2347" s="2"/>
      <c r="H2347" s="1" t="str">
        <f t="shared" si="122"/>
        <v>0 г. 0 мес. 0 дн.</v>
      </c>
      <c r="I2347" s="1" t="s">
        <v>39</v>
      </c>
      <c r="V2347" s="1" t="str">
        <f t="shared" si="120"/>
        <v>0 г. 0 мес. 0 дн.</v>
      </c>
      <c r="W2347" s="5"/>
    </row>
    <row r="2348" spans="1:23" ht="34.5" customHeight="1" x14ac:dyDescent="0.25">
      <c r="A2348" s="1">
        <f t="shared" si="121"/>
        <v>2347</v>
      </c>
      <c r="B2348" s="1"/>
      <c r="C2348" s="2"/>
      <c r="H2348" s="1" t="str">
        <f t="shared" si="122"/>
        <v>0 г. 0 мес. 0 дн.</v>
      </c>
      <c r="I2348" s="1" t="s">
        <v>39</v>
      </c>
      <c r="V2348" s="1" t="str">
        <f t="shared" si="120"/>
        <v>0 г. 0 мес. 0 дн.</v>
      </c>
      <c r="W2348" s="5"/>
    </row>
    <row r="2349" spans="1:23" ht="34.5" customHeight="1" x14ac:dyDescent="0.25">
      <c r="A2349" s="1">
        <f t="shared" si="121"/>
        <v>2348</v>
      </c>
      <c r="B2349" s="1"/>
      <c r="C2349" s="2"/>
      <c r="H2349" s="1" t="str">
        <f t="shared" si="122"/>
        <v>0 г. 0 мес. 0 дн.</v>
      </c>
      <c r="I2349" s="1" t="s">
        <v>39</v>
      </c>
      <c r="V2349" s="1" t="str">
        <f t="shared" si="120"/>
        <v>0 г. 0 мес. 0 дн.</v>
      </c>
      <c r="W2349" s="5"/>
    </row>
    <row r="2350" spans="1:23" ht="34.5" customHeight="1" x14ac:dyDescent="0.25">
      <c r="A2350" s="1">
        <f t="shared" si="121"/>
        <v>2349</v>
      </c>
      <c r="B2350" s="1"/>
      <c r="C2350" s="2"/>
      <c r="H2350" s="1" t="str">
        <f t="shared" si="122"/>
        <v>0 г. 0 мес. 0 дн.</v>
      </c>
      <c r="I2350" s="1" t="s">
        <v>39</v>
      </c>
      <c r="V2350" s="1" t="str">
        <f t="shared" si="120"/>
        <v>0 г. 0 мес. 0 дн.</v>
      </c>
      <c r="W2350" s="5"/>
    </row>
    <row r="2351" spans="1:23" ht="34.5" customHeight="1" x14ac:dyDescent="0.25">
      <c r="A2351" s="1">
        <f t="shared" si="121"/>
        <v>2350</v>
      </c>
      <c r="B2351" s="1"/>
      <c r="C2351" s="2"/>
      <c r="H2351" s="1" t="str">
        <f t="shared" si="122"/>
        <v>0 г. 0 мес. 0 дн.</v>
      </c>
      <c r="I2351" s="1" t="s">
        <v>39</v>
      </c>
      <c r="V2351" s="1" t="str">
        <f t="shared" si="120"/>
        <v>0 г. 0 мес. 0 дн.</v>
      </c>
      <c r="W2351" s="5"/>
    </row>
    <row r="2352" spans="1:23" ht="34.5" customHeight="1" x14ac:dyDescent="0.25">
      <c r="A2352" s="1">
        <f t="shared" si="121"/>
        <v>2351</v>
      </c>
      <c r="B2352" s="1"/>
      <c r="C2352" s="2"/>
      <c r="H2352" s="1" t="str">
        <f t="shared" si="122"/>
        <v>0 г. 0 мес. 0 дн.</v>
      </c>
      <c r="I2352" s="1" t="s">
        <v>39</v>
      </c>
      <c r="V2352" s="1" t="str">
        <f t="shared" si="120"/>
        <v>0 г. 0 мес. 0 дн.</v>
      </c>
      <c r="W2352" s="5"/>
    </row>
    <row r="2353" spans="1:23" ht="34.5" customHeight="1" x14ac:dyDescent="0.25">
      <c r="A2353" s="1">
        <f t="shared" si="121"/>
        <v>2352</v>
      </c>
      <c r="B2353" s="1"/>
      <c r="C2353" s="2"/>
      <c r="H2353" s="1" t="str">
        <f t="shared" si="122"/>
        <v>0 г. 0 мес. 0 дн.</v>
      </c>
      <c r="I2353" s="1" t="s">
        <v>39</v>
      </c>
      <c r="V2353" s="1" t="str">
        <f t="shared" ref="V2353:V2416" si="123">DATEDIF(D2353,T2353,"y") &amp; " г. " &amp; DATEDIF(D2353,T2353,"ym") &amp; " мес. " &amp; DATEDIF(D2353,T2353,"md") &amp; " дн."</f>
        <v>0 г. 0 мес. 0 дн.</v>
      </c>
      <c r="W2353" s="5"/>
    </row>
    <row r="2354" spans="1:23" ht="34.5" customHeight="1" x14ac:dyDescent="0.25">
      <c r="A2354" s="1">
        <f t="shared" si="121"/>
        <v>2353</v>
      </c>
      <c r="B2354" s="1"/>
      <c r="C2354" s="2"/>
      <c r="H2354" s="1" t="str">
        <f t="shared" si="122"/>
        <v>0 г. 0 мес. 0 дн.</v>
      </c>
      <c r="I2354" s="1" t="s">
        <v>39</v>
      </c>
      <c r="V2354" s="1" t="str">
        <f t="shared" si="123"/>
        <v>0 г. 0 мес. 0 дн.</v>
      </c>
      <c r="W2354" s="5"/>
    </row>
    <row r="2355" spans="1:23" ht="34.5" customHeight="1" x14ac:dyDescent="0.25">
      <c r="A2355" s="1">
        <f t="shared" si="121"/>
        <v>2354</v>
      </c>
      <c r="B2355" s="1"/>
      <c r="C2355" s="2"/>
      <c r="H2355" s="1" t="str">
        <f t="shared" si="122"/>
        <v>0 г. 0 мес. 0 дн.</v>
      </c>
      <c r="I2355" s="1" t="s">
        <v>39</v>
      </c>
      <c r="V2355" s="1" t="str">
        <f t="shared" si="123"/>
        <v>0 г. 0 мес. 0 дн.</v>
      </c>
      <c r="W2355" s="5"/>
    </row>
    <row r="2356" spans="1:23" ht="34.5" customHeight="1" x14ac:dyDescent="0.25">
      <c r="A2356" s="1">
        <f t="shared" si="121"/>
        <v>2355</v>
      </c>
      <c r="B2356" s="1"/>
      <c r="C2356" s="2"/>
      <c r="H2356" s="1" t="str">
        <f t="shared" si="122"/>
        <v>0 г. 0 мес. 0 дн.</v>
      </c>
      <c r="I2356" s="1" t="s">
        <v>39</v>
      </c>
      <c r="V2356" s="1" t="str">
        <f t="shared" si="123"/>
        <v>0 г. 0 мес. 0 дн.</v>
      </c>
      <c r="W2356" s="5"/>
    </row>
    <row r="2357" spans="1:23" ht="34.5" customHeight="1" x14ac:dyDescent="0.25">
      <c r="A2357" s="1">
        <f t="shared" si="121"/>
        <v>2356</v>
      </c>
      <c r="B2357" s="1"/>
      <c r="C2357" s="2"/>
      <c r="H2357" s="1" t="str">
        <f t="shared" si="122"/>
        <v>0 г. 0 мес. 0 дн.</v>
      </c>
      <c r="I2357" s="1" t="s">
        <v>39</v>
      </c>
      <c r="V2357" s="1" t="str">
        <f t="shared" si="123"/>
        <v>0 г. 0 мес. 0 дн.</v>
      </c>
      <c r="W2357" s="5"/>
    </row>
    <row r="2358" spans="1:23" ht="34.5" customHeight="1" x14ac:dyDescent="0.25">
      <c r="A2358" s="1">
        <f t="shared" si="121"/>
        <v>2357</v>
      </c>
      <c r="B2358" s="1"/>
      <c r="C2358" s="2"/>
      <c r="H2358" s="1" t="str">
        <f t="shared" si="122"/>
        <v>0 г. 0 мес. 0 дн.</v>
      </c>
      <c r="I2358" s="1" t="s">
        <v>39</v>
      </c>
      <c r="V2358" s="1" t="str">
        <f t="shared" si="123"/>
        <v>0 г. 0 мес. 0 дн.</v>
      </c>
      <c r="W2358" s="5"/>
    </row>
    <row r="2359" spans="1:23" ht="34.5" customHeight="1" x14ac:dyDescent="0.25">
      <c r="A2359" s="1">
        <f t="shared" si="121"/>
        <v>2358</v>
      </c>
      <c r="B2359" s="1"/>
      <c r="C2359" s="2"/>
      <c r="H2359" s="1" t="str">
        <f t="shared" si="122"/>
        <v>0 г. 0 мес. 0 дн.</v>
      </c>
      <c r="I2359" s="1" t="s">
        <v>39</v>
      </c>
      <c r="V2359" s="1" t="str">
        <f t="shared" si="123"/>
        <v>0 г. 0 мес. 0 дн.</v>
      </c>
      <c r="W2359" s="5"/>
    </row>
    <row r="2360" spans="1:23" ht="34.5" customHeight="1" x14ac:dyDescent="0.25">
      <c r="A2360" s="1">
        <f t="shared" si="121"/>
        <v>2359</v>
      </c>
      <c r="B2360" s="1"/>
      <c r="C2360" s="2"/>
      <c r="H2360" s="1" t="str">
        <f t="shared" si="122"/>
        <v>0 г. 0 мес. 0 дн.</v>
      </c>
      <c r="I2360" s="1" t="s">
        <v>39</v>
      </c>
      <c r="V2360" s="1" t="str">
        <f t="shared" si="123"/>
        <v>0 г. 0 мес. 0 дн.</v>
      </c>
      <c r="W2360" s="5"/>
    </row>
    <row r="2361" spans="1:23" ht="34.5" customHeight="1" x14ac:dyDescent="0.25">
      <c r="A2361" s="1">
        <f t="shared" si="121"/>
        <v>2360</v>
      </c>
      <c r="B2361" s="1"/>
      <c r="C2361" s="2"/>
      <c r="H2361" s="1" t="str">
        <f t="shared" si="122"/>
        <v>0 г. 0 мес. 0 дн.</v>
      </c>
      <c r="I2361" s="1" t="s">
        <v>39</v>
      </c>
      <c r="V2361" s="1" t="str">
        <f t="shared" si="123"/>
        <v>0 г. 0 мес. 0 дн.</v>
      </c>
      <c r="W2361" s="5"/>
    </row>
    <row r="2362" spans="1:23" ht="34.5" customHeight="1" x14ac:dyDescent="0.25">
      <c r="A2362" s="1">
        <f t="shared" si="121"/>
        <v>2361</v>
      </c>
      <c r="B2362" s="1"/>
      <c r="C2362" s="2"/>
      <c r="H2362" s="1" t="str">
        <f t="shared" si="122"/>
        <v>0 г. 0 мес. 0 дн.</v>
      </c>
      <c r="I2362" s="1" t="s">
        <v>39</v>
      </c>
      <c r="V2362" s="1" t="str">
        <f t="shared" si="123"/>
        <v>0 г. 0 мес. 0 дн.</v>
      </c>
      <c r="W2362" s="5"/>
    </row>
    <row r="2363" spans="1:23" ht="34.5" customHeight="1" x14ac:dyDescent="0.25">
      <c r="A2363" s="1">
        <f t="shared" si="121"/>
        <v>2362</v>
      </c>
      <c r="B2363" s="1"/>
      <c r="C2363" s="2"/>
      <c r="H2363" s="1" t="str">
        <f t="shared" si="122"/>
        <v>0 г. 0 мес. 0 дн.</v>
      </c>
      <c r="I2363" s="1" t="s">
        <v>39</v>
      </c>
      <c r="V2363" s="1" t="str">
        <f t="shared" si="123"/>
        <v>0 г. 0 мес. 0 дн.</v>
      </c>
      <c r="W2363" s="5"/>
    </row>
    <row r="2364" spans="1:23" ht="34.5" customHeight="1" x14ac:dyDescent="0.25">
      <c r="A2364" s="1">
        <f t="shared" si="121"/>
        <v>2363</v>
      </c>
      <c r="B2364" s="1"/>
      <c r="C2364" s="2"/>
      <c r="H2364" s="1" t="str">
        <f t="shared" si="122"/>
        <v>0 г. 0 мес. 0 дн.</v>
      </c>
      <c r="I2364" s="1" t="s">
        <v>39</v>
      </c>
      <c r="V2364" s="1" t="str">
        <f t="shared" si="123"/>
        <v>0 г. 0 мес. 0 дн.</v>
      </c>
      <c r="W2364" s="5"/>
    </row>
    <row r="2365" spans="1:23" ht="34.5" customHeight="1" x14ac:dyDescent="0.25">
      <c r="A2365" s="1">
        <f t="shared" si="121"/>
        <v>2364</v>
      </c>
      <c r="B2365" s="1"/>
      <c r="C2365" s="2"/>
      <c r="H2365" s="1" t="str">
        <f t="shared" si="122"/>
        <v>0 г. 0 мес. 0 дн.</v>
      </c>
      <c r="I2365" s="1" t="s">
        <v>39</v>
      </c>
      <c r="V2365" s="1" t="str">
        <f t="shared" si="123"/>
        <v>0 г. 0 мес. 0 дн.</v>
      </c>
      <c r="W2365" s="5"/>
    </row>
    <row r="2366" spans="1:23" ht="34.5" customHeight="1" x14ac:dyDescent="0.25">
      <c r="A2366" s="1">
        <f t="shared" si="121"/>
        <v>2365</v>
      </c>
      <c r="B2366" s="1"/>
      <c r="C2366" s="2"/>
      <c r="H2366" s="1" t="str">
        <f t="shared" si="122"/>
        <v>0 г. 0 мес. 0 дн.</v>
      </c>
      <c r="I2366" s="1" t="s">
        <v>39</v>
      </c>
      <c r="V2366" s="1" t="str">
        <f t="shared" si="123"/>
        <v>0 г. 0 мес. 0 дн.</v>
      </c>
      <c r="W2366" s="5"/>
    </row>
    <row r="2367" spans="1:23" ht="34.5" customHeight="1" x14ac:dyDescent="0.25">
      <c r="A2367" s="1">
        <f t="shared" si="121"/>
        <v>2366</v>
      </c>
      <c r="B2367" s="1"/>
      <c r="C2367" s="2"/>
      <c r="H2367" s="1" t="str">
        <f t="shared" si="122"/>
        <v>0 г. 0 мес. 0 дн.</v>
      </c>
      <c r="I2367" s="1" t="s">
        <v>39</v>
      </c>
      <c r="V2367" s="1" t="str">
        <f t="shared" si="123"/>
        <v>0 г. 0 мес. 0 дн.</v>
      </c>
      <c r="W2367" s="5"/>
    </row>
    <row r="2368" spans="1:23" ht="34.5" customHeight="1" x14ac:dyDescent="0.25">
      <c r="A2368" s="1">
        <f t="shared" ref="A2368:A2431" si="124">ROW(A2367)</f>
        <v>2367</v>
      </c>
      <c r="B2368" s="1"/>
      <c r="C2368" s="2"/>
      <c r="H2368" s="1" t="str">
        <f t="shared" si="122"/>
        <v>0 г. 0 мес. 0 дн.</v>
      </c>
      <c r="I2368" s="1" t="s">
        <v>39</v>
      </c>
      <c r="V2368" s="1" t="str">
        <f t="shared" si="123"/>
        <v>0 г. 0 мес. 0 дн.</v>
      </c>
      <c r="W2368" s="5"/>
    </row>
    <row r="2369" spans="1:23" ht="34.5" customHeight="1" x14ac:dyDescent="0.25">
      <c r="A2369" s="1">
        <f t="shared" si="124"/>
        <v>2368</v>
      </c>
      <c r="B2369" s="1"/>
      <c r="C2369" s="2"/>
      <c r="H2369" s="1" t="str">
        <f t="shared" si="122"/>
        <v>0 г. 0 мес. 0 дн.</v>
      </c>
      <c r="I2369" s="1" t="s">
        <v>39</v>
      </c>
      <c r="V2369" s="1" t="str">
        <f t="shared" si="123"/>
        <v>0 г. 0 мес. 0 дн.</v>
      </c>
      <c r="W2369" s="5"/>
    </row>
    <row r="2370" spans="1:23" ht="34.5" customHeight="1" x14ac:dyDescent="0.25">
      <c r="A2370" s="1">
        <f t="shared" si="124"/>
        <v>2369</v>
      </c>
      <c r="B2370" s="1"/>
      <c r="C2370" s="2"/>
      <c r="H2370" s="1" t="str">
        <f t="shared" ref="H2370:H2433" si="125">DATEDIF(G2370,D2370,"y") &amp; " г. " &amp; DATEDIF(G2370,D2370,"ym") &amp; " мес. " &amp; DATEDIF(G2370,D2370,"md") &amp; " дн."</f>
        <v>0 г. 0 мес. 0 дн.</v>
      </c>
      <c r="I2370" s="1" t="s">
        <v>39</v>
      </c>
      <c r="V2370" s="1" t="str">
        <f t="shared" si="123"/>
        <v>0 г. 0 мес. 0 дн.</v>
      </c>
      <c r="W2370" s="5"/>
    </row>
    <row r="2371" spans="1:23" ht="34.5" customHeight="1" x14ac:dyDescent="0.25">
      <c r="A2371" s="1">
        <f t="shared" si="124"/>
        <v>2370</v>
      </c>
      <c r="B2371" s="1"/>
      <c r="C2371" s="2"/>
      <c r="H2371" s="1" t="str">
        <f t="shared" si="125"/>
        <v>0 г. 0 мес. 0 дн.</v>
      </c>
      <c r="I2371" s="1" t="s">
        <v>39</v>
      </c>
      <c r="V2371" s="1" t="str">
        <f t="shared" si="123"/>
        <v>0 г. 0 мес. 0 дн.</v>
      </c>
      <c r="W2371" s="5"/>
    </row>
    <row r="2372" spans="1:23" ht="34.5" customHeight="1" x14ac:dyDescent="0.25">
      <c r="A2372" s="1">
        <f t="shared" si="124"/>
        <v>2371</v>
      </c>
      <c r="B2372" s="1"/>
      <c r="C2372" s="2"/>
      <c r="H2372" s="1" t="str">
        <f t="shared" si="125"/>
        <v>0 г. 0 мес. 0 дн.</v>
      </c>
      <c r="I2372" s="1" t="s">
        <v>39</v>
      </c>
      <c r="V2372" s="1" t="str">
        <f t="shared" si="123"/>
        <v>0 г. 0 мес. 0 дн.</v>
      </c>
      <c r="W2372" s="5"/>
    </row>
    <row r="2373" spans="1:23" ht="34.5" customHeight="1" x14ac:dyDescent="0.25">
      <c r="A2373" s="1">
        <f t="shared" si="124"/>
        <v>2372</v>
      </c>
      <c r="B2373" s="1"/>
      <c r="C2373" s="2"/>
      <c r="H2373" s="1" t="str">
        <f t="shared" si="125"/>
        <v>0 г. 0 мес. 0 дн.</v>
      </c>
      <c r="I2373" s="1" t="s">
        <v>39</v>
      </c>
      <c r="V2373" s="1" t="str">
        <f t="shared" si="123"/>
        <v>0 г. 0 мес. 0 дн.</v>
      </c>
      <c r="W2373" s="5"/>
    </row>
    <row r="2374" spans="1:23" ht="34.5" customHeight="1" x14ac:dyDescent="0.25">
      <c r="A2374" s="1">
        <f t="shared" si="124"/>
        <v>2373</v>
      </c>
      <c r="B2374" s="1"/>
      <c r="C2374" s="2"/>
      <c r="H2374" s="1" t="str">
        <f t="shared" si="125"/>
        <v>0 г. 0 мес. 0 дн.</v>
      </c>
      <c r="I2374" s="1" t="s">
        <v>39</v>
      </c>
      <c r="V2374" s="1" t="str">
        <f t="shared" si="123"/>
        <v>0 г. 0 мес. 0 дн.</v>
      </c>
      <c r="W2374" s="5"/>
    </row>
    <row r="2375" spans="1:23" ht="34.5" customHeight="1" x14ac:dyDescent="0.25">
      <c r="A2375" s="1">
        <f t="shared" si="124"/>
        <v>2374</v>
      </c>
      <c r="B2375" s="1"/>
      <c r="C2375" s="2"/>
      <c r="H2375" s="1" t="str">
        <f t="shared" si="125"/>
        <v>0 г. 0 мес. 0 дн.</v>
      </c>
      <c r="I2375" s="1" t="s">
        <v>39</v>
      </c>
      <c r="V2375" s="1" t="str">
        <f t="shared" si="123"/>
        <v>0 г. 0 мес. 0 дн.</v>
      </c>
      <c r="W2375" s="5"/>
    </row>
    <row r="2376" spans="1:23" ht="34.5" customHeight="1" x14ac:dyDescent="0.25">
      <c r="A2376" s="1">
        <f t="shared" si="124"/>
        <v>2375</v>
      </c>
      <c r="B2376" s="1"/>
      <c r="C2376" s="2"/>
      <c r="H2376" s="1" t="str">
        <f t="shared" si="125"/>
        <v>0 г. 0 мес. 0 дн.</v>
      </c>
      <c r="I2376" s="1" t="s">
        <v>39</v>
      </c>
      <c r="V2376" s="1" t="str">
        <f t="shared" si="123"/>
        <v>0 г. 0 мес. 0 дн.</v>
      </c>
      <c r="W2376" s="5"/>
    </row>
    <row r="2377" spans="1:23" ht="34.5" customHeight="1" x14ac:dyDescent="0.25">
      <c r="A2377" s="1">
        <f t="shared" si="124"/>
        <v>2376</v>
      </c>
      <c r="B2377" s="1"/>
      <c r="C2377" s="2"/>
      <c r="H2377" s="1" t="str">
        <f t="shared" si="125"/>
        <v>0 г. 0 мес. 0 дн.</v>
      </c>
      <c r="I2377" s="1" t="s">
        <v>39</v>
      </c>
      <c r="V2377" s="1" t="str">
        <f t="shared" si="123"/>
        <v>0 г. 0 мес. 0 дн.</v>
      </c>
      <c r="W2377" s="5"/>
    </row>
    <row r="2378" spans="1:23" ht="34.5" customHeight="1" x14ac:dyDescent="0.25">
      <c r="A2378" s="1">
        <f t="shared" si="124"/>
        <v>2377</v>
      </c>
      <c r="B2378" s="1"/>
      <c r="C2378" s="2"/>
      <c r="H2378" s="1" t="str">
        <f t="shared" si="125"/>
        <v>0 г. 0 мес. 0 дн.</v>
      </c>
      <c r="I2378" s="1" t="s">
        <v>39</v>
      </c>
      <c r="V2378" s="1" t="str">
        <f t="shared" si="123"/>
        <v>0 г. 0 мес. 0 дн.</v>
      </c>
      <c r="W2378" s="5"/>
    </row>
    <row r="2379" spans="1:23" ht="34.5" customHeight="1" x14ac:dyDescent="0.25">
      <c r="A2379" s="1">
        <f t="shared" si="124"/>
        <v>2378</v>
      </c>
      <c r="B2379" s="1"/>
      <c r="C2379" s="2"/>
      <c r="H2379" s="1" t="str">
        <f t="shared" si="125"/>
        <v>0 г. 0 мес. 0 дн.</v>
      </c>
      <c r="I2379" s="1" t="s">
        <v>39</v>
      </c>
      <c r="V2379" s="1" t="str">
        <f t="shared" si="123"/>
        <v>0 г. 0 мес. 0 дн.</v>
      </c>
      <c r="W2379" s="5"/>
    </row>
    <row r="2380" spans="1:23" ht="34.5" customHeight="1" x14ac:dyDescent="0.25">
      <c r="A2380" s="1">
        <f t="shared" si="124"/>
        <v>2379</v>
      </c>
      <c r="B2380" s="1"/>
      <c r="C2380" s="2"/>
      <c r="H2380" s="1" t="str">
        <f t="shared" si="125"/>
        <v>0 г. 0 мес. 0 дн.</v>
      </c>
      <c r="I2380" s="1" t="s">
        <v>39</v>
      </c>
      <c r="V2380" s="1" t="str">
        <f t="shared" si="123"/>
        <v>0 г. 0 мес. 0 дн.</v>
      </c>
      <c r="W2380" s="5"/>
    </row>
    <row r="2381" spans="1:23" ht="34.5" customHeight="1" x14ac:dyDescent="0.25">
      <c r="A2381" s="1">
        <f t="shared" si="124"/>
        <v>2380</v>
      </c>
      <c r="B2381" s="1"/>
      <c r="C2381" s="2"/>
      <c r="H2381" s="1" t="str">
        <f t="shared" si="125"/>
        <v>0 г. 0 мес. 0 дн.</v>
      </c>
      <c r="I2381" s="1" t="s">
        <v>39</v>
      </c>
      <c r="V2381" s="1" t="str">
        <f t="shared" si="123"/>
        <v>0 г. 0 мес. 0 дн.</v>
      </c>
      <c r="W2381" s="5"/>
    </row>
    <row r="2382" spans="1:23" ht="34.5" customHeight="1" x14ac:dyDescent="0.25">
      <c r="A2382" s="1">
        <f t="shared" si="124"/>
        <v>2381</v>
      </c>
      <c r="B2382" s="1"/>
      <c r="C2382" s="2"/>
      <c r="H2382" s="1" t="str">
        <f t="shared" si="125"/>
        <v>0 г. 0 мес. 0 дн.</v>
      </c>
      <c r="I2382" s="1" t="s">
        <v>39</v>
      </c>
      <c r="V2382" s="1" t="str">
        <f t="shared" si="123"/>
        <v>0 г. 0 мес. 0 дн.</v>
      </c>
      <c r="W2382" s="5"/>
    </row>
    <row r="2383" spans="1:23" ht="34.5" customHeight="1" x14ac:dyDescent="0.25">
      <c r="A2383" s="1">
        <f t="shared" si="124"/>
        <v>2382</v>
      </c>
      <c r="B2383" s="1"/>
      <c r="C2383" s="2"/>
      <c r="H2383" s="1" t="str">
        <f t="shared" si="125"/>
        <v>0 г. 0 мес. 0 дн.</v>
      </c>
      <c r="I2383" s="1" t="s">
        <v>39</v>
      </c>
      <c r="V2383" s="1" t="str">
        <f t="shared" si="123"/>
        <v>0 г. 0 мес. 0 дн.</v>
      </c>
      <c r="W2383" s="5"/>
    </row>
    <row r="2384" spans="1:23" ht="34.5" customHeight="1" x14ac:dyDescent="0.25">
      <c r="A2384" s="1">
        <f t="shared" si="124"/>
        <v>2383</v>
      </c>
      <c r="B2384" s="1"/>
      <c r="C2384" s="2"/>
      <c r="H2384" s="1" t="str">
        <f t="shared" si="125"/>
        <v>0 г. 0 мес. 0 дн.</v>
      </c>
      <c r="I2384" s="1" t="s">
        <v>39</v>
      </c>
      <c r="V2384" s="1" t="str">
        <f t="shared" si="123"/>
        <v>0 г. 0 мес. 0 дн.</v>
      </c>
      <c r="W2384" s="5"/>
    </row>
    <row r="2385" spans="1:23" ht="34.5" customHeight="1" x14ac:dyDescent="0.25">
      <c r="A2385" s="1">
        <f t="shared" si="124"/>
        <v>2384</v>
      </c>
      <c r="B2385" s="1"/>
      <c r="C2385" s="2"/>
      <c r="H2385" s="1" t="str">
        <f t="shared" si="125"/>
        <v>0 г. 0 мес. 0 дн.</v>
      </c>
      <c r="I2385" s="1" t="s">
        <v>39</v>
      </c>
      <c r="V2385" s="1" t="str">
        <f t="shared" si="123"/>
        <v>0 г. 0 мес. 0 дн.</v>
      </c>
      <c r="W2385" s="5"/>
    </row>
    <row r="2386" spans="1:23" ht="34.5" customHeight="1" x14ac:dyDescent="0.25">
      <c r="A2386" s="1">
        <f t="shared" si="124"/>
        <v>2385</v>
      </c>
      <c r="B2386" s="1"/>
      <c r="C2386" s="2"/>
      <c r="H2386" s="1" t="str">
        <f t="shared" si="125"/>
        <v>0 г. 0 мес. 0 дн.</v>
      </c>
      <c r="I2386" s="1" t="s">
        <v>39</v>
      </c>
      <c r="V2386" s="1" t="str">
        <f t="shared" si="123"/>
        <v>0 г. 0 мес. 0 дн.</v>
      </c>
      <c r="W2386" s="5"/>
    </row>
    <row r="2387" spans="1:23" ht="34.5" customHeight="1" x14ac:dyDescent="0.25">
      <c r="A2387" s="1">
        <f t="shared" si="124"/>
        <v>2386</v>
      </c>
      <c r="B2387" s="1"/>
      <c r="C2387" s="2"/>
      <c r="H2387" s="1" t="str">
        <f t="shared" si="125"/>
        <v>0 г. 0 мес. 0 дн.</v>
      </c>
      <c r="I2387" s="1" t="s">
        <v>39</v>
      </c>
      <c r="V2387" s="1" t="str">
        <f t="shared" si="123"/>
        <v>0 г. 0 мес. 0 дн.</v>
      </c>
      <c r="W2387" s="5"/>
    </row>
    <row r="2388" spans="1:23" ht="34.5" customHeight="1" x14ac:dyDescent="0.25">
      <c r="A2388" s="1">
        <f t="shared" si="124"/>
        <v>2387</v>
      </c>
      <c r="B2388" s="1"/>
      <c r="C2388" s="2"/>
      <c r="H2388" s="1" t="str">
        <f t="shared" si="125"/>
        <v>0 г. 0 мес. 0 дн.</v>
      </c>
      <c r="I2388" s="1" t="s">
        <v>39</v>
      </c>
      <c r="V2388" s="1" t="str">
        <f t="shared" si="123"/>
        <v>0 г. 0 мес. 0 дн.</v>
      </c>
      <c r="W2388" s="5"/>
    </row>
    <row r="2389" spans="1:23" ht="34.5" customHeight="1" x14ac:dyDescent="0.25">
      <c r="A2389" s="1">
        <f t="shared" si="124"/>
        <v>2388</v>
      </c>
      <c r="B2389" s="1"/>
      <c r="C2389" s="2"/>
      <c r="H2389" s="1" t="str">
        <f t="shared" si="125"/>
        <v>0 г. 0 мес. 0 дн.</v>
      </c>
      <c r="I2389" s="1" t="s">
        <v>39</v>
      </c>
      <c r="V2389" s="1" t="str">
        <f t="shared" si="123"/>
        <v>0 г. 0 мес. 0 дн.</v>
      </c>
      <c r="W2389" s="5"/>
    </row>
    <row r="2390" spans="1:23" ht="34.5" customHeight="1" x14ac:dyDescent="0.25">
      <c r="A2390" s="1">
        <f t="shared" si="124"/>
        <v>2389</v>
      </c>
      <c r="B2390" s="1"/>
      <c r="C2390" s="2"/>
      <c r="H2390" s="1" t="str">
        <f t="shared" si="125"/>
        <v>0 г. 0 мес. 0 дн.</v>
      </c>
      <c r="I2390" s="1" t="s">
        <v>39</v>
      </c>
      <c r="V2390" s="1" t="str">
        <f t="shared" si="123"/>
        <v>0 г. 0 мес. 0 дн.</v>
      </c>
      <c r="W2390" s="5"/>
    </row>
    <row r="2391" spans="1:23" ht="34.5" customHeight="1" x14ac:dyDescent="0.25">
      <c r="A2391" s="1">
        <f t="shared" si="124"/>
        <v>2390</v>
      </c>
      <c r="B2391" s="1"/>
      <c r="C2391" s="2"/>
      <c r="H2391" s="1" t="str">
        <f t="shared" si="125"/>
        <v>0 г. 0 мес. 0 дн.</v>
      </c>
      <c r="I2391" s="1" t="s">
        <v>39</v>
      </c>
      <c r="V2391" s="1" t="str">
        <f t="shared" si="123"/>
        <v>0 г. 0 мес. 0 дн.</v>
      </c>
      <c r="W2391" s="5"/>
    </row>
    <row r="2392" spans="1:23" ht="34.5" customHeight="1" x14ac:dyDescent="0.25">
      <c r="A2392" s="1">
        <f t="shared" si="124"/>
        <v>2391</v>
      </c>
      <c r="B2392" s="1"/>
      <c r="C2392" s="2"/>
      <c r="H2392" s="1" t="str">
        <f t="shared" si="125"/>
        <v>0 г. 0 мес. 0 дн.</v>
      </c>
      <c r="I2392" s="1" t="s">
        <v>39</v>
      </c>
      <c r="V2392" s="1" t="str">
        <f t="shared" si="123"/>
        <v>0 г. 0 мес. 0 дн.</v>
      </c>
      <c r="W2392" s="5"/>
    </row>
    <row r="2393" spans="1:23" ht="34.5" customHeight="1" x14ac:dyDescent="0.25">
      <c r="A2393" s="1">
        <f t="shared" si="124"/>
        <v>2392</v>
      </c>
      <c r="B2393" s="1"/>
      <c r="C2393" s="2"/>
      <c r="H2393" s="1" t="str">
        <f t="shared" si="125"/>
        <v>0 г. 0 мес. 0 дн.</v>
      </c>
      <c r="I2393" s="1" t="s">
        <v>39</v>
      </c>
      <c r="V2393" s="1" t="str">
        <f t="shared" si="123"/>
        <v>0 г. 0 мес. 0 дн.</v>
      </c>
      <c r="W2393" s="5"/>
    </row>
    <row r="2394" spans="1:23" ht="34.5" customHeight="1" x14ac:dyDescent="0.25">
      <c r="A2394" s="1">
        <f t="shared" si="124"/>
        <v>2393</v>
      </c>
      <c r="B2394" s="1"/>
      <c r="C2394" s="2"/>
      <c r="H2394" s="1" t="str">
        <f t="shared" si="125"/>
        <v>0 г. 0 мес. 0 дн.</v>
      </c>
      <c r="I2394" s="1" t="s">
        <v>39</v>
      </c>
      <c r="V2394" s="1" t="str">
        <f t="shared" si="123"/>
        <v>0 г. 0 мес. 0 дн.</v>
      </c>
      <c r="W2394" s="5"/>
    </row>
    <row r="2395" spans="1:23" ht="34.5" customHeight="1" x14ac:dyDescent="0.25">
      <c r="A2395" s="1">
        <f t="shared" si="124"/>
        <v>2394</v>
      </c>
      <c r="B2395" s="1"/>
      <c r="C2395" s="2"/>
      <c r="H2395" s="1" t="str">
        <f t="shared" si="125"/>
        <v>0 г. 0 мес. 0 дн.</v>
      </c>
      <c r="I2395" s="1" t="s">
        <v>39</v>
      </c>
      <c r="V2395" s="1" t="str">
        <f t="shared" si="123"/>
        <v>0 г. 0 мес. 0 дн.</v>
      </c>
      <c r="W2395" s="5"/>
    </row>
    <row r="2396" spans="1:23" ht="34.5" customHeight="1" x14ac:dyDescent="0.25">
      <c r="A2396" s="1">
        <f t="shared" si="124"/>
        <v>2395</v>
      </c>
      <c r="B2396" s="1"/>
      <c r="C2396" s="2"/>
      <c r="H2396" s="1" t="str">
        <f t="shared" si="125"/>
        <v>0 г. 0 мес. 0 дн.</v>
      </c>
      <c r="I2396" s="1" t="s">
        <v>39</v>
      </c>
      <c r="V2396" s="1" t="str">
        <f t="shared" si="123"/>
        <v>0 г. 0 мес. 0 дн.</v>
      </c>
      <c r="W2396" s="5"/>
    </row>
    <row r="2397" spans="1:23" ht="34.5" customHeight="1" x14ac:dyDescent="0.25">
      <c r="A2397" s="1">
        <f t="shared" si="124"/>
        <v>2396</v>
      </c>
      <c r="B2397" s="1"/>
      <c r="C2397" s="2"/>
      <c r="H2397" s="1" t="str">
        <f t="shared" si="125"/>
        <v>0 г. 0 мес. 0 дн.</v>
      </c>
      <c r="I2397" s="1" t="s">
        <v>39</v>
      </c>
      <c r="V2397" s="1" t="str">
        <f t="shared" si="123"/>
        <v>0 г. 0 мес. 0 дн.</v>
      </c>
      <c r="W2397" s="5"/>
    </row>
    <row r="2398" spans="1:23" ht="34.5" customHeight="1" x14ac:dyDescent="0.25">
      <c r="A2398" s="1">
        <f t="shared" si="124"/>
        <v>2397</v>
      </c>
      <c r="B2398" s="1"/>
      <c r="C2398" s="2"/>
      <c r="H2398" s="1" t="str">
        <f t="shared" si="125"/>
        <v>0 г. 0 мес. 0 дн.</v>
      </c>
      <c r="I2398" s="1" t="s">
        <v>39</v>
      </c>
      <c r="V2398" s="1" t="str">
        <f t="shared" si="123"/>
        <v>0 г. 0 мес. 0 дн.</v>
      </c>
      <c r="W2398" s="5"/>
    </row>
    <row r="2399" spans="1:23" ht="34.5" customHeight="1" x14ac:dyDescent="0.25">
      <c r="A2399" s="1">
        <f t="shared" si="124"/>
        <v>2398</v>
      </c>
      <c r="B2399" s="1"/>
      <c r="C2399" s="2"/>
      <c r="H2399" s="1" t="str">
        <f t="shared" si="125"/>
        <v>0 г. 0 мес. 0 дн.</v>
      </c>
      <c r="I2399" s="1" t="s">
        <v>39</v>
      </c>
      <c r="V2399" s="1" t="str">
        <f t="shared" si="123"/>
        <v>0 г. 0 мес. 0 дн.</v>
      </c>
      <c r="W2399" s="5"/>
    </row>
    <row r="2400" spans="1:23" ht="34.5" customHeight="1" x14ac:dyDescent="0.25">
      <c r="A2400" s="1">
        <f t="shared" si="124"/>
        <v>2399</v>
      </c>
      <c r="B2400" s="1"/>
      <c r="C2400" s="2"/>
      <c r="H2400" s="1" t="str">
        <f t="shared" si="125"/>
        <v>0 г. 0 мес. 0 дн.</v>
      </c>
      <c r="I2400" s="1" t="s">
        <v>39</v>
      </c>
      <c r="V2400" s="1" t="str">
        <f t="shared" si="123"/>
        <v>0 г. 0 мес. 0 дн.</v>
      </c>
      <c r="W2400" s="5"/>
    </row>
    <row r="2401" spans="1:23" ht="34.5" customHeight="1" x14ac:dyDescent="0.25">
      <c r="A2401" s="1">
        <f t="shared" si="124"/>
        <v>2400</v>
      </c>
      <c r="B2401" s="1"/>
      <c r="C2401" s="2"/>
      <c r="H2401" s="1" t="str">
        <f t="shared" si="125"/>
        <v>0 г. 0 мес. 0 дн.</v>
      </c>
      <c r="I2401" s="1" t="s">
        <v>39</v>
      </c>
      <c r="V2401" s="1" t="str">
        <f t="shared" si="123"/>
        <v>0 г. 0 мес. 0 дн.</v>
      </c>
      <c r="W2401" s="5"/>
    </row>
    <row r="2402" spans="1:23" ht="34.5" customHeight="1" x14ac:dyDescent="0.25">
      <c r="A2402" s="1">
        <f t="shared" si="124"/>
        <v>2401</v>
      </c>
      <c r="B2402" s="1"/>
      <c r="C2402" s="2"/>
      <c r="H2402" s="1" t="str">
        <f t="shared" si="125"/>
        <v>0 г. 0 мес. 0 дн.</v>
      </c>
      <c r="I2402" s="1" t="s">
        <v>39</v>
      </c>
      <c r="V2402" s="1" t="str">
        <f t="shared" si="123"/>
        <v>0 г. 0 мес. 0 дн.</v>
      </c>
      <c r="W2402" s="5"/>
    </row>
    <row r="2403" spans="1:23" ht="34.5" customHeight="1" x14ac:dyDescent="0.25">
      <c r="A2403" s="1">
        <f t="shared" si="124"/>
        <v>2402</v>
      </c>
      <c r="B2403" s="1"/>
      <c r="C2403" s="2"/>
      <c r="H2403" s="1" t="str">
        <f t="shared" si="125"/>
        <v>0 г. 0 мес. 0 дн.</v>
      </c>
      <c r="I2403" s="1" t="s">
        <v>39</v>
      </c>
      <c r="V2403" s="1" t="str">
        <f t="shared" si="123"/>
        <v>0 г. 0 мес. 0 дн.</v>
      </c>
      <c r="W2403" s="5"/>
    </row>
    <row r="2404" spans="1:23" ht="34.5" customHeight="1" x14ac:dyDescent="0.25">
      <c r="A2404" s="1">
        <f t="shared" si="124"/>
        <v>2403</v>
      </c>
      <c r="B2404" s="1"/>
      <c r="C2404" s="2"/>
      <c r="H2404" s="1" t="str">
        <f t="shared" si="125"/>
        <v>0 г. 0 мес. 0 дн.</v>
      </c>
      <c r="I2404" s="1" t="s">
        <v>39</v>
      </c>
      <c r="V2404" s="1" t="str">
        <f t="shared" si="123"/>
        <v>0 г. 0 мес. 0 дн.</v>
      </c>
      <c r="W2404" s="5"/>
    </row>
    <row r="2405" spans="1:23" ht="34.5" customHeight="1" x14ac:dyDescent="0.25">
      <c r="A2405" s="1">
        <f t="shared" si="124"/>
        <v>2404</v>
      </c>
      <c r="B2405" s="1"/>
      <c r="C2405" s="2"/>
      <c r="H2405" s="1" t="str">
        <f t="shared" si="125"/>
        <v>0 г. 0 мес. 0 дн.</v>
      </c>
      <c r="I2405" s="1" t="s">
        <v>39</v>
      </c>
      <c r="V2405" s="1" t="str">
        <f t="shared" si="123"/>
        <v>0 г. 0 мес. 0 дн.</v>
      </c>
      <c r="W2405" s="5"/>
    </row>
    <row r="2406" spans="1:23" ht="34.5" customHeight="1" x14ac:dyDescent="0.25">
      <c r="A2406" s="1">
        <f t="shared" si="124"/>
        <v>2405</v>
      </c>
      <c r="B2406" s="1"/>
      <c r="C2406" s="2"/>
      <c r="H2406" s="1" t="str">
        <f t="shared" si="125"/>
        <v>0 г. 0 мес. 0 дн.</v>
      </c>
      <c r="I2406" s="1" t="s">
        <v>39</v>
      </c>
      <c r="V2406" s="1" t="str">
        <f t="shared" si="123"/>
        <v>0 г. 0 мес. 0 дн.</v>
      </c>
      <c r="W2406" s="5"/>
    </row>
    <row r="2407" spans="1:23" ht="34.5" customHeight="1" x14ac:dyDescent="0.25">
      <c r="A2407" s="1">
        <f t="shared" si="124"/>
        <v>2406</v>
      </c>
      <c r="B2407" s="1"/>
      <c r="C2407" s="2"/>
      <c r="H2407" s="1" t="str">
        <f t="shared" si="125"/>
        <v>0 г. 0 мес. 0 дн.</v>
      </c>
      <c r="I2407" s="1" t="s">
        <v>39</v>
      </c>
      <c r="V2407" s="1" t="str">
        <f t="shared" si="123"/>
        <v>0 г. 0 мес. 0 дн.</v>
      </c>
      <c r="W2407" s="5"/>
    </row>
    <row r="2408" spans="1:23" ht="34.5" customHeight="1" x14ac:dyDescent="0.25">
      <c r="A2408" s="1">
        <f t="shared" si="124"/>
        <v>2407</v>
      </c>
      <c r="B2408" s="1"/>
      <c r="C2408" s="2"/>
      <c r="H2408" s="1" t="str">
        <f t="shared" si="125"/>
        <v>0 г. 0 мес. 0 дн.</v>
      </c>
      <c r="I2408" s="1" t="s">
        <v>39</v>
      </c>
      <c r="V2408" s="1" t="str">
        <f t="shared" si="123"/>
        <v>0 г. 0 мес. 0 дн.</v>
      </c>
      <c r="W2408" s="5"/>
    </row>
    <row r="2409" spans="1:23" ht="34.5" customHeight="1" x14ac:dyDescent="0.25">
      <c r="A2409" s="1">
        <f t="shared" si="124"/>
        <v>2408</v>
      </c>
      <c r="B2409" s="1"/>
      <c r="C2409" s="2"/>
      <c r="H2409" s="1" t="str">
        <f t="shared" si="125"/>
        <v>0 г. 0 мес. 0 дн.</v>
      </c>
      <c r="I2409" s="1" t="s">
        <v>39</v>
      </c>
      <c r="V2409" s="1" t="str">
        <f t="shared" si="123"/>
        <v>0 г. 0 мес. 0 дн.</v>
      </c>
      <c r="W2409" s="5"/>
    </row>
    <row r="2410" spans="1:23" ht="34.5" customHeight="1" x14ac:dyDescent="0.25">
      <c r="A2410" s="1">
        <f t="shared" si="124"/>
        <v>2409</v>
      </c>
      <c r="B2410" s="1"/>
      <c r="C2410" s="2"/>
      <c r="H2410" s="1" t="str">
        <f t="shared" si="125"/>
        <v>0 г. 0 мес. 0 дн.</v>
      </c>
      <c r="I2410" s="1" t="s">
        <v>39</v>
      </c>
      <c r="V2410" s="1" t="str">
        <f t="shared" si="123"/>
        <v>0 г. 0 мес. 0 дн.</v>
      </c>
      <c r="W2410" s="5"/>
    </row>
    <row r="2411" spans="1:23" ht="34.5" customHeight="1" x14ac:dyDescent="0.25">
      <c r="A2411" s="1">
        <f t="shared" si="124"/>
        <v>2410</v>
      </c>
      <c r="B2411" s="1"/>
      <c r="C2411" s="2"/>
      <c r="H2411" s="1" t="str">
        <f t="shared" si="125"/>
        <v>0 г. 0 мес. 0 дн.</v>
      </c>
      <c r="I2411" s="1" t="s">
        <v>39</v>
      </c>
      <c r="V2411" s="1" t="str">
        <f t="shared" si="123"/>
        <v>0 г. 0 мес. 0 дн.</v>
      </c>
      <c r="W2411" s="5"/>
    </row>
    <row r="2412" spans="1:23" ht="34.5" customHeight="1" x14ac:dyDescent="0.25">
      <c r="A2412" s="1">
        <f t="shared" si="124"/>
        <v>2411</v>
      </c>
      <c r="B2412" s="1"/>
      <c r="C2412" s="2"/>
      <c r="H2412" s="1" t="str">
        <f t="shared" si="125"/>
        <v>0 г. 0 мес. 0 дн.</v>
      </c>
      <c r="I2412" s="1" t="s">
        <v>39</v>
      </c>
      <c r="V2412" s="1" t="str">
        <f t="shared" si="123"/>
        <v>0 г. 0 мес. 0 дн.</v>
      </c>
      <c r="W2412" s="5"/>
    </row>
    <row r="2413" spans="1:23" ht="34.5" customHeight="1" x14ac:dyDescent="0.25">
      <c r="A2413" s="1">
        <f t="shared" si="124"/>
        <v>2412</v>
      </c>
      <c r="B2413" s="1"/>
      <c r="C2413" s="2"/>
      <c r="H2413" s="1" t="str">
        <f t="shared" si="125"/>
        <v>0 г. 0 мес. 0 дн.</v>
      </c>
      <c r="I2413" s="1" t="s">
        <v>39</v>
      </c>
      <c r="V2413" s="1" t="str">
        <f t="shared" si="123"/>
        <v>0 г. 0 мес. 0 дн.</v>
      </c>
      <c r="W2413" s="5"/>
    </row>
    <row r="2414" spans="1:23" ht="34.5" customHeight="1" x14ac:dyDescent="0.25">
      <c r="A2414" s="1">
        <f t="shared" si="124"/>
        <v>2413</v>
      </c>
      <c r="B2414" s="1"/>
      <c r="C2414" s="2"/>
      <c r="H2414" s="1" t="str">
        <f t="shared" si="125"/>
        <v>0 г. 0 мес. 0 дн.</v>
      </c>
      <c r="I2414" s="1" t="s">
        <v>39</v>
      </c>
      <c r="V2414" s="1" t="str">
        <f t="shared" si="123"/>
        <v>0 г. 0 мес. 0 дн.</v>
      </c>
      <c r="W2414" s="5"/>
    </row>
    <row r="2415" spans="1:23" ht="34.5" customHeight="1" x14ac:dyDescent="0.25">
      <c r="A2415" s="1">
        <f t="shared" si="124"/>
        <v>2414</v>
      </c>
      <c r="B2415" s="1"/>
      <c r="C2415" s="2"/>
      <c r="H2415" s="1" t="str">
        <f t="shared" si="125"/>
        <v>0 г. 0 мес. 0 дн.</v>
      </c>
      <c r="I2415" s="1" t="s">
        <v>39</v>
      </c>
      <c r="V2415" s="1" t="str">
        <f t="shared" si="123"/>
        <v>0 г. 0 мес. 0 дн.</v>
      </c>
      <c r="W2415" s="5"/>
    </row>
    <row r="2416" spans="1:23" ht="34.5" customHeight="1" x14ac:dyDescent="0.25">
      <c r="A2416" s="1">
        <f t="shared" si="124"/>
        <v>2415</v>
      </c>
      <c r="B2416" s="1"/>
      <c r="C2416" s="2"/>
      <c r="H2416" s="1" t="str">
        <f t="shared" si="125"/>
        <v>0 г. 0 мес. 0 дн.</v>
      </c>
      <c r="I2416" s="1" t="s">
        <v>39</v>
      </c>
      <c r="V2416" s="1" t="str">
        <f t="shared" si="123"/>
        <v>0 г. 0 мес. 0 дн.</v>
      </c>
      <c r="W2416" s="5"/>
    </row>
    <row r="2417" spans="1:23" ht="34.5" customHeight="1" x14ac:dyDescent="0.25">
      <c r="A2417" s="1">
        <f t="shared" si="124"/>
        <v>2416</v>
      </c>
      <c r="B2417" s="1"/>
      <c r="C2417" s="2"/>
      <c r="H2417" s="1" t="str">
        <f t="shared" si="125"/>
        <v>0 г. 0 мес. 0 дн.</v>
      </c>
      <c r="I2417" s="1" t="s">
        <v>39</v>
      </c>
      <c r="V2417" s="1" t="str">
        <f t="shared" ref="V2417:V2480" si="126">DATEDIF(D2417,T2417,"y") &amp; " г. " &amp; DATEDIF(D2417,T2417,"ym") &amp; " мес. " &amp; DATEDIF(D2417,T2417,"md") &amp; " дн."</f>
        <v>0 г. 0 мес. 0 дн.</v>
      </c>
      <c r="W2417" s="5"/>
    </row>
    <row r="2418" spans="1:23" ht="34.5" customHeight="1" x14ac:dyDescent="0.25">
      <c r="A2418" s="1">
        <f t="shared" si="124"/>
        <v>2417</v>
      </c>
      <c r="B2418" s="1"/>
      <c r="C2418" s="2"/>
      <c r="H2418" s="1" t="str">
        <f t="shared" si="125"/>
        <v>0 г. 0 мес. 0 дн.</v>
      </c>
      <c r="I2418" s="1" t="s">
        <v>39</v>
      </c>
      <c r="V2418" s="1" t="str">
        <f t="shared" si="126"/>
        <v>0 г. 0 мес. 0 дн.</v>
      </c>
      <c r="W2418" s="5"/>
    </row>
    <row r="2419" spans="1:23" ht="34.5" customHeight="1" x14ac:dyDescent="0.25">
      <c r="A2419" s="1">
        <f t="shared" si="124"/>
        <v>2418</v>
      </c>
      <c r="B2419" s="1"/>
      <c r="C2419" s="2"/>
      <c r="H2419" s="1" t="str">
        <f t="shared" si="125"/>
        <v>0 г. 0 мес. 0 дн.</v>
      </c>
      <c r="I2419" s="1" t="s">
        <v>39</v>
      </c>
      <c r="V2419" s="1" t="str">
        <f t="shared" si="126"/>
        <v>0 г. 0 мес. 0 дн.</v>
      </c>
      <c r="W2419" s="5"/>
    </row>
    <row r="2420" spans="1:23" ht="34.5" customHeight="1" x14ac:dyDescent="0.25">
      <c r="A2420" s="1">
        <f t="shared" si="124"/>
        <v>2419</v>
      </c>
      <c r="B2420" s="1"/>
      <c r="C2420" s="2"/>
      <c r="H2420" s="1" t="str">
        <f t="shared" si="125"/>
        <v>0 г. 0 мес. 0 дн.</v>
      </c>
      <c r="I2420" s="1" t="s">
        <v>39</v>
      </c>
      <c r="V2420" s="1" t="str">
        <f t="shared" si="126"/>
        <v>0 г. 0 мес. 0 дн.</v>
      </c>
      <c r="W2420" s="5"/>
    </row>
    <row r="2421" spans="1:23" ht="34.5" customHeight="1" x14ac:dyDescent="0.25">
      <c r="A2421" s="1">
        <f t="shared" si="124"/>
        <v>2420</v>
      </c>
      <c r="B2421" s="1"/>
      <c r="C2421" s="2"/>
      <c r="H2421" s="1" t="str">
        <f t="shared" si="125"/>
        <v>0 г. 0 мес. 0 дн.</v>
      </c>
      <c r="I2421" s="1" t="s">
        <v>39</v>
      </c>
      <c r="V2421" s="1" t="str">
        <f t="shared" si="126"/>
        <v>0 г. 0 мес. 0 дн.</v>
      </c>
      <c r="W2421" s="5"/>
    </row>
    <row r="2422" spans="1:23" ht="34.5" customHeight="1" x14ac:dyDescent="0.25">
      <c r="A2422" s="1">
        <f t="shared" si="124"/>
        <v>2421</v>
      </c>
      <c r="B2422" s="1"/>
      <c r="C2422" s="2"/>
      <c r="H2422" s="1" t="str">
        <f t="shared" si="125"/>
        <v>0 г. 0 мес. 0 дн.</v>
      </c>
      <c r="I2422" s="1" t="s">
        <v>39</v>
      </c>
      <c r="V2422" s="1" t="str">
        <f t="shared" si="126"/>
        <v>0 г. 0 мес. 0 дн.</v>
      </c>
      <c r="W2422" s="5"/>
    </row>
    <row r="2423" spans="1:23" ht="34.5" customHeight="1" x14ac:dyDescent="0.25">
      <c r="A2423" s="1">
        <f t="shared" si="124"/>
        <v>2422</v>
      </c>
      <c r="B2423" s="1"/>
      <c r="C2423" s="2"/>
      <c r="H2423" s="1" t="str">
        <f t="shared" si="125"/>
        <v>0 г. 0 мес. 0 дн.</v>
      </c>
      <c r="I2423" s="1" t="s">
        <v>39</v>
      </c>
      <c r="V2423" s="1" t="str">
        <f t="shared" si="126"/>
        <v>0 г. 0 мес. 0 дн.</v>
      </c>
      <c r="W2423" s="5"/>
    </row>
    <row r="2424" spans="1:23" ht="34.5" customHeight="1" x14ac:dyDescent="0.25">
      <c r="A2424" s="1">
        <f t="shared" si="124"/>
        <v>2423</v>
      </c>
      <c r="B2424" s="1"/>
      <c r="C2424" s="2"/>
      <c r="H2424" s="1" t="str">
        <f t="shared" si="125"/>
        <v>0 г. 0 мес. 0 дн.</v>
      </c>
      <c r="I2424" s="1" t="s">
        <v>39</v>
      </c>
      <c r="V2424" s="1" t="str">
        <f t="shared" si="126"/>
        <v>0 г. 0 мес. 0 дн.</v>
      </c>
      <c r="W2424" s="5"/>
    </row>
    <row r="2425" spans="1:23" ht="34.5" customHeight="1" x14ac:dyDescent="0.25">
      <c r="A2425" s="1">
        <f t="shared" si="124"/>
        <v>2424</v>
      </c>
      <c r="B2425" s="1"/>
      <c r="C2425" s="2"/>
      <c r="H2425" s="1" t="str">
        <f t="shared" si="125"/>
        <v>0 г. 0 мес. 0 дн.</v>
      </c>
      <c r="I2425" s="1" t="s">
        <v>39</v>
      </c>
      <c r="V2425" s="1" t="str">
        <f t="shared" si="126"/>
        <v>0 г. 0 мес. 0 дн.</v>
      </c>
      <c r="W2425" s="5"/>
    </row>
    <row r="2426" spans="1:23" ht="34.5" customHeight="1" x14ac:dyDescent="0.25">
      <c r="A2426" s="1">
        <f t="shared" si="124"/>
        <v>2425</v>
      </c>
      <c r="B2426" s="1"/>
      <c r="C2426" s="2"/>
      <c r="H2426" s="1" t="str">
        <f t="shared" si="125"/>
        <v>0 г. 0 мес. 0 дн.</v>
      </c>
      <c r="I2426" s="1" t="s">
        <v>39</v>
      </c>
      <c r="V2426" s="1" t="str">
        <f t="shared" si="126"/>
        <v>0 г. 0 мес. 0 дн.</v>
      </c>
      <c r="W2426" s="5"/>
    </row>
    <row r="2427" spans="1:23" ht="34.5" customHeight="1" x14ac:dyDescent="0.25">
      <c r="A2427" s="1">
        <f t="shared" si="124"/>
        <v>2426</v>
      </c>
      <c r="B2427" s="1"/>
      <c r="C2427" s="2"/>
      <c r="H2427" s="1" t="str">
        <f t="shared" si="125"/>
        <v>0 г. 0 мес. 0 дн.</v>
      </c>
      <c r="I2427" s="1" t="s">
        <v>39</v>
      </c>
      <c r="V2427" s="1" t="str">
        <f t="shared" si="126"/>
        <v>0 г. 0 мес. 0 дн.</v>
      </c>
      <c r="W2427" s="5"/>
    </row>
    <row r="2428" spans="1:23" ht="34.5" customHeight="1" x14ac:dyDescent="0.25">
      <c r="A2428" s="1">
        <f t="shared" si="124"/>
        <v>2427</v>
      </c>
      <c r="B2428" s="1"/>
      <c r="C2428" s="2"/>
      <c r="H2428" s="1" t="str">
        <f t="shared" si="125"/>
        <v>0 г. 0 мес. 0 дн.</v>
      </c>
      <c r="I2428" s="1" t="s">
        <v>39</v>
      </c>
      <c r="V2428" s="1" t="str">
        <f t="shared" si="126"/>
        <v>0 г. 0 мес. 0 дн.</v>
      </c>
      <c r="W2428" s="5"/>
    </row>
    <row r="2429" spans="1:23" ht="34.5" customHeight="1" x14ac:dyDescent="0.25">
      <c r="A2429" s="1">
        <f t="shared" si="124"/>
        <v>2428</v>
      </c>
      <c r="B2429" s="1"/>
      <c r="C2429" s="2"/>
      <c r="H2429" s="1" t="str">
        <f t="shared" si="125"/>
        <v>0 г. 0 мес. 0 дн.</v>
      </c>
      <c r="I2429" s="1" t="s">
        <v>39</v>
      </c>
      <c r="V2429" s="1" t="str">
        <f t="shared" si="126"/>
        <v>0 г. 0 мес. 0 дн.</v>
      </c>
      <c r="W2429" s="5"/>
    </row>
    <row r="2430" spans="1:23" ht="34.5" customHeight="1" x14ac:dyDescent="0.25">
      <c r="A2430" s="1">
        <f t="shared" si="124"/>
        <v>2429</v>
      </c>
      <c r="B2430" s="1"/>
      <c r="C2430" s="2"/>
      <c r="H2430" s="1" t="str">
        <f t="shared" si="125"/>
        <v>0 г. 0 мес. 0 дн.</v>
      </c>
      <c r="I2430" s="1" t="s">
        <v>39</v>
      </c>
      <c r="V2430" s="1" t="str">
        <f t="shared" si="126"/>
        <v>0 г. 0 мес. 0 дн.</v>
      </c>
      <c r="W2430" s="5"/>
    </row>
    <row r="2431" spans="1:23" ht="34.5" customHeight="1" x14ac:dyDescent="0.25">
      <c r="A2431" s="1">
        <f t="shared" si="124"/>
        <v>2430</v>
      </c>
      <c r="B2431" s="1"/>
      <c r="C2431" s="2"/>
      <c r="H2431" s="1" t="str">
        <f t="shared" si="125"/>
        <v>0 г. 0 мес. 0 дн.</v>
      </c>
      <c r="I2431" s="1" t="s">
        <v>39</v>
      </c>
      <c r="V2431" s="1" t="str">
        <f t="shared" si="126"/>
        <v>0 г. 0 мес. 0 дн.</v>
      </c>
      <c r="W2431" s="5"/>
    </row>
    <row r="2432" spans="1:23" ht="34.5" customHeight="1" x14ac:dyDescent="0.25">
      <c r="A2432" s="1">
        <f t="shared" ref="A2432:A2495" si="127">ROW(A2431)</f>
        <v>2431</v>
      </c>
      <c r="B2432" s="1"/>
      <c r="C2432" s="2"/>
      <c r="H2432" s="1" t="str">
        <f t="shared" si="125"/>
        <v>0 г. 0 мес. 0 дн.</v>
      </c>
      <c r="I2432" s="1" t="s">
        <v>39</v>
      </c>
      <c r="V2432" s="1" t="str">
        <f t="shared" si="126"/>
        <v>0 г. 0 мес. 0 дн.</v>
      </c>
      <c r="W2432" s="5"/>
    </row>
    <row r="2433" spans="1:23" ht="34.5" customHeight="1" x14ac:dyDescent="0.25">
      <c r="A2433" s="1">
        <f t="shared" si="127"/>
        <v>2432</v>
      </c>
      <c r="B2433" s="1"/>
      <c r="C2433" s="2"/>
      <c r="H2433" s="1" t="str">
        <f t="shared" si="125"/>
        <v>0 г. 0 мес. 0 дн.</v>
      </c>
      <c r="I2433" s="1" t="s">
        <v>39</v>
      </c>
      <c r="V2433" s="1" t="str">
        <f t="shared" si="126"/>
        <v>0 г. 0 мес. 0 дн.</v>
      </c>
      <c r="W2433" s="5"/>
    </row>
    <row r="2434" spans="1:23" ht="34.5" customHeight="1" x14ac:dyDescent="0.25">
      <c r="A2434" s="1">
        <f t="shared" si="127"/>
        <v>2433</v>
      </c>
      <c r="B2434" s="1"/>
      <c r="C2434" s="2"/>
      <c r="H2434" s="1" t="str">
        <f t="shared" ref="H2434:H2497" si="128">DATEDIF(G2434,D2434,"y") &amp; " г. " &amp; DATEDIF(G2434,D2434,"ym") &amp; " мес. " &amp; DATEDIF(G2434,D2434,"md") &amp; " дн."</f>
        <v>0 г. 0 мес. 0 дн.</v>
      </c>
      <c r="I2434" s="1" t="s">
        <v>39</v>
      </c>
      <c r="V2434" s="1" t="str">
        <f t="shared" si="126"/>
        <v>0 г. 0 мес. 0 дн.</v>
      </c>
      <c r="W2434" s="5"/>
    </row>
    <row r="2435" spans="1:23" ht="34.5" customHeight="1" x14ac:dyDescent="0.25">
      <c r="A2435" s="1">
        <f t="shared" si="127"/>
        <v>2434</v>
      </c>
      <c r="B2435" s="1"/>
      <c r="C2435" s="2"/>
      <c r="H2435" s="1" t="str">
        <f t="shared" si="128"/>
        <v>0 г. 0 мес. 0 дн.</v>
      </c>
      <c r="I2435" s="1" t="s">
        <v>39</v>
      </c>
      <c r="V2435" s="1" t="str">
        <f t="shared" si="126"/>
        <v>0 г. 0 мес. 0 дн.</v>
      </c>
      <c r="W2435" s="5"/>
    </row>
    <row r="2436" spans="1:23" ht="34.5" customHeight="1" x14ac:dyDescent="0.25">
      <c r="A2436" s="1">
        <f t="shared" si="127"/>
        <v>2435</v>
      </c>
      <c r="B2436" s="1"/>
      <c r="C2436" s="2"/>
      <c r="H2436" s="1" t="str">
        <f t="shared" si="128"/>
        <v>0 г. 0 мес. 0 дн.</v>
      </c>
      <c r="I2436" s="1" t="s">
        <v>39</v>
      </c>
      <c r="V2436" s="1" t="str">
        <f t="shared" si="126"/>
        <v>0 г. 0 мес. 0 дн.</v>
      </c>
      <c r="W2436" s="5"/>
    </row>
    <row r="2437" spans="1:23" ht="34.5" customHeight="1" x14ac:dyDescent="0.25">
      <c r="A2437" s="1">
        <f t="shared" si="127"/>
        <v>2436</v>
      </c>
      <c r="B2437" s="1"/>
      <c r="C2437" s="2"/>
      <c r="H2437" s="1" t="str">
        <f t="shared" si="128"/>
        <v>0 г. 0 мес. 0 дн.</v>
      </c>
      <c r="I2437" s="1" t="s">
        <v>39</v>
      </c>
      <c r="V2437" s="1" t="str">
        <f t="shared" si="126"/>
        <v>0 г. 0 мес. 0 дн.</v>
      </c>
      <c r="W2437" s="5"/>
    </row>
    <row r="2438" spans="1:23" ht="34.5" customHeight="1" x14ac:dyDescent="0.25">
      <c r="A2438" s="1">
        <f t="shared" si="127"/>
        <v>2437</v>
      </c>
      <c r="B2438" s="1"/>
      <c r="C2438" s="2"/>
      <c r="H2438" s="1" t="str">
        <f t="shared" si="128"/>
        <v>0 г. 0 мес. 0 дн.</v>
      </c>
      <c r="I2438" s="1" t="s">
        <v>39</v>
      </c>
      <c r="V2438" s="1" t="str">
        <f t="shared" si="126"/>
        <v>0 г. 0 мес. 0 дн.</v>
      </c>
      <c r="W2438" s="5"/>
    </row>
    <row r="2439" spans="1:23" ht="34.5" customHeight="1" x14ac:dyDescent="0.25">
      <c r="A2439" s="1">
        <f t="shared" si="127"/>
        <v>2438</v>
      </c>
      <c r="B2439" s="1"/>
      <c r="C2439" s="2"/>
      <c r="H2439" s="1" t="str">
        <f t="shared" si="128"/>
        <v>0 г. 0 мес. 0 дн.</v>
      </c>
      <c r="I2439" s="1" t="s">
        <v>39</v>
      </c>
      <c r="V2439" s="1" t="str">
        <f t="shared" si="126"/>
        <v>0 г. 0 мес. 0 дн.</v>
      </c>
      <c r="W2439" s="5"/>
    </row>
    <row r="2440" spans="1:23" ht="34.5" customHeight="1" x14ac:dyDescent="0.25">
      <c r="A2440" s="1">
        <f t="shared" si="127"/>
        <v>2439</v>
      </c>
      <c r="B2440" s="1"/>
      <c r="C2440" s="2"/>
      <c r="H2440" s="1" t="str">
        <f t="shared" si="128"/>
        <v>0 г. 0 мес. 0 дн.</v>
      </c>
      <c r="I2440" s="1" t="s">
        <v>39</v>
      </c>
      <c r="V2440" s="1" t="str">
        <f t="shared" si="126"/>
        <v>0 г. 0 мес. 0 дн.</v>
      </c>
      <c r="W2440" s="5"/>
    </row>
    <row r="2441" spans="1:23" ht="34.5" customHeight="1" x14ac:dyDescent="0.25">
      <c r="A2441" s="1">
        <f t="shared" si="127"/>
        <v>2440</v>
      </c>
      <c r="B2441" s="1"/>
      <c r="C2441" s="2"/>
      <c r="H2441" s="1" t="str">
        <f t="shared" si="128"/>
        <v>0 г. 0 мес. 0 дн.</v>
      </c>
      <c r="I2441" s="1" t="s">
        <v>39</v>
      </c>
      <c r="V2441" s="1" t="str">
        <f t="shared" si="126"/>
        <v>0 г. 0 мес. 0 дн.</v>
      </c>
      <c r="W2441" s="5"/>
    </row>
    <row r="2442" spans="1:23" ht="34.5" customHeight="1" x14ac:dyDescent="0.25">
      <c r="A2442" s="1">
        <f t="shared" si="127"/>
        <v>2441</v>
      </c>
      <c r="B2442" s="1"/>
      <c r="C2442" s="2"/>
      <c r="H2442" s="1" t="str">
        <f t="shared" si="128"/>
        <v>0 г. 0 мес. 0 дн.</v>
      </c>
      <c r="I2442" s="1" t="s">
        <v>39</v>
      </c>
      <c r="V2442" s="1" t="str">
        <f t="shared" si="126"/>
        <v>0 г. 0 мес. 0 дн.</v>
      </c>
      <c r="W2442" s="5"/>
    </row>
    <row r="2443" spans="1:23" ht="34.5" customHeight="1" x14ac:dyDescent="0.25">
      <c r="A2443" s="1">
        <f t="shared" si="127"/>
        <v>2442</v>
      </c>
      <c r="B2443" s="1"/>
      <c r="C2443" s="2"/>
      <c r="H2443" s="1" t="str">
        <f t="shared" si="128"/>
        <v>0 г. 0 мес. 0 дн.</v>
      </c>
      <c r="I2443" s="1" t="s">
        <v>39</v>
      </c>
      <c r="V2443" s="1" t="str">
        <f t="shared" si="126"/>
        <v>0 г. 0 мес. 0 дн.</v>
      </c>
      <c r="W2443" s="5"/>
    </row>
    <row r="2444" spans="1:23" ht="34.5" customHeight="1" x14ac:dyDescent="0.25">
      <c r="A2444" s="1">
        <f t="shared" si="127"/>
        <v>2443</v>
      </c>
      <c r="B2444" s="1"/>
      <c r="C2444" s="2"/>
      <c r="H2444" s="1" t="str">
        <f t="shared" si="128"/>
        <v>0 г. 0 мес. 0 дн.</v>
      </c>
      <c r="I2444" s="1" t="s">
        <v>39</v>
      </c>
      <c r="V2444" s="1" t="str">
        <f t="shared" si="126"/>
        <v>0 г. 0 мес. 0 дн.</v>
      </c>
      <c r="W2444" s="5"/>
    </row>
    <row r="2445" spans="1:23" ht="34.5" customHeight="1" x14ac:dyDescent="0.25">
      <c r="A2445" s="1">
        <f t="shared" si="127"/>
        <v>2444</v>
      </c>
      <c r="B2445" s="1"/>
      <c r="C2445" s="2"/>
      <c r="H2445" s="1" t="str">
        <f t="shared" si="128"/>
        <v>0 г. 0 мес. 0 дн.</v>
      </c>
      <c r="I2445" s="1" t="s">
        <v>39</v>
      </c>
      <c r="V2445" s="1" t="str">
        <f t="shared" si="126"/>
        <v>0 г. 0 мес. 0 дн.</v>
      </c>
      <c r="W2445" s="5"/>
    </row>
    <row r="2446" spans="1:23" ht="34.5" customHeight="1" x14ac:dyDescent="0.25">
      <c r="A2446" s="1">
        <f t="shared" si="127"/>
        <v>2445</v>
      </c>
      <c r="B2446" s="1"/>
      <c r="C2446" s="2"/>
      <c r="H2446" s="1" t="str">
        <f t="shared" si="128"/>
        <v>0 г. 0 мес. 0 дн.</v>
      </c>
      <c r="I2446" s="1" t="s">
        <v>39</v>
      </c>
      <c r="V2446" s="1" t="str">
        <f t="shared" si="126"/>
        <v>0 г. 0 мес. 0 дн.</v>
      </c>
      <c r="W2446" s="5"/>
    </row>
    <row r="2447" spans="1:23" ht="34.5" customHeight="1" x14ac:dyDescent="0.25">
      <c r="A2447" s="1">
        <f t="shared" si="127"/>
        <v>2446</v>
      </c>
      <c r="B2447" s="1"/>
      <c r="C2447" s="2"/>
      <c r="H2447" s="1" t="str">
        <f t="shared" si="128"/>
        <v>0 г. 0 мес. 0 дн.</v>
      </c>
      <c r="I2447" s="1" t="s">
        <v>39</v>
      </c>
      <c r="V2447" s="1" t="str">
        <f t="shared" si="126"/>
        <v>0 г. 0 мес. 0 дн.</v>
      </c>
      <c r="W2447" s="5"/>
    </row>
    <row r="2448" spans="1:23" ht="34.5" customHeight="1" x14ac:dyDescent="0.25">
      <c r="A2448" s="1">
        <f t="shared" si="127"/>
        <v>2447</v>
      </c>
      <c r="B2448" s="1"/>
      <c r="C2448" s="2"/>
      <c r="H2448" s="1" t="str">
        <f t="shared" si="128"/>
        <v>0 г. 0 мес. 0 дн.</v>
      </c>
      <c r="I2448" s="1" t="s">
        <v>39</v>
      </c>
      <c r="V2448" s="1" t="str">
        <f t="shared" si="126"/>
        <v>0 г. 0 мес. 0 дн.</v>
      </c>
      <c r="W2448" s="5"/>
    </row>
    <row r="2449" spans="1:23" ht="34.5" customHeight="1" x14ac:dyDescent="0.25">
      <c r="A2449" s="1">
        <f t="shared" si="127"/>
        <v>2448</v>
      </c>
      <c r="B2449" s="1"/>
      <c r="C2449" s="2"/>
      <c r="H2449" s="1" t="str">
        <f t="shared" si="128"/>
        <v>0 г. 0 мес. 0 дн.</v>
      </c>
      <c r="I2449" s="1" t="s">
        <v>39</v>
      </c>
      <c r="V2449" s="1" t="str">
        <f t="shared" si="126"/>
        <v>0 г. 0 мес. 0 дн.</v>
      </c>
      <c r="W2449" s="5"/>
    </row>
    <row r="2450" spans="1:23" ht="34.5" customHeight="1" x14ac:dyDescent="0.25">
      <c r="A2450" s="1">
        <f t="shared" si="127"/>
        <v>2449</v>
      </c>
      <c r="B2450" s="1"/>
      <c r="C2450" s="2"/>
      <c r="H2450" s="1" t="str">
        <f t="shared" si="128"/>
        <v>0 г. 0 мес. 0 дн.</v>
      </c>
      <c r="I2450" s="1" t="s">
        <v>39</v>
      </c>
      <c r="V2450" s="1" t="str">
        <f t="shared" si="126"/>
        <v>0 г. 0 мес. 0 дн.</v>
      </c>
      <c r="W2450" s="5"/>
    </row>
    <row r="2451" spans="1:23" ht="34.5" customHeight="1" x14ac:dyDescent="0.25">
      <c r="A2451" s="1">
        <f t="shared" si="127"/>
        <v>2450</v>
      </c>
      <c r="B2451" s="1"/>
      <c r="C2451" s="2"/>
      <c r="H2451" s="1" t="str">
        <f t="shared" si="128"/>
        <v>0 г. 0 мес. 0 дн.</v>
      </c>
      <c r="I2451" s="1" t="s">
        <v>39</v>
      </c>
      <c r="V2451" s="1" t="str">
        <f t="shared" si="126"/>
        <v>0 г. 0 мес. 0 дн.</v>
      </c>
      <c r="W2451" s="5"/>
    </row>
    <row r="2452" spans="1:23" ht="34.5" customHeight="1" x14ac:dyDescent="0.25">
      <c r="A2452" s="1">
        <f t="shared" si="127"/>
        <v>2451</v>
      </c>
      <c r="B2452" s="1"/>
      <c r="C2452" s="2"/>
      <c r="H2452" s="1" t="str">
        <f t="shared" si="128"/>
        <v>0 г. 0 мес. 0 дн.</v>
      </c>
      <c r="I2452" s="1" t="s">
        <v>39</v>
      </c>
      <c r="V2452" s="1" t="str">
        <f t="shared" si="126"/>
        <v>0 г. 0 мес. 0 дн.</v>
      </c>
      <c r="W2452" s="5"/>
    </row>
    <row r="2453" spans="1:23" ht="34.5" customHeight="1" x14ac:dyDescent="0.25">
      <c r="A2453" s="1">
        <f t="shared" si="127"/>
        <v>2452</v>
      </c>
      <c r="B2453" s="1"/>
      <c r="C2453" s="2"/>
      <c r="H2453" s="1" t="str">
        <f t="shared" si="128"/>
        <v>0 г. 0 мес. 0 дн.</v>
      </c>
      <c r="I2453" s="1" t="s">
        <v>39</v>
      </c>
      <c r="V2453" s="1" t="str">
        <f t="shared" si="126"/>
        <v>0 г. 0 мес. 0 дн.</v>
      </c>
      <c r="W2453" s="5"/>
    </row>
    <row r="2454" spans="1:23" ht="34.5" customHeight="1" x14ac:dyDescent="0.25">
      <c r="A2454" s="1">
        <f t="shared" si="127"/>
        <v>2453</v>
      </c>
      <c r="B2454" s="1"/>
      <c r="C2454" s="2"/>
      <c r="H2454" s="1" t="str">
        <f t="shared" si="128"/>
        <v>0 г. 0 мес. 0 дн.</v>
      </c>
      <c r="I2454" s="1" t="s">
        <v>39</v>
      </c>
      <c r="V2454" s="1" t="str">
        <f t="shared" si="126"/>
        <v>0 г. 0 мес. 0 дн.</v>
      </c>
      <c r="W2454" s="5"/>
    </row>
    <row r="2455" spans="1:23" ht="34.5" customHeight="1" x14ac:dyDescent="0.25">
      <c r="A2455" s="1">
        <f t="shared" si="127"/>
        <v>2454</v>
      </c>
      <c r="B2455" s="1"/>
      <c r="C2455" s="2"/>
      <c r="H2455" s="1" t="str">
        <f t="shared" si="128"/>
        <v>0 г. 0 мес. 0 дн.</v>
      </c>
      <c r="I2455" s="1" t="s">
        <v>39</v>
      </c>
      <c r="V2455" s="1" t="str">
        <f t="shared" si="126"/>
        <v>0 г. 0 мес. 0 дн.</v>
      </c>
      <c r="W2455" s="5"/>
    </row>
    <row r="2456" spans="1:23" ht="34.5" customHeight="1" x14ac:dyDescent="0.25">
      <c r="A2456" s="1">
        <f t="shared" si="127"/>
        <v>2455</v>
      </c>
      <c r="B2456" s="1"/>
      <c r="C2456" s="2"/>
      <c r="H2456" s="1" t="str">
        <f t="shared" si="128"/>
        <v>0 г. 0 мес. 0 дн.</v>
      </c>
      <c r="I2456" s="1" t="s">
        <v>39</v>
      </c>
      <c r="V2456" s="1" t="str">
        <f t="shared" si="126"/>
        <v>0 г. 0 мес. 0 дн.</v>
      </c>
      <c r="W2456" s="5"/>
    </row>
    <row r="2457" spans="1:23" ht="34.5" customHeight="1" x14ac:dyDescent="0.25">
      <c r="A2457" s="1">
        <f t="shared" si="127"/>
        <v>2456</v>
      </c>
      <c r="B2457" s="1"/>
      <c r="C2457" s="2"/>
      <c r="H2457" s="1" t="str">
        <f t="shared" si="128"/>
        <v>0 г. 0 мес. 0 дн.</v>
      </c>
      <c r="I2457" s="1" t="s">
        <v>39</v>
      </c>
      <c r="V2457" s="1" t="str">
        <f t="shared" si="126"/>
        <v>0 г. 0 мес. 0 дн.</v>
      </c>
      <c r="W2457" s="5"/>
    </row>
    <row r="2458" spans="1:23" ht="34.5" customHeight="1" x14ac:dyDescent="0.25">
      <c r="A2458" s="1">
        <f t="shared" si="127"/>
        <v>2457</v>
      </c>
      <c r="B2458" s="1"/>
      <c r="C2458" s="2"/>
      <c r="H2458" s="1" t="str">
        <f t="shared" si="128"/>
        <v>0 г. 0 мес. 0 дн.</v>
      </c>
      <c r="I2458" s="1" t="s">
        <v>39</v>
      </c>
      <c r="V2458" s="1" t="str">
        <f t="shared" si="126"/>
        <v>0 г. 0 мес. 0 дн.</v>
      </c>
      <c r="W2458" s="5"/>
    </row>
    <row r="2459" spans="1:23" ht="34.5" customHeight="1" x14ac:dyDescent="0.25">
      <c r="A2459" s="1">
        <f t="shared" si="127"/>
        <v>2458</v>
      </c>
      <c r="B2459" s="1"/>
      <c r="C2459" s="2"/>
      <c r="H2459" s="1" t="str">
        <f t="shared" si="128"/>
        <v>0 г. 0 мес. 0 дн.</v>
      </c>
      <c r="I2459" s="1" t="s">
        <v>39</v>
      </c>
      <c r="V2459" s="1" t="str">
        <f t="shared" si="126"/>
        <v>0 г. 0 мес. 0 дн.</v>
      </c>
      <c r="W2459" s="5"/>
    </row>
    <row r="2460" spans="1:23" ht="34.5" customHeight="1" x14ac:dyDescent="0.25">
      <c r="A2460" s="1">
        <f t="shared" si="127"/>
        <v>2459</v>
      </c>
      <c r="B2460" s="1"/>
      <c r="C2460" s="2"/>
      <c r="H2460" s="1" t="str">
        <f t="shared" si="128"/>
        <v>0 г. 0 мес. 0 дн.</v>
      </c>
      <c r="I2460" s="1" t="s">
        <v>39</v>
      </c>
      <c r="V2460" s="1" t="str">
        <f t="shared" si="126"/>
        <v>0 г. 0 мес. 0 дн.</v>
      </c>
      <c r="W2460" s="5"/>
    </row>
    <row r="2461" spans="1:23" ht="34.5" customHeight="1" x14ac:dyDescent="0.25">
      <c r="A2461" s="1">
        <f t="shared" si="127"/>
        <v>2460</v>
      </c>
      <c r="B2461" s="1"/>
      <c r="C2461" s="2"/>
      <c r="H2461" s="1" t="str">
        <f t="shared" si="128"/>
        <v>0 г. 0 мес. 0 дн.</v>
      </c>
      <c r="I2461" s="1" t="s">
        <v>39</v>
      </c>
      <c r="V2461" s="1" t="str">
        <f t="shared" si="126"/>
        <v>0 г. 0 мес. 0 дн.</v>
      </c>
      <c r="W2461" s="5"/>
    </row>
    <row r="2462" spans="1:23" ht="34.5" customHeight="1" x14ac:dyDescent="0.25">
      <c r="A2462" s="1">
        <f t="shared" si="127"/>
        <v>2461</v>
      </c>
      <c r="B2462" s="1"/>
      <c r="C2462" s="2"/>
      <c r="H2462" s="1" t="str">
        <f t="shared" si="128"/>
        <v>0 г. 0 мес. 0 дн.</v>
      </c>
      <c r="I2462" s="1" t="s">
        <v>39</v>
      </c>
      <c r="V2462" s="1" t="str">
        <f t="shared" si="126"/>
        <v>0 г. 0 мес. 0 дн.</v>
      </c>
      <c r="W2462" s="5"/>
    </row>
    <row r="2463" spans="1:23" ht="34.5" customHeight="1" x14ac:dyDescent="0.25">
      <c r="A2463" s="1">
        <f t="shared" si="127"/>
        <v>2462</v>
      </c>
      <c r="B2463" s="1"/>
      <c r="C2463" s="2"/>
      <c r="H2463" s="1" t="str">
        <f t="shared" si="128"/>
        <v>0 г. 0 мес. 0 дн.</v>
      </c>
      <c r="I2463" s="1" t="s">
        <v>39</v>
      </c>
      <c r="V2463" s="1" t="str">
        <f t="shared" si="126"/>
        <v>0 г. 0 мес. 0 дн.</v>
      </c>
      <c r="W2463" s="5"/>
    </row>
    <row r="2464" spans="1:23" ht="34.5" customHeight="1" x14ac:dyDescent="0.25">
      <c r="A2464" s="1">
        <f t="shared" si="127"/>
        <v>2463</v>
      </c>
      <c r="B2464" s="1"/>
      <c r="C2464" s="2"/>
      <c r="H2464" s="1" t="str">
        <f t="shared" si="128"/>
        <v>0 г. 0 мес. 0 дн.</v>
      </c>
      <c r="I2464" s="1" t="s">
        <v>39</v>
      </c>
      <c r="V2464" s="1" t="str">
        <f t="shared" si="126"/>
        <v>0 г. 0 мес. 0 дн.</v>
      </c>
      <c r="W2464" s="5"/>
    </row>
    <row r="2465" spans="1:23" ht="34.5" customHeight="1" x14ac:dyDescent="0.25">
      <c r="A2465" s="1">
        <f t="shared" si="127"/>
        <v>2464</v>
      </c>
      <c r="B2465" s="1"/>
      <c r="C2465" s="2"/>
      <c r="H2465" s="1" t="str">
        <f t="shared" si="128"/>
        <v>0 г. 0 мес. 0 дн.</v>
      </c>
      <c r="I2465" s="1" t="s">
        <v>39</v>
      </c>
      <c r="V2465" s="1" t="str">
        <f t="shared" si="126"/>
        <v>0 г. 0 мес. 0 дн.</v>
      </c>
      <c r="W2465" s="5"/>
    </row>
    <row r="2466" spans="1:23" ht="34.5" customHeight="1" x14ac:dyDescent="0.25">
      <c r="A2466" s="1">
        <f t="shared" si="127"/>
        <v>2465</v>
      </c>
      <c r="B2466" s="1"/>
      <c r="C2466" s="2"/>
      <c r="H2466" s="1" t="str">
        <f t="shared" si="128"/>
        <v>0 г. 0 мес. 0 дн.</v>
      </c>
      <c r="I2466" s="1" t="s">
        <v>39</v>
      </c>
      <c r="V2466" s="1" t="str">
        <f t="shared" si="126"/>
        <v>0 г. 0 мес. 0 дн.</v>
      </c>
      <c r="W2466" s="5"/>
    </row>
    <row r="2467" spans="1:23" ht="34.5" customHeight="1" x14ac:dyDescent="0.25">
      <c r="A2467" s="1">
        <f t="shared" si="127"/>
        <v>2466</v>
      </c>
      <c r="B2467" s="1"/>
      <c r="C2467" s="2"/>
      <c r="H2467" s="1" t="str">
        <f t="shared" si="128"/>
        <v>0 г. 0 мес. 0 дн.</v>
      </c>
      <c r="I2467" s="1" t="s">
        <v>39</v>
      </c>
      <c r="V2467" s="1" t="str">
        <f t="shared" si="126"/>
        <v>0 г. 0 мес. 0 дн.</v>
      </c>
      <c r="W2467" s="5"/>
    </row>
    <row r="2468" spans="1:23" ht="34.5" customHeight="1" x14ac:dyDescent="0.25">
      <c r="A2468" s="1">
        <f t="shared" si="127"/>
        <v>2467</v>
      </c>
      <c r="B2468" s="1"/>
      <c r="C2468" s="2"/>
      <c r="H2468" s="1" t="str">
        <f t="shared" si="128"/>
        <v>0 г. 0 мес. 0 дн.</v>
      </c>
      <c r="I2468" s="1" t="s">
        <v>39</v>
      </c>
      <c r="V2468" s="1" t="str">
        <f t="shared" si="126"/>
        <v>0 г. 0 мес. 0 дн.</v>
      </c>
      <c r="W2468" s="5"/>
    </row>
    <row r="2469" spans="1:23" ht="34.5" customHeight="1" x14ac:dyDescent="0.25">
      <c r="A2469" s="1">
        <f t="shared" si="127"/>
        <v>2468</v>
      </c>
      <c r="B2469" s="1"/>
      <c r="C2469" s="2"/>
      <c r="H2469" s="1" t="str">
        <f t="shared" si="128"/>
        <v>0 г. 0 мес. 0 дн.</v>
      </c>
      <c r="I2469" s="1" t="s">
        <v>39</v>
      </c>
      <c r="V2469" s="1" t="str">
        <f t="shared" si="126"/>
        <v>0 г. 0 мес. 0 дн.</v>
      </c>
      <c r="W2469" s="5"/>
    </row>
    <row r="2470" spans="1:23" ht="34.5" customHeight="1" x14ac:dyDescent="0.25">
      <c r="A2470" s="1">
        <f t="shared" si="127"/>
        <v>2469</v>
      </c>
      <c r="B2470" s="1"/>
      <c r="C2470" s="2"/>
      <c r="H2470" s="1" t="str">
        <f t="shared" si="128"/>
        <v>0 г. 0 мес. 0 дн.</v>
      </c>
      <c r="I2470" s="1" t="s">
        <v>39</v>
      </c>
      <c r="V2470" s="1" t="str">
        <f t="shared" si="126"/>
        <v>0 г. 0 мес. 0 дн.</v>
      </c>
      <c r="W2470" s="5"/>
    </row>
    <row r="2471" spans="1:23" ht="34.5" customHeight="1" x14ac:dyDescent="0.25">
      <c r="A2471" s="1">
        <f t="shared" si="127"/>
        <v>2470</v>
      </c>
      <c r="B2471" s="1"/>
      <c r="C2471" s="2"/>
      <c r="H2471" s="1" t="str">
        <f t="shared" si="128"/>
        <v>0 г. 0 мес. 0 дн.</v>
      </c>
      <c r="I2471" s="1" t="s">
        <v>39</v>
      </c>
      <c r="V2471" s="1" t="str">
        <f t="shared" si="126"/>
        <v>0 г. 0 мес. 0 дн.</v>
      </c>
      <c r="W2471" s="5"/>
    </row>
    <row r="2472" spans="1:23" ht="34.5" customHeight="1" x14ac:dyDescent="0.25">
      <c r="A2472" s="1">
        <f t="shared" si="127"/>
        <v>2471</v>
      </c>
      <c r="B2472" s="1"/>
      <c r="C2472" s="2"/>
      <c r="H2472" s="1" t="str">
        <f t="shared" si="128"/>
        <v>0 г. 0 мес. 0 дн.</v>
      </c>
      <c r="I2472" s="1" t="s">
        <v>39</v>
      </c>
      <c r="V2472" s="1" t="str">
        <f t="shared" si="126"/>
        <v>0 г. 0 мес. 0 дн.</v>
      </c>
      <c r="W2472" s="5"/>
    </row>
    <row r="2473" spans="1:23" ht="34.5" customHeight="1" x14ac:dyDescent="0.25">
      <c r="A2473" s="1">
        <f t="shared" si="127"/>
        <v>2472</v>
      </c>
      <c r="B2473" s="1"/>
      <c r="C2473" s="2"/>
      <c r="H2473" s="1" t="str">
        <f t="shared" si="128"/>
        <v>0 г. 0 мес. 0 дн.</v>
      </c>
      <c r="I2473" s="1" t="s">
        <v>39</v>
      </c>
      <c r="V2473" s="1" t="str">
        <f t="shared" si="126"/>
        <v>0 г. 0 мес. 0 дн.</v>
      </c>
      <c r="W2473" s="5"/>
    </row>
    <row r="2474" spans="1:23" ht="34.5" customHeight="1" x14ac:dyDescent="0.25">
      <c r="A2474" s="1">
        <f t="shared" si="127"/>
        <v>2473</v>
      </c>
      <c r="B2474" s="1"/>
      <c r="C2474" s="2"/>
      <c r="H2474" s="1" t="str">
        <f t="shared" si="128"/>
        <v>0 г. 0 мес. 0 дн.</v>
      </c>
      <c r="I2474" s="1" t="s">
        <v>39</v>
      </c>
      <c r="V2474" s="1" t="str">
        <f t="shared" si="126"/>
        <v>0 г. 0 мес. 0 дн.</v>
      </c>
      <c r="W2474" s="5"/>
    </row>
    <row r="2475" spans="1:23" ht="34.5" customHeight="1" x14ac:dyDescent="0.25">
      <c r="A2475" s="1">
        <f t="shared" si="127"/>
        <v>2474</v>
      </c>
      <c r="B2475" s="1"/>
      <c r="C2475" s="2"/>
      <c r="H2475" s="1" t="str">
        <f t="shared" si="128"/>
        <v>0 г. 0 мес. 0 дн.</v>
      </c>
      <c r="I2475" s="1" t="s">
        <v>39</v>
      </c>
      <c r="V2475" s="1" t="str">
        <f t="shared" si="126"/>
        <v>0 г. 0 мес. 0 дн.</v>
      </c>
      <c r="W2475" s="5"/>
    </row>
    <row r="2476" spans="1:23" ht="34.5" customHeight="1" x14ac:dyDescent="0.25">
      <c r="A2476" s="1">
        <f t="shared" si="127"/>
        <v>2475</v>
      </c>
      <c r="B2476" s="1"/>
      <c r="C2476" s="2"/>
      <c r="H2476" s="1" t="str">
        <f t="shared" si="128"/>
        <v>0 г. 0 мес. 0 дн.</v>
      </c>
      <c r="I2476" s="1" t="s">
        <v>39</v>
      </c>
      <c r="V2476" s="1" t="str">
        <f t="shared" si="126"/>
        <v>0 г. 0 мес. 0 дн.</v>
      </c>
      <c r="W2476" s="5"/>
    </row>
    <row r="2477" spans="1:23" ht="34.5" customHeight="1" x14ac:dyDescent="0.25">
      <c r="A2477" s="1">
        <f t="shared" si="127"/>
        <v>2476</v>
      </c>
      <c r="B2477" s="1"/>
      <c r="C2477" s="2"/>
      <c r="H2477" s="1" t="str">
        <f t="shared" si="128"/>
        <v>0 г. 0 мес. 0 дн.</v>
      </c>
      <c r="I2477" s="1" t="s">
        <v>39</v>
      </c>
      <c r="V2477" s="1" t="str">
        <f t="shared" si="126"/>
        <v>0 г. 0 мес. 0 дн.</v>
      </c>
      <c r="W2477" s="5"/>
    </row>
    <row r="2478" spans="1:23" ht="34.5" customHeight="1" x14ac:dyDescent="0.25">
      <c r="A2478" s="1">
        <f t="shared" si="127"/>
        <v>2477</v>
      </c>
      <c r="B2478" s="1"/>
      <c r="C2478" s="2"/>
      <c r="H2478" s="1" t="str">
        <f t="shared" si="128"/>
        <v>0 г. 0 мес. 0 дн.</v>
      </c>
      <c r="I2478" s="1" t="s">
        <v>39</v>
      </c>
      <c r="V2478" s="1" t="str">
        <f t="shared" si="126"/>
        <v>0 г. 0 мес. 0 дн.</v>
      </c>
      <c r="W2478" s="5"/>
    </row>
    <row r="2479" spans="1:23" ht="34.5" customHeight="1" x14ac:dyDescent="0.25">
      <c r="A2479" s="1">
        <f t="shared" si="127"/>
        <v>2478</v>
      </c>
      <c r="B2479" s="1"/>
      <c r="C2479" s="2"/>
      <c r="H2479" s="1" t="str">
        <f t="shared" si="128"/>
        <v>0 г. 0 мес. 0 дн.</v>
      </c>
      <c r="I2479" s="1" t="s">
        <v>39</v>
      </c>
      <c r="V2479" s="1" t="str">
        <f t="shared" si="126"/>
        <v>0 г. 0 мес. 0 дн.</v>
      </c>
      <c r="W2479" s="5"/>
    </row>
    <row r="2480" spans="1:23" ht="34.5" customHeight="1" x14ac:dyDescent="0.25">
      <c r="A2480" s="1">
        <f t="shared" si="127"/>
        <v>2479</v>
      </c>
      <c r="B2480" s="1"/>
      <c r="C2480" s="2"/>
      <c r="H2480" s="1" t="str">
        <f t="shared" si="128"/>
        <v>0 г. 0 мес. 0 дн.</v>
      </c>
      <c r="I2480" s="1" t="s">
        <v>39</v>
      </c>
      <c r="V2480" s="1" t="str">
        <f t="shared" si="126"/>
        <v>0 г. 0 мес. 0 дн.</v>
      </c>
      <c r="W2480" s="5"/>
    </row>
    <row r="2481" spans="1:23" ht="34.5" customHeight="1" x14ac:dyDescent="0.25">
      <c r="A2481" s="1">
        <f t="shared" si="127"/>
        <v>2480</v>
      </c>
      <c r="B2481" s="1"/>
      <c r="C2481" s="2"/>
      <c r="H2481" s="1" t="str">
        <f t="shared" si="128"/>
        <v>0 г. 0 мес. 0 дн.</v>
      </c>
      <c r="I2481" s="1" t="s">
        <v>39</v>
      </c>
      <c r="V2481" s="1" t="str">
        <f t="shared" ref="V2481:V2510" si="129">DATEDIF(D2481,T2481,"y") &amp; " г. " &amp; DATEDIF(D2481,T2481,"ym") &amp; " мес. " &amp; DATEDIF(D2481,T2481,"md") &amp; " дн."</f>
        <v>0 г. 0 мес. 0 дн.</v>
      </c>
      <c r="W2481" s="5"/>
    </row>
    <row r="2482" spans="1:23" ht="34.5" customHeight="1" x14ac:dyDescent="0.25">
      <c r="A2482" s="1">
        <f t="shared" si="127"/>
        <v>2481</v>
      </c>
      <c r="B2482" s="1"/>
      <c r="C2482" s="2"/>
      <c r="H2482" s="1" t="str">
        <f t="shared" si="128"/>
        <v>0 г. 0 мес. 0 дн.</v>
      </c>
      <c r="I2482" s="1" t="s">
        <v>39</v>
      </c>
      <c r="V2482" s="1" t="str">
        <f t="shared" si="129"/>
        <v>0 г. 0 мес. 0 дн.</v>
      </c>
      <c r="W2482" s="5"/>
    </row>
    <row r="2483" spans="1:23" ht="34.5" customHeight="1" x14ac:dyDescent="0.25">
      <c r="A2483" s="1">
        <f t="shared" si="127"/>
        <v>2482</v>
      </c>
      <c r="B2483" s="1"/>
      <c r="C2483" s="2"/>
      <c r="H2483" s="1" t="str">
        <f t="shared" si="128"/>
        <v>0 г. 0 мес. 0 дн.</v>
      </c>
      <c r="I2483" s="1" t="s">
        <v>39</v>
      </c>
      <c r="V2483" s="1" t="str">
        <f t="shared" si="129"/>
        <v>0 г. 0 мес. 0 дн.</v>
      </c>
      <c r="W2483" s="5"/>
    </row>
    <row r="2484" spans="1:23" ht="34.5" customHeight="1" x14ac:dyDescent="0.25">
      <c r="A2484" s="1">
        <f t="shared" si="127"/>
        <v>2483</v>
      </c>
      <c r="B2484" s="1"/>
      <c r="C2484" s="2"/>
      <c r="H2484" s="1" t="str">
        <f t="shared" si="128"/>
        <v>0 г. 0 мес. 0 дн.</v>
      </c>
      <c r="I2484" s="1" t="s">
        <v>39</v>
      </c>
      <c r="V2484" s="1" t="str">
        <f t="shared" si="129"/>
        <v>0 г. 0 мес. 0 дн.</v>
      </c>
      <c r="W2484" s="5"/>
    </row>
    <row r="2485" spans="1:23" ht="34.5" customHeight="1" x14ac:dyDescent="0.25">
      <c r="A2485" s="1">
        <f t="shared" si="127"/>
        <v>2484</v>
      </c>
      <c r="B2485" s="1"/>
      <c r="C2485" s="2"/>
      <c r="H2485" s="1" t="str">
        <f t="shared" si="128"/>
        <v>0 г. 0 мес. 0 дн.</v>
      </c>
      <c r="I2485" s="1" t="s">
        <v>39</v>
      </c>
      <c r="V2485" s="1" t="str">
        <f t="shared" si="129"/>
        <v>0 г. 0 мес. 0 дн.</v>
      </c>
      <c r="W2485" s="5"/>
    </row>
    <row r="2486" spans="1:23" ht="34.5" customHeight="1" x14ac:dyDescent="0.25">
      <c r="A2486" s="1">
        <f t="shared" si="127"/>
        <v>2485</v>
      </c>
      <c r="B2486" s="1"/>
      <c r="C2486" s="2"/>
      <c r="H2486" s="1" t="str">
        <f t="shared" si="128"/>
        <v>0 г. 0 мес. 0 дн.</v>
      </c>
      <c r="I2486" s="1" t="s">
        <v>39</v>
      </c>
      <c r="V2486" s="1" t="str">
        <f t="shared" si="129"/>
        <v>0 г. 0 мес. 0 дн.</v>
      </c>
      <c r="W2486" s="5"/>
    </row>
    <row r="2487" spans="1:23" ht="34.5" customHeight="1" x14ac:dyDescent="0.25">
      <c r="A2487" s="1">
        <f t="shared" si="127"/>
        <v>2486</v>
      </c>
      <c r="B2487" s="1"/>
      <c r="C2487" s="2"/>
      <c r="H2487" s="1" t="str">
        <f t="shared" si="128"/>
        <v>0 г. 0 мес. 0 дн.</v>
      </c>
      <c r="I2487" s="1" t="s">
        <v>39</v>
      </c>
      <c r="V2487" s="1" t="str">
        <f t="shared" si="129"/>
        <v>0 г. 0 мес. 0 дн.</v>
      </c>
      <c r="W2487" s="5"/>
    </row>
    <row r="2488" spans="1:23" ht="34.5" customHeight="1" x14ac:dyDescent="0.25">
      <c r="A2488" s="1">
        <f t="shared" si="127"/>
        <v>2487</v>
      </c>
      <c r="B2488" s="1"/>
      <c r="C2488" s="2"/>
      <c r="H2488" s="1" t="str">
        <f t="shared" si="128"/>
        <v>0 г. 0 мес. 0 дн.</v>
      </c>
      <c r="I2488" s="1" t="s">
        <v>39</v>
      </c>
      <c r="V2488" s="1" t="str">
        <f t="shared" si="129"/>
        <v>0 г. 0 мес. 0 дн.</v>
      </c>
      <c r="W2488" s="5"/>
    </row>
    <row r="2489" spans="1:23" ht="34.5" customHeight="1" x14ac:dyDescent="0.25">
      <c r="A2489" s="1">
        <f t="shared" si="127"/>
        <v>2488</v>
      </c>
      <c r="B2489" s="1"/>
      <c r="C2489" s="2"/>
      <c r="H2489" s="1" t="str">
        <f t="shared" si="128"/>
        <v>0 г. 0 мес. 0 дн.</v>
      </c>
      <c r="I2489" s="1" t="s">
        <v>39</v>
      </c>
      <c r="V2489" s="1" t="str">
        <f t="shared" si="129"/>
        <v>0 г. 0 мес. 0 дн.</v>
      </c>
      <c r="W2489" s="5"/>
    </row>
    <row r="2490" spans="1:23" ht="34.5" customHeight="1" x14ac:dyDescent="0.25">
      <c r="A2490" s="1">
        <f t="shared" si="127"/>
        <v>2489</v>
      </c>
      <c r="B2490" s="1"/>
      <c r="C2490" s="2"/>
      <c r="H2490" s="1" t="str">
        <f t="shared" si="128"/>
        <v>0 г. 0 мес. 0 дн.</v>
      </c>
      <c r="I2490" s="1" t="s">
        <v>39</v>
      </c>
      <c r="V2490" s="1" t="str">
        <f t="shared" si="129"/>
        <v>0 г. 0 мес. 0 дн.</v>
      </c>
      <c r="W2490" s="5"/>
    </row>
    <row r="2491" spans="1:23" ht="34.5" customHeight="1" x14ac:dyDescent="0.25">
      <c r="A2491" s="1">
        <f t="shared" si="127"/>
        <v>2490</v>
      </c>
      <c r="B2491" s="1"/>
      <c r="C2491" s="2"/>
      <c r="H2491" s="1" t="str">
        <f t="shared" si="128"/>
        <v>0 г. 0 мес. 0 дн.</v>
      </c>
      <c r="I2491" s="1" t="s">
        <v>39</v>
      </c>
      <c r="V2491" s="1" t="str">
        <f t="shared" si="129"/>
        <v>0 г. 0 мес. 0 дн.</v>
      </c>
      <c r="W2491" s="5"/>
    </row>
    <row r="2492" spans="1:23" ht="34.5" customHeight="1" x14ac:dyDescent="0.25">
      <c r="A2492" s="1">
        <f t="shared" si="127"/>
        <v>2491</v>
      </c>
      <c r="B2492" s="1"/>
      <c r="C2492" s="2"/>
      <c r="H2492" s="1" t="str">
        <f t="shared" si="128"/>
        <v>0 г. 0 мес. 0 дн.</v>
      </c>
      <c r="I2492" s="1" t="s">
        <v>39</v>
      </c>
      <c r="V2492" s="1" t="str">
        <f t="shared" si="129"/>
        <v>0 г. 0 мес. 0 дн.</v>
      </c>
      <c r="W2492" s="5"/>
    </row>
    <row r="2493" spans="1:23" ht="34.5" customHeight="1" x14ac:dyDescent="0.25">
      <c r="A2493" s="1">
        <f t="shared" si="127"/>
        <v>2492</v>
      </c>
      <c r="B2493" s="1"/>
      <c r="C2493" s="2"/>
      <c r="H2493" s="1" t="str">
        <f t="shared" si="128"/>
        <v>0 г. 0 мес. 0 дн.</v>
      </c>
      <c r="I2493" s="1" t="s">
        <v>39</v>
      </c>
      <c r="V2493" s="1" t="str">
        <f t="shared" si="129"/>
        <v>0 г. 0 мес. 0 дн.</v>
      </c>
      <c r="W2493" s="5"/>
    </row>
    <row r="2494" spans="1:23" ht="34.5" customHeight="1" x14ac:dyDescent="0.25">
      <c r="A2494" s="1">
        <f t="shared" si="127"/>
        <v>2493</v>
      </c>
      <c r="B2494" s="1"/>
      <c r="C2494" s="2"/>
      <c r="H2494" s="1" t="str">
        <f t="shared" si="128"/>
        <v>0 г. 0 мес. 0 дн.</v>
      </c>
      <c r="I2494" s="1" t="s">
        <v>39</v>
      </c>
      <c r="V2494" s="1" t="str">
        <f t="shared" si="129"/>
        <v>0 г. 0 мес. 0 дн.</v>
      </c>
      <c r="W2494" s="5"/>
    </row>
    <row r="2495" spans="1:23" ht="34.5" customHeight="1" x14ac:dyDescent="0.25">
      <c r="A2495" s="1">
        <f t="shared" si="127"/>
        <v>2494</v>
      </c>
      <c r="B2495" s="1"/>
      <c r="C2495" s="2"/>
      <c r="H2495" s="1" t="str">
        <f t="shared" si="128"/>
        <v>0 г. 0 мес. 0 дн.</v>
      </c>
      <c r="I2495" s="1" t="s">
        <v>39</v>
      </c>
      <c r="V2495" s="1" t="str">
        <f t="shared" si="129"/>
        <v>0 г. 0 мес. 0 дн.</v>
      </c>
      <c r="W2495" s="5"/>
    </row>
    <row r="2496" spans="1:23" ht="34.5" customHeight="1" x14ac:dyDescent="0.25">
      <c r="A2496" s="1">
        <f t="shared" ref="A2496:A2509" si="130">ROW(A2495)</f>
        <v>2495</v>
      </c>
      <c r="B2496" s="1"/>
      <c r="C2496" s="2"/>
      <c r="H2496" s="1" t="str">
        <f t="shared" si="128"/>
        <v>0 г. 0 мес. 0 дн.</v>
      </c>
      <c r="I2496" s="1" t="s">
        <v>39</v>
      </c>
      <c r="V2496" s="1" t="str">
        <f t="shared" si="129"/>
        <v>0 г. 0 мес. 0 дн.</v>
      </c>
      <c r="W2496" s="5"/>
    </row>
    <row r="2497" spans="1:23" ht="34.5" customHeight="1" x14ac:dyDescent="0.25">
      <c r="A2497" s="1">
        <f t="shared" si="130"/>
        <v>2496</v>
      </c>
      <c r="B2497" s="1"/>
      <c r="C2497" s="2"/>
      <c r="H2497" s="1" t="str">
        <f t="shared" si="128"/>
        <v>0 г. 0 мес. 0 дн.</v>
      </c>
      <c r="I2497" s="1" t="s">
        <v>39</v>
      </c>
      <c r="V2497" s="1" t="str">
        <f t="shared" si="129"/>
        <v>0 г. 0 мес. 0 дн.</v>
      </c>
      <c r="W2497" s="5"/>
    </row>
    <row r="2498" spans="1:23" ht="34.5" customHeight="1" x14ac:dyDescent="0.25">
      <c r="A2498" s="1">
        <f t="shared" si="130"/>
        <v>2497</v>
      </c>
      <c r="B2498" s="1"/>
      <c r="C2498" s="2"/>
      <c r="H2498" s="1" t="str">
        <f t="shared" ref="H2498:H2510" si="131">DATEDIF(G2498,D2498,"y") &amp; " г. " &amp; DATEDIF(G2498,D2498,"ym") &amp; " мес. " &amp; DATEDIF(G2498,D2498,"md") &amp; " дн."</f>
        <v>0 г. 0 мес. 0 дн.</v>
      </c>
      <c r="I2498" s="1" t="s">
        <v>39</v>
      </c>
      <c r="V2498" s="1" t="str">
        <f t="shared" si="129"/>
        <v>0 г. 0 мес. 0 дн.</v>
      </c>
      <c r="W2498" s="5"/>
    </row>
    <row r="2499" spans="1:23" ht="34.5" customHeight="1" x14ac:dyDescent="0.25">
      <c r="A2499" s="1">
        <f t="shared" si="130"/>
        <v>2498</v>
      </c>
      <c r="B2499" s="1"/>
      <c r="C2499" s="2"/>
      <c r="H2499" s="1" t="str">
        <f t="shared" si="131"/>
        <v>0 г. 0 мес. 0 дн.</v>
      </c>
      <c r="I2499" s="1" t="s">
        <v>39</v>
      </c>
      <c r="V2499" s="1" t="str">
        <f t="shared" si="129"/>
        <v>0 г. 0 мес. 0 дн.</v>
      </c>
      <c r="W2499" s="5"/>
    </row>
    <row r="2500" spans="1:23" ht="34.5" customHeight="1" x14ac:dyDescent="0.25">
      <c r="A2500" s="1">
        <f t="shared" si="130"/>
        <v>2499</v>
      </c>
      <c r="B2500" s="1"/>
      <c r="C2500" s="2"/>
      <c r="H2500" s="1" t="str">
        <f t="shared" si="131"/>
        <v>0 г. 0 мес. 0 дн.</v>
      </c>
      <c r="I2500" s="1" t="s">
        <v>39</v>
      </c>
      <c r="V2500" s="1" t="str">
        <f t="shared" si="129"/>
        <v>0 г. 0 мес. 0 дн.</v>
      </c>
      <c r="W2500" s="5"/>
    </row>
    <row r="2501" spans="1:23" ht="34.5" customHeight="1" x14ac:dyDescent="0.25">
      <c r="A2501" s="1">
        <f t="shared" si="130"/>
        <v>2500</v>
      </c>
      <c r="B2501" s="1"/>
      <c r="C2501" s="2"/>
      <c r="H2501" s="1" t="str">
        <f t="shared" si="131"/>
        <v>0 г. 0 мес. 0 дн.</v>
      </c>
      <c r="I2501" s="1" t="s">
        <v>39</v>
      </c>
      <c r="V2501" s="1" t="str">
        <f t="shared" si="129"/>
        <v>0 г. 0 мес. 0 дн.</v>
      </c>
      <c r="W2501" s="5"/>
    </row>
    <row r="2502" spans="1:23" ht="34.5" customHeight="1" x14ac:dyDescent="0.25">
      <c r="A2502" s="1">
        <f t="shared" si="130"/>
        <v>2501</v>
      </c>
      <c r="B2502" s="1"/>
      <c r="C2502" s="2"/>
      <c r="H2502" s="1" t="str">
        <f t="shared" si="131"/>
        <v>0 г. 0 мес. 0 дн.</v>
      </c>
      <c r="I2502" s="1" t="s">
        <v>39</v>
      </c>
      <c r="V2502" s="1" t="str">
        <f t="shared" si="129"/>
        <v>0 г. 0 мес. 0 дн.</v>
      </c>
      <c r="W2502" s="5"/>
    </row>
    <row r="2503" spans="1:23" ht="34.5" customHeight="1" x14ac:dyDescent="0.25">
      <c r="A2503" s="1">
        <f t="shared" si="130"/>
        <v>2502</v>
      </c>
      <c r="B2503" s="1"/>
      <c r="C2503" s="2"/>
      <c r="H2503" s="1" t="str">
        <f t="shared" si="131"/>
        <v>0 г. 0 мес. 0 дн.</v>
      </c>
      <c r="I2503" s="1" t="s">
        <v>39</v>
      </c>
      <c r="V2503" s="1" t="str">
        <f t="shared" si="129"/>
        <v>0 г. 0 мес. 0 дн.</v>
      </c>
      <c r="W2503" s="5"/>
    </row>
    <row r="2504" spans="1:23" ht="34.5" customHeight="1" x14ac:dyDescent="0.25">
      <c r="A2504" s="1">
        <f t="shared" si="130"/>
        <v>2503</v>
      </c>
      <c r="B2504" s="1"/>
      <c r="C2504" s="2"/>
      <c r="H2504" s="1" t="str">
        <f t="shared" si="131"/>
        <v>0 г. 0 мес. 0 дн.</v>
      </c>
      <c r="I2504" s="1" t="s">
        <v>39</v>
      </c>
      <c r="V2504" s="1" t="str">
        <f t="shared" si="129"/>
        <v>0 г. 0 мес. 0 дн.</v>
      </c>
      <c r="W2504" s="5"/>
    </row>
    <row r="2505" spans="1:23" ht="34.5" customHeight="1" x14ac:dyDescent="0.25">
      <c r="A2505" s="1">
        <f t="shared" si="130"/>
        <v>2504</v>
      </c>
      <c r="B2505" s="1"/>
      <c r="C2505" s="2"/>
      <c r="H2505" s="1" t="str">
        <f t="shared" si="131"/>
        <v>0 г. 0 мес. 0 дн.</v>
      </c>
      <c r="I2505" s="1" t="s">
        <v>39</v>
      </c>
      <c r="V2505" s="1" t="str">
        <f t="shared" si="129"/>
        <v>0 г. 0 мес. 0 дн.</v>
      </c>
      <c r="W2505" s="5"/>
    </row>
    <row r="2506" spans="1:23" ht="34.5" customHeight="1" x14ac:dyDescent="0.25">
      <c r="A2506" s="1">
        <f t="shared" si="130"/>
        <v>2505</v>
      </c>
      <c r="B2506" s="1"/>
      <c r="C2506" s="2"/>
      <c r="H2506" s="1" t="str">
        <f t="shared" si="131"/>
        <v>0 г. 0 мес. 0 дн.</v>
      </c>
      <c r="I2506" s="1" t="s">
        <v>39</v>
      </c>
      <c r="V2506" s="1" t="str">
        <f t="shared" si="129"/>
        <v>0 г. 0 мес. 0 дн.</v>
      </c>
      <c r="W2506" s="5"/>
    </row>
    <row r="2507" spans="1:23" ht="34.5" customHeight="1" x14ac:dyDescent="0.25">
      <c r="A2507" s="1">
        <f t="shared" si="130"/>
        <v>2506</v>
      </c>
      <c r="B2507" s="1"/>
      <c r="C2507" s="2"/>
      <c r="H2507" s="1" t="str">
        <f t="shared" si="131"/>
        <v>0 г. 0 мес. 0 дн.</v>
      </c>
      <c r="I2507" s="1" t="s">
        <v>39</v>
      </c>
      <c r="V2507" s="1" t="str">
        <f t="shared" si="129"/>
        <v>0 г. 0 мес. 0 дн.</v>
      </c>
      <c r="W2507" s="5"/>
    </row>
    <row r="2508" spans="1:23" ht="34.5" customHeight="1" x14ac:dyDescent="0.25">
      <c r="A2508" s="1">
        <f t="shared" si="130"/>
        <v>2507</v>
      </c>
      <c r="B2508" s="1"/>
      <c r="C2508" s="2"/>
      <c r="H2508" s="1" t="str">
        <f t="shared" si="131"/>
        <v>0 г. 0 мес. 0 дн.</v>
      </c>
      <c r="I2508" s="1" t="s">
        <v>39</v>
      </c>
      <c r="V2508" s="1" t="str">
        <f t="shared" si="129"/>
        <v>0 г. 0 мес. 0 дн.</v>
      </c>
      <c r="W2508" s="5"/>
    </row>
    <row r="2509" spans="1:23" ht="34.5" customHeight="1" x14ac:dyDescent="0.25">
      <c r="A2509" s="1">
        <f t="shared" si="130"/>
        <v>2508</v>
      </c>
      <c r="B2509" s="1"/>
      <c r="C2509" s="2"/>
      <c r="H2509" s="1" t="str">
        <f t="shared" si="131"/>
        <v>0 г. 0 мес. 0 дн.</v>
      </c>
      <c r="I2509" s="1" t="s">
        <v>39</v>
      </c>
      <c r="V2509" s="1" t="str">
        <f t="shared" si="129"/>
        <v>0 г. 0 мес. 0 дн.</v>
      </c>
      <c r="W2509" s="5"/>
    </row>
    <row r="2510" spans="1:23" ht="34.5" customHeight="1" x14ac:dyDescent="0.25">
      <c r="A2510" s="1">
        <v>2510</v>
      </c>
      <c r="C2510" s="2"/>
      <c r="H2510" s="1" t="str">
        <f t="shared" si="131"/>
        <v>0 г. 0 мес. 0 дн.</v>
      </c>
      <c r="I2510" s="1" t="s">
        <v>39</v>
      </c>
      <c r="V2510" s="1" t="str">
        <f t="shared" si="129"/>
        <v>0 г. 0 мес. 0 дн.</v>
      </c>
      <c r="W2510" s="5"/>
    </row>
  </sheetData>
  <scenarios current="0" show="0">
    <scenario name="I2=Повторное поступление;Другие" locked="1" count="1" user="Calc" comment="Автор: Автор , 28.12.2022">
      <inputCells r="J2" val=""/>
    </scenario>
    <scenario name="$I$2=Повторное поступление;Друг" locked="1" count="1" user="Calc" comment="Автор: Автор , 28.12.2022">
      <inputCells r="J2" val=""/>
    </scenario>
  </scenarios>
  <dataValidations xWindow="1336" yWindow="519" count="27">
    <dataValidation type="list" allowBlank="1" showInputMessage="1" showErrorMessage="1" prompt="Выбрать из списка" sqref="C1 B2510:B3510" xr:uid="{00000000-0002-0000-0000-000000000000}">
      <formula1>Отделения</formula1>
      <formula2>0</formula2>
    </dataValidation>
    <dataValidation type="list" allowBlank="1" showInputMessage="1" showErrorMessage="1" prompt="Выбрать из списка при поступлении из профильного отделения (список &quot;Канал поступления&quot;)" sqref="J1 H2511:H3510" xr:uid="{00000000-0002-0000-0000-000001000000}">
      <formula1>Отделения</formula1>
      <formula2>0</formula2>
    </dataValidation>
    <dataValidation allowBlank="1" showInputMessage="1" showErrorMessage="1" prompt="Номер истории болезни" sqref="B1 F208 A2510:A3510" xr:uid="{00000000-0002-0000-0000-000002000000}">
      <formula1>0</formula1>
      <formula2>0</formula2>
    </dataValidation>
    <dataValidation allowBlank="1" showInputMessage="1" showErrorMessage="1" prompt="Указать дату перевода в формате дд.мм.гггг, например, 01.09.2018" sqref="R2510:R3510" xr:uid="{00000000-0002-0000-0000-000003000000}">
      <formula1>0</formula1>
      <formula2>0</formula2>
    </dataValidation>
    <dataValidation type="list" allowBlank="1" showInputMessage="1" showErrorMessage="1" prompt="Выбрать из списка" sqref="I1 G2510:G3510" xr:uid="{00000000-0002-0000-0000-000004000000}">
      <formula1>Канал_поступления</formula1>
      <formula2>0</formula2>
    </dataValidation>
    <dataValidation allowBlank="1" showInputMessage="1" showErrorMessage="1" prompt="Дата в формате дд.мм.гггг, например, 01.01.2018" sqref="F183 C2510:C3510" xr:uid="{00000000-0002-0000-0000-000005000000}">
      <formula1>0</formula1>
      <formula2>0</formula2>
    </dataValidation>
    <dataValidation allowBlank="1" showInputMessage="1" showErrorMessage="1" prompt="Дата в формате дд.мм.гггг, например, 27.05.2014" sqref="G1" xr:uid="{00000000-0002-0000-0000-000006000000}">
      <formula1>0</formula1>
      <formula2>0</formula2>
    </dataValidation>
    <dataValidation type="time" allowBlank="1" showInputMessage="1" showErrorMessage="1" prompt="Время в формате 24 ч. в виде чч:мм, например, 05:07" sqref="E1" xr:uid="{00000000-0002-0000-0000-000007000000}">
      <formula1>0</formula1>
      <formula2>0.999305555555556</formula2>
    </dataValidation>
    <dataValidation allowBlank="1" showInputMessage="1" prompt="ТОЛЬКО в случае ИВЛ - продолжительность в часах, например, 142" sqref="N1:P1 R1 L2510:N3510 P2510:P3510" xr:uid="{00000000-0002-0000-0000-000008000000}">
      <formula1>0</formula1>
      <formula2>0</formula2>
    </dataValidation>
    <dataValidation type="list" allowBlank="1" showInputMessage="1" showErrorMessage="1" prompt="Выбрать маршрут пациента из списка" sqref="S1 Q2510:Q3510" xr:uid="{00000000-0002-0000-0000-000009000000}">
      <formula1>Куда_переведён</formula1>
      <formula2>0</formula2>
    </dataValidation>
    <dataValidation type="list" allowBlank="1" showInputMessage="1" showErrorMessage="1" prompt="Выбрать категорию ОСНОВНОГО диагноза _x000a_из списка" sqref="M1 K2510:K3510" xr:uid="{00000000-0002-0000-0000-00000A000000}">
      <formula1>Категории_диагнозов</formula1>
      <formula2>0</formula2>
    </dataValidation>
    <dataValidation allowBlank="1" showInputMessage="1" showErrorMessage="1" prompt="Номер по порядку" sqref="A1" xr:uid="{00000000-0002-0000-0000-00000B000000}">
      <formula1>0</formula1>
      <formula2>0</formula2>
    </dataValidation>
    <dataValidation type="list" allowBlank="1" showInputMessage="1" showErrorMessage="1" error="Выберите из списка" prompt="Выберите из списка" sqref="C493:C2509 J13 J32:J37 S111 J137 S218 S232:S234 S236:S237 S258:S260 S264 S390:S391 S359:S360 C2:C491" xr:uid="{00000000-0002-0000-0000-00000C000000}">
      <formula1>Отделения</formula1>
      <formula2>0</formula2>
    </dataValidation>
    <dataValidation type="decimal" allowBlank="1" showInputMessage="1" showErrorMessage="1" error="Введите длительность ИВЛ в пересчёте на часы" prompt="ТОЛЬКО в случае ИВЛ - продолжительность в часах, например, 142" sqref="N2:N19 N21:N2509" xr:uid="{00000000-0002-0000-0000-00000D000000}">
      <formula1>0.1</formula1>
      <formula2>10000</formula2>
    </dataValidation>
    <dataValidation type="whole" allowBlank="1" showInputMessage="1" showErrorMessage="1" error="Введите целое число - номер истории болезни. Max 5000" prompt="Номер истории болезни" sqref="B493:B2509 B299:B491 B2:B295" xr:uid="{00000000-0002-0000-0000-00000E000000}">
      <formula1>1</formula1>
      <formula2>5000</formula2>
    </dataValidation>
    <dataValidation type="list" allowBlank="1" showInputMessage="1" showErrorMessage="1" error="Выберите из списка." prompt="Маршрут пациента - выберите из списка" sqref="S2:S110 S392:S2509 S219:S231 S235 S112:S217 S261:S263 S265:S358 S361:S389 S238:S257" xr:uid="{00000000-0002-0000-0000-00000F000000}">
      <formula1>Куда_переведён</formula1>
      <formula2>0</formula2>
    </dataValidation>
    <dataValidation type="list" allowBlank="1" showInputMessage="1" showErrorMessage="1" error="ТОЛЬКО при поступлении из отделения - выберите из списка" prompt="ТОЛЬКО при поступлении из отделения - выберите из списка." sqref="J2:J12 J14:J31 J38:J136 J249:J2509 J138:J247" xr:uid="{00000000-0002-0000-0000-000010000000}">
      <formula1>INDIRECT($I2)</formula1>
      <formula2>0</formula2>
    </dataValidation>
    <dataValidation allowBlank="1" showInputMessage="1" showErrorMessage="1" prompt="Возраст на момент поступления" sqref="F2510:F3510 H1:H2510" xr:uid="{00000000-0002-0000-0000-000011000000}">
      <formula1>0</formula1>
      <formula2>0</formula2>
    </dataValidation>
    <dataValidation type="date" allowBlank="1" showInputMessage="1" showErrorMessage="1" error="Дата в формате дд.мм.гггг, например, 01.01.2023. Год только 2023й." prompt="Дата в формате дд.мм.гггг, например, 01.01.2023" sqref="G335" xr:uid="{00000000-0002-0000-0000-000012000000}">
      <formula1>44896</formula1>
      <formula2>45657</formula2>
    </dataValidation>
    <dataValidation type="date" allowBlank="1" showInputMessage="1" showErrorMessage="1" error="Дата в формате дд.мм.гггг., например, 12.04.2015" prompt="Дата в формате дд.мм.гггг., например, 12.04.2015" sqref="G336:G2509 G2:G334" xr:uid="{00000000-0002-0000-0000-000013000000}">
      <formula1>36526</formula1>
      <formula2>73415</formula2>
    </dataValidation>
    <dataValidation type="list" allowBlank="1" showInputMessage="1" showErrorMessage="1" error="Выбрать из списка" prompt="Выбрать из списка" sqref="I2:I247 I248:J248 I249:I2510" xr:uid="{00000000-0002-0000-0000-000014000000}">
      <formula1>Канал_поступления</formula1>
      <formula2>0</formula2>
    </dataValidation>
    <dataValidation type="whole" allowBlank="1" showInputMessage="1" showErrorMessage="1" error="Введите целое число. Max 5000." prompt="Номер по порядку" sqref="A2:A2509" xr:uid="{00000000-0002-0000-0000-000015000000}">
      <formula1>1</formula1>
      <formula2>5000</formula2>
    </dataValidation>
    <dataValidation type="list" allowBlank="1" showInputMessage="1" showErrorMessage="1" error="Выбрать из списка" prompt="Выбрать категорию ОСНОВНОГО диагноза _x000a_из списка" sqref="M2:M2509" xr:uid="{00000000-0002-0000-0000-000016000000}">
      <formula1>Категории_диагнозов</formula1>
      <formula2>0</formula2>
    </dataValidation>
    <dataValidation type="time" allowBlank="1" showInputMessage="1" showErrorMessage="1" error="Время в формате 24 ч. в виде чч:мм, например, 05:07" prompt="Время в формате 24 ч. в виде чч:мм, например, 05:07" sqref="E2:E2510" xr:uid="{00000000-0002-0000-0000-000017000000}">
      <formula1>0</formula1>
      <formula2>0.999988425925926</formula2>
    </dataValidation>
    <dataValidation type="date" allowBlank="1" showInputMessage="1" showErrorMessage="1" sqref="T1:T3510" xr:uid="{00000000-0002-0000-0000-000018000000}">
      <formula1>45658</formula1>
      <formula2>63920</formula2>
    </dataValidation>
    <dataValidation type="date" allowBlank="1" showInputMessage="1" showErrorMessage="1" sqref="D1:D3510" xr:uid="{00000000-0002-0000-0000-000019000000}">
      <formula1>45292</formula1>
      <formula2>63920</formula2>
    </dataValidation>
    <dataValidation type="time" allowBlank="1" showInputMessage="1" showErrorMessage="1" error="Время перевода в формате чч:мм, например, 12:15." prompt="Время перевода в формате чч:мм, например, 12:15." sqref="U2:U147 U149:U2510" xr:uid="{00000000-0002-0000-0000-00001A000000}">
      <formula1>0</formula1>
      <formula2>0.999988425925926</formula2>
    </dataValidation>
  </dataValidations>
  <pageMargins left="0.25" right="0.25" top="0.75" bottom="0.75" header="0.511811023622047" footer="0.511811023622047"/>
  <pageSetup paperSize="9" orientation="landscape" horizontalDpi="300" verticalDpi="300" r:id="rId1"/>
  <ignoredErrors>
    <ignoredError sqref="H437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336" yWindow="519" count="6">
        <x14:dataValidation type="list" allowBlank="1" showInputMessage="1" showErrorMessage="1" error="Выберите из списка." prompt="При наличии трансфузий - выберите из списка." xr:uid="{00000000-0002-0000-0000-00001B000000}">
          <x14:formula1>
            <xm:f>Лист2!$Q$2:$Q$8</xm:f>
          </x14:formula1>
          <x14:formula2>
            <xm:f>0</xm:f>
          </x14:formula2>
          <xm:sqref>O2510:O3510 Q407:Q429 Q431:Q2509 Q1:Q404</xm:sqref>
        </x14:dataValidation>
        <x14:dataValidation type="list" allowBlank="1" showInputMessage="1" showErrorMessage="1" error="Выберите из списка." prompt="При наличии - выберите из списка." xr:uid="{00000000-0002-0000-0000-00001C000000}">
          <x14:formula1>
            <xm:f>Лист2!$O$2:$O$4</xm:f>
          </x14:formula1>
          <x14:formula2>
            <xm:f>0</xm:f>
          </x14:formula2>
          <xm:sqref>P407:P2509 P2:P404</xm:sqref>
        </x14:dataValidation>
        <x14:dataValidation type="list" allowBlank="1" showInputMessage="1" showErrorMessage="1" error="Выберите из списка." prompt="При наличии - выберите из списка" xr:uid="{00000000-0002-0000-0000-00001D000000}">
          <x14:formula1>
            <xm:f>Лист2!$S$2:$S$9</xm:f>
          </x14:formula1>
          <x14:formula2>
            <xm:f>0</xm:f>
          </x14:formula2>
          <xm:sqref>R407:R2509 R2:R404</xm:sqref>
        </x14:dataValidation>
        <x14:dataValidation type="list" allowBlank="1" showInputMessage="1" showErrorMessage="1" error="Выберите из списка" prompt="Выберите из списка" xr:uid="{00000000-0002-0000-0000-00001E000000}">
          <x14:formula1>
            <xm:f>Лист2!$M$2:$M$8</xm:f>
          </x14:formula1>
          <x14:formula2>
            <xm:f>0</xm:f>
          </x14:formula2>
          <xm:sqref>O2:O2509</xm:sqref>
        </x14:dataValidation>
        <x14:dataValidation type="list" allowBlank="1" showInputMessage="1" showErrorMessage="1" error="Выбрать из списка" prompt="Укажите при наличии особенности - выбрать из списка" xr:uid="{00000000-0002-0000-0000-00001F000000}">
          <x14:formula1>
            <xm:f>Лист2!$AD$2:$AD$7</xm:f>
          </x14:formula1>
          <x14:formula2>
            <xm:f>0</xm:f>
          </x14:formula2>
          <xm:sqref>W2:W2510</xm:sqref>
        </x14:dataValidation>
        <x14:dataValidation type="list" allowBlank="1" showInputMessage="1" showErrorMessage="1" errorTitle="Лечащий врач" error="Нужно выбрать из списка" promptTitle="Лечащий врач" prompt="Выбрать из списка" xr:uid="{00000000-0002-0000-0000-000020000000}">
          <x14:formula1>
            <xm:f>Лист2!$AG$3:$AG$19</xm:f>
          </x14:formula1>
          <x14:formula2>
            <xm:f>0</xm:f>
          </x14:formula2>
          <xm:sqref>X1:X3510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511"/>
  <sheetViews>
    <sheetView zoomScaleNormal="100" workbookViewId="0">
      <selection activeCell="D4" sqref="D4"/>
    </sheetView>
  </sheetViews>
  <sheetFormatPr defaultColWidth="9.140625" defaultRowHeight="12.75" x14ac:dyDescent="0.25"/>
  <cols>
    <col min="1" max="1" width="14.7109375" style="47" customWidth="1"/>
    <col min="2" max="2" width="9.140625" style="47"/>
    <col min="3" max="3" width="9.42578125" style="47" customWidth="1"/>
    <col min="4" max="4" width="9.7109375" style="47" customWidth="1"/>
    <col min="5" max="5" width="18.85546875" style="47" customWidth="1"/>
    <col min="6" max="6" width="9.7109375" style="47" customWidth="1"/>
    <col min="7" max="7" width="15.85546875" style="47" customWidth="1"/>
    <col min="8" max="8" width="9.7109375" style="47" customWidth="1"/>
    <col min="9" max="9" width="21.28515625" style="47" customWidth="1"/>
    <col min="10" max="10" width="9.7109375" style="47" customWidth="1"/>
    <col min="11" max="11" width="15.5703125" style="47" customWidth="1"/>
    <col min="12" max="14" width="9.7109375" style="47" customWidth="1"/>
    <col min="15" max="21" width="9.140625" style="47"/>
    <col min="22" max="22" width="18.5703125" style="47" customWidth="1"/>
    <col min="23" max="23" width="15.140625" style="47" customWidth="1"/>
    <col min="24" max="25" width="9.140625" style="47"/>
    <col min="26" max="26" width="11.7109375" style="47" customWidth="1"/>
    <col min="27" max="29" width="9.140625" style="47"/>
    <col min="30" max="30" width="13.85546875" style="47" customWidth="1"/>
    <col min="31" max="16384" width="9.140625" style="47"/>
  </cols>
  <sheetData>
    <row r="1" spans="1:34" ht="24.75" customHeight="1" x14ac:dyDescent="0.25">
      <c r="A1" s="47" t="s">
        <v>538</v>
      </c>
      <c r="B1" s="47" t="s">
        <v>539</v>
      </c>
      <c r="C1" s="47" t="s">
        <v>6</v>
      </c>
      <c r="D1" s="47" t="s">
        <v>540</v>
      </c>
      <c r="E1" s="47" t="s">
        <v>7</v>
      </c>
      <c r="F1" s="47" t="s">
        <v>541</v>
      </c>
      <c r="G1" s="47" t="s">
        <v>17</v>
      </c>
      <c r="H1" s="47" t="s">
        <v>542</v>
      </c>
      <c r="I1" s="47" t="s">
        <v>543</v>
      </c>
      <c r="J1" s="47" t="s">
        <v>544</v>
      </c>
      <c r="K1" s="47" t="s">
        <v>545</v>
      </c>
      <c r="L1" s="47" t="s">
        <v>546</v>
      </c>
      <c r="M1" s="47" t="s">
        <v>13</v>
      </c>
      <c r="N1" s="47" t="s">
        <v>547</v>
      </c>
      <c r="O1" s="47" t="s">
        <v>548</v>
      </c>
      <c r="P1" s="47" t="s">
        <v>549</v>
      </c>
      <c r="Q1" s="47" t="s">
        <v>15</v>
      </c>
      <c r="R1" s="47" t="s">
        <v>550</v>
      </c>
      <c r="S1" s="47" t="s">
        <v>16</v>
      </c>
      <c r="T1" s="47" t="s">
        <v>551</v>
      </c>
      <c r="U1" s="47" t="s">
        <v>21</v>
      </c>
      <c r="V1" s="47" t="s">
        <v>552</v>
      </c>
      <c r="W1" s="47" t="s">
        <v>553</v>
      </c>
    </row>
    <row r="2" spans="1:34" ht="24.75" customHeight="1" x14ac:dyDescent="0.25">
      <c r="A2" s="47" t="s">
        <v>554</v>
      </c>
      <c r="B2" s="47">
        <f>COUNTIF(V:V, "&gt;=0")-COUNTIF(V:V, "&gt;=1")-COUNTIF(Лист1!R:R, "=0")</f>
        <v>2119</v>
      </c>
      <c r="C2" s="47" t="s">
        <v>555</v>
      </c>
      <c r="D2" s="47">
        <f>COUNTIF(W:W,"&gt;=0")-COUNTIF(W:W, "&gt;=7")-COUNTIF(Лист1!R:R, "=0")</f>
        <v>2077</v>
      </c>
      <c r="E2" s="47" t="s">
        <v>39</v>
      </c>
      <c r="F2" s="47">
        <f>COUNTIF(Лист1!I:I, "Доставлен_СМП")</f>
        <v>2289</v>
      </c>
      <c r="G2" s="47" t="s">
        <v>236</v>
      </c>
      <c r="H2" s="47">
        <f>COUNTIF(Лист1!S:S, "Пед. паллиатив")</f>
        <v>9</v>
      </c>
      <c r="I2" s="47" t="s">
        <v>555</v>
      </c>
      <c r="J2" s="47" t="e">
        <f>COUNTIFS(W2:W2500,"&lt;7",Лист1!N2:N2499,"&gt;0")</f>
        <v>#VALUE!</v>
      </c>
      <c r="K2" s="47" t="s">
        <v>554</v>
      </c>
      <c r="L2" s="47">
        <f>COUNTIFS(Лист1!N2:N2509,"&lt;24")-COUNTIFS(Лист1!N2:N2509,"=0")</f>
        <v>4</v>
      </c>
      <c r="M2" s="47" t="s">
        <v>188</v>
      </c>
      <c r="N2" s="47">
        <f>COUNTIF(Лист1!O:O,"=Без доступа")</f>
        <v>1</v>
      </c>
      <c r="O2" s="47" t="s">
        <v>101</v>
      </c>
      <c r="P2" s="47">
        <f>COUNTIF(Лист1!P:P,"=Эпидур. анест.")</f>
        <v>43</v>
      </c>
      <c r="Q2" s="47" t="s">
        <v>193</v>
      </c>
      <c r="R2" s="47">
        <f>COUNTIF(Лист1!Q:Q,"СЗП+/-крио")</f>
        <v>4</v>
      </c>
      <c r="S2" s="47" t="s">
        <v>285</v>
      </c>
      <c r="T2" s="47">
        <f>COUNTIF(Лист1!R:R,"CVVHDF")</f>
        <v>2</v>
      </c>
      <c r="U2" s="47" t="s">
        <v>556</v>
      </c>
      <c r="V2" s="47">
        <f>Таблица1[[#This Row],[Дата перевода]]-Таблица1[[#This Row],[Дата поступления]]</f>
        <v>43</v>
      </c>
      <c r="W2" s="47">
        <f>Таблица1[[#This Row],[Дата поступления]]-Таблица1[[#This Row],[Дата рождения]]</f>
        <v>5827</v>
      </c>
      <c r="Y2" s="63"/>
      <c r="Z2" s="47" t="s">
        <v>188</v>
      </c>
      <c r="AA2" s="47" t="s">
        <v>101</v>
      </c>
      <c r="AB2" s="47" t="s">
        <v>193</v>
      </c>
      <c r="AC2" s="47" t="s">
        <v>285</v>
      </c>
      <c r="AD2" s="47" t="s">
        <v>556</v>
      </c>
      <c r="AG2" s="47" t="s">
        <v>22</v>
      </c>
      <c r="AH2" s="47" t="s">
        <v>557</v>
      </c>
    </row>
    <row r="3" spans="1:34" ht="24.75" customHeight="1" x14ac:dyDescent="0.25">
      <c r="A3" s="47" t="s">
        <v>558</v>
      </c>
      <c r="B3" s="47">
        <f>COUNTIF(V:V, "&gt;=1")-COUNTIF(V:V, "&gt;=3")</f>
        <v>239</v>
      </c>
      <c r="C3" s="47" t="s">
        <v>559</v>
      </c>
      <c r="D3" s="47">
        <f>COUNTIF(W:W,"&gt;=7")-COUNTIF(W:W, "&gt;=29")</f>
        <v>10</v>
      </c>
      <c r="E3" s="47" t="s">
        <v>62</v>
      </c>
      <c r="F3" s="47">
        <f>COUNTIF(Лист1!I:I, "Из_операционной")</f>
        <v>83</v>
      </c>
      <c r="G3" s="47" t="s">
        <v>60</v>
      </c>
      <c r="H3" s="47">
        <f>COUNTIF(Лист1!S:S, "ДХО")</f>
        <v>130</v>
      </c>
      <c r="I3" s="47" t="s">
        <v>559</v>
      </c>
      <c r="J3" s="47" t="e">
        <f>COUNTIFS(W2:W2500,"&lt;29",Лист1!N2:N2499,"&gt;0")-COUNTIFS(W2:W2500,"&lt;7",Лист1!N2:N2499,"&gt;0")</f>
        <v>#VALUE!</v>
      </c>
      <c r="K3" s="47" t="s">
        <v>558</v>
      </c>
      <c r="L3" s="47">
        <f>COUNTIFS(Лист1!N2:N2509,"&lt;96")-COUNTIFS(Лист1!N2:N2509,"&lt;24")</f>
        <v>5</v>
      </c>
      <c r="M3" s="47" t="s">
        <v>29</v>
      </c>
      <c r="N3" s="47">
        <f>COUNTIF(Лист1!O:O,"=Периф. вен. кат.")</f>
        <v>325</v>
      </c>
      <c r="O3" s="47" t="s">
        <v>560</v>
      </c>
      <c r="P3" s="47">
        <f>COUNTIF(Лист1!P:P,"=СМА")</f>
        <v>0</v>
      </c>
      <c r="Q3" s="47" t="s">
        <v>30</v>
      </c>
      <c r="R3" s="47">
        <f>COUNTIF(Лист1!Q:Q,"Эр. масса")</f>
        <v>16</v>
      </c>
      <c r="S3" s="47" t="s">
        <v>148</v>
      </c>
      <c r="T3" s="47">
        <f>COUNTIF(Лист1!R:R,"MPS")</f>
        <v>1</v>
      </c>
      <c r="U3" s="47">
        <f>COUNTIF(Лист1!W:W,"Интестин. зонд")+COUNTIF(Лист1!W:W,"Интестин. Зонд+датчик ВЧД")+COUNTIF(Лист1!W:W,"Интестин. Зонд+датчик ВЧД+инваз. АД")</f>
        <v>0</v>
      </c>
      <c r="V3" s="47">
        <f>Таблица1[[#This Row],[Дата перевода]]-Таблица1[[#This Row],[Дата поступления]]</f>
        <v>34</v>
      </c>
      <c r="W3" s="47">
        <f>Таблица1[[#This Row],[Дата поступления]]-Таблица1[[#This Row],[Дата рождения]]</f>
        <v>6128</v>
      </c>
      <c r="Y3" s="63"/>
      <c r="Z3" s="47" t="s">
        <v>29</v>
      </c>
      <c r="AA3" s="47" t="s">
        <v>560</v>
      </c>
      <c r="AB3" s="47" t="s">
        <v>30</v>
      </c>
      <c r="AC3" s="47" t="s">
        <v>148</v>
      </c>
      <c r="AD3" s="47" t="s">
        <v>561</v>
      </c>
      <c r="AG3" s="47" t="s">
        <v>562</v>
      </c>
      <c r="AH3" s="47">
        <f>COUNTIF(Лист1!X:X,"Коновалова")</f>
        <v>0</v>
      </c>
    </row>
    <row r="4" spans="1:34" ht="24.75" customHeight="1" x14ac:dyDescent="0.25">
      <c r="A4" s="47" t="s">
        <v>563</v>
      </c>
      <c r="B4" s="47">
        <f>COUNTIF(V:V, "&gt;=3")-COUNTIF(V:V, "&gt;=30")</f>
        <v>126</v>
      </c>
      <c r="C4" s="47" t="s">
        <v>564</v>
      </c>
      <c r="D4" s="47">
        <f>COUNTIF(W:W,"&gt;=29")-COUNTIF(W:W, "&gt;=365")</f>
        <v>46</v>
      </c>
      <c r="E4" s="47" t="s">
        <v>70</v>
      </c>
      <c r="F4" s="47">
        <f>COUNTIF(Лист1!I:I,"Из_профильных_отделений")</f>
        <v>53</v>
      </c>
      <c r="G4" s="47" t="s">
        <v>96</v>
      </c>
      <c r="H4" s="47">
        <f>COUNTIF(Лист1!S:S, "ДОТО")</f>
        <v>65</v>
      </c>
      <c r="I4" s="47" t="s">
        <v>564</v>
      </c>
      <c r="J4" s="47" t="e">
        <f>COUNTIFS(W2:W2500,"&lt;365",Лист1!N2:N2499,"&gt;0")-COUNTIFS(W2:W2500,"&lt;29",Лист1!N2:N2499,"&gt;0")</f>
        <v>#VALUE!</v>
      </c>
      <c r="K4" s="47" t="s">
        <v>565</v>
      </c>
      <c r="L4" s="47">
        <f>COUNTIFS(Лист1!N2:N2509,"&lt;168")-COUNTIFS(Лист1!N2:N2509,"&lt;96")</f>
        <v>1</v>
      </c>
      <c r="M4" s="47" t="s">
        <v>42</v>
      </c>
      <c r="N4" s="47">
        <f>COUNTIF(Лист1!O:O,"=ЦВК")</f>
        <v>101</v>
      </c>
      <c r="O4" s="47" t="s">
        <v>566</v>
      </c>
      <c r="P4" s="47">
        <f>COUNTIF(Лист1!P:P,"=Блокады сплетений")</f>
        <v>2</v>
      </c>
      <c r="Q4" s="47" t="s">
        <v>567</v>
      </c>
      <c r="R4" s="47">
        <f>COUNTIF(Лист1!Q:Q,"Тромб.")</f>
        <v>1</v>
      </c>
      <c r="S4" s="47" t="s">
        <v>568</v>
      </c>
      <c r="T4" s="47">
        <f>COUNTIF(Лист1!R:R,"PD")</f>
        <v>0</v>
      </c>
      <c r="U4" s="47" t="s">
        <v>561</v>
      </c>
      <c r="V4" s="47">
        <f>Таблица1[[#This Row],[Дата перевода]]-Таблица1[[#This Row],[Дата поступления]]</f>
        <v>15</v>
      </c>
      <c r="W4" s="47">
        <f>Таблица1[[#This Row],[Дата поступления]]-Таблица1[[#This Row],[Дата рождения]]</f>
        <v>3123</v>
      </c>
      <c r="Y4" s="64"/>
      <c r="Z4" s="47" t="s">
        <v>42</v>
      </c>
      <c r="AA4" s="47" t="s">
        <v>566</v>
      </c>
      <c r="AB4" s="47" t="s">
        <v>567</v>
      </c>
      <c r="AC4" s="47" t="s">
        <v>568</v>
      </c>
      <c r="AD4" s="47" t="s">
        <v>569</v>
      </c>
      <c r="AG4" s="47" t="s">
        <v>570</v>
      </c>
      <c r="AH4" s="47">
        <f>COUNTIF(Лист1!X:X,"Яроменок")</f>
        <v>0</v>
      </c>
    </row>
    <row r="5" spans="1:34" ht="24.75" customHeight="1" x14ac:dyDescent="0.25">
      <c r="A5" s="47" t="s">
        <v>571</v>
      </c>
      <c r="B5" s="47">
        <f>COUNTIF(V:V, "&gt;=30")</f>
        <v>9</v>
      </c>
      <c r="C5" s="47" t="s">
        <v>572</v>
      </c>
      <c r="D5" s="47">
        <f>COUNTIF(W:W,"&gt;=365")-COUNTIF(W:W, "&gt;=1095")</f>
        <v>57</v>
      </c>
      <c r="E5" s="47" t="s">
        <v>34</v>
      </c>
      <c r="F5" s="47">
        <f>COUNTIF(Лист1!I:I,"Из_других_больниц")</f>
        <v>34</v>
      </c>
      <c r="G5" s="47" t="s">
        <v>91</v>
      </c>
      <c r="H5" s="47">
        <f>COUNTIF(Лист1!S:S, "Нефро")</f>
        <v>8</v>
      </c>
      <c r="I5" s="47" t="s">
        <v>572</v>
      </c>
      <c r="J5" s="47" t="e">
        <f>COUNTIFS(W2:W2500,"&lt;1095",Лист1!N2:N2499,"&gt;0")-COUNTIFS(W2:W2500,"&lt;365",Лист1!N2:N2499,"&gt;0")</f>
        <v>#VALUE!</v>
      </c>
      <c r="K5" s="47" t="s">
        <v>573</v>
      </c>
      <c r="L5" s="47">
        <f>COUNTIFS(Лист1!N2:N2509,"&lt;480")-COUNTIFS(Лист1!N2:N2509,"&lt;168")</f>
        <v>9</v>
      </c>
      <c r="M5" s="47" t="s">
        <v>192</v>
      </c>
      <c r="N5" s="47">
        <f>COUNTIF(Лист1!O:O,"=ЦВК №2")</f>
        <v>1</v>
      </c>
      <c r="Q5" s="47" t="s">
        <v>147</v>
      </c>
      <c r="R5" s="47">
        <f>COUNTIF(Лист1!Q:Q,"СЗП+Эр")</f>
        <v>9</v>
      </c>
      <c r="S5" s="47" t="s">
        <v>241</v>
      </c>
      <c r="T5" s="47">
        <f>COUNTIF(Лист1!R:R,"Кишеч. лаваж")</f>
        <v>1</v>
      </c>
      <c r="U5" s="47">
        <f>COUNTIF(Лист1!W:W,"Датчик ВЧД")+COUNTIF(Лист1!W:W,"Интестин. Зонд+датчик ВЧД")+COUNTIF(Лист1!W:W,"Датчик ВЧД+Инваз. АД")+COUNTIF(Лист1!W:W,"Интестин. Зонд+датчик ВЧД+инваз. АД")</f>
        <v>0</v>
      </c>
      <c r="V5" s="47">
        <f>Таблица1[[#This Row],[Дата перевода]]-Таблица1[[#This Row],[Дата поступления]]</f>
        <v>22</v>
      </c>
      <c r="W5" s="47">
        <f>Таблица1[[#This Row],[Дата поступления]]-Таблица1[[#This Row],[Дата рождения]]</f>
        <v>2822</v>
      </c>
      <c r="Z5" s="47" t="s">
        <v>192</v>
      </c>
      <c r="AC5" s="47" t="s">
        <v>241</v>
      </c>
      <c r="AD5" s="47" t="s">
        <v>574</v>
      </c>
      <c r="AG5" s="47" t="s">
        <v>575</v>
      </c>
      <c r="AH5" s="47">
        <f>COUNTIF(Лист1!X:X,"Тонеев")</f>
        <v>0</v>
      </c>
    </row>
    <row r="6" spans="1:34" ht="24.75" customHeight="1" x14ac:dyDescent="0.25">
      <c r="A6" s="47" t="s">
        <v>576</v>
      </c>
      <c r="B6" s="47">
        <f>SUM(B2:B5)</f>
        <v>2493</v>
      </c>
      <c r="C6" s="47" t="s">
        <v>577</v>
      </c>
      <c r="D6" s="47">
        <f>COUNTIF(W:W,"&gt;=1095")-COUNTIF(W:W, "&gt;=2555")</f>
        <v>48</v>
      </c>
      <c r="E6" s="47" t="s">
        <v>350</v>
      </c>
      <c r="F6" s="47">
        <f>COUNTIF(Лист1!I:I,"Из_родильных_домов")</f>
        <v>2</v>
      </c>
      <c r="G6" s="47" t="s">
        <v>278</v>
      </c>
      <c r="H6" s="47">
        <f>COUNTIF(Лист1!S:S, "ОПНН")</f>
        <v>4</v>
      </c>
      <c r="I6" s="47" t="s">
        <v>577</v>
      </c>
      <c r="J6" s="47" t="e">
        <f>COUNTIFS(W2:W2500,"&lt;2555",Лист1!N2:N2499,"&gt;0")-COUNTIFS(W2:W2500,"&lt;1095",Лист1!N2:N2499,"&gt;0")</f>
        <v>#VALUE!</v>
      </c>
      <c r="K6" s="47" t="s">
        <v>578</v>
      </c>
      <c r="L6" s="47">
        <f>COUNTIFS(Лист1!N2:N2509,"&gt;480")</f>
        <v>3</v>
      </c>
      <c r="M6" s="47" t="s">
        <v>579</v>
      </c>
      <c r="N6" s="47">
        <f>COUNTIF(Лист1!O:O,"=ЦВК&gt;=3")</f>
        <v>0</v>
      </c>
      <c r="Q6" s="47" t="s">
        <v>580</v>
      </c>
      <c r="R6" s="47">
        <f>COUNTIF(Лист1!Q:Q,"СЗП+Тр")</f>
        <v>1</v>
      </c>
      <c r="S6" s="47" t="s">
        <v>581</v>
      </c>
      <c r="T6" s="47">
        <f>COUNTIF(Лист1!R:R,"CVVHDF+MPS")</f>
        <v>0</v>
      </c>
      <c r="U6" s="47" t="s">
        <v>569</v>
      </c>
      <c r="V6" s="47">
        <f>Таблица1[[#This Row],[Дата перевода]]-Таблица1[[#This Row],[Дата поступления]]</f>
        <v>1</v>
      </c>
      <c r="W6" s="47">
        <f>Таблица1[[#This Row],[Дата поступления]]-Таблица1[[#This Row],[Дата рождения]]</f>
        <v>6350</v>
      </c>
      <c r="Y6" s="64"/>
      <c r="Z6" s="47" t="s">
        <v>582</v>
      </c>
      <c r="AC6" s="47" t="s">
        <v>581</v>
      </c>
      <c r="AD6" s="47" t="s">
        <v>583</v>
      </c>
      <c r="AG6" s="47" t="s">
        <v>584</v>
      </c>
      <c r="AH6" s="47">
        <f>COUNTIF(Лист1!X:X,"Новиков АА")</f>
        <v>0</v>
      </c>
    </row>
    <row r="7" spans="1:34" ht="24.75" customHeight="1" x14ac:dyDescent="0.25">
      <c r="C7" s="47" t="s">
        <v>585</v>
      </c>
      <c r="D7" s="47">
        <f>COUNTIF(W:W,"&gt;=2555")-COUNTIF(W:W, "&gt;=5475")</f>
        <v>148</v>
      </c>
      <c r="E7" s="47" t="s">
        <v>25</v>
      </c>
      <c r="F7" s="47">
        <f>COUNTIF(Лист1!I:I,"Повторное_поступление")</f>
        <v>9</v>
      </c>
      <c r="G7" s="47" t="s">
        <v>23</v>
      </c>
      <c r="H7" s="47">
        <f>COUNTIF(Лист1!S:S, "Пульмо")</f>
        <v>14</v>
      </c>
      <c r="I7" s="47" t="s">
        <v>585</v>
      </c>
      <c r="J7" s="47" t="e">
        <f>COUNTIFS(W2:W2500,"&lt;5475",Лист1!N2:N2499,"&gt;0")-COUNTIFS(W2:W2500,"&lt;2555",Лист1!N2:N2499,"&gt;0")</f>
        <v>#VALUE!</v>
      </c>
      <c r="K7" s="47" t="s">
        <v>586</v>
      </c>
      <c r="L7" s="47" t="e">
        <f>COUNTIFS(W2:W2500,"&lt;=28",Лист1!N2:N2499,"&gt;0")</f>
        <v>#VALUE!</v>
      </c>
      <c r="M7" s="47" t="s">
        <v>124</v>
      </c>
      <c r="N7" s="47">
        <f>COUNTIF(Лист1!O:O,"=Гл. вен. линия")</f>
        <v>8</v>
      </c>
      <c r="Q7" s="47" t="s">
        <v>587</v>
      </c>
      <c r="R7" s="47">
        <f>COUNTIF(Лист1!Q:Q,"Эр+Тр")</f>
        <v>2</v>
      </c>
      <c r="S7" s="47" t="s">
        <v>588</v>
      </c>
      <c r="T7" s="47">
        <f>COUNTIF(Лист1!R:R,"CVVHDF+PD")</f>
        <v>0</v>
      </c>
      <c r="U7" s="47">
        <f>COUNTIF(Лист1!W:W,"Инваз. АД")+COUNTIF(Лист1!W:W,"Датчик ВЧД+Инваз. АД")+COUNTIF(Лист1!W:W,"Интестин. Зонд+датчик ВЧД+инваз. АД")</f>
        <v>0</v>
      </c>
      <c r="V7" s="47">
        <f>Таблица1[[#This Row],[Дата перевода]]-Таблица1[[#This Row],[Дата поступления]]</f>
        <v>2</v>
      </c>
      <c r="W7" s="47">
        <f>Таблица1[[#This Row],[Дата поступления]]-Таблица1[[#This Row],[Дата рождения]]</f>
        <v>5063</v>
      </c>
      <c r="Y7" s="64"/>
      <c r="Z7" s="47" t="s">
        <v>124</v>
      </c>
      <c r="AC7" s="47" t="s">
        <v>588</v>
      </c>
      <c r="AD7" s="47" t="s">
        <v>589</v>
      </c>
      <c r="AG7" s="47" t="s">
        <v>590</v>
      </c>
      <c r="AH7" s="47">
        <f>COUNTIF(Лист1!X:X,"Можаев")</f>
        <v>0</v>
      </c>
    </row>
    <row r="8" spans="1:34" ht="24.75" customHeight="1" x14ac:dyDescent="0.25">
      <c r="C8" s="47" t="s">
        <v>591</v>
      </c>
      <c r="D8" s="47">
        <f>COUNTIF(W:W,"&gt;=5475")-COUNTIF(W:W, "&gt;=6575")</f>
        <v>111</v>
      </c>
      <c r="E8" s="47" t="s">
        <v>132</v>
      </c>
      <c r="F8" s="47">
        <f>COUNTIF(Лист1!I:I,"Самотёком")</f>
        <v>7</v>
      </c>
      <c r="G8" s="47" t="s">
        <v>46</v>
      </c>
      <c r="H8" s="47">
        <f>COUNTIF(Лист1!S:S, "Педиатрия")</f>
        <v>101</v>
      </c>
      <c r="I8" s="47" t="s">
        <v>591</v>
      </c>
      <c r="J8" s="47" t="e">
        <f>COUNTIFS(W2:W2500,"&lt;6575",Лист1!N2:N2499,"&gt;0")-COUNTIFS(W2:W2500,"&lt;5475",Лист1!N2:N2499,"&gt;0")</f>
        <v>#VALUE!</v>
      </c>
      <c r="K8" s="47" t="s">
        <v>576</v>
      </c>
      <c r="L8" s="47">
        <f>SUM(L2:L6)</f>
        <v>22</v>
      </c>
      <c r="M8" s="47" t="s">
        <v>592</v>
      </c>
      <c r="N8" s="47">
        <f>COUNTIF(Лист1!O:O,"=Диализ. катетер")</f>
        <v>0</v>
      </c>
      <c r="Q8" s="47" t="s">
        <v>593</v>
      </c>
      <c r="R8" s="47">
        <f>COUNTIF(Лист1!Q:Q,"СЗП+Эр+Тр")</f>
        <v>0</v>
      </c>
      <c r="S8" s="47" t="s">
        <v>594</v>
      </c>
      <c r="T8" s="47">
        <f>COUNTIF(Лист1!R:R,"CVVHDF+Кишеч. лаваж")</f>
        <v>0</v>
      </c>
      <c r="V8" s="47">
        <f>Таблица1[[#This Row],[Дата перевода]]-Таблица1[[#This Row],[Дата поступления]]</f>
        <v>3</v>
      </c>
      <c r="W8" s="47">
        <f>Таблица1[[#This Row],[Дата поступления]]-Таблица1[[#This Row],[Дата рождения]]</f>
        <v>3547</v>
      </c>
      <c r="Y8" s="64"/>
      <c r="Z8" s="47" t="s">
        <v>592</v>
      </c>
      <c r="AC8" s="47" t="s">
        <v>594</v>
      </c>
      <c r="AG8" s="47" t="s">
        <v>595</v>
      </c>
      <c r="AH8" s="47">
        <f>COUNTIF(Лист1!X:X,"Баженов")</f>
        <v>0</v>
      </c>
    </row>
    <row r="9" spans="1:34" ht="24.75" customHeight="1" x14ac:dyDescent="0.25">
      <c r="C9" s="47" t="s">
        <v>576</v>
      </c>
      <c r="D9" s="47">
        <f>SUM(D2:D8)</f>
        <v>2497</v>
      </c>
      <c r="E9" s="47" t="s">
        <v>576</v>
      </c>
      <c r="F9" s="47">
        <f>SUM(F2:F8)</f>
        <v>2477</v>
      </c>
      <c r="G9" s="47" t="s">
        <v>32</v>
      </c>
      <c r="H9" s="47">
        <f>COUNTIF(Лист1!S:S, "Неврология")</f>
        <v>25</v>
      </c>
      <c r="I9" s="47" t="s">
        <v>576</v>
      </c>
      <c r="J9" s="47" t="e">
        <f>SUM(J2:J8)</f>
        <v>#VALUE!</v>
      </c>
      <c r="M9" s="47" t="s">
        <v>596</v>
      </c>
      <c r="N9" s="47">
        <f>SUM(N4:N6,N8)</f>
        <v>102</v>
      </c>
      <c r="Q9" s="47" t="s">
        <v>576</v>
      </c>
      <c r="R9" s="47">
        <f>SUM(R2:R8)</f>
        <v>33</v>
      </c>
      <c r="S9" s="47" t="s">
        <v>597</v>
      </c>
      <c r="T9" s="47">
        <f>COUNTIF(Лист1!R:R,"Плазмаферез")</f>
        <v>2</v>
      </c>
      <c r="V9" s="47">
        <f>Таблица1[[#This Row],[Дата перевода]]-Таблица1[[#This Row],[Дата поступления]]</f>
        <v>1</v>
      </c>
      <c r="W9" s="47">
        <f>Таблица1[[#This Row],[Дата поступления]]-Таблица1[[#This Row],[Дата рождения]]</f>
        <v>6456</v>
      </c>
      <c r="Y9" s="64"/>
      <c r="AC9" s="47" t="s">
        <v>597</v>
      </c>
      <c r="AG9" s="47" t="s">
        <v>598</v>
      </c>
      <c r="AH9" s="47">
        <f>COUNTIF(Лист1!X:X,"Корольков")</f>
        <v>0</v>
      </c>
    </row>
    <row r="10" spans="1:34" ht="24.75" customHeight="1" x14ac:dyDescent="0.25">
      <c r="G10" s="47" t="s">
        <v>83</v>
      </c>
      <c r="H10" s="47">
        <f>COUNTIF(Лист1!S:S, "Другие больницы")</f>
        <v>45</v>
      </c>
      <c r="Q10" s="47" t="s">
        <v>599</v>
      </c>
      <c r="R10" s="47">
        <f>COUNTIF(Лист1!Q:Q,"СЗП+/-крио")+COUNTIF(Лист1!Q:Q,"СЗП+Эр")+COUNTIF(Лист1!Q:Q,"СЗП+Тр")+COUNTIF(Лист1!Q:Q,"СЗП+Эр+Тр")</f>
        <v>14</v>
      </c>
      <c r="S10" s="47" t="s">
        <v>600</v>
      </c>
      <c r="T10" s="47">
        <f>SUM(T2,T6:T8)</f>
        <v>2</v>
      </c>
      <c r="V10" s="47">
        <f>Таблица1[[#This Row],[Дата перевода]]-Таблица1[[#This Row],[Дата поступления]]</f>
        <v>367</v>
      </c>
      <c r="W10" s="47">
        <f>Таблица1[[#This Row],[Дата поступления]]-Таблица1[[#This Row],[Дата рождения]]</f>
        <v>502</v>
      </c>
      <c r="Y10" s="64"/>
      <c r="AG10" s="47" t="s">
        <v>601</v>
      </c>
      <c r="AH10" s="47">
        <f>COUNTIF(Лист1!X:X,"Потапова")</f>
        <v>0</v>
      </c>
    </row>
    <row r="11" spans="1:34" ht="24.75" customHeight="1" x14ac:dyDescent="0.25">
      <c r="G11" s="47" t="s">
        <v>194</v>
      </c>
      <c r="H11" s="47">
        <f>COUNTIF(Лист1!S:S, "Летальный исход")</f>
        <v>9</v>
      </c>
      <c r="Q11" s="47" t="s">
        <v>602</v>
      </c>
      <c r="R11" s="47">
        <f>COUNTIF(Лист1!Q:Q,"Эр. масса")+COUNTIF(Лист1!Q:Q,"СЗП+Эр")+COUNTIF(Лист1!Q:Q,"Эр+Тр")+COUNTIF(Лист1!Q:Q,"СЗП+Эр+Тр")</f>
        <v>27</v>
      </c>
      <c r="S11" s="47" t="s">
        <v>603</v>
      </c>
      <c r="T11" s="47">
        <f>SUM(T3,T6)</f>
        <v>1</v>
      </c>
      <c r="V11" s="47">
        <f>Таблица1[[#This Row],[Дата перевода]]-Таблица1[[#This Row],[Дата поступления]]</f>
        <v>366</v>
      </c>
      <c r="W11" s="47">
        <f>Таблица1[[#This Row],[Дата поступления]]-Таблица1[[#This Row],[Дата рождения]]</f>
        <v>5438</v>
      </c>
      <c r="Y11" s="64"/>
      <c r="AG11" s="47" t="s">
        <v>604</v>
      </c>
      <c r="AH11" s="47">
        <f>COUNTIF(Лист1!X:X,"Крошкина")</f>
        <v>0</v>
      </c>
    </row>
    <row r="12" spans="1:34" ht="24.75" customHeight="1" x14ac:dyDescent="0.25">
      <c r="G12" s="47" t="s">
        <v>31</v>
      </c>
      <c r="H12" s="47">
        <f>COUNTIF(Лист1!S:S, "Прочее")</f>
        <v>15</v>
      </c>
      <c r="Q12" s="47" t="s">
        <v>605</v>
      </c>
      <c r="R12" s="47">
        <f>COUNTIF(Лист1!Q:Q,"Тромб.")+COUNTIF(Лист1!Q:Q,"СЗП+Тр")+COUNTIF(Лист1!Q:Q,"Эр+Тр")+COUNTIF(Лист1!Q:Q,"СЗП+Эр+Тр")</f>
        <v>4</v>
      </c>
      <c r="S12" s="47" t="s">
        <v>606</v>
      </c>
      <c r="T12" s="47">
        <f>SUM(T4,T7)</f>
        <v>0</v>
      </c>
      <c r="V12" s="47">
        <f>Таблица1[[#This Row],[Дата перевода]]-Таблица1[[#This Row],[Дата поступления]]</f>
        <v>3</v>
      </c>
      <c r="W12" s="47">
        <f>Таблица1[[#This Row],[Дата поступления]]-Таблица1[[#This Row],[Дата рождения]]</f>
        <v>642</v>
      </c>
      <c r="Y12" s="65"/>
      <c r="AG12" s="47" t="s">
        <v>607</v>
      </c>
      <c r="AH12" s="47">
        <f>COUNTIF(Лист1!X:X,"Громов")</f>
        <v>0</v>
      </c>
    </row>
    <row r="13" spans="1:34" ht="24.75" customHeight="1" x14ac:dyDescent="0.25">
      <c r="G13" s="47" t="s">
        <v>576</v>
      </c>
      <c r="H13" s="47">
        <f>SUM(H2:H12)</f>
        <v>425</v>
      </c>
      <c r="S13" s="47" t="s">
        <v>608</v>
      </c>
      <c r="T13" s="47">
        <f>SUM(T5,T8)</f>
        <v>1</v>
      </c>
      <c r="V13" s="47">
        <f>Таблица1[[#This Row],[Дата перевода]]-Таблица1[[#This Row],[Дата поступления]]</f>
        <v>1</v>
      </c>
      <c r="W13" s="47">
        <f>Таблица1[[#This Row],[Дата поступления]]-Таблица1[[#This Row],[Дата рождения]]</f>
        <v>5791</v>
      </c>
      <c r="Y13" s="65"/>
      <c r="AG13" s="47" t="s">
        <v>609</v>
      </c>
      <c r="AH13" s="47">
        <f>COUNTIF(Лист1!X:X,"Кудуев")</f>
        <v>0</v>
      </c>
    </row>
    <row r="14" spans="1:34" ht="24.75" customHeight="1" x14ac:dyDescent="0.25">
      <c r="A14" s="47" t="s">
        <v>610</v>
      </c>
      <c r="B14" s="47" t="e">
        <f>SUM(V2:V2511)</f>
        <v>#VALUE!</v>
      </c>
      <c r="S14" s="47" t="s">
        <v>611</v>
      </c>
      <c r="T14" s="47">
        <f>SUM(T9:T13)</f>
        <v>6</v>
      </c>
      <c r="V14" s="47">
        <f>Таблица1[[#This Row],[Дата перевода]]-Таблица1[[#This Row],[Дата поступления]]</f>
        <v>14</v>
      </c>
      <c r="W14" s="47">
        <f>Таблица1[[#This Row],[Дата поступления]]-Таблица1[[#This Row],[Дата рождения]]</f>
        <v>3580</v>
      </c>
      <c r="AG14" s="47" t="s">
        <v>612</v>
      </c>
      <c r="AH14" s="47">
        <f>COUNTIF(Лист1!X:X,"Кулигина")</f>
        <v>0</v>
      </c>
    </row>
    <row r="15" spans="1:34" ht="24.75" customHeight="1" x14ac:dyDescent="0.25">
      <c r="V15" s="47">
        <f>Таблица1[[#This Row],[Дата перевода]]-Таблица1[[#This Row],[Дата поступления]]</f>
        <v>1</v>
      </c>
      <c r="W15" s="47">
        <f>Таблица1[[#This Row],[Дата поступления]]-Таблица1[[#This Row],[Дата рождения]]</f>
        <v>4044</v>
      </c>
      <c r="AG15" s="47" t="s">
        <v>613</v>
      </c>
      <c r="AH15" s="47">
        <f>COUNTIF(Лист1!X:X,"Челышев")</f>
        <v>0</v>
      </c>
    </row>
    <row r="16" spans="1:34" ht="24.75" customHeight="1" x14ac:dyDescent="0.25">
      <c r="G16" s="66" t="s">
        <v>236</v>
      </c>
      <c r="I16" s="66" t="s">
        <v>236</v>
      </c>
      <c r="K16" s="66" t="s">
        <v>236</v>
      </c>
      <c r="V16" s="47">
        <f>Таблица1[[#This Row],[Дата перевода]]-Таблица1[[#This Row],[Дата поступления]]</f>
        <v>3</v>
      </c>
      <c r="W16" s="47">
        <f>Таблица1[[#This Row],[Дата поступления]]-Таблица1[[#This Row],[Дата рождения]]</f>
        <v>43</v>
      </c>
      <c r="AG16" s="47" t="s">
        <v>614</v>
      </c>
      <c r="AH16" s="47">
        <f>COUNTIF(Лист1!X:X,"Грачёва")</f>
        <v>0</v>
      </c>
    </row>
    <row r="17" spans="7:34" ht="24.75" customHeight="1" x14ac:dyDescent="0.25">
      <c r="G17" s="67" t="s">
        <v>60</v>
      </c>
      <c r="I17" s="67" t="s">
        <v>60</v>
      </c>
      <c r="K17" s="67" t="s">
        <v>60</v>
      </c>
      <c r="V17" s="47">
        <f>Таблица1[[#This Row],[Дата перевода]]-Таблица1[[#This Row],[Дата поступления]]</f>
        <v>1</v>
      </c>
      <c r="W17" s="47">
        <f>Таблица1[[#This Row],[Дата поступления]]-Таблица1[[#This Row],[Дата рождения]]</f>
        <v>5349</v>
      </c>
      <c r="AG17" s="47" t="s">
        <v>615</v>
      </c>
      <c r="AH17" s="47">
        <f>COUNTIF(Лист1!X:X,"Шишкова")</f>
        <v>0</v>
      </c>
    </row>
    <row r="18" spans="7:34" ht="24.75" customHeight="1" x14ac:dyDescent="0.25">
      <c r="G18" s="66" t="s">
        <v>96</v>
      </c>
      <c r="I18" s="66" t="s">
        <v>96</v>
      </c>
      <c r="K18" s="66" t="s">
        <v>96</v>
      </c>
      <c r="V18" s="47">
        <f>Таблица1[[#This Row],[Дата перевода]]-Таблица1[[#This Row],[Дата поступления]]</f>
        <v>3</v>
      </c>
      <c r="W18" s="47">
        <f>Таблица1[[#This Row],[Дата поступления]]-Таблица1[[#This Row],[Дата рождения]]</f>
        <v>6014</v>
      </c>
      <c r="AG18" s="47" t="s">
        <v>616</v>
      </c>
      <c r="AH18" s="47">
        <f>COUNTIF(Лист1!X:X,"Новиков ИЮ")</f>
        <v>0</v>
      </c>
    </row>
    <row r="19" spans="7:34" ht="24.75" customHeight="1" x14ac:dyDescent="0.25">
      <c r="G19" s="67" t="s">
        <v>91</v>
      </c>
      <c r="I19" s="67" t="s">
        <v>91</v>
      </c>
      <c r="K19" s="67" t="s">
        <v>91</v>
      </c>
      <c r="V19" s="47">
        <f>Таблица1[[#This Row],[Дата перевода]]-Таблица1[[#This Row],[Дата поступления]]</f>
        <v>1</v>
      </c>
      <c r="W19" s="47">
        <f>Таблица1[[#This Row],[Дата поступления]]-Таблица1[[#This Row],[Дата рождения]]</f>
        <v>6141</v>
      </c>
      <c r="AG19" s="47" t="s">
        <v>617</v>
      </c>
      <c r="AH19" s="47">
        <f>COUNTIF(Лист1!X:X,"Савичева")</f>
        <v>0</v>
      </c>
    </row>
    <row r="20" spans="7:34" ht="24.75" customHeight="1" x14ac:dyDescent="0.25">
      <c r="G20" s="66" t="s">
        <v>278</v>
      </c>
      <c r="I20" s="66" t="s">
        <v>278</v>
      </c>
      <c r="K20" s="66" t="s">
        <v>278</v>
      </c>
      <c r="V20" s="47">
        <f>Таблица1[[#This Row],[Дата перевода]]-Таблица1[[#This Row],[Дата поступления]]</f>
        <v>1</v>
      </c>
      <c r="W20" s="47">
        <f>Таблица1[[#This Row],[Дата поступления]]-Таблица1[[#This Row],[Дата рождения]]</f>
        <v>4934</v>
      </c>
      <c r="AG20" s="47" t="s">
        <v>618</v>
      </c>
      <c r="AH20" s="47">
        <f>SUM(AH3:AH19)</f>
        <v>0</v>
      </c>
    </row>
    <row r="21" spans="7:34" ht="24.75" customHeight="1" x14ac:dyDescent="0.25">
      <c r="G21" s="67" t="s">
        <v>23</v>
      </c>
      <c r="I21" s="67" t="s">
        <v>23</v>
      </c>
      <c r="K21" s="67" t="s">
        <v>23</v>
      </c>
      <c r="V21" s="47">
        <f>Таблица1[[#This Row],[Дата перевода]]-Таблица1[[#This Row],[Дата поступления]]</f>
        <v>1</v>
      </c>
      <c r="W21" s="47">
        <f>Таблица1[[#This Row],[Дата поступления]]-Таблица1[[#This Row],[Дата рождения]]</f>
        <v>5868</v>
      </c>
    </row>
    <row r="22" spans="7:34" ht="24.75" customHeight="1" x14ac:dyDescent="0.25">
      <c r="G22" s="66" t="s">
        <v>46</v>
      </c>
      <c r="I22" s="66" t="s">
        <v>46</v>
      </c>
      <c r="K22" s="66" t="s">
        <v>46</v>
      </c>
      <c r="V22" s="47">
        <f>Таблица1[[#This Row],[Дата перевода]]-Таблица1[[#This Row],[Дата поступления]]</f>
        <v>1</v>
      </c>
      <c r="W22" s="47">
        <f>Таблица1[[#This Row],[Дата поступления]]-Таблица1[[#This Row],[Дата рождения]]</f>
        <v>1388</v>
      </c>
    </row>
    <row r="23" spans="7:34" ht="24.75" customHeight="1" x14ac:dyDescent="0.25">
      <c r="G23" s="67" t="s">
        <v>32</v>
      </c>
      <c r="I23" s="67" t="s">
        <v>32</v>
      </c>
      <c r="K23" s="67" t="s">
        <v>32</v>
      </c>
      <c r="V23" s="47">
        <f>Таблица1[[#This Row],[Дата перевода]]-Таблица1[[#This Row],[Дата поступления]]</f>
        <v>0</v>
      </c>
      <c r="W23" s="47">
        <f>Таблица1[[#This Row],[Дата поступления]]-Таблица1[[#This Row],[Дата рождения]]</f>
        <v>5166</v>
      </c>
    </row>
    <row r="24" spans="7:34" ht="24.75" customHeight="1" x14ac:dyDescent="0.25">
      <c r="V24" s="47">
        <f>Таблица1[[#This Row],[Дата перевода]]-Таблица1[[#This Row],[Дата поступления]]</f>
        <v>1</v>
      </c>
      <c r="W24" s="47">
        <f>Таблица1[[#This Row],[Дата поступления]]-Таблица1[[#This Row],[Дата рождения]]</f>
        <v>707</v>
      </c>
    </row>
    <row r="25" spans="7:34" ht="24.75" customHeight="1" x14ac:dyDescent="0.25">
      <c r="V25" s="47">
        <f>Таблица1[[#This Row],[Дата перевода]]-Таблица1[[#This Row],[Дата поступления]]</f>
        <v>1</v>
      </c>
      <c r="W25" s="47">
        <f>Таблица1[[#This Row],[Дата поступления]]-Таблица1[[#This Row],[Дата рождения]]</f>
        <v>5803</v>
      </c>
    </row>
    <row r="26" spans="7:34" ht="24.75" customHeight="1" x14ac:dyDescent="0.25">
      <c r="V26" s="47">
        <f>Таблица1[[#This Row],[Дата перевода]]-Таблица1[[#This Row],[Дата поступления]]</f>
        <v>1</v>
      </c>
      <c r="W26" s="47">
        <f>Таблица1[[#This Row],[Дата поступления]]-Таблица1[[#This Row],[Дата рождения]]</f>
        <v>0</v>
      </c>
    </row>
    <row r="27" spans="7:34" ht="24.75" customHeight="1" x14ac:dyDescent="0.25">
      <c r="V27" s="47">
        <f>Таблица1[[#This Row],[Дата перевода]]-Таблица1[[#This Row],[Дата поступления]]</f>
        <v>3</v>
      </c>
      <c r="W27" s="47">
        <f>Таблица1[[#This Row],[Дата поступления]]-Таблица1[[#This Row],[Дата рождения]]</f>
        <v>2988</v>
      </c>
    </row>
    <row r="28" spans="7:34" ht="24.75" customHeight="1" x14ac:dyDescent="0.25">
      <c r="V28" s="47">
        <f>Таблица1[[#This Row],[Дата перевода]]-Таблица1[[#This Row],[Дата поступления]]</f>
        <v>1</v>
      </c>
      <c r="W28" s="47">
        <f>Таблица1[[#This Row],[Дата поступления]]-Таблица1[[#This Row],[Дата рождения]]</f>
        <v>46</v>
      </c>
    </row>
    <row r="29" spans="7:34" ht="24.75" customHeight="1" x14ac:dyDescent="0.25">
      <c r="V29" s="47">
        <f>Таблица1[[#This Row],[Дата перевода]]-Таблица1[[#This Row],[Дата поступления]]</f>
        <v>1</v>
      </c>
      <c r="W29" s="47">
        <f>Таблица1[[#This Row],[Дата поступления]]-Таблица1[[#This Row],[Дата рождения]]</f>
        <v>838</v>
      </c>
    </row>
    <row r="30" spans="7:34" ht="24.75" customHeight="1" x14ac:dyDescent="0.25">
      <c r="V30" s="47">
        <f>Таблица1[[#This Row],[Дата перевода]]-Таблица1[[#This Row],[Дата поступления]]</f>
        <v>4</v>
      </c>
      <c r="W30" s="47">
        <f>Таблица1[[#This Row],[Дата поступления]]-Таблица1[[#This Row],[Дата рождения]]</f>
        <v>18</v>
      </c>
    </row>
    <row r="31" spans="7:34" ht="24.75" customHeight="1" x14ac:dyDescent="0.25">
      <c r="V31" s="47">
        <f>Таблица1[[#This Row],[Дата перевода]]-Таблица1[[#This Row],[Дата поступления]]</f>
        <v>2</v>
      </c>
      <c r="W31" s="47">
        <f>Таблица1[[#This Row],[Дата поступления]]-Таблица1[[#This Row],[Дата рождения]]</f>
        <v>1393</v>
      </c>
    </row>
    <row r="32" spans="7:34" ht="24.75" customHeight="1" x14ac:dyDescent="0.25">
      <c r="V32" s="47">
        <f>Таблица1[[#This Row],[Дата перевода]]-Таблица1[[#This Row],[Дата поступления]]</f>
        <v>1</v>
      </c>
      <c r="W32" s="47">
        <f>Таблица1[[#This Row],[Дата поступления]]-Таблица1[[#This Row],[Дата рождения]]</f>
        <v>6336</v>
      </c>
    </row>
    <row r="33" spans="22:23" ht="24.75" customHeight="1" x14ac:dyDescent="0.25">
      <c r="V33" s="47">
        <f>Таблица1[[#This Row],[Дата перевода]]-Таблица1[[#This Row],[Дата поступления]]</f>
        <v>2</v>
      </c>
      <c r="W33" s="47">
        <f>Таблица1[[#This Row],[Дата поступления]]-Таблица1[[#This Row],[Дата рождения]]</f>
        <v>5274</v>
      </c>
    </row>
    <row r="34" spans="22:23" ht="24.75" customHeight="1" x14ac:dyDescent="0.25">
      <c r="V34" s="47">
        <f>Таблица1[[#This Row],[Дата перевода]]-Таблица1[[#This Row],[Дата поступления]]</f>
        <v>12</v>
      </c>
      <c r="W34" s="47">
        <f>Таблица1[[#This Row],[Дата поступления]]-Таблица1[[#This Row],[Дата рождения]]</f>
        <v>6163</v>
      </c>
    </row>
    <row r="35" spans="22:23" ht="24.75" customHeight="1" x14ac:dyDescent="0.25">
      <c r="V35" s="47">
        <f>Таблица1[[#This Row],[Дата перевода]]-Таблица1[[#This Row],[Дата поступления]]</f>
        <v>5</v>
      </c>
      <c r="W35" s="47">
        <f>Таблица1[[#This Row],[Дата поступления]]-Таблица1[[#This Row],[Дата рождения]]</f>
        <v>5805</v>
      </c>
    </row>
    <row r="36" spans="22:23" ht="24.75" customHeight="1" x14ac:dyDescent="0.25">
      <c r="V36" s="47">
        <f>Таблица1[[#This Row],[Дата перевода]]-Таблица1[[#This Row],[Дата поступления]]</f>
        <v>0</v>
      </c>
      <c r="W36" s="47">
        <f>Таблица1[[#This Row],[Дата поступления]]-Таблица1[[#This Row],[Дата рождения]]</f>
        <v>3263</v>
      </c>
    </row>
    <row r="37" spans="22:23" ht="24.75" customHeight="1" x14ac:dyDescent="0.25">
      <c r="V37" s="47">
        <f>Таблица1[[#This Row],[Дата перевода]]-Таблица1[[#This Row],[Дата поступления]]</f>
        <v>1</v>
      </c>
      <c r="W37" s="47">
        <f>Таблица1[[#This Row],[Дата поступления]]-Таблица1[[#This Row],[Дата рождения]]</f>
        <v>6219</v>
      </c>
    </row>
    <row r="38" spans="22:23" ht="24.75" customHeight="1" x14ac:dyDescent="0.25">
      <c r="V38" s="47">
        <f>Таблица1[[#This Row],[Дата перевода]]-Таблица1[[#This Row],[Дата поступления]]</f>
        <v>1</v>
      </c>
      <c r="W38" s="47">
        <f>Таблица1[[#This Row],[Дата поступления]]-Таблица1[[#This Row],[Дата рождения]]</f>
        <v>74</v>
      </c>
    </row>
    <row r="39" spans="22:23" ht="24.75" customHeight="1" x14ac:dyDescent="0.25">
      <c r="V39" s="47">
        <f>Таблица1[[#This Row],[Дата перевода]]-Таблица1[[#This Row],[Дата поступления]]</f>
        <v>1</v>
      </c>
      <c r="W39" s="47">
        <f>Таблица1[[#This Row],[Дата поступления]]-Таблица1[[#This Row],[Дата рождения]]</f>
        <v>3790</v>
      </c>
    </row>
    <row r="40" spans="22:23" ht="24.75" customHeight="1" x14ac:dyDescent="0.25">
      <c r="V40" s="47">
        <f>Таблица1[[#This Row],[Дата перевода]]-Таблица1[[#This Row],[Дата поступления]]</f>
        <v>0</v>
      </c>
      <c r="W40" s="47">
        <f>Таблица1[[#This Row],[Дата поступления]]-Таблица1[[#This Row],[Дата рождения]]</f>
        <v>0</v>
      </c>
    </row>
    <row r="41" spans="22:23" ht="24.75" customHeight="1" x14ac:dyDescent="0.25">
      <c r="V41" s="47">
        <f>Таблица1[[#This Row],[Дата перевода]]-Таблица1[[#This Row],[Дата поступления]]</f>
        <v>1</v>
      </c>
      <c r="W41" s="47">
        <f>Таблица1[[#This Row],[Дата поступления]]-Таблица1[[#This Row],[Дата рождения]]</f>
        <v>6077</v>
      </c>
    </row>
    <row r="42" spans="22:23" ht="24.75" customHeight="1" x14ac:dyDescent="0.25">
      <c r="V42" s="47">
        <f>Таблица1[[#This Row],[Дата перевода]]-Таблица1[[#This Row],[Дата поступления]]</f>
        <v>4</v>
      </c>
      <c r="W42" s="47">
        <f>Таблица1[[#This Row],[Дата поступления]]-Таблица1[[#This Row],[Дата рождения]]</f>
        <v>5527</v>
      </c>
    </row>
    <row r="43" spans="22:23" ht="24.75" customHeight="1" x14ac:dyDescent="0.25">
      <c r="V43" s="47">
        <f>Таблица1[[#This Row],[Дата перевода]]-Таблица1[[#This Row],[Дата поступления]]</f>
        <v>2</v>
      </c>
      <c r="W43" s="47">
        <f>Таблица1[[#This Row],[Дата поступления]]-Таблица1[[#This Row],[Дата рождения]]</f>
        <v>5632</v>
      </c>
    </row>
    <row r="44" spans="22:23" ht="24.75" customHeight="1" x14ac:dyDescent="0.25">
      <c r="V44" s="47">
        <f>Таблица1[[#This Row],[Дата перевода]]-Таблица1[[#This Row],[Дата поступления]]</f>
        <v>0</v>
      </c>
      <c r="W44" s="47">
        <f>Таблица1[[#This Row],[Дата поступления]]-Таблица1[[#This Row],[Дата рождения]]</f>
        <v>5614</v>
      </c>
    </row>
    <row r="45" spans="22:23" ht="24.75" customHeight="1" x14ac:dyDescent="0.25">
      <c r="V45" s="47">
        <f>Таблица1[[#This Row],[Дата перевода]]-Таблица1[[#This Row],[Дата поступления]]</f>
        <v>2</v>
      </c>
      <c r="W45" s="47">
        <f>Таблица1[[#This Row],[Дата поступления]]-Таблица1[[#This Row],[Дата рождения]]</f>
        <v>5728</v>
      </c>
    </row>
    <row r="46" spans="22:23" ht="24.75" customHeight="1" x14ac:dyDescent="0.25">
      <c r="V46" s="47">
        <f>Таблица1[[#This Row],[Дата перевода]]-Таблица1[[#This Row],[Дата поступления]]</f>
        <v>0</v>
      </c>
      <c r="W46" s="47">
        <f>Таблица1[[#This Row],[Дата поступления]]-Таблица1[[#This Row],[Дата рождения]]</f>
        <v>5273</v>
      </c>
    </row>
    <row r="47" spans="22:23" ht="24.75" customHeight="1" x14ac:dyDescent="0.25">
      <c r="V47" s="47">
        <f>Таблица1[[#This Row],[Дата перевода]]-Таблица1[[#This Row],[Дата поступления]]</f>
        <v>1</v>
      </c>
      <c r="W47" s="47">
        <f>Таблица1[[#This Row],[Дата поступления]]-Таблица1[[#This Row],[Дата рождения]]</f>
        <v>5623</v>
      </c>
    </row>
    <row r="48" spans="22:23" ht="24.75" customHeight="1" x14ac:dyDescent="0.25">
      <c r="V48" s="47">
        <f>Таблица1[[#This Row],[Дата перевода]]-Таблица1[[#This Row],[Дата поступления]]</f>
        <v>1</v>
      </c>
      <c r="W48" s="47">
        <f>Таблица1[[#This Row],[Дата поступления]]-Таблица1[[#This Row],[Дата рождения]]</f>
        <v>3962</v>
      </c>
    </row>
    <row r="49" spans="22:23" ht="24.75" customHeight="1" x14ac:dyDescent="0.25">
      <c r="V49" s="47">
        <f>Таблица1[[#This Row],[Дата перевода]]-Таблица1[[#This Row],[Дата поступления]]</f>
        <v>4</v>
      </c>
      <c r="W49" s="47">
        <f>Таблица1[[#This Row],[Дата поступления]]-Таблица1[[#This Row],[Дата рождения]]</f>
        <v>2043</v>
      </c>
    </row>
    <row r="50" spans="22:23" ht="24.75" customHeight="1" x14ac:dyDescent="0.25">
      <c r="V50" s="47">
        <f>Таблица1[[#This Row],[Дата перевода]]-Таблица1[[#This Row],[Дата поступления]]</f>
        <v>4</v>
      </c>
      <c r="W50" s="47">
        <f>Таблица1[[#This Row],[Дата поступления]]-Таблица1[[#This Row],[Дата рождения]]</f>
        <v>5355</v>
      </c>
    </row>
    <row r="51" spans="22:23" ht="24.75" customHeight="1" x14ac:dyDescent="0.25">
      <c r="V51" s="47">
        <f>Таблица1[[#This Row],[Дата перевода]]-Таблица1[[#This Row],[Дата поступления]]</f>
        <v>1</v>
      </c>
      <c r="W51" s="47">
        <f>Таблица1[[#This Row],[Дата поступления]]-Таблица1[[#This Row],[Дата рождения]]</f>
        <v>5842</v>
      </c>
    </row>
    <row r="52" spans="22:23" ht="24.75" customHeight="1" x14ac:dyDescent="0.25">
      <c r="V52" s="47">
        <f>Таблица1[[#This Row],[Дата перевода]]-Таблица1[[#This Row],[Дата поступления]]</f>
        <v>8</v>
      </c>
      <c r="W52" s="47">
        <f>Таблица1[[#This Row],[Дата поступления]]-Таблица1[[#This Row],[Дата рождения]]</f>
        <v>5486</v>
      </c>
    </row>
    <row r="53" spans="22:23" ht="24.75" customHeight="1" x14ac:dyDescent="0.25">
      <c r="V53" s="47">
        <f>Таблица1[[#This Row],[Дата перевода]]-Таблица1[[#This Row],[Дата поступления]]</f>
        <v>4</v>
      </c>
      <c r="W53" s="47">
        <f>Таблица1[[#This Row],[Дата поступления]]-Таблица1[[#This Row],[Дата рождения]]</f>
        <v>5422</v>
      </c>
    </row>
    <row r="54" spans="22:23" ht="24.75" customHeight="1" x14ac:dyDescent="0.25">
      <c r="V54" s="47">
        <f>Таблица1[[#This Row],[Дата перевода]]-Таблица1[[#This Row],[Дата поступления]]</f>
        <v>6</v>
      </c>
      <c r="W54" s="47">
        <f>Таблица1[[#This Row],[Дата поступления]]-Таблица1[[#This Row],[Дата рождения]]</f>
        <v>6362</v>
      </c>
    </row>
    <row r="55" spans="22:23" ht="24.75" customHeight="1" x14ac:dyDescent="0.25">
      <c r="V55" s="47">
        <f>Таблица1[[#This Row],[Дата перевода]]-Таблица1[[#This Row],[Дата поступления]]</f>
        <v>1</v>
      </c>
      <c r="W55" s="47">
        <f>Таблица1[[#This Row],[Дата поступления]]-Таблица1[[#This Row],[Дата рождения]]</f>
        <v>987</v>
      </c>
    </row>
    <row r="56" spans="22:23" ht="24.75" customHeight="1" x14ac:dyDescent="0.25">
      <c r="V56" s="47">
        <f>Таблица1[[#This Row],[Дата перевода]]-Таблица1[[#This Row],[Дата поступления]]</f>
        <v>2</v>
      </c>
      <c r="W56" s="47">
        <f>Таблица1[[#This Row],[Дата поступления]]-Таблица1[[#This Row],[Дата рождения]]</f>
        <v>6221</v>
      </c>
    </row>
    <row r="57" spans="22:23" ht="24.75" customHeight="1" x14ac:dyDescent="0.25">
      <c r="V57" s="47">
        <f>Таблица1[[#This Row],[Дата перевода]]-Таблица1[[#This Row],[Дата поступления]]</f>
        <v>1</v>
      </c>
      <c r="W57" s="47">
        <f>Таблица1[[#This Row],[Дата поступления]]-Таблица1[[#This Row],[Дата рождения]]</f>
        <v>832</v>
      </c>
    </row>
    <row r="58" spans="22:23" ht="24.75" customHeight="1" x14ac:dyDescent="0.25">
      <c r="V58" s="47">
        <f>Таблица1[[#This Row],[Дата перевода]]-Таблица1[[#This Row],[Дата поступления]]</f>
        <v>0</v>
      </c>
      <c r="W58" s="47">
        <f>Таблица1[[#This Row],[Дата поступления]]-Таблица1[[#This Row],[Дата рождения]]</f>
        <v>1267</v>
      </c>
    </row>
    <row r="59" spans="22:23" ht="24.75" customHeight="1" x14ac:dyDescent="0.25">
      <c r="V59" s="47">
        <f>Таблица1[[#This Row],[Дата перевода]]-Таблица1[[#This Row],[Дата поступления]]</f>
        <v>0</v>
      </c>
      <c r="W59" s="47">
        <f>Таблица1[[#This Row],[Дата поступления]]-Таблица1[[#This Row],[Дата рождения]]</f>
        <v>0</v>
      </c>
    </row>
    <row r="60" spans="22:23" ht="24.75" customHeight="1" x14ac:dyDescent="0.25">
      <c r="V60" s="47">
        <f>Таблица1[[#This Row],[Дата перевода]]-Таблица1[[#This Row],[Дата поступления]]</f>
        <v>1</v>
      </c>
      <c r="W60" s="47">
        <f>Таблица1[[#This Row],[Дата поступления]]-Таблица1[[#This Row],[Дата рождения]]</f>
        <v>2277</v>
      </c>
    </row>
    <row r="61" spans="22:23" ht="24.75" customHeight="1" x14ac:dyDescent="0.25">
      <c r="V61" s="47">
        <f>Таблица1[[#This Row],[Дата перевода]]-Таблица1[[#This Row],[Дата поступления]]</f>
        <v>3</v>
      </c>
      <c r="W61" s="47">
        <f>Таблица1[[#This Row],[Дата поступления]]-Таблица1[[#This Row],[Дата рождения]]</f>
        <v>451</v>
      </c>
    </row>
    <row r="62" spans="22:23" ht="24.75" customHeight="1" x14ac:dyDescent="0.25">
      <c r="V62" s="47">
        <f>Таблица1[[#This Row],[Дата перевода]]-Таблица1[[#This Row],[Дата поступления]]</f>
        <v>1</v>
      </c>
      <c r="W62" s="47">
        <f>Таблица1[[#This Row],[Дата поступления]]-Таблица1[[#This Row],[Дата рождения]]</f>
        <v>4975</v>
      </c>
    </row>
    <row r="63" spans="22:23" ht="24.75" customHeight="1" x14ac:dyDescent="0.25">
      <c r="V63" s="47">
        <f>Таблица1[[#This Row],[Дата перевода]]-Таблица1[[#This Row],[Дата поступления]]</f>
        <v>1</v>
      </c>
      <c r="W63" s="47">
        <f>Таблица1[[#This Row],[Дата поступления]]-Таблица1[[#This Row],[Дата рождения]]</f>
        <v>4795</v>
      </c>
    </row>
    <row r="64" spans="22:23" ht="24.75" customHeight="1" x14ac:dyDescent="0.25">
      <c r="V64" s="47">
        <f>Таблица1[[#This Row],[Дата перевода]]-Таблица1[[#This Row],[Дата поступления]]</f>
        <v>9</v>
      </c>
      <c r="W64" s="47">
        <f>Таблица1[[#This Row],[Дата поступления]]-Таблица1[[#This Row],[Дата рождения]]</f>
        <v>5904</v>
      </c>
    </row>
    <row r="65" spans="22:23" ht="24.75" customHeight="1" x14ac:dyDescent="0.25">
      <c r="V65" s="47">
        <f>Таблица1[[#This Row],[Дата перевода]]-Таблица1[[#This Row],[Дата поступления]]</f>
        <v>4</v>
      </c>
      <c r="W65" s="47">
        <f>Таблица1[[#This Row],[Дата поступления]]-Таблица1[[#This Row],[Дата рождения]]</f>
        <v>2933</v>
      </c>
    </row>
    <row r="66" spans="22:23" ht="24.75" customHeight="1" x14ac:dyDescent="0.25">
      <c r="V66" s="47">
        <f>Таблица1[[#This Row],[Дата перевода]]-Таблица1[[#This Row],[Дата поступления]]</f>
        <v>22</v>
      </c>
      <c r="W66" s="47">
        <f>Таблица1[[#This Row],[Дата поступления]]-Таблица1[[#This Row],[Дата рождения]]</f>
        <v>3178</v>
      </c>
    </row>
    <row r="67" spans="22:23" ht="24.75" customHeight="1" x14ac:dyDescent="0.25">
      <c r="V67" s="47">
        <f>Таблица1[[#This Row],[Дата перевода]]-Таблица1[[#This Row],[Дата поступления]]</f>
        <v>14</v>
      </c>
      <c r="W67" s="47">
        <f>Таблица1[[#This Row],[Дата поступления]]-Таблица1[[#This Row],[Дата рождения]]</f>
        <v>6176</v>
      </c>
    </row>
    <row r="68" spans="22:23" ht="24.75" customHeight="1" x14ac:dyDescent="0.25">
      <c r="V68" s="47">
        <f>Таблица1[[#This Row],[Дата перевода]]-Таблица1[[#This Row],[Дата поступления]]</f>
        <v>71</v>
      </c>
      <c r="W68" s="47">
        <f>Таблица1[[#This Row],[Дата поступления]]-Таблица1[[#This Row],[Дата рождения]]</f>
        <v>5368</v>
      </c>
    </row>
    <row r="69" spans="22:23" ht="24.75" customHeight="1" x14ac:dyDescent="0.25">
      <c r="V69" s="47">
        <f>Таблица1[[#This Row],[Дата перевода]]-Таблица1[[#This Row],[Дата поступления]]</f>
        <v>3</v>
      </c>
      <c r="W69" s="47">
        <f>Таблица1[[#This Row],[Дата поступления]]-Таблица1[[#This Row],[Дата рождения]]</f>
        <v>2104</v>
      </c>
    </row>
    <row r="70" spans="22:23" ht="24.75" customHeight="1" x14ac:dyDescent="0.25">
      <c r="V70" s="47">
        <f>Таблица1[[#This Row],[Дата перевода]]-Таблица1[[#This Row],[Дата поступления]]</f>
        <v>1</v>
      </c>
      <c r="W70" s="47">
        <f>Таблица1[[#This Row],[Дата поступления]]-Таблица1[[#This Row],[Дата рождения]]</f>
        <v>5093</v>
      </c>
    </row>
    <row r="71" spans="22:23" ht="24.75" customHeight="1" x14ac:dyDescent="0.25">
      <c r="V71" s="47">
        <f>Таблица1[[#This Row],[Дата перевода]]-Таблица1[[#This Row],[Дата поступления]]</f>
        <v>24</v>
      </c>
      <c r="W71" s="47">
        <f>Таблица1[[#This Row],[Дата поступления]]-Таблица1[[#This Row],[Дата рождения]]</f>
        <v>336</v>
      </c>
    </row>
    <row r="72" spans="22:23" ht="24.75" customHeight="1" x14ac:dyDescent="0.25">
      <c r="V72" s="47">
        <f>Таблица1[[#This Row],[Дата перевода]]-Таблица1[[#This Row],[Дата поступления]]</f>
        <v>1</v>
      </c>
      <c r="W72" s="47">
        <f>Таблица1[[#This Row],[Дата поступления]]-Таблица1[[#This Row],[Дата рождения]]</f>
        <v>6146</v>
      </c>
    </row>
    <row r="73" spans="22:23" ht="24.75" customHeight="1" x14ac:dyDescent="0.25">
      <c r="V73" s="47">
        <f>Таблица1[[#This Row],[Дата перевода]]-Таблица1[[#This Row],[Дата поступления]]</f>
        <v>4</v>
      </c>
      <c r="W73" s="47">
        <f>Таблица1[[#This Row],[Дата поступления]]-Таблица1[[#This Row],[Дата рождения]]</f>
        <v>6431</v>
      </c>
    </row>
    <row r="74" spans="22:23" ht="24.75" customHeight="1" x14ac:dyDescent="0.25">
      <c r="V74" s="47">
        <f>Таблица1[[#This Row],[Дата перевода]]-Таблица1[[#This Row],[Дата поступления]]</f>
        <v>2</v>
      </c>
      <c r="W74" s="47">
        <f>Таблица1[[#This Row],[Дата поступления]]-Таблица1[[#This Row],[Дата рождения]]</f>
        <v>6092</v>
      </c>
    </row>
    <row r="75" spans="22:23" ht="24.75" customHeight="1" x14ac:dyDescent="0.25">
      <c r="V75" s="47">
        <f>Таблица1[[#This Row],[Дата перевода]]-Таблица1[[#This Row],[Дата поступления]]</f>
        <v>1</v>
      </c>
      <c r="W75" s="47">
        <f>Таблица1[[#This Row],[Дата поступления]]-Таблица1[[#This Row],[Дата рождения]]</f>
        <v>2338</v>
      </c>
    </row>
    <row r="76" spans="22:23" ht="24.75" customHeight="1" x14ac:dyDescent="0.25">
      <c r="V76" s="47">
        <f>Таблица1[[#This Row],[Дата перевода]]-Таблица1[[#This Row],[Дата поступления]]</f>
        <v>1</v>
      </c>
      <c r="W76" s="47">
        <f>Таблица1[[#This Row],[Дата поступления]]-Таблица1[[#This Row],[Дата рождения]]</f>
        <v>4675</v>
      </c>
    </row>
    <row r="77" spans="22:23" ht="24.75" customHeight="1" x14ac:dyDescent="0.25">
      <c r="V77" s="47">
        <f>Таблица1[[#This Row],[Дата перевода]]-Таблица1[[#This Row],[Дата поступления]]</f>
        <v>1</v>
      </c>
      <c r="W77" s="47">
        <f>Таблица1[[#This Row],[Дата поступления]]-Таблица1[[#This Row],[Дата рождения]]</f>
        <v>3353</v>
      </c>
    </row>
    <row r="78" spans="22:23" ht="24.75" customHeight="1" x14ac:dyDescent="0.25">
      <c r="V78" s="47">
        <f>Таблица1[[#This Row],[Дата перевода]]-Таблица1[[#This Row],[Дата поступления]]</f>
        <v>9</v>
      </c>
      <c r="W78" s="47">
        <f>Таблица1[[#This Row],[Дата поступления]]-Таблица1[[#This Row],[Дата рождения]]</f>
        <v>5918</v>
      </c>
    </row>
    <row r="79" spans="22:23" ht="24.75" customHeight="1" x14ac:dyDescent="0.25">
      <c r="V79" s="47">
        <f>Таблица1[[#This Row],[Дата перевода]]-Таблица1[[#This Row],[Дата поступления]]</f>
        <v>9</v>
      </c>
      <c r="W79" s="47">
        <f>Таблица1[[#This Row],[Дата поступления]]-Таблица1[[#This Row],[Дата рождения]]</f>
        <v>541</v>
      </c>
    </row>
    <row r="80" spans="22:23" ht="24.75" customHeight="1" x14ac:dyDescent="0.25">
      <c r="V80" s="47">
        <f>Таблица1[[#This Row],[Дата перевода]]-Таблица1[[#This Row],[Дата поступления]]</f>
        <v>1</v>
      </c>
      <c r="W80" s="47">
        <f>Таблица1[[#This Row],[Дата поступления]]-Таблица1[[#This Row],[Дата рождения]]</f>
        <v>253</v>
      </c>
    </row>
    <row r="81" spans="22:23" ht="24.75" customHeight="1" x14ac:dyDescent="0.25">
      <c r="V81" s="47">
        <f>Таблица1[[#This Row],[Дата перевода]]-Таблица1[[#This Row],[Дата поступления]]</f>
        <v>1</v>
      </c>
      <c r="W81" s="47">
        <f>Таблица1[[#This Row],[Дата поступления]]-Таблица1[[#This Row],[Дата рождения]]</f>
        <v>255</v>
      </c>
    </row>
    <row r="82" spans="22:23" ht="24.75" customHeight="1" x14ac:dyDescent="0.25">
      <c r="V82" s="47">
        <f>Таблица1[[#This Row],[Дата перевода]]-Таблица1[[#This Row],[Дата поступления]]</f>
        <v>1</v>
      </c>
      <c r="W82" s="47">
        <f>Таблица1[[#This Row],[Дата поступления]]-Таблица1[[#This Row],[Дата рождения]]</f>
        <v>257</v>
      </c>
    </row>
    <row r="83" spans="22:23" ht="24.75" customHeight="1" x14ac:dyDescent="0.25">
      <c r="V83" s="47">
        <f>Таблица1[[#This Row],[Дата перевода]]-Таблица1[[#This Row],[Дата поступления]]</f>
        <v>25</v>
      </c>
      <c r="W83" s="47">
        <f>Таблица1[[#This Row],[Дата поступления]]-Таблица1[[#This Row],[Дата рождения]]</f>
        <v>65</v>
      </c>
    </row>
    <row r="84" spans="22:23" ht="24.75" customHeight="1" x14ac:dyDescent="0.25">
      <c r="V84" s="47">
        <f>Таблица1[[#This Row],[Дата перевода]]-Таблица1[[#This Row],[Дата поступления]]</f>
        <v>1</v>
      </c>
      <c r="W84" s="47">
        <f>Таблица1[[#This Row],[Дата поступления]]-Таблица1[[#This Row],[Дата рождения]]</f>
        <v>5536</v>
      </c>
    </row>
    <row r="85" spans="22:23" ht="24.75" customHeight="1" x14ac:dyDescent="0.25">
      <c r="V85" s="47">
        <f>Таблица1[[#This Row],[Дата перевода]]-Таблица1[[#This Row],[Дата поступления]]</f>
        <v>3</v>
      </c>
      <c r="W85" s="47">
        <f>Таблица1[[#This Row],[Дата поступления]]-Таблица1[[#This Row],[Дата рождения]]</f>
        <v>179</v>
      </c>
    </row>
    <row r="86" spans="22:23" ht="24.75" customHeight="1" x14ac:dyDescent="0.25">
      <c r="V86" s="47">
        <f>Таблица1[[#This Row],[Дата перевода]]-Таблица1[[#This Row],[Дата поступления]]</f>
        <v>1</v>
      </c>
      <c r="W86" s="47">
        <f>Таблица1[[#This Row],[Дата поступления]]-Таблица1[[#This Row],[Дата рождения]]</f>
        <v>4324</v>
      </c>
    </row>
    <row r="87" spans="22:23" ht="24.75" customHeight="1" x14ac:dyDescent="0.25">
      <c r="V87" s="47">
        <f>Таблица1[[#This Row],[Дата перевода]]-Таблица1[[#This Row],[Дата поступления]]</f>
        <v>2</v>
      </c>
      <c r="W87" s="47">
        <f>Таблица1[[#This Row],[Дата поступления]]-Таблица1[[#This Row],[Дата рождения]]</f>
        <v>4512</v>
      </c>
    </row>
    <row r="88" spans="22:23" ht="24.75" customHeight="1" x14ac:dyDescent="0.25">
      <c r="V88" s="47">
        <f>Таблица1[[#This Row],[Дата перевода]]-Таблица1[[#This Row],[Дата поступления]]</f>
        <v>1</v>
      </c>
      <c r="W88" s="47">
        <f>Таблица1[[#This Row],[Дата поступления]]-Таблица1[[#This Row],[Дата рождения]]</f>
        <v>5447</v>
      </c>
    </row>
    <row r="89" spans="22:23" ht="24.75" customHeight="1" x14ac:dyDescent="0.25">
      <c r="V89" s="47">
        <f>Таблица1[[#This Row],[Дата перевода]]-Таблица1[[#This Row],[Дата поступления]]</f>
        <v>1</v>
      </c>
      <c r="W89" s="47">
        <f>Таблица1[[#This Row],[Дата поступления]]-Таблица1[[#This Row],[Дата рождения]]</f>
        <v>5729</v>
      </c>
    </row>
    <row r="90" spans="22:23" ht="24.75" customHeight="1" x14ac:dyDescent="0.25">
      <c r="V90" s="47">
        <f>Таблица1[[#This Row],[Дата перевода]]-Таблица1[[#This Row],[Дата поступления]]</f>
        <v>-27</v>
      </c>
      <c r="W90" s="47">
        <f>Таблица1[[#This Row],[Дата поступления]]-Таблица1[[#This Row],[Дата рождения]]</f>
        <v>14</v>
      </c>
    </row>
    <row r="91" spans="22:23" ht="24.75" customHeight="1" x14ac:dyDescent="0.25">
      <c r="V91" s="47">
        <f>Таблица1[[#This Row],[Дата перевода]]-Таблица1[[#This Row],[Дата поступления]]</f>
        <v>1</v>
      </c>
      <c r="W91" s="47">
        <f>Таблица1[[#This Row],[Дата поступления]]-Таблица1[[#This Row],[Дата рождения]]</f>
        <v>5880</v>
      </c>
    </row>
    <row r="92" spans="22:23" ht="24.75" customHeight="1" x14ac:dyDescent="0.25">
      <c r="V92" s="47">
        <f>Таблица1[[#This Row],[Дата перевода]]-Таблица1[[#This Row],[Дата поступления]]</f>
        <v>3</v>
      </c>
      <c r="W92" s="47">
        <f>Таблица1[[#This Row],[Дата поступления]]-Таблица1[[#This Row],[Дата рождения]]</f>
        <v>23</v>
      </c>
    </row>
    <row r="93" spans="22:23" ht="24.75" customHeight="1" x14ac:dyDescent="0.25">
      <c r="V93" s="47">
        <f>Таблица1[[#This Row],[Дата перевода]]-Таблица1[[#This Row],[Дата поступления]]</f>
        <v>1</v>
      </c>
      <c r="W93" s="47">
        <f>Таблица1[[#This Row],[Дата поступления]]-Таблица1[[#This Row],[Дата рождения]]</f>
        <v>655</v>
      </c>
    </row>
    <row r="94" spans="22:23" ht="24.75" customHeight="1" x14ac:dyDescent="0.25">
      <c r="V94" s="47">
        <f>Таблица1[[#This Row],[Дата перевода]]-Таблица1[[#This Row],[Дата поступления]]</f>
        <v>0</v>
      </c>
      <c r="W94" s="47">
        <f>Таблица1[[#This Row],[Дата поступления]]-Таблица1[[#This Row],[Дата рождения]]</f>
        <v>34</v>
      </c>
    </row>
    <row r="95" spans="22:23" ht="24.75" customHeight="1" x14ac:dyDescent="0.25">
      <c r="V95" s="47">
        <f>Таблица1[[#This Row],[Дата перевода]]-Таблица1[[#This Row],[Дата поступления]]</f>
        <v>0</v>
      </c>
      <c r="W95" s="47">
        <f>Таблица1[[#This Row],[Дата поступления]]-Таблица1[[#This Row],[Дата рождения]]</f>
        <v>1299</v>
      </c>
    </row>
    <row r="96" spans="22:23" ht="24.75" customHeight="1" x14ac:dyDescent="0.25">
      <c r="V96" s="47">
        <f>Таблица1[[#This Row],[Дата перевода]]-Таблица1[[#This Row],[Дата поступления]]</f>
        <v>6</v>
      </c>
      <c r="W96" s="47">
        <f>Таблица1[[#This Row],[Дата поступления]]-Таблица1[[#This Row],[Дата рождения]]</f>
        <v>2506</v>
      </c>
    </row>
    <row r="97" spans="22:23" ht="24.75" customHeight="1" x14ac:dyDescent="0.25">
      <c r="V97" s="47">
        <f>Таблица1[[#This Row],[Дата перевода]]-Таблица1[[#This Row],[Дата поступления]]</f>
        <v>5</v>
      </c>
      <c r="W97" s="47">
        <f>Таблица1[[#This Row],[Дата поступления]]-Таблица1[[#This Row],[Дата рождения]]</f>
        <v>5402</v>
      </c>
    </row>
    <row r="98" spans="22:23" ht="24.75" customHeight="1" x14ac:dyDescent="0.25">
      <c r="V98" s="47">
        <f>Таблица1[[#This Row],[Дата перевода]]-Таблица1[[#This Row],[Дата поступления]]</f>
        <v>9</v>
      </c>
      <c r="W98" s="47">
        <f>Таблица1[[#This Row],[Дата поступления]]-Таблица1[[#This Row],[Дата рождения]]</f>
        <v>5443</v>
      </c>
    </row>
    <row r="99" spans="22:23" ht="24.75" customHeight="1" x14ac:dyDescent="0.25">
      <c r="V99" s="47">
        <f>Таблица1[[#This Row],[Дата перевода]]-Таблица1[[#This Row],[Дата поступления]]</f>
        <v>6</v>
      </c>
      <c r="W99" s="47">
        <f>Таблица1[[#This Row],[Дата поступления]]-Таблица1[[#This Row],[Дата рождения]]</f>
        <v>4194</v>
      </c>
    </row>
    <row r="100" spans="22:23" ht="24.75" customHeight="1" x14ac:dyDescent="0.25">
      <c r="V100" s="47">
        <f>Таблица1[[#This Row],[Дата перевода]]-Таблица1[[#This Row],[Дата поступления]]</f>
        <v>3</v>
      </c>
      <c r="W100" s="47">
        <f>Таблица1[[#This Row],[Дата поступления]]-Таблица1[[#This Row],[Дата рождения]]</f>
        <v>2141</v>
      </c>
    </row>
    <row r="101" spans="22:23" ht="24.75" customHeight="1" x14ac:dyDescent="0.25">
      <c r="V101" s="47">
        <f>Таблица1[[#This Row],[Дата перевода]]-Таблица1[[#This Row],[Дата поступления]]</f>
        <v>3</v>
      </c>
      <c r="W101" s="47">
        <f>Таблица1[[#This Row],[Дата поступления]]-Таблица1[[#This Row],[Дата рождения]]</f>
        <v>477</v>
      </c>
    </row>
    <row r="102" spans="22:23" ht="24.75" customHeight="1" x14ac:dyDescent="0.25">
      <c r="V102" s="47">
        <f>Таблица1[[#This Row],[Дата перевода]]-Таблица1[[#This Row],[Дата поступления]]</f>
        <v>1</v>
      </c>
      <c r="W102" s="47">
        <f>Таблица1[[#This Row],[Дата поступления]]-Таблица1[[#This Row],[Дата рождения]]</f>
        <v>841</v>
      </c>
    </row>
    <row r="103" spans="22:23" ht="24.75" customHeight="1" x14ac:dyDescent="0.25">
      <c r="V103" s="47">
        <f>Таблица1[[#This Row],[Дата перевода]]-Таблица1[[#This Row],[Дата поступления]]</f>
        <v>2</v>
      </c>
      <c r="W103" s="47">
        <f>Таблица1[[#This Row],[Дата поступления]]-Таблица1[[#This Row],[Дата рождения]]</f>
        <v>3006</v>
      </c>
    </row>
    <row r="104" spans="22:23" ht="24.75" customHeight="1" x14ac:dyDescent="0.25">
      <c r="V104" s="47">
        <f>Таблица1[[#This Row],[Дата перевода]]-Таблица1[[#This Row],[Дата поступления]]</f>
        <v>2</v>
      </c>
      <c r="W104" s="47">
        <f>Таблица1[[#This Row],[Дата поступления]]-Таблица1[[#This Row],[Дата рождения]]</f>
        <v>313</v>
      </c>
    </row>
    <row r="105" spans="22:23" ht="24.75" customHeight="1" x14ac:dyDescent="0.25">
      <c r="V105" s="47">
        <f>Таблица1[[#This Row],[Дата перевода]]-Таблица1[[#This Row],[Дата поступления]]</f>
        <v>5</v>
      </c>
      <c r="W105" s="47">
        <f>Таблица1[[#This Row],[Дата поступления]]-Таблица1[[#This Row],[Дата рождения]]</f>
        <v>6120</v>
      </c>
    </row>
    <row r="106" spans="22:23" ht="24.75" customHeight="1" x14ac:dyDescent="0.25">
      <c r="V106" s="47">
        <f>Таблица1[[#This Row],[Дата перевода]]-Таблица1[[#This Row],[Дата поступления]]</f>
        <v>2</v>
      </c>
      <c r="W106" s="47">
        <f>Таблица1[[#This Row],[Дата поступления]]-Таблица1[[#This Row],[Дата рождения]]</f>
        <v>5747</v>
      </c>
    </row>
    <row r="107" spans="22:23" ht="24.75" customHeight="1" x14ac:dyDescent="0.25">
      <c r="V107" s="47">
        <f>Таблица1[[#This Row],[Дата перевода]]-Таблица1[[#This Row],[Дата поступления]]</f>
        <v>10</v>
      </c>
      <c r="W107" s="47">
        <f>Таблица1[[#This Row],[Дата поступления]]-Таблица1[[#This Row],[Дата рождения]]</f>
        <v>2097</v>
      </c>
    </row>
    <row r="108" spans="22:23" ht="24.75" customHeight="1" x14ac:dyDescent="0.25">
      <c r="V108" s="47">
        <f>Таблица1[[#This Row],[Дата перевода]]-Таблица1[[#This Row],[Дата поступления]]</f>
        <v>1</v>
      </c>
      <c r="W108" s="47">
        <f>Таблица1[[#This Row],[Дата поступления]]-Таблица1[[#This Row],[Дата рождения]]</f>
        <v>5261</v>
      </c>
    </row>
    <row r="109" spans="22:23" ht="24.75" customHeight="1" x14ac:dyDescent="0.25">
      <c r="V109" s="47">
        <f>Таблица1[[#This Row],[Дата перевода]]-Таблица1[[#This Row],[Дата поступления]]</f>
        <v>2</v>
      </c>
      <c r="W109" s="47">
        <f>Таблица1[[#This Row],[Дата поступления]]-Таблица1[[#This Row],[Дата рождения]]</f>
        <v>4582</v>
      </c>
    </row>
    <row r="110" spans="22:23" ht="24.75" customHeight="1" x14ac:dyDescent="0.25">
      <c r="V110" s="47">
        <f>Таблица1[[#This Row],[Дата перевода]]-Таблица1[[#This Row],[Дата поступления]]</f>
        <v>0</v>
      </c>
      <c r="W110" s="47">
        <f>Таблица1[[#This Row],[Дата поступления]]-Таблица1[[#This Row],[Дата рождения]]</f>
        <v>4448</v>
      </c>
    </row>
    <row r="111" spans="22:23" ht="24.75" customHeight="1" x14ac:dyDescent="0.25">
      <c r="V111" s="47">
        <f>Таблица1[[#This Row],[Дата перевода]]-Таблица1[[#This Row],[Дата поступления]]</f>
        <v>1</v>
      </c>
      <c r="W111" s="47">
        <f>Таблица1[[#This Row],[Дата поступления]]-Таблица1[[#This Row],[Дата рождения]]</f>
        <v>309</v>
      </c>
    </row>
    <row r="112" spans="22:23" ht="24.75" customHeight="1" x14ac:dyDescent="0.25">
      <c r="V112" s="47">
        <f>Таблица1[[#This Row],[Дата перевода]]-Таблица1[[#This Row],[Дата поступления]]</f>
        <v>8</v>
      </c>
      <c r="W112" s="47">
        <f>Таблица1[[#This Row],[Дата поступления]]-Таблица1[[#This Row],[Дата рождения]]</f>
        <v>1</v>
      </c>
    </row>
    <row r="113" spans="22:23" ht="24.75" customHeight="1" x14ac:dyDescent="0.25">
      <c r="V113" s="47">
        <f>Таблица1[[#This Row],[Дата перевода]]-Таблица1[[#This Row],[Дата поступления]]</f>
        <v>7</v>
      </c>
      <c r="W113" s="47">
        <f>Таблица1[[#This Row],[Дата поступления]]-Таблица1[[#This Row],[Дата рождения]]</f>
        <v>5641</v>
      </c>
    </row>
    <row r="114" spans="22:23" ht="24.75" customHeight="1" x14ac:dyDescent="0.25">
      <c r="V114" s="47">
        <f>Таблица1[[#This Row],[Дата перевода]]-Таблица1[[#This Row],[Дата поступления]]</f>
        <v>2</v>
      </c>
      <c r="W114" s="47">
        <f>Таблица1[[#This Row],[Дата поступления]]-Таблица1[[#This Row],[Дата рождения]]</f>
        <v>5859</v>
      </c>
    </row>
    <row r="115" spans="22:23" ht="24.75" customHeight="1" x14ac:dyDescent="0.25">
      <c r="V115" s="47">
        <f>Таблица1[[#This Row],[Дата перевода]]-Таблица1[[#This Row],[Дата поступления]]</f>
        <v>1</v>
      </c>
      <c r="W115" s="47">
        <f>Таблица1[[#This Row],[Дата поступления]]-Таблица1[[#This Row],[Дата рождения]]</f>
        <v>6283</v>
      </c>
    </row>
    <row r="116" spans="22:23" ht="24.75" customHeight="1" x14ac:dyDescent="0.25">
      <c r="V116" s="47">
        <f>Таблица1[[#This Row],[Дата перевода]]-Таблица1[[#This Row],[Дата поступления]]</f>
        <v>2</v>
      </c>
      <c r="W116" s="47">
        <f>Таблица1[[#This Row],[Дата поступления]]-Таблица1[[#This Row],[Дата рождения]]</f>
        <v>4586</v>
      </c>
    </row>
    <row r="117" spans="22:23" ht="24.75" customHeight="1" x14ac:dyDescent="0.25">
      <c r="V117" s="47">
        <f>Таблица1[[#This Row],[Дата перевода]]-Таблица1[[#This Row],[Дата поступления]]</f>
        <v>7</v>
      </c>
      <c r="W117" s="47">
        <f>Таблица1[[#This Row],[Дата поступления]]-Таблица1[[#This Row],[Дата рождения]]</f>
        <v>318</v>
      </c>
    </row>
    <row r="118" spans="22:23" ht="24.75" customHeight="1" x14ac:dyDescent="0.25">
      <c r="V118" s="47">
        <f>Таблица1[[#This Row],[Дата перевода]]-Таблица1[[#This Row],[Дата поступления]]</f>
        <v>0</v>
      </c>
      <c r="W118" s="47">
        <f>Таблица1[[#This Row],[Дата поступления]]-Таблица1[[#This Row],[Дата рождения]]</f>
        <v>438</v>
      </c>
    </row>
    <row r="119" spans="22:23" ht="24.75" customHeight="1" x14ac:dyDescent="0.25">
      <c r="V119" s="47">
        <f>Таблица1[[#This Row],[Дата перевода]]-Таблица1[[#This Row],[Дата поступления]]</f>
        <v>1</v>
      </c>
      <c r="W119" s="47">
        <f>Таблица1[[#This Row],[Дата поступления]]-Таблица1[[#This Row],[Дата рождения]]</f>
        <v>5268</v>
      </c>
    </row>
    <row r="120" spans="22:23" ht="24.75" customHeight="1" x14ac:dyDescent="0.25">
      <c r="V120" s="47">
        <f>Таблица1[[#This Row],[Дата перевода]]-Таблица1[[#This Row],[Дата поступления]]</f>
        <v>0</v>
      </c>
      <c r="W120" s="47">
        <f>Таблица1[[#This Row],[Дата поступления]]-Таблица1[[#This Row],[Дата рождения]]</f>
        <v>6799</v>
      </c>
    </row>
    <row r="121" spans="22:23" ht="24.75" customHeight="1" x14ac:dyDescent="0.25">
      <c r="V121" s="47">
        <f>Таблица1[[#This Row],[Дата перевода]]-Таблица1[[#This Row],[Дата поступления]]</f>
        <v>1</v>
      </c>
      <c r="W121" s="47">
        <f>Таблица1[[#This Row],[Дата поступления]]-Таблица1[[#This Row],[Дата рождения]]</f>
        <v>5862</v>
      </c>
    </row>
    <row r="122" spans="22:23" ht="24.75" customHeight="1" x14ac:dyDescent="0.25">
      <c r="V122" s="47">
        <f>Таблица1[[#This Row],[Дата перевода]]-Таблица1[[#This Row],[Дата поступления]]</f>
        <v>4</v>
      </c>
      <c r="W122" s="47">
        <f>Таблица1[[#This Row],[Дата поступления]]-Таблица1[[#This Row],[Дата рождения]]</f>
        <v>1003</v>
      </c>
    </row>
    <row r="123" spans="22:23" ht="24.75" customHeight="1" x14ac:dyDescent="0.25">
      <c r="V123" s="47">
        <f>Таблица1[[#This Row],[Дата перевода]]-Таблица1[[#This Row],[Дата поступления]]</f>
        <v>3</v>
      </c>
      <c r="W123" s="47">
        <f>Таблица1[[#This Row],[Дата поступления]]-Таблица1[[#This Row],[Дата рождения]]</f>
        <v>30</v>
      </c>
    </row>
    <row r="124" spans="22:23" ht="24.75" customHeight="1" x14ac:dyDescent="0.25">
      <c r="V124" s="47">
        <f>Таблица1[[#This Row],[Дата перевода]]-Таблица1[[#This Row],[Дата поступления]]</f>
        <v>1</v>
      </c>
      <c r="W124" s="47">
        <f>Таблица1[[#This Row],[Дата поступления]]-Таблица1[[#This Row],[Дата рождения]]</f>
        <v>945</v>
      </c>
    </row>
    <row r="125" spans="22:23" ht="24.75" customHeight="1" x14ac:dyDescent="0.25">
      <c r="V125" s="47">
        <f>Таблица1[[#This Row],[Дата перевода]]-Таблица1[[#This Row],[Дата поступления]]</f>
        <v>1</v>
      </c>
      <c r="W125" s="47">
        <f>Таблица1[[#This Row],[Дата поступления]]-Таблица1[[#This Row],[Дата рождения]]</f>
        <v>79</v>
      </c>
    </row>
    <row r="126" spans="22:23" ht="24.75" customHeight="1" x14ac:dyDescent="0.25">
      <c r="V126" s="47">
        <f>Таблица1[[#This Row],[Дата перевода]]-Таблица1[[#This Row],[Дата поступления]]</f>
        <v>1</v>
      </c>
      <c r="W126" s="47">
        <f>Таблица1[[#This Row],[Дата поступления]]-Таблица1[[#This Row],[Дата рождения]]</f>
        <v>37</v>
      </c>
    </row>
    <row r="127" spans="22:23" ht="24.75" customHeight="1" x14ac:dyDescent="0.25">
      <c r="V127" s="47">
        <f>Таблица1[[#This Row],[Дата перевода]]-Таблица1[[#This Row],[Дата поступления]]</f>
        <v>30</v>
      </c>
      <c r="W127" s="47">
        <f>Таблица1[[#This Row],[Дата поступления]]-Таблица1[[#This Row],[Дата рождения]]</f>
        <v>440</v>
      </c>
    </row>
    <row r="128" spans="22:23" ht="24.75" customHeight="1" x14ac:dyDescent="0.25">
      <c r="V128" s="47">
        <f>Таблица1[[#This Row],[Дата перевода]]-Таблица1[[#This Row],[Дата поступления]]</f>
        <v>21</v>
      </c>
      <c r="W128" s="47">
        <f>Таблица1[[#This Row],[Дата поступления]]-Таблица1[[#This Row],[Дата рождения]]</f>
        <v>2108</v>
      </c>
    </row>
    <row r="129" spans="22:23" ht="24.75" customHeight="1" x14ac:dyDescent="0.25">
      <c r="V129" s="47">
        <f>Таблица1[[#This Row],[Дата перевода]]-Таблица1[[#This Row],[Дата поступления]]</f>
        <v>3</v>
      </c>
      <c r="W129" s="47">
        <f>Таблица1[[#This Row],[Дата поступления]]-Таблица1[[#This Row],[Дата рождения]]</f>
        <v>376</v>
      </c>
    </row>
    <row r="130" spans="22:23" ht="24.75" customHeight="1" x14ac:dyDescent="0.25">
      <c r="V130" s="47">
        <f>Таблица1[[#This Row],[Дата перевода]]-Таблица1[[#This Row],[Дата поступления]]</f>
        <v>19</v>
      </c>
      <c r="W130" s="47">
        <f>Таблица1[[#This Row],[Дата поступления]]-Таблица1[[#This Row],[Дата рождения]]</f>
        <v>5440</v>
      </c>
    </row>
    <row r="131" spans="22:23" ht="24.75" customHeight="1" x14ac:dyDescent="0.25">
      <c r="V131" s="47">
        <f>Таблица1[[#This Row],[Дата перевода]]-Таблица1[[#This Row],[Дата поступления]]</f>
        <v>1</v>
      </c>
      <c r="W131" s="47">
        <f>Таблица1[[#This Row],[Дата поступления]]-Таблица1[[#This Row],[Дата рождения]]</f>
        <v>3073</v>
      </c>
    </row>
    <row r="132" spans="22:23" ht="24.75" customHeight="1" x14ac:dyDescent="0.25">
      <c r="V132" s="47">
        <f>Таблица1[[#This Row],[Дата перевода]]-Таблица1[[#This Row],[Дата поступления]]</f>
        <v>1</v>
      </c>
      <c r="W132" s="47">
        <f>Таблица1[[#This Row],[Дата поступления]]-Таблица1[[#This Row],[Дата рождения]]</f>
        <v>5668</v>
      </c>
    </row>
    <row r="133" spans="22:23" ht="24.75" customHeight="1" x14ac:dyDescent="0.25">
      <c r="V133" s="47">
        <f>Таблица1[[#This Row],[Дата перевода]]-Таблица1[[#This Row],[Дата поступления]]</f>
        <v>1</v>
      </c>
      <c r="W133" s="47">
        <f>Таблица1[[#This Row],[Дата поступления]]-Таблица1[[#This Row],[Дата рождения]]</f>
        <v>3127</v>
      </c>
    </row>
    <row r="134" spans="22:23" ht="24.75" customHeight="1" x14ac:dyDescent="0.25">
      <c r="V134" s="47">
        <f>Таблица1[[#This Row],[Дата перевода]]-Таблица1[[#This Row],[Дата поступления]]</f>
        <v>0</v>
      </c>
      <c r="W134" s="47">
        <f>Таблица1[[#This Row],[Дата поступления]]-Таблица1[[#This Row],[Дата рождения]]</f>
        <v>5753</v>
      </c>
    </row>
    <row r="135" spans="22:23" ht="24.75" customHeight="1" x14ac:dyDescent="0.25">
      <c r="V135" s="47">
        <f>Таблица1[[#This Row],[Дата перевода]]-Таблица1[[#This Row],[Дата поступления]]</f>
        <v>4</v>
      </c>
      <c r="W135" s="47">
        <f>Таблица1[[#This Row],[Дата поступления]]-Таблица1[[#This Row],[Дата рождения]]</f>
        <v>1203</v>
      </c>
    </row>
    <row r="136" spans="22:23" ht="24.75" customHeight="1" x14ac:dyDescent="0.25">
      <c r="V136" s="47">
        <f>Таблица1[[#This Row],[Дата перевода]]-Таблица1[[#This Row],[Дата поступления]]</f>
        <v>2</v>
      </c>
      <c r="W136" s="47">
        <f>Таблица1[[#This Row],[Дата поступления]]-Таблица1[[#This Row],[Дата рождения]]</f>
        <v>5994</v>
      </c>
    </row>
    <row r="137" spans="22:23" ht="24.75" customHeight="1" x14ac:dyDescent="0.25">
      <c r="V137" s="47">
        <f>Таблица1[[#This Row],[Дата перевода]]-Таблица1[[#This Row],[Дата поступления]]</f>
        <v>2</v>
      </c>
      <c r="W137" s="47">
        <f>Таблица1[[#This Row],[Дата поступления]]-Таблица1[[#This Row],[Дата рождения]]</f>
        <v>6389</v>
      </c>
    </row>
    <row r="138" spans="22:23" ht="24.75" customHeight="1" x14ac:dyDescent="0.25">
      <c r="V138" s="47">
        <f>Таблица1[[#This Row],[Дата перевода]]-Таблица1[[#This Row],[Дата поступления]]</f>
        <v>6</v>
      </c>
      <c r="W138" s="47">
        <f>Таблица1[[#This Row],[Дата поступления]]-Таблица1[[#This Row],[Дата рождения]]</f>
        <v>5124</v>
      </c>
    </row>
    <row r="139" spans="22:23" ht="24.75" customHeight="1" x14ac:dyDescent="0.25">
      <c r="V139" s="47">
        <f>Таблица1[[#This Row],[Дата перевода]]-Таблица1[[#This Row],[Дата поступления]]</f>
        <v>4</v>
      </c>
      <c r="W139" s="47">
        <f>Таблица1[[#This Row],[Дата поступления]]-Таблица1[[#This Row],[Дата рождения]]</f>
        <v>394</v>
      </c>
    </row>
    <row r="140" spans="22:23" ht="24.75" customHeight="1" x14ac:dyDescent="0.25">
      <c r="V140" s="47">
        <f>Таблица1[[#This Row],[Дата перевода]]-Таблица1[[#This Row],[Дата поступления]]</f>
        <v>7</v>
      </c>
      <c r="W140" s="47">
        <f>Таблица1[[#This Row],[Дата поступления]]-Таблица1[[#This Row],[Дата рождения]]</f>
        <v>408</v>
      </c>
    </row>
    <row r="141" spans="22:23" ht="24.75" customHeight="1" x14ac:dyDescent="0.25">
      <c r="V141" s="47">
        <f>Таблица1[[#This Row],[Дата перевода]]-Таблица1[[#This Row],[Дата поступления]]</f>
        <v>4</v>
      </c>
      <c r="W141" s="47">
        <f>Таблица1[[#This Row],[Дата поступления]]-Таблица1[[#This Row],[Дата рождения]]</f>
        <v>5307</v>
      </c>
    </row>
    <row r="142" spans="22:23" ht="24.75" customHeight="1" x14ac:dyDescent="0.25">
      <c r="V142" s="47">
        <f>Таблица1[[#This Row],[Дата перевода]]-Таблица1[[#This Row],[Дата поступления]]</f>
        <v>3</v>
      </c>
      <c r="W142" s="47">
        <f>Таблица1[[#This Row],[Дата поступления]]-Таблица1[[#This Row],[Дата рождения]]</f>
        <v>1371</v>
      </c>
    </row>
    <row r="143" spans="22:23" ht="24.75" customHeight="1" x14ac:dyDescent="0.25">
      <c r="V143" s="47">
        <f>Таблица1[[#This Row],[Дата перевода]]-Таблица1[[#This Row],[Дата поступления]]</f>
        <v>1</v>
      </c>
      <c r="W143" s="47">
        <f>Таблица1[[#This Row],[Дата поступления]]-Таблица1[[#This Row],[Дата рождения]]</f>
        <v>5691</v>
      </c>
    </row>
    <row r="144" spans="22:23" ht="24.75" customHeight="1" x14ac:dyDescent="0.25">
      <c r="V144" s="47">
        <f>Таблица1[[#This Row],[Дата перевода]]-Таблица1[[#This Row],[Дата поступления]]</f>
        <v>0</v>
      </c>
      <c r="W144" s="47">
        <f>Таблица1[[#This Row],[Дата поступления]]-Таблица1[[#This Row],[Дата рождения]]</f>
        <v>203</v>
      </c>
    </row>
    <row r="145" spans="22:23" ht="24.75" customHeight="1" x14ac:dyDescent="0.25">
      <c r="V145" s="47">
        <f>Таблица1[[#This Row],[Дата перевода]]-Таблица1[[#This Row],[Дата поступления]]</f>
        <v>1</v>
      </c>
      <c r="W145" s="47">
        <f>Таблица1[[#This Row],[Дата поступления]]-Таблица1[[#This Row],[Дата рождения]]</f>
        <v>1041</v>
      </c>
    </row>
    <row r="146" spans="22:23" ht="24.75" customHeight="1" x14ac:dyDescent="0.25">
      <c r="V146" s="47">
        <f>Таблица1[[#This Row],[Дата перевода]]-Таблица1[[#This Row],[Дата поступления]]</f>
        <v>-21</v>
      </c>
      <c r="W146" s="47">
        <f>Таблица1[[#This Row],[Дата поступления]]-Таблица1[[#This Row],[Дата рождения]]</f>
        <v>42</v>
      </c>
    </row>
    <row r="147" spans="22:23" ht="24.75" customHeight="1" x14ac:dyDescent="0.25">
      <c r="V147" s="47">
        <f>Таблица1[[#This Row],[Дата перевода]]-Таблица1[[#This Row],[Дата поступления]]</f>
        <v>0</v>
      </c>
      <c r="W147" s="47">
        <f>Таблица1[[#This Row],[Дата поступления]]-Таблица1[[#This Row],[Дата рождения]]</f>
        <v>4134</v>
      </c>
    </row>
    <row r="148" spans="22:23" ht="24.75" customHeight="1" x14ac:dyDescent="0.25">
      <c r="V148" s="47">
        <f>Таблица1[[#This Row],[Дата перевода]]-Таблица1[[#This Row],[Дата поступления]]</f>
        <v>4</v>
      </c>
      <c r="W148" s="47">
        <f>Таблица1[[#This Row],[Дата поступления]]-Таблица1[[#This Row],[Дата рождения]]</f>
        <v>5315</v>
      </c>
    </row>
    <row r="149" spans="22:23" ht="24.75" customHeight="1" x14ac:dyDescent="0.25">
      <c r="V149" s="47">
        <f>Таблица1[[#This Row],[Дата перевода]]-Таблица1[[#This Row],[Дата поступления]]</f>
        <v>7</v>
      </c>
      <c r="W149" s="68">
        <f>Таблица1[[#This Row],[Дата поступления]]-Таблица1[[#This Row],[Дата рождения]]</f>
        <v>45781</v>
      </c>
    </row>
    <row r="150" spans="22:23" ht="24.75" customHeight="1" x14ac:dyDescent="0.25">
      <c r="V150" s="47">
        <f>Таблица1[[#This Row],[Дата перевода]]-Таблица1[[#This Row],[Дата поступления]]</f>
        <v>4</v>
      </c>
      <c r="W150" s="47">
        <f>Таблица1[[#This Row],[Дата поступления]]-Таблица1[[#This Row],[Дата рождения]]</f>
        <v>5671</v>
      </c>
    </row>
    <row r="151" spans="22:23" ht="24.75" customHeight="1" x14ac:dyDescent="0.25">
      <c r="V151" s="47">
        <f>Таблица1[[#This Row],[Дата перевода]]-Таблица1[[#This Row],[Дата поступления]]</f>
        <v>1</v>
      </c>
      <c r="W151" s="68">
        <f>Таблица1[[#This Row],[Дата поступления]]-Таблица1[[#This Row],[Дата рождения]]</f>
        <v>45784</v>
      </c>
    </row>
    <row r="152" spans="22:23" ht="24.75" customHeight="1" x14ac:dyDescent="0.25">
      <c r="V152" s="47">
        <f>Таблица1[[#This Row],[Дата перевода]]-Таблица1[[#This Row],[Дата поступления]]</f>
        <v>10</v>
      </c>
      <c r="W152" s="47">
        <f>Таблица1[[#This Row],[Дата поступления]]-Таблица1[[#This Row],[Дата рождения]]</f>
        <v>3253</v>
      </c>
    </row>
    <row r="153" spans="22:23" ht="24.75" customHeight="1" x14ac:dyDescent="0.25">
      <c r="V153" s="47">
        <f>Таблица1[[#This Row],[Дата перевода]]-Таблица1[[#This Row],[Дата поступления]]</f>
        <v>1</v>
      </c>
      <c r="W153" s="47">
        <f>Таблица1[[#This Row],[Дата поступления]]-Таблица1[[#This Row],[Дата рождения]]</f>
        <v>6196</v>
      </c>
    </row>
    <row r="154" spans="22:23" ht="24.75" customHeight="1" x14ac:dyDescent="0.25">
      <c r="V154" s="47">
        <f>Таблица1[[#This Row],[Дата перевода]]-Таблица1[[#This Row],[Дата поступления]]</f>
        <v>2</v>
      </c>
      <c r="W154" s="47">
        <f>Таблица1[[#This Row],[Дата поступления]]-Таблица1[[#This Row],[Дата рождения]]</f>
        <v>-32</v>
      </c>
    </row>
    <row r="155" spans="22:23" ht="24.75" customHeight="1" x14ac:dyDescent="0.25">
      <c r="V155" s="47">
        <f>Таблица1[[#This Row],[Дата перевода]]-Таблица1[[#This Row],[Дата поступления]]</f>
        <v>1</v>
      </c>
      <c r="W155" s="47">
        <f>Таблица1[[#This Row],[Дата поступления]]-Таблица1[[#This Row],[Дата рождения]]</f>
        <v>640</v>
      </c>
    </row>
    <row r="156" spans="22:23" ht="24.75" customHeight="1" x14ac:dyDescent="0.25">
      <c r="V156" s="47">
        <f>Таблица1[[#This Row],[Дата перевода]]-Таблица1[[#This Row],[Дата поступления]]</f>
        <v>11</v>
      </c>
      <c r="W156" s="47">
        <f>Таблица1[[#This Row],[Дата поступления]]-Таблица1[[#This Row],[Дата рождения]]</f>
        <v>4571</v>
      </c>
    </row>
    <row r="157" spans="22:23" ht="24.75" customHeight="1" x14ac:dyDescent="0.25">
      <c r="V157" s="47">
        <f>Таблица1[[#This Row],[Дата перевода]]-Таблица1[[#This Row],[Дата поступления]]</f>
        <v>3</v>
      </c>
      <c r="W157" s="47">
        <f>Таблица1[[#This Row],[Дата поступления]]-Таблица1[[#This Row],[Дата рождения]]</f>
        <v>6094</v>
      </c>
    </row>
    <row r="158" spans="22:23" ht="24.75" customHeight="1" x14ac:dyDescent="0.25">
      <c r="V158" s="47">
        <f>Таблица1[[#This Row],[Дата перевода]]-Таблица1[[#This Row],[Дата поступления]]</f>
        <v>1</v>
      </c>
      <c r="W158" s="47">
        <f>Таблица1[[#This Row],[Дата поступления]]-Таблица1[[#This Row],[Дата рождения]]</f>
        <v>6404</v>
      </c>
    </row>
    <row r="159" spans="22:23" ht="24.75" customHeight="1" x14ac:dyDescent="0.25">
      <c r="V159" s="47">
        <f>Таблица1[[#This Row],[Дата перевода]]-Таблица1[[#This Row],[Дата поступления]]</f>
        <v>6</v>
      </c>
      <c r="W159" s="47">
        <f>Таблица1[[#This Row],[Дата поступления]]-Таблица1[[#This Row],[Дата рождения]]</f>
        <v>43</v>
      </c>
    </row>
    <row r="160" spans="22:23" ht="24.75" customHeight="1" x14ac:dyDescent="0.25">
      <c r="V160" s="47">
        <f>Таблица1[[#This Row],[Дата перевода]]-Таблица1[[#This Row],[Дата поступления]]</f>
        <v>0</v>
      </c>
      <c r="W160" s="47">
        <f>Таблица1[[#This Row],[Дата поступления]]-Таблица1[[#This Row],[Дата рождения]]</f>
        <v>3264</v>
      </c>
    </row>
    <row r="161" spans="22:23" ht="24.75" customHeight="1" x14ac:dyDescent="0.25">
      <c r="V161" s="47">
        <f>Таблица1[[#This Row],[Дата перевода]]-Таблица1[[#This Row],[Дата поступления]]</f>
        <v>0</v>
      </c>
      <c r="W161" s="47">
        <f>Таблица1[[#This Row],[Дата поступления]]-Таблица1[[#This Row],[Дата рождения]]</f>
        <v>70</v>
      </c>
    </row>
    <row r="162" spans="22:23" ht="24.75" customHeight="1" x14ac:dyDescent="0.25">
      <c r="V162" s="47">
        <f>Таблица1[[#This Row],[Дата перевода]]-Таблица1[[#This Row],[Дата поступления]]</f>
        <v>0</v>
      </c>
      <c r="W162" s="47">
        <f>Таблица1[[#This Row],[Дата поступления]]-Таблица1[[#This Row],[Дата рождения]]</f>
        <v>473</v>
      </c>
    </row>
    <row r="163" spans="22:23" ht="24.75" customHeight="1" x14ac:dyDescent="0.25">
      <c r="V163" s="47">
        <f>Таблица1[[#This Row],[Дата перевода]]-Таблица1[[#This Row],[Дата поступления]]</f>
        <v>4</v>
      </c>
      <c r="W163" s="47">
        <f>Таблица1[[#This Row],[Дата поступления]]-Таблица1[[#This Row],[Дата рождения]]</f>
        <v>419</v>
      </c>
    </row>
    <row r="164" spans="22:23" ht="24.75" customHeight="1" x14ac:dyDescent="0.25">
      <c r="V164" s="47">
        <f>Таблица1[[#This Row],[Дата перевода]]-Таблица1[[#This Row],[Дата поступления]]</f>
        <v>1</v>
      </c>
      <c r="W164" s="47">
        <f>Таблица1[[#This Row],[Дата поступления]]-Таблица1[[#This Row],[Дата рождения]]</f>
        <v>2426</v>
      </c>
    </row>
    <row r="165" spans="22:23" ht="24.75" customHeight="1" x14ac:dyDescent="0.25">
      <c r="V165" s="47">
        <f>Таблица1[[#This Row],[Дата перевода]]-Таблица1[[#This Row],[Дата поступления]]</f>
        <v>1</v>
      </c>
      <c r="W165" s="47">
        <f>Таблица1[[#This Row],[Дата поступления]]-Таблица1[[#This Row],[Дата рождения]]</f>
        <v>1126</v>
      </c>
    </row>
    <row r="166" spans="22:23" ht="24.75" customHeight="1" x14ac:dyDescent="0.25">
      <c r="V166" s="47">
        <f>Таблица1[[#This Row],[Дата перевода]]-Таблица1[[#This Row],[Дата поступления]]</f>
        <v>1</v>
      </c>
      <c r="W166" s="47">
        <f>Таблица1[[#This Row],[Дата поступления]]-Таблица1[[#This Row],[Дата рождения]]</f>
        <v>4828</v>
      </c>
    </row>
    <row r="167" spans="22:23" ht="24.75" customHeight="1" x14ac:dyDescent="0.25">
      <c r="V167" s="47">
        <f>Таблица1[[#This Row],[Дата перевода]]-Таблица1[[#This Row],[Дата поступления]]</f>
        <v>1</v>
      </c>
      <c r="W167" s="47">
        <f>Таблица1[[#This Row],[Дата поступления]]-Таблица1[[#This Row],[Дата рождения]]</f>
        <v>2057</v>
      </c>
    </row>
    <row r="168" spans="22:23" ht="24.75" customHeight="1" x14ac:dyDescent="0.25">
      <c r="V168" s="47">
        <f>Таблица1[[#This Row],[Дата перевода]]-Таблица1[[#This Row],[Дата поступления]]</f>
        <v>4</v>
      </c>
      <c r="W168" s="47">
        <f>Таблица1[[#This Row],[Дата поступления]]-Таблица1[[#This Row],[Дата рождения]]</f>
        <v>5403</v>
      </c>
    </row>
    <row r="169" spans="22:23" ht="24.75" customHeight="1" x14ac:dyDescent="0.25">
      <c r="V169" s="47">
        <f>Таблица1[[#This Row],[Дата перевода]]-Таблица1[[#This Row],[Дата поступления]]</f>
        <v>1</v>
      </c>
      <c r="W169" s="47">
        <f>Таблица1[[#This Row],[Дата поступления]]-Таблица1[[#This Row],[Дата рождения]]</f>
        <v>3857</v>
      </c>
    </row>
    <row r="170" spans="22:23" ht="24.75" customHeight="1" x14ac:dyDescent="0.25">
      <c r="V170" s="47">
        <f>Таблица1[[#This Row],[Дата перевода]]-Таблица1[[#This Row],[Дата поступления]]</f>
        <v>2</v>
      </c>
      <c r="W170" s="47">
        <f>Таблица1[[#This Row],[Дата поступления]]-Таблица1[[#This Row],[Дата рождения]]</f>
        <v>424</v>
      </c>
    </row>
    <row r="171" spans="22:23" ht="24.75" customHeight="1" x14ac:dyDescent="0.25">
      <c r="V171" s="47">
        <f>Таблица1[[#This Row],[Дата перевода]]-Таблица1[[#This Row],[Дата поступления]]</f>
        <v>1</v>
      </c>
      <c r="W171" s="47">
        <f>Таблица1[[#This Row],[Дата поступления]]-Таблица1[[#This Row],[Дата рождения]]</f>
        <v>2542</v>
      </c>
    </row>
    <row r="172" spans="22:23" ht="24.75" customHeight="1" x14ac:dyDescent="0.25">
      <c r="V172" s="47">
        <f>Таблица1[[#This Row],[Дата перевода]]-Таблица1[[#This Row],[Дата поступления]]</f>
        <v>1</v>
      </c>
      <c r="W172" s="47">
        <f>Таблица1[[#This Row],[Дата поступления]]-Таблица1[[#This Row],[Дата рождения]]</f>
        <v>4318</v>
      </c>
    </row>
    <row r="173" spans="22:23" ht="24.75" customHeight="1" x14ac:dyDescent="0.25">
      <c r="V173" s="47">
        <f>Таблица1[[#This Row],[Дата перевода]]-Таблица1[[#This Row],[Дата поступления]]</f>
        <v>0</v>
      </c>
      <c r="W173" s="47">
        <f>Таблица1[[#This Row],[Дата поступления]]-Таблица1[[#This Row],[Дата рождения]]</f>
        <v>3915</v>
      </c>
    </row>
    <row r="174" spans="22:23" ht="24.75" customHeight="1" x14ac:dyDescent="0.25">
      <c r="V174" s="47">
        <f>Таблица1[[#This Row],[Дата перевода]]-Таблица1[[#This Row],[Дата поступления]]</f>
        <v>1</v>
      </c>
      <c r="W174" s="47">
        <f>Таблица1[[#This Row],[Дата поступления]]-Таблица1[[#This Row],[Дата рождения]]</f>
        <v>5155</v>
      </c>
    </row>
    <row r="175" spans="22:23" ht="24.75" customHeight="1" x14ac:dyDescent="0.25">
      <c r="V175" s="47">
        <f>Таблица1[[#This Row],[Дата перевода]]-Таблица1[[#This Row],[Дата поступления]]</f>
        <v>1</v>
      </c>
      <c r="W175" s="47">
        <f>Таблица1[[#This Row],[Дата поступления]]-Таблица1[[#This Row],[Дата рождения]]</f>
        <v>3862</v>
      </c>
    </row>
    <row r="176" spans="22:23" ht="24.75" customHeight="1" x14ac:dyDescent="0.25">
      <c r="V176" s="47">
        <f>Таблица1[[#This Row],[Дата перевода]]-Таблица1[[#This Row],[Дата поступления]]</f>
        <v>1</v>
      </c>
      <c r="W176" s="47">
        <f>Таблица1[[#This Row],[Дата поступления]]-Таблица1[[#This Row],[Дата рождения]]</f>
        <v>4836</v>
      </c>
    </row>
    <row r="177" spans="22:23" ht="24.75" customHeight="1" x14ac:dyDescent="0.25">
      <c r="V177" s="47">
        <f>Таблица1[[#This Row],[Дата перевода]]-Таблица1[[#This Row],[Дата поступления]]</f>
        <v>1</v>
      </c>
      <c r="W177" s="47">
        <f>Таблица1[[#This Row],[Дата поступления]]-Таблица1[[#This Row],[Дата рождения]]</f>
        <v>3917</v>
      </c>
    </row>
    <row r="178" spans="22:23" ht="24.75" customHeight="1" x14ac:dyDescent="0.25">
      <c r="V178" s="47">
        <f>Таблица1[[#This Row],[Дата перевода]]-Таблица1[[#This Row],[Дата поступления]]</f>
        <v>1</v>
      </c>
      <c r="W178" s="47">
        <f>Таблица1[[#This Row],[Дата поступления]]-Таблица1[[#This Row],[Дата рождения]]</f>
        <v>-99</v>
      </c>
    </row>
    <row r="179" spans="22:23" ht="24.75" customHeight="1" x14ac:dyDescent="0.25">
      <c r="V179" s="47">
        <f>Таблица1[[#This Row],[Дата перевода]]-Таблица1[[#This Row],[Дата поступления]]</f>
        <v>1</v>
      </c>
      <c r="W179" s="47">
        <f>Таблица1[[#This Row],[Дата поступления]]-Таблица1[[#This Row],[Дата рождения]]</f>
        <v>5710</v>
      </c>
    </row>
    <row r="180" spans="22:23" ht="24.75" customHeight="1" x14ac:dyDescent="0.25">
      <c r="V180" s="47">
        <f>Таблица1[[#This Row],[Дата перевода]]-Таблица1[[#This Row],[Дата поступления]]</f>
        <v>2</v>
      </c>
      <c r="W180" s="47">
        <f>Таблица1[[#This Row],[Дата поступления]]-Таблица1[[#This Row],[Дата рождения]]</f>
        <v>3289</v>
      </c>
    </row>
    <row r="181" spans="22:23" ht="24.75" customHeight="1" x14ac:dyDescent="0.25">
      <c r="V181" s="47">
        <f>Таблица1[[#This Row],[Дата перевода]]-Таблица1[[#This Row],[Дата поступления]]</f>
        <v>1</v>
      </c>
      <c r="W181" s="47">
        <f>Таблица1[[#This Row],[Дата поступления]]-Таблица1[[#This Row],[Дата рождения]]</f>
        <v>6438</v>
      </c>
    </row>
    <row r="182" spans="22:23" ht="24.75" customHeight="1" x14ac:dyDescent="0.25">
      <c r="V182" s="47">
        <f>Таблица1[[#This Row],[Дата перевода]]-Таблица1[[#This Row],[Дата поступления]]</f>
        <v>32</v>
      </c>
      <c r="W182" s="47">
        <f>Таблица1[[#This Row],[Дата поступления]]-Таблица1[[#This Row],[Дата рождения]]</f>
        <v>3426</v>
      </c>
    </row>
    <row r="183" spans="22:23" ht="24.75" customHeight="1" x14ac:dyDescent="0.25">
      <c r="V183" s="47">
        <f>Таблица1[[#This Row],[Дата перевода]]-Таблица1[[#This Row],[Дата поступления]]</f>
        <v>1</v>
      </c>
      <c r="W183" s="47">
        <f>Таблица1[[#This Row],[Дата поступления]]-Таблица1[[#This Row],[Дата рождения]]</f>
        <v>1378</v>
      </c>
    </row>
    <row r="184" spans="22:23" ht="24.75" customHeight="1" x14ac:dyDescent="0.25">
      <c r="V184" s="47">
        <f>Таблица1[[#This Row],[Дата перевода]]-Таблица1[[#This Row],[Дата поступления]]</f>
        <v>2</v>
      </c>
      <c r="W184" s="47">
        <f>Таблица1[[#This Row],[Дата поступления]]-Таблица1[[#This Row],[Дата рождения]]</f>
        <v>2801</v>
      </c>
    </row>
    <row r="185" spans="22:23" ht="24.75" customHeight="1" x14ac:dyDescent="0.25">
      <c r="V185" s="47">
        <f>Таблица1[[#This Row],[Дата перевода]]-Таблица1[[#This Row],[Дата поступления]]</f>
        <v>6</v>
      </c>
      <c r="W185" s="47">
        <f>Таблица1[[#This Row],[Дата поступления]]-Таблица1[[#This Row],[Дата рождения]]</f>
        <v>609</v>
      </c>
    </row>
    <row r="186" spans="22:23" ht="24.75" customHeight="1" x14ac:dyDescent="0.25">
      <c r="V186" s="47">
        <f>Таблица1[[#This Row],[Дата перевода]]-Таблица1[[#This Row],[Дата поступления]]</f>
        <v>20</v>
      </c>
      <c r="W186" s="47">
        <f>Таблица1[[#This Row],[Дата поступления]]-Таблица1[[#This Row],[Дата рождения]]</f>
        <v>6074</v>
      </c>
    </row>
    <row r="187" spans="22:23" ht="24.75" customHeight="1" x14ac:dyDescent="0.25">
      <c r="V187" s="47">
        <f>Таблица1[[#This Row],[Дата перевода]]-Таблица1[[#This Row],[Дата поступления]]</f>
        <v>2</v>
      </c>
      <c r="W187" s="68">
        <f>Таблица1[[#This Row],[Дата поступления]]-Таблица1[[#This Row],[Дата рождения]]</f>
        <v>45816</v>
      </c>
    </row>
    <row r="188" spans="22:23" ht="24.75" customHeight="1" x14ac:dyDescent="0.25">
      <c r="V188" s="47">
        <f>Таблица1[[#This Row],[Дата перевода]]-Таблица1[[#This Row],[Дата поступления]]</f>
        <v>0</v>
      </c>
      <c r="W188" s="47">
        <f>Таблица1[[#This Row],[Дата поступления]]-Таблица1[[#This Row],[Дата рождения]]</f>
        <v>5455</v>
      </c>
    </row>
    <row r="189" spans="22:23" ht="24.75" customHeight="1" x14ac:dyDescent="0.25">
      <c r="V189" s="47">
        <f>Таблица1[[#This Row],[Дата перевода]]-Таблица1[[#This Row],[Дата поступления]]</f>
        <v>0</v>
      </c>
      <c r="W189" s="47">
        <f>Таблица1[[#This Row],[Дата поступления]]-Таблица1[[#This Row],[Дата рождения]]</f>
        <v>5893</v>
      </c>
    </row>
    <row r="190" spans="22:23" ht="24.75" customHeight="1" x14ac:dyDescent="0.25">
      <c r="V190" s="47">
        <f>Таблица1[[#This Row],[Дата перевода]]-Таблица1[[#This Row],[Дата поступления]]</f>
        <v>2</v>
      </c>
      <c r="W190" s="47">
        <f>Таблица1[[#This Row],[Дата поступления]]-Таблица1[[#This Row],[Дата рождения]]</f>
        <v>2238</v>
      </c>
    </row>
    <row r="191" spans="22:23" ht="24.75" customHeight="1" x14ac:dyDescent="0.25">
      <c r="V191" s="47">
        <f>Таблица1[[#This Row],[Дата перевода]]-Таблица1[[#This Row],[Дата поступления]]</f>
        <v>1</v>
      </c>
      <c r="W191" s="47">
        <f>Таблица1[[#This Row],[Дата поступления]]-Таблица1[[#This Row],[Дата рождения]]</f>
        <v>39</v>
      </c>
    </row>
    <row r="192" spans="22:23" ht="24.75" customHeight="1" x14ac:dyDescent="0.25">
      <c r="V192" s="47">
        <f>Таблица1[[#This Row],[Дата перевода]]-Таблица1[[#This Row],[Дата поступления]]</f>
        <v>2</v>
      </c>
      <c r="W192" s="47">
        <f>Таблица1[[#This Row],[Дата поступления]]-Таблица1[[#This Row],[Дата рождения]]</f>
        <v>1946</v>
      </c>
    </row>
    <row r="193" spans="22:23" ht="24.75" customHeight="1" x14ac:dyDescent="0.25">
      <c r="V193" s="47">
        <f>Таблица1[[#This Row],[Дата перевода]]-Таблица1[[#This Row],[Дата поступления]]</f>
        <v>5</v>
      </c>
      <c r="W193" s="47">
        <f>Таблица1[[#This Row],[Дата поступления]]-Таблица1[[#This Row],[Дата рождения]]</f>
        <v>3068</v>
      </c>
    </row>
    <row r="194" spans="22:23" ht="24.75" customHeight="1" x14ac:dyDescent="0.25">
      <c r="V194" s="47">
        <f>Таблица1[[#This Row],[Дата перевода]]-Таблица1[[#This Row],[Дата поступления]]</f>
        <v>1</v>
      </c>
      <c r="W194" s="47">
        <f>Таблица1[[#This Row],[Дата поступления]]-Таблица1[[#This Row],[Дата рождения]]</f>
        <v>5068</v>
      </c>
    </row>
    <row r="195" spans="22:23" ht="24.75" customHeight="1" x14ac:dyDescent="0.25">
      <c r="V195" s="47">
        <f>Таблица1[[#This Row],[Дата перевода]]-Таблица1[[#This Row],[Дата поступления]]</f>
        <v>9</v>
      </c>
      <c r="W195" s="47">
        <f>Таблица1[[#This Row],[Дата поступления]]-Таблица1[[#This Row],[Дата рождения]]</f>
        <v>448</v>
      </c>
    </row>
    <row r="196" spans="22:23" ht="24.75" customHeight="1" x14ac:dyDescent="0.25">
      <c r="V196" s="47">
        <f>Таблица1[[#This Row],[Дата перевода]]-Таблица1[[#This Row],[Дата поступления]]</f>
        <v>4</v>
      </c>
      <c r="W196" s="47">
        <f>Таблица1[[#This Row],[Дата поступления]]-Таблица1[[#This Row],[Дата рождения]]</f>
        <v>4341</v>
      </c>
    </row>
    <row r="197" spans="22:23" ht="24.75" customHeight="1" x14ac:dyDescent="0.25">
      <c r="V197" s="47">
        <f>Таблица1[[#This Row],[Дата перевода]]-Таблица1[[#This Row],[Дата поступления]]</f>
        <v>1</v>
      </c>
      <c r="W197" s="47">
        <f>Таблица1[[#This Row],[Дата поступления]]-Таблица1[[#This Row],[Дата рождения]]</f>
        <v>5742</v>
      </c>
    </row>
    <row r="198" spans="22:23" ht="24.75" customHeight="1" x14ac:dyDescent="0.25">
      <c r="V198" s="47">
        <f>Таблица1[[#This Row],[Дата перевода]]-Таблица1[[#This Row],[Дата поступления]]</f>
        <v>1</v>
      </c>
      <c r="W198" s="47">
        <f>Таблица1[[#This Row],[Дата поступления]]-Таблица1[[#This Row],[Дата рождения]]</f>
        <v>137</v>
      </c>
    </row>
    <row r="199" spans="22:23" ht="24.75" customHeight="1" x14ac:dyDescent="0.25">
      <c r="V199" s="47">
        <f>Таблица1[[#This Row],[Дата перевода]]-Таблица1[[#This Row],[Дата поступления]]</f>
        <v>1</v>
      </c>
      <c r="W199" s="47">
        <f>Таблица1[[#This Row],[Дата поступления]]-Таблица1[[#This Row],[Дата рождения]]</f>
        <v>4137</v>
      </c>
    </row>
    <row r="200" spans="22:23" ht="24.75" customHeight="1" x14ac:dyDescent="0.25">
      <c r="V200" s="47">
        <f>Таблица1[[#This Row],[Дата перевода]]-Таблица1[[#This Row],[Дата поступления]]</f>
        <v>0</v>
      </c>
      <c r="W200" s="47">
        <f>Таблица1[[#This Row],[Дата поступления]]-Таблица1[[#This Row],[Дата рождения]]</f>
        <v>834</v>
      </c>
    </row>
    <row r="201" spans="22:23" ht="24.75" customHeight="1" x14ac:dyDescent="0.25">
      <c r="V201" s="47">
        <f>Таблица1[[#This Row],[Дата перевода]]-Таблица1[[#This Row],[Дата поступления]]</f>
        <v>5</v>
      </c>
      <c r="W201" s="47">
        <f>Таблица1[[#This Row],[Дата поступления]]-Таблица1[[#This Row],[Дата рождения]]</f>
        <v>5242</v>
      </c>
    </row>
    <row r="202" spans="22:23" ht="24.75" customHeight="1" x14ac:dyDescent="0.25">
      <c r="V202" s="47">
        <f>Таблица1[[#This Row],[Дата перевода]]-Таблица1[[#This Row],[Дата поступления]]</f>
        <v>1</v>
      </c>
      <c r="W202" s="47">
        <f>Таблица1[[#This Row],[Дата поступления]]-Таблица1[[#This Row],[Дата рождения]]</f>
        <v>5365</v>
      </c>
    </row>
    <row r="203" spans="22:23" ht="24.75" customHeight="1" x14ac:dyDescent="0.25">
      <c r="V203" s="47">
        <f>Таблица1[[#This Row],[Дата перевода]]-Таблица1[[#This Row],[Дата поступления]]</f>
        <v>1</v>
      </c>
      <c r="W203" s="47">
        <f>Таблица1[[#This Row],[Дата поступления]]-Таблица1[[#This Row],[Дата рождения]]</f>
        <v>1396</v>
      </c>
    </row>
    <row r="204" spans="22:23" ht="24.75" customHeight="1" x14ac:dyDescent="0.25">
      <c r="V204" s="47">
        <f>Таблица1[[#This Row],[Дата перевода]]-Таблица1[[#This Row],[Дата поступления]]</f>
        <v>2</v>
      </c>
      <c r="W204" s="47">
        <f>Таблица1[[#This Row],[Дата поступления]]-Таблица1[[#This Row],[Дата рождения]]</f>
        <v>24</v>
      </c>
    </row>
    <row r="205" spans="22:23" ht="24.75" customHeight="1" x14ac:dyDescent="0.25">
      <c r="V205" s="47">
        <f>Таблица1[[#This Row],[Дата перевода]]-Таблица1[[#This Row],[Дата поступления]]</f>
        <v>1</v>
      </c>
      <c r="W205" s="47">
        <f>Таблица1[[#This Row],[Дата поступления]]-Таблица1[[#This Row],[Дата рождения]]</f>
        <v>5748</v>
      </c>
    </row>
    <row r="206" spans="22:23" ht="24.75" customHeight="1" x14ac:dyDescent="0.25">
      <c r="V206" s="47">
        <f>Таблица1[[#This Row],[Дата перевода]]-Таблица1[[#This Row],[Дата поступления]]</f>
        <v>5</v>
      </c>
      <c r="W206" s="47">
        <f>Таблица1[[#This Row],[Дата поступления]]-Таблица1[[#This Row],[Дата рождения]]</f>
        <v>2755</v>
      </c>
    </row>
    <row r="207" spans="22:23" ht="24.75" customHeight="1" x14ac:dyDescent="0.25">
      <c r="V207" s="47">
        <f>Таблица1[[#This Row],[Дата перевода]]-Таблица1[[#This Row],[Дата поступления]]</f>
        <v>1</v>
      </c>
      <c r="W207" s="47">
        <f>Таблица1[[#This Row],[Дата поступления]]-Таблица1[[#This Row],[Дата рождения]]</f>
        <v>875</v>
      </c>
    </row>
    <row r="208" spans="22:23" ht="24.75" customHeight="1" x14ac:dyDescent="0.25">
      <c r="V208" s="47">
        <f>Таблица1[[#This Row],[Дата перевода]]-Таблица1[[#This Row],[Дата поступления]]</f>
        <v>3</v>
      </c>
      <c r="W208" s="47">
        <f>Таблица1[[#This Row],[Дата поступления]]-Таблица1[[#This Row],[Дата рождения]]</f>
        <v>38</v>
      </c>
    </row>
    <row r="209" spans="22:23" ht="24.75" customHeight="1" x14ac:dyDescent="0.25">
      <c r="V209" s="47">
        <f>Таблица1[[#This Row],[Дата перевода]]-Таблица1[[#This Row],[Дата поступления]]</f>
        <v>1</v>
      </c>
      <c r="W209" s="47">
        <f>Таблица1[[#This Row],[Дата поступления]]-Таблица1[[#This Row],[Дата рождения]]</f>
        <v>-10</v>
      </c>
    </row>
    <row r="210" spans="22:23" ht="24.75" customHeight="1" x14ac:dyDescent="0.25">
      <c r="V210" s="47">
        <f>Таблица1[[#This Row],[Дата перевода]]-Таблица1[[#This Row],[Дата поступления]]</f>
        <v>1</v>
      </c>
      <c r="W210" s="47">
        <f>Таблица1[[#This Row],[Дата поступления]]-Таблица1[[#This Row],[Дата рождения]]</f>
        <v>5670</v>
      </c>
    </row>
    <row r="211" spans="22:23" ht="24.75" customHeight="1" x14ac:dyDescent="0.25">
      <c r="V211" s="47">
        <f>Таблица1[[#This Row],[Дата перевода]]-Таблица1[[#This Row],[Дата поступления]]</f>
        <v>0</v>
      </c>
      <c r="W211" s="47">
        <f>Таблица1[[#This Row],[Дата поступления]]-Таблица1[[#This Row],[Дата рождения]]</f>
        <v>562</v>
      </c>
    </row>
    <row r="212" spans="22:23" ht="24.75" customHeight="1" x14ac:dyDescent="0.25">
      <c r="V212" s="47">
        <f>Таблица1[[#This Row],[Дата перевода]]-Таблица1[[#This Row],[Дата поступления]]</f>
        <v>1</v>
      </c>
      <c r="W212" s="47">
        <f>Таблица1[[#This Row],[Дата поступления]]-Таблица1[[#This Row],[Дата рождения]]</f>
        <v>6327</v>
      </c>
    </row>
    <row r="213" spans="22:23" ht="24.75" customHeight="1" x14ac:dyDescent="0.25">
      <c r="V213" s="47">
        <f>Таблица1[[#This Row],[Дата перевода]]-Таблица1[[#This Row],[Дата поступления]]</f>
        <v>0</v>
      </c>
      <c r="W213" s="47">
        <f>Таблица1[[#This Row],[Дата поступления]]-Таблица1[[#This Row],[Дата рождения]]</f>
        <v>6165</v>
      </c>
    </row>
    <row r="214" spans="22:23" ht="24.75" customHeight="1" x14ac:dyDescent="0.25">
      <c r="V214" s="47">
        <f>Таблица1[[#This Row],[Дата перевода]]-Таблица1[[#This Row],[Дата поступления]]</f>
        <v>0</v>
      </c>
      <c r="W214" s="47">
        <f>Таблица1[[#This Row],[Дата поступления]]-Таблица1[[#This Row],[Дата рождения]]</f>
        <v>5809</v>
      </c>
    </row>
    <row r="215" spans="22:23" ht="24.75" customHeight="1" x14ac:dyDescent="0.25">
      <c r="V215" s="47">
        <f>Таблица1[[#This Row],[Дата перевода]]-Таблица1[[#This Row],[Дата поступления]]</f>
        <v>1</v>
      </c>
      <c r="W215" s="47">
        <f>Таблица1[[#This Row],[Дата поступления]]-Таблица1[[#This Row],[Дата рождения]]</f>
        <v>4480</v>
      </c>
    </row>
    <row r="216" spans="22:23" ht="24.75" customHeight="1" x14ac:dyDescent="0.25">
      <c r="V216" s="47">
        <f>Таблица1[[#This Row],[Дата перевода]]-Таблица1[[#This Row],[Дата поступления]]</f>
        <v>7</v>
      </c>
      <c r="W216" s="47">
        <f>Таблица1[[#This Row],[Дата поступления]]-Таблица1[[#This Row],[Дата рождения]]</f>
        <v>2084</v>
      </c>
    </row>
    <row r="217" spans="22:23" ht="24.75" customHeight="1" x14ac:dyDescent="0.25">
      <c r="V217" s="47">
        <f>Таблица1[[#This Row],[Дата перевода]]-Таблица1[[#This Row],[Дата поступления]]</f>
        <v>1</v>
      </c>
      <c r="W217" s="47">
        <f>Таблица1[[#This Row],[Дата поступления]]-Таблица1[[#This Row],[Дата рождения]]</f>
        <v>5206</v>
      </c>
    </row>
    <row r="218" spans="22:23" ht="24.75" customHeight="1" x14ac:dyDescent="0.25">
      <c r="V218" s="47">
        <f>Таблица1[[#This Row],[Дата перевода]]-Таблица1[[#This Row],[Дата поступления]]</f>
        <v>1</v>
      </c>
      <c r="W218" s="47">
        <f>Таблица1[[#This Row],[Дата поступления]]-Таблица1[[#This Row],[Дата рождения]]</f>
        <v>4868</v>
      </c>
    </row>
    <row r="219" spans="22:23" ht="24.75" customHeight="1" x14ac:dyDescent="0.25">
      <c r="V219" s="47">
        <f>Таблица1[[#This Row],[Дата перевода]]-Таблица1[[#This Row],[Дата поступления]]</f>
        <v>0</v>
      </c>
      <c r="W219" s="47">
        <f>Таблица1[[#This Row],[Дата поступления]]-Таблица1[[#This Row],[Дата рождения]]</f>
        <v>2905</v>
      </c>
    </row>
    <row r="220" spans="22:23" ht="24.75" customHeight="1" x14ac:dyDescent="0.25">
      <c r="V220" s="47">
        <f>Таблица1[[#This Row],[Дата перевода]]-Таблица1[[#This Row],[Дата поступления]]</f>
        <v>3</v>
      </c>
      <c r="W220" s="47">
        <f>Таблица1[[#This Row],[Дата поступления]]-Таблица1[[#This Row],[Дата рождения]]</f>
        <v>6530</v>
      </c>
    </row>
    <row r="221" spans="22:23" ht="24.75" customHeight="1" x14ac:dyDescent="0.25">
      <c r="V221" s="47">
        <f>Таблица1[[#This Row],[Дата перевода]]-Таблица1[[#This Row],[Дата поступления]]</f>
        <v>2</v>
      </c>
      <c r="W221" s="47">
        <f>Таблица1[[#This Row],[Дата поступления]]-Таблица1[[#This Row],[Дата рождения]]</f>
        <v>5537</v>
      </c>
    </row>
    <row r="222" spans="22:23" ht="24.75" customHeight="1" x14ac:dyDescent="0.25">
      <c r="V222" s="47">
        <f>Таблица1[[#This Row],[Дата перевода]]-Таблица1[[#This Row],[Дата поступления]]</f>
        <v>0</v>
      </c>
      <c r="W222" s="47">
        <f>Таблица1[[#This Row],[Дата поступления]]-Таблица1[[#This Row],[Дата рождения]]</f>
        <v>5302</v>
      </c>
    </row>
    <row r="223" spans="22:23" ht="24.75" customHeight="1" x14ac:dyDescent="0.25">
      <c r="V223" s="47">
        <f>Таблица1[[#This Row],[Дата перевода]]-Таблица1[[#This Row],[Дата поступления]]</f>
        <v>0</v>
      </c>
      <c r="W223" s="47">
        <f>Таблица1[[#This Row],[Дата поступления]]-Таблица1[[#This Row],[Дата рождения]]</f>
        <v>27</v>
      </c>
    </row>
    <row r="224" spans="22:23" ht="24.75" customHeight="1" x14ac:dyDescent="0.25">
      <c r="V224" s="47">
        <f>Таблица1[[#This Row],[Дата перевода]]-Таблица1[[#This Row],[Дата поступления]]</f>
        <v>3</v>
      </c>
      <c r="W224" s="47">
        <f>Таблица1[[#This Row],[Дата поступления]]-Таблица1[[#This Row],[Дата рождения]]</f>
        <v>4992</v>
      </c>
    </row>
    <row r="225" spans="22:23" ht="24.75" customHeight="1" x14ac:dyDescent="0.25">
      <c r="V225" s="47">
        <f>Таблица1[[#This Row],[Дата перевода]]-Таблица1[[#This Row],[Дата поступления]]</f>
        <v>1</v>
      </c>
      <c r="W225" s="47">
        <f>Таблица1[[#This Row],[Дата поступления]]-Таблица1[[#This Row],[Дата рождения]]</f>
        <v>4625</v>
      </c>
    </row>
    <row r="226" spans="22:23" ht="24.75" customHeight="1" x14ac:dyDescent="0.25">
      <c r="V226" s="47">
        <f>Таблица1[[#This Row],[Дата перевода]]-Таблица1[[#This Row],[Дата поступления]]</f>
        <v>1</v>
      </c>
      <c r="W226" s="47">
        <f>Таблица1[[#This Row],[Дата поступления]]-Таблица1[[#This Row],[Дата рождения]]</f>
        <v>45840</v>
      </c>
    </row>
    <row r="227" spans="22:23" ht="24.75" customHeight="1" x14ac:dyDescent="0.25">
      <c r="V227" s="47">
        <f>Таблица1[[#This Row],[Дата перевода]]-Таблица1[[#This Row],[Дата поступления]]</f>
        <v>3</v>
      </c>
      <c r="W227" s="47">
        <f>Таблица1[[#This Row],[Дата поступления]]-Таблица1[[#This Row],[Дата рождения]]</f>
        <v>700</v>
      </c>
    </row>
    <row r="228" spans="22:23" ht="24.75" customHeight="1" x14ac:dyDescent="0.25">
      <c r="V228" s="47">
        <f>Таблица1[[#This Row],[Дата перевода]]-Таблица1[[#This Row],[Дата поступления]]</f>
        <v>3</v>
      </c>
      <c r="W228" s="47">
        <f>Таблица1[[#This Row],[Дата поступления]]-Таблица1[[#This Row],[Дата рождения]]</f>
        <v>1036</v>
      </c>
    </row>
    <row r="229" spans="22:23" ht="24.75" customHeight="1" x14ac:dyDescent="0.25">
      <c r="V229" s="47">
        <f>Таблица1[[#This Row],[Дата перевода]]-Таблица1[[#This Row],[Дата поступления]]</f>
        <v>1</v>
      </c>
      <c r="W229" s="47">
        <f>Таблица1[[#This Row],[Дата поступления]]-Таблица1[[#This Row],[Дата рождения]]</f>
        <v>5978</v>
      </c>
    </row>
    <row r="230" spans="22:23" ht="24.75" customHeight="1" x14ac:dyDescent="0.25">
      <c r="V230" s="47">
        <f>Таблица1[[#This Row],[Дата перевода]]-Таблица1[[#This Row],[Дата поступления]]</f>
        <v>5</v>
      </c>
      <c r="W230" s="47">
        <f>Таблица1[[#This Row],[Дата поступления]]-Таблица1[[#This Row],[Дата рождения]]</f>
        <v>6052</v>
      </c>
    </row>
    <row r="231" spans="22:23" ht="24.75" customHeight="1" x14ac:dyDescent="0.25">
      <c r="V231" s="47">
        <f>Таблица1[[#This Row],[Дата перевода]]-Таблица1[[#This Row],[Дата поступления]]</f>
        <v>1</v>
      </c>
      <c r="W231" s="47">
        <f>Таблица1[[#This Row],[Дата поступления]]-Таблица1[[#This Row],[Дата рождения]]</f>
        <v>2911</v>
      </c>
    </row>
    <row r="232" spans="22:23" ht="24.75" customHeight="1" x14ac:dyDescent="0.25">
      <c r="V232" s="47">
        <f>Таблица1[[#This Row],[Дата перевода]]-Таблица1[[#This Row],[Дата поступления]]</f>
        <v>1</v>
      </c>
      <c r="W232" s="47">
        <f>Таблица1[[#This Row],[Дата поступления]]-Таблица1[[#This Row],[Дата рождения]]</f>
        <v>299</v>
      </c>
    </row>
    <row r="233" spans="22:23" ht="24.75" customHeight="1" x14ac:dyDescent="0.25">
      <c r="V233" s="47">
        <f>Таблица1[[#This Row],[Дата перевода]]-Таблица1[[#This Row],[Дата поступления]]</f>
        <v>1</v>
      </c>
      <c r="W233" s="47">
        <f>Таблица1[[#This Row],[Дата поступления]]-Таблица1[[#This Row],[Дата рождения]]</f>
        <v>4366</v>
      </c>
    </row>
    <row r="234" spans="22:23" ht="24.75" customHeight="1" x14ac:dyDescent="0.25">
      <c r="V234" s="47">
        <f>Таблица1[[#This Row],[Дата перевода]]-Таблица1[[#This Row],[Дата поступления]]</f>
        <v>1</v>
      </c>
      <c r="W234" s="47">
        <f>Таблица1[[#This Row],[Дата поступления]]-Таблица1[[#This Row],[Дата рождения]]</f>
        <v>1038</v>
      </c>
    </row>
    <row r="235" spans="22:23" ht="24.75" customHeight="1" x14ac:dyDescent="0.25">
      <c r="V235" s="47">
        <f>Таблица1[[#This Row],[Дата перевода]]-Таблица1[[#This Row],[Дата поступления]]</f>
        <v>1</v>
      </c>
      <c r="W235" s="47">
        <f>Таблица1[[#This Row],[Дата поступления]]-Таблица1[[#This Row],[Дата рождения]]</f>
        <v>1497</v>
      </c>
    </row>
    <row r="236" spans="22:23" ht="24.75" customHeight="1" x14ac:dyDescent="0.25">
      <c r="V236" s="47">
        <f>Таблица1[[#This Row],[Дата перевода]]-Таблица1[[#This Row],[Дата поступления]]</f>
        <v>1</v>
      </c>
      <c r="W236" s="47">
        <f>Таблица1[[#This Row],[Дата поступления]]-Таблица1[[#This Row],[Дата рождения]]</f>
        <v>3792</v>
      </c>
    </row>
    <row r="237" spans="22:23" ht="24.75" customHeight="1" x14ac:dyDescent="0.25">
      <c r="V237" s="47">
        <f>Таблица1[[#This Row],[Дата перевода]]-Таблица1[[#This Row],[Дата поступления]]</f>
        <v>1</v>
      </c>
      <c r="W237" s="47">
        <f>Таблица1[[#This Row],[Дата поступления]]-Таблица1[[#This Row],[Дата рождения]]</f>
        <v>5329</v>
      </c>
    </row>
    <row r="238" spans="22:23" ht="24.75" customHeight="1" x14ac:dyDescent="0.25">
      <c r="V238" s="47">
        <f>Таблица1[[#This Row],[Дата перевода]]-Таблица1[[#This Row],[Дата поступления]]</f>
        <v>4</v>
      </c>
      <c r="W238" s="47">
        <f>Таблица1[[#This Row],[Дата поступления]]-Таблица1[[#This Row],[Дата рождения]]</f>
        <v>1287</v>
      </c>
    </row>
    <row r="239" spans="22:23" ht="24.75" customHeight="1" x14ac:dyDescent="0.25">
      <c r="V239" s="47">
        <f>Таблица1[[#This Row],[Дата перевода]]-Таблица1[[#This Row],[Дата поступления]]</f>
        <v>4</v>
      </c>
      <c r="W239" s="47">
        <f>Таблица1[[#This Row],[Дата поступления]]-Таблица1[[#This Row],[Дата рождения]]</f>
        <v>3554</v>
      </c>
    </row>
    <row r="240" spans="22:23" ht="24.75" customHeight="1" x14ac:dyDescent="0.25">
      <c r="V240" s="47">
        <f>Таблица1[[#This Row],[Дата перевода]]-Таблица1[[#This Row],[Дата поступления]]</f>
        <v>1</v>
      </c>
      <c r="W240" s="47">
        <f>Таблица1[[#This Row],[Дата поступления]]-Таблица1[[#This Row],[Дата рождения]]</f>
        <v>1416</v>
      </c>
    </row>
    <row r="241" spans="22:23" ht="24.75" customHeight="1" x14ac:dyDescent="0.25">
      <c r="V241" s="47">
        <f>Таблица1[[#This Row],[Дата перевода]]-Таблица1[[#This Row],[Дата поступления]]</f>
        <v>4</v>
      </c>
      <c r="W241" s="47">
        <f>Таблица1[[#This Row],[Дата поступления]]-Таблица1[[#This Row],[Дата рождения]]</f>
        <v>1898</v>
      </c>
    </row>
    <row r="242" spans="22:23" ht="24.75" customHeight="1" x14ac:dyDescent="0.25">
      <c r="V242" s="47">
        <f>Таблица1[[#This Row],[Дата перевода]]-Таблица1[[#This Row],[Дата поступления]]</f>
        <v>2</v>
      </c>
      <c r="W242" s="47">
        <f>Таблица1[[#This Row],[Дата поступления]]-Таблица1[[#This Row],[Дата рождения]]</f>
        <v>4781</v>
      </c>
    </row>
    <row r="243" spans="22:23" ht="24.75" customHeight="1" x14ac:dyDescent="0.25">
      <c r="V243" s="47">
        <f>Таблица1[[#This Row],[Дата перевода]]-Таблица1[[#This Row],[Дата поступления]]</f>
        <v>13</v>
      </c>
      <c r="W243" s="47">
        <f>Таблица1[[#This Row],[Дата поступления]]-Таблица1[[#This Row],[Дата рождения]]</f>
        <v>6049</v>
      </c>
    </row>
    <row r="244" spans="22:23" ht="24.75" customHeight="1" x14ac:dyDescent="0.25">
      <c r="V244" s="47">
        <f>Таблица1[[#This Row],[Дата перевода]]-Таблица1[[#This Row],[Дата поступления]]</f>
        <v>3</v>
      </c>
      <c r="W244" s="47">
        <f>Таблица1[[#This Row],[Дата поступления]]-Таблица1[[#This Row],[Дата рождения]]</f>
        <v>63</v>
      </c>
    </row>
    <row r="245" spans="22:23" ht="24.75" customHeight="1" x14ac:dyDescent="0.25">
      <c r="V245" s="47">
        <f>Таблица1[[#This Row],[Дата перевода]]-Таблица1[[#This Row],[Дата поступления]]</f>
        <v>2</v>
      </c>
      <c r="W245" s="47">
        <f>Таблица1[[#This Row],[Дата поступления]]-Таблица1[[#This Row],[Дата рождения]]</f>
        <v>5112</v>
      </c>
    </row>
    <row r="246" spans="22:23" ht="24.75" customHeight="1" x14ac:dyDescent="0.25">
      <c r="V246" s="47">
        <f>Таблица1[[#This Row],[Дата перевода]]-Таблица1[[#This Row],[Дата поступления]]</f>
        <v>4</v>
      </c>
      <c r="W246" s="47">
        <f>Таблица1[[#This Row],[Дата поступления]]-Таблица1[[#This Row],[Дата рождения]]</f>
        <v>760</v>
      </c>
    </row>
    <row r="247" spans="22:23" ht="24.75" customHeight="1" x14ac:dyDescent="0.25">
      <c r="V247" s="47">
        <f>Таблица1[[#This Row],[Дата перевода]]-Таблица1[[#This Row],[Дата поступления]]</f>
        <v>3</v>
      </c>
      <c r="W247" s="47">
        <f>Таблица1[[#This Row],[Дата поступления]]-Таблица1[[#This Row],[Дата рождения]]</f>
        <v>6114</v>
      </c>
    </row>
    <row r="248" spans="22:23" ht="24.75" customHeight="1" x14ac:dyDescent="0.25">
      <c r="V248" s="47">
        <f>Таблица1[[#This Row],[Дата перевода]]-Таблица1[[#This Row],[Дата поступления]]</f>
        <v>1</v>
      </c>
      <c r="W248" s="47">
        <f>Таблица1[[#This Row],[Дата поступления]]-Таблица1[[#This Row],[Дата рождения]]</f>
        <v>45858</v>
      </c>
    </row>
    <row r="249" spans="22:23" ht="24.75" customHeight="1" x14ac:dyDescent="0.25">
      <c r="V249" s="47">
        <f>Таблица1[[#This Row],[Дата перевода]]-Таблица1[[#This Row],[Дата поступления]]</f>
        <v>1</v>
      </c>
      <c r="W249" s="47">
        <f>Таблица1[[#This Row],[Дата поступления]]-Таблица1[[#This Row],[Дата рождения]]</f>
        <v>5107</v>
      </c>
    </row>
    <row r="250" spans="22:23" ht="24.75" customHeight="1" x14ac:dyDescent="0.25">
      <c r="V250" s="47">
        <f>Таблица1[[#This Row],[Дата перевода]]-Таблица1[[#This Row],[Дата поступления]]</f>
        <v>2</v>
      </c>
      <c r="W250" s="47">
        <f>Таблица1[[#This Row],[Дата поступления]]-Таблица1[[#This Row],[Дата рождения]]</f>
        <v>524</v>
      </c>
    </row>
    <row r="251" spans="22:23" ht="24.75" customHeight="1" x14ac:dyDescent="0.25">
      <c r="V251" s="47">
        <f>Таблица1[[#This Row],[Дата перевода]]-Таблица1[[#This Row],[Дата поступления]]</f>
        <v>25</v>
      </c>
      <c r="W251" s="47">
        <f>Таблица1[[#This Row],[Дата поступления]]-Таблица1[[#This Row],[Дата рождения]]</f>
        <v>113</v>
      </c>
    </row>
    <row r="252" spans="22:23" ht="24.75" customHeight="1" x14ac:dyDescent="0.25">
      <c r="V252" s="47">
        <f>Таблица1[[#This Row],[Дата перевода]]-Таблица1[[#This Row],[Дата поступления]]</f>
        <v>2</v>
      </c>
      <c r="W252" s="47">
        <f>Таблица1[[#This Row],[Дата поступления]]-Таблица1[[#This Row],[Дата рождения]]</f>
        <v>6281</v>
      </c>
    </row>
    <row r="253" spans="22:23" ht="24.75" customHeight="1" x14ac:dyDescent="0.25">
      <c r="V253" s="47">
        <f>Таблица1[[#This Row],[Дата перевода]]-Таблица1[[#This Row],[Дата поступления]]</f>
        <v>4</v>
      </c>
      <c r="W253" s="47">
        <f>Таблица1[[#This Row],[Дата поступления]]-Таблица1[[#This Row],[Дата рождения]]</f>
        <v>5637</v>
      </c>
    </row>
    <row r="254" spans="22:23" ht="24.75" customHeight="1" x14ac:dyDescent="0.25">
      <c r="V254" s="47">
        <f>Таблица1[[#This Row],[Дата перевода]]-Таблица1[[#This Row],[Дата поступления]]</f>
        <v>1</v>
      </c>
      <c r="W254" s="47">
        <f>Таблица1[[#This Row],[Дата поступления]]-Таблица1[[#This Row],[Дата рождения]]</f>
        <v>2793</v>
      </c>
    </row>
    <row r="255" spans="22:23" ht="24.75" customHeight="1" x14ac:dyDescent="0.25">
      <c r="V255" s="47">
        <f>Таблица1[[#This Row],[Дата перевода]]-Таблица1[[#This Row],[Дата поступления]]</f>
        <v>1</v>
      </c>
      <c r="W255" s="47">
        <f>Таблица1[[#This Row],[Дата поступления]]-Таблица1[[#This Row],[Дата рождения]]</f>
        <v>3958</v>
      </c>
    </row>
    <row r="256" spans="22:23" ht="24.75" customHeight="1" x14ac:dyDescent="0.25">
      <c r="V256" s="47">
        <f>Таблица1[[#This Row],[Дата перевода]]-Таблица1[[#This Row],[Дата поступления]]</f>
        <v>24</v>
      </c>
      <c r="W256" s="47">
        <f>Таблица1[[#This Row],[Дата поступления]]-Таблица1[[#This Row],[Дата рождения]]</f>
        <v>1663</v>
      </c>
    </row>
    <row r="257" spans="22:23" ht="24.75" customHeight="1" x14ac:dyDescent="0.25">
      <c r="V257" s="47">
        <f>Таблица1[[#This Row],[Дата перевода]]-Таблица1[[#This Row],[Дата поступления]]</f>
        <v>1</v>
      </c>
      <c r="W257" s="47">
        <f>Таблица1[[#This Row],[Дата поступления]]-Таблица1[[#This Row],[Дата рождения]]</f>
        <v>911</v>
      </c>
    </row>
    <row r="258" spans="22:23" ht="24.75" customHeight="1" x14ac:dyDescent="0.25">
      <c r="V258" s="47">
        <f>Таблица1[[#This Row],[Дата перевода]]-Таблица1[[#This Row],[Дата поступления]]</f>
        <v>0</v>
      </c>
      <c r="W258" s="47">
        <f>Таблица1[[#This Row],[Дата поступления]]-Таблица1[[#This Row],[Дата рождения]]</f>
        <v>22</v>
      </c>
    </row>
    <row r="259" spans="22:23" ht="24.75" customHeight="1" x14ac:dyDescent="0.25">
      <c r="V259" s="47">
        <f>Таблица1[[#This Row],[Дата перевода]]-Таблица1[[#This Row],[Дата поступления]]</f>
        <v>1</v>
      </c>
      <c r="W259" s="47">
        <f>Таблица1[[#This Row],[Дата поступления]]-Таблица1[[#This Row],[Дата рождения]]</f>
        <v>3858</v>
      </c>
    </row>
    <row r="260" spans="22:23" ht="24.75" customHeight="1" x14ac:dyDescent="0.25">
      <c r="V260" s="47">
        <f>Таблица1[[#This Row],[Дата перевода]]-Таблица1[[#This Row],[Дата поступления]]</f>
        <v>2</v>
      </c>
      <c r="W260" s="47">
        <f>Таблица1[[#This Row],[Дата поступления]]-Таблица1[[#This Row],[Дата рождения]]</f>
        <v>5470</v>
      </c>
    </row>
    <row r="261" spans="22:23" ht="24.75" customHeight="1" x14ac:dyDescent="0.25">
      <c r="V261" s="47">
        <f>Таблица1[[#This Row],[Дата перевода]]-Таблица1[[#This Row],[Дата поступления]]</f>
        <v>0</v>
      </c>
      <c r="W261" s="47">
        <f>Таблица1[[#This Row],[Дата поступления]]-Таблица1[[#This Row],[Дата рождения]]</f>
        <v>26</v>
      </c>
    </row>
    <row r="262" spans="22:23" ht="24.75" customHeight="1" x14ac:dyDescent="0.25">
      <c r="V262" s="47">
        <f>Таблица1[[#This Row],[Дата перевода]]-Таблица1[[#This Row],[Дата поступления]]</f>
        <v>1</v>
      </c>
      <c r="W262" s="47">
        <f>Таблица1[[#This Row],[Дата поступления]]-Таблица1[[#This Row],[Дата рождения]]</f>
        <v>6114</v>
      </c>
    </row>
    <row r="263" spans="22:23" ht="24.75" customHeight="1" x14ac:dyDescent="0.25">
      <c r="V263" s="47">
        <f>Таблица1[[#This Row],[Дата перевода]]-Таблица1[[#This Row],[Дата поступления]]</f>
        <v>3</v>
      </c>
      <c r="W263" s="47">
        <f>Таблица1[[#This Row],[Дата поступления]]-Таблица1[[#This Row],[Дата рождения]]</f>
        <v>945</v>
      </c>
    </row>
    <row r="264" spans="22:23" ht="24.75" customHeight="1" x14ac:dyDescent="0.25">
      <c r="V264" s="47">
        <f>Таблица1[[#This Row],[Дата перевода]]-Таблица1[[#This Row],[Дата поступления]]</f>
        <v>2</v>
      </c>
      <c r="W264" s="47">
        <f>Таблица1[[#This Row],[Дата поступления]]-Таблица1[[#This Row],[Дата рождения]]</f>
        <v>6554</v>
      </c>
    </row>
    <row r="265" spans="22:23" ht="24.75" customHeight="1" x14ac:dyDescent="0.25">
      <c r="V265" s="47">
        <f>Таблица1[[#This Row],[Дата перевода]]-Таблица1[[#This Row],[Дата поступления]]</f>
        <v>2</v>
      </c>
      <c r="W265" s="47">
        <f>Таблица1[[#This Row],[Дата поступления]]-Таблица1[[#This Row],[Дата рождения]]</f>
        <v>3157</v>
      </c>
    </row>
    <row r="266" spans="22:23" ht="24.75" customHeight="1" x14ac:dyDescent="0.25">
      <c r="V266" s="47">
        <f>Таблица1[[#This Row],[Дата перевода]]-Таблица1[[#This Row],[Дата поступления]]</f>
        <v>1</v>
      </c>
      <c r="W266" s="47">
        <f>Таблица1[[#This Row],[Дата поступления]]-Таблица1[[#This Row],[Дата рождения]]</f>
        <v>5428</v>
      </c>
    </row>
    <row r="267" spans="22:23" ht="24.75" customHeight="1" x14ac:dyDescent="0.25">
      <c r="V267" s="47">
        <f>Таблица1[[#This Row],[Дата перевода]]-Таблица1[[#This Row],[Дата поступления]]</f>
        <v>6</v>
      </c>
      <c r="W267" s="47">
        <f>Таблица1[[#This Row],[Дата поступления]]-Таблица1[[#This Row],[Дата рождения]]</f>
        <v>5094</v>
      </c>
    </row>
    <row r="268" spans="22:23" ht="24.75" customHeight="1" x14ac:dyDescent="0.25">
      <c r="V268" s="47">
        <f>Таблица1[[#This Row],[Дата перевода]]-Таблица1[[#This Row],[Дата поступления]]</f>
        <v>4</v>
      </c>
      <c r="W268" s="47">
        <f>Таблица1[[#This Row],[Дата поступления]]-Таблица1[[#This Row],[Дата рождения]]</f>
        <v>5010</v>
      </c>
    </row>
    <row r="269" spans="22:23" ht="24.75" customHeight="1" x14ac:dyDescent="0.25">
      <c r="V269" s="47">
        <f>Таблица1[[#This Row],[Дата перевода]]-Таблица1[[#This Row],[Дата поступления]]</f>
        <v>3</v>
      </c>
      <c r="W269" s="47">
        <f>Таблица1[[#This Row],[Дата поступления]]-Таблица1[[#This Row],[Дата рождения]]</f>
        <v>5819</v>
      </c>
    </row>
    <row r="270" spans="22:23" ht="24.75" customHeight="1" x14ac:dyDescent="0.25">
      <c r="V270" s="47">
        <f>Таблица1[[#This Row],[Дата перевода]]-Таблица1[[#This Row],[Дата поступления]]</f>
        <v>3</v>
      </c>
      <c r="W270" s="47">
        <f>Таблица1[[#This Row],[Дата поступления]]-Таблица1[[#This Row],[Дата рождения]]</f>
        <v>1605</v>
      </c>
    </row>
    <row r="271" spans="22:23" ht="24.75" customHeight="1" x14ac:dyDescent="0.25">
      <c r="V271" s="47">
        <f>Таблица1[[#This Row],[Дата перевода]]-Таблица1[[#This Row],[Дата поступления]]</f>
        <v>2</v>
      </c>
      <c r="W271" s="47">
        <f>Таблица1[[#This Row],[Дата поступления]]-Таблица1[[#This Row],[Дата рождения]]</f>
        <v>6107</v>
      </c>
    </row>
    <row r="272" spans="22:23" ht="24.75" customHeight="1" x14ac:dyDescent="0.25">
      <c r="V272" s="47">
        <f>Таблица1[[#This Row],[Дата перевода]]-Таблица1[[#This Row],[Дата поступления]]</f>
        <v>0</v>
      </c>
      <c r="W272" s="47">
        <f>Таблица1[[#This Row],[Дата поступления]]-Таблица1[[#This Row],[Дата рождения]]</f>
        <v>4814</v>
      </c>
    </row>
    <row r="273" spans="22:23" ht="24.75" customHeight="1" x14ac:dyDescent="0.25">
      <c r="V273" s="47">
        <f>Таблица1[[#This Row],[Дата перевода]]-Таблица1[[#This Row],[Дата поступления]]</f>
        <v>0</v>
      </c>
      <c r="W273" s="47">
        <f>Таблица1[[#This Row],[Дата поступления]]-Таблица1[[#This Row],[Дата рождения]]</f>
        <v>80</v>
      </c>
    </row>
    <row r="274" spans="22:23" ht="24.75" customHeight="1" x14ac:dyDescent="0.25">
      <c r="V274" s="47">
        <f>Таблица1[[#This Row],[Дата перевода]]-Таблица1[[#This Row],[Дата поступления]]</f>
        <v>-45885</v>
      </c>
      <c r="W274" s="47">
        <f>Таблица1[[#This Row],[Дата поступления]]-Таблица1[[#This Row],[Дата рождения]]</f>
        <v>1688</v>
      </c>
    </row>
    <row r="275" spans="22:23" ht="24.75" customHeight="1" x14ac:dyDescent="0.25">
      <c r="V275" s="47">
        <f>Таблица1[[#This Row],[Дата перевода]]-Таблица1[[#This Row],[Дата поступления]]</f>
        <v>3</v>
      </c>
      <c r="W275" s="47">
        <f>Таблица1[[#This Row],[Дата поступления]]-Таблица1[[#This Row],[Дата рождения]]</f>
        <v>408</v>
      </c>
    </row>
    <row r="276" spans="22:23" ht="24.75" customHeight="1" x14ac:dyDescent="0.25">
      <c r="V276" s="47">
        <f>Таблица1[[#This Row],[Дата перевода]]-Таблица1[[#This Row],[Дата поступления]]</f>
        <v>0</v>
      </c>
      <c r="W276" s="47">
        <f>Таблица1[[#This Row],[Дата поступления]]-Таблица1[[#This Row],[Дата рождения]]</f>
        <v>5688</v>
      </c>
    </row>
    <row r="277" spans="22:23" ht="24.75" customHeight="1" x14ac:dyDescent="0.25">
      <c r="V277" s="47">
        <f>Таблица1[[#This Row],[Дата перевода]]-Таблица1[[#This Row],[Дата поступления]]</f>
        <v>1</v>
      </c>
      <c r="W277" s="47">
        <f>Таблица1[[#This Row],[Дата поступления]]-Таблица1[[#This Row],[Дата рождения]]</f>
        <v>957</v>
      </c>
    </row>
    <row r="278" spans="22:23" ht="24.75" customHeight="1" x14ac:dyDescent="0.25">
      <c r="V278" s="47">
        <f>Таблица1[[#This Row],[Дата перевода]]-Таблица1[[#This Row],[Дата поступления]]</f>
        <v>1</v>
      </c>
      <c r="W278" s="47">
        <f>Таблица1[[#This Row],[Дата поступления]]-Таблица1[[#This Row],[Дата рождения]]</f>
        <v>2447</v>
      </c>
    </row>
    <row r="279" spans="22:23" ht="24.75" customHeight="1" x14ac:dyDescent="0.25">
      <c r="V279" s="47">
        <f>Таблица1[[#This Row],[Дата перевода]]-Таблица1[[#This Row],[Дата поступления]]</f>
        <v>1</v>
      </c>
      <c r="W279" s="47">
        <f>Таблица1[[#This Row],[Дата поступления]]-Таблица1[[#This Row],[Дата рождения]]</f>
        <v>81</v>
      </c>
    </row>
    <row r="280" spans="22:23" ht="24.75" customHeight="1" x14ac:dyDescent="0.25">
      <c r="V280" s="47">
        <f>Таблица1[[#This Row],[Дата перевода]]-Таблица1[[#This Row],[Дата поступления]]</f>
        <v>1</v>
      </c>
      <c r="W280" s="47">
        <f>Таблица1[[#This Row],[Дата поступления]]-Таблица1[[#This Row],[Дата рождения]]</f>
        <v>5020</v>
      </c>
    </row>
    <row r="281" spans="22:23" ht="24.75" customHeight="1" x14ac:dyDescent="0.25">
      <c r="V281" s="47">
        <f>Таблица1[[#This Row],[Дата перевода]]-Таблица1[[#This Row],[Дата поступления]]</f>
        <v>1</v>
      </c>
      <c r="W281" s="47">
        <f>Таблица1[[#This Row],[Дата поступления]]-Таблица1[[#This Row],[Дата рождения]]</f>
        <v>109</v>
      </c>
    </row>
    <row r="282" spans="22:23" ht="24.75" customHeight="1" x14ac:dyDescent="0.25">
      <c r="V282" s="47">
        <f>Таблица1[[#This Row],[Дата перевода]]-Таблица1[[#This Row],[Дата поступления]]</f>
        <v>2</v>
      </c>
      <c r="W282" s="47">
        <f>Таблица1[[#This Row],[Дата поступления]]-Таблица1[[#This Row],[Дата рождения]]</f>
        <v>0</v>
      </c>
    </row>
    <row r="283" spans="22:23" ht="24.75" customHeight="1" x14ac:dyDescent="0.25">
      <c r="V283" s="47">
        <f>Таблица1[[#This Row],[Дата перевода]]-Таблица1[[#This Row],[Дата поступления]]</f>
        <v>1</v>
      </c>
      <c r="W283" s="47">
        <f>Таблица1[[#This Row],[Дата поступления]]-Таблица1[[#This Row],[Дата рождения]]</f>
        <v>3030</v>
      </c>
    </row>
    <row r="284" spans="22:23" ht="24.75" customHeight="1" x14ac:dyDescent="0.25">
      <c r="V284" s="47">
        <f>Таблица1[[#This Row],[Дата перевода]]-Таблица1[[#This Row],[Дата поступления]]</f>
        <v>1</v>
      </c>
      <c r="W284" s="47">
        <f>Таблица1[[#This Row],[Дата поступления]]-Таблица1[[#This Row],[Дата рождения]]</f>
        <v>4971</v>
      </c>
    </row>
    <row r="285" spans="22:23" ht="24.75" customHeight="1" x14ac:dyDescent="0.25">
      <c r="V285" s="47">
        <f>Таблица1[[#This Row],[Дата перевода]]-Таблица1[[#This Row],[Дата поступления]]</f>
        <v>5</v>
      </c>
      <c r="W285" s="47">
        <f>Таблица1[[#This Row],[Дата поступления]]-Таблица1[[#This Row],[Дата рождения]]</f>
        <v>4972</v>
      </c>
    </row>
    <row r="286" spans="22:23" ht="24.75" customHeight="1" x14ac:dyDescent="0.25">
      <c r="V286" s="47">
        <f>Таблица1[[#This Row],[Дата перевода]]-Таблица1[[#This Row],[Дата поступления]]</f>
        <v>1</v>
      </c>
      <c r="W286" s="47">
        <f>Таблица1[[#This Row],[Дата поступления]]-Таблица1[[#This Row],[Дата рождения]]</f>
        <v>3812</v>
      </c>
    </row>
    <row r="287" spans="22:23" ht="24.75" customHeight="1" x14ac:dyDescent="0.25">
      <c r="V287" s="47">
        <f>Таблица1[[#This Row],[Дата перевода]]-Таблица1[[#This Row],[Дата поступления]]</f>
        <v>2</v>
      </c>
      <c r="W287" s="47">
        <f>Таблица1[[#This Row],[Дата поступления]]-Таблица1[[#This Row],[Дата рождения]]</f>
        <v>4961</v>
      </c>
    </row>
    <row r="288" spans="22:23" ht="24.75" customHeight="1" x14ac:dyDescent="0.25">
      <c r="V288" s="47">
        <f>Таблица1[[#This Row],[Дата перевода]]-Таблица1[[#This Row],[Дата поступления]]</f>
        <v>3</v>
      </c>
      <c r="W288" s="47">
        <f>Таблица1[[#This Row],[Дата поступления]]-Таблица1[[#This Row],[Дата рождения]]</f>
        <v>5549</v>
      </c>
    </row>
    <row r="289" spans="22:23" ht="24.75" customHeight="1" x14ac:dyDescent="0.25">
      <c r="V289" s="47">
        <f>Таблица1[[#This Row],[Дата перевода]]-Таблица1[[#This Row],[Дата поступления]]</f>
        <v>4</v>
      </c>
      <c r="W289" s="47">
        <f>Таблица1[[#This Row],[Дата поступления]]-Таблица1[[#This Row],[Дата рождения]]</f>
        <v>1535</v>
      </c>
    </row>
    <row r="290" spans="22:23" ht="24.75" customHeight="1" x14ac:dyDescent="0.25">
      <c r="V290" s="47">
        <f>Таблица1[[#This Row],[Дата перевода]]-Таблица1[[#This Row],[Дата поступления]]</f>
        <v>0</v>
      </c>
      <c r="W290" s="47">
        <f>Таблица1[[#This Row],[Дата поступления]]-Таблица1[[#This Row],[Дата рождения]]</f>
        <v>109</v>
      </c>
    </row>
    <row r="291" spans="22:23" ht="24.75" customHeight="1" x14ac:dyDescent="0.25">
      <c r="V291" s="47">
        <f>Таблица1[[#This Row],[Дата перевода]]-Таблица1[[#This Row],[Дата поступления]]</f>
        <v>1</v>
      </c>
      <c r="W291" s="47">
        <f>Таблица1[[#This Row],[Дата поступления]]-Таблица1[[#This Row],[Дата рождения]]</f>
        <v>5543</v>
      </c>
    </row>
    <row r="292" spans="22:23" ht="24.75" customHeight="1" x14ac:dyDescent="0.25">
      <c r="V292" s="47">
        <f>Таблица1[[#This Row],[Дата перевода]]-Таблица1[[#This Row],[Дата поступления]]</f>
        <v>0</v>
      </c>
      <c r="W292" s="47">
        <f>Таблица1[[#This Row],[Дата поступления]]-Таблица1[[#This Row],[Дата рождения]]</f>
        <v>3900</v>
      </c>
    </row>
    <row r="293" spans="22:23" ht="24.75" customHeight="1" x14ac:dyDescent="0.25">
      <c r="V293" s="47">
        <f>Таблица1[[#This Row],[Дата перевода]]-Таблица1[[#This Row],[Дата поступления]]</f>
        <v>1</v>
      </c>
      <c r="W293" s="47">
        <f>Таблица1[[#This Row],[Дата поступления]]-Таблица1[[#This Row],[Дата рождения]]</f>
        <v>2299</v>
      </c>
    </row>
    <row r="294" spans="22:23" ht="24.75" customHeight="1" x14ac:dyDescent="0.25">
      <c r="V294" s="47">
        <f>Таблица1[[#This Row],[Дата перевода]]-Таблица1[[#This Row],[Дата поступления]]</f>
        <v>11</v>
      </c>
      <c r="W294" s="47">
        <f>Таблица1[[#This Row],[Дата поступления]]-Таблица1[[#This Row],[Дата рождения]]</f>
        <v>5018</v>
      </c>
    </row>
    <row r="295" spans="22:23" ht="24.75" customHeight="1" x14ac:dyDescent="0.25">
      <c r="V295" s="47">
        <f>Таблица1[[#This Row],[Дата перевода]]-Таблица1[[#This Row],[Дата поступления]]</f>
        <v>3</v>
      </c>
      <c r="W295" s="47">
        <f>Таблица1[[#This Row],[Дата поступления]]-Таблица1[[#This Row],[Дата рождения]]</f>
        <v>43</v>
      </c>
    </row>
    <row r="296" spans="22:23" ht="24.75" customHeight="1" x14ac:dyDescent="0.25">
      <c r="V296" s="47">
        <f>Таблица1[[#This Row],[Дата перевода]]-Таблица1[[#This Row],[Дата поступления]]</f>
        <v>32</v>
      </c>
      <c r="W296" s="47">
        <f>Таблица1[[#This Row],[Дата поступления]]-Таблица1[[#This Row],[Дата рождения]]</f>
        <v>3475</v>
      </c>
    </row>
    <row r="297" spans="22:23" ht="24.75" customHeight="1" x14ac:dyDescent="0.25">
      <c r="V297" s="47">
        <f>Таблица1[[#This Row],[Дата перевода]]-Таблица1[[#This Row],[Дата поступления]]</f>
        <v>2</v>
      </c>
      <c r="W297" s="47">
        <f>Таблица1[[#This Row],[Дата поступления]]-Таблица1[[#This Row],[Дата рождения]]</f>
        <v>1848</v>
      </c>
    </row>
    <row r="298" spans="22:23" ht="24.75" customHeight="1" x14ac:dyDescent="0.25">
      <c r="V298" s="47">
        <f>Таблица1[[#This Row],[Дата перевода]]-Таблица1[[#This Row],[Дата поступления]]</f>
        <v>1</v>
      </c>
      <c r="W298" s="47">
        <f>Таблица1[[#This Row],[Дата поступления]]-Таблица1[[#This Row],[Дата рождения]]</f>
        <v>1738</v>
      </c>
    </row>
    <row r="299" spans="22:23" ht="24.75" customHeight="1" x14ac:dyDescent="0.25">
      <c r="V299" s="47">
        <f>Таблица1[[#This Row],[Дата перевода]]-Таблица1[[#This Row],[Дата поступления]]</f>
        <v>0</v>
      </c>
      <c r="W299" s="47">
        <f>Таблица1[[#This Row],[Дата поступления]]-Таблица1[[#This Row],[Дата рождения]]</f>
        <v>4884</v>
      </c>
    </row>
    <row r="300" spans="22:23" ht="24.75" customHeight="1" x14ac:dyDescent="0.25">
      <c r="V300" s="47">
        <f>Таблица1[[#This Row],[Дата перевода]]-Таблица1[[#This Row],[Дата поступления]]</f>
        <v>8</v>
      </c>
      <c r="W300" s="47">
        <f>Таблица1[[#This Row],[Дата поступления]]-Таблица1[[#This Row],[Дата рождения]]</f>
        <v>6508</v>
      </c>
    </row>
    <row r="301" spans="22:23" ht="24.75" customHeight="1" x14ac:dyDescent="0.25">
      <c r="V301" s="47">
        <f>Таблица1[[#This Row],[Дата перевода]]-Таблица1[[#This Row],[Дата поступления]]</f>
        <v>1</v>
      </c>
      <c r="W301" s="47">
        <f>Таблица1[[#This Row],[Дата поступления]]-Таблица1[[#This Row],[Дата рождения]]</f>
        <v>597</v>
      </c>
    </row>
    <row r="302" spans="22:23" ht="24.75" customHeight="1" x14ac:dyDescent="0.25">
      <c r="V302" s="47">
        <f>Таблица1[[#This Row],[Дата перевода]]-Таблица1[[#This Row],[Дата поступления]]</f>
        <v>2</v>
      </c>
      <c r="W302" s="47">
        <f>Таблица1[[#This Row],[Дата поступления]]-Таблица1[[#This Row],[Дата рождения]]</f>
        <v>1684</v>
      </c>
    </row>
    <row r="303" spans="22:23" ht="24.75" customHeight="1" x14ac:dyDescent="0.25">
      <c r="V303" s="47">
        <f>Таблица1[[#This Row],[Дата перевода]]-Таблица1[[#This Row],[Дата поступления]]</f>
        <v>2</v>
      </c>
      <c r="W303" s="47">
        <f>Таблица1[[#This Row],[Дата поступления]]-Таблица1[[#This Row],[Дата рождения]]</f>
        <v>1123</v>
      </c>
    </row>
    <row r="304" spans="22:23" ht="24.75" customHeight="1" x14ac:dyDescent="0.25">
      <c r="V304" s="47">
        <f>Таблица1[[#This Row],[Дата перевода]]-Таблица1[[#This Row],[Дата поступления]]</f>
        <v>0</v>
      </c>
      <c r="W304" s="47">
        <f>Таблица1[[#This Row],[Дата поступления]]-Таблица1[[#This Row],[Дата рождения]]</f>
        <v>5101</v>
      </c>
    </row>
    <row r="305" spans="22:23" ht="24.75" customHeight="1" x14ac:dyDescent="0.25">
      <c r="V305" s="47">
        <f>Таблица1[[#This Row],[Дата перевода]]-Таблица1[[#This Row],[Дата поступления]]</f>
        <v>5</v>
      </c>
      <c r="W305" s="47">
        <f>Таблица1[[#This Row],[Дата поступления]]-Таблица1[[#This Row],[Дата рождения]]</f>
        <v>4515</v>
      </c>
    </row>
    <row r="306" spans="22:23" ht="24.75" customHeight="1" x14ac:dyDescent="0.25">
      <c r="V306" s="47">
        <f>Таблица1[[#This Row],[Дата перевода]]-Таблица1[[#This Row],[Дата поступления]]</f>
        <v>1</v>
      </c>
      <c r="W306" s="47">
        <f>Таблица1[[#This Row],[Дата поступления]]-Таблица1[[#This Row],[Дата рождения]]</f>
        <v>622</v>
      </c>
    </row>
    <row r="307" spans="22:23" ht="24.75" customHeight="1" x14ac:dyDescent="0.25">
      <c r="V307" s="47">
        <f>Таблица1[[#This Row],[Дата перевода]]-Таблица1[[#This Row],[Дата поступления]]</f>
        <v>2</v>
      </c>
      <c r="W307" s="47">
        <f>Таблица1[[#This Row],[Дата поступления]]-Таблица1[[#This Row],[Дата рождения]]</f>
        <v>5037</v>
      </c>
    </row>
    <row r="308" spans="22:23" ht="24.75" customHeight="1" x14ac:dyDescent="0.25">
      <c r="V308" s="47">
        <f>Таблица1[[#This Row],[Дата перевода]]-Таблица1[[#This Row],[Дата поступления]]</f>
        <v>0</v>
      </c>
      <c r="W308" s="47">
        <f>Таблица1[[#This Row],[Дата поступления]]-Таблица1[[#This Row],[Дата рождения]]</f>
        <v>45905</v>
      </c>
    </row>
    <row r="309" spans="22:23" ht="24.75" customHeight="1" x14ac:dyDescent="0.25">
      <c r="V309" s="47">
        <f>Таблица1[[#This Row],[Дата перевода]]-Таблица1[[#This Row],[Дата поступления]]</f>
        <v>1</v>
      </c>
      <c r="W309" s="47">
        <f>Таблица1[[#This Row],[Дата поступления]]-Таблица1[[#This Row],[Дата рождения]]</f>
        <v>6018</v>
      </c>
    </row>
    <row r="310" spans="22:23" ht="24.75" customHeight="1" x14ac:dyDescent="0.25">
      <c r="V310" s="47">
        <f>Таблица1[[#This Row],[Дата перевода]]-Таблица1[[#This Row],[Дата поступления]]</f>
        <v>2</v>
      </c>
      <c r="W310" s="47">
        <f>Таблица1[[#This Row],[Дата поступления]]-Таблица1[[#This Row],[Дата рождения]]</f>
        <v>4889</v>
      </c>
    </row>
    <row r="311" spans="22:23" ht="24.75" customHeight="1" x14ac:dyDescent="0.25">
      <c r="V311" s="47">
        <f>Таблица1[[#This Row],[Дата перевода]]-Таблица1[[#This Row],[Дата поступления]]</f>
        <v>1</v>
      </c>
      <c r="W311" s="47">
        <f>Таблица1[[#This Row],[Дата поступления]]-Таблица1[[#This Row],[Дата рождения]]</f>
        <v>2633</v>
      </c>
    </row>
    <row r="312" spans="22:23" ht="24.75" customHeight="1" x14ac:dyDescent="0.25">
      <c r="V312" s="47">
        <f>Таблица1[[#This Row],[Дата перевода]]-Таблица1[[#This Row],[Дата поступления]]</f>
        <v>4</v>
      </c>
      <c r="W312" s="47">
        <f>Таблица1[[#This Row],[Дата поступления]]-Таблица1[[#This Row],[Дата рождения]]</f>
        <v>6103</v>
      </c>
    </row>
    <row r="313" spans="22:23" ht="24.75" customHeight="1" x14ac:dyDescent="0.25">
      <c r="V313" s="47">
        <f>Таблица1[[#This Row],[Дата перевода]]-Таблица1[[#This Row],[Дата поступления]]</f>
        <v>1</v>
      </c>
      <c r="W313" s="47">
        <f>Таблица1[[#This Row],[Дата поступления]]-Таблица1[[#This Row],[Дата рождения]]</f>
        <v>1375</v>
      </c>
    </row>
    <row r="314" spans="22:23" ht="24.75" customHeight="1" x14ac:dyDescent="0.25">
      <c r="V314" s="47">
        <f>Таблица1[[#This Row],[Дата перевода]]-Таблица1[[#This Row],[Дата поступления]]</f>
        <v>1</v>
      </c>
      <c r="W314" s="47">
        <f>Таблица1[[#This Row],[Дата поступления]]-Таблица1[[#This Row],[Дата рождения]]</f>
        <v>3359</v>
      </c>
    </row>
    <row r="315" spans="22:23" ht="24.75" customHeight="1" x14ac:dyDescent="0.25">
      <c r="V315" s="47">
        <f>Таблица1[[#This Row],[Дата перевода]]-Таблица1[[#This Row],[Дата поступления]]</f>
        <v>3</v>
      </c>
      <c r="W315" s="47">
        <f>Таблица1[[#This Row],[Дата поступления]]-Таблица1[[#This Row],[Дата рождения]]</f>
        <v>2542</v>
      </c>
    </row>
    <row r="316" spans="22:23" ht="24.75" customHeight="1" x14ac:dyDescent="0.25">
      <c r="V316" s="47">
        <f>Таблица1[[#This Row],[Дата перевода]]-Таблица1[[#This Row],[Дата поступления]]</f>
        <v>1</v>
      </c>
      <c r="W316" s="47">
        <f>Таблица1[[#This Row],[Дата поступления]]-Таблица1[[#This Row],[Дата рождения]]</f>
        <v>4742</v>
      </c>
    </row>
    <row r="317" spans="22:23" ht="24.75" customHeight="1" x14ac:dyDescent="0.25">
      <c r="V317" s="47">
        <f>Таблица1[[#This Row],[Дата перевода]]-Таблица1[[#This Row],[Дата поступления]]</f>
        <v>1</v>
      </c>
      <c r="W317" s="47">
        <f>Таблица1[[#This Row],[Дата поступления]]-Таблица1[[#This Row],[Дата рождения]]</f>
        <v>6024</v>
      </c>
    </row>
    <row r="318" spans="22:23" ht="24.75" customHeight="1" x14ac:dyDescent="0.25">
      <c r="V318" s="47">
        <f>Таблица1[[#This Row],[Дата перевода]]-Таблица1[[#This Row],[Дата поступления]]</f>
        <v>1</v>
      </c>
      <c r="W318" s="47">
        <f>Таблица1[[#This Row],[Дата поступления]]-Таблица1[[#This Row],[Дата рождения]]</f>
        <v>4258</v>
      </c>
    </row>
    <row r="319" spans="22:23" ht="24.75" customHeight="1" x14ac:dyDescent="0.25">
      <c r="V319" s="47">
        <f>Таблица1[[#This Row],[Дата перевода]]-Таблица1[[#This Row],[Дата поступления]]</f>
        <v>0</v>
      </c>
      <c r="W319" s="47">
        <f>Таблица1[[#This Row],[Дата поступления]]-Таблица1[[#This Row],[Дата рождения]]</f>
        <v>494</v>
      </c>
    </row>
    <row r="320" spans="22:23" ht="24.75" customHeight="1" x14ac:dyDescent="0.25">
      <c r="V320" s="47">
        <f>Таблица1[[#This Row],[Дата перевода]]-Таблица1[[#This Row],[Дата поступления]]</f>
        <v>3</v>
      </c>
      <c r="W320" s="47">
        <f>Таблица1[[#This Row],[Дата поступления]]-Таблица1[[#This Row],[Дата рождения]]</f>
        <v>2309</v>
      </c>
    </row>
    <row r="321" spans="22:23" ht="24.75" customHeight="1" x14ac:dyDescent="0.25">
      <c r="V321" s="47">
        <f>Таблица1[[#This Row],[Дата перевода]]-Таблица1[[#This Row],[Дата поступления]]</f>
        <v>1</v>
      </c>
      <c r="W321" s="47">
        <f>Таблица1[[#This Row],[Дата поступления]]-Таблица1[[#This Row],[Дата рождения]]</f>
        <v>6520</v>
      </c>
    </row>
    <row r="322" spans="22:23" ht="24.75" customHeight="1" x14ac:dyDescent="0.25">
      <c r="V322" s="47">
        <f>Таблица1[[#This Row],[Дата перевода]]-Таблица1[[#This Row],[Дата поступления]]</f>
        <v>1</v>
      </c>
      <c r="W322" s="47">
        <f>Таблица1[[#This Row],[Дата поступления]]-Таблица1[[#This Row],[Дата рождения]]</f>
        <v>6479</v>
      </c>
    </row>
    <row r="323" spans="22:23" ht="24.75" customHeight="1" x14ac:dyDescent="0.25">
      <c r="V323" s="47">
        <f>Таблица1[[#This Row],[Дата перевода]]-Таблица1[[#This Row],[Дата поступления]]</f>
        <v>1</v>
      </c>
      <c r="W323" s="47">
        <f>Таблица1[[#This Row],[Дата поступления]]-Таблица1[[#This Row],[Дата рождения]]</f>
        <v>4175</v>
      </c>
    </row>
    <row r="324" spans="22:23" ht="24.75" customHeight="1" x14ac:dyDescent="0.25">
      <c r="V324" s="47">
        <f>Таблица1[[#This Row],[Дата перевода]]-Таблица1[[#This Row],[Дата поступления]]</f>
        <v>1</v>
      </c>
      <c r="W324" s="47">
        <f>Таблица1[[#This Row],[Дата поступления]]-Таблица1[[#This Row],[Дата рождения]]</f>
        <v>3114</v>
      </c>
    </row>
    <row r="325" spans="22:23" ht="24.75" customHeight="1" x14ac:dyDescent="0.25">
      <c r="V325" s="47">
        <f>Таблица1[[#This Row],[Дата перевода]]-Таблица1[[#This Row],[Дата поступления]]</f>
        <v>1</v>
      </c>
      <c r="W325" s="47">
        <f>Таблица1[[#This Row],[Дата поступления]]-Таблица1[[#This Row],[Дата рождения]]</f>
        <v>5422</v>
      </c>
    </row>
    <row r="326" spans="22:23" ht="24.75" customHeight="1" x14ac:dyDescent="0.25">
      <c r="V326" s="47">
        <f>Таблица1[[#This Row],[Дата перевода]]-Таблица1[[#This Row],[Дата поступления]]</f>
        <v>2</v>
      </c>
      <c r="W326" s="47">
        <f>Таблица1[[#This Row],[Дата поступления]]-Таблица1[[#This Row],[Дата рождения]]</f>
        <v>5364</v>
      </c>
    </row>
    <row r="327" spans="22:23" ht="24.75" customHeight="1" x14ac:dyDescent="0.25">
      <c r="V327" s="47">
        <f>Таблица1[[#This Row],[Дата перевода]]-Таблица1[[#This Row],[Дата поступления]]</f>
        <v>1</v>
      </c>
      <c r="W327" s="47">
        <f>Таблица1[[#This Row],[Дата поступления]]-Таблица1[[#This Row],[Дата рождения]]</f>
        <v>3354</v>
      </c>
    </row>
    <row r="328" spans="22:23" ht="24.75" customHeight="1" x14ac:dyDescent="0.25">
      <c r="V328" s="47">
        <f>Таблица1[[#This Row],[Дата перевода]]-Таблица1[[#This Row],[Дата поступления]]</f>
        <v>1</v>
      </c>
      <c r="W328" s="47">
        <f>Таблица1[[#This Row],[Дата поступления]]-Таблица1[[#This Row],[Дата рождения]]</f>
        <v>1286</v>
      </c>
    </row>
    <row r="329" spans="22:23" ht="24.75" customHeight="1" x14ac:dyDescent="0.25">
      <c r="V329" s="47">
        <f>Таблица1[[#This Row],[Дата перевода]]-Таблица1[[#This Row],[Дата поступления]]</f>
        <v>3</v>
      </c>
      <c r="W329" s="47">
        <f>Таблица1[[#This Row],[Дата поступления]]-Таблица1[[#This Row],[Дата рождения]]</f>
        <v>72</v>
      </c>
    </row>
    <row r="330" spans="22:23" ht="24.75" customHeight="1" x14ac:dyDescent="0.25">
      <c r="V330" s="47">
        <f>Таблица1[[#This Row],[Дата перевода]]-Таблица1[[#This Row],[Дата поступления]]</f>
        <v>4</v>
      </c>
      <c r="W330" s="47">
        <f>Таблица1[[#This Row],[Дата поступления]]-Таблица1[[#This Row],[Дата рождения]]</f>
        <v>6573</v>
      </c>
    </row>
    <row r="331" spans="22:23" ht="24.75" customHeight="1" x14ac:dyDescent="0.25">
      <c r="V331" s="47">
        <f>Таблица1[[#This Row],[Дата перевода]]-Таблица1[[#This Row],[Дата поступления]]</f>
        <v>6</v>
      </c>
      <c r="W331" s="47">
        <f>Таблица1[[#This Row],[Дата поступления]]-Таблица1[[#This Row],[Дата рождения]]</f>
        <v>6474</v>
      </c>
    </row>
    <row r="332" spans="22:23" ht="24.75" customHeight="1" x14ac:dyDescent="0.25">
      <c r="V332" s="47">
        <f>Таблица1[[#This Row],[Дата перевода]]-Таблица1[[#This Row],[Дата поступления]]</f>
        <v>4</v>
      </c>
      <c r="W332" s="47">
        <f>Таблица1[[#This Row],[Дата поступления]]-Таблица1[[#This Row],[Дата рождения]]</f>
        <v>435</v>
      </c>
    </row>
    <row r="333" spans="22:23" ht="24.75" customHeight="1" x14ac:dyDescent="0.25">
      <c r="V333" s="47">
        <f>Таблица1[[#This Row],[Дата перевода]]-Таблица1[[#This Row],[Дата поступления]]</f>
        <v>3</v>
      </c>
      <c r="W333" s="47">
        <f>Таблица1[[#This Row],[Дата поступления]]-Таблица1[[#This Row],[Дата рождения]]</f>
        <v>1523</v>
      </c>
    </row>
    <row r="334" spans="22:23" ht="24.75" customHeight="1" x14ac:dyDescent="0.25">
      <c r="V334" s="47">
        <f>Таблица1[[#This Row],[Дата перевода]]-Таблица1[[#This Row],[Дата поступления]]</f>
        <v>2</v>
      </c>
      <c r="W334" s="47">
        <f>Таблица1[[#This Row],[Дата поступления]]-Таблица1[[#This Row],[Дата рождения]]</f>
        <v>5552</v>
      </c>
    </row>
    <row r="335" spans="22:23" ht="24.75" customHeight="1" x14ac:dyDescent="0.25">
      <c r="V335" s="47">
        <f>Таблица1[[#This Row],[Дата перевода]]-Таблица1[[#This Row],[Дата поступления]]</f>
        <v>3</v>
      </c>
      <c r="W335" s="47">
        <f>Таблица1[[#This Row],[Дата поступления]]-Таблица1[[#This Row],[Дата рождения]]</f>
        <v>45919</v>
      </c>
    </row>
    <row r="336" spans="22:23" ht="24.75" customHeight="1" x14ac:dyDescent="0.25">
      <c r="V336" s="47">
        <f>Таблица1[[#This Row],[Дата перевода]]-Таблица1[[#This Row],[Дата поступления]]</f>
        <v>3</v>
      </c>
      <c r="W336" s="47">
        <f>Таблица1[[#This Row],[Дата поступления]]-Таблица1[[#This Row],[Дата рождения]]</f>
        <v>165</v>
      </c>
    </row>
    <row r="337" spans="22:23" ht="24.75" customHeight="1" x14ac:dyDescent="0.25">
      <c r="V337" s="47">
        <f>Таблица1[[#This Row],[Дата перевода]]-Таблица1[[#This Row],[Дата поступления]]</f>
        <v>10</v>
      </c>
      <c r="W337" s="47">
        <f>Таблица1[[#This Row],[Дата поступления]]-Таблица1[[#This Row],[Дата рождения]]</f>
        <v>5844</v>
      </c>
    </row>
    <row r="338" spans="22:23" ht="24.75" customHeight="1" x14ac:dyDescent="0.25">
      <c r="V338" s="47">
        <f>Таблица1[[#This Row],[Дата перевода]]-Таблица1[[#This Row],[Дата поступления]]</f>
        <v>2</v>
      </c>
      <c r="W338" s="47">
        <f>Таблица1[[#This Row],[Дата поступления]]-Таблица1[[#This Row],[Дата рождения]]</f>
        <v>6554</v>
      </c>
    </row>
    <row r="339" spans="22:23" ht="24.75" customHeight="1" x14ac:dyDescent="0.25">
      <c r="V339" s="47">
        <f>Таблица1[[#This Row],[Дата перевода]]-Таблица1[[#This Row],[Дата поступления]]</f>
        <v>2</v>
      </c>
      <c r="W339" s="47">
        <f>Таблица1[[#This Row],[Дата поступления]]-Таблица1[[#This Row],[Дата рождения]]</f>
        <v>3094</v>
      </c>
    </row>
    <row r="340" spans="22:23" ht="24.75" customHeight="1" x14ac:dyDescent="0.25">
      <c r="V340" s="47">
        <f>Таблица1[[#This Row],[Дата перевода]]-Таблица1[[#This Row],[Дата поступления]]</f>
        <v>3</v>
      </c>
      <c r="W340" s="47">
        <f>Таблица1[[#This Row],[Дата поступления]]-Таблица1[[#This Row],[Дата рождения]]</f>
        <v>5751</v>
      </c>
    </row>
    <row r="341" spans="22:23" ht="24.75" customHeight="1" x14ac:dyDescent="0.25">
      <c r="V341" s="47">
        <f>Таблица1[[#This Row],[Дата перевода]]-Таблица1[[#This Row],[Дата поступления]]</f>
        <v>1</v>
      </c>
      <c r="W341" s="47">
        <f>Таблица1[[#This Row],[Дата поступления]]-Таблица1[[#This Row],[Дата рождения]]</f>
        <v>2337</v>
      </c>
    </row>
    <row r="342" spans="22:23" ht="24.75" customHeight="1" x14ac:dyDescent="0.25">
      <c r="V342" s="47">
        <f>Таблица1[[#This Row],[Дата перевода]]-Таблица1[[#This Row],[Дата поступления]]</f>
        <v>1</v>
      </c>
      <c r="W342" s="47">
        <f>Таблица1[[#This Row],[Дата поступления]]-Таблица1[[#This Row],[Дата рождения]]</f>
        <v>4707</v>
      </c>
    </row>
    <row r="343" spans="22:23" ht="24.75" customHeight="1" x14ac:dyDescent="0.25">
      <c r="V343" s="47">
        <f>Таблица1[[#This Row],[Дата перевода]]-Таблица1[[#This Row],[Дата поступления]]</f>
        <v>2</v>
      </c>
      <c r="W343" s="47">
        <f>Таблица1[[#This Row],[Дата поступления]]-Таблица1[[#This Row],[Дата рождения]]</f>
        <v>6172</v>
      </c>
    </row>
    <row r="344" spans="22:23" ht="24.75" customHeight="1" x14ac:dyDescent="0.25">
      <c r="V344" s="47">
        <f>Таблица1[[#This Row],[Дата перевода]]-Таблица1[[#This Row],[Дата поступления]]</f>
        <v>5</v>
      </c>
      <c r="W344" s="47">
        <f>Таблица1[[#This Row],[Дата поступления]]-Таблица1[[#This Row],[Дата рождения]]</f>
        <v>6133</v>
      </c>
    </row>
    <row r="345" spans="22:23" ht="24.75" customHeight="1" x14ac:dyDescent="0.25">
      <c r="V345" s="47">
        <f>Таблица1[[#This Row],[Дата перевода]]-Таблица1[[#This Row],[Дата поступления]]</f>
        <v>2</v>
      </c>
      <c r="W345" s="47">
        <f>Таблица1[[#This Row],[Дата поступления]]-Таблица1[[#This Row],[Дата рождения]]</f>
        <v>263</v>
      </c>
    </row>
    <row r="346" spans="22:23" ht="24.75" customHeight="1" x14ac:dyDescent="0.25">
      <c r="V346" s="47">
        <f>Таблица1[[#This Row],[Дата перевода]]-Таблица1[[#This Row],[Дата поступления]]</f>
        <v>1</v>
      </c>
      <c r="W346" s="47">
        <f>Таблица1[[#This Row],[Дата поступления]]-Таблица1[[#This Row],[Дата рождения]]</f>
        <v>6395</v>
      </c>
    </row>
    <row r="347" spans="22:23" ht="24.75" customHeight="1" x14ac:dyDescent="0.25">
      <c r="V347" s="47">
        <f>Таблица1[[#This Row],[Дата перевода]]-Таблица1[[#This Row],[Дата поступления]]</f>
        <v>1</v>
      </c>
      <c r="W347" s="47">
        <f>Таблица1[[#This Row],[Дата поступления]]-Таблица1[[#This Row],[Дата рождения]]</f>
        <v>3850</v>
      </c>
    </row>
    <row r="348" spans="22:23" ht="24.75" customHeight="1" x14ac:dyDescent="0.25">
      <c r="V348" s="47">
        <f>Таблица1[[#This Row],[Дата перевода]]-Таблица1[[#This Row],[Дата поступления]]</f>
        <v>1</v>
      </c>
      <c r="W348" s="47">
        <f>Таблица1[[#This Row],[Дата поступления]]-Таблица1[[#This Row],[Дата рождения]]</f>
        <v>4224</v>
      </c>
    </row>
    <row r="349" spans="22:23" ht="24.75" customHeight="1" x14ac:dyDescent="0.25">
      <c r="V349" s="47">
        <f>Таблица1[[#This Row],[Дата перевода]]-Таблица1[[#This Row],[Дата поступления]]</f>
        <v>1</v>
      </c>
      <c r="W349" s="47">
        <f>Таблица1[[#This Row],[Дата поступления]]-Таблица1[[#This Row],[Дата рождения]]</f>
        <v>405</v>
      </c>
    </row>
    <row r="350" spans="22:23" ht="24.75" customHeight="1" x14ac:dyDescent="0.25">
      <c r="V350" s="47">
        <f>Таблица1[[#This Row],[Дата перевода]]-Таблица1[[#This Row],[Дата поступления]]</f>
        <v>5</v>
      </c>
      <c r="W350" s="47">
        <f>Таблица1[[#This Row],[Дата поступления]]-Таблица1[[#This Row],[Дата рождения]]</f>
        <v>747</v>
      </c>
    </row>
    <row r="351" spans="22:23" ht="24.75" customHeight="1" x14ac:dyDescent="0.25">
      <c r="V351" s="47">
        <f>Таблица1[[#This Row],[Дата перевода]]-Таблица1[[#This Row],[Дата поступления]]</f>
        <v>1</v>
      </c>
      <c r="W351" s="47">
        <f>Таблица1[[#This Row],[Дата поступления]]-Таблица1[[#This Row],[Дата рождения]]</f>
        <v>2944</v>
      </c>
    </row>
    <row r="352" spans="22:23" ht="24.75" customHeight="1" x14ac:dyDescent="0.25">
      <c r="V352" s="47">
        <f>Таблица1[[#This Row],[Дата перевода]]-Таблица1[[#This Row],[Дата поступления]]</f>
        <v>10</v>
      </c>
      <c r="W352" s="47">
        <f>Таблица1[[#This Row],[Дата поступления]]-Таблица1[[#This Row],[Дата рождения]]</f>
        <v>5753</v>
      </c>
    </row>
    <row r="353" spans="22:23" ht="24.75" customHeight="1" x14ac:dyDescent="0.25">
      <c r="V353" s="47">
        <f>Таблица1[[#This Row],[Дата перевода]]-Таблица1[[#This Row],[Дата поступления]]</f>
        <v>3</v>
      </c>
      <c r="W353" s="47">
        <f>Таблица1[[#This Row],[Дата поступления]]-Таблица1[[#This Row],[Дата рождения]]</f>
        <v>11</v>
      </c>
    </row>
    <row r="354" spans="22:23" ht="24.75" customHeight="1" x14ac:dyDescent="0.25">
      <c r="V354" s="47">
        <f>Таблица1[[#This Row],[Дата перевода]]-Таблица1[[#This Row],[Дата поступления]]</f>
        <v>1</v>
      </c>
      <c r="W354" s="47">
        <f>Таблица1[[#This Row],[Дата поступления]]-Таблица1[[#This Row],[Дата рождения]]</f>
        <v>4178</v>
      </c>
    </row>
    <row r="355" spans="22:23" ht="24.75" customHeight="1" x14ac:dyDescent="0.25">
      <c r="V355" s="47">
        <f>Таблица1[[#This Row],[Дата перевода]]-Таблица1[[#This Row],[Дата поступления]]</f>
        <v>4</v>
      </c>
      <c r="W355" s="47">
        <f>Таблица1[[#This Row],[Дата поступления]]-Таблица1[[#This Row],[Дата рождения]]</f>
        <v>4626</v>
      </c>
    </row>
    <row r="356" spans="22:23" ht="24.75" customHeight="1" x14ac:dyDescent="0.25">
      <c r="V356" s="47">
        <f>Таблица1[[#This Row],[Дата перевода]]-Таблица1[[#This Row],[Дата поступления]]</f>
        <v>1</v>
      </c>
      <c r="W356" s="47">
        <f>Таблица1[[#This Row],[Дата поступления]]-Таблица1[[#This Row],[Дата рождения]]</f>
        <v>5077</v>
      </c>
    </row>
    <row r="357" spans="22:23" ht="24.75" customHeight="1" x14ac:dyDescent="0.25">
      <c r="V357" s="47">
        <f>Таблица1[[#This Row],[Дата перевода]]-Таблица1[[#This Row],[Дата поступления]]</f>
        <v>1</v>
      </c>
      <c r="W357" s="47">
        <f>Таблица1[[#This Row],[Дата поступления]]-Таблица1[[#This Row],[Дата рождения]]</f>
        <v>5690</v>
      </c>
    </row>
    <row r="358" spans="22:23" ht="24.75" customHeight="1" x14ac:dyDescent="0.25">
      <c r="V358" s="47">
        <f>Таблица1[[#This Row],[Дата перевода]]-Таблица1[[#This Row],[Дата поступления]]</f>
        <v>1</v>
      </c>
      <c r="W358" s="47">
        <f>Таблица1[[#This Row],[Дата поступления]]-Таблица1[[#This Row],[Дата рождения]]</f>
        <v>1431</v>
      </c>
    </row>
    <row r="359" spans="22:23" ht="24.75" customHeight="1" x14ac:dyDescent="0.25">
      <c r="V359" s="47">
        <f>Таблица1[[#This Row],[Дата перевода]]-Таблица1[[#This Row],[Дата поступления]]</f>
        <v>1</v>
      </c>
      <c r="W359" s="47">
        <f>Таблица1[[#This Row],[Дата поступления]]-Таблица1[[#This Row],[Дата рождения]]</f>
        <v>3221</v>
      </c>
    </row>
    <row r="360" spans="22:23" ht="24.75" customHeight="1" x14ac:dyDescent="0.25">
      <c r="V360" s="47">
        <f>Таблица1[[#This Row],[Дата перевода]]-Таблица1[[#This Row],[Дата поступления]]</f>
        <v>1</v>
      </c>
      <c r="W360" s="47">
        <f>Таблица1[[#This Row],[Дата поступления]]-Таблица1[[#This Row],[Дата рождения]]</f>
        <v>1792</v>
      </c>
    </row>
    <row r="361" spans="22:23" ht="24.75" customHeight="1" x14ac:dyDescent="0.25">
      <c r="V361" s="47">
        <f>Таблица1[[#This Row],[Дата перевода]]-Таблица1[[#This Row],[Дата поступления]]</f>
        <v>0</v>
      </c>
      <c r="W361" s="47">
        <f>Таблица1[[#This Row],[Дата поступления]]-Таблица1[[#This Row],[Дата рождения]]</f>
        <v>6246</v>
      </c>
    </row>
    <row r="362" spans="22:23" ht="24.75" customHeight="1" x14ac:dyDescent="0.25">
      <c r="V362" s="47">
        <f>Таблица1[[#This Row],[Дата перевода]]-Таблица1[[#This Row],[Дата поступления]]</f>
        <v>1</v>
      </c>
      <c r="W362" s="47">
        <f>Таблица1[[#This Row],[Дата поступления]]-Таблица1[[#This Row],[Дата рождения]]</f>
        <v>4147</v>
      </c>
    </row>
    <row r="363" spans="22:23" ht="24.75" customHeight="1" x14ac:dyDescent="0.25">
      <c r="V363" s="47">
        <f>Таблица1[[#This Row],[Дата перевода]]-Таблица1[[#This Row],[Дата поступления]]</f>
        <v>1</v>
      </c>
      <c r="W363" s="47">
        <f>Таблица1[[#This Row],[Дата поступления]]-Таблица1[[#This Row],[Дата рождения]]</f>
        <v>3507</v>
      </c>
    </row>
    <row r="364" spans="22:23" ht="24.75" customHeight="1" x14ac:dyDescent="0.25">
      <c r="V364" s="47">
        <f>Таблица1[[#This Row],[Дата перевода]]-Таблица1[[#This Row],[Дата поступления]]</f>
        <v>1</v>
      </c>
      <c r="W364" s="47">
        <f>Таблица1[[#This Row],[Дата поступления]]-Таблица1[[#This Row],[Дата рождения]]</f>
        <v>1265</v>
      </c>
    </row>
    <row r="365" spans="22:23" ht="24.75" customHeight="1" x14ac:dyDescent="0.25">
      <c r="V365" s="47">
        <f>Таблица1[[#This Row],[Дата перевода]]-Таблица1[[#This Row],[Дата поступления]]</f>
        <v>2</v>
      </c>
      <c r="W365" s="47">
        <f>Таблица1[[#This Row],[Дата поступления]]-Таблица1[[#This Row],[Дата рождения]]</f>
        <v>4432</v>
      </c>
    </row>
    <row r="366" spans="22:23" ht="24.75" customHeight="1" x14ac:dyDescent="0.25">
      <c r="V366" s="47">
        <f>Таблица1[[#This Row],[Дата перевода]]-Таблица1[[#This Row],[Дата поступления]]</f>
        <v>1</v>
      </c>
      <c r="W366" s="47">
        <f>Таблица1[[#This Row],[Дата поступления]]-Таблица1[[#This Row],[Дата рождения]]</f>
        <v>5288</v>
      </c>
    </row>
    <row r="367" spans="22:23" ht="24.75" customHeight="1" x14ac:dyDescent="0.25">
      <c r="V367" s="47">
        <f>Таблица1[[#This Row],[Дата перевода]]-Таблица1[[#This Row],[Дата поступления]]</f>
        <v>1</v>
      </c>
      <c r="W367" s="47">
        <f>Таблица1[[#This Row],[Дата поступления]]-Таблица1[[#This Row],[Дата рождения]]</f>
        <v>5570</v>
      </c>
    </row>
    <row r="368" spans="22:23" ht="24.75" customHeight="1" x14ac:dyDescent="0.25">
      <c r="V368" s="47">
        <f>Таблица1[[#This Row],[Дата перевода]]-Таблица1[[#This Row],[Дата поступления]]</f>
        <v>0</v>
      </c>
      <c r="W368" s="47">
        <f>Таблица1[[#This Row],[Дата поступления]]-Таблица1[[#This Row],[Дата рождения]]</f>
        <v>503</v>
      </c>
    </row>
    <row r="369" spans="22:23" ht="24.75" customHeight="1" x14ac:dyDescent="0.25">
      <c r="V369" s="47">
        <f>Таблица1[[#This Row],[Дата перевода]]-Таблица1[[#This Row],[Дата поступления]]</f>
        <v>0</v>
      </c>
      <c r="W369" s="47">
        <f>Таблица1[[#This Row],[Дата поступления]]-Таблица1[[#This Row],[Дата рождения]]</f>
        <v>5702</v>
      </c>
    </row>
    <row r="370" spans="22:23" ht="24.75" customHeight="1" x14ac:dyDescent="0.25">
      <c r="V370" s="47">
        <f>Таблица1[[#This Row],[Дата перевода]]-Таблица1[[#This Row],[Дата поступления]]</f>
        <v>2</v>
      </c>
      <c r="W370" s="47">
        <f>Таблица1[[#This Row],[Дата поступления]]-Таблица1[[#This Row],[Дата рождения]]</f>
        <v>3301</v>
      </c>
    </row>
    <row r="371" spans="22:23" ht="24.75" customHeight="1" x14ac:dyDescent="0.25">
      <c r="V371" s="47">
        <f>Таблица1[[#This Row],[Дата перевода]]-Таблица1[[#This Row],[Дата поступления]]</f>
        <v>2</v>
      </c>
      <c r="W371" s="47">
        <f>Таблица1[[#This Row],[Дата поступления]]-Таблица1[[#This Row],[Дата рождения]]</f>
        <v>4289</v>
      </c>
    </row>
    <row r="372" spans="22:23" ht="24.75" customHeight="1" x14ac:dyDescent="0.25">
      <c r="V372" s="47">
        <f>Таблица1[[#This Row],[Дата перевода]]-Таблица1[[#This Row],[Дата поступления]]</f>
        <v>1</v>
      </c>
      <c r="W372" s="47">
        <f>Таблица1[[#This Row],[Дата поступления]]-Таблица1[[#This Row],[Дата рождения]]</f>
        <v>4922</v>
      </c>
    </row>
    <row r="373" spans="22:23" ht="24.75" customHeight="1" x14ac:dyDescent="0.25">
      <c r="V373" s="47">
        <f>Таблица1[[#This Row],[Дата перевода]]-Таблица1[[#This Row],[Дата поступления]]</f>
        <v>3</v>
      </c>
      <c r="W373" s="47">
        <f>Таблица1[[#This Row],[Дата поступления]]-Таблица1[[#This Row],[Дата рождения]]</f>
        <v>8</v>
      </c>
    </row>
    <row r="374" spans="22:23" ht="24.75" customHeight="1" x14ac:dyDescent="0.25">
      <c r="V374" s="47">
        <f>Таблица1[[#This Row],[Дата перевода]]-Таблица1[[#This Row],[Дата поступления]]</f>
        <v>-45943</v>
      </c>
      <c r="W374" s="47">
        <f>Таблица1[[#This Row],[Дата поступления]]-Таблица1[[#This Row],[Дата рождения]]</f>
        <v>267</v>
      </c>
    </row>
    <row r="375" spans="22:23" ht="24.75" customHeight="1" x14ac:dyDescent="0.25">
      <c r="V375" s="47">
        <f>Таблица1[[#This Row],[Дата перевода]]-Таблица1[[#This Row],[Дата поступления]]</f>
        <v>2</v>
      </c>
      <c r="W375" s="47">
        <f>Таблица1[[#This Row],[Дата поступления]]-Таблица1[[#This Row],[Дата рождения]]</f>
        <v>5689</v>
      </c>
    </row>
    <row r="376" spans="22:23" ht="24.75" customHeight="1" x14ac:dyDescent="0.25">
      <c r="V376" s="47">
        <f>Таблица1[[#This Row],[Дата перевода]]-Таблица1[[#This Row],[Дата поступления]]</f>
        <v>1</v>
      </c>
      <c r="W376" s="47">
        <f>Таблица1[[#This Row],[Дата поступления]]-Таблица1[[#This Row],[Дата рождения]]</f>
        <v>563</v>
      </c>
    </row>
    <row r="377" spans="22:23" ht="24.75" customHeight="1" x14ac:dyDescent="0.25">
      <c r="V377" s="47">
        <f>Таблица1[[#This Row],[Дата перевода]]-Таблица1[[#This Row],[Дата поступления]]</f>
        <v>4</v>
      </c>
      <c r="W377" s="47">
        <f>Таблица1[[#This Row],[Дата поступления]]-Таблица1[[#This Row],[Дата рождения]]</f>
        <v>6004</v>
      </c>
    </row>
    <row r="378" spans="22:23" ht="24.75" customHeight="1" x14ac:dyDescent="0.25">
      <c r="V378" s="47">
        <f>Таблица1[[#This Row],[Дата перевода]]-Таблица1[[#This Row],[Дата поступления]]</f>
        <v>1</v>
      </c>
      <c r="W378" s="47">
        <f>Таблица1[[#This Row],[Дата поступления]]-Таблица1[[#This Row],[Дата рождения]]</f>
        <v>4197</v>
      </c>
    </row>
    <row r="379" spans="22:23" ht="24.75" customHeight="1" x14ac:dyDescent="0.25">
      <c r="V379" s="47">
        <f>Таблица1[[#This Row],[Дата перевода]]-Таблица1[[#This Row],[Дата поступления]]</f>
        <v>1</v>
      </c>
      <c r="W379" s="47">
        <f>Таблица1[[#This Row],[Дата поступления]]-Таблица1[[#This Row],[Дата рождения]]</f>
        <v>5722</v>
      </c>
    </row>
    <row r="380" spans="22:23" ht="24.75" customHeight="1" x14ac:dyDescent="0.25">
      <c r="V380" s="47">
        <f>Таблица1[[#This Row],[Дата перевода]]-Таблица1[[#This Row],[Дата поступления]]</f>
        <v>1</v>
      </c>
      <c r="W380" s="47">
        <f>Таблица1[[#This Row],[Дата поступления]]-Таблица1[[#This Row],[Дата рождения]]</f>
        <v>6455</v>
      </c>
    </row>
    <row r="381" spans="22:23" ht="24.75" customHeight="1" x14ac:dyDescent="0.25">
      <c r="V381" s="47">
        <f>Таблица1[[#This Row],[Дата перевода]]-Таблица1[[#This Row],[Дата поступления]]</f>
        <v>0</v>
      </c>
      <c r="W381" s="47">
        <f>Таблица1[[#This Row],[Дата поступления]]-Таблица1[[#This Row],[Дата рождения]]</f>
        <v>87</v>
      </c>
    </row>
    <row r="382" spans="22:23" ht="24.75" customHeight="1" x14ac:dyDescent="0.25">
      <c r="V382" s="47">
        <f>Таблица1[[#This Row],[Дата перевода]]-Таблица1[[#This Row],[Дата поступления]]</f>
        <v>0</v>
      </c>
      <c r="W382" s="47">
        <f>Таблица1[[#This Row],[Дата поступления]]-Таблица1[[#This Row],[Дата рождения]]</f>
        <v>4802</v>
      </c>
    </row>
    <row r="383" spans="22:23" ht="24.75" customHeight="1" x14ac:dyDescent="0.25">
      <c r="V383" s="47">
        <f>Таблица1[[#This Row],[Дата перевода]]-Таблица1[[#This Row],[Дата поступления]]</f>
        <v>-45951</v>
      </c>
      <c r="W383" s="47">
        <f>Таблица1[[#This Row],[Дата поступления]]-Таблица1[[#This Row],[Дата рождения]]</f>
        <v>384</v>
      </c>
    </row>
    <row r="384" spans="22:23" ht="24.75" customHeight="1" x14ac:dyDescent="0.25">
      <c r="V384" s="47">
        <f>Таблица1[[#This Row],[Дата перевода]]-Таблица1[[#This Row],[Дата поступления]]</f>
        <v>1</v>
      </c>
      <c r="W384" s="47">
        <f>Таблица1[[#This Row],[Дата поступления]]-Таблица1[[#This Row],[Дата рождения]]</f>
        <v>4851</v>
      </c>
    </row>
    <row r="385" spans="22:23" ht="24.75" customHeight="1" x14ac:dyDescent="0.25">
      <c r="V385" s="47">
        <f>Таблица1[[#This Row],[Дата перевода]]-Таблица1[[#This Row],[Дата поступления]]</f>
        <v>-45955</v>
      </c>
      <c r="W385" s="47">
        <f>Таблица1[[#This Row],[Дата поступления]]-Таблица1[[#This Row],[Дата рождения]]</f>
        <v>6560</v>
      </c>
    </row>
    <row r="386" spans="22:23" ht="24.75" customHeight="1" x14ac:dyDescent="0.25">
      <c r="V386" s="47">
        <f>Таблица1[[#This Row],[Дата перевода]]-Таблица1[[#This Row],[Дата поступления]]</f>
        <v>3</v>
      </c>
      <c r="W386" s="47">
        <f>Таблица1[[#This Row],[Дата поступления]]-Таблица1[[#This Row],[Дата рождения]]</f>
        <v>108</v>
      </c>
    </row>
    <row r="387" spans="22:23" ht="24.75" customHeight="1" x14ac:dyDescent="0.25">
      <c r="V387" s="47">
        <f>Таблица1[[#This Row],[Дата перевода]]-Таблица1[[#This Row],[Дата поступления]]</f>
        <v>3</v>
      </c>
      <c r="W387" s="47">
        <f>Таблица1[[#This Row],[Дата поступления]]-Таблица1[[#This Row],[Дата рождения]]</f>
        <v>12</v>
      </c>
    </row>
    <row r="388" spans="22:23" ht="24.75" customHeight="1" x14ac:dyDescent="0.25">
      <c r="V388" s="47">
        <f>Таблица1[[#This Row],[Дата перевода]]-Таблица1[[#This Row],[Дата поступления]]</f>
        <v>32</v>
      </c>
      <c r="W388" s="47">
        <f>Таблица1[[#This Row],[Дата поступления]]-Таблица1[[#This Row],[Дата рождения]]</f>
        <v>5307</v>
      </c>
    </row>
    <row r="389" spans="22:23" ht="24.75" customHeight="1" x14ac:dyDescent="0.25">
      <c r="V389" s="47">
        <f>Таблица1[[#This Row],[Дата перевода]]-Таблица1[[#This Row],[Дата поступления]]</f>
        <v>2</v>
      </c>
      <c r="W389" s="47">
        <f>Таблица1[[#This Row],[Дата поступления]]-Таблица1[[#This Row],[Дата рождения]]</f>
        <v>2664</v>
      </c>
    </row>
    <row r="390" spans="22:23" ht="24.75" customHeight="1" x14ac:dyDescent="0.25">
      <c r="V390" s="47">
        <f>Таблица1[[#This Row],[Дата перевода]]-Таблица1[[#This Row],[Дата поступления]]</f>
        <v>1</v>
      </c>
      <c r="W390" s="47">
        <f>Таблица1[[#This Row],[Дата поступления]]-Таблица1[[#This Row],[Дата рождения]]</f>
        <v>0</v>
      </c>
    </row>
    <row r="391" spans="22:23" ht="24.75" customHeight="1" x14ac:dyDescent="0.25">
      <c r="V391" s="47">
        <f>Таблица1[[#This Row],[Дата перевода]]-Таблица1[[#This Row],[Дата поступления]]</f>
        <v>2</v>
      </c>
      <c r="W391" s="47">
        <f>Таблица1[[#This Row],[Дата поступления]]-Таблица1[[#This Row],[Дата рождения]]</f>
        <v>600</v>
      </c>
    </row>
    <row r="392" spans="22:23" ht="24.75" customHeight="1" x14ac:dyDescent="0.25">
      <c r="V392" s="47">
        <f>Таблица1[[#This Row],[Дата перевода]]-Таблица1[[#This Row],[Дата поступления]]</f>
        <v>1</v>
      </c>
      <c r="W392" s="47">
        <f>Таблица1[[#This Row],[Дата поступления]]-Таблица1[[#This Row],[Дата рождения]]</f>
        <v>6197</v>
      </c>
    </row>
    <row r="393" spans="22:23" ht="24.75" customHeight="1" x14ac:dyDescent="0.25">
      <c r="V393" s="47">
        <f>Таблица1[[#This Row],[Дата перевода]]-Таблица1[[#This Row],[Дата поступления]]</f>
        <v>1</v>
      </c>
      <c r="W393" s="47">
        <f>Таблица1[[#This Row],[Дата поступления]]-Таблица1[[#This Row],[Дата рождения]]</f>
        <v>5244</v>
      </c>
    </row>
    <row r="394" spans="22:23" ht="24.75" customHeight="1" x14ac:dyDescent="0.25">
      <c r="V394" s="47">
        <f>Таблица1[[#This Row],[Дата перевода]]-Таблица1[[#This Row],[Дата поступления]]</f>
        <v>0</v>
      </c>
      <c r="W394" s="47">
        <f>Таблица1[[#This Row],[Дата поступления]]-Таблица1[[#This Row],[Дата рождения]]</f>
        <v>5193</v>
      </c>
    </row>
    <row r="395" spans="22:23" ht="24.75" customHeight="1" x14ac:dyDescent="0.25">
      <c r="V395" s="47">
        <f>Таблица1[[#This Row],[Дата перевода]]-Таблица1[[#This Row],[Дата поступления]]</f>
        <v>1</v>
      </c>
      <c r="W395" s="47">
        <f>Таблица1[[#This Row],[Дата поступления]]-Таблица1[[#This Row],[Дата рождения]]</f>
        <v>1750</v>
      </c>
    </row>
    <row r="396" spans="22:23" ht="24.75" customHeight="1" x14ac:dyDescent="0.25">
      <c r="V396" s="47">
        <f>Таблица1[[#This Row],[Дата перевода]]-Таблица1[[#This Row],[Дата поступления]]</f>
        <v>1</v>
      </c>
      <c r="W396" s="47">
        <f>Таблица1[[#This Row],[Дата поступления]]-Таблица1[[#This Row],[Дата рождения]]</f>
        <v>4320</v>
      </c>
    </row>
    <row r="397" spans="22:23" ht="24.75" customHeight="1" x14ac:dyDescent="0.25">
      <c r="V397" s="47">
        <f>Таблица1[[#This Row],[Дата перевода]]-Таблица1[[#This Row],[Дата поступления]]</f>
        <v>1</v>
      </c>
      <c r="W397" s="47">
        <f>Таблица1[[#This Row],[Дата поступления]]-Таблица1[[#This Row],[Дата рождения]]</f>
        <v>1974</v>
      </c>
    </row>
    <row r="398" spans="22:23" ht="24.75" customHeight="1" x14ac:dyDescent="0.25">
      <c r="V398" s="47">
        <f>Таблица1[[#This Row],[Дата перевода]]-Таблица1[[#This Row],[Дата поступления]]</f>
        <v>0</v>
      </c>
      <c r="W398" s="47">
        <f>Таблица1[[#This Row],[Дата поступления]]-Таблица1[[#This Row],[Дата рождения]]</f>
        <v>782</v>
      </c>
    </row>
    <row r="399" spans="22:23" ht="24.75" customHeight="1" x14ac:dyDescent="0.25">
      <c r="V399" s="47">
        <f>Таблица1[[#This Row],[Дата перевода]]-Таблица1[[#This Row],[Дата поступления]]</f>
        <v>4</v>
      </c>
      <c r="W399" s="47">
        <f>Таблица1[[#This Row],[Дата поступления]]-Таблица1[[#This Row],[Дата рождения]]</f>
        <v>4944</v>
      </c>
    </row>
    <row r="400" spans="22:23" ht="24.75" customHeight="1" x14ac:dyDescent="0.25">
      <c r="V400" s="47">
        <f>Таблица1[[#This Row],[Дата перевода]]-Таблица1[[#This Row],[Дата поступления]]</f>
        <v>2</v>
      </c>
      <c r="W400" s="47">
        <f>Таблица1[[#This Row],[Дата поступления]]-Таблица1[[#This Row],[Дата рождения]]</f>
        <v>5368</v>
      </c>
    </row>
    <row r="401" spans="22:23" ht="24.75" customHeight="1" x14ac:dyDescent="0.25">
      <c r="V401" s="47">
        <f>Таблица1[[#This Row],[Дата перевода]]-Таблица1[[#This Row],[Дата поступления]]</f>
        <v>2</v>
      </c>
      <c r="W401" s="47">
        <f>Таблица1[[#This Row],[Дата поступления]]-Таблица1[[#This Row],[Дата рождения]]</f>
        <v>3976</v>
      </c>
    </row>
    <row r="402" spans="22:23" ht="24.75" customHeight="1" x14ac:dyDescent="0.25">
      <c r="V402" s="47">
        <f>Таблица1[[#This Row],[Дата перевода]]-Таблица1[[#This Row],[Дата поступления]]</f>
        <v>1</v>
      </c>
      <c r="W402" s="47">
        <f>Таблица1[[#This Row],[Дата поступления]]-Таблица1[[#This Row],[Дата рождения]]</f>
        <v>308</v>
      </c>
    </row>
    <row r="403" spans="22:23" ht="24.75" customHeight="1" x14ac:dyDescent="0.25">
      <c r="V403" s="47">
        <f>Таблица1[[#This Row],[Дата перевода]]-Таблица1[[#This Row],[Дата поступления]]</f>
        <v>1</v>
      </c>
      <c r="W403" s="47">
        <f>Таблица1[[#This Row],[Дата поступления]]-Таблица1[[#This Row],[Дата рождения]]</f>
        <v>5483</v>
      </c>
    </row>
    <row r="404" spans="22:23" ht="24.75" customHeight="1" x14ac:dyDescent="0.25">
      <c r="V404" s="47">
        <f>Таблица1[[#This Row],[Дата перевода]]-Таблица1[[#This Row],[Дата поступления]]</f>
        <v>5</v>
      </c>
      <c r="W404" s="47">
        <f>Таблица1[[#This Row],[Дата поступления]]-Таблица1[[#This Row],[Дата рождения]]</f>
        <v>883</v>
      </c>
    </row>
    <row r="405" spans="22:23" ht="24.75" customHeight="1" x14ac:dyDescent="0.25">
      <c r="V405" s="47">
        <f>Таблица1[[#This Row],[Дата перевода]]-Таблица1[[#This Row],[Дата поступления]]</f>
        <v>1</v>
      </c>
      <c r="W405" s="47">
        <f>Таблица1[[#This Row],[Дата поступления]]-Таблица1[[#This Row],[Дата рождения]]</f>
        <v>6231</v>
      </c>
    </row>
    <row r="406" spans="22:23" ht="24.75" customHeight="1" x14ac:dyDescent="0.25">
      <c r="V406" s="47">
        <f>Таблица1[[#This Row],[Дата перевода]]-Таблица1[[#This Row],[Дата поступления]]</f>
        <v>6</v>
      </c>
      <c r="W406" s="47">
        <f>Таблица1[[#This Row],[Дата поступления]]-Таблица1[[#This Row],[Дата рождения]]</f>
        <v>579</v>
      </c>
    </row>
    <row r="407" spans="22:23" ht="24.75" customHeight="1" x14ac:dyDescent="0.25">
      <c r="V407" s="47">
        <f>Таблица1[[#This Row],[Дата перевода]]-Таблица1[[#This Row],[Дата поступления]]</f>
        <v>2</v>
      </c>
      <c r="W407" s="47">
        <f>Таблица1[[#This Row],[Дата поступления]]-Таблица1[[#This Row],[Дата рождения]]</f>
        <v>438</v>
      </c>
    </row>
    <row r="408" spans="22:23" ht="24.75" customHeight="1" x14ac:dyDescent="0.25">
      <c r="V408" s="47">
        <f>Таблица1[[#This Row],[Дата перевода]]-Таблица1[[#This Row],[Дата поступления]]</f>
        <v>1</v>
      </c>
      <c r="W408" s="47">
        <f>Таблица1[[#This Row],[Дата поступления]]-Таблица1[[#This Row],[Дата рождения]]</f>
        <v>6179</v>
      </c>
    </row>
    <row r="409" spans="22:23" ht="24.75" customHeight="1" x14ac:dyDescent="0.25">
      <c r="V409" s="47">
        <f>Таблица1[[#This Row],[Дата перевода]]-Таблица1[[#This Row],[Дата поступления]]</f>
        <v>1</v>
      </c>
      <c r="W409" s="47">
        <f>Таблица1[[#This Row],[Дата поступления]]-Таблица1[[#This Row],[Дата рождения]]</f>
        <v>183</v>
      </c>
    </row>
    <row r="410" spans="22:23" ht="24.75" customHeight="1" x14ac:dyDescent="0.25">
      <c r="V410" s="47">
        <f>Таблица1[[#This Row],[Дата перевода]]-Таблица1[[#This Row],[Дата поступления]]</f>
        <v>1</v>
      </c>
      <c r="W410" s="47">
        <f>Таблица1[[#This Row],[Дата поступления]]-Таблица1[[#This Row],[Дата рождения]]</f>
        <v>31</v>
      </c>
    </row>
    <row r="411" spans="22:23" ht="24.75" customHeight="1" x14ac:dyDescent="0.25">
      <c r="V411" s="47">
        <f>Таблица1[[#This Row],[Дата перевода]]-Таблица1[[#This Row],[Дата поступления]]</f>
        <v>2</v>
      </c>
      <c r="W411" s="47">
        <f>Таблица1[[#This Row],[Дата поступления]]-Таблица1[[#This Row],[Дата рождения]]</f>
        <v>2798</v>
      </c>
    </row>
    <row r="412" spans="22:23" ht="24.75" customHeight="1" x14ac:dyDescent="0.25">
      <c r="V412" s="47">
        <f>Таблица1[[#This Row],[Дата перевода]]-Таблица1[[#This Row],[Дата поступления]]</f>
        <v>2</v>
      </c>
      <c r="W412" s="47">
        <f>Таблица1[[#This Row],[Дата поступления]]-Таблица1[[#This Row],[Дата рождения]]</f>
        <v>6274</v>
      </c>
    </row>
    <row r="413" spans="22:23" ht="24.75" customHeight="1" x14ac:dyDescent="0.25">
      <c r="V413" s="47">
        <f>Таблица1[[#This Row],[Дата перевода]]-Таблица1[[#This Row],[Дата поступления]]</f>
        <v>9</v>
      </c>
      <c r="W413" s="47">
        <f>Таблица1[[#This Row],[Дата поступления]]-Таблица1[[#This Row],[Дата рождения]]</f>
        <v>55</v>
      </c>
    </row>
    <row r="414" spans="22:23" ht="24.75" customHeight="1" x14ac:dyDescent="0.25">
      <c r="V414" s="47">
        <f>Таблица1[[#This Row],[Дата перевода]]-Таблица1[[#This Row],[Дата поступления]]</f>
        <v>-45981</v>
      </c>
      <c r="W414" s="47">
        <f>Таблица1[[#This Row],[Дата поступления]]-Таблица1[[#This Row],[Дата рождения]]</f>
        <v>6434</v>
      </c>
    </row>
    <row r="415" spans="22:23" ht="24.75" customHeight="1" x14ac:dyDescent="0.25">
      <c r="V415" s="47">
        <f>Таблица1[[#This Row],[Дата перевода]]-Таблица1[[#This Row],[Дата поступления]]</f>
        <v>2</v>
      </c>
      <c r="W415" s="47">
        <f>Таблица1[[#This Row],[Дата поступления]]-Таблица1[[#This Row],[Дата рождения]]</f>
        <v>271</v>
      </c>
    </row>
    <row r="416" spans="22:23" ht="24.75" customHeight="1" x14ac:dyDescent="0.25">
      <c r="V416" s="47">
        <f>Таблица1[[#This Row],[Дата перевода]]-Таблица1[[#This Row],[Дата поступления]]</f>
        <v>-45987</v>
      </c>
      <c r="W416" s="47">
        <f>Таблица1[[#This Row],[Дата поступления]]-Таблица1[[#This Row],[Дата рождения]]</f>
        <v>130</v>
      </c>
    </row>
    <row r="417" spans="22:23" ht="24.75" customHeight="1" x14ac:dyDescent="0.25">
      <c r="V417" s="47">
        <f>Таблица1[[#This Row],[Дата перевода]]-Таблица1[[#This Row],[Дата поступления]]</f>
        <v>2</v>
      </c>
      <c r="W417" s="47">
        <f>Таблица1[[#This Row],[Дата поступления]]-Таблица1[[#This Row],[Дата рождения]]</f>
        <v>5696</v>
      </c>
    </row>
    <row r="418" spans="22:23" ht="24.75" customHeight="1" x14ac:dyDescent="0.25">
      <c r="V418" s="47">
        <f>Таблица1[[#This Row],[Дата перевода]]-Таблица1[[#This Row],[Дата поступления]]</f>
        <v>5</v>
      </c>
      <c r="W418" s="47">
        <f>Таблица1[[#This Row],[Дата поступления]]-Таблица1[[#This Row],[Дата рождения]]</f>
        <v>5072</v>
      </c>
    </row>
    <row r="419" spans="22:23" ht="24.75" customHeight="1" x14ac:dyDescent="0.25">
      <c r="V419" s="47">
        <f>Таблица1[[#This Row],[Дата перевода]]-Таблица1[[#This Row],[Дата поступления]]</f>
        <v>2</v>
      </c>
      <c r="W419" s="47">
        <f>Таблица1[[#This Row],[Дата поступления]]-Таблица1[[#This Row],[Дата рождения]]</f>
        <v>625</v>
      </c>
    </row>
    <row r="420" spans="22:23" ht="24.75" customHeight="1" x14ac:dyDescent="0.25">
      <c r="V420" s="47">
        <f>Таблица1[[#This Row],[Дата перевода]]-Таблица1[[#This Row],[Дата поступления]]</f>
        <v>0</v>
      </c>
      <c r="W420" s="47">
        <f>Таблица1[[#This Row],[Дата поступления]]-Таблица1[[#This Row],[Дата рождения]]</f>
        <v>418</v>
      </c>
    </row>
    <row r="421" spans="22:23" ht="24.75" customHeight="1" x14ac:dyDescent="0.25">
      <c r="V421" s="47">
        <f>Таблица1[[#This Row],[Дата перевода]]-Таблица1[[#This Row],[Дата поступления]]</f>
        <v>1</v>
      </c>
      <c r="W421" s="47">
        <f>Таблица1[[#This Row],[Дата поступления]]-Таблица1[[#This Row],[Дата рождения]]</f>
        <v>6025</v>
      </c>
    </row>
    <row r="422" spans="22:23" ht="24.75" customHeight="1" x14ac:dyDescent="0.25">
      <c r="V422" s="47">
        <f>Таблица1[[#This Row],[Дата перевода]]-Таблица1[[#This Row],[Дата поступления]]</f>
        <v>1</v>
      </c>
      <c r="W422" s="47">
        <f>Таблица1[[#This Row],[Дата поступления]]-Таблица1[[#This Row],[Дата рождения]]</f>
        <v>569</v>
      </c>
    </row>
    <row r="423" spans="22:23" ht="24.75" customHeight="1" x14ac:dyDescent="0.25">
      <c r="V423" s="47">
        <f>Таблица1[[#This Row],[Дата перевода]]-Таблица1[[#This Row],[Дата поступления]]</f>
        <v>3</v>
      </c>
      <c r="W423" s="47">
        <f>Таблица1[[#This Row],[Дата поступления]]-Таблица1[[#This Row],[Дата рождения]]</f>
        <v>6428</v>
      </c>
    </row>
    <row r="424" spans="22:23" ht="24.75" customHeight="1" x14ac:dyDescent="0.25">
      <c r="V424" s="47">
        <f>Таблица1[[#This Row],[Дата перевода]]-Таблица1[[#This Row],[Дата поступления]]</f>
        <v>5</v>
      </c>
      <c r="W424" s="47">
        <f>Таблица1[[#This Row],[Дата поступления]]-Таблица1[[#This Row],[Дата рождения]]</f>
        <v>5705</v>
      </c>
    </row>
    <row r="425" spans="22:23" ht="24.75" customHeight="1" x14ac:dyDescent="0.25">
      <c r="V425" s="47">
        <f>Таблица1[[#This Row],[Дата перевода]]-Таблица1[[#This Row],[Дата поступления]]</f>
        <v>2</v>
      </c>
      <c r="W425" s="47">
        <f>Таблица1[[#This Row],[Дата поступления]]-Таблица1[[#This Row],[Дата рождения]]</f>
        <v>5708</v>
      </c>
    </row>
    <row r="426" spans="22:23" ht="24.75" customHeight="1" x14ac:dyDescent="0.25">
      <c r="V426" s="47">
        <f>Таблица1[[#This Row],[Дата перевода]]-Таблица1[[#This Row],[Дата поступления]]</f>
        <v>-45994</v>
      </c>
      <c r="W426" s="47">
        <f>Таблица1[[#This Row],[Дата поступления]]-Таблица1[[#This Row],[Дата рождения]]</f>
        <v>845</v>
      </c>
    </row>
    <row r="427" spans="22:23" ht="24.75" customHeight="1" x14ac:dyDescent="0.25">
      <c r="V427" s="47">
        <f>Таблица1[[#This Row],[Дата перевода]]-Таблица1[[#This Row],[Дата поступления]]</f>
        <v>1</v>
      </c>
      <c r="W427" s="47">
        <f>Таблица1[[#This Row],[Дата поступления]]-Таблица1[[#This Row],[Дата рождения]]</f>
        <v>4694</v>
      </c>
    </row>
    <row r="428" spans="22:23" ht="24.75" customHeight="1" x14ac:dyDescent="0.25">
      <c r="V428" s="47">
        <f>Таблица1[[#This Row],[Дата перевода]]-Таблица1[[#This Row],[Дата поступления]]</f>
        <v>1</v>
      </c>
      <c r="W428" s="47">
        <f>Таблица1[[#This Row],[Дата поступления]]-Таблица1[[#This Row],[Дата рождения]]</f>
        <v>6087</v>
      </c>
    </row>
    <row r="429" spans="22:23" ht="24.75" customHeight="1" x14ac:dyDescent="0.25">
      <c r="V429" s="47">
        <f>Таблица1[[#This Row],[Дата перевода]]-Таблица1[[#This Row],[Дата поступления]]</f>
        <v>1</v>
      </c>
      <c r="W429" s="47">
        <f>Таблица1[[#This Row],[Дата поступления]]-Таблица1[[#This Row],[Дата рождения]]</f>
        <v>108</v>
      </c>
    </row>
    <row r="430" spans="22:23" ht="24.75" customHeight="1" x14ac:dyDescent="0.25">
      <c r="V430" s="47">
        <f>Таблица1[[#This Row],[Дата перевода]]-Таблица1[[#This Row],[Дата поступления]]</f>
        <v>1</v>
      </c>
      <c r="W430" s="47">
        <f>Таблица1[[#This Row],[Дата поступления]]-Таблица1[[#This Row],[Дата рождения]]</f>
        <v>627</v>
      </c>
    </row>
    <row r="431" spans="22:23" ht="24.75" customHeight="1" x14ac:dyDescent="0.25">
      <c r="V431" s="47">
        <f>Таблица1[[#This Row],[Дата перевода]]-Таблица1[[#This Row],[Дата поступления]]</f>
        <v>0</v>
      </c>
      <c r="W431" s="47">
        <f>Таблица1[[#This Row],[Дата поступления]]-Таблица1[[#This Row],[Дата рождения]]</f>
        <v>5366</v>
      </c>
    </row>
    <row r="432" spans="22:23" ht="24.75" customHeight="1" x14ac:dyDescent="0.25">
      <c r="V432" s="47">
        <f>Таблица1[[#This Row],[Дата перевода]]-Таблица1[[#This Row],[Дата поступления]]</f>
        <v>-45999</v>
      </c>
      <c r="W432" s="47">
        <f>Таблица1[[#This Row],[Дата поступления]]-Таблица1[[#This Row],[Дата рождения]]</f>
        <v>710</v>
      </c>
    </row>
    <row r="433" spans="22:23" ht="24.75" customHeight="1" x14ac:dyDescent="0.25">
      <c r="V433" s="47">
        <f>Таблица1[[#This Row],[Дата перевода]]-Таблица1[[#This Row],[Дата поступления]]</f>
        <v>-45999</v>
      </c>
      <c r="W433" s="47">
        <f>Таблица1[[#This Row],[Дата поступления]]-Таблица1[[#This Row],[Дата рождения]]</f>
        <v>2</v>
      </c>
    </row>
    <row r="434" spans="22:23" ht="24.75" customHeight="1" x14ac:dyDescent="0.25">
      <c r="V434" s="47">
        <f>Таблица1[[#This Row],[Дата перевода]]-Таблица1[[#This Row],[Дата поступления]]</f>
        <v>-46001</v>
      </c>
      <c r="W434" s="47">
        <f>Таблица1[[#This Row],[Дата поступления]]-Таблица1[[#This Row],[Дата рождения]]</f>
        <v>6324</v>
      </c>
    </row>
    <row r="435" spans="22:23" ht="24.75" customHeight="1" x14ac:dyDescent="0.25">
      <c r="V435" s="47">
        <f>Таблица1[[#This Row],[Дата перевода]]-Таблица1[[#This Row],[Дата поступления]]</f>
        <v>-46001</v>
      </c>
      <c r="W435" s="47">
        <f>Таблица1[[#This Row],[Дата поступления]]-Таблица1[[#This Row],[Дата рождения]]</f>
        <v>4949</v>
      </c>
    </row>
    <row r="436" spans="22:23" ht="24.75" customHeight="1" x14ac:dyDescent="0.25">
      <c r="V436" s="47">
        <f>Таблица1[[#This Row],[Дата перевода]]-Таблица1[[#This Row],[Дата поступления]]</f>
        <v>-46004</v>
      </c>
      <c r="W436" s="47">
        <f>Таблица1[[#This Row],[Дата поступления]]-Таблица1[[#This Row],[Дата рождения]]</f>
        <v>6173</v>
      </c>
    </row>
    <row r="437" spans="22:23" ht="24.75" customHeight="1" x14ac:dyDescent="0.25">
      <c r="V437" s="47">
        <f>Таблица1[[#This Row],[Дата перевода]]-Таблица1[[#This Row],[Дата поступления]]</f>
        <v>0</v>
      </c>
      <c r="W437" s="47">
        <f>Таблица1[[#This Row],[Дата поступления]]-Таблица1[[#This Row],[Дата рождения]]</f>
        <v>4950</v>
      </c>
    </row>
    <row r="438" spans="22:23" ht="24.75" customHeight="1" x14ac:dyDescent="0.25">
      <c r="V438" s="47">
        <f>Таблица1[[#This Row],[Дата перевода]]-Таблица1[[#This Row],[Дата поступления]]</f>
        <v>1</v>
      </c>
      <c r="W438" s="47">
        <f>Таблица1[[#This Row],[Дата поступления]]-Таблица1[[#This Row],[Дата рождения]]</f>
        <v>185</v>
      </c>
    </row>
    <row r="439" spans="22:23" ht="24.75" customHeight="1" x14ac:dyDescent="0.25">
      <c r="V439" s="47">
        <f>Таблица1[[#This Row],[Дата перевода]]-Таблица1[[#This Row],[Дата поступления]]</f>
        <v>-46008</v>
      </c>
      <c r="W439" s="47">
        <f>Таблица1[[#This Row],[Дата поступления]]-Таблица1[[#This Row],[Дата рождения]]</f>
        <v>111</v>
      </c>
    </row>
    <row r="440" spans="22:23" ht="24.75" customHeight="1" x14ac:dyDescent="0.25">
      <c r="V440" s="47">
        <f>Таблица1[[#This Row],[Дата перевода]]-Таблица1[[#This Row],[Дата поступления]]</f>
        <v>-46008</v>
      </c>
      <c r="W440" s="47">
        <f>Таблица1[[#This Row],[Дата поступления]]-Таблица1[[#This Row],[Дата рождения]]</f>
        <v>46008</v>
      </c>
    </row>
    <row r="441" spans="22:23" ht="24.75" customHeight="1" x14ac:dyDescent="0.25">
      <c r="V441" s="47">
        <f>Таблица1[[#This Row],[Дата перевода]]-Таблица1[[#This Row],[Дата поступления]]</f>
        <v>0</v>
      </c>
      <c r="W441" s="47">
        <f>Таблица1[[#This Row],[Дата поступления]]-Таблица1[[#This Row],[Дата рождения]]</f>
        <v>0</v>
      </c>
    </row>
    <row r="442" spans="22:23" ht="24.75" customHeight="1" x14ac:dyDescent="0.25">
      <c r="V442" s="47">
        <f>Таблица1[[#This Row],[Дата перевода]]-Таблица1[[#This Row],[Дата поступления]]</f>
        <v>0</v>
      </c>
      <c r="W442" s="47">
        <f>Таблица1[[#This Row],[Дата поступления]]-Таблица1[[#This Row],[Дата рождения]]</f>
        <v>0</v>
      </c>
    </row>
    <row r="443" spans="22:23" ht="24.75" customHeight="1" x14ac:dyDescent="0.25">
      <c r="V443" s="47">
        <f>Таблица1[[#This Row],[Дата перевода]]-Таблица1[[#This Row],[Дата поступления]]</f>
        <v>0</v>
      </c>
      <c r="W443" s="47">
        <f>Таблица1[[#This Row],[Дата поступления]]-Таблица1[[#This Row],[Дата рождения]]</f>
        <v>0</v>
      </c>
    </row>
    <row r="444" spans="22:23" ht="24.75" customHeight="1" x14ac:dyDescent="0.25">
      <c r="V444" s="47">
        <f>Таблица1[[#This Row],[Дата перевода]]-Таблица1[[#This Row],[Дата поступления]]</f>
        <v>0</v>
      </c>
      <c r="W444" s="47">
        <f>Таблица1[[#This Row],[Дата поступления]]-Таблица1[[#This Row],[Дата рождения]]</f>
        <v>0</v>
      </c>
    </row>
    <row r="445" spans="22:23" ht="24.75" customHeight="1" x14ac:dyDescent="0.25">
      <c r="V445" s="47">
        <f>Таблица1[[#This Row],[Дата перевода]]-Таблица1[[#This Row],[Дата поступления]]</f>
        <v>0</v>
      </c>
      <c r="W445" s="47">
        <f>Таблица1[[#This Row],[Дата поступления]]-Таблица1[[#This Row],[Дата рождения]]</f>
        <v>0</v>
      </c>
    </row>
    <row r="446" spans="22:23" ht="24.75" customHeight="1" x14ac:dyDescent="0.25">
      <c r="V446" s="47">
        <f>Таблица1[[#This Row],[Дата перевода]]-Таблица1[[#This Row],[Дата поступления]]</f>
        <v>0</v>
      </c>
      <c r="W446" s="47">
        <f>Таблица1[[#This Row],[Дата поступления]]-Таблица1[[#This Row],[Дата рождения]]</f>
        <v>0</v>
      </c>
    </row>
    <row r="447" spans="22:23" ht="24.75" customHeight="1" x14ac:dyDescent="0.25">
      <c r="V447" s="47">
        <f>Таблица1[[#This Row],[Дата перевода]]-Таблица1[[#This Row],[Дата поступления]]</f>
        <v>0</v>
      </c>
      <c r="W447" s="47">
        <f>Таблица1[[#This Row],[Дата поступления]]-Таблица1[[#This Row],[Дата рождения]]</f>
        <v>0</v>
      </c>
    </row>
    <row r="448" spans="22:23" ht="24.75" customHeight="1" x14ac:dyDescent="0.25">
      <c r="V448" s="47">
        <f>Таблица1[[#This Row],[Дата перевода]]-Таблица1[[#This Row],[Дата поступления]]</f>
        <v>0</v>
      </c>
      <c r="W448" s="47">
        <f>Таблица1[[#This Row],[Дата поступления]]-Таблица1[[#This Row],[Дата рождения]]</f>
        <v>0</v>
      </c>
    </row>
    <row r="449" spans="22:23" ht="24.75" customHeight="1" x14ac:dyDescent="0.25">
      <c r="V449" s="47">
        <f>Таблица1[[#This Row],[Дата перевода]]-Таблица1[[#This Row],[Дата поступления]]</f>
        <v>0</v>
      </c>
      <c r="W449" s="47">
        <f>Таблица1[[#This Row],[Дата поступления]]-Таблица1[[#This Row],[Дата рождения]]</f>
        <v>0</v>
      </c>
    </row>
    <row r="450" spans="22:23" ht="24.75" customHeight="1" x14ac:dyDescent="0.25">
      <c r="V450" s="47">
        <f>Таблица1[[#This Row],[Дата перевода]]-Таблица1[[#This Row],[Дата поступления]]</f>
        <v>0</v>
      </c>
      <c r="W450" s="47">
        <f>Таблица1[[#This Row],[Дата поступления]]-Таблица1[[#This Row],[Дата рождения]]</f>
        <v>0</v>
      </c>
    </row>
    <row r="451" spans="22:23" ht="24.75" customHeight="1" x14ac:dyDescent="0.25">
      <c r="V451" s="47">
        <f>Таблица1[[#This Row],[Дата перевода]]-Таблица1[[#This Row],[Дата поступления]]</f>
        <v>0</v>
      </c>
      <c r="W451" s="47">
        <f>Таблица1[[#This Row],[Дата поступления]]-Таблица1[[#This Row],[Дата рождения]]</f>
        <v>0</v>
      </c>
    </row>
    <row r="452" spans="22:23" ht="24.75" customHeight="1" x14ac:dyDescent="0.25">
      <c r="V452" s="47">
        <f>Таблица1[[#This Row],[Дата перевода]]-Таблица1[[#This Row],[Дата поступления]]</f>
        <v>0</v>
      </c>
      <c r="W452" s="47">
        <f>Таблица1[[#This Row],[Дата поступления]]-Таблица1[[#This Row],[Дата рождения]]</f>
        <v>0</v>
      </c>
    </row>
    <row r="453" spans="22:23" ht="24.75" customHeight="1" x14ac:dyDescent="0.25">
      <c r="V453" s="47">
        <f>Таблица1[[#This Row],[Дата перевода]]-Таблица1[[#This Row],[Дата поступления]]</f>
        <v>0</v>
      </c>
      <c r="W453" s="47">
        <f>Таблица1[[#This Row],[Дата поступления]]-Таблица1[[#This Row],[Дата рождения]]</f>
        <v>0</v>
      </c>
    </row>
    <row r="454" spans="22:23" ht="24.75" customHeight="1" x14ac:dyDescent="0.25">
      <c r="V454" s="47">
        <f>Таблица1[[#This Row],[Дата перевода]]-Таблица1[[#This Row],[Дата поступления]]</f>
        <v>0</v>
      </c>
      <c r="W454" s="47">
        <f>Таблица1[[#This Row],[Дата поступления]]-Таблица1[[#This Row],[Дата рождения]]</f>
        <v>0</v>
      </c>
    </row>
    <row r="455" spans="22:23" ht="24.75" customHeight="1" x14ac:dyDescent="0.25">
      <c r="V455" s="47">
        <f>Таблица1[[#This Row],[Дата перевода]]-Таблица1[[#This Row],[Дата поступления]]</f>
        <v>0</v>
      </c>
      <c r="W455" s="47">
        <f>Таблица1[[#This Row],[Дата поступления]]-Таблица1[[#This Row],[Дата рождения]]</f>
        <v>0</v>
      </c>
    </row>
    <row r="456" spans="22:23" ht="24.75" customHeight="1" x14ac:dyDescent="0.25">
      <c r="V456" s="47">
        <f>Таблица1[[#This Row],[Дата перевода]]-Таблица1[[#This Row],[Дата поступления]]</f>
        <v>0</v>
      </c>
      <c r="W456" s="47">
        <f>Таблица1[[#This Row],[Дата поступления]]-Таблица1[[#This Row],[Дата рождения]]</f>
        <v>0</v>
      </c>
    </row>
    <row r="457" spans="22:23" ht="24.75" customHeight="1" x14ac:dyDescent="0.25">
      <c r="V457" s="47">
        <f>Таблица1[[#This Row],[Дата перевода]]-Таблица1[[#This Row],[Дата поступления]]</f>
        <v>0</v>
      </c>
      <c r="W457" s="47">
        <f>Таблица1[[#This Row],[Дата поступления]]-Таблица1[[#This Row],[Дата рождения]]</f>
        <v>0</v>
      </c>
    </row>
    <row r="458" spans="22:23" ht="24.75" customHeight="1" x14ac:dyDescent="0.25">
      <c r="V458" s="47">
        <f>Таблица1[[#This Row],[Дата перевода]]-Таблица1[[#This Row],[Дата поступления]]</f>
        <v>0</v>
      </c>
      <c r="W458" s="47">
        <f>Таблица1[[#This Row],[Дата поступления]]-Таблица1[[#This Row],[Дата рождения]]</f>
        <v>0</v>
      </c>
    </row>
    <row r="459" spans="22:23" ht="24.75" customHeight="1" x14ac:dyDescent="0.25">
      <c r="V459" s="47">
        <f>Таблица1[[#This Row],[Дата перевода]]-Таблица1[[#This Row],[Дата поступления]]</f>
        <v>0</v>
      </c>
      <c r="W459" s="47">
        <f>Таблица1[[#This Row],[Дата поступления]]-Таблица1[[#This Row],[Дата рождения]]</f>
        <v>0</v>
      </c>
    </row>
    <row r="460" spans="22:23" ht="24.75" customHeight="1" x14ac:dyDescent="0.25">
      <c r="V460" s="47">
        <f>Таблица1[[#This Row],[Дата перевода]]-Таблица1[[#This Row],[Дата поступления]]</f>
        <v>0</v>
      </c>
      <c r="W460" s="47">
        <f>Таблица1[[#This Row],[Дата поступления]]-Таблица1[[#This Row],[Дата рождения]]</f>
        <v>0</v>
      </c>
    </row>
    <row r="461" spans="22:23" ht="24.75" customHeight="1" x14ac:dyDescent="0.25">
      <c r="V461" s="47">
        <f>Таблица1[[#This Row],[Дата перевода]]-Таблица1[[#This Row],[Дата поступления]]</f>
        <v>0</v>
      </c>
      <c r="W461" s="47">
        <f>Таблица1[[#This Row],[Дата поступления]]-Таблица1[[#This Row],[Дата рождения]]</f>
        <v>0</v>
      </c>
    </row>
    <row r="462" spans="22:23" ht="24.75" customHeight="1" x14ac:dyDescent="0.25">
      <c r="V462" s="47">
        <f>Таблица1[[#This Row],[Дата перевода]]-Таблица1[[#This Row],[Дата поступления]]</f>
        <v>0</v>
      </c>
      <c r="W462" s="47">
        <f>Таблица1[[#This Row],[Дата поступления]]-Таблица1[[#This Row],[Дата рождения]]</f>
        <v>0</v>
      </c>
    </row>
    <row r="463" spans="22:23" ht="24.75" customHeight="1" x14ac:dyDescent="0.25">
      <c r="V463" s="47">
        <f>Таблица1[[#This Row],[Дата перевода]]-Таблица1[[#This Row],[Дата поступления]]</f>
        <v>0</v>
      </c>
      <c r="W463" s="47">
        <f>Таблица1[[#This Row],[Дата поступления]]-Таблица1[[#This Row],[Дата рождения]]</f>
        <v>0</v>
      </c>
    </row>
    <row r="464" spans="22:23" ht="24.75" customHeight="1" x14ac:dyDescent="0.25">
      <c r="V464" s="47">
        <f>Таблица1[[#This Row],[Дата перевода]]-Таблица1[[#This Row],[Дата поступления]]</f>
        <v>0</v>
      </c>
      <c r="W464" s="47">
        <f>Таблица1[[#This Row],[Дата поступления]]-Таблица1[[#This Row],[Дата рождения]]</f>
        <v>0</v>
      </c>
    </row>
    <row r="465" spans="22:23" ht="24.75" customHeight="1" x14ac:dyDescent="0.25">
      <c r="V465" s="47">
        <f>Таблица1[[#This Row],[Дата перевода]]-Таблица1[[#This Row],[Дата поступления]]</f>
        <v>0</v>
      </c>
      <c r="W465" s="47">
        <f>Таблица1[[#This Row],[Дата поступления]]-Таблица1[[#This Row],[Дата рождения]]</f>
        <v>0</v>
      </c>
    </row>
    <row r="466" spans="22:23" ht="24.75" customHeight="1" x14ac:dyDescent="0.25">
      <c r="V466" s="47">
        <f>Таблица1[[#This Row],[Дата перевода]]-Таблица1[[#This Row],[Дата поступления]]</f>
        <v>0</v>
      </c>
      <c r="W466" s="47">
        <f>Таблица1[[#This Row],[Дата поступления]]-Таблица1[[#This Row],[Дата рождения]]</f>
        <v>0</v>
      </c>
    </row>
    <row r="467" spans="22:23" ht="24.75" customHeight="1" x14ac:dyDescent="0.25">
      <c r="V467" s="47">
        <f>Таблица1[[#This Row],[Дата перевода]]-Таблица1[[#This Row],[Дата поступления]]</f>
        <v>0</v>
      </c>
      <c r="W467" s="47">
        <f>Таблица1[[#This Row],[Дата поступления]]-Таблица1[[#This Row],[Дата рождения]]</f>
        <v>0</v>
      </c>
    </row>
    <row r="468" spans="22:23" ht="24.75" customHeight="1" x14ac:dyDescent="0.25">
      <c r="V468" s="47">
        <f>Таблица1[[#This Row],[Дата перевода]]-Таблица1[[#This Row],[Дата поступления]]</f>
        <v>0</v>
      </c>
      <c r="W468" s="47">
        <f>Таблица1[[#This Row],[Дата поступления]]-Таблица1[[#This Row],[Дата рождения]]</f>
        <v>0</v>
      </c>
    </row>
    <row r="469" spans="22:23" ht="24.75" customHeight="1" x14ac:dyDescent="0.25">
      <c r="V469" s="47">
        <f>Таблица1[[#This Row],[Дата перевода]]-Таблица1[[#This Row],[Дата поступления]]</f>
        <v>0</v>
      </c>
      <c r="W469" s="47">
        <f>Таблица1[[#This Row],[Дата поступления]]-Таблица1[[#This Row],[Дата рождения]]</f>
        <v>0</v>
      </c>
    </row>
    <row r="470" spans="22:23" ht="24.75" customHeight="1" x14ac:dyDescent="0.25">
      <c r="V470" s="47">
        <f>Таблица1[[#This Row],[Дата перевода]]-Таблица1[[#This Row],[Дата поступления]]</f>
        <v>0</v>
      </c>
      <c r="W470" s="47">
        <f>Таблица1[[#This Row],[Дата поступления]]-Таблица1[[#This Row],[Дата рождения]]</f>
        <v>0</v>
      </c>
    </row>
    <row r="471" spans="22:23" ht="24.75" customHeight="1" x14ac:dyDescent="0.25">
      <c r="V471" s="47">
        <f>Таблица1[[#This Row],[Дата перевода]]-Таблица1[[#This Row],[Дата поступления]]</f>
        <v>0</v>
      </c>
      <c r="W471" s="47">
        <f>Таблица1[[#This Row],[Дата поступления]]-Таблица1[[#This Row],[Дата рождения]]</f>
        <v>0</v>
      </c>
    </row>
    <row r="472" spans="22:23" ht="24.75" customHeight="1" x14ac:dyDescent="0.25">
      <c r="V472" s="47">
        <f>Таблица1[[#This Row],[Дата перевода]]-Таблица1[[#This Row],[Дата поступления]]</f>
        <v>0</v>
      </c>
      <c r="W472" s="47">
        <f>Таблица1[[#This Row],[Дата поступления]]-Таблица1[[#This Row],[Дата рождения]]</f>
        <v>0</v>
      </c>
    </row>
    <row r="473" spans="22:23" ht="24.75" customHeight="1" x14ac:dyDescent="0.25">
      <c r="V473" s="47">
        <f>Таблица1[[#This Row],[Дата перевода]]-Таблица1[[#This Row],[Дата поступления]]</f>
        <v>0</v>
      </c>
      <c r="W473" s="47">
        <f>Таблица1[[#This Row],[Дата поступления]]-Таблица1[[#This Row],[Дата рождения]]</f>
        <v>0</v>
      </c>
    </row>
    <row r="474" spans="22:23" ht="24.75" customHeight="1" x14ac:dyDescent="0.25">
      <c r="V474" s="47">
        <f>Таблица1[[#This Row],[Дата перевода]]-Таблица1[[#This Row],[Дата поступления]]</f>
        <v>0</v>
      </c>
      <c r="W474" s="47">
        <f>Таблица1[[#This Row],[Дата поступления]]-Таблица1[[#This Row],[Дата рождения]]</f>
        <v>0</v>
      </c>
    </row>
    <row r="475" spans="22:23" ht="24.75" customHeight="1" x14ac:dyDescent="0.25">
      <c r="V475" s="47">
        <f>Таблица1[[#This Row],[Дата перевода]]-Таблица1[[#This Row],[Дата поступления]]</f>
        <v>0</v>
      </c>
      <c r="W475" s="47">
        <f>Таблица1[[#This Row],[Дата поступления]]-Таблица1[[#This Row],[Дата рождения]]</f>
        <v>0</v>
      </c>
    </row>
    <row r="476" spans="22:23" ht="24.75" customHeight="1" x14ac:dyDescent="0.25">
      <c r="V476" s="47">
        <f>Таблица1[[#This Row],[Дата перевода]]-Таблица1[[#This Row],[Дата поступления]]</f>
        <v>0</v>
      </c>
      <c r="W476" s="47">
        <f>Таблица1[[#This Row],[Дата поступления]]-Таблица1[[#This Row],[Дата рождения]]</f>
        <v>0</v>
      </c>
    </row>
    <row r="477" spans="22:23" ht="24.75" customHeight="1" x14ac:dyDescent="0.25">
      <c r="V477" s="47">
        <f>Таблица1[[#This Row],[Дата перевода]]-Таблица1[[#This Row],[Дата поступления]]</f>
        <v>0</v>
      </c>
      <c r="W477" s="47">
        <f>Таблица1[[#This Row],[Дата поступления]]-Таблица1[[#This Row],[Дата рождения]]</f>
        <v>0</v>
      </c>
    </row>
    <row r="478" spans="22:23" ht="24.75" customHeight="1" x14ac:dyDescent="0.25">
      <c r="V478" s="47">
        <f>Таблица1[[#This Row],[Дата перевода]]-Таблица1[[#This Row],[Дата поступления]]</f>
        <v>0</v>
      </c>
      <c r="W478" s="47">
        <f>Таблица1[[#This Row],[Дата поступления]]-Таблица1[[#This Row],[Дата рождения]]</f>
        <v>0</v>
      </c>
    </row>
    <row r="479" spans="22:23" ht="24.75" customHeight="1" x14ac:dyDescent="0.25">
      <c r="V479" s="47">
        <f>Таблица1[[#This Row],[Дата перевода]]-Таблица1[[#This Row],[Дата поступления]]</f>
        <v>0</v>
      </c>
      <c r="W479" s="47">
        <f>Таблица1[[#This Row],[Дата поступления]]-Таблица1[[#This Row],[Дата рождения]]</f>
        <v>0</v>
      </c>
    </row>
    <row r="480" spans="22:23" ht="24.75" customHeight="1" x14ac:dyDescent="0.25">
      <c r="V480" s="47">
        <f>Таблица1[[#This Row],[Дата перевода]]-Таблица1[[#This Row],[Дата поступления]]</f>
        <v>0</v>
      </c>
      <c r="W480" s="47">
        <f>Таблица1[[#This Row],[Дата поступления]]-Таблица1[[#This Row],[Дата рождения]]</f>
        <v>0</v>
      </c>
    </row>
    <row r="481" spans="22:23" ht="24.75" customHeight="1" x14ac:dyDescent="0.25">
      <c r="V481" s="47">
        <f>Таблица1[[#This Row],[Дата перевода]]-Таблица1[[#This Row],[Дата поступления]]</f>
        <v>0</v>
      </c>
      <c r="W481" s="47">
        <f>Таблица1[[#This Row],[Дата поступления]]-Таблица1[[#This Row],[Дата рождения]]</f>
        <v>0</v>
      </c>
    </row>
    <row r="482" spans="22:23" ht="24.75" customHeight="1" x14ac:dyDescent="0.25">
      <c r="V482" s="47">
        <f>Таблица1[[#This Row],[Дата перевода]]-Таблица1[[#This Row],[Дата поступления]]</f>
        <v>0</v>
      </c>
      <c r="W482" s="47">
        <f>Таблица1[[#This Row],[Дата поступления]]-Таблица1[[#This Row],[Дата рождения]]</f>
        <v>0</v>
      </c>
    </row>
    <row r="483" spans="22:23" ht="24.75" customHeight="1" x14ac:dyDescent="0.25">
      <c r="V483" s="47">
        <f>Таблица1[[#This Row],[Дата перевода]]-Таблица1[[#This Row],[Дата поступления]]</f>
        <v>0</v>
      </c>
      <c r="W483" s="47">
        <f>Таблица1[[#This Row],[Дата поступления]]-Таблица1[[#This Row],[Дата рождения]]</f>
        <v>0</v>
      </c>
    </row>
    <row r="484" spans="22:23" ht="24.75" customHeight="1" x14ac:dyDescent="0.25">
      <c r="V484" s="47">
        <f>Таблица1[[#This Row],[Дата перевода]]-Таблица1[[#This Row],[Дата поступления]]</f>
        <v>0</v>
      </c>
      <c r="W484" s="47">
        <f>Таблица1[[#This Row],[Дата поступления]]-Таблица1[[#This Row],[Дата рождения]]</f>
        <v>0</v>
      </c>
    </row>
    <row r="485" spans="22:23" ht="24.75" customHeight="1" x14ac:dyDescent="0.25">
      <c r="V485" s="47">
        <f>Таблица1[[#This Row],[Дата перевода]]-Таблица1[[#This Row],[Дата поступления]]</f>
        <v>0</v>
      </c>
      <c r="W485" s="47">
        <f>Таблица1[[#This Row],[Дата поступления]]-Таблица1[[#This Row],[Дата рождения]]</f>
        <v>0</v>
      </c>
    </row>
    <row r="486" spans="22:23" ht="24.75" customHeight="1" x14ac:dyDescent="0.25">
      <c r="V486" s="47">
        <f>Таблица1[[#This Row],[Дата перевода]]-Таблица1[[#This Row],[Дата поступления]]</f>
        <v>0</v>
      </c>
      <c r="W486" s="47">
        <f>Таблица1[[#This Row],[Дата поступления]]-Таблица1[[#This Row],[Дата рождения]]</f>
        <v>0</v>
      </c>
    </row>
    <row r="487" spans="22:23" ht="24.75" customHeight="1" x14ac:dyDescent="0.25">
      <c r="V487" s="47">
        <f>Таблица1[[#This Row],[Дата перевода]]-Таблица1[[#This Row],[Дата поступления]]</f>
        <v>0</v>
      </c>
      <c r="W487" s="47">
        <f>Таблица1[[#This Row],[Дата поступления]]-Таблица1[[#This Row],[Дата рождения]]</f>
        <v>0</v>
      </c>
    </row>
    <row r="488" spans="22:23" ht="24.75" customHeight="1" x14ac:dyDescent="0.25">
      <c r="V488" s="47">
        <f>Таблица1[[#This Row],[Дата перевода]]-Таблица1[[#This Row],[Дата поступления]]</f>
        <v>0</v>
      </c>
      <c r="W488" s="47">
        <f>Таблица1[[#This Row],[Дата поступления]]-Таблица1[[#This Row],[Дата рождения]]</f>
        <v>0</v>
      </c>
    </row>
    <row r="489" spans="22:23" ht="24.75" customHeight="1" x14ac:dyDescent="0.25">
      <c r="V489" s="47">
        <f>Таблица1[[#This Row],[Дата перевода]]-Таблица1[[#This Row],[Дата поступления]]</f>
        <v>0</v>
      </c>
      <c r="W489" s="47">
        <f>Таблица1[[#This Row],[Дата поступления]]-Таблица1[[#This Row],[Дата рождения]]</f>
        <v>0</v>
      </c>
    </row>
    <row r="490" spans="22:23" ht="24.75" customHeight="1" x14ac:dyDescent="0.25">
      <c r="V490" s="47">
        <f>Таблица1[[#This Row],[Дата перевода]]-Таблица1[[#This Row],[Дата поступления]]</f>
        <v>0</v>
      </c>
      <c r="W490" s="47">
        <f>Таблица1[[#This Row],[Дата поступления]]-Таблица1[[#This Row],[Дата рождения]]</f>
        <v>0</v>
      </c>
    </row>
    <row r="491" spans="22:23" ht="24.75" customHeight="1" x14ac:dyDescent="0.25">
      <c r="V491" s="47">
        <f>Таблица1[[#This Row],[Дата перевода]]-Таблица1[[#This Row],[Дата поступления]]</f>
        <v>0</v>
      </c>
      <c r="W491" s="47">
        <f>Таблица1[[#This Row],[Дата поступления]]-Таблица1[[#This Row],[Дата рождения]]</f>
        <v>0</v>
      </c>
    </row>
    <row r="492" spans="22:23" ht="24.75" customHeight="1" x14ac:dyDescent="0.25">
      <c r="V492" s="47">
        <f>Таблица1[[#This Row],[Дата перевода]]-Таблица1[[#This Row],[Дата поступления]]</f>
        <v>0</v>
      </c>
      <c r="W492" s="47">
        <f>Таблица1[[#This Row],[Дата поступления]]-Таблица1[[#This Row],[Дата рождения]]</f>
        <v>0</v>
      </c>
    </row>
    <row r="493" spans="22:23" ht="24.75" customHeight="1" x14ac:dyDescent="0.25">
      <c r="V493" s="47">
        <f>Таблица1[[#This Row],[Дата перевода]]-Таблица1[[#This Row],[Дата поступления]]</f>
        <v>0</v>
      </c>
      <c r="W493" s="47">
        <f>Таблица1[[#This Row],[Дата поступления]]-Таблица1[[#This Row],[Дата рождения]]</f>
        <v>0</v>
      </c>
    </row>
    <row r="494" spans="22:23" ht="24.75" customHeight="1" x14ac:dyDescent="0.25">
      <c r="V494" s="47">
        <f>Таблица1[[#This Row],[Дата перевода]]-Таблица1[[#This Row],[Дата поступления]]</f>
        <v>0</v>
      </c>
      <c r="W494" s="47">
        <f>Таблица1[[#This Row],[Дата поступления]]-Таблица1[[#This Row],[Дата рождения]]</f>
        <v>0</v>
      </c>
    </row>
    <row r="495" spans="22:23" ht="24.75" customHeight="1" x14ac:dyDescent="0.25">
      <c r="V495" s="47">
        <f>Таблица1[[#This Row],[Дата перевода]]-Таблица1[[#This Row],[Дата поступления]]</f>
        <v>0</v>
      </c>
      <c r="W495" s="47">
        <f>Таблица1[[#This Row],[Дата поступления]]-Таблица1[[#This Row],[Дата рождения]]</f>
        <v>0</v>
      </c>
    </row>
    <row r="496" spans="22:23" ht="24.75" customHeight="1" x14ac:dyDescent="0.25">
      <c r="V496" s="47">
        <f>Таблица1[[#This Row],[Дата перевода]]-Таблица1[[#This Row],[Дата поступления]]</f>
        <v>0</v>
      </c>
      <c r="W496" s="47">
        <f>Таблица1[[#This Row],[Дата поступления]]-Таблица1[[#This Row],[Дата рождения]]</f>
        <v>0</v>
      </c>
    </row>
    <row r="497" spans="22:23" ht="24.75" customHeight="1" x14ac:dyDescent="0.25">
      <c r="V497" s="47">
        <f>Таблица1[[#This Row],[Дата перевода]]-Таблица1[[#This Row],[Дата поступления]]</f>
        <v>0</v>
      </c>
      <c r="W497" s="47">
        <f>Таблица1[[#This Row],[Дата поступления]]-Таблица1[[#This Row],[Дата рождения]]</f>
        <v>0</v>
      </c>
    </row>
    <row r="498" spans="22:23" ht="24.75" customHeight="1" x14ac:dyDescent="0.25">
      <c r="V498" s="47">
        <f>Таблица1[[#This Row],[Дата перевода]]-Таблица1[[#This Row],[Дата поступления]]</f>
        <v>0</v>
      </c>
      <c r="W498" s="47">
        <f>Таблица1[[#This Row],[Дата поступления]]-Таблица1[[#This Row],[Дата рождения]]</f>
        <v>0</v>
      </c>
    </row>
    <row r="499" spans="22:23" ht="24.75" customHeight="1" x14ac:dyDescent="0.25">
      <c r="V499" s="47">
        <f>Таблица1[[#This Row],[Дата перевода]]-Таблица1[[#This Row],[Дата поступления]]</f>
        <v>0</v>
      </c>
      <c r="W499" s="47">
        <f>Таблица1[[#This Row],[Дата поступления]]-Таблица1[[#This Row],[Дата рождения]]</f>
        <v>0</v>
      </c>
    </row>
    <row r="500" spans="22:23" ht="24.75" customHeight="1" x14ac:dyDescent="0.25">
      <c r="V500" s="47">
        <f>Таблица1[[#This Row],[Дата перевода]]-Таблица1[[#This Row],[Дата поступления]]</f>
        <v>0</v>
      </c>
      <c r="W500" s="47">
        <f>Таблица1[[#This Row],[Дата поступления]]-Таблица1[[#This Row],[Дата рождения]]</f>
        <v>0</v>
      </c>
    </row>
    <row r="501" spans="22:23" ht="24.75" customHeight="1" x14ac:dyDescent="0.25">
      <c r="V501" s="47">
        <f>Таблица1[[#This Row],[Дата перевода]]-Таблица1[[#This Row],[Дата поступления]]</f>
        <v>0</v>
      </c>
      <c r="W501" s="47">
        <f>Таблица1[[#This Row],[Дата поступления]]-Таблица1[[#This Row],[Дата рождения]]</f>
        <v>0</v>
      </c>
    </row>
    <row r="502" spans="22:23" ht="24.75" customHeight="1" x14ac:dyDescent="0.25">
      <c r="V502" s="47">
        <f>Таблица1[[#This Row],[Дата перевода]]-Таблица1[[#This Row],[Дата поступления]]</f>
        <v>0</v>
      </c>
      <c r="W502" s="47">
        <f>Таблица1[[#This Row],[Дата поступления]]-Таблица1[[#This Row],[Дата рождения]]</f>
        <v>0</v>
      </c>
    </row>
    <row r="503" spans="22:23" ht="24.75" customHeight="1" x14ac:dyDescent="0.25">
      <c r="V503" s="47">
        <f>Таблица1[[#This Row],[Дата перевода]]-Таблица1[[#This Row],[Дата поступления]]</f>
        <v>0</v>
      </c>
      <c r="W503" s="47">
        <f>Таблица1[[#This Row],[Дата поступления]]-Таблица1[[#This Row],[Дата рождения]]</f>
        <v>0</v>
      </c>
    </row>
    <row r="504" spans="22:23" ht="24.75" customHeight="1" x14ac:dyDescent="0.25">
      <c r="V504" s="47">
        <f>Таблица1[[#This Row],[Дата перевода]]-Таблица1[[#This Row],[Дата поступления]]</f>
        <v>0</v>
      </c>
      <c r="W504" s="47">
        <f>Таблица1[[#This Row],[Дата поступления]]-Таблица1[[#This Row],[Дата рождения]]</f>
        <v>0</v>
      </c>
    </row>
    <row r="505" spans="22:23" ht="24.75" customHeight="1" x14ac:dyDescent="0.25">
      <c r="V505" s="47">
        <f>Таблица1[[#This Row],[Дата перевода]]-Таблица1[[#This Row],[Дата поступления]]</f>
        <v>0</v>
      </c>
      <c r="W505" s="47">
        <f>Таблица1[[#This Row],[Дата поступления]]-Таблица1[[#This Row],[Дата рождения]]</f>
        <v>0</v>
      </c>
    </row>
    <row r="506" spans="22:23" ht="24.75" customHeight="1" x14ac:dyDescent="0.25">
      <c r="V506" s="47">
        <f>Таблица1[[#This Row],[Дата перевода]]-Таблица1[[#This Row],[Дата поступления]]</f>
        <v>0</v>
      </c>
      <c r="W506" s="47">
        <f>Таблица1[[#This Row],[Дата поступления]]-Таблица1[[#This Row],[Дата рождения]]</f>
        <v>0</v>
      </c>
    </row>
    <row r="507" spans="22:23" ht="24.75" customHeight="1" x14ac:dyDescent="0.25">
      <c r="V507" s="47">
        <f>Таблица1[[#This Row],[Дата перевода]]-Таблица1[[#This Row],[Дата поступления]]</f>
        <v>0</v>
      </c>
      <c r="W507" s="47">
        <f>Таблица1[[#This Row],[Дата поступления]]-Таблица1[[#This Row],[Дата рождения]]</f>
        <v>0</v>
      </c>
    </row>
    <row r="508" spans="22:23" ht="24.75" customHeight="1" x14ac:dyDescent="0.25">
      <c r="V508" s="47">
        <f>Таблица1[[#This Row],[Дата перевода]]-Таблица1[[#This Row],[Дата поступления]]</f>
        <v>0</v>
      </c>
      <c r="W508" s="47">
        <f>Таблица1[[#This Row],[Дата поступления]]-Таблица1[[#This Row],[Дата рождения]]</f>
        <v>0</v>
      </c>
    </row>
    <row r="509" spans="22:23" ht="24.75" customHeight="1" x14ac:dyDescent="0.25">
      <c r="V509" s="47">
        <f>Таблица1[[#This Row],[Дата перевода]]-Таблица1[[#This Row],[Дата поступления]]</f>
        <v>0</v>
      </c>
      <c r="W509" s="47">
        <f>Таблица1[[#This Row],[Дата поступления]]-Таблица1[[#This Row],[Дата рождения]]</f>
        <v>0</v>
      </c>
    </row>
    <row r="510" spans="22:23" ht="24.75" customHeight="1" x14ac:dyDescent="0.25">
      <c r="V510" s="47">
        <f>Таблица1[[#This Row],[Дата перевода]]-Таблица1[[#This Row],[Дата поступления]]</f>
        <v>0</v>
      </c>
      <c r="W510" s="47">
        <f>Таблица1[[#This Row],[Дата поступления]]-Таблица1[[#This Row],[Дата рождения]]</f>
        <v>0</v>
      </c>
    </row>
    <row r="511" spans="22:23" ht="24.75" customHeight="1" x14ac:dyDescent="0.25">
      <c r="V511" s="47">
        <f>Таблица1[[#This Row],[Дата перевода]]-Таблица1[[#This Row],[Дата поступления]]</f>
        <v>0</v>
      </c>
      <c r="W511" s="47">
        <f>Таблица1[[#This Row],[Дата поступления]]-Таблица1[[#This Row],[Дата рождения]]</f>
        <v>0</v>
      </c>
    </row>
    <row r="512" spans="22:23" ht="24.75" customHeight="1" x14ac:dyDescent="0.25">
      <c r="V512" s="47">
        <f>Таблица1[[#This Row],[Дата перевода]]-Таблица1[[#This Row],[Дата поступления]]</f>
        <v>0</v>
      </c>
      <c r="W512" s="47">
        <f>Таблица1[[#This Row],[Дата поступления]]-Таблица1[[#This Row],[Дата рождения]]</f>
        <v>0</v>
      </c>
    </row>
    <row r="513" spans="22:23" ht="24.75" customHeight="1" x14ac:dyDescent="0.25">
      <c r="V513" s="47">
        <f>Таблица1[[#This Row],[Дата перевода]]-Таблица1[[#This Row],[Дата поступления]]</f>
        <v>0</v>
      </c>
      <c r="W513" s="47">
        <f>Таблица1[[#This Row],[Дата поступления]]-Таблица1[[#This Row],[Дата рождения]]</f>
        <v>0</v>
      </c>
    </row>
    <row r="514" spans="22:23" ht="24.75" customHeight="1" x14ac:dyDescent="0.25">
      <c r="V514" s="47">
        <f>Таблица1[[#This Row],[Дата перевода]]-Таблица1[[#This Row],[Дата поступления]]</f>
        <v>0</v>
      </c>
      <c r="W514" s="47">
        <f>Таблица1[[#This Row],[Дата поступления]]-Таблица1[[#This Row],[Дата рождения]]</f>
        <v>0</v>
      </c>
    </row>
    <row r="515" spans="22:23" ht="24.75" customHeight="1" x14ac:dyDescent="0.25">
      <c r="V515" s="47">
        <f>Таблица1[[#This Row],[Дата перевода]]-Таблица1[[#This Row],[Дата поступления]]</f>
        <v>0</v>
      </c>
      <c r="W515" s="47">
        <f>Таблица1[[#This Row],[Дата поступления]]-Таблица1[[#This Row],[Дата рождения]]</f>
        <v>0</v>
      </c>
    </row>
    <row r="516" spans="22:23" ht="24.75" customHeight="1" x14ac:dyDescent="0.25">
      <c r="V516" s="47">
        <f>Таблица1[[#This Row],[Дата перевода]]-Таблица1[[#This Row],[Дата поступления]]</f>
        <v>0</v>
      </c>
      <c r="W516" s="47">
        <f>Таблица1[[#This Row],[Дата поступления]]-Таблица1[[#This Row],[Дата рождения]]</f>
        <v>0</v>
      </c>
    </row>
    <row r="517" spans="22:23" ht="24.75" customHeight="1" x14ac:dyDescent="0.25">
      <c r="V517" s="47">
        <f>Таблица1[[#This Row],[Дата перевода]]-Таблица1[[#This Row],[Дата поступления]]</f>
        <v>0</v>
      </c>
      <c r="W517" s="47">
        <f>Таблица1[[#This Row],[Дата поступления]]-Таблица1[[#This Row],[Дата рождения]]</f>
        <v>0</v>
      </c>
    </row>
    <row r="518" spans="22:23" ht="24.75" customHeight="1" x14ac:dyDescent="0.25">
      <c r="V518" s="47">
        <f>Таблица1[[#This Row],[Дата перевода]]-Таблица1[[#This Row],[Дата поступления]]</f>
        <v>0</v>
      </c>
      <c r="W518" s="47">
        <f>Таблица1[[#This Row],[Дата поступления]]-Таблица1[[#This Row],[Дата рождения]]</f>
        <v>0</v>
      </c>
    </row>
    <row r="519" spans="22:23" ht="24.75" customHeight="1" x14ac:dyDescent="0.25">
      <c r="V519" s="47">
        <f>Таблица1[[#This Row],[Дата перевода]]-Таблица1[[#This Row],[Дата поступления]]</f>
        <v>0</v>
      </c>
      <c r="W519" s="47">
        <f>Таблица1[[#This Row],[Дата поступления]]-Таблица1[[#This Row],[Дата рождения]]</f>
        <v>0</v>
      </c>
    </row>
    <row r="520" spans="22:23" ht="24.75" customHeight="1" x14ac:dyDescent="0.25">
      <c r="V520" s="47">
        <f>Таблица1[[#This Row],[Дата перевода]]-Таблица1[[#This Row],[Дата поступления]]</f>
        <v>0</v>
      </c>
      <c r="W520" s="47">
        <f>Таблица1[[#This Row],[Дата поступления]]-Таблица1[[#This Row],[Дата рождения]]</f>
        <v>0</v>
      </c>
    </row>
    <row r="521" spans="22:23" ht="24.75" customHeight="1" x14ac:dyDescent="0.25">
      <c r="V521" s="47">
        <f>Таблица1[[#This Row],[Дата перевода]]-Таблица1[[#This Row],[Дата поступления]]</f>
        <v>0</v>
      </c>
      <c r="W521" s="47">
        <f>Таблица1[[#This Row],[Дата поступления]]-Таблица1[[#This Row],[Дата рождения]]</f>
        <v>0</v>
      </c>
    </row>
    <row r="522" spans="22:23" ht="24.75" customHeight="1" x14ac:dyDescent="0.25">
      <c r="V522" s="47">
        <f>Таблица1[[#This Row],[Дата перевода]]-Таблица1[[#This Row],[Дата поступления]]</f>
        <v>0</v>
      </c>
      <c r="W522" s="47">
        <f>Таблица1[[#This Row],[Дата поступления]]-Таблица1[[#This Row],[Дата рождения]]</f>
        <v>0</v>
      </c>
    </row>
    <row r="523" spans="22:23" ht="24.75" customHeight="1" x14ac:dyDescent="0.25">
      <c r="V523" s="47">
        <f>Таблица1[[#This Row],[Дата перевода]]-Таблица1[[#This Row],[Дата поступления]]</f>
        <v>0</v>
      </c>
      <c r="W523" s="47">
        <f>Таблица1[[#This Row],[Дата поступления]]-Таблица1[[#This Row],[Дата рождения]]</f>
        <v>0</v>
      </c>
    </row>
    <row r="524" spans="22:23" ht="24.75" customHeight="1" x14ac:dyDescent="0.25">
      <c r="V524" s="47">
        <f>Таблица1[[#This Row],[Дата перевода]]-Таблица1[[#This Row],[Дата поступления]]</f>
        <v>0</v>
      </c>
      <c r="W524" s="47">
        <f>Таблица1[[#This Row],[Дата поступления]]-Таблица1[[#This Row],[Дата рождения]]</f>
        <v>0</v>
      </c>
    </row>
    <row r="525" spans="22:23" ht="24.75" customHeight="1" x14ac:dyDescent="0.25">
      <c r="V525" s="47">
        <f>Таблица1[[#This Row],[Дата перевода]]-Таблица1[[#This Row],[Дата поступления]]</f>
        <v>0</v>
      </c>
      <c r="W525" s="47">
        <f>Таблица1[[#This Row],[Дата поступления]]-Таблица1[[#This Row],[Дата рождения]]</f>
        <v>0</v>
      </c>
    </row>
    <row r="526" spans="22:23" ht="24.75" customHeight="1" x14ac:dyDescent="0.25">
      <c r="V526" s="47">
        <f>Таблица1[[#This Row],[Дата перевода]]-Таблица1[[#This Row],[Дата поступления]]</f>
        <v>0</v>
      </c>
      <c r="W526" s="47">
        <f>Таблица1[[#This Row],[Дата поступления]]-Таблица1[[#This Row],[Дата рождения]]</f>
        <v>0</v>
      </c>
    </row>
    <row r="527" spans="22:23" ht="24.75" customHeight="1" x14ac:dyDescent="0.25">
      <c r="V527" s="47">
        <f>Таблица1[[#This Row],[Дата перевода]]-Таблица1[[#This Row],[Дата поступления]]</f>
        <v>0</v>
      </c>
      <c r="W527" s="47">
        <f>Таблица1[[#This Row],[Дата поступления]]-Таблица1[[#This Row],[Дата рождения]]</f>
        <v>0</v>
      </c>
    </row>
    <row r="528" spans="22:23" ht="24.75" customHeight="1" x14ac:dyDescent="0.25">
      <c r="V528" s="47">
        <f>Таблица1[[#This Row],[Дата перевода]]-Таблица1[[#This Row],[Дата поступления]]</f>
        <v>0</v>
      </c>
      <c r="W528" s="47">
        <f>Таблица1[[#This Row],[Дата поступления]]-Таблица1[[#This Row],[Дата рождения]]</f>
        <v>0</v>
      </c>
    </row>
    <row r="529" spans="22:23" ht="24.75" customHeight="1" x14ac:dyDescent="0.25">
      <c r="V529" s="47">
        <f>Таблица1[[#This Row],[Дата перевода]]-Таблица1[[#This Row],[Дата поступления]]</f>
        <v>0</v>
      </c>
      <c r="W529" s="47">
        <f>Таблица1[[#This Row],[Дата поступления]]-Таблица1[[#This Row],[Дата рождения]]</f>
        <v>0</v>
      </c>
    </row>
    <row r="530" spans="22:23" ht="24.75" customHeight="1" x14ac:dyDescent="0.25">
      <c r="V530" s="47">
        <f>Таблица1[[#This Row],[Дата перевода]]-Таблица1[[#This Row],[Дата поступления]]</f>
        <v>0</v>
      </c>
      <c r="W530" s="47">
        <f>Таблица1[[#This Row],[Дата поступления]]-Таблица1[[#This Row],[Дата рождения]]</f>
        <v>0</v>
      </c>
    </row>
    <row r="531" spans="22:23" ht="24.75" customHeight="1" x14ac:dyDescent="0.25">
      <c r="V531" s="47">
        <f>Таблица1[[#This Row],[Дата перевода]]-Таблица1[[#This Row],[Дата поступления]]</f>
        <v>0</v>
      </c>
      <c r="W531" s="47">
        <f>Таблица1[[#This Row],[Дата поступления]]-Таблица1[[#This Row],[Дата рождения]]</f>
        <v>0</v>
      </c>
    </row>
    <row r="532" spans="22:23" ht="24.75" customHeight="1" x14ac:dyDescent="0.25">
      <c r="V532" s="47">
        <f>Таблица1[[#This Row],[Дата перевода]]-Таблица1[[#This Row],[Дата поступления]]</f>
        <v>0</v>
      </c>
      <c r="W532" s="47">
        <f>Таблица1[[#This Row],[Дата поступления]]-Таблица1[[#This Row],[Дата рождения]]</f>
        <v>0</v>
      </c>
    </row>
    <row r="533" spans="22:23" ht="24.75" customHeight="1" x14ac:dyDescent="0.25">
      <c r="V533" s="47">
        <f>Таблица1[[#This Row],[Дата перевода]]-Таблица1[[#This Row],[Дата поступления]]</f>
        <v>0</v>
      </c>
      <c r="W533" s="47">
        <f>Таблица1[[#This Row],[Дата поступления]]-Таблица1[[#This Row],[Дата рождения]]</f>
        <v>0</v>
      </c>
    </row>
    <row r="534" spans="22:23" ht="24.75" customHeight="1" x14ac:dyDescent="0.25">
      <c r="V534" s="47">
        <f>Таблица1[[#This Row],[Дата перевода]]-Таблица1[[#This Row],[Дата поступления]]</f>
        <v>0</v>
      </c>
      <c r="W534" s="47">
        <f>Таблица1[[#This Row],[Дата поступления]]-Таблица1[[#This Row],[Дата рождения]]</f>
        <v>0</v>
      </c>
    </row>
    <row r="535" spans="22:23" ht="24.75" customHeight="1" x14ac:dyDescent="0.25">
      <c r="V535" s="47">
        <f>Таблица1[[#This Row],[Дата перевода]]-Таблица1[[#This Row],[Дата поступления]]</f>
        <v>0</v>
      </c>
      <c r="W535" s="47">
        <f>Таблица1[[#This Row],[Дата поступления]]-Таблица1[[#This Row],[Дата рождения]]</f>
        <v>0</v>
      </c>
    </row>
    <row r="536" spans="22:23" ht="24.75" customHeight="1" x14ac:dyDescent="0.25">
      <c r="V536" s="47">
        <f>Таблица1[[#This Row],[Дата перевода]]-Таблица1[[#This Row],[Дата поступления]]</f>
        <v>0</v>
      </c>
      <c r="W536" s="47">
        <f>Таблица1[[#This Row],[Дата поступления]]-Таблица1[[#This Row],[Дата рождения]]</f>
        <v>0</v>
      </c>
    </row>
    <row r="537" spans="22:23" ht="24.75" customHeight="1" x14ac:dyDescent="0.25">
      <c r="V537" s="47">
        <f>Таблица1[[#This Row],[Дата перевода]]-Таблица1[[#This Row],[Дата поступления]]</f>
        <v>0</v>
      </c>
      <c r="W537" s="47">
        <f>Таблица1[[#This Row],[Дата поступления]]-Таблица1[[#This Row],[Дата рождения]]</f>
        <v>0</v>
      </c>
    </row>
    <row r="538" spans="22:23" ht="24.75" customHeight="1" x14ac:dyDescent="0.25">
      <c r="V538" s="47">
        <f>Таблица1[[#This Row],[Дата перевода]]-Таблица1[[#This Row],[Дата поступления]]</f>
        <v>0</v>
      </c>
      <c r="W538" s="47">
        <f>Таблица1[[#This Row],[Дата поступления]]-Таблица1[[#This Row],[Дата рождения]]</f>
        <v>0</v>
      </c>
    </row>
    <row r="539" spans="22:23" ht="24.75" customHeight="1" x14ac:dyDescent="0.25">
      <c r="V539" s="47">
        <f>Таблица1[[#This Row],[Дата перевода]]-Таблица1[[#This Row],[Дата поступления]]</f>
        <v>0</v>
      </c>
      <c r="W539" s="47">
        <f>Таблица1[[#This Row],[Дата поступления]]-Таблица1[[#This Row],[Дата рождения]]</f>
        <v>0</v>
      </c>
    </row>
    <row r="540" spans="22:23" ht="24.75" customHeight="1" x14ac:dyDescent="0.25">
      <c r="V540" s="47">
        <f>Таблица1[[#This Row],[Дата перевода]]-Таблица1[[#This Row],[Дата поступления]]</f>
        <v>0</v>
      </c>
      <c r="W540" s="47">
        <f>Таблица1[[#This Row],[Дата поступления]]-Таблица1[[#This Row],[Дата рождения]]</f>
        <v>0</v>
      </c>
    </row>
    <row r="541" spans="22:23" ht="24.75" customHeight="1" x14ac:dyDescent="0.25">
      <c r="V541" s="47">
        <f>Таблица1[[#This Row],[Дата перевода]]-Таблица1[[#This Row],[Дата поступления]]</f>
        <v>0</v>
      </c>
      <c r="W541" s="47">
        <f>Таблица1[[#This Row],[Дата поступления]]-Таблица1[[#This Row],[Дата рождения]]</f>
        <v>0</v>
      </c>
    </row>
    <row r="542" spans="22:23" ht="24.75" customHeight="1" x14ac:dyDescent="0.25">
      <c r="V542" s="47">
        <f>Таблица1[[#This Row],[Дата перевода]]-Таблица1[[#This Row],[Дата поступления]]</f>
        <v>0</v>
      </c>
      <c r="W542" s="47">
        <f>Таблица1[[#This Row],[Дата поступления]]-Таблица1[[#This Row],[Дата рождения]]</f>
        <v>0</v>
      </c>
    </row>
    <row r="543" spans="22:23" ht="24.75" customHeight="1" x14ac:dyDescent="0.25">
      <c r="V543" s="47">
        <f>Таблица1[[#This Row],[Дата перевода]]-Таблица1[[#This Row],[Дата поступления]]</f>
        <v>0</v>
      </c>
      <c r="W543" s="47">
        <f>Таблица1[[#This Row],[Дата поступления]]-Таблица1[[#This Row],[Дата рождения]]</f>
        <v>0</v>
      </c>
    </row>
    <row r="544" spans="22:23" ht="24.75" customHeight="1" x14ac:dyDescent="0.25">
      <c r="V544" s="47">
        <f>Таблица1[[#This Row],[Дата перевода]]-Таблица1[[#This Row],[Дата поступления]]</f>
        <v>0</v>
      </c>
      <c r="W544" s="47">
        <f>Таблица1[[#This Row],[Дата поступления]]-Таблица1[[#This Row],[Дата рождения]]</f>
        <v>0</v>
      </c>
    </row>
    <row r="545" spans="22:23" ht="24.75" customHeight="1" x14ac:dyDescent="0.25">
      <c r="V545" s="47">
        <f>Таблица1[[#This Row],[Дата перевода]]-Таблица1[[#This Row],[Дата поступления]]</f>
        <v>0</v>
      </c>
      <c r="W545" s="47">
        <f>Таблица1[[#This Row],[Дата поступления]]-Таблица1[[#This Row],[Дата рождения]]</f>
        <v>0</v>
      </c>
    </row>
    <row r="546" spans="22:23" ht="24.75" customHeight="1" x14ac:dyDescent="0.25">
      <c r="V546" s="47">
        <f>Таблица1[[#This Row],[Дата перевода]]-Таблица1[[#This Row],[Дата поступления]]</f>
        <v>0</v>
      </c>
      <c r="W546" s="47">
        <f>Таблица1[[#This Row],[Дата поступления]]-Таблица1[[#This Row],[Дата рождения]]</f>
        <v>0</v>
      </c>
    </row>
    <row r="547" spans="22:23" ht="24.75" customHeight="1" x14ac:dyDescent="0.25">
      <c r="V547" s="47">
        <f>Таблица1[[#This Row],[Дата перевода]]-Таблица1[[#This Row],[Дата поступления]]</f>
        <v>0</v>
      </c>
      <c r="W547" s="47">
        <f>Таблица1[[#This Row],[Дата поступления]]-Таблица1[[#This Row],[Дата рождения]]</f>
        <v>0</v>
      </c>
    </row>
    <row r="548" spans="22:23" ht="24.75" customHeight="1" x14ac:dyDescent="0.25">
      <c r="V548" s="47">
        <f>Таблица1[[#This Row],[Дата перевода]]-Таблица1[[#This Row],[Дата поступления]]</f>
        <v>0</v>
      </c>
      <c r="W548" s="47">
        <f>Таблица1[[#This Row],[Дата поступления]]-Таблица1[[#This Row],[Дата рождения]]</f>
        <v>0</v>
      </c>
    </row>
    <row r="549" spans="22:23" ht="24.75" customHeight="1" x14ac:dyDescent="0.25">
      <c r="V549" s="47">
        <f>Таблица1[[#This Row],[Дата перевода]]-Таблица1[[#This Row],[Дата поступления]]</f>
        <v>0</v>
      </c>
      <c r="W549" s="47">
        <f>Таблица1[[#This Row],[Дата поступления]]-Таблица1[[#This Row],[Дата рождения]]</f>
        <v>0</v>
      </c>
    </row>
    <row r="550" spans="22:23" ht="24.75" customHeight="1" x14ac:dyDescent="0.25">
      <c r="V550" s="47">
        <f>Таблица1[[#This Row],[Дата перевода]]-Таблица1[[#This Row],[Дата поступления]]</f>
        <v>0</v>
      </c>
      <c r="W550" s="47">
        <f>Таблица1[[#This Row],[Дата поступления]]-Таблица1[[#This Row],[Дата рождения]]</f>
        <v>0</v>
      </c>
    </row>
    <row r="551" spans="22:23" ht="24.75" customHeight="1" x14ac:dyDescent="0.25">
      <c r="V551" s="47">
        <f>Таблица1[[#This Row],[Дата перевода]]-Таблица1[[#This Row],[Дата поступления]]</f>
        <v>0</v>
      </c>
      <c r="W551" s="47">
        <f>Таблица1[[#This Row],[Дата поступления]]-Таблица1[[#This Row],[Дата рождения]]</f>
        <v>0</v>
      </c>
    </row>
    <row r="552" spans="22:23" ht="24.75" customHeight="1" x14ac:dyDescent="0.25">
      <c r="V552" s="47">
        <f>Таблица1[[#This Row],[Дата перевода]]-Таблица1[[#This Row],[Дата поступления]]</f>
        <v>0</v>
      </c>
      <c r="W552" s="47">
        <f>Таблица1[[#This Row],[Дата поступления]]-Таблица1[[#This Row],[Дата рождения]]</f>
        <v>0</v>
      </c>
    </row>
    <row r="553" spans="22:23" ht="24.75" customHeight="1" x14ac:dyDescent="0.25">
      <c r="V553" s="47">
        <f>Таблица1[[#This Row],[Дата перевода]]-Таблица1[[#This Row],[Дата поступления]]</f>
        <v>0</v>
      </c>
      <c r="W553" s="47">
        <f>Таблица1[[#This Row],[Дата поступления]]-Таблица1[[#This Row],[Дата рождения]]</f>
        <v>0</v>
      </c>
    </row>
    <row r="554" spans="22:23" ht="24.75" customHeight="1" x14ac:dyDescent="0.25">
      <c r="V554" s="47">
        <f>Таблица1[[#This Row],[Дата перевода]]-Таблица1[[#This Row],[Дата поступления]]</f>
        <v>0</v>
      </c>
      <c r="W554" s="47">
        <f>Таблица1[[#This Row],[Дата поступления]]-Таблица1[[#This Row],[Дата рождения]]</f>
        <v>0</v>
      </c>
    </row>
    <row r="555" spans="22:23" ht="24.75" customHeight="1" x14ac:dyDescent="0.25">
      <c r="V555" s="47">
        <f>Таблица1[[#This Row],[Дата перевода]]-Таблица1[[#This Row],[Дата поступления]]</f>
        <v>0</v>
      </c>
      <c r="W555" s="47">
        <f>Таблица1[[#This Row],[Дата поступления]]-Таблица1[[#This Row],[Дата рождения]]</f>
        <v>0</v>
      </c>
    </row>
    <row r="556" spans="22:23" ht="24.75" customHeight="1" x14ac:dyDescent="0.25">
      <c r="V556" s="47">
        <f>Таблица1[[#This Row],[Дата перевода]]-Таблица1[[#This Row],[Дата поступления]]</f>
        <v>0</v>
      </c>
      <c r="W556" s="47">
        <f>Таблица1[[#This Row],[Дата поступления]]-Таблица1[[#This Row],[Дата рождения]]</f>
        <v>0</v>
      </c>
    </row>
    <row r="557" spans="22:23" ht="24.75" customHeight="1" x14ac:dyDescent="0.25">
      <c r="V557" s="47">
        <f>Таблица1[[#This Row],[Дата перевода]]-Таблица1[[#This Row],[Дата поступления]]</f>
        <v>0</v>
      </c>
      <c r="W557" s="47">
        <f>Таблица1[[#This Row],[Дата поступления]]-Таблица1[[#This Row],[Дата рождения]]</f>
        <v>0</v>
      </c>
    </row>
    <row r="558" spans="22:23" ht="24.75" customHeight="1" x14ac:dyDescent="0.25">
      <c r="V558" s="47">
        <f>Таблица1[[#This Row],[Дата перевода]]-Таблица1[[#This Row],[Дата поступления]]</f>
        <v>0</v>
      </c>
      <c r="W558" s="47">
        <f>Таблица1[[#This Row],[Дата поступления]]-Таблица1[[#This Row],[Дата рождения]]</f>
        <v>0</v>
      </c>
    </row>
    <row r="559" spans="22:23" ht="24.75" customHeight="1" x14ac:dyDescent="0.25">
      <c r="V559" s="47">
        <f>Таблица1[[#This Row],[Дата перевода]]-Таблица1[[#This Row],[Дата поступления]]</f>
        <v>0</v>
      </c>
      <c r="W559" s="47">
        <f>Таблица1[[#This Row],[Дата поступления]]-Таблица1[[#This Row],[Дата рождения]]</f>
        <v>0</v>
      </c>
    </row>
    <row r="560" spans="22:23" ht="24.75" customHeight="1" x14ac:dyDescent="0.25">
      <c r="V560" s="47">
        <f>Таблица1[[#This Row],[Дата перевода]]-Таблица1[[#This Row],[Дата поступления]]</f>
        <v>0</v>
      </c>
      <c r="W560" s="47">
        <f>Таблица1[[#This Row],[Дата поступления]]-Таблица1[[#This Row],[Дата рождения]]</f>
        <v>0</v>
      </c>
    </row>
    <row r="561" spans="22:23" ht="24.75" customHeight="1" x14ac:dyDescent="0.25">
      <c r="V561" s="47">
        <f>Таблица1[[#This Row],[Дата перевода]]-Таблица1[[#This Row],[Дата поступления]]</f>
        <v>0</v>
      </c>
      <c r="W561" s="47">
        <f>Таблица1[[#This Row],[Дата поступления]]-Таблица1[[#This Row],[Дата рождения]]</f>
        <v>0</v>
      </c>
    </row>
    <row r="562" spans="22:23" ht="24.75" customHeight="1" x14ac:dyDescent="0.25">
      <c r="V562" s="47">
        <f>Таблица1[[#This Row],[Дата перевода]]-Таблица1[[#This Row],[Дата поступления]]</f>
        <v>0</v>
      </c>
      <c r="W562" s="47">
        <f>Таблица1[[#This Row],[Дата поступления]]-Таблица1[[#This Row],[Дата рождения]]</f>
        <v>0</v>
      </c>
    </row>
    <row r="563" spans="22:23" ht="24.75" customHeight="1" x14ac:dyDescent="0.25">
      <c r="V563" s="47">
        <f>Таблица1[[#This Row],[Дата перевода]]-Таблица1[[#This Row],[Дата поступления]]</f>
        <v>0</v>
      </c>
      <c r="W563" s="47">
        <f>Таблица1[[#This Row],[Дата поступления]]-Таблица1[[#This Row],[Дата рождения]]</f>
        <v>0</v>
      </c>
    </row>
    <row r="564" spans="22:23" ht="24.75" customHeight="1" x14ac:dyDescent="0.25">
      <c r="V564" s="47">
        <f>Таблица1[[#This Row],[Дата перевода]]-Таблица1[[#This Row],[Дата поступления]]</f>
        <v>0</v>
      </c>
      <c r="W564" s="47">
        <f>Таблица1[[#This Row],[Дата поступления]]-Таблица1[[#This Row],[Дата рождения]]</f>
        <v>0</v>
      </c>
    </row>
    <row r="565" spans="22:23" ht="24.75" customHeight="1" x14ac:dyDescent="0.25">
      <c r="V565" s="47">
        <f>Таблица1[[#This Row],[Дата перевода]]-Таблица1[[#This Row],[Дата поступления]]</f>
        <v>0</v>
      </c>
      <c r="W565" s="47">
        <f>Таблица1[[#This Row],[Дата поступления]]-Таблица1[[#This Row],[Дата рождения]]</f>
        <v>0</v>
      </c>
    </row>
    <row r="566" spans="22:23" ht="24.75" customHeight="1" x14ac:dyDescent="0.25">
      <c r="V566" s="47">
        <f>Таблица1[[#This Row],[Дата перевода]]-Таблица1[[#This Row],[Дата поступления]]</f>
        <v>0</v>
      </c>
      <c r="W566" s="47">
        <f>Таблица1[[#This Row],[Дата поступления]]-Таблица1[[#This Row],[Дата рождения]]</f>
        <v>0</v>
      </c>
    </row>
    <row r="567" spans="22:23" ht="24.75" customHeight="1" x14ac:dyDescent="0.25">
      <c r="V567" s="47">
        <f>Таблица1[[#This Row],[Дата перевода]]-Таблица1[[#This Row],[Дата поступления]]</f>
        <v>0</v>
      </c>
      <c r="W567" s="47">
        <f>Таблица1[[#This Row],[Дата поступления]]-Таблица1[[#This Row],[Дата рождения]]</f>
        <v>0</v>
      </c>
    </row>
    <row r="568" spans="22:23" ht="24.75" customHeight="1" x14ac:dyDescent="0.25">
      <c r="V568" s="47">
        <f>Таблица1[[#This Row],[Дата перевода]]-Таблица1[[#This Row],[Дата поступления]]</f>
        <v>0</v>
      </c>
      <c r="W568" s="47">
        <f>Таблица1[[#This Row],[Дата поступления]]-Таблица1[[#This Row],[Дата рождения]]</f>
        <v>0</v>
      </c>
    </row>
    <row r="569" spans="22:23" ht="24.75" customHeight="1" x14ac:dyDescent="0.25">
      <c r="V569" s="47">
        <f>Таблица1[[#This Row],[Дата перевода]]-Таблица1[[#This Row],[Дата поступления]]</f>
        <v>0</v>
      </c>
      <c r="W569" s="47">
        <f>Таблица1[[#This Row],[Дата поступления]]-Таблица1[[#This Row],[Дата рождения]]</f>
        <v>0</v>
      </c>
    </row>
    <row r="570" spans="22:23" ht="24.75" customHeight="1" x14ac:dyDescent="0.25">
      <c r="V570" s="47">
        <f>Таблица1[[#This Row],[Дата перевода]]-Таблица1[[#This Row],[Дата поступления]]</f>
        <v>0</v>
      </c>
      <c r="W570" s="47">
        <f>Таблица1[[#This Row],[Дата поступления]]-Таблица1[[#This Row],[Дата рождения]]</f>
        <v>0</v>
      </c>
    </row>
    <row r="571" spans="22:23" ht="24.75" customHeight="1" x14ac:dyDescent="0.25">
      <c r="V571" s="47">
        <f>Таблица1[[#This Row],[Дата перевода]]-Таблица1[[#This Row],[Дата поступления]]</f>
        <v>0</v>
      </c>
      <c r="W571" s="47">
        <f>Таблица1[[#This Row],[Дата поступления]]-Таблица1[[#This Row],[Дата рождения]]</f>
        <v>0</v>
      </c>
    </row>
    <row r="572" spans="22:23" ht="24.75" customHeight="1" x14ac:dyDescent="0.25">
      <c r="V572" s="47">
        <f>Таблица1[[#This Row],[Дата перевода]]-Таблица1[[#This Row],[Дата поступления]]</f>
        <v>0</v>
      </c>
      <c r="W572" s="47">
        <f>Таблица1[[#This Row],[Дата поступления]]-Таблица1[[#This Row],[Дата рождения]]</f>
        <v>0</v>
      </c>
    </row>
    <row r="573" spans="22:23" ht="24.75" customHeight="1" x14ac:dyDescent="0.25">
      <c r="V573" s="47">
        <f>Таблица1[[#This Row],[Дата перевода]]-Таблица1[[#This Row],[Дата поступления]]</f>
        <v>0</v>
      </c>
      <c r="W573" s="47">
        <f>Таблица1[[#This Row],[Дата поступления]]-Таблица1[[#This Row],[Дата рождения]]</f>
        <v>0</v>
      </c>
    </row>
    <row r="574" spans="22:23" ht="24.75" customHeight="1" x14ac:dyDescent="0.25">
      <c r="V574" s="47">
        <f>Таблица1[[#This Row],[Дата перевода]]-Таблица1[[#This Row],[Дата поступления]]</f>
        <v>0</v>
      </c>
      <c r="W574" s="47">
        <f>Таблица1[[#This Row],[Дата поступления]]-Таблица1[[#This Row],[Дата рождения]]</f>
        <v>0</v>
      </c>
    </row>
    <row r="575" spans="22:23" ht="24.75" customHeight="1" x14ac:dyDescent="0.25">
      <c r="V575" s="47">
        <f>Таблица1[[#This Row],[Дата перевода]]-Таблица1[[#This Row],[Дата поступления]]</f>
        <v>0</v>
      </c>
      <c r="W575" s="47">
        <f>Таблица1[[#This Row],[Дата поступления]]-Таблица1[[#This Row],[Дата рождения]]</f>
        <v>0</v>
      </c>
    </row>
    <row r="576" spans="22:23" ht="24.75" customHeight="1" x14ac:dyDescent="0.25">
      <c r="V576" s="47">
        <f>Таблица1[[#This Row],[Дата перевода]]-Таблица1[[#This Row],[Дата поступления]]</f>
        <v>0</v>
      </c>
      <c r="W576" s="47">
        <f>Таблица1[[#This Row],[Дата поступления]]-Таблица1[[#This Row],[Дата рождения]]</f>
        <v>0</v>
      </c>
    </row>
    <row r="577" spans="22:23" ht="24.75" customHeight="1" x14ac:dyDescent="0.25">
      <c r="V577" s="47">
        <f>Таблица1[[#This Row],[Дата перевода]]-Таблица1[[#This Row],[Дата поступления]]</f>
        <v>0</v>
      </c>
      <c r="W577" s="47">
        <f>Таблица1[[#This Row],[Дата поступления]]-Таблица1[[#This Row],[Дата рождения]]</f>
        <v>0</v>
      </c>
    </row>
    <row r="578" spans="22:23" ht="24.75" customHeight="1" x14ac:dyDescent="0.25">
      <c r="V578" s="47">
        <f>Таблица1[[#This Row],[Дата перевода]]-Таблица1[[#This Row],[Дата поступления]]</f>
        <v>0</v>
      </c>
      <c r="W578" s="47">
        <f>Таблица1[[#This Row],[Дата поступления]]-Таблица1[[#This Row],[Дата рождения]]</f>
        <v>0</v>
      </c>
    </row>
    <row r="579" spans="22:23" ht="24.75" customHeight="1" x14ac:dyDescent="0.25">
      <c r="V579" s="47">
        <f>Таблица1[[#This Row],[Дата перевода]]-Таблица1[[#This Row],[Дата поступления]]</f>
        <v>0</v>
      </c>
      <c r="W579" s="47">
        <f>Таблица1[[#This Row],[Дата поступления]]-Таблица1[[#This Row],[Дата рождения]]</f>
        <v>0</v>
      </c>
    </row>
    <row r="580" spans="22:23" ht="24.75" customHeight="1" x14ac:dyDescent="0.25">
      <c r="V580" s="47">
        <f>Таблица1[[#This Row],[Дата перевода]]-Таблица1[[#This Row],[Дата поступления]]</f>
        <v>0</v>
      </c>
      <c r="W580" s="47">
        <f>Таблица1[[#This Row],[Дата поступления]]-Таблица1[[#This Row],[Дата рождения]]</f>
        <v>0</v>
      </c>
    </row>
    <row r="581" spans="22:23" ht="24.75" customHeight="1" x14ac:dyDescent="0.25">
      <c r="V581" s="47">
        <f>Таблица1[[#This Row],[Дата перевода]]-Таблица1[[#This Row],[Дата поступления]]</f>
        <v>0</v>
      </c>
      <c r="W581" s="47">
        <f>Таблица1[[#This Row],[Дата поступления]]-Таблица1[[#This Row],[Дата рождения]]</f>
        <v>0</v>
      </c>
    </row>
    <row r="582" spans="22:23" ht="24.75" customHeight="1" x14ac:dyDescent="0.25">
      <c r="V582" s="47">
        <f>Таблица1[[#This Row],[Дата перевода]]-Таблица1[[#This Row],[Дата поступления]]</f>
        <v>0</v>
      </c>
      <c r="W582" s="47">
        <f>Таблица1[[#This Row],[Дата поступления]]-Таблица1[[#This Row],[Дата рождения]]</f>
        <v>0</v>
      </c>
    </row>
    <row r="583" spans="22:23" ht="24.75" customHeight="1" x14ac:dyDescent="0.25">
      <c r="V583" s="47">
        <f>Таблица1[[#This Row],[Дата перевода]]-Таблица1[[#This Row],[Дата поступления]]</f>
        <v>0</v>
      </c>
      <c r="W583" s="47">
        <f>Таблица1[[#This Row],[Дата поступления]]-Таблица1[[#This Row],[Дата рождения]]</f>
        <v>0</v>
      </c>
    </row>
    <row r="584" spans="22:23" ht="24.75" customHeight="1" x14ac:dyDescent="0.25">
      <c r="V584" s="47">
        <f>Таблица1[[#This Row],[Дата перевода]]-Таблица1[[#This Row],[Дата поступления]]</f>
        <v>0</v>
      </c>
      <c r="W584" s="47">
        <f>Таблица1[[#This Row],[Дата поступления]]-Таблица1[[#This Row],[Дата рождения]]</f>
        <v>0</v>
      </c>
    </row>
    <row r="585" spans="22:23" ht="24.75" customHeight="1" x14ac:dyDescent="0.25">
      <c r="V585" s="47">
        <f>Таблица1[[#This Row],[Дата перевода]]-Таблица1[[#This Row],[Дата поступления]]</f>
        <v>0</v>
      </c>
      <c r="W585" s="47">
        <f>Таблица1[[#This Row],[Дата поступления]]-Таблица1[[#This Row],[Дата рождения]]</f>
        <v>0</v>
      </c>
    </row>
    <row r="586" spans="22:23" ht="24.75" customHeight="1" x14ac:dyDescent="0.25">
      <c r="V586" s="47">
        <f>Таблица1[[#This Row],[Дата перевода]]-Таблица1[[#This Row],[Дата поступления]]</f>
        <v>0</v>
      </c>
      <c r="W586" s="47">
        <f>Таблица1[[#This Row],[Дата поступления]]-Таблица1[[#This Row],[Дата рождения]]</f>
        <v>0</v>
      </c>
    </row>
    <row r="587" spans="22:23" ht="24.75" customHeight="1" x14ac:dyDescent="0.25">
      <c r="V587" s="47">
        <f>Таблица1[[#This Row],[Дата перевода]]-Таблица1[[#This Row],[Дата поступления]]</f>
        <v>0</v>
      </c>
      <c r="W587" s="47">
        <f>Таблица1[[#This Row],[Дата поступления]]-Таблица1[[#This Row],[Дата рождения]]</f>
        <v>0</v>
      </c>
    </row>
    <row r="588" spans="22:23" ht="24.75" customHeight="1" x14ac:dyDescent="0.25">
      <c r="V588" s="47">
        <f>Таблица1[[#This Row],[Дата перевода]]-Таблица1[[#This Row],[Дата поступления]]</f>
        <v>0</v>
      </c>
      <c r="W588" s="47">
        <f>Таблица1[[#This Row],[Дата поступления]]-Таблица1[[#This Row],[Дата рождения]]</f>
        <v>0</v>
      </c>
    </row>
    <row r="589" spans="22:23" ht="24.75" customHeight="1" x14ac:dyDescent="0.25">
      <c r="V589" s="47">
        <f>Таблица1[[#This Row],[Дата перевода]]-Таблица1[[#This Row],[Дата поступления]]</f>
        <v>0</v>
      </c>
      <c r="W589" s="47">
        <f>Таблица1[[#This Row],[Дата поступления]]-Таблица1[[#This Row],[Дата рождения]]</f>
        <v>0</v>
      </c>
    </row>
    <row r="590" spans="22:23" ht="24.75" customHeight="1" x14ac:dyDescent="0.25">
      <c r="V590" s="47">
        <f>Таблица1[[#This Row],[Дата перевода]]-Таблица1[[#This Row],[Дата поступления]]</f>
        <v>0</v>
      </c>
      <c r="W590" s="47">
        <f>Таблица1[[#This Row],[Дата поступления]]-Таблица1[[#This Row],[Дата рождения]]</f>
        <v>0</v>
      </c>
    </row>
    <row r="591" spans="22:23" ht="24.75" customHeight="1" x14ac:dyDescent="0.25">
      <c r="V591" s="47">
        <f>Таблица1[[#This Row],[Дата перевода]]-Таблица1[[#This Row],[Дата поступления]]</f>
        <v>0</v>
      </c>
      <c r="W591" s="47">
        <f>Таблица1[[#This Row],[Дата поступления]]-Таблица1[[#This Row],[Дата рождения]]</f>
        <v>0</v>
      </c>
    </row>
    <row r="592" spans="22:23" ht="24.75" customHeight="1" x14ac:dyDescent="0.25">
      <c r="V592" s="47">
        <f>Таблица1[[#This Row],[Дата перевода]]-Таблица1[[#This Row],[Дата поступления]]</f>
        <v>0</v>
      </c>
      <c r="W592" s="47">
        <f>Таблица1[[#This Row],[Дата поступления]]-Таблица1[[#This Row],[Дата рождения]]</f>
        <v>0</v>
      </c>
    </row>
    <row r="593" spans="22:23" ht="24.75" customHeight="1" x14ac:dyDescent="0.25">
      <c r="V593" s="47">
        <f>Таблица1[[#This Row],[Дата перевода]]-Таблица1[[#This Row],[Дата поступления]]</f>
        <v>0</v>
      </c>
      <c r="W593" s="47">
        <f>Таблица1[[#This Row],[Дата поступления]]-Таблица1[[#This Row],[Дата рождения]]</f>
        <v>0</v>
      </c>
    </row>
    <row r="594" spans="22:23" ht="24.75" customHeight="1" x14ac:dyDescent="0.25">
      <c r="V594" s="47">
        <f>Таблица1[[#This Row],[Дата перевода]]-Таблица1[[#This Row],[Дата поступления]]</f>
        <v>0</v>
      </c>
      <c r="W594" s="47">
        <f>Таблица1[[#This Row],[Дата поступления]]-Таблица1[[#This Row],[Дата рождения]]</f>
        <v>0</v>
      </c>
    </row>
    <row r="595" spans="22:23" ht="24.75" customHeight="1" x14ac:dyDescent="0.25">
      <c r="V595" s="47">
        <f>Таблица1[[#This Row],[Дата перевода]]-Таблица1[[#This Row],[Дата поступления]]</f>
        <v>0</v>
      </c>
      <c r="W595" s="47">
        <f>Таблица1[[#This Row],[Дата поступления]]-Таблица1[[#This Row],[Дата рождения]]</f>
        <v>0</v>
      </c>
    </row>
    <row r="596" spans="22:23" ht="24.75" customHeight="1" x14ac:dyDescent="0.25">
      <c r="V596" s="47">
        <f>Таблица1[[#This Row],[Дата перевода]]-Таблица1[[#This Row],[Дата поступления]]</f>
        <v>0</v>
      </c>
      <c r="W596" s="47">
        <f>Таблица1[[#This Row],[Дата поступления]]-Таблица1[[#This Row],[Дата рождения]]</f>
        <v>0</v>
      </c>
    </row>
    <row r="597" spans="22:23" ht="24.75" customHeight="1" x14ac:dyDescent="0.25">
      <c r="V597" s="47">
        <f>Таблица1[[#This Row],[Дата перевода]]-Таблица1[[#This Row],[Дата поступления]]</f>
        <v>0</v>
      </c>
      <c r="W597" s="47">
        <f>Таблица1[[#This Row],[Дата поступления]]-Таблица1[[#This Row],[Дата рождения]]</f>
        <v>0</v>
      </c>
    </row>
    <row r="598" spans="22:23" ht="24.75" customHeight="1" x14ac:dyDescent="0.25">
      <c r="V598" s="47">
        <f>Таблица1[[#This Row],[Дата перевода]]-Таблица1[[#This Row],[Дата поступления]]</f>
        <v>0</v>
      </c>
      <c r="W598" s="47">
        <f>Таблица1[[#This Row],[Дата поступления]]-Таблица1[[#This Row],[Дата рождения]]</f>
        <v>0</v>
      </c>
    </row>
    <row r="599" spans="22:23" ht="24.75" customHeight="1" x14ac:dyDescent="0.25">
      <c r="V599" s="47">
        <f>Таблица1[[#This Row],[Дата перевода]]-Таблица1[[#This Row],[Дата поступления]]</f>
        <v>0</v>
      </c>
      <c r="W599" s="47">
        <f>Таблица1[[#This Row],[Дата поступления]]-Таблица1[[#This Row],[Дата рождения]]</f>
        <v>0</v>
      </c>
    </row>
    <row r="600" spans="22:23" ht="24.75" customHeight="1" x14ac:dyDescent="0.25">
      <c r="V600" s="47">
        <f>Таблица1[[#This Row],[Дата перевода]]-Таблица1[[#This Row],[Дата поступления]]</f>
        <v>0</v>
      </c>
      <c r="W600" s="47">
        <f>Таблица1[[#This Row],[Дата поступления]]-Таблица1[[#This Row],[Дата рождения]]</f>
        <v>0</v>
      </c>
    </row>
    <row r="601" spans="22:23" ht="24.75" customHeight="1" x14ac:dyDescent="0.25">
      <c r="V601" s="47">
        <f>Таблица1[[#This Row],[Дата перевода]]-Таблица1[[#This Row],[Дата поступления]]</f>
        <v>0</v>
      </c>
      <c r="W601" s="47">
        <f>Таблица1[[#This Row],[Дата поступления]]-Таблица1[[#This Row],[Дата рождения]]</f>
        <v>0</v>
      </c>
    </row>
    <row r="602" spans="22:23" ht="24.75" customHeight="1" x14ac:dyDescent="0.25">
      <c r="V602" s="47">
        <f>Таблица1[[#This Row],[Дата перевода]]-Таблица1[[#This Row],[Дата поступления]]</f>
        <v>0</v>
      </c>
      <c r="W602" s="47">
        <f>Таблица1[[#This Row],[Дата поступления]]-Таблица1[[#This Row],[Дата рождения]]</f>
        <v>0</v>
      </c>
    </row>
    <row r="603" spans="22:23" ht="24.75" customHeight="1" x14ac:dyDescent="0.25">
      <c r="V603" s="47">
        <f>Таблица1[[#This Row],[Дата перевода]]-Таблица1[[#This Row],[Дата поступления]]</f>
        <v>0</v>
      </c>
      <c r="W603" s="47">
        <f>Таблица1[[#This Row],[Дата поступления]]-Таблица1[[#This Row],[Дата рождения]]</f>
        <v>0</v>
      </c>
    </row>
    <row r="604" spans="22:23" ht="24.75" customHeight="1" x14ac:dyDescent="0.25">
      <c r="V604" s="47">
        <f>Таблица1[[#This Row],[Дата перевода]]-Таблица1[[#This Row],[Дата поступления]]</f>
        <v>0</v>
      </c>
      <c r="W604" s="47">
        <f>Таблица1[[#This Row],[Дата поступления]]-Таблица1[[#This Row],[Дата рождения]]</f>
        <v>0</v>
      </c>
    </row>
    <row r="605" spans="22:23" ht="24.75" customHeight="1" x14ac:dyDescent="0.25">
      <c r="V605" s="47">
        <f>Таблица1[[#This Row],[Дата перевода]]-Таблица1[[#This Row],[Дата поступления]]</f>
        <v>0</v>
      </c>
      <c r="W605" s="47">
        <f>Таблица1[[#This Row],[Дата поступления]]-Таблица1[[#This Row],[Дата рождения]]</f>
        <v>0</v>
      </c>
    </row>
    <row r="606" spans="22:23" ht="24.75" customHeight="1" x14ac:dyDescent="0.25">
      <c r="V606" s="47">
        <f>Таблица1[[#This Row],[Дата перевода]]-Таблица1[[#This Row],[Дата поступления]]</f>
        <v>0</v>
      </c>
      <c r="W606" s="47">
        <f>Таблица1[[#This Row],[Дата поступления]]-Таблица1[[#This Row],[Дата рождения]]</f>
        <v>0</v>
      </c>
    </row>
    <row r="607" spans="22:23" ht="24.75" customHeight="1" x14ac:dyDescent="0.25">
      <c r="V607" s="47">
        <f>Таблица1[[#This Row],[Дата перевода]]-Таблица1[[#This Row],[Дата поступления]]</f>
        <v>0</v>
      </c>
      <c r="W607" s="47">
        <f>Таблица1[[#This Row],[Дата поступления]]-Таблица1[[#This Row],[Дата рождения]]</f>
        <v>0</v>
      </c>
    </row>
    <row r="608" spans="22:23" ht="24.75" customHeight="1" x14ac:dyDescent="0.25">
      <c r="V608" s="47">
        <f>Таблица1[[#This Row],[Дата перевода]]-Таблица1[[#This Row],[Дата поступления]]</f>
        <v>0</v>
      </c>
      <c r="W608" s="47">
        <f>Таблица1[[#This Row],[Дата поступления]]-Таблица1[[#This Row],[Дата рождения]]</f>
        <v>0</v>
      </c>
    </row>
    <row r="609" spans="22:23" ht="24.75" customHeight="1" x14ac:dyDescent="0.25">
      <c r="V609" s="47">
        <f>Таблица1[[#This Row],[Дата перевода]]-Таблица1[[#This Row],[Дата поступления]]</f>
        <v>0</v>
      </c>
      <c r="W609" s="47">
        <f>Таблица1[[#This Row],[Дата поступления]]-Таблица1[[#This Row],[Дата рождения]]</f>
        <v>0</v>
      </c>
    </row>
    <row r="610" spans="22:23" ht="24.75" customHeight="1" x14ac:dyDescent="0.25">
      <c r="V610" s="47">
        <f>Таблица1[[#This Row],[Дата перевода]]-Таблица1[[#This Row],[Дата поступления]]</f>
        <v>0</v>
      </c>
      <c r="W610" s="47">
        <f>Таблица1[[#This Row],[Дата поступления]]-Таблица1[[#This Row],[Дата рождения]]</f>
        <v>0</v>
      </c>
    </row>
    <row r="611" spans="22:23" ht="24.75" customHeight="1" x14ac:dyDescent="0.25">
      <c r="V611" s="47">
        <f>Таблица1[[#This Row],[Дата перевода]]-Таблица1[[#This Row],[Дата поступления]]</f>
        <v>0</v>
      </c>
      <c r="W611" s="47">
        <f>Таблица1[[#This Row],[Дата поступления]]-Таблица1[[#This Row],[Дата рождения]]</f>
        <v>0</v>
      </c>
    </row>
    <row r="612" spans="22:23" ht="24.75" customHeight="1" x14ac:dyDescent="0.25">
      <c r="V612" s="47">
        <f>Таблица1[[#This Row],[Дата перевода]]-Таблица1[[#This Row],[Дата поступления]]</f>
        <v>0</v>
      </c>
      <c r="W612" s="47">
        <f>Таблица1[[#This Row],[Дата поступления]]-Таблица1[[#This Row],[Дата рождения]]</f>
        <v>0</v>
      </c>
    </row>
    <row r="613" spans="22:23" ht="24.75" customHeight="1" x14ac:dyDescent="0.25">
      <c r="V613" s="47">
        <f>Таблица1[[#This Row],[Дата перевода]]-Таблица1[[#This Row],[Дата поступления]]</f>
        <v>0</v>
      </c>
      <c r="W613" s="47">
        <f>Таблица1[[#This Row],[Дата поступления]]-Таблица1[[#This Row],[Дата рождения]]</f>
        <v>0</v>
      </c>
    </row>
    <row r="614" spans="22:23" ht="24.75" customHeight="1" x14ac:dyDescent="0.25">
      <c r="V614" s="47">
        <f>Таблица1[[#This Row],[Дата перевода]]-Таблица1[[#This Row],[Дата поступления]]</f>
        <v>0</v>
      </c>
      <c r="W614" s="47">
        <f>Таблица1[[#This Row],[Дата поступления]]-Таблица1[[#This Row],[Дата рождения]]</f>
        <v>0</v>
      </c>
    </row>
    <row r="615" spans="22:23" ht="24.75" customHeight="1" x14ac:dyDescent="0.25">
      <c r="V615" s="47">
        <f>Таблица1[[#This Row],[Дата перевода]]-Таблица1[[#This Row],[Дата поступления]]</f>
        <v>0</v>
      </c>
      <c r="W615" s="47">
        <f>Таблица1[[#This Row],[Дата поступления]]-Таблица1[[#This Row],[Дата рождения]]</f>
        <v>0</v>
      </c>
    </row>
    <row r="616" spans="22:23" ht="24.75" customHeight="1" x14ac:dyDescent="0.25">
      <c r="V616" s="47">
        <f>Таблица1[[#This Row],[Дата перевода]]-Таблица1[[#This Row],[Дата поступления]]</f>
        <v>0</v>
      </c>
      <c r="W616" s="47">
        <f>Таблица1[[#This Row],[Дата поступления]]-Таблица1[[#This Row],[Дата рождения]]</f>
        <v>0</v>
      </c>
    </row>
    <row r="617" spans="22:23" ht="24.75" customHeight="1" x14ac:dyDescent="0.25">
      <c r="V617" s="47">
        <f>Таблица1[[#This Row],[Дата перевода]]-Таблица1[[#This Row],[Дата поступления]]</f>
        <v>0</v>
      </c>
      <c r="W617" s="47">
        <f>Таблица1[[#This Row],[Дата поступления]]-Таблица1[[#This Row],[Дата рождения]]</f>
        <v>0</v>
      </c>
    </row>
    <row r="618" spans="22:23" ht="24.75" customHeight="1" x14ac:dyDescent="0.25">
      <c r="V618" s="47">
        <f>Таблица1[[#This Row],[Дата перевода]]-Таблица1[[#This Row],[Дата поступления]]</f>
        <v>0</v>
      </c>
      <c r="W618" s="47">
        <f>Таблица1[[#This Row],[Дата поступления]]-Таблица1[[#This Row],[Дата рождения]]</f>
        <v>0</v>
      </c>
    </row>
    <row r="619" spans="22:23" ht="24.75" customHeight="1" x14ac:dyDescent="0.25">
      <c r="V619" s="47">
        <f>Таблица1[[#This Row],[Дата перевода]]-Таблица1[[#This Row],[Дата поступления]]</f>
        <v>0</v>
      </c>
      <c r="W619" s="47">
        <f>Таблица1[[#This Row],[Дата поступления]]-Таблица1[[#This Row],[Дата рождения]]</f>
        <v>0</v>
      </c>
    </row>
    <row r="620" spans="22:23" ht="24.75" customHeight="1" x14ac:dyDescent="0.25">
      <c r="V620" s="47">
        <f>Таблица1[[#This Row],[Дата перевода]]-Таблица1[[#This Row],[Дата поступления]]</f>
        <v>0</v>
      </c>
      <c r="W620" s="47">
        <f>Таблица1[[#This Row],[Дата поступления]]-Таблица1[[#This Row],[Дата рождения]]</f>
        <v>0</v>
      </c>
    </row>
    <row r="621" spans="22:23" ht="24.75" customHeight="1" x14ac:dyDescent="0.25">
      <c r="V621" s="47">
        <f>Таблица1[[#This Row],[Дата перевода]]-Таблица1[[#This Row],[Дата поступления]]</f>
        <v>0</v>
      </c>
      <c r="W621" s="47">
        <f>Таблица1[[#This Row],[Дата поступления]]-Таблица1[[#This Row],[Дата рождения]]</f>
        <v>0</v>
      </c>
    </row>
    <row r="622" spans="22:23" ht="24.75" customHeight="1" x14ac:dyDescent="0.25">
      <c r="V622" s="47">
        <f>Таблица1[[#This Row],[Дата перевода]]-Таблица1[[#This Row],[Дата поступления]]</f>
        <v>0</v>
      </c>
      <c r="W622" s="47">
        <f>Таблица1[[#This Row],[Дата поступления]]-Таблица1[[#This Row],[Дата рождения]]</f>
        <v>0</v>
      </c>
    </row>
    <row r="623" spans="22:23" ht="24.75" customHeight="1" x14ac:dyDescent="0.25">
      <c r="V623" s="47">
        <f>Таблица1[[#This Row],[Дата перевода]]-Таблица1[[#This Row],[Дата поступления]]</f>
        <v>0</v>
      </c>
      <c r="W623" s="47">
        <f>Таблица1[[#This Row],[Дата поступления]]-Таблица1[[#This Row],[Дата рождения]]</f>
        <v>0</v>
      </c>
    </row>
    <row r="624" spans="22:23" ht="24.75" customHeight="1" x14ac:dyDescent="0.25">
      <c r="V624" s="47">
        <f>Таблица1[[#This Row],[Дата перевода]]-Таблица1[[#This Row],[Дата поступления]]</f>
        <v>0</v>
      </c>
      <c r="W624" s="47">
        <f>Таблица1[[#This Row],[Дата поступления]]-Таблица1[[#This Row],[Дата рождения]]</f>
        <v>0</v>
      </c>
    </row>
    <row r="625" spans="22:23" ht="24.75" customHeight="1" x14ac:dyDescent="0.25">
      <c r="V625" s="47">
        <f>Таблица1[[#This Row],[Дата перевода]]-Таблица1[[#This Row],[Дата поступления]]</f>
        <v>0</v>
      </c>
      <c r="W625" s="47">
        <f>Таблица1[[#This Row],[Дата поступления]]-Таблица1[[#This Row],[Дата рождения]]</f>
        <v>0</v>
      </c>
    </row>
    <row r="626" spans="22:23" ht="24.75" customHeight="1" x14ac:dyDescent="0.25">
      <c r="V626" s="47">
        <f>Таблица1[[#This Row],[Дата перевода]]-Таблица1[[#This Row],[Дата поступления]]</f>
        <v>0</v>
      </c>
      <c r="W626" s="47">
        <f>Таблица1[[#This Row],[Дата поступления]]-Таблица1[[#This Row],[Дата рождения]]</f>
        <v>0</v>
      </c>
    </row>
    <row r="627" spans="22:23" ht="24.75" customHeight="1" x14ac:dyDescent="0.25">
      <c r="V627" s="47">
        <f>Таблица1[[#This Row],[Дата перевода]]-Таблица1[[#This Row],[Дата поступления]]</f>
        <v>0</v>
      </c>
      <c r="W627" s="47">
        <f>Таблица1[[#This Row],[Дата поступления]]-Таблица1[[#This Row],[Дата рождения]]</f>
        <v>0</v>
      </c>
    </row>
    <row r="628" spans="22:23" ht="24.75" customHeight="1" x14ac:dyDescent="0.25">
      <c r="V628" s="47">
        <f>Таблица1[[#This Row],[Дата перевода]]-Таблица1[[#This Row],[Дата поступления]]</f>
        <v>0</v>
      </c>
      <c r="W628" s="47">
        <f>Таблица1[[#This Row],[Дата поступления]]-Таблица1[[#This Row],[Дата рождения]]</f>
        <v>0</v>
      </c>
    </row>
    <row r="629" spans="22:23" ht="24.75" customHeight="1" x14ac:dyDescent="0.25">
      <c r="V629" s="47">
        <f>Таблица1[[#This Row],[Дата перевода]]-Таблица1[[#This Row],[Дата поступления]]</f>
        <v>0</v>
      </c>
      <c r="W629" s="47">
        <f>Таблица1[[#This Row],[Дата поступления]]-Таблица1[[#This Row],[Дата рождения]]</f>
        <v>0</v>
      </c>
    </row>
    <row r="630" spans="22:23" ht="24.75" customHeight="1" x14ac:dyDescent="0.25">
      <c r="V630" s="47">
        <f>Таблица1[[#This Row],[Дата перевода]]-Таблица1[[#This Row],[Дата поступления]]</f>
        <v>0</v>
      </c>
      <c r="W630" s="47">
        <f>Таблица1[[#This Row],[Дата поступления]]-Таблица1[[#This Row],[Дата рождения]]</f>
        <v>0</v>
      </c>
    </row>
    <row r="631" spans="22:23" ht="24.75" customHeight="1" x14ac:dyDescent="0.25">
      <c r="V631" s="47">
        <f>Таблица1[[#This Row],[Дата перевода]]-Таблица1[[#This Row],[Дата поступления]]</f>
        <v>0</v>
      </c>
      <c r="W631" s="47">
        <f>Таблица1[[#This Row],[Дата поступления]]-Таблица1[[#This Row],[Дата рождения]]</f>
        <v>0</v>
      </c>
    </row>
    <row r="632" spans="22:23" ht="24.75" customHeight="1" x14ac:dyDescent="0.25">
      <c r="V632" s="47">
        <f>Таблица1[[#This Row],[Дата перевода]]-Таблица1[[#This Row],[Дата поступления]]</f>
        <v>0</v>
      </c>
      <c r="W632" s="47">
        <f>Таблица1[[#This Row],[Дата поступления]]-Таблица1[[#This Row],[Дата рождения]]</f>
        <v>0</v>
      </c>
    </row>
    <row r="633" spans="22:23" ht="24.75" customHeight="1" x14ac:dyDescent="0.25">
      <c r="V633" s="47">
        <f>Таблица1[[#This Row],[Дата перевода]]-Таблица1[[#This Row],[Дата поступления]]</f>
        <v>0</v>
      </c>
      <c r="W633" s="47">
        <f>Таблица1[[#This Row],[Дата поступления]]-Таблица1[[#This Row],[Дата рождения]]</f>
        <v>0</v>
      </c>
    </row>
    <row r="634" spans="22:23" ht="24.75" customHeight="1" x14ac:dyDescent="0.25">
      <c r="V634" s="47">
        <f>Таблица1[[#This Row],[Дата перевода]]-Таблица1[[#This Row],[Дата поступления]]</f>
        <v>0</v>
      </c>
      <c r="W634" s="47">
        <f>Таблица1[[#This Row],[Дата поступления]]-Таблица1[[#This Row],[Дата рождения]]</f>
        <v>0</v>
      </c>
    </row>
    <row r="635" spans="22:23" ht="24.75" customHeight="1" x14ac:dyDescent="0.25">
      <c r="V635" s="47">
        <f>Таблица1[[#This Row],[Дата перевода]]-Таблица1[[#This Row],[Дата поступления]]</f>
        <v>0</v>
      </c>
      <c r="W635" s="47">
        <f>Таблица1[[#This Row],[Дата поступления]]-Таблица1[[#This Row],[Дата рождения]]</f>
        <v>0</v>
      </c>
    </row>
    <row r="636" spans="22:23" ht="24.75" customHeight="1" x14ac:dyDescent="0.25">
      <c r="V636" s="47">
        <f>Таблица1[[#This Row],[Дата перевода]]-Таблица1[[#This Row],[Дата поступления]]</f>
        <v>0</v>
      </c>
      <c r="W636" s="47">
        <f>Таблица1[[#This Row],[Дата поступления]]-Таблица1[[#This Row],[Дата рождения]]</f>
        <v>0</v>
      </c>
    </row>
    <row r="637" spans="22:23" ht="24.75" customHeight="1" x14ac:dyDescent="0.25">
      <c r="V637" s="47">
        <f>Таблица1[[#This Row],[Дата перевода]]-Таблица1[[#This Row],[Дата поступления]]</f>
        <v>0</v>
      </c>
      <c r="W637" s="47">
        <f>Таблица1[[#This Row],[Дата поступления]]-Таблица1[[#This Row],[Дата рождения]]</f>
        <v>0</v>
      </c>
    </row>
    <row r="638" spans="22:23" ht="24.75" customHeight="1" x14ac:dyDescent="0.25">
      <c r="V638" s="47">
        <f>Таблица1[[#This Row],[Дата перевода]]-Таблица1[[#This Row],[Дата поступления]]</f>
        <v>0</v>
      </c>
      <c r="W638" s="47">
        <f>Таблица1[[#This Row],[Дата поступления]]-Таблица1[[#This Row],[Дата рождения]]</f>
        <v>0</v>
      </c>
    </row>
    <row r="639" spans="22:23" ht="24.75" customHeight="1" x14ac:dyDescent="0.25">
      <c r="V639" s="47">
        <f>Таблица1[[#This Row],[Дата перевода]]-Таблица1[[#This Row],[Дата поступления]]</f>
        <v>0</v>
      </c>
      <c r="W639" s="47">
        <f>Таблица1[[#This Row],[Дата поступления]]-Таблица1[[#This Row],[Дата рождения]]</f>
        <v>0</v>
      </c>
    </row>
    <row r="640" spans="22:23" ht="24.75" customHeight="1" x14ac:dyDescent="0.25">
      <c r="V640" s="47">
        <f>Таблица1[[#This Row],[Дата перевода]]-Таблица1[[#This Row],[Дата поступления]]</f>
        <v>0</v>
      </c>
      <c r="W640" s="47">
        <f>Таблица1[[#This Row],[Дата поступления]]-Таблица1[[#This Row],[Дата рождения]]</f>
        <v>0</v>
      </c>
    </row>
    <row r="641" spans="22:23" ht="24.75" customHeight="1" x14ac:dyDescent="0.25">
      <c r="V641" s="47">
        <f>Таблица1[[#This Row],[Дата перевода]]-Таблица1[[#This Row],[Дата поступления]]</f>
        <v>0</v>
      </c>
      <c r="W641" s="47">
        <f>Таблица1[[#This Row],[Дата поступления]]-Таблица1[[#This Row],[Дата рождения]]</f>
        <v>0</v>
      </c>
    </row>
    <row r="642" spans="22:23" ht="24.75" customHeight="1" x14ac:dyDescent="0.25">
      <c r="V642" s="47">
        <f>Таблица1[[#This Row],[Дата перевода]]-Таблица1[[#This Row],[Дата поступления]]</f>
        <v>0</v>
      </c>
      <c r="W642" s="47">
        <f>Таблица1[[#This Row],[Дата поступления]]-Таблица1[[#This Row],[Дата рождения]]</f>
        <v>0</v>
      </c>
    </row>
    <row r="643" spans="22:23" ht="24.75" customHeight="1" x14ac:dyDescent="0.25">
      <c r="V643" s="47">
        <f>Таблица1[[#This Row],[Дата перевода]]-Таблица1[[#This Row],[Дата поступления]]</f>
        <v>0</v>
      </c>
      <c r="W643" s="47">
        <f>Таблица1[[#This Row],[Дата поступления]]-Таблица1[[#This Row],[Дата рождения]]</f>
        <v>0</v>
      </c>
    </row>
    <row r="644" spans="22:23" ht="24.75" customHeight="1" x14ac:dyDescent="0.25">
      <c r="V644" s="47">
        <f>Таблица1[[#This Row],[Дата перевода]]-Таблица1[[#This Row],[Дата поступления]]</f>
        <v>0</v>
      </c>
      <c r="W644" s="47">
        <f>Таблица1[[#This Row],[Дата поступления]]-Таблица1[[#This Row],[Дата рождения]]</f>
        <v>0</v>
      </c>
    </row>
    <row r="645" spans="22:23" ht="24.75" customHeight="1" x14ac:dyDescent="0.25">
      <c r="V645" s="47">
        <f>Таблица1[[#This Row],[Дата перевода]]-Таблица1[[#This Row],[Дата поступления]]</f>
        <v>0</v>
      </c>
      <c r="W645" s="47">
        <f>Таблица1[[#This Row],[Дата поступления]]-Таблица1[[#This Row],[Дата рождения]]</f>
        <v>0</v>
      </c>
    </row>
    <row r="646" spans="22:23" ht="24.75" customHeight="1" x14ac:dyDescent="0.25">
      <c r="V646" s="47">
        <f>Таблица1[[#This Row],[Дата перевода]]-Таблица1[[#This Row],[Дата поступления]]</f>
        <v>0</v>
      </c>
      <c r="W646" s="47">
        <f>Таблица1[[#This Row],[Дата поступления]]-Таблица1[[#This Row],[Дата рождения]]</f>
        <v>0</v>
      </c>
    </row>
    <row r="647" spans="22:23" ht="24.75" customHeight="1" x14ac:dyDescent="0.25">
      <c r="V647" s="47">
        <f>Таблица1[[#This Row],[Дата перевода]]-Таблица1[[#This Row],[Дата поступления]]</f>
        <v>0</v>
      </c>
      <c r="W647" s="47">
        <f>Таблица1[[#This Row],[Дата поступления]]-Таблица1[[#This Row],[Дата рождения]]</f>
        <v>0</v>
      </c>
    </row>
    <row r="648" spans="22:23" ht="24.75" customHeight="1" x14ac:dyDescent="0.25">
      <c r="V648" s="47">
        <f>Таблица1[[#This Row],[Дата перевода]]-Таблица1[[#This Row],[Дата поступления]]</f>
        <v>0</v>
      </c>
      <c r="W648" s="47">
        <f>Таблица1[[#This Row],[Дата поступления]]-Таблица1[[#This Row],[Дата рождения]]</f>
        <v>0</v>
      </c>
    </row>
    <row r="649" spans="22:23" ht="24.75" customHeight="1" x14ac:dyDescent="0.25">
      <c r="V649" s="47">
        <f>Таблица1[[#This Row],[Дата перевода]]-Таблица1[[#This Row],[Дата поступления]]</f>
        <v>0</v>
      </c>
      <c r="W649" s="47">
        <f>Таблица1[[#This Row],[Дата поступления]]-Таблица1[[#This Row],[Дата рождения]]</f>
        <v>0</v>
      </c>
    </row>
    <row r="650" spans="22:23" ht="24.75" customHeight="1" x14ac:dyDescent="0.25">
      <c r="V650" s="47">
        <f>Таблица1[[#This Row],[Дата перевода]]-Таблица1[[#This Row],[Дата поступления]]</f>
        <v>0</v>
      </c>
      <c r="W650" s="47">
        <f>Таблица1[[#This Row],[Дата поступления]]-Таблица1[[#This Row],[Дата рождения]]</f>
        <v>0</v>
      </c>
    </row>
    <row r="651" spans="22:23" ht="24.75" customHeight="1" x14ac:dyDescent="0.25">
      <c r="V651" s="47">
        <f>Таблица1[[#This Row],[Дата перевода]]-Таблица1[[#This Row],[Дата поступления]]</f>
        <v>0</v>
      </c>
      <c r="W651" s="47">
        <f>Таблица1[[#This Row],[Дата поступления]]-Таблица1[[#This Row],[Дата рождения]]</f>
        <v>0</v>
      </c>
    </row>
    <row r="652" spans="22:23" ht="24.75" customHeight="1" x14ac:dyDescent="0.25">
      <c r="V652" s="47">
        <f>Таблица1[[#This Row],[Дата перевода]]-Таблица1[[#This Row],[Дата поступления]]</f>
        <v>0</v>
      </c>
      <c r="W652" s="47">
        <f>Таблица1[[#This Row],[Дата поступления]]-Таблица1[[#This Row],[Дата рождения]]</f>
        <v>0</v>
      </c>
    </row>
    <row r="653" spans="22:23" ht="24.75" customHeight="1" x14ac:dyDescent="0.25">
      <c r="V653" s="47">
        <f>Таблица1[[#This Row],[Дата перевода]]-Таблица1[[#This Row],[Дата поступления]]</f>
        <v>0</v>
      </c>
      <c r="W653" s="47">
        <f>Таблица1[[#This Row],[Дата поступления]]-Таблица1[[#This Row],[Дата рождения]]</f>
        <v>0</v>
      </c>
    </row>
    <row r="654" spans="22:23" ht="24.75" customHeight="1" x14ac:dyDescent="0.25">
      <c r="V654" s="47">
        <f>Таблица1[[#This Row],[Дата перевода]]-Таблица1[[#This Row],[Дата поступления]]</f>
        <v>0</v>
      </c>
      <c r="W654" s="47">
        <f>Таблица1[[#This Row],[Дата поступления]]-Таблица1[[#This Row],[Дата рождения]]</f>
        <v>0</v>
      </c>
    </row>
    <row r="655" spans="22:23" ht="24.75" customHeight="1" x14ac:dyDescent="0.25">
      <c r="V655" s="47">
        <f>Таблица1[[#This Row],[Дата перевода]]-Таблица1[[#This Row],[Дата поступления]]</f>
        <v>0</v>
      </c>
      <c r="W655" s="47">
        <f>Таблица1[[#This Row],[Дата поступления]]-Таблица1[[#This Row],[Дата рождения]]</f>
        <v>0</v>
      </c>
    </row>
    <row r="656" spans="22:23" ht="24.75" customHeight="1" x14ac:dyDescent="0.25">
      <c r="V656" s="47">
        <f>Таблица1[[#This Row],[Дата перевода]]-Таблица1[[#This Row],[Дата поступления]]</f>
        <v>0</v>
      </c>
      <c r="W656" s="47">
        <f>Таблица1[[#This Row],[Дата поступления]]-Таблица1[[#This Row],[Дата рождения]]</f>
        <v>0</v>
      </c>
    </row>
    <row r="657" spans="22:23" ht="24.75" customHeight="1" x14ac:dyDescent="0.25">
      <c r="V657" s="47">
        <f>Таблица1[[#This Row],[Дата перевода]]-Таблица1[[#This Row],[Дата поступления]]</f>
        <v>0</v>
      </c>
      <c r="W657" s="47">
        <f>Таблица1[[#This Row],[Дата поступления]]-Таблица1[[#This Row],[Дата рождения]]</f>
        <v>0</v>
      </c>
    </row>
    <row r="658" spans="22:23" ht="24.75" customHeight="1" x14ac:dyDescent="0.25">
      <c r="V658" s="47">
        <f>Таблица1[[#This Row],[Дата перевода]]-Таблица1[[#This Row],[Дата поступления]]</f>
        <v>0</v>
      </c>
      <c r="W658" s="47">
        <f>Таблица1[[#This Row],[Дата поступления]]-Таблица1[[#This Row],[Дата рождения]]</f>
        <v>0</v>
      </c>
    </row>
    <row r="659" spans="22:23" ht="24.75" customHeight="1" x14ac:dyDescent="0.25">
      <c r="V659" s="47">
        <f>Таблица1[[#This Row],[Дата перевода]]-Таблица1[[#This Row],[Дата поступления]]</f>
        <v>0</v>
      </c>
      <c r="W659" s="47">
        <f>Таблица1[[#This Row],[Дата поступления]]-Таблица1[[#This Row],[Дата рождения]]</f>
        <v>0</v>
      </c>
    </row>
    <row r="660" spans="22:23" ht="24.75" customHeight="1" x14ac:dyDescent="0.25">
      <c r="V660" s="47">
        <f>Таблица1[[#This Row],[Дата перевода]]-Таблица1[[#This Row],[Дата поступления]]</f>
        <v>0</v>
      </c>
      <c r="W660" s="47">
        <f>Таблица1[[#This Row],[Дата поступления]]-Таблица1[[#This Row],[Дата рождения]]</f>
        <v>0</v>
      </c>
    </row>
    <row r="661" spans="22:23" ht="24.75" customHeight="1" x14ac:dyDescent="0.25">
      <c r="V661" s="47">
        <f>Таблица1[[#This Row],[Дата перевода]]-Таблица1[[#This Row],[Дата поступления]]</f>
        <v>0</v>
      </c>
      <c r="W661" s="47">
        <f>Таблица1[[#This Row],[Дата поступления]]-Таблица1[[#This Row],[Дата рождения]]</f>
        <v>0</v>
      </c>
    </row>
    <row r="662" spans="22:23" ht="24.75" customHeight="1" x14ac:dyDescent="0.25">
      <c r="V662" s="47">
        <f>Таблица1[[#This Row],[Дата перевода]]-Таблица1[[#This Row],[Дата поступления]]</f>
        <v>0</v>
      </c>
      <c r="W662" s="47">
        <f>Таблица1[[#This Row],[Дата поступления]]-Таблица1[[#This Row],[Дата рождения]]</f>
        <v>0</v>
      </c>
    </row>
    <row r="663" spans="22:23" ht="24.75" customHeight="1" x14ac:dyDescent="0.25">
      <c r="V663" s="47">
        <f>Таблица1[[#This Row],[Дата перевода]]-Таблица1[[#This Row],[Дата поступления]]</f>
        <v>0</v>
      </c>
      <c r="W663" s="47">
        <f>Таблица1[[#This Row],[Дата поступления]]-Таблица1[[#This Row],[Дата рождения]]</f>
        <v>0</v>
      </c>
    </row>
    <row r="664" spans="22:23" ht="24.75" customHeight="1" x14ac:dyDescent="0.25">
      <c r="V664" s="47">
        <f>Таблица1[[#This Row],[Дата перевода]]-Таблица1[[#This Row],[Дата поступления]]</f>
        <v>0</v>
      </c>
      <c r="W664" s="47">
        <f>Таблица1[[#This Row],[Дата поступления]]-Таблица1[[#This Row],[Дата рождения]]</f>
        <v>0</v>
      </c>
    </row>
    <row r="665" spans="22:23" ht="24.75" customHeight="1" x14ac:dyDescent="0.25">
      <c r="V665" s="47">
        <f>Таблица1[[#This Row],[Дата перевода]]-Таблица1[[#This Row],[Дата поступления]]</f>
        <v>0</v>
      </c>
      <c r="W665" s="47">
        <f>Таблица1[[#This Row],[Дата поступления]]-Таблица1[[#This Row],[Дата рождения]]</f>
        <v>0</v>
      </c>
    </row>
    <row r="666" spans="22:23" ht="24.75" customHeight="1" x14ac:dyDescent="0.25">
      <c r="V666" s="47">
        <f>Таблица1[[#This Row],[Дата перевода]]-Таблица1[[#This Row],[Дата поступления]]</f>
        <v>0</v>
      </c>
      <c r="W666" s="47">
        <f>Таблица1[[#This Row],[Дата поступления]]-Таблица1[[#This Row],[Дата рождения]]</f>
        <v>0</v>
      </c>
    </row>
    <row r="667" spans="22:23" ht="24.75" customHeight="1" x14ac:dyDescent="0.25">
      <c r="V667" s="47">
        <f>Таблица1[[#This Row],[Дата перевода]]-Таблица1[[#This Row],[Дата поступления]]</f>
        <v>0</v>
      </c>
      <c r="W667" s="47">
        <f>Таблица1[[#This Row],[Дата поступления]]-Таблица1[[#This Row],[Дата рождения]]</f>
        <v>0</v>
      </c>
    </row>
    <row r="668" spans="22:23" ht="24.75" customHeight="1" x14ac:dyDescent="0.25">
      <c r="V668" s="47">
        <f>Таблица1[[#This Row],[Дата перевода]]-Таблица1[[#This Row],[Дата поступления]]</f>
        <v>0</v>
      </c>
      <c r="W668" s="47">
        <f>Таблица1[[#This Row],[Дата поступления]]-Таблица1[[#This Row],[Дата рождения]]</f>
        <v>0</v>
      </c>
    </row>
    <row r="669" spans="22:23" ht="24.75" customHeight="1" x14ac:dyDescent="0.25">
      <c r="V669" s="47">
        <f>Таблица1[[#This Row],[Дата перевода]]-Таблица1[[#This Row],[Дата поступления]]</f>
        <v>0</v>
      </c>
      <c r="W669" s="47">
        <f>Таблица1[[#This Row],[Дата поступления]]-Таблица1[[#This Row],[Дата рождения]]</f>
        <v>0</v>
      </c>
    </row>
    <row r="670" spans="22:23" ht="24.75" customHeight="1" x14ac:dyDescent="0.25">
      <c r="V670" s="47">
        <f>Таблица1[[#This Row],[Дата перевода]]-Таблица1[[#This Row],[Дата поступления]]</f>
        <v>0</v>
      </c>
      <c r="W670" s="47">
        <f>Таблица1[[#This Row],[Дата поступления]]-Таблица1[[#This Row],[Дата рождения]]</f>
        <v>0</v>
      </c>
    </row>
    <row r="671" spans="22:23" ht="24.75" customHeight="1" x14ac:dyDescent="0.25">
      <c r="V671" s="47">
        <f>Таблица1[[#This Row],[Дата перевода]]-Таблица1[[#This Row],[Дата поступления]]</f>
        <v>0</v>
      </c>
      <c r="W671" s="47">
        <f>Таблица1[[#This Row],[Дата поступления]]-Таблица1[[#This Row],[Дата рождения]]</f>
        <v>0</v>
      </c>
    </row>
    <row r="672" spans="22:23" ht="24.75" customHeight="1" x14ac:dyDescent="0.25">
      <c r="V672" s="47">
        <f>Таблица1[[#This Row],[Дата перевода]]-Таблица1[[#This Row],[Дата поступления]]</f>
        <v>0</v>
      </c>
      <c r="W672" s="47">
        <f>Таблица1[[#This Row],[Дата поступления]]-Таблица1[[#This Row],[Дата рождения]]</f>
        <v>0</v>
      </c>
    </row>
    <row r="673" spans="22:23" ht="24.75" customHeight="1" x14ac:dyDescent="0.25">
      <c r="V673" s="47">
        <f>Таблица1[[#This Row],[Дата перевода]]-Таблица1[[#This Row],[Дата поступления]]</f>
        <v>0</v>
      </c>
      <c r="W673" s="47">
        <f>Таблица1[[#This Row],[Дата поступления]]-Таблица1[[#This Row],[Дата рождения]]</f>
        <v>0</v>
      </c>
    </row>
    <row r="674" spans="22:23" ht="24.75" customHeight="1" x14ac:dyDescent="0.25">
      <c r="V674" s="47">
        <f>Таблица1[[#This Row],[Дата перевода]]-Таблица1[[#This Row],[Дата поступления]]</f>
        <v>0</v>
      </c>
      <c r="W674" s="47">
        <f>Таблица1[[#This Row],[Дата поступления]]-Таблица1[[#This Row],[Дата рождения]]</f>
        <v>0</v>
      </c>
    </row>
    <row r="675" spans="22:23" ht="24.75" customHeight="1" x14ac:dyDescent="0.25">
      <c r="V675" s="47">
        <f>Таблица1[[#This Row],[Дата перевода]]-Таблица1[[#This Row],[Дата поступления]]</f>
        <v>0</v>
      </c>
      <c r="W675" s="47">
        <f>Таблица1[[#This Row],[Дата поступления]]-Таблица1[[#This Row],[Дата рождения]]</f>
        <v>0</v>
      </c>
    </row>
    <row r="676" spans="22:23" ht="24.75" customHeight="1" x14ac:dyDescent="0.25">
      <c r="V676" s="47">
        <f>Таблица1[[#This Row],[Дата перевода]]-Таблица1[[#This Row],[Дата поступления]]</f>
        <v>0</v>
      </c>
      <c r="W676" s="47">
        <f>Таблица1[[#This Row],[Дата поступления]]-Таблица1[[#This Row],[Дата рождения]]</f>
        <v>0</v>
      </c>
    </row>
    <row r="677" spans="22:23" ht="24.75" customHeight="1" x14ac:dyDescent="0.25">
      <c r="V677" s="47">
        <f>Таблица1[[#This Row],[Дата перевода]]-Таблица1[[#This Row],[Дата поступления]]</f>
        <v>0</v>
      </c>
      <c r="W677" s="47">
        <f>Таблица1[[#This Row],[Дата поступления]]-Таблица1[[#This Row],[Дата рождения]]</f>
        <v>0</v>
      </c>
    </row>
    <row r="678" spans="22:23" ht="24.75" customHeight="1" x14ac:dyDescent="0.25">
      <c r="V678" s="47">
        <f>Таблица1[[#This Row],[Дата перевода]]-Таблица1[[#This Row],[Дата поступления]]</f>
        <v>0</v>
      </c>
      <c r="W678" s="47">
        <f>Таблица1[[#This Row],[Дата поступления]]-Таблица1[[#This Row],[Дата рождения]]</f>
        <v>0</v>
      </c>
    </row>
    <row r="679" spans="22:23" ht="24.75" customHeight="1" x14ac:dyDescent="0.25">
      <c r="V679" s="47">
        <f>Таблица1[[#This Row],[Дата перевода]]-Таблица1[[#This Row],[Дата поступления]]</f>
        <v>0</v>
      </c>
      <c r="W679" s="47">
        <f>Таблица1[[#This Row],[Дата поступления]]-Таблица1[[#This Row],[Дата рождения]]</f>
        <v>0</v>
      </c>
    </row>
    <row r="680" spans="22:23" ht="24.75" customHeight="1" x14ac:dyDescent="0.25">
      <c r="V680" s="47">
        <f>Таблица1[[#This Row],[Дата перевода]]-Таблица1[[#This Row],[Дата поступления]]</f>
        <v>0</v>
      </c>
      <c r="W680" s="47">
        <f>Таблица1[[#This Row],[Дата поступления]]-Таблица1[[#This Row],[Дата рождения]]</f>
        <v>0</v>
      </c>
    </row>
    <row r="681" spans="22:23" ht="24.75" customHeight="1" x14ac:dyDescent="0.25">
      <c r="V681" s="47">
        <f>Таблица1[[#This Row],[Дата перевода]]-Таблица1[[#This Row],[Дата поступления]]</f>
        <v>0</v>
      </c>
      <c r="W681" s="47">
        <f>Таблица1[[#This Row],[Дата поступления]]-Таблица1[[#This Row],[Дата рождения]]</f>
        <v>0</v>
      </c>
    </row>
    <row r="682" spans="22:23" ht="24.75" customHeight="1" x14ac:dyDescent="0.25">
      <c r="V682" s="47">
        <f>Таблица1[[#This Row],[Дата перевода]]-Таблица1[[#This Row],[Дата поступления]]</f>
        <v>0</v>
      </c>
      <c r="W682" s="47">
        <f>Таблица1[[#This Row],[Дата поступления]]-Таблица1[[#This Row],[Дата рождения]]</f>
        <v>0</v>
      </c>
    </row>
    <row r="683" spans="22:23" ht="24.75" customHeight="1" x14ac:dyDescent="0.25">
      <c r="V683" s="47">
        <f>Таблица1[[#This Row],[Дата перевода]]-Таблица1[[#This Row],[Дата поступления]]</f>
        <v>0</v>
      </c>
      <c r="W683" s="47">
        <f>Таблица1[[#This Row],[Дата поступления]]-Таблица1[[#This Row],[Дата рождения]]</f>
        <v>0</v>
      </c>
    </row>
    <row r="684" spans="22:23" ht="24.75" customHeight="1" x14ac:dyDescent="0.25">
      <c r="V684" s="47">
        <f>Таблица1[[#This Row],[Дата перевода]]-Таблица1[[#This Row],[Дата поступления]]</f>
        <v>0</v>
      </c>
      <c r="W684" s="47">
        <f>Таблица1[[#This Row],[Дата поступления]]-Таблица1[[#This Row],[Дата рождения]]</f>
        <v>0</v>
      </c>
    </row>
    <row r="685" spans="22:23" ht="24.75" customHeight="1" x14ac:dyDescent="0.25">
      <c r="V685" s="47">
        <f>Таблица1[[#This Row],[Дата перевода]]-Таблица1[[#This Row],[Дата поступления]]</f>
        <v>0</v>
      </c>
      <c r="W685" s="47">
        <f>Таблица1[[#This Row],[Дата поступления]]-Таблица1[[#This Row],[Дата рождения]]</f>
        <v>0</v>
      </c>
    </row>
    <row r="686" spans="22:23" ht="24.75" customHeight="1" x14ac:dyDescent="0.25">
      <c r="V686" s="47">
        <f>Таблица1[[#This Row],[Дата перевода]]-Таблица1[[#This Row],[Дата поступления]]</f>
        <v>0</v>
      </c>
      <c r="W686" s="47">
        <f>Таблица1[[#This Row],[Дата поступления]]-Таблица1[[#This Row],[Дата рождения]]</f>
        <v>0</v>
      </c>
    </row>
    <row r="687" spans="22:23" ht="24.75" customHeight="1" x14ac:dyDescent="0.25">
      <c r="V687" s="47">
        <f>Таблица1[[#This Row],[Дата перевода]]-Таблица1[[#This Row],[Дата поступления]]</f>
        <v>0</v>
      </c>
      <c r="W687" s="47">
        <f>Таблица1[[#This Row],[Дата поступления]]-Таблица1[[#This Row],[Дата рождения]]</f>
        <v>0</v>
      </c>
    </row>
    <row r="688" spans="22:23" ht="24.75" customHeight="1" x14ac:dyDescent="0.25">
      <c r="V688" s="47">
        <f>Таблица1[[#This Row],[Дата перевода]]-Таблица1[[#This Row],[Дата поступления]]</f>
        <v>0</v>
      </c>
      <c r="W688" s="47">
        <f>Таблица1[[#This Row],[Дата поступления]]-Таблица1[[#This Row],[Дата рождения]]</f>
        <v>0</v>
      </c>
    </row>
    <row r="689" spans="22:23" ht="24.75" customHeight="1" x14ac:dyDescent="0.25">
      <c r="V689" s="47">
        <f>Таблица1[[#This Row],[Дата перевода]]-Таблица1[[#This Row],[Дата поступления]]</f>
        <v>0</v>
      </c>
      <c r="W689" s="47">
        <f>Таблица1[[#This Row],[Дата поступления]]-Таблица1[[#This Row],[Дата рождения]]</f>
        <v>0</v>
      </c>
    </row>
    <row r="690" spans="22:23" ht="24.75" customHeight="1" x14ac:dyDescent="0.25">
      <c r="V690" s="47">
        <f>Таблица1[[#This Row],[Дата перевода]]-Таблица1[[#This Row],[Дата поступления]]</f>
        <v>0</v>
      </c>
      <c r="W690" s="47">
        <f>Таблица1[[#This Row],[Дата поступления]]-Таблица1[[#This Row],[Дата рождения]]</f>
        <v>0</v>
      </c>
    </row>
    <row r="691" spans="22:23" ht="24.75" customHeight="1" x14ac:dyDescent="0.25">
      <c r="V691" s="47">
        <f>Таблица1[[#This Row],[Дата перевода]]-Таблица1[[#This Row],[Дата поступления]]</f>
        <v>0</v>
      </c>
      <c r="W691" s="47">
        <f>Таблица1[[#This Row],[Дата поступления]]-Таблица1[[#This Row],[Дата рождения]]</f>
        <v>0</v>
      </c>
    </row>
    <row r="692" spans="22:23" ht="24.75" customHeight="1" x14ac:dyDescent="0.25">
      <c r="V692" s="47">
        <f>Таблица1[[#This Row],[Дата перевода]]-Таблица1[[#This Row],[Дата поступления]]</f>
        <v>0</v>
      </c>
      <c r="W692" s="47">
        <f>Таблица1[[#This Row],[Дата поступления]]-Таблица1[[#This Row],[Дата рождения]]</f>
        <v>0</v>
      </c>
    </row>
    <row r="693" spans="22:23" ht="24.75" customHeight="1" x14ac:dyDescent="0.25">
      <c r="V693" s="47">
        <f>Таблица1[[#This Row],[Дата перевода]]-Таблица1[[#This Row],[Дата поступления]]</f>
        <v>0</v>
      </c>
      <c r="W693" s="47">
        <f>Таблица1[[#This Row],[Дата поступления]]-Таблица1[[#This Row],[Дата рождения]]</f>
        <v>0</v>
      </c>
    </row>
    <row r="694" spans="22:23" ht="24.75" customHeight="1" x14ac:dyDescent="0.25">
      <c r="V694" s="47">
        <f>Таблица1[[#This Row],[Дата перевода]]-Таблица1[[#This Row],[Дата поступления]]</f>
        <v>0</v>
      </c>
      <c r="W694" s="47">
        <f>Таблица1[[#This Row],[Дата поступления]]-Таблица1[[#This Row],[Дата рождения]]</f>
        <v>0</v>
      </c>
    </row>
    <row r="695" spans="22:23" ht="24.75" customHeight="1" x14ac:dyDescent="0.25">
      <c r="V695" s="47">
        <f>Таблица1[[#This Row],[Дата перевода]]-Таблица1[[#This Row],[Дата поступления]]</f>
        <v>0</v>
      </c>
      <c r="W695" s="47">
        <f>Таблица1[[#This Row],[Дата поступления]]-Таблица1[[#This Row],[Дата рождения]]</f>
        <v>0</v>
      </c>
    </row>
    <row r="696" spans="22:23" ht="24.75" customHeight="1" x14ac:dyDescent="0.25">
      <c r="V696" s="47">
        <f>Таблица1[[#This Row],[Дата перевода]]-Таблица1[[#This Row],[Дата поступления]]</f>
        <v>0</v>
      </c>
      <c r="W696" s="47">
        <f>Таблица1[[#This Row],[Дата поступления]]-Таблица1[[#This Row],[Дата рождения]]</f>
        <v>0</v>
      </c>
    </row>
    <row r="697" spans="22:23" ht="24.75" customHeight="1" x14ac:dyDescent="0.25">
      <c r="V697" s="47">
        <f>Таблица1[[#This Row],[Дата перевода]]-Таблица1[[#This Row],[Дата поступления]]</f>
        <v>0</v>
      </c>
      <c r="W697" s="47">
        <f>Таблица1[[#This Row],[Дата поступления]]-Таблица1[[#This Row],[Дата рождения]]</f>
        <v>0</v>
      </c>
    </row>
    <row r="698" spans="22:23" ht="24.75" customHeight="1" x14ac:dyDescent="0.25">
      <c r="V698" s="47">
        <f>Таблица1[[#This Row],[Дата перевода]]-Таблица1[[#This Row],[Дата поступления]]</f>
        <v>0</v>
      </c>
      <c r="W698" s="47">
        <f>Таблица1[[#This Row],[Дата поступления]]-Таблица1[[#This Row],[Дата рождения]]</f>
        <v>0</v>
      </c>
    </row>
    <row r="699" spans="22:23" ht="24.75" customHeight="1" x14ac:dyDescent="0.25">
      <c r="V699" s="47">
        <f>Таблица1[[#This Row],[Дата перевода]]-Таблица1[[#This Row],[Дата поступления]]</f>
        <v>0</v>
      </c>
      <c r="W699" s="47">
        <f>Таблица1[[#This Row],[Дата поступления]]-Таблица1[[#This Row],[Дата рождения]]</f>
        <v>0</v>
      </c>
    </row>
    <row r="700" spans="22:23" ht="24.75" customHeight="1" x14ac:dyDescent="0.25">
      <c r="V700" s="47">
        <f>Таблица1[[#This Row],[Дата перевода]]-Таблица1[[#This Row],[Дата поступления]]</f>
        <v>0</v>
      </c>
      <c r="W700" s="47">
        <f>Таблица1[[#This Row],[Дата поступления]]-Таблица1[[#This Row],[Дата рождения]]</f>
        <v>0</v>
      </c>
    </row>
    <row r="701" spans="22:23" ht="24.75" customHeight="1" x14ac:dyDescent="0.25">
      <c r="V701" s="47">
        <f>Таблица1[[#This Row],[Дата перевода]]-Таблица1[[#This Row],[Дата поступления]]</f>
        <v>0</v>
      </c>
      <c r="W701" s="47">
        <f>Таблица1[[#This Row],[Дата поступления]]-Таблица1[[#This Row],[Дата рождения]]</f>
        <v>0</v>
      </c>
    </row>
    <row r="702" spans="22:23" ht="24.75" customHeight="1" x14ac:dyDescent="0.25">
      <c r="V702" s="47">
        <f>Таблица1[[#This Row],[Дата перевода]]-Таблица1[[#This Row],[Дата поступления]]</f>
        <v>0</v>
      </c>
      <c r="W702" s="47">
        <f>Таблица1[[#This Row],[Дата поступления]]-Таблица1[[#This Row],[Дата рождения]]</f>
        <v>0</v>
      </c>
    </row>
    <row r="703" spans="22:23" ht="24.75" customHeight="1" x14ac:dyDescent="0.25">
      <c r="V703" s="47">
        <f>Таблица1[[#This Row],[Дата перевода]]-Таблица1[[#This Row],[Дата поступления]]</f>
        <v>0</v>
      </c>
      <c r="W703" s="47">
        <f>Таблица1[[#This Row],[Дата поступления]]-Таблица1[[#This Row],[Дата рождения]]</f>
        <v>0</v>
      </c>
    </row>
    <row r="704" spans="22:23" ht="24.75" customHeight="1" x14ac:dyDescent="0.25">
      <c r="V704" s="47">
        <f>Таблица1[[#This Row],[Дата перевода]]-Таблица1[[#This Row],[Дата поступления]]</f>
        <v>0</v>
      </c>
      <c r="W704" s="47">
        <f>Таблица1[[#This Row],[Дата поступления]]-Таблица1[[#This Row],[Дата рождения]]</f>
        <v>0</v>
      </c>
    </row>
    <row r="705" spans="22:23" ht="24.75" customHeight="1" x14ac:dyDescent="0.25">
      <c r="V705" s="47">
        <f>Таблица1[[#This Row],[Дата перевода]]-Таблица1[[#This Row],[Дата поступления]]</f>
        <v>0</v>
      </c>
      <c r="W705" s="47">
        <f>Таблица1[[#This Row],[Дата поступления]]-Таблица1[[#This Row],[Дата рождения]]</f>
        <v>0</v>
      </c>
    </row>
    <row r="706" spans="22:23" ht="24.75" customHeight="1" x14ac:dyDescent="0.25">
      <c r="V706" s="47">
        <f>Таблица1[[#This Row],[Дата перевода]]-Таблица1[[#This Row],[Дата поступления]]</f>
        <v>0</v>
      </c>
      <c r="W706" s="47">
        <f>Таблица1[[#This Row],[Дата поступления]]-Таблица1[[#This Row],[Дата рождения]]</f>
        <v>0</v>
      </c>
    </row>
    <row r="707" spans="22:23" ht="24.75" customHeight="1" x14ac:dyDescent="0.25">
      <c r="V707" s="47">
        <f>Таблица1[[#This Row],[Дата перевода]]-Таблица1[[#This Row],[Дата поступления]]</f>
        <v>0</v>
      </c>
      <c r="W707" s="47">
        <f>Таблица1[[#This Row],[Дата поступления]]-Таблица1[[#This Row],[Дата рождения]]</f>
        <v>0</v>
      </c>
    </row>
    <row r="708" spans="22:23" ht="24.75" customHeight="1" x14ac:dyDescent="0.25">
      <c r="V708" s="47">
        <f>Таблица1[[#This Row],[Дата перевода]]-Таблица1[[#This Row],[Дата поступления]]</f>
        <v>0</v>
      </c>
      <c r="W708" s="47">
        <f>Таблица1[[#This Row],[Дата поступления]]-Таблица1[[#This Row],[Дата рождения]]</f>
        <v>0</v>
      </c>
    </row>
    <row r="709" spans="22:23" ht="24.75" customHeight="1" x14ac:dyDescent="0.25">
      <c r="V709" s="47">
        <f>Таблица1[[#This Row],[Дата перевода]]-Таблица1[[#This Row],[Дата поступления]]</f>
        <v>0</v>
      </c>
      <c r="W709" s="47">
        <f>Таблица1[[#This Row],[Дата поступления]]-Таблица1[[#This Row],[Дата рождения]]</f>
        <v>0</v>
      </c>
    </row>
    <row r="710" spans="22:23" ht="24.75" customHeight="1" x14ac:dyDescent="0.25">
      <c r="V710" s="47">
        <f>Таблица1[[#This Row],[Дата перевода]]-Таблица1[[#This Row],[Дата поступления]]</f>
        <v>0</v>
      </c>
      <c r="W710" s="47">
        <f>Таблица1[[#This Row],[Дата поступления]]-Таблица1[[#This Row],[Дата рождения]]</f>
        <v>0</v>
      </c>
    </row>
    <row r="711" spans="22:23" ht="24.75" customHeight="1" x14ac:dyDescent="0.25">
      <c r="V711" s="47">
        <f>Таблица1[[#This Row],[Дата перевода]]-Таблица1[[#This Row],[Дата поступления]]</f>
        <v>0</v>
      </c>
      <c r="W711" s="47">
        <f>Таблица1[[#This Row],[Дата поступления]]-Таблица1[[#This Row],[Дата рождения]]</f>
        <v>0</v>
      </c>
    </row>
    <row r="712" spans="22:23" ht="24.75" customHeight="1" x14ac:dyDescent="0.25">
      <c r="V712" s="47">
        <f>Таблица1[[#This Row],[Дата перевода]]-Таблица1[[#This Row],[Дата поступления]]</f>
        <v>0</v>
      </c>
      <c r="W712" s="47">
        <f>Таблица1[[#This Row],[Дата поступления]]-Таблица1[[#This Row],[Дата рождения]]</f>
        <v>0</v>
      </c>
    </row>
    <row r="713" spans="22:23" ht="24.75" customHeight="1" x14ac:dyDescent="0.25">
      <c r="V713" s="47">
        <f>Таблица1[[#This Row],[Дата перевода]]-Таблица1[[#This Row],[Дата поступления]]</f>
        <v>0</v>
      </c>
      <c r="W713" s="47">
        <f>Таблица1[[#This Row],[Дата поступления]]-Таблица1[[#This Row],[Дата рождения]]</f>
        <v>0</v>
      </c>
    </row>
    <row r="714" spans="22:23" ht="24.75" customHeight="1" x14ac:dyDescent="0.25">
      <c r="V714" s="47">
        <f>Таблица1[[#This Row],[Дата перевода]]-Таблица1[[#This Row],[Дата поступления]]</f>
        <v>0</v>
      </c>
      <c r="W714" s="47">
        <f>Таблица1[[#This Row],[Дата поступления]]-Таблица1[[#This Row],[Дата рождения]]</f>
        <v>0</v>
      </c>
    </row>
    <row r="715" spans="22:23" ht="24.75" customHeight="1" x14ac:dyDescent="0.25">
      <c r="V715" s="47">
        <f>Таблица1[[#This Row],[Дата перевода]]-Таблица1[[#This Row],[Дата поступления]]</f>
        <v>0</v>
      </c>
      <c r="W715" s="47">
        <f>Таблица1[[#This Row],[Дата поступления]]-Таблица1[[#This Row],[Дата рождения]]</f>
        <v>0</v>
      </c>
    </row>
    <row r="716" spans="22:23" ht="24.75" customHeight="1" x14ac:dyDescent="0.25">
      <c r="V716" s="47">
        <f>Таблица1[[#This Row],[Дата перевода]]-Таблица1[[#This Row],[Дата поступления]]</f>
        <v>0</v>
      </c>
      <c r="W716" s="47">
        <f>Таблица1[[#This Row],[Дата поступления]]-Таблица1[[#This Row],[Дата рождения]]</f>
        <v>0</v>
      </c>
    </row>
    <row r="717" spans="22:23" ht="24.75" customHeight="1" x14ac:dyDescent="0.25">
      <c r="V717" s="47">
        <f>Таблица1[[#This Row],[Дата перевода]]-Таблица1[[#This Row],[Дата поступления]]</f>
        <v>0</v>
      </c>
      <c r="W717" s="47">
        <f>Таблица1[[#This Row],[Дата поступления]]-Таблица1[[#This Row],[Дата рождения]]</f>
        <v>0</v>
      </c>
    </row>
    <row r="718" spans="22:23" ht="24.75" customHeight="1" x14ac:dyDescent="0.25">
      <c r="V718" s="47">
        <f>Таблица1[[#This Row],[Дата перевода]]-Таблица1[[#This Row],[Дата поступления]]</f>
        <v>0</v>
      </c>
      <c r="W718" s="47">
        <f>Таблица1[[#This Row],[Дата поступления]]-Таблица1[[#This Row],[Дата рождения]]</f>
        <v>0</v>
      </c>
    </row>
    <row r="719" spans="22:23" ht="24.75" customHeight="1" x14ac:dyDescent="0.25">
      <c r="V719" s="47">
        <f>Таблица1[[#This Row],[Дата перевода]]-Таблица1[[#This Row],[Дата поступления]]</f>
        <v>0</v>
      </c>
      <c r="W719" s="47">
        <f>Таблица1[[#This Row],[Дата поступления]]-Таблица1[[#This Row],[Дата рождения]]</f>
        <v>0</v>
      </c>
    </row>
    <row r="720" spans="22:23" ht="24.75" customHeight="1" x14ac:dyDescent="0.25">
      <c r="V720" s="47">
        <f>Таблица1[[#This Row],[Дата перевода]]-Таблица1[[#This Row],[Дата поступления]]</f>
        <v>0</v>
      </c>
      <c r="W720" s="47">
        <f>Таблица1[[#This Row],[Дата поступления]]-Таблица1[[#This Row],[Дата рождения]]</f>
        <v>0</v>
      </c>
    </row>
    <row r="721" spans="22:23" ht="24.75" customHeight="1" x14ac:dyDescent="0.25">
      <c r="V721" s="47">
        <f>Таблица1[[#This Row],[Дата перевода]]-Таблица1[[#This Row],[Дата поступления]]</f>
        <v>0</v>
      </c>
      <c r="W721" s="47">
        <f>Таблица1[[#This Row],[Дата поступления]]-Таблица1[[#This Row],[Дата рождения]]</f>
        <v>0</v>
      </c>
    </row>
    <row r="722" spans="22:23" ht="24.75" customHeight="1" x14ac:dyDescent="0.25">
      <c r="V722" s="47">
        <f>Таблица1[[#This Row],[Дата перевода]]-Таблица1[[#This Row],[Дата поступления]]</f>
        <v>0</v>
      </c>
      <c r="W722" s="47">
        <f>Таблица1[[#This Row],[Дата поступления]]-Таблица1[[#This Row],[Дата рождения]]</f>
        <v>0</v>
      </c>
    </row>
    <row r="723" spans="22:23" ht="24.75" customHeight="1" x14ac:dyDescent="0.25">
      <c r="V723" s="47">
        <f>Таблица1[[#This Row],[Дата перевода]]-Таблица1[[#This Row],[Дата поступления]]</f>
        <v>0</v>
      </c>
      <c r="W723" s="47">
        <f>Таблица1[[#This Row],[Дата поступления]]-Таблица1[[#This Row],[Дата рождения]]</f>
        <v>0</v>
      </c>
    </row>
    <row r="724" spans="22:23" ht="24.75" customHeight="1" x14ac:dyDescent="0.25">
      <c r="V724" s="47">
        <f>Таблица1[[#This Row],[Дата перевода]]-Таблица1[[#This Row],[Дата поступления]]</f>
        <v>0</v>
      </c>
      <c r="W724" s="47">
        <f>Таблица1[[#This Row],[Дата поступления]]-Таблица1[[#This Row],[Дата рождения]]</f>
        <v>0</v>
      </c>
    </row>
    <row r="725" spans="22:23" ht="24.75" customHeight="1" x14ac:dyDescent="0.25">
      <c r="V725" s="47">
        <f>Таблица1[[#This Row],[Дата перевода]]-Таблица1[[#This Row],[Дата поступления]]</f>
        <v>0</v>
      </c>
      <c r="W725" s="47">
        <f>Таблица1[[#This Row],[Дата поступления]]-Таблица1[[#This Row],[Дата рождения]]</f>
        <v>0</v>
      </c>
    </row>
    <row r="726" spans="22:23" ht="24.75" customHeight="1" x14ac:dyDescent="0.25">
      <c r="V726" s="47">
        <f>Таблица1[[#This Row],[Дата перевода]]-Таблица1[[#This Row],[Дата поступления]]</f>
        <v>0</v>
      </c>
      <c r="W726" s="47">
        <f>Таблица1[[#This Row],[Дата поступления]]-Таблица1[[#This Row],[Дата рождения]]</f>
        <v>0</v>
      </c>
    </row>
    <row r="727" spans="22:23" ht="24.75" customHeight="1" x14ac:dyDescent="0.25">
      <c r="V727" s="47">
        <f>Таблица1[[#This Row],[Дата перевода]]-Таблица1[[#This Row],[Дата поступления]]</f>
        <v>0</v>
      </c>
      <c r="W727" s="47">
        <f>Таблица1[[#This Row],[Дата поступления]]-Таблица1[[#This Row],[Дата рождения]]</f>
        <v>0</v>
      </c>
    </row>
    <row r="728" spans="22:23" ht="24.75" customHeight="1" x14ac:dyDescent="0.25">
      <c r="V728" s="47">
        <f>Таблица1[[#This Row],[Дата перевода]]-Таблица1[[#This Row],[Дата поступления]]</f>
        <v>0</v>
      </c>
      <c r="W728" s="47">
        <f>Таблица1[[#This Row],[Дата поступления]]-Таблица1[[#This Row],[Дата рождения]]</f>
        <v>0</v>
      </c>
    </row>
    <row r="729" spans="22:23" ht="24.75" customHeight="1" x14ac:dyDescent="0.25">
      <c r="V729" s="47">
        <f>Таблица1[[#This Row],[Дата перевода]]-Таблица1[[#This Row],[Дата поступления]]</f>
        <v>0</v>
      </c>
      <c r="W729" s="47">
        <f>Таблица1[[#This Row],[Дата поступления]]-Таблица1[[#This Row],[Дата рождения]]</f>
        <v>0</v>
      </c>
    </row>
    <row r="730" spans="22:23" ht="24.75" customHeight="1" x14ac:dyDescent="0.25">
      <c r="V730" s="47">
        <f>Таблица1[[#This Row],[Дата перевода]]-Таблица1[[#This Row],[Дата поступления]]</f>
        <v>0</v>
      </c>
      <c r="W730" s="47">
        <f>Таблица1[[#This Row],[Дата поступления]]-Таблица1[[#This Row],[Дата рождения]]</f>
        <v>0</v>
      </c>
    </row>
    <row r="731" spans="22:23" ht="24.75" customHeight="1" x14ac:dyDescent="0.25">
      <c r="V731" s="47">
        <f>Таблица1[[#This Row],[Дата перевода]]-Таблица1[[#This Row],[Дата поступления]]</f>
        <v>0</v>
      </c>
      <c r="W731" s="47">
        <f>Таблица1[[#This Row],[Дата поступления]]-Таблица1[[#This Row],[Дата рождения]]</f>
        <v>0</v>
      </c>
    </row>
    <row r="732" spans="22:23" ht="24.75" customHeight="1" x14ac:dyDescent="0.25">
      <c r="V732" s="47">
        <f>Таблица1[[#This Row],[Дата перевода]]-Таблица1[[#This Row],[Дата поступления]]</f>
        <v>0</v>
      </c>
      <c r="W732" s="47">
        <f>Таблица1[[#This Row],[Дата поступления]]-Таблица1[[#This Row],[Дата рождения]]</f>
        <v>0</v>
      </c>
    </row>
    <row r="733" spans="22:23" ht="24.75" customHeight="1" x14ac:dyDescent="0.25">
      <c r="V733" s="47">
        <f>Таблица1[[#This Row],[Дата перевода]]-Таблица1[[#This Row],[Дата поступления]]</f>
        <v>0</v>
      </c>
      <c r="W733" s="47">
        <f>Таблица1[[#This Row],[Дата поступления]]-Таблица1[[#This Row],[Дата рождения]]</f>
        <v>0</v>
      </c>
    </row>
    <row r="734" spans="22:23" ht="24.75" customHeight="1" x14ac:dyDescent="0.25">
      <c r="V734" s="47">
        <f>Таблица1[[#This Row],[Дата перевода]]-Таблица1[[#This Row],[Дата поступления]]</f>
        <v>0</v>
      </c>
      <c r="W734" s="47">
        <f>Таблица1[[#This Row],[Дата поступления]]-Таблица1[[#This Row],[Дата рождения]]</f>
        <v>0</v>
      </c>
    </row>
    <row r="735" spans="22:23" ht="24.75" customHeight="1" x14ac:dyDescent="0.25">
      <c r="V735" s="47">
        <f>Таблица1[[#This Row],[Дата перевода]]-Таблица1[[#This Row],[Дата поступления]]</f>
        <v>0</v>
      </c>
      <c r="W735" s="47">
        <f>Таблица1[[#This Row],[Дата поступления]]-Таблица1[[#This Row],[Дата рождения]]</f>
        <v>0</v>
      </c>
    </row>
    <row r="736" spans="22:23" ht="24.75" customHeight="1" x14ac:dyDescent="0.25">
      <c r="V736" s="47">
        <f>Таблица1[[#This Row],[Дата перевода]]-Таблица1[[#This Row],[Дата поступления]]</f>
        <v>0</v>
      </c>
      <c r="W736" s="47">
        <f>Таблица1[[#This Row],[Дата поступления]]-Таблица1[[#This Row],[Дата рождения]]</f>
        <v>0</v>
      </c>
    </row>
    <row r="737" spans="22:23" ht="24.75" customHeight="1" x14ac:dyDescent="0.25">
      <c r="V737" s="47">
        <f>Таблица1[[#This Row],[Дата перевода]]-Таблица1[[#This Row],[Дата поступления]]</f>
        <v>0</v>
      </c>
      <c r="W737" s="47">
        <f>Таблица1[[#This Row],[Дата поступления]]-Таблица1[[#This Row],[Дата рождения]]</f>
        <v>0</v>
      </c>
    </row>
    <row r="738" spans="22:23" ht="24.75" customHeight="1" x14ac:dyDescent="0.25">
      <c r="V738" s="47">
        <f>Таблица1[[#This Row],[Дата перевода]]-Таблица1[[#This Row],[Дата поступления]]</f>
        <v>0</v>
      </c>
      <c r="W738" s="47">
        <f>Таблица1[[#This Row],[Дата поступления]]-Таблица1[[#This Row],[Дата рождения]]</f>
        <v>0</v>
      </c>
    </row>
    <row r="739" spans="22:23" ht="24.75" customHeight="1" x14ac:dyDescent="0.25">
      <c r="V739" s="47">
        <f>Таблица1[[#This Row],[Дата перевода]]-Таблица1[[#This Row],[Дата поступления]]</f>
        <v>0</v>
      </c>
      <c r="W739" s="47">
        <f>Таблица1[[#This Row],[Дата поступления]]-Таблица1[[#This Row],[Дата рождения]]</f>
        <v>0</v>
      </c>
    </row>
    <row r="740" spans="22:23" ht="24.75" customHeight="1" x14ac:dyDescent="0.25">
      <c r="V740" s="47">
        <f>Таблица1[[#This Row],[Дата перевода]]-Таблица1[[#This Row],[Дата поступления]]</f>
        <v>0</v>
      </c>
      <c r="W740" s="47">
        <f>Таблица1[[#This Row],[Дата поступления]]-Таблица1[[#This Row],[Дата рождения]]</f>
        <v>0</v>
      </c>
    </row>
    <row r="741" spans="22:23" ht="24.75" customHeight="1" x14ac:dyDescent="0.25">
      <c r="V741" s="47">
        <f>Таблица1[[#This Row],[Дата перевода]]-Таблица1[[#This Row],[Дата поступления]]</f>
        <v>0</v>
      </c>
      <c r="W741" s="47">
        <f>Таблица1[[#This Row],[Дата поступления]]-Таблица1[[#This Row],[Дата рождения]]</f>
        <v>0</v>
      </c>
    </row>
    <row r="742" spans="22:23" ht="24.75" customHeight="1" x14ac:dyDescent="0.25">
      <c r="V742" s="47">
        <f>Таблица1[[#This Row],[Дата перевода]]-Таблица1[[#This Row],[Дата поступления]]</f>
        <v>0</v>
      </c>
      <c r="W742" s="47">
        <f>Таблица1[[#This Row],[Дата поступления]]-Таблица1[[#This Row],[Дата рождения]]</f>
        <v>0</v>
      </c>
    </row>
    <row r="743" spans="22:23" ht="24.75" customHeight="1" x14ac:dyDescent="0.25">
      <c r="V743" s="47">
        <f>Таблица1[[#This Row],[Дата перевода]]-Таблица1[[#This Row],[Дата поступления]]</f>
        <v>0</v>
      </c>
      <c r="W743" s="47">
        <f>Таблица1[[#This Row],[Дата поступления]]-Таблица1[[#This Row],[Дата рождения]]</f>
        <v>0</v>
      </c>
    </row>
    <row r="744" spans="22:23" ht="24.75" customHeight="1" x14ac:dyDescent="0.25">
      <c r="V744" s="47">
        <f>Таблица1[[#This Row],[Дата перевода]]-Таблица1[[#This Row],[Дата поступления]]</f>
        <v>0</v>
      </c>
      <c r="W744" s="47">
        <f>Таблица1[[#This Row],[Дата поступления]]-Таблица1[[#This Row],[Дата рождения]]</f>
        <v>0</v>
      </c>
    </row>
    <row r="745" spans="22:23" ht="24.75" customHeight="1" x14ac:dyDescent="0.25">
      <c r="V745" s="47">
        <f>Таблица1[[#This Row],[Дата перевода]]-Таблица1[[#This Row],[Дата поступления]]</f>
        <v>0</v>
      </c>
      <c r="W745" s="47">
        <f>Таблица1[[#This Row],[Дата поступления]]-Таблица1[[#This Row],[Дата рождения]]</f>
        <v>0</v>
      </c>
    </row>
    <row r="746" spans="22:23" ht="24.75" customHeight="1" x14ac:dyDescent="0.25">
      <c r="V746" s="47">
        <f>Таблица1[[#This Row],[Дата перевода]]-Таблица1[[#This Row],[Дата поступления]]</f>
        <v>0</v>
      </c>
      <c r="W746" s="47">
        <f>Таблица1[[#This Row],[Дата поступления]]-Таблица1[[#This Row],[Дата рождения]]</f>
        <v>0</v>
      </c>
    </row>
    <row r="747" spans="22:23" ht="24.75" customHeight="1" x14ac:dyDescent="0.25">
      <c r="V747" s="47">
        <f>Таблица1[[#This Row],[Дата перевода]]-Таблица1[[#This Row],[Дата поступления]]</f>
        <v>0</v>
      </c>
      <c r="W747" s="47">
        <f>Таблица1[[#This Row],[Дата поступления]]-Таблица1[[#This Row],[Дата рождения]]</f>
        <v>0</v>
      </c>
    </row>
    <row r="748" spans="22:23" ht="24.75" customHeight="1" x14ac:dyDescent="0.25">
      <c r="V748" s="47">
        <f>Таблица1[[#This Row],[Дата перевода]]-Таблица1[[#This Row],[Дата поступления]]</f>
        <v>0</v>
      </c>
      <c r="W748" s="47">
        <f>Таблица1[[#This Row],[Дата поступления]]-Таблица1[[#This Row],[Дата рождения]]</f>
        <v>0</v>
      </c>
    </row>
    <row r="749" spans="22:23" ht="24.75" customHeight="1" x14ac:dyDescent="0.25">
      <c r="V749" s="47">
        <f>Таблица1[[#This Row],[Дата перевода]]-Таблица1[[#This Row],[Дата поступления]]</f>
        <v>0</v>
      </c>
      <c r="W749" s="47">
        <f>Таблица1[[#This Row],[Дата поступления]]-Таблица1[[#This Row],[Дата рождения]]</f>
        <v>0</v>
      </c>
    </row>
    <row r="750" spans="22:23" ht="24.75" customHeight="1" x14ac:dyDescent="0.25">
      <c r="V750" s="47">
        <f>Таблица1[[#This Row],[Дата перевода]]-Таблица1[[#This Row],[Дата поступления]]</f>
        <v>0</v>
      </c>
      <c r="W750" s="47">
        <f>Таблица1[[#This Row],[Дата поступления]]-Таблица1[[#This Row],[Дата рождения]]</f>
        <v>0</v>
      </c>
    </row>
    <row r="751" spans="22:23" ht="24.75" customHeight="1" x14ac:dyDescent="0.25">
      <c r="V751" s="47">
        <f>Таблица1[[#This Row],[Дата перевода]]-Таблица1[[#This Row],[Дата поступления]]</f>
        <v>0</v>
      </c>
      <c r="W751" s="47">
        <f>Таблица1[[#This Row],[Дата поступления]]-Таблица1[[#This Row],[Дата рождения]]</f>
        <v>0</v>
      </c>
    </row>
    <row r="752" spans="22:23" ht="24.75" customHeight="1" x14ac:dyDescent="0.25">
      <c r="V752" s="47">
        <f>Таблица1[[#This Row],[Дата перевода]]-Таблица1[[#This Row],[Дата поступления]]</f>
        <v>0</v>
      </c>
      <c r="W752" s="47">
        <f>Таблица1[[#This Row],[Дата поступления]]-Таблица1[[#This Row],[Дата рождения]]</f>
        <v>0</v>
      </c>
    </row>
    <row r="753" spans="22:23" ht="24.75" customHeight="1" x14ac:dyDescent="0.25">
      <c r="V753" s="47">
        <f>Таблица1[[#This Row],[Дата перевода]]-Таблица1[[#This Row],[Дата поступления]]</f>
        <v>0</v>
      </c>
      <c r="W753" s="47">
        <f>Таблица1[[#This Row],[Дата поступления]]-Таблица1[[#This Row],[Дата рождения]]</f>
        <v>0</v>
      </c>
    </row>
    <row r="754" spans="22:23" ht="24.75" customHeight="1" x14ac:dyDescent="0.25">
      <c r="V754" s="47">
        <f>Таблица1[[#This Row],[Дата перевода]]-Таблица1[[#This Row],[Дата поступления]]</f>
        <v>0</v>
      </c>
      <c r="W754" s="47">
        <f>Таблица1[[#This Row],[Дата поступления]]-Таблица1[[#This Row],[Дата рождения]]</f>
        <v>0</v>
      </c>
    </row>
    <row r="755" spans="22:23" ht="24.75" customHeight="1" x14ac:dyDescent="0.25">
      <c r="V755" s="47">
        <f>Таблица1[[#This Row],[Дата перевода]]-Таблица1[[#This Row],[Дата поступления]]</f>
        <v>0</v>
      </c>
      <c r="W755" s="47">
        <f>Таблица1[[#This Row],[Дата поступления]]-Таблица1[[#This Row],[Дата рождения]]</f>
        <v>0</v>
      </c>
    </row>
    <row r="756" spans="22:23" ht="24.75" customHeight="1" x14ac:dyDescent="0.25">
      <c r="V756" s="47">
        <f>Таблица1[[#This Row],[Дата перевода]]-Таблица1[[#This Row],[Дата поступления]]</f>
        <v>0</v>
      </c>
      <c r="W756" s="47">
        <f>Таблица1[[#This Row],[Дата поступления]]-Таблица1[[#This Row],[Дата рождения]]</f>
        <v>0</v>
      </c>
    </row>
    <row r="757" spans="22:23" ht="24.75" customHeight="1" x14ac:dyDescent="0.25">
      <c r="V757" s="47">
        <f>Таблица1[[#This Row],[Дата перевода]]-Таблица1[[#This Row],[Дата поступления]]</f>
        <v>0</v>
      </c>
      <c r="W757" s="47">
        <f>Таблица1[[#This Row],[Дата поступления]]-Таблица1[[#This Row],[Дата рождения]]</f>
        <v>0</v>
      </c>
    </row>
    <row r="758" spans="22:23" ht="24.75" customHeight="1" x14ac:dyDescent="0.25">
      <c r="V758" s="47">
        <f>Таблица1[[#This Row],[Дата перевода]]-Таблица1[[#This Row],[Дата поступления]]</f>
        <v>0</v>
      </c>
      <c r="W758" s="47">
        <f>Таблица1[[#This Row],[Дата поступления]]-Таблица1[[#This Row],[Дата рождения]]</f>
        <v>0</v>
      </c>
    </row>
    <row r="759" spans="22:23" ht="24.75" customHeight="1" x14ac:dyDescent="0.25">
      <c r="V759" s="47">
        <f>Таблица1[[#This Row],[Дата перевода]]-Таблица1[[#This Row],[Дата поступления]]</f>
        <v>0</v>
      </c>
      <c r="W759" s="47">
        <f>Таблица1[[#This Row],[Дата поступления]]-Таблица1[[#This Row],[Дата рождения]]</f>
        <v>0</v>
      </c>
    </row>
    <row r="760" spans="22:23" ht="24.75" customHeight="1" x14ac:dyDescent="0.25">
      <c r="V760" s="47">
        <f>Таблица1[[#This Row],[Дата перевода]]-Таблица1[[#This Row],[Дата поступления]]</f>
        <v>0</v>
      </c>
      <c r="W760" s="47">
        <f>Таблица1[[#This Row],[Дата поступления]]-Таблица1[[#This Row],[Дата рождения]]</f>
        <v>0</v>
      </c>
    </row>
    <row r="761" spans="22:23" ht="24.75" customHeight="1" x14ac:dyDescent="0.25">
      <c r="V761" s="47">
        <f>Таблица1[[#This Row],[Дата перевода]]-Таблица1[[#This Row],[Дата поступления]]</f>
        <v>0</v>
      </c>
      <c r="W761" s="47">
        <f>Таблица1[[#This Row],[Дата поступления]]-Таблица1[[#This Row],[Дата рождения]]</f>
        <v>0</v>
      </c>
    </row>
    <row r="762" spans="22:23" ht="24.75" customHeight="1" x14ac:dyDescent="0.25">
      <c r="V762" s="47">
        <f>Таблица1[[#This Row],[Дата перевода]]-Таблица1[[#This Row],[Дата поступления]]</f>
        <v>0</v>
      </c>
      <c r="W762" s="47">
        <f>Таблица1[[#This Row],[Дата поступления]]-Таблица1[[#This Row],[Дата рождения]]</f>
        <v>0</v>
      </c>
    </row>
    <row r="763" spans="22:23" ht="24.75" customHeight="1" x14ac:dyDescent="0.25">
      <c r="V763" s="47">
        <f>Таблица1[[#This Row],[Дата перевода]]-Таблица1[[#This Row],[Дата поступления]]</f>
        <v>0</v>
      </c>
      <c r="W763" s="47">
        <f>Таблица1[[#This Row],[Дата поступления]]-Таблица1[[#This Row],[Дата рождения]]</f>
        <v>0</v>
      </c>
    </row>
    <row r="764" spans="22:23" ht="24.75" customHeight="1" x14ac:dyDescent="0.25">
      <c r="V764" s="47">
        <f>Таблица1[[#This Row],[Дата перевода]]-Таблица1[[#This Row],[Дата поступления]]</f>
        <v>0</v>
      </c>
      <c r="W764" s="47">
        <f>Таблица1[[#This Row],[Дата поступления]]-Таблица1[[#This Row],[Дата рождения]]</f>
        <v>0</v>
      </c>
    </row>
    <row r="765" spans="22:23" ht="24.75" customHeight="1" x14ac:dyDescent="0.25">
      <c r="V765" s="47">
        <f>Таблица1[[#This Row],[Дата перевода]]-Таблица1[[#This Row],[Дата поступления]]</f>
        <v>0</v>
      </c>
      <c r="W765" s="47">
        <f>Таблица1[[#This Row],[Дата поступления]]-Таблица1[[#This Row],[Дата рождения]]</f>
        <v>0</v>
      </c>
    </row>
    <row r="766" spans="22:23" ht="24.75" customHeight="1" x14ac:dyDescent="0.25">
      <c r="V766" s="47">
        <f>Таблица1[[#This Row],[Дата перевода]]-Таблица1[[#This Row],[Дата поступления]]</f>
        <v>0</v>
      </c>
      <c r="W766" s="47">
        <f>Таблица1[[#This Row],[Дата поступления]]-Таблица1[[#This Row],[Дата рождения]]</f>
        <v>0</v>
      </c>
    </row>
    <row r="767" spans="22:23" ht="24.75" customHeight="1" x14ac:dyDescent="0.25">
      <c r="V767" s="47">
        <f>Таблица1[[#This Row],[Дата перевода]]-Таблица1[[#This Row],[Дата поступления]]</f>
        <v>0</v>
      </c>
      <c r="W767" s="47">
        <f>Таблица1[[#This Row],[Дата поступления]]-Таблица1[[#This Row],[Дата рождения]]</f>
        <v>0</v>
      </c>
    </row>
    <row r="768" spans="22:23" ht="24.75" customHeight="1" x14ac:dyDescent="0.25">
      <c r="V768" s="47">
        <f>Таблица1[[#This Row],[Дата перевода]]-Таблица1[[#This Row],[Дата поступления]]</f>
        <v>0</v>
      </c>
      <c r="W768" s="47">
        <f>Таблица1[[#This Row],[Дата поступления]]-Таблица1[[#This Row],[Дата рождения]]</f>
        <v>0</v>
      </c>
    </row>
    <row r="769" spans="22:23" ht="24.75" customHeight="1" x14ac:dyDescent="0.25">
      <c r="V769" s="47">
        <f>Таблица1[[#This Row],[Дата перевода]]-Таблица1[[#This Row],[Дата поступления]]</f>
        <v>0</v>
      </c>
      <c r="W769" s="47">
        <f>Таблица1[[#This Row],[Дата поступления]]-Таблица1[[#This Row],[Дата рождения]]</f>
        <v>0</v>
      </c>
    </row>
    <row r="770" spans="22:23" ht="24.75" customHeight="1" x14ac:dyDescent="0.25">
      <c r="V770" s="47">
        <f>Таблица1[[#This Row],[Дата перевода]]-Таблица1[[#This Row],[Дата поступления]]</f>
        <v>0</v>
      </c>
      <c r="W770" s="47">
        <f>Таблица1[[#This Row],[Дата поступления]]-Таблица1[[#This Row],[Дата рождения]]</f>
        <v>0</v>
      </c>
    </row>
    <row r="771" spans="22:23" ht="24.75" customHeight="1" x14ac:dyDescent="0.25">
      <c r="V771" s="47">
        <f>Таблица1[[#This Row],[Дата перевода]]-Таблица1[[#This Row],[Дата поступления]]</f>
        <v>0</v>
      </c>
      <c r="W771" s="47">
        <f>Таблица1[[#This Row],[Дата поступления]]-Таблица1[[#This Row],[Дата рождения]]</f>
        <v>0</v>
      </c>
    </row>
    <row r="772" spans="22:23" ht="24.75" customHeight="1" x14ac:dyDescent="0.25">
      <c r="V772" s="47">
        <f>Таблица1[[#This Row],[Дата перевода]]-Таблица1[[#This Row],[Дата поступления]]</f>
        <v>0</v>
      </c>
      <c r="W772" s="47">
        <f>Таблица1[[#This Row],[Дата поступления]]-Таблица1[[#This Row],[Дата рождения]]</f>
        <v>0</v>
      </c>
    </row>
    <row r="773" spans="22:23" ht="24.75" customHeight="1" x14ac:dyDescent="0.25">
      <c r="V773" s="47">
        <f>Таблица1[[#This Row],[Дата перевода]]-Таблица1[[#This Row],[Дата поступления]]</f>
        <v>0</v>
      </c>
      <c r="W773" s="47">
        <f>Таблица1[[#This Row],[Дата поступления]]-Таблица1[[#This Row],[Дата рождения]]</f>
        <v>0</v>
      </c>
    </row>
    <row r="774" spans="22:23" ht="24.75" customHeight="1" x14ac:dyDescent="0.25">
      <c r="V774" s="47">
        <f>Таблица1[[#This Row],[Дата перевода]]-Таблица1[[#This Row],[Дата поступления]]</f>
        <v>0</v>
      </c>
      <c r="W774" s="47">
        <f>Таблица1[[#This Row],[Дата поступления]]-Таблица1[[#This Row],[Дата рождения]]</f>
        <v>0</v>
      </c>
    </row>
    <row r="775" spans="22:23" ht="24.75" customHeight="1" x14ac:dyDescent="0.25">
      <c r="V775" s="47">
        <f>Таблица1[[#This Row],[Дата перевода]]-Таблица1[[#This Row],[Дата поступления]]</f>
        <v>0</v>
      </c>
      <c r="W775" s="47">
        <f>Таблица1[[#This Row],[Дата поступления]]-Таблица1[[#This Row],[Дата рождения]]</f>
        <v>0</v>
      </c>
    </row>
    <row r="776" spans="22:23" ht="24.75" customHeight="1" x14ac:dyDescent="0.25">
      <c r="V776" s="47">
        <f>Таблица1[[#This Row],[Дата перевода]]-Таблица1[[#This Row],[Дата поступления]]</f>
        <v>0</v>
      </c>
      <c r="W776" s="47">
        <f>Таблица1[[#This Row],[Дата поступления]]-Таблица1[[#This Row],[Дата рождения]]</f>
        <v>0</v>
      </c>
    </row>
    <row r="777" spans="22:23" ht="24.75" customHeight="1" x14ac:dyDescent="0.25">
      <c r="V777" s="47">
        <f>Таблица1[[#This Row],[Дата перевода]]-Таблица1[[#This Row],[Дата поступления]]</f>
        <v>0</v>
      </c>
      <c r="W777" s="47">
        <f>Таблица1[[#This Row],[Дата поступления]]-Таблица1[[#This Row],[Дата рождения]]</f>
        <v>0</v>
      </c>
    </row>
    <row r="778" spans="22:23" ht="24.75" customHeight="1" x14ac:dyDescent="0.25">
      <c r="V778" s="47">
        <f>Таблица1[[#This Row],[Дата перевода]]-Таблица1[[#This Row],[Дата поступления]]</f>
        <v>0</v>
      </c>
      <c r="W778" s="47">
        <f>Таблица1[[#This Row],[Дата поступления]]-Таблица1[[#This Row],[Дата рождения]]</f>
        <v>0</v>
      </c>
    </row>
    <row r="779" spans="22:23" ht="24.75" customHeight="1" x14ac:dyDescent="0.25">
      <c r="V779" s="47">
        <f>Таблица1[[#This Row],[Дата перевода]]-Таблица1[[#This Row],[Дата поступления]]</f>
        <v>0</v>
      </c>
      <c r="W779" s="47">
        <f>Таблица1[[#This Row],[Дата поступления]]-Таблица1[[#This Row],[Дата рождения]]</f>
        <v>0</v>
      </c>
    </row>
    <row r="780" spans="22:23" ht="24.75" customHeight="1" x14ac:dyDescent="0.25">
      <c r="V780" s="47">
        <f>Таблица1[[#This Row],[Дата перевода]]-Таблица1[[#This Row],[Дата поступления]]</f>
        <v>0</v>
      </c>
      <c r="W780" s="47">
        <f>Таблица1[[#This Row],[Дата поступления]]-Таблица1[[#This Row],[Дата рождения]]</f>
        <v>0</v>
      </c>
    </row>
    <row r="781" spans="22:23" ht="24.75" customHeight="1" x14ac:dyDescent="0.25">
      <c r="V781" s="47">
        <f>Таблица1[[#This Row],[Дата перевода]]-Таблица1[[#This Row],[Дата поступления]]</f>
        <v>0</v>
      </c>
      <c r="W781" s="47">
        <f>Таблица1[[#This Row],[Дата поступления]]-Таблица1[[#This Row],[Дата рождения]]</f>
        <v>0</v>
      </c>
    </row>
    <row r="782" spans="22:23" ht="24.75" customHeight="1" x14ac:dyDescent="0.25">
      <c r="V782" s="47">
        <f>Таблица1[[#This Row],[Дата перевода]]-Таблица1[[#This Row],[Дата поступления]]</f>
        <v>0</v>
      </c>
      <c r="W782" s="47">
        <f>Таблица1[[#This Row],[Дата поступления]]-Таблица1[[#This Row],[Дата рождения]]</f>
        <v>0</v>
      </c>
    </row>
    <row r="783" spans="22:23" ht="24.75" customHeight="1" x14ac:dyDescent="0.25">
      <c r="V783" s="47">
        <f>Таблица1[[#This Row],[Дата перевода]]-Таблица1[[#This Row],[Дата поступления]]</f>
        <v>0</v>
      </c>
      <c r="W783" s="47">
        <f>Таблица1[[#This Row],[Дата поступления]]-Таблица1[[#This Row],[Дата рождения]]</f>
        <v>0</v>
      </c>
    </row>
    <row r="784" spans="22:23" ht="24.75" customHeight="1" x14ac:dyDescent="0.25">
      <c r="V784" s="47">
        <f>Таблица1[[#This Row],[Дата перевода]]-Таблица1[[#This Row],[Дата поступления]]</f>
        <v>0</v>
      </c>
      <c r="W784" s="47">
        <f>Таблица1[[#This Row],[Дата поступления]]-Таблица1[[#This Row],[Дата рождения]]</f>
        <v>0</v>
      </c>
    </row>
    <row r="785" spans="22:23" ht="24.75" customHeight="1" x14ac:dyDescent="0.25">
      <c r="V785" s="47">
        <f>Таблица1[[#This Row],[Дата перевода]]-Таблица1[[#This Row],[Дата поступления]]</f>
        <v>0</v>
      </c>
      <c r="W785" s="47">
        <f>Таблица1[[#This Row],[Дата поступления]]-Таблица1[[#This Row],[Дата рождения]]</f>
        <v>0</v>
      </c>
    </row>
    <row r="786" spans="22:23" ht="24.75" customHeight="1" x14ac:dyDescent="0.25">
      <c r="V786" s="47">
        <f>Таблица1[[#This Row],[Дата перевода]]-Таблица1[[#This Row],[Дата поступления]]</f>
        <v>0</v>
      </c>
      <c r="W786" s="47">
        <f>Таблица1[[#This Row],[Дата поступления]]-Таблица1[[#This Row],[Дата рождения]]</f>
        <v>0</v>
      </c>
    </row>
    <row r="787" spans="22:23" ht="24.75" customHeight="1" x14ac:dyDescent="0.25">
      <c r="V787" s="47">
        <f>Таблица1[[#This Row],[Дата перевода]]-Таблица1[[#This Row],[Дата поступления]]</f>
        <v>0</v>
      </c>
      <c r="W787" s="47">
        <f>Таблица1[[#This Row],[Дата поступления]]-Таблица1[[#This Row],[Дата рождения]]</f>
        <v>0</v>
      </c>
    </row>
    <row r="788" spans="22:23" ht="24.75" customHeight="1" x14ac:dyDescent="0.25">
      <c r="V788" s="47">
        <f>Таблица1[[#This Row],[Дата перевода]]-Таблица1[[#This Row],[Дата поступления]]</f>
        <v>0</v>
      </c>
      <c r="W788" s="47">
        <f>Таблица1[[#This Row],[Дата поступления]]-Таблица1[[#This Row],[Дата рождения]]</f>
        <v>0</v>
      </c>
    </row>
    <row r="789" spans="22:23" ht="24.75" customHeight="1" x14ac:dyDescent="0.25">
      <c r="V789" s="47">
        <f>Таблица1[[#This Row],[Дата перевода]]-Таблица1[[#This Row],[Дата поступления]]</f>
        <v>0</v>
      </c>
      <c r="W789" s="47">
        <f>Таблица1[[#This Row],[Дата поступления]]-Таблица1[[#This Row],[Дата рождения]]</f>
        <v>0</v>
      </c>
    </row>
    <row r="790" spans="22:23" ht="24.75" customHeight="1" x14ac:dyDescent="0.25">
      <c r="V790" s="47">
        <f>Таблица1[[#This Row],[Дата перевода]]-Таблица1[[#This Row],[Дата поступления]]</f>
        <v>0</v>
      </c>
      <c r="W790" s="47">
        <f>Таблица1[[#This Row],[Дата поступления]]-Таблица1[[#This Row],[Дата рождения]]</f>
        <v>0</v>
      </c>
    </row>
    <row r="791" spans="22:23" ht="24.75" customHeight="1" x14ac:dyDescent="0.25">
      <c r="V791" s="47">
        <f>Таблица1[[#This Row],[Дата перевода]]-Таблица1[[#This Row],[Дата поступления]]</f>
        <v>0</v>
      </c>
      <c r="W791" s="47">
        <f>Таблица1[[#This Row],[Дата поступления]]-Таблица1[[#This Row],[Дата рождения]]</f>
        <v>0</v>
      </c>
    </row>
    <row r="792" spans="22:23" ht="24.75" customHeight="1" x14ac:dyDescent="0.25">
      <c r="V792" s="47">
        <f>Таблица1[[#This Row],[Дата перевода]]-Таблица1[[#This Row],[Дата поступления]]</f>
        <v>0</v>
      </c>
      <c r="W792" s="47">
        <f>Таблица1[[#This Row],[Дата поступления]]-Таблица1[[#This Row],[Дата рождения]]</f>
        <v>0</v>
      </c>
    </row>
    <row r="793" spans="22:23" ht="24.75" customHeight="1" x14ac:dyDescent="0.25">
      <c r="V793" s="47">
        <f>Таблица1[[#This Row],[Дата перевода]]-Таблица1[[#This Row],[Дата поступления]]</f>
        <v>0</v>
      </c>
      <c r="W793" s="47">
        <f>Таблица1[[#This Row],[Дата поступления]]-Таблица1[[#This Row],[Дата рождения]]</f>
        <v>0</v>
      </c>
    </row>
    <row r="794" spans="22:23" ht="24.75" customHeight="1" x14ac:dyDescent="0.25">
      <c r="V794" s="47">
        <f>Таблица1[[#This Row],[Дата перевода]]-Таблица1[[#This Row],[Дата поступления]]</f>
        <v>0</v>
      </c>
      <c r="W794" s="47">
        <f>Таблица1[[#This Row],[Дата поступления]]-Таблица1[[#This Row],[Дата рождения]]</f>
        <v>0</v>
      </c>
    </row>
    <row r="795" spans="22:23" ht="24.75" customHeight="1" x14ac:dyDescent="0.25">
      <c r="V795" s="47">
        <f>Таблица1[[#This Row],[Дата перевода]]-Таблица1[[#This Row],[Дата поступления]]</f>
        <v>0</v>
      </c>
      <c r="W795" s="47">
        <f>Таблица1[[#This Row],[Дата поступления]]-Таблица1[[#This Row],[Дата рождения]]</f>
        <v>0</v>
      </c>
    </row>
    <row r="796" spans="22:23" ht="24.75" customHeight="1" x14ac:dyDescent="0.25">
      <c r="V796" s="47">
        <f>Таблица1[[#This Row],[Дата перевода]]-Таблица1[[#This Row],[Дата поступления]]</f>
        <v>0</v>
      </c>
      <c r="W796" s="47">
        <f>Таблица1[[#This Row],[Дата поступления]]-Таблица1[[#This Row],[Дата рождения]]</f>
        <v>0</v>
      </c>
    </row>
    <row r="797" spans="22:23" ht="24.75" customHeight="1" x14ac:dyDescent="0.25">
      <c r="V797" s="47">
        <f>Таблица1[[#This Row],[Дата перевода]]-Таблица1[[#This Row],[Дата поступления]]</f>
        <v>0</v>
      </c>
      <c r="W797" s="47">
        <f>Таблица1[[#This Row],[Дата поступления]]-Таблица1[[#This Row],[Дата рождения]]</f>
        <v>0</v>
      </c>
    </row>
    <row r="798" spans="22:23" ht="24.75" customHeight="1" x14ac:dyDescent="0.25">
      <c r="V798" s="47">
        <f>Таблица1[[#This Row],[Дата перевода]]-Таблица1[[#This Row],[Дата поступления]]</f>
        <v>0</v>
      </c>
      <c r="W798" s="47">
        <f>Таблица1[[#This Row],[Дата поступления]]-Таблица1[[#This Row],[Дата рождения]]</f>
        <v>0</v>
      </c>
    </row>
    <row r="799" spans="22:23" ht="24.75" customHeight="1" x14ac:dyDescent="0.25">
      <c r="V799" s="47">
        <f>Таблица1[[#This Row],[Дата перевода]]-Таблица1[[#This Row],[Дата поступления]]</f>
        <v>0</v>
      </c>
      <c r="W799" s="47">
        <f>Таблица1[[#This Row],[Дата поступления]]-Таблица1[[#This Row],[Дата рождения]]</f>
        <v>0</v>
      </c>
    </row>
    <row r="800" spans="22:23" ht="24.75" customHeight="1" x14ac:dyDescent="0.25">
      <c r="V800" s="47">
        <f>Таблица1[[#This Row],[Дата перевода]]-Таблица1[[#This Row],[Дата поступления]]</f>
        <v>0</v>
      </c>
      <c r="W800" s="47">
        <f>Таблица1[[#This Row],[Дата поступления]]-Таблица1[[#This Row],[Дата рождения]]</f>
        <v>0</v>
      </c>
    </row>
    <row r="801" spans="22:23" ht="24.75" customHeight="1" x14ac:dyDescent="0.25">
      <c r="V801" s="47">
        <f>Таблица1[[#This Row],[Дата перевода]]-Таблица1[[#This Row],[Дата поступления]]</f>
        <v>0</v>
      </c>
      <c r="W801" s="47">
        <f>Таблица1[[#This Row],[Дата поступления]]-Таблица1[[#This Row],[Дата рождения]]</f>
        <v>0</v>
      </c>
    </row>
    <row r="802" spans="22:23" ht="24.75" customHeight="1" x14ac:dyDescent="0.25">
      <c r="V802" s="47">
        <f>Таблица1[[#This Row],[Дата перевода]]-Таблица1[[#This Row],[Дата поступления]]</f>
        <v>0</v>
      </c>
      <c r="W802" s="47">
        <f>Таблица1[[#This Row],[Дата поступления]]-Таблица1[[#This Row],[Дата рождения]]</f>
        <v>0</v>
      </c>
    </row>
    <row r="803" spans="22:23" ht="24.75" customHeight="1" x14ac:dyDescent="0.25">
      <c r="V803" s="47">
        <f>Таблица1[[#This Row],[Дата перевода]]-Таблица1[[#This Row],[Дата поступления]]</f>
        <v>0</v>
      </c>
      <c r="W803" s="47">
        <f>Таблица1[[#This Row],[Дата поступления]]-Таблица1[[#This Row],[Дата рождения]]</f>
        <v>0</v>
      </c>
    </row>
    <row r="804" spans="22:23" ht="24.75" customHeight="1" x14ac:dyDescent="0.25">
      <c r="V804" s="47">
        <f>Таблица1[[#This Row],[Дата перевода]]-Таблица1[[#This Row],[Дата поступления]]</f>
        <v>0</v>
      </c>
      <c r="W804" s="47">
        <f>Таблица1[[#This Row],[Дата поступления]]-Таблица1[[#This Row],[Дата рождения]]</f>
        <v>0</v>
      </c>
    </row>
    <row r="805" spans="22:23" ht="24.75" customHeight="1" x14ac:dyDescent="0.25">
      <c r="V805" s="47">
        <f>Таблица1[[#This Row],[Дата перевода]]-Таблица1[[#This Row],[Дата поступления]]</f>
        <v>0</v>
      </c>
      <c r="W805" s="47">
        <f>Таблица1[[#This Row],[Дата поступления]]-Таблица1[[#This Row],[Дата рождения]]</f>
        <v>0</v>
      </c>
    </row>
    <row r="806" spans="22:23" ht="24.75" customHeight="1" x14ac:dyDescent="0.25">
      <c r="V806" s="47">
        <f>Таблица1[[#This Row],[Дата перевода]]-Таблица1[[#This Row],[Дата поступления]]</f>
        <v>0</v>
      </c>
      <c r="W806" s="47">
        <f>Таблица1[[#This Row],[Дата поступления]]-Таблица1[[#This Row],[Дата рождения]]</f>
        <v>0</v>
      </c>
    </row>
    <row r="807" spans="22:23" ht="24.75" customHeight="1" x14ac:dyDescent="0.25">
      <c r="V807" s="47">
        <f>Таблица1[[#This Row],[Дата перевода]]-Таблица1[[#This Row],[Дата поступления]]</f>
        <v>0</v>
      </c>
      <c r="W807" s="47">
        <f>Таблица1[[#This Row],[Дата поступления]]-Таблица1[[#This Row],[Дата рождения]]</f>
        <v>0</v>
      </c>
    </row>
    <row r="808" spans="22:23" ht="24.75" customHeight="1" x14ac:dyDescent="0.25">
      <c r="V808" s="47">
        <f>Таблица1[[#This Row],[Дата перевода]]-Таблица1[[#This Row],[Дата поступления]]</f>
        <v>0</v>
      </c>
      <c r="W808" s="47">
        <f>Таблица1[[#This Row],[Дата поступления]]-Таблица1[[#This Row],[Дата рождения]]</f>
        <v>0</v>
      </c>
    </row>
    <row r="809" spans="22:23" ht="24.75" customHeight="1" x14ac:dyDescent="0.25">
      <c r="V809" s="47">
        <f>Таблица1[[#This Row],[Дата перевода]]-Таблица1[[#This Row],[Дата поступления]]</f>
        <v>0</v>
      </c>
      <c r="W809" s="47">
        <f>Таблица1[[#This Row],[Дата поступления]]-Таблица1[[#This Row],[Дата рождения]]</f>
        <v>0</v>
      </c>
    </row>
    <row r="810" spans="22:23" ht="24.75" customHeight="1" x14ac:dyDescent="0.25">
      <c r="V810" s="47">
        <f>Таблица1[[#This Row],[Дата перевода]]-Таблица1[[#This Row],[Дата поступления]]</f>
        <v>0</v>
      </c>
      <c r="W810" s="47">
        <f>Таблица1[[#This Row],[Дата поступления]]-Таблица1[[#This Row],[Дата рождения]]</f>
        <v>0</v>
      </c>
    </row>
    <row r="811" spans="22:23" ht="24.75" customHeight="1" x14ac:dyDescent="0.25">
      <c r="V811" s="47">
        <f>Таблица1[[#This Row],[Дата перевода]]-Таблица1[[#This Row],[Дата поступления]]</f>
        <v>0</v>
      </c>
      <c r="W811" s="47">
        <f>Таблица1[[#This Row],[Дата поступления]]-Таблица1[[#This Row],[Дата рождения]]</f>
        <v>0</v>
      </c>
    </row>
    <row r="812" spans="22:23" ht="24.75" customHeight="1" x14ac:dyDescent="0.25">
      <c r="V812" s="47">
        <f>Таблица1[[#This Row],[Дата перевода]]-Таблица1[[#This Row],[Дата поступления]]</f>
        <v>0</v>
      </c>
      <c r="W812" s="47">
        <f>Таблица1[[#This Row],[Дата поступления]]-Таблица1[[#This Row],[Дата рождения]]</f>
        <v>0</v>
      </c>
    </row>
    <row r="813" spans="22:23" ht="24.75" customHeight="1" x14ac:dyDescent="0.25">
      <c r="V813" s="47">
        <f>Таблица1[[#This Row],[Дата перевода]]-Таблица1[[#This Row],[Дата поступления]]</f>
        <v>0</v>
      </c>
      <c r="W813" s="47">
        <f>Таблица1[[#This Row],[Дата поступления]]-Таблица1[[#This Row],[Дата рождения]]</f>
        <v>0</v>
      </c>
    </row>
    <row r="814" spans="22:23" ht="24.75" customHeight="1" x14ac:dyDescent="0.25">
      <c r="V814" s="47">
        <f>Таблица1[[#This Row],[Дата перевода]]-Таблица1[[#This Row],[Дата поступления]]</f>
        <v>0</v>
      </c>
      <c r="W814" s="47">
        <f>Таблица1[[#This Row],[Дата поступления]]-Таблица1[[#This Row],[Дата рождения]]</f>
        <v>0</v>
      </c>
    </row>
    <row r="815" spans="22:23" ht="24.75" customHeight="1" x14ac:dyDescent="0.25">
      <c r="V815" s="47">
        <f>Таблица1[[#This Row],[Дата перевода]]-Таблица1[[#This Row],[Дата поступления]]</f>
        <v>0</v>
      </c>
      <c r="W815" s="47">
        <f>Таблица1[[#This Row],[Дата поступления]]-Таблица1[[#This Row],[Дата рождения]]</f>
        <v>0</v>
      </c>
    </row>
    <row r="816" spans="22:23" ht="24.75" customHeight="1" x14ac:dyDescent="0.25">
      <c r="V816" s="47">
        <f>Таблица1[[#This Row],[Дата перевода]]-Таблица1[[#This Row],[Дата поступления]]</f>
        <v>0</v>
      </c>
      <c r="W816" s="47">
        <f>Таблица1[[#This Row],[Дата поступления]]-Таблица1[[#This Row],[Дата рождения]]</f>
        <v>0</v>
      </c>
    </row>
    <row r="817" spans="22:23" ht="24.75" customHeight="1" x14ac:dyDescent="0.25">
      <c r="V817" s="47">
        <f>Таблица1[[#This Row],[Дата перевода]]-Таблица1[[#This Row],[Дата поступления]]</f>
        <v>0</v>
      </c>
      <c r="W817" s="47">
        <f>Таблица1[[#This Row],[Дата поступления]]-Таблица1[[#This Row],[Дата рождения]]</f>
        <v>0</v>
      </c>
    </row>
    <row r="818" spans="22:23" ht="24.75" customHeight="1" x14ac:dyDescent="0.25">
      <c r="V818" s="47">
        <f>Таблица1[[#This Row],[Дата перевода]]-Таблица1[[#This Row],[Дата поступления]]</f>
        <v>0</v>
      </c>
      <c r="W818" s="47">
        <f>Таблица1[[#This Row],[Дата поступления]]-Таблица1[[#This Row],[Дата рождения]]</f>
        <v>0</v>
      </c>
    </row>
    <row r="819" spans="22:23" ht="24.75" customHeight="1" x14ac:dyDescent="0.25">
      <c r="V819" s="47">
        <f>Таблица1[[#This Row],[Дата перевода]]-Таблица1[[#This Row],[Дата поступления]]</f>
        <v>0</v>
      </c>
      <c r="W819" s="47">
        <f>Таблица1[[#This Row],[Дата поступления]]-Таблица1[[#This Row],[Дата рождения]]</f>
        <v>0</v>
      </c>
    </row>
    <row r="820" spans="22:23" ht="24.75" customHeight="1" x14ac:dyDescent="0.25">
      <c r="V820" s="47">
        <f>Таблица1[[#This Row],[Дата перевода]]-Таблица1[[#This Row],[Дата поступления]]</f>
        <v>0</v>
      </c>
      <c r="W820" s="47">
        <f>Таблица1[[#This Row],[Дата поступления]]-Таблица1[[#This Row],[Дата рождения]]</f>
        <v>0</v>
      </c>
    </row>
    <row r="821" spans="22:23" ht="24.75" customHeight="1" x14ac:dyDescent="0.25">
      <c r="V821" s="47">
        <f>Таблица1[[#This Row],[Дата перевода]]-Таблица1[[#This Row],[Дата поступления]]</f>
        <v>0</v>
      </c>
      <c r="W821" s="47">
        <f>Таблица1[[#This Row],[Дата поступления]]-Таблица1[[#This Row],[Дата рождения]]</f>
        <v>0</v>
      </c>
    </row>
    <row r="822" spans="22:23" ht="24.75" customHeight="1" x14ac:dyDescent="0.25">
      <c r="V822" s="47">
        <f>Таблица1[[#This Row],[Дата перевода]]-Таблица1[[#This Row],[Дата поступления]]</f>
        <v>0</v>
      </c>
      <c r="W822" s="47">
        <f>Таблица1[[#This Row],[Дата поступления]]-Таблица1[[#This Row],[Дата рождения]]</f>
        <v>0</v>
      </c>
    </row>
    <row r="823" spans="22:23" ht="24.75" customHeight="1" x14ac:dyDescent="0.25">
      <c r="V823" s="47">
        <f>Таблица1[[#This Row],[Дата перевода]]-Таблица1[[#This Row],[Дата поступления]]</f>
        <v>0</v>
      </c>
      <c r="W823" s="47">
        <f>Таблица1[[#This Row],[Дата поступления]]-Таблица1[[#This Row],[Дата рождения]]</f>
        <v>0</v>
      </c>
    </row>
    <row r="824" spans="22:23" ht="24.75" customHeight="1" x14ac:dyDescent="0.25">
      <c r="V824" s="47">
        <f>Таблица1[[#This Row],[Дата перевода]]-Таблица1[[#This Row],[Дата поступления]]</f>
        <v>0</v>
      </c>
      <c r="W824" s="47">
        <f>Таблица1[[#This Row],[Дата поступления]]-Таблица1[[#This Row],[Дата рождения]]</f>
        <v>0</v>
      </c>
    </row>
    <row r="825" spans="22:23" ht="24.75" customHeight="1" x14ac:dyDescent="0.25">
      <c r="V825" s="47">
        <f>Таблица1[[#This Row],[Дата перевода]]-Таблица1[[#This Row],[Дата поступления]]</f>
        <v>0</v>
      </c>
      <c r="W825" s="47">
        <f>Таблица1[[#This Row],[Дата поступления]]-Таблица1[[#This Row],[Дата рождения]]</f>
        <v>0</v>
      </c>
    </row>
    <row r="826" spans="22:23" ht="24.75" customHeight="1" x14ac:dyDescent="0.25">
      <c r="V826" s="47">
        <f>Таблица1[[#This Row],[Дата перевода]]-Таблица1[[#This Row],[Дата поступления]]</f>
        <v>0</v>
      </c>
      <c r="W826" s="47">
        <f>Таблица1[[#This Row],[Дата поступления]]-Таблица1[[#This Row],[Дата рождения]]</f>
        <v>0</v>
      </c>
    </row>
    <row r="827" spans="22:23" ht="24.75" customHeight="1" x14ac:dyDescent="0.25">
      <c r="V827" s="47">
        <f>Таблица1[[#This Row],[Дата перевода]]-Таблица1[[#This Row],[Дата поступления]]</f>
        <v>0</v>
      </c>
      <c r="W827" s="47">
        <f>Таблица1[[#This Row],[Дата поступления]]-Таблица1[[#This Row],[Дата рождения]]</f>
        <v>0</v>
      </c>
    </row>
    <row r="828" spans="22:23" ht="24.75" customHeight="1" x14ac:dyDescent="0.25">
      <c r="V828" s="47">
        <f>Таблица1[[#This Row],[Дата перевода]]-Таблица1[[#This Row],[Дата поступления]]</f>
        <v>0</v>
      </c>
      <c r="W828" s="47">
        <f>Таблица1[[#This Row],[Дата поступления]]-Таблица1[[#This Row],[Дата рождения]]</f>
        <v>0</v>
      </c>
    </row>
    <row r="829" spans="22:23" ht="24.75" customHeight="1" x14ac:dyDescent="0.25">
      <c r="V829" s="47">
        <f>Таблица1[[#This Row],[Дата перевода]]-Таблица1[[#This Row],[Дата поступления]]</f>
        <v>0</v>
      </c>
      <c r="W829" s="47">
        <f>Таблица1[[#This Row],[Дата поступления]]-Таблица1[[#This Row],[Дата рождения]]</f>
        <v>0</v>
      </c>
    </row>
    <row r="830" spans="22:23" ht="24.75" customHeight="1" x14ac:dyDescent="0.25">
      <c r="V830" s="47">
        <f>Таблица1[[#This Row],[Дата перевода]]-Таблица1[[#This Row],[Дата поступления]]</f>
        <v>0</v>
      </c>
      <c r="W830" s="47">
        <f>Таблица1[[#This Row],[Дата поступления]]-Таблица1[[#This Row],[Дата рождения]]</f>
        <v>0</v>
      </c>
    </row>
    <row r="831" spans="22:23" ht="24.75" customHeight="1" x14ac:dyDescent="0.25">
      <c r="V831" s="47">
        <f>Таблица1[[#This Row],[Дата перевода]]-Таблица1[[#This Row],[Дата поступления]]</f>
        <v>0</v>
      </c>
      <c r="W831" s="47">
        <f>Таблица1[[#This Row],[Дата поступления]]-Таблица1[[#This Row],[Дата рождения]]</f>
        <v>0</v>
      </c>
    </row>
    <row r="832" spans="22:23" ht="24.75" customHeight="1" x14ac:dyDescent="0.25">
      <c r="V832" s="47">
        <f>Таблица1[[#This Row],[Дата перевода]]-Таблица1[[#This Row],[Дата поступления]]</f>
        <v>0</v>
      </c>
      <c r="W832" s="47">
        <f>Таблица1[[#This Row],[Дата поступления]]-Таблица1[[#This Row],[Дата рождения]]</f>
        <v>0</v>
      </c>
    </row>
    <row r="833" spans="22:23" ht="24.75" customHeight="1" x14ac:dyDescent="0.25">
      <c r="V833" s="47">
        <f>Таблица1[[#This Row],[Дата перевода]]-Таблица1[[#This Row],[Дата поступления]]</f>
        <v>0</v>
      </c>
      <c r="W833" s="47">
        <f>Таблица1[[#This Row],[Дата поступления]]-Таблица1[[#This Row],[Дата рождения]]</f>
        <v>0</v>
      </c>
    </row>
    <row r="834" spans="22:23" ht="24.75" customHeight="1" x14ac:dyDescent="0.25">
      <c r="V834" s="47">
        <f>Таблица1[[#This Row],[Дата перевода]]-Таблица1[[#This Row],[Дата поступления]]</f>
        <v>0</v>
      </c>
      <c r="W834" s="47">
        <f>Таблица1[[#This Row],[Дата поступления]]-Таблица1[[#This Row],[Дата рождения]]</f>
        <v>0</v>
      </c>
    </row>
    <row r="835" spans="22:23" ht="24.75" customHeight="1" x14ac:dyDescent="0.25">
      <c r="V835" s="47">
        <f>Таблица1[[#This Row],[Дата перевода]]-Таблица1[[#This Row],[Дата поступления]]</f>
        <v>0</v>
      </c>
      <c r="W835" s="47">
        <f>Таблица1[[#This Row],[Дата поступления]]-Таблица1[[#This Row],[Дата рождения]]</f>
        <v>0</v>
      </c>
    </row>
    <row r="836" spans="22:23" ht="24.75" customHeight="1" x14ac:dyDescent="0.25">
      <c r="V836" s="47">
        <f>Таблица1[[#This Row],[Дата перевода]]-Таблица1[[#This Row],[Дата поступления]]</f>
        <v>0</v>
      </c>
      <c r="W836" s="47">
        <f>Таблица1[[#This Row],[Дата поступления]]-Таблица1[[#This Row],[Дата рождения]]</f>
        <v>0</v>
      </c>
    </row>
    <row r="837" spans="22:23" ht="24.75" customHeight="1" x14ac:dyDescent="0.25">
      <c r="V837" s="47">
        <f>Таблица1[[#This Row],[Дата перевода]]-Таблица1[[#This Row],[Дата поступления]]</f>
        <v>0</v>
      </c>
      <c r="W837" s="47">
        <f>Таблица1[[#This Row],[Дата поступления]]-Таблица1[[#This Row],[Дата рождения]]</f>
        <v>0</v>
      </c>
    </row>
    <row r="838" spans="22:23" ht="24.75" customHeight="1" x14ac:dyDescent="0.25">
      <c r="V838" s="47">
        <f>Таблица1[[#This Row],[Дата перевода]]-Таблица1[[#This Row],[Дата поступления]]</f>
        <v>0</v>
      </c>
      <c r="W838" s="47">
        <f>Таблица1[[#This Row],[Дата поступления]]-Таблица1[[#This Row],[Дата рождения]]</f>
        <v>0</v>
      </c>
    </row>
    <row r="839" spans="22:23" ht="24.75" customHeight="1" x14ac:dyDescent="0.25">
      <c r="V839" s="47">
        <f>Таблица1[[#This Row],[Дата перевода]]-Таблица1[[#This Row],[Дата поступления]]</f>
        <v>0</v>
      </c>
      <c r="W839" s="47">
        <f>Таблица1[[#This Row],[Дата поступления]]-Таблица1[[#This Row],[Дата рождения]]</f>
        <v>0</v>
      </c>
    </row>
    <row r="840" spans="22:23" ht="24.75" customHeight="1" x14ac:dyDescent="0.25">
      <c r="V840" s="47">
        <f>Таблица1[[#This Row],[Дата перевода]]-Таблица1[[#This Row],[Дата поступления]]</f>
        <v>0</v>
      </c>
      <c r="W840" s="47">
        <f>Таблица1[[#This Row],[Дата поступления]]-Таблица1[[#This Row],[Дата рождения]]</f>
        <v>0</v>
      </c>
    </row>
    <row r="841" spans="22:23" ht="24.75" customHeight="1" x14ac:dyDescent="0.25">
      <c r="V841" s="47">
        <f>Таблица1[[#This Row],[Дата перевода]]-Таблица1[[#This Row],[Дата поступления]]</f>
        <v>0</v>
      </c>
      <c r="W841" s="47">
        <f>Таблица1[[#This Row],[Дата поступления]]-Таблица1[[#This Row],[Дата рождения]]</f>
        <v>0</v>
      </c>
    </row>
    <row r="842" spans="22:23" ht="24.75" customHeight="1" x14ac:dyDescent="0.25">
      <c r="V842" s="47">
        <f>Таблица1[[#This Row],[Дата перевода]]-Таблица1[[#This Row],[Дата поступления]]</f>
        <v>0</v>
      </c>
      <c r="W842" s="47">
        <f>Таблица1[[#This Row],[Дата поступления]]-Таблица1[[#This Row],[Дата рождения]]</f>
        <v>0</v>
      </c>
    </row>
    <row r="843" spans="22:23" ht="24.75" customHeight="1" x14ac:dyDescent="0.25">
      <c r="V843" s="47">
        <f>Таблица1[[#This Row],[Дата перевода]]-Таблица1[[#This Row],[Дата поступления]]</f>
        <v>0</v>
      </c>
      <c r="W843" s="47">
        <f>Таблица1[[#This Row],[Дата поступления]]-Таблица1[[#This Row],[Дата рождения]]</f>
        <v>0</v>
      </c>
    </row>
    <row r="844" spans="22:23" ht="24.75" customHeight="1" x14ac:dyDescent="0.25">
      <c r="V844" s="47">
        <f>Таблица1[[#This Row],[Дата перевода]]-Таблица1[[#This Row],[Дата поступления]]</f>
        <v>0</v>
      </c>
      <c r="W844" s="47">
        <f>Таблица1[[#This Row],[Дата поступления]]-Таблица1[[#This Row],[Дата рождения]]</f>
        <v>0</v>
      </c>
    </row>
    <row r="845" spans="22:23" ht="24.75" customHeight="1" x14ac:dyDescent="0.25">
      <c r="V845" s="47">
        <f>Таблица1[[#This Row],[Дата перевода]]-Таблица1[[#This Row],[Дата поступления]]</f>
        <v>0</v>
      </c>
      <c r="W845" s="47">
        <f>Таблица1[[#This Row],[Дата поступления]]-Таблица1[[#This Row],[Дата рождения]]</f>
        <v>0</v>
      </c>
    </row>
    <row r="846" spans="22:23" ht="24.75" customHeight="1" x14ac:dyDescent="0.25">
      <c r="V846" s="47">
        <f>Таблица1[[#This Row],[Дата перевода]]-Таблица1[[#This Row],[Дата поступления]]</f>
        <v>0</v>
      </c>
      <c r="W846" s="47">
        <f>Таблица1[[#This Row],[Дата поступления]]-Таблица1[[#This Row],[Дата рождения]]</f>
        <v>0</v>
      </c>
    </row>
    <row r="847" spans="22:23" ht="24.75" customHeight="1" x14ac:dyDescent="0.25">
      <c r="V847" s="47">
        <f>Таблица1[[#This Row],[Дата перевода]]-Таблица1[[#This Row],[Дата поступления]]</f>
        <v>0</v>
      </c>
      <c r="W847" s="47">
        <f>Таблица1[[#This Row],[Дата поступления]]-Таблица1[[#This Row],[Дата рождения]]</f>
        <v>0</v>
      </c>
    </row>
    <row r="848" spans="22:23" ht="24.75" customHeight="1" x14ac:dyDescent="0.25">
      <c r="V848" s="47">
        <f>Таблица1[[#This Row],[Дата перевода]]-Таблица1[[#This Row],[Дата поступления]]</f>
        <v>0</v>
      </c>
      <c r="W848" s="47">
        <f>Таблица1[[#This Row],[Дата поступления]]-Таблица1[[#This Row],[Дата рождения]]</f>
        <v>0</v>
      </c>
    </row>
    <row r="849" spans="22:23" ht="24.75" customHeight="1" x14ac:dyDescent="0.25">
      <c r="V849" s="47">
        <f>Таблица1[[#This Row],[Дата перевода]]-Таблица1[[#This Row],[Дата поступления]]</f>
        <v>0</v>
      </c>
      <c r="W849" s="47">
        <f>Таблица1[[#This Row],[Дата поступления]]-Таблица1[[#This Row],[Дата рождения]]</f>
        <v>0</v>
      </c>
    </row>
    <row r="850" spans="22:23" ht="24.75" customHeight="1" x14ac:dyDescent="0.25">
      <c r="V850" s="47">
        <f>Таблица1[[#This Row],[Дата перевода]]-Таблица1[[#This Row],[Дата поступления]]</f>
        <v>0</v>
      </c>
      <c r="W850" s="47">
        <f>Таблица1[[#This Row],[Дата поступления]]-Таблица1[[#This Row],[Дата рождения]]</f>
        <v>0</v>
      </c>
    </row>
    <row r="851" spans="22:23" ht="24.75" customHeight="1" x14ac:dyDescent="0.25">
      <c r="V851" s="47">
        <f>Таблица1[[#This Row],[Дата перевода]]-Таблица1[[#This Row],[Дата поступления]]</f>
        <v>0</v>
      </c>
      <c r="W851" s="47">
        <f>Таблица1[[#This Row],[Дата поступления]]-Таблица1[[#This Row],[Дата рождения]]</f>
        <v>0</v>
      </c>
    </row>
    <row r="852" spans="22:23" ht="24.75" customHeight="1" x14ac:dyDescent="0.25">
      <c r="V852" s="47">
        <f>Таблица1[[#This Row],[Дата перевода]]-Таблица1[[#This Row],[Дата поступления]]</f>
        <v>0</v>
      </c>
      <c r="W852" s="47">
        <f>Таблица1[[#This Row],[Дата поступления]]-Таблица1[[#This Row],[Дата рождения]]</f>
        <v>0</v>
      </c>
    </row>
    <row r="853" spans="22:23" ht="24.75" customHeight="1" x14ac:dyDescent="0.25">
      <c r="V853" s="47">
        <f>Таблица1[[#This Row],[Дата перевода]]-Таблица1[[#This Row],[Дата поступления]]</f>
        <v>0</v>
      </c>
      <c r="W853" s="47">
        <f>Таблица1[[#This Row],[Дата поступления]]-Таблица1[[#This Row],[Дата рождения]]</f>
        <v>0</v>
      </c>
    </row>
    <row r="854" spans="22:23" ht="24.75" customHeight="1" x14ac:dyDescent="0.25">
      <c r="V854" s="47">
        <f>Таблица1[[#This Row],[Дата перевода]]-Таблица1[[#This Row],[Дата поступления]]</f>
        <v>0</v>
      </c>
      <c r="W854" s="47">
        <f>Таблица1[[#This Row],[Дата поступления]]-Таблица1[[#This Row],[Дата рождения]]</f>
        <v>0</v>
      </c>
    </row>
    <row r="855" spans="22:23" ht="24.75" customHeight="1" x14ac:dyDescent="0.25">
      <c r="V855" s="47">
        <f>Таблица1[[#This Row],[Дата перевода]]-Таблица1[[#This Row],[Дата поступления]]</f>
        <v>0</v>
      </c>
      <c r="W855" s="47">
        <f>Таблица1[[#This Row],[Дата поступления]]-Таблица1[[#This Row],[Дата рождения]]</f>
        <v>0</v>
      </c>
    </row>
    <row r="856" spans="22:23" ht="24.75" customHeight="1" x14ac:dyDescent="0.25">
      <c r="V856" s="47">
        <f>Таблица1[[#This Row],[Дата перевода]]-Таблица1[[#This Row],[Дата поступления]]</f>
        <v>0</v>
      </c>
      <c r="W856" s="47">
        <f>Таблица1[[#This Row],[Дата поступления]]-Таблица1[[#This Row],[Дата рождения]]</f>
        <v>0</v>
      </c>
    </row>
    <row r="857" spans="22:23" ht="24.75" customHeight="1" x14ac:dyDescent="0.25">
      <c r="V857" s="47">
        <f>Таблица1[[#This Row],[Дата перевода]]-Таблица1[[#This Row],[Дата поступления]]</f>
        <v>0</v>
      </c>
      <c r="W857" s="47">
        <f>Таблица1[[#This Row],[Дата поступления]]-Таблица1[[#This Row],[Дата рождения]]</f>
        <v>0</v>
      </c>
    </row>
    <row r="858" spans="22:23" ht="24.75" customHeight="1" x14ac:dyDescent="0.25">
      <c r="V858" s="47">
        <f>Таблица1[[#This Row],[Дата перевода]]-Таблица1[[#This Row],[Дата поступления]]</f>
        <v>0</v>
      </c>
      <c r="W858" s="47">
        <f>Таблица1[[#This Row],[Дата поступления]]-Таблица1[[#This Row],[Дата рождения]]</f>
        <v>0</v>
      </c>
    </row>
    <row r="859" spans="22:23" ht="24.75" customHeight="1" x14ac:dyDescent="0.25">
      <c r="V859" s="47">
        <f>Таблица1[[#This Row],[Дата перевода]]-Таблица1[[#This Row],[Дата поступления]]</f>
        <v>0</v>
      </c>
      <c r="W859" s="47">
        <f>Таблица1[[#This Row],[Дата поступления]]-Таблица1[[#This Row],[Дата рождения]]</f>
        <v>0</v>
      </c>
    </row>
    <row r="860" spans="22:23" ht="24.75" customHeight="1" x14ac:dyDescent="0.25">
      <c r="V860" s="47">
        <f>Таблица1[[#This Row],[Дата перевода]]-Таблица1[[#This Row],[Дата поступления]]</f>
        <v>0</v>
      </c>
      <c r="W860" s="47">
        <f>Таблица1[[#This Row],[Дата поступления]]-Таблица1[[#This Row],[Дата рождения]]</f>
        <v>0</v>
      </c>
    </row>
    <row r="861" spans="22:23" ht="24.75" customHeight="1" x14ac:dyDescent="0.25">
      <c r="V861" s="47">
        <f>Таблица1[[#This Row],[Дата перевода]]-Таблица1[[#This Row],[Дата поступления]]</f>
        <v>0</v>
      </c>
      <c r="W861" s="47">
        <f>Таблица1[[#This Row],[Дата поступления]]-Таблица1[[#This Row],[Дата рождения]]</f>
        <v>0</v>
      </c>
    </row>
    <row r="862" spans="22:23" ht="24.75" customHeight="1" x14ac:dyDescent="0.25">
      <c r="V862" s="47">
        <f>Таблица1[[#This Row],[Дата перевода]]-Таблица1[[#This Row],[Дата поступления]]</f>
        <v>0</v>
      </c>
      <c r="W862" s="47">
        <f>Таблица1[[#This Row],[Дата поступления]]-Таблица1[[#This Row],[Дата рождения]]</f>
        <v>0</v>
      </c>
    </row>
    <row r="863" spans="22:23" ht="24.75" customHeight="1" x14ac:dyDescent="0.25">
      <c r="V863" s="47">
        <f>Таблица1[[#This Row],[Дата перевода]]-Таблица1[[#This Row],[Дата поступления]]</f>
        <v>0</v>
      </c>
      <c r="W863" s="47">
        <f>Таблица1[[#This Row],[Дата поступления]]-Таблица1[[#This Row],[Дата рождения]]</f>
        <v>0</v>
      </c>
    </row>
    <row r="864" spans="22:23" ht="24.75" customHeight="1" x14ac:dyDescent="0.25">
      <c r="V864" s="47">
        <f>Таблица1[[#This Row],[Дата перевода]]-Таблица1[[#This Row],[Дата поступления]]</f>
        <v>0</v>
      </c>
      <c r="W864" s="47">
        <f>Таблица1[[#This Row],[Дата поступления]]-Таблица1[[#This Row],[Дата рождения]]</f>
        <v>0</v>
      </c>
    </row>
    <row r="865" spans="22:23" ht="24.75" customHeight="1" x14ac:dyDescent="0.25">
      <c r="V865" s="47">
        <f>Таблица1[[#This Row],[Дата перевода]]-Таблица1[[#This Row],[Дата поступления]]</f>
        <v>0</v>
      </c>
      <c r="W865" s="47">
        <f>Таблица1[[#This Row],[Дата поступления]]-Таблица1[[#This Row],[Дата рождения]]</f>
        <v>0</v>
      </c>
    </row>
    <row r="866" spans="22:23" ht="24.75" customHeight="1" x14ac:dyDescent="0.25">
      <c r="V866" s="47">
        <f>Таблица1[[#This Row],[Дата перевода]]-Таблица1[[#This Row],[Дата поступления]]</f>
        <v>0</v>
      </c>
      <c r="W866" s="47">
        <f>Таблица1[[#This Row],[Дата поступления]]-Таблица1[[#This Row],[Дата рождения]]</f>
        <v>0</v>
      </c>
    </row>
    <row r="867" spans="22:23" ht="24.75" customHeight="1" x14ac:dyDescent="0.25">
      <c r="V867" s="47">
        <f>Таблица1[[#This Row],[Дата перевода]]-Таблица1[[#This Row],[Дата поступления]]</f>
        <v>0</v>
      </c>
      <c r="W867" s="47">
        <f>Таблица1[[#This Row],[Дата поступления]]-Таблица1[[#This Row],[Дата рождения]]</f>
        <v>0</v>
      </c>
    </row>
    <row r="868" spans="22:23" ht="24.75" customHeight="1" x14ac:dyDescent="0.25">
      <c r="V868" s="47">
        <f>Таблица1[[#This Row],[Дата перевода]]-Таблица1[[#This Row],[Дата поступления]]</f>
        <v>0</v>
      </c>
      <c r="W868" s="47">
        <f>Таблица1[[#This Row],[Дата поступления]]-Таблица1[[#This Row],[Дата рождения]]</f>
        <v>0</v>
      </c>
    </row>
    <row r="869" spans="22:23" ht="24.75" customHeight="1" x14ac:dyDescent="0.25">
      <c r="V869" s="47">
        <f>Таблица1[[#This Row],[Дата перевода]]-Таблица1[[#This Row],[Дата поступления]]</f>
        <v>0</v>
      </c>
      <c r="W869" s="47">
        <f>Таблица1[[#This Row],[Дата поступления]]-Таблица1[[#This Row],[Дата рождения]]</f>
        <v>0</v>
      </c>
    </row>
    <row r="870" spans="22:23" ht="24.75" customHeight="1" x14ac:dyDescent="0.25">
      <c r="V870" s="47">
        <f>Таблица1[[#This Row],[Дата перевода]]-Таблица1[[#This Row],[Дата поступления]]</f>
        <v>0</v>
      </c>
      <c r="W870" s="47">
        <f>Таблица1[[#This Row],[Дата поступления]]-Таблица1[[#This Row],[Дата рождения]]</f>
        <v>0</v>
      </c>
    </row>
    <row r="871" spans="22:23" ht="24.75" customHeight="1" x14ac:dyDescent="0.25">
      <c r="V871" s="47">
        <f>Таблица1[[#This Row],[Дата перевода]]-Таблица1[[#This Row],[Дата поступления]]</f>
        <v>0</v>
      </c>
      <c r="W871" s="47">
        <f>Таблица1[[#This Row],[Дата поступления]]-Таблица1[[#This Row],[Дата рождения]]</f>
        <v>0</v>
      </c>
    </row>
    <row r="872" spans="22:23" ht="24.75" customHeight="1" x14ac:dyDescent="0.25">
      <c r="V872" s="47">
        <f>Таблица1[[#This Row],[Дата перевода]]-Таблица1[[#This Row],[Дата поступления]]</f>
        <v>0</v>
      </c>
      <c r="W872" s="47">
        <f>Таблица1[[#This Row],[Дата поступления]]-Таблица1[[#This Row],[Дата рождения]]</f>
        <v>0</v>
      </c>
    </row>
    <row r="873" spans="22:23" ht="24.75" customHeight="1" x14ac:dyDescent="0.25">
      <c r="V873" s="47">
        <f>Таблица1[[#This Row],[Дата перевода]]-Таблица1[[#This Row],[Дата поступления]]</f>
        <v>0</v>
      </c>
      <c r="W873" s="47">
        <f>Таблица1[[#This Row],[Дата поступления]]-Таблица1[[#This Row],[Дата рождения]]</f>
        <v>0</v>
      </c>
    </row>
    <row r="874" spans="22:23" ht="24.75" customHeight="1" x14ac:dyDescent="0.25">
      <c r="V874" s="47">
        <f>Таблица1[[#This Row],[Дата перевода]]-Таблица1[[#This Row],[Дата поступления]]</f>
        <v>0</v>
      </c>
      <c r="W874" s="47">
        <f>Таблица1[[#This Row],[Дата поступления]]-Таблица1[[#This Row],[Дата рождения]]</f>
        <v>0</v>
      </c>
    </row>
    <row r="875" spans="22:23" ht="24.75" customHeight="1" x14ac:dyDescent="0.25">
      <c r="V875" s="47">
        <f>Таблица1[[#This Row],[Дата перевода]]-Таблица1[[#This Row],[Дата поступления]]</f>
        <v>0</v>
      </c>
      <c r="W875" s="47">
        <f>Таблица1[[#This Row],[Дата поступления]]-Таблица1[[#This Row],[Дата рождения]]</f>
        <v>0</v>
      </c>
    </row>
    <row r="876" spans="22:23" ht="24.75" customHeight="1" x14ac:dyDescent="0.25">
      <c r="V876" s="47">
        <f>Таблица1[[#This Row],[Дата перевода]]-Таблица1[[#This Row],[Дата поступления]]</f>
        <v>0</v>
      </c>
      <c r="W876" s="47">
        <f>Таблица1[[#This Row],[Дата поступления]]-Таблица1[[#This Row],[Дата рождения]]</f>
        <v>0</v>
      </c>
    </row>
    <row r="877" spans="22:23" ht="24.75" customHeight="1" x14ac:dyDescent="0.25">
      <c r="V877" s="47">
        <f>Таблица1[[#This Row],[Дата перевода]]-Таблица1[[#This Row],[Дата поступления]]</f>
        <v>0</v>
      </c>
      <c r="W877" s="47">
        <f>Таблица1[[#This Row],[Дата поступления]]-Таблица1[[#This Row],[Дата рождения]]</f>
        <v>0</v>
      </c>
    </row>
    <row r="878" spans="22:23" ht="24.75" customHeight="1" x14ac:dyDescent="0.25">
      <c r="V878" s="47">
        <f>Таблица1[[#This Row],[Дата перевода]]-Таблица1[[#This Row],[Дата поступления]]</f>
        <v>0</v>
      </c>
      <c r="W878" s="47">
        <f>Таблица1[[#This Row],[Дата поступления]]-Таблица1[[#This Row],[Дата рождения]]</f>
        <v>0</v>
      </c>
    </row>
    <row r="879" spans="22:23" ht="24.75" customHeight="1" x14ac:dyDescent="0.25">
      <c r="V879" s="47">
        <f>Таблица1[[#This Row],[Дата перевода]]-Таблица1[[#This Row],[Дата поступления]]</f>
        <v>0</v>
      </c>
      <c r="W879" s="47">
        <f>Таблица1[[#This Row],[Дата поступления]]-Таблица1[[#This Row],[Дата рождения]]</f>
        <v>0</v>
      </c>
    </row>
    <row r="880" spans="22:23" ht="24.75" customHeight="1" x14ac:dyDescent="0.25">
      <c r="V880" s="47">
        <f>Таблица1[[#This Row],[Дата перевода]]-Таблица1[[#This Row],[Дата поступления]]</f>
        <v>0</v>
      </c>
      <c r="W880" s="47">
        <f>Таблица1[[#This Row],[Дата поступления]]-Таблица1[[#This Row],[Дата рождения]]</f>
        <v>0</v>
      </c>
    </row>
    <row r="881" spans="22:23" ht="24.75" customHeight="1" x14ac:dyDescent="0.25">
      <c r="V881" s="47">
        <f>Таблица1[[#This Row],[Дата перевода]]-Таблица1[[#This Row],[Дата поступления]]</f>
        <v>0</v>
      </c>
      <c r="W881" s="47">
        <f>Таблица1[[#This Row],[Дата поступления]]-Таблица1[[#This Row],[Дата рождения]]</f>
        <v>0</v>
      </c>
    </row>
    <row r="882" spans="22:23" ht="24.75" customHeight="1" x14ac:dyDescent="0.25">
      <c r="V882" s="47">
        <f>Таблица1[[#This Row],[Дата перевода]]-Таблица1[[#This Row],[Дата поступления]]</f>
        <v>0</v>
      </c>
      <c r="W882" s="47">
        <f>Таблица1[[#This Row],[Дата поступления]]-Таблица1[[#This Row],[Дата рождения]]</f>
        <v>0</v>
      </c>
    </row>
    <row r="883" spans="22:23" ht="24.75" customHeight="1" x14ac:dyDescent="0.25">
      <c r="V883" s="47">
        <f>Таблица1[[#This Row],[Дата перевода]]-Таблица1[[#This Row],[Дата поступления]]</f>
        <v>0</v>
      </c>
      <c r="W883" s="47">
        <f>Таблица1[[#This Row],[Дата поступления]]-Таблица1[[#This Row],[Дата рождения]]</f>
        <v>0</v>
      </c>
    </row>
    <row r="884" spans="22:23" ht="24.75" customHeight="1" x14ac:dyDescent="0.25">
      <c r="V884" s="47">
        <f>Таблица1[[#This Row],[Дата перевода]]-Таблица1[[#This Row],[Дата поступления]]</f>
        <v>0</v>
      </c>
      <c r="W884" s="47">
        <f>Таблица1[[#This Row],[Дата поступления]]-Таблица1[[#This Row],[Дата рождения]]</f>
        <v>0</v>
      </c>
    </row>
    <row r="885" spans="22:23" ht="24.75" customHeight="1" x14ac:dyDescent="0.25">
      <c r="V885" s="47">
        <f>Таблица1[[#This Row],[Дата перевода]]-Таблица1[[#This Row],[Дата поступления]]</f>
        <v>0</v>
      </c>
      <c r="W885" s="47">
        <f>Таблица1[[#This Row],[Дата поступления]]-Таблица1[[#This Row],[Дата рождения]]</f>
        <v>0</v>
      </c>
    </row>
    <row r="886" spans="22:23" ht="24.75" customHeight="1" x14ac:dyDescent="0.25">
      <c r="V886" s="47">
        <f>Таблица1[[#This Row],[Дата перевода]]-Таблица1[[#This Row],[Дата поступления]]</f>
        <v>0</v>
      </c>
      <c r="W886" s="47">
        <f>Таблица1[[#This Row],[Дата поступления]]-Таблица1[[#This Row],[Дата рождения]]</f>
        <v>0</v>
      </c>
    </row>
    <row r="887" spans="22:23" ht="24.75" customHeight="1" x14ac:dyDescent="0.25">
      <c r="V887" s="47">
        <f>Таблица1[[#This Row],[Дата перевода]]-Таблица1[[#This Row],[Дата поступления]]</f>
        <v>0</v>
      </c>
      <c r="W887" s="47">
        <f>Таблица1[[#This Row],[Дата поступления]]-Таблица1[[#This Row],[Дата рождения]]</f>
        <v>0</v>
      </c>
    </row>
    <row r="888" spans="22:23" ht="24.75" customHeight="1" x14ac:dyDescent="0.25">
      <c r="V888" s="47">
        <f>Таблица1[[#This Row],[Дата перевода]]-Таблица1[[#This Row],[Дата поступления]]</f>
        <v>0</v>
      </c>
      <c r="W888" s="47">
        <f>Таблица1[[#This Row],[Дата поступления]]-Таблица1[[#This Row],[Дата рождения]]</f>
        <v>0</v>
      </c>
    </row>
    <row r="889" spans="22:23" ht="24.75" customHeight="1" x14ac:dyDescent="0.25">
      <c r="V889" s="47">
        <f>Таблица1[[#This Row],[Дата перевода]]-Таблица1[[#This Row],[Дата поступления]]</f>
        <v>0</v>
      </c>
      <c r="W889" s="47">
        <f>Таблица1[[#This Row],[Дата поступления]]-Таблица1[[#This Row],[Дата рождения]]</f>
        <v>0</v>
      </c>
    </row>
    <row r="890" spans="22:23" ht="24.75" customHeight="1" x14ac:dyDescent="0.25">
      <c r="V890" s="47">
        <f>Таблица1[[#This Row],[Дата перевода]]-Таблица1[[#This Row],[Дата поступления]]</f>
        <v>0</v>
      </c>
      <c r="W890" s="47">
        <f>Таблица1[[#This Row],[Дата поступления]]-Таблица1[[#This Row],[Дата рождения]]</f>
        <v>0</v>
      </c>
    </row>
    <row r="891" spans="22:23" ht="24.75" customHeight="1" x14ac:dyDescent="0.25">
      <c r="V891" s="47">
        <f>Таблица1[[#This Row],[Дата перевода]]-Таблица1[[#This Row],[Дата поступления]]</f>
        <v>0</v>
      </c>
      <c r="W891" s="47">
        <f>Таблица1[[#This Row],[Дата поступления]]-Таблица1[[#This Row],[Дата рождения]]</f>
        <v>0</v>
      </c>
    </row>
    <row r="892" spans="22:23" ht="24.75" customHeight="1" x14ac:dyDescent="0.25">
      <c r="V892" s="47">
        <f>Таблица1[[#This Row],[Дата перевода]]-Таблица1[[#This Row],[Дата поступления]]</f>
        <v>0</v>
      </c>
      <c r="W892" s="47">
        <f>Таблица1[[#This Row],[Дата поступления]]-Таблица1[[#This Row],[Дата рождения]]</f>
        <v>0</v>
      </c>
    </row>
    <row r="893" spans="22:23" ht="24.75" customHeight="1" x14ac:dyDescent="0.25">
      <c r="V893" s="47">
        <f>Таблица1[[#This Row],[Дата перевода]]-Таблица1[[#This Row],[Дата поступления]]</f>
        <v>0</v>
      </c>
      <c r="W893" s="47">
        <f>Таблица1[[#This Row],[Дата поступления]]-Таблица1[[#This Row],[Дата рождения]]</f>
        <v>0</v>
      </c>
    </row>
    <row r="894" spans="22:23" ht="24.75" customHeight="1" x14ac:dyDescent="0.25">
      <c r="V894" s="47">
        <f>Таблица1[[#This Row],[Дата перевода]]-Таблица1[[#This Row],[Дата поступления]]</f>
        <v>0</v>
      </c>
      <c r="W894" s="47">
        <f>Таблица1[[#This Row],[Дата поступления]]-Таблица1[[#This Row],[Дата рождения]]</f>
        <v>0</v>
      </c>
    </row>
    <row r="895" spans="22:23" ht="24.75" customHeight="1" x14ac:dyDescent="0.25">
      <c r="V895" s="47">
        <f>Таблица1[[#This Row],[Дата перевода]]-Таблица1[[#This Row],[Дата поступления]]</f>
        <v>0</v>
      </c>
      <c r="W895" s="47">
        <f>Таблица1[[#This Row],[Дата поступления]]-Таблица1[[#This Row],[Дата рождения]]</f>
        <v>0</v>
      </c>
    </row>
    <row r="896" spans="22:23" ht="24.75" customHeight="1" x14ac:dyDescent="0.25">
      <c r="V896" s="47">
        <f>Таблица1[[#This Row],[Дата перевода]]-Таблица1[[#This Row],[Дата поступления]]</f>
        <v>0</v>
      </c>
      <c r="W896" s="47">
        <f>Таблица1[[#This Row],[Дата поступления]]-Таблица1[[#This Row],[Дата рождения]]</f>
        <v>0</v>
      </c>
    </row>
    <row r="897" spans="22:23" ht="24.75" customHeight="1" x14ac:dyDescent="0.25">
      <c r="V897" s="47">
        <f>Таблица1[[#This Row],[Дата перевода]]-Таблица1[[#This Row],[Дата поступления]]</f>
        <v>0</v>
      </c>
      <c r="W897" s="47">
        <f>Таблица1[[#This Row],[Дата поступления]]-Таблица1[[#This Row],[Дата рождения]]</f>
        <v>0</v>
      </c>
    </row>
    <row r="898" spans="22:23" ht="24.75" customHeight="1" x14ac:dyDescent="0.25">
      <c r="V898" s="47">
        <f>Таблица1[[#This Row],[Дата перевода]]-Таблица1[[#This Row],[Дата поступления]]</f>
        <v>0</v>
      </c>
      <c r="W898" s="47">
        <f>Таблица1[[#This Row],[Дата поступления]]-Таблица1[[#This Row],[Дата рождения]]</f>
        <v>0</v>
      </c>
    </row>
    <row r="899" spans="22:23" ht="24.75" customHeight="1" x14ac:dyDescent="0.25">
      <c r="V899" s="47">
        <f>Таблица1[[#This Row],[Дата перевода]]-Таблица1[[#This Row],[Дата поступления]]</f>
        <v>0</v>
      </c>
      <c r="W899" s="47">
        <f>Таблица1[[#This Row],[Дата поступления]]-Таблица1[[#This Row],[Дата рождения]]</f>
        <v>0</v>
      </c>
    </row>
    <row r="900" spans="22:23" ht="24.75" customHeight="1" x14ac:dyDescent="0.25">
      <c r="V900" s="47">
        <f>Таблица1[[#This Row],[Дата перевода]]-Таблица1[[#This Row],[Дата поступления]]</f>
        <v>0</v>
      </c>
      <c r="W900" s="47">
        <f>Таблица1[[#This Row],[Дата поступления]]-Таблица1[[#This Row],[Дата рождения]]</f>
        <v>0</v>
      </c>
    </row>
    <row r="901" spans="22:23" ht="24.75" customHeight="1" x14ac:dyDescent="0.25">
      <c r="V901" s="47">
        <f>Таблица1[[#This Row],[Дата перевода]]-Таблица1[[#This Row],[Дата поступления]]</f>
        <v>0</v>
      </c>
      <c r="W901" s="47">
        <f>Таблица1[[#This Row],[Дата поступления]]-Таблица1[[#This Row],[Дата рождения]]</f>
        <v>0</v>
      </c>
    </row>
    <row r="902" spans="22:23" ht="24.75" customHeight="1" x14ac:dyDescent="0.25">
      <c r="V902" s="47">
        <f>Таблица1[[#This Row],[Дата перевода]]-Таблица1[[#This Row],[Дата поступления]]</f>
        <v>0</v>
      </c>
      <c r="W902" s="47">
        <f>Таблица1[[#This Row],[Дата поступления]]-Таблица1[[#This Row],[Дата рождения]]</f>
        <v>0</v>
      </c>
    </row>
    <row r="903" spans="22:23" ht="24.75" customHeight="1" x14ac:dyDescent="0.25">
      <c r="V903" s="47">
        <f>Таблица1[[#This Row],[Дата перевода]]-Таблица1[[#This Row],[Дата поступления]]</f>
        <v>0</v>
      </c>
      <c r="W903" s="47">
        <f>Таблица1[[#This Row],[Дата поступления]]-Таблица1[[#This Row],[Дата рождения]]</f>
        <v>0</v>
      </c>
    </row>
    <row r="904" spans="22:23" ht="24.75" customHeight="1" x14ac:dyDescent="0.25">
      <c r="V904" s="47">
        <f>Таблица1[[#This Row],[Дата перевода]]-Таблица1[[#This Row],[Дата поступления]]</f>
        <v>0</v>
      </c>
      <c r="W904" s="47">
        <f>Таблица1[[#This Row],[Дата поступления]]-Таблица1[[#This Row],[Дата рождения]]</f>
        <v>0</v>
      </c>
    </row>
    <row r="905" spans="22:23" ht="24.75" customHeight="1" x14ac:dyDescent="0.25">
      <c r="V905" s="47">
        <f>Таблица1[[#This Row],[Дата перевода]]-Таблица1[[#This Row],[Дата поступления]]</f>
        <v>0</v>
      </c>
      <c r="W905" s="47">
        <f>Таблица1[[#This Row],[Дата поступления]]-Таблица1[[#This Row],[Дата рождения]]</f>
        <v>0</v>
      </c>
    </row>
    <row r="906" spans="22:23" ht="24.75" customHeight="1" x14ac:dyDescent="0.25">
      <c r="V906" s="47">
        <f>Таблица1[[#This Row],[Дата перевода]]-Таблица1[[#This Row],[Дата поступления]]</f>
        <v>0</v>
      </c>
      <c r="W906" s="47">
        <f>Таблица1[[#This Row],[Дата поступления]]-Таблица1[[#This Row],[Дата рождения]]</f>
        <v>0</v>
      </c>
    </row>
    <row r="907" spans="22:23" ht="24.75" customHeight="1" x14ac:dyDescent="0.25">
      <c r="V907" s="47">
        <f>Таблица1[[#This Row],[Дата перевода]]-Таблица1[[#This Row],[Дата поступления]]</f>
        <v>0</v>
      </c>
      <c r="W907" s="47">
        <f>Таблица1[[#This Row],[Дата поступления]]-Таблица1[[#This Row],[Дата рождения]]</f>
        <v>0</v>
      </c>
    </row>
    <row r="908" spans="22:23" ht="24.75" customHeight="1" x14ac:dyDescent="0.25">
      <c r="V908" s="47">
        <f>Таблица1[[#This Row],[Дата перевода]]-Таблица1[[#This Row],[Дата поступления]]</f>
        <v>0</v>
      </c>
      <c r="W908" s="47">
        <f>Таблица1[[#This Row],[Дата поступления]]-Таблица1[[#This Row],[Дата рождения]]</f>
        <v>0</v>
      </c>
    </row>
    <row r="909" spans="22:23" ht="24.75" customHeight="1" x14ac:dyDescent="0.25">
      <c r="V909" s="47">
        <f>Таблица1[[#This Row],[Дата перевода]]-Таблица1[[#This Row],[Дата поступления]]</f>
        <v>0</v>
      </c>
      <c r="W909" s="47">
        <f>Таблица1[[#This Row],[Дата поступления]]-Таблица1[[#This Row],[Дата рождения]]</f>
        <v>0</v>
      </c>
    </row>
    <row r="910" spans="22:23" ht="24.75" customHeight="1" x14ac:dyDescent="0.25">
      <c r="V910" s="47">
        <f>Таблица1[[#This Row],[Дата перевода]]-Таблица1[[#This Row],[Дата поступления]]</f>
        <v>0</v>
      </c>
      <c r="W910" s="47">
        <f>Таблица1[[#This Row],[Дата поступления]]-Таблица1[[#This Row],[Дата рождения]]</f>
        <v>0</v>
      </c>
    </row>
    <row r="911" spans="22:23" ht="24.75" customHeight="1" x14ac:dyDescent="0.25">
      <c r="V911" s="47">
        <f>Таблица1[[#This Row],[Дата перевода]]-Таблица1[[#This Row],[Дата поступления]]</f>
        <v>0</v>
      </c>
      <c r="W911" s="47">
        <f>Таблица1[[#This Row],[Дата поступления]]-Таблица1[[#This Row],[Дата рождения]]</f>
        <v>0</v>
      </c>
    </row>
    <row r="912" spans="22:23" ht="24.75" customHeight="1" x14ac:dyDescent="0.25">
      <c r="V912" s="47">
        <f>Таблица1[[#This Row],[Дата перевода]]-Таблица1[[#This Row],[Дата поступления]]</f>
        <v>0</v>
      </c>
      <c r="W912" s="47">
        <f>Таблица1[[#This Row],[Дата поступления]]-Таблица1[[#This Row],[Дата рождения]]</f>
        <v>0</v>
      </c>
    </row>
    <row r="913" spans="22:23" ht="24.75" customHeight="1" x14ac:dyDescent="0.25">
      <c r="V913" s="47">
        <f>Таблица1[[#This Row],[Дата перевода]]-Таблица1[[#This Row],[Дата поступления]]</f>
        <v>0</v>
      </c>
      <c r="W913" s="47">
        <f>Таблица1[[#This Row],[Дата поступления]]-Таблица1[[#This Row],[Дата рождения]]</f>
        <v>0</v>
      </c>
    </row>
    <row r="914" spans="22:23" ht="24.75" customHeight="1" x14ac:dyDescent="0.25">
      <c r="V914" s="47">
        <f>Таблица1[[#This Row],[Дата перевода]]-Таблица1[[#This Row],[Дата поступления]]</f>
        <v>0</v>
      </c>
      <c r="W914" s="47">
        <f>Таблица1[[#This Row],[Дата поступления]]-Таблица1[[#This Row],[Дата рождения]]</f>
        <v>0</v>
      </c>
    </row>
    <row r="915" spans="22:23" ht="24.75" customHeight="1" x14ac:dyDescent="0.25">
      <c r="V915" s="47">
        <f>Таблица1[[#This Row],[Дата перевода]]-Таблица1[[#This Row],[Дата поступления]]</f>
        <v>0</v>
      </c>
      <c r="W915" s="47">
        <f>Таблица1[[#This Row],[Дата поступления]]-Таблица1[[#This Row],[Дата рождения]]</f>
        <v>0</v>
      </c>
    </row>
    <row r="916" spans="22:23" ht="24.75" customHeight="1" x14ac:dyDescent="0.25">
      <c r="V916" s="47">
        <f>Таблица1[[#This Row],[Дата перевода]]-Таблица1[[#This Row],[Дата поступления]]</f>
        <v>0</v>
      </c>
      <c r="W916" s="47">
        <f>Таблица1[[#This Row],[Дата поступления]]-Таблица1[[#This Row],[Дата рождения]]</f>
        <v>0</v>
      </c>
    </row>
    <row r="917" spans="22:23" ht="24.75" customHeight="1" x14ac:dyDescent="0.25">
      <c r="V917" s="47">
        <f>Таблица1[[#This Row],[Дата перевода]]-Таблица1[[#This Row],[Дата поступления]]</f>
        <v>0</v>
      </c>
      <c r="W917" s="47">
        <f>Таблица1[[#This Row],[Дата поступления]]-Таблица1[[#This Row],[Дата рождения]]</f>
        <v>0</v>
      </c>
    </row>
    <row r="918" spans="22:23" ht="24.75" customHeight="1" x14ac:dyDescent="0.25">
      <c r="V918" s="47">
        <f>Таблица1[[#This Row],[Дата перевода]]-Таблица1[[#This Row],[Дата поступления]]</f>
        <v>0</v>
      </c>
      <c r="W918" s="47">
        <f>Таблица1[[#This Row],[Дата поступления]]-Таблица1[[#This Row],[Дата рождения]]</f>
        <v>0</v>
      </c>
    </row>
    <row r="919" spans="22:23" ht="24.75" customHeight="1" x14ac:dyDescent="0.25">
      <c r="V919" s="47">
        <f>Таблица1[[#This Row],[Дата перевода]]-Таблица1[[#This Row],[Дата поступления]]</f>
        <v>0</v>
      </c>
      <c r="W919" s="47">
        <f>Таблица1[[#This Row],[Дата поступления]]-Таблица1[[#This Row],[Дата рождения]]</f>
        <v>0</v>
      </c>
    </row>
    <row r="920" spans="22:23" ht="24.75" customHeight="1" x14ac:dyDescent="0.25">
      <c r="V920" s="47">
        <f>Таблица1[[#This Row],[Дата перевода]]-Таблица1[[#This Row],[Дата поступления]]</f>
        <v>0</v>
      </c>
      <c r="W920" s="47">
        <f>Таблица1[[#This Row],[Дата поступления]]-Таблица1[[#This Row],[Дата рождения]]</f>
        <v>0</v>
      </c>
    </row>
    <row r="921" spans="22:23" ht="24.75" customHeight="1" x14ac:dyDescent="0.25">
      <c r="V921" s="47">
        <f>Таблица1[[#This Row],[Дата перевода]]-Таблица1[[#This Row],[Дата поступления]]</f>
        <v>0</v>
      </c>
      <c r="W921" s="47">
        <f>Таблица1[[#This Row],[Дата поступления]]-Таблица1[[#This Row],[Дата рождения]]</f>
        <v>0</v>
      </c>
    </row>
    <row r="922" spans="22:23" ht="24.75" customHeight="1" x14ac:dyDescent="0.25">
      <c r="V922" s="47">
        <f>Таблица1[[#This Row],[Дата перевода]]-Таблица1[[#This Row],[Дата поступления]]</f>
        <v>0</v>
      </c>
      <c r="W922" s="47">
        <f>Таблица1[[#This Row],[Дата поступления]]-Таблица1[[#This Row],[Дата рождения]]</f>
        <v>0</v>
      </c>
    </row>
    <row r="923" spans="22:23" ht="24.75" customHeight="1" x14ac:dyDescent="0.25">
      <c r="V923" s="47">
        <f>Таблица1[[#This Row],[Дата перевода]]-Таблица1[[#This Row],[Дата поступления]]</f>
        <v>0</v>
      </c>
      <c r="W923" s="47">
        <f>Таблица1[[#This Row],[Дата поступления]]-Таблица1[[#This Row],[Дата рождения]]</f>
        <v>0</v>
      </c>
    </row>
    <row r="924" spans="22:23" ht="24.75" customHeight="1" x14ac:dyDescent="0.25">
      <c r="V924" s="47">
        <f>Таблица1[[#This Row],[Дата перевода]]-Таблица1[[#This Row],[Дата поступления]]</f>
        <v>0</v>
      </c>
      <c r="W924" s="47">
        <f>Таблица1[[#This Row],[Дата поступления]]-Таблица1[[#This Row],[Дата рождения]]</f>
        <v>0</v>
      </c>
    </row>
    <row r="925" spans="22:23" ht="24.75" customHeight="1" x14ac:dyDescent="0.25">
      <c r="V925" s="47">
        <f>Таблица1[[#This Row],[Дата перевода]]-Таблица1[[#This Row],[Дата поступления]]</f>
        <v>0</v>
      </c>
      <c r="W925" s="47">
        <f>Таблица1[[#This Row],[Дата поступления]]-Таблица1[[#This Row],[Дата рождения]]</f>
        <v>0</v>
      </c>
    </row>
    <row r="926" spans="22:23" ht="24.75" customHeight="1" x14ac:dyDescent="0.25">
      <c r="V926" s="47">
        <f>Таблица1[[#This Row],[Дата перевода]]-Таблица1[[#This Row],[Дата поступления]]</f>
        <v>0</v>
      </c>
      <c r="W926" s="47">
        <f>Таблица1[[#This Row],[Дата поступления]]-Таблица1[[#This Row],[Дата рождения]]</f>
        <v>0</v>
      </c>
    </row>
    <row r="927" spans="22:23" ht="24.75" customHeight="1" x14ac:dyDescent="0.25">
      <c r="V927" s="47">
        <f>Таблица1[[#This Row],[Дата перевода]]-Таблица1[[#This Row],[Дата поступления]]</f>
        <v>0</v>
      </c>
      <c r="W927" s="47">
        <f>Таблица1[[#This Row],[Дата поступления]]-Таблица1[[#This Row],[Дата рождения]]</f>
        <v>0</v>
      </c>
    </row>
    <row r="928" spans="22:23" ht="24.75" customHeight="1" x14ac:dyDescent="0.25">
      <c r="V928" s="47">
        <f>Таблица1[[#This Row],[Дата перевода]]-Таблица1[[#This Row],[Дата поступления]]</f>
        <v>0</v>
      </c>
      <c r="W928" s="47">
        <f>Таблица1[[#This Row],[Дата поступления]]-Таблица1[[#This Row],[Дата рождения]]</f>
        <v>0</v>
      </c>
    </row>
    <row r="929" spans="22:23" ht="24.75" customHeight="1" x14ac:dyDescent="0.25">
      <c r="V929" s="47">
        <f>Таблица1[[#This Row],[Дата перевода]]-Таблица1[[#This Row],[Дата поступления]]</f>
        <v>0</v>
      </c>
      <c r="W929" s="47">
        <f>Таблица1[[#This Row],[Дата поступления]]-Таблица1[[#This Row],[Дата рождения]]</f>
        <v>0</v>
      </c>
    </row>
    <row r="930" spans="22:23" ht="24.75" customHeight="1" x14ac:dyDescent="0.25">
      <c r="V930" s="47">
        <f>Таблица1[[#This Row],[Дата перевода]]-Таблица1[[#This Row],[Дата поступления]]</f>
        <v>0</v>
      </c>
      <c r="W930" s="47">
        <f>Таблица1[[#This Row],[Дата поступления]]-Таблица1[[#This Row],[Дата рождения]]</f>
        <v>0</v>
      </c>
    </row>
    <row r="931" spans="22:23" ht="24.75" customHeight="1" x14ac:dyDescent="0.25">
      <c r="V931" s="47">
        <f>Таблица1[[#This Row],[Дата перевода]]-Таблица1[[#This Row],[Дата поступления]]</f>
        <v>0</v>
      </c>
      <c r="W931" s="47">
        <f>Таблица1[[#This Row],[Дата поступления]]-Таблица1[[#This Row],[Дата рождения]]</f>
        <v>0</v>
      </c>
    </row>
    <row r="932" spans="22:23" ht="24.75" customHeight="1" x14ac:dyDescent="0.25">
      <c r="V932" s="47">
        <f>Таблица1[[#This Row],[Дата перевода]]-Таблица1[[#This Row],[Дата поступления]]</f>
        <v>0</v>
      </c>
      <c r="W932" s="47">
        <f>Таблица1[[#This Row],[Дата поступления]]-Таблица1[[#This Row],[Дата рождения]]</f>
        <v>0</v>
      </c>
    </row>
    <row r="933" spans="22:23" ht="24.75" customHeight="1" x14ac:dyDescent="0.25">
      <c r="V933" s="47">
        <f>Таблица1[[#This Row],[Дата перевода]]-Таблица1[[#This Row],[Дата поступления]]</f>
        <v>0</v>
      </c>
      <c r="W933" s="47">
        <f>Таблица1[[#This Row],[Дата поступления]]-Таблица1[[#This Row],[Дата рождения]]</f>
        <v>0</v>
      </c>
    </row>
    <row r="934" spans="22:23" ht="24.75" customHeight="1" x14ac:dyDescent="0.25">
      <c r="V934" s="47">
        <f>Таблица1[[#This Row],[Дата перевода]]-Таблица1[[#This Row],[Дата поступления]]</f>
        <v>0</v>
      </c>
      <c r="W934" s="47">
        <f>Таблица1[[#This Row],[Дата поступления]]-Таблица1[[#This Row],[Дата рождения]]</f>
        <v>0</v>
      </c>
    </row>
    <row r="935" spans="22:23" ht="24.75" customHeight="1" x14ac:dyDescent="0.25">
      <c r="V935" s="47">
        <f>Таблица1[[#This Row],[Дата перевода]]-Таблица1[[#This Row],[Дата поступления]]</f>
        <v>0</v>
      </c>
      <c r="W935" s="47">
        <f>Таблица1[[#This Row],[Дата поступления]]-Таблица1[[#This Row],[Дата рождения]]</f>
        <v>0</v>
      </c>
    </row>
    <row r="936" spans="22:23" ht="24.75" customHeight="1" x14ac:dyDescent="0.25">
      <c r="V936" s="47">
        <f>Таблица1[[#This Row],[Дата перевода]]-Таблица1[[#This Row],[Дата поступления]]</f>
        <v>0</v>
      </c>
      <c r="W936" s="47">
        <f>Таблица1[[#This Row],[Дата поступления]]-Таблица1[[#This Row],[Дата рождения]]</f>
        <v>0</v>
      </c>
    </row>
    <row r="937" spans="22:23" ht="24.75" customHeight="1" x14ac:dyDescent="0.25">
      <c r="V937" s="47">
        <f>Таблица1[[#This Row],[Дата перевода]]-Таблица1[[#This Row],[Дата поступления]]</f>
        <v>0</v>
      </c>
      <c r="W937" s="47">
        <f>Таблица1[[#This Row],[Дата поступления]]-Таблица1[[#This Row],[Дата рождения]]</f>
        <v>0</v>
      </c>
    </row>
    <row r="938" spans="22:23" ht="24.75" customHeight="1" x14ac:dyDescent="0.25">
      <c r="V938" s="47">
        <f>Таблица1[[#This Row],[Дата перевода]]-Таблица1[[#This Row],[Дата поступления]]</f>
        <v>0</v>
      </c>
      <c r="W938" s="47">
        <f>Таблица1[[#This Row],[Дата поступления]]-Таблица1[[#This Row],[Дата рождения]]</f>
        <v>0</v>
      </c>
    </row>
    <row r="939" spans="22:23" ht="24.75" customHeight="1" x14ac:dyDescent="0.25">
      <c r="V939" s="47">
        <f>Таблица1[[#This Row],[Дата перевода]]-Таблица1[[#This Row],[Дата поступления]]</f>
        <v>0</v>
      </c>
      <c r="W939" s="47">
        <f>Таблица1[[#This Row],[Дата поступления]]-Таблица1[[#This Row],[Дата рождения]]</f>
        <v>0</v>
      </c>
    </row>
    <row r="940" spans="22:23" ht="24.75" customHeight="1" x14ac:dyDescent="0.25">
      <c r="V940" s="47">
        <f>Таблица1[[#This Row],[Дата перевода]]-Таблица1[[#This Row],[Дата поступления]]</f>
        <v>0</v>
      </c>
      <c r="W940" s="47">
        <f>Таблица1[[#This Row],[Дата поступления]]-Таблица1[[#This Row],[Дата рождения]]</f>
        <v>0</v>
      </c>
    </row>
    <row r="941" spans="22:23" ht="24.75" customHeight="1" x14ac:dyDescent="0.25">
      <c r="V941" s="47">
        <f>Таблица1[[#This Row],[Дата перевода]]-Таблица1[[#This Row],[Дата поступления]]</f>
        <v>0</v>
      </c>
      <c r="W941" s="47">
        <f>Таблица1[[#This Row],[Дата поступления]]-Таблица1[[#This Row],[Дата рождения]]</f>
        <v>0</v>
      </c>
    </row>
    <row r="942" spans="22:23" ht="24.75" customHeight="1" x14ac:dyDescent="0.25">
      <c r="V942" s="47">
        <f>Таблица1[[#This Row],[Дата перевода]]-Таблица1[[#This Row],[Дата поступления]]</f>
        <v>0</v>
      </c>
      <c r="W942" s="47">
        <f>Таблица1[[#This Row],[Дата поступления]]-Таблица1[[#This Row],[Дата рождения]]</f>
        <v>0</v>
      </c>
    </row>
    <row r="943" spans="22:23" ht="24.75" customHeight="1" x14ac:dyDescent="0.25">
      <c r="V943" s="47">
        <f>Таблица1[[#This Row],[Дата перевода]]-Таблица1[[#This Row],[Дата поступления]]</f>
        <v>0</v>
      </c>
      <c r="W943" s="47">
        <f>Таблица1[[#This Row],[Дата поступления]]-Таблица1[[#This Row],[Дата рождения]]</f>
        <v>0</v>
      </c>
    </row>
    <row r="944" spans="22:23" ht="24.75" customHeight="1" x14ac:dyDescent="0.25">
      <c r="V944" s="47">
        <f>Таблица1[[#This Row],[Дата перевода]]-Таблица1[[#This Row],[Дата поступления]]</f>
        <v>0</v>
      </c>
      <c r="W944" s="47">
        <f>Таблица1[[#This Row],[Дата поступления]]-Таблица1[[#This Row],[Дата рождения]]</f>
        <v>0</v>
      </c>
    </row>
    <row r="945" spans="22:23" ht="24.75" customHeight="1" x14ac:dyDescent="0.25">
      <c r="V945" s="47">
        <f>Таблица1[[#This Row],[Дата перевода]]-Таблица1[[#This Row],[Дата поступления]]</f>
        <v>0</v>
      </c>
      <c r="W945" s="47">
        <f>Таблица1[[#This Row],[Дата поступления]]-Таблица1[[#This Row],[Дата рождения]]</f>
        <v>0</v>
      </c>
    </row>
    <row r="946" spans="22:23" ht="24.75" customHeight="1" x14ac:dyDescent="0.25">
      <c r="V946" s="47">
        <f>Таблица1[[#This Row],[Дата перевода]]-Таблица1[[#This Row],[Дата поступления]]</f>
        <v>0</v>
      </c>
      <c r="W946" s="47">
        <f>Таблица1[[#This Row],[Дата поступления]]-Таблица1[[#This Row],[Дата рождения]]</f>
        <v>0</v>
      </c>
    </row>
    <row r="947" spans="22:23" ht="24.75" customHeight="1" x14ac:dyDescent="0.25">
      <c r="V947" s="47">
        <f>Таблица1[[#This Row],[Дата перевода]]-Таблица1[[#This Row],[Дата поступления]]</f>
        <v>0</v>
      </c>
      <c r="W947" s="47">
        <f>Таблица1[[#This Row],[Дата поступления]]-Таблица1[[#This Row],[Дата рождения]]</f>
        <v>0</v>
      </c>
    </row>
    <row r="948" spans="22:23" ht="24.75" customHeight="1" x14ac:dyDescent="0.25">
      <c r="V948" s="47">
        <f>Таблица1[[#This Row],[Дата перевода]]-Таблица1[[#This Row],[Дата поступления]]</f>
        <v>0</v>
      </c>
      <c r="W948" s="47">
        <f>Таблица1[[#This Row],[Дата поступления]]-Таблица1[[#This Row],[Дата рождения]]</f>
        <v>0</v>
      </c>
    </row>
    <row r="949" spans="22:23" ht="24.75" customHeight="1" x14ac:dyDescent="0.25">
      <c r="V949" s="47">
        <f>Таблица1[[#This Row],[Дата перевода]]-Таблица1[[#This Row],[Дата поступления]]</f>
        <v>0</v>
      </c>
      <c r="W949" s="47">
        <f>Таблица1[[#This Row],[Дата поступления]]-Таблица1[[#This Row],[Дата рождения]]</f>
        <v>0</v>
      </c>
    </row>
    <row r="950" spans="22:23" ht="24.75" customHeight="1" x14ac:dyDescent="0.25">
      <c r="V950" s="47">
        <f>Таблица1[[#This Row],[Дата перевода]]-Таблица1[[#This Row],[Дата поступления]]</f>
        <v>0</v>
      </c>
      <c r="W950" s="47">
        <f>Таблица1[[#This Row],[Дата поступления]]-Таблица1[[#This Row],[Дата рождения]]</f>
        <v>0</v>
      </c>
    </row>
    <row r="951" spans="22:23" ht="24.75" customHeight="1" x14ac:dyDescent="0.25">
      <c r="V951" s="47">
        <f>Таблица1[[#This Row],[Дата перевода]]-Таблица1[[#This Row],[Дата поступления]]</f>
        <v>0</v>
      </c>
      <c r="W951" s="47">
        <f>Таблица1[[#This Row],[Дата поступления]]-Таблица1[[#This Row],[Дата рождения]]</f>
        <v>0</v>
      </c>
    </row>
    <row r="952" spans="22:23" ht="24.75" customHeight="1" x14ac:dyDescent="0.25">
      <c r="V952" s="47">
        <f>Таблица1[[#This Row],[Дата перевода]]-Таблица1[[#This Row],[Дата поступления]]</f>
        <v>0</v>
      </c>
      <c r="W952" s="47">
        <f>Таблица1[[#This Row],[Дата поступления]]-Таблица1[[#This Row],[Дата рождения]]</f>
        <v>0</v>
      </c>
    </row>
    <row r="953" spans="22:23" ht="24.75" customHeight="1" x14ac:dyDescent="0.25">
      <c r="V953" s="47">
        <f>Таблица1[[#This Row],[Дата перевода]]-Таблица1[[#This Row],[Дата поступления]]</f>
        <v>0</v>
      </c>
      <c r="W953" s="47">
        <f>Таблица1[[#This Row],[Дата поступления]]-Таблица1[[#This Row],[Дата рождения]]</f>
        <v>0</v>
      </c>
    </row>
    <row r="954" spans="22:23" ht="24.75" customHeight="1" x14ac:dyDescent="0.25">
      <c r="V954" s="47">
        <f>Таблица1[[#This Row],[Дата перевода]]-Таблица1[[#This Row],[Дата поступления]]</f>
        <v>0</v>
      </c>
      <c r="W954" s="47">
        <f>Таблица1[[#This Row],[Дата поступления]]-Таблица1[[#This Row],[Дата рождения]]</f>
        <v>0</v>
      </c>
    </row>
    <row r="955" spans="22:23" ht="24.75" customHeight="1" x14ac:dyDescent="0.25">
      <c r="V955" s="47">
        <f>Таблица1[[#This Row],[Дата перевода]]-Таблица1[[#This Row],[Дата поступления]]</f>
        <v>0</v>
      </c>
      <c r="W955" s="47">
        <f>Таблица1[[#This Row],[Дата поступления]]-Таблица1[[#This Row],[Дата рождения]]</f>
        <v>0</v>
      </c>
    </row>
    <row r="956" spans="22:23" ht="24.75" customHeight="1" x14ac:dyDescent="0.25">
      <c r="V956" s="47">
        <f>Таблица1[[#This Row],[Дата перевода]]-Таблица1[[#This Row],[Дата поступления]]</f>
        <v>0</v>
      </c>
      <c r="W956" s="47">
        <f>Таблица1[[#This Row],[Дата поступления]]-Таблица1[[#This Row],[Дата рождения]]</f>
        <v>0</v>
      </c>
    </row>
    <row r="957" spans="22:23" ht="24.75" customHeight="1" x14ac:dyDescent="0.25">
      <c r="V957" s="47">
        <f>Таблица1[[#This Row],[Дата перевода]]-Таблица1[[#This Row],[Дата поступления]]</f>
        <v>0</v>
      </c>
      <c r="W957" s="47">
        <f>Таблица1[[#This Row],[Дата поступления]]-Таблица1[[#This Row],[Дата рождения]]</f>
        <v>0</v>
      </c>
    </row>
    <row r="958" spans="22:23" ht="24.75" customHeight="1" x14ac:dyDescent="0.25">
      <c r="V958" s="47">
        <f>Таблица1[[#This Row],[Дата перевода]]-Таблица1[[#This Row],[Дата поступления]]</f>
        <v>0</v>
      </c>
      <c r="W958" s="47">
        <f>Таблица1[[#This Row],[Дата поступления]]-Таблица1[[#This Row],[Дата рождения]]</f>
        <v>0</v>
      </c>
    </row>
    <row r="959" spans="22:23" ht="24.75" customHeight="1" x14ac:dyDescent="0.25">
      <c r="V959" s="47">
        <f>Таблица1[[#This Row],[Дата перевода]]-Таблица1[[#This Row],[Дата поступления]]</f>
        <v>0</v>
      </c>
      <c r="W959" s="47">
        <f>Таблица1[[#This Row],[Дата поступления]]-Таблица1[[#This Row],[Дата рождения]]</f>
        <v>0</v>
      </c>
    </row>
    <row r="960" spans="22:23" ht="24.75" customHeight="1" x14ac:dyDescent="0.25">
      <c r="V960" s="47">
        <f>Таблица1[[#This Row],[Дата перевода]]-Таблица1[[#This Row],[Дата поступления]]</f>
        <v>0</v>
      </c>
      <c r="W960" s="47">
        <f>Таблица1[[#This Row],[Дата поступления]]-Таблица1[[#This Row],[Дата рождения]]</f>
        <v>0</v>
      </c>
    </row>
    <row r="961" spans="22:23" ht="24.75" customHeight="1" x14ac:dyDescent="0.25">
      <c r="V961" s="47">
        <f>Таблица1[[#This Row],[Дата перевода]]-Таблица1[[#This Row],[Дата поступления]]</f>
        <v>0</v>
      </c>
      <c r="W961" s="47">
        <f>Таблица1[[#This Row],[Дата поступления]]-Таблица1[[#This Row],[Дата рождения]]</f>
        <v>0</v>
      </c>
    </row>
    <row r="962" spans="22:23" ht="24.75" customHeight="1" x14ac:dyDescent="0.25">
      <c r="V962" s="47">
        <f>Таблица1[[#This Row],[Дата перевода]]-Таблица1[[#This Row],[Дата поступления]]</f>
        <v>0</v>
      </c>
      <c r="W962" s="47">
        <f>Таблица1[[#This Row],[Дата поступления]]-Таблица1[[#This Row],[Дата рождения]]</f>
        <v>0</v>
      </c>
    </row>
    <row r="963" spans="22:23" ht="24.75" customHeight="1" x14ac:dyDescent="0.25">
      <c r="V963" s="47">
        <f>Таблица1[[#This Row],[Дата перевода]]-Таблица1[[#This Row],[Дата поступления]]</f>
        <v>0</v>
      </c>
      <c r="W963" s="47">
        <f>Таблица1[[#This Row],[Дата поступления]]-Таблица1[[#This Row],[Дата рождения]]</f>
        <v>0</v>
      </c>
    </row>
    <row r="964" spans="22:23" ht="24.75" customHeight="1" x14ac:dyDescent="0.25">
      <c r="V964" s="47">
        <f>Таблица1[[#This Row],[Дата перевода]]-Таблица1[[#This Row],[Дата поступления]]</f>
        <v>0</v>
      </c>
      <c r="W964" s="47">
        <f>Таблица1[[#This Row],[Дата поступления]]-Таблица1[[#This Row],[Дата рождения]]</f>
        <v>0</v>
      </c>
    </row>
    <row r="965" spans="22:23" ht="24.75" customHeight="1" x14ac:dyDescent="0.25">
      <c r="V965" s="47">
        <f>Таблица1[[#This Row],[Дата перевода]]-Таблица1[[#This Row],[Дата поступления]]</f>
        <v>0</v>
      </c>
      <c r="W965" s="47">
        <f>Таблица1[[#This Row],[Дата поступления]]-Таблица1[[#This Row],[Дата рождения]]</f>
        <v>0</v>
      </c>
    </row>
    <row r="966" spans="22:23" ht="24.75" customHeight="1" x14ac:dyDescent="0.25">
      <c r="V966" s="47">
        <f>Таблица1[[#This Row],[Дата перевода]]-Таблица1[[#This Row],[Дата поступления]]</f>
        <v>0</v>
      </c>
      <c r="W966" s="47">
        <f>Таблица1[[#This Row],[Дата поступления]]-Таблица1[[#This Row],[Дата рождения]]</f>
        <v>0</v>
      </c>
    </row>
    <row r="967" spans="22:23" ht="24.75" customHeight="1" x14ac:dyDescent="0.25">
      <c r="V967" s="47">
        <f>Таблица1[[#This Row],[Дата перевода]]-Таблица1[[#This Row],[Дата поступления]]</f>
        <v>0</v>
      </c>
      <c r="W967" s="47">
        <f>Таблица1[[#This Row],[Дата поступления]]-Таблица1[[#This Row],[Дата рождения]]</f>
        <v>0</v>
      </c>
    </row>
    <row r="968" spans="22:23" ht="24.75" customHeight="1" x14ac:dyDescent="0.25">
      <c r="V968" s="47">
        <f>Таблица1[[#This Row],[Дата перевода]]-Таблица1[[#This Row],[Дата поступления]]</f>
        <v>0</v>
      </c>
      <c r="W968" s="47">
        <f>Таблица1[[#This Row],[Дата поступления]]-Таблица1[[#This Row],[Дата рождения]]</f>
        <v>0</v>
      </c>
    </row>
    <row r="969" spans="22:23" ht="24.75" customHeight="1" x14ac:dyDescent="0.25">
      <c r="V969" s="47">
        <f>Таблица1[[#This Row],[Дата перевода]]-Таблица1[[#This Row],[Дата поступления]]</f>
        <v>0</v>
      </c>
      <c r="W969" s="47">
        <f>Таблица1[[#This Row],[Дата поступления]]-Таблица1[[#This Row],[Дата рождения]]</f>
        <v>0</v>
      </c>
    </row>
    <row r="970" spans="22:23" ht="24.75" customHeight="1" x14ac:dyDescent="0.25">
      <c r="V970" s="47">
        <f>Таблица1[[#This Row],[Дата перевода]]-Таблица1[[#This Row],[Дата поступления]]</f>
        <v>0</v>
      </c>
      <c r="W970" s="47">
        <f>Таблица1[[#This Row],[Дата поступления]]-Таблица1[[#This Row],[Дата рождения]]</f>
        <v>0</v>
      </c>
    </row>
    <row r="971" spans="22:23" ht="24.75" customHeight="1" x14ac:dyDescent="0.25">
      <c r="V971" s="47">
        <f>Таблица1[[#This Row],[Дата перевода]]-Таблица1[[#This Row],[Дата поступления]]</f>
        <v>0</v>
      </c>
      <c r="W971" s="47">
        <f>Таблица1[[#This Row],[Дата поступления]]-Таблица1[[#This Row],[Дата рождения]]</f>
        <v>0</v>
      </c>
    </row>
    <row r="972" spans="22:23" ht="24.75" customHeight="1" x14ac:dyDescent="0.25">
      <c r="V972" s="47">
        <f>Таблица1[[#This Row],[Дата перевода]]-Таблица1[[#This Row],[Дата поступления]]</f>
        <v>0</v>
      </c>
      <c r="W972" s="47">
        <f>Таблица1[[#This Row],[Дата поступления]]-Таблица1[[#This Row],[Дата рождения]]</f>
        <v>0</v>
      </c>
    </row>
    <row r="973" spans="22:23" ht="24.75" customHeight="1" x14ac:dyDescent="0.25">
      <c r="V973" s="47">
        <f>Таблица1[[#This Row],[Дата перевода]]-Таблица1[[#This Row],[Дата поступления]]</f>
        <v>0</v>
      </c>
      <c r="W973" s="47">
        <f>Таблица1[[#This Row],[Дата поступления]]-Таблица1[[#This Row],[Дата рождения]]</f>
        <v>0</v>
      </c>
    </row>
    <row r="974" spans="22:23" ht="24.75" customHeight="1" x14ac:dyDescent="0.25">
      <c r="V974" s="47">
        <f>Таблица1[[#This Row],[Дата перевода]]-Таблица1[[#This Row],[Дата поступления]]</f>
        <v>0</v>
      </c>
      <c r="W974" s="47">
        <f>Таблица1[[#This Row],[Дата поступления]]-Таблица1[[#This Row],[Дата рождения]]</f>
        <v>0</v>
      </c>
    </row>
    <row r="975" spans="22:23" ht="24.75" customHeight="1" x14ac:dyDescent="0.25">
      <c r="V975" s="47">
        <f>Таблица1[[#This Row],[Дата перевода]]-Таблица1[[#This Row],[Дата поступления]]</f>
        <v>0</v>
      </c>
      <c r="W975" s="47">
        <f>Таблица1[[#This Row],[Дата поступления]]-Таблица1[[#This Row],[Дата рождения]]</f>
        <v>0</v>
      </c>
    </row>
    <row r="976" spans="22:23" ht="24.75" customHeight="1" x14ac:dyDescent="0.25">
      <c r="V976" s="47">
        <f>Таблица1[[#This Row],[Дата перевода]]-Таблица1[[#This Row],[Дата поступления]]</f>
        <v>0</v>
      </c>
      <c r="W976" s="47">
        <f>Таблица1[[#This Row],[Дата поступления]]-Таблица1[[#This Row],[Дата рождения]]</f>
        <v>0</v>
      </c>
    </row>
    <row r="977" spans="22:23" ht="24.75" customHeight="1" x14ac:dyDescent="0.25">
      <c r="V977" s="47">
        <f>Таблица1[[#This Row],[Дата перевода]]-Таблица1[[#This Row],[Дата поступления]]</f>
        <v>0</v>
      </c>
      <c r="W977" s="47">
        <f>Таблица1[[#This Row],[Дата поступления]]-Таблица1[[#This Row],[Дата рождения]]</f>
        <v>0</v>
      </c>
    </row>
    <row r="978" spans="22:23" ht="24.75" customHeight="1" x14ac:dyDescent="0.25">
      <c r="V978" s="47">
        <f>Таблица1[[#This Row],[Дата перевода]]-Таблица1[[#This Row],[Дата поступления]]</f>
        <v>0</v>
      </c>
      <c r="W978" s="47">
        <f>Таблица1[[#This Row],[Дата поступления]]-Таблица1[[#This Row],[Дата рождения]]</f>
        <v>0</v>
      </c>
    </row>
    <row r="979" spans="22:23" ht="24.75" customHeight="1" x14ac:dyDescent="0.25">
      <c r="V979" s="47">
        <f>Таблица1[[#This Row],[Дата перевода]]-Таблица1[[#This Row],[Дата поступления]]</f>
        <v>0</v>
      </c>
      <c r="W979" s="47">
        <f>Таблица1[[#This Row],[Дата поступления]]-Таблица1[[#This Row],[Дата рождения]]</f>
        <v>0</v>
      </c>
    </row>
    <row r="980" spans="22:23" ht="24.75" customHeight="1" x14ac:dyDescent="0.25">
      <c r="V980" s="47">
        <f>Таблица1[[#This Row],[Дата перевода]]-Таблица1[[#This Row],[Дата поступления]]</f>
        <v>0</v>
      </c>
      <c r="W980" s="47">
        <f>Таблица1[[#This Row],[Дата поступления]]-Таблица1[[#This Row],[Дата рождения]]</f>
        <v>0</v>
      </c>
    </row>
    <row r="981" spans="22:23" ht="24.75" customHeight="1" x14ac:dyDescent="0.25">
      <c r="V981" s="47">
        <f>Таблица1[[#This Row],[Дата перевода]]-Таблица1[[#This Row],[Дата поступления]]</f>
        <v>0</v>
      </c>
      <c r="W981" s="47">
        <f>Таблица1[[#This Row],[Дата поступления]]-Таблица1[[#This Row],[Дата рождения]]</f>
        <v>0</v>
      </c>
    </row>
    <row r="982" spans="22:23" ht="24.75" customHeight="1" x14ac:dyDescent="0.25">
      <c r="V982" s="47">
        <f>Таблица1[[#This Row],[Дата перевода]]-Таблица1[[#This Row],[Дата поступления]]</f>
        <v>0</v>
      </c>
      <c r="W982" s="47">
        <f>Таблица1[[#This Row],[Дата поступления]]-Таблица1[[#This Row],[Дата рождения]]</f>
        <v>0</v>
      </c>
    </row>
    <row r="983" spans="22:23" ht="24.75" customHeight="1" x14ac:dyDescent="0.25">
      <c r="V983" s="47">
        <f>Таблица1[[#This Row],[Дата перевода]]-Таблица1[[#This Row],[Дата поступления]]</f>
        <v>0</v>
      </c>
      <c r="W983" s="47">
        <f>Таблица1[[#This Row],[Дата поступления]]-Таблица1[[#This Row],[Дата рождения]]</f>
        <v>0</v>
      </c>
    </row>
    <row r="984" spans="22:23" ht="24.75" customHeight="1" x14ac:dyDescent="0.25">
      <c r="V984" s="47">
        <f>Таблица1[[#This Row],[Дата перевода]]-Таблица1[[#This Row],[Дата поступления]]</f>
        <v>0</v>
      </c>
      <c r="W984" s="47">
        <f>Таблица1[[#This Row],[Дата поступления]]-Таблица1[[#This Row],[Дата рождения]]</f>
        <v>0</v>
      </c>
    </row>
    <row r="985" spans="22:23" ht="24.75" customHeight="1" x14ac:dyDescent="0.25">
      <c r="V985" s="47">
        <f>Таблица1[[#This Row],[Дата перевода]]-Таблица1[[#This Row],[Дата поступления]]</f>
        <v>0</v>
      </c>
      <c r="W985" s="47">
        <f>Таблица1[[#This Row],[Дата поступления]]-Таблица1[[#This Row],[Дата рождения]]</f>
        <v>0</v>
      </c>
    </row>
    <row r="986" spans="22:23" ht="24.75" customHeight="1" x14ac:dyDescent="0.25">
      <c r="V986" s="47">
        <f>Таблица1[[#This Row],[Дата перевода]]-Таблица1[[#This Row],[Дата поступления]]</f>
        <v>0</v>
      </c>
      <c r="W986" s="47">
        <f>Таблица1[[#This Row],[Дата поступления]]-Таблица1[[#This Row],[Дата рождения]]</f>
        <v>0</v>
      </c>
    </row>
    <row r="987" spans="22:23" ht="24.75" customHeight="1" x14ac:dyDescent="0.25">
      <c r="V987" s="47">
        <f>Таблица1[[#This Row],[Дата перевода]]-Таблица1[[#This Row],[Дата поступления]]</f>
        <v>0</v>
      </c>
      <c r="W987" s="47">
        <f>Таблица1[[#This Row],[Дата поступления]]-Таблица1[[#This Row],[Дата рождения]]</f>
        <v>0</v>
      </c>
    </row>
    <row r="988" spans="22:23" ht="24.75" customHeight="1" x14ac:dyDescent="0.25">
      <c r="V988" s="47">
        <f>Таблица1[[#This Row],[Дата перевода]]-Таблица1[[#This Row],[Дата поступления]]</f>
        <v>0</v>
      </c>
      <c r="W988" s="47">
        <f>Таблица1[[#This Row],[Дата поступления]]-Таблица1[[#This Row],[Дата рождения]]</f>
        <v>0</v>
      </c>
    </row>
    <row r="989" spans="22:23" ht="24.75" customHeight="1" x14ac:dyDescent="0.25">
      <c r="V989" s="47">
        <f>Таблица1[[#This Row],[Дата перевода]]-Таблица1[[#This Row],[Дата поступления]]</f>
        <v>0</v>
      </c>
      <c r="W989" s="47">
        <f>Таблица1[[#This Row],[Дата поступления]]-Таблица1[[#This Row],[Дата рождения]]</f>
        <v>0</v>
      </c>
    </row>
    <row r="990" spans="22:23" ht="24.75" customHeight="1" x14ac:dyDescent="0.25">
      <c r="V990" s="47">
        <f>Таблица1[[#This Row],[Дата перевода]]-Таблица1[[#This Row],[Дата поступления]]</f>
        <v>0</v>
      </c>
      <c r="W990" s="47">
        <f>Таблица1[[#This Row],[Дата поступления]]-Таблица1[[#This Row],[Дата рождения]]</f>
        <v>0</v>
      </c>
    </row>
    <row r="991" spans="22:23" ht="24.75" customHeight="1" x14ac:dyDescent="0.25">
      <c r="V991" s="47">
        <f>Таблица1[[#This Row],[Дата перевода]]-Таблица1[[#This Row],[Дата поступления]]</f>
        <v>0</v>
      </c>
      <c r="W991" s="47">
        <f>Таблица1[[#This Row],[Дата поступления]]-Таблица1[[#This Row],[Дата рождения]]</f>
        <v>0</v>
      </c>
    </row>
    <row r="992" spans="22:23" ht="24.75" customHeight="1" x14ac:dyDescent="0.25">
      <c r="V992" s="47">
        <f>Таблица1[[#This Row],[Дата перевода]]-Таблица1[[#This Row],[Дата поступления]]</f>
        <v>0</v>
      </c>
      <c r="W992" s="47">
        <f>Таблица1[[#This Row],[Дата поступления]]-Таблица1[[#This Row],[Дата рождения]]</f>
        <v>0</v>
      </c>
    </row>
    <row r="993" spans="22:23" ht="24.75" customHeight="1" x14ac:dyDescent="0.25">
      <c r="V993" s="47">
        <f>Таблица1[[#This Row],[Дата перевода]]-Таблица1[[#This Row],[Дата поступления]]</f>
        <v>0</v>
      </c>
      <c r="W993" s="47">
        <f>Таблица1[[#This Row],[Дата поступления]]-Таблица1[[#This Row],[Дата рождения]]</f>
        <v>0</v>
      </c>
    </row>
    <row r="994" spans="22:23" ht="24.75" customHeight="1" x14ac:dyDescent="0.25">
      <c r="V994" s="47">
        <f>Таблица1[[#This Row],[Дата перевода]]-Таблица1[[#This Row],[Дата поступления]]</f>
        <v>0</v>
      </c>
      <c r="W994" s="47">
        <f>Таблица1[[#This Row],[Дата поступления]]-Таблица1[[#This Row],[Дата рождения]]</f>
        <v>0</v>
      </c>
    </row>
    <row r="995" spans="22:23" ht="24.75" customHeight="1" x14ac:dyDescent="0.25">
      <c r="V995" s="47">
        <f>Таблица1[[#This Row],[Дата перевода]]-Таблица1[[#This Row],[Дата поступления]]</f>
        <v>0</v>
      </c>
      <c r="W995" s="47">
        <f>Таблица1[[#This Row],[Дата поступления]]-Таблица1[[#This Row],[Дата рождения]]</f>
        <v>0</v>
      </c>
    </row>
    <row r="996" spans="22:23" ht="24.75" customHeight="1" x14ac:dyDescent="0.25">
      <c r="V996" s="47">
        <f>Таблица1[[#This Row],[Дата перевода]]-Таблица1[[#This Row],[Дата поступления]]</f>
        <v>0</v>
      </c>
      <c r="W996" s="47">
        <f>Таблица1[[#This Row],[Дата поступления]]-Таблица1[[#This Row],[Дата рождения]]</f>
        <v>0</v>
      </c>
    </row>
    <row r="997" spans="22:23" ht="24.75" customHeight="1" x14ac:dyDescent="0.25">
      <c r="V997" s="47">
        <f>Таблица1[[#This Row],[Дата перевода]]-Таблица1[[#This Row],[Дата поступления]]</f>
        <v>0</v>
      </c>
      <c r="W997" s="47">
        <f>Таблица1[[#This Row],[Дата поступления]]-Таблица1[[#This Row],[Дата рождения]]</f>
        <v>0</v>
      </c>
    </row>
    <row r="998" spans="22:23" ht="24.75" customHeight="1" x14ac:dyDescent="0.25">
      <c r="V998" s="47">
        <f>Таблица1[[#This Row],[Дата перевода]]-Таблица1[[#This Row],[Дата поступления]]</f>
        <v>0</v>
      </c>
      <c r="W998" s="47">
        <f>Таблица1[[#This Row],[Дата поступления]]-Таблица1[[#This Row],[Дата рождения]]</f>
        <v>0</v>
      </c>
    </row>
    <row r="999" spans="22:23" ht="24.75" customHeight="1" x14ac:dyDescent="0.25">
      <c r="V999" s="47">
        <f>Таблица1[[#This Row],[Дата перевода]]-Таблица1[[#This Row],[Дата поступления]]</f>
        <v>0</v>
      </c>
      <c r="W999" s="47">
        <f>Таблица1[[#This Row],[Дата поступления]]-Таблица1[[#This Row],[Дата рождения]]</f>
        <v>0</v>
      </c>
    </row>
    <row r="1000" spans="22:23" ht="24.75" customHeight="1" x14ac:dyDescent="0.25">
      <c r="V1000" s="47">
        <f>Таблица1[[#This Row],[Дата перевода]]-Таблица1[[#This Row],[Дата поступления]]</f>
        <v>0</v>
      </c>
      <c r="W1000" s="47">
        <f>Таблица1[[#This Row],[Дата поступления]]-Таблица1[[#This Row],[Дата рождения]]</f>
        <v>0</v>
      </c>
    </row>
    <row r="1001" spans="22:23" ht="24.75" customHeight="1" x14ac:dyDescent="0.25">
      <c r="V1001" s="47">
        <f>Таблица1[[#This Row],[Дата перевода]]-Таблица1[[#This Row],[Дата поступления]]</f>
        <v>0</v>
      </c>
      <c r="W1001" s="47">
        <f>Таблица1[[#This Row],[Дата поступления]]-Таблица1[[#This Row],[Дата рождения]]</f>
        <v>0</v>
      </c>
    </row>
    <row r="1002" spans="22:23" ht="24.75" customHeight="1" x14ac:dyDescent="0.25">
      <c r="V1002" s="47">
        <f>Таблица1[[#This Row],[Дата перевода]]-Таблица1[[#This Row],[Дата поступления]]</f>
        <v>0</v>
      </c>
      <c r="W1002" s="47">
        <f>Таблица1[[#This Row],[Дата поступления]]-Таблица1[[#This Row],[Дата рождения]]</f>
        <v>0</v>
      </c>
    </row>
    <row r="1003" spans="22:23" ht="24.75" customHeight="1" x14ac:dyDescent="0.25">
      <c r="V1003" s="47">
        <f>Таблица1[[#This Row],[Дата перевода]]-Таблица1[[#This Row],[Дата поступления]]</f>
        <v>0</v>
      </c>
      <c r="W1003" s="47">
        <f>Таблица1[[#This Row],[Дата поступления]]-Таблица1[[#This Row],[Дата рождения]]</f>
        <v>0</v>
      </c>
    </row>
    <row r="1004" spans="22:23" ht="24.75" customHeight="1" x14ac:dyDescent="0.25">
      <c r="V1004" s="47">
        <f>Таблица1[[#This Row],[Дата перевода]]-Таблица1[[#This Row],[Дата поступления]]</f>
        <v>0</v>
      </c>
      <c r="W1004" s="47">
        <f>Таблица1[[#This Row],[Дата поступления]]-Таблица1[[#This Row],[Дата рождения]]</f>
        <v>0</v>
      </c>
    </row>
    <row r="1005" spans="22:23" ht="24.75" customHeight="1" x14ac:dyDescent="0.25">
      <c r="V1005" s="47">
        <f>Таблица1[[#This Row],[Дата перевода]]-Таблица1[[#This Row],[Дата поступления]]</f>
        <v>0</v>
      </c>
      <c r="W1005" s="47">
        <f>Таблица1[[#This Row],[Дата поступления]]-Таблица1[[#This Row],[Дата рождения]]</f>
        <v>0</v>
      </c>
    </row>
    <row r="1006" spans="22:23" ht="24.75" customHeight="1" x14ac:dyDescent="0.25">
      <c r="V1006" s="47">
        <f>Таблица1[[#This Row],[Дата перевода]]-Таблица1[[#This Row],[Дата поступления]]</f>
        <v>0</v>
      </c>
      <c r="W1006" s="47">
        <f>Таблица1[[#This Row],[Дата поступления]]-Таблица1[[#This Row],[Дата рождения]]</f>
        <v>0</v>
      </c>
    </row>
    <row r="1007" spans="22:23" ht="24.75" customHeight="1" x14ac:dyDescent="0.25">
      <c r="V1007" s="47">
        <f>Таблица1[[#This Row],[Дата перевода]]-Таблица1[[#This Row],[Дата поступления]]</f>
        <v>0</v>
      </c>
      <c r="W1007" s="47">
        <f>Таблица1[[#This Row],[Дата поступления]]-Таблица1[[#This Row],[Дата рождения]]</f>
        <v>0</v>
      </c>
    </row>
    <row r="1008" spans="22:23" ht="24.75" customHeight="1" x14ac:dyDescent="0.25">
      <c r="V1008" s="47">
        <f>Таблица1[[#This Row],[Дата перевода]]-Таблица1[[#This Row],[Дата поступления]]</f>
        <v>0</v>
      </c>
      <c r="W1008" s="47">
        <f>Таблица1[[#This Row],[Дата поступления]]-Таблица1[[#This Row],[Дата рождения]]</f>
        <v>0</v>
      </c>
    </row>
    <row r="1009" spans="22:23" ht="24.75" customHeight="1" x14ac:dyDescent="0.25">
      <c r="V1009" s="47">
        <f>Таблица1[[#This Row],[Дата перевода]]-Таблица1[[#This Row],[Дата поступления]]</f>
        <v>0</v>
      </c>
      <c r="W1009" s="47">
        <f>Таблица1[[#This Row],[Дата поступления]]-Таблица1[[#This Row],[Дата рождения]]</f>
        <v>0</v>
      </c>
    </row>
    <row r="1010" spans="22:23" ht="24.75" customHeight="1" x14ac:dyDescent="0.25">
      <c r="V1010" s="47">
        <f>Таблица1[[#This Row],[Дата перевода]]-Таблица1[[#This Row],[Дата поступления]]</f>
        <v>0</v>
      </c>
      <c r="W1010" s="47">
        <f>Таблица1[[#This Row],[Дата поступления]]-Таблица1[[#This Row],[Дата рождения]]</f>
        <v>0</v>
      </c>
    </row>
    <row r="1011" spans="22:23" ht="24.75" customHeight="1" x14ac:dyDescent="0.25">
      <c r="V1011" s="47">
        <f>Таблица1[[#This Row],[Дата перевода]]-Таблица1[[#This Row],[Дата поступления]]</f>
        <v>0</v>
      </c>
      <c r="W1011" s="47">
        <f>Таблица1[[#This Row],[Дата поступления]]-Таблица1[[#This Row],[Дата рождения]]</f>
        <v>0</v>
      </c>
    </row>
    <row r="1012" spans="22:23" ht="24.75" customHeight="1" x14ac:dyDescent="0.25">
      <c r="V1012" s="47">
        <f>Таблица1[[#This Row],[Дата перевода]]-Таблица1[[#This Row],[Дата поступления]]</f>
        <v>0</v>
      </c>
      <c r="W1012" s="47">
        <f>Таблица1[[#This Row],[Дата поступления]]-Таблица1[[#This Row],[Дата рождения]]</f>
        <v>0</v>
      </c>
    </row>
    <row r="1013" spans="22:23" ht="24.75" customHeight="1" x14ac:dyDescent="0.25">
      <c r="V1013" s="47">
        <f>Таблица1[[#This Row],[Дата перевода]]-Таблица1[[#This Row],[Дата поступления]]</f>
        <v>0</v>
      </c>
      <c r="W1013" s="47">
        <f>Таблица1[[#This Row],[Дата поступления]]-Таблица1[[#This Row],[Дата рождения]]</f>
        <v>0</v>
      </c>
    </row>
    <row r="1014" spans="22:23" ht="24.75" customHeight="1" x14ac:dyDescent="0.25">
      <c r="V1014" s="47">
        <f>Таблица1[[#This Row],[Дата перевода]]-Таблица1[[#This Row],[Дата поступления]]</f>
        <v>0</v>
      </c>
      <c r="W1014" s="47">
        <f>Таблица1[[#This Row],[Дата поступления]]-Таблица1[[#This Row],[Дата рождения]]</f>
        <v>0</v>
      </c>
    </row>
    <row r="1015" spans="22:23" ht="24.75" customHeight="1" x14ac:dyDescent="0.25">
      <c r="V1015" s="47">
        <f>Таблица1[[#This Row],[Дата перевода]]-Таблица1[[#This Row],[Дата поступления]]</f>
        <v>0</v>
      </c>
      <c r="W1015" s="47">
        <f>Таблица1[[#This Row],[Дата поступления]]-Таблица1[[#This Row],[Дата рождения]]</f>
        <v>0</v>
      </c>
    </row>
    <row r="1016" spans="22:23" ht="24.75" customHeight="1" x14ac:dyDescent="0.25">
      <c r="V1016" s="47">
        <f>Таблица1[[#This Row],[Дата перевода]]-Таблица1[[#This Row],[Дата поступления]]</f>
        <v>0</v>
      </c>
      <c r="W1016" s="47">
        <f>Таблица1[[#This Row],[Дата поступления]]-Таблица1[[#This Row],[Дата рождения]]</f>
        <v>0</v>
      </c>
    </row>
    <row r="1017" spans="22:23" ht="24.75" customHeight="1" x14ac:dyDescent="0.25">
      <c r="V1017" s="47">
        <f>Таблица1[[#This Row],[Дата перевода]]-Таблица1[[#This Row],[Дата поступления]]</f>
        <v>0</v>
      </c>
      <c r="W1017" s="47">
        <f>Таблица1[[#This Row],[Дата поступления]]-Таблица1[[#This Row],[Дата рождения]]</f>
        <v>0</v>
      </c>
    </row>
    <row r="1018" spans="22:23" ht="24.75" customHeight="1" x14ac:dyDescent="0.25">
      <c r="V1018" s="47">
        <f>Таблица1[[#This Row],[Дата перевода]]-Таблица1[[#This Row],[Дата поступления]]</f>
        <v>0</v>
      </c>
      <c r="W1018" s="47">
        <f>Таблица1[[#This Row],[Дата поступления]]-Таблица1[[#This Row],[Дата рождения]]</f>
        <v>0</v>
      </c>
    </row>
    <row r="1019" spans="22:23" ht="24.75" customHeight="1" x14ac:dyDescent="0.25">
      <c r="V1019" s="47">
        <f>Таблица1[[#This Row],[Дата перевода]]-Таблица1[[#This Row],[Дата поступления]]</f>
        <v>0</v>
      </c>
      <c r="W1019" s="47">
        <f>Таблица1[[#This Row],[Дата поступления]]-Таблица1[[#This Row],[Дата рождения]]</f>
        <v>0</v>
      </c>
    </row>
    <row r="1020" spans="22:23" ht="24.75" customHeight="1" x14ac:dyDescent="0.25">
      <c r="V1020" s="47">
        <f>Таблица1[[#This Row],[Дата перевода]]-Таблица1[[#This Row],[Дата поступления]]</f>
        <v>0</v>
      </c>
      <c r="W1020" s="47">
        <f>Таблица1[[#This Row],[Дата поступления]]-Таблица1[[#This Row],[Дата рождения]]</f>
        <v>0</v>
      </c>
    </row>
    <row r="1021" spans="22:23" ht="24.75" customHeight="1" x14ac:dyDescent="0.25">
      <c r="V1021" s="47">
        <f>Таблица1[[#This Row],[Дата перевода]]-Таблица1[[#This Row],[Дата поступления]]</f>
        <v>0</v>
      </c>
      <c r="W1021" s="47">
        <f>Таблица1[[#This Row],[Дата поступления]]-Таблица1[[#This Row],[Дата рождения]]</f>
        <v>0</v>
      </c>
    </row>
    <row r="1022" spans="22:23" ht="24.75" customHeight="1" x14ac:dyDescent="0.25">
      <c r="V1022" s="47">
        <f>Таблица1[[#This Row],[Дата перевода]]-Таблица1[[#This Row],[Дата поступления]]</f>
        <v>0</v>
      </c>
      <c r="W1022" s="47">
        <f>Таблица1[[#This Row],[Дата поступления]]-Таблица1[[#This Row],[Дата рождения]]</f>
        <v>0</v>
      </c>
    </row>
    <row r="1023" spans="22:23" ht="24.75" customHeight="1" x14ac:dyDescent="0.25">
      <c r="V1023" s="47">
        <f>Таблица1[[#This Row],[Дата перевода]]-Таблица1[[#This Row],[Дата поступления]]</f>
        <v>0</v>
      </c>
      <c r="W1023" s="47">
        <f>Таблица1[[#This Row],[Дата поступления]]-Таблица1[[#This Row],[Дата рождения]]</f>
        <v>0</v>
      </c>
    </row>
    <row r="1024" spans="22:23" ht="24.75" customHeight="1" x14ac:dyDescent="0.25">
      <c r="V1024" s="47">
        <f>Таблица1[[#This Row],[Дата перевода]]-Таблица1[[#This Row],[Дата поступления]]</f>
        <v>0</v>
      </c>
      <c r="W1024" s="47">
        <f>Таблица1[[#This Row],[Дата поступления]]-Таблица1[[#This Row],[Дата рождения]]</f>
        <v>0</v>
      </c>
    </row>
    <row r="1025" spans="22:23" ht="24.75" customHeight="1" x14ac:dyDescent="0.25">
      <c r="V1025" s="47">
        <f>Таблица1[[#This Row],[Дата перевода]]-Таблица1[[#This Row],[Дата поступления]]</f>
        <v>0</v>
      </c>
      <c r="W1025" s="47">
        <f>Таблица1[[#This Row],[Дата поступления]]-Таблица1[[#This Row],[Дата рождения]]</f>
        <v>0</v>
      </c>
    </row>
    <row r="1026" spans="22:23" ht="24.75" customHeight="1" x14ac:dyDescent="0.25">
      <c r="V1026" s="47">
        <f>Таблица1[[#This Row],[Дата перевода]]-Таблица1[[#This Row],[Дата поступления]]</f>
        <v>0</v>
      </c>
      <c r="W1026" s="47">
        <f>Таблица1[[#This Row],[Дата поступления]]-Таблица1[[#This Row],[Дата рождения]]</f>
        <v>0</v>
      </c>
    </row>
    <row r="1027" spans="22:23" ht="24.75" customHeight="1" x14ac:dyDescent="0.25">
      <c r="V1027" s="47">
        <f>Таблица1[[#This Row],[Дата перевода]]-Таблица1[[#This Row],[Дата поступления]]</f>
        <v>0</v>
      </c>
      <c r="W1027" s="47">
        <f>Таблица1[[#This Row],[Дата поступления]]-Таблица1[[#This Row],[Дата рождения]]</f>
        <v>0</v>
      </c>
    </row>
    <row r="1028" spans="22:23" ht="24.75" customHeight="1" x14ac:dyDescent="0.25">
      <c r="V1028" s="47">
        <f>Таблица1[[#This Row],[Дата перевода]]-Таблица1[[#This Row],[Дата поступления]]</f>
        <v>0</v>
      </c>
      <c r="W1028" s="47">
        <f>Таблица1[[#This Row],[Дата поступления]]-Таблица1[[#This Row],[Дата рождения]]</f>
        <v>0</v>
      </c>
    </row>
    <row r="1029" spans="22:23" ht="24.75" customHeight="1" x14ac:dyDescent="0.25">
      <c r="V1029" s="47">
        <f>Таблица1[[#This Row],[Дата перевода]]-Таблица1[[#This Row],[Дата поступления]]</f>
        <v>0</v>
      </c>
      <c r="W1029" s="47">
        <f>Таблица1[[#This Row],[Дата поступления]]-Таблица1[[#This Row],[Дата рождения]]</f>
        <v>0</v>
      </c>
    </row>
    <row r="1030" spans="22:23" ht="24.75" customHeight="1" x14ac:dyDescent="0.25">
      <c r="V1030" s="47">
        <f>Таблица1[[#This Row],[Дата перевода]]-Таблица1[[#This Row],[Дата поступления]]</f>
        <v>0</v>
      </c>
      <c r="W1030" s="47">
        <f>Таблица1[[#This Row],[Дата поступления]]-Таблица1[[#This Row],[Дата рождения]]</f>
        <v>0</v>
      </c>
    </row>
    <row r="1031" spans="22:23" ht="24.75" customHeight="1" x14ac:dyDescent="0.25">
      <c r="V1031" s="47">
        <f>Таблица1[[#This Row],[Дата перевода]]-Таблица1[[#This Row],[Дата поступления]]</f>
        <v>0</v>
      </c>
      <c r="W1031" s="47">
        <f>Таблица1[[#This Row],[Дата поступления]]-Таблица1[[#This Row],[Дата рождения]]</f>
        <v>0</v>
      </c>
    </row>
    <row r="1032" spans="22:23" ht="24.75" customHeight="1" x14ac:dyDescent="0.25">
      <c r="V1032" s="47">
        <f>Таблица1[[#This Row],[Дата перевода]]-Таблица1[[#This Row],[Дата поступления]]</f>
        <v>0</v>
      </c>
      <c r="W1032" s="47">
        <f>Таблица1[[#This Row],[Дата поступления]]-Таблица1[[#This Row],[Дата рождения]]</f>
        <v>0</v>
      </c>
    </row>
    <row r="1033" spans="22:23" ht="24.75" customHeight="1" x14ac:dyDescent="0.25">
      <c r="V1033" s="47">
        <f>Таблица1[[#This Row],[Дата перевода]]-Таблица1[[#This Row],[Дата поступления]]</f>
        <v>0</v>
      </c>
      <c r="W1033" s="47">
        <f>Таблица1[[#This Row],[Дата поступления]]-Таблица1[[#This Row],[Дата рождения]]</f>
        <v>0</v>
      </c>
    </row>
    <row r="1034" spans="22:23" ht="24.75" customHeight="1" x14ac:dyDescent="0.25">
      <c r="V1034" s="47">
        <f>Таблица1[[#This Row],[Дата перевода]]-Таблица1[[#This Row],[Дата поступления]]</f>
        <v>0</v>
      </c>
      <c r="W1034" s="47">
        <f>Таблица1[[#This Row],[Дата поступления]]-Таблица1[[#This Row],[Дата рождения]]</f>
        <v>0</v>
      </c>
    </row>
    <row r="1035" spans="22:23" ht="24.75" customHeight="1" x14ac:dyDescent="0.25">
      <c r="V1035" s="47">
        <f>Таблица1[[#This Row],[Дата перевода]]-Таблица1[[#This Row],[Дата поступления]]</f>
        <v>0</v>
      </c>
      <c r="W1035" s="47">
        <f>Таблица1[[#This Row],[Дата поступления]]-Таблица1[[#This Row],[Дата рождения]]</f>
        <v>0</v>
      </c>
    </row>
    <row r="1036" spans="22:23" ht="24.75" customHeight="1" x14ac:dyDescent="0.25">
      <c r="V1036" s="47">
        <f>Таблица1[[#This Row],[Дата перевода]]-Таблица1[[#This Row],[Дата поступления]]</f>
        <v>0</v>
      </c>
      <c r="W1036" s="47">
        <f>Таблица1[[#This Row],[Дата поступления]]-Таблица1[[#This Row],[Дата рождения]]</f>
        <v>0</v>
      </c>
    </row>
    <row r="1037" spans="22:23" ht="24.75" customHeight="1" x14ac:dyDescent="0.25">
      <c r="V1037" s="47">
        <f>Таблица1[[#This Row],[Дата перевода]]-Таблица1[[#This Row],[Дата поступления]]</f>
        <v>0</v>
      </c>
      <c r="W1037" s="47">
        <f>Таблица1[[#This Row],[Дата поступления]]-Таблица1[[#This Row],[Дата рождения]]</f>
        <v>0</v>
      </c>
    </row>
    <row r="1038" spans="22:23" ht="24.75" customHeight="1" x14ac:dyDescent="0.25">
      <c r="V1038" s="47">
        <f>Таблица1[[#This Row],[Дата перевода]]-Таблица1[[#This Row],[Дата поступления]]</f>
        <v>0</v>
      </c>
      <c r="W1038" s="47">
        <f>Таблица1[[#This Row],[Дата поступления]]-Таблица1[[#This Row],[Дата рождения]]</f>
        <v>0</v>
      </c>
    </row>
    <row r="1039" spans="22:23" ht="24.75" customHeight="1" x14ac:dyDescent="0.25">
      <c r="V1039" s="47">
        <f>Таблица1[[#This Row],[Дата перевода]]-Таблица1[[#This Row],[Дата поступления]]</f>
        <v>0</v>
      </c>
      <c r="W1039" s="47">
        <f>Таблица1[[#This Row],[Дата поступления]]-Таблица1[[#This Row],[Дата рождения]]</f>
        <v>0</v>
      </c>
    </row>
    <row r="1040" spans="22:23" ht="24.75" customHeight="1" x14ac:dyDescent="0.25">
      <c r="V1040" s="47">
        <f>Таблица1[[#This Row],[Дата перевода]]-Таблица1[[#This Row],[Дата поступления]]</f>
        <v>0</v>
      </c>
      <c r="W1040" s="47">
        <f>Таблица1[[#This Row],[Дата поступления]]-Таблица1[[#This Row],[Дата рождения]]</f>
        <v>0</v>
      </c>
    </row>
    <row r="1041" spans="22:23" ht="24.75" customHeight="1" x14ac:dyDescent="0.25">
      <c r="V1041" s="47">
        <f>Таблица1[[#This Row],[Дата перевода]]-Таблица1[[#This Row],[Дата поступления]]</f>
        <v>0</v>
      </c>
      <c r="W1041" s="47">
        <f>Таблица1[[#This Row],[Дата поступления]]-Таблица1[[#This Row],[Дата рождения]]</f>
        <v>0</v>
      </c>
    </row>
    <row r="1042" spans="22:23" ht="24.75" customHeight="1" x14ac:dyDescent="0.25">
      <c r="V1042" s="47">
        <f>Таблица1[[#This Row],[Дата перевода]]-Таблица1[[#This Row],[Дата поступления]]</f>
        <v>0</v>
      </c>
      <c r="W1042" s="47">
        <f>Таблица1[[#This Row],[Дата поступления]]-Таблица1[[#This Row],[Дата рождения]]</f>
        <v>0</v>
      </c>
    </row>
    <row r="1043" spans="22:23" ht="24.75" customHeight="1" x14ac:dyDescent="0.25">
      <c r="V1043" s="47">
        <f>Таблица1[[#This Row],[Дата перевода]]-Таблица1[[#This Row],[Дата поступления]]</f>
        <v>0</v>
      </c>
      <c r="W1043" s="47">
        <f>Таблица1[[#This Row],[Дата поступления]]-Таблица1[[#This Row],[Дата рождения]]</f>
        <v>0</v>
      </c>
    </row>
    <row r="1044" spans="22:23" ht="24.75" customHeight="1" x14ac:dyDescent="0.25">
      <c r="V1044" s="47">
        <f>Таблица1[[#This Row],[Дата перевода]]-Таблица1[[#This Row],[Дата поступления]]</f>
        <v>0</v>
      </c>
      <c r="W1044" s="47">
        <f>Таблица1[[#This Row],[Дата поступления]]-Таблица1[[#This Row],[Дата рождения]]</f>
        <v>0</v>
      </c>
    </row>
    <row r="1045" spans="22:23" ht="24.75" customHeight="1" x14ac:dyDescent="0.25">
      <c r="V1045" s="47">
        <f>Таблица1[[#This Row],[Дата перевода]]-Таблица1[[#This Row],[Дата поступления]]</f>
        <v>0</v>
      </c>
      <c r="W1045" s="47">
        <f>Таблица1[[#This Row],[Дата поступления]]-Таблица1[[#This Row],[Дата рождения]]</f>
        <v>0</v>
      </c>
    </row>
    <row r="1046" spans="22:23" ht="24.75" customHeight="1" x14ac:dyDescent="0.25">
      <c r="V1046" s="47">
        <f>Таблица1[[#This Row],[Дата перевода]]-Таблица1[[#This Row],[Дата поступления]]</f>
        <v>0</v>
      </c>
      <c r="W1046" s="47">
        <f>Таблица1[[#This Row],[Дата поступления]]-Таблица1[[#This Row],[Дата рождения]]</f>
        <v>0</v>
      </c>
    </row>
    <row r="1047" spans="22:23" ht="24.75" customHeight="1" x14ac:dyDescent="0.25">
      <c r="V1047" s="47">
        <f>Таблица1[[#This Row],[Дата перевода]]-Таблица1[[#This Row],[Дата поступления]]</f>
        <v>0</v>
      </c>
      <c r="W1047" s="47">
        <f>Таблица1[[#This Row],[Дата поступления]]-Таблица1[[#This Row],[Дата рождения]]</f>
        <v>0</v>
      </c>
    </row>
    <row r="1048" spans="22:23" ht="24.75" customHeight="1" x14ac:dyDescent="0.25">
      <c r="V1048" s="47">
        <f>Таблица1[[#This Row],[Дата перевода]]-Таблица1[[#This Row],[Дата поступления]]</f>
        <v>0</v>
      </c>
      <c r="W1048" s="47">
        <f>Таблица1[[#This Row],[Дата поступления]]-Таблица1[[#This Row],[Дата рождения]]</f>
        <v>0</v>
      </c>
    </row>
    <row r="1049" spans="22:23" ht="24.75" customHeight="1" x14ac:dyDescent="0.25">
      <c r="V1049" s="47">
        <f>Таблица1[[#This Row],[Дата перевода]]-Таблица1[[#This Row],[Дата поступления]]</f>
        <v>0</v>
      </c>
      <c r="W1049" s="47">
        <f>Таблица1[[#This Row],[Дата поступления]]-Таблица1[[#This Row],[Дата рождения]]</f>
        <v>0</v>
      </c>
    </row>
    <row r="1050" spans="22:23" ht="24.75" customHeight="1" x14ac:dyDescent="0.25">
      <c r="V1050" s="47">
        <f>Таблица1[[#This Row],[Дата перевода]]-Таблица1[[#This Row],[Дата поступления]]</f>
        <v>0</v>
      </c>
      <c r="W1050" s="47">
        <f>Таблица1[[#This Row],[Дата поступления]]-Таблица1[[#This Row],[Дата рождения]]</f>
        <v>0</v>
      </c>
    </row>
    <row r="1051" spans="22:23" ht="24.75" customHeight="1" x14ac:dyDescent="0.25">
      <c r="V1051" s="47">
        <f>Таблица1[[#This Row],[Дата перевода]]-Таблица1[[#This Row],[Дата поступления]]</f>
        <v>0</v>
      </c>
      <c r="W1051" s="47">
        <f>Таблица1[[#This Row],[Дата поступления]]-Таблица1[[#This Row],[Дата рождения]]</f>
        <v>0</v>
      </c>
    </row>
    <row r="1052" spans="22:23" ht="24.75" customHeight="1" x14ac:dyDescent="0.25">
      <c r="V1052" s="47">
        <f>Таблица1[[#This Row],[Дата перевода]]-Таблица1[[#This Row],[Дата поступления]]</f>
        <v>0</v>
      </c>
      <c r="W1052" s="47">
        <f>Таблица1[[#This Row],[Дата поступления]]-Таблица1[[#This Row],[Дата рождения]]</f>
        <v>0</v>
      </c>
    </row>
    <row r="1053" spans="22:23" ht="24.75" customHeight="1" x14ac:dyDescent="0.25">
      <c r="V1053" s="47">
        <f>Таблица1[[#This Row],[Дата перевода]]-Таблица1[[#This Row],[Дата поступления]]</f>
        <v>0</v>
      </c>
      <c r="W1053" s="47">
        <f>Таблица1[[#This Row],[Дата поступления]]-Таблица1[[#This Row],[Дата рождения]]</f>
        <v>0</v>
      </c>
    </row>
    <row r="1054" spans="22:23" ht="24.75" customHeight="1" x14ac:dyDescent="0.25">
      <c r="V1054" s="47">
        <f>Таблица1[[#This Row],[Дата перевода]]-Таблица1[[#This Row],[Дата поступления]]</f>
        <v>0</v>
      </c>
      <c r="W1054" s="47">
        <f>Таблица1[[#This Row],[Дата поступления]]-Таблица1[[#This Row],[Дата рождения]]</f>
        <v>0</v>
      </c>
    </row>
    <row r="1055" spans="22:23" ht="24.75" customHeight="1" x14ac:dyDescent="0.25">
      <c r="V1055" s="47">
        <f>Таблица1[[#This Row],[Дата перевода]]-Таблица1[[#This Row],[Дата поступления]]</f>
        <v>0</v>
      </c>
      <c r="W1055" s="47">
        <f>Таблица1[[#This Row],[Дата поступления]]-Таблица1[[#This Row],[Дата рождения]]</f>
        <v>0</v>
      </c>
    </row>
    <row r="1056" spans="22:23" ht="24.75" customHeight="1" x14ac:dyDescent="0.25">
      <c r="V1056" s="47">
        <f>Таблица1[[#This Row],[Дата перевода]]-Таблица1[[#This Row],[Дата поступления]]</f>
        <v>0</v>
      </c>
      <c r="W1056" s="47">
        <f>Таблица1[[#This Row],[Дата поступления]]-Таблица1[[#This Row],[Дата рождения]]</f>
        <v>0</v>
      </c>
    </row>
    <row r="1057" spans="22:23" ht="24.75" customHeight="1" x14ac:dyDescent="0.25">
      <c r="V1057" s="47">
        <f>Таблица1[[#This Row],[Дата перевода]]-Таблица1[[#This Row],[Дата поступления]]</f>
        <v>0</v>
      </c>
      <c r="W1057" s="47">
        <f>Таблица1[[#This Row],[Дата поступления]]-Таблица1[[#This Row],[Дата рождения]]</f>
        <v>0</v>
      </c>
    </row>
    <row r="1058" spans="22:23" ht="24.75" customHeight="1" x14ac:dyDescent="0.25">
      <c r="V1058" s="47">
        <f>Таблица1[[#This Row],[Дата перевода]]-Таблица1[[#This Row],[Дата поступления]]</f>
        <v>0</v>
      </c>
      <c r="W1058" s="47">
        <f>Таблица1[[#This Row],[Дата поступления]]-Таблица1[[#This Row],[Дата рождения]]</f>
        <v>0</v>
      </c>
    </row>
    <row r="1059" spans="22:23" ht="24.75" customHeight="1" x14ac:dyDescent="0.25">
      <c r="V1059" s="47">
        <f>Таблица1[[#This Row],[Дата перевода]]-Таблица1[[#This Row],[Дата поступления]]</f>
        <v>0</v>
      </c>
      <c r="W1059" s="47">
        <f>Таблица1[[#This Row],[Дата поступления]]-Таблица1[[#This Row],[Дата рождения]]</f>
        <v>0</v>
      </c>
    </row>
    <row r="1060" spans="22:23" ht="24.75" customHeight="1" x14ac:dyDescent="0.25">
      <c r="V1060" s="47">
        <f>Таблица1[[#This Row],[Дата перевода]]-Таблица1[[#This Row],[Дата поступления]]</f>
        <v>0</v>
      </c>
      <c r="W1060" s="47">
        <f>Таблица1[[#This Row],[Дата поступления]]-Таблица1[[#This Row],[Дата рождения]]</f>
        <v>0</v>
      </c>
    </row>
    <row r="1061" spans="22:23" ht="24.75" customHeight="1" x14ac:dyDescent="0.25">
      <c r="V1061" s="47">
        <f>Таблица1[[#This Row],[Дата перевода]]-Таблица1[[#This Row],[Дата поступления]]</f>
        <v>0</v>
      </c>
      <c r="W1061" s="47">
        <f>Таблица1[[#This Row],[Дата поступления]]-Таблица1[[#This Row],[Дата рождения]]</f>
        <v>0</v>
      </c>
    </row>
    <row r="1062" spans="22:23" ht="24.75" customHeight="1" x14ac:dyDescent="0.25">
      <c r="V1062" s="47">
        <f>Таблица1[[#This Row],[Дата перевода]]-Таблица1[[#This Row],[Дата поступления]]</f>
        <v>0</v>
      </c>
      <c r="W1062" s="47">
        <f>Таблица1[[#This Row],[Дата поступления]]-Таблица1[[#This Row],[Дата рождения]]</f>
        <v>0</v>
      </c>
    </row>
    <row r="1063" spans="22:23" ht="24.75" customHeight="1" x14ac:dyDescent="0.25">
      <c r="V1063" s="47">
        <f>Таблица1[[#This Row],[Дата перевода]]-Таблица1[[#This Row],[Дата поступления]]</f>
        <v>0</v>
      </c>
      <c r="W1063" s="47">
        <f>Таблица1[[#This Row],[Дата поступления]]-Таблица1[[#This Row],[Дата рождения]]</f>
        <v>0</v>
      </c>
    </row>
    <row r="1064" spans="22:23" ht="24.75" customHeight="1" x14ac:dyDescent="0.25">
      <c r="V1064" s="47">
        <f>Таблица1[[#This Row],[Дата перевода]]-Таблица1[[#This Row],[Дата поступления]]</f>
        <v>0</v>
      </c>
      <c r="W1064" s="47">
        <f>Таблица1[[#This Row],[Дата поступления]]-Таблица1[[#This Row],[Дата рождения]]</f>
        <v>0</v>
      </c>
    </row>
    <row r="1065" spans="22:23" ht="24.75" customHeight="1" x14ac:dyDescent="0.25">
      <c r="V1065" s="47">
        <f>Таблица1[[#This Row],[Дата перевода]]-Таблица1[[#This Row],[Дата поступления]]</f>
        <v>0</v>
      </c>
      <c r="W1065" s="47">
        <f>Таблица1[[#This Row],[Дата поступления]]-Таблица1[[#This Row],[Дата рождения]]</f>
        <v>0</v>
      </c>
    </row>
    <row r="1066" spans="22:23" ht="24.75" customHeight="1" x14ac:dyDescent="0.25">
      <c r="V1066" s="47">
        <f>Таблица1[[#This Row],[Дата перевода]]-Таблица1[[#This Row],[Дата поступления]]</f>
        <v>0</v>
      </c>
      <c r="W1066" s="47">
        <f>Таблица1[[#This Row],[Дата поступления]]-Таблица1[[#This Row],[Дата рождения]]</f>
        <v>0</v>
      </c>
    </row>
    <row r="1067" spans="22:23" ht="24.75" customHeight="1" x14ac:dyDescent="0.25">
      <c r="V1067" s="47">
        <f>Таблица1[[#This Row],[Дата перевода]]-Таблица1[[#This Row],[Дата поступления]]</f>
        <v>0</v>
      </c>
      <c r="W1067" s="47">
        <f>Таблица1[[#This Row],[Дата поступления]]-Таблица1[[#This Row],[Дата рождения]]</f>
        <v>0</v>
      </c>
    </row>
    <row r="1068" spans="22:23" ht="24.75" customHeight="1" x14ac:dyDescent="0.25">
      <c r="V1068" s="47">
        <f>Таблица1[[#This Row],[Дата перевода]]-Таблица1[[#This Row],[Дата поступления]]</f>
        <v>0</v>
      </c>
      <c r="W1068" s="47">
        <f>Таблица1[[#This Row],[Дата поступления]]-Таблица1[[#This Row],[Дата рождения]]</f>
        <v>0</v>
      </c>
    </row>
    <row r="1069" spans="22:23" ht="24.75" customHeight="1" x14ac:dyDescent="0.25">
      <c r="V1069" s="47">
        <f>Таблица1[[#This Row],[Дата перевода]]-Таблица1[[#This Row],[Дата поступления]]</f>
        <v>0</v>
      </c>
      <c r="W1069" s="47">
        <f>Таблица1[[#This Row],[Дата поступления]]-Таблица1[[#This Row],[Дата рождения]]</f>
        <v>0</v>
      </c>
    </row>
    <row r="1070" spans="22:23" ht="24.75" customHeight="1" x14ac:dyDescent="0.25">
      <c r="V1070" s="47">
        <f>Таблица1[[#This Row],[Дата перевода]]-Таблица1[[#This Row],[Дата поступления]]</f>
        <v>0</v>
      </c>
      <c r="W1070" s="47">
        <f>Таблица1[[#This Row],[Дата поступления]]-Таблица1[[#This Row],[Дата рождения]]</f>
        <v>0</v>
      </c>
    </row>
    <row r="1071" spans="22:23" ht="24.75" customHeight="1" x14ac:dyDescent="0.25">
      <c r="V1071" s="47">
        <f>Таблица1[[#This Row],[Дата перевода]]-Таблица1[[#This Row],[Дата поступления]]</f>
        <v>0</v>
      </c>
      <c r="W1071" s="47">
        <f>Таблица1[[#This Row],[Дата поступления]]-Таблица1[[#This Row],[Дата рождения]]</f>
        <v>0</v>
      </c>
    </row>
    <row r="1072" spans="22:23" ht="24.75" customHeight="1" x14ac:dyDescent="0.25">
      <c r="V1072" s="47">
        <f>Таблица1[[#This Row],[Дата перевода]]-Таблица1[[#This Row],[Дата поступления]]</f>
        <v>0</v>
      </c>
      <c r="W1072" s="47">
        <f>Таблица1[[#This Row],[Дата поступления]]-Таблица1[[#This Row],[Дата рождения]]</f>
        <v>0</v>
      </c>
    </row>
    <row r="1073" spans="22:23" ht="24.75" customHeight="1" x14ac:dyDescent="0.25">
      <c r="V1073" s="47">
        <f>Таблица1[[#This Row],[Дата перевода]]-Таблица1[[#This Row],[Дата поступления]]</f>
        <v>0</v>
      </c>
      <c r="W1073" s="47">
        <f>Таблица1[[#This Row],[Дата поступления]]-Таблица1[[#This Row],[Дата рождения]]</f>
        <v>0</v>
      </c>
    </row>
    <row r="1074" spans="22:23" ht="24.75" customHeight="1" x14ac:dyDescent="0.25">
      <c r="V1074" s="47">
        <f>Таблица1[[#This Row],[Дата перевода]]-Таблица1[[#This Row],[Дата поступления]]</f>
        <v>0</v>
      </c>
      <c r="W1074" s="47">
        <f>Таблица1[[#This Row],[Дата поступления]]-Таблица1[[#This Row],[Дата рождения]]</f>
        <v>0</v>
      </c>
    </row>
    <row r="1075" spans="22:23" ht="24.75" customHeight="1" x14ac:dyDescent="0.25">
      <c r="V1075" s="47">
        <f>Таблица1[[#This Row],[Дата перевода]]-Таблица1[[#This Row],[Дата поступления]]</f>
        <v>0</v>
      </c>
      <c r="W1075" s="47">
        <f>Таблица1[[#This Row],[Дата поступления]]-Таблица1[[#This Row],[Дата рождения]]</f>
        <v>0</v>
      </c>
    </row>
    <row r="1076" spans="22:23" ht="24.75" customHeight="1" x14ac:dyDescent="0.25">
      <c r="V1076" s="47">
        <f>Таблица1[[#This Row],[Дата перевода]]-Таблица1[[#This Row],[Дата поступления]]</f>
        <v>0</v>
      </c>
      <c r="W1076" s="47">
        <f>Таблица1[[#This Row],[Дата поступления]]-Таблица1[[#This Row],[Дата рождения]]</f>
        <v>0</v>
      </c>
    </row>
    <row r="1077" spans="22:23" ht="24.75" customHeight="1" x14ac:dyDescent="0.25">
      <c r="V1077" s="47">
        <f>Таблица1[[#This Row],[Дата перевода]]-Таблица1[[#This Row],[Дата поступления]]</f>
        <v>0</v>
      </c>
      <c r="W1077" s="47">
        <f>Таблица1[[#This Row],[Дата поступления]]-Таблица1[[#This Row],[Дата рождения]]</f>
        <v>0</v>
      </c>
    </row>
    <row r="1078" spans="22:23" ht="24.75" customHeight="1" x14ac:dyDescent="0.25">
      <c r="V1078" s="47">
        <f>Таблица1[[#This Row],[Дата перевода]]-Таблица1[[#This Row],[Дата поступления]]</f>
        <v>0</v>
      </c>
      <c r="W1078" s="47">
        <f>Таблица1[[#This Row],[Дата поступления]]-Таблица1[[#This Row],[Дата рождения]]</f>
        <v>0</v>
      </c>
    </row>
    <row r="1079" spans="22:23" ht="24.75" customHeight="1" x14ac:dyDescent="0.25">
      <c r="V1079" s="47">
        <f>Таблица1[[#This Row],[Дата перевода]]-Таблица1[[#This Row],[Дата поступления]]</f>
        <v>0</v>
      </c>
      <c r="W1079" s="47">
        <f>Таблица1[[#This Row],[Дата поступления]]-Таблица1[[#This Row],[Дата рождения]]</f>
        <v>0</v>
      </c>
    </row>
    <row r="1080" spans="22:23" ht="24.75" customHeight="1" x14ac:dyDescent="0.25">
      <c r="V1080" s="47">
        <f>Таблица1[[#This Row],[Дата перевода]]-Таблица1[[#This Row],[Дата поступления]]</f>
        <v>0</v>
      </c>
      <c r="W1080" s="47">
        <f>Таблица1[[#This Row],[Дата поступления]]-Таблица1[[#This Row],[Дата рождения]]</f>
        <v>0</v>
      </c>
    </row>
    <row r="1081" spans="22:23" ht="24.75" customHeight="1" x14ac:dyDescent="0.25">
      <c r="V1081" s="47">
        <f>Таблица1[[#This Row],[Дата перевода]]-Таблица1[[#This Row],[Дата поступления]]</f>
        <v>0</v>
      </c>
      <c r="W1081" s="47">
        <f>Таблица1[[#This Row],[Дата поступления]]-Таблица1[[#This Row],[Дата рождения]]</f>
        <v>0</v>
      </c>
    </row>
    <row r="1082" spans="22:23" ht="24.75" customHeight="1" x14ac:dyDescent="0.25">
      <c r="V1082" s="47">
        <f>Таблица1[[#This Row],[Дата перевода]]-Таблица1[[#This Row],[Дата поступления]]</f>
        <v>0</v>
      </c>
      <c r="W1082" s="47">
        <f>Таблица1[[#This Row],[Дата поступления]]-Таблица1[[#This Row],[Дата рождения]]</f>
        <v>0</v>
      </c>
    </row>
    <row r="1083" spans="22:23" ht="24.75" customHeight="1" x14ac:dyDescent="0.25">
      <c r="V1083" s="47">
        <f>Таблица1[[#This Row],[Дата перевода]]-Таблица1[[#This Row],[Дата поступления]]</f>
        <v>0</v>
      </c>
      <c r="W1083" s="47">
        <f>Таблица1[[#This Row],[Дата поступления]]-Таблица1[[#This Row],[Дата рождения]]</f>
        <v>0</v>
      </c>
    </row>
    <row r="1084" spans="22:23" ht="24.75" customHeight="1" x14ac:dyDescent="0.25">
      <c r="V1084" s="47">
        <f>Таблица1[[#This Row],[Дата перевода]]-Таблица1[[#This Row],[Дата поступления]]</f>
        <v>0</v>
      </c>
      <c r="W1084" s="47">
        <f>Таблица1[[#This Row],[Дата поступления]]-Таблица1[[#This Row],[Дата рождения]]</f>
        <v>0</v>
      </c>
    </row>
    <row r="1085" spans="22:23" ht="24.75" customHeight="1" x14ac:dyDescent="0.25">
      <c r="V1085" s="47">
        <f>Таблица1[[#This Row],[Дата перевода]]-Таблица1[[#This Row],[Дата поступления]]</f>
        <v>0</v>
      </c>
      <c r="W1085" s="47">
        <f>Таблица1[[#This Row],[Дата поступления]]-Таблица1[[#This Row],[Дата рождения]]</f>
        <v>0</v>
      </c>
    </row>
    <row r="1086" spans="22:23" ht="24.75" customHeight="1" x14ac:dyDescent="0.25">
      <c r="V1086" s="47">
        <f>Таблица1[[#This Row],[Дата перевода]]-Таблица1[[#This Row],[Дата поступления]]</f>
        <v>0</v>
      </c>
      <c r="W1086" s="47">
        <f>Таблица1[[#This Row],[Дата поступления]]-Таблица1[[#This Row],[Дата рождения]]</f>
        <v>0</v>
      </c>
    </row>
    <row r="1087" spans="22:23" ht="24.75" customHeight="1" x14ac:dyDescent="0.25">
      <c r="V1087" s="47">
        <f>Таблица1[[#This Row],[Дата перевода]]-Таблица1[[#This Row],[Дата поступления]]</f>
        <v>0</v>
      </c>
      <c r="W1087" s="47">
        <f>Таблица1[[#This Row],[Дата поступления]]-Таблица1[[#This Row],[Дата рождения]]</f>
        <v>0</v>
      </c>
    </row>
    <row r="1088" spans="22:23" ht="24.75" customHeight="1" x14ac:dyDescent="0.25">
      <c r="V1088" s="47">
        <f>Таблица1[[#This Row],[Дата перевода]]-Таблица1[[#This Row],[Дата поступления]]</f>
        <v>0</v>
      </c>
      <c r="W1088" s="47">
        <f>Таблица1[[#This Row],[Дата поступления]]-Таблица1[[#This Row],[Дата рождения]]</f>
        <v>0</v>
      </c>
    </row>
    <row r="1089" spans="22:23" ht="24.75" customHeight="1" x14ac:dyDescent="0.25">
      <c r="V1089" s="47">
        <f>Таблица1[[#This Row],[Дата перевода]]-Таблица1[[#This Row],[Дата поступления]]</f>
        <v>0</v>
      </c>
      <c r="W1089" s="47">
        <f>Таблица1[[#This Row],[Дата поступления]]-Таблица1[[#This Row],[Дата рождения]]</f>
        <v>0</v>
      </c>
    </row>
    <row r="1090" spans="22:23" ht="24.75" customHeight="1" x14ac:dyDescent="0.25">
      <c r="V1090" s="47">
        <f>Таблица1[[#This Row],[Дата перевода]]-Таблица1[[#This Row],[Дата поступления]]</f>
        <v>0</v>
      </c>
      <c r="W1090" s="47">
        <f>Таблица1[[#This Row],[Дата поступления]]-Таблица1[[#This Row],[Дата рождения]]</f>
        <v>0</v>
      </c>
    </row>
    <row r="1091" spans="22:23" ht="24.75" customHeight="1" x14ac:dyDescent="0.25">
      <c r="V1091" s="47">
        <f>Таблица1[[#This Row],[Дата перевода]]-Таблица1[[#This Row],[Дата поступления]]</f>
        <v>0</v>
      </c>
      <c r="W1091" s="47">
        <f>Таблица1[[#This Row],[Дата поступления]]-Таблица1[[#This Row],[Дата рождения]]</f>
        <v>0</v>
      </c>
    </row>
    <row r="1092" spans="22:23" ht="24.75" customHeight="1" x14ac:dyDescent="0.25">
      <c r="V1092" s="47">
        <f>Таблица1[[#This Row],[Дата перевода]]-Таблица1[[#This Row],[Дата поступления]]</f>
        <v>0</v>
      </c>
      <c r="W1092" s="47">
        <f>Таблица1[[#This Row],[Дата поступления]]-Таблица1[[#This Row],[Дата рождения]]</f>
        <v>0</v>
      </c>
    </row>
    <row r="1093" spans="22:23" ht="24.75" customHeight="1" x14ac:dyDescent="0.25">
      <c r="V1093" s="47">
        <f>Таблица1[[#This Row],[Дата перевода]]-Таблица1[[#This Row],[Дата поступления]]</f>
        <v>0</v>
      </c>
      <c r="W1093" s="47">
        <f>Таблица1[[#This Row],[Дата поступления]]-Таблица1[[#This Row],[Дата рождения]]</f>
        <v>0</v>
      </c>
    </row>
    <row r="1094" spans="22:23" ht="24.75" customHeight="1" x14ac:dyDescent="0.25">
      <c r="V1094" s="47">
        <f>Таблица1[[#This Row],[Дата перевода]]-Таблица1[[#This Row],[Дата поступления]]</f>
        <v>0</v>
      </c>
      <c r="W1094" s="47">
        <f>Таблица1[[#This Row],[Дата поступления]]-Таблица1[[#This Row],[Дата рождения]]</f>
        <v>0</v>
      </c>
    </row>
    <row r="1095" spans="22:23" ht="24.75" customHeight="1" x14ac:dyDescent="0.25">
      <c r="V1095" s="47">
        <f>Таблица1[[#This Row],[Дата перевода]]-Таблица1[[#This Row],[Дата поступления]]</f>
        <v>0</v>
      </c>
      <c r="W1095" s="47">
        <f>Таблица1[[#This Row],[Дата поступления]]-Таблица1[[#This Row],[Дата рождения]]</f>
        <v>0</v>
      </c>
    </row>
    <row r="1096" spans="22:23" ht="24.75" customHeight="1" x14ac:dyDescent="0.25">
      <c r="V1096" s="47">
        <f>Таблица1[[#This Row],[Дата перевода]]-Таблица1[[#This Row],[Дата поступления]]</f>
        <v>0</v>
      </c>
      <c r="W1096" s="47">
        <f>Таблица1[[#This Row],[Дата поступления]]-Таблица1[[#This Row],[Дата рождения]]</f>
        <v>0</v>
      </c>
    </row>
    <row r="1097" spans="22:23" ht="24.75" customHeight="1" x14ac:dyDescent="0.25">
      <c r="V1097" s="47">
        <f>Таблица1[[#This Row],[Дата перевода]]-Таблица1[[#This Row],[Дата поступления]]</f>
        <v>0</v>
      </c>
      <c r="W1097" s="47">
        <f>Таблица1[[#This Row],[Дата поступления]]-Таблица1[[#This Row],[Дата рождения]]</f>
        <v>0</v>
      </c>
    </row>
    <row r="1098" spans="22:23" ht="24.75" customHeight="1" x14ac:dyDescent="0.25">
      <c r="V1098" s="47">
        <f>Таблица1[[#This Row],[Дата перевода]]-Таблица1[[#This Row],[Дата поступления]]</f>
        <v>0</v>
      </c>
      <c r="W1098" s="47">
        <f>Таблица1[[#This Row],[Дата поступления]]-Таблица1[[#This Row],[Дата рождения]]</f>
        <v>0</v>
      </c>
    </row>
    <row r="1099" spans="22:23" ht="24.75" customHeight="1" x14ac:dyDescent="0.25">
      <c r="V1099" s="47">
        <f>Таблица1[[#This Row],[Дата перевода]]-Таблица1[[#This Row],[Дата поступления]]</f>
        <v>0</v>
      </c>
      <c r="W1099" s="47">
        <f>Таблица1[[#This Row],[Дата поступления]]-Таблица1[[#This Row],[Дата рождения]]</f>
        <v>0</v>
      </c>
    </row>
    <row r="1100" spans="22:23" ht="24.75" customHeight="1" x14ac:dyDescent="0.25">
      <c r="V1100" s="47">
        <f>Таблица1[[#This Row],[Дата перевода]]-Таблица1[[#This Row],[Дата поступления]]</f>
        <v>0</v>
      </c>
      <c r="W1100" s="47">
        <f>Таблица1[[#This Row],[Дата поступления]]-Таблица1[[#This Row],[Дата рождения]]</f>
        <v>0</v>
      </c>
    </row>
    <row r="1101" spans="22:23" ht="24.75" customHeight="1" x14ac:dyDescent="0.25">
      <c r="V1101" s="47">
        <f>Таблица1[[#This Row],[Дата перевода]]-Таблица1[[#This Row],[Дата поступления]]</f>
        <v>0</v>
      </c>
      <c r="W1101" s="47">
        <f>Таблица1[[#This Row],[Дата поступления]]-Таблица1[[#This Row],[Дата рождения]]</f>
        <v>0</v>
      </c>
    </row>
    <row r="1102" spans="22:23" ht="24.75" customHeight="1" x14ac:dyDescent="0.25">
      <c r="V1102" s="47">
        <f>Таблица1[[#This Row],[Дата перевода]]-Таблица1[[#This Row],[Дата поступления]]</f>
        <v>0</v>
      </c>
      <c r="W1102" s="47">
        <f>Таблица1[[#This Row],[Дата поступления]]-Таблица1[[#This Row],[Дата рождения]]</f>
        <v>0</v>
      </c>
    </row>
    <row r="1103" spans="22:23" ht="24.75" customHeight="1" x14ac:dyDescent="0.25">
      <c r="V1103" s="47">
        <f>Таблица1[[#This Row],[Дата перевода]]-Таблица1[[#This Row],[Дата поступления]]</f>
        <v>0</v>
      </c>
      <c r="W1103" s="47">
        <f>Таблица1[[#This Row],[Дата поступления]]-Таблица1[[#This Row],[Дата рождения]]</f>
        <v>0</v>
      </c>
    </row>
    <row r="1104" spans="22:23" ht="24.75" customHeight="1" x14ac:dyDescent="0.25">
      <c r="V1104" s="47">
        <f>Таблица1[[#This Row],[Дата перевода]]-Таблица1[[#This Row],[Дата поступления]]</f>
        <v>0</v>
      </c>
      <c r="W1104" s="47">
        <f>Таблица1[[#This Row],[Дата поступления]]-Таблица1[[#This Row],[Дата рождения]]</f>
        <v>0</v>
      </c>
    </row>
    <row r="1105" spans="22:23" ht="24.75" customHeight="1" x14ac:dyDescent="0.25">
      <c r="V1105" s="47">
        <f>Таблица1[[#This Row],[Дата перевода]]-Таблица1[[#This Row],[Дата поступления]]</f>
        <v>0</v>
      </c>
      <c r="W1105" s="47">
        <f>Таблица1[[#This Row],[Дата поступления]]-Таблица1[[#This Row],[Дата рождения]]</f>
        <v>0</v>
      </c>
    </row>
    <row r="1106" spans="22:23" ht="24.75" customHeight="1" x14ac:dyDescent="0.25">
      <c r="V1106" s="47">
        <f>Таблица1[[#This Row],[Дата перевода]]-Таблица1[[#This Row],[Дата поступления]]</f>
        <v>0</v>
      </c>
      <c r="W1106" s="47">
        <f>Таблица1[[#This Row],[Дата поступления]]-Таблица1[[#This Row],[Дата рождения]]</f>
        <v>0</v>
      </c>
    </row>
    <row r="1107" spans="22:23" ht="24.75" customHeight="1" x14ac:dyDescent="0.25">
      <c r="V1107" s="47">
        <f>Таблица1[[#This Row],[Дата перевода]]-Таблица1[[#This Row],[Дата поступления]]</f>
        <v>0</v>
      </c>
      <c r="W1107" s="47">
        <f>Таблица1[[#This Row],[Дата поступления]]-Таблица1[[#This Row],[Дата рождения]]</f>
        <v>0</v>
      </c>
    </row>
    <row r="1108" spans="22:23" ht="24.75" customHeight="1" x14ac:dyDescent="0.25">
      <c r="V1108" s="47">
        <f>Таблица1[[#This Row],[Дата перевода]]-Таблица1[[#This Row],[Дата поступления]]</f>
        <v>0</v>
      </c>
      <c r="W1108" s="47">
        <f>Таблица1[[#This Row],[Дата поступления]]-Таблица1[[#This Row],[Дата рождения]]</f>
        <v>0</v>
      </c>
    </row>
    <row r="1109" spans="22:23" ht="24.75" customHeight="1" x14ac:dyDescent="0.25">
      <c r="V1109" s="47">
        <f>Таблица1[[#This Row],[Дата перевода]]-Таблица1[[#This Row],[Дата поступления]]</f>
        <v>0</v>
      </c>
      <c r="W1109" s="47">
        <f>Таблица1[[#This Row],[Дата поступления]]-Таблица1[[#This Row],[Дата рождения]]</f>
        <v>0</v>
      </c>
    </row>
    <row r="1110" spans="22:23" ht="24.75" customHeight="1" x14ac:dyDescent="0.25">
      <c r="V1110" s="47">
        <f>Таблица1[[#This Row],[Дата перевода]]-Таблица1[[#This Row],[Дата поступления]]</f>
        <v>0</v>
      </c>
      <c r="W1110" s="47">
        <f>Таблица1[[#This Row],[Дата поступления]]-Таблица1[[#This Row],[Дата рождения]]</f>
        <v>0</v>
      </c>
    </row>
    <row r="1111" spans="22:23" ht="24.75" customHeight="1" x14ac:dyDescent="0.25">
      <c r="V1111" s="47">
        <f>Таблица1[[#This Row],[Дата перевода]]-Таблица1[[#This Row],[Дата поступления]]</f>
        <v>0</v>
      </c>
      <c r="W1111" s="47">
        <f>Таблица1[[#This Row],[Дата поступления]]-Таблица1[[#This Row],[Дата рождения]]</f>
        <v>0</v>
      </c>
    </row>
    <row r="1112" spans="22:23" ht="24.75" customHeight="1" x14ac:dyDescent="0.25">
      <c r="V1112" s="47">
        <f>Таблица1[[#This Row],[Дата перевода]]-Таблица1[[#This Row],[Дата поступления]]</f>
        <v>0</v>
      </c>
      <c r="W1112" s="47">
        <f>Таблица1[[#This Row],[Дата поступления]]-Таблица1[[#This Row],[Дата рождения]]</f>
        <v>0</v>
      </c>
    </row>
    <row r="1113" spans="22:23" ht="24.75" customHeight="1" x14ac:dyDescent="0.25">
      <c r="V1113" s="47">
        <f>Таблица1[[#This Row],[Дата перевода]]-Таблица1[[#This Row],[Дата поступления]]</f>
        <v>0</v>
      </c>
      <c r="W1113" s="47">
        <f>Таблица1[[#This Row],[Дата поступления]]-Таблица1[[#This Row],[Дата рождения]]</f>
        <v>0</v>
      </c>
    </row>
    <row r="1114" spans="22:23" ht="24.75" customHeight="1" x14ac:dyDescent="0.25">
      <c r="V1114" s="47">
        <f>Таблица1[[#This Row],[Дата перевода]]-Таблица1[[#This Row],[Дата поступления]]</f>
        <v>0</v>
      </c>
      <c r="W1114" s="47">
        <f>Таблица1[[#This Row],[Дата поступления]]-Таблица1[[#This Row],[Дата рождения]]</f>
        <v>0</v>
      </c>
    </row>
    <row r="1115" spans="22:23" ht="24.75" customHeight="1" x14ac:dyDescent="0.25">
      <c r="V1115" s="47">
        <f>Таблица1[[#This Row],[Дата перевода]]-Таблица1[[#This Row],[Дата поступления]]</f>
        <v>0</v>
      </c>
      <c r="W1115" s="47">
        <f>Таблица1[[#This Row],[Дата поступления]]-Таблица1[[#This Row],[Дата рождения]]</f>
        <v>0</v>
      </c>
    </row>
    <row r="1116" spans="22:23" ht="24.75" customHeight="1" x14ac:dyDescent="0.25">
      <c r="V1116" s="47">
        <f>Таблица1[[#This Row],[Дата перевода]]-Таблица1[[#This Row],[Дата поступления]]</f>
        <v>0</v>
      </c>
      <c r="W1116" s="47">
        <f>Таблица1[[#This Row],[Дата поступления]]-Таблица1[[#This Row],[Дата рождения]]</f>
        <v>0</v>
      </c>
    </row>
    <row r="1117" spans="22:23" ht="24.75" customHeight="1" x14ac:dyDescent="0.25">
      <c r="V1117" s="47">
        <f>Таблица1[[#This Row],[Дата перевода]]-Таблица1[[#This Row],[Дата поступления]]</f>
        <v>0</v>
      </c>
      <c r="W1117" s="47">
        <f>Таблица1[[#This Row],[Дата поступления]]-Таблица1[[#This Row],[Дата рождения]]</f>
        <v>0</v>
      </c>
    </row>
    <row r="1118" spans="22:23" ht="24.75" customHeight="1" x14ac:dyDescent="0.25">
      <c r="V1118" s="47">
        <f>Таблица1[[#This Row],[Дата перевода]]-Таблица1[[#This Row],[Дата поступления]]</f>
        <v>0</v>
      </c>
      <c r="W1118" s="47">
        <f>Таблица1[[#This Row],[Дата поступления]]-Таблица1[[#This Row],[Дата рождения]]</f>
        <v>0</v>
      </c>
    </row>
    <row r="1119" spans="22:23" ht="24.75" customHeight="1" x14ac:dyDescent="0.25">
      <c r="V1119" s="47">
        <f>Таблица1[[#This Row],[Дата перевода]]-Таблица1[[#This Row],[Дата поступления]]</f>
        <v>0</v>
      </c>
      <c r="W1119" s="47">
        <f>Таблица1[[#This Row],[Дата поступления]]-Таблица1[[#This Row],[Дата рождения]]</f>
        <v>0</v>
      </c>
    </row>
    <row r="1120" spans="22:23" ht="24.75" customHeight="1" x14ac:dyDescent="0.25">
      <c r="V1120" s="47">
        <f>Таблица1[[#This Row],[Дата перевода]]-Таблица1[[#This Row],[Дата поступления]]</f>
        <v>0</v>
      </c>
      <c r="W1120" s="47">
        <f>Таблица1[[#This Row],[Дата поступления]]-Таблица1[[#This Row],[Дата рождения]]</f>
        <v>0</v>
      </c>
    </row>
    <row r="1121" spans="22:23" ht="24.75" customHeight="1" x14ac:dyDescent="0.25">
      <c r="V1121" s="47">
        <f>Таблица1[[#This Row],[Дата перевода]]-Таблица1[[#This Row],[Дата поступления]]</f>
        <v>0</v>
      </c>
      <c r="W1121" s="47">
        <f>Таблица1[[#This Row],[Дата поступления]]-Таблица1[[#This Row],[Дата рождения]]</f>
        <v>0</v>
      </c>
    </row>
    <row r="1122" spans="22:23" ht="24.75" customHeight="1" x14ac:dyDescent="0.25">
      <c r="V1122" s="47">
        <f>Таблица1[[#This Row],[Дата перевода]]-Таблица1[[#This Row],[Дата поступления]]</f>
        <v>0</v>
      </c>
      <c r="W1122" s="47">
        <f>Таблица1[[#This Row],[Дата поступления]]-Таблица1[[#This Row],[Дата рождения]]</f>
        <v>0</v>
      </c>
    </row>
    <row r="1123" spans="22:23" ht="24.75" customHeight="1" x14ac:dyDescent="0.25">
      <c r="V1123" s="47">
        <f>Таблица1[[#This Row],[Дата перевода]]-Таблица1[[#This Row],[Дата поступления]]</f>
        <v>0</v>
      </c>
      <c r="W1123" s="47">
        <f>Таблица1[[#This Row],[Дата поступления]]-Таблица1[[#This Row],[Дата рождения]]</f>
        <v>0</v>
      </c>
    </row>
    <row r="1124" spans="22:23" ht="24.75" customHeight="1" x14ac:dyDescent="0.25">
      <c r="V1124" s="47">
        <f>Таблица1[[#This Row],[Дата перевода]]-Таблица1[[#This Row],[Дата поступления]]</f>
        <v>0</v>
      </c>
      <c r="W1124" s="47">
        <f>Таблица1[[#This Row],[Дата поступления]]-Таблица1[[#This Row],[Дата рождения]]</f>
        <v>0</v>
      </c>
    </row>
    <row r="1125" spans="22:23" ht="24.75" customHeight="1" x14ac:dyDescent="0.25">
      <c r="V1125" s="47">
        <f>Таблица1[[#This Row],[Дата перевода]]-Таблица1[[#This Row],[Дата поступления]]</f>
        <v>0</v>
      </c>
      <c r="W1125" s="47">
        <f>Таблица1[[#This Row],[Дата поступления]]-Таблица1[[#This Row],[Дата рождения]]</f>
        <v>0</v>
      </c>
    </row>
    <row r="1126" spans="22:23" ht="24.75" customHeight="1" x14ac:dyDescent="0.25">
      <c r="V1126" s="47">
        <f>Таблица1[[#This Row],[Дата перевода]]-Таблица1[[#This Row],[Дата поступления]]</f>
        <v>0</v>
      </c>
      <c r="W1126" s="47">
        <f>Таблица1[[#This Row],[Дата поступления]]-Таблица1[[#This Row],[Дата рождения]]</f>
        <v>0</v>
      </c>
    </row>
    <row r="1127" spans="22:23" ht="24.75" customHeight="1" x14ac:dyDescent="0.25">
      <c r="V1127" s="47">
        <f>Таблица1[[#This Row],[Дата перевода]]-Таблица1[[#This Row],[Дата поступления]]</f>
        <v>0</v>
      </c>
      <c r="W1127" s="47">
        <f>Таблица1[[#This Row],[Дата поступления]]-Таблица1[[#This Row],[Дата рождения]]</f>
        <v>0</v>
      </c>
    </row>
    <row r="1128" spans="22:23" ht="24.75" customHeight="1" x14ac:dyDescent="0.25">
      <c r="V1128" s="47">
        <f>Таблица1[[#This Row],[Дата перевода]]-Таблица1[[#This Row],[Дата поступления]]</f>
        <v>0</v>
      </c>
      <c r="W1128" s="47">
        <f>Таблица1[[#This Row],[Дата поступления]]-Таблица1[[#This Row],[Дата рождения]]</f>
        <v>0</v>
      </c>
    </row>
    <row r="1129" spans="22:23" ht="24.75" customHeight="1" x14ac:dyDescent="0.25">
      <c r="V1129" s="47">
        <f>Таблица1[[#This Row],[Дата перевода]]-Таблица1[[#This Row],[Дата поступления]]</f>
        <v>0</v>
      </c>
      <c r="W1129" s="47">
        <f>Таблица1[[#This Row],[Дата поступления]]-Таблица1[[#This Row],[Дата рождения]]</f>
        <v>0</v>
      </c>
    </row>
    <row r="1130" spans="22:23" ht="24.75" customHeight="1" x14ac:dyDescent="0.25">
      <c r="V1130" s="47">
        <f>Таблица1[[#This Row],[Дата перевода]]-Таблица1[[#This Row],[Дата поступления]]</f>
        <v>0</v>
      </c>
      <c r="W1130" s="47">
        <f>Таблица1[[#This Row],[Дата поступления]]-Таблица1[[#This Row],[Дата рождения]]</f>
        <v>0</v>
      </c>
    </row>
    <row r="1131" spans="22:23" ht="24.75" customHeight="1" x14ac:dyDescent="0.25">
      <c r="V1131" s="47">
        <f>Таблица1[[#This Row],[Дата перевода]]-Таблица1[[#This Row],[Дата поступления]]</f>
        <v>0</v>
      </c>
      <c r="W1131" s="47">
        <f>Таблица1[[#This Row],[Дата поступления]]-Таблица1[[#This Row],[Дата рождения]]</f>
        <v>0</v>
      </c>
    </row>
    <row r="1132" spans="22:23" ht="24.75" customHeight="1" x14ac:dyDescent="0.25">
      <c r="V1132" s="47">
        <f>Таблица1[[#This Row],[Дата перевода]]-Таблица1[[#This Row],[Дата поступления]]</f>
        <v>0</v>
      </c>
      <c r="W1132" s="47">
        <f>Таблица1[[#This Row],[Дата поступления]]-Таблица1[[#This Row],[Дата рождения]]</f>
        <v>0</v>
      </c>
    </row>
    <row r="1133" spans="22:23" ht="24.75" customHeight="1" x14ac:dyDescent="0.25">
      <c r="V1133" s="47">
        <f>Таблица1[[#This Row],[Дата перевода]]-Таблица1[[#This Row],[Дата поступления]]</f>
        <v>0</v>
      </c>
      <c r="W1133" s="47">
        <f>Таблица1[[#This Row],[Дата поступления]]-Таблица1[[#This Row],[Дата рождения]]</f>
        <v>0</v>
      </c>
    </row>
    <row r="1134" spans="22:23" ht="24.75" customHeight="1" x14ac:dyDescent="0.25">
      <c r="V1134" s="47">
        <f>Таблица1[[#This Row],[Дата перевода]]-Таблица1[[#This Row],[Дата поступления]]</f>
        <v>0</v>
      </c>
      <c r="W1134" s="47">
        <f>Таблица1[[#This Row],[Дата поступления]]-Таблица1[[#This Row],[Дата рождения]]</f>
        <v>0</v>
      </c>
    </row>
    <row r="1135" spans="22:23" ht="24.75" customHeight="1" x14ac:dyDescent="0.25">
      <c r="V1135" s="47">
        <f>Таблица1[[#This Row],[Дата перевода]]-Таблица1[[#This Row],[Дата поступления]]</f>
        <v>0</v>
      </c>
      <c r="W1135" s="47">
        <f>Таблица1[[#This Row],[Дата поступления]]-Таблица1[[#This Row],[Дата рождения]]</f>
        <v>0</v>
      </c>
    </row>
    <row r="1136" spans="22:23" ht="24.75" customHeight="1" x14ac:dyDescent="0.25">
      <c r="V1136" s="47">
        <f>Таблица1[[#This Row],[Дата перевода]]-Таблица1[[#This Row],[Дата поступления]]</f>
        <v>0</v>
      </c>
      <c r="W1136" s="47">
        <f>Таблица1[[#This Row],[Дата поступления]]-Таблица1[[#This Row],[Дата рождения]]</f>
        <v>0</v>
      </c>
    </row>
    <row r="1137" spans="22:23" ht="24.75" customHeight="1" x14ac:dyDescent="0.25">
      <c r="V1137" s="47">
        <f>Таблица1[[#This Row],[Дата перевода]]-Таблица1[[#This Row],[Дата поступления]]</f>
        <v>0</v>
      </c>
      <c r="W1137" s="47">
        <f>Таблица1[[#This Row],[Дата поступления]]-Таблица1[[#This Row],[Дата рождения]]</f>
        <v>0</v>
      </c>
    </row>
    <row r="1138" spans="22:23" ht="24.75" customHeight="1" x14ac:dyDescent="0.25">
      <c r="V1138" s="47">
        <f>Таблица1[[#This Row],[Дата перевода]]-Таблица1[[#This Row],[Дата поступления]]</f>
        <v>0</v>
      </c>
      <c r="W1138" s="47">
        <f>Таблица1[[#This Row],[Дата поступления]]-Таблица1[[#This Row],[Дата рождения]]</f>
        <v>0</v>
      </c>
    </row>
    <row r="1139" spans="22:23" ht="24.75" customHeight="1" x14ac:dyDescent="0.25">
      <c r="V1139" s="47">
        <f>Таблица1[[#This Row],[Дата перевода]]-Таблица1[[#This Row],[Дата поступления]]</f>
        <v>0</v>
      </c>
      <c r="W1139" s="47">
        <f>Таблица1[[#This Row],[Дата поступления]]-Таблица1[[#This Row],[Дата рождения]]</f>
        <v>0</v>
      </c>
    </row>
    <row r="1140" spans="22:23" ht="24.75" customHeight="1" x14ac:dyDescent="0.25">
      <c r="V1140" s="47">
        <f>Таблица1[[#This Row],[Дата перевода]]-Таблица1[[#This Row],[Дата поступления]]</f>
        <v>0</v>
      </c>
      <c r="W1140" s="47">
        <f>Таблица1[[#This Row],[Дата поступления]]-Таблица1[[#This Row],[Дата рождения]]</f>
        <v>0</v>
      </c>
    </row>
    <row r="1141" spans="22:23" ht="24.75" customHeight="1" x14ac:dyDescent="0.25">
      <c r="V1141" s="47">
        <f>Таблица1[[#This Row],[Дата перевода]]-Таблица1[[#This Row],[Дата поступления]]</f>
        <v>0</v>
      </c>
      <c r="W1141" s="47">
        <f>Таблица1[[#This Row],[Дата поступления]]-Таблица1[[#This Row],[Дата рождения]]</f>
        <v>0</v>
      </c>
    </row>
    <row r="1142" spans="22:23" ht="24.75" customHeight="1" x14ac:dyDescent="0.25">
      <c r="V1142" s="47">
        <f>Таблица1[[#This Row],[Дата перевода]]-Таблица1[[#This Row],[Дата поступления]]</f>
        <v>0</v>
      </c>
      <c r="W1142" s="47">
        <f>Таблица1[[#This Row],[Дата поступления]]-Таблица1[[#This Row],[Дата рождения]]</f>
        <v>0</v>
      </c>
    </row>
    <row r="1143" spans="22:23" ht="24.75" customHeight="1" x14ac:dyDescent="0.25">
      <c r="V1143" s="47">
        <f>Таблица1[[#This Row],[Дата перевода]]-Таблица1[[#This Row],[Дата поступления]]</f>
        <v>0</v>
      </c>
      <c r="W1143" s="47">
        <f>Таблица1[[#This Row],[Дата поступления]]-Таблица1[[#This Row],[Дата рождения]]</f>
        <v>0</v>
      </c>
    </row>
    <row r="1144" spans="22:23" ht="24.75" customHeight="1" x14ac:dyDescent="0.25">
      <c r="V1144" s="47">
        <f>Таблица1[[#This Row],[Дата перевода]]-Таблица1[[#This Row],[Дата поступления]]</f>
        <v>0</v>
      </c>
      <c r="W1144" s="47">
        <f>Таблица1[[#This Row],[Дата поступления]]-Таблица1[[#This Row],[Дата рождения]]</f>
        <v>0</v>
      </c>
    </row>
    <row r="1145" spans="22:23" ht="24.75" customHeight="1" x14ac:dyDescent="0.25">
      <c r="V1145" s="47">
        <f>Таблица1[[#This Row],[Дата перевода]]-Таблица1[[#This Row],[Дата поступления]]</f>
        <v>0</v>
      </c>
      <c r="W1145" s="47">
        <f>Таблица1[[#This Row],[Дата поступления]]-Таблица1[[#This Row],[Дата рождения]]</f>
        <v>0</v>
      </c>
    </row>
    <row r="1146" spans="22:23" ht="24.75" customHeight="1" x14ac:dyDescent="0.25">
      <c r="V1146" s="47">
        <f>Таблица1[[#This Row],[Дата перевода]]-Таблица1[[#This Row],[Дата поступления]]</f>
        <v>0</v>
      </c>
      <c r="W1146" s="47">
        <f>Таблица1[[#This Row],[Дата поступления]]-Таблица1[[#This Row],[Дата рождения]]</f>
        <v>0</v>
      </c>
    </row>
    <row r="1147" spans="22:23" ht="24.75" customHeight="1" x14ac:dyDescent="0.25">
      <c r="V1147" s="47">
        <f>Таблица1[[#This Row],[Дата перевода]]-Таблица1[[#This Row],[Дата поступления]]</f>
        <v>0</v>
      </c>
      <c r="W1147" s="47">
        <f>Таблица1[[#This Row],[Дата поступления]]-Таблица1[[#This Row],[Дата рождения]]</f>
        <v>0</v>
      </c>
    </row>
    <row r="1148" spans="22:23" ht="24.75" customHeight="1" x14ac:dyDescent="0.25">
      <c r="V1148" s="47">
        <f>Таблица1[[#This Row],[Дата перевода]]-Таблица1[[#This Row],[Дата поступления]]</f>
        <v>0</v>
      </c>
      <c r="W1148" s="47">
        <f>Таблица1[[#This Row],[Дата поступления]]-Таблица1[[#This Row],[Дата рождения]]</f>
        <v>0</v>
      </c>
    </row>
    <row r="1149" spans="22:23" ht="24.75" customHeight="1" x14ac:dyDescent="0.25">
      <c r="V1149" s="47">
        <f>Таблица1[[#This Row],[Дата перевода]]-Таблица1[[#This Row],[Дата поступления]]</f>
        <v>0</v>
      </c>
      <c r="W1149" s="47">
        <f>Таблица1[[#This Row],[Дата поступления]]-Таблица1[[#This Row],[Дата рождения]]</f>
        <v>0</v>
      </c>
    </row>
    <row r="1150" spans="22:23" ht="24.75" customHeight="1" x14ac:dyDescent="0.25">
      <c r="V1150" s="47">
        <f>Таблица1[[#This Row],[Дата перевода]]-Таблица1[[#This Row],[Дата поступления]]</f>
        <v>0</v>
      </c>
      <c r="W1150" s="47">
        <f>Таблица1[[#This Row],[Дата поступления]]-Таблица1[[#This Row],[Дата рождения]]</f>
        <v>0</v>
      </c>
    </row>
    <row r="1151" spans="22:23" ht="24.75" customHeight="1" x14ac:dyDescent="0.25">
      <c r="V1151" s="47">
        <f>Таблица1[[#This Row],[Дата перевода]]-Таблица1[[#This Row],[Дата поступления]]</f>
        <v>0</v>
      </c>
      <c r="W1151" s="47">
        <f>Таблица1[[#This Row],[Дата поступления]]-Таблица1[[#This Row],[Дата рождения]]</f>
        <v>0</v>
      </c>
    </row>
    <row r="1152" spans="22:23" ht="24.75" customHeight="1" x14ac:dyDescent="0.25">
      <c r="V1152" s="47">
        <f>Таблица1[[#This Row],[Дата перевода]]-Таблица1[[#This Row],[Дата поступления]]</f>
        <v>0</v>
      </c>
      <c r="W1152" s="47">
        <f>Таблица1[[#This Row],[Дата поступления]]-Таблица1[[#This Row],[Дата рождения]]</f>
        <v>0</v>
      </c>
    </row>
    <row r="1153" spans="22:23" ht="24.75" customHeight="1" x14ac:dyDescent="0.25">
      <c r="V1153" s="47">
        <f>Таблица1[[#This Row],[Дата перевода]]-Таблица1[[#This Row],[Дата поступления]]</f>
        <v>0</v>
      </c>
      <c r="W1153" s="47">
        <f>Таблица1[[#This Row],[Дата поступления]]-Таблица1[[#This Row],[Дата рождения]]</f>
        <v>0</v>
      </c>
    </row>
    <row r="1154" spans="22:23" ht="24.75" customHeight="1" x14ac:dyDescent="0.25">
      <c r="V1154" s="47">
        <f>Таблица1[[#This Row],[Дата перевода]]-Таблица1[[#This Row],[Дата поступления]]</f>
        <v>0</v>
      </c>
      <c r="W1154" s="47">
        <f>Таблица1[[#This Row],[Дата поступления]]-Таблица1[[#This Row],[Дата рождения]]</f>
        <v>0</v>
      </c>
    </row>
    <row r="1155" spans="22:23" ht="24.75" customHeight="1" x14ac:dyDescent="0.25">
      <c r="V1155" s="47">
        <f>Таблица1[[#This Row],[Дата перевода]]-Таблица1[[#This Row],[Дата поступления]]</f>
        <v>0</v>
      </c>
      <c r="W1155" s="47">
        <f>Таблица1[[#This Row],[Дата поступления]]-Таблица1[[#This Row],[Дата рождения]]</f>
        <v>0</v>
      </c>
    </row>
    <row r="1156" spans="22:23" ht="24.75" customHeight="1" x14ac:dyDescent="0.25">
      <c r="V1156" s="47">
        <f>Таблица1[[#This Row],[Дата перевода]]-Таблица1[[#This Row],[Дата поступления]]</f>
        <v>0</v>
      </c>
      <c r="W1156" s="47">
        <f>Таблица1[[#This Row],[Дата поступления]]-Таблица1[[#This Row],[Дата рождения]]</f>
        <v>0</v>
      </c>
    </row>
    <row r="1157" spans="22:23" ht="24.75" customHeight="1" x14ac:dyDescent="0.25">
      <c r="V1157" s="47">
        <f>Таблица1[[#This Row],[Дата перевода]]-Таблица1[[#This Row],[Дата поступления]]</f>
        <v>0</v>
      </c>
      <c r="W1157" s="47">
        <f>Таблица1[[#This Row],[Дата поступления]]-Таблица1[[#This Row],[Дата рождения]]</f>
        <v>0</v>
      </c>
    </row>
    <row r="1158" spans="22:23" ht="24.75" customHeight="1" x14ac:dyDescent="0.25">
      <c r="V1158" s="47">
        <f>Таблица1[[#This Row],[Дата перевода]]-Таблица1[[#This Row],[Дата поступления]]</f>
        <v>0</v>
      </c>
      <c r="W1158" s="47">
        <f>Таблица1[[#This Row],[Дата поступления]]-Таблица1[[#This Row],[Дата рождения]]</f>
        <v>0</v>
      </c>
    </row>
    <row r="1159" spans="22:23" ht="24.75" customHeight="1" x14ac:dyDescent="0.25">
      <c r="V1159" s="47">
        <f>Таблица1[[#This Row],[Дата перевода]]-Таблица1[[#This Row],[Дата поступления]]</f>
        <v>0</v>
      </c>
      <c r="W1159" s="47">
        <f>Таблица1[[#This Row],[Дата поступления]]-Таблица1[[#This Row],[Дата рождения]]</f>
        <v>0</v>
      </c>
    </row>
    <row r="1160" spans="22:23" ht="24.75" customHeight="1" x14ac:dyDescent="0.25">
      <c r="V1160" s="47">
        <f>Таблица1[[#This Row],[Дата перевода]]-Таблица1[[#This Row],[Дата поступления]]</f>
        <v>0</v>
      </c>
      <c r="W1160" s="47">
        <f>Таблица1[[#This Row],[Дата поступления]]-Таблица1[[#This Row],[Дата рождения]]</f>
        <v>0</v>
      </c>
    </row>
    <row r="1161" spans="22:23" ht="24.75" customHeight="1" x14ac:dyDescent="0.25">
      <c r="V1161" s="47">
        <f>Таблица1[[#This Row],[Дата перевода]]-Таблица1[[#This Row],[Дата поступления]]</f>
        <v>0</v>
      </c>
      <c r="W1161" s="47">
        <f>Таблица1[[#This Row],[Дата поступления]]-Таблица1[[#This Row],[Дата рождения]]</f>
        <v>0</v>
      </c>
    </row>
    <row r="1162" spans="22:23" ht="24.75" customHeight="1" x14ac:dyDescent="0.25">
      <c r="V1162" s="47">
        <f>Таблица1[[#This Row],[Дата перевода]]-Таблица1[[#This Row],[Дата поступления]]</f>
        <v>0</v>
      </c>
      <c r="W1162" s="47">
        <f>Таблица1[[#This Row],[Дата поступления]]-Таблица1[[#This Row],[Дата рождения]]</f>
        <v>0</v>
      </c>
    </row>
    <row r="1163" spans="22:23" ht="24.75" customHeight="1" x14ac:dyDescent="0.25">
      <c r="V1163" s="47">
        <f>Таблица1[[#This Row],[Дата перевода]]-Таблица1[[#This Row],[Дата поступления]]</f>
        <v>0</v>
      </c>
      <c r="W1163" s="47">
        <f>Таблица1[[#This Row],[Дата поступления]]-Таблица1[[#This Row],[Дата рождения]]</f>
        <v>0</v>
      </c>
    </row>
    <row r="1164" spans="22:23" ht="24.75" customHeight="1" x14ac:dyDescent="0.25">
      <c r="V1164" s="47">
        <f>Таблица1[[#This Row],[Дата перевода]]-Таблица1[[#This Row],[Дата поступления]]</f>
        <v>0</v>
      </c>
      <c r="W1164" s="47">
        <f>Таблица1[[#This Row],[Дата поступления]]-Таблица1[[#This Row],[Дата рождения]]</f>
        <v>0</v>
      </c>
    </row>
    <row r="1165" spans="22:23" ht="24.75" customHeight="1" x14ac:dyDescent="0.25">
      <c r="V1165" s="47">
        <f>Таблица1[[#This Row],[Дата перевода]]-Таблица1[[#This Row],[Дата поступления]]</f>
        <v>0</v>
      </c>
      <c r="W1165" s="47">
        <f>Таблица1[[#This Row],[Дата поступления]]-Таблица1[[#This Row],[Дата рождения]]</f>
        <v>0</v>
      </c>
    </row>
    <row r="1166" spans="22:23" ht="24.75" customHeight="1" x14ac:dyDescent="0.25">
      <c r="V1166" s="47">
        <f>Таблица1[[#This Row],[Дата перевода]]-Таблица1[[#This Row],[Дата поступления]]</f>
        <v>0</v>
      </c>
      <c r="W1166" s="47">
        <f>Таблица1[[#This Row],[Дата поступления]]-Таблица1[[#This Row],[Дата рождения]]</f>
        <v>0</v>
      </c>
    </row>
    <row r="1167" spans="22:23" ht="24.75" customHeight="1" x14ac:dyDescent="0.25">
      <c r="V1167" s="47">
        <f>Таблица1[[#This Row],[Дата перевода]]-Таблица1[[#This Row],[Дата поступления]]</f>
        <v>0</v>
      </c>
      <c r="W1167" s="47">
        <f>Таблица1[[#This Row],[Дата поступления]]-Таблица1[[#This Row],[Дата рождения]]</f>
        <v>0</v>
      </c>
    </row>
    <row r="1168" spans="22:23" ht="24.75" customHeight="1" x14ac:dyDescent="0.25">
      <c r="V1168" s="47">
        <f>Таблица1[[#This Row],[Дата перевода]]-Таблица1[[#This Row],[Дата поступления]]</f>
        <v>0</v>
      </c>
      <c r="W1168" s="47">
        <f>Таблица1[[#This Row],[Дата поступления]]-Таблица1[[#This Row],[Дата рождения]]</f>
        <v>0</v>
      </c>
    </row>
    <row r="1169" spans="22:23" ht="24.75" customHeight="1" x14ac:dyDescent="0.25">
      <c r="V1169" s="47">
        <f>Таблица1[[#This Row],[Дата перевода]]-Таблица1[[#This Row],[Дата поступления]]</f>
        <v>0</v>
      </c>
      <c r="W1169" s="47">
        <f>Таблица1[[#This Row],[Дата поступления]]-Таблица1[[#This Row],[Дата рождения]]</f>
        <v>0</v>
      </c>
    </row>
    <row r="1170" spans="22:23" ht="24.75" customHeight="1" x14ac:dyDescent="0.25">
      <c r="V1170" s="47">
        <f>Таблица1[[#This Row],[Дата перевода]]-Таблица1[[#This Row],[Дата поступления]]</f>
        <v>0</v>
      </c>
      <c r="W1170" s="47">
        <f>Таблица1[[#This Row],[Дата поступления]]-Таблица1[[#This Row],[Дата рождения]]</f>
        <v>0</v>
      </c>
    </row>
    <row r="1171" spans="22:23" ht="24.75" customHeight="1" x14ac:dyDescent="0.25">
      <c r="V1171" s="47">
        <f>Таблица1[[#This Row],[Дата перевода]]-Таблица1[[#This Row],[Дата поступления]]</f>
        <v>0</v>
      </c>
      <c r="W1171" s="47">
        <f>Таблица1[[#This Row],[Дата поступления]]-Таблица1[[#This Row],[Дата рождения]]</f>
        <v>0</v>
      </c>
    </row>
    <row r="1172" spans="22:23" ht="24.75" customHeight="1" x14ac:dyDescent="0.25">
      <c r="V1172" s="47">
        <f>Таблица1[[#This Row],[Дата перевода]]-Таблица1[[#This Row],[Дата поступления]]</f>
        <v>0</v>
      </c>
      <c r="W1172" s="47">
        <f>Таблица1[[#This Row],[Дата поступления]]-Таблица1[[#This Row],[Дата рождения]]</f>
        <v>0</v>
      </c>
    </row>
    <row r="1173" spans="22:23" ht="24.75" customHeight="1" x14ac:dyDescent="0.25">
      <c r="V1173" s="47">
        <f>Таблица1[[#This Row],[Дата перевода]]-Таблица1[[#This Row],[Дата поступления]]</f>
        <v>0</v>
      </c>
      <c r="W1173" s="47">
        <f>Таблица1[[#This Row],[Дата поступления]]-Таблица1[[#This Row],[Дата рождения]]</f>
        <v>0</v>
      </c>
    </row>
    <row r="1174" spans="22:23" ht="24.75" customHeight="1" x14ac:dyDescent="0.25">
      <c r="V1174" s="47">
        <f>Таблица1[[#This Row],[Дата перевода]]-Таблица1[[#This Row],[Дата поступления]]</f>
        <v>0</v>
      </c>
      <c r="W1174" s="47">
        <f>Таблица1[[#This Row],[Дата поступления]]-Таблица1[[#This Row],[Дата рождения]]</f>
        <v>0</v>
      </c>
    </row>
    <row r="1175" spans="22:23" ht="24.75" customHeight="1" x14ac:dyDescent="0.25">
      <c r="V1175" s="47">
        <f>Таблица1[[#This Row],[Дата перевода]]-Таблица1[[#This Row],[Дата поступления]]</f>
        <v>0</v>
      </c>
      <c r="W1175" s="47">
        <f>Таблица1[[#This Row],[Дата поступления]]-Таблица1[[#This Row],[Дата рождения]]</f>
        <v>0</v>
      </c>
    </row>
    <row r="1176" spans="22:23" ht="24.75" customHeight="1" x14ac:dyDescent="0.25">
      <c r="V1176" s="47">
        <f>Таблица1[[#This Row],[Дата перевода]]-Таблица1[[#This Row],[Дата поступления]]</f>
        <v>0</v>
      </c>
      <c r="W1176" s="47">
        <f>Таблица1[[#This Row],[Дата поступления]]-Таблица1[[#This Row],[Дата рождения]]</f>
        <v>0</v>
      </c>
    </row>
    <row r="1177" spans="22:23" ht="24.75" customHeight="1" x14ac:dyDescent="0.25">
      <c r="V1177" s="47">
        <f>Таблица1[[#This Row],[Дата перевода]]-Таблица1[[#This Row],[Дата поступления]]</f>
        <v>0</v>
      </c>
      <c r="W1177" s="47">
        <f>Таблица1[[#This Row],[Дата поступления]]-Таблица1[[#This Row],[Дата рождения]]</f>
        <v>0</v>
      </c>
    </row>
    <row r="1178" spans="22:23" ht="24.75" customHeight="1" x14ac:dyDescent="0.25">
      <c r="V1178" s="47">
        <f>Таблица1[[#This Row],[Дата перевода]]-Таблица1[[#This Row],[Дата поступления]]</f>
        <v>0</v>
      </c>
      <c r="W1178" s="47">
        <f>Таблица1[[#This Row],[Дата поступления]]-Таблица1[[#This Row],[Дата рождения]]</f>
        <v>0</v>
      </c>
    </row>
    <row r="1179" spans="22:23" ht="24.75" customHeight="1" x14ac:dyDescent="0.25">
      <c r="V1179" s="47">
        <f>Таблица1[[#This Row],[Дата перевода]]-Таблица1[[#This Row],[Дата поступления]]</f>
        <v>0</v>
      </c>
      <c r="W1179" s="47">
        <f>Таблица1[[#This Row],[Дата поступления]]-Таблица1[[#This Row],[Дата рождения]]</f>
        <v>0</v>
      </c>
    </row>
    <row r="1180" spans="22:23" ht="24.75" customHeight="1" x14ac:dyDescent="0.25">
      <c r="V1180" s="47">
        <f>Таблица1[[#This Row],[Дата перевода]]-Таблица1[[#This Row],[Дата поступления]]</f>
        <v>0</v>
      </c>
      <c r="W1180" s="47">
        <f>Таблица1[[#This Row],[Дата поступления]]-Таблица1[[#This Row],[Дата рождения]]</f>
        <v>0</v>
      </c>
    </row>
    <row r="1181" spans="22:23" ht="24.75" customHeight="1" x14ac:dyDescent="0.25">
      <c r="V1181" s="47">
        <f>Таблица1[[#This Row],[Дата перевода]]-Таблица1[[#This Row],[Дата поступления]]</f>
        <v>0</v>
      </c>
      <c r="W1181" s="47">
        <f>Таблица1[[#This Row],[Дата поступления]]-Таблица1[[#This Row],[Дата рождения]]</f>
        <v>0</v>
      </c>
    </row>
    <row r="1182" spans="22:23" ht="24.75" customHeight="1" x14ac:dyDescent="0.25">
      <c r="V1182" s="47">
        <f>Таблица1[[#This Row],[Дата перевода]]-Таблица1[[#This Row],[Дата поступления]]</f>
        <v>0</v>
      </c>
      <c r="W1182" s="47">
        <f>Таблица1[[#This Row],[Дата поступления]]-Таблица1[[#This Row],[Дата рождения]]</f>
        <v>0</v>
      </c>
    </row>
    <row r="1183" spans="22:23" ht="24.75" customHeight="1" x14ac:dyDescent="0.25">
      <c r="V1183" s="47">
        <f>Таблица1[[#This Row],[Дата перевода]]-Таблица1[[#This Row],[Дата поступления]]</f>
        <v>0</v>
      </c>
      <c r="W1183" s="47">
        <f>Таблица1[[#This Row],[Дата поступления]]-Таблица1[[#This Row],[Дата рождения]]</f>
        <v>0</v>
      </c>
    </row>
    <row r="1184" spans="22:23" ht="24.75" customHeight="1" x14ac:dyDescent="0.25">
      <c r="V1184" s="47">
        <f>Таблица1[[#This Row],[Дата перевода]]-Таблица1[[#This Row],[Дата поступления]]</f>
        <v>0</v>
      </c>
      <c r="W1184" s="47">
        <f>Таблица1[[#This Row],[Дата поступления]]-Таблица1[[#This Row],[Дата рождения]]</f>
        <v>0</v>
      </c>
    </row>
    <row r="1185" spans="22:23" ht="24.75" customHeight="1" x14ac:dyDescent="0.25">
      <c r="V1185" s="47">
        <f>Таблица1[[#This Row],[Дата перевода]]-Таблица1[[#This Row],[Дата поступления]]</f>
        <v>0</v>
      </c>
      <c r="W1185" s="47">
        <f>Таблица1[[#This Row],[Дата поступления]]-Таблица1[[#This Row],[Дата рождения]]</f>
        <v>0</v>
      </c>
    </row>
    <row r="1186" spans="22:23" ht="24.75" customHeight="1" x14ac:dyDescent="0.25">
      <c r="V1186" s="47">
        <f>Таблица1[[#This Row],[Дата перевода]]-Таблица1[[#This Row],[Дата поступления]]</f>
        <v>0</v>
      </c>
      <c r="W1186" s="47">
        <f>Таблица1[[#This Row],[Дата поступления]]-Таблица1[[#This Row],[Дата рождения]]</f>
        <v>0</v>
      </c>
    </row>
    <row r="1187" spans="22:23" ht="24.75" customHeight="1" x14ac:dyDescent="0.25">
      <c r="V1187" s="47">
        <f>Таблица1[[#This Row],[Дата перевода]]-Таблица1[[#This Row],[Дата поступления]]</f>
        <v>0</v>
      </c>
      <c r="W1187" s="47">
        <f>Таблица1[[#This Row],[Дата поступления]]-Таблица1[[#This Row],[Дата рождения]]</f>
        <v>0</v>
      </c>
    </row>
    <row r="1188" spans="22:23" ht="24.75" customHeight="1" x14ac:dyDescent="0.25">
      <c r="V1188" s="47">
        <f>Таблица1[[#This Row],[Дата перевода]]-Таблица1[[#This Row],[Дата поступления]]</f>
        <v>0</v>
      </c>
      <c r="W1188" s="47">
        <f>Таблица1[[#This Row],[Дата поступления]]-Таблица1[[#This Row],[Дата рождения]]</f>
        <v>0</v>
      </c>
    </row>
    <row r="1189" spans="22:23" ht="24.75" customHeight="1" x14ac:dyDescent="0.25">
      <c r="V1189" s="47">
        <f>Таблица1[[#This Row],[Дата перевода]]-Таблица1[[#This Row],[Дата поступления]]</f>
        <v>0</v>
      </c>
      <c r="W1189" s="47">
        <f>Таблица1[[#This Row],[Дата поступления]]-Таблица1[[#This Row],[Дата рождения]]</f>
        <v>0</v>
      </c>
    </row>
    <row r="1190" spans="22:23" ht="24.75" customHeight="1" x14ac:dyDescent="0.25">
      <c r="V1190" s="47">
        <f>Таблица1[[#This Row],[Дата перевода]]-Таблица1[[#This Row],[Дата поступления]]</f>
        <v>0</v>
      </c>
      <c r="W1190" s="47">
        <f>Таблица1[[#This Row],[Дата поступления]]-Таблица1[[#This Row],[Дата рождения]]</f>
        <v>0</v>
      </c>
    </row>
    <row r="1191" spans="22:23" ht="24.75" customHeight="1" x14ac:dyDescent="0.25">
      <c r="V1191" s="47">
        <f>Таблица1[[#This Row],[Дата перевода]]-Таблица1[[#This Row],[Дата поступления]]</f>
        <v>0</v>
      </c>
      <c r="W1191" s="47">
        <f>Таблица1[[#This Row],[Дата поступления]]-Таблица1[[#This Row],[Дата рождения]]</f>
        <v>0</v>
      </c>
    </row>
    <row r="1192" spans="22:23" ht="24.75" customHeight="1" x14ac:dyDescent="0.25">
      <c r="V1192" s="47">
        <f>Таблица1[[#This Row],[Дата перевода]]-Таблица1[[#This Row],[Дата поступления]]</f>
        <v>0</v>
      </c>
      <c r="W1192" s="47">
        <f>Таблица1[[#This Row],[Дата поступления]]-Таблица1[[#This Row],[Дата рождения]]</f>
        <v>0</v>
      </c>
    </row>
    <row r="1193" spans="22:23" ht="24.75" customHeight="1" x14ac:dyDescent="0.25">
      <c r="V1193" s="47">
        <f>Таблица1[[#This Row],[Дата перевода]]-Таблица1[[#This Row],[Дата поступления]]</f>
        <v>0</v>
      </c>
      <c r="W1193" s="47">
        <f>Таблица1[[#This Row],[Дата поступления]]-Таблица1[[#This Row],[Дата рождения]]</f>
        <v>0</v>
      </c>
    </row>
    <row r="1194" spans="22:23" ht="24.75" customHeight="1" x14ac:dyDescent="0.25">
      <c r="V1194" s="47">
        <f>Таблица1[[#This Row],[Дата перевода]]-Таблица1[[#This Row],[Дата поступления]]</f>
        <v>0</v>
      </c>
      <c r="W1194" s="47">
        <f>Таблица1[[#This Row],[Дата поступления]]-Таблица1[[#This Row],[Дата рождения]]</f>
        <v>0</v>
      </c>
    </row>
    <row r="1195" spans="22:23" ht="24.75" customHeight="1" x14ac:dyDescent="0.25">
      <c r="V1195" s="47">
        <f>Таблица1[[#This Row],[Дата перевода]]-Таблица1[[#This Row],[Дата поступления]]</f>
        <v>0</v>
      </c>
      <c r="W1195" s="47">
        <f>Таблица1[[#This Row],[Дата поступления]]-Таблица1[[#This Row],[Дата рождения]]</f>
        <v>0</v>
      </c>
    </row>
    <row r="1196" spans="22:23" ht="24.75" customHeight="1" x14ac:dyDescent="0.25">
      <c r="V1196" s="47">
        <f>Таблица1[[#This Row],[Дата перевода]]-Таблица1[[#This Row],[Дата поступления]]</f>
        <v>0</v>
      </c>
      <c r="W1196" s="47">
        <f>Таблица1[[#This Row],[Дата поступления]]-Таблица1[[#This Row],[Дата рождения]]</f>
        <v>0</v>
      </c>
    </row>
    <row r="1197" spans="22:23" ht="24.75" customHeight="1" x14ac:dyDescent="0.25">
      <c r="V1197" s="47">
        <f>Таблица1[[#This Row],[Дата перевода]]-Таблица1[[#This Row],[Дата поступления]]</f>
        <v>0</v>
      </c>
      <c r="W1197" s="47">
        <f>Таблица1[[#This Row],[Дата поступления]]-Таблица1[[#This Row],[Дата рождения]]</f>
        <v>0</v>
      </c>
    </row>
    <row r="1198" spans="22:23" ht="24.75" customHeight="1" x14ac:dyDescent="0.25">
      <c r="V1198" s="47">
        <f>Таблица1[[#This Row],[Дата перевода]]-Таблица1[[#This Row],[Дата поступления]]</f>
        <v>0</v>
      </c>
      <c r="W1198" s="47">
        <f>Таблица1[[#This Row],[Дата поступления]]-Таблица1[[#This Row],[Дата рождения]]</f>
        <v>0</v>
      </c>
    </row>
    <row r="1199" spans="22:23" ht="24.75" customHeight="1" x14ac:dyDescent="0.25">
      <c r="V1199" s="47">
        <f>Таблица1[[#This Row],[Дата перевода]]-Таблица1[[#This Row],[Дата поступления]]</f>
        <v>0</v>
      </c>
      <c r="W1199" s="47">
        <f>Таблица1[[#This Row],[Дата поступления]]-Таблица1[[#This Row],[Дата рождения]]</f>
        <v>0</v>
      </c>
    </row>
    <row r="1200" spans="22:23" ht="24.75" customHeight="1" x14ac:dyDescent="0.25">
      <c r="V1200" s="47">
        <f>Таблица1[[#This Row],[Дата перевода]]-Таблица1[[#This Row],[Дата поступления]]</f>
        <v>0</v>
      </c>
      <c r="W1200" s="47">
        <f>Таблица1[[#This Row],[Дата поступления]]-Таблица1[[#This Row],[Дата рождения]]</f>
        <v>0</v>
      </c>
    </row>
    <row r="1201" spans="22:23" ht="24.75" customHeight="1" x14ac:dyDescent="0.25">
      <c r="V1201" s="47">
        <f>Таблица1[[#This Row],[Дата перевода]]-Таблица1[[#This Row],[Дата поступления]]</f>
        <v>0</v>
      </c>
      <c r="W1201" s="47">
        <f>Таблица1[[#This Row],[Дата поступления]]-Таблица1[[#This Row],[Дата рождения]]</f>
        <v>0</v>
      </c>
    </row>
    <row r="1202" spans="22:23" ht="24.75" customHeight="1" x14ac:dyDescent="0.25">
      <c r="V1202" s="47">
        <f>Таблица1[[#This Row],[Дата перевода]]-Таблица1[[#This Row],[Дата поступления]]</f>
        <v>0</v>
      </c>
      <c r="W1202" s="47">
        <f>Таблица1[[#This Row],[Дата поступления]]-Таблица1[[#This Row],[Дата рождения]]</f>
        <v>0</v>
      </c>
    </row>
    <row r="1203" spans="22:23" ht="24.75" customHeight="1" x14ac:dyDescent="0.25">
      <c r="V1203" s="47">
        <f>Таблица1[[#This Row],[Дата перевода]]-Таблица1[[#This Row],[Дата поступления]]</f>
        <v>0</v>
      </c>
      <c r="W1203" s="47">
        <f>Таблица1[[#This Row],[Дата поступления]]-Таблица1[[#This Row],[Дата рождения]]</f>
        <v>0</v>
      </c>
    </row>
    <row r="1204" spans="22:23" ht="24.75" customHeight="1" x14ac:dyDescent="0.25">
      <c r="V1204" s="47">
        <f>Таблица1[[#This Row],[Дата перевода]]-Таблица1[[#This Row],[Дата поступления]]</f>
        <v>0</v>
      </c>
      <c r="W1204" s="47">
        <f>Таблица1[[#This Row],[Дата поступления]]-Таблица1[[#This Row],[Дата рождения]]</f>
        <v>0</v>
      </c>
    </row>
    <row r="1205" spans="22:23" ht="24.75" customHeight="1" x14ac:dyDescent="0.25">
      <c r="V1205" s="47">
        <f>Таблица1[[#This Row],[Дата перевода]]-Таблица1[[#This Row],[Дата поступления]]</f>
        <v>0</v>
      </c>
      <c r="W1205" s="47">
        <f>Таблица1[[#This Row],[Дата поступления]]-Таблица1[[#This Row],[Дата рождения]]</f>
        <v>0</v>
      </c>
    </row>
    <row r="1206" spans="22:23" ht="24.75" customHeight="1" x14ac:dyDescent="0.25">
      <c r="V1206" s="47">
        <f>Таблица1[[#This Row],[Дата перевода]]-Таблица1[[#This Row],[Дата поступления]]</f>
        <v>0</v>
      </c>
      <c r="W1206" s="47">
        <f>Таблица1[[#This Row],[Дата поступления]]-Таблица1[[#This Row],[Дата рождения]]</f>
        <v>0</v>
      </c>
    </row>
    <row r="1207" spans="22:23" ht="24.75" customHeight="1" x14ac:dyDescent="0.25">
      <c r="V1207" s="47">
        <f>Таблица1[[#This Row],[Дата перевода]]-Таблица1[[#This Row],[Дата поступления]]</f>
        <v>0</v>
      </c>
      <c r="W1207" s="47">
        <f>Таблица1[[#This Row],[Дата поступления]]-Таблица1[[#This Row],[Дата рождения]]</f>
        <v>0</v>
      </c>
    </row>
    <row r="1208" spans="22:23" ht="24.75" customHeight="1" x14ac:dyDescent="0.25">
      <c r="V1208" s="47">
        <f>Таблица1[[#This Row],[Дата перевода]]-Таблица1[[#This Row],[Дата поступления]]</f>
        <v>0</v>
      </c>
      <c r="W1208" s="47">
        <f>Таблица1[[#This Row],[Дата поступления]]-Таблица1[[#This Row],[Дата рождения]]</f>
        <v>0</v>
      </c>
    </row>
    <row r="1209" spans="22:23" ht="24.75" customHeight="1" x14ac:dyDescent="0.25">
      <c r="V1209" s="47">
        <f>Таблица1[[#This Row],[Дата перевода]]-Таблица1[[#This Row],[Дата поступления]]</f>
        <v>0</v>
      </c>
      <c r="W1209" s="47">
        <f>Таблица1[[#This Row],[Дата поступления]]-Таблица1[[#This Row],[Дата рождения]]</f>
        <v>0</v>
      </c>
    </row>
    <row r="1210" spans="22:23" ht="24.75" customHeight="1" x14ac:dyDescent="0.25">
      <c r="V1210" s="47">
        <f>Таблица1[[#This Row],[Дата перевода]]-Таблица1[[#This Row],[Дата поступления]]</f>
        <v>0</v>
      </c>
      <c r="W1210" s="47">
        <f>Таблица1[[#This Row],[Дата поступления]]-Таблица1[[#This Row],[Дата рождения]]</f>
        <v>0</v>
      </c>
    </row>
    <row r="1211" spans="22:23" ht="24.75" customHeight="1" x14ac:dyDescent="0.25">
      <c r="V1211" s="47">
        <f>Таблица1[[#This Row],[Дата перевода]]-Таблица1[[#This Row],[Дата поступления]]</f>
        <v>0</v>
      </c>
      <c r="W1211" s="47">
        <f>Таблица1[[#This Row],[Дата поступления]]-Таблица1[[#This Row],[Дата рождения]]</f>
        <v>0</v>
      </c>
    </row>
    <row r="1212" spans="22:23" ht="24.75" customHeight="1" x14ac:dyDescent="0.25">
      <c r="V1212" s="47">
        <f>Таблица1[[#This Row],[Дата перевода]]-Таблица1[[#This Row],[Дата поступления]]</f>
        <v>0</v>
      </c>
      <c r="W1212" s="47">
        <f>Таблица1[[#This Row],[Дата поступления]]-Таблица1[[#This Row],[Дата рождения]]</f>
        <v>0</v>
      </c>
    </row>
    <row r="1213" spans="22:23" ht="24.75" customHeight="1" x14ac:dyDescent="0.25">
      <c r="V1213" s="47">
        <f>Таблица1[[#This Row],[Дата перевода]]-Таблица1[[#This Row],[Дата поступления]]</f>
        <v>0</v>
      </c>
      <c r="W1213" s="47">
        <f>Таблица1[[#This Row],[Дата поступления]]-Таблица1[[#This Row],[Дата рождения]]</f>
        <v>0</v>
      </c>
    </row>
    <row r="1214" spans="22:23" ht="24.75" customHeight="1" x14ac:dyDescent="0.25">
      <c r="V1214" s="47">
        <f>Таблица1[[#This Row],[Дата перевода]]-Таблица1[[#This Row],[Дата поступления]]</f>
        <v>0</v>
      </c>
      <c r="W1214" s="47">
        <f>Таблица1[[#This Row],[Дата поступления]]-Таблица1[[#This Row],[Дата рождения]]</f>
        <v>0</v>
      </c>
    </row>
    <row r="1215" spans="22:23" ht="24.75" customHeight="1" x14ac:dyDescent="0.25">
      <c r="V1215" s="47">
        <f>Таблица1[[#This Row],[Дата перевода]]-Таблица1[[#This Row],[Дата поступления]]</f>
        <v>0</v>
      </c>
      <c r="W1215" s="47">
        <f>Таблица1[[#This Row],[Дата поступления]]-Таблица1[[#This Row],[Дата рождения]]</f>
        <v>0</v>
      </c>
    </row>
    <row r="1216" spans="22:23" ht="24.75" customHeight="1" x14ac:dyDescent="0.25">
      <c r="V1216" s="47">
        <f>Таблица1[[#This Row],[Дата перевода]]-Таблица1[[#This Row],[Дата поступления]]</f>
        <v>0</v>
      </c>
      <c r="W1216" s="47">
        <f>Таблица1[[#This Row],[Дата поступления]]-Таблица1[[#This Row],[Дата рождения]]</f>
        <v>0</v>
      </c>
    </row>
    <row r="1217" spans="22:23" ht="24.75" customHeight="1" x14ac:dyDescent="0.25">
      <c r="V1217" s="47">
        <f>Таблица1[[#This Row],[Дата перевода]]-Таблица1[[#This Row],[Дата поступления]]</f>
        <v>0</v>
      </c>
      <c r="W1217" s="47">
        <f>Таблица1[[#This Row],[Дата поступления]]-Таблица1[[#This Row],[Дата рождения]]</f>
        <v>0</v>
      </c>
    </row>
    <row r="1218" spans="22:23" ht="24.75" customHeight="1" x14ac:dyDescent="0.25">
      <c r="V1218" s="47">
        <f>Таблица1[[#This Row],[Дата перевода]]-Таблица1[[#This Row],[Дата поступления]]</f>
        <v>0</v>
      </c>
      <c r="W1218" s="47">
        <f>Таблица1[[#This Row],[Дата поступления]]-Таблица1[[#This Row],[Дата рождения]]</f>
        <v>0</v>
      </c>
    </row>
    <row r="1219" spans="22:23" ht="24.75" customHeight="1" x14ac:dyDescent="0.25">
      <c r="V1219" s="47">
        <f>Таблица1[[#This Row],[Дата перевода]]-Таблица1[[#This Row],[Дата поступления]]</f>
        <v>0</v>
      </c>
      <c r="W1219" s="47">
        <f>Таблица1[[#This Row],[Дата поступления]]-Таблица1[[#This Row],[Дата рождения]]</f>
        <v>0</v>
      </c>
    </row>
    <row r="1220" spans="22:23" ht="24.75" customHeight="1" x14ac:dyDescent="0.25">
      <c r="V1220" s="47">
        <f>Таблица1[[#This Row],[Дата перевода]]-Таблица1[[#This Row],[Дата поступления]]</f>
        <v>0</v>
      </c>
      <c r="W1220" s="47">
        <f>Таблица1[[#This Row],[Дата поступления]]-Таблица1[[#This Row],[Дата рождения]]</f>
        <v>0</v>
      </c>
    </row>
    <row r="1221" spans="22:23" ht="24.75" customHeight="1" x14ac:dyDescent="0.25">
      <c r="V1221" s="47">
        <f>Таблица1[[#This Row],[Дата перевода]]-Таблица1[[#This Row],[Дата поступления]]</f>
        <v>0</v>
      </c>
      <c r="W1221" s="47">
        <f>Таблица1[[#This Row],[Дата поступления]]-Таблица1[[#This Row],[Дата рождения]]</f>
        <v>0</v>
      </c>
    </row>
    <row r="1222" spans="22:23" ht="24.75" customHeight="1" x14ac:dyDescent="0.25">
      <c r="V1222" s="47">
        <f>Таблица1[[#This Row],[Дата перевода]]-Таблица1[[#This Row],[Дата поступления]]</f>
        <v>0</v>
      </c>
      <c r="W1222" s="47">
        <f>Таблица1[[#This Row],[Дата поступления]]-Таблица1[[#This Row],[Дата рождения]]</f>
        <v>0</v>
      </c>
    </row>
    <row r="1223" spans="22:23" ht="24.75" customHeight="1" x14ac:dyDescent="0.25">
      <c r="V1223" s="47">
        <f>Таблица1[[#This Row],[Дата перевода]]-Таблица1[[#This Row],[Дата поступления]]</f>
        <v>0</v>
      </c>
      <c r="W1223" s="47">
        <f>Таблица1[[#This Row],[Дата поступления]]-Таблица1[[#This Row],[Дата рождения]]</f>
        <v>0</v>
      </c>
    </row>
    <row r="1224" spans="22:23" ht="24.75" customHeight="1" x14ac:dyDescent="0.25">
      <c r="V1224" s="47">
        <f>Таблица1[[#This Row],[Дата перевода]]-Таблица1[[#This Row],[Дата поступления]]</f>
        <v>0</v>
      </c>
      <c r="W1224" s="47">
        <f>Таблица1[[#This Row],[Дата поступления]]-Таблица1[[#This Row],[Дата рождения]]</f>
        <v>0</v>
      </c>
    </row>
    <row r="1225" spans="22:23" ht="24.75" customHeight="1" x14ac:dyDescent="0.25">
      <c r="V1225" s="47">
        <f>Таблица1[[#This Row],[Дата перевода]]-Таблица1[[#This Row],[Дата поступления]]</f>
        <v>0</v>
      </c>
      <c r="W1225" s="47">
        <f>Таблица1[[#This Row],[Дата поступления]]-Таблица1[[#This Row],[Дата рождения]]</f>
        <v>0</v>
      </c>
    </row>
    <row r="1226" spans="22:23" ht="24.75" customHeight="1" x14ac:dyDescent="0.25">
      <c r="V1226" s="47">
        <f>Таблица1[[#This Row],[Дата перевода]]-Таблица1[[#This Row],[Дата поступления]]</f>
        <v>0</v>
      </c>
      <c r="W1226" s="47">
        <f>Таблица1[[#This Row],[Дата поступления]]-Таблица1[[#This Row],[Дата рождения]]</f>
        <v>0</v>
      </c>
    </row>
    <row r="1227" spans="22:23" ht="24.75" customHeight="1" x14ac:dyDescent="0.25">
      <c r="V1227" s="47">
        <f>Таблица1[[#This Row],[Дата перевода]]-Таблица1[[#This Row],[Дата поступления]]</f>
        <v>0</v>
      </c>
      <c r="W1227" s="47">
        <f>Таблица1[[#This Row],[Дата поступления]]-Таблица1[[#This Row],[Дата рождения]]</f>
        <v>0</v>
      </c>
    </row>
    <row r="1228" spans="22:23" ht="24.75" customHeight="1" x14ac:dyDescent="0.25">
      <c r="V1228" s="47">
        <f>Таблица1[[#This Row],[Дата перевода]]-Таблица1[[#This Row],[Дата поступления]]</f>
        <v>0</v>
      </c>
      <c r="W1228" s="47">
        <f>Таблица1[[#This Row],[Дата поступления]]-Таблица1[[#This Row],[Дата рождения]]</f>
        <v>0</v>
      </c>
    </row>
    <row r="1229" spans="22:23" ht="24.75" customHeight="1" x14ac:dyDescent="0.25">
      <c r="V1229" s="47">
        <f>Таблица1[[#This Row],[Дата перевода]]-Таблица1[[#This Row],[Дата поступления]]</f>
        <v>0</v>
      </c>
      <c r="W1229" s="47">
        <f>Таблица1[[#This Row],[Дата поступления]]-Таблица1[[#This Row],[Дата рождения]]</f>
        <v>0</v>
      </c>
    </row>
    <row r="1230" spans="22:23" ht="24.75" customHeight="1" x14ac:dyDescent="0.25">
      <c r="V1230" s="47">
        <f>Таблица1[[#This Row],[Дата перевода]]-Таблица1[[#This Row],[Дата поступления]]</f>
        <v>0</v>
      </c>
      <c r="W1230" s="47">
        <f>Таблица1[[#This Row],[Дата поступления]]-Таблица1[[#This Row],[Дата рождения]]</f>
        <v>0</v>
      </c>
    </row>
    <row r="1231" spans="22:23" ht="24.75" customHeight="1" x14ac:dyDescent="0.25">
      <c r="V1231" s="47">
        <f>Таблица1[[#This Row],[Дата перевода]]-Таблица1[[#This Row],[Дата поступления]]</f>
        <v>0</v>
      </c>
      <c r="W1231" s="47">
        <f>Таблица1[[#This Row],[Дата поступления]]-Таблица1[[#This Row],[Дата рождения]]</f>
        <v>0</v>
      </c>
    </row>
    <row r="1232" spans="22:23" ht="24.75" customHeight="1" x14ac:dyDescent="0.25">
      <c r="V1232" s="47">
        <f>Таблица1[[#This Row],[Дата перевода]]-Таблица1[[#This Row],[Дата поступления]]</f>
        <v>0</v>
      </c>
      <c r="W1232" s="47">
        <f>Таблица1[[#This Row],[Дата поступления]]-Таблица1[[#This Row],[Дата рождения]]</f>
        <v>0</v>
      </c>
    </row>
    <row r="1233" spans="22:23" ht="24.75" customHeight="1" x14ac:dyDescent="0.25">
      <c r="V1233" s="47">
        <f>Таблица1[[#This Row],[Дата перевода]]-Таблица1[[#This Row],[Дата поступления]]</f>
        <v>0</v>
      </c>
      <c r="W1233" s="47">
        <f>Таблица1[[#This Row],[Дата поступления]]-Таблица1[[#This Row],[Дата рождения]]</f>
        <v>0</v>
      </c>
    </row>
    <row r="1234" spans="22:23" ht="24.75" customHeight="1" x14ac:dyDescent="0.25">
      <c r="V1234" s="47">
        <f>Таблица1[[#This Row],[Дата перевода]]-Таблица1[[#This Row],[Дата поступления]]</f>
        <v>0</v>
      </c>
      <c r="W1234" s="47">
        <f>Таблица1[[#This Row],[Дата поступления]]-Таблица1[[#This Row],[Дата рождения]]</f>
        <v>0</v>
      </c>
    </row>
    <row r="1235" spans="22:23" ht="24.75" customHeight="1" x14ac:dyDescent="0.25">
      <c r="V1235" s="47">
        <f>Таблица1[[#This Row],[Дата перевода]]-Таблица1[[#This Row],[Дата поступления]]</f>
        <v>0</v>
      </c>
      <c r="W1235" s="47">
        <f>Таблица1[[#This Row],[Дата поступления]]-Таблица1[[#This Row],[Дата рождения]]</f>
        <v>0</v>
      </c>
    </row>
    <row r="1236" spans="22:23" ht="24.75" customHeight="1" x14ac:dyDescent="0.25">
      <c r="V1236" s="47">
        <f>Таблица1[[#This Row],[Дата перевода]]-Таблица1[[#This Row],[Дата поступления]]</f>
        <v>0</v>
      </c>
      <c r="W1236" s="47">
        <f>Таблица1[[#This Row],[Дата поступления]]-Таблица1[[#This Row],[Дата рождения]]</f>
        <v>0</v>
      </c>
    </row>
    <row r="1237" spans="22:23" ht="24.75" customHeight="1" x14ac:dyDescent="0.25">
      <c r="V1237" s="47">
        <f>Таблица1[[#This Row],[Дата перевода]]-Таблица1[[#This Row],[Дата поступления]]</f>
        <v>0</v>
      </c>
      <c r="W1237" s="47">
        <f>Таблица1[[#This Row],[Дата поступления]]-Таблица1[[#This Row],[Дата рождения]]</f>
        <v>0</v>
      </c>
    </row>
    <row r="1238" spans="22:23" ht="24.75" customHeight="1" x14ac:dyDescent="0.25">
      <c r="V1238" s="47">
        <f>Таблица1[[#This Row],[Дата перевода]]-Таблица1[[#This Row],[Дата поступления]]</f>
        <v>0</v>
      </c>
      <c r="W1238" s="47">
        <f>Таблица1[[#This Row],[Дата поступления]]-Таблица1[[#This Row],[Дата рождения]]</f>
        <v>0</v>
      </c>
    </row>
    <row r="1239" spans="22:23" ht="24.75" customHeight="1" x14ac:dyDescent="0.25">
      <c r="V1239" s="47">
        <f>Таблица1[[#This Row],[Дата перевода]]-Таблица1[[#This Row],[Дата поступления]]</f>
        <v>0</v>
      </c>
      <c r="W1239" s="47">
        <f>Таблица1[[#This Row],[Дата поступления]]-Таблица1[[#This Row],[Дата рождения]]</f>
        <v>0</v>
      </c>
    </row>
    <row r="1240" spans="22:23" ht="24.75" customHeight="1" x14ac:dyDescent="0.25">
      <c r="V1240" s="47">
        <f>Таблица1[[#This Row],[Дата перевода]]-Таблица1[[#This Row],[Дата поступления]]</f>
        <v>0</v>
      </c>
      <c r="W1240" s="47">
        <f>Таблица1[[#This Row],[Дата поступления]]-Таблица1[[#This Row],[Дата рождения]]</f>
        <v>0</v>
      </c>
    </row>
    <row r="1241" spans="22:23" ht="24.75" customHeight="1" x14ac:dyDescent="0.25">
      <c r="V1241" s="47">
        <f>Таблица1[[#This Row],[Дата перевода]]-Таблица1[[#This Row],[Дата поступления]]</f>
        <v>0</v>
      </c>
      <c r="W1241" s="47">
        <f>Таблица1[[#This Row],[Дата поступления]]-Таблица1[[#This Row],[Дата рождения]]</f>
        <v>0</v>
      </c>
    </row>
    <row r="1242" spans="22:23" ht="24.75" customHeight="1" x14ac:dyDescent="0.25">
      <c r="V1242" s="47">
        <f>Таблица1[[#This Row],[Дата перевода]]-Таблица1[[#This Row],[Дата поступления]]</f>
        <v>0</v>
      </c>
      <c r="W1242" s="47">
        <f>Таблица1[[#This Row],[Дата поступления]]-Таблица1[[#This Row],[Дата рождения]]</f>
        <v>0</v>
      </c>
    </row>
    <row r="1243" spans="22:23" ht="24.75" customHeight="1" x14ac:dyDescent="0.25">
      <c r="V1243" s="47">
        <f>Таблица1[[#This Row],[Дата перевода]]-Таблица1[[#This Row],[Дата поступления]]</f>
        <v>0</v>
      </c>
      <c r="W1243" s="47">
        <f>Таблица1[[#This Row],[Дата поступления]]-Таблица1[[#This Row],[Дата рождения]]</f>
        <v>0</v>
      </c>
    </row>
    <row r="1244" spans="22:23" ht="24.75" customHeight="1" x14ac:dyDescent="0.25">
      <c r="V1244" s="47">
        <f>Таблица1[[#This Row],[Дата перевода]]-Таблица1[[#This Row],[Дата поступления]]</f>
        <v>0</v>
      </c>
      <c r="W1244" s="47">
        <f>Таблица1[[#This Row],[Дата поступления]]-Таблица1[[#This Row],[Дата рождения]]</f>
        <v>0</v>
      </c>
    </row>
    <row r="1245" spans="22:23" ht="24.75" customHeight="1" x14ac:dyDescent="0.25">
      <c r="V1245" s="47">
        <f>Таблица1[[#This Row],[Дата перевода]]-Таблица1[[#This Row],[Дата поступления]]</f>
        <v>0</v>
      </c>
      <c r="W1245" s="47">
        <f>Таблица1[[#This Row],[Дата поступления]]-Таблица1[[#This Row],[Дата рождения]]</f>
        <v>0</v>
      </c>
    </row>
    <row r="1246" spans="22:23" ht="24.75" customHeight="1" x14ac:dyDescent="0.25">
      <c r="V1246" s="47">
        <f>Таблица1[[#This Row],[Дата перевода]]-Таблица1[[#This Row],[Дата поступления]]</f>
        <v>0</v>
      </c>
      <c r="W1246" s="47">
        <f>Таблица1[[#This Row],[Дата поступления]]-Таблица1[[#This Row],[Дата рождения]]</f>
        <v>0</v>
      </c>
    </row>
    <row r="1247" spans="22:23" ht="24.75" customHeight="1" x14ac:dyDescent="0.25">
      <c r="V1247" s="47">
        <f>Таблица1[[#This Row],[Дата перевода]]-Таблица1[[#This Row],[Дата поступления]]</f>
        <v>0</v>
      </c>
      <c r="W1247" s="47">
        <f>Таблица1[[#This Row],[Дата поступления]]-Таблица1[[#This Row],[Дата рождения]]</f>
        <v>0</v>
      </c>
    </row>
    <row r="1248" spans="22:23" ht="24.75" customHeight="1" x14ac:dyDescent="0.25">
      <c r="V1248" s="47">
        <f>Таблица1[[#This Row],[Дата перевода]]-Таблица1[[#This Row],[Дата поступления]]</f>
        <v>0</v>
      </c>
      <c r="W1248" s="47">
        <f>Таблица1[[#This Row],[Дата поступления]]-Таблица1[[#This Row],[Дата рождения]]</f>
        <v>0</v>
      </c>
    </row>
    <row r="1249" spans="22:23" ht="24.75" customHeight="1" x14ac:dyDescent="0.25">
      <c r="V1249" s="47">
        <f>Таблица1[[#This Row],[Дата перевода]]-Таблица1[[#This Row],[Дата поступления]]</f>
        <v>0</v>
      </c>
      <c r="W1249" s="47">
        <f>Таблица1[[#This Row],[Дата поступления]]-Таблица1[[#This Row],[Дата рождения]]</f>
        <v>0</v>
      </c>
    </row>
    <row r="1250" spans="22:23" ht="24.75" customHeight="1" x14ac:dyDescent="0.25">
      <c r="V1250" s="47">
        <f>Таблица1[[#This Row],[Дата перевода]]-Таблица1[[#This Row],[Дата поступления]]</f>
        <v>0</v>
      </c>
      <c r="W1250" s="47">
        <f>Таблица1[[#This Row],[Дата поступления]]-Таблица1[[#This Row],[Дата рождения]]</f>
        <v>0</v>
      </c>
    </row>
    <row r="1251" spans="22:23" ht="24.75" customHeight="1" x14ac:dyDescent="0.25">
      <c r="V1251" s="47">
        <f>Таблица1[[#This Row],[Дата перевода]]-Таблица1[[#This Row],[Дата поступления]]</f>
        <v>0</v>
      </c>
      <c r="W1251" s="47">
        <f>Таблица1[[#This Row],[Дата поступления]]-Таблица1[[#This Row],[Дата рождения]]</f>
        <v>0</v>
      </c>
    </row>
    <row r="1252" spans="22:23" ht="24.75" customHeight="1" x14ac:dyDescent="0.25">
      <c r="V1252" s="47">
        <f>Таблица1[[#This Row],[Дата перевода]]-Таблица1[[#This Row],[Дата поступления]]</f>
        <v>0</v>
      </c>
      <c r="W1252" s="47">
        <f>Таблица1[[#This Row],[Дата поступления]]-Таблица1[[#This Row],[Дата рождения]]</f>
        <v>0</v>
      </c>
    </row>
    <row r="1253" spans="22:23" ht="24.75" customHeight="1" x14ac:dyDescent="0.25">
      <c r="V1253" s="47">
        <f>Таблица1[[#This Row],[Дата перевода]]-Таблица1[[#This Row],[Дата поступления]]</f>
        <v>0</v>
      </c>
      <c r="W1253" s="47">
        <f>Таблица1[[#This Row],[Дата поступления]]-Таблица1[[#This Row],[Дата рождения]]</f>
        <v>0</v>
      </c>
    </row>
    <row r="1254" spans="22:23" ht="24.75" customHeight="1" x14ac:dyDescent="0.25">
      <c r="V1254" s="47">
        <f>Таблица1[[#This Row],[Дата перевода]]-Таблица1[[#This Row],[Дата поступления]]</f>
        <v>0</v>
      </c>
      <c r="W1254" s="47">
        <f>Таблица1[[#This Row],[Дата поступления]]-Таблица1[[#This Row],[Дата рождения]]</f>
        <v>0</v>
      </c>
    </row>
    <row r="1255" spans="22:23" ht="24.75" customHeight="1" x14ac:dyDescent="0.25">
      <c r="V1255" s="47">
        <f>Таблица1[[#This Row],[Дата перевода]]-Таблица1[[#This Row],[Дата поступления]]</f>
        <v>0</v>
      </c>
      <c r="W1255" s="47">
        <f>Таблица1[[#This Row],[Дата поступления]]-Таблица1[[#This Row],[Дата рождения]]</f>
        <v>0</v>
      </c>
    </row>
    <row r="1256" spans="22:23" ht="24.75" customHeight="1" x14ac:dyDescent="0.25">
      <c r="V1256" s="47">
        <f>Таблица1[[#This Row],[Дата перевода]]-Таблица1[[#This Row],[Дата поступления]]</f>
        <v>0</v>
      </c>
      <c r="W1256" s="47">
        <f>Таблица1[[#This Row],[Дата поступления]]-Таблица1[[#This Row],[Дата рождения]]</f>
        <v>0</v>
      </c>
    </row>
    <row r="1257" spans="22:23" ht="24.75" customHeight="1" x14ac:dyDescent="0.25">
      <c r="V1257" s="47">
        <f>Таблица1[[#This Row],[Дата перевода]]-Таблица1[[#This Row],[Дата поступления]]</f>
        <v>0</v>
      </c>
      <c r="W1257" s="47">
        <f>Таблица1[[#This Row],[Дата поступления]]-Таблица1[[#This Row],[Дата рождения]]</f>
        <v>0</v>
      </c>
    </row>
    <row r="1258" spans="22:23" ht="24.75" customHeight="1" x14ac:dyDescent="0.25">
      <c r="V1258" s="47">
        <f>Таблица1[[#This Row],[Дата перевода]]-Таблица1[[#This Row],[Дата поступления]]</f>
        <v>0</v>
      </c>
      <c r="W1258" s="47">
        <f>Таблица1[[#This Row],[Дата поступления]]-Таблица1[[#This Row],[Дата рождения]]</f>
        <v>0</v>
      </c>
    </row>
    <row r="1259" spans="22:23" ht="24.75" customHeight="1" x14ac:dyDescent="0.25">
      <c r="V1259" s="47">
        <f>Таблица1[[#This Row],[Дата перевода]]-Таблица1[[#This Row],[Дата поступления]]</f>
        <v>0</v>
      </c>
      <c r="W1259" s="47">
        <f>Таблица1[[#This Row],[Дата поступления]]-Таблица1[[#This Row],[Дата рождения]]</f>
        <v>0</v>
      </c>
    </row>
    <row r="1260" spans="22:23" ht="24.75" customHeight="1" x14ac:dyDescent="0.25">
      <c r="V1260" s="47">
        <f>Таблица1[[#This Row],[Дата перевода]]-Таблица1[[#This Row],[Дата поступления]]</f>
        <v>0</v>
      </c>
      <c r="W1260" s="47">
        <f>Таблица1[[#This Row],[Дата поступления]]-Таблица1[[#This Row],[Дата рождения]]</f>
        <v>0</v>
      </c>
    </row>
    <row r="1261" spans="22:23" ht="24.75" customHeight="1" x14ac:dyDescent="0.25">
      <c r="V1261" s="47">
        <f>Таблица1[[#This Row],[Дата перевода]]-Таблица1[[#This Row],[Дата поступления]]</f>
        <v>0</v>
      </c>
      <c r="W1261" s="47">
        <f>Таблица1[[#This Row],[Дата поступления]]-Таблица1[[#This Row],[Дата рождения]]</f>
        <v>0</v>
      </c>
    </row>
    <row r="1262" spans="22:23" ht="24.75" customHeight="1" x14ac:dyDescent="0.25">
      <c r="V1262" s="47">
        <f>Таблица1[[#This Row],[Дата перевода]]-Таблица1[[#This Row],[Дата поступления]]</f>
        <v>0</v>
      </c>
      <c r="W1262" s="47">
        <f>Таблица1[[#This Row],[Дата поступления]]-Таблица1[[#This Row],[Дата рождения]]</f>
        <v>0</v>
      </c>
    </row>
    <row r="1263" spans="22:23" ht="24.75" customHeight="1" x14ac:dyDescent="0.25">
      <c r="V1263" s="47">
        <f>Таблица1[[#This Row],[Дата перевода]]-Таблица1[[#This Row],[Дата поступления]]</f>
        <v>0</v>
      </c>
      <c r="W1263" s="47">
        <f>Таблица1[[#This Row],[Дата поступления]]-Таблица1[[#This Row],[Дата рождения]]</f>
        <v>0</v>
      </c>
    </row>
    <row r="1264" spans="22:23" ht="24.75" customHeight="1" x14ac:dyDescent="0.25">
      <c r="V1264" s="47">
        <f>Таблица1[[#This Row],[Дата перевода]]-Таблица1[[#This Row],[Дата поступления]]</f>
        <v>0</v>
      </c>
      <c r="W1264" s="47">
        <f>Таблица1[[#This Row],[Дата поступления]]-Таблица1[[#This Row],[Дата рождения]]</f>
        <v>0</v>
      </c>
    </row>
    <row r="1265" spans="22:23" ht="24.75" customHeight="1" x14ac:dyDescent="0.25">
      <c r="V1265" s="47">
        <f>Таблица1[[#This Row],[Дата перевода]]-Таблица1[[#This Row],[Дата поступления]]</f>
        <v>0</v>
      </c>
      <c r="W1265" s="47">
        <f>Таблица1[[#This Row],[Дата поступления]]-Таблица1[[#This Row],[Дата рождения]]</f>
        <v>0</v>
      </c>
    </row>
    <row r="1266" spans="22:23" ht="24.75" customHeight="1" x14ac:dyDescent="0.25">
      <c r="V1266" s="47">
        <f>Таблица1[[#This Row],[Дата перевода]]-Таблица1[[#This Row],[Дата поступления]]</f>
        <v>0</v>
      </c>
      <c r="W1266" s="47">
        <f>Таблица1[[#This Row],[Дата поступления]]-Таблица1[[#This Row],[Дата рождения]]</f>
        <v>0</v>
      </c>
    </row>
    <row r="1267" spans="22:23" ht="24.75" customHeight="1" x14ac:dyDescent="0.25">
      <c r="V1267" s="47">
        <f>Таблица1[[#This Row],[Дата перевода]]-Таблица1[[#This Row],[Дата поступления]]</f>
        <v>0</v>
      </c>
      <c r="W1267" s="47">
        <f>Таблица1[[#This Row],[Дата поступления]]-Таблица1[[#This Row],[Дата рождения]]</f>
        <v>0</v>
      </c>
    </row>
    <row r="1268" spans="22:23" ht="24.75" customHeight="1" x14ac:dyDescent="0.25">
      <c r="V1268" s="47">
        <f>Таблица1[[#This Row],[Дата перевода]]-Таблица1[[#This Row],[Дата поступления]]</f>
        <v>0</v>
      </c>
      <c r="W1268" s="47">
        <f>Таблица1[[#This Row],[Дата поступления]]-Таблица1[[#This Row],[Дата рождения]]</f>
        <v>0</v>
      </c>
    </row>
    <row r="1269" spans="22:23" ht="24.75" customHeight="1" x14ac:dyDescent="0.25">
      <c r="V1269" s="47">
        <f>Таблица1[[#This Row],[Дата перевода]]-Таблица1[[#This Row],[Дата поступления]]</f>
        <v>0</v>
      </c>
      <c r="W1269" s="47">
        <f>Таблица1[[#This Row],[Дата поступления]]-Таблица1[[#This Row],[Дата рождения]]</f>
        <v>0</v>
      </c>
    </row>
    <row r="1270" spans="22:23" ht="24.75" customHeight="1" x14ac:dyDescent="0.25">
      <c r="V1270" s="47">
        <f>Таблица1[[#This Row],[Дата перевода]]-Таблица1[[#This Row],[Дата поступления]]</f>
        <v>0</v>
      </c>
      <c r="W1270" s="47">
        <f>Таблица1[[#This Row],[Дата поступления]]-Таблица1[[#This Row],[Дата рождения]]</f>
        <v>0</v>
      </c>
    </row>
    <row r="1271" spans="22:23" ht="24.75" customHeight="1" x14ac:dyDescent="0.25">
      <c r="V1271" s="47">
        <f>Таблица1[[#This Row],[Дата перевода]]-Таблица1[[#This Row],[Дата поступления]]</f>
        <v>0</v>
      </c>
      <c r="W1271" s="47">
        <f>Таблица1[[#This Row],[Дата поступления]]-Таблица1[[#This Row],[Дата рождения]]</f>
        <v>0</v>
      </c>
    </row>
    <row r="1272" spans="22:23" ht="24.75" customHeight="1" x14ac:dyDescent="0.25">
      <c r="V1272" s="47">
        <f>Таблица1[[#This Row],[Дата перевода]]-Таблица1[[#This Row],[Дата поступления]]</f>
        <v>0</v>
      </c>
      <c r="W1272" s="47">
        <f>Таблица1[[#This Row],[Дата поступления]]-Таблица1[[#This Row],[Дата рождения]]</f>
        <v>0</v>
      </c>
    </row>
    <row r="1273" spans="22:23" ht="24.75" customHeight="1" x14ac:dyDescent="0.25">
      <c r="V1273" s="47">
        <f>Таблица1[[#This Row],[Дата перевода]]-Таблица1[[#This Row],[Дата поступления]]</f>
        <v>0</v>
      </c>
      <c r="W1273" s="47">
        <f>Таблица1[[#This Row],[Дата поступления]]-Таблица1[[#This Row],[Дата рождения]]</f>
        <v>0</v>
      </c>
    </row>
    <row r="1274" spans="22:23" ht="24.75" customHeight="1" x14ac:dyDescent="0.25">
      <c r="V1274" s="47">
        <f>Таблица1[[#This Row],[Дата перевода]]-Таблица1[[#This Row],[Дата поступления]]</f>
        <v>0</v>
      </c>
      <c r="W1274" s="47">
        <f>Таблица1[[#This Row],[Дата поступления]]-Таблица1[[#This Row],[Дата рождения]]</f>
        <v>0</v>
      </c>
    </row>
    <row r="1275" spans="22:23" ht="24.75" customHeight="1" x14ac:dyDescent="0.25">
      <c r="V1275" s="47">
        <f>Таблица1[[#This Row],[Дата перевода]]-Таблица1[[#This Row],[Дата поступления]]</f>
        <v>0</v>
      </c>
      <c r="W1275" s="47">
        <f>Таблица1[[#This Row],[Дата поступления]]-Таблица1[[#This Row],[Дата рождения]]</f>
        <v>0</v>
      </c>
    </row>
    <row r="1276" spans="22:23" ht="24.75" customHeight="1" x14ac:dyDescent="0.25">
      <c r="V1276" s="47">
        <f>Таблица1[[#This Row],[Дата перевода]]-Таблица1[[#This Row],[Дата поступления]]</f>
        <v>0</v>
      </c>
      <c r="W1276" s="47">
        <f>Таблица1[[#This Row],[Дата поступления]]-Таблица1[[#This Row],[Дата рождения]]</f>
        <v>0</v>
      </c>
    </row>
    <row r="1277" spans="22:23" ht="24.75" customHeight="1" x14ac:dyDescent="0.25">
      <c r="V1277" s="47">
        <f>Таблица1[[#This Row],[Дата перевода]]-Таблица1[[#This Row],[Дата поступления]]</f>
        <v>0</v>
      </c>
      <c r="W1277" s="47">
        <f>Таблица1[[#This Row],[Дата поступления]]-Таблица1[[#This Row],[Дата рождения]]</f>
        <v>0</v>
      </c>
    </row>
    <row r="1278" spans="22:23" ht="24.75" customHeight="1" x14ac:dyDescent="0.25">
      <c r="V1278" s="47">
        <f>Таблица1[[#This Row],[Дата перевода]]-Таблица1[[#This Row],[Дата поступления]]</f>
        <v>0</v>
      </c>
      <c r="W1278" s="47">
        <f>Таблица1[[#This Row],[Дата поступления]]-Таблица1[[#This Row],[Дата рождения]]</f>
        <v>0</v>
      </c>
    </row>
    <row r="1279" spans="22:23" ht="24.75" customHeight="1" x14ac:dyDescent="0.25">
      <c r="V1279" s="47">
        <f>Таблица1[[#This Row],[Дата перевода]]-Таблица1[[#This Row],[Дата поступления]]</f>
        <v>0</v>
      </c>
      <c r="W1279" s="47">
        <f>Таблица1[[#This Row],[Дата поступления]]-Таблица1[[#This Row],[Дата рождения]]</f>
        <v>0</v>
      </c>
    </row>
    <row r="1280" spans="22:23" ht="24.75" customHeight="1" x14ac:dyDescent="0.25">
      <c r="V1280" s="47">
        <f>Таблица1[[#This Row],[Дата перевода]]-Таблица1[[#This Row],[Дата поступления]]</f>
        <v>0</v>
      </c>
      <c r="W1280" s="47">
        <f>Таблица1[[#This Row],[Дата поступления]]-Таблица1[[#This Row],[Дата рождения]]</f>
        <v>0</v>
      </c>
    </row>
    <row r="1281" spans="22:23" ht="24.75" customHeight="1" x14ac:dyDescent="0.25">
      <c r="V1281" s="47">
        <f>Таблица1[[#This Row],[Дата перевода]]-Таблица1[[#This Row],[Дата поступления]]</f>
        <v>0</v>
      </c>
      <c r="W1281" s="47">
        <f>Таблица1[[#This Row],[Дата поступления]]-Таблица1[[#This Row],[Дата рождения]]</f>
        <v>0</v>
      </c>
    </row>
    <row r="1282" spans="22:23" ht="24.75" customHeight="1" x14ac:dyDescent="0.25">
      <c r="V1282" s="47">
        <f>Таблица1[[#This Row],[Дата перевода]]-Таблица1[[#This Row],[Дата поступления]]</f>
        <v>0</v>
      </c>
      <c r="W1282" s="47">
        <f>Таблица1[[#This Row],[Дата поступления]]-Таблица1[[#This Row],[Дата рождения]]</f>
        <v>0</v>
      </c>
    </row>
    <row r="1283" spans="22:23" ht="24.75" customHeight="1" x14ac:dyDescent="0.25">
      <c r="V1283" s="47">
        <f>Таблица1[[#This Row],[Дата перевода]]-Таблица1[[#This Row],[Дата поступления]]</f>
        <v>0</v>
      </c>
      <c r="W1283" s="47">
        <f>Таблица1[[#This Row],[Дата поступления]]-Таблица1[[#This Row],[Дата рождения]]</f>
        <v>0</v>
      </c>
    </row>
    <row r="1284" spans="22:23" ht="24.75" customHeight="1" x14ac:dyDescent="0.25">
      <c r="V1284" s="47">
        <f>Таблица1[[#This Row],[Дата перевода]]-Таблица1[[#This Row],[Дата поступления]]</f>
        <v>0</v>
      </c>
      <c r="W1284" s="47">
        <f>Таблица1[[#This Row],[Дата поступления]]-Таблица1[[#This Row],[Дата рождения]]</f>
        <v>0</v>
      </c>
    </row>
    <row r="1285" spans="22:23" ht="24.75" customHeight="1" x14ac:dyDescent="0.25">
      <c r="V1285" s="47">
        <f>Таблица1[[#This Row],[Дата перевода]]-Таблица1[[#This Row],[Дата поступления]]</f>
        <v>0</v>
      </c>
      <c r="W1285" s="47">
        <f>Таблица1[[#This Row],[Дата поступления]]-Таблица1[[#This Row],[Дата рождения]]</f>
        <v>0</v>
      </c>
    </row>
    <row r="1286" spans="22:23" ht="24.75" customHeight="1" x14ac:dyDescent="0.25">
      <c r="V1286" s="47">
        <f>Таблица1[[#This Row],[Дата перевода]]-Таблица1[[#This Row],[Дата поступления]]</f>
        <v>0</v>
      </c>
      <c r="W1286" s="47">
        <f>Таблица1[[#This Row],[Дата поступления]]-Таблица1[[#This Row],[Дата рождения]]</f>
        <v>0</v>
      </c>
    </row>
    <row r="1287" spans="22:23" ht="24.75" customHeight="1" x14ac:dyDescent="0.25">
      <c r="V1287" s="47">
        <f>Таблица1[[#This Row],[Дата перевода]]-Таблица1[[#This Row],[Дата поступления]]</f>
        <v>0</v>
      </c>
      <c r="W1287" s="47">
        <f>Таблица1[[#This Row],[Дата поступления]]-Таблица1[[#This Row],[Дата рождения]]</f>
        <v>0</v>
      </c>
    </row>
    <row r="1288" spans="22:23" ht="24.75" customHeight="1" x14ac:dyDescent="0.25">
      <c r="V1288" s="47">
        <f>Таблица1[[#This Row],[Дата перевода]]-Таблица1[[#This Row],[Дата поступления]]</f>
        <v>0</v>
      </c>
      <c r="W1288" s="47">
        <f>Таблица1[[#This Row],[Дата поступления]]-Таблица1[[#This Row],[Дата рождения]]</f>
        <v>0</v>
      </c>
    </row>
    <row r="1289" spans="22:23" ht="24.75" customHeight="1" x14ac:dyDescent="0.25">
      <c r="V1289" s="47">
        <f>Таблица1[[#This Row],[Дата перевода]]-Таблица1[[#This Row],[Дата поступления]]</f>
        <v>0</v>
      </c>
      <c r="W1289" s="47">
        <f>Таблица1[[#This Row],[Дата поступления]]-Таблица1[[#This Row],[Дата рождения]]</f>
        <v>0</v>
      </c>
    </row>
    <row r="1290" spans="22:23" ht="24.75" customHeight="1" x14ac:dyDescent="0.25">
      <c r="V1290" s="47">
        <f>Таблица1[[#This Row],[Дата перевода]]-Таблица1[[#This Row],[Дата поступления]]</f>
        <v>0</v>
      </c>
      <c r="W1290" s="47">
        <f>Таблица1[[#This Row],[Дата поступления]]-Таблица1[[#This Row],[Дата рождения]]</f>
        <v>0</v>
      </c>
    </row>
    <row r="1291" spans="22:23" ht="24.75" customHeight="1" x14ac:dyDescent="0.25">
      <c r="V1291" s="47">
        <f>Таблица1[[#This Row],[Дата перевода]]-Таблица1[[#This Row],[Дата поступления]]</f>
        <v>0</v>
      </c>
      <c r="W1291" s="47">
        <f>Таблица1[[#This Row],[Дата поступления]]-Таблица1[[#This Row],[Дата рождения]]</f>
        <v>0</v>
      </c>
    </row>
    <row r="1292" spans="22:23" ht="24.75" customHeight="1" x14ac:dyDescent="0.25">
      <c r="V1292" s="47">
        <f>Таблица1[[#This Row],[Дата перевода]]-Таблица1[[#This Row],[Дата поступления]]</f>
        <v>0</v>
      </c>
      <c r="W1292" s="47">
        <f>Таблица1[[#This Row],[Дата поступления]]-Таблица1[[#This Row],[Дата рождения]]</f>
        <v>0</v>
      </c>
    </row>
    <row r="1293" spans="22:23" ht="24.75" customHeight="1" x14ac:dyDescent="0.25">
      <c r="V1293" s="47">
        <f>Таблица1[[#This Row],[Дата перевода]]-Таблица1[[#This Row],[Дата поступления]]</f>
        <v>0</v>
      </c>
      <c r="W1293" s="47">
        <f>Таблица1[[#This Row],[Дата поступления]]-Таблица1[[#This Row],[Дата рождения]]</f>
        <v>0</v>
      </c>
    </row>
    <row r="1294" spans="22:23" ht="24.75" customHeight="1" x14ac:dyDescent="0.25">
      <c r="V1294" s="47">
        <f>Таблица1[[#This Row],[Дата перевода]]-Таблица1[[#This Row],[Дата поступления]]</f>
        <v>0</v>
      </c>
      <c r="W1294" s="47">
        <f>Таблица1[[#This Row],[Дата поступления]]-Таблица1[[#This Row],[Дата рождения]]</f>
        <v>0</v>
      </c>
    </row>
    <row r="1295" spans="22:23" ht="24.75" customHeight="1" x14ac:dyDescent="0.25">
      <c r="V1295" s="47">
        <f>Таблица1[[#This Row],[Дата перевода]]-Таблица1[[#This Row],[Дата поступления]]</f>
        <v>0</v>
      </c>
      <c r="W1295" s="47">
        <f>Таблица1[[#This Row],[Дата поступления]]-Таблица1[[#This Row],[Дата рождения]]</f>
        <v>0</v>
      </c>
    </row>
    <row r="1296" spans="22:23" ht="24.75" customHeight="1" x14ac:dyDescent="0.25">
      <c r="V1296" s="47">
        <f>Таблица1[[#This Row],[Дата перевода]]-Таблица1[[#This Row],[Дата поступления]]</f>
        <v>0</v>
      </c>
      <c r="W1296" s="47">
        <f>Таблица1[[#This Row],[Дата поступления]]-Таблица1[[#This Row],[Дата рождения]]</f>
        <v>0</v>
      </c>
    </row>
    <row r="1297" spans="22:23" ht="24.75" customHeight="1" x14ac:dyDescent="0.25">
      <c r="V1297" s="47">
        <f>Таблица1[[#This Row],[Дата перевода]]-Таблица1[[#This Row],[Дата поступления]]</f>
        <v>0</v>
      </c>
      <c r="W1297" s="47">
        <f>Таблица1[[#This Row],[Дата поступления]]-Таблица1[[#This Row],[Дата рождения]]</f>
        <v>0</v>
      </c>
    </row>
    <row r="1298" spans="22:23" ht="24.75" customHeight="1" x14ac:dyDescent="0.25">
      <c r="V1298" s="47">
        <f>Таблица1[[#This Row],[Дата перевода]]-Таблица1[[#This Row],[Дата поступления]]</f>
        <v>0</v>
      </c>
      <c r="W1298" s="47">
        <f>Таблица1[[#This Row],[Дата поступления]]-Таблица1[[#This Row],[Дата рождения]]</f>
        <v>0</v>
      </c>
    </row>
    <row r="1299" spans="22:23" ht="24.75" customHeight="1" x14ac:dyDescent="0.25">
      <c r="V1299" s="47">
        <f>Таблица1[[#This Row],[Дата перевода]]-Таблица1[[#This Row],[Дата поступления]]</f>
        <v>0</v>
      </c>
      <c r="W1299" s="47">
        <f>Таблица1[[#This Row],[Дата поступления]]-Таблица1[[#This Row],[Дата рождения]]</f>
        <v>0</v>
      </c>
    </row>
    <row r="1300" spans="22:23" ht="24.75" customHeight="1" x14ac:dyDescent="0.25">
      <c r="V1300" s="47">
        <f>Таблица1[[#This Row],[Дата перевода]]-Таблица1[[#This Row],[Дата поступления]]</f>
        <v>0</v>
      </c>
      <c r="W1300" s="47">
        <f>Таблица1[[#This Row],[Дата поступления]]-Таблица1[[#This Row],[Дата рождения]]</f>
        <v>0</v>
      </c>
    </row>
    <row r="1301" spans="22:23" ht="24.75" customHeight="1" x14ac:dyDescent="0.25">
      <c r="V1301" s="47">
        <f>Таблица1[[#This Row],[Дата перевода]]-Таблица1[[#This Row],[Дата поступления]]</f>
        <v>0</v>
      </c>
      <c r="W1301" s="47">
        <f>Таблица1[[#This Row],[Дата поступления]]-Таблица1[[#This Row],[Дата рождения]]</f>
        <v>0</v>
      </c>
    </row>
    <row r="1302" spans="22:23" ht="24.75" customHeight="1" x14ac:dyDescent="0.25">
      <c r="V1302" s="47">
        <f>Таблица1[[#This Row],[Дата перевода]]-Таблица1[[#This Row],[Дата поступления]]</f>
        <v>0</v>
      </c>
      <c r="W1302" s="47">
        <f>Таблица1[[#This Row],[Дата поступления]]-Таблица1[[#This Row],[Дата рождения]]</f>
        <v>0</v>
      </c>
    </row>
    <row r="1303" spans="22:23" ht="24.75" customHeight="1" x14ac:dyDescent="0.25">
      <c r="V1303" s="47">
        <f>Таблица1[[#This Row],[Дата перевода]]-Таблица1[[#This Row],[Дата поступления]]</f>
        <v>0</v>
      </c>
      <c r="W1303" s="47">
        <f>Таблица1[[#This Row],[Дата поступления]]-Таблица1[[#This Row],[Дата рождения]]</f>
        <v>0</v>
      </c>
    </row>
    <row r="1304" spans="22:23" ht="24.75" customHeight="1" x14ac:dyDescent="0.25">
      <c r="V1304" s="47">
        <f>Таблица1[[#This Row],[Дата перевода]]-Таблица1[[#This Row],[Дата поступления]]</f>
        <v>0</v>
      </c>
      <c r="W1304" s="47">
        <f>Таблица1[[#This Row],[Дата поступления]]-Таблица1[[#This Row],[Дата рождения]]</f>
        <v>0</v>
      </c>
    </row>
    <row r="1305" spans="22:23" ht="24.75" customHeight="1" x14ac:dyDescent="0.25">
      <c r="V1305" s="47">
        <f>Таблица1[[#This Row],[Дата перевода]]-Таблица1[[#This Row],[Дата поступления]]</f>
        <v>0</v>
      </c>
      <c r="W1305" s="47">
        <f>Таблица1[[#This Row],[Дата поступления]]-Таблица1[[#This Row],[Дата рождения]]</f>
        <v>0</v>
      </c>
    </row>
    <row r="1306" spans="22:23" ht="24.75" customHeight="1" x14ac:dyDescent="0.25">
      <c r="V1306" s="47">
        <f>Таблица1[[#This Row],[Дата перевода]]-Таблица1[[#This Row],[Дата поступления]]</f>
        <v>0</v>
      </c>
      <c r="W1306" s="47">
        <f>Таблица1[[#This Row],[Дата поступления]]-Таблица1[[#This Row],[Дата рождения]]</f>
        <v>0</v>
      </c>
    </row>
    <row r="1307" spans="22:23" ht="24.75" customHeight="1" x14ac:dyDescent="0.25">
      <c r="V1307" s="47">
        <f>Таблица1[[#This Row],[Дата перевода]]-Таблица1[[#This Row],[Дата поступления]]</f>
        <v>0</v>
      </c>
      <c r="W1307" s="47">
        <f>Таблица1[[#This Row],[Дата поступления]]-Таблица1[[#This Row],[Дата рождения]]</f>
        <v>0</v>
      </c>
    </row>
    <row r="1308" spans="22:23" ht="24.75" customHeight="1" x14ac:dyDescent="0.25">
      <c r="V1308" s="47">
        <f>Таблица1[[#This Row],[Дата перевода]]-Таблица1[[#This Row],[Дата поступления]]</f>
        <v>0</v>
      </c>
      <c r="W1308" s="47">
        <f>Таблица1[[#This Row],[Дата поступления]]-Таблица1[[#This Row],[Дата рождения]]</f>
        <v>0</v>
      </c>
    </row>
    <row r="1309" spans="22:23" ht="24.75" customHeight="1" x14ac:dyDescent="0.25">
      <c r="V1309" s="47">
        <f>Таблица1[[#This Row],[Дата перевода]]-Таблица1[[#This Row],[Дата поступления]]</f>
        <v>0</v>
      </c>
      <c r="W1309" s="47">
        <f>Таблица1[[#This Row],[Дата поступления]]-Таблица1[[#This Row],[Дата рождения]]</f>
        <v>0</v>
      </c>
    </row>
    <row r="1310" spans="22:23" ht="24.75" customHeight="1" x14ac:dyDescent="0.25">
      <c r="V1310" s="47">
        <f>Таблица1[[#This Row],[Дата перевода]]-Таблица1[[#This Row],[Дата поступления]]</f>
        <v>0</v>
      </c>
      <c r="W1310" s="47">
        <f>Таблица1[[#This Row],[Дата поступления]]-Таблица1[[#This Row],[Дата рождения]]</f>
        <v>0</v>
      </c>
    </row>
    <row r="1311" spans="22:23" ht="24.75" customHeight="1" x14ac:dyDescent="0.25">
      <c r="V1311" s="47">
        <f>Таблица1[[#This Row],[Дата перевода]]-Таблица1[[#This Row],[Дата поступления]]</f>
        <v>0</v>
      </c>
      <c r="W1311" s="47">
        <f>Таблица1[[#This Row],[Дата поступления]]-Таблица1[[#This Row],[Дата рождения]]</f>
        <v>0</v>
      </c>
    </row>
    <row r="1312" spans="22:23" ht="24.75" customHeight="1" x14ac:dyDescent="0.25">
      <c r="V1312" s="47">
        <f>Таблица1[[#This Row],[Дата перевода]]-Таблица1[[#This Row],[Дата поступления]]</f>
        <v>0</v>
      </c>
      <c r="W1312" s="47">
        <f>Таблица1[[#This Row],[Дата поступления]]-Таблица1[[#This Row],[Дата рождения]]</f>
        <v>0</v>
      </c>
    </row>
    <row r="1313" spans="22:23" ht="24.75" customHeight="1" x14ac:dyDescent="0.25">
      <c r="V1313" s="47">
        <f>Таблица1[[#This Row],[Дата перевода]]-Таблица1[[#This Row],[Дата поступления]]</f>
        <v>0</v>
      </c>
      <c r="W1313" s="47">
        <f>Таблица1[[#This Row],[Дата поступления]]-Таблица1[[#This Row],[Дата рождения]]</f>
        <v>0</v>
      </c>
    </row>
    <row r="1314" spans="22:23" ht="24.75" customHeight="1" x14ac:dyDescent="0.25">
      <c r="V1314" s="47">
        <f>Таблица1[[#This Row],[Дата перевода]]-Таблица1[[#This Row],[Дата поступления]]</f>
        <v>0</v>
      </c>
      <c r="W1314" s="47">
        <f>Таблица1[[#This Row],[Дата поступления]]-Таблица1[[#This Row],[Дата рождения]]</f>
        <v>0</v>
      </c>
    </row>
    <row r="1315" spans="22:23" ht="24.75" customHeight="1" x14ac:dyDescent="0.25">
      <c r="V1315" s="47">
        <f>Таблица1[[#This Row],[Дата перевода]]-Таблица1[[#This Row],[Дата поступления]]</f>
        <v>0</v>
      </c>
      <c r="W1315" s="47">
        <f>Таблица1[[#This Row],[Дата поступления]]-Таблица1[[#This Row],[Дата рождения]]</f>
        <v>0</v>
      </c>
    </row>
    <row r="1316" spans="22:23" ht="24.75" customHeight="1" x14ac:dyDescent="0.25">
      <c r="V1316" s="47">
        <f>Таблица1[[#This Row],[Дата перевода]]-Таблица1[[#This Row],[Дата поступления]]</f>
        <v>0</v>
      </c>
      <c r="W1316" s="47">
        <f>Таблица1[[#This Row],[Дата поступления]]-Таблица1[[#This Row],[Дата рождения]]</f>
        <v>0</v>
      </c>
    </row>
    <row r="1317" spans="22:23" ht="24.75" customHeight="1" x14ac:dyDescent="0.25">
      <c r="V1317" s="47">
        <f>Таблица1[[#This Row],[Дата перевода]]-Таблица1[[#This Row],[Дата поступления]]</f>
        <v>0</v>
      </c>
      <c r="W1317" s="47">
        <f>Таблица1[[#This Row],[Дата поступления]]-Таблица1[[#This Row],[Дата рождения]]</f>
        <v>0</v>
      </c>
    </row>
    <row r="1318" spans="22:23" ht="24.75" customHeight="1" x14ac:dyDescent="0.25">
      <c r="V1318" s="47">
        <f>Таблица1[[#This Row],[Дата перевода]]-Таблица1[[#This Row],[Дата поступления]]</f>
        <v>0</v>
      </c>
      <c r="W1318" s="47">
        <f>Таблица1[[#This Row],[Дата поступления]]-Таблица1[[#This Row],[Дата рождения]]</f>
        <v>0</v>
      </c>
    </row>
    <row r="1319" spans="22:23" ht="24.75" customHeight="1" x14ac:dyDescent="0.25">
      <c r="V1319" s="47">
        <f>Таблица1[[#This Row],[Дата перевода]]-Таблица1[[#This Row],[Дата поступления]]</f>
        <v>0</v>
      </c>
      <c r="W1319" s="47">
        <f>Таблица1[[#This Row],[Дата поступления]]-Таблица1[[#This Row],[Дата рождения]]</f>
        <v>0</v>
      </c>
    </row>
    <row r="1320" spans="22:23" ht="24.75" customHeight="1" x14ac:dyDescent="0.25">
      <c r="V1320" s="47">
        <f>Таблица1[[#This Row],[Дата перевода]]-Таблица1[[#This Row],[Дата поступления]]</f>
        <v>0</v>
      </c>
      <c r="W1320" s="47">
        <f>Таблица1[[#This Row],[Дата поступления]]-Таблица1[[#This Row],[Дата рождения]]</f>
        <v>0</v>
      </c>
    </row>
    <row r="1321" spans="22:23" ht="24.75" customHeight="1" x14ac:dyDescent="0.25">
      <c r="V1321" s="47">
        <f>Таблица1[[#This Row],[Дата перевода]]-Таблица1[[#This Row],[Дата поступления]]</f>
        <v>0</v>
      </c>
      <c r="W1321" s="47">
        <f>Таблица1[[#This Row],[Дата поступления]]-Таблица1[[#This Row],[Дата рождения]]</f>
        <v>0</v>
      </c>
    </row>
    <row r="1322" spans="22:23" ht="24.75" customHeight="1" x14ac:dyDescent="0.25">
      <c r="V1322" s="47">
        <f>Таблица1[[#This Row],[Дата перевода]]-Таблица1[[#This Row],[Дата поступления]]</f>
        <v>0</v>
      </c>
      <c r="W1322" s="47">
        <f>Таблица1[[#This Row],[Дата поступления]]-Таблица1[[#This Row],[Дата рождения]]</f>
        <v>0</v>
      </c>
    </row>
    <row r="1323" spans="22:23" ht="24.75" customHeight="1" x14ac:dyDescent="0.25">
      <c r="V1323" s="47">
        <f>Таблица1[[#This Row],[Дата перевода]]-Таблица1[[#This Row],[Дата поступления]]</f>
        <v>0</v>
      </c>
      <c r="W1323" s="47">
        <f>Таблица1[[#This Row],[Дата поступления]]-Таблица1[[#This Row],[Дата рождения]]</f>
        <v>0</v>
      </c>
    </row>
    <row r="1324" spans="22:23" ht="24.75" customHeight="1" x14ac:dyDescent="0.25">
      <c r="V1324" s="47">
        <f>Таблица1[[#This Row],[Дата перевода]]-Таблица1[[#This Row],[Дата поступления]]</f>
        <v>0</v>
      </c>
      <c r="W1324" s="47">
        <f>Таблица1[[#This Row],[Дата поступления]]-Таблица1[[#This Row],[Дата рождения]]</f>
        <v>0</v>
      </c>
    </row>
    <row r="1325" spans="22:23" ht="24.75" customHeight="1" x14ac:dyDescent="0.25">
      <c r="V1325" s="47">
        <f>Таблица1[[#This Row],[Дата перевода]]-Таблица1[[#This Row],[Дата поступления]]</f>
        <v>0</v>
      </c>
      <c r="W1325" s="47">
        <f>Таблица1[[#This Row],[Дата поступления]]-Таблица1[[#This Row],[Дата рождения]]</f>
        <v>0</v>
      </c>
    </row>
    <row r="1326" spans="22:23" ht="24.75" customHeight="1" x14ac:dyDescent="0.25">
      <c r="V1326" s="47">
        <f>Таблица1[[#This Row],[Дата перевода]]-Таблица1[[#This Row],[Дата поступления]]</f>
        <v>0</v>
      </c>
      <c r="W1326" s="47">
        <f>Таблица1[[#This Row],[Дата поступления]]-Таблица1[[#This Row],[Дата рождения]]</f>
        <v>0</v>
      </c>
    </row>
    <row r="1327" spans="22:23" ht="24.75" customHeight="1" x14ac:dyDescent="0.25">
      <c r="V1327" s="47">
        <f>Таблица1[[#This Row],[Дата перевода]]-Таблица1[[#This Row],[Дата поступления]]</f>
        <v>0</v>
      </c>
      <c r="W1327" s="47">
        <f>Таблица1[[#This Row],[Дата поступления]]-Таблица1[[#This Row],[Дата рождения]]</f>
        <v>0</v>
      </c>
    </row>
    <row r="1328" spans="22:23" ht="24.75" customHeight="1" x14ac:dyDescent="0.25">
      <c r="V1328" s="47">
        <f>Таблица1[[#This Row],[Дата перевода]]-Таблица1[[#This Row],[Дата поступления]]</f>
        <v>0</v>
      </c>
      <c r="W1328" s="47">
        <f>Таблица1[[#This Row],[Дата поступления]]-Таблица1[[#This Row],[Дата рождения]]</f>
        <v>0</v>
      </c>
    </row>
    <row r="1329" spans="22:23" ht="24.75" customHeight="1" x14ac:dyDescent="0.25">
      <c r="V1329" s="47">
        <f>Таблица1[[#This Row],[Дата перевода]]-Таблица1[[#This Row],[Дата поступления]]</f>
        <v>0</v>
      </c>
      <c r="W1329" s="47">
        <f>Таблица1[[#This Row],[Дата поступления]]-Таблица1[[#This Row],[Дата рождения]]</f>
        <v>0</v>
      </c>
    </row>
    <row r="1330" spans="22:23" ht="24.75" customHeight="1" x14ac:dyDescent="0.25">
      <c r="V1330" s="47">
        <f>Таблица1[[#This Row],[Дата перевода]]-Таблица1[[#This Row],[Дата поступления]]</f>
        <v>0</v>
      </c>
      <c r="W1330" s="47">
        <f>Таблица1[[#This Row],[Дата поступления]]-Таблица1[[#This Row],[Дата рождения]]</f>
        <v>0</v>
      </c>
    </row>
    <row r="1331" spans="22:23" ht="24.75" customHeight="1" x14ac:dyDescent="0.25">
      <c r="V1331" s="47">
        <f>Таблица1[[#This Row],[Дата перевода]]-Таблица1[[#This Row],[Дата поступления]]</f>
        <v>0</v>
      </c>
      <c r="W1331" s="47">
        <f>Таблица1[[#This Row],[Дата поступления]]-Таблица1[[#This Row],[Дата рождения]]</f>
        <v>0</v>
      </c>
    </row>
    <row r="1332" spans="22:23" ht="24.75" customHeight="1" x14ac:dyDescent="0.25">
      <c r="V1332" s="47">
        <f>Таблица1[[#This Row],[Дата перевода]]-Таблица1[[#This Row],[Дата поступления]]</f>
        <v>0</v>
      </c>
      <c r="W1332" s="47">
        <f>Таблица1[[#This Row],[Дата поступления]]-Таблица1[[#This Row],[Дата рождения]]</f>
        <v>0</v>
      </c>
    </row>
    <row r="1333" spans="22:23" ht="24.75" customHeight="1" x14ac:dyDescent="0.25">
      <c r="V1333" s="47">
        <f>Таблица1[[#This Row],[Дата перевода]]-Таблица1[[#This Row],[Дата поступления]]</f>
        <v>0</v>
      </c>
      <c r="W1333" s="47">
        <f>Таблица1[[#This Row],[Дата поступления]]-Таблица1[[#This Row],[Дата рождения]]</f>
        <v>0</v>
      </c>
    </row>
    <row r="1334" spans="22:23" ht="24.75" customHeight="1" x14ac:dyDescent="0.25">
      <c r="V1334" s="47">
        <f>Таблица1[[#This Row],[Дата перевода]]-Таблица1[[#This Row],[Дата поступления]]</f>
        <v>0</v>
      </c>
      <c r="W1334" s="47">
        <f>Таблица1[[#This Row],[Дата поступления]]-Таблица1[[#This Row],[Дата рождения]]</f>
        <v>0</v>
      </c>
    </row>
    <row r="1335" spans="22:23" ht="24.75" customHeight="1" x14ac:dyDescent="0.25">
      <c r="V1335" s="47">
        <f>Таблица1[[#This Row],[Дата перевода]]-Таблица1[[#This Row],[Дата поступления]]</f>
        <v>0</v>
      </c>
      <c r="W1335" s="47">
        <f>Таблица1[[#This Row],[Дата поступления]]-Таблица1[[#This Row],[Дата рождения]]</f>
        <v>0</v>
      </c>
    </row>
    <row r="1336" spans="22:23" ht="24.75" customHeight="1" x14ac:dyDescent="0.25">
      <c r="V1336" s="47">
        <f>Таблица1[[#This Row],[Дата перевода]]-Таблица1[[#This Row],[Дата поступления]]</f>
        <v>0</v>
      </c>
      <c r="W1336" s="47">
        <f>Таблица1[[#This Row],[Дата поступления]]-Таблица1[[#This Row],[Дата рождения]]</f>
        <v>0</v>
      </c>
    </row>
    <row r="1337" spans="22:23" ht="24.75" customHeight="1" x14ac:dyDescent="0.25">
      <c r="V1337" s="47">
        <f>Таблица1[[#This Row],[Дата перевода]]-Таблица1[[#This Row],[Дата поступления]]</f>
        <v>0</v>
      </c>
      <c r="W1337" s="47">
        <f>Таблица1[[#This Row],[Дата поступления]]-Таблица1[[#This Row],[Дата рождения]]</f>
        <v>0</v>
      </c>
    </row>
    <row r="1338" spans="22:23" ht="24.75" customHeight="1" x14ac:dyDescent="0.25">
      <c r="V1338" s="47">
        <f>Таблица1[[#This Row],[Дата перевода]]-Таблица1[[#This Row],[Дата поступления]]</f>
        <v>0</v>
      </c>
      <c r="W1338" s="47">
        <f>Таблица1[[#This Row],[Дата поступления]]-Таблица1[[#This Row],[Дата рождения]]</f>
        <v>0</v>
      </c>
    </row>
    <row r="1339" spans="22:23" ht="24.75" customHeight="1" x14ac:dyDescent="0.25">
      <c r="V1339" s="47">
        <f>Таблица1[[#This Row],[Дата перевода]]-Таблица1[[#This Row],[Дата поступления]]</f>
        <v>0</v>
      </c>
      <c r="W1339" s="47">
        <f>Таблица1[[#This Row],[Дата поступления]]-Таблица1[[#This Row],[Дата рождения]]</f>
        <v>0</v>
      </c>
    </row>
    <row r="1340" spans="22:23" ht="24.75" customHeight="1" x14ac:dyDescent="0.25">
      <c r="V1340" s="47">
        <f>Таблица1[[#This Row],[Дата перевода]]-Таблица1[[#This Row],[Дата поступления]]</f>
        <v>0</v>
      </c>
      <c r="W1340" s="47">
        <f>Таблица1[[#This Row],[Дата поступления]]-Таблица1[[#This Row],[Дата рождения]]</f>
        <v>0</v>
      </c>
    </row>
    <row r="1341" spans="22:23" ht="24.75" customHeight="1" x14ac:dyDescent="0.25">
      <c r="V1341" s="47">
        <f>Таблица1[[#This Row],[Дата перевода]]-Таблица1[[#This Row],[Дата поступления]]</f>
        <v>0</v>
      </c>
      <c r="W1341" s="47">
        <f>Таблица1[[#This Row],[Дата поступления]]-Таблица1[[#This Row],[Дата рождения]]</f>
        <v>0</v>
      </c>
    </row>
    <row r="1342" spans="22:23" ht="24.75" customHeight="1" x14ac:dyDescent="0.25">
      <c r="V1342" s="47">
        <f>Таблица1[[#This Row],[Дата перевода]]-Таблица1[[#This Row],[Дата поступления]]</f>
        <v>0</v>
      </c>
      <c r="W1342" s="47">
        <f>Таблица1[[#This Row],[Дата поступления]]-Таблица1[[#This Row],[Дата рождения]]</f>
        <v>0</v>
      </c>
    </row>
    <row r="1343" spans="22:23" ht="24.75" customHeight="1" x14ac:dyDescent="0.25">
      <c r="V1343" s="47">
        <f>Таблица1[[#This Row],[Дата перевода]]-Таблица1[[#This Row],[Дата поступления]]</f>
        <v>0</v>
      </c>
      <c r="W1343" s="47">
        <f>Таблица1[[#This Row],[Дата поступления]]-Таблица1[[#This Row],[Дата рождения]]</f>
        <v>0</v>
      </c>
    </row>
    <row r="1344" spans="22:23" ht="24.75" customHeight="1" x14ac:dyDescent="0.25">
      <c r="V1344" s="47">
        <f>Таблица1[[#This Row],[Дата перевода]]-Таблица1[[#This Row],[Дата поступления]]</f>
        <v>0</v>
      </c>
      <c r="W1344" s="47">
        <f>Таблица1[[#This Row],[Дата поступления]]-Таблица1[[#This Row],[Дата рождения]]</f>
        <v>0</v>
      </c>
    </row>
    <row r="1345" spans="22:23" ht="24.75" customHeight="1" x14ac:dyDescent="0.25">
      <c r="V1345" s="47">
        <f>Таблица1[[#This Row],[Дата перевода]]-Таблица1[[#This Row],[Дата поступления]]</f>
        <v>0</v>
      </c>
      <c r="W1345" s="47">
        <f>Таблица1[[#This Row],[Дата поступления]]-Таблица1[[#This Row],[Дата рождения]]</f>
        <v>0</v>
      </c>
    </row>
    <row r="1346" spans="22:23" ht="24.75" customHeight="1" x14ac:dyDescent="0.25">
      <c r="V1346" s="47">
        <f>Таблица1[[#This Row],[Дата перевода]]-Таблица1[[#This Row],[Дата поступления]]</f>
        <v>0</v>
      </c>
      <c r="W1346" s="47">
        <f>Таблица1[[#This Row],[Дата поступления]]-Таблица1[[#This Row],[Дата рождения]]</f>
        <v>0</v>
      </c>
    </row>
    <row r="1347" spans="22:23" ht="24.75" customHeight="1" x14ac:dyDescent="0.25">
      <c r="V1347" s="47">
        <f>Таблица1[[#This Row],[Дата перевода]]-Таблица1[[#This Row],[Дата поступления]]</f>
        <v>0</v>
      </c>
      <c r="W1347" s="47">
        <f>Таблица1[[#This Row],[Дата поступления]]-Таблица1[[#This Row],[Дата рождения]]</f>
        <v>0</v>
      </c>
    </row>
    <row r="1348" spans="22:23" ht="24.75" customHeight="1" x14ac:dyDescent="0.25">
      <c r="V1348" s="47">
        <f>Таблица1[[#This Row],[Дата перевода]]-Таблица1[[#This Row],[Дата поступления]]</f>
        <v>0</v>
      </c>
      <c r="W1348" s="47">
        <f>Таблица1[[#This Row],[Дата поступления]]-Таблица1[[#This Row],[Дата рождения]]</f>
        <v>0</v>
      </c>
    </row>
    <row r="1349" spans="22:23" ht="24.75" customHeight="1" x14ac:dyDescent="0.25">
      <c r="V1349" s="47">
        <f>Таблица1[[#This Row],[Дата перевода]]-Таблица1[[#This Row],[Дата поступления]]</f>
        <v>0</v>
      </c>
      <c r="W1349" s="47">
        <f>Таблица1[[#This Row],[Дата поступления]]-Таблица1[[#This Row],[Дата рождения]]</f>
        <v>0</v>
      </c>
    </row>
    <row r="1350" spans="22:23" ht="24.75" customHeight="1" x14ac:dyDescent="0.25">
      <c r="V1350" s="47">
        <f>Таблица1[[#This Row],[Дата перевода]]-Таблица1[[#This Row],[Дата поступления]]</f>
        <v>0</v>
      </c>
      <c r="W1350" s="47">
        <f>Таблица1[[#This Row],[Дата поступления]]-Таблица1[[#This Row],[Дата рождения]]</f>
        <v>0</v>
      </c>
    </row>
    <row r="1351" spans="22:23" ht="24.75" customHeight="1" x14ac:dyDescent="0.25">
      <c r="V1351" s="47">
        <f>Таблица1[[#This Row],[Дата перевода]]-Таблица1[[#This Row],[Дата поступления]]</f>
        <v>0</v>
      </c>
      <c r="W1351" s="47">
        <f>Таблица1[[#This Row],[Дата поступления]]-Таблица1[[#This Row],[Дата рождения]]</f>
        <v>0</v>
      </c>
    </row>
    <row r="1352" spans="22:23" ht="24.75" customHeight="1" x14ac:dyDescent="0.25">
      <c r="V1352" s="47">
        <f>Таблица1[[#This Row],[Дата перевода]]-Таблица1[[#This Row],[Дата поступления]]</f>
        <v>0</v>
      </c>
      <c r="W1352" s="47">
        <f>Таблица1[[#This Row],[Дата поступления]]-Таблица1[[#This Row],[Дата рождения]]</f>
        <v>0</v>
      </c>
    </row>
    <row r="1353" spans="22:23" ht="24.75" customHeight="1" x14ac:dyDescent="0.25">
      <c r="V1353" s="47">
        <f>Таблица1[[#This Row],[Дата перевода]]-Таблица1[[#This Row],[Дата поступления]]</f>
        <v>0</v>
      </c>
      <c r="W1353" s="47">
        <f>Таблица1[[#This Row],[Дата поступления]]-Таблица1[[#This Row],[Дата рождения]]</f>
        <v>0</v>
      </c>
    </row>
    <row r="1354" spans="22:23" ht="24.75" customHeight="1" x14ac:dyDescent="0.25">
      <c r="V1354" s="47">
        <f>Таблица1[[#This Row],[Дата перевода]]-Таблица1[[#This Row],[Дата поступления]]</f>
        <v>0</v>
      </c>
      <c r="W1354" s="47">
        <f>Таблица1[[#This Row],[Дата поступления]]-Таблица1[[#This Row],[Дата рождения]]</f>
        <v>0</v>
      </c>
    </row>
    <row r="1355" spans="22:23" ht="24.75" customHeight="1" x14ac:dyDescent="0.25">
      <c r="V1355" s="47">
        <f>Таблица1[[#This Row],[Дата перевода]]-Таблица1[[#This Row],[Дата поступления]]</f>
        <v>0</v>
      </c>
      <c r="W1355" s="47">
        <f>Таблица1[[#This Row],[Дата поступления]]-Таблица1[[#This Row],[Дата рождения]]</f>
        <v>0</v>
      </c>
    </row>
    <row r="1356" spans="22:23" ht="24.75" customHeight="1" x14ac:dyDescent="0.25">
      <c r="V1356" s="47">
        <f>Таблица1[[#This Row],[Дата перевода]]-Таблица1[[#This Row],[Дата поступления]]</f>
        <v>0</v>
      </c>
      <c r="W1356" s="47">
        <f>Таблица1[[#This Row],[Дата поступления]]-Таблица1[[#This Row],[Дата рождения]]</f>
        <v>0</v>
      </c>
    </row>
    <row r="1357" spans="22:23" ht="24.75" customHeight="1" x14ac:dyDescent="0.25">
      <c r="V1357" s="47">
        <f>Таблица1[[#This Row],[Дата перевода]]-Таблица1[[#This Row],[Дата поступления]]</f>
        <v>0</v>
      </c>
      <c r="W1357" s="47">
        <f>Таблица1[[#This Row],[Дата поступления]]-Таблица1[[#This Row],[Дата рождения]]</f>
        <v>0</v>
      </c>
    </row>
    <row r="1358" spans="22:23" ht="24.75" customHeight="1" x14ac:dyDescent="0.25">
      <c r="V1358" s="47">
        <f>Таблица1[[#This Row],[Дата перевода]]-Таблица1[[#This Row],[Дата поступления]]</f>
        <v>0</v>
      </c>
      <c r="W1358" s="47">
        <f>Таблица1[[#This Row],[Дата поступления]]-Таблица1[[#This Row],[Дата рождения]]</f>
        <v>0</v>
      </c>
    </row>
    <row r="1359" spans="22:23" ht="24.75" customHeight="1" x14ac:dyDescent="0.25">
      <c r="V1359" s="47">
        <f>Таблица1[[#This Row],[Дата перевода]]-Таблица1[[#This Row],[Дата поступления]]</f>
        <v>0</v>
      </c>
      <c r="W1359" s="47">
        <f>Таблица1[[#This Row],[Дата поступления]]-Таблица1[[#This Row],[Дата рождения]]</f>
        <v>0</v>
      </c>
    </row>
    <row r="1360" spans="22:23" ht="24.75" customHeight="1" x14ac:dyDescent="0.25">
      <c r="V1360" s="47">
        <f>Таблица1[[#This Row],[Дата перевода]]-Таблица1[[#This Row],[Дата поступления]]</f>
        <v>0</v>
      </c>
      <c r="W1360" s="47">
        <f>Таблица1[[#This Row],[Дата поступления]]-Таблица1[[#This Row],[Дата рождения]]</f>
        <v>0</v>
      </c>
    </row>
    <row r="1361" spans="22:23" ht="24.75" customHeight="1" x14ac:dyDescent="0.25">
      <c r="V1361" s="47">
        <f>Таблица1[[#This Row],[Дата перевода]]-Таблица1[[#This Row],[Дата поступления]]</f>
        <v>0</v>
      </c>
      <c r="W1361" s="47">
        <f>Таблица1[[#This Row],[Дата поступления]]-Таблица1[[#This Row],[Дата рождения]]</f>
        <v>0</v>
      </c>
    </row>
    <row r="1362" spans="22:23" ht="24.75" customHeight="1" x14ac:dyDescent="0.25">
      <c r="V1362" s="47">
        <f>Таблица1[[#This Row],[Дата перевода]]-Таблица1[[#This Row],[Дата поступления]]</f>
        <v>0</v>
      </c>
      <c r="W1362" s="47">
        <f>Таблица1[[#This Row],[Дата поступления]]-Таблица1[[#This Row],[Дата рождения]]</f>
        <v>0</v>
      </c>
    </row>
    <row r="1363" spans="22:23" ht="24.75" customHeight="1" x14ac:dyDescent="0.25">
      <c r="V1363" s="47">
        <f>Таблица1[[#This Row],[Дата перевода]]-Таблица1[[#This Row],[Дата поступления]]</f>
        <v>0</v>
      </c>
      <c r="W1363" s="47">
        <f>Таблица1[[#This Row],[Дата поступления]]-Таблица1[[#This Row],[Дата рождения]]</f>
        <v>0</v>
      </c>
    </row>
    <row r="1364" spans="22:23" ht="24.75" customHeight="1" x14ac:dyDescent="0.25">
      <c r="V1364" s="47">
        <f>Таблица1[[#This Row],[Дата перевода]]-Таблица1[[#This Row],[Дата поступления]]</f>
        <v>0</v>
      </c>
      <c r="W1364" s="47">
        <f>Таблица1[[#This Row],[Дата поступления]]-Таблица1[[#This Row],[Дата рождения]]</f>
        <v>0</v>
      </c>
    </row>
    <row r="1365" spans="22:23" ht="24.75" customHeight="1" x14ac:dyDescent="0.25">
      <c r="V1365" s="47">
        <f>Таблица1[[#This Row],[Дата перевода]]-Таблица1[[#This Row],[Дата поступления]]</f>
        <v>0</v>
      </c>
      <c r="W1365" s="47">
        <f>Таблица1[[#This Row],[Дата поступления]]-Таблица1[[#This Row],[Дата рождения]]</f>
        <v>0</v>
      </c>
    </row>
    <row r="1366" spans="22:23" ht="24.75" customHeight="1" x14ac:dyDescent="0.25">
      <c r="V1366" s="47">
        <f>Таблица1[[#This Row],[Дата перевода]]-Таблица1[[#This Row],[Дата поступления]]</f>
        <v>0</v>
      </c>
      <c r="W1366" s="47">
        <f>Таблица1[[#This Row],[Дата поступления]]-Таблица1[[#This Row],[Дата рождения]]</f>
        <v>0</v>
      </c>
    </row>
    <row r="1367" spans="22:23" ht="24.75" customHeight="1" x14ac:dyDescent="0.25">
      <c r="V1367" s="47">
        <f>Таблица1[[#This Row],[Дата перевода]]-Таблица1[[#This Row],[Дата поступления]]</f>
        <v>0</v>
      </c>
      <c r="W1367" s="47">
        <f>Таблица1[[#This Row],[Дата поступления]]-Таблица1[[#This Row],[Дата рождения]]</f>
        <v>0</v>
      </c>
    </row>
    <row r="1368" spans="22:23" ht="24.75" customHeight="1" x14ac:dyDescent="0.25">
      <c r="V1368" s="47">
        <f>Таблица1[[#This Row],[Дата перевода]]-Таблица1[[#This Row],[Дата поступления]]</f>
        <v>0</v>
      </c>
      <c r="W1368" s="47">
        <f>Таблица1[[#This Row],[Дата поступления]]-Таблица1[[#This Row],[Дата рождения]]</f>
        <v>0</v>
      </c>
    </row>
    <row r="1369" spans="22:23" ht="24.75" customHeight="1" x14ac:dyDescent="0.25">
      <c r="V1369" s="47">
        <f>Таблица1[[#This Row],[Дата перевода]]-Таблица1[[#This Row],[Дата поступления]]</f>
        <v>0</v>
      </c>
      <c r="W1369" s="47">
        <f>Таблица1[[#This Row],[Дата поступления]]-Таблица1[[#This Row],[Дата рождения]]</f>
        <v>0</v>
      </c>
    </row>
    <row r="1370" spans="22:23" ht="24.75" customHeight="1" x14ac:dyDescent="0.25">
      <c r="V1370" s="47">
        <f>Таблица1[[#This Row],[Дата перевода]]-Таблица1[[#This Row],[Дата поступления]]</f>
        <v>0</v>
      </c>
      <c r="W1370" s="47">
        <f>Таблица1[[#This Row],[Дата поступления]]-Таблица1[[#This Row],[Дата рождения]]</f>
        <v>0</v>
      </c>
    </row>
    <row r="1371" spans="22:23" ht="24.75" customHeight="1" x14ac:dyDescent="0.25">
      <c r="V1371" s="47">
        <f>Таблица1[[#This Row],[Дата перевода]]-Таблица1[[#This Row],[Дата поступления]]</f>
        <v>0</v>
      </c>
      <c r="W1371" s="47">
        <f>Таблица1[[#This Row],[Дата поступления]]-Таблица1[[#This Row],[Дата рождения]]</f>
        <v>0</v>
      </c>
    </row>
    <row r="1372" spans="22:23" ht="24.75" customHeight="1" x14ac:dyDescent="0.25">
      <c r="V1372" s="47">
        <f>Таблица1[[#This Row],[Дата перевода]]-Таблица1[[#This Row],[Дата поступления]]</f>
        <v>0</v>
      </c>
      <c r="W1372" s="47">
        <f>Таблица1[[#This Row],[Дата поступления]]-Таблица1[[#This Row],[Дата рождения]]</f>
        <v>0</v>
      </c>
    </row>
    <row r="1373" spans="22:23" ht="24.75" customHeight="1" x14ac:dyDescent="0.25">
      <c r="V1373" s="47">
        <f>Таблица1[[#This Row],[Дата перевода]]-Таблица1[[#This Row],[Дата поступления]]</f>
        <v>0</v>
      </c>
      <c r="W1373" s="47">
        <f>Таблица1[[#This Row],[Дата поступления]]-Таблица1[[#This Row],[Дата рождения]]</f>
        <v>0</v>
      </c>
    </row>
    <row r="1374" spans="22:23" ht="24.75" customHeight="1" x14ac:dyDescent="0.25">
      <c r="V1374" s="47">
        <f>Таблица1[[#This Row],[Дата перевода]]-Таблица1[[#This Row],[Дата поступления]]</f>
        <v>0</v>
      </c>
      <c r="W1374" s="47">
        <f>Таблица1[[#This Row],[Дата поступления]]-Таблица1[[#This Row],[Дата рождения]]</f>
        <v>0</v>
      </c>
    </row>
    <row r="1375" spans="22:23" ht="24.75" customHeight="1" x14ac:dyDescent="0.25">
      <c r="V1375" s="47">
        <f>Таблица1[[#This Row],[Дата перевода]]-Таблица1[[#This Row],[Дата поступления]]</f>
        <v>0</v>
      </c>
      <c r="W1375" s="47">
        <f>Таблица1[[#This Row],[Дата поступления]]-Таблица1[[#This Row],[Дата рождения]]</f>
        <v>0</v>
      </c>
    </row>
    <row r="1376" spans="22:23" ht="24.75" customHeight="1" x14ac:dyDescent="0.25">
      <c r="V1376" s="47">
        <f>Таблица1[[#This Row],[Дата перевода]]-Таблица1[[#This Row],[Дата поступления]]</f>
        <v>0</v>
      </c>
      <c r="W1376" s="47">
        <f>Таблица1[[#This Row],[Дата поступления]]-Таблица1[[#This Row],[Дата рождения]]</f>
        <v>0</v>
      </c>
    </row>
    <row r="1377" spans="22:23" ht="24.75" customHeight="1" x14ac:dyDescent="0.25">
      <c r="V1377" s="47">
        <f>Таблица1[[#This Row],[Дата перевода]]-Таблица1[[#This Row],[Дата поступления]]</f>
        <v>0</v>
      </c>
      <c r="W1377" s="47">
        <f>Таблица1[[#This Row],[Дата поступления]]-Таблица1[[#This Row],[Дата рождения]]</f>
        <v>0</v>
      </c>
    </row>
    <row r="1378" spans="22:23" ht="24.75" customHeight="1" x14ac:dyDescent="0.25">
      <c r="V1378" s="47">
        <f>Таблица1[[#This Row],[Дата перевода]]-Таблица1[[#This Row],[Дата поступления]]</f>
        <v>0</v>
      </c>
      <c r="W1378" s="47">
        <f>Таблица1[[#This Row],[Дата поступления]]-Таблица1[[#This Row],[Дата рождения]]</f>
        <v>0</v>
      </c>
    </row>
    <row r="1379" spans="22:23" ht="24.75" customHeight="1" x14ac:dyDescent="0.25">
      <c r="V1379" s="47">
        <f>Таблица1[[#This Row],[Дата перевода]]-Таблица1[[#This Row],[Дата поступления]]</f>
        <v>0</v>
      </c>
      <c r="W1379" s="47">
        <f>Таблица1[[#This Row],[Дата поступления]]-Таблица1[[#This Row],[Дата рождения]]</f>
        <v>0</v>
      </c>
    </row>
    <row r="1380" spans="22:23" ht="24.75" customHeight="1" x14ac:dyDescent="0.25">
      <c r="V1380" s="47">
        <f>Таблица1[[#This Row],[Дата перевода]]-Таблица1[[#This Row],[Дата поступления]]</f>
        <v>0</v>
      </c>
      <c r="W1380" s="47">
        <f>Таблица1[[#This Row],[Дата поступления]]-Таблица1[[#This Row],[Дата рождения]]</f>
        <v>0</v>
      </c>
    </row>
    <row r="1381" spans="22:23" ht="24.75" customHeight="1" x14ac:dyDescent="0.25">
      <c r="V1381" s="47">
        <f>Таблица1[[#This Row],[Дата перевода]]-Таблица1[[#This Row],[Дата поступления]]</f>
        <v>0</v>
      </c>
      <c r="W1381" s="47">
        <f>Таблица1[[#This Row],[Дата поступления]]-Таблица1[[#This Row],[Дата рождения]]</f>
        <v>0</v>
      </c>
    </row>
    <row r="1382" spans="22:23" ht="24.75" customHeight="1" x14ac:dyDescent="0.25">
      <c r="V1382" s="47">
        <f>Таблица1[[#This Row],[Дата перевода]]-Таблица1[[#This Row],[Дата поступления]]</f>
        <v>0</v>
      </c>
      <c r="W1382" s="47">
        <f>Таблица1[[#This Row],[Дата поступления]]-Таблица1[[#This Row],[Дата рождения]]</f>
        <v>0</v>
      </c>
    </row>
    <row r="1383" spans="22:23" ht="24.75" customHeight="1" x14ac:dyDescent="0.25">
      <c r="V1383" s="47">
        <f>Таблица1[[#This Row],[Дата перевода]]-Таблица1[[#This Row],[Дата поступления]]</f>
        <v>0</v>
      </c>
      <c r="W1383" s="47">
        <f>Таблица1[[#This Row],[Дата поступления]]-Таблица1[[#This Row],[Дата рождения]]</f>
        <v>0</v>
      </c>
    </row>
    <row r="1384" spans="22:23" ht="24.75" customHeight="1" x14ac:dyDescent="0.25">
      <c r="V1384" s="47">
        <f>Таблица1[[#This Row],[Дата перевода]]-Таблица1[[#This Row],[Дата поступления]]</f>
        <v>0</v>
      </c>
      <c r="W1384" s="47">
        <f>Таблица1[[#This Row],[Дата поступления]]-Таблица1[[#This Row],[Дата рождения]]</f>
        <v>0</v>
      </c>
    </row>
    <row r="1385" spans="22:23" ht="24.75" customHeight="1" x14ac:dyDescent="0.25">
      <c r="V1385" s="47">
        <f>Таблица1[[#This Row],[Дата перевода]]-Таблица1[[#This Row],[Дата поступления]]</f>
        <v>0</v>
      </c>
      <c r="W1385" s="47">
        <f>Таблица1[[#This Row],[Дата поступления]]-Таблица1[[#This Row],[Дата рождения]]</f>
        <v>0</v>
      </c>
    </row>
    <row r="1386" spans="22:23" ht="24.75" customHeight="1" x14ac:dyDescent="0.25">
      <c r="V1386" s="47">
        <f>Таблица1[[#This Row],[Дата перевода]]-Таблица1[[#This Row],[Дата поступления]]</f>
        <v>0</v>
      </c>
      <c r="W1386" s="47">
        <f>Таблица1[[#This Row],[Дата поступления]]-Таблица1[[#This Row],[Дата рождения]]</f>
        <v>0</v>
      </c>
    </row>
    <row r="1387" spans="22:23" ht="24.75" customHeight="1" x14ac:dyDescent="0.25">
      <c r="V1387" s="47">
        <f>Таблица1[[#This Row],[Дата перевода]]-Таблица1[[#This Row],[Дата поступления]]</f>
        <v>0</v>
      </c>
      <c r="W1387" s="47">
        <f>Таблица1[[#This Row],[Дата поступления]]-Таблица1[[#This Row],[Дата рождения]]</f>
        <v>0</v>
      </c>
    </row>
    <row r="1388" spans="22:23" ht="24.75" customHeight="1" x14ac:dyDescent="0.25">
      <c r="V1388" s="47">
        <f>Таблица1[[#This Row],[Дата перевода]]-Таблица1[[#This Row],[Дата поступления]]</f>
        <v>0</v>
      </c>
      <c r="W1388" s="47">
        <f>Таблица1[[#This Row],[Дата поступления]]-Таблица1[[#This Row],[Дата рождения]]</f>
        <v>0</v>
      </c>
    </row>
    <row r="1389" spans="22:23" ht="24.75" customHeight="1" x14ac:dyDescent="0.25">
      <c r="V1389" s="47">
        <f>Таблица1[[#This Row],[Дата перевода]]-Таблица1[[#This Row],[Дата поступления]]</f>
        <v>0</v>
      </c>
      <c r="W1389" s="47">
        <f>Таблица1[[#This Row],[Дата поступления]]-Таблица1[[#This Row],[Дата рождения]]</f>
        <v>0</v>
      </c>
    </row>
    <row r="1390" spans="22:23" ht="24.75" customHeight="1" x14ac:dyDescent="0.25">
      <c r="V1390" s="47">
        <f>Таблица1[[#This Row],[Дата перевода]]-Таблица1[[#This Row],[Дата поступления]]</f>
        <v>0</v>
      </c>
      <c r="W1390" s="47">
        <f>Таблица1[[#This Row],[Дата поступления]]-Таблица1[[#This Row],[Дата рождения]]</f>
        <v>0</v>
      </c>
    </row>
    <row r="1391" spans="22:23" ht="24.75" customHeight="1" x14ac:dyDescent="0.25">
      <c r="V1391" s="47">
        <f>Таблица1[[#This Row],[Дата перевода]]-Таблица1[[#This Row],[Дата поступления]]</f>
        <v>0</v>
      </c>
      <c r="W1391" s="47">
        <f>Таблица1[[#This Row],[Дата поступления]]-Таблица1[[#This Row],[Дата рождения]]</f>
        <v>0</v>
      </c>
    </row>
    <row r="1392" spans="22:23" ht="24.75" customHeight="1" x14ac:dyDescent="0.25">
      <c r="V1392" s="47">
        <f>Таблица1[[#This Row],[Дата перевода]]-Таблица1[[#This Row],[Дата поступления]]</f>
        <v>0</v>
      </c>
      <c r="W1392" s="47">
        <f>Таблица1[[#This Row],[Дата поступления]]-Таблица1[[#This Row],[Дата рождения]]</f>
        <v>0</v>
      </c>
    </row>
    <row r="1393" spans="22:23" ht="24.75" customHeight="1" x14ac:dyDescent="0.25">
      <c r="V1393" s="47">
        <f>Таблица1[[#This Row],[Дата перевода]]-Таблица1[[#This Row],[Дата поступления]]</f>
        <v>0</v>
      </c>
      <c r="W1393" s="47">
        <f>Таблица1[[#This Row],[Дата поступления]]-Таблица1[[#This Row],[Дата рождения]]</f>
        <v>0</v>
      </c>
    </row>
    <row r="1394" spans="22:23" ht="24.75" customHeight="1" x14ac:dyDescent="0.25">
      <c r="V1394" s="47">
        <f>Таблица1[[#This Row],[Дата перевода]]-Таблица1[[#This Row],[Дата поступления]]</f>
        <v>0</v>
      </c>
      <c r="W1394" s="47">
        <f>Таблица1[[#This Row],[Дата поступления]]-Таблица1[[#This Row],[Дата рождения]]</f>
        <v>0</v>
      </c>
    </row>
    <row r="1395" spans="22:23" ht="24.75" customHeight="1" x14ac:dyDescent="0.25">
      <c r="V1395" s="47">
        <f>Таблица1[[#This Row],[Дата перевода]]-Таблица1[[#This Row],[Дата поступления]]</f>
        <v>0</v>
      </c>
      <c r="W1395" s="47">
        <f>Таблица1[[#This Row],[Дата поступления]]-Таблица1[[#This Row],[Дата рождения]]</f>
        <v>0</v>
      </c>
    </row>
    <row r="1396" spans="22:23" ht="24.75" customHeight="1" x14ac:dyDescent="0.25">
      <c r="V1396" s="47">
        <f>Таблица1[[#This Row],[Дата перевода]]-Таблица1[[#This Row],[Дата поступления]]</f>
        <v>0</v>
      </c>
      <c r="W1396" s="47">
        <f>Таблица1[[#This Row],[Дата поступления]]-Таблица1[[#This Row],[Дата рождения]]</f>
        <v>0</v>
      </c>
    </row>
    <row r="1397" spans="22:23" ht="24.75" customHeight="1" x14ac:dyDescent="0.25">
      <c r="V1397" s="47">
        <f>Таблица1[[#This Row],[Дата перевода]]-Таблица1[[#This Row],[Дата поступления]]</f>
        <v>0</v>
      </c>
      <c r="W1397" s="47">
        <f>Таблица1[[#This Row],[Дата поступления]]-Таблица1[[#This Row],[Дата рождения]]</f>
        <v>0</v>
      </c>
    </row>
    <row r="1398" spans="22:23" ht="24.75" customHeight="1" x14ac:dyDescent="0.25">
      <c r="V1398" s="47">
        <f>Таблица1[[#This Row],[Дата перевода]]-Таблица1[[#This Row],[Дата поступления]]</f>
        <v>0</v>
      </c>
      <c r="W1398" s="47">
        <f>Таблица1[[#This Row],[Дата поступления]]-Таблица1[[#This Row],[Дата рождения]]</f>
        <v>0</v>
      </c>
    </row>
    <row r="1399" spans="22:23" ht="24.75" customHeight="1" x14ac:dyDescent="0.25">
      <c r="V1399" s="47">
        <f>Таблица1[[#This Row],[Дата перевода]]-Таблица1[[#This Row],[Дата поступления]]</f>
        <v>0</v>
      </c>
      <c r="W1399" s="47">
        <f>Таблица1[[#This Row],[Дата поступления]]-Таблица1[[#This Row],[Дата рождения]]</f>
        <v>0</v>
      </c>
    </row>
    <row r="1400" spans="22:23" ht="24.75" customHeight="1" x14ac:dyDescent="0.25">
      <c r="V1400" s="47">
        <f>Таблица1[[#This Row],[Дата перевода]]-Таблица1[[#This Row],[Дата поступления]]</f>
        <v>0</v>
      </c>
      <c r="W1400" s="47">
        <f>Таблица1[[#This Row],[Дата поступления]]-Таблица1[[#This Row],[Дата рождения]]</f>
        <v>0</v>
      </c>
    </row>
    <row r="1401" spans="22:23" ht="24.75" customHeight="1" x14ac:dyDescent="0.25">
      <c r="V1401" s="47">
        <f>Таблица1[[#This Row],[Дата перевода]]-Таблица1[[#This Row],[Дата поступления]]</f>
        <v>0</v>
      </c>
      <c r="W1401" s="47">
        <f>Таблица1[[#This Row],[Дата поступления]]-Таблица1[[#This Row],[Дата рождения]]</f>
        <v>0</v>
      </c>
    </row>
    <row r="1402" spans="22:23" ht="24.75" customHeight="1" x14ac:dyDescent="0.25">
      <c r="V1402" s="47">
        <f>Таблица1[[#This Row],[Дата перевода]]-Таблица1[[#This Row],[Дата поступления]]</f>
        <v>0</v>
      </c>
      <c r="W1402" s="47">
        <f>Таблица1[[#This Row],[Дата поступления]]-Таблица1[[#This Row],[Дата рождения]]</f>
        <v>0</v>
      </c>
    </row>
    <row r="1403" spans="22:23" ht="24.75" customHeight="1" x14ac:dyDescent="0.25">
      <c r="V1403" s="47">
        <f>Таблица1[[#This Row],[Дата перевода]]-Таблица1[[#This Row],[Дата поступления]]</f>
        <v>0</v>
      </c>
      <c r="W1403" s="47">
        <f>Таблица1[[#This Row],[Дата поступления]]-Таблица1[[#This Row],[Дата рождения]]</f>
        <v>0</v>
      </c>
    </row>
    <row r="1404" spans="22:23" ht="24.75" customHeight="1" x14ac:dyDescent="0.25">
      <c r="V1404" s="47">
        <f>Таблица1[[#This Row],[Дата перевода]]-Таблица1[[#This Row],[Дата поступления]]</f>
        <v>0</v>
      </c>
      <c r="W1404" s="47">
        <f>Таблица1[[#This Row],[Дата поступления]]-Таблица1[[#This Row],[Дата рождения]]</f>
        <v>0</v>
      </c>
    </row>
    <row r="1405" spans="22:23" ht="24.75" customHeight="1" x14ac:dyDescent="0.25">
      <c r="V1405" s="47">
        <f>Таблица1[[#This Row],[Дата перевода]]-Таблица1[[#This Row],[Дата поступления]]</f>
        <v>0</v>
      </c>
      <c r="W1405" s="47">
        <f>Таблица1[[#This Row],[Дата поступления]]-Таблица1[[#This Row],[Дата рождения]]</f>
        <v>0</v>
      </c>
    </row>
    <row r="1406" spans="22:23" ht="24.75" customHeight="1" x14ac:dyDescent="0.25">
      <c r="V1406" s="47">
        <f>Таблица1[[#This Row],[Дата перевода]]-Таблица1[[#This Row],[Дата поступления]]</f>
        <v>0</v>
      </c>
      <c r="W1406" s="47">
        <f>Таблица1[[#This Row],[Дата поступления]]-Таблица1[[#This Row],[Дата рождения]]</f>
        <v>0</v>
      </c>
    </row>
    <row r="1407" spans="22:23" ht="24.75" customHeight="1" x14ac:dyDescent="0.25">
      <c r="V1407" s="47">
        <f>Таблица1[[#This Row],[Дата перевода]]-Таблица1[[#This Row],[Дата поступления]]</f>
        <v>0</v>
      </c>
      <c r="W1407" s="47">
        <f>Таблица1[[#This Row],[Дата поступления]]-Таблица1[[#This Row],[Дата рождения]]</f>
        <v>0</v>
      </c>
    </row>
    <row r="1408" spans="22:23" ht="24.75" customHeight="1" x14ac:dyDescent="0.25">
      <c r="V1408" s="47">
        <f>Таблица1[[#This Row],[Дата перевода]]-Таблица1[[#This Row],[Дата поступления]]</f>
        <v>0</v>
      </c>
      <c r="W1408" s="47">
        <f>Таблица1[[#This Row],[Дата поступления]]-Таблица1[[#This Row],[Дата рождения]]</f>
        <v>0</v>
      </c>
    </row>
    <row r="1409" spans="22:23" ht="24.75" customHeight="1" x14ac:dyDescent="0.25">
      <c r="V1409" s="47">
        <f>Таблица1[[#This Row],[Дата перевода]]-Таблица1[[#This Row],[Дата поступления]]</f>
        <v>0</v>
      </c>
      <c r="W1409" s="47">
        <f>Таблица1[[#This Row],[Дата поступления]]-Таблица1[[#This Row],[Дата рождения]]</f>
        <v>0</v>
      </c>
    </row>
    <row r="1410" spans="22:23" ht="24.75" customHeight="1" x14ac:dyDescent="0.25">
      <c r="V1410" s="47">
        <f>Таблица1[[#This Row],[Дата перевода]]-Таблица1[[#This Row],[Дата поступления]]</f>
        <v>0</v>
      </c>
      <c r="W1410" s="47">
        <f>Таблица1[[#This Row],[Дата поступления]]-Таблица1[[#This Row],[Дата рождения]]</f>
        <v>0</v>
      </c>
    </row>
    <row r="1411" spans="22:23" ht="24.75" customHeight="1" x14ac:dyDescent="0.25">
      <c r="V1411" s="47">
        <f>Таблица1[[#This Row],[Дата перевода]]-Таблица1[[#This Row],[Дата поступления]]</f>
        <v>0</v>
      </c>
      <c r="W1411" s="47">
        <f>Таблица1[[#This Row],[Дата поступления]]-Таблица1[[#This Row],[Дата рождения]]</f>
        <v>0</v>
      </c>
    </row>
    <row r="1412" spans="22:23" ht="24.75" customHeight="1" x14ac:dyDescent="0.25">
      <c r="V1412" s="47">
        <f>Таблица1[[#This Row],[Дата перевода]]-Таблица1[[#This Row],[Дата поступления]]</f>
        <v>0</v>
      </c>
      <c r="W1412" s="47">
        <f>Таблица1[[#This Row],[Дата поступления]]-Таблица1[[#This Row],[Дата рождения]]</f>
        <v>0</v>
      </c>
    </row>
    <row r="1413" spans="22:23" ht="24.75" customHeight="1" x14ac:dyDescent="0.25">
      <c r="V1413" s="47">
        <f>Таблица1[[#This Row],[Дата перевода]]-Таблица1[[#This Row],[Дата поступления]]</f>
        <v>0</v>
      </c>
      <c r="W1413" s="47">
        <f>Таблица1[[#This Row],[Дата поступления]]-Таблица1[[#This Row],[Дата рождения]]</f>
        <v>0</v>
      </c>
    </row>
    <row r="1414" spans="22:23" ht="24.75" customHeight="1" x14ac:dyDescent="0.25">
      <c r="V1414" s="47">
        <f>Таблица1[[#This Row],[Дата перевода]]-Таблица1[[#This Row],[Дата поступления]]</f>
        <v>0</v>
      </c>
      <c r="W1414" s="47">
        <f>Таблица1[[#This Row],[Дата поступления]]-Таблица1[[#This Row],[Дата рождения]]</f>
        <v>0</v>
      </c>
    </row>
    <row r="1415" spans="22:23" ht="24.75" customHeight="1" x14ac:dyDescent="0.25">
      <c r="V1415" s="47">
        <f>Таблица1[[#This Row],[Дата перевода]]-Таблица1[[#This Row],[Дата поступления]]</f>
        <v>0</v>
      </c>
      <c r="W1415" s="47">
        <f>Таблица1[[#This Row],[Дата поступления]]-Таблица1[[#This Row],[Дата рождения]]</f>
        <v>0</v>
      </c>
    </row>
    <row r="1416" spans="22:23" ht="24.75" customHeight="1" x14ac:dyDescent="0.25">
      <c r="V1416" s="47">
        <f>Таблица1[[#This Row],[Дата перевода]]-Таблица1[[#This Row],[Дата поступления]]</f>
        <v>0</v>
      </c>
      <c r="W1416" s="47">
        <f>Таблица1[[#This Row],[Дата поступления]]-Таблица1[[#This Row],[Дата рождения]]</f>
        <v>0</v>
      </c>
    </row>
    <row r="1417" spans="22:23" ht="24.75" customHeight="1" x14ac:dyDescent="0.25">
      <c r="V1417" s="47">
        <f>Таблица1[[#This Row],[Дата перевода]]-Таблица1[[#This Row],[Дата поступления]]</f>
        <v>0</v>
      </c>
      <c r="W1417" s="47">
        <f>Таблица1[[#This Row],[Дата поступления]]-Таблица1[[#This Row],[Дата рождения]]</f>
        <v>0</v>
      </c>
    </row>
    <row r="1418" spans="22:23" ht="24.75" customHeight="1" x14ac:dyDescent="0.25">
      <c r="V1418" s="47">
        <f>Таблица1[[#This Row],[Дата перевода]]-Таблица1[[#This Row],[Дата поступления]]</f>
        <v>0</v>
      </c>
      <c r="W1418" s="47">
        <f>Таблица1[[#This Row],[Дата поступления]]-Таблица1[[#This Row],[Дата рождения]]</f>
        <v>0</v>
      </c>
    </row>
    <row r="1419" spans="22:23" ht="24.75" customHeight="1" x14ac:dyDescent="0.25">
      <c r="V1419" s="47">
        <f>Таблица1[[#This Row],[Дата перевода]]-Таблица1[[#This Row],[Дата поступления]]</f>
        <v>0</v>
      </c>
      <c r="W1419" s="47">
        <f>Таблица1[[#This Row],[Дата поступления]]-Таблица1[[#This Row],[Дата рождения]]</f>
        <v>0</v>
      </c>
    </row>
    <row r="1420" spans="22:23" ht="24.75" customHeight="1" x14ac:dyDescent="0.25">
      <c r="V1420" s="47">
        <f>Таблица1[[#This Row],[Дата перевода]]-Таблица1[[#This Row],[Дата поступления]]</f>
        <v>0</v>
      </c>
      <c r="W1420" s="47">
        <f>Таблица1[[#This Row],[Дата поступления]]-Таблица1[[#This Row],[Дата рождения]]</f>
        <v>0</v>
      </c>
    </row>
    <row r="1421" spans="22:23" ht="24.75" customHeight="1" x14ac:dyDescent="0.25">
      <c r="V1421" s="47">
        <f>Таблица1[[#This Row],[Дата перевода]]-Таблица1[[#This Row],[Дата поступления]]</f>
        <v>0</v>
      </c>
      <c r="W1421" s="47">
        <f>Таблица1[[#This Row],[Дата поступления]]-Таблица1[[#This Row],[Дата рождения]]</f>
        <v>0</v>
      </c>
    </row>
    <row r="1422" spans="22:23" ht="24.75" customHeight="1" x14ac:dyDescent="0.25">
      <c r="V1422" s="47">
        <f>Таблица1[[#This Row],[Дата перевода]]-Таблица1[[#This Row],[Дата поступления]]</f>
        <v>0</v>
      </c>
      <c r="W1422" s="47">
        <f>Таблица1[[#This Row],[Дата поступления]]-Таблица1[[#This Row],[Дата рождения]]</f>
        <v>0</v>
      </c>
    </row>
    <row r="1423" spans="22:23" ht="24.75" customHeight="1" x14ac:dyDescent="0.25">
      <c r="V1423" s="47">
        <f>Таблица1[[#This Row],[Дата перевода]]-Таблица1[[#This Row],[Дата поступления]]</f>
        <v>0</v>
      </c>
      <c r="W1423" s="47">
        <f>Таблица1[[#This Row],[Дата поступления]]-Таблица1[[#This Row],[Дата рождения]]</f>
        <v>0</v>
      </c>
    </row>
    <row r="1424" spans="22:23" ht="24.75" customHeight="1" x14ac:dyDescent="0.25">
      <c r="V1424" s="47">
        <f>Таблица1[[#This Row],[Дата перевода]]-Таблица1[[#This Row],[Дата поступления]]</f>
        <v>0</v>
      </c>
      <c r="W1424" s="47">
        <f>Таблица1[[#This Row],[Дата поступления]]-Таблица1[[#This Row],[Дата рождения]]</f>
        <v>0</v>
      </c>
    </row>
    <row r="1425" spans="22:23" ht="24.75" customHeight="1" x14ac:dyDescent="0.25">
      <c r="V1425" s="47">
        <f>Таблица1[[#This Row],[Дата перевода]]-Таблица1[[#This Row],[Дата поступления]]</f>
        <v>0</v>
      </c>
      <c r="W1425" s="47">
        <f>Таблица1[[#This Row],[Дата поступления]]-Таблица1[[#This Row],[Дата рождения]]</f>
        <v>0</v>
      </c>
    </row>
    <row r="1426" spans="22:23" ht="24.75" customHeight="1" x14ac:dyDescent="0.25">
      <c r="V1426" s="47">
        <f>Таблица1[[#This Row],[Дата перевода]]-Таблица1[[#This Row],[Дата поступления]]</f>
        <v>0</v>
      </c>
      <c r="W1426" s="47">
        <f>Таблица1[[#This Row],[Дата поступления]]-Таблица1[[#This Row],[Дата рождения]]</f>
        <v>0</v>
      </c>
    </row>
    <row r="1427" spans="22:23" ht="24.75" customHeight="1" x14ac:dyDescent="0.25">
      <c r="V1427" s="47">
        <f>Таблица1[[#This Row],[Дата перевода]]-Таблица1[[#This Row],[Дата поступления]]</f>
        <v>0</v>
      </c>
      <c r="W1427" s="47">
        <f>Таблица1[[#This Row],[Дата поступления]]-Таблица1[[#This Row],[Дата рождения]]</f>
        <v>0</v>
      </c>
    </row>
    <row r="1428" spans="22:23" ht="24.75" customHeight="1" x14ac:dyDescent="0.25">
      <c r="V1428" s="47">
        <f>Таблица1[[#This Row],[Дата перевода]]-Таблица1[[#This Row],[Дата поступления]]</f>
        <v>0</v>
      </c>
      <c r="W1428" s="47">
        <f>Таблица1[[#This Row],[Дата поступления]]-Таблица1[[#This Row],[Дата рождения]]</f>
        <v>0</v>
      </c>
    </row>
    <row r="1429" spans="22:23" ht="24.75" customHeight="1" x14ac:dyDescent="0.25">
      <c r="V1429" s="47">
        <f>Таблица1[[#This Row],[Дата перевода]]-Таблица1[[#This Row],[Дата поступления]]</f>
        <v>0</v>
      </c>
      <c r="W1429" s="47">
        <f>Таблица1[[#This Row],[Дата поступления]]-Таблица1[[#This Row],[Дата рождения]]</f>
        <v>0</v>
      </c>
    </row>
    <row r="1430" spans="22:23" ht="24.75" customHeight="1" x14ac:dyDescent="0.25">
      <c r="V1430" s="47">
        <f>Таблица1[[#This Row],[Дата перевода]]-Таблица1[[#This Row],[Дата поступления]]</f>
        <v>0</v>
      </c>
      <c r="W1430" s="47">
        <f>Таблица1[[#This Row],[Дата поступления]]-Таблица1[[#This Row],[Дата рождения]]</f>
        <v>0</v>
      </c>
    </row>
    <row r="1431" spans="22:23" ht="24.75" customHeight="1" x14ac:dyDescent="0.25">
      <c r="V1431" s="47">
        <f>Таблица1[[#This Row],[Дата перевода]]-Таблица1[[#This Row],[Дата поступления]]</f>
        <v>0</v>
      </c>
      <c r="W1431" s="47">
        <f>Таблица1[[#This Row],[Дата поступления]]-Таблица1[[#This Row],[Дата рождения]]</f>
        <v>0</v>
      </c>
    </row>
    <row r="1432" spans="22:23" ht="24.75" customHeight="1" x14ac:dyDescent="0.25">
      <c r="V1432" s="47">
        <f>Таблица1[[#This Row],[Дата перевода]]-Таблица1[[#This Row],[Дата поступления]]</f>
        <v>0</v>
      </c>
      <c r="W1432" s="47">
        <f>Таблица1[[#This Row],[Дата поступления]]-Таблица1[[#This Row],[Дата рождения]]</f>
        <v>0</v>
      </c>
    </row>
    <row r="1433" spans="22:23" ht="24.75" customHeight="1" x14ac:dyDescent="0.25">
      <c r="V1433" s="47">
        <f>Таблица1[[#This Row],[Дата перевода]]-Таблица1[[#This Row],[Дата поступления]]</f>
        <v>0</v>
      </c>
      <c r="W1433" s="47">
        <f>Таблица1[[#This Row],[Дата поступления]]-Таблица1[[#This Row],[Дата рождения]]</f>
        <v>0</v>
      </c>
    </row>
    <row r="1434" spans="22:23" ht="24.75" customHeight="1" x14ac:dyDescent="0.25">
      <c r="V1434" s="47">
        <f>Таблица1[[#This Row],[Дата перевода]]-Таблица1[[#This Row],[Дата поступления]]</f>
        <v>0</v>
      </c>
      <c r="W1434" s="47">
        <f>Таблица1[[#This Row],[Дата поступления]]-Таблица1[[#This Row],[Дата рождения]]</f>
        <v>0</v>
      </c>
    </row>
    <row r="1435" spans="22:23" ht="24.75" customHeight="1" x14ac:dyDescent="0.25">
      <c r="V1435" s="47">
        <f>Таблица1[[#This Row],[Дата перевода]]-Таблица1[[#This Row],[Дата поступления]]</f>
        <v>0</v>
      </c>
      <c r="W1435" s="47">
        <f>Таблица1[[#This Row],[Дата поступления]]-Таблица1[[#This Row],[Дата рождения]]</f>
        <v>0</v>
      </c>
    </row>
    <row r="1436" spans="22:23" ht="24.75" customHeight="1" x14ac:dyDescent="0.25">
      <c r="V1436" s="47">
        <f>Таблица1[[#This Row],[Дата перевода]]-Таблица1[[#This Row],[Дата поступления]]</f>
        <v>0</v>
      </c>
      <c r="W1436" s="47">
        <f>Таблица1[[#This Row],[Дата поступления]]-Таблица1[[#This Row],[Дата рождения]]</f>
        <v>0</v>
      </c>
    </row>
    <row r="1437" spans="22:23" ht="24.75" customHeight="1" x14ac:dyDescent="0.25">
      <c r="V1437" s="47">
        <f>Таблица1[[#This Row],[Дата перевода]]-Таблица1[[#This Row],[Дата поступления]]</f>
        <v>0</v>
      </c>
      <c r="W1437" s="47">
        <f>Таблица1[[#This Row],[Дата поступления]]-Таблица1[[#This Row],[Дата рождения]]</f>
        <v>0</v>
      </c>
    </row>
    <row r="1438" spans="22:23" ht="24.75" customHeight="1" x14ac:dyDescent="0.25">
      <c r="V1438" s="47">
        <f>Таблица1[[#This Row],[Дата перевода]]-Таблица1[[#This Row],[Дата поступления]]</f>
        <v>0</v>
      </c>
      <c r="W1438" s="47">
        <f>Таблица1[[#This Row],[Дата поступления]]-Таблица1[[#This Row],[Дата рождения]]</f>
        <v>0</v>
      </c>
    </row>
    <row r="1439" spans="22:23" ht="24.75" customHeight="1" x14ac:dyDescent="0.25">
      <c r="V1439" s="47">
        <f>Таблица1[[#This Row],[Дата перевода]]-Таблица1[[#This Row],[Дата поступления]]</f>
        <v>0</v>
      </c>
      <c r="W1439" s="47">
        <f>Таблица1[[#This Row],[Дата поступления]]-Таблица1[[#This Row],[Дата рождения]]</f>
        <v>0</v>
      </c>
    </row>
    <row r="1440" spans="22:23" ht="24.75" customHeight="1" x14ac:dyDescent="0.25">
      <c r="V1440" s="47">
        <f>Таблица1[[#This Row],[Дата перевода]]-Таблица1[[#This Row],[Дата поступления]]</f>
        <v>0</v>
      </c>
      <c r="W1440" s="47">
        <f>Таблица1[[#This Row],[Дата поступления]]-Таблица1[[#This Row],[Дата рождения]]</f>
        <v>0</v>
      </c>
    </row>
    <row r="1441" spans="22:23" ht="24.75" customHeight="1" x14ac:dyDescent="0.25">
      <c r="V1441" s="47">
        <f>Таблица1[[#This Row],[Дата перевода]]-Таблица1[[#This Row],[Дата поступления]]</f>
        <v>0</v>
      </c>
      <c r="W1441" s="47">
        <f>Таблица1[[#This Row],[Дата поступления]]-Таблица1[[#This Row],[Дата рождения]]</f>
        <v>0</v>
      </c>
    </row>
    <row r="1442" spans="22:23" ht="24.75" customHeight="1" x14ac:dyDescent="0.25">
      <c r="V1442" s="47">
        <f>Таблица1[[#This Row],[Дата перевода]]-Таблица1[[#This Row],[Дата поступления]]</f>
        <v>0</v>
      </c>
      <c r="W1442" s="47">
        <f>Таблица1[[#This Row],[Дата поступления]]-Таблица1[[#This Row],[Дата рождения]]</f>
        <v>0</v>
      </c>
    </row>
    <row r="1443" spans="22:23" ht="24.75" customHeight="1" x14ac:dyDescent="0.25">
      <c r="V1443" s="47">
        <f>Таблица1[[#This Row],[Дата перевода]]-Таблица1[[#This Row],[Дата поступления]]</f>
        <v>0</v>
      </c>
      <c r="W1443" s="47">
        <f>Таблица1[[#This Row],[Дата поступления]]-Таблица1[[#This Row],[Дата рождения]]</f>
        <v>0</v>
      </c>
    </row>
    <row r="1444" spans="22:23" ht="24.75" customHeight="1" x14ac:dyDescent="0.25">
      <c r="V1444" s="47">
        <f>Таблица1[[#This Row],[Дата перевода]]-Таблица1[[#This Row],[Дата поступления]]</f>
        <v>0</v>
      </c>
      <c r="W1444" s="47">
        <f>Таблица1[[#This Row],[Дата поступления]]-Таблица1[[#This Row],[Дата рождения]]</f>
        <v>0</v>
      </c>
    </row>
    <row r="1445" spans="22:23" ht="24.75" customHeight="1" x14ac:dyDescent="0.25">
      <c r="V1445" s="47">
        <f>Таблица1[[#This Row],[Дата перевода]]-Таблица1[[#This Row],[Дата поступления]]</f>
        <v>0</v>
      </c>
      <c r="W1445" s="47">
        <f>Таблица1[[#This Row],[Дата поступления]]-Таблица1[[#This Row],[Дата рождения]]</f>
        <v>0</v>
      </c>
    </row>
    <row r="1446" spans="22:23" ht="24.75" customHeight="1" x14ac:dyDescent="0.25">
      <c r="V1446" s="47">
        <f>Таблица1[[#This Row],[Дата перевода]]-Таблица1[[#This Row],[Дата поступления]]</f>
        <v>0</v>
      </c>
      <c r="W1446" s="47">
        <f>Таблица1[[#This Row],[Дата поступления]]-Таблица1[[#This Row],[Дата рождения]]</f>
        <v>0</v>
      </c>
    </row>
    <row r="1447" spans="22:23" ht="24.75" customHeight="1" x14ac:dyDescent="0.25">
      <c r="V1447" s="47">
        <f>Таблица1[[#This Row],[Дата перевода]]-Таблица1[[#This Row],[Дата поступления]]</f>
        <v>0</v>
      </c>
      <c r="W1447" s="47">
        <f>Таблица1[[#This Row],[Дата поступления]]-Таблица1[[#This Row],[Дата рождения]]</f>
        <v>0</v>
      </c>
    </row>
    <row r="1448" spans="22:23" ht="24.75" customHeight="1" x14ac:dyDescent="0.25">
      <c r="V1448" s="47">
        <f>Таблица1[[#This Row],[Дата перевода]]-Таблица1[[#This Row],[Дата поступления]]</f>
        <v>0</v>
      </c>
      <c r="W1448" s="47">
        <f>Таблица1[[#This Row],[Дата поступления]]-Таблица1[[#This Row],[Дата рождения]]</f>
        <v>0</v>
      </c>
    </row>
    <row r="1449" spans="22:23" ht="24.75" customHeight="1" x14ac:dyDescent="0.25">
      <c r="V1449" s="47">
        <f>Таблица1[[#This Row],[Дата перевода]]-Таблица1[[#This Row],[Дата поступления]]</f>
        <v>0</v>
      </c>
      <c r="W1449" s="47">
        <f>Таблица1[[#This Row],[Дата поступления]]-Таблица1[[#This Row],[Дата рождения]]</f>
        <v>0</v>
      </c>
    </row>
    <row r="1450" spans="22:23" ht="24.75" customHeight="1" x14ac:dyDescent="0.25">
      <c r="V1450" s="47">
        <f>Таблица1[[#This Row],[Дата перевода]]-Таблица1[[#This Row],[Дата поступления]]</f>
        <v>0</v>
      </c>
      <c r="W1450" s="47">
        <f>Таблица1[[#This Row],[Дата поступления]]-Таблица1[[#This Row],[Дата рождения]]</f>
        <v>0</v>
      </c>
    </row>
    <row r="1451" spans="22:23" ht="24.75" customHeight="1" x14ac:dyDescent="0.25">
      <c r="V1451" s="47">
        <f>Таблица1[[#This Row],[Дата перевода]]-Таблица1[[#This Row],[Дата поступления]]</f>
        <v>0</v>
      </c>
      <c r="W1451" s="47">
        <f>Таблица1[[#This Row],[Дата поступления]]-Таблица1[[#This Row],[Дата рождения]]</f>
        <v>0</v>
      </c>
    </row>
    <row r="1452" spans="22:23" ht="24.75" customHeight="1" x14ac:dyDescent="0.25">
      <c r="V1452" s="47">
        <f>Таблица1[[#This Row],[Дата перевода]]-Таблица1[[#This Row],[Дата поступления]]</f>
        <v>0</v>
      </c>
      <c r="W1452" s="47">
        <f>Таблица1[[#This Row],[Дата поступления]]-Таблица1[[#This Row],[Дата рождения]]</f>
        <v>0</v>
      </c>
    </row>
    <row r="1453" spans="22:23" ht="24.75" customHeight="1" x14ac:dyDescent="0.25">
      <c r="V1453" s="47">
        <f>Таблица1[[#This Row],[Дата перевода]]-Таблица1[[#This Row],[Дата поступления]]</f>
        <v>0</v>
      </c>
      <c r="W1453" s="47">
        <f>Таблица1[[#This Row],[Дата поступления]]-Таблица1[[#This Row],[Дата рождения]]</f>
        <v>0</v>
      </c>
    </row>
    <row r="1454" spans="22:23" ht="24.75" customHeight="1" x14ac:dyDescent="0.25">
      <c r="V1454" s="47">
        <f>Таблица1[[#This Row],[Дата перевода]]-Таблица1[[#This Row],[Дата поступления]]</f>
        <v>0</v>
      </c>
      <c r="W1454" s="47">
        <f>Таблица1[[#This Row],[Дата поступления]]-Таблица1[[#This Row],[Дата рождения]]</f>
        <v>0</v>
      </c>
    </row>
    <row r="1455" spans="22:23" ht="24.75" customHeight="1" x14ac:dyDescent="0.25">
      <c r="V1455" s="47">
        <f>Таблица1[[#This Row],[Дата перевода]]-Таблица1[[#This Row],[Дата поступления]]</f>
        <v>0</v>
      </c>
      <c r="W1455" s="47">
        <f>Таблица1[[#This Row],[Дата поступления]]-Таблица1[[#This Row],[Дата рождения]]</f>
        <v>0</v>
      </c>
    </row>
    <row r="1456" spans="22:23" ht="24.75" customHeight="1" x14ac:dyDescent="0.25">
      <c r="V1456" s="47">
        <f>Таблица1[[#This Row],[Дата перевода]]-Таблица1[[#This Row],[Дата поступления]]</f>
        <v>0</v>
      </c>
      <c r="W1456" s="47">
        <f>Таблица1[[#This Row],[Дата поступления]]-Таблица1[[#This Row],[Дата рождения]]</f>
        <v>0</v>
      </c>
    </row>
    <row r="1457" spans="22:23" ht="24.75" customHeight="1" x14ac:dyDescent="0.25">
      <c r="V1457" s="47">
        <f>Таблица1[[#This Row],[Дата перевода]]-Таблица1[[#This Row],[Дата поступления]]</f>
        <v>0</v>
      </c>
      <c r="W1457" s="47">
        <f>Таблица1[[#This Row],[Дата поступления]]-Таблица1[[#This Row],[Дата рождения]]</f>
        <v>0</v>
      </c>
    </row>
    <row r="1458" spans="22:23" ht="24.75" customHeight="1" x14ac:dyDescent="0.25">
      <c r="V1458" s="47">
        <f>Таблица1[[#This Row],[Дата перевода]]-Таблица1[[#This Row],[Дата поступления]]</f>
        <v>0</v>
      </c>
      <c r="W1458" s="47">
        <f>Таблица1[[#This Row],[Дата поступления]]-Таблица1[[#This Row],[Дата рождения]]</f>
        <v>0</v>
      </c>
    </row>
    <row r="1459" spans="22:23" ht="24.75" customHeight="1" x14ac:dyDescent="0.25">
      <c r="V1459" s="47">
        <f>Таблица1[[#This Row],[Дата перевода]]-Таблица1[[#This Row],[Дата поступления]]</f>
        <v>0</v>
      </c>
      <c r="W1459" s="47">
        <f>Таблица1[[#This Row],[Дата поступления]]-Таблица1[[#This Row],[Дата рождения]]</f>
        <v>0</v>
      </c>
    </row>
    <row r="1460" spans="22:23" ht="24.75" customHeight="1" x14ac:dyDescent="0.25">
      <c r="V1460" s="47">
        <f>Таблица1[[#This Row],[Дата перевода]]-Таблица1[[#This Row],[Дата поступления]]</f>
        <v>0</v>
      </c>
      <c r="W1460" s="47">
        <f>Таблица1[[#This Row],[Дата поступления]]-Таблица1[[#This Row],[Дата рождения]]</f>
        <v>0</v>
      </c>
    </row>
    <row r="1461" spans="22:23" ht="24.75" customHeight="1" x14ac:dyDescent="0.25">
      <c r="V1461" s="47">
        <f>Таблица1[[#This Row],[Дата перевода]]-Таблица1[[#This Row],[Дата поступления]]</f>
        <v>0</v>
      </c>
      <c r="W1461" s="47">
        <f>Таблица1[[#This Row],[Дата поступления]]-Таблица1[[#This Row],[Дата рождения]]</f>
        <v>0</v>
      </c>
    </row>
    <row r="1462" spans="22:23" ht="24.75" customHeight="1" x14ac:dyDescent="0.25">
      <c r="V1462" s="47">
        <f>Таблица1[[#This Row],[Дата перевода]]-Таблица1[[#This Row],[Дата поступления]]</f>
        <v>0</v>
      </c>
      <c r="W1462" s="47">
        <f>Таблица1[[#This Row],[Дата поступления]]-Таблица1[[#This Row],[Дата рождения]]</f>
        <v>0</v>
      </c>
    </row>
    <row r="1463" spans="22:23" ht="24.75" customHeight="1" x14ac:dyDescent="0.25">
      <c r="V1463" s="47">
        <f>Таблица1[[#This Row],[Дата перевода]]-Таблица1[[#This Row],[Дата поступления]]</f>
        <v>0</v>
      </c>
      <c r="W1463" s="47">
        <f>Таблица1[[#This Row],[Дата поступления]]-Таблица1[[#This Row],[Дата рождения]]</f>
        <v>0</v>
      </c>
    </row>
    <row r="1464" spans="22:23" ht="24.75" customHeight="1" x14ac:dyDescent="0.25">
      <c r="V1464" s="47">
        <f>Таблица1[[#This Row],[Дата перевода]]-Таблица1[[#This Row],[Дата поступления]]</f>
        <v>0</v>
      </c>
      <c r="W1464" s="47">
        <f>Таблица1[[#This Row],[Дата поступления]]-Таблица1[[#This Row],[Дата рождения]]</f>
        <v>0</v>
      </c>
    </row>
    <row r="1465" spans="22:23" ht="24.75" customHeight="1" x14ac:dyDescent="0.25">
      <c r="V1465" s="47">
        <f>Таблица1[[#This Row],[Дата перевода]]-Таблица1[[#This Row],[Дата поступления]]</f>
        <v>0</v>
      </c>
      <c r="W1465" s="47">
        <f>Таблица1[[#This Row],[Дата поступления]]-Таблица1[[#This Row],[Дата рождения]]</f>
        <v>0</v>
      </c>
    </row>
    <row r="1466" spans="22:23" ht="24.75" customHeight="1" x14ac:dyDescent="0.25">
      <c r="V1466" s="47">
        <f>Таблица1[[#This Row],[Дата перевода]]-Таблица1[[#This Row],[Дата поступления]]</f>
        <v>0</v>
      </c>
      <c r="W1466" s="47">
        <f>Таблица1[[#This Row],[Дата поступления]]-Таблица1[[#This Row],[Дата рождения]]</f>
        <v>0</v>
      </c>
    </row>
    <row r="1467" spans="22:23" ht="24.75" customHeight="1" x14ac:dyDescent="0.25">
      <c r="V1467" s="47">
        <f>Таблица1[[#This Row],[Дата перевода]]-Таблица1[[#This Row],[Дата поступления]]</f>
        <v>0</v>
      </c>
      <c r="W1467" s="47">
        <f>Таблица1[[#This Row],[Дата поступления]]-Таблица1[[#This Row],[Дата рождения]]</f>
        <v>0</v>
      </c>
    </row>
    <row r="1468" spans="22:23" ht="24.75" customHeight="1" x14ac:dyDescent="0.25">
      <c r="V1468" s="47">
        <f>Таблица1[[#This Row],[Дата перевода]]-Таблица1[[#This Row],[Дата поступления]]</f>
        <v>0</v>
      </c>
      <c r="W1468" s="47">
        <f>Таблица1[[#This Row],[Дата поступления]]-Таблица1[[#This Row],[Дата рождения]]</f>
        <v>0</v>
      </c>
    </row>
    <row r="1469" spans="22:23" ht="24.75" customHeight="1" x14ac:dyDescent="0.25">
      <c r="V1469" s="47">
        <f>Таблица1[[#This Row],[Дата перевода]]-Таблица1[[#This Row],[Дата поступления]]</f>
        <v>0</v>
      </c>
      <c r="W1469" s="47">
        <f>Таблица1[[#This Row],[Дата поступления]]-Таблица1[[#This Row],[Дата рождения]]</f>
        <v>0</v>
      </c>
    </row>
    <row r="1470" spans="22:23" ht="24.75" customHeight="1" x14ac:dyDescent="0.25">
      <c r="V1470" s="47">
        <f>Таблица1[[#This Row],[Дата перевода]]-Таблица1[[#This Row],[Дата поступления]]</f>
        <v>0</v>
      </c>
      <c r="W1470" s="47">
        <f>Таблица1[[#This Row],[Дата поступления]]-Таблица1[[#This Row],[Дата рождения]]</f>
        <v>0</v>
      </c>
    </row>
    <row r="1471" spans="22:23" ht="24.75" customHeight="1" x14ac:dyDescent="0.25">
      <c r="V1471" s="47">
        <f>Таблица1[[#This Row],[Дата перевода]]-Таблица1[[#This Row],[Дата поступления]]</f>
        <v>0</v>
      </c>
      <c r="W1471" s="47">
        <f>Таблица1[[#This Row],[Дата поступления]]-Таблица1[[#This Row],[Дата рождения]]</f>
        <v>0</v>
      </c>
    </row>
    <row r="1472" spans="22:23" ht="24.75" customHeight="1" x14ac:dyDescent="0.25">
      <c r="V1472" s="47">
        <f>Таблица1[[#This Row],[Дата перевода]]-Таблица1[[#This Row],[Дата поступления]]</f>
        <v>0</v>
      </c>
      <c r="W1472" s="47">
        <f>Таблица1[[#This Row],[Дата поступления]]-Таблица1[[#This Row],[Дата рождения]]</f>
        <v>0</v>
      </c>
    </row>
    <row r="1473" spans="22:23" ht="24.75" customHeight="1" x14ac:dyDescent="0.25">
      <c r="V1473" s="47">
        <f>Таблица1[[#This Row],[Дата перевода]]-Таблица1[[#This Row],[Дата поступления]]</f>
        <v>0</v>
      </c>
      <c r="W1473" s="47">
        <f>Таблица1[[#This Row],[Дата поступления]]-Таблица1[[#This Row],[Дата рождения]]</f>
        <v>0</v>
      </c>
    </row>
    <row r="1474" spans="22:23" ht="24.75" customHeight="1" x14ac:dyDescent="0.25">
      <c r="V1474" s="47">
        <f>Таблица1[[#This Row],[Дата перевода]]-Таблица1[[#This Row],[Дата поступления]]</f>
        <v>0</v>
      </c>
      <c r="W1474" s="47">
        <f>Таблица1[[#This Row],[Дата поступления]]-Таблица1[[#This Row],[Дата рождения]]</f>
        <v>0</v>
      </c>
    </row>
    <row r="1475" spans="22:23" ht="24.75" customHeight="1" x14ac:dyDescent="0.25">
      <c r="V1475" s="47">
        <f>Таблица1[[#This Row],[Дата перевода]]-Таблица1[[#This Row],[Дата поступления]]</f>
        <v>0</v>
      </c>
      <c r="W1475" s="47">
        <f>Таблица1[[#This Row],[Дата поступления]]-Таблица1[[#This Row],[Дата рождения]]</f>
        <v>0</v>
      </c>
    </row>
    <row r="1476" spans="22:23" ht="24.75" customHeight="1" x14ac:dyDescent="0.25">
      <c r="V1476" s="47">
        <f>Таблица1[[#This Row],[Дата перевода]]-Таблица1[[#This Row],[Дата поступления]]</f>
        <v>0</v>
      </c>
      <c r="W1476" s="47">
        <f>Таблица1[[#This Row],[Дата поступления]]-Таблица1[[#This Row],[Дата рождения]]</f>
        <v>0</v>
      </c>
    </row>
    <row r="1477" spans="22:23" ht="24.75" customHeight="1" x14ac:dyDescent="0.25">
      <c r="V1477" s="47">
        <f>Таблица1[[#This Row],[Дата перевода]]-Таблица1[[#This Row],[Дата поступления]]</f>
        <v>0</v>
      </c>
      <c r="W1477" s="47">
        <f>Таблица1[[#This Row],[Дата поступления]]-Таблица1[[#This Row],[Дата рождения]]</f>
        <v>0</v>
      </c>
    </row>
    <row r="1478" spans="22:23" ht="24.75" customHeight="1" x14ac:dyDescent="0.25">
      <c r="V1478" s="47">
        <f>Таблица1[[#This Row],[Дата перевода]]-Таблица1[[#This Row],[Дата поступления]]</f>
        <v>0</v>
      </c>
      <c r="W1478" s="47">
        <f>Таблица1[[#This Row],[Дата поступления]]-Таблица1[[#This Row],[Дата рождения]]</f>
        <v>0</v>
      </c>
    </row>
    <row r="1479" spans="22:23" ht="24.75" customHeight="1" x14ac:dyDescent="0.25">
      <c r="V1479" s="47">
        <f>Таблица1[[#This Row],[Дата перевода]]-Таблица1[[#This Row],[Дата поступления]]</f>
        <v>0</v>
      </c>
      <c r="W1479" s="47">
        <f>Таблица1[[#This Row],[Дата поступления]]-Таблица1[[#This Row],[Дата рождения]]</f>
        <v>0</v>
      </c>
    </row>
    <row r="1480" spans="22:23" ht="24.75" customHeight="1" x14ac:dyDescent="0.25">
      <c r="V1480" s="47">
        <f>Таблица1[[#This Row],[Дата перевода]]-Таблица1[[#This Row],[Дата поступления]]</f>
        <v>0</v>
      </c>
      <c r="W1480" s="47">
        <f>Таблица1[[#This Row],[Дата поступления]]-Таблица1[[#This Row],[Дата рождения]]</f>
        <v>0</v>
      </c>
    </row>
    <row r="1481" spans="22:23" ht="24.75" customHeight="1" x14ac:dyDescent="0.25">
      <c r="V1481" s="47">
        <f>Таблица1[[#This Row],[Дата перевода]]-Таблица1[[#This Row],[Дата поступления]]</f>
        <v>0</v>
      </c>
      <c r="W1481" s="47">
        <f>Таблица1[[#This Row],[Дата поступления]]-Таблица1[[#This Row],[Дата рождения]]</f>
        <v>0</v>
      </c>
    </row>
    <row r="1482" spans="22:23" ht="24.75" customHeight="1" x14ac:dyDescent="0.25">
      <c r="V1482" s="47">
        <f>Таблица1[[#This Row],[Дата перевода]]-Таблица1[[#This Row],[Дата поступления]]</f>
        <v>0</v>
      </c>
      <c r="W1482" s="47">
        <f>Таблица1[[#This Row],[Дата поступления]]-Таблица1[[#This Row],[Дата рождения]]</f>
        <v>0</v>
      </c>
    </row>
    <row r="1483" spans="22:23" ht="24.75" customHeight="1" x14ac:dyDescent="0.25">
      <c r="V1483" s="47">
        <f>Таблица1[[#This Row],[Дата перевода]]-Таблица1[[#This Row],[Дата поступления]]</f>
        <v>0</v>
      </c>
      <c r="W1483" s="47">
        <f>Таблица1[[#This Row],[Дата поступления]]-Таблица1[[#This Row],[Дата рождения]]</f>
        <v>0</v>
      </c>
    </row>
    <row r="1484" spans="22:23" ht="24.75" customHeight="1" x14ac:dyDescent="0.25">
      <c r="V1484" s="47">
        <f>Таблица1[[#This Row],[Дата перевода]]-Таблица1[[#This Row],[Дата поступления]]</f>
        <v>0</v>
      </c>
      <c r="W1484" s="47">
        <f>Таблица1[[#This Row],[Дата поступления]]-Таблица1[[#This Row],[Дата рождения]]</f>
        <v>0</v>
      </c>
    </row>
    <row r="1485" spans="22:23" ht="24.75" customHeight="1" x14ac:dyDescent="0.25">
      <c r="V1485" s="47">
        <f>Таблица1[[#This Row],[Дата перевода]]-Таблица1[[#This Row],[Дата поступления]]</f>
        <v>0</v>
      </c>
      <c r="W1485" s="47">
        <f>Таблица1[[#This Row],[Дата поступления]]-Таблица1[[#This Row],[Дата рождения]]</f>
        <v>0</v>
      </c>
    </row>
    <row r="1486" spans="22:23" ht="24.75" customHeight="1" x14ac:dyDescent="0.25">
      <c r="V1486" s="47">
        <f>Таблица1[[#This Row],[Дата перевода]]-Таблица1[[#This Row],[Дата поступления]]</f>
        <v>0</v>
      </c>
      <c r="W1486" s="47">
        <f>Таблица1[[#This Row],[Дата поступления]]-Таблица1[[#This Row],[Дата рождения]]</f>
        <v>0</v>
      </c>
    </row>
    <row r="1487" spans="22:23" ht="24.75" customHeight="1" x14ac:dyDescent="0.25">
      <c r="V1487" s="47">
        <f>Таблица1[[#This Row],[Дата перевода]]-Таблица1[[#This Row],[Дата поступления]]</f>
        <v>0</v>
      </c>
      <c r="W1487" s="47">
        <f>Таблица1[[#This Row],[Дата поступления]]-Таблица1[[#This Row],[Дата рождения]]</f>
        <v>0</v>
      </c>
    </row>
    <row r="1488" spans="22:23" ht="24.75" customHeight="1" x14ac:dyDescent="0.25">
      <c r="V1488" s="47">
        <f>Таблица1[[#This Row],[Дата перевода]]-Таблица1[[#This Row],[Дата поступления]]</f>
        <v>0</v>
      </c>
      <c r="W1488" s="47">
        <f>Таблица1[[#This Row],[Дата поступления]]-Таблица1[[#This Row],[Дата рождения]]</f>
        <v>0</v>
      </c>
    </row>
    <row r="1489" spans="22:23" ht="24.75" customHeight="1" x14ac:dyDescent="0.25">
      <c r="V1489" s="47">
        <f>Таблица1[[#This Row],[Дата перевода]]-Таблица1[[#This Row],[Дата поступления]]</f>
        <v>0</v>
      </c>
      <c r="W1489" s="47">
        <f>Таблица1[[#This Row],[Дата поступления]]-Таблица1[[#This Row],[Дата рождения]]</f>
        <v>0</v>
      </c>
    </row>
    <row r="1490" spans="22:23" ht="24.75" customHeight="1" x14ac:dyDescent="0.25">
      <c r="V1490" s="47">
        <f>Таблица1[[#This Row],[Дата перевода]]-Таблица1[[#This Row],[Дата поступления]]</f>
        <v>0</v>
      </c>
      <c r="W1490" s="47">
        <f>Таблица1[[#This Row],[Дата поступления]]-Таблица1[[#This Row],[Дата рождения]]</f>
        <v>0</v>
      </c>
    </row>
    <row r="1491" spans="22:23" ht="24.75" customHeight="1" x14ac:dyDescent="0.25">
      <c r="V1491" s="47">
        <f>Таблица1[[#This Row],[Дата перевода]]-Таблица1[[#This Row],[Дата поступления]]</f>
        <v>0</v>
      </c>
      <c r="W1491" s="47">
        <f>Таблица1[[#This Row],[Дата поступления]]-Таблица1[[#This Row],[Дата рождения]]</f>
        <v>0</v>
      </c>
    </row>
    <row r="1492" spans="22:23" ht="24.75" customHeight="1" x14ac:dyDescent="0.25">
      <c r="V1492" s="47">
        <f>Таблица1[[#This Row],[Дата перевода]]-Таблица1[[#This Row],[Дата поступления]]</f>
        <v>0</v>
      </c>
      <c r="W1492" s="47">
        <f>Таблица1[[#This Row],[Дата поступления]]-Таблица1[[#This Row],[Дата рождения]]</f>
        <v>0</v>
      </c>
    </row>
    <row r="1493" spans="22:23" ht="24.75" customHeight="1" x14ac:dyDescent="0.25">
      <c r="V1493" s="47">
        <f>Таблица1[[#This Row],[Дата перевода]]-Таблица1[[#This Row],[Дата поступления]]</f>
        <v>0</v>
      </c>
      <c r="W1493" s="47">
        <f>Таблица1[[#This Row],[Дата поступления]]-Таблица1[[#This Row],[Дата рождения]]</f>
        <v>0</v>
      </c>
    </row>
    <row r="1494" spans="22:23" ht="24.75" customHeight="1" x14ac:dyDescent="0.25">
      <c r="V1494" s="47">
        <f>Таблица1[[#This Row],[Дата перевода]]-Таблица1[[#This Row],[Дата поступления]]</f>
        <v>0</v>
      </c>
      <c r="W1494" s="47">
        <f>Таблица1[[#This Row],[Дата поступления]]-Таблица1[[#This Row],[Дата рождения]]</f>
        <v>0</v>
      </c>
    </row>
    <row r="1495" spans="22:23" ht="24.75" customHeight="1" x14ac:dyDescent="0.25">
      <c r="V1495" s="47">
        <f>Таблица1[[#This Row],[Дата перевода]]-Таблица1[[#This Row],[Дата поступления]]</f>
        <v>0</v>
      </c>
      <c r="W1495" s="47">
        <f>Таблица1[[#This Row],[Дата поступления]]-Таблица1[[#This Row],[Дата рождения]]</f>
        <v>0</v>
      </c>
    </row>
    <row r="1496" spans="22:23" ht="24.75" customHeight="1" x14ac:dyDescent="0.25">
      <c r="V1496" s="47">
        <f>Таблица1[[#This Row],[Дата перевода]]-Таблица1[[#This Row],[Дата поступления]]</f>
        <v>0</v>
      </c>
      <c r="W1496" s="47">
        <f>Таблица1[[#This Row],[Дата поступления]]-Таблица1[[#This Row],[Дата рождения]]</f>
        <v>0</v>
      </c>
    </row>
    <row r="1497" spans="22:23" ht="24.75" customHeight="1" x14ac:dyDescent="0.25">
      <c r="V1497" s="47">
        <f>Таблица1[[#This Row],[Дата перевода]]-Таблица1[[#This Row],[Дата поступления]]</f>
        <v>0</v>
      </c>
      <c r="W1497" s="47">
        <f>Таблица1[[#This Row],[Дата поступления]]-Таблица1[[#This Row],[Дата рождения]]</f>
        <v>0</v>
      </c>
    </row>
    <row r="1498" spans="22:23" ht="24.75" customHeight="1" x14ac:dyDescent="0.25">
      <c r="V1498" s="47">
        <f>Таблица1[[#This Row],[Дата перевода]]-Таблица1[[#This Row],[Дата поступления]]</f>
        <v>0</v>
      </c>
      <c r="W1498" s="47">
        <f>Таблица1[[#This Row],[Дата поступления]]-Таблица1[[#This Row],[Дата рождения]]</f>
        <v>0</v>
      </c>
    </row>
    <row r="1499" spans="22:23" ht="24.75" customHeight="1" x14ac:dyDescent="0.25">
      <c r="V1499" s="47">
        <f>Таблица1[[#This Row],[Дата перевода]]-Таблица1[[#This Row],[Дата поступления]]</f>
        <v>0</v>
      </c>
      <c r="W1499" s="47">
        <f>Таблица1[[#This Row],[Дата поступления]]-Таблица1[[#This Row],[Дата рождения]]</f>
        <v>0</v>
      </c>
    </row>
    <row r="1500" spans="22:23" ht="24.75" customHeight="1" x14ac:dyDescent="0.25">
      <c r="V1500" s="47">
        <f>Таблица1[[#This Row],[Дата перевода]]-Таблица1[[#This Row],[Дата поступления]]</f>
        <v>0</v>
      </c>
      <c r="W1500" s="47">
        <f>Таблица1[[#This Row],[Дата поступления]]-Таблица1[[#This Row],[Дата рождения]]</f>
        <v>0</v>
      </c>
    </row>
    <row r="1501" spans="22:23" ht="24.75" customHeight="1" x14ac:dyDescent="0.25">
      <c r="V1501" s="47">
        <f>Таблица1[[#This Row],[Дата перевода]]-Таблица1[[#This Row],[Дата поступления]]</f>
        <v>0</v>
      </c>
      <c r="W1501" s="47">
        <f>Таблица1[[#This Row],[Дата поступления]]-Таблица1[[#This Row],[Дата рождения]]</f>
        <v>0</v>
      </c>
    </row>
    <row r="1502" spans="22:23" ht="24.75" customHeight="1" x14ac:dyDescent="0.25">
      <c r="V1502" s="47">
        <f>Таблица1[[#This Row],[Дата перевода]]-Таблица1[[#This Row],[Дата поступления]]</f>
        <v>0</v>
      </c>
      <c r="W1502" s="47">
        <f>Таблица1[[#This Row],[Дата поступления]]-Таблица1[[#This Row],[Дата рождения]]</f>
        <v>0</v>
      </c>
    </row>
    <row r="1503" spans="22:23" ht="24.75" customHeight="1" x14ac:dyDescent="0.25">
      <c r="V1503" s="47">
        <f>Таблица1[[#This Row],[Дата перевода]]-Таблица1[[#This Row],[Дата поступления]]</f>
        <v>0</v>
      </c>
      <c r="W1503" s="47">
        <f>Таблица1[[#This Row],[Дата поступления]]-Таблица1[[#This Row],[Дата рождения]]</f>
        <v>0</v>
      </c>
    </row>
    <row r="1504" spans="22:23" ht="24.75" customHeight="1" x14ac:dyDescent="0.25">
      <c r="V1504" s="47">
        <f>Таблица1[[#This Row],[Дата перевода]]-Таблица1[[#This Row],[Дата поступления]]</f>
        <v>0</v>
      </c>
      <c r="W1504" s="47">
        <f>Таблица1[[#This Row],[Дата поступления]]-Таблица1[[#This Row],[Дата рождения]]</f>
        <v>0</v>
      </c>
    </row>
    <row r="1505" spans="22:23" ht="24.75" customHeight="1" x14ac:dyDescent="0.25">
      <c r="V1505" s="47">
        <f>Таблица1[[#This Row],[Дата перевода]]-Таблица1[[#This Row],[Дата поступления]]</f>
        <v>0</v>
      </c>
      <c r="W1505" s="47">
        <f>Таблица1[[#This Row],[Дата поступления]]-Таблица1[[#This Row],[Дата рождения]]</f>
        <v>0</v>
      </c>
    </row>
    <row r="1506" spans="22:23" ht="24.75" customHeight="1" x14ac:dyDescent="0.25">
      <c r="V1506" s="47">
        <f>Таблица1[[#This Row],[Дата перевода]]-Таблица1[[#This Row],[Дата поступления]]</f>
        <v>0</v>
      </c>
      <c r="W1506" s="47">
        <f>Таблица1[[#This Row],[Дата поступления]]-Таблица1[[#This Row],[Дата рождения]]</f>
        <v>0</v>
      </c>
    </row>
    <row r="1507" spans="22:23" ht="24.75" customHeight="1" x14ac:dyDescent="0.25">
      <c r="V1507" s="47">
        <f>Таблица1[[#This Row],[Дата перевода]]-Таблица1[[#This Row],[Дата поступления]]</f>
        <v>0</v>
      </c>
      <c r="W1507" s="47">
        <f>Таблица1[[#This Row],[Дата поступления]]-Таблица1[[#This Row],[Дата рождения]]</f>
        <v>0</v>
      </c>
    </row>
    <row r="1508" spans="22:23" ht="24.75" customHeight="1" x14ac:dyDescent="0.25">
      <c r="V1508" s="47">
        <f>Таблица1[[#This Row],[Дата перевода]]-Таблица1[[#This Row],[Дата поступления]]</f>
        <v>0</v>
      </c>
      <c r="W1508" s="47">
        <f>Таблица1[[#This Row],[Дата поступления]]-Таблица1[[#This Row],[Дата рождения]]</f>
        <v>0</v>
      </c>
    </row>
    <row r="1509" spans="22:23" ht="24.75" customHeight="1" x14ac:dyDescent="0.25">
      <c r="V1509" s="47">
        <f>Таблица1[[#This Row],[Дата перевода]]-Таблица1[[#This Row],[Дата поступления]]</f>
        <v>0</v>
      </c>
      <c r="W1509" s="47">
        <f>Таблица1[[#This Row],[Дата поступления]]-Таблица1[[#This Row],[Дата рождения]]</f>
        <v>0</v>
      </c>
    </row>
    <row r="1510" spans="22:23" ht="24.75" customHeight="1" x14ac:dyDescent="0.25">
      <c r="V1510" s="47">
        <f>Таблица1[[#This Row],[Дата перевода]]-Таблица1[[#This Row],[Дата поступления]]</f>
        <v>0</v>
      </c>
      <c r="W1510" s="47">
        <f>Таблица1[[#This Row],[Дата поступления]]-Таблица1[[#This Row],[Дата рождения]]</f>
        <v>0</v>
      </c>
    </row>
    <row r="1511" spans="22:23" ht="24.75" customHeight="1" x14ac:dyDescent="0.25">
      <c r="V1511" s="47">
        <f>Таблица1[[#This Row],[Дата перевода]]-Таблица1[[#This Row],[Дата поступления]]</f>
        <v>0</v>
      </c>
      <c r="W1511" s="47">
        <f>Таблица1[[#This Row],[Дата поступления]]-Таблица1[[#This Row],[Дата рождения]]</f>
        <v>0</v>
      </c>
    </row>
    <row r="1512" spans="22:23" ht="24.75" customHeight="1" x14ac:dyDescent="0.25">
      <c r="V1512" s="47">
        <f>Таблица1[[#This Row],[Дата перевода]]-Таблица1[[#This Row],[Дата поступления]]</f>
        <v>0</v>
      </c>
      <c r="W1512" s="47">
        <f>Таблица1[[#This Row],[Дата поступления]]-Таблица1[[#This Row],[Дата рождения]]</f>
        <v>0</v>
      </c>
    </row>
    <row r="1513" spans="22:23" ht="24.75" customHeight="1" x14ac:dyDescent="0.25">
      <c r="V1513" s="47">
        <f>Таблица1[[#This Row],[Дата перевода]]-Таблица1[[#This Row],[Дата поступления]]</f>
        <v>0</v>
      </c>
      <c r="W1513" s="47">
        <f>Таблица1[[#This Row],[Дата поступления]]-Таблица1[[#This Row],[Дата рождения]]</f>
        <v>0</v>
      </c>
    </row>
    <row r="1514" spans="22:23" ht="24.75" customHeight="1" x14ac:dyDescent="0.25">
      <c r="V1514" s="47">
        <f>Таблица1[[#This Row],[Дата перевода]]-Таблица1[[#This Row],[Дата поступления]]</f>
        <v>0</v>
      </c>
      <c r="W1514" s="47">
        <f>Таблица1[[#This Row],[Дата поступления]]-Таблица1[[#This Row],[Дата рождения]]</f>
        <v>0</v>
      </c>
    </row>
    <row r="1515" spans="22:23" ht="24.75" customHeight="1" x14ac:dyDescent="0.25">
      <c r="V1515" s="47">
        <f>Таблица1[[#This Row],[Дата перевода]]-Таблица1[[#This Row],[Дата поступления]]</f>
        <v>0</v>
      </c>
      <c r="W1515" s="47">
        <f>Таблица1[[#This Row],[Дата поступления]]-Таблица1[[#This Row],[Дата рождения]]</f>
        <v>0</v>
      </c>
    </row>
    <row r="1516" spans="22:23" ht="24.75" customHeight="1" x14ac:dyDescent="0.25">
      <c r="V1516" s="47">
        <f>Таблица1[[#This Row],[Дата перевода]]-Таблица1[[#This Row],[Дата поступления]]</f>
        <v>0</v>
      </c>
      <c r="W1516" s="47">
        <f>Таблица1[[#This Row],[Дата поступления]]-Таблица1[[#This Row],[Дата рождения]]</f>
        <v>0</v>
      </c>
    </row>
    <row r="1517" spans="22:23" ht="24.75" customHeight="1" x14ac:dyDescent="0.25">
      <c r="V1517" s="47">
        <f>Таблица1[[#This Row],[Дата перевода]]-Таблица1[[#This Row],[Дата поступления]]</f>
        <v>0</v>
      </c>
      <c r="W1517" s="47">
        <f>Таблица1[[#This Row],[Дата поступления]]-Таблица1[[#This Row],[Дата рождения]]</f>
        <v>0</v>
      </c>
    </row>
    <row r="1518" spans="22:23" ht="24.75" customHeight="1" x14ac:dyDescent="0.25">
      <c r="V1518" s="47">
        <f>Таблица1[[#This Row],[Дата перевода]]-Таблица1[[#This Row],[Дата поступления]]</f>
        <v>0</v>
      </c>
      <c r="W1518" s="47">
        <f>Таблица1[[#This Row],[Дата поступления]]-Таблица1[[#This Row],[Дата рождения]]</f>
        <v>0</v>
      </c>
    </row>
    <row r="1519" spans="22:23" ht="24.75" customHeight="1" x14ac:dyDescent="0.25">
      <c r="V1519" s="47">
        <f>Таблица1[[#This Row],[Дата перевода]]-Таблица1[[#This Row],[Дата поступления]]</f>
        <v>0</v>
      </c>
      <c r="W1519" s="47">
        <f>Таблица1[[#This Row],[Дата поступления]]-Таблица1[[#This Row],[Дата рождения]]</f>
        <v>0</v>
      </c>
    </row>
    <row r="1520" spans="22:23" ht="24.75" customHeight="1" x14ac:dyDescent="0.25">
      <c r="V1520" s="47">
        <f>Таблица1[[#This Row],[Дата перевода]]-Таблица1[[#This Row],[Дата поступления]]</f>
        <v>0</v>
      </c>
      <c r="W1520" s="47">
        <f>Таблица1[[#This Row],[Дата поступления]]-Таблица1[[#This Row],[Дата рождения]]</f>
        <v>0</v>
      </c>
    </row>
    <row r="1521" spans="22:23" ht="24.75" customHeight="1" x14ac:dyDescent="0.25">
      <c r="V1521" s="47">
        <f>Таблица1[[#This Row],[Дата перевода]]-Таблица1[[#This Row],[Дата поступления]]</f>
        <v>0</v>
      </c>
      <c r="W1521" s="47">
        <f>Таблица1[[#This Row],[Дата поступления]]-Таблица1[[#This Row],[Дата рождения]]</f>
        <v>0</v>
      </c>
    </row>
    <row r="1522" spans="22:23" ht="24.75" customHeight="1" x14ac:dyDescent="0.25">
      <c r="V1522" s="47">
        <f>Таблица1[[#This Row],[Дата перевода]]-Таблица1[[#This Row],[Дата поступления]]</f>
        <v>0</v>
      </c>
      <c r="W1522" s="47">
        <f>Таблица1[[#This Row],[Дата поступления]]-Таблица1[[#This Row],[Дата рождения]]</f>
        <v>0</v>
      </c>
    </row>
    <row r="1523" spans="22:23" ht="24.75" customHeight="1" x14ac:dyDescent="0.25">
      <c r="V1523" s="47">
        <f>Таблица1[[#This Row],[Дата перевода]]-Таблица1[[#This Row],[Дата поступления]]</f>
        <v>0</v>
      </c>
      <c r="W1523" s="47">
        <f>Таблица1[[#This Row],[Дата поступления]]-Таблица1[[#This Row],[Дата рождения]]</f>
        <v>0</v>
      </c>
    </row>
    <row r="1524" spans="22:23" ht="24.75" customHeight="1" x14ac:dyDescent="0.25">
      <c r="V1524" s="47">
        <f>Таблица1[[#This Row],[Дата перевода]]-Таблица1[[#This Row],[Дата поступления]]</f>
        <v>0</v>
      </c>
      <c r="W1524" s="47">
        <f>Таблица1[[#This Row],[Дата поступления]]-Таблица1[[#This Row],[Дата рождения]]</f>
        <v>0</v>
      </c>
    </row>
    <row r="1525" spans="22:23" ht="24.75" customHeight="1" x14ac:dyDescent="0.25">
      <c r="V1525" s="47">
        <f>Таблица1[[#This Row],[Дата перевода]]-Таблица1[[#This Row],[Дата поступления]]</f>
        <v>0</v>
      </c>
      <c r="W1525" s="47">
        <f>Таблица1[[#This Row],[Дата поступления]]-Таблица1[[#This Row],[Дата рождения]]</f>
        <v>0</v>
      </c>
    </row>
    <row r="1526" spans="22:23" ht="24.75" customHeight="1" x14ac:dyDescent="0.25">
      <c r="V1526" s="47">
        <f>Таблица1[[#This Row],[Дата перевода]]-Таблица1[[#This Row],[Дата поступления]]</f>
        <v>0</v>
      </c>
      <c r="W1526" s="47">
        <f>Таблица1[[#This Row],[Дата поступления]]-Таблица1[[#This Row],[Дата рождения]]</f>
        <v>0</v>
      </c>
    </row>
    <row r="1527" spans="22:23" ht="24.75" customHeight="1" x14ac:dyDescent="0.25">
      <c r="V1527" s="47">
        <f>Таблица1[[#This Row],[Дата перевода]]-Таблица1[[#This Row],[Дата поступления]]</f>
        <v>0</v>
      </c>
      <c r="W1527" s="47">
        <f>Таблица1[[#This Row],[Дата поступления]]-Таблица1[[#This Row],[Дата рождения]]</f>
        <v>0</v>
      </c>
    </row>
    <row r="1528" spans="22:23" ht="24.75" customHeight="1" x14ac:dyDescent="0.25">
      <c r="V1528" s="47">
        <f>Таблица1[[#This Row],[Дата перевода]]-Таблица1[[#This Row],[Дата поступления]]</f>
        <v>0</v>
      </c>
      <c r="W1528" s="47">
        <f>Таблица1[[#This Row],[Дата поступления]]-Таблица1[[#This Row],[Дата рождения]]</f>
        <v>0</v>
      </c>
    </row>
    <row r="1529" spans="22:23" ht="24.75" customHeight="1" x14ac:dyDescent="0.25">
      <c r="V1529" s="47">
        <f>Таблица1[[#This Row],[Дата перевода]]-Таблица1[[#This Row],[Дата поступления]]</f>
        <v>0</v>
      </c>
      <c r="W1529" s="47">
        <f>Таблица1[[#This Row],[Дата поступления]]-Таблица1[[#This Row],[Дата рождения]]</f>
        <v>0</v>
      </c>
    </row>
    <row r="1530" spans="22:23" ht="24.75" customHeight="1" x14ac:dyDescent="0.25">
      <c r="V1530" s="47">
        <f>Таблица1[[#This Row],[Дата перевода]]-Таблица1[[#This Row],[Дата поступления]]</f>
        <v>0</v>
      </c>
      <c r="W1530" s="47">
        <f>Таблица1[[#This Row],[Дата поступления]]-Таблица1[[#This Row],[Дата рождения]]</f>
        <v>0</v>
      </c>
    </row>
    <row r="1531" spans="22:23" ht="24.75" customHeight="1" x14ac:dyDescent="0.25">
      <c r="V1531" s="47">
        <f>Таблица1[[#This Row],[Дата перевода]]-Таблица1[[#This Row],[Дата поступления]]</f>
        <v>0</v>
      </c>
      <c r="W1531" s="47">
        <f>Таблица1[[#This Row],[Дата поступления]]-Таблица1[[#This Row],[Дата рождения]]</f>
        <v>0</v>
      </c>
    </row>
    <row r="1532" spans="22:23" ht="24.75" customHeight="1" x14ac:dyDescent="0.25">
      <c r="V1532" s="47">
        <f>Таблица1[[#This Row],[Дата перевода]]-Таблица1[[#This Row],[Дата поступления]]</f>
        <v>0</v>
      </c>
      <c r="W1532" s="47">
        <f>Таблица1[[#This Row],[Дата поступления]]-Таблица1[[#This Row],[Дата рождения]]</f>
        <v>0</v>
      </c>
    </row>
    <row r="1533" spans="22:23" ht="24.75" customHeight="1" x14ac:dyDescent="0.25">
      <c r="V1533" s="47">
        <f>Таблица1[[#This Row],[Дата перевода]]-Таблица1[[#This Row],[Дата поступления]]</f>
        <v>0</v>
      </c>
      <c r="W1533" s="47">
        <f>Таблица1[[#This Row],[Дата поступления]]-Таблица1[[#This Row],[Дата рождения]]</f>
        <v>0</v>
      </c>
    </row>
    <row r="1534" spans="22:23" ht="24.75" customHeight="1" x14ac:dyDescent="0.25">
      <c r="V1534" s="47">
        <f>Таблица1[[#This Row],[Дата перевода]]-Таблица1[[#This Row],[Дата поступления]]</f>
        <v>0</v>
      </c>
      <c r="W1534" s="47">
        <f>Таблица1[[#This Row],[Дата поступления]]-Таблица1[[#This Row],[Дата рождения]]</f>
        <v>0</v>
      </c>
    </row>
    <row r="1535" spans="22:23" ht="24.75" customHeight="1" x14ac:dyDescent="0.25">
      <c r="V1535" s="47">
        <f>Таблица1[[#This Row],[Дата перевода]]-Таблица1[[#This Row],[Дата поступления]]</f>
        <v>0</v>
      </c>
      <c r="W1535" s="47">
        <f>Таблица1[[#This Row],[Дата поступления]]-Таблица1[[#This Row],[Дата рождения]]</f>
        <v>0</v>
      </c>
    </row>
    <row r="1536" spans="22:23" ht="24.75" customHeight="1" x14ac:dyDescent="0.25">
      <c r="V1536" s="47">
        <f>Таблица1[[#This Row],[Дата перевода]]-Таблица1[[#This Row],[Дата поступления]]</f>
        <v>0</v>
      </c>
      <c r="W1536" s="47">
        <f>Таблица1[[#This Row],[Дата поступления]]-Таблица1[[#This Row],[Дата рождения]]</f>
        <v>0</v>
      </c>
    </row>
    <row r="1537" spans="22:23" ht="24.75" customHeight="1" x14ac:dyDescent="0.25">
      <c r="V1537" s="47">
        <f>Таблица1[[#This Row],[Дата перевода]]-Таблица1[[#This Row],[Дата поступления]]</f>
        <v>0</v>
      </c>
      <c r="W1537" s="47">
        <f>Таблица1[[#This Row],[Дата поступления]]-Таблица1[[#This Row],[Дата рождения]]</f>
        <v>0</v>
      </c>
    </row>
    <row r="1538" spans="22:23" ht="24.75" customHeight="1" x14ac:dyDescent="0.25">
      <c r="V1538" s="47">
        <f>Таблица1[[#This Row],[Дата перевода]]-Таблица1[[#This Row],[Дата поступления]]</f>
        <v>0</v>
      </c>
      <c r="W1538" s="47">
        <f>Таблица1[[#This Row],[Дата поступления]]-Таблица1[[#This Row],[Дата рождения]]</f>
        <v>0</v>
      </c>
    </row>
    <row r="1539" spans="22:23" ht="24.75" customHeight="1" x14ac:dyDescent="0.25">
      <c r="V1539" s="47">
        <f>Таблица1[[#This Row],[Дата перевода]]-Таблица1[[#This Row],[Дата поступления]]</f>
        <v>0</v>
      </c>
      <c r="W1539" s="47">
        <f>Таблица1[[#This Row],[Дата поступления]]-Таблица1[[#This Row],[Дата рождения]]</f>
        <v>0</v>
      </c>
    </row>
    <row r="1540" spans="22:23" ht="24.75" customHeight="1" x14ac:dyDescent="0.25">
      <c r="V1540" s="47">
        <f>Таблица1[[#This Row],[Дата перевода]]-Таблица1[[#This Row],[Дата поступления]]</f>
        <v>0</v>
      </c>
      <c r="W1540" s="47">
        <f>Таблица1[[#This Row],[Дата поступления]]-Таблица1[[#This Row],[Дата рождения]]</f>
        <v>0</v>
      </c>
    </row>
    <row r="1541" spans="22:23" ht="24.75" customHeight="1" x14ac:dyDescent="0.25">
      <c r="V1541" s="47">
        <f>Таблица1[[#This Row],[Дата перевода]]-Таблица1[[#This Row],[Дата поступления]]</f>
        <v>0</v>
      </c>
      <c r="W1541" s="47">
        <f>Таблица1[[#This Row],[Дата поступления]]-Таблица1[[#This Row],[Дата рождения]]</f>
        <v>0</v>
      </c>
    </row>
    <row r="1542" spans="22:23" ht="24.75" customHeight="1" x14ac:dyDescent="0.25">
      <c r="V1542" s="47">
        <f>Таблица1[[#This Row],[Дата перевода]]-Таблица1[[#This Row],[Дата поступления]]</f>
        <v>0</v>
      </c>
      <c r="W1542" s="47">
        <f>Таблица1[[#This Row],[Дата поступления]]-Таблица1[[#This Row],[Дата рождения]]</f>
        <v>0</v>
      </c>
    </row>
    <row r="1543" spans="22:23" ht="24.75" customHeight="1" x14ac:dyDescent="0.25">
      <c r="V1543" s="47">
        <f>Таблица1[[#This Row],[Дата перевода]]-Таблица1[[#This Row],[Дата поступления]]</f>
        <v>0</v>
      </c>
      <c r="W1543" s="47">
        <f>Таблица1[[#This Row],[Дата поступления]]-Таблица1[[#This Row],[Дата рождения]]</f>
        <v>0</v>
      </c>
    </row>
    <row r="1544" spans="22:23" ht="24.75" customHeight="1" x14ac:dyDescent="0.25">
      <c r="V1544" s="47">
        <f>Таблица1[[#This Row],[Дата перевода]]-Таблица1[[#This Row],[Дата поступления]]</f>
        <v>0</v>
      </c>
      <c r="W1544" s="47">
        <f>Таблица1[[#This Row],[Дата поступления]]-Таблица1[[#This Row],[Дата рождения]]</f>
        <v>0</v>
      </c>
    </row>
    <row r="1545" spans="22:23" ht="24.75" customHeight="1" x14ac:dyDescent="0.25">
      <c r="V1545" s="47">
        <f>Таблица1[[#This Row],[Дата перевода]]-Таблица1[[#This Row],[Дата поступления]]</f>
        <v>0</v>
      </c>
      <c r="W1545" s="47">
        <f>Таблица1[[#This Row],[Дата поступления]]-Таблица1[[#This Row],[Дата рождения]]</f>
        <v>0</v>
      </c>
    </row>
    <row r="1546" spans="22:23" ht="24.75" customHeight="1" x14ac:dyDescent="0.25">
      <c r="V1546" s="47">
        <f>Таблица1[[#This Row],[Дата перевода]]-Таблица1[[#This Row],[Дата поступления]]</f>
        <v>0</v>
      </c>
      <c r="W1546" s="47">
        <f>Таблица1[[#This Row],[Дата поступления]]-Таблица1[[#This Row],[Дата рождения]]</f>
        <v>0</v>
      </c>
    </row>
    <row r="1547" spans="22:23" ht="24.75" customHeight="1" x14ac:dyDescent="0.25">
      <c r="V1547" s="47">
        <f>Таблица1[[#This Row],[Дата перевода]]-Таблица1[[#This Row],[Дата поступления]]</f>
        <v>0</v>
      </c>
      <c r="W1547" s="47">
        <f>Таблица1[[#This Row],[Дата поступления]]-Таблица1[[#This Row],[Дата рождения]]</f>
        <v>0</v>
      </c>
    </row>
    <row r="1548" spans="22:23" ht="24.75" customHeight="1" x14ac:dyDescent="0.25">
      <c r="V1548" s="47">
        <f>Таблица1[[#This Row],[Дата перевода]]-Таблица1[[#This Row],[Дата поступления]]</f>
        <v>0</v>
      </c>
      <c r="W1548" s="47">
        <f>Таблица1[[#This Row],[Дата поступления]]-Таблица1[[#This Row],[Дата рождения]]</f>
        <v>0</v>
      </c>
    </row>
    <row r="1549" spans="22:23" ht="24.75" customHeight="1" x14ac:dyDescent="0.25">
      <c r="V1549" s="47">
        <f>Таблица1[[#This Row],[Дата перевода]]-Таблица1[[#This Row],[Дата поступления]]</f>
        <v>0</v>
      </c>
      <c r="W1549" s="47">
        <f>Таблица1[[#This Row],[Дата поступления]]-Таблица1[[#This Row],[Дата рождения]]</f>
        <v>0</v>
      </c>
    </row>
    <row r="1550" spans="22:23" ht="24.75" customHeight="1" x14ac:dyDescent="0.25">
      <c r="V1550" s="47">
        <f>Таблица1[[#This Row],[Дата перевода]]-Таблица1[[#This Row],[Дата поступления]]</f>
        <v>0</v>
      </c>
      <c r="W1550" s="47">
        <f>Таблица1[[#This Row],[Дата поступления]]-Таблица1[[#This Row],[Дата рождения]]</f>
        <v>0</v>
      </c>
    </row>
    <row r="1551" spans="22:23" ht="24.75" customHeight="1" x14ac:dyDescent="0.25">
      <c r="V1551" s="47">
        <f>Таблица1[[#This Row],[Дата перевода]]-Таблица1[[#This Row],[Дата поступления]]</f>
        <v>0</v>
      </c>
      <c r="W1551" s="47">
        <f>Таблица1[[#This Row],[Дата поступления]]-Таблица1[[#This Row],[Дата рождения]]</f>
        <v>0</v>
      </c>
    </row>
    <row r="1552" spans="22:23" ht="24.75" customHeight="1" x14ac:dyDescent="0.25">
      <c r="V1552" s="47">
        <f>Таблица1[[#This Row],[Дата перевода]]-Таблица1[[#This Row],[Дата поступления]]</f>
        <v>0</v>
      </c>
      <c r="W1552" s="47">
        <f>Таблица1[[#This Row],[Дата поступления]]-Таблица1[[#This Row],[Дата рождения]]</f>
        <v>0</v>
      </c>
    </row>
    <row r="1553" spans="22:23" ht="24.75" customHeight="1" x14ac:dyDescent="0.25">
      <c r="V1553" s="47">
        <f>Таблица1[[#This Row],[Дата перевода]]-Таблица1[[#This Row],[Дата поступления]]</f>
        <v>0</v>
      </c>
      <c r="W1553" s="47">
        <f>Таблица1[[#This Row],[Дата поступления]]-Таблица1[[#This Row],[Дата рождения]]</f>
        <v>0</v>
      </c>
    </row>
    <row r="1554" spans="22:23" ht="24.75" customHeight="1" x14ac:dyDescent="0.25">
      <c r="V1554" s="47">
        <f>Таблица1[[#This Row],[Дата перевода]]-Таблица1[[#This Row],[Дата поступления]]</f>
        <v>0</v>
      </c>
      <c r="W1554" s="47">
        <f>Таблица1[[#This Row],[Дата поступления]]-Таблица1[[#This Row],[Дата рождения]]</f>
        <v>0</v>
      </c>
    </row>
    <row r="1555" spans="22:23" ht="24.75" customHeight="1" x14ac:dyDescent="0.25">
      <c r="V1555" s="47">
        <f>Таблица1[[#This Row],[Дата перевода]]-Таблица1[[#This Row],[Дата поступления]]</f>
        <v>0</v>
      </c>
      <c r="W1555" s="47">
        <f>Таблица1[[#This Row],[Дата поступления]]-Таблица1[[#This Row],[Дата рождения]]</f>
        <v>0</v>
      </c>
    </row>
    <row r="1556" spans="22:23" ht="24.75" customHeight="1" x14ac:dyDescent="0.25">
      <c r="V1556" s="47">
        <f>Таблица1[[#This Row],[Дата перевода]]-Таблица1[[#This Row],[Дата поступления]]</f>
        <v>0</v>
      </c>
      <c r="W1556" s="47">
        <f>Таблица1[[#This Row],[Дата поступления]]-Таблица1[[#This Row],[Дата рождения]]</f>
        <v>0</v>
      </c>
    </row>
    <row r="1557" spans="22:23" ht="24.75" customHeight="1" x14ac:dyDescent="0.25">
      <c r="V1557" s="47">
        <f>Таблица1[[#This Row],[Дата перевода]]-Таблица1[[#This Row],[Дата поступления]]</f>
        <v>0</v>
      </c>
      <c r="W1557" s="47">
        <f>Таблица1[[#This Row],[Дата поступления]]-Таблица1[[#This Row],[Дата рождения]]</f>
        <v>0</v>
      </c>
    </row>
    <row r="1558" spans="22:23" ht="24.75" customHeight="1" x14ac:dyDescent="0.25">
      <c r="V1558" s="47">
        <f>Таблица1[[#This Row],[Дата перевода]]-Таблица1[[#This Row],[Дата поступления]]</f>
        <v>0</v>
      </c>
      <c r="W1558" s="47">
        <f>Таблица1[[#This Row],[Дата поступления]]-Таблица1[[#This Row],[Дата рождения]]</f>
        <v>0</v>
      </c>
    </row>
    <row r="1559" spans="22:23" ht="24.75" customHeight="1" x14ac:dyDescent="0.25">
      <c r="V1559" s="47">
        <f>Таблица1[[#This Row],[Дата перевода]]-Таблица1[[#This Row],[Дата поступления]]</f>
        <v>0</v>
      </c>
      <c r="W1559" s="47">
        <f>Таблица1[[#This Row],[Дата поступления]]-Таблица1[[#This Row],[Дата рождения]]</f>
        <v>0</v>
      </c>
    </row>
    <row r="1560" spans="22:23" ht="24.75" customHeight="1" x14ac:dyDescent="0.25">
      <c r="V1560" s="47">
        <f>Таблица1[[#This Row],[Дата перевода]]-Таблица1[[#This Row],[Дата поступления]]</f>
        <v>0</v>
      </c>
      <c r="W1560" s="47">
        <f>Таблица1[[#This Row],[Дата поступления]]-Таблица1[[#This Row],[Дата рождения]]</f>
        <v>0</v>
      </c>
    </row>
    <row r="1561" spans="22:23" ht="24.75" customHeight="1" x14ac:dyDescent="0.25">
      <c r="V1561" s="47">
        <f>Таблица1[[#This Row],[Дата перевода]]-Таблица1[[#This Row],[Дата поступления]]</f>
        <v>0</v>
      </c>
      <c r="W1561" s="47">
        <f>Таблица1[[#This Row],[Дата поступления]]-Таблица1[[#This Row],[Дата рождения]]</f>
        <v>0</v>
      </c>
    </row>
    <row r="1562" spans="22:23" ht="24.75" customHeight="1" x14ac:dyDescent="0.25">
      <c r="V1562" s="47">
        <f>Таблица1[[#This Row],[Дата перевода]]-Таблица1[[#This Row],[Дата поступления]]</f>
        <v>0</v>
      </c>
      <c r="W1562" s="47">
        <f>Таблица1[[#This Row],[Дата поступления]]-Таблица1[[#This Row],[Дата рождения]]</f>
        <v>0</v>
      </c>
    </row>
    <row r="1563" spans="22:23" ht="24.75" customHeight="1" x14ac:dyDescent="0.25">
      <c r="V1563" s="47">
        <f>Таблица1[[#This Row],[Дата перевода]]-Таблица1[[#This Row],[Дата поступления]]</f>
        <v>0</v>
      </c>
      <c r="W1563" s="47">
        <f>Таблица1[[#This Row],[Дата поступления]]-Таблица1[[#This Row],[Дата рождения]]</f>
        <v>0</v>
      </c>
    </row>
    <row r="1564" spans="22:23" ht="24.75" customHeight="1" x14ac:dyDescent="0.25">
      <c r="V1564" s="47">
        <f>Таблица1[[#This Row],[Дата перевода]]-Таблица1[[#This Row],[Дата поступления]]</f>
        <v>0</v>
      </c>
      <c r="W1564" s="47">
        <f>Таблица1[[#This Row],[Дата поступления]]-Таблица1[[#This Row],[Дата рождения]]</f>
        <v>0</v>
      </c>
    </row>
    <row r="1565" spans="22:23" ht="24.75" customHeight="1" x14ac:dyDescent="0.25">
      <c r="V1565" s="47">
        <f>Таблица1[[#This Row],[Дата перевода]]-Таблица1[[#This Row],[Дата поступления]]</f>
        <v>0</v>
      </c>
      <c r="W1565" s="47">
        <f>Таблица1[[#This Row],[Дата поступления]]-Таблица1[[#This Row],[Дата рождения]]</f>
        <v>0</v>
      </c>
    </row>
    <row r="1566" spans="22:23" ht="24.75" customHeight="1" x14ac:dyDescent="0.25">
      <c r="V1566" s="47">
        <f>Таблица1[[#This Row],[Дата перевода]]-Таблица1[[#This Row],[Дата поступления]]</f>
        <v>0</v>
      </c>
      <c r="W1566" s="47">
        <f>Таблица1[[#This Row],[Дата поступления]]-Таблица1[[#This Row],[Дата рождения]]</f>
        <v>0</v>
      </c>
    </row>
    <row r="1567" spans="22:23" ht="24.75" customHeight="1" x14ac:dyDescent="0.25">
      <c r="V1567" s="47">
        <f>Таблица1[[#This Row],[Дата перевода]]-Таблица1[[#This Row],[Дата поступления]]</f>
        <v>0</v>
      </c>
      <c r="W1567" s="47">
        <f>Таблица1[[#This Row],[Дата поступления]]-Таблица1[[#This Row],[Дата рождения]]</f>
        <v>0</v>
      </c>
    </row>
    <row r="1568" spans="22:23" ht="24.75" customHeight="1" x14ac:dyDescent="0.25">
      <c r="V1568" s="47">
        <f>Таблица1[[#This Row],[Дата перевода]]-Таблица1[[#This Row],[Дата поступления]]</f>
        <v>0</v>
      </c>
      <c r="W1568" s="47">
        <f>Таблица1[[#This Row],[Дата поступления]]-Таблица1[[#This Row],[Дата рождения]]</f>
        <v>0</v>
      </c>
    </row>
    <row r="1569" spans="22:23" ht="24.75" customHeight="1" x14ac:dyDescent="0.25">
      <c r="V1569" s="47">
        <f>Таблица1[[#This Row],[Дата перевода]]-Таблица1[[#This Row],[Дата поступления]]</f>
        <v>0</v>
      </c>
      <c r="W1569" s="47">
        <f>Таблица1[[#This Row],[Дата поступления]]-Таблица1[[#This Row],[Дата рождения]]</f>
        <v>0</v>
      </c>
    </row>
    <row r="1570" spans="22:23" ht="24.75" customHeight="1" x14ac:dyDescent="0.25">
      <c r="V1570" s="47">
        <f>Таблица1[[#This Row],[Дата перевода]]-Таблица1[[#This Row],[Дата поступления]]</f>
        <v>0</v>
      </c>
      <c r="W1570" s="47">
        <f>Таблица1[[#This Row],[Дата поступления]]-Таблица1[[#This Row],[Дата рождения]]</f>
        <v>0</v>
      </c>
    </row>
    <row r="1571" spans="22:23" ht="24.75" customHeight="1" x14ac:dyDescent="0.25">
      <c r="V1571" s="47">
        <f>Таблица1[[#This Row],[Дата перевода]]-Таблица1[[#This Row],[Дата поступления]]</f>
        <v>0</v>
      </c>
      <c r="W1571" s="47">
        <f>Таблица1[[#This Row],[Дата поступления]]-Таблица1[[#This Row],[Дата рождения]]</f>
        <v>0</v>
      </c>
    </row>
    <row r="1572" spans="22:23" ht="24.75" customHeight="1" x14ac:dyDescent="0.25">
      <c r="V1572" s="47">
        <f>Таблица1[[#This Row],[Дата перевода]]-Таблица1[[#This Row],[Дата поступления]]</f>
        <v>0</v>
      </c>
      <c r="W1572" s="47">
        <f>Таблица1[[#This Row],[Дата поступления]]-Таблица1[[#This Row],[Дата рождения]]</f>
        <v>0</v>
      </c>
    </row>
    <row r="1573" spans="22:23" ht="24.75" customHeight="1" x14ac:dyDescent="0.25">
      <c r="V1573" s="47">
        <f>Таблица1[[#This Row],[Дата перевода]]-Таблица1[[#This Row],[Дата поступления]]</f>
        <v>0</v>
      </c>
      <c r="W1573" s="47">
        <f>Таблица1[[#This Row],[Дата поступления]]-Таблица1[[#This Row],[Дата рождения]]</f>
        <v>0</v>
      </c>
    </row>
    <row r="1574" spans="22:23" ht="24.75" customHeight="1" x14ac:dyDescent="0.25">
      <c r="V1574" s="47">
        <f>Таблица1[[#This Row],[Дата перевода]]-Таблица1[[#This Row],[Дата поступления]]</f>
        <v>0</v>
      </c>
      <c r="W1574" s="47">
        <f>Таблица1[[#This Row],[Дата поступления]]-Таблица1[[#This Row],[Дата рождения]]</f>
        <v>0</v>
      </c>
    </row>
    <row r="1575" spans="22:23" ht="24.75" customHeight="1" x14ac:dyDescent="0.25">
      <c r="V1575" s="47">
        <f>Таблица1[[#This Row],[Дата перевода]]-Таблица1[[#This Row],[Дата поступления]]</f>
        <v>0</v>
      </c>
      <c r="W1575" s="47">
        <f>Таблица1[[#This Row],[Дата поступления]]-Таблица1[[#This Row],[Дата рождения]]</f>
        <v>0</v>
      </c>
    </row>
    <row r="1576" spans="22:23" ht="24.75" customHeight="1" x14ac:dyDescent="0.25">
      <c r="V1576" s="47">
        <f>Таблица1[[#This Row],[Дата перевода]]-Таблица1[[#This Row],[Дата поступления]]</f>
        <v>0</v>
      </c>
      <c r="W1576" s="47">
        <f>Таблица1[[#This Row],[Дата поступления]]-Таблица1[[#This Row],[Дата рождения]]</f>
        <v>0</v>
      </c>
    </row>
    <row r="1577" spans="22:23" ht="24.75" customHeight="1" x14ac:dyDescent="0.25">
      <c r="V1577" s="47">
        <f>Таблица1[[#This Row],[Дата перевода]]-Таблица1[[#This Row],[Дата поступления]]</f>
        <v>0</v>
      </c>
      <c r="W1577" s="47">
        <f>Таблица1[[#This Row],[Дата поступления]]-Таблица1[[#This Row],[Дата рождения]]</f>
        <v>0</v>
      </c>
    </row>
    <row r="1578" spans="22:23" ht="24.75" customHeight="1" x14ac:dyDescent="0.25">
      <c r="V1578" s="47">
        <f>Таблица1[[#This Row],[Дата перевода]]-Таблица1[[#This Row],[Дата поступления]]</f>
        <v>0</v>
      </c>
      <c r="W1578" s="47">
        <f>Таблица1[[#This Row],[Дата поступления]]-Таблица1[[#This Row],[Дата рождения]]</f>
        <v>0</v>
      </c>
    </row>
    <row r="1579" spans="22:23" ht="24.75" customHeight="1" x14ac:dyDescent="0.25">
      <c r="V1579" s="47">
        <f>Таблица1[[#This Row],[Дата перевода]]-Таблица1[[#This Row],[Дата поступления]]</f>
        <v>0</v>
      </c>
      <c r="W1579" s="47">
        <f>Таблица1[[#This Row],[Дата поступления]]-Таблица1[[#This Row],[Дата рождения]]</f>
        <v>0</v>
      </c>
    </row>
    <row r="1580" spans="22:23" ht="24.75" customHeight="1" x14ac:dyDescent="0.25">
      <c r="V1580" s="47">
        <f>Таблица1[[#This Row],[Дата перевода]]-Таблица1[[#This Row],[Дата поступления]]</f>
        <v>0</v>
      </c>
      <c r="W1580" s="47">
        <f>Таблица1[[#This Row],[Дата поступления]]-Таблица1[[#This Row],[Дата рождения]]</f>
        <v>0</v>
      </c>
    </row>
    <row r="1581" spans="22:23" ht="24.75" customHeight="1" x14ac:dyDescent="0.25">
      <c r="V1581" s="47">
        <f>Таблица1[[#This Row],[Дата перевода]]-Таблица1[[#This Row],[Дата поступления]]</f>
        <v>0</v>
      </c>
      <c r="W1581" s="47">
        <f>Таблица1[[#This Row],[Дата поступления]]-Таблица1[[#This Row],[Дата рождения]]</f>
        <v>0</v>
      </c>
    </row>
    <row r="1582" spans="22:23" ht="24.75" customHeight="1" x14ac:dyDescent="0.25">
      <c r="V1582" s="47">
        <f>Таблица1[[#This Row],[Дата перевода]]-Таблица1[[#This Row],[Дата поступления]]</f>
        <v>0</v>
      </c>
      <c r="W1582" s="47">
        <f>Таблица1[[#This Row],[Дата поступления]]-Таблица1[[#This Row],[Дата рождения]]</f>
        <v>0</v>
      </c>
    </row>
    <row r="1583" spans="22:23" ht="24.75" customHeight="1" x14ac:dyDescent="0.25">
      <c r="V1583" s="47">
        <f>Таблица1[[#This Row],[Дата перевода]]-Таблица1[[#This Row],[Дата поступления]]</f>
        <v>0</v>
      </c>
      <c r="W1583" s="47">
        <f>Таблица1[[#This Row],[Дата поступления]]-Таблица1[[#This Row],[Дата рождения]]</f>
        <v>0</v>
      </c>
    </row>
    <row r="1584" spans="22:23" ht="24.75" customHeight="1" x14ac:dyDescent="0.25">
      <c r="V1584" s="47">
        <f>Таблица1[[#This Row],[Дата перевода]]-Таблица1[[#This Row],[Дата поступления]]</f>
        <v>0</v>
      </c>
      <c r="W1584" s="47">
        <f>Таблица1[[#This Row],[Дата поступления]]-Таблица1[[#This Row],[Дата рождения]]</f>
        <v>0</v>
      </c>
    </row>
    <row r="1585" spans="22:23" ht="24.75" customHeight="1" x14ac:dyDescent="0.25">
      <c r="V1585" s="47">
        <f>Таблица1[[#This Row],[Дата перевода]]-Таблица1[[#This Row],[Дата поступления]]</f>
        <v>0</v>
      </c>
      <c r="W1585" s="47">
        <f>Таблица1[[#This Row],[Дата поступления]]-Таблица1[[#This Row],[Дата рождения]]</f>
        <v>0</v>
      </c>
    </row>
    <row r="1586" spans="22:23" ht="24.75" customHeight="1" x14ac:dyDescent="0.25">
      <c r="V1586" s="47">
        <f>Таблица1[[#This Row],[Дата перевода]]-Таблица1[[#This Row],[Дата поступления]]</f>
        <v>0</v>
      </c>
      <c r="W1586" s="47">
        <f>Таблица1[[#This Row],[Дата поступления]]-Таблица1[[#This Row],[Дата рождения]]</f>
        <v>0</v>
      </c>
    </row>
    <row r="1587" spans="22:23" ht="24.75" customHeight="1" x14ac:dyDescent="0.25">
      <c r="V1587" s="47">
        <f>Таблица1[[#This Row],[Дата перевода]]-Таблица1[[#This Row],[Дата поступления]]</f>
        <v>0</v>
      </c>
      <c r="W1587" s="47">
        <f>Таблица1[[#This Row],[Дата поступления]]-Таблица1[[#This Row],[Дата рождения]]</f>
        <v>0</v>
      </c>
    </row>
    <row r="1588" spans="22:23" ht="24.75" customHeight="1" x14ac:dyDescent="0.25">
      <c r="V1588" s="47">
        <f>Таблица1[[#This Row],[Дата перевода]]-Таблица1[[#This Row],[Дата поступления]]</f>
        <v>0</v>
      </c>
      <c r="W1588" s="47">
        <f>Таблица1[[#This Row],[Дата поступления]]-Таблица1[[#This Row],[Дата рождения]]</f>
        <v>0</v>
      </c>
    </row>
    <row r="1589" spans="22:23" ht="24.75" customHeight="1" x14ac:dyDescent="0.25">
      <c r="V1589" s="47">
        <f>Таблица1[[#This Row],[Дата перевода]]-Таблица1[[#This Row],[Дата поступления]]</f>
        <v>0</v>
      </c>
      <c r="W1589" s="47">
        <f>Таблица1[[#This Row],[Дата поступления]]-Таблица1[[#This Row],[Дата рождения]]</f>
        <v>0</v>
      </c>
    </row>
    <row r="1590" spans="22:23" ht="24.75" customHeight="1" x14ac:dyDescent="0.25">
      <c r="V1590" s="47">
        <f>Таблица1[[#This Row],[Дата перевода]]-Таблица1[[#This Row],[Дата поступления]]</f>
        <v>0</v>
      </c>
      <c r="W1590" s="47">
        <f>Таблица1[[#This Row],[Дата поступления]]-Таблица1[[#This Row],[Дата рождения]]</f>
        <v>0</v>
      </c>
    </row>
    <row r="1591" spans="22:23" ht="24.75" customHeight="1" x14ac:dyDescent="0.25">
      <c r="V1591" s="47">
        <f>Таблица1[[#This Row],[Дата перевода]]-Таблица1[[#This Row],[Дата поступления]]</f>
        <v>0</v>
      </c>
      <c r="W1591" s="47">
        <f>Таблица1[[#This Row],[Дата поступления]]-Таблица1[[#This Row],[Дата рождения]]</f>
        <v>0</v>
      </c>
    </row>
    <row r="1592" spans="22:23" ht="24.75" customHeight="1" x14ac:dyDescent="0.25">
      <c r="V1592" s="47">
        <f>Таблица1[[#This Row],[Дата перевода]]-Таблица1[[#This Row],[Дата поступления]]</f>
        <v>0</v>
      </c>
      <c r="W1592" s="47">
        <f>Таблица1[[#This Row],[Дата поступления]]-Таблица1[[#This Row],[Дата рождения]]</f>
        <v>0</v>
      </c>
    </row>
    <row r="1593" spans="22:23" ht="24.75" customHeight="1" x14ac:dyDescent="0.25">
      <c r="V1593" s="47">
        <f>Таблица1[[#This Row],[Дата перевода]]-Таблица1[[#This Row],[Дата поступления]]</f>
        <v>0</v>
      </c>
      <c r="W1593" s="47">
        <f>Таблица1[[#This Row],[Дата поступления]]-Таблица1[[#This Row],[Дата рождения]]</f>
        <v>0</v>
      </c>
    </row>
    <row r="1594" spans="22:23" ht="24.75" customHeight="1" x14ac:dyDescent="0.25">
      <c r="V1594" s="47">
        <f>Таблица1[[#This Row],[Дата перевода]]-Таблица1[[#This Row],[Дата поступления]]</f>
        <v>0</v>
      </c>
      <c r="W1594" s="47">
        <f>Таблица1[[#This Row],[Дата поступления]]-Таблица1[[#This Row],[Дата рождения]]</f>
        <v>0</v>
      </c>
    </row>
    <row r="1595" spans="22:23" ht="24.75" customHeight="1" x14ac:dyDescent="0.25">
      <c r="V1595" s="47">
        <f>Таблица1[[#This Row],[Дата перевода]]-Таблица1[[#This Row],[Дата поступления]]</f>
        <v>0</v>
      </c>
      <c r="W1595" s="47">
        <f>Таблица1[[#This Row],[Дата поступления]]-Таблица1[[#This Row],[Дата рождения]]</f>
        <v>0</v>
      </c>
    </row>
    <row r="1596" spans="22:23" ht="24.75" customHeight="1" x14ac:dyDescent="0.25">
      <c r="V1596" s="47">
        <f>Таблица1[[#This Row],[Дата перевода]]-Таблица1[[#This Row],[Дата поступления]]</f>
        <v>0</v>
      </c>
      <c r="W1596" s="47">
        <f>Таблица1[[#This Row],[Дата поступления]]-Таблица1[[#This Row],[Дата рождения]]</f>
        <v>0</v>
      </c>
    </row>
    <row r="1597" spans="22:23" ht="24.75" customHeight="1" x14ac:dyDescent="0.25">
      <c r="V1597" s="47">
        <f>Таблица1[[#This Row],[Дата перевода]]-Таблица1[[#This Row],[Дата поступления]]</f>
        <v>0</v>
      </c>
      <c r="W1597" s="47">
        <f>Таблица1[[#This Row],[Дата поступления]]-Таблица1[[#This Row],[Дата рождения]]</f>
        <v>0</v>
      </c>
    </row>
    <row r="1598" spans="22:23" ht="24.75" customHeight="1" x14ac:dyDescent="0.25">
      <c r="V1598" s="47">
        <f>Таблица1[[#This Row],[Дата перевода]]-Таблица1[[#This Row],[Дата поступления]]</f>
        <v>0</v>
      </c>
      <c r="W1598" s="47">
        <f>Таблица1[[#This Row],[Дата поступления]]-Таблица1[[#This Row],[Дата рождения]]</f>
        <v>0</v>
      </c>
    </row>
    <row r="1599" spans="22:23" ht="24.75" customHeight="1" x14ac:dyDescent="0.25">
      <c r="V1599" s="47">
        <f>Таблица1[[#This Row],[Дата перевода]]-Таблица1[[#This Row],[Дата поступления]]</f>
        <v>0</v>
      </c>
      <c r="W1599" s="47">
        <f>Таблица1[[#This Row],[Дата поступления]]-Таблица1[[#This Row],[Дата рождения]]</f>
        <v>0</v>
      </c>
    </row>
    <row r="1600" spans="22:23" ht="24.75" customHeight="1" x14ac:dyDescent="0.25">
      <c r="V1600" s="47">
        <f>Таблица1[[#This Row],[Дата перевода]]-Таблица1[[#This Row],[Дата поступления]]</f>
        <v>0</v>
      </c>
      <c r="W1600" s="47">
        <f>Таблица1[[#This Row],[Дата поступления]]-Таблица1[[#This Row],[Дата рождения]]</f>
        <v>0</v>
      </c>
    </row>
    <row r="1601" spans="22:23" ht="24.75" customHeight="1" x14ac:dyDescent="0.25">
      <c r="V1601" s="47">
        <f>Таблица1[[#This Row],[Дата перевода]]-Таблица1[[#This Row],[Дата поступления]]</f>
        <v>0</v>
      </c>
      <c r="W1601" s="47">
        <f>Таблица1[[#This Row],[Дата поступления]]-Таблица1[[#This Row],[Дата рождения]]</f>
        <v>0</v>
      </c>
    </row>
    <row r="1602" spans="22:23" ht="24.75" customHeight="1" x14ac:dyDescent="0.25">
      <c r="V1602" s="47">
        <f>Таблица1[[#This Row],[Дата перевода]]-Таблица1[[#This Row],[Дата поступления]]</f>
        <v>0</v>
      </c>
      <c r="W1602" s="47">
        <f>Таблица1[[#This Row],[Дата поступления]]-Таблица1[[#This Row],[Дата рождения]]</f>
        <v>0</v>
      </c>
    </row>
    <row r="1603" spans="22:23" ht="24.75" customHeight="1" x14ac:dyDescent="0.25">
      <c r="V1603" s="47">
        <f>Таблица1[[#This Row],[Дата перевода]]-Таблица1[[#This Row],[Дата поступления]]</f>
        <v>0</v>
      </c>
      <c r="W1603" s="47">
        <f>Таблица1[[#This Row],[Дата поступления]]-Таблица1[[#This Row],[Дата рождения]]</f>
        <v>0</v>
      </c>
    </row>
    <row r="1604" spans="22:23" ht="24.75" customHeight="1" x14ac:dyDescent="0.25">
      <c r="V1604" s="47">
        <f>Таблица1[[#This Row],[Дата перевода]]-Таблица1[[#This Row],[Дата поступления]]</f>
        <v>0</v>
      </c>
      <c r="W1604" s="47">
        <f>Таблица1[[#This Row],[Дата поступления]]-Таблица1[[#This Row],[Дата рождения]]</f>
        <v>0</v>
      </c>
    </row>
    <row r="1605" spans="22:23" ht="24.75" customHeight="1" x14ac:dyDescent="0.25">
      <c r="V1605" s="47">
        <f>Таблица1[[#This Row],[Дата перевода]]-Таблица1[[#This Row],[Дата поступления]]</f>
        <v>0</v>
      </c>
      <c r="W1605" s="47">
        <f>Таблица1[[#This Row],[Дата поступления]]-Таблица1[[#This Row],[Дата рождения]]</f>
        <v>0</v>
      </c>
    </row>
    <row r="1606" spans="22:23" ht="24.75" customHeight="1" x14ac:dyDescent="0.25">
      <c r="V1606" s="47">
        <f>Таблица1[[#This Row],[Дата перевода]]-Таблица1[[#This Row],[Дата поступления]]</f>
        <v>0</v>
      </c>
      <c r="W1606" s="47">
        <f>Таблица1[[#This Row],[Дата поступления]]-Таблица1[[#This Row],[Дата рождения]]</f>
        <v>0</v>
      </c>
    </row>
    <row r="1607" spans="22:23" ht="24.75" customHeight="1" x14ac:dyDescent="0.25">
      <c r="V1607" s="47">
        <f>Таблица1[[#This Row],[Дата перевода]]-Таблица1[[#This Row],[Дата поступления]]</f>
        <v>0</v>
      </c>
      <c r="W1607" s="47">
        <f>Таблица1[[#This Row],[Дата поступления]]-Таблица1[[#This Row],[Дата рождения]]</f>
        <v>0</v>
      </c>
    </row>
    <row r="1608" spans="22:23" ht="24.75" customHeight="1" x14ac:dyDescent="0.25">
      <c r="V1608" s="47">
        <f>Таблица1[[#This Row],[Дата перевода]]-Таблица1[[#This Row],[Дата поступления]]</f>
        <v>0</v>
      </c>
      <c r="W1608" s="47">
        <f>Таблица1[[#This Row],[Дата поступления]]-Таблица1[[#This Row],[Дата рождения]]</f>
        <v>0</v>
      </c>
    </row>
    <row r="1609" spans="22:23" ht="24.75" customHeight="1" x14ac:dyDescent="0.25">
      <c r="V1609" s="47">
        <f>Таблица1[[#This Row],[Дата перевода]]-Таблица1[[#This Row],[Дата поступления]]</f>
        <v>0</v>
      </c>
      <c r="W1609" s="47">
        <f>Таблица1[[#This Row],[Дата поступления]]-Таблица1[[#This Row],[Дата рождения]]</f>
        <v>0</v>
      </c>
    </row>
    <row r="1610" spans="22:23" ht="24.75" customHeight="1" x14ac:dyDescent="0.25">
      <c r="V1610" s="47">
        <f>Таблица1[[#This Row],[Дата перевода]]-Таблица1[[#This Row],[Дата поступления]]</f>
        <v>0</v>
      </c>
      <c r="W1610" s="47">
        <f>Таблица1[[#This Row],[Дата поступления]]-Таблица1[[#This Row],[Дата рождения]]</f>
        <v>0</v>
      </c>
    </row>
    <row r="1611" spans="22:23" ht="24.75" customHeight="1" x14ac:dyDescent="0.25">
      <c r="V1611" s="47">
        <f>Таблица1[[#This Row],[Дата перевода]]-Таблица1[[#This Row],[Дата поступления]]</f>
        <v>0</v>
      </c>
      <c r="W1611" s="47">
        <f>Таблица1[[#This Row],[Дата поступления]]-Таблица1[[#This Row],[Дата рождения]]</f>
        <v>0</v>
      </c>
    </row>
    <row r="1612" spans="22:23" ht="24.75" customHeight="1" x14ac:dyDescent="0.25">
      <c r="V1612" s="47">
        <f>Таблица1[[#This Row],[Дата перевода]]-Таблица1[[#This Row],[Дата поступления]]</f>
        <v>0</v>
      </c>
      <c r="W1612" s="47">
        <f>Таблица1[[#This Row],[Дата поступления]]-Таблица1[[#This Row],[Дата рождения]]</f>
        <v>0</v>
      </c>
    </row>
    <row r="1613" spans="22:23" ht="24.75" customHeight="1" x14ac:dyDescent="0.25">
      <c r="V1613" s="47">
        <f>Таблица1[[#This Row],[Дата перевода]]-Таблица1[[#This Row],[Дата поступления]]</f>
        <v>0</v>
      </c>
      <c r="W1613" s="47">
        <f>Таблица1[[#This Row],[Дата поступления]]-Таблица1[[#This Row],[Дата рождения]]</f>
        <v>0</v>
      </c>
    </row>
    <row r="1614" spans="22:23" ht="24.75" customHeight="1" x14ac:dyDescent="0.25">
      <c r="V1614" s="47">
        <f>Таблица1[[#This Row],[Дата перевода]]-Таблица1[[#This Row],[Дата поступления]]</f>
        <v>0</v>
      </c>
      <c r="W1614" s="47">
        <f>Таблица1[[#This Row],[Дата поступления]]-Таблица1[[#This Row],[Дата рождения]]</f>
        <v>0</v>
      </c>
    </row>
    <row r="1615" spans="22:23" ht="24.75" customHeight="1" x14ac:dyDescent="0.25">
      <c r="V1615" s="47">
        <f>Таблица1[[#This Row],[Дата перевода]]-Таблица1[[#This Row],[Дата поступления]]</f>
        <v>0</v>
      </c>
      <c r="W1615" s="47">
        <f>Таблица1[[#This Row],[Дата поступления]]-Таблица1[[#This Row],[Дата рождения]]</f>
        <v>0</v>
      </c>
    </row>
    <row r="1616" spans="22:23" ht="24.75" customHeight="1" x14ac:dyDescent="0.25">
      <c r="V1616" s="47">
        <f>Таблица1[[#This Row],[Дата перевода]]-Таблица1[[#This Row],[Дата поступления]]</f>
        <v>0</v>
      </c>
      <c r="W1616" s="47">
        <f>Таблица1[[#This Row],[Дата поступления]]-Таблица1[[#This Row],[Дата рождения]]</f>
        <v>0</v>
      </c>
    </row>
    <row r="1617" spans="22:23" ht="24.75" customHeight="1" x14ac:dyDescent="0.25">
      <c r="V1617" s="47">
        <f>Таблица1[[#This Row],[Дата перевода]]-Таблица1[[#This Row],[Дата поступления]]</f>
        <v>0</v>
      </c>
      <c r="W1617" s="47">
        <f>Таблица1[[#This Row],[Дата поступления]]-Таблица1[[#This Row],[Дата рождения]]</f>
        <v>0</v>
      </c>
    </row>
    <row r="1618" spans="22:23" ht="24.75" customHeight="1" x14ac:dyDescent="0.25">
      <c r="V1618" s="47">
        <f>Таблица1[[#This Row],[Дата перевода]]-Таблица1[[#This Row],[Дата поступления]]</f>
        <v>0</v>
      </c>
      <c r="W1618" s="47">
        <f>Таблица1[[#This Row],[Дата поступления]]-Таблица1[[#This Row],[Дата рождения]]</f>
        <v>0</v>
      </c>
    </row>
    <row r="1619" spans="22:23" ht="24.75" customHeight="1" x14ac:dyDescent="0.25">
      <c r="V1619" s="47">
        <f>Таблица1[[#This Row],[Дата перевода]]-Таблица1[[#This Row],[Дата поступления]]</f>
        <v>0</v>
      </c>
      <c r="W1619" s="47">
        <f>Таблица1[[#This Row],[Дата поступления]]-Таблица1[[#This Row],[Дата рождения]]</f>
        <v>0</v>
      </c>
    </row>
    <row r="1620" spans="22:23" ht="24.75" customHeight="1" x14ac:dyDescent="0.25">
      <c r="V1620" s="47">
        <f>Таблица1[[#This Row],[Дата перевода]]-Таблица1[[#This Row],[Дата поступления]]</f>
        <v>0</v>
      </c>
      <c r="W1620" s="47">
        <f>Таблица1[[#This Row],[Дата поступления]]-Таблица1[[#This Row],[Дата рождения]]</f>
        <v>0</v>
      </c>
    </row>
    <row r="1621" spans="22:23" ht="24.75" customHeight="1" x14ac:dyDescent="0.25">
      <c r="V1621" s="47">
        <f>Таблица1[[#This Row],[Дата перевода]]-Таблица1[[#This Row],[Дата поступления]]</f>
        <v>0</v>
      </c>
      <c r="W1621" s="47">
        <f>Таблица1[[#This Row],[Дата поступления]]-Таблица1[[#This Row],[Дата рождения]]</f>
        <v>0</v>
      </c>
    </row>
    <row r="1622" spans="22:23" ht="24.75" customHeight="1" x14ac:dyDescent="0.25">
      <c r="V1622" s="47">
        <f>Таблица1[[#This Row],[Дата перевода]]-Таблица1[[#This Row],[Дата поступления]]</f>
        <v>0</v>
      </c>
      <c r="W1622" s="47">
        <f>Таблица1[[#This Row],[Дата поступления]]-Таблица1[[#This Row],[Дата рождения]]</f>
        <v>0</v>
      </c>
    </row>
    <row r="1623" spans="22:23" ht="24.75" customHeight="1" x14ac:dyDescent="0.25">
      <c r="V1623" s="47">
        <f>Таблица1[[#This Row],[Дата перевода]]-Таблица1[[#This Row],[Дата поступления]]</f>
        <v>0</v>
      </c>
      <c r="W1623" s="47">
        <f>Таблица1[[#This Row],[Дата поступления]]-Таблица1[[#This Row],[Дата рождения]]</f>
        <v>0</v>
      </c>
    </row>
    <row r="1624" spans="22:23" ht="24.75" customHeight="1" x14ac:dyDescent="0.25">
      <c r="V1624" s="47">
        <f>Таблица1[[#This Row],[Дата перевода]]-Таблица1[[#This Row],[Дата поступления]]</f>
        <v>0</v>
      </c>
      <c r="W1624" s="47">
        <f>Таблица1[[#This Row],[Дата поступления]]-Таблица1[[#This Row],[Дата рождения]]</f>
        <v>0</v>
      </c>
    </row>
    <row r="1625" spans="22:23" ht="24.75" customHeight="1" x14ac:dyDescent="0.25">
      <c r="V1625" s="47">
        <f>Таблица1[[#This Row],[Дата перевода]]-Таблица1[[#This Row],[Дата поступления]]</f>
        <v>0</v>
      </c>
      <c r="W1625" s="47">
        <f>Таблица1[[#This Row],[Дата поступления]]-Таблица1[[#This Row],[Дата рождения]]</f>
        <v>0</v>
      </c>
    </row>
    <row r="1626" spans="22:23" ht="24.75" customHeight="1" x14ac:dyDescent="0.25">
      <c r="V1626" s="47">
        <f>Таблица1[[#This Row],[Дата перевода]]-Таблица1[[#This Row],[Дата поступления]]</f>
        <v>0</v>
      </c>
      <c r="W1626" s="47">
        <f>Таблица1[[#This Row],[Дата поступления]]-Таблица1[[#This Row],[Дата рождения]]</f>
        <v>0</v>
      </c>
    </row>
    <row r="1627" spans="22:23" ht="24.75" customHeight="1" x14ac:dyDescent="0.25">
      <c r="V1627" s="47">
        <f>Таблица1[[#This Row],[Дата перевода]]-Таблица1[[#This Row],[Дата поступления]]</f>
        <v>0</v>
      </c>
      <c r="W1627" s="47">
        <f>Таблица1[[#This Row],[Дата поступления]]-Таблица1[[#This Row],[Дата рождения]]</f>
        <v>0</v>
      </c>
    </row>
    <row r="1628" spans="22:23" ht="24.75" customHeight="1" x14ac:dyDescent="0.25">
      <c r="V1628" s="47">
        <f>Таблица1[[#This Row],[Дата перевода]]-Таблица1[[#This Row],[Дата поступления]]</f>
        <v>0</v>
      </c>
      <c r="W1628" s="47">
        <f>Таблица1[[#This Row],[Дата поступления]]-Таблица1[[#This Row],[Дата рождения]]</f>
        <v>0</v>
      </c>
    </row>
    <row r="1629" spans="22:23" ht="24.75" customHeight="1" x14ac:dyDescent="0.25">
      <c r="V1629" s="47">
        <f>Таблица1[[#This Row],[Дата перевода]]-Таблица1[[#This Row],[Дата поступления]]</f>
        <v>0</v>
      </c>
      <c r="W1629" s="47">
        <f>Таблица1[[#This Row],[Дата поступления]]-Таблица1[[#This Row],[Дата рождения]]</f>
        <v>0</v>
      </c>
    </row>
    <row r="1630" spans="22:23" ht="24.75" customHeight="1" x14ac:dyDescent="0.25">
      <c r="V1630" s="47">
        <f>Таблица1[[#This Row],[Дата перевода]]-Таблица1[[#This Row],[Дата поступления]]</f>
        <v>0</v>
      </c>
      <c r="W1630" s="47">
        <f>Таблица1[[#This Row],[Дата поступления]]-Таблица1[[#This Row],[Дата рождения]]</f>
        <v>0</v>
      </c>
    </row>
    <row r="1631" spans="22:23" ht="24.75" customHeight="1" x14ac:dyDescent="0.25">
      <c r="V1631" s="47">
        <f>Таблица1[[#This Row],[Дата перевода]]-Таблица1[[#This Row],[Дата поступления]]</f>
        <v>0</v>
      </c>
      <c r="W1631" s="47">
        <f>Таблица1[[#This Row],[Дата поступления]]-Таблица1[[#This Row],[Дата рождения]]</f>
        <v>0</v>
      </c>
    </row>
    <row r="1632" spans="22:23" ht="24.75" customHeight="1" x14ac:dyDescent="0.25">
      <c r="V1632" s="47">
        <f>Таблица1[[#This Row],[Дата перевода]]-Таблица1[[#This Row],[Дата поступления]]</f>
        <v>0</v>
      </c>
      <c r="W1632" s="47">
        <f>Таблица1[[#This Row],[Дата поступления]]-Таблица1[[#This Row],[Дата рождения]]</f>
        <v>0</v>
      </c>
    </row>
    <row r="1633" spans="22:23" ht="24.75" customHeight="1" x14ac:dyDescent="0.25">
      <c r="V1633" s="47">
        <f>Таблица1[[#This Row],[Дата перевода]]-Таблица1[[#This Row],[Дата поступления]]</f>
        <v>0</v>
      </c>
      <c r="W1633" s="47">
        <f>Таблица1[[#This Row],[Дата поступления]]-Таблица1[[#This Row],[Дата рождения]]</f>
        <v>0</v>
      </c>
    </row>
    <row r="1634" spans="22:23" ht="24.75" customHeight="1" x14ac:dyDescent="0.25">
      <c r="V1634" s="47">
        <f>Таблица1[[#This Row],[Дата перевода]]-Таблица1[[#This Row],[Дата поступления]]</f>
        <v>0</v>
      </c>
      <c r="W1634" s="47">
        <f>Таблица1[[#This Row],[Дата поступления]]-Таблица1[[#This Row],[Дата рождения]]</f>
        <v>0</v>
      </c>
    </row>
    <row r="1635" spans="22:23" ht="24.75" customHeight="1" x14ac:dyDescent="0.25">
      <c r="V1635" s="47">
        <f>Таблица1[[#This Row],[Дата перевода]]-Таблица1[[#This Row],[Дата поступления]]</f>
        <v>0</v>
      </c>
      <c r="W1635" s="47">
        <f>Таблица1[[#This Row],[Дата поступления]]-Таблица1[[#This Row],[Дата рождения]]</f>
        <v>0</v>
      </c>
    </row>
    <row r="1636" spans="22:23" ht="24.75" customHeight="1" x14ac:dyDescent="0.25">
      <c r="V1636" s="47">
        <f>Таблица1[[#This Row],[Дата перевода]]-Таблица1[[#This Row],[Дата поступления]]</f>
        <v>0</v>
      </c>
      <c r="W1636" s="47">
        <f>Таблица1[[#This Row],[Дата поступления]]-Таблица1[[#This Row],[Дата рождения]]</f>
        <v>0</v>
      </c>
    </row>
    <row r="1637" spans="22:23" ht="24.75" customHeight="1" x14ac:dyDescent="0.25">
      <c r="V1637" s="47">
        <f>Таблица1[[#This Row],[Дата перевода]]-Таблица1[[#This Row],[Дата поступления]]</f>
        <v>0</v>
      </c>
      <c r="W1637" s="47">
        <f>Таблица1[[#This Row],[Дата поступления]]-Таблица1[[#This Row],[Дата рождения]]</f>
        <v>0</v>
      </c>
    </row>
    <row r="1638" spans="22:23" ht="24.75" customHeight="1" x14ac:dyDescent="0.25">
      <c r="V1638" s="47">
        <f>Таблица1[[#This Row],[Дата перевода]]-Таблица1[[#This Row],[Дата поступления]]</f>
        <v>0</v>
      </c>
      <c r="W1638" s="47">
        <f>Таблица1[[#This Row],[Дата поступления]]-Таблица1[[#This Row],[Дата рождения]]</f>
        <v>0</v>
      </c>
    </row>
    <row r="1639" spans="22:23" ht="24.75" customHeight="1" x14ac:dyDescent="0.25">
      <c r="V1639" s="47">
        <f>Таблица1[[#This Row],[Дата перевода]]-Таблица1[[#This Row],[Дата поступления]]</f>
        <v>0</v>
      </c>
      <c r="W1639" s="47">
        <f>Таблица1[[#This Row],[Дата поступления]]-Таблица1[[#This Row],[Дата рождения]]</f>
        <v>0</v>
      </c>
    </row>
    <row r="1640" spans="22:23" ht="24.75" customHeight="1" x14ac:dyDescent="0.25">
      <c r="V1640" s="47">
        <f>Таблица1[[#This Row],[Дата перевода]]-Таблица1[[#This Row],[Дата поступления]]</f>
        <v>0</v>
      </c>
      <c r="W1640" s="47">
        <f>Таблица1[[#This Row],[Дата поступления]]-Таблица1[[#This Row],[Дата рождения]]</f>
        <v>0</v>
      </c>
    </row>
    <row r="1641" spans="22:23" ht="24.75" customHeight="1" x14ac:dyDescent="0.25">
      <c r="V1641" s="47">
        <f>Таблица1[[#This Row],[Дата перевода]]-Таблица1[[#This Row],[Дата поступления]]</f>
        <v>0</v>
      </c>
      <c r="W1641" s="47">
        <f>Таблица1[[#This Row],[Дата поступления]]-Таблица1[[#This Row],[Дата рождения]]</f>
        <v>0</v>
      </c>
    </row>
    <row r="1642" spans="22:23" ht="24.75" customHeight="1" x14ac:dyDescent="0.25">
      <c r="V1642" s="47">
        <f>Таблица1[[#This Row],[Дата перевода]]-Таблица1[[#This Row],[Дата поступления]]</f>
        <v>0</v>
      </c>
      <c r="W1642" s="47">
        <f>Таблица1[[#This Row],[Дата поступления]]-Таблица1[[#This Row],[Дата рождения]]</f>
        <v>0</v>
      </c>
    </row>
    <row r="1643" spans="22:23" ht="24.75" customHeight="1" x14ac:dyDescent="0.25">
      <c r="V1643" s="47">
        <f>Таблица1[[#This Row],[Дата перевода]]-Таблица1[[#This Row],[Дата поступления]]</f>
        <v>0</v>
      </c>
      <c r="W1643" s="47">
        <f>Таблица1[[#This Row],[Дата поступления]]-Таблица1[[#This Row],[Дата рождения]]</f>
        <v>0</v>
      </c>
    </row>
    <row r="1644" spans="22:23" ht="24.75" customHeight="1" x14ac:dyDescent="0.25">
      <c r="V1644" s="47">
        <f>Таблица1[[#This Row],[Дата перевода]]-Таблица1[[#This Row],[Дата поступления]]</f>
        <v>0</v>
      </c>
      <c r="W1644" s="47">
        <f>Таблица1[[#This Row],[Дата поступления]]-Таблица1[[#This Row],[Дата рождения]]</f>
        <v>0</v>
      </c>
    </row>
    <row r="1645" spans="22:23" ht="24.75" customHeight="1" x14ac:dyDescent="0.25">
      <c r="V1645" s="47">
        <f>Таблица1[[#This Row],[Дата перевода]]-Таблица1[[#This Row],[Дата поступления]]</f>
        <v>0</v>
      </c>
      <c r="W1645" s="47">
        <f>Таблица1[[#This Row],[Дата поступления]]-Таблица1[[#This Row],[Дата рождения]]</f>
        <v>0</v>
      </c>
    </row>
    <row r="1646" spans="22:23" ht="24.75" customHeight="1" x14ac:dyDescent="0.25">
      <c r="V1646" s="47">
        <f>Таблица1[[#This Row],[Дата перевода]]-Таблица1[[#This Row],[Дата поступления]]</f>
        <v>0</v>
      </c>
      <c r="W1646" s="47">
        <f>Таблица1[[#This Row],[Дата поступления]]-Таблица1[[#This Row],[Дата рождения]]</f>
        <v>0</v>
      </c>
    </row>
    <row r="1647" spans="22:23" ht="24.75" customHeight="1" x14ac:dyDescent="0.25">
      <c r="V1647" s="47">
        <f>Таблица1[[#This Row],[Дата перевода]]-Таблица1[[#This Row],[Дата поступления]]</f>
        <v>0</v>
      </c>
      <c r="W1647" s="47">
        <f>Таблица1[[#This Row],[Дата поступления]]-Таблица1[[#This Row],[Дата рождения]]</f>
        <v>0</v>
      </c>
    </row>
    <row r="1648" spans="22:23" ht="24.75" customHeight="1" x14ac:dyDescent="0.25">
      <c r="V1648" s="47">
        <f>Таблица1[[#This Row],[Дата перевода]]-Таблица1[[#This Row],[Дата поступления]]</f>
        <v>0</v>
      </c>
      <c r="W1648" s="47">
        <f>Таблица1[[#This Row],[Дата поступления]]-Таблица1[[#This Row],[Дата рождения]]</f>
        <v>0</v>
      </c>
    </row>
    <row r="1649" spans="22:23" ht="24.75" customHeight="1" x14ac:dyDescent="0.25">
      <c r="V1649" s="47">
        <f>Таблица1[[#This Row],[Дата перевода]]-Таблица1[[#This Row],[Дата поступления]]</f>
        <v>0</v>
      </c>
      <c r="W1649" s="47">
        <f>Таблица1[[#This Row],[Дата поступления]]-Таблица1[[#This Row],[Дата рождения]]</f>
        <v>0</v>
      </c>
    </row>
    <row r="1650" spans="22:23" ht="24.75" customHeight="1" x14ac:dyDescent="0.25">
      <c r="V1650" s="47">
        <f>Таблица1[[#This Row],[Дата перевода]]-Таблица1[[#This Row],[Дата поступления]]</f>
        <v>0</v>
      </c>
      <c r="W1650" s="47">
        <f>Таблица1[[#This Row],[Дата поступления]]-Таблица1[[#This Row],[Дата рождения]]</f>
        <v>0</v>
      </c>
    </row>
    <row r="1651" spans="22:23" ht="24.75" customHeight="1" x14ac:dyDescent="0.25">
      <c r="V1651" s="47">
        <f>Таблица1[[#This Row],[Дата перевода]]-Таблица1[[#This Row],[Дата поступления]]</f>
        <v>0</v>
      </c>
      <c r="W1651" s="47">
        <f>Таблица1[[#This Row],[Дата поступления]]-Таблица1[[#This Row],[Дата рождения]]</f>
        <v>0</v>
      </c>
    </row>
    <row r="1652" spans="22:23" ht="24.75" customHeight="1" x14ac:dyDescent="0.25">
      <c r="V1652" s="47">
        <f>Таблица1[[#This Row],[Дата перевода]]-Таблица1[[#This Row],[Дата поступления]]</f>
        <v>0</v>
      </c>
      <c r="W1652" s="47">
        <f>Таблица1[[#This Row],[Дата поступления]]-Таблица1[[#This Row],[Дата рождения]]</f>
        <v>0</v>
      </c>
    </row>
    <row r="1653" spans="22:23" ht="24.75" customHeight="1" x14ac:dyDescent="0.25">
      <c r="V1653" s="47">
        <f>Таблица1[[#This Row],[Дата перевода]]-Таблица1[[#This Row],[Дата поступления]]</f>
        <v>0</v>
      </c>
      <c r="W1653" s="47">
        <f>Таблица1[[#This Row],[Дата поступления]]-Таблица1[[#This Row],[Дата рождения]]</f>
        <v>0</v>
      </c>
    </row>
    <row r="1654" spans="22:23" ht="24.75" customHeight="1" x14ac:dyDescent="0.25">
      <c r="V1654" s="47">
        <f>Таблица1[[#This Row],[Дата перевода]]-Таблица1[[#This Row],[Дата поступления]]</f>
        <v>0</v>
      </c>
      <c r="W1654" s="47">
        <f>Таблица1[[#This Row],[Дата поступления]]-Таблица1[[#This Row],[Дата рождения]]</f>
        <v>0</v>
      </c>
    </row>
    <row r="1655" spans="22:23" ht="24.75" customHeight="1" x14ac:dyDescent="0.25">
      <c r="V1655" s="47">
        <f>Таблица1[[#This Row],[Дата перевода]]-Таблица1[[#This Row],[Дата поступления]]</f>
        <v>0</v>
      </c>
      <c r="W1655" s="47">
        <f>Таблица1[[#This Row],[Дата поступления]]-Таблица1[[#This Row],[Дата рождения]]</f>
        <v>0</v>
      </c>
    </row>
    <row r="1656" spans="22:23" ht="24.75" customHeight="1" x14ac:dyDescent="0.25">
      <c r="V1656" s="47">
        <f>Таблица1[[#This Row],[Дата перевода]]-Таблица1[[#This Row],[Дата поступления]]</f>
        <v>0</v>
      </c>
      <c r="W1656" s="47">
        <f>Таблица1[[#This Row],[Дата поступления]]-Таблица1[[#This Row],[Дата рождения]]</f>
        <v>0</v>
      </c>
    </row>
    <row r="1657" spans="22:23" ht="24.75" customHeight="1" x14ac:dyDescent="0.25">
      <c r="V1657" s="47">
        <f>Таблица1[[#This Row],[Дата перевода]]-Таблица1[[#This Row],[Дата поступления]]</f>
        <v>0</v>
      </c>
      <c r="W1657" s="47">
        <f>Таблица1[[#This Row],[Дата поступления]]-Таблица1[[#This Row],[Дата рождения]]</f>
        <v>0</v>
      </c>
    </row>
    <row r="1658" spans="22:23" ht="24.75" customHeight="1" x14ac:dyDescent="0.25">
      <c r="V1658" s="47">
        <f>Таблица1[[#This Row],[Дата перевода]]-Таблица1[[#This Row],[Дата поступления]]</f>
        <v>0</v>
      </c>
      <c r="W1658" s="47">
        <f>Таблица1[[#This Row],[Дата поступления]]-Таблица1[[#This Row],[Дата рождения]]</f>
        <v>0</v>
      </c>
    </row>
    <row r="1659" spans="22:23" ht="24.75" customHeight="1" x14ac:dyDescent="0.25">
      <c r="V1659" s="47">
        <f>Таблица1[[#This Row],[Дата перевода]]-Таблица1[[#This Row],[Дата поступления]]</f>
        <v>0</v>
      </c>
      <c r="W1659" s="47">
        <f>Таблица1[[#This Row],[Дата поступления]]-Таблица1[[#This Row],[Дата рождения]]</f>
        <v>0</v>
      </c>
    </row>
    <row r="1660" spans="22:23" ht="24.75" customHeight="1" x14ac:dyDescent="0.25">
      <c r="V1660" s="47">
        <f>Таблица1[[#This Row],[Дата перевода]]-Таблица1[[#This Row],[Дата поступления]]</f>
        <v>0</v>
      </c>
      <c r="W1660" s="47">
        <f>Таблица1[[#This Row],[Дата поступления]]-Таблица1[[#This Row],[Дата рождения]]</f>
        <v>0</v>
      </c>
    </row>
    <row r="1661" spans="22:23" ht="24.75" customHeight="1" x14ac:dyDescent="0.25">
      <c r="V1661" s="47">
        <f>Таблица1[[#This Row],[Дата перевода]]-Таблица1[[#This Row],[Дата поступления]]</f>
        <v>0</v>
      </c>
      <c r="W1661" s="47">
        <f>Таблица1[[#This Row],[Дата поступления]]-Таблица1[[#This Row],[Дата рождения]]</f>
        <v>0</v>
      </c>
    </row>
    <row r="1662" spans="22:23" ht="24.75" customHeight="1" x14ac:dyDescent="0.25">
      <c r="V1662" s="47">
        <f>Таблица1[[#This Row],[Дата перевода]]-Таблица1[[#This Row],[Дата поступления]]</f>
        <v>0</v>
      </c>
      <c r="W1662" s="47">
        <f>Таблица1[[#This Row],[Дата поступления]]-Таблица1[[#This Row],[Дата рождения]]</f>
        <v>0</v>
      </c>
    </row>
    <row r="1663" spans="22:23" ht="24.75" customHeight="1" x14ac:dyDescent="0.25">
      <c r="V1663" s="47">
        <f>Таблица1[[#This Row],[Дата перевода]]-Таблица1[[#This Row],[Дата поступления]]</f>
        <v>0</v>
      </c>
      <c r="W1663" s="47">
        <f>Таблица1[[#This Row],[Дата поступления]]-Таблица1[[#This Row],[Дата рождения]]</f>
        <v>0</v>
      </c>
    </row>
    <row r="1664" spans="22:23" ht="24.75" customHeight="1" x14ac:dyDescent="0.25">
      <c r="V1664" s="47">
        <f>Таблица1[[#This Row],[Дата перевода]]-Таблица1[[#This Row],[Дата поступления]]</f>
        <v>0</v>
      </c>
      <c r="W1664" s="47">
        <f>Таблица1[[#This Row],[Дата поступления]]-Таблица1[[#This Row],[Дата рождения]]</f>
        <v>0</v>
      </c>
    </row>
    <row r="1665" spans="22:23" ht="24.75" customHeight="1" x14ac:dyDescent="0.25">
      <c r="V1665" s="47">
        <f>Таблица1[[#This Row],[Дата перевода]]-Таблица1[[#This Row],[Дата поступления]]</f>
        <v>0</v>
      </c>
      <c r="W1665" s="47">
        <f>Таблица1[[#This Row],[Дата поступления]]-Таблица1[[#This Row],[Дата рождения]]</f>
        <v>0</v>
      </c>
    </row>
    <row r="1666" spans="22:23" ht="24.75" customHeight="1" x14ac:dyDescent="0.25">
      <c r="V1666" s="47">
        <f>Таблица1[[#This Row],[Дата перевода]]-Таблица1[[#This Row],[Дата поступления]]</f>
        <v>0</v>
      </c>
      <c r="W1666" s="47">
        <f>Таблица1[[#This Row],[Дата поступления]]-Таблица1[[#This Row],[Дата рождения]]</f>
        <v>0</v>
      </c>
    </row>
    <row r="1667" spans="22:23" ht="24.75" customHeight="1" x14ac:dyDescent="0.25">
      <c r="V1667" s="47">
        <f>Таблица1[[#This Row],[Дата перевода]]-Таблица1[[#This Row],[Дата поступления]]</f>
        <v>0</v>
      </c>
      <c r="W1667" s="47">
        <f>Таблица1[[#This Row],[Дата поступления]]-Таблица1[[#This Row],[Дата рождения]]</f>
        <v>0</v>
      </c>
    </row>
    <row r="1668" spans="22:23" ht="24.75" customHeight="1" x14ac:dyDescent="0.25">
      <c r="V1668" s="47">
        <f>Таблица1[[#This Row],[Дата перевода]]-Таблица1[[#This Row],[Дата поступления]]</f>
        <v>0</v>
      </c>
      <c r="W1668" s="47">
        <f>Таблица1[[#This Row],[Дата поступления]]-Таблица1[[#This Row],[Дата рождения]]</f>
        <v>0</v>
      </c>
    </row>
    <row r="1669" spans="22:23" ht="24.75" customHeight="1" x14ac:dyDescent="0.25">
      <c r="V1669" s="47">
        <f>Таблица1[[#This Row],[Дата перевода]]-Таблица1[[#This Row],[Дата поступления]]</f>
        <v>0</v>
      </c>
      <c r="W1669" s="47">
        <f>Таблица1[[#This Row],[Дата поступления]]-Таблица1[[#This Row],[Дата рождения]]</f>
        <v>0</v>
      </c>
    </row>
    <row r="1670" spans="22:23" ht="24.75" customHeight="1" x14ac:dyDescent="0.25">
      <c r="V1670" s="47">
        <f>Таблица1[[#This Row],[Дата перевода]]-Таблица1[[#This Row],[Дата поступления]]</f>
        <v>0</v>
      </c>
      <c r="W1670" s="47">
        <f>Таблица1[[#This Row],[Дата поступления]]-Таблица1[[#This Row],[Дата рождения]]</f>
        <v>0</v>
      </c>
    </row>
    <row r="1671" spans="22:23" ht="24.75" customHeight="1" x14ac:dyDescent="0.25">
      <c r="V1671" s="47">
        <f>Таблица1[[#This Row],[Дата перевода]]-Таблица1[[#This Row],[Дата поступления]]</f>
        <v>0</v>
      </c>
      <c r="W1671" s="47">
        <f>Таблица1[[#This Row],[Дата поступления]]-Таблица1[[#This Row],[Дата рождения]]</f>
        <v>0</v>
      </c>
    </row>
    <row r="1672" spans="22:23" ht="24.75" customHeight="1" x14ac:dyDescent="0.25">
      <c r="V1672" s="47">
        <f>Таблица1[[#This Row],[Дата перевода]]-Таблица1[[#This Row],[Дата поступления]]</f>
        <v>0</v>
      </c>
      <c r="W1672" s="47">
        <f>Таблица1[[#This Row],[Дата поступления]]-Таблица1[[#This Row],[Дата рождения]]</f>
        <v>0</v>
      </c>
    </row>
    <row r="1673" spans="22:23" ht="24.75" customHeight="1" x14ac:dyDescent="0.25">
      <c r="V1673" s="47">
        <f>Таблица1[[#This Row],[Дата перевода]]-Таблица1[[#This Row],[Дата поступления]]</f>
        <v>0</v>
      </c>
      <c r="W1673" s="47">
        <f>Таблица1[[#This Row],[Дата поступления]]-Таблица1[[#This Row],[Дата рождения]]</f>
        <v>0</v>
      </c>
    </row>
    <row r="1674" spans="22:23" ht="24.75" customHeight="1" x14ac:dyDescent="0.25">
      <c r="V1674" s="47">
        <f>Таблица1[[#This Row],[Дата перевода]]-Таблица1[[#This Row],[Дата поступления]]</f>
        <v>0</v>
      </c>
      <c r="W1674" s="47">
        <f>Таблица1[[#This Row],[Дата поступления]]-Таблица1[[#This Row],[Дата рождения]]</f>
        <v>0</v>
      </c>
    </row>
    <row r="1675" spans="22:23" ht="24.75" customHeight="1" x14ac:dyDescent="0.25">
      <c r="V1675" s="47">
        <f>Таблица1[[#This Row],[Дата перевода]]-Таблица1[[#This Row],[Дата поступления]]</f>
        <v>0</v>
      </c>
      <c r="W1675" s="47">
        <f>Таблица1[[#This Row],[Дата поступления]]-Таблица1[[#This Row],[Дата рождения]]</f>
        <v>0</v>
      </c>
    </row>
    <row r="1676" spans="22:23" ht="24.75" customHeight="1" x14ac:dyDescent="0.25">
      <c r="V1676" s="47">
        <f>Таблица1[[#This Row],[Дата перевода]]-Таблица1[[#This Row],[Дата поступления]]</f>
        <v>0</v>
      </c>
      <c r="W1676" s="47">
        <f>Таблица1[[#This Row],[Дата поступления]]-Таблица1[[#This Row],[Дата рождения]]</f>
        <v>0</v>
      </c>
    </row>
    <row r="1677" spans="22:23" ht="24.75" customHeight="1" x14ac:dyDescent="0.25">
      <c r="V1677" s="47">
        <f>Таблица1[[#This Row],[Дата перевода]]-Таблица1[[#This Row],[Дата поступления]]</f>
        <v>0</v>
      </c>
      <c r="W1677" s="47">
        <f>Таблица1[[#This Row],[Дата поступления]]-Таблица1[[#This Row],[Дата рождения]]</f>
        <v>0</v>
      </c>
    </row>
    <row r="1678" spans="22:23" ht="24.75" customHeight="1" x14ac:dyDescent="0.25">
      <c r="V1678" s="47">
        <f>Таблица1[[#This Row],[Дата перевода]]-Таблица1[[#This Row],[Дата поступления]]</f>
        <v>0</v>
      </c>
      <c r="W1678" s="47">
        <f>Таблица1[[#This Row],[Дата поступления]]-Таблица1[[#This Row],[Дата рождения]]</f>
        <v>0</v>
      </c>
    </row>
    <row r="1679" spans="22:23" ht="24.75" customHeight="1" x14ac:dyDescent="0.25">
      <c r="V1679" s="47">
        <f>Таблица1[[#This Row],[Дата перевода]]-Таблица1[[#This Row],[Дата поступления]]</f>
        <v>0</v>
      </c>
      <c r="W1679" s="47">
        <f>Таблица1[[#This Row],[Дата поступления]]-Таблица1[[#This Row],[Дата рождения]]</f>
        <v>0</v>
      </c>
    </row>
    <row r="1680" spans="22:23" ht="24.75" customHeight="1" x14ac:dyDescent="0.25">
      <c r="V1680" s="47">
        <f>Таблица1[[#This Row],[Дата перевода]]-Таблица1[[#This Row],[Дата поступления]]</f>
        <v>0</v>
      </c>
      <c r="W1680" s="47">
        <f>Таблица1[[#This Row],[Дата поступления]]-Таблица1[[#This Row],[Дата рождения]]</f>
        <v>0</v>
      </c>
    </row>
    <row r="1681" spans="22:23" ht="24.75" customHeight="1" x14ac:dyDescent="0.25">
      <c r="V1681" s="47">
        <f>Таблица1[[#This Row],[Дата перевода]]-Таблица1[[#This Row],[Дата поступления]]</f>
        <v>0</v>
      </c>
      <c r="W1681" s="47">
        <f>Таблица1[[#This Row],[Дата поступления]]-Таблица1[[#This Row],[Дата рождения]]</f>
        <v>0</v>
      </c>
    </row>
    <row r="1682" spans="22:23" ht="24.75" customHeight="1" x14ac:dyDescent="0.25">
      <c r="V1682" s="47">
        <f>Таблица1[[#This Row],[Дата перевода]]-Таблица1[[#This Row],[Дата поступления]]</f>
        <v>0</v>
      </c>
      <c r="W1682" s="47">
        <f>Таблица1[[#This Row],[Дата поступления]]-Таблица1[[#This Row],[Дата рождения]]</f>
        <v>0</v>
      </c>
    </row>
    <row r="1683" spans="22:23" ht="24.75" customHeight="1" x14ac:dyDescent="0.25">
      <c r="V1683" s="47">
        <f>Таблица1[[#This Row],[Дата перевода]]-Таблица1[[#This Row],[Дата поступления]]</f>
        <v>0</v>
      </c>
      <c r="W1683" s="47">
        <f>Таблица1[[#This Row],[Дата поступления]]-Таблица1[[#This Row],[Дата рождения]]</f>
        <v>0</v>
      </c>
    </row>
    <row r="1684" spans="22:23" ht="24.75" customHeight="1" x14ac:dyDescent="0.25">
      <c r="V1684" s="47">
        <f>Таблица1[[#This Row],[Дата перевода]]-Таблица1[[#This Row],[Дата поступления]]</f>
        <v>0</v>
      </c>
      <c r="W1684" s="47">
        <f>Таблица1[[#This Row],[Дата поступления]]-Таблица1[[#This Row],[Дата рождения]]</f>
        <v>0</v>
      </c>
    </row>
    <row r="1685" spans="22:23" ht="24.75" customHeight="1" x14ac:dyDescent="0.25">
      <c r="V1685" s="47">
        <f>Таблица1[[#This Row],[Дата перевода]]-Таблица1[[#This Row],[Дата поступления]]</f>
        <v>0</v>
      </c>
      <c r="W1685" s="47">
        <f>Таблица1[[#This Row],[Дата поступления]]-Таблица1[[#This Row],[Дата рождения]]</f>
        <v>0</v>
      </c>
    </row>
    <row r="1686" spans="22:23" ht="24.75" customHeight="1" x14ac:dyDescent="0.25">
      <c r="V1686" s="47">
        <f>Таблица1[[#This Row],[Дата перевода]]-Таблица1[[#This Row],[Дата поступления]]</f>
        <v>0</v>
      </c>
      <c r="W1686" s="47">
        <f>Таблица1[[#This Row],[Дата поступления]]-Таблица1[[#This Row],[Дата рождения]]</f>
        <v>0</v>
      </c>
    </row>
    <row r="1687" spans="22:23" ht="24.75" customHeight="1" x14ac:dyDescent="0.25">
      <c r="V1687" s="47">
        <f>Таблица1[[#This Row],[Дата перевода]]-Таблица1[[#This Row],[Дата поступления]]</f>
        <v>0</v>
      </c>
      <c r="W1687" s="47">
        <f>Таблица1[[#This Row],[Дата поступления]]-Таблица1[[#This Row],[Дата рождения]]</f>
        <v>0</v>
      </c>
    </row>
    <row r="1688" spans="22:23" ht="24.75" customHeight="1" x14ac:dyDescent="0.25">
      <c r="V1688" s="47">
        <f>Таблица1[[#This Row],[Дата перевода]]-Таблица1[[#This Row],[Дата поступления]]</f>
        <v>0</v>
      </c>
      <c r="W1688" s="47">
        <f>Таблица1[[#This Row],[Дата поступления]]-Таблица1[[#This Row],[Дата рождения]]</f>
        <v>0</v>
      </c>
    </row>
    <row r="1689" spans="22:23" ht="24.75" customHeight="1" x14ac:dyDescent="0.25">
      <c r="V1689" s="47">
        <f>Таблица1[[#This Row],[Дата перевода]]-Таблица1[[#This Row],[Дата поступления]]</f>
        <v>0</v>
      </c>
      <c r="W1689" s="47">
        <f>Таблица1[[#This Row],[Дата поступления]]-Таблица1[[#This Row],[Дата рождения]]</f>
        <v>0</v>
      </c>
    </row>
    <row r="1690" spans="22:23" ht="24.75" customHeight="1" x14ac:dyDescent="0.25">
      <c r="V1690" s="47">
        <f>Таблица1[[#This Row],[Дата перевода]]-Таблица1[[#This Row],[Дата поступления]]</f>
        <v>0</v>
      </c>
      <c r="W1690" s="47">
        <f>Таблица1[[#This Row],[Дата поступления]]-Таблица1[[#This Row],[Дата рождения]]</f>
        <v>0</v>
      </c>
    </row>
    <row r="1691" spans="22:23" ht="24.75" customHeight="1" x14ac:dyDescent="0.25">
      <c r="V1691" s="47">
        <f>Таблица1[[#This Row],[Дата перевода]]-Таблица1[[#This Row],[Дата поступления]]</f>
        <v>0</v>
      </c>
      <c r="W1691" s="47">
        <f>Таблица1[[#This Row],[Дата поступления]]-Таблица1[[#This Row],[Дата рождения]]</f>
        <v>0</v>
      </c>
    </row>
    <row r="1692" spans="22:23" ht="24.75" customHeight="1" x14ac:dyDescent="0.25">
      <c r="V1692" s="47">
        <f>Таблица1[[#This Row],[Дата перевода]]-Таблица1[[#This Row],[Дата поступления]]</f>
        <v>0</v>
      </c>
      <c r="W1692" s="47">
        <f>Таблица1[[#This Row],[Дата поступления]]-Таблица1[[#This Row],[Дата рождения]]</f>
        <v>0</v>
      </c>
    </row>
    <row r="1693" spans="22:23" ht="24.75" customHeight="1" x14ac:dyDescent="0.25">
      <c r="V1693" s="47">
        <f>Таблица1[[#This Row],[Дата перевода]]-Таблица1[[#This Row],[Дата поступления]]</f>
        <v>0</v>
      </c>
      <c r="W1693" s="47">
        <f>Таблица1[[#This Row],[Дата поступления]]-Таблица1[[#This Row],[Дата рождения]]</f>
        <v>0</v>
      </c>
    </row>
    <row r="1694" spans="22:23" ht="24.75" customHeight="1" x14ac:dyDescent="0.25">
      <c r="V1694" s="47">
        <f>Таблица1[[#This Row],[Дата перевода]]-Таблица1[[#This Row],[Дата поступления]]</f>
        <v>0</v>
      </c>
      <c r="W1694" s="47">
        <f>Таблица1[[#This Row],[Дата поступления]]-Таблица1[[#This Row],[Дата рождения]]</f>
        <v>0</v>
      </c>
    </row>
    <row r="1695" spans="22:23" ht="24.75" customHeight="1" x14ac:dyDescent="0.25">
      <c r="V1695" s="47">
        <f>Таблица1[[#This Row],[Дата перевода]]-Таблица1[[#This Row],[Дата поступления]]</f>
        <v>0</v>
      </c>
      <c r="W1695" s="47">
        <f>Таблица1[[#This Row],[Дата поступления]]-Таблица1[[#This Row],[Дата рождения]]</f>
        <v>0</v>
      </c>
    </row>
    <row r="1696" spans="22:23" ht="24.75" customHeight="1" x14ac:dyDescent="0.25">
      <c r="V1696" s="47">
        <f>Таблица1[[#This Row],[Дата перевода]]-Таблица1[[#This Row],[Дата поступления]]</f>
        <v>0</v>
      </c>
      <c r="W1696" s="47">
        <f>Таблица1[[#This Row],[Дата поступления]]-Таблица1[[#This Row],[Дата рождения]]</f>
        <v>0</v>
      </c>
    </row>
    <row r="1697" spans="22:23" ht="24.75" customHeight="1" x14ac:dyDescent="0.25">
      <c r="V1697" s="47">
        <f>Таблица1[[#This Row],[Дата перевода]]-Таблица1[[#This Row],[Дата поступления]]</f>
        <v>0</v>
      </c>
      <c r="W1697" s="47">
        <f>Таблица1[[#This Row],[Дата поступления]]-Таблица1[[#This Row],[Дата рождения]]</f>
        <v>0</v>
      </c>
    </row>
    <row r="1698" spans="22:23" ht="24.75" customHeight="1" x14ac:dyDescent="0.25">
      <c r="V1698" s="47">
        <f>Таблица1[[#This Row],[Дата перевода]]-Таблица1[[#This Row],[Дата поступления]]</f>
        <v>0</v>
      </c>
      <c r="W1698" s="47">
        <f>Таблица1[[#This Row],[Дата поступления]]-Таблица1[[#This Row],[Дата рождения]]</f>
        <v>0</v>
      </c>
    </row>
    <row r="1699" spans="22:23" ht="24.75" customHeight="1" x14ac:dyDescent="0.25">
      <c r="V1699" s="47">
        <f>Таблица1[[#This Row],[Дата перевода]]-Таблица1[[#This Row],[Дата поступления]]</f>
        <v>0</v>
      </c>
      <c r="W1699" s="47">
        <f>Таблица1[[#This Row],[Дата поступления]]-Таблица1[[#This Row],[Дата рождения]]</f>
        <v>0</v>
      </c>
    </row>
    <row r="1700" spans="22:23" ht="24.75" customHeight="1" x14ac:dyDescent="0.25">
      <c r="V1700" s="47">
        <f>Таблица1[[#This Row],[Дата перевода]]-Таблица1[[#This Row],[Дата поступления]]</f>
        <v>0</v>
      </c>
      <c r="W1700" s="47">
        <f>Таблица1[[#This Row],[Дата поступления]]-Таблица1[[#This Row],[Дата рождения]]</f>
        <v>0</v>
      </c>
    </row>
    <row r="1701" spans="22:23" ht="24.75" customHeight="1" x14ac:dyDescent="0.25">
      <c r="V1701" s="47">
        <f>Таблица1[[#This Row],[Дата перевода]]-Таблица1[[#This Row],[Дата поступления]]</f>
        <v>0</v>
      </c>
      <c r="W1701" s="47">
        <f>Таблица1[[#This Row],[Дата поступления]]-Таблица1[[#This Row],[Дата рождения]]</f>
        <v>0</v>
      </c>
    </row>
    <row r="1702" spans="22:23" ht="24.75" customHeight="1" x14ac:dyDescent="0.25">
      <c r="V1702" s="47">
        <f>Таблица1[[#This Row],[Дата перевода]]-Таблица1[[#This Row],[Дата поступления]]</f>
        <v>0</v>
      </c>
      <c r="W1702" s="47">
        <f>Таблица1[[#This Row],[Дата поступления]]-Таблица1[[#This Row],[Дата рождения]]</f>
        <v>0</v>
      </c>
    </row>
    <row r="1703" spans="22:23" ht="24.75" customHeight="1" x14ac:dyDescent="0.25">
      <c r="V1703" s="47">
        <f>Таблица1[[#This Row],[Дата перевода]]-Таблица1[[#This Row],[Дата поступления]]</f>
        <v>0</v>
      </c>
      <c r="W1703" s="47">
        <f>Таблица1[[#This Row],[Дата поступления]]-Таблица1[[#This Row],[Дата рождения]]</f>
        <v>0</v>
      </c>
    </row>
    <row r="1704" spans="22:23" ht="24.75" customHeight="1" x14ac:dyDescent="0.25">
      <c r="V1704" s="47">
        <f>Таблица1[[#This Row],[Дата перевода]]-Таблица1[[#This Row],[Дата поступления]]</f>
        <v>0</v>
      </c>
      <c r="W1704" s="47">
        <f>Таблица1[[#This Row],[Дата поступления]]-Таблица1[[#This Row],[Дата рождения]]</f>
        <v>0</v>
      </c>
    </row>
    <row r="1705" spans="22:23" ht="24.75" customHeight="1" x14ac:dyDescent="0.25">
      <c r="V1705" s="47">
        <f>Таблица1[[#This Row],[Дата перевода]]-Таблица1[[#This Row],[Дата поступления]]</f>
        <v>0</v>
      </c>
      <c r="W1705" s="47">
        <f>Таблица1[[#This Row],[Дата поступления]]-Таблица1[[#This Row],[Дата рождения]]</f>
        <v>0</v>
      </c>
    </row>
    <row r="1706" spans="22:23" ht="24.75" customHeight="1" x14ac:dyDescent="0.25">
      <c r="V1706" s="47">
        <f>Таблица1[[#This Row],[Дата перевода]]-Таблица1[[#This Row],[Дата поступления]]</f>
        <v>0</v>
      </c>
      <c r="W1706" s="47">
        <f>Таблица1[[#This Row],[Дата поступления]]-Таблица1[[#This Row],[Дата рождения]]</f>
        <v>0</v>
      </c>
    </row>
    <row r="1707" spans="22:23" ht="24.75" customHeight="1" x14ac:dyDescent="0.25">
      <c r="V1707" s="47">
        <f>Таблица1[[#This Row],[Дата перевода]]-Таблица1[[#This Row],[Дата поступления]]</f>
        <v>0</v>
      </c>
      <c r="W1707" s="47">
        <f>Таблица1[[#This Row],[Дата поступления]]-Таблица1[[#This Row],[Дата рождения]]</f>
        <v>0</v>
      </c>
    </row>
    <row r="1708" spans="22:23" ht="24.75" customHeight="1" x14ac:dyDescent="0.25">
      <c r="V1708" s="47">
        <f>Таблица1[[#This Row],[Дата перевода]]-Таблица1[[#This Row],[Дата поступления]]</f>
        <v>0</v>
      </c>
      <c r="W1708" s="47">
        <f>Таблица1[[#This Row],[Дата поступления]]-Таблица1[[#This Row],[Дата рождения]]</f>
        <v>0</v>
      </c>
    </row>
    <row r="1709" spans="22:23" ht="24.75" customHeight="1" x14ac:dyDescent="0.25">
      <c r="V1709" s="47">
        <f>Таблица1[[#This Row],[Дата перевода]]-Таблица1[[#This Row],[Дата поступления]]</f>
        <v>0</v>
      </c>
      <c r="W1709" s="47">
        <f>Таблица1[[#This Row],[Дата поступления]]-Таблица1[[#This Row],[Дата рождения]]</f>
        <v>0</v>
      </c>
    </row>
    <row r="1710" spans="22:23" ht="24.75" customHeight="1" x14ac:dyDescent="0.25">
      <c r="V1710" s="47">
        <f>Таблица1[[#This Row],[Дата перевода]]-Таблица1[[#This Row],[Дата поступления]]</f>
        <v>0</v>
      </c>
      <c r="W1710" s="47">
        <f>Таблица1[[#This Row],[Дата поступления]]-Таблица1[[#This Row],[Дата рождения]]</f>
        <v>0</v>
      </c>
    </row>
    <row r="1711" spans="22:23" ht="24.75" customHeight="1" x14ac:dyDescent="0.25">
      <c r="V1711" s="47">
        <f>Таблица1[[#This Row],[Дата перевода]]-Таблица1[[#This Row],[Дата поступления]]</f>
        <v>0</v>
      </c>
      <c r="W1711" s="47">
        <f>Таблица1[[#This Row],[Дата поступления]]-Таблица1[[#This Row],[Дата рождения]]</f>
        <v>0</v>
      </c>
    </row>
    <row r="1712" spans="22:23" ht="24.75" customHeight="1" x14ac:dyDescent="0.25">
      <c r="V1712" s="47">
        <f>Таблица1[[#This Row],[Дата перевода]]-Таблица1[[#This Row],[Дата поступления]]</f>
        <v>0</v>
      </c>
      <c r="W1712" s="47">
        <f>Таблица1[[#This Row],[Дата поступления]]-Таблица1[[#This Row],[Дата рождения]]</f>
        <v>0</v>
      </c>
    </row>
    <row r="1713" spans="22:23" ht="24.75" customHeight="1" x14ac:dyDescent="0.25">
      <c r="V1713" s="47">
        <f>Таблица1[[#This Row],[Дата перевода]]-Таблица1[[#This Row],[Дата поступления]]</f>
        <v>0</v>
      </c>
      <c r="W1713" s="47">
        <f>Таблица1[[#This Row],[Дата поступления]]-Таблица1[[#This Row],[Дата рождения]]</f>
        <v>0</v>
      </c>
    </row>
    <row r="1714" spans="22:23" ht="24.75" customHeight="1" x14ac:dyDescent="0.25">
      <c r="V1714" s="47">
        <f>Таблица1[[#This Row],[Дата перевода]]-Таблица1[[#This Row],[Дата поступления]]</f>
        <v>0</v>
      </c>
      <c r="W1714" s="47">
        <f>Таблица1[[#This Row],[Дата поступления]]-Таблица1[[#This Row],[Дата рождения]]</f>
        <v>0</v>
      </c>
    </row>
    <row r="1715" spans="22:23" ht="24.75" customHeight="1" x14ac:dyDescent="0.25">
      <c r="V1715" s="47">
        <f>Таблица1[[#This Row],[Дата перевода]]-Таблица1[[#This Row],[Дата поступления]]</f>
        <v>0</v>
      </c>
      <c r="W1715" s="47">
        <f>Таблица1[[#This Row],[Дата поступления]]-Таблица1[[#This Row],[Дата рождения]]</f>
        <v>0</v>
      </c>
    </row>
    <row r="1716" spans="22:23" ht="24.75" customHeight="1" x14ac:dyDescent="0.25">
      <c r="V1716" s="47">
        <f>Таблица1[[#This Row],[Дата перевода]]-Таблица1[[#This Row],[Дата поступления]]</f>
        <v>0</v>
      </c>
      <c r="W1716" s="47">
        <f>Таблица1[[#This Row],[Дата поступления]]-Таблица1[[#This Row],[Дата рождения]]</f>
        <v>0</v>
      </c>
    </row>
    <row r="1717" spans="22:23" ht="24.75" customHeight="1" x14ac:dyDescent="0.25">
      <c r="V1717" s="47">
        <f>Таблица1[[#This Row],[Дата перевода]]-Таблица1[[#This Row],[Дата поступления]]</f>
        <v>0</v>
      </c>
      <c r="W1717" s="47">
        <f>Таблица1[[#This Row],[Дата поступления]]-Таблица1[[#This Row],[Дата рождения]]</f>
        <v>0</v>
      </c>
    </row>
    <row r="1718" spans="22:23" ht="24.75" customHeight="1" x14ac:dyDescent="0.25">
      <c r="V1718" s="47">
        <f>Таблица1[[#This Row],[Дата перевода]]-Таблица1[[#This Row],[Дата поступления]]</f>
        <v>0</v>
      </c>
      <c r="W1718" s="47">
        <f>Таблица1[[#This Row],[Дата поступления]]-Таблица1[[#This Row],[Дата рождения]]</f>
        <v>0</v>
      </c>
    </row>
    <row r="1719" spans="22:23" ht="24.75" customHeight="1" x14ac:dyDescent="0.25">
      <c r="V1719" s="47">
        <f>Таблица1[[#This Row],[Дата перевода]]-Таблица1[[#This Row],[Дата поступления]]</f>
        <v>0</v>
      </c>
      <c r="W1719" s="47">
        <f>Таблица1[[#This Row],[Дата поступления]]-Таблица1[[#This Row],[Дата рождения]]</f>
        <v>0</v>
      </c>
    </row>
    <row r="1720" spans="22:23" ht="24.75" customHeight="1" x14ac:dyDescent="0.25">
      <c r="V1720" s="47">
        <f>Таблица1[[#This Row],[Дата перевода]]-Таблица1[[#This Row],[Дата поступления]]</f>
        <v>0</v>
      </c>
      <c r="W1720" s="47">
        <f>Таблица1[[#This Row],[Дата поступления]]-Таблица1[[#This Row],[Дата рождения]]</f>
        <v>0</v>
      </c>
    </row>
    <row r="1721" spans="22:23" ht="24.75" customHeight="1" x14ac:dyDescent="0.25">
      <c r="V1721" s="47">
        <f>Таблица1[[#This Row],[Дата перевода]]-Таблица1[[#This Row],[Дата поступления]]</f>
        <v>0</v>
      </c>
      <c r="W1721" s="47">
        <f>Таблица1[[#This Row],[Дата поступления]]-Таблица1[[#This Row],[Дата рождения]]</f>
        <v>0</v>
      </c>
    </row>
    <row r="1722" spans="22:23" ht="24.75" customHeight="1" x14ac:dyDescent="0.25">
      <c r="V1722" s="47">
        <f>Таблица1[[#This Row],[Дата перевода]]-Таблица1[[#This Row],[Дата поступления]]</f>
        <v>0</v>
      </c>
      <c r="W1722" s="47">
        <f>Таблица1[[#This Row],[Дата поступления]]-Таблица1[[#This Row],[Дата рождения]]</f>
        <v>0</v>
      </c>
    </row>
    <row r="1723" spans="22:23" ht="24.75" customHeight="1" x14ac:dyDescent="0.25">
      <c r="V1723" s="47">
        <f>Таблица1[[#This Row],[Дата перевода]]-Таблица1[[#This Row],[Дата поступления]]</f>
        <v>0</v>
      </c>
      <c r="W1723" s="47">
        <f>Таблица1[[#This Row],[Дата поступления]]-Таблица1[[#This Row],[Дата рождения]]</f>
        <v>0</v>
      </c>
    </row>
    <row r="1724" spans="22:23" ht="24.75" customHeight="1" x14ac:dyDescent="0.25">
      <c r="V1724" s="47">
        <f>Таблица1[[#This Row],[Дата перевода]]-Таблица1[[#This Row],[Дата поступления]]</f>
        <v>0</v>
      </c>
      <c r="W1724" s="47">
        <f>Таблица1[[#This Row],[Дата поступления]]-Таблица1[[#This Row],[Дата рождения]]</f>
        <v>0</v>
      </c>
    </row>
    <row r="1725" spans="22:23" ht="24.75" customHeight="1" x14ac:dyDescent="0.25">
      <c r="V1725" s="47">
        <f>Таблица1[[#This Row],[Дата перевода]]-Таблица1[[#This Row],[Дата поступления]]</f>
        <v>0</v>
      </c>
      <c r="W1725" s="47">
        <f>Таблица1[[#This Row],[Дата поступления]]-Таблица1[[#This Row],[Дата рождения]]</f>
        <v>0</v>
      </c>
    </row>
    <row r="1726" spans="22:23" ht="24.75" customHeight="1" x14ac:dyDescent="0.25">
      <c r="V1726" s="47">
        <f>Таблица1[[#This Row],[Дата перевода]]-Таблица1[[#This Row],[Дата поступления]]</f>
        <v>0</v>
      </c>
      <c r="W1726" s="47">
        <f>Таблица1[[#This Row],[Дата поступления]]-Таблица1[[#This Row],[Дата рождения]]</f>
        <v>0</v>
      </c>
    </row>
    <row r="1727" spans="22:23" ht="24.75" customHeight="1" x14ac:dyDescent="0.25">
      <c r="V1727" s="47">
        <f>Таблица1[[#This Row],[Дата перевода]]-Таблица1[[#This Row],[Дата поступления]]</f>
        <v>0</v>
      </c>
      <c r="W1727" s="47">
        <f>Таблица1[[#This Row],[Дата поступления]]-Таблица1[[#This Row],[Дата рождения]]</f>
        <v>0</v>
      </c>
    </row>
    <row r="1728" spans="22:23" ht="24.75" customHeight="1" x14ac:dyDescent="0.25">
      <c r="V1728" s="47">
        <f>Таблица1[[#This Row],[Дата перевода]]-Таблица1[[#This Row],[Дата поступления]]</f>
        <v>0</v>
      </c>
      <c r="W1728" s="47">
        <f>Таблица1[[#This Row],[Дата поступления]]-Таблица1[[#This Row],[Дата рождения]]</f>
        <v>0</v>
      </c>
    </row>
    <row r="1729" spans="22:23" ht="24.75" customHeight="1" x14ac:dyDescent="0.25">
      <c r="V1729" s="47">
        <f>Таблица1[[#This Row],[Дата перевода]]-Таблица1[[#This Row],[Дата поступления]]</f>
        <v>0</v>
      </c>
      <c r="W1729" s="47">
        <f>Таблица1[[#This Row],[Дата поступления]]-Таблица1[[#This Row],[Дата рождения]]</f>
        <v>0</v>
      </c>
    </row>
    <row r="1730" spans="22:23" ht="24.75" customHeight="1" x14ac:dyDescent="0.25">
      <c r="V1730" s="47">
        <f>Таблица1[[#This Row],[Дата перевода]]-Таблица1[[#This Row],[Дата поступления]]</f>
        <v>0</v>
      </c>
      <c r="W1730" s="47">
        <f>Таблица1[[#This Row],[Дата поступления]]-Таблица1[[#This Row],[Дата рождения]]</f>
        <v>0</v>
      </c>
    </row>
    <row r="1731" spans="22:23" ht="24.75" customHeight="1" x14ac:dyDescent="0.25">
      <c r="V1731" s="47">
        <f>Таблица1[[#This Row],[Дата перевода]]-Таблица1[[#This Row],[Дата поступления]]</f>
        <v>0</v>
      </c>
      <c r="W1731" s="47">
        <f>Таблица1[[#This Row],[Дата поступления]]-Таблица1[[#This Row],[Дата рождения]]</f>
        <v>0</v>
      </c>
    </row>
    <row r="1732" spans="22:23" ht="24.75" customHeight="1" x14ac:dyDescent="0.25">
      <c r="V1732" s="47">
        <f>Таблица1[[#This Row],[Дата перевода]]-Таблица1[[#This Row],[Дата поступления]]</f>
        <v>0</v>
      </c>
      <c r="W1732" s="47">
        <f>Таблица1[[#This Row],[Дата поступления]]-Таблица1[[#This Row],[Дата рождения]]</f>
        <v>0</v>
      </c>
    </row>
    <row r="1733" spans="22:23" ht="24.75" customHeight="1" x14ac:dyDescent="0.25">
      <c r="V1733" s="47">
        <f>Таблица1[[#This Row],[Дата перевода]]-Таблица1[[#This Row],[Дата поступления]]</f>
        <v>0</v>
      </c>
      <c r="W1733" s="47">
        <f>Таблица1[[#This Row],[Дата поступления]]-Таблица1[[#This Row],[Дата рождения]]</f>
        <v>0</v>
      </c>
    </row>
    <row r="1734" spans="22:23" ht="24.75" customHeight="1" x14ac:dyDescent="0.25">
      <c r="V1734" s="47">
        <f>Таблица1[[#This Row],[Дата перевода]]-Таблица1[[#This Row],[Дата поступления]]</f>
        <v>0</v>
      </c>
      <c r="W1734" s="47">
        <f>Таблица1[[#This Row],[Дата поступления]]-Таблица1[[#This Row],[Дата рождения]]</f>
        <v>0</v>
      </c>
    </row>
    <row r="1735" spans="22:23" ht="24.75" customHeight="1" x14ac:dyDescent="0.25">
      <c r="V1735" s="47">
        <f>Таблица1[[#This Row],[Дата перевода]]-Таблица1[[#This Row],[Дата поступления]]</f>
        <v>0</v>
      </c>
      <c r="W1735" s="47">
        <f>Таблица1[[#This Row],[Дата поступления]]-Таблица1[[#This Row],[Дата рождения]]</f>
        <v>0</v>
      </c>
    </row>
    <row r="1736" spans="22:23" ht="24.75" customHeight="1" x14ac:dyDescent="0.25">
      <c r="V1736" s="47">
        <f>Таблица1[[#This Row],[Дата перевода]]-Таблица1[[#This Row],[Дата поступления]]</f>
        <v>0</v>
      </c>
      <c r="W1736" s="47">
        <f>Таблица1[[#This Row],[Дата поступления]]-Таблица1[[#This Row],[Дата рождения]]</f>
        <v>0</v>
      </c>
    </row>
    <row r="1737" spans="22:23" ht="24.75" customHeight="1" x14ac:dyDescent="0.25">
      <c r="V1737" s="47">
        <f>Таблица1[[#This Row],[Дата перевода]]-Таблица1[[#This Row],[Дата поступления]]</f>
        <v>0</v>
      </c>
      <c r="W1737" s="47">
        <f>Таблица1[[#This Row],[Дата поступления]]-Таблица1[[#This Row],[Дата рождения]]</f>
        <v>0</v>
      </c>
    </row>
    <row r="1738" spans="22:23" ht="24.75" customHeight="1" x14ac:dyDescent="0.25">
      <c r="V1738" s="47">
        <f>Таблица1[[#This Row],[Дата перевода]]-Таблица1[[#This Row],[Дата поступления]]</f>
        <v>0</v>
      </c>
      <c r="W1738" s="47">
        <f>Таблица1[[#This Row],[Дата поступления]]-Таблица1[[#This Row],[Дата рождения]]</f>
        <v>0</v>
      </c>
    </row>
    <row r="1739" spans="22:23" ht="24.75" customHeight="1" x14ac:dyDescent="0.25">
      <c r="V1739" s="47">
        <f>Таблица1[[#This Row],[Дата перевода]]-Таблица1[[#This Row],[Дата поступления]]</f>
        <v>0</v>
      </c>
      <c r="W1739" s="47">
        <f>Таблица1[[#This Row],[Дата поступления]]-Таблица1[[#This Row],[Дата рождения]]</f>
        <v>0</v>
      </c>
    </row>
    <row r="1740" spans="22:23" ht="24.75" customHeight="1" x14ac:dyDescent="0.25">
      <c r="V1740" s="47">
        <f>Таблица1[[#This Row],[Дата перевода]]-Таблица1[[#This Row],[Дата поступления]]</f>
        <v>0</v>
      </c>
      <c r="W1740" s="47">
        <f>Таблица1[[#This Row],[Дата поступления]]-Таблица1[[#This Row],[Дата рождения]]</f>
        <v>0</v>
      </c>
    </row>
    <row r="1741" spans="22:23" ht="24.75" customHeight="1" x14ac:dyDescent="0.25">
      <c r="V1741" s="47">
        <f>Таблица1[[#This Row],[Дата перевода]]-Таблица1[[#This Row],[Дата поступления]]</f>
        <v>0</v>
      </c>
      <c r="W1741" s="47">
        <f>Таблица1[[#This Row],[Дата поступления]]-Таблица1[[#This Row],[Дата рождения]]</f>
        <v>0</v>
      </c>
    </row>
    <row r="1742" spans="22:23" ht="24.75" customHeight="1" x14ac:dyDescent="0.25">
      <c r="V1742" s="47">
        <f>Таблица1[[#This Row],[Дата перевода]]-Таблица1[[#This Row],[Дата поступления]]</f>
        <v>0</v>
      </c>
      <c r="W1742" s="47">
        <f>Таблица1[[#This Row],[Дата поступления]]-Таблица1[[#This Row],[Дата рождения]]</f>
        <v>0</v>
      </c>
    </row>
    <row r="1743" spans="22:23" ht="24.75" customHeight="1" x14ac:dyDescent="0.25">
      <c r="V1743" s="47">
        <f>Таблица1[[#This Row],[Дата перевода]]-Таблица1[[#This Row],[Дата поступления]]</f>
        <v>0</v>
      </c>
      <c r="W1743" s="47">
        <f>Таблица1[[#This Row],[Дата поступления]]-Таблица1[[#This Row],[Дата рождения]]</f>
        <v>0</v>
      </c>
    </row>
    <row r="1744" spans="22:23" ht="24.75" customHeight="1" x14ac:dyDescent="0.25">
      <c r="V1744" s="47">
        <f>Таблица1[[#This Row],[Дата перевода]]-Таблица1[[#This Row],[Дата поступления]]</f>
        <v>0</v>
      </c>
      <c r="W1744" s="47">
        <f>Таблица1[[#This Row],[Дата поступления]]-Таблица1[[#This Row],[Дата рождения]]</f>
        <v>0</v>
      </c>
    </row>
    <row r="1745" spans="22:23" ht="24.75" customHeight="1" x14ac:dyDescent="0.25">
      <c r="V1745" s="47">
        <f>Таблица1[[#This Row],[Дата перевода]]-Таблица1[[#This Row],[Дата поступления]]</f>
        <v>0</v>
      </c>
      <c r="W1745" s="47">
        <f>Таблица1[[#This Row],[Дата поступления]]-Таблица1[[#This Row],[Дата рождения]]</f>
        <v>0</v>
      </c>
    </row>
    <row r="1746" spans="22:23" ht="24.75" customHeight="1" x14ac:dyDescent="0.25">
      <c r="V1746" s="47">
        <f>Таблица1[[#This Row],[Дата перевода]]-Таблица1[[#This Row],[Дата поступления]]</f>
        <v>0</v>
      </c>
      <c r="W1746" s="47">
        <f>Таблица1[[#This Row],[Дата поступления]]-Таблица1[[#This Row],[Дата рождения]]</f>
        <v>0</v>
      </c>
    </row>
    <row r="1747" spans="22:23" ht="24.75" customHeight="1" x14ac:dyDescent="0.25">
      <c r="V1747" s="47">
        <f>Таблица1[[#This Row],[Дата перевода]]-Таблица1[[#This Row],[Дата поступления]]</f>
        <v>0</v>
      </c>
      <c r="W1747" s="47">
        <f>Таблица1[[#This Row],[Дата поступления]]-Таблица1[[#This Row],[Дата рождения]]</f>
        <v>0</v>
      </c>
    </row>
    <row r="1748" spans="22:23" ht="24.75" customHeight="1" x14ac:dyDescent="0.25">
      <c r="V1748" s="47">
        <f>Таблица1[[#This Row],[Дата перевода]]-Таблица1[[#This Row],[Дата поступления]]</f>
        <v>0</v>
      </c>
      <c r="W1748" s="47">
        <f>Таблица1[[#This Row],[Дата поступления]]-Таблица1[[#This Row],[Дата рождения]]</f>
        <v>0</v>
      </c>
    </row>
    <row r="1749" spans="22:23" ht="24.75" customHeight="1" x14ac:dyDescent="0.25">
      <c r="V1749" s="47">
        <f>Таблица1[[#This Row],[Дата перевода]]-Таблица1[[#This Row],[Дата поступления]]</f>
        <v>0</v>
      </c>
      <c r="W1749" s="47">
        <f>Таблица1[[#This Row],[Дата поступления]]-Таблица1[[#This Row],[Дата рождения]]</f>
        <v>0</v>
      </c>
    </row>
    <row r="1750" spans="22:23" ht="24.75" customHeight="1" x14ac:dyDescent="0.25">
      <c r="V1750" s="47">
        <f>Таблица1[[#This Row],[Дата перевода]]-Таблица1[[#This Row],[Дата поступления]]</f>
        <v>0</v>
      </c>
      <c r="W1750" s="47">
        <f>Таблица1[[#This Row],[Дата поступления]]-Таблица1[[#This Row],[Дата рождения]]</f>
        <v>0</v>
      </c>
    </row>
    <row r="1751" spans="22:23" ht="24.75" customHeight="1" x14ac:dyDescent="0.25">
      <c r="V1751" s="47">
        <f>Таблица1[[#This Row],[Дата перевода]]-Таблица1[[#This Row],[Дата поступления]]</f>
        <v>0</v>
      </c>
      <c r="W1751" s="47">
        <f>Таблица1[[#This Row],[Дата поступления]]-Таблица1[[#This Row],[Дата рождения]]</f>
        <v>0</v>
      </c>
    </row>
    <row r="1752" spans="22:23" ht="24.75" customHeight="1" x14ac:dyDescent="0.25">
      <c r="V1752" s="47">
        <f>Таблица1[[#This Row],[Дата перевода]]-Таблица1[[#This Row],[Дата поступления]]</f>
        <v>0</v>
      </c>
      <c r="W1752" s="47">
        <f>Таблица1[[#This Row],[Дата поступления]]-Таблица1[[#This Row],[Дата рождения]]</f>
        <v>0</v>
      </c>
    </row>
    <row r="1753" spans="22:23" ht="24.75" customHeight="1" x14ac:dyDescent="0.25">
      <c r="V1753" s="47">
        <f>Таблица1[[#This Row],[Дата перевода]]-Таблица1[[#This Row],[Дата поступления]]</f>
        <v>0</v>
      </c>
      <c r="W1753" s="47">
        <f>Таблица1[[#This Row],[Дата поступления]]-Таблица1[[#This Row],[Дата рождения]]</f>
        <v>0</v>
      </c>
    </row>
    <row r="1754" spans="22:23" ht="24.75" customHeight="1" x14ac:dyDescent="0.25">
      <c r="V1754" s="47">
        <f>Таблица1[[#This Row],[Дата перевода]]-Таблица1[[#This Row],[Дата поступления]]</f>
        <v>0</v>
      </c>
      <c r="W1754" s="47">
        <f>Таблица1[[#This Row],[Дата поступления]]-Таблица1[[#This Row],[Дата рождения]]</f>
        <v>0</v>
      </c>
    </row>
    <row r="1755" spans="22:23" ht="24.75" customHeight="1" x14ac:dyDescent="0.25">
      <c r="V1755" s="47">
        <f>Таблица1[[#This Row],[Дата перевода]]-Таблица1[[#This Row],[Дата поступления]]</f>
        <v>0</v>
      </c>
      <c r="W1755" s="47">
        <f>Таблица1[[#This Row],[Дата поступления]]-Таблица1[[#This Row],[Дата рождения]]</f>
        <v>0</v>
      </c>
    </row>
    <row r="1756" spans="22:23" ht="24.75" customHeight="1" x14ac:dyDescent="0.25">
      <c r="V1756" s="47">
        <f>Таблица1[[#This Row],[Дата перевода]]-Таблица1[[#This Row],[Дата поступления]]</f>
        <v>0</v>
      </c>
      <c r="W1756" s="47">
        <f>Таблица1[[#This Row],[Дата поступления]]-Таблица1[[#This Row],[Дата рождения]]</f>
        <v>0</v>
      </c>
    </row>
    <row r="1757" spans="22:23" ht="24.75" customHeight="1" x14ac:dyDescent="0.25">
      <c r="V1757" s="47">
        <f>Таблица1[[#This Row],[Дата перевода]]-Таблица1[[#This Row],[Дата поступления]]</f>
        <v>0</v>
      </c>
      <c r="W1757" s="47">
        <f>Таблица1[[#This Row],[Дата поступления]]-Таблица1[[#This Row],[Дата рождения]]</f>
        <v>0</v>
      </c>
    </row>
    <row r="1758" spans="22:23" ht="24.75" customHeight="1" x14ac:dyDescent="0.25">
      <c r="V1758" s="47">
        <f>Таблица1[[#This Row],[Дата перевода]]-Таблица1[[#This Row],[Дата поступления]]</f>
        <v>0</v>
      </c>
      <c r="W1758" s="47">
        <f>Таблица1[[#This Row],[Дата поступления]]-Таблица1[[#This Row],[Дата рождения]]</f>
        <v>0</v>
      </c>
    </row>
    <row r="1759" spans="22:23" ht="24.75" customHeight="1" x14ac:dyDescent="0.25">
      <c r="V1759" s="47">
        <f>Таблица1[[#This Row],[Дата перевода]]-Таблица1[[#This Row],[Дата поступления]]</f>
        <v>0</v>
      </c>
      <c r="W1759" s="47">
        <f>Таблица1[[#This Row],[Дата поступления]]-Таблица1[[#This Row],[Дата рождения]]</f>
        <v>0</v>
      </c>
    </row>
    <row r="1760" spans="22:23" ht="24.75" customHeight="1" x14ac:dyDescent="0.25">
      <c r="V1760" s="47">
        <f>Таблица1[[#This Row],[Дата перевода]]-Таблица1[[#This Row],[Дата поступления]]</f>
        <v>0</v>
      </c>
      <c r="W1760" s="47">
        <f>Таблица1[[#This Row],[Дата поступления]]-Таблица1[[#This Row],[Дата рождения]]</f>
        <v>0</v>
      </c>
    </row>
    <row r="1761" spans="22:23" ht="24.75" customHeight="1" x14ac:dyDescent="0.25">
      <c r="V1761" s="47">
        <f>Таблица1[[#This Row],[Дата перевода]]-Таблица1[[#This Row],[Дата поступления]]</f>
        <v>0</v>
      </c>
      <c r="W1761" s="47">
        <f>Таблица1[[#This Row],[Дата поступления]]-Таблица1[[#This Row],[Дата рождения]]</f>
        <v>0</v>
      </c>
    </row>
    <row r="1762" spans="22:23" ht="24.75" customHeight="1" x14ac:dyDescent="0.25">
      <c r="V1762" s="47">
        <f>Таблица1[[#This Row],[Дата перевода]]-Таблица1[[#This Row],[Дата поступления]]</f>
        <v>0</v>
      </c>
      <c r="W1762" s="47">
        <f>Таблица1[[#This Row],[Дата поступления]]-Таблица1[[#This Row],[Дата рождения]]</f>
        <v>0</v>
      </c>
    </row>
    <row r="1763" spans="22:23" ht="24.75" customHeight="1" x14ac:dyDescent="0.25">
      <c r="V1763" s="47">
        <f>Таблица1[[#This Row],[Дата перевода]]-Таблица1[[#This Row],[Дата поступления]]</f>
        <v>0</v>
      </c>
      <c r="W1763" s="47">
        <f>Таблица1[[#This Row],[Дата поступления]]-Таблица1[[#This Row],[Дата рождения]]</f>
        <v>0</v>
      </c>
    </row>
    <row r="1764" spans="22:23" ht="24.75" customHeight="1" x14ac:dyDescent="0.25">
      <c r="V1764" s="47">
        <f>Таблица1[[#This Row],[Дата перевода]]-Таблица1[[#This Row],[Дата поступления]]</f>
        <v>0</v>
      </c>
      <c r="W1764" s="47">
        <f>Таблица1[[#This Row],[Дата поступления]]-Таблица1[[#This Row],[Дата рождения]]</f>
        <v>0</v>
      </c>
    </row>
    <row r="1765" spans="22:23" ht="24.75" customHeight="1" x14ac:dyDescent="0.25">
      <c r="V1765" s="47">
        <f>Таблица1[[#This Row],[Дата перевода]]-Таблица1[[#This Row],[Дата поступления]]</f>
        <v>0</v>
      </c>
      <c r="W1765" s="47">
        <f>Таблица1[[#This Row],[Дата поступления]]-Таблица1[[#This Row],[Дата рождения]]</f>
        <v>0</v>
      </c>
    </row>
    <row r="1766" spans="22:23" ht="24.75" customHeight="1" x14ac:dyDescent="0.25">
      <c r="V1766" s="47">
        <f>Таблица1[[#This Row],[Дата перевода]]-Таблица1[[#This Row],[Дата поступления]]</f>
        <v>0</v>
      </c>
      <c r="W1766" s="47">
        <f>Таблица1[[#This Row],[Дата поступления]]-Таблица1[[#This Row],[Дата рождения]]</f>
        <v>0</v>
      </c>
    </row>
    <row r="1767" spans="22:23" ht="24.75" customHeight="1" x14ac:dyDescent="0.25">
      <c r="V1767" s="47">
        <f>Таблица1[[#This Row],[Дата перевода]]-Таблица1[[#This Row],[Дата поступления]]</f>
        <v>0</v>
      </c>
      <c r="W1767" s="47">
        <f>Таблица1[[#This Row],[Дата поступления]]-Таблица1[[#This Row],[Дата рождения]]</f>
        <v>0</v>
      </c>
    </row>
    <row r="1768" spans="22:23" ht="24.75" customHeight="1" x14ac:dyDescent="0.25">
      <c r="V1768" s="47">
        <f>Таблица1[[#This Row],[Дата перевода]]-Таблица1[[#This Row],[Дата поступления]]</f>
        <v>0</v>
      </c>
      <c r="W1768" s="47">
        <f>Таблица1[[#This Row],[Дата поступления]]-Таблица1[[#This Row],[Дата рождения]]</f>
        <v>0</v>
      </c>
    </row>
    <row r="1769" spans="22:23" ht="24.75" customHeight="1" x14ac:dyDescent="0.25">
      <c r="V1769" s="47">
        <f>Таблица1[[#This Row],[Дата перевода]]-Таблица1[[#This Row],[Дата поступления]]</f>
        <v>0</v>
      </c>
      <c r="W1769" s="47">
        <f>Таблица1[[#This Row],[Дата поступления]]-Таблица1[[#This Row],[Дата рождения]]</f>
        <v>0</v>
      </c>
    </row>
    <row r="1770" spans="22:23" ht="24.75" customHeight="1" x14ac:dyDescent="0.25">
      <c r="V1770" s="47">
        <f>Таблица1[[#This Row],[Дата перевода]]-Таблица1[[#This Row],[Дата поступления]]</f>
        <v>0</v>
      </c>
      <c r="W1770" s="47">
        <f>Таблица1[[#This Row],[Дата поступления]]-Таблица1[[#This Row],[Дата рождения]]</f>
        <v>0</v>
      </c>
    </row>
    <row r="1771" spans="22:23" ht="24.75" customHeight="1" x14ac:dyDescent="0.25">
      <c r="V1771" s="47">
        <f>Таблица1[[#This Row],[Дата перевода]]-Таблица1[[#This Row],[Дата поступления]]</f>
        <v>0</v>
      </c>
      <c r="W1771" s="47">
        <f>Таблица1[[#This Row],[Дата поступления]]-Таблица1[[#This Row],[Дата рождения]]</f>
        <v>0</v>
      </c>
    </row>
    <row r="1772" spans="22:23" ht="24.75" customHeight="1" x14ac:dyDescent="0.25">
      <c r="V1772" s="47">
        <f>Таблица1[[#This Row],[Дата перевода]]-Таблица1[[#This Row],[Дата поступления]]</f>
        <v>0</v>
      </c>
      <c r="W1772" s="47">
        <f>Таблица1[[#This Row],[Дата поступления]]-Таблица1[[#This Row],[Дата рождения]]</f>
        <v>0</v>
      </c>
    </row>
    <row r="1773" spans="22:23" ht="24.75" customHeight="1" x14ac:dyDescent="0.25">
      <c r="V1773" s="47">
        <f>Таблица1[[#This Row],[Дата перевода]]-Таблица1[[#This Row],[Дата поступления]]</f>
        <v>0</v>
      </c>
      <c r="W1773" s="47">
        <f>Таблица1[[#This Row],[Дата поступления]]-Таблица1[[#This Row],[Дата рождения]]</f>
        <v>0</v>
      </c>
    </row>
    <row r="1774" spans="22:23" ht="24.75" customHeight="1" x14ac:dyDescent="0.25">
      <c r="V1774" s="47">
        <f>Таблица1[[#This Row],[Дата перевода]]-Таблица1[[#This Row],[Дата поступления]]</f>
        <v>0</v>
      </c>
      <c r="W1774" s="47">
        <f>Таблица1[[#This Row],[Дата поступления]]-Таблица1[[#This Row],[Дата рождения]]</f>
        <v>0</v>
      </c>
    </row>
    <row r="1775" spans="22:23" ht="24.75" customHeight="1" x14ac:dyDescent="0.25">
      <c r="V1775" s="47">
        <f>Таблица1[[#This Row],[Дата перевода]]-Таблица1[[#This Row],[Дата поступления]]</f>
        <v>0</v>
      </c>
      <c r="W1775" s="47">
        <f>Таблица1[[#This Row],[Дата поступления]]-Таблица1[[#This Row],[Дата рождения]]</f>
        <v>0</v>
      </c>
    </row>
    <row r="1776" spans="22:23" ht="24.75" customHeight="1" x14ac:dyDescent="0.25">
      <c r="V1776" s="47">
        <f>Таблица1[[#This Row],[Дата перевода]]-Таблица1[[#This Row],[Дата поступления]]</f>
        <v>0</v>
      </c>
      <c r="W1776" s="47">
        <f>Таблица1[[#This Row],[Дата поступления]]-Таблица1[[#This Row],[Дата рождения]]</f>
        <v>0</v>
      </c>
    </row>
    <row r="1777" spans="22:23" ht="24.75" customHeight="1" x14ac:dyDescent="0.25">
      <c r="V1777" s="47">
        <f>Таблица1[[#This Row],[Дата перевода]]-Таблица1[[#This Row],[Дата поступления]]</f>
        <v>0</v>
      </c>
      <c r="W1777" s="47">
        <f>Таблица1[[#This Row],[Дата поступления]]-Таблица1[[#This Row],[Дата рождения]]</f>
        <v>0</v>
      </c>
    </row>
    <row r="1778" spans="22:23" ht="24.75" customHeight="1" x14ac:dyDescent="0.25">
      <c r="V1778" s="47">
        <f>Таблица1[[#This Row],[Дата перевода]]-Таблица1[[#This Row],[Дата поступления]]</f>
        <v>0</v>
      </c>
      <c r="W1778" s="47">
        <f>Таблица1[[#This Row],[Дата поступления]]-Таблица1[[#This Row],[Дата рождения]]</f>
        <v>0</v>
      </c>
    </row>
    <row r="1779" spans="22:23" ht="24.75" customHeight="1" x14ac:dyDescent="0.25">
      <c r="V1779" s="47">
        <f>Таблица1[[#This Row],[Дата перевода]]-Таблица1[[#This Row],[Дата поступления]]</f>
        <v>0</v>
      </c>
      <c r="W1779" s="47">
        <f>Таблица1[[#This Row],[Дата поступления]]-Таблица1[[#This Row],[Дата рождения]]</f>
        <v>0</v>
      </c>
    </row>
    <row r="1780" spans="22:23" ht="24.75" customHeight="1" x14ac:dyDescent="0.25">
      <c r="V1780" s="47">
        <f>Таблица1[[#This Row],[Дата перевода]]-Таблица1[[#This Row],[Дата поступления]]</f>
        <v>0</v>
      </c>
      <c r="W1780" s="47">
        <f>Таблица1[[#This Row],[Дата поступления]]-Таблица1[[#This Row],[Дата рождения]]</f>
        <v>0</v>
      </c>
    </row>
    <row r="1781" spans="22:23" ht="24.75" customHeight="1" x14ac:dyDescent="0.25">
      <c r="V1781" s="47">
        <f>Таблица1[[#This Row],[Дата перевода]]-Таблица1[[#This Row],[Дата поступления]]</f>
        <v>0</v>
      </c>
      <c r="W1781" s="47">
        <f>Таблица1[[#This Row],[Дата поступления]]-Таблица1[[#This Row],[Дата рождения]]</f>
        <v>0</v>
      </c>
    </row>
    <row r="1782" spans="22:23" ht="24.75" customHeight="1" x14ac:dyDescent="0.25">
      <c r="V1782" s="47">
        <f>Таблица1[[#This Row],[Дата перевода]]-Таблица1[[#This Row],[Дата поступления]]</f>
        <v>0</v>
      </c>
      <c r="W1782" s="47">
        <f>Таблица1[[#This Row],[Дата поступления]]-Таблица1[[#This Row],[Дата рождения]]</f>
        <v>0</v>
      </c>
    </row>
    <row r="1783" spans="22:23" ht="24.75" customHeight="1" x14ac:dyDescent="0.25">
      <c r="V1783" s="47">
        <f>Таблица1[[#This Row],[Дата перевода]]-Таблица1[[#This Row],[Дата поступления]]</f>
        <v>0</v>
      </c>
      <c r="W1783" s="47">
        <f>Таблица1[[#This Row],[Дата поступления]]-Таблица1[[#This Row],[Дата рождения]]</f>
        <v>0</v>
      </c>
    </row>
    <row r="1784" spans="22:23" ht="24.75" customHeight="1" x14ac:dyDescent="0.25">
      <c r="V1784" s="47">
        <f>Таблица1[[#This Row],[Дата перевода]]-Таблица1[[#This Row],[Дата поступления]]</f>
        <v>0</v>
      </c>
      <c r="W1784" s="47">
        <f>Таблица1[[#This Row],[Дата поступления]]-Таблица1[[#This Row],[Дата рождения]]</f>
        <v>0</v>
      </c>
    </row>
    <row r="1785" spans="22:23" ht="24.75" customHeight="1" x14ac:dyDescent="0.25">
      <c r="V1785" s="47">
        <f>Таблица1[[#This Row],[Дата перевода]]-Таблица1[[#This Row],[Дата поступления]]</f>
        <v>0</v>
      </c>
      <c r="W1785" s="47">
        <f>Таблица1[[#This Row],[Дата поступления]]-Таблица1[[#This Row],[Дата рождения]]</f>
        <v>0</v>
      </c>
    </row>
    <row r="1786" spans="22:23" ht="24.75" customHeight="1" x14ac:dyDescent="0.25">
      <c r="V1786" s="47">
        <f>Таблица1[[#This Row],[Дата перевода]]-Таблица1[[#This Row],[Дата поступления]]</f>
        <v>0</v>
      </c>
      <c r="W1786" s="47">
        <f>Таблица1[[#This Row],[Дата поступления]]-Таблица1[[#This Row],[Дата рождения]]</f>
        <v>0</v>
      </c>
    </row>
    <row r="1787" spans="22:23" ht="24.75" customHeight="1" x14ac:dyDescent="0.25">
      <c r="V1787" s="47">
        <f>Таблица1[[#This Row],[Дата перевода]]-Таблица1[[#This Row],[Дата поступления]]</f>
        <v>0</v>
      </c>
      <c r="W1787" s="47">
        <f>Таблица1[[#This Row],[Дата поступления]]-Таблица1[[#This Row],[Дата рождения]]</f>
        <v>0</v>
      </c>
    </row>
    <row r="1788" spans="22:23" ht="24.75" customHeight="1" x14ac:dyDescent="0.25">
      <c r="V1788" s="47">
        <f>Таблица1[[#This Row],[Дата перевода]]-Таблица1[[#This Row],[Дата поступления]]</f>
        <v>0</v>
      </c>
      <c r="W1788" s="47">
        <f>Таблица1[[#This Row],[Дата поступления]]-Таблица1[[#This Row],[Дата рождения]]</f>
        <v>0</v>
      </c>
    </row>
    <row r="1789" spans="22:23" ht="24.75" customHeight="1" x14ac:dyDescent="0.25">
      <c r="V1789" s="47">
        <f>Таблица1[[#This Row],[Дата перевода]]-Таблица1[[#This Row],[Дата поступления]]</f>
        <v>0</v>
      </c>
      <c r="W1789" s="47">
        <f>Таблица1[[#This Row],[Дата поступления]]-Таблица1[[#This Row],[Дата рождения]]</f>
        <v>0</v>
      </c>
    </row>
    <row r="1790" spans="22:23" ht="24.75" customHeight="1" x14ac:dyDescent="0.25">
      <c r="V1790" s="47">
        <f>Таблица1[[#This Row],[Дата перевода]]-Таблица1[[#This Row],[Дата поступления]]</f>
        <v>0</v>
      </c>
      <c r="W1790" s="47">
        <f>Таблица1[[#This Row],[Дата поступления]]-Таблица1[[#This Row],[Дата рождения]]</f>
        <v>0</v>
      </c>
    </row>
    <row r="1791" spans="22:23" ht="24.75" customHeight="1" x14ac:dyDescent="0.25">
      <c r="V1791" s="47">
        <f>Таблица1[[#This Row],[Дата перевода]]-Таблица1[[#This Row],[Дата поступления]]</f>
        <v>0</v>
      </c>
      <c r="W1791" s="47">
        <f>Таблица1[[#This Row],[Дата поступления]]-Таблица1[[#This Row],[Дата рождения]]</f>
        <v>0</v>
      </c>
    </row>
    <row r="1792" spans="22:23" ht="24.75" customHeight="1" x14ac:dyDescent="0.25">
      <c r="V1792" s="47">
        <f>Таблица1[[#This Row],[Дата перевода]]-Таблица1[[#This Row],[Дата поступления]]</f>
        <v>0</v>
      </c>
      <c r="W1792" s="47">
        <f>Таблица1[[#This Row],[Дата поступления]]-Таблица1[[#This Row],[Дата рождения]]</f>
        <v>0</v>
      </c>
    </row>
    <row r="1793" spans="22:23" ht="24.75" customHeight="1" x14ac:dyDescent="0.25">
      <c r="V1793" s="47">
        <f>Таблица1[[#This Row],[Дата перевода]]-Таблица1[[#This Row],[Дата поступления]]</f>
        <v>0</v>
      </c>
      <c r="W1793" s="47">
        <f>Таблица1[[#This Row],[Дата поступления]]-Таблица1[[#This Row],[Дата рождения]]</f>
        <v>0</v>
      </c>
    </row>
    <row r="1794" spans="22:23" ht="24.75" customHeight="1" x14ac:dyDescent="0.25">
      <c r="V1794" s="47">
        <f>Таблица1[[#This Row],[Дата перевода]]-Таблица1[[#This Row],[Дата поступления]]</f>
        <v>0</v>
      </c>
      <c r="W1794" s="47">
        <f>Таблица1[[#This Row],[Дата поступления]]-Таблица1[[#This Row],[Дата рождения]]</f>
        <v>0</v>
      </c>
    </row>
    <row r="1795" spans="22:23" ht="24.75" customHeight="1" x14ac:dyDescent="0.25">
      <c r="V1795" s="47">
        <f>Таблица1[[#This Row],[Дата перевода]]-Таблица1[[#This Row],[Дата поступления]]</f>
        <v>0</v>
      </c>
      <c r="W1795" s="47">
        <f>Таблица1[[#This Row],[Дата поступления]]-Таблица1[[#This Row],[Дата рождения]]</f>
        <v>0</v>
      </c>
    </row>
    <row r="1796" spans="22:23" ht="24.75" customHeight="1" x14ac:dyDescent="0.25">
      <c r="V1796" s="47">
        <f>Таблица1[[#This Row],[Дата перевода]]-Таблица1[[#This Row],[Дата поступления]]</f>
        <v>0</v>
      </c>
      <c r="W1796" s="47">
        <f>Таблица1[[#This Row],[Дата поступления]]-Таблица1[[#This Row],[Дата рождения]]</f>
        <v>0</v>
      </c>
    </row>
    <row r="1797" spans="22:23" ht="24.75" customHeight="1" x14ac:dyDescent="0.25">
      <c r="V1797" s="47">
        <f>Таблица1[[#This Row],[Дата перевода]]-Таблица1[[#This Row],[Дата поступления]]</f>
        <v>0</v>
      </c>
      <c r="W1797" s="47">
        <f>Таблица1[[#This Row],[Дата поступления]]-Таблица1[[#This Row],[Дата рождения]]</f>
        <v>0</v>
      </c>
    </row>
    <row r="1798" spans="22:23" ht="24.75" customHeight="1" x14ac:dyDescent="0.25">
      <c r="V1798" s="47">
        <f>Таблица1[[#This Row],[Дата перевода]]-Таблица1[[#This Row],[Дата поступления]]</f>
        <v>0</v>
      </c>
      <c r="W1798" s="47">
        <f>Таблица1[[#This Row],[Дата поступления]]-Таблица1[[#This Row],[Дата рождения]]</f>
        <v>0</v>
      </c>
    </row>
    <row r="1799" spans="22:23" ht="24.75" customHeight="1" x14ac:dyDescent="0.25">
      <c r="V1799" s="47">
        <f>Таблица1[[#This Row],[Дата перевода]]-Таблица1[[#This Row],[Дата поступления]]</f>
        <v>0</v>
      </c>
      <c r="W1799" s="47">
        <f>Таблица1[[#This Row],[Дата поступления]]-Таблица1[[#This Row],[Дата рождения]]</f>
        <v>0</v>
      </c>
    </row>
    <row r="1800" spans="22:23" ht="24.75" customHeight="1" x14ac:dyDescent="0.25">
      <c r="V1800" s="47">
        <f>Таблица1[[#This Row],[Дата перевода]]-Таблица1[[#This Row],[Дата поступления]]</f>
        <v>0</v>
      </c>
      <c r="W1800" s="47">
        <f>Таблица1[[#This Row],[Дата поступления]]-Таблица1[[#This Row],[Дата рождения]]</f>
        <v>0</v>
      </c>
    </row>
    <row r="1801" spans="22:23" ht="24.75" customHeight="1" x14ac:dyDescent="0.25">
      <c r="V1801" s="47">
        <f>Таблица1[[#This Row],[Дата перевода]]-Таблица1[[#This Row],[Дата поступления]]</f>
        <v>0</v>
      </c>
      <c r="W1801" s="47">
        <f>Таблица1[[#This Row],[Дата поступления]]-Таблица1[[#This Row],[Дата рождения]]</f>
        <v>0</v>
      </c>
    </row>
    <row r="1802" spans="22:23" ht="24.75" customHeight="1" x14ac:dyDescent="0.25">
      <c r="V1802" s="47">
        <f>Таблица1[[#This Row],[Дата перевода]]-Таблица1[[#This Row],[Дата поступления]]</f>
        <v>0</v>
      </c>
      <c r="W1802" s="47">
        <f>Таблица1[[#This Row],[Дата поступления]]-Таблица1[[#This Row],[Дата рождения]]</f>
        <v>0</v>
      </c>
    </row>
    <row r="1803" spans="22:23" ht="24.75" customHeight="1" x14ac:dyDescent="0.25">
      <c r="V1803" s="47">
        <f>Таблица1[[#This Row],[Дата перевода]]-Таблица1[[#This Row],[Дата поступления]]</f>
        <v>0</v>
      </c>
      <c r="W1803" s="47">
        <f>Таблица1[[#This Row],[Дата поступления]]-Таблица1[[#This Row],[Дата рождения]]</f>
        <v>0</v>
      </c>
    </row>
    <row r="1804" spans="22:23" ht="24.75" customHeight="1" x14ac:dyDescent="0.25">
      <c r="V1804" s="47">
        <f>Таблица1[[#This Row],[Дата перевода]]-Таблица1[[#This Row],[Дата поступления]]</f>
        <v>0</v>
      </c>
      <c r="W1804" s="47">
        <f>Таблица1[[#This Row],[Дата поступления]]-Таблица1[[#This Row],[Дата рождения]]</f>
        <v>0</v>
      </c>
    </row>
    <row r="1805" spans="22:23" ht="24.75" customHeight="1" x14ac:dyDescent="0.25">
      <c r="V1805" s="47">
        <f>Таблица1[[#This Row],[Дата перевода]]-Таблица1[[#This Row],[Дата поступления]]</f>
        <v>0</v>
      </c>
      <c r="W1805" s="47">
        <f>Таблица1[[#This Row],[Дата поступления]]-Таблица1[[#This Row],[Дата рождения]]</f>
        <v>0</v>
      </c>
    </row>
    <row r="1806" spans="22:23" ht="24.75" customHeight="1" x14ac:dyDescent="0.25">
      <c r="V1806" s="47">
        <f>Таблица1[[#This Row],[Дата перевода]]-Таблица1[[#This Row],[Дата поступления]]</f>
        <v>0</v>
      </c>
      <c r="W1806" s="47">
        <f>Таблица1[[#This Row],[Дата поступления]]-Таблица1[[#This Row],[Дата рождения]]</f>
        <v>0</v>
      </c>
    </row>
    <row r="1807" spans="22:23" ht="24.75" customHeight="1" x14ac:dyDescent="0.25">
      <c r="V1807" s="47">
        <f>Таблица1[[#This Row],[Дата перевода]]-Таблица1[[#This Row],[Дата поступления]]</f>
        <v>0</v>
      </c>
      <c r="W1807" s="47">
        <f>Таблица1[[#This Row],[Дата поступления]]-Таблица1[[#This Row],[Дата рождения]]</f>
        <v>0</v>
      </c>
    </row>
    <row r="1808" spans="22:23" ht="24.75" customHeight="1" x14ac:dyDescent="0.25">
      <c r="V1808" s="47">
        <f>Таблица1[[#This Row],[Дата перевода]]-Таблица1[[#This Row],[Дата поступления]]</f>
        <v>0</v>
      </c>
      <c r="W1808" s="47">
        <f>Таблица1[[#This Row],[Дата поступления]]-Таблица1[[#This Row],[Дата рождения]]</f>
        <v>0</v>
      </c>
    </row>
    <row r="1809" spans="22:23" ht="24.75" customHeight="1" x14ac:dyDescent="0.25">
      <c r="V1809" s="47">
        <f>Таблица1[[#This Row],[Дата перевода]]-Таблица1[[#This Row],[Дата поступления]]</f>
        <v>0</v>
      </c>
      <c r="W1809" s="47">
        <f>Таблица1[[#This Row],[Дата поступления]]-Таблица1[[#This Row],[Дата рождения]]</f>
        <v>0</v>
      </c>
    </row>
    <row r="1810" spans="22:23" ht="24.75" customHeight="1" x14ac:dyDescent="0.25">
      <c r="V1810" s="47">
        <f>Таблица1[[#This Row],[Дата перевода]]-Таблица1[[#This Row],[Дата поступления]]</f>
        <v>0</v>
      </c>
      <c r="W1810" s="47">
        <f>Таблица1[[#This Row],[Дата поступления]]-Таблица1[[#This Row],[Дата рождения]]</f>
        <v>0</v>
      </c>
    </row>
    <row r="1811" spans="22:23" ht="24.75" customHeight="1" x14ac:dyDescent="0.25">
      <c r="V1811" s="47">
        <f>Таблица1[[#This Row],[Дата перевода]]-Таблица1[[#This Row],[Дата поступления]]</f>
        <v>0</v>
      </c>
      <c r="W1811" s="47">
        <f>Таблица1[[#This Row],[Дата поступления]]-Таблица1[[#This Row],[Дата рождения]]</f>
        <v>0</v>
      </c>
    </row>
    <row r="1812" spans="22:23" ht="24.75" customHeight="1" x14ac:dyDescent="0.25">
      <c r="V1812" s="47">
        <f>Таблица1[[#This Row],[Дата перевода]]-Таблица1[[#This Row],[Дата поступления]]</f>
        <v>0</v>
      </c>
      <c r="W1812" s="47">
        <f>Таблица1[[#This Row],[Дата поступления]]-Таблица1[[#This Row],[Дата рождения]]</f>
        <v>0</v>
      </c>
    </row>
    <row r="1813" spans="22:23" ht="24.75" customHeight="1" x14ac:dyDescent="0.25">
      <c r="V1813" s="47">
        <f>Таблица1[[#This Row],[Дата перевода]]-Таблица1[[#This Row],[Дата поступления]]</f>
        <v>0</v>
      </c>
      <c r="W1813" s="47">
        <f>Таблица1[[#This Row],[Дата поступления]]-Таблица1[[#This Row],[Дата рождения]]</f>
        <v>0</v>
      </c>
    </row>
    <row r="1814" spans="22:23" ht="24.75" customHeight="1" x14ac:dyDescent="0.25">
      <c r="V1814" s="47">
        <f>Таблица1[[#This Row],[Дата перевода]]-Таблица1[[#This Row],[Дата поступления]]</f>
        <v>0</v>
      </c>
      <c r="W1814" s="47">
        <f>Таблица1[[#This Row],[Дата поступления]]-Таблица1[[#This Row],[Дата рождения]]</f>
        <v>0</v>
      </c>
    </row>
    <row r="1815" spans="22:23" ht="24.75" customHeight="1" x14ac:dyDescent="0.25">
      <c r="V1815" s="47">
        <f>Таблица1[[#This Row],[Дата перевода]]-Таблица1[[#This Row],[Дата поступления]]</f>
        <v>0</v>
      </c>
      <c r="W1815" s="47">
        <f>Таблица1[[#This Row],[Дата поступления]]-Таблица1[[#This Row],[Дата рождения]]</f>
        <v>0</v>
      </c>
    </row>
    <row r="1816" spans="22:23" ht="24.75" customHeight="1" x14ac:dyDescent="0.25">
      <c r="V1816" s="47">
        <f>Таблица1[[#This Row],[Дата перевода]]-Таблица1[[#This Row],[Дата поступления]]</f>
        <v>0</v>
      </c>
      <c r="W1816" s="47">
        <f>Таблица1[[#This Row],[Дата поступления]]-Таблица1[[#This Row],[Дата рождения]]</f>
        <v>0</v>
      </c>
    </row>
    <row r="1817" spans="22:23" ht="24.75" customHeight="1" x14ac:dyDescent="0.25">
      <c r="V1817" s="47">
        <f>Таблица1[[#This Row],[Дата перевода]]-Таблица1[[#This Row],[Дата поступления]]</f>
        <v>0</v>
      </c>
      <c r="W1817" s="47">
        <f>Таблица1[[#This Row],[Дата поступления]]-Таблица1[[#This Row],[Дата рождения]]</f>
        <v>0</v>
      </c>
    </row>
    <row r="1818" spans="22:23" ht="24.75" customHeight="1" x14ac:dyDescent="0.25">
      <c r="V1818" s="47">
        <f>Таблица1[[#This Row],[Дата перевода]]-Таблица1[[#This Row],[Дата поступления]]</f>
        <v>0</v>
      </c>
      <c r="W1818" s="47">
        <f>Таблица1[[#This Row],[Дата поступления]]-Таблица1[[#This Row],[Дата рождения]]</f>
        <v>0</v>
      </c>
    </row>
    <row r="1819" spans="22:23" ht="24.75" customHeight="1" x14ac:dyDescent="0.25">
      <c r="V1819" s="47">
        <f>Таблица1[[#This Row],[Дата перевода]]-Таблица1[[#This Row],[Дата поступления]]</f>
        <v>0</v>
      </c>
      <c r="W1819" s="47">
        <f>Таблица1[[#This Row],[Дата поступления]]-Таблица1[[#This Row],[Дата рождения]]</f>
        <v>0</v>
      </c>
    </row>
    <row r="1820" spans="22:23" ht="24.75" customHeight="1" x14ac:dyDescent="0.25">
      <c r="V1820" s="47">
        <f>Таблица1[[#This Row],[Дата перевода]]-Таблица1[[#This Row],[Дата поступления]]</f>
        <v>0</v>
      </c>
      <c r="W1820" s="47">
        <f>Таблица1[[#This Row],[Дата поступления]]-Таблица1[[#This Row],[Дата рождения]]</f>
        <v>0</v>
      </c>
    </row>
    <row r="1821" spans="22:23" ht="24.75" customHeight="1" x14ac:dyDescent="0.25">
      <c r="V1821" s="47">
        <f>Таблица1[[#This Row],[Дата перевода]]-Таблица1[[#This Row],[Дата поступления]]</f>
        <v>0</v>
      </c>
      <c r="W1821" s="47">
        <f>Таблица1[[#This Row],[Дата поступления]]-Таблица1[[#This Row],[Дата рождения]]</f>
        <v>0</v>
      </c>
    </row>
    <row r="1822" spans="22:23" ht="24.75" customHeight="1" x14ac:dyDescent="0.25">
      <c r="V1822" s="47">
        <f>Таблица1[[#This Row],[Дата перевода]]-Таблица1[[#This Row],[Дата поступления]]</f>
        <v>0</v>
      </c>
      <c r="W1822" s="47">
        <f>Таблица1[[#This Row],[Дата поступления]]-Таблица1[[#This Row],[Дата рождения]]</f>
        <v>0</v>
      </c>
    </row>
    <row r="1823" spans="22:23" ht="24.75" customHeight="1" x14ac:dyDescent="0.25">
      <c r="V1823" s="47">
        <f>Таблица1[[#This Row],[Дата перевода]]-Таблица1[[#This Row],[Дата поступления]]</f>
        <v>0</v>
      </c>
      <c r="W1823" s="47">
        <f>Таблица1[[#This Row],[Дата поступления]]-Таблица1[[#This Row],[Дата рождения]]</f>
        <v>0</v>
      </c>
    </row>
    <row r="1824" spans="22:23" ht="24.75" customHeight="1" x14ac:dyDescent="0.25">
      <c r="V1824" s="47">
        <f>Таблица1[[#This Row],[Дата перевода]]-Таблица1[[#This Row],[Дата поступления]]</f>
        <v>0</v>
      </c>
      <c r="W1824" s="47">
        <f>Таблица1[[#This Row],[Дата поступления]]-Таблица1[[#This Row],[Дата рождения]]</f>
        <v>0</v>
      </c>
    </row>
    <row r="1825" spans="22:23" ht="24.75" customHeight="1" x14ac:dyDescent="0.25">
      <c r="V1825" s="47">
        <f>Таблица1[[#This Row],[Дата перевода]]-Таблица1[[#This Row],[Дата поступления]]</f>
        <v>0</v>
      </c>
      <c r="W1825" s="47">
        <f>Таблица1[[#This Row],[Дата поступления]]-Таблица1[[#This Row],[Дата рождения]]</f>
        <v>0</v>
      </c>
    </row>
    <row r="1826" spans="22:23" ht="24.75" customHeight="1" x14ac:dyDescent="0.25">
      <c r="V1826" s="47">
        <f>Таблица1[[#This Row],[Дата перевода]]-Таблица1[[#This Row],[Дата поступления]]</f>
        <v>0</v>
      </c>
      <c r="W1826" s="47">
        <f>Таблица1[[#This Row],[Дата поступления]]-Таблица1[[#This Row],[Дата рождения]]</f>
        <v>0</v>
      </c>
    </row>
    <row r="1827" spans="22:23" ht="24.75" customHeight="1" x14ac:dyDescent="0.25">
      <c r="V1827" s="47">
        <f>Таблица1[[#This Row],[Дата перевода]]-Таблица1[[#This Row],[Дата поступления]]</f>
        <v>0</v>
      </c>
      <c r="W1827" s="47">
        <f>Таблица1[[#This Row],[Дата поступления]]-Таблица1[[#This Row],[Дата рождения]]</f>
        <v>0</v>
      </c>
    </row>
    <row r="1828" spans="22:23" ht="24.75" customHeight="1" x14ac:dyDescent="0.25">
      <c r="V1828" s="47">
        <f>Таблица1[[#This Row],[Дата перевода]]-Таблица1[[#This Row],[Дата поступления]]</f>
        <v>0</v>
      </c>
      <c r="W1828" s="47">
        <f>Таблица1[[#This Row],[Дата поступления]]-Таблица1[[#This Row],[Дата рождения]]</f>
        <v>0</v>
      </c>
    </row>
    <row r="1829" spans="22:23" ht="24.75" customHeight="1" x14ac:dyDescent="0.25">
      <c r="V1829" s="47">
        <f>Таблица1[[#This Row],[Дата перевода]]-Таблица1[[#This Row],[Дата поступления]]</f>
        <v>0</v>
      </c>
      <c r="W1829" s="47">
        <f>Таблица1[[#This Row],[Дата поступления]]-Таблица1[[#This Row],[Дата рождения]]</f>
        <v>0</v>
      </c>
    </row>
    <row r="1830" spans="22:23" ht="24.75" customHeight="1" x14ac:dyDescent="0.25">
      <c r="V1830" s="47">
        <f>Таблица1[[#This Row],[Дата перевода]]-Таблица1[[#This Row],[Дата поступления]]</f>
        <v>0</v>
      </c>
      <c r="W1830" s="47">
        <f>Таблица1[[#This Row],[Дата поступления]]-Таблица1[[#This Row],[Дата рождения]]</f>
        <v>0</v>
      </c>
    </row>
    <row r="1831" spans="22:23" ht="24.75" customHeight="1" x14ac:dyDescent="0.25">
      <c r="V1831" s="47">
        <f>Таблица1[[#This Row],[Дата перевода]]-Таблица1[[#This Row],[Дата поступления]]</f>
        <v>0</v>
      </c>
      <c r="W1831" s="47">
        <f>Таблица1[[#This Row],[Дата поступления]]-Таблица1[[#This Row],[Дата рождения]]</f>
        <v>0</v>
      </c>
    </row>
    <row r="1832" spans="22:23" ht="24.75" customHeight="1" x14ac:dyDescent="0.25">
      <c r="V1832" s="47">
        <f>Таблица1[[#This Row],[Дата перевода]]-Таблица1[[#This Row],[Дата поступления]]</f>
        <v>0</v>
      </c>
      <c r="W1832" s="47">
        <f>Таблица1[[#This Row],[Дата поступления]]-Таблица1[[#This Row],[Дата рождения]]</f>
        <v>0</v>
      </c>
    </row>
    <row r="1833" spans="22:23" ht="24.75" customHeight="1" x14ac:dyDescent="0.25">
      <c r="V1833" s="47">
        <f>Таблица1[[#This Row],[Дата перевода]]-Таблица1[[#This Row],[Дата поступления]]</f>
        <v>0</v>
      </c>
      <c r="W1833" s="47">
        <f>Таблица1[[#This Row],[Дата поступления]]-Таблица1[[#This Row],[Дата рождения]]</f>
        <v>0</v>
      </c>
    </row>
    <row r="1834" spans="22:23" ht="24.75" customHeight="1" x14ac:dyDescent="0.25">
      <c r="V1834" s="47">
        <f>Таблица1[[#This Row],[Дата перевода]]-Таблица1[[#This Row],[Дата поступления]]</f>
        <v>0</v>
      </c>
      <c r="W1834" s="47">
        <f>Таблица1[[#This Row],[Дата поступления]]-Таблица1[[#This Row],[Дата рождения]]</f>
        <v>0</v>
      </c>
    </row>
    <row r="1835" spans="22:23" ht="24.75" customHeight="1" x14ac:dyDescent="0.25">
      <c r="V1835" s="47">
        <f>Таблица1[[#This Row],[Дата перевода]]-Таблица1[[#This Row],[Дата поступления]]</f>
        <v>0</v>
      </c>
      <c r="W1835" s="47">
        <f>Таблица1[[#This Row],[Дата поступления]]-Таблица1[[#This Row],[Дата рождения]]</f>
        <v>0</v>
      </c>
    </row>
    <row r="1836" spans="22:23" ht="24.75" customHeight="1" x14ac:dyDescent="0.25">
      <c r="V1836" s="47">
        <f>Таблица1[[#This Row],[Дата перевода]]-Таблица1[[#This Row],[Дата поступления]]</f>
        <v>0</v>
      </c>
      <c r="W1836" s="47">
        <f>Таблица1[[#This Row],[Дата поступления]]-Таблица1[[#This Row],[Дата рождения]]</f>
        <v>0</v>
      </c>
    </row>
    <row r="1837" spans="22:23" ht="24.75" customHeight="1" x14ac:dyDescent="0.25">
      <c r="V1837" s="47">
        <f>Таблица1[[#This Row],[Дата перевода]]-Таблица1[[#This Row],[Дата поступления]]</f>
        <v>0</v>
      </c>
      <c r="W1837" s="47">
        <f>Таблица1[[#This Row],[Дата поступления]]-Таблица1[[#This Row],[Дата рождения]]</f>
        <v>0</v>
      </c>
    </row>
    <row r="1838" spans="22:23" ht="24.75" customHeight="1" x14ac:dyDescent="0.25">
      <c r="V1838" s="47">
        <f>Таблица1[[#This Row],[Дата перевода]]-Таблица1[[#This Row],[Дата поступления]]</f>
        <v>0</v>
      </c>
      <c r="W1838" s="47">
        <f>Таблица1[[#This Row],[Дата поступления]]-Таблица1[[#This Row],[Дата рождения]]</f>
        <v>0</v>
      </c>
    </row>
    <row r="1839" spans="22:23" ht="24.75" customHeight="1" x14ac:dyDescent="0.25">
      <c r="V1839" s="47">
        <f>Таблица1[[#This Row],[Дата перевода]]-Таблица1[[#This Row],[Дата поступления]]</f>
        <v>0</v>
      </c>
      <c r="W1839" s="47">
        <f>Таблица1[[#This Row],[Дата поступления]]-Таблица1[[#This Row],[Дата рождения]]</f>
        <v>0</v>
      </c>
    </row>
    <row r="1840" spans="22:23" ht="24.75" customHeight="1" x14ac:dyDescent="0.25">
      <c r="V1840" s="47">
        <f>Таблица1[[#This Row],[Дата перевода]]-Таблица1[[#This Row],[Дата поступления]]</f>
        <v>0</v>
      </c>
      <c r="W1840" s="47">
        <f>Таблица1[[#This Row],[Дата поступления]]-Таблица1[[#This Row],[Дата рождения]]</f>
        <v>0</v>
      </c>
    </row>
    <row r="1841" spans="22:23" ht="24.75" customHeight="1" x14ac:dyDescent="0.25">
      <c r="V1841" s="47">
        <f>Таблица1[[#This Row],[Дата перевода]]-Таблица1[[#This Row],[Дата поступления]]</f>
        <v>0</v>
      </c>
      <c r="W1841" s="47">
        <f>Таблица1[[#This Row],[Дата поступления]]-Таблица1[[#This Row],[Дата рождения]]</f>
        <v>0</v>
      </c>
    </row>
    <row r="1842" spans="22:23" ht="24.75" customHeight="1" x14ac:dyDescent="0.25">
      <c r="V1842" s="47">
        <f>Таблица1[[#This Row],[Дата перевода]]-Таблица1[[#This Row],[Дата поступления]]</f>
        <v>0</v>
      </c>
      <c r="W1842" s="47">
        <f>Таблица1[[#This Row],[Дата поступления]]-Таблица1[[#This Row],[Дата рождения]]</f>
        <v>0</v>
      </c>
    </row>
    <row r="1843" spans="22:23" ht="24.75" customHeight="1" x14ac:dyDescent="0.25">
      <c r="V1843" s="47">
        <f>Таблица1[[#This Row],[Дата перевода]]-Таблица1[[#This Row],[Дата поступления]]</f>
        <v>0</v>
      </c>
      <c r="W1843" s="47">
        <f>Таблица1[[#This Row],[Дата поступления]]-Таблица1[[#This Row],[Дата рождения]]</f>
        <v>0</v>
      </c>
    </row>
    <row r="1844" spans="22:23" ht="24.75" customHeight="1" x14ac:dyDescent="0.25">
      <c r="V1844" s="47">
        <f>Таблица1[[#This Row],[Дата перевода]]-Таблица1[[#This Row],[Дата поступления]]</f>
        <v>0</v>
      </c>
      <c r="W1844" s="47">
        <f>Таблица1[[#This Row],[Дата поступления]]-Таблица1[[#This Row],[Дата рождения]]</f>
        <v>0</v>
      </c>
    </row>
    <row r="1845" spans="22:23" ht="24.75" customHeight="1" x14ac:dyDescent="0.25">
      <c r="V1845" s="47">
        <f>Таблица1[[#This Row],[Дата перевода]]-Таблица1[[#This Row],[Дата поступления]]</f>
        <v>0</v>
      </c>
      <c r="W1845" s="47">
        <f>Таблица1[[#This Row],[Дата поступления]]-Таблица1[[#This Row],[Дата рождения]]</f>
        <v>0</v>
      </c>
    </row>
    <row r="1846" spans="22:23" ht="24.75" customHeight="1" x14ac:dyDescent="0.25">
      <c r="V1846" s="47">
        <f>Таблица1[[#This Row],[Дата перевода]]-Таблица1[[#This Row],[Дата поступления]]</f>
        <v>0</v>
      </c>
      <c r="W1846" s="47">
        <f>Таблица1[[#This Row],[Дата поступления]]-Таблица1[[#This Row],[Дата рождения]]</f>
        <v>0</v>
      </c>
    </row>
    <row r="1847" spans="22:23" ht="24.75" customHeight="1" x14ac:dyDescent="0.25">
      <c r="V1847" s="47">
        <f>Таблица1[[#This Row],[Дата перевода]]-Таблица1[[#This Row],[Дата поступления]]</f>
        <v>0</v>
      </c>
      <c r="W1847" s="47">
        <f>Таблица1[[#This Row],[Дата поступления]]-Таблица1[[#This Row],[Дата рождения]]</f>
        <v>0</v>
      </c>
    </row>
    <row r="1848" spans="22:23" ht="24.75" customHeight="1" x14ac:dyDescent="0.25">
      <c r="V1848" s="47">
        <f>Таблица1[[#This Row],[Дата перевода]]-Таблица1[[#This Row],[Дата поступления]]</f>
        <v>0</v>
      </c>
      <c r="W1848" s="47">
        <f>Таблица1[[#This Row],[Дата поступления]]-Таблица1[[#This Row],[Дата рождения]]</f>
        <v>0</v>
      </c>
    </row>
    <row r="1849" spans="22:23" ht="24.75" customHeight="1" x14ac:dyDescent="0.25">
      <c r="V1849" s="47">
        <f>Таблица1[[#This Row],[Дата перевода]]-Таблица1[[#This Row],[Дата поступления]]</f>
        <v>0</v>
      </c>
      <c r="W1849" s="47">
        <f>Таблица1[[#This Row],[Дата поступления]]-Таблица1[[#This Row],[Дата рождения]]</f>
        <v>0</v>
      </c>
    </row>
    <row r="1850" spans="22:23" ht="24.75" customHeight="1" x14ac:dyDescent="0.25">
      <c r="V1850" s="47">
        <f>Таблица1[[#This Row],[Дата перевода]]-Таблица1[[#This Row],[Дата поступления]]</f>
        <v>0</v>
      </c>
      <c r="W1850" s="47">
        <f>Таблица1[[#This Row],[Дата поступления]]-Таблица1[[#This Row],[Дата рождения]]</f>
        <v>0</v>
      </c>
    </row>
    <row r="1851" spans="22:23" ht="24.75" customHeight="1" x14ac:dyDescent="0.25">
      <c r="V1851" s="47">
        <f>Таблица1[[#This Row],[Дата перевода]]-Таблица1[[#This Row],[Дата поступления]]</f>
        <v>0</v>
      </c>
      <c r="W1851" s="47">
        <f>Таблица1[[#This Row],[Дата поступления]]-Таблица1[[#This Row],[Дата рождения]]</f>
        <v>0</v>
      </c>
    </row>
    <row r="1852" spans="22:23" ht="24.75" customHeight="1" x14ac:dyDescent="0.25">
      <c r="V1852" s="47">
        <f>Таблица1[[#This Row],[Дата перевода]]-Таблица1[[#This Row],[Дата поступления]]</f>
        <v>0</v>
      </c>
      <c r="W1852" s="47">
        <f>Таблица1[[#This Row],[Дата поступления]]-Таблица1[[#This Row],[Дата рождения]]</f>
        <v>0</v>
      </c>
    </row>
    <row r="1853" spans="22:23" ht="24.75" customHeight="1" x14ac:dyDescent="0.25">
      <c r="V1853" s="47">
        <f>Таблица1[[#This Row],[Дата перевода]]-Таблица1[[#This Row],[Дата поступления]]</f>
        <v>0</v>
      </c>
      <c r="W1853" s="47">
        <f>Таблица1[[#This Row],[Дата поступления]]-Таблица1[[#This Row],[Дата рождения]]</f>
        <v>0</v>
      </c>
    </row>
    <row r="1854" spans="22:23" ht="24.75" customHeight="1" x14ac:dyDescent="0.25">
      <c r="V1854" s="47">
        <f>Таблица1[[#This Row],[Дата перевода]]-Таблица1[[#This Row],[Дата поступления]]</f>
        <v>0</v>
      </c>
      <c r="W1854" s="47">
        <f>Таблица1[[#This Row],[Дата поступления]]-Таблица1[[#This Row],[Дата рождения]]</f>
        <v>0</v>
      </c>
    </row>
    <row r="1855" spans="22:23" ht="24.75" customHeight="1" x14ac:dyDescent="0.25">
      <c r="V1855" s="47">
        <f>Таблица1[[#This Row],[Дата перевода]]-Таблица1[[#This Row],[Дата поступления]]</f>
        <v>0</v>
      </c>
      <c r="W1855" s="47">
        <f>Таблица1[[#This Row],[Дата поступления]]-Таблица1[[#This Row],[Дата рождения]]</f>
        <v>0</v>
      </c>
    </row>
    <row r="1856" spans="22:23" ht="24.75" customHeight="1" x14ac:dyDescent="0.25">
      <c r="V1856" s="47">
        <f>Таблица1[[#This Row],[Дата перевода]]-Таблица1[[#This Row],[Дата поступления]]</f>
        <v>0</v>
      </c>
      <c r="W1856" s="47">
        <f>Таблица1[[#This Row],[Дата поступления]]-Таблица1[[#This Row],[Дата рождения]]</f>
        <v>0</v>
      </c>
    </row>
    <row r="1857" spans="22:23" ht="24.75" customHeight="1" x14ac:dyDescent="0.25">
      <c r="V1857" s="47">
        <f>Таблица1[[#This Row],[Дата перевода]]-Таблица1[[#This Row],[Дата поступления]]</f>
        <v>0</v>
      </c>
      <c r="W1857" s="47">
        <f>Таблица1[[#This Row],[Дата поступления]]-Таблица1[[#This Row],[Дата рождения]]</f>
        <v>0</v>
      </c>
    </row>
    <row r="1858" spans="22:23" ht="24.75" customHeight="1" x14ac:dyDescent="0.25">
      <c r="V1858" s="47">
        <f>Таблица1[[#This Row],[Дата перевода]]-Таблица1[[#This Row],[Дата поступления]]</f>
        <v>0</v>
      </c>
      <c r="W1858" s="47">
        <f>Таблица1[[#This Row],[Дата поступления]]-Таблица1[[#This Row],[Дата рождения]]</f>
        <v>0</v>
      </c>
    </row>
    <row r="1859" spans="22:23" ht="24.75" customHeight="1" x14ac:dyDescent="0.25">
      <c r="V1859" s="47">
        <f>Таблица1[[#This Row],[Дата перевода]]-Таблица1[[#This Row],[Дата поступления]]</f>
        <v>0</v>
      </c>
      <c r="W1859" s="47">
        <f>Таблица1[[#This Row],[Дата поступления]]-Таблица1[[#This Row],[Дата рождения]]</f>
        <v>0</v>
      </c>
    </row>
    <row r="1860" spans="22:23" ht="24.75" customHeight="1" x14ac:dyDescent="0.25">
      <c r="V1860" s="47">
        <f>Таблица1[[#This Row],[Дата перевода]]-Таблица1[[#This Row],[Дата поступления]]</f>
        <v>0</v>
      </c>
      <c r="W1860" s="47">
        <f>Таблица1[[#This Row],[Дата поступления]]-Таблица1[[#This Row],[Дата рождения]]</f>
        <v>0</v>
      </c>
    </row>
    <row r="1861" spans="22:23" ht="24.75" customHeight="1" x14ac:dyDescent="0.25">
      <c r="V1861" s="47">
        <f>Таблица1[[#This Row],[Дата перевода]]-Таблица1[[#This Row],[Дата поступления]]</f>
        <v>0</v>
      </c>
      <c r="W1861" s="47">
        <f>Таблица1[[#This Row],[Дата поступления]]-Таблица1[[#This Row],[Дата рождения]]</f>
        <v>0</v>
      </c>
    </row>
    <row r="1862" spans="22:23" ht="24.75" customHeight="1" x14ac:dyDescent="0.25">
      <c r="V1862" s="47">
        <f>Таблица1[[#This Row],[Дата перевода]]-Таблица1[[#This Row],[Дата поступления]]</f>
        <v>0</v>
      </c>
      <c r="W1862" s="47">
        <f>Таблица1[[#This Row],[Дата поступления]]-Таблица1[[#This Row],[Дата рождения]]</f>
        <v>0</v>
      </c>
    </row>
    <row r="1863" spans="22:23" ht="24.75" customHeight="1" x14ac:dyDescent="0.25">
      <c r="V1863" s="47">
        <f>Таблица1[[#This Row],[Дата перевода]]-Таблица1[[#This Row],[Дата поступления]]</f>
        <v>0</v>
      </c>
      <c r="W1863" s="47">
        <f>Таблица1[[#This Row],[Дата поступления]]-Таблица1[[#This Row],[Дата рождения]]</f>
        <v>0</v>
      </c>
    </row>
    <row r="1864" spans="22:23" ht="24.75" customHeight="1" x14ac:dyDescent="0.25">
      <c r="V1864" s="47">
        <f>Таблица1[[#This Row],[Дата перевода]]-Таблица1[[#This Row],[Дата поступления]]</f>
        <v>0</v>
      </c>
      <c r="W1864" s="47">
        <f>Таблица1[[#This Row],[Дата поступления]]-Таблица1[[#This Row],[Дата рождения]]</f>
        <v>0</v>
      </c>
    </row>
    <row r="1865" spans="22:23" ht="24.75" customHeight="1" x14ac:dyDescent="0.25">
      <c r="V1865" s="47">
        <f>Таблица1[[#This Row],[Дата перевода]]-Таблица1[[#This Row],[Дата поступления]]</f>
        <v>0</v>
      </c>
      <c r="W1865" s="47">
        <f>Таблица1[[#This Row],[Дата поступления]]-Таблица1[[#This Row],[Дата рождения]]</f>
        <v>0</v>
      </c>
    </row>
    <row r="1866" spans="22:23" ht="24.75" customHeight="1" x14ac:dyDescent="0.25">
      <c r="V1866" s="47">
        <f>Таблица1[[#This Row],[Дата перевода]]-Таблица1[[#This Row],[Дата поступления]]</f>
        <v>0</v>
      </c>
      <c r="W1866" s="47">
        <f>Таблица1[[#This Row],[Дата поступления]]-Таблица1[[#This Row],[Дата рождения]]</f>
        <v>0</v>
      </c>
    </row>
    <row r="1867" spans="22:23" ht="24.75" customHeight="1" x14ac:dyDescent="0.25">
      <c r="V1867" s="47">
        <f>Таблица1[[#This Row],[Дата перевода]]-Таблица1[[#This Row],[Дата поступления]]</f>
        <v>0</v>
      </c>
      <c r="W1867" s="47">
        <f>Таблица1[[#This Row],[Дата поступления]]-Таблица1[[#This Row],[Дата рождения]]</f>
        <v>0</v>
      </c>
    </row>
    <row r="1868" spans="22:23" ht="24.75" customHeight="1" x14ac:dyDescent="0.25">
      <c r="V1868" s="47">
        <f>Таблица1[[#This Row],[Дата перевода]]-Таблица1[[#This Row],[Дата поступления]]</f>
        <v>0</v>
      </c>
      <c r="W1868" s="47">
        <f>Таблица1[[#This Row],[Дата поступления]]-Таблица1[[#This Row],[Дата рождения]]</f>
        <v>0</v>
      </c>
    </row>
    <row r="1869" spans="22:23" ht="24.75" customHeight="1" x14ac:dyDescent="0.25">
      <c r="V1869" s="47">
        <f>Таблица1[[#This Row],[Дата перевода]]-Таблица1[[#This Row],[Дата поступления]]</f>
        <v>0</v>
      </c>
      <c r="W1869" s="47">
        <f>Таблица1[[#This Row],[Дата поступления]]-Таблица1[[#This Row],[Дата рождения]]</f>
        <v>0</v>
      </c>
    </row>
    <row r="1870" spans="22:23" ht="24.75" customHeight="1" x14ac:dyDescent="0.25">
      <c r="V1870" s="47">
        <f>Таблица1[[#This Row],[Дата перевода]]-Таблица1[[#This Row],[Дата поступления]]</f>
        <v>0</v>
      </c>
      <c r="W1870" s="47">
        <f>Таблица1[[#This Row],[Дата поступления]]-Таблица1[[#This Row],[Дата рождения]]</f>
        <v>0</v>
      </c>
    </row>
    <row r="1871" spans="22:23" ht="24.75" customHeight="1" x14ac:dyDescent="0.25">
      <c r="V1871" s="47">
        <f>Таблица1[[#This Row],[Дата перевода]]-Таблица1[[#This Row],[Дата поступления]]</f>
        <v>0</v>
      </c>
      <c r="W1871" s="47">
        <f>Таблица1[[#This Row],[Дата поступления]]-Таблица1[[#This Row],[Дата рождения]]</f>
        <v>0</v>
      </c>
    </row>
    <row r="1872" spans="22:23" ht="24.75" customHeight="1" x14ac:dyDescent="0.25">
      <c r="V1872" s="47">
        <f>Таблица1[[#This Row],[Дата перевода]]-Таблица1[[#This Row],[Дата поступления]]</f>
        <v>0</v>
      </c>
      <c r="W1872" s="47">
        <f>Таблица1[[#This Row],[Дата поступления]]-Таблица1[[#This Row],[Дата рождения]]</f>
        <v>0</v>
      </c>
    </row>
    <row r="1873" spans="22:23" ht="24.75" customHeight="1" x14ac:dyDescent="0.25">
      <c r="V1873" s="47">
        <f>Таблица1[[#This Row],[Дата перевода]]-Таблица1[[#This Row],[Дата поступления]]</f>
        <v>0</v>
      </c>
      <c r="W1873" s="47">
        <f>Таблица1[[#This Row],[Дата поступления]]-Таблица1[[#This Row],[Дата рождения]]</f>
        <v>0</v>
      </c>
    </row>
    <row r="1874" spans="22:23" ht="24.75" customHeight="1" x14ac:dyDescent="0.25">
      <c r="V1874" s="47">
        <f>Таблица1[[#This Row],[Дата перевода]]-Таблица1[[#This Row],[Дата поступления]]</f>
        <v>0</v>
      </c>
      <c r="W1874" s="47">
        <f>Таблица1[[#This Row],[Дата поступления]]-Таблица1[[#This Row],[Дата рождения]]</f>
        <v>0</v>
      </c>
    </row>
    <row r="1875" spans="22:23" ht="24.75" customHeight="1" x14ac:dyDescent="0.25">
      <c r="V1875" s="47">
        <f>Таблица1[[#This Row],[Дата перевода]]-Таблица1[[#This Row],[Дата поступления]]</f>
        <v>0</v>
      </c>
      <c r="W1875" s="47">
        <f>Таблица1[[#This Row],[Дата поступления]]-Таблица1[[#This Row],[Дата рождения]]</f>
        <v>0</v>
      </c>
    </row>
    <row r="1876" spans="22:23" ht="24.75" customHeight="1" x14ac:dyDescent="0.25">
      <c r="V1876" s="47">
        <f>Таблица1[[#This Row],[Дата перевода]]-Таблица1[[#This Row],[Дата поступления]]</f>
        <v>0</v>
      </c>
      <c r="W1876" s="47">
        <f>Таблица1[[#This Row],[Дата поступления]]-Таблица1[[#This Row],[Дата рождения]]</f>
        <v>0</v>
      </c>
    </row>
    <row r="1877" spans="22:23" ht="24.75" customHeight="1" x14ac:dyDescent="0.25">
      <c r="V1877" s="47">
        <f>Таблица1[[#This Row],[Дата перевода]]-Таблица1[[#This Row],[Дата поступления]]</f>
        <v>0</v>
      </c>
      <c r="W1877" s="47">
        <f>Таблица1[[#This Row],[Дата поступления]]-Таблица1[[#This Row],[Дата рождения]]</f>
        <v>0</v>
      </c>
    </row>
    <row r="1878" spans="22:23" ht="24.75" customHeight="1" x14ac:dyDescent="0.25">
      <c r="V1878" s="47">
        <f>Таблица1[[#This Row],[Дата перевода]]-Таблица1[[#This Row],[Дата поступления]]</f>
        <v>0</v>
      </c>
      <c r="W1878" s="47">
        <f>Таблица1[[#This Row],[Дата поступления]]-Таблица1[[#This Row],[Дата рождения]]</f>
        <v>0</v>
      </c>
    </row>
    <row r="1879" spans="22:23" ht="24.75" customHeight="1" x14ac:dyDescent="0.25">
      <c r="V1879" s="47">
        <f>Таблица1[[#This Row],[Дата перевода]]-Таблица1[[#This Row],[Дата поступления]]</f>
        <v>0</v>
      </c>
      <c r="W1879" s="47">
        <f>Таблица1[[#This Row],[Дата поступления]]-Таблица1[[#This Row],[Дата рождения]]</f>
        <v>0</v>
      </c>
    </row>
    <row r="1880" spans="22:23" ht="24.75" customHeight="1" x14ac:dyDescent="0.25">
      <c r="V1880" s="47">
        <f>Таблица1[[#This Row],[Дата перевода]]-Таблица1[[#This Row],[Дата поступления]]</f>
        <v>0</v>
      </c>
      <c r="W1880" s="47">
        <f>Таблица1[[#This Row],[Дата поступления]]-Таблица1[[#This Row],[Дата рождения]]</f>
        <v>0</v>
      </c>
    </row>
    <row r="1881" spans="22:23" ht="24.75" customHeight="1" x14ac:dyDescent="0.25">
      <c r="V1881" s="47">
        <f>Таблица1[[#This Row],[Дата перевода]]-Таблица1[[#This Row],[Дата поступления]]</f>
        <v>0</v>
      </c>
      <c r="W1881" s="47">
        <f>Таблица1[[#This Row],[Дата поступления]]-Таблица1[[#This Row],[Дата рождения]]</f>
        <v>0</v>
      </c>
    </row>
    <row r="1882" spans="22:23" ht="24.75" customHeight="1" x14ac:dyDescent="0.25">
      <c r="V1882" s="47">
        <f>Таблица1[[#This Row],[Дата перевода]]-Таблица1[[#This Row],[Дата поступления]]</f>
        <v>0</v>
      </c>
      <c r="W1882" s="47">
        <f>Таблица1[[#This Row],[Дата поступления]]-Таблица1[[#This Row],[Дата рождения]]</f>
        <v>0</v>
      </c>
    </row>
    <row r="1883" spans="22:23" ht="24.75" customHeight="1" x14ac:dyDescent="0.25">
      <c r="V1883" s="47">
        <f>Таблица1[[#This Row],[Дата перевода]]-Таблица1[[#This Row],[Дата поступления]]</f>
        <v>0</v>
      </c>
      <c r="W1883" s="47">
        <f>Таблица1[[#This Row],[Дата поступления]]-Таблица1[[#This Row],[Дата рождения]]</f>
        <v>0</v>
      </c>
    </row>
    <row r="1884" spans="22:23" ht="24.75" customHeight="1" x14ac:dyDescent="0.25">
      <c r="V1884" s="47">
        <f>Таблица1[[#This Row],[Дата перевода]]-Таблица1[[#This Row],[Дата поступления]]</f>
        <v>0</v>
      </c>
      <c r="W1884" s="47">
        <f>Таблица1[[#This Row],[Дата поступления]]-Таблица1[[#This Row],[Дата рождения]]</f>
        <v>0</v>
      </c>
    </row>
    <row r="1885" spans="22:23" ht="24.75" customHeight="1" x14ac:dyDescent="0.25">
      <c r="V1885" s="47">
        <f>Таблица1[[#This Row],[Дата перевода]]-Таблица1[[#This Row],[Дата поступления]]</f>
        <v>0</v>
      </c>
      <c r="W1885" s="47">
        <f>Таблица1[[#This Row],[Дата поступления]]-Таблица1[[#This Row],[Дата рождения]]</f>
        <v>0</v>
      </c>
    </row>
    <row r="1886" spans="22:23" ht="24.75" customHeight="1" x14ac:dyDescent="0.25">
      <c r="V1886" s="47">
        <f>Таблица1[[#This Row],[Дата перевода]]-Таблица1[[#This Row],[Дата поступления]]</f>
        <v>0</v>
      </c>
      <c r="W1886" s="47">
        <f>Таблица1[[#This Row],[Дата поступления]]-Таблица1[[#This Row],[Дата рождения]]</f>
        <v>0</v>
      </c>
    </row>
    <row r="1887" spans="22:23" ht="24.75" customHeight="1" x14ac:dyDescent="0.25">
      <c r="V1887" s="47">
        <f>Таблица1[[#This Row],[Дата перевода]]-Таблица1[[#This Row],[Дата поступления]]</f>
        <v>0</v>
      </c>
      <c r="W1887" s="47">
        <f>Таблица1[[#This Row],[Дата поступления]]-Таблица1[[#This Row],[Дата рождения]]</f>
        <v>0</v>
      </c>
    </row>
    <row r="1888" spans="22:23" ht="24.75" customHeight="1" x14ac:dyDescent="0.25">
      <c r="V1888" s="47">
        <f>Таблица1[[#This Row],[Дата перевода]]-Таблица1[[#This Row],[Дата поступления]]</f>
        <v>0</v>
      </c>
      <c r="W1888" s="47">
        <f>Таблица1[[#This Row],[Дата поступления]]-Таблица1[[#This Row],[Дата рождения]]</f>
        <v>0</v>
      </c>
    </row>
    <row r="1889" spans="22:23" ht="24.75" customHeight="1" x14ac:dyDescent="0.25">
      <c r="V1889" s="47">
        <f>Таблица1[[#This Row],[Дата перевода]]-Таблица1[[#This Row],[Дата поступления]]</f>
        <v>0</v>
      </c>
      <c r="W1889" s="47">
        <f>Таблица1[[#This Row],[Дата поступления]]-Таблица1[[#This Row],[Дата рождения]]</f>
        <v>0</v>
      </c>
    </row>
    <row r="1890" spans="22:23" ht="24.75" customHeight="1" x14ac:dyDescent="0.25">
      <c r="V1890" s="47">
        <f>Таблица1[[#This Row],[Дата перевода]]-Таблица1[[#This Row],[Дата поступления]]</f>
        <v>0</v>
      </c>
      <c r="W1890" s="47">
        <f>Таблица1[[#This Row],[Дата поступления]]-Таблица1[[#This Row],[Дата рождения]]</f>
        <v>0</v>
      </c>
    </row>
    <row r="1891" spans="22:23" ht="24.75" customHeight="1" x14ac:dyDescent="0.25">
      <c r="V1891" s="47">
        <f>Таблица1[[#This Row],[Дата перевода]]-Таблица1[[#This Row],[Дата поступления]]</f>
        <v>0</v>
      </c>
      <c r="W1891" s="47">
        <f>Таблица1[[#This Row],[Дата поступления]]-Таблица1[[#This Row],[Дата рождения]]</f>
        <v>0</v>
      </c>
    </row>
    <row r="1892" spans="22:23" ht="24.75" customHeight="1" x14ac:dyDescent="0.25">
      <c r="V1892" s="47">
        <f>Таблица1[[#This Row],[Дата перевода]]-Таблица1[[#This Row],[Дата поступления]]</f>
        <v>0</v>
      </c>
      <c r="W1892" s="47">
        <f>Таблица1[[#This Row],[Дата поступления]]-Таблица1[[#This Row],[Дата рождения]]</f>
        <v>0</v>
      </c>
    </row>
    <row r="1893" spans="22:23" ht="24.75" customHeight="1" x14ac:dyDescent="0.25">
      <c r="V1893" s="47">
        <f>Таблица1[[#This Row],[Дата перевода]]-Таблица1[[#This Row],[Дата поступления]]</f>
        <v>0</v>
      </c>
      <c r="W1893" s="47">
        <f>Таблица1[[#This Row],[Дата поступления]]-Таблица1[[#This Row],[Дата рождения]]</f>
        <v>0</v>
      </c>
    </row>
    <row r="1894" spans="22:23" ht="24.75" customHeight="1" x14ac:dyDescent="0.25">
      <c r="V1894" s="47">
        <f>Таблица1[[#This Row],[Дата перевода]]-Таблица1[[#This Row],[Дата поступления]]</f>
        <v>0</v>
      </c>
      <c r="W1894" s="47">
        <f>Таблица1[[#This Row],[Дата поступления]]-Таблица1[[#This Row],[Дата рождения]]</f>
        <v>0</v>
      </c>
    </row>
    <row r="1895" spans="22:23" ht="24.75" customHeight="1" x14ac:dyDescent="0.25">
      <c r="V1895" s="47">
        <f>Таблица1[[#This Row],[Дата перевода]]-Таблица1[[#This Row],[Дата поступления]]</f>
        <v>0</v>
      </c>
      <c r="W1895" s="47">
        <f>Таблица1[[#This Row],[Дата поступления]]-Таблица1[[#This Row],[Дата рождения]]</f>
        <v>0</v>
      </c>
    </row>
    <row r="1896" spans="22:23" ht="24.75" customHeight="1" x14ac:dyDescent="0.25">
      <c r="V1896" s="47">
        <f>Таблица1[[#This Row],[Дата перевода]]-Таблица1[[#This Row],[Дата поступления]]</f>
        <v>0</v>
      </c>
      <c r="W1896" s="47">
        <f>Таблица1[[#This Row],[Дата поступления]]-Таблица1[[#This Row],[Дата рождения]]</f>
        <v>0</v>
      </c>
    </row>
    <row r="1897" spans="22:23" ht="24.75" customHeight="1" x14ac:dyDescent="0.25">
      <c r="V1897" s="47">
        <f>Таблица1[[#This Row],[Дата перевода]]-Таблица1[[#This Row],[Дата поступления]]</f>
        <v>0</v>
      </c>
      <c r="W1897" s="47">
        <f>Таблица1[[#This Row],[Дата поступления]]-Таблица1[[#This Row],[Дата рождения]]</f>
        <v>0</v>
      </c>
    </row>
    <row r="1898" spans="22:23" ht="24.75" customHeight="1" x14ac:dyDescent="0.25">
      <c r="V1898" s="47">
        <f>Таблица1[[#This Row],[Дата перевода]]-Таблица1[[#This Row],[Дата поступления]]</f>
        <v>0</v>
      </c>
      <c r="W1898" s="47">
        <f>Таблица1[[#This Row],[Дата поступления]]-Таблица1[[#This Row],[Дата рождения]]</f>
        <v>0</v>
      </c>
    </row>
    <row r="1899" spans="22:23" ht="24.75" customHeight="1" x14ac:dyDescent="0.25">
      <c r="V1899" s="47">
        <f>Таблица1[[#This Row],[Дата перевода]]-Таблица1[[#This Row],[Дата поступления]]</f>
        <v>0</v>
      </c>
      <c r="W1899" s="47">
        <f>Таблица1[[#This Row],[Дата поступления]]-Таблица1[[#This Row],[Дата рождения]]</f>
        <v>0</v>
      </c>
    </row>
    <row r="1900" spans="22:23" ht="24.75" customHeight="1" x14ac:dyDescent="0.25">
      <c r="V1900" s="47">
        <f>Таблица1[[#This Row],[Дата перевода]]-Таблица1[[#This Row],[Дата поступления]]</f>
        <v>0</v>
      </c>
      <c r="W1900" s="47">
        <f>Таблица1[[#This Row],[Дата поступления]]-Таблица1[[#This Row],[Дата рождения]]</f>
        <v>0</v>
      </c>
    </row>
    <row r="1901" spans="22:23" ht="24.75" customHeight="1" x14ac:dyDescent="0.25">
      <c r="V1901" s="47">
        <f>Таблица1[[#This Row],[Дата перевода]]-Таблица1[[#This Row],[Дата поступления]]</f>
        <v>0</v>
      </c>
      <c r="W1901" s="47">
        <f>Таблица1[[#This Row],[Дата поступления]]-Таблица1[[#This Row],[Дата рождения]]</f>
        <v>0</v>
      </c>
    </row>
    <row r="1902" spans="22:23" ht="24.75" customHeight="1" x14ac:dyDescent="0.25">
      <c r="V1902" s="47">
        <f>Таблица1[[#This Row],[Дата перевода]]-Таблица1[[#This Row],[Дата поступления]]</f>
        <v>0</v>
      </c>
      <c r="W1902" s="47">
        <f>Таблица1[[#This Row],[Дата поступления]]-Таблица1[[#This Row],[Дата рождения]]</f>
        <v>0</v>
      </c>
    </row>
    <row r="1903" spans="22:23" ht="24.75" customHeight="1" x14ac:dyDescent="0.25">
      <c r="V1903" s="47">
        <f>Таблица1[[#This Row],[Дата перевода]]-Таблица1[[#This Row],[Дата поступления]]</f>
        <v>0</v>
      </c>
      <c r="W1903" s="47">
        <f>Таблица1[[#This Row],[Дата поступления]]-Таблица1[[#This Row],[Дата рождения]]</f>
        <v>0</v>
      </c>
    </row>
    <row r="1904" spans="22:23" ht="24.75" customHeight="1" x14ac:dyDescent="0.25">
      <c r="V1904" s="47">
        <f>Таблица1[[#This Row],[Дата перевода]]-Таблица1[[#This Row],[Дата поступления]]</f>
        <v>0</v>
      </c>
      <c r="W1904" s="47">
        <f>Таблица1[[#This Row],[Дата поступления]]-Таблица1[[#This Row],[Дата рождения]]</f>
        <v>0</v>
      </c>
    </row>
    <row r="1905" spans="22:23" ht="24.75" customHeight="1" x14ac:dyDescent="0.25">
      <c r="V1905" s="47">
        <f>Таблица1[[#This Row],[Дата перевода]]-Таблица1[[#This Row],[Дата поступления]]</f>
        <v>0</v>
      </c>
      <c r="W1905" s="47">
        <f>Таблица1[[#This Row],[Дата поступления]]-Таблица1[[#This Row],[Дата рождения]]</f>
        <v>0</v>
      </c>
    </row>
    <row r="1906" spans="22:23" ht="24.75" customHeight="1" x14ac:dyDescent="0.25">
      <c r="V1906" s="47">
        <f>Таблица1[[#This Row],[Дата перевода]]-Таблица1[[#This Row],[Дата поступления]]</f>
        <v>0</v>
      </c>
      <c r="W1906" s="47">
        <f>Таблица1[[#This Row],[Дата поступления]]-Таблица1[[#This Row],[Дата рождения]]</f>
        <v>0</v>
      </c>
    </row>
    <row r="1907" spans="22:23" ht="24.75" customHeight="1" x14ac:dyDescent="0.25">
      <c r="V1907" s="47">
        <f>Таблица1[[#This Row],[Дата перевода]]-Таблица1[[#This Row],[Дата поступления]]</f>
        <v>0</v>
      </c>
      <c r="W1907" s="47">
        <f>Таблица1[[#This Row],[Дата поступления]]-Таблица1[[#This Row],[Дата рождения]]</f>
        <v>0</v>
      </c>
    </row>
    <row r="1908" spans="22:23" ht="24.75" customHeight="1" x14ac:dyDescent="0.25">
      <c r="V1908" s="47">
        <f>Таблица1[[#This Row],[Дата перевода]]-Таблица1[[#This Row],[Дата поступления]]</f>
        <v>0</v>
      </c>
      <c r="W1908" s="47">
        <f>Таблица1[[#This Row],[Дата поступления]]-Таблица1[[#This Row],[Дата рождения]]</f>
        <v>0</v>
      </c>
    </row>
    <row r="1909" spans="22:23" ht="24.75" customHeight="1" x14ac:dyDescent="0.25">
      <c r="V1909" s="47">
        <f>Таблица1[[#This Row],[Дата перевода]]-Таблица1[[#This Row],[Дата поступления]]</f>
        <v>0</v>
      </c>
      <c r="W1909" s="47">
        <f>Таблица1[[#This Row],[Дата поступления]]-Таблица1[[#This Row],[Дата рождения]]</f>
        <v>0</v>
      </c>
    </row>
    <row r="1910" spans="22:23" ht="24.75" customHeight="1" x14ac:dyDescent="0.25">
      <c r="V1910" s="47">
        <f>Таблица1[[#This Row],[Дата перевода]]-Таблица1[[#This Row],[Дата поступления]]</f>
        <v>0</v>
      </c>
      <c r="W1910" s="47">
        <f>Таблица1[[#This Row],[Дата поступления]]-Таблица1[[#This Row],[Дата рождения]]</f>
        <v>0</v>
      </c>
    </row>
    <row r="1911" spans="22:23" ht="24.75" customHeight="1" x14ac:dyDescent="0.25">
      <c r="V1911" s="47">
        <f>Таблица1[[#This Row],[Дата перевода]]-Таблица1[[#This Row],[Дата поступления]]</f>
        <v>0</v>
      </c>
      <c r="W1911" s="47">
        <f>Таблица1[[#This Row],[Дата поступления]]-Таблица1[[#This Row],[Дата рождения]]</f>
        <v>0</v>
      </c>
    </row>
    <row r="1912" spans="22:23" ht="24.75" customHeight="1" x14ac:dyDescent="0.25">
      <c r="V1912" s="47">
        <f>Таблица1[[#This Row],[Дата перевода]]-Таблица1[[#This Row],[Дата поступления]]</f>
        <v>0</v>
      </c>
      <c r="W1912" s="47">
        <f>Таблица1[[#This Row],[Дата поступления]]-Таблица1[[#This Row],[Дата рождения]]</f>
        <v>0</v>
      </c>
    </row>
    <row r="1913" spans="22:23" ht="24.75" customHeight="1" x14ac:dyDescent="0.25">
      <c r="V1913" s="47">
        <f>Таблица1[[#This Row],[Дата перевода]]-Таблица1[[#This Row],[Дата поступления]]</f>
        <v>0</v>
      </c>
      <c r="W1913" s="47">
        <f>Таблица1[[#This Row],[Дата поступления]]-Таблица1[[#This Row],[Дата рождения]]</f>
        <v>0</v>
      </c>
    </row>
    <row r="1914" spans="22:23" ht="24.75" customHeight="1" x14ac:dyDescent="0.25">
      <c r="V1914" s="47">
        <f>Таблица1[[#This Row],[Дата перевода]]-Таблица1[[#This Row],[Дата поступления]]</f>
        <v>0</v>
      </c>
      <c r="W1914" s="47">
        <f>Таблица1[[#This Row],[Дата поступления]]-Таблица1[[#This Row],[Дата рождения]]</f>
        <v>0</v>
      </c>
    </row>
    <row r="1915" spans="22:23" ht="24.75" customHeight="1" x14ac:dyDescent="0.25">
      <c r="V1915" s="47">
        <f>Таблица1[[#This Row],[Дата перевода]]-Таблица1[[#This Row],[Дата поступления]]</f>
        <v>0</v>
      </c>
      <c r="W1915" s="47">
        <f>Таблица1[[#This Row],[Дата поступления]]-Таблица1[[#This Row],[Дата рождения]]</f>
        <v>0</v>
      </c>
    </row>
    <row r="1916" spans="22:23" ht="24.75" customHeight="1" x14ac:dyDescent="0.25">
      <c r="V1916" s="47">
        <f>Таблица1[[#This Row],[Дата перевода]]-Таблица1[[#This Row],[Дата поступления]]</f>
        <v>0</v>
      </c>
      <c r="W1916" s="47">
        <f>Таблица1[[#This Row],[Дата поступления]]-Таблица1[[#This Row],[Дата рождения]]</f>
        <v>0</v>
      </c>
    </row>
    <row r="1917" spans="22:23" ht="24.75" customHeight="1" x14ac:dyDescent="0.25">
      <c r="V1917" s="47">
        <f>Таблица1[[#This Row],[Дата перевода]]-Таблица1[[#This Row],[Дата поступления]]</f>
        <v>0</v>
      </c>
      <c r="W1917" s="47">
        <f>Таблица1[[#This Row],[Дата поступления]]-Таблица1[[#This Row],[Дата рождения]]</f>
        <v>0</v>
      </c>
    </row>
    <row r="1918" spans="22:23" ht="24.75" customHeight="1" x14ac:dyDescent="0.25">
      <c r="V1918" s="47">
        <f>Таблица1[[#This Row],[Дата перевода]]-Таблица1[[#This Row],[Дата поступления]]</f>
        <v>0</v>
      </c>
      <c r="W1918" s="47">
        <f>Таблица1[[#This Row],[Дата поступления]]-Таблица1[[#This Row],[Дата рождения]]</f>
        <v>0</v>
      </c>
    </row>
    <row r="1919" spans="22:23" ht="24.75" customHeight="1" x14ac:dyDescent="0.25">
      <c r="V1919" s="47">
        <f>Таблица1[[#This Row],[Дата перевода]]-Таблица1[[#This Row],[Дата поступления]]</f>
        <v>0</v>
      </c>
      <c r="W1919" s="47">
        <f>Таблица1[[#This Row],[Дата поступления]]-Таблица1[[#This Row],[Дата рождения]]</f>
        <v>0</v>
      </c>
    </row>
    <row r="1920" spans="22:23" ht="24.75" customHeight="1" x14ac:dyDescent="0.25">
      <c r="V1920" s="47">
        <f>Таблица1[[#This Row],[Дата перевода]]-Таблица1[[#This Row],[Дата поступления]]</f>
        <v>0</v>
      </c>
      <c r="W1920" s="47">
        <f>Таблица1[[#This Row],[Дата поступления]]-Таблица1[[#This Row],[Дата рождения]]</f>
        <v>0</v>
      </c>
    </row>
    <row r="1921" spans="22:23" ht="24.75" customHeight="1" x14ac:dyDescent="0.25">
      <c r="V1921" s="47">
        <f>Таблица1[[#This Row],[Дата перевода]]-Таблица1[[#This Row],[Дата поступления]]</f>
        <v>0</v>
      </c>
      <c r="W1921" s="47">
        <f>Таблица1[[#This Row],[Дата поступления]]-Таблица1[[#This Row],[Дата рождения]]</f>
        <v>0</v>
      </c>
    </row>
    <row r="1922" spans="22:23" ht="24.75" customHeight="1" x14ac:dyDescent="0.25">
      <c r="V1922" s="47">
        <f>Таблица1[[#This Row],[Дата перевода]]-Таблица1[[#This Row],[Дата поступления]]</f>
        <v>0</v>
      </c>
      <c r="W1922" s="47">
        <f>Таблица1[[#This Row],[Дата поступления]]-Таблица1[[#This Row],[Дата рождения]]</f>
        <v>0</v>
      </c>
    </row>
    <row r="1923" spans="22:23" ht="24.75" customHeight="1" x14ac:dyDescent="0.25">
      <c r="V1923" s="47">
        <f>Таблица1[[#This Row],[Дата перевода]]-Таблица1[[#This Row],[Дата поступления]]</f>
        <v>0</v>
      </c>
      <c r="W1923" s="47">
        <f>Таблица1[[#This Row],[Дата поступления]]-Таблица1[[#This Row],[Дата рождения]]</f>
        <v>0</v>
      </c>
    </row>
    <row r="1924" spans="22:23" ht="24.75" customHeight="1" x14ac:dyDescent="0.25">
      <c r="V1924" s="47">
        <f>Таблица1[[#This Row],[Дата перевода]]-Таблица1[[#This Row],[Дата поступления]]</f>
        <v>0</v>
      </c>
      <c r="W1924" s="47">
        <f>Таблица1[[#This Row],[Дата поступления]]-Таблица1[[#This Row],[Дата рождения]]</f>
        <v>0</v>
      </c>
    </row>
    <row r="1925" spans="22:23" ht="24.75" customHeight="1" x14ac:dyDescent="0.25">
      <c r="V1925" s="47">
        <f>Таблица1[[#This Row],[Дата перевода]]-Таблица1[[#This Row],[Дата поступления]]</f>
        <v>0</v>
      </c>
      <c r="W1925" s="47">
        <f>Таблица1[[#This Row],[Дата поступления]]-Таблица1[[#This Row],[Дата рождения]]</f>
        <v>0</v>
      </c>
    </row>
    <row r="1926" spans="22:23" ht="24.75" customHeight="1" x14ac:dyDescent="0.25">
      <c r="V1926" s="47">
        <f>Таблица1[[#This Row],[Дата перевода]]-Таблица1[[#This Row],[Дата поступления]]</f>
        <v>0</v>
      </c>
      <c r="W1926" s="47">
        <f>Таблица1[[#This Row],[Дата поступления]]-Таблица1[[#This Row],[Дата рождения]]</f>
        <v>0</v>
      </c>
    </row>
    <row r="1927" spans="22:23" ht="24.75" customHeight="1" x14ac:dyDescent="0.25">
      <c r="V1927" s="47">
        <f>Таблица1[[#This Row],[Дата перевода]]-Таблица1[[#This Row],[Дата поступления]]</f>
        <v>0</v>
      </c>
      <c r="W1927" s="47">
        <f>Таблица1[[#This Row],[Дата поступления]]-Таблица1[[#This Row],[Дата рождения]]</f>
        <v>0</v>
      </c>
    </row>
    <row r="1928" spans="22:23" ht="24.75" customHeight="1" x14ac:dyDescent="0.25">
      <c r="V1928" s="47">
        <f>Таблица1[[#This Row],[Дата перевода]]-Таблица1[[#This Row],[Дата поступления]]</f>
        <v>0</v>
      </c>
      <c r="W1928" s="47">
        <f>Таблица1[[#This Row],[Дата поступления]]-Таблица1[[#This Row],[Дата рождения]]</f>
        <v>0</v>
      </c>
    </row>
    <row r="1929" spans="22:23" ht="24.75" customHeight="1" x14ac:dyDescent="0.25">
      <c r="V1929" s="47">
        <f>Таблица1[[#This Row],[Дата перевода]]-Таблица1[[#This Row],[Дата поступления]]</f>
        <v>0</v>
      </c>
      <c r="W1929" s="47">
        <f>Таблица1[[#This Row],[Дата поступления]]-Таблица1[[#This Row],[Дата рождения]]</f>
        <v>0</v>
      </c>
    </row>
    <row r="1930" spans="22:23" ht="24.75" customHeight="1" x14ac:dyDescent="0.25">
      <c r="V1930" s="47">
        <f>Таблица1[[#This Row],[Дата перевода]]-Таблица1[[#This Row],[Дата поступления]]</f>
        <v>0</v>
      </c>
      <c r="W1930" s="47">
        <f>Таблица1[[#This Row],[Дата поступления]]-Таблица1[[#This Row],[Дата рождения]]</f>
        <v>0</v>
      </c>
    </row>
    <row r="1931" spans="22:23" ht="24.75" customHeight="1" x14ac:dyDescent="0.25">
      <c r="V1931" s="47">
        <f>Таблица1[[#This Row],[Дата перевода]]-Таблица1[[#This Row],[Дата поступления]]</f>
        <v>0</v>
      </c>
      <c r="W1931" s="47">
        <f>Таблица1[[#This Row],[Дата поступления]]-Таблица1[[#This Row],[Дата рождения]]</f>
        <v>0</v>
      </c>
    </row>
    <row r="1932" spans="22:23" ht="24.75" customHeight="1" x14ac:dyDescent="0.25">
      <c r="V1932" s="47">
        <f>Таблица1[[#This Row],[Дата перевода]]-Таблица1[[#This Row],[Дата поступления]]</f>
        <v>0</v>
      </c>
      <c r="W1932" s="47">
        <f>Таблица1[[#This Row],[Дата поступления]]-Таблица1[[#This Row],[Дата рождения]]</f>
        <v>0</v>
      </c>
    </row>
    <row r="1933" spans="22:23" ht="24.75" customHeight="1" x14ac:dyDescent="0.25">
      <c r="V1933" s="47">
        <f>Таблица1[[#This Row],[Дата перевода]]-Таблица1[[#This Row],[Дата поступления]]</f>
        <v>0</v>
      </c>
      <c r="W1933" s="47">
        <f>Таблица1[[#This Row],[Дата поступления]]-Таблица1[[#This Row],[Дата рождения]]</f>
        <v>0</v>
      </c>
    </row>
    <row r="1934" spans="22:23" ht="24.75" customHeight="1" x14ac:dyDescent="0.25">
      <c r="V1934" s="47">
        <f>Таблица1[[#This Row],[Дата перевода]]-Таблица1[[#This Row],[Дата поступления]]</f>
        <v>0</v>
      </c>
      <c r="W1934" s="47">
        <f>Таблица1[[#This Row],[Дата поступления]]-Таблица1[[#This Row],[Дата рождения]]</f>
        <v>0</v>
      </c>
    </row>
    <row r="1935" spans="22:23" ht="24.75" customHeight="1" x14ac:dyDescent="0.25">
      <c r="V1935" s="47">
        <f>Таблица1[[#This Row],[Дата перевода]]-Таблица1[[#This Row],[Дата поступления]]</f>
        <v>0</v>
      </c>
      <c r="W1935" s="47">
        <f>Таблица1[[#This Row],[Дата поступления]]-Таблица1[[#This Row],[Дата рождения]]</f>
        <v>0</v>
      </c>
    </row>
    <row r="1936" spans="22:23" ht="24.75" customHeight="1" x14ac:dyDescent="0.25">
      <c r="V1936" s="47">
        <f>Таблица1[[#This Row],[Дата перевода]]-Таблица1[[#This Row],[Дата поступления]]</f>
        <v>0</v>
      </c>
      <c r="W1936" s="47">
        <f>Таблица1[[#This Row],[Дата поступления]]-Таблица1[[#This Row],[Дата рождения]]</f>
        <v>0</v>
      </c>
    </row>
    <row r="1937" spans="22:23" ht="24.75" customHeight="1" x14ac:dyDescent="0.25">
      <c r="V1937" s="47">
        <f>Таблица1[[#This Row],[Дата перевода]]-Таблица1[[#This Row],[Дата поступления]]</f>
        <v>0</v>
      </c>
      <c r="W1937" s="47">
        <f>Таблица1[[#This Row],[Дата поступления]]-Таблица1[[#This Row],[Дата рождения]]</f>
        <v>0</v>
      </c>
    </row>
    <row r="1938" spans="22:23" ht="24.75" customHeight="1" x14ac:dyDescent="0.25">
      <c r="V1938" s="47">
        <f>Таблица1[[#This Row],[Дата перевода]]-Таблица1[[#This Row],[Дата поступления]]</f>
        <v>0</v>
      </c>
      <c r="W1938" s="47">
        <f>Таблица1[[#This Row],[Дата поступления]]-Таблица1[[#This Row],[Дата рождения]]</f>
        <v>0</v>
      </c>
    </row>
    <row r="1939" spans="22:23" ht="24.75" customHeight="1" x14ac:dyDescent="0.25">
      <c r="V1939" s="47">
        <f>Таблица1[[#This Row],[Дата перевода]]-Таблица1[[#This Row],[Дата поступления]]</f>
        <v>0</v>
      </c>
      <c r="W1939" s="47">
        <f>Таблица1[[#This Row],[Дата поступления]]-Таблица1[[#This Row],[Дата рождения]]</f>
        <v>0</v>
      </c>
    </row>
    <row r="1940" spans="22:23" ht="24.75" customHeight="1" x14ac:dyDescent="0.25">
      <c r="V1940" s="47">
        <f>Таблица1[[#This Row],[Дата перевода]]-Таблица1[[#This Row],[Дата поступления]]</f>
        <v>0</v>
      </c>
      <c r="W1940" s="47">
        <f>Таблица1[[#This Row],[Дата поступления]]-Таблица1[[#This Row],[Дата рождения]]</f>
        <v>0</v>
      </c>
    </row>
    <row r="1941" spans="22:23" ht="24.75" customHeight="1" x14ac:dyDescent="0.25">
      <c r="V1941" s="47">
        <f>Таблица1[[#This Row],[Дата перевода]]-Таблица1[[#This Row],[Дата поступления]]</f>
        <v>0</v>
      </c>
      <c r="W1941" s="47">
        <f>Таблица1[[#This Row],[Дата поступления]]-Таблица1[[#This Row],[Дата рождения]]</f>
        <v>0</v>
      </c>
    </row>
    <row r="1942" spans="22:23" ht="24.75" customHeight="1" x14ac:dyDescent="0.25">
      <c r="V1942" s="47">
        <f>Таблица1[[#This Row],[Дата перевода]]-Таблица1[[#This Row],[Дата поступления]]</f>
        <v>0</v>
      </c>
      <c r="W1942" s="47">
        <f>Таблица1[[#This Row],[Дата поступления]]-Таблица1[[#This Row],[Дата рождения]]</f>
        <v>0</v>
      </c>
    </row>
    <row r="1943" spans="22:23" ht="24.75" customHeight="1" x14ac:dyDescent="0.25">
      <c r="V1943" s="47">
        <f>Таблица1[[#This Row],[Дата перевода]]-Таблица1[[#This Row],[Дата поступления]]</f>
        <v>0</v>
      </c>
      <c r="W1943" s="47">
        <f>Таблица1[[#This Row],[Дата поступления]]-Таблица1[[#This Row],[Дата рождения]]</f>
        <v>0</v>
      </c>
    </row>
    <row r="1944" spans="22:23" ht="24.75" customHeight="1" x14ac:dyDescent="0.25">
      <c r="V1944" s="47">
        <f>Таблица1[[#This Row],[Дата перевода]]-Таблица1[[#This Row],[Дата поступления]]</f>
        <v>0</v>
      </c>
      <c r="W1944" s="47">
        <f>Таблица1[[#This Row],[Дата поступления]]-Таблица1[[#This Row],[Дата рождения]]</f>
        <v>0</v>
      </c>
    </row>
    <row r="1945" spans="22:23" ht="24.75" customHeight="1" x14ac:dyDescent="0.25">
      <c r="V1945" s="47">
        <f>Таблица1[[#This Row],[Дата перевода]]-Таблица1[[#This Row],[Дата поступления]]</f>
        <v>0</v>
      </c>
      <c r="W1945" s="47">
        <f>Таблица1[[#This Row],[Дата поступления]]-Таблица1[[#This Row],[Дата рождения]]</f>
        <v>0</v>
      </c>
    </row>
    <row r="1946" spans="22:23" ht="24.75" customHeight="1" x14ac:dyDescent="0.25">
      <c r="V1946" s="47">
        <f>Таблица1[[#This Row],[Дата перевода]]-Таблица1[[#This Row],[Дата поступления]]</f>
        <v>0</v>
      </c>
      <c r="W1946" s="47">
        <f>Таблица1[[#This Row],[Дата поступления]]-Таблица1[[#This Row],[Дата рождения]]</f>
        <v>0</v>
      </c>
    </row>
    <row r="1947" spans="22:23" ht="24.75" customHeight="1" x14ac:dyDescent="0.25">
      <c r="V1947" s="47">
        <f>Таблица1[[#This Row],[Дата перевода]]-Таблица1[[#This Row],[Дата поступления]]</f>
        <v>0</v>
      </c>
      <c r="W1947" s="47">
        <f>Таблица1[[#This Row],[Дата поступления]]-Таблица1[[#This Row],[Дата рождения]]</f>
        <v>0</v>
      </c>
    </row>
    <row r="1948" spans="22:23" ht="24.75" customHeight="1" x14ac:dyDescent="0.25">
      <c r="V1948" s="47">
        <f>Таблица1[[#This Row],[Дата перевода]]-Таблица1[[#This Row],[Дата поступления]]</f>
        <v>0</v>
      </c>
      <c r="W1948" s="47">
        <f>Таблица1[[#This Row],[Дата поступления]]-Таблица1[[#This Row],[Дата рождения]]</f>
        <v>0</v>
      </c>
    </row>
    <row r="1949" spans="22:23" ht="24.75" customHeight="1" x14ac:dyDescent="0.25">
      <c r="V1949" s="47">
        <f>Таблица1[[#This Row],[Дата перевода]]-Таблица1[[#This Row],[Дата поступления]]</f>
        <v>0</v>
      </c>
      <c r="W1949" s="47">
        <f>Таблица1[[#This Row],[Дата поступления]]-Таблица1[[#This Row],[Дата рождения]]</f>
        <v>0</v>
      </c>
    </row>
    <row r="1950" spans="22:23" ht="24.75" customHeight="1" x14ac:dyDescent="0.25">
      <c r="V1950" s="47">
        <f>Таблица1[[#This Row],[Дата перевода]]-Таблица1[[#This Row],[Дата поступления]]</f>
        <v>0</v>
      </c>
      <c r="W1950" s="47">
        <f>Таблица1[[#This Row],[Дата поступления]]-Таблица1[[#This Row],[Дата рождения]]</f>
        <v>0</v>
      </c>
    </row>
    <row r="1951" spans="22:23" ht="24.75" customHeight="1" x14ac:dyDescent="0.25">
      <c r="V1951" s="47">
        <f>Таблица1[[#This Row],[Дата перевода]]-Таблица1[[#This Row],[Дата поступления]]</f>
        <v>0</v>
      </c>
      <c r="W1951" s="47">
        <f>Таблица1[[#This Row],[Дата поступления]]-Таблица1[[#This Row],[Дата рождения]]</f>
        <v>0</v>
      </c>
    </row>
    <row r="1952" spans="22:23" ht="24.75" customHeight="1" x14ac:dyDescent="0.25">
      <c r="V1952" s="47">
        <f>Таблица1[[#This Row],[Дата перевода]]-Таблица1[[#This Row],[Дата поступления]]</f>
        <v>0</v>
      </c>
      <c r="W1952" s="47">
        <f>Таблица1[[#This Row],[Дата поступления]]-Таблица1[[#This Row],[Дата рождения]]</f>
        <v>0</v>
      </c>
    </row>
    <row r="1953" spans="22:23" ht="24.75" customHeight="1" x14ac:dyDescent="0.25">
      <c r="V1953" s="47">
        <f>Таблица1[[#This Row],[Дата перевода]]-Таблица1[[#This Row],[Дата поступления]]</f>
        <v>0</v>
      </c>
      <c r="W1953" s="47">
        <f>Таблица1[[#This Row],[Дата поступления]]-Таблица1[[#This Row],[Дата рождения]]</f>
        <v>0</v>
      </c>
    </row>
    <row r="1954" spans="22:23" ht="24.75" customHeight="1" x14ac:dyDescent="0.25">
      <c r="V1954" s="47">
        <f>Таблица1[[#This Row],[Дата перевода]]-Таблица1[[#This Row],[Дата поступления]]</f>
        <v>0</v>
      </c>
      <c r="W1954" s="47">
        <f>Таблица1[[#This Row],[Дата поступления]]-Таблица1[[#This Row],[Дата рождения]]</f>
        <v>0</v>
      </c>
    </row>
    <row r="1955" spans="22:23" ht="24.75" customHeight="1" x14ac:dyDescent="0.25">
      <c r="V1955" s="47">
        <f>Таблица1[[#This Row],[Дата перевода]]-Таблица1[[#This Row],[Дата поступления]]</f>
        <v>0</v>
      </c>
      <c r="W1955" s="47">
        <f>Таблица1[[#This Row],[Дата поступления]]-Таблица1[[#This Row],[Дата рождения]]</f>
        <v>0</v>
      </c>
    </row>
    <row r="1956" spans="22:23" ht="24.75" customHeight="1" x14ac:dyDescent="0.25">
      <c r="V1956" s="47">
        <f>Таблица1[[#This Row],[Дата перевода]]-Таблица1[[#This Row],[Дата поступления]]</f>
        <v>0</v>
      </c>
      <c r="W1956" s="47">
        <f>Таблица1[[#This Row],[Дата поступления]]-Таблица1[[#This Row],[Дата рождения]]</f>
        <v>0</v>
      </c>
    </row>
    <row r="1957" spans="22:23" ht="24.75" customHeight="1" x14ac:dyDescent="0.25">
      <c r="V1957" s="47">
        <f>Таблица1[[#This Row],[Дата перевода]]-Таблица1[[#This Row],[Дата поступления]]</f>
        <v>0</v>
      </c>
      <c r="W1957" s="47">
        <f>Таблица1[[#This Row],[Дата поступления]]-Таблица1[[#This Row],[Дата рождения]]</f>
        <v>0</v>
      </c>
    </row>
    <row r="1958" spans="22:23" ht="24.75" customHeight="1" x14ac:dyDescent="0.25">
      <c r="V1958" s="47">
        <f>Таблица1[[#This Row],[Дата перевода]]-Таблица1[[#This Row],[Дата поступления]]</f>
        <v>0</v>
      </c>
      <c r="W1958" s="47">
        <f>Таблица1[[#This Row],[Дата поступления]]-Таблица1[[#This Row],[Дата рождения]]</f>
        <v>0</v>
      </c>
    </row>
    <row r="1959" spans="22:23" ht="24.75" customHeight="1" x14ac:dyDescent="0.25">
      <c r="V1959" s="47">
        <f>Таблица1[[#This Row],[Дата перевода]]-Таблица1[[#This Row],[Дата поступления]]</f>
        <v>0</v>
      </c>
      <c r="W1959" s="47">
        <f>Таблица1[[#This Row],[Дата поступления]]-Таблица1[[#This Row],[Дата рождения]]</f>
        <v>0</v>
      </c>
    </row>
    <row r="1960" spans="22:23" ht="24.75" customHeight="1" x14ac:dyDescent="0.25">
      <c r="V1960" s="47">
        <f>Таблица1[[#This Row],[Дата перевода]]-Таблица1[[#This Row],[Дата поступления]]</f>
        <v>0</v>
      </c>
      <c r="W1960" s="47">
        <f>Таблица1[[#This Row],[Дата поступления]]-Таблица1[[#This Row],[Дата рождения]]</f>
        <v>0</v>
      </c>
    </row>
    <row r="1961" spans="22:23" ht="24.75" customHeight="1" x14ac:dyDescent="0.25">
      <c r="V1961" s="47">
        <f>Таблица1[[#This Row],[Дата перевода]]-Таблица1[[#This Row],[Дата поступления]]</f>
        <v>0</v>
      </c>
      <c r="W1961" s="47">
        <f>Таблица1[[#This Row],[Дата поступления]]-Таблица1[[#This Row],[Дата рождения]]</f>
        <v>0</v>
      </c>
    </row>
    <row r="1962" spans="22:23" ht="24.75" customHeight="1" x14ac:dyDescent="0.25">
      <c r="V1962" s="47">
        <f>Таблица1[[#This Row],[Дата перевода]]-Таблица1[[#This Row],[Дата поступления]]</f>
        <v>0</v>
      </c>
      <c r="W1962" s="47">
        <f>Таблица1[[#This Row],[Дата поступления]]-Таблица1[[#This Row],[Дата рождения]]</f>
        <v>0</v>
      </c>
    </row>
    <row r="1963" spans="22:23" ht="24.75" customHeight="1" x14ac:dyDescent="0.25">
      <c r="V1963" s="47">
        <f>Таблица1[[#This Row],[Дата перевода]]-Таблица1[[#This Row],[Дата поступления]]</f>
        <v>0</v>
      </c>
      <c r="W1963" s="47">
        <f>Таблица1[[#This Row],[Дата поступления]]-Таблица1[[#This Row],[Дата рождения]]</f>
        <v>0</v>
      </c>
    </row>
    <row r="1964" spans="22:23" ht="24.75" customHeight="1" x14ac:dyDescent="0.25">
      <c r="V1964" s="47">
        <f>Таблица1[[#This Row],[Дата перевода]]-Таблица1[[#This Row],[Дата поступления]]</f>
        <v>0</v>
      </c>
      <c r="W1964" s="47">
        <f>Таблица1[[#This Row],[Дата поступления]]-Таблица1[[#This Row],[Дата рождения]]</f>
        <v>0</v>
      </c>
    </row>
    <row r="1965" spans="22:23" ht="24.75" customHeight="1" x14ac:dyDescent="0.25">
      <c r="V1965" s="47">
        <f>Таблица1[[#This Row],[Дата перевода]]-Таблица1[[#This Row],[Дата поступления]]</f>
        <v>0</v>
      </c>
      <c r="W1965" s="47">
        <f>Таблица1[[#This Row],[Дата поступления]]-Таблица1[[#This Row],[Дата рождения]]</f>
        <v>0</v>
      </c>
    </row>
    <row r="1966" spans="22:23" ht="24.75" customHeight="1" x14ac:dyDescent="0.25">
      <c r="V1966" s="47">
        <f>Таблица1[[#This Row],[Дата перевода]]-Таблица1[[#This Row],[Дата поступления]]</f>
        <v>0</v>
      </c>
      <c r="W1966" s="47">
        <f>Таблица1[[#This Row],[Дата поступления]]-Таблица1[[#This Row],[Дата рождения]]</f>
        <v>0</v>
      </c>
    </row>
    <row r="1967" spans="22:23" ht="24.75" customHeight="1" x14ac:dyDescent="0.25">
      <c r="V1967" s="47">
        <f>Таблица1[[#This Row],[Дата перевода]]-Таблица1[[#This Row],[Дата поступления]]</f>
        <v>0</v>
      </c>
      <c r="W1967" s="47">
        <f>Таблица1[[#This Row],[Дата поступления]]-Таблица1[[#This Row],[Дата рождения]]</f>
        <v>0</v>
      </c>
    </row>
    <row r="1968" spans="22:23" ht="24.75" customHeight="1" x14ac:dyDescent="0.25">
      <c r="V1968" s="47">
        <f>Таблица1[[#This Row],[Дата перевода]]-Таблица1[[#This Row],[Дата поступления]]</f>
        <v>0</v>
      </c>
      <c r="W1968" s="47">
        <f>Таблица1[[#This Row],[Дата поступления]]-Таблица1[[#This Row],[Дата рождения]]</f>
        <v>0</v>
      </c>
    </row>
    <row r="1969" spans="22:23" ht="24.75" customHeight="1" x14ac:dyDescent="0.25">
      <c r="V1969" s="47">
        <f>Таблица1[[#This Row],[Дата перевода]]-Таблица1[[#This Row],[Дата поступления]]</f>
        <v>0</v>
      </c>
      <c r="W1969" s="47">
        <f>Таблица1[[#This Row],[Дата поступления]]-Таблица1[[#This Row],[Дата рождения]]</f>
        <v>0</v>
      </c>
    </row>
    <row r="1970" spans="22:23" ht="24.75" customHeight="1" x14ac:dyDescent="0.25">
      <c r="V1970" s="47">
        <f>Таблица1[[#This Row],[Дата перевода]]-Таблица1[[#This Row],[Дата поступления]]</f>
        <v>0</v>
      </c>
      <c r="W1970" s="47">
        <f>Таблица1[[#This Row],[Дата поступления]]-Таблица1[[#This Row],[Дата рождения]]</f>
        <v>0</v>
      </c>
    </row>
    <row r="1971" spans="22:23" ht="24.75" customHeight="1" x14ac:dyDescent="0.25">
      <c r="V1971" s="47">
        <f>Таблица1[[#This Row],[Дата перевода]]-Таблица1[[#This Row],[Дата поступления]]</f>
        <v>0</v>
      </c>
      <c r="W1971" s="47">
        <f>Таблица1[[#This Row],[Дата поступления]]-Таблица1[[#This Row],[Дата рождения]]</f>
        <v>0</v>
      </c>
    </row>
    <row r="1972" spans="22:23" ht="24.75" customHeight="1" x14ac:dyDescent="0.25">
      <c r="V1972" s="47">
        <f>Таблица1[[#This Row],[Дата перевода]]-Таблица1[[#This Row],[Дата поступления]]</f>
        <v>0</v>
      </c>
      <c r="W1972" s="47">
        <f>Таблица1[[#This Row],[Дата поступления]]-Таблица1[[#This Row],[Дата рождения]]</f>
        <v>0</v>
      </c>
    </row>
    <row r="1973" spans="22:23" ht="24.75" customHeight="1" x14ac:dyDescent="0.25">
      <c r="V1973" s="47">
        <f>Таблица1[[#This Row],[Дата перевода]]-Таблица1[[#This Row],[Дата поступления]]</f>
        <v>0</v>
      </c>
      <c r="W1973" s="47">
        <f>Таблица1[[#This Row],[Дата поступления]]-Таблица1[[#This Row],[Дата рождения]]</f>
        <v>0</v>
      </c>
    </row>
    <row r="1974" spans="22:23" ht="24.75" customHeight="1" x14ac:dyDescent="0.25">
      <c r="V1974" s="47">
        <f>Таблица1[[#This Row],[Дата перевода]]-Таблица1[[#This Row],[Дата поступления]]</f>
        <v>0</v>
      </c>
      <c r="W1974" s="47">
        <f>Таблица1[[#This Row],[Дата поступления]]-Таблица1[[#This Row],[Дата рождения]]</f>
        <v>0</v>
      </c>
    </row>
    <row r="1975" spans="22:23" ht="24.75" customHeight="1" x14ac:dyDescent="0.25">
      <c r="V1975" s="47">
        <f>Таблица1[[#This Row],[Дата перевода]]-Таблица1[[#This Row],[Дата поступления]]</f>
        <v>0</v>
      </c>
      <c r="W1975" s="47">
        <f>Таблица1[[#This Row],[Дата поступления]]-Таблица1[[#This Row],[Дата рождения]]</f>
        <v>0</v>
      </c>
    </row>
    <row r="1976" spans="22:23" ht="24.75" customHeight="1" x14ac:dyDescent="0.25">
      <c r="V1976" s="47">
        <f>Таблица1[[#This Row],[Дата перевода]]-Таблица1[[#This Row],[Дата поступления]]</f>
        <v>0</v>
      </c>
      <c r="W1976" s="47">
        <f>Таблица1[[#This Row],[Дата поступления]]-Таблица1[[#This Row],[Дата рождения]]</f>
        <v>0</v>
      </c>
    </row>
    <row r="1977" spans="22:23" ht="24.75" customHeight="1" x14ac:dyDescent="0.25">
      <c r="V1977" s="47">
        <f>Таблица1[[#This Row],[Дата перевода]]-Таблица1[[#This Row],[Дата поступления]]</f>
        <v>0</v>
      </c>
      <c r="W1977" s="47">
        <f>Таблица1[[#This Row],[Дата поступления]]-Таблица1[[#This Row],[Дата рождения]]</f>
        <v>0</v>
      </c>
    </row>
    <row r="1978" spans="22:23" ht="24.75" customHeight="1" x14ac:dyDescent="0.25">
      <c r="V1978" s="47">
        <f>Таблица1[[#This Row],[Дата перевода]]-Таблица1[[#This Row],[Дата поступления]]</f>
        <v>0</v>
      </c>
      <c r="W1978" s="47">
        <f>Таблица1[[#This Row],[Дата поступления]]-Таблица1[[#This Row],[Дата рождения]]</f>
        <v>0</v>
      </c>
    </row>
    <row r="1979" spans="22:23" ht="24.75" customHeight="1" x14ac:dyDescent="0.25">
      <c r="V1979" s="47">
        <f>Таблица1[[#This Row],[Дата перевода]]-Таблица1[[#This Row],[Дата поступления]]</f>
        <v>0</v>
      </c>
      <c r="W1979" s="47">
        <f>Таблица1[[#This Row],[Дата поступления]]-Таблица1[[#This Row],[Дата рождения]]</f>
        <v>0</v>
      </c>
    </row>
    <row r="1980" spans="22:23" ht="24.75" customHeight="1" x14ac:dyDescent="0.25">
      <c r="V1980" s="47">
        <f>Таблица1[[#This Row],[Дата перевода]]-Таблица1[[#This Row],[Дата поступления]]</f>
        <v>0</v>
      </c>
      <c r="W1980" s="47">
        <f>Таблица1[[#This Row],[Дата поступления]]-Таблица1[[#This Row],[Дата рождения]]</f>
        <v>0</v>
      </c>
    </row>
    <row r="1981" spans="22:23" ht="24.75" customHeight="1" x14ac:dyDescent="0.25">
      <c r="V1981" s="47">
        <f>Таблица1[[#This Row],[Дата перевода]]-Таблица1[[#This Row],[Дата поступления]]</f>
        <v>0</v>
      </c>
      <c r="W1981" s="47">
        <f>Таблица1[[#This Row],[Дата поступления]]-Таблица1[[#This Row],[Дата рождения]]</f>
        <v>0</v>
      </c>
    </row>
    <row r="1982" spans="22:23" ht="24.75" customHeight="1" x14ac:dyDescent="0.25">
      <c r="V1982" s="47">
        <f>Таблица1[[#This Row],[Дата перевода]]-Таблица1[[#This Row],[Дата поступления]]</f>
        <v>0</v>
      </c>
      <c r="W1982" s="47">
        <f>Таблица1[[#This Row],[Дата поступления]]-Таблица1[[#This Row],[Дата рождения]]</f>
        <v>0</v>
      </c>
    </row>
    <row r="1983" spans="22:23" ht="24.75" customHeight="1" x14ac:dyDescent="0.25">
      <c r="V1983" s="47">
        <f>Таблица1[[#This Row],[Дата перевода]]-Таблица1[[#This Row],[Дата поступления]]</f>
        <v>0</v>
      </c>
      <c r="W1983" s="47">
        <f>Таблица1[[#This Row],[Дата поступления]]-Таблица1[[#This Row],[Дата рождения]]</f>
        <v>0</v>
      </c>
    </row>
    <row r="1984" spans="22:23" ht="24.75" customHeight="1" x14ac:dyDescent="0.25">
      <c r="V1984" s="47">
        <f>Таблица1[[#This Row],[Дата перевода]]-Таблица1[[#This Row],[Дата поступления]]</f>
        <v>0</v>
      </c>
      <c r="W1984" s="47">
        <f>Таблица1[[#This Row],[Дата поступления]]-Таблица1[[#This Row],[Дата рождения]]</f>
        <v>0</v>
      </c>
    </row>
    <row r="1985" spans="22:23" ht="24.75" customHeight="1" x14ac:dyDescent="0.25">
      <c r="V1985" s="47">
        <f>Таблица1[[#This Row],[Дата перевода]]-Таблица1[[#This Row],[Дата поступления]]</f>
        <v>0</v>
      </c>
      <c r="W1985" s="47">
        <f>Таблица1[[#This Row],[Дата поступления]]-Таблица1[[#This Row],[Дата рождения]]</f>
        <v>0</v>
      </c>
    </row>
    <row r="1986" spans="22:23" ht="24.75" customHeight="1" x14ac:dyDescent="0.25">
      <c r="V1986" s="47">
        <f>Таблица1[[#This Row],[Дата перевода]]-Таблица1[[#This Row],[Дата поступления]]</f>
        <v>0</v>
      </c>
      <c r="W1986" s="47">
        <f>Таблица1[[#This Row],[Дата поступления]]-Таблица1[[#This Row],[Дата рождения]]</f>
        <v>0</v>
      </c>
    </row>
    <row r="1987" spans="22:23" ht="24.75" customHeight="1" x14ac:dyDescent="0.25">
      <c r="V1987" s="47">
        <f>Таблица1[[#This Row],[Дата перевода]]-Таблица1[[#This Row],[Дата поступления]]</f>
        <v>0</v>
      </c>
      <c r="W1987" s="47">
        <f>Таблица1[[#This Row],[Дата поступления]]-Таблица1[[#This Row],[Дата рождения]]</f>
        <v>0</v>
      </c>
    </row>
    <row r="1988" spans="22:23" ht="24.75" customHeight="1" x14ac:dyDescent="0.25">
      <c r="V1988" s="47">
        <f>Таблица1[[#This Row],[Дата перевода]]-Таблица1[[#This Row],[Дата поступления]]</f>
        <v>0</v>
      </c>
      <c r="W1988" s="47">
        <f>Таблица1[[#This Row],[Дата поступления]]-Таблица1[[#This Row],[Дата рождения]]</f>
        <v>0</v>
      </c>
    </row>
    <row r="1989" spans="22:23" ht="24.75" customHeight="1" x14ac:dyDescent="0.25">
      <c r="V1989" s="47">
        <f>Таблица1[[#This Row],[Дата перевода]]-Таблица1[[#This Row],[Дата поступления]]</f>
        <v>0</v>
      </c>
      <c r="W1989" s="47">
        <f>Таблица1[[#This Row],[Дата поступления]]-Таблица1[[#This Row],[Дата рождения]]</f>
        <v>0</v>
      </c>
    </row>
    <row r="1990" spans="22:23" ht="24.75" customHeight="1" x14ac:dyDescent="0.25">
      <c r="V1990" s="47">
        <f>Таблица1[[#This Row],[Дата перевода]]-Таблица1[[#This Row],[Дата поступления]]</f>
        <v>0</v>
      </c>
      <c r="W1990" s="47">
        <f>Таблица1[[#This Row],[Дата поступления]]-Таблица1[[#This Row],[Дата рождения]]</f>
        <v>0</v>
      </c>
    </row>
    <row r="1991" spans="22:23" ht="24.75" customHeight="1" x14ac:dyDescent="0.25">
      <c r="V1991" s="47">
        <f>Таблица1[[#This Row],[Дата перевода]]-Таблица1[[#This Row],[Дата поступления]]</f>
        <v>0</v>
      </c>
      <c r="W1991" s="47">
        <f>Таблица1[[#This Row],[Дата поступления]]-Таблица1[[#This Row],[Дата рождения]]</f>
        <v>0</v>
      </c>
    </row>
    <row r="1992" spans="22:23" ht="24.75" customHeight="1" x14ac:dyDescent="0.25">
      <c r="V1992" s="47">
        <f>Таблица1[[#This Row],[Дата перевода]]-Таблица1[[#This Row],[Дата поступления]]</f>
        <v>0</v>
      </c>
      <c r="W1992" s="47">
        <f>Таблица1[[#This Row],[Дата поступления]]-Таблица1[[#This Row],[Дата рождения]]</f>
        <v>0</v>
      </c>
    </row>
    <row r="1993" spans="22:23" ht="24.75" customHeight="1" x14ac:dyDescent="0.25">
      <c r="V1993" s="47">
        <f>Таблица1[[#This Row],[Дата перевода]]-Таблица1[[#This Row],[Дата поступления]]</f>
        <v>0</v>
      </c>
      <c r="W1993" s="47">
        <f>Таблица1[[#This Row],[Дата поступления]]-Таблица1[[#This Row],[Дата рождения]]</f>
        <v>0</v>
      </c>
    </row>
    <row r="1994" spans="22:23" ht="24.75" customHeight="1" x14ac:dyDescent="0.25">
      <c r="V1994" s="47">
        <f>Таблица1[[#This Row],[Дата перевода]]-Таблица1[[#This Row],[Дата поступления]]</f>
        <v>0</v>
      </c>
      <c r="W1994" s="47">
        <f>Таблица1[[#This Row],[Дата поступления]]-Таблица1[[#This Row],[Дата рождения]]</f>
        <v>0</v>
      </c>
    </row>
    <row r="1995" spans="22:23" ht="24.75" customHeight="1" x14ac:dyDescent="0.25">
      <c r="V1995" s="47">
        <f>Таблица1[[#This Row],[Дата перевода]]-Таблица1[[#This Row],[Дата поступления]]</f>
        <v>0</v>
      </c>
      <c r="W1995" s="47">
        <f>Таблица1[[#This Row],[Дата поступления]]-Таблица1[[#This Row],[Дата рождения]]</f>
        <v>0</v>
      </c>
    </row>
    <row r="1996" spans="22:23" ht="24.75" customHeight="1" x14ac:dyDescent="0.25">
      <c r="V1996" s="47">
        <f>Таблица1[[#This Row],[Дата перевода]]-Таблица1[[#This Row],[Дата поступления]]</f>
        <v>0</v>
      </c>
      <c r="W1996" s="47">
        <f>Таблица1[[#This Row],[Дата поступления]]-Таблица1[[#This Row],[Дата рождения]]</f>
        <v>0</v>
      </c>
    </row>
    <row r="1997" spans="22:23" ht="24.75" customHeight="1" x14ac:dyDescent="0.25">
      <c r="V1997" s="47">
        <f>Таблица1[[#This Row],[Дата перевода]]-Таблица1[[#This Row],[Дата поступления]]</f>
        <v>0</v>
      </c>
      <c r="W1997" s="47">
        <f>Таблица1[[#This Row],[Дата поступления]]-Таблица1[[#This Row],[Дата рождения]]</f>
        <v>0</v>
      </c>
    </row>
    <row r="1998" spans="22:23" ht="24.75" customHeight="1" x14ac:dyDescent="0.25">
      <c r="V1998" s="47">
        <f>Таблица1[[#This Row],[Дата перевода]]-Таблица1[[#This Row],[Дата поступления]]</f>
        <v>0</v>
      </c>
      <c r="W1998" s="47">
        <f>Таблица1[[#This Row],[Дата поступления]]-Таблица1[[#This Row],[Дата рождения]]</f>
        <v>0</v>
      </c>
    </row>
    <row r="1999" spans="22:23" ht="24.75" customHeight="1" x14ac:dyDescent="0.25">
      <c r="V1999" s="47">
        <f>Таблица1[[#This Row],[Дата перевода]]-Таблица1[[#This Row],[Дата поступления]]</f>
        <v>0</v>
      </c>
      <c r="W1999" s="47">
        <f>Таблица1[[#This Row],[Дата поступления]]-Таблица1[[#This Row],[Дата рождения]]</f>
        <v>0</v>
      </c>
    </row>
    <row r="2000" spans="22:23" ht="24.75" customHeight="1" x14ac:dyDescent="0.25">
      <c r="V2000" s="47">
        <f>Таблица1[[#This Row],[Дата перевода]]-Таблица1[[#This Row],[Дата поступления]]</f>
        <v>0</v>
      </c>
      <c r="W2000" s="47">
        <f>Таблица1[[#This Row],[Дата поступления]]-Таблица1[[#This Row],[Дата рождения]]</f>
        <v>0</v>
      </c>
    </row>
    <row r="2001" spans="22:23" ht="24.75" customHeight="1" x14ac:dyDescent="0.25">
      <c r="V2001" s="47">
        <f>Таблица1[[#This Row],[Дата перевода]]-Таблица1[[#This Row],[Дата поступления]]</f>
        <v>0</v>
      </c>
      <c r="W2001" s="47">
        <f>Таблица1[[#This Row],[Дата поступления]]-Таблица1[[#This Row],[Дата рождения]]</f>
        <v>0</v>
      </c>
    </row>
    <row r="2002" spans="22:23" ht="24.75" customHeight="1" x14ac:dyDescent="0.25">
      <c r="V2002" s="47">
        <f>Таблица1[[#This Row],[Дата перевода]]-Таблица1[[#This Row],[Дата поступления]]</f>
        <v>0</v>
      </c>
      <c r="W2002" s="47">
        <f>Таблица1[[#This Row],[Дата поступления]]-Таблица1[[#This Row],[Дата рождения]]</f>
        <v>0</v>
      </c>
    </row>
    <row r="2003" spans="22:23" ht="24.75" customHeight="1" x14ac:dyDescent="0.25">
      <c r="V2003" s="47">
        <f>Таблица1[[#This Row],[Дата перевода]]-Таблица1[[#This Row],[Дата поступления]]</f>
        <v>0</v>
      </c>
      <c r="W2003" s="47">
        <f>Таблица1[[#This Row],[Дата поступления]]-Таблица1[[#This Row],[Дата рождения]]</f>
        <v>0</v>
      </c>
    </row>
    <row r="2004" spans="22:23" ht="24.75" customHeight="1" x14ac:dyDescent="0.25">
      <c r="V2004" s="47">
        <f>Таблица1[[#This Row],[Дата перевода]]-Таблица1[[#This Row],[Дата поступления]]</f>
        <v>0</v>
      </c>
      <c r="W2004" s="47">
        <f>Таблица1[[#This Row],[Дата поступления]]-Таблица1[[#This Row],[Дата рождения]]</f>
        <v>0</v>
      </c>
    </row>
    <row r="2005" spans="22:23" ht="24.75" customHeight="1" x14ac:dyDescent="0.25">
      <c r="V2005" s="47">
        <f>Таблица1[[#This Row],[Дата перевода]]-Таблица1[[#This Row],[Дата поступления]]</f>
        <v>0</v>
      </c>
      <c r="W2005" s="47">
        <f>Таблица1[[#This Row],[Дата поступления]]-Таблица1[[#This Row],[Дата рождения]]</f>
        <v>0</v>
      </c>
    </row>
    <row r="2006" spans="22:23" ht="24.75" customHeight="1" x14ac:dyDescent="0.25">
      <c r="V2006" s="47">
        <f>Таблица1[[#This Row],[Дата перевода]]-Таблица1[[#This Row],[Дата поступления]]</f>
        <v>0</v>
      </c>
      <c r="W2006" s="47">
        <f>Таблица1[[#This Row],[Дата поступления]]-Таблица1[[#This Row],[Дата рождения]]</f>
        <v>0</v>
      </c>
    </row>
    <row r="2007" spans="22:23" ht="24.75" customHeight="1" x14ac:dyDescent="0.25">
      <c r="V2007" s="47">
        <f>Таблица1[[#This Row],[Дата перевода]]-Таблица1[[#This Row],[Дата поступления]]</f>
        <v>0</v>
      </c>
      <c r="W2007" s="47">
        <f>Таблица1[[#This Row],[Дата поступления]]-Таблица1[[#This Row],[Дата рождения]]</f>
        <v>0</v>
      </c>
    </row>
    <row r="2008" spans="22:23" ht="24.75" customHeight="1" x14ac:dyDescent="0.25">
      <c r="V2008" s="47">
        <f>Таблица1[[#This Row],[Дата перевода]]-Таблица1[[#This Row],[Дата поступления]]</f>
        <v>0</v>
      </c>
      <c r="W2008" s="47">
        <f>Таблица1[[#This Row],[Дата поступления]]-Таблица1[[#This Row],[Дата рождения]]</f>
        <v>0</v>
      </c>
    </row>
    <row r="2009" spans="22:23" ht="24.75" customHeight="1" x14ac:dyDescent="0.25">
      <c r="V2009" s="47">
        <f>Таблица1[[#This Row],[Дата перевода]]-Таблица1[[#This Row],[Дата поступления]]</f>
        <v>0</v>
      </c>
      <c r="W2009" s="47">
        <f>Таблица1[[#This Row],[Дата поступления]]-Таблица1[[#This Row],[Дата рождения]]</f>
        <v>0</v>
      </c>
    </row>
    <row r="2010" spans="22:23" ht="24.75" customHeight="1" x14ac:dyDescent="0.25">
      <c r="V2010" s="47">
        <f>Таблица1[[#This Row],[Дата перевода]]-Таблица1[[#This Row],[Дата поступления]]</f>
        <v>0</v>
      </c>
      <c r="W2010" s="47">
        <f>Таблица1[[#This Row],[Дата поступления]]-Таблица1[[#This Row],[Дата рождения]]</f>
        <v>0</v>
      </c>
    </row>
    <row r="2011" spans="22:23" ht="24.75" customHeight="1" x14ac:dyDescent="0.25">
      <c r="V2011" s="47">
        <f>Таблица1[[#This Row],[Дата перевода]]-Таблица1[[#This Row],[Дата поступления]]</f>
        <v>0</v>
      </c>
      <c r="W2011" s="47">
        <f>Таблица1[[#This Row],[Дата поступления]]-Таблица1[[#This Row],[Дата рождения]]</f>
        <v>0</v>
      </c>
    </row>
    <row r="2012" spans="22:23" ht="24.75" customHeight="1" x14ac:dyDescent="0.25">
      <c r="V2012" s="47">
        <f>Таблица1[[#This Row],[Дата перевода]]-Таблица1[[#This Row],[Дата поступления]]</f>
        <v>0</v>
      </c>
      <c r="W2012" s="47">
        <f>Таблица1[[#This Row],[Дата поступления]]-Таблица1[[#This Row],[Дата рождения]]</f>
        <v>0</v>
      </c>
    </row>
    <row r="2013" spans="22:23" ht="24.75" customHeight="1" x14ac:dyDescent="0.25">
      <c r="V2013" s="47">
        <f>Таблица1[[#This Row],[Дата перевода]]-Таблица1[[#This Row],[Дата поступления]]</f>
        <v>0</v>
      </c>
      <c r="W2013" s="47">
        <f>Таблица1[[#This Row],[Дата поступления]]-Таблица1[[#This Row],[Дата рождения]]</f>
        <v>0</v>
      </c>
    </row>
    <row r="2014" spans="22:23" ht="24.75" customHeight="1" x14ac:dyDescent="0.25">
      <c r="V2014" s="47">
        <f>Таблица1[[#This Row],[Дата перевода]]-Таблица1[[#This Row],[Дата поступления]]</f>
        <v>0</v>
      </c>
      <c r="W2014" s="47">
        <f>Таблица1[[#This Row],[Дата поступления]]-Таблица1[[#This Row],[Дата рождения]]</f>
        <v>0</v>
      </c>
    </row>
    <row r="2015" spans="22:23" ht="24.75" customHeight="1" x14ac:dyDescent="0.25">
      <c r="V2015" s="47">
        <f>Таблица1[[#This Row],[Дата перевода]]-Таблица1[[#This Row],[Дата поступления]]</f>
        <v>0</v>
      </c>
      <c r="W2015" s="47">
        <f>Таблица1[[#This Row],[Дата поступления]]-Таблица1[[#This Row],[Дата рождения]]</f>
        <v>0</v>
      </c>
    </row>
    <row r="2016" spans="22:23" ht="24.75" customHeight="1" x14ac:dyDescent="0.25">
      <c r="V2016" s="47">
        <f>Таблица1[[#This Row],[Дата перевода]]-Таблица1[[#This Row],[Дата поступления]]</f>
        <v>0</v>
      </c>
      <c r="W2016" s="47">
        <f>Таблица1[[#This Row],[Дата поступления]]-Таблица1[[#This Row],[Дата рождения]]</f>
        <v>0</v>
      </c>
    </row>
    <row r="2017" spans="22:23" ht="24.75" customHeight="1" x14ac:dyDescent="0.25">
      <c r="V2017" s="47">
        <f>Таблица1[[#This Row],[Дата перевода]]-Таблица1[[#This Row],[Дата поступления]]</f>
        <v>0</v>
      </c>
      <c r="W2017" s="47">
        <f>Таблица1[[#This Row],[Дата поступления]]-Таблица1[[#This Row],[Дата рождения]]</f>
        <v>0</v>
      </c>
    </row>
    <row r="2018" spans="22:23" ht="24.75" customHeight="1" x14ac:dyDescent="0.25">
      <c r="V2018" s="47">
        <f>Таблица1[[#This Row],[Дата перевода]]-Таблица1[[#This Row],[Дата поступления]]</f>
        <v>0</v>
      </c>
      <c r="W2018" s="47">
        <f>Таблица1[[#This Row],[Дата поступления]]-Таблица1[[#This Row],[Дата рождения]]</f>
        <v>0</v>
      </c>
    </row>
    <row r="2019" spans="22:23" ht="24.75" customHeight="1" x14ac:dyDescent="0.25">
      <c r="V2019" s="47">
        <f>Таблица1[[#This Row],[Дата перевода]]-Таблица1[[#This Row],[Дата поступления]]</f>
        <v>0</v>
      </c>
      <c r="W2019" s="47">
        <f>Таблица1[[#This Row],[Дата поступления]]-Таблица1[[#This Row],[Дата рождения]]</f>
        <v>0</v>
      </c>
    </row>
    <row r="2020" spans="22:23" ht="24.75" customHeight="1" x14ac:dyDescent="0.25">
      <c r="V2020" s="47">
        <f>Таблица1[[#This Row],[Дата перевода]]-Таблица1[[#This Row],[Дата поступления]]</f>
        <v>0</v>
      </c>
      <c r="W2020" s="47">
        <f>Таблица1[[#This Row],[Дата поступления]]-Таблица1[[#This Row],[Дата рождения]]</f>
        <v>0</v>
      </c>
    </row>
    <row r="2021" spans="22:23" ht="24.75" customHeight="1" x14ac:dyDescent="0.25">
      <c r="V2021" s="47">
        <f>Таблица1[[#This Row],[Дата перевода]]-Таблица1[[#This Row],[Дата поступления]]</f>
        <v>0</v>
      </c>
      <c r="W2021" s="47">
        <f>Таблица1[[#This Row],[Дата поступления]]-Таблица1[[#This Row],[Дата рождения]]</f>
        <v>0</v>
      </c>
    </row>
    <row r="2022" spans="22:23" ht="24.75" customHeight="1" x14ac:dyDescent="0.25">
      <c r="V2022" s="47">
        <f>Таблица1[[#This Row],[Дата перевода]]-Таблица1[[#This Row],[Дата поступления]]</f>
        <v>0</v>
      </c>
      <c r="W2022" s="47">
        <f>Таблица1[[#This Row],[Дата поступления]]-Таблица1[[#This Row],[Дата рождения]]</f>
        <v>0</v>
      </c>
    </row>
    <row r="2023" spans="22:23" ht="24.75" customHeight="1" x14ac:dyDescent="0.25">
      <c r="V2023" s="47">
        <f>Таблица1[[#This Row],[Дата перевода]]-Таблица1[[#This Row],[Дата поступления]]</f>
        <v>0</v>
      </c>
      <c r="W2023" s="47">
        <f>Таблица1[[#This Row],[Дата поступления]]-Таблица1[[#This Row],[Дата рождения]]</f>
        <v>0</v>
      </c>
    </row>
    <row r="2024" spans="22:23" ht="24.75" customHeight="1" x14ac:dyDescent="0.25">
      <c r="V2024" s="47">
        <f>Таблица1[[#This Row],[Дата перевода]]-Таблица1[[#This Row],[Дата поступления]]</f>
        <v>0</v>
      </c>
      <c r="W2024" s="47">
        <f>Таблица1[[#This Row],[Дата поступления]]-Таблица1[[#This Row],[Дата рождения]]</f>
        <v>0</v>
      </c>
    </row>
    <row r="2025" spans="22:23" ht="24.75" customHeight="1" x14ac:dyDescent="0.25">
      <c r="V2025" s="47">
        <f>Таблица1[[#This Row],[Дата перевода]]-Таблица1[[#This Row],[Дата поступления]]</f>
        <v>0</v>
      </c>
      <c r="W2025" s="47">
        <f>Таблица1[[#This Row],[Дата поступления]]-Таблица1[[#This Row],[Дата рождения]]</f>
        <v>0</v>
      </c>
    </row>
    <row r="2026" spans="22:23" ht="24.75" customHeight="1" x14ac:dyDescent="0.25">
      <c r="V2026" s="47">
        <f>Таблица1[[#This Row],[Дата перевода]]-Таблица1[[#This Row],[Дата поступления]]</f>
        <v>0</v>
      </c>
      <c r="W2026" s="47">
        <f>Таблица1[[#This Row],[Дата поступления]]-Таблица1[[#This Row],[Дата рождения]]</f>
        <v>0</v>
      </c>
    </row>
    <row r="2027" spans="22:23" ht="24.75" customHeight="1" x14ac:dyDescent="0.25">
      <c r="V2027" s="47">
        <f>Таблица1[[#This Row],[Дата перевода]]-Таблица1[[#This Row],[Дата поступления]]</f>
        <v>0</v>
      </c>
      <c r="W2027" s="47">
        <f>Таблица1[[#This Row],[Дата поступления]]-Таблица1[[#This Row],[Дата рождения]]</f>
        <v>0</v>
      </c>
    </row>
    <row r="2028" spans="22:23" ht="24.75" customHeight="1" x14ac:dyDescent="0.25">
      <c r="V2028" s="47">
        <f>Таблица1[[#This Row],[Дата перевода]]-Таблица1[[#This Row],[Дата поступления]]</f>
        <v>0</v>
      </c>
      <c r="W2028" s="47">
        <f>Таблица1[[#This Row],[Дата поступления]]-Таблица1[[#This Row],[Дата рождения]]</f>
        <v>0</v>
      </c>
    </row>
    <row r="2029" spans="22:23" ht="24.75" customHeight="1" x14ac:dyDescent="0.25">
      <c r="V2029" s="47">
        <f>Таблица1[[#This Row],[Дата перевода]]-Таблица1[[#This Row],[Дата поступления]]</f>
        <v>0</v>
      </c>
      <c r="W2029" s="47">
        <f>Таблица1[[#This Row],[Дата поступления]]-Таблица1[[#This Row],[Дата рождения]]</f>
        <v>0</v>
      </c>
    </row>
    <row r="2030" spans="22:23" ht="24.75" customHeight="1" x14ac:dyDescent="0.25">
      <c r="V2030" s="47">
        <f>Таблица1[[#This Row],[Дата перевода]]-Таблица1[[#This Row],[Дата поступления]]</f>
        <v>0</v>
      </c>
      <c r="W2030" s="47">
        <f>Таблица1[[#This Row],[Дата поступления]]-Таблица1[[#This Row],[Дата рождения]]</f>
        <v>0</v>
      </c>
    </row>
    <row r="2031" spans="22:23" ht="24.75" customHeight="1" x14ac:dyDescent="0.25">
      <c r="V2031" s="47">
        <f>Таблица1[[#This Row],[Дата перевода]]-Таблица1[[#This Row],[Дата поступления]]</f>
        <v>0</v>
      </c>
      <c r="W2031" s="47">
        <f>Таблица1[[#This Row],[Дата поступления]]-Таблица1[[#This Row],[Дата рождения]]</f>
        <v>0</v>
      </c>
    </row>
    <row r="2032" spans="22:23" ht="24.75" customHeight="1" x14ac:dyDescent="0.25">
      <c r="V2032" s="47">
        <f>Таблица1[[#This Row],[Дата перевода]]-Таблица1[[#This Row],[Дата поступления]]</f>
        <v>0</v>
      </c>
      <c r="W2032" s="47">
        <f>Таблица1[[#This Row],[Дата поступления]]-Таблица1[[#This Row],[Дата рождения]]</f>
        <v>0</v>
      </c>
    </row>
    <row r="2033" spans="22:23" ht="24.75" customHeight="1" x14ac:dyDescent="0.25">
      <c r="V2033" s="47">
        <f>Таблица1[[#This Row],[Дата перевода]]-Таблица1[[#This Row],[Дата поступления]]</f>
        <v>0</v>
      </c>
      <c r="W2033" s="47">
        <f>Таблица1[[#This Row],[Дата поступления]]-Таблица1[[#This Row],[Дата рождения]]</f>
        <v>0</v>
      </c>
    </row>
    <row r="2034" spans="22:23" ht="24.75" customHeight="1" x14ac:dyDescent="0.25">
      <c r="V2034" s="47">
        <f>Таблица1[[#This Row],[Дата перевода]]-Таблица1[[#This Row],[Дата поступления]]</f>
        <v>0</v>
      </c>
      <c r="W2034" s="47">
        <f>Таблица1[[#This Row],[Дата поступления]]-Таблица1[[#This Row],[Дата рождения]]</f>
        <v>0</v>
      </c>
    </row>
    <row r="2035" spans="22:23" ht="24.75" customHeight="1" x14ac:dyDescent="0.25">
      <c r="V2035" s="47">
        <f>Таблица1[[#This Row],[Дата перевода]]-Таблица1[[#This Row],[Дата поступления]]</f>
        <v>0</v>
      </c>
      <c r="W2035" s="47">
        <f>Таблица1[[#This Row],[Дата поступления]]-Таблица1[[#This Row],[Дата рождения]]</f>
        <v>0</v>
      </c>
    </row>
    <row r="2036" spans="22:23" ht="24.75" customHeight="1" x14ac:dyDescent="0.25">
      <c r="V2036" s="47">
        <f>Таблица1[[#This Row],[Дата перевода]]-Таблица1[[#This Row],[Дата поступления]]</f>
        <v>0</v>
      </c>
      <c r="W2036" s="47">
        <f>Таблица1[[#This Row],[Дата поступления]]-Таблица1[[#This Row],[Дата рождения]]</f>
        <v>0</v>
      </c>
    </row>
    <row r="2037" spans="22:23" ht="24.75" customHeight="1" x14ac:dyDescent="0.25">
      <c r="V2037" s="47">
        <f>Таблица1[[#This Row],[Дата перевода]]-Таблица1[[#This Row],[Дата поступления]]</f>
        <v>0</v>
      </c>
      <c r="W2037" s="47">
        <f>Таблица1[[#This Row],[Дата поступления]]-Таблица1[[#This Row],[Дата рождения]]</f>
        <v>0</v>
      </c>
    </row>
    <row r="2038" spans="22:23" ht="24.75" customHeight="1" x14ac:dyDescent="0.25">
      <c r="V2038" s="47">
        <f>Таблица1[[#This Row],[Дата перевода]]-Таблица1[[#This Row],[Дата поступления]]</f>
        <v>0</v>
      </c>
      <c r="W2038" s="47">
        <f>Таблица1[[#This Row],[Дата поступления]]-Таблица1[[#This Row],[Дата рождения]]</f>
        <v>0</v>
      </c>
    </row>
    <row r="2039" spans="22:23" ht="24.75" customHeight="1" x14ac:dyDescent="0.25">
      <c r="V2039" s="47">
        <f>Таблица1[[#This Row],[Дата перевода]]-Таблица1[[#This Row],[Дата поступления]]</f>
        <v>0</v>
      </c>
      <c r="W2039" s="47">
        <f>Таблица1[[#This Row],[Дата поступления]]-Таблица1[[#This Row],[Дата рождения]]</f>
        <v>0</v>
      </c>
    </row>
    <row r="2040" spans="22:23" ht="24.75" customHeight="1" x14ac:dyDescent="0.25">
      <c r="V2040" s="47">
        <f>Таблица1[[#This Row],[Дата перевода]]-Таблица1[[#This Row],[Дата поступления]]</f>
        <v>0</v>
      </c>
      <c r="W2040" s="47">
        <f>Таблица1[[#This Row],[Дата поступления]]-Таблица1[[#This Row],[Дата рождения]]</f>
        <v>0</v>
      </c>
    </row>
    <row r="2041" spans="22:23" ht="24.75" customHeight="1" x14ac:dyDescent="0.25">
      <c r="V2041" s="47">
        <f>Таблица1[[#This Row],[Дата перевода]]-Таблица1[[#This Row],[Дата поступления]]</f>
        <v>0</v>
      </c>
      <c r="W2041" s="47">
        <f>Таблица1[[#This Row],[Дата поступления]]-Таблица1[[#This Row],[Дата рождения]]</f>
        <v>0</v>
      </c>
    </row>
    <row r="2042" spans="22:23" ht="24.75" customHeight="1" x14ac:dyDescent="0.25">
      <c r="V2042" s="47">
        <f>Таблица1[[#This Row],[Дата перевода]]-Таблица1[[#This Row],[Дата поступления]]</f>
        <v>0</v>
      </c>
      <c r="W2042" s="47">
        <f>Таблица1[[#This Row],[Дата поступления]]-Таблица1[[#This Row],[Дата рождения]]</f>
        <v>0</v>
      </c>
    </row>
    <row r="2043" spans="22:23" ht="24.75" customHeight="1" x14ac:dyDescent="0.25">
      <c r="V2043" s="47">
        <f>Таблица1[[#This Row],[Дата перевода]]-Таблица1[[#This Row],[Дата поступления]]</f>
        <v>0</v>
      </c>
      <c r="W2043" s="47">
        <f>Таблица1[[#This Row],[Дата поступления]]-Таблица1[[#This Row],[Дата рождения]]</f>
        <v>0</v>
      </c>
    </row>
    <row r="2044" spans="22:23" ht="24.75" customHeight="1" x14ac:dyDescent="0.25">
      <c r="V2044" s="47">
        <f>Таблица1[[#This Row],[Дата перевода]]-Таблица1[[#This Row],[Дата поступления]]</f>
        <v>0</v>
      </c>
      <c r="W2044" s="47">
        <f>Таблица1[[#This Row],[Дата поступления]]-Таблица1[[#This Row],[Дата рождения]]</f>
        <v>0</v>
      </c>
    </row>
    <row r="2045" spans="22:23" ht="24.75" customHeight="1" x14ac:dyDescent="0.25">
      <c r="V2045" s="47">
        <f>Таблица1[[#This Row],[Дата перевода]]-Таблица1[[#This Row],[Дата поступления]]</f>
        <v>0</v>
      </c>
      <c r="W2045" s="47">
        <f>Таблица1[[#This Row],[Дата поступления]]-Таблица1[[#This Row],[Дата рождения]]</f>
        <v>0</v>
      </c>
    </row>
    <row r="2046" spans="22:23" ht="24.75" customHeight="1" x14ac:dyDescent="0.25">
      <c r="V2046" s="47">
        <f>Таблица1[[#This Row],[Дата перевода]]-Таблица1[[#This Row],[Дата поступления]]</f>
        <v>0</v>
      </c>
      <c r="W2046" s="47">
        <f>Таблица1[[#This Row],[Дата поступления]]-Таблица1[[#This Row],[Дата рождения]]</f>
        <v>0</v>
      </c>
    </row>
    <row r="2047" spans="22:23" ht="24.75" customHeight="1" x14ac:dyDescent="0.25">
      <c r="V2047" s="47">
        <f>Таблица1[[#This Row],[Дата перевода]]-Таблица1[[#This Row],[Дата поступления]]</f>
        <v>0</v>
      </c>
      <c r="W2047" s="47">
        <f>Таблица1[[#This Row],[Дата поступления]]-Таблица1[[#This Row],[Дата рождения]]</f>
        <v>0</v>
      </c>
    </row>
    <row r="2048" spans="22:23" ht="24.75" customHeight="1" x14ac:dyDescent="0.25">
      <c r="V2048" s="47">
        <f>Таблица1[[#This Row],[Дата перевода]]-Таблица1[[#This Row],[Дата поступления]]</f>
        <v>0</v>
      </c>
      <c r="W2048" s="47">
        <f>Таблица1[[#This Row],[Дата поступления]]-Таблица1[[#This Row],[Дата рождения]]</f>
        <v>0</v>
      </c>
    </row>
    <row r="2049" spans="22:23" ht="24.75" customHeight="1" x14ac:dyDescent="0.25">
      <c r="V2049" s="47">
        <f>Таблица1[[#This Row],[Дата перевода]]-Таблица1[[#This Row],[Дата поступления]]</f>
        <v>0</v>
      </c>
      <c r="W2049" s="47">
        <f>Таблица1[[#This Row],[Дата поступления]]-Таблица1[[#This Row],[Дата рождения]]</f>
        <v>0</v>
      </c>
    </row>
    <row r="2050" spans="22:23" ht="24.75" customHeight="1" x14ac:dyDescent="0.25">
      <c r="V2050" s="47">
        <f>Таблица1[[#This Row],[Дата перевода]]-Таблица1[[#This Row],[Дата поступления]]</f>
        <v>0</v>
      </c>
      <c r="W2050" s="47">
        <f>Таблица1[[#This Row],[Дата поступления]]-Таблица1[[#This Row],[Дата рождения]]</f>
        <v>0</v>
      </c>
    </row>
    <row r="2051" spans="22:23" ht="24.75" customHeight="1" x14ac:dyDescent="0.25">
      <c r="V2051" s="47">
        <f>Таблица1[[#This Row],[Дата перевода]]-Таблица1[[#This Row],[Дата поступления]]</f>
        <v>0</v>
      </c>
      <c r="W2051" s="47">
        <f>Таблица1[[#This Row],[Дата поступления]]-Таблица1[[#This Row],[Дата рождения]]</f>
        <v>0</v>
      </c>
    </row>
    <row r="2052" spans="22:23" ht="24.75" customHeight="1" x14ac:dyDescent="0.25">
      <c r="V2052" s="47">
        <f>Таблица1[[#This Row],[Дата перевода]]-Таблица1[[#This Row],[Дата поступления]]</f>
        <v>0</v>
      </c>
      <c r="W2052" s="47">
        <f>Таблица1[[#This Row],[Дата поступления]]-Таблица1[[#This Row],[Дата рождения]]</f>
        <v>0</v>
      </c>
    </row>
    <row r="2053" spans="22:23" ht="24.75" customHeight="1" x14ac:dyDescent="0.25">
      <c r="V2053" s="47">
        <f>Таблица1[[#This Row],[Дата перевода]]-Таблица1[[#This Row],[Дата поступления]]</f>
        <v>0</v>
      </c>
      <c r="W2053" s="47">
        <f>Таблица1[[#This Row],[Дата поступления]]-Таблица1[[#This Row],[Дата рождения]]</f>
        <v>0</v>
      </c>
    </row>
    <row r="2054" spans="22:23" ht="24.75" customHeight="1" x14ac:dyDescent="0.25">
      <c r="V2054" s="47">
        <f>Таблица1[[#This Row],[Дата перевода]]-Таблица1[[#This Row],[Дата поступления]]</f>
        <v>0</v>
      </c>
      <c r="W2054" s="47">
        <f>Таблица1[[#This Row],[Дата поступления]]-Таблица1[[#This Row],[Дата рождения]]</f>
        <v>0</v>
      </c>
    </row>
    <row r="2055" spans="22:23" ht="24.75" customHeight="1" x14ac:dyDescent="0.25">
      <c r="V2055" s="47">
        <f>Таблица1[[#This Row],[Дата перевода]]-Таблица1[[#This Row],[Дата поступления]]</f>
        <v>0</v>
      </c>
      <c r="W2055" s="47">
        <f>Таблица1[[#This Row],[Дата поступления]]-Таблица1[[#This Row],[Дата рождения]]</f>
        <v>0</v>
      </c>
    </row>
    <row r="2056" spans="22:23" ht="24.75" customHeight="1" x14ac:dyDescent="0.25">
      <c r="V2056" s="47">
        <f>Таблица1[[#This Row],[Дата перевода]]-Таблица1[[#This Row],[Дата поступления]]</f>
        <v>0</v>
      </c>
      <c r="W2056" s="47">
        <f>Таблица1[[#This Row],[Дата поступления]]-Таблица1[[#This Row],[Дата рождения]]</f>
        <v>0</v>
      </c>
    </row>
    <row r="2057" spans="22:23" ht="24.75" customHeight="1" x14ac:dyDescent="0.25">
      <c r="V2057" s="47">
        <f>Таблица1[[#This Row],[Дата перевода]]-Таблица1[[#This Row],[Дата поступления]]</f>
        <v>0</v>
      </c>
      <c r="W2057" s="47">
        <f>Таблица1[[#This Row],[Дата поступления]]-Таблица1[[#This Row],[Дата рождения]]</f>
        <v>0</v>
      </c>
    </row>
    <row r="2058" spans="22:23" ht="24.75" customHeight="1" x14ac:dyDescent="0.25">
      <c r="V2058" s="47">
        <f>Таблица1[[#This Row],[Дата перевода]]-Таблица1[[#This Row],[Дата поступления]]</f>
        <v>0</v>
      </c>
      <c r="W2058" s="47">
        <f>Таблица1[[#This Row],[Дата поступления]]-Таблица1[[#This Row],[Дата рождения]]</f>
        <v>0</v>
      </c>
    </row>
    <row r="2059" spans="22:23" ht="24.75" customHeight="1" x14ac:dyDescent="0.25">
      <c r="V2059" s="47">
        <f>Таблица1[[#This Row],[Дата перевода]]-Таблица1[[#This Row],[Дата поступления]]</f>
        <v>0</v>
      </c>
      <c r="W2059" s="47">
        <f>Таблица1[[#This Row],[Дата поступления]]-Таблица1[[#This Row],[Дата рождения]]</f>
        <v>0</v>
      </c>
    </row>
    <row r="2060" spans="22:23" ht="24.75" customHeight="1" x14ac:dyDescent="0.25">
      <c r="V2060" s="47">
        <f>Таблица1[[#This Row],[Дата перевода]]-Таблица1[[#This Row],[Дата поступления]]</f>
        <v>0</v>
      </c>
      <c r="W2060" s="47">
        <f>Таблица1[[#This Row],[Дата поступления]]-Таблица1[[#This Row],[Дата рождения]]</f>
        <v>0</v>
      </c>
    </row>
    <row r="2061" spans="22:23" ht="24.75" customHeight="1" x14ac:dyDescent="0.25">
      <c r="V2061" s="47">
        <f>Таблица1[[#This Row],[Дата перевода]]-Таблица1[[#This Row],[Дата поступления]]</f>
        <v>0</v>
      </c>
      <c r="W2061" s="47">
        <f>Таблица1[[#This Row],[Дата поступления]]-Таблица1[[#This Row],[Дата рождения]]</f>
        <v>0</v>
      </c>
    </row>
    <row r="2062" spans="22:23" ht="24.75" customHeight="1" x14ac:dyDescent="0.25">
      <c r="V2062" s="47">
        <f>Таблица1[[#This Row],[Дата перевода]]-Таблица1[[#This Row],[Дата поступления]]</f>
        <v>0</v>
      </c>
      <c r="W2062" s="47">
        <f>Таблица1[[#This Row],[Дата поступления]]-Таблица1[[#This Row],[Дата рождения]]</f>
        <v>0</v>
      </c>
    </row>
    <row r="2063" spans="22:23" ht="24.75" customHeight="1" x14ac:dyDescent="0.25">
      <c r="V2063" s="47">
        <f>Таблица1[[#This Row],[Дата перевода]]-Таблица1[[#This Row],[Дата поступления]]</f>
        <v>0</v>
      </c>
      <c r="W2063" s="47">
        <f>Таблица1[[#This Row],[Дата поступления]]-Таблица1[[#This Row],[Дата рождения]]</f>
        <v>0</v>
      </c>
    </row>
    <row r="2064" spans="22:23" ht="24.75" customHeight="1" x14ac:dyDescent="0.25">
      <c r="V2064" s="47">
        <f>Таблица1[[#This Row],[Дата перевода]]-Таблица1[[#This Row],[Дата поступления]]</f>
        <v>0</v>
      </c>
      <c r="W2064" s="47">
        <f>Таблица1[[#This Row],[Дата поступления]]-Таблица1[[#This Row],[Дата рождения]]</f>
        <v>0</v>
      </c>
    </row>
    <row r="2065" spans="22:23" ht="24.75" customHeight="1" x14ac:dyDescent="0.25">
      <c r="V2065" s="47">
        <f>Таблица1[[#This Row],[Дата перевода]]-Таблица1[[#This Row],[Дата поступления]]</f>
        <v>0</v>
      </c>
      <c r="W2065" s="47">
        <f>Таблица1[[#This Row],[Дата поступления]]-Таблица1[[#This Row],[Дата рождения]]</f>
        <v>0</v>
      </c>
    </row>
    <row r="2066" spans="22:23" ht="24.75" customHeight="1" x14ac:dyDescent="0.25">
      <c r="V2066" s="47">
        <f>Таблица1[[#This Row],[Дата перевода]]-Таблица1[[#This Row],[Дата поступления]]</f>
        <v>0</v>
      </c>
      <c r="W2066" s="47">
        <f>Таблица1[[#This Row],[Дата поступления]]-Таблица1[[#This Row],[Дата рождения]]</f>
        <v>0</v>
      </c>
    </row>
    <row r="2067" spans="22:23" ht="24.75" customHeight="1" x14ac:dyDescent="0.25">
      <c r="V2067" s="47">
        <f>Таблица1[[#This Row],[Дата перевода]]-Таблица1[[#This Row],[Дата поступления]]</f>
        <v>0</v>
      </c>
      <c r="W2067" s="47">
        <f>Таблица1[[#This Row],[Дата поступления]]-Таблица1[[#This Row],[Дата рождения]]</f>
        <v>0</v>
      </c>
    </row>
    <row r="2068" spans="22:23" ht="24.75" customHeight="1" x14ac:dyDescent="0.25">
      <c r="V2068" s="47">
        <f>Таблица1[[#This Row],[Дата перевода]]-Таблица1[[#This Row],[Дата поступления]]</f>
        <v>0</v>
      </c>
      <c r="W2068" s="47">
        <f>Таблица1[[#This Row],[Дата поступления]]-Таблица1[[#This Row],[Дата рождения]]</f>
        <v>0</v>
      </c>
    </row>
    <row r="2069" spans="22:23" ht="24.75" customHeight="1" x14ac:dyDescent="0.25">
      <c r="V2069" s="47">
        <f>Таблица1[[#This Row],[Дата перевода]]-Таблица1[[#This Row],[Дата поступления]]</f>
        <v>0</v>
      </c>
      <c r="W2069" s="47">
        <f>Таблица1[[#This Row],[Дата поступления]]-Таблица1[[#This Row],[Дата рождения]]</f>
        <v>0</v>
      </c>
    </row>
    <row r="2070" spans="22:23" ht="24.75" customHeight="1" x14ac:dyDescent="0.25">
      <c r="V2070" s="47">
        <f>Таблица1[[#This Row],[Дата перевода]]-Таблица1[[#This Row],[Дата поступления]]</f>
        <v>0</v>
      </c>
      <c r="W2070" s="47">
        <f>Таблица1[[#This Row],[Дата поступления]]-Таблица1[[#This Row],[Дата рождения]]</f>
        <v>0</v>
      </c>
    </row>
    <row r="2071" spans="22:23" ht="24.75" customHeight="1" x14ac:dyDescent="0.25">
      <c r="V2071" s="47">
        <f>Таблица1[[#This Row],[Дата перевода]]-Таблица1[[#This Row],[Дата поступления]]</f>
        <v>0</v>
      </c>
      <c r="W2071" s="47">
        <f>Таблица1[[#This Row],[Дата поступления]]-Таблица1[[#This Row],[Дата рождения]]</f>
        <v>0</v>
      </c>
    </row>
    <row r="2072" spans="22:23" ht="24.75" customHeight="1" x14ac:dyDescent="0.25">
      <c r="V2072" s="47">
        <f>Таблица1[[#This Row],[Дата перевода]]-Таблица1[[#This Row],[Дата поступления]]</f>
        <v>0</v>
      </c>
      <c r="W2072" s="47">
        <f>Таблица1[[#This Row],[Дата поступления]]-Таблица1[[#This Row],[Дата рождения]]</f>
        <v>0</v>
      </c>
    </row>
    <row r="2073" spans="22:23" ht="24.75" customHeight="1" x14ac:dyDescent="0.25">
      <c r="V2073" s="47">
        <f>Таблица1[[#This Row],[Дата перевода]]-Таблица1[[#This Row],[Дата поступления]]</f>
        <v>0</v>
      </c>
      <c r="W2073" s="47">
        <f>Таблица1[[#This Row],[Дата поступления]]-Таблица1[[#This Row],[Дата рождения]]</f>
        <v>0</v>
      </c>
    </row>
    <row r="2074" spans="22:23" ht="24.75" customHeight="1" x14ac:dyDescent="0.25">
      <c r="V2074" s="47">
        <f>Таблица1[[#This Row],[Дата перевода]]-Таблица1[[#This Row],[Дата поступления]]</f>
        <v>0</v>
      </c>
      <c r="W2074" s="47">
        <f>Таблица1[[#This Row],[Дата поступления]]-Таблица1[[#This Row],[Дата рождения]]</f>
        <v>0</v>
      </c>
    </row>
    <row r="2075" spans="22:23" ht="24.75" customHeight="1" x14ac:dyDescent="0.25">
      <c r="V2075" s="47">
        <f>Таблица1[[#This Row],[Дата перевода]]-Таблица1[[#This Row],[Дата поступления]]</f>
        <v>0</v>
      </c>
      <c r="W2075" s="47">
        <f>Таблица1[[#This Row],[Дата поступления]]-Таблица1[[#This Row],[Дата рождения]]</f>
        <v>0</v>
      </c>
    </row>
    <row r="2076" spans="22:23" ht="24.75" customHeight="1" x14ac:dyDescent="0.25">
      <c r="V2076" s="47">
        <f>Таблица1[[#This Row],[Дата перевода]]-Таблица1[[#This Row],[Дата поступления]]</f>
        <v>0</v>
      </c>
      <c r="W2076" s="47">
        <f>Таблица1[[#This Row],[Дата поступления]]-Таблица1[[#This Row],[Дата рождения]]</f>
        <v>0</v>
      </c>
    </row>
    <row r="2077" spans="22:23" ht="24.75" customHeight="1" x14ac:dyDescent="0.25">
      <c r="V2077" s="47">
        <f>Таблица1[[#This Row],[Дата перевода]]-Таблица1[[#This Row],[Дата поступления]]</f>
        <v>0</v>
      </c>
      <c r="W2077" s="47">
        <f>Таблица1[[#This Row],[Дата поступления]]-Таблица1[[#This Row],[Дата рождения]]</f>
        <v>0</v>
      </c>
    </row>
    <row r="2078" spans="22:23" ht="24.75" customHeight="1" x14ac:dyDescent="0.25">
      <c r="V2078" s="47">
        <f>Таблица1[[#This Row],[Дата перевода]]-Таблица1[[#This Row],[Дата поступления]]</f>
        <v>0</v>
      </c>
      <c r="W2078" s="47">
        <f>Таблица1[[#This Row],[Дата поступления]]-Таблица1[[#This Row],[Дата рождения]]</f>
        <v>0</v>
      </c>
    </row>
    <row r="2079" spans="22:23" ht="24.75" customHeight="1" x14ac:dyDescent="0.25">
      <c r="V2079" s="47">
        <f>Таблица1[[#This Row],[Дата перевода]]-Таблица1[[#This Row],[Дата поступления]]</f>
        <v>0</v>
      </c>
      <c r="W2079" s="47">
        <f>Таблица1[[#This Row],[Дата поступления]]-Таблица1[[#This Row],[Дата рождения]]</f>
        <v>0</v>
      </c>
    </row>
    <row r="2080" spans="22:23" ht="24.75" customHeight="1" x14ac:dyDescent="0.25">
      <c r="V2080" s="47">
        <f>Таблица1[[#This Row],[Дата перевода]]-Таблица1[[#This Row],[Дата поступления]]</f>
        <v>0</v>
      </c>
      <c r="W2080" s="47">
        <f>Таблица1[[#This Row],[Дата поступления]]-Таблица1[[#This Row],[Дата рождения]]</f>
        <v>0</v>
      </c>
    </row>
    <row r="2081" spans="22:23" ht="24.75" customHeight="1" x14ac:dyDescent="0.25">
      <c r="V2081" s="47">
        <f>Таблица1[[#This Row],[Дата перевода]]-Таблица1[[#This Row],[Дата поступления]]</f>
        <v>0</v>
      </c>
      <c r="W2081" s="47">
        <f>Таблица1[[#This Row],[Дата поступления]]-Таблица1[[#This Row],[Дата рождения]]</f>
        <v>0</v>
      </c>
    </row>
    <row r="2082" spans="22:23" ht="24.75" customHeight="1" x14ac:dyDescent="0.25">
      <c r="V2082" s="47">
        <f>Таблица1[[#This Row],[Дата перевода]]-Таблица1[[#This Row],[Дата поступления]]</f>
        <v>0</v>
      </c>
      <c r="W2082" s="47">
        <f>Таблица1[[#This Row],[Дата поступления]]-Таблица1[[#This Row],[Дата рождения]]</f>
        <v>0</v>
      </c>
    </row>
    <row r="2083" spans="22:23" ht="24.75" customHeight="1" x14ac:dyDescent="0.25">
      <c r="V2083" s="47">
        <f>Таблица1[[#This Row],[Дата перевода]]-Таблица1[[#This Row],[Дата поступления]]</f>
        <v>0</v>
      </c>
      <c r="W2083" s="47">
        <f>Таблица1[[#This Row],[Дата поступления]]-Таблица1[[#This Row],[Дата рождения]]</f>
        <v>0</v>
      </c>
    </row>
    <row r="2084" spans="22:23" ht="24.75" customHeight="1" x14ac:dyDescent="0.25">
      <c r="V2084" s="47">
        <f>Таблица1[[#This Row],[Дата перевода]]-Таблица1[[#This Row],[Дата поступления]]</f>
        <v>0</v>
      </c>
      <c r="W2084" s="47">
        <f>Таблица1[[#This Row],[Дата поступления]]-Таблица1[[#This Row],[Дата рождения]]</f>
        <v>0</v>
      </c>
    </row>
    <row r="2085" spans="22:23" ht="24.75" customHeight="1" x14ac:dyDescent="0.25">
      <c r="V2085" s="47">
        <f>Таблица1[[#This Row],[Дата перевода]]-Таблица1[[#This Row],[Дата поступления]]</f>
        <v>0</v>
      </c>
      <c r="W2085" s="47">
        <f>Таблица1[[#This Row],[Дата поступления]]-Таблица1[[#This Row],[Дата рождения]]</f>
        <v>0</v>
      </c>
    </row>
    <row r="2086" spans="22:23" ht="24.75" customHeight="1" x14ac:dyDescent="0.25">
      <c r="V2086" s="47">
        <f>Таблица1[[#This Row],[Дата перевода]]-Таблица1[[#This Row],[Дата поступления]]</f>
        <v>0</v>
      </c>
      <c r="W2086" s="47">
        <f>Таблица1[[#This Row],[Дата поступления]]-Таблица1[[#This Row],[Дата рождения]]</f>
        <v>0</v>
      </c>
    </row>
    <row r="2087" spans="22:23" ht="24.75" customHeight="1" x14ac:dyDescent="0.25">
      <c r="V2087" s="47">
        <f>Таблица1[[#This Row],[Дата перевода]]-Таблица1[[#This Row],[Дата поступления]]</f>
        <v>0</v>
      </c>
      <c r="W2087" s="47">
        <f>Таблица1[[#This Row],[Дата поступления]]-Таблица1[[#This Row],[Дата рождения]]</f>
        <v>0</v>
      </c>
    </row>
    <row r="2088" spans="22:23" ht="24.75" customHeight="1" x14ac:dyDescent="0.25">
      <c r="V2088" s="47">
        <f>Таблица1[[#This Row],[Дата перевода]]-Таблица1[[#This Row],[Дата поступления]]</f>
        <v>0</v>
      </c>
      <c r="W2088" s="47">
        <f>Таблица1[[#This Row],[Дата поступления]]-Таблица1[[#This Row],[Дата рождения]]</f>
        <v>0</v>
      </c>
    </row>
    <row r="2089" spans="22:23" ht="24.75" customHeight="1" x14ac:dyDescent="0.25">
      <c r="V2089" s="47">
        <f>Таблица1[[#This Row],[Дата перевода]]-Таблица1[[#This Row],[Дата поступления]]</f>
        <v>0</v>
      </c>
      <c r="W2089" s="47">
        <f>Таблица1[[#This Row],[Дата поступления]]-Таблица1[[#This Row],[Дата рождения]]</f>
        <v>0</v>
      </c>
    </row>
    <row r="2090" spans="22:23" ht="24.75" customHeight="1" x14ac:dyDescent="0.25">
      <c r="V2090" s="47">
        <f>Таблица1[[#This Row],[Дата перевода]]-Таблица1[[#This Row],[Дата поступления]]</f>
        <v>0</v>
      </c>
      <c r="W2090" s="47">
        <f>Таблица1[[#This Row],[Дата поступления]]-Таблица1[[#This Row],[Дата рождения]]</f>
        <v>0</v>
      </c>
    </row>
    <row r="2091" spans="22:23" ht="24.75" customHeight="1" x14ac:dyDescent="0.25">
      <c r="V2091" s="47">
        <f>Таблица1[[#This Row],[Дата перевода]]-Таблица1[[#This Row],[Дата поступления]]</f>
        <v>0</v>
      </c>
      <c r="W2091" s="47">
        <f>Таблица1[[#This Row],[Дата поступления]]-Таблица1[[#This Row],[Дата рождения]]</f>
        <v>0</v>
      </c>
    </row>
    <row r="2092" spans="22:23" ht="24.75" customHeight="1" x14ac:dyDescent="0.25">
      <c r="V2092" s="47">
        <f>Таблица1[[#This Row],[Дата перевода]]-Таблица1[[#This Row],[Дата поступления]]</f>
        <v>0</v>
      </c>
      <c r="W2092" s="47">
        <f>Таблица1[[#This Row],[Дата поступления]]-Таблица1[[#This Row],[Дата рождения]]</f>
        <v>0</v>
      </c>
    </row>
    <row r="2093" spans="22:23" ht="24.75" customHeight="1" x14ac:dyDescent="0.25">
      <c r="V2093" s="47">
        <f>Таблица1[[#This Row],[Дата перевода]]-Таблица1[[#This Row],[Дата поступления]]</f>
        <v>0</v>
      </c>
      <c r="W2093" s="47">
        <f>Таблица1[[#This Row],[Дата поступления]]-Таблица1[[#This Row],[Дата рождения]]</f>
        <v>0</v>
      </c>
    </row>
    <row r="2094" spans="22:23" ht="24.75" customHeight="1" x14ac:dyDescent="0.25">
      <c r="V2094" s="47">
        <f>Таблица1[[#This Row],[Дата перевода]]-Таблица1[[#This Row],[Дата поступления]]</f>
        <v>0</v>
      </c>
      <c r="W2094" s="47">
        <f>Таблица1[[#This Row],[Дата поступления]]-Таблица1[[#This Row],[Дата рождения]]</f>
        <v>0</v>
      </c>
    </row>
    <row r="2095" spans="22:23" ht="24.75" customHeight="1" x14ac:dyDescent="0.25">
      <c r="V2095" s="47">
        <f>Таблица1[[#This Row],[Дата перевода]]-Таблица1[[#This Row],[Дата поступления]]</f>
        <v>0</v>
      </c>
      <c r="W2095" s="47">
        <f>Таблица1[[#This Row],[Дата поступления]]-Таблица1[[#This Row],[Дата рождения]]</f>
        <v>0</v>
      </c>
    </row>
    <row r="2096" spans="22:23" ht="24.75" customHeight="1" x14ac:dyDescent="0.25">
      <c r="V2096" s="47">
        <f>Таблица1[[#This Row],[Дата перевода]]-Таблица1[[#This Row],[Дата поступления]]</f>
        <v>0</v>
      </c>
      <c r="W2096" s="47">
        <f>Таблица1[[#This Row],[Дата поступления]]-Таблица1[[#This Row],[Дата рождения]]</f>
        <v>0</v>
      </c>
    </row>
    <row r="2097" spans="22:23" ht="24.75" customHeight="1" x14ac:dyDescent="0.25">
      <c r="V2097" s="47">
        <f>Таблица1[[#This Row],[Дата перевода]]-Таблица1[[#This Row],[Дата поступления]]</f>
        <v>0</v>
      </c>
      <c r="W2097" s="47">
        <f>Таблица1[[#This Row],[Дата поступления]]-Таблица1[[#This Row],[Дата рождения]]</f>
        <v>0</v>
      </c>
    </row>
    <row r="2098" spans="22:23" ht="24.75" customHeight="1" x14ac:dyDescent="0.25">
      <c r="V2098" s="47">
        <f>Таблица1[[#This Row],[Дата перевода]]-Таблица1[[#This Row],[Дата поступления]]</f>
        <v>0</v>
      </c>
      <c r="W2098" s="47">
        <f>Таблица1[[#This Row],[Дата поступления]]-Таблица1[[#This Row],[Дата рождения]]</f>
        <v>0</v>
      </c>
    </row>
    <row r="2099" spans="22:23" ht="24.75" customHeight="1" x14ac:dyDescent="0.25">
      <c r="V2099" s="47">
        <f>Таблица1[[#This Row],[Дата перевода]]-Таблица1[[#This Row],[Дата поступления]]</f>
        <v>0</v>
      </c>
      <c r="W2099" s="47">
        <f>Таблица1[[#This Row],[Дата поступления]]-Таблица1[[#This Row],[Дата рождения]]</f>
        <v>0</v>
      </c>
    </row>
    <row r="2100" spans="22:23" ht="24.75" customHeight="1" x14ac:dyDescent="0.25">
      <c r="V2100" s="47">
        <f>Таблица1[[#This Row],[Дата перевода]]-Таблица1[[#This Row],[Дата поступления]]</f>
        <v>0</v>
      </c>
      <c r="W2100" s="47">
        <f>Таблица1[[#This Row],[Дата поступления]]-Таблица1[[#This Row],[Дата рождения]]</f>
        <v>0</v>
      </c>
    </row>
    <row r="2101" spans="22:23" ht="24.75" customHeight="1" x14ac:dyDescent="0.25">
      <c r="V2101" s="47">
        <f>Таблица1[[#This Row],[Дата перевода]]-Таблица1[[#This Row],[Дата поступления]]</f>
        <v>0</v>
      </c>
      <c r="W2101" s="47">
        <f>Таблица1[[#This Row],[Дата поступления]]-Таблица1[[#This Row],[Дата рождения]]</f>
        <v>0</v>
      </c>
    </row>
    <row r="2102" spans="22:23" ht="24.75" customHeight="1" x14ac:dyDescent="0.25">
      <c r="V2102" s="47">
        <f>Таблица1[[#This Row],[Дата перевода]]-Таблица1[[#This Row],[Дата поступления]]</f>
        <v>0</v>
      </c>
      <c r="W2102" s="47">
        <f>Таблица1[[#This Row],[Дата поступления]]-Таблица1[[#This Row],[Дата рождения]]</f>
        <v>0</v>
      </c>
    </row>
    <row r="2103" spans="22:23" ht="24.75" customHeight="1" x14ac:dyDescent="0.25">
      <c r="V2103" s="47">
        <f>Таблица1[[#This Row],[Дата перевода]]-Таблица1[[#This Row],[Дата поступления]]</f>
        <v>0</v>
      </c>
      <c r="W2103" s="47">
        <f>Таблица1[[#This Row],[Дата поступления]]-Таблица1[[#This Row],[Дата рождения]]</f>
        <v>0</v>
      </c>
    </row>
    <row r="2104" spans="22:23" ht="24.75" customHeight="1" x14ac:dyDescent="0.25">
      <c r="V2104" s="47">
        <f>Таблица1[[#This Row],[Дата перевода]]-Таблица1[[#This Row],[Дата поступления]]</f>
        <v>0</v>
      </c>
      <c r="W2104" s="47">
        <f>Таблица1[[#This Row],[Дата поступления]]-Таблица1[[#This Row],[Дата рождения]]</f>
        <v>0</v>
      </c>
    </row>
    <row r="2105" spans="22:23" ht="24.75" customHeight="1" x14ac:dyDescent="0.25">
      <c r="V2105" s="47">
        <f>Таблица1[[#This Row],[Дата перевода]]-Таблица1[[#This Row],[Дата поступления]]</f>
        <v>0</v>
      </c>
      <c r="W2105" s="47">
        <f>Таблица1[[#This Row],[Дата поступления]]-Таблица1[[#This Row],[Дата рождения]]</f>
        <v>0</v>
      </c>
    </row>
    <row r="2106" spans="22:23" ht="24.75" customHeight="1" x14ac:dyDescent="0.25">
      <c r="V2106" s="47">
        <f>Таблица1[[#This Row],[Дата перевода]]-Таблица1[[#This Row],[Дата поступления]]</f>
        <v>0</v>
      </c>
      <c r="W2106" s="47">
        <f>Таблица1[[#This Row],[Дата поступления]]-Таблица1[[#This Row],[Дата рождения]]</f>
        <v>0</v>
      </c>
    </row>
    <row r="2107" spans="22:23" ht="24.75" customHeight="1" x14ac:dyDescent="0.25">
      <c r="V2107" s="47">
        <f>Таблица1[[#This Row],[Дата перевода]]-Таблица1[[#This Row],[Дата поступления]]</f>
        <v>0</v>
      </c>
      <c r="W2107" s="47">
        <f>Таблица1[[#This Row],[Дата поступления]]-Таблица1[[#This Row],[Дата рождения]]</f>
        <v>0</v>
      </c>
    </row>
    <row r="2108" spans="22:23" ht="24.75" customHeight="1" x14ac:dyDescent="0.25">
      <c r="V2108" s="47">
        <f>Таблица1[[#This Row],[Дата перевода]]-Таблица1[[#This Row],[Дата поступления]]</f>
        <v>0</v>
      </c>
      <c r="W2108" s="47">
        <f>Таблица1[[#This Row],[Дата поступления]]-Таблица1[[#This Row],[Дата рождения]]</f>
        <v>0</v>
      </c>
    </row>
    <row r="2109" spans="22:23" ht="24.75" customHeight="1" x14ac:dyDescent="0.25">
      <c r="V2109" s="47">
        <f>Таблица1[[#This Row],[Дата перевода]]-Таблица1[[#This Row],[Дата поступления]]</f>
        <v>0</v>
      </c>
      <c r="W2109" s="47">
        <f>Таблица1[[#This Row],[Дата поступления]]-Таблица1[[#This Row],[Дата рождения]]</f>
        <v>0</v>
      </c>
    </row>
    <row r="2110" spans="22:23" ht="24.75" customHeight="1" x14ac:dyDescent="0.25">
      <c r="V2110" s="47">
        <f>Таблица1[[#This Row],[Дата перевода]]-Таблица1[[#This Row],[Дата поступления]]</f>
        <v>0</v>
      </c>
      <c r="W2110" s="47">
        <f>Таблица1[[#This Row],[Дата поступления]]-Таблица1[[#This Row],[Дата рождения]]</f>
        <v>0</v>
      </c>
    </row>
    <row r="2111" spans="22:23" ht="24.75" customHeight="1" x14ac:dyDescent="0.25">
      <c r="V2111" s="47">
        <f>Таблица1[[#This Row],[Дата перевода]]-Таблица1[[#This Row],[Дата поступления]]</f>
        <v>0</v>
      </c>
      <c r="W2111" s="47">
        <f>Таблица1[[#This Row],[Дата поступления]]-Таблица1[[#This Row],[Дата рождения]]</f>
        <v>0</v>
      </c>
    </row>
    <row r="2112" spans="22:23" ht="24.75" customHeight="1" x14ac:dyDescent="0.25">
      <c r="V2112" s="47">
        <f>Таблица1[[#This Row],[Дата перевода]]-Таблица1[[#This Row],[Дата поступления]]</f>
        <v>0</v>
      </c>
      <c r="W2112" s="47">
        <f>Таблица1[[#This Row],[Дата поступления]]-Таблица1[[#This Row],[Дата рождения]]</f>
        <v>0</v>
      </c>
    </row>
    <row r="2113" spans="22:23" ht="24.75" customHeight="1" x14ac:dyDescent="0.25">
      <c r="V2113" s="47">
        <f>Таблица1[[#This Row],[Дата перевода]]-Таблица1[[#This Row],[Дата поступления]]</f>
        <v>0</v>
      </c>
      <c r="W2113" s="47">
        <f>Таблица1[[#This Row],[Дата поступления]]-Таблица1[[#This Row],[Дата рождения]]</f>
        <v>0</v>
      </c>
    </row>
    <row r="2114" spans="22:23" ht="24.75" customHeight="1" x14ac:dyDescent="0.25">
      <c r="V2114" s="47">
        <f>Таблица1[[#This Row],[Дата перевода]]-Таблица1[[#This Row],[Дата поступления]]</f>
        <v>0</v>
      </c>
      <c r="W2114" s="47">
        <f>Таблица1[[#This Row],[Дата поступления]]-Таблица1[[#This Row],[Дата рождения]]</f>
        <v>0</v>
      </c>
    </row>
    <row r="2115" spans="22:23" ht="24.75" customHeight="1" x14ac:dyDescent="0.25">
      <c r="V2115" s="47">
        <f>Таблица1[[#This Row],[Дата перевода]]-Таблица1[[#This Row],[Дата поступления]]</f>
        <v>0</v>
      </c>
      <c r="W2115" s="47">
        <f>Таблица1[[#This Row],[Дата поступления]]-Таблица1[[#This Row],[Дата рождения]]</f>
        <v>0</v>
      </c>
    </row>
    <row r="2116" spans="22:23" ht="24.75" customHeight="1" x14ac:dyDescent="0.25">
      <c r="V2116" s="47">
        <f>Таблица1[[#This Row],[Дата перевода]]-Таблица1[[#This Row],[Дата поступления]]</f>
        <v>0</v>
      </c>
      <c r="W2116" s="47">
        <f>Таблица1[[#This Row],[Дата поступления]]-Таблица1[[#This Row],[Дата рождения]]</f>
        <v>0</v>
      </c>
    </row>
    <row r="2117" spans="22:23" ht="24.75" customHeight="1" x14ac:dyDescent="0.25">
      <c r="V2117" s="47">
        <f>Таблица1[[#This Row],[Дата перевода]]-Таблица1[[#This Row],[Дата поступления]]</f>
        <v>0</v>
      </c>
      <c r="W2117" s="47">
        <f>Таблица1[[#This Row],[Дата поступления]]-Таблица1[[#This Row],[Дата рождения]]</f>
        <v>0</v>
      </c>
    </row>
    <row r="2118" spans="22:23" ht="24.75" customHeight="1" x14ac:dyDescent="0.25">
      <c r="V2118" s="47">
        <f>Таблица1[[#This Row],[Дата перевода]]-Таблица1[[#This Row],[Дата поступления]]</f>
        <v>0</v>
      </c>
      <c r="W2118" s="47">
        <f>Таблица1[[#This Row],[Дата поступления]]-Таблица1[[#This Row],[Дата рождения]]</f>
        <v>0</v>
      </c>
    </row>
    <row r="2119" spans="22:23" ht="24.75" customHeight="1" x14ac:dyDescent="0.25">
      <c r="V2119" s="47">
        <f>Таблица1[[#This Row],[Дата перевода]]-Таблица1[[#This Row],[Дата поступления]]</f>
        <v>0</v>
      </c>
      <c r="W2119" s="47">
        <f>Таблица1[[#This Row],[Дата поступления]]-Таблица1[[#This Row],[Дата рождения]]</f>
        <v>0</v>
      </c>
    </row>
    <row r="2120" spans="22:23" ht="24.75" customHeight="1" x14ac:dyDescent="0.25">
      <c r="V2120" s="47">
        <f>Таблица1[[#This Row],[Дата перевода]]-Таблица1[[#This Row],[Дата поступления]]</f>
        <v>0</v>
      </c>
      <c r="W2120" s="47">
        <f>Таблица1[[#This Row],[Дата поступления]]-Таблица1[[#This Row],[Дата рождения]]</f>
        <v>0</v>
      </c>
    </row>
    <row r="2121" spans="22:23" ht="24.75" customHeight="1" x14ac:dyDescent="0.25">
      <c r="V2121" s="47">
        <f>Таблица1[[#This Row],[Дата перевода]]-Таблица1[[#This Row],[Дата поступления]]</f>
        <v>0</v>
      </c>
      <c r="W2121" s="47">
        <f>Таблица1[[#This Row],[Дата поступления]]-Таблица1[[#This Row],[Дата рождения]]</f>
        <v>0</v>
      </c>
    </row>
    <row r="2122" spans="22:23" ht="24.75" customHeight="1" x14ac:dyDescent="0.25">
      <c r="V2122" s="47">
        <f>Таблица1[[#This Row],[Дата перевода]]-Таблица1[[#This Row],[Дата поступления]]</f>
        <v>0</v>
      </c>
      <c r="W2122" s="47">
        <f>Таблица1[[#This Row],[Дата поступления]]-Таблица1[[#This Row],[Дата рождения]]</f>
        <v>0</v>
      </c>
    </row>
    <row r="2123" spans="22:23" ht="24.75" customHeight="1" x14ac:dyDescent="0.25">
      <c r="V2123" s="47">
        <f>Таблица1[[#This Row],[Дата перевода]]-Таблица1[[#This Row],[Дата поступления]]</f>
        <v>0</v>
      </c>
      <c r="W2123" s="47">
        <f>Таблица1[[#This Row],[Дата поступления]]-Таблица1[[#This Row],[Дата рождения]]</f>
        <v>0</v>
      </c>
    </row>
    <row r="2124" spans="22:23" ht="24.75" customHeight="1" x14ac:dyDescent="0.25">
      <c r="V2124" s="47">
        <f>Таблица1[[#This Row],[Дата перевода]]-Таблица1[[#This Row],[Дата поступления]]</f>
        <v>0</v>
      </c>
      <c r="W2124" s="47">
        <f>Таблица1[[#This Row],[Дата поступления]]-Таблица1[[#This Row],[Дата рождения]]</f>
        <v>0</v>
      </c>
    </row>
    <row r="2125" spans="22:23" ht="24.75" customHeight="1" x14ac:dyDescent="0.25">
      <c r="V2125" s="47">
        <f>Таблица1[[#This Row],[Дата перевода]]-Таблица1[[#This Row],[Дата поступления]]</f>
        <v>0</v>
      </c>
      <c r="W2125" s="47">
        <f>Таблица1[[#This Row],[Дата поступления]]-Таблица1[[#This Row],[Дата рождения]]</f>
        <v>0</v>
      </c>
    </row>
    <row r="2126" spans="22:23" ht="24.75" customHeight="1" x14ac:dyDescent="0.25">
      <c r="V2126" s="47">
        <f>Таблица1[[#This Row],[Дата перевода]]-Таблица1[[#This Row],[Дата поступления]]</f>
        <v>0</v>
      </c>
      <c r="W2126" s="47">
        <f>Таблица1[[#This Row],[Дата поступления]]-Таблица1[[#This Row],[Дата рождения]]</f>
        <v>0</v>
      </c>
    </row>
    <row r="2127" spans="22:23" ht="24.75" customHeight="1" x14ac:dyDescent="0.25">
      <c r="V2127" s="47">
        <f>Таблица1[[#This Row],[Дата перевода]]-Таблица1[[#This Row],[Дата поступления]]</f>
        <v>0</v>
      </c>
      <c r="W2127" s="47">
        <f>Таблица1[[#This Row],[Дата поступления]]-Таблица1[[#This Row],[Дата рождения]]</f>
        <v>0</v>
      </c>
    </row>
    <row r="2128" spans="22:23" ht="24.75" customHeight="1" x14ac:dyDescent="0.25">
      <c r="V2128" s="47">
        <f>Таблица1[[#This Row],[Дата перевода]]-Таблица1[[#This Row],[Дата поступления]]</f>
        <v>0</v>
      </c>
      <c r="W2128" s="47">
        <f>Таблица1[[#This Row],[Дата поступления]]-Таблица1[[#This Row],[Дата рождения]]</f>
        <v>0</v>
      </c>
    </row>
    <row r="2129" spans="22:23" ht="24.75" customHeight="1" x14ac:dyDescent="0.25">
      <c r="V2129" s="47">
        <f>Таблица1[[#This Row],[Дата перевода]]-Таблица1[[#This Row],[Дата поступления]]</f>
        <v>0</v>
      </c>
      <c r="W2129" s="47">
        <f>Таблица1[[#This Row],[Дата поступления]]-Таблица1[[#This Row],[Дата рождения]]</f>
        <v>0</v>
      </c>
    </row>
    <row r="2130" spans="22:23" ht="24.75" customHeight="1" x14ac:dyDescent="0.25">
      <c r="V2130" s="47">
        <f>Таблица1[[#This Row],[Дата перевода]]-Таблица1[[#This Row],[Дата поступления]]</f>
        <v>0</v>
      </c>
      <c r="W2130" s="47">
        <f>Таблица1[[#This Row],[Дата поступления]]-Таблица1[[#This Row],[Дата рождения]]</f>
        <v>0</v>
      </c>
    </row>
    <row r="2131" spans="22:23" ht="24.75" customHeight="1" x14ac:dyDescent="0.25">
      <c r="V2131" s="47">
        <f>Таблица1[[#This Row],[Дата перевода]]-Таблица1[[#This Row],[Дата поступления]]</f>
        <v>0</v>
      </c>
      <c r="W2131" s="47">
        <f>Таблица1[[#This Row],[Дата поступления]]-Таблица1[[#This Row],[Дата рождения]]</f>
        <v>0</v>
      </c>
    </row>
    <row r="2132" spans="22:23" ht="24.75" customHeight="1" x14ac:dyDescent="0.25">
      <c r="V2132" s="47">
        <f>Таблица1[[#This Row],[Дата перевода]]-Таблица1[[#This Row],[Дата поступления]]</f>
        <v>0</v>
      </c>
      <c r="W2132" s="47">
        <f>Таблица1[[#This Row],[Дата поступления]]-Таблица1[[#This Row],[Дата рождения]]</f>
        <v>0</v>
      </c>
    </row>
    <row r="2133" spans="22:23" ht="24.75" customHeight="1" x14ac:dyDescent="0.25">
      <c r="V2133" s="47">
        <f>Таблица1[[#This Row],[Дата перевода]]-Таблица1[[#This Row],[Дата поступления]]</f>
        <v>0</v>
      </c>
      <c r="W2133" s="47">
        <f>Таблица1[[#This Row],[Дата поступления]]-Таблица1[[#This Row],[Дата рождения]]</f>
        <v>0</v>
      </c>
    </row>
    <row r="2134" spans="22:23" ht="24.75" customHeight="1" x14ac:dyDescent="0.25">
      <c r="V2134" s="47">
        <f>Таблица1[[#This Row],[Дата перевода]]-Таблица1[[#This Row],[Дата поступления]]</f>
        <v>0</v>
      </c>
      <c r="W2134" s="47">
        <f>Таблица1[[#This Row],[Дата поступления]]-Таблица1[[#This Row],[Дата рождения]]</f>
        <v>0</v>
      </c>
    </row>
    <row r="2135" spans="22:23" ht="24.75" customHeight="1" x14ac:dyDescent="0.25">
      <c r="V2135" s="47">
        <f>Таблица1[[#This Row],[Дата перевода]]-Таблица1[[#This Row],[Дата поступления]]</f>
        <v>0</v>
      </c>
      <c r="W2135" s="47">
        <f>Таблица1[[#This Row],[Дата поступления]]-Таблица1[[#This Row],[Дата рождения]]</f>
        <v>0</v>
      </c>
    </row>
    <row r="2136" spans="22:23" ht="24.75" customHeight="1" x14ac:dyDescent="0.25">
      <c r="V2136" s="47">
        <f>Таблица1[[#This Row],[Дата перевода]]-Таблица1[[#This Row],[Дата поступления]]</f>
        <v>0</v>
      </c>
      <c r="W2136" s="47">
        <f>Таблица1[[#This Row],[Дата поступления]]-Таблица1[[#This Row],[Дата рождения]]</f>
        <v>0</v>
      </c>
    </row>
    <row r="2137" spans="22:23" ht="24.75" customHeight="1" x14ac:dyDescent="0.25">
      <c r="V2137" s="47">
        <f>Таблица1[[#This Row],[Дата перевода]]-Таблица1[[#This Row],[Дата поступления]]</f>
        <v>0</v>
      </c>
      <c r="W2137" s="47">
        <f>Таблица1[[#This Row],[Дата поступления]]-Таблица1[[#This Row],[Дата рождения]]</f>
        <v>0</v>
      </c>
    </row>
    <row r="2138" spans="22:23" ht="24.75" customHeight="1" x14ac:dyDescent="0.25">
      <c r="V2138" s="47">
        <f>Таблица1[[#This Row],[Дата перевода]]-Таблица1[[#This Row],[Дата поступления]]</f>
        <v>0</v>
      </c>
      <c r="W2138" s="47">
        <f>Таблица1[[#This Row],[Дата поступления]]-Таблица1[[#This Row],[Дата рождения]]</f>
        <v>0</v>
      </c>
    </row>
    <row r="2139" spans="22:23" ht="24.75" customHeight="1" x14ac:dyDescent="0.25">
      <c r="V2139" s="47">
        <f>Таблица1[[#This Row],[Дата перевода]]-Таблица1[[#This Row],[Дата поступления]]</f>
        <v>0</v>
      </c>
      <c r="W2139" s="47">
        <f>Таблица1[[#This Row],[Дата поступления]]-Таблица1[[#This Row],[Дата рождения]]</f>
        <v>0</v>
      </c>
    </row>
    <row r="2140" spans="22:23" ht="24.75" customHeight="1" x14ac:dyDescent="0.25">
      <c r="V2140" s="47">
        <f>Таблица1[[#This Row],[Дата перевода]]-Таблица1[[#This Row],[Дата поступления]]</f>
        <v>0</v>
      </c>
      <c r="W2140" s="47">
        <f>Таблица1[[#This Row],[Дата поступления]]-Таблица1[[#This Row],[Дата рождения]]</f>
        <v>0</v>
      </c>
    </row>
    <row r="2141" spans="22:23" ht="24.75" customHeight="1" x14ac:dyDescent="0.25">
      <c r="V2141" s="47">
        <f>Таблица1[[#This Row],[Дата перевода]]-Таблица1[[#This Row],[Дата поступления]]</f>
        <v>0</v>
      </c>
      <c r="W2141" s="47">
        <f>Таблица1[[#This Row],[Дата поступления]]-Таблица1[[#This Row],[Дата рождения]]</f>
        <v>0</v>
      </c>
    </row>
    <row r="2142" spans="22:23" ht="24.75" customHeight="1" x14ac:dyDescent="0.25">
      <c r="V2142" s="47">
        <f>Таблица1[[#This Row],[Дата перевода]]-Таблица1[[#This Row],[Дата поступления]]</f>
        <v>0</v>
      </c>
      <c r="W2142" s="47">
        <f>Таблица1[[#This Row],[Дата поступления]]-Таблица1[[#This Row],[Дата рождения]]</f>
        <v>0</v>
      </c>
    </row>
    <row r="2143" spans="22:23" ht="24.75" customHeight="1" x14ac:dyDescent="0.25">
      <c r="V2143" s="47">
        <f>Таблица1[[#This Row],[Дата перевода]]-Таблица1[[#This Row],[Дата поступления]]</f>
        <v>0</v>
      </c>
      <c r="W2143" s="47">
        <f>Таблица1[[#This Row],[Дата поступления]]-Таблица1[[#This Row],[Дата рождения]]</f>
        <v>0</v>
      </c>
    </row>
    <row r="2144" spans="22:23" ht="24.75" customHeight="1" x14ac:dyDescent="0.25">
      <c r="V2144" s="47">
        <f>Таблица1[[#This Row],[Дата перевода]]-Таблица1[[#This Row],[Дата поступления]]</f>
        <v>0</v>
      </c>
      <c r="W2144" s="47">
        <f>Таблица1[[#This Row],[Дата поступления]]-Таблица1[[#This Row],[Дата рождения]]</f>
        <v>0</v>
      </c>
    </row>
    <row r="2145" spans="22:23" ht="24.75" customHeight="1" x14ac:dyDescent="0.25">
      <c r="V2145" s="47">
        <f>Таблица1[[#This Row],[Дата перевода]]-Таблица1[[#This Row],[Дата поступления]]</f>
        <v>0</v>
      </c>
      <c r="W2145" s="47">
        <f>Таблица1[[#This Row],[Дата поступления]]-Таблица1[[#This Row],[Дата рождения]]</f>
        <v>0</v>
      </c>
    </row>
    <row r="2146" spans="22:23" ht="24.75" customHeight="1" x14ac:dyDescent="0.25">
      <c r="V2146" s="47">
        <f>Таблица1[[#This Row],[Дата перевода]]-Таблица1[[#This Row],[Дата поступления]]</f>
        <v>0</v>
      </c>
      <c r="W2146" s="47">
        <f>Таблица1[[#This Row],[Дата поступления]]-Таблица1[[#This Row],[Дата рождения]]</f>
        <v>0</v>
      </c>
    </row>
    <row r="2147" spans="22:23" ht="24.75" customHeight="1" x14ac:dyDescent="0.25">
      <c r="V2147" s="47">
        <f>Таблица1[[#This Row],[Дата перевода]]-Таблица1[[#This Row],[Дата поступления]]</f>
        <v>0</v>
      </c>
      <c r="W2147" s="47">
        <f>Таблица1[[#This Row],[Дата поступления]]-Таблица1[[#This Row],[Дата рождения]]</f>
        <v>0</v>
      </c>
    </row>
    <row r="2148" spans="22:23" ht="24.75" customHeight="1" x14ac:dyDescent="0.25">
      <c r="V2148" s="47">
        <f>Таблица1[[#This Row],[Дата перевода]]-Таблица1[[#This Row],[Дата поступления]]</f>
        <v>0</v>
      </c>
      <c r="W2148" s="47">
        <f>Таблица1[[#This Row],[Дата поступления]]-Таблица1[[#This Row],[Дата рождения]]</f>
        <v>0</v>
      </c>
    </row>
    <row r="2149" spans="22:23" ht="24.75" customHeight="1" x14ac:dyDescent="0.25">
      <c r="V2149" s="47">
        <f>Таблица1[[#This Row],[Дата перевода]]-Таблица1[[#This Row],[Дата поступления]]</f>
        <v>0</v>
      </c>
      <c r="W2149" s="47">
        <f>Таблица1[[#This Row],[Дата поступления]]-Таблица1[[#This Row],[Дата рождения]]</f>
        <v>0</v>
      </c>
    </row>
    <row r="2150" spans="22:23" ht="24.75" customHeight="1" x14ac:dyDescent="0.25">
      <c r="V2150" s="47">
        <f>Таблица1[[#This Row],[Дата перевода]]-Таблица1[[#This Row],[Дата поступления]]</f>
        <v>0</v>
      </c>
      <c r="W2150" s="47">
        <f>Таблица1[[#This Row],[Дата поступления]]-Таблица1[[#This Row],[Дата рождения]]</f>
        <v>0</v>
      </c>
    </row>
    <row r="2151" spans="22:23" ht="24.75" customHeight="1" x14ac:dyDescent="0.25">
      <c r="V2151" s="47">
        <f>Таблица1[[#This Row],[Дата перевода]]-Таблица1[[#This Row],[Дата поступления]]</f>
        <v>0</v>
      </c>
      <c r="W2151" s="47">
        <f>Таблица1[[#This Row],[Дата поступления]]-Таблица1[[#This Row],[Дата рождения]]</f>
        <v>0</v>
      </c>
    </row>
    <row r="2152" spans="22:23" ht="24.75" customHeight="1" x14ac:dyDescent="0.25">
      <c r="V2152" s="47">
        <f>Таблица1[[#This Row],[Дата перевода]]-Таблица1[[#This Row],[Дата поступления]]</f>
        <v>0</v>
      </c>
      <c r="W2152" s="47">
        <f>Таблица1[[#This Row],[Дата поступления]]-Таблица1[[#This Row],[Дата рождения]]</f>
        <v>0</v>
      </c>
    </row>
    <row r="2153" spans="22:23" ht="24.75" customHeight="1" x14ac:dyDescent="0.25">
      <c r="V2153" s="47">
        <f>Таблица1[[#This Row],[Дата перевода]]-Таблица1[[#This Row],[Дата поступления]]</f>
        <v>0</v>
      </c>
      <c r="W2153" s="47">
        <f>Таблица1[[#This Row],[Дата поступления]]-Таблица1[[#This Row],[Дата рождения]]</f>
        <v>0</v>
      </c>
    </row>
    <row r="2154" spans="22:23" ht="24.75" customHeight="1" x14ac:dyDescent="0.25">
      <c r="V2154" s="47">
        <f>Таблица1[[#This Row],[Дата перевода]]-Таблица1[[#This Row],[Дата поступления]]</f>
        <v>0</v>
      </c>
      <c r="W2154" s="47">
        <f>Таблица1[[#This Row],[Дата поступления]]-Таблица1[[#This Row],[Дата рождения]]</f>
        <v>0</v>
      </c>
    </row>
    <row r="2155" spans="22:23" ht="24.75" customHeight="1" x14ac:dyDescent="0.25">
      <c r="V2155" s="47">
        <f>Таблица1[[#This Row],[Дата перевода]]-Таблица1[[#This Row],[Дата поступления]]</f>
        <v>0</v>
      </c>
      <c r="W2155" s="47">
        <f>Таблица1[[#This Row],[Дата поступления]]-Таблица1[[#This Row],[Дата рождения]]</f>
        <v>0</v>
      </c>
    </row>
    <row r="2156" spans="22:23" ht="24.75" customHeight="1" x14ac:dyDescent="0.25">
      <c r="V2156" s="47">
        <f>Таблица1[[#This Row],[Дата перевода]]-Таблица1[[#This Row],[Дата поступления]]</f>
        <v>0</v>
      </c>
      <c r="W2156" s="47">
        <f>Таблица1[[#This Row],[Дата поступления]]-Таблица1[[#This Row],[Дата рождения]]</f>
        <v>0</v>
      </c>
    </row>
    <row r="2157" spans="22:23" ht="24.75" customHeight="1" x14ac:dyDescent="0.25">
      <c r="V2157" s="47">
        <f>Таблица1[[#This Row],[Дата перевода]]-Таблица1[[#This Row],[Дата поступления]]</f>
        <v>0</v>
      </c>
      <c r="W2157" s="47">
        <f>Таблица1[[#This Row],[Дата поступления]]-Таблица1[[#This Row],[Дата рождения]]</f>
        <v>0</v>
      </c>
    </row>
    <row r="2158" spans="22:23" ht="24.75" customHeight="1" x14ac:dyDescent="0.25">
      <c r="V2158" s="47">
        <f>Таблица1[[#This Row],[Дата перевода]]-Таблица1[[#This Row],[Дата поступления]]</f>
        <v>0</v>
      </c>
      <c r="W2158" s="47">
        <f>Таблица1[[#This Row],[Дата поступления]]-Таблица1[[#This Row],[Дата рождения]]</f>
        <v>0</v>
      </c>
    </row>
    <row r="2159" spans="22:23" ht="24.75" customHeight="1" x14ac:dyDescent="0.25">
      <c r="V2159" s="47">
        <f>Таблица1[[#This Row],[Дата перевода]]-Таблица1[[#This Row],[Дата поступления]]</f>
        <v>0</v>
      </c>
      <c r="W2159" s="47">
        <f>Таблица1[[#This Row],[Дата поступления]]-Таблица1[[#This Row],[Дата рождения]]</f>
        <v>0</v>
      </c>
    </row>
    <row r="2160" spans="22:23" ht="24.75" customHeight="1" x14ac:dyDescent="0.25">
      <c r="V2160" s="47">
        <f>Таблица1[[#This Row],[Дата перевода]]-Таблица1[[#This Row],[Дата поступления]]</f>
        <v>0</v>
      </c>
      <c r="W2160" s="47">
        <f>Таблица1[[#This Row],[Дата поступления]]-Таблица1[[#This Row],[Дата рождения]]</f>
        <v>0</v>
      </c>
    </row>
    <row r="2161" spans="22:23" ht="24.75" customHeight="1" x14ac:dyDescent="0.25">
      <c r="V2161" s="47">
        <f>Таблица1[[#This Row],[Дата перевода]]-Таблица1[[#This Row],[Дата поступления]]</f>
        <v>0</v>
      </c>
      <c r="W2161" s="47">
        <f>Таблица1[[#This Row],[Дата поступления]]-Таблица1[[#This Row],[Дата рождения]]</f>
        <v>0</v>
      </c>
    </row>
    <row r="2162" spans="22:23" ht="24.75" customHeight="1" x14ac:dyDescent="0.25">
      <c r="V2162" s="47">
        <f>Таблица1[[#This Row],[Дата перевода]]-Таблица1[[#This Row],[Дата поступления]]</f>
        <v>0</v>
      </c>
      <c r="W2162" s="47">
        <f>Таблица1[[#This Row],[Дата поступления]]-Таблица1[[#This Row],[Дата рождения]]</f>
        <v>0</v>
      </c>
    </row>
    <row r="2163" spans="22:23" ht="24.75" customHeight="1" x14ac:dyDescent="0.25">
      <c r="V2163" s="47">
        <f>Таблица1[[#This Row],[Дата перевода]]-Таблица1[[#This Row],[Дата поступления]]</f>
        <v>0</v>
      </c>
      <c r="W2163" s="47">
        <f>Таблица1[[#This Row],[Дата поступления]]-Таблица1[[#This Row],[Дата рождения]]</f>
        <v>0</v>
      </c>
    </row>
    <row r="2164" spans="22:23" ht="24.75" customHeight="1" x14ac:dyDescent="0.25">
      <c r="V2164" s="47">
        <f>Таблица1[[#This Row],[Дата перевода]]-Таблица1[[#This Row],[Дата поступления]]</f>
        <v>0</v>
      </c>
      <c r="W2164" s="47">
        <f>Таблица1[[#This Row],[Дата поступления]]-Таблица1[[#This Row],[Дата рождения]]</f>
        <v>0</v>
      </c>
    </row>
    <row r="2165" spans="22:23" ht="24.75" customHeight="1" x14ac:dyDescent="0.25">
      <c r="V2165" s="47">
        <f>Таблица1[[#This Row],[Дата перевода]]-Таблица1[[#This Row],[Дата поступления]]</f>
        <v>0</v>
      </c>
      <c r="W2165" s="47">
        <f>Таблица1[[#This Row],[Дата поступления]]-Таблица1[[#This Row],[Дата рождения]]</f>
        <v>0</v>
      </c>
    </row>
    <row r="2166" spans="22:23" ht="24.75" customHeight="1" x14ac:dyDescent="0.25">
      <c r="V2166" s="47">
        <f>Таблица1[[#This Row],[Дата перевода]]-Таблица1[[#This Row],[Дата поступления]]</f>
        <v>0</v>
      </c>
      <c r="W2166" s="47">
        <f>Таблица1[[#This Row],[Дата поступления]]-Таблица1[[#This Row],[Дата рождения]]</f>
        <v>0</v>
      </c>
    </row>
    <row r="2167" spans="22:23" ht="24.75" customHeight="1" x14ac:dyDescent="0.25">
      <c r="V2167" s="47">
        <f>Таблица1[[#This Row],[Дата перевода]]-Таблица1[[#This Row],[Дата поступления]]</f>
        <v>0</v>
      </c>
      <c r="W2167" s="47">
        <f>Таблица1[[#This Row],[Дата поступления]]-Таблица1[[#This Row],[Дата рождения]]</f>
        <v>0</v>
      </c>
    </row>
    <row r="2168" spans="22:23" ht="24.75" customHeight="1" x14ac:dyDescent="0.25">
      <c r="V2168" s="47">
        <f>Таблица1[[#This Row],[Дата перевода]]-Таблица1[[#This Row],[Дата поступления]]</f>
        <v>0</v>
      </c>
      <c r="W2168" s="47">
        <f>Таблица1[[#This Row],[Дата поступления]]-Таблица1[[#This Row],[Дата рождения]]</f>
        <v>0</v>
      </c>
    </row>
    <row r="2169" spans="22:23" ht="24.75" customHeight="1" x14ac:dyDescent="0.25">
      <c r="V2169" s="47">
        <f>Таблица1[[#This Row],[Дата перевода]]-Таблица1[[#This Row],[Дата поступления]]</f>
        <v>0</v>
      </c>
      <c r="W2169" s="47">
        <f>Таблица1[[#This Row],[Дата поступления]]-Таблица1[[#This Row],[Дата рождения]]</f>
        <v>0</v>
      </c>
    </row>
    <row r="2170" spans="22:23" ht="24.75" customHeight="1" x14ac:dyDescent="0.25">
      <c r="V2170" s="47">
        <f>Таблица1[[#This Row],[Дата перевода]]-Таблица1[[#This Row],[Дата поступления]]</f>
        <v>0</v>
      </c>
      <c r="W2170" s="47">
        <f>Таблица1[[#This Row],[Дата поступления]]-Таблица1[[#This Row],[Дата рождения]]</f>
        <v>0</v>
      </c>
    </row>
    <row r="2171" spans="22:23" ht="24.75" customHeight="1" x14ac:dyDescent="0.25">
      <c r="V2171" s="47">
        <f>Таблица1[[#This Row],[Дата перевода]]-Таблица1[[#This Row],[Дата поступления]]</f>
        <v>0</v>
      </c>
      <c r="W2171" s="47">
        <f>Таблица1[[#This Row],[Дата поступления]]-Таблица1[[#This Row],[Дата рождения]]</f>
        <v>0</v>
      </c>
    </row>
    <row r="2172" spans="22:23" ht="24.75" customHeight="1" x14ac:dyDescent="0.25">
      <c r="V2172" s="47">
        <f>Таблица1[[#This Row],[Дата перевода]]-Таблица1[[#This Row],[Дата поступления]]</f>
        <v>0</v>
      </c>
      <c r="W2172" s="47">
        <f>Таблица1[[#This Row],[Дата поступления]]-Таблица1[[#This Row],[Дата рождения]]</f>
        <v>0</v>
      </c>
    </row>
    <row r="2173" spans="22:23" ht="24.75" customHeight="1" x14ac:dyDescent="0.25">
      <c r="V2173" s="47">
        <f>Таблица1[[#This Row],[Дата перевода]]-Таблица1[[#This Row],[Дата поступления]]</f>
        <v>0</v>
      </c>
      <c r="W2173" s="47">
        <f>Таблица1[[#This Row],[Дата поступления]]-Таблица1[[#This Row],[Дата рождения]]</f>
        <v>0</v>
      </c>
    </row>
    <row r="2174" spans="22:23" ht="24.75" customHeight="1" x14ac:dyDescent="0.25">
      <c r="V2174" s="47">
        <f>Таблица1[[#This Row],[Дата перевода]]-Таблица1[[#This Row],[Дата поступления]]</f>
        <v>0</v>
      </c>
      <c r="W2174" s="47">
        <f>Таблица1[[#This Row],[Дата поступления]]-Таблица1[[#This Row],[Дата рождения]]</f>
        <v>0</v>
      </c>
    </row>
    <row r="2175" spans="22:23" ht="24.75" customHeight="1" x14ac:dyDescent="0.25">
      <c r="V2175" s="47">
        <f>Таблица1[[#This Row],[Дата перевода]]-Таблица1[[#This Row],[Дата поступления]]</f>
        <v>0</v>
      </c>
      <c r="W2175" s="47">
        <f>Таблица1[[#This Row],[Дата поступления]]-Таблица1[[#This Row],[Дата рождения]]</f>
        <v>0</v>
      </c>
    </row>
    <row r="2176" spans="22:23" ht="24.75" customHeight="1" x14ac:dyDescent="0.25">
      <c r="V2176" s="47">
        <f>Таблица1[[#This Row],[Дата перевода]]-Таблица1[[#This Row],[Дата поступления]]</f>
        <v>0</v>
      </c>
      <c r="W2176" s="47">
        <f>Таблица1[[#This Row],[Дата поступления]]-Таблица1[[#This Row],[Дата рождения]]</f>
        <v>0</v>
      </c>
    </row>
    <row r="2177" spans="22:23" ht="24.75" customHeight="1" x14ac:dyDescent="0.25">
      <c r="V2177" s="47">
        <f>Таблица1[[#This Row],[Дата перевода]]-Таблица1[[#This Row],[Дата поступления]]</f>
        <v>0</v>
      </c>
      <c r="W2177" s="47">
        <f>Таблица1[[#This Row],[Дата поступления]]-Таблица1[[#This Row],[Дата рождения]]</f>
        <v>0</v>
      </c>
    </row>
    <row r="2178" spans="22:23" ht="24.75" customHeight="1" x14ac:dyDescent="0.25">
      <c r="V2178" s="47">
        <f>Таблица1[[#This Row],[Дата перевода]]-Таблица1[[#This Row],[Дата поступления]]</f>
        <v>0</v>
      </c>
      <c r="W2178" s="47">
        <f>Таблица1[[#This Row],[Дата поступления]]-Таблица1[[#This Row],[Дата рождения]]</f>
        <v>0</v>
      </c>
    </row>
    <row r="2179" spans="22:23" ht="24.75" customHeight="1" x14ac:dyDescent="0.25">
      <c r="V2179" s="47">
        <f>Таблица1[[#This Row],[Дата перевода]]-Таблица1[[#This Row],[Дата поступления]]</f>
        <v>0</v>
      </c>
      <c r="W2179" s="47">
        <f>Таблица1[[#This Row],[Дата поступления]]-Таблица1[[#This Row],[Дата рождения]]</f>
        <v>0</v>
      </c>
    </row>
    <row r="2180" spans="22:23" ht="24.75" customHeight="1" x14ac:dyDescent="0.25">
      <c r="V2180" s="47">
        <f>Таблица1[[#This Row],[Дата перевода]]-Таблица1[[#This Row],[Дата поступления]]</f>
        <v>0</v>
      </c>
      <c r="W2180" s="47">
        <f>Таблица1[[#This Row],[Дата поступления]]-Таблица1[[#This Row],[Дата рождения]]</f>
        <v>0</v>
      </c>
    </row>
    <row r="2181" spans="22:23" ht="24.75" customHeight="1" x14ac:dyDescent="0.25">
      <c r="V2181" s="47">
        <f>Таблица1[[#This Row],[Дата перевода]]-Таблица1[[#This Row],[Дата поступления]]</f>
        <v>0</v>
      </c>
      <c r="W2181" s="47">
        <f>Таблица1[[#This Row],[Дата поступления]]-Таблица1[[#This Row],[Дата рождения]]</f>
        <v>0</v>
      </c>
    </row>
    <row r="2182" spans="22:23" ht="24.75" customHeight="1" x14ac:dyDescent="0.25">
      <c r="V2182" s="47">
        <f>Таблица1[[#This Row],[Дата перевода]]-Таблица1[[#This Row],[Дата поступления]]</f>
        <v>0</v>
      </c>
      <c r="W2182" s="47">
        <f>Таблица1[[#This Row],[Дата поступления]]-Таблица1[[#This Row],[Дата рождения]]</f>
        <v>0</v>
      </c>
    </row>
    <row r="2183" spans="22:23" ht="24.75" customHeight="1" x14ac:dyDescent="0.25">
      <c r="V2183" s="47">
        <f>Таблица1[[#This Row],[Дата перевода]]-Таблица1[[#This Row],[Дата поступления]]</f>
        <v>0</v>
      </c>
      <c r="W2183" s="47">
        <f>Таблица1[[#This Row],[Дата поступления]]-Таблица1[[#This Row],[Дата рождения]]</f>
        <v>0</v>
      </c>
    </row>
    <row r="2184" spans="22:23" ht="24.75" customHeight="1" x14ac:dyDescent="0.25">
      <c r="V2184" s="47">
        <f>Таблица1[[#This Row],[Дата перевода]]-Таблица1[[#This Row],[Дата поступления]]</f>
        <v>0</v>
      </c>
      <c r="W2184" s="47">
        <f>Таблица1[[#This Row],[Дата поступления]]-Таблица1[[#This Row],[Дата рождения]]</f>
        <v>0</v>
      </c>
    </row>
    <row r="2185" spans="22:23" ht="24.75" customHeight="1" x14ac:dyDescent="0.25">
      <c r="V2185" s="47">
        <f>Таблица1[[#This Row],[Дата перевода]]-Таблица1[[#This Row],[Дата поступления]]</f>
        <v>0</v>
      </c>
      <c r="W2185" s="47">
        <f>Таблица1[[#This Row],[Дата поступления]]-Таблица1[[#This Row],[Дата рождения]]</f>
        <v>0</v>
      </c>
    </row>
    <row r="2186" spans="22:23" ht="24.75" customHeight="1" x14ac:dyDescent="0.25">
      <c r="V2186" s="47">
        <f>Таблица1[[#This Row],[Дата перевода]]-Таблица1[[#This Row],[Дата поступления]]</f>
        <v>0</v>
      </c>
      <c r="W2186" s="47">
        <f>Таблица1[[#This Row],[Дата поступления]]-Таблица1[[#This Row],[Дата рождения]]</f>
        <v>0</v>
      </c>
    </row>
    <row r="2187" spans="22:23" ht="24.75" customHeight="1" x14ac:dyDescent="0.25">
      <c r="V2187" s="47">
        <f>Таблица1[[#This Row],[Дата перевода]]-Таблица1[[#This Row],[Дата поступления]]</f>
        <v>0</v>
      </c>
      <c r="W2187" s="47">
        <f>Таблица1[[#This Row],[Дата поступления]]-Таблица1[[#This Row],[Дата рождения]]</f>
        <v>0</v>
      </c>
    </row>
    <row r="2188" spans="22:23" ht="24.75" customHeight="1" x14ac:dyDescent="0.25">
      <c r="V2188" s="47">
        <f>Таблица1[[#This Row],[Дата перевода]]-Таблица1[[#This Row],[Дата поступления]]</f>
        <v>0</v>
      </c>
      <c r="W2188" s="47">
        <f>Таблица1[[#This Row],[Дата поступления]]-Таблица1[[#This Row],[Дата рождения]]</f>
        <v>0</v>
      </c>
    </row>
    <row r="2189" spans="22:23" ht="24.75" customHeight="1" x14ac:dyDescent="0.25">
      <c r="V2189" s="47">
        <f>Таблица1[[#This Row],[Дата перевода]]-Таблица1[[#This Row],[Дата поступления]]</f>
        <v>0</v>
      </c>
      <c r="W2189" s="47">
        <f>Таблица1[[#This Row],[Дата поступления]]-Таблица1[[#This Row],[Дата рождения]]</f>
        <v>0</v>
      </c>
    </row>
    <row r="2190" spans="22:23" ht="24.75" customHeight="1" x14ac:dyDescent="0.25">
      <c r="V2190" s="47">
        <f>Таблица1[[#This Row],[Дата перевода]]-Таблица1[[#This Row],[Дата поступления]]</f>
        <v>0</v>
      </c>
      <c r="W2190" s="47">
        <f>Таблица1[[#This Row],[Дата поступления]]-Таблица1[[#This Row],[Дата рождения]]</f>
        <v>0</v>
      </c>
    </row>
    <row r="2191" spans="22:23" ht="24.75" customHeight="1" x14ac:dyDescent="0.25">
      <c r="V2191" s="47">
        <f>Таблица1[[#This Row],[Дата перевода]]-Таблица1[[#This Row],[Дата поступления]]</f>
        <v>0</v>
      </c>
      <c r="W2191" s="47">
        <f>Таблица1[[#This Row],[Дата поступления]]-Таблица1[[#This Row],[Дата рождения]]</f>
        <v>0</v>
      </c>
    </row>
    <row r="2192" spans="22:23" ht="24.75" customHeight="1" x14ac:dyDescent="0.25">
      <c r="V2192" s="47">
        <f>Таблица1[[#This Row],[Дата перевода]]-Таблица1[[#This Row],[Дата поступления]]</f>
        <v>0</v>
      </c>
      <c r="W2192" s="47">
        <f>Таблица1[[#This Row],[Дата поступления]]-Таблица1[[#This Row],[Дата рождения]]</f>
        <v>0</v>
      </c>
    </row>
    <row r="2193" spans="22:23" ht="24.75" customHeight="1" x14ac:dyDescent="0.25">
      <c r="V2193" s="47">
        <f>Таблица1[[#This Row],[Дата перевода]]-Таблица1[[#This Row],[Дата поступления]]</f>
        <v>0</v>
      </c>
      <c r="W2193" s="47">
        <f>Таблица1[[#This Row],[Дата поступления]]-Таблица1[[#This Row],[Дата рождения]]</f>
        <v>0</v>
      </c>
    </row>
    <row r="2194" spans="22:23" ht="24.75" customHeight="1" x14ac:dyDescent="0.25">
      <c r="V2194" s="47">
        <f>Таблица1[[#This Row],[Дата перевода]]-Таблица1[[#This Row],[Дата поступления]]</f>
        <v>0</v>
      </c>
      <c r="W2194" s="47">
        <f>Таблица1[[#This Row],[Дата поступления]]-Таблица1[[#This Row],[Дата рождения]]</f>
        <v>0</v>
      </c>
    </row>
    <row r="2195" spans="22:23" ht="24.75" customHeight="1" x14ac:dyDescent="0.25">
      <c r="V2195" s="47">
        <f>Таблица1[[#This Row],[Дата перевода]]-Таблица1[[#This Row],[Дата поступления]]</f>
        <v>0</v>
      </c>
      <c r="W2195" s="47">
        <f>Таблица1[[#This Row],[Дата поступления]]-Таблица1[[#This Row],[Дата рождения]]</f>
        <v>0</v>
      </c>
    </row>
    <row r="2196" spans="22:23" ht="24.75" customHeight="1" x14ac:dyDescent="0.25">
      <c r="V2196" s="47">
        <f>Таблица1[[#This Row],[Дата перевода]]-Таблица1[[#This Row],[Дата поступления]]</f>
        <v>0</v>
      </c>
      <c r="W2196" s="47">
        <f>Таблица1[[#This Row],[Дата поступления]]-Таблица1[[#This Row],[Дата рождения]]</f>
        <v>0</v>
      </c>
    </row>
    <row r="2197" spans="22:23" ht="24.75" customHeight="1" x14ac:dyDescent="0.25">
      <c r="V2197" s="47">
        <f>Таблица1[[#This Row],[Дата перевода]]-Таблица1[[#This Row],[Дата поступления]]</f>
        <v>0</v>
      </c>
      <c r="W2197" s="47">
        <f>Таблица1[[#This Row],[Дата поступления]]-Таблица1[[#This Row],[Дата рождения]]</f>
        <v>0</v>
      </c>
    </row>
    <row r="2198" spans="22:23" ht="24.75" customHeight="1" x14ac:dyDescent="0.25">
      <c r="V2198" s="47">
        <f>Таблица1[[#This Row],[Дата перевода]]-Таблица1[[#This Row],[Дата поступления]]</f>
        <v>0</v>
      </c>
      <c r="W2198" s="47">
        <f>Таблица1[[#This Row],[Дата поступления]]-Таблица1[[#This Row],[Дата рождения]]</f>
        <v>0</v>
      </c>
    </row>
    <row r="2199" spans="22:23" ht="24.75" customHeight="1" x14ac:dyDescent="0.25">
      <c r="V2199" s="47">
        <f>Таблица1[[#This Row],[Дата перевода]]-Таблица1[[#This Row],[Дата поступления]]</f>
        <v>0</v>
      </c>
      <c r="W2199" s="47">
        <f>Таблица1[[#This Row],[Дата поступления]]-Таблица1[[#This Row],[Дата рождения]]</f>
        <v>0</v>
      </c>
    </row>
    <row r="2200" spans="22:23" ht="24.75" customHeight="1" x14ac:dyDescent="0.25">
      <c r="V2200" s="47">
        <f>Таблица1[[#This Row],[Дата перевода]]-Таблица1[[#This Row],[Дата поступления]]</f>
        <v>0</v>
      </c>
      <c r="W2200" s="47">
        <f>Таблица1[[#This Row],[Дата поступления]]-Таблица1[[#This Row],[Дата рождения]]</f>
        <v>0</v>
      </c>
    </row>
    <row r="2201" spans="22:23" ht="24.75" customHeight="1" x14ac:dyDescent="0.25">
      <c r="V2201" s="47">
        <f>Таблица1[[#This Row],[Дата перевода]]-Таблица1[[#This Row],[Дата поступления]]</f>
        <v>0</v>
      </c>
      <c r="W2201" s="47">
        <f>Таблица1[[#This Row],[Дата поступления]]-Таблица1[[#This Row],[Дата рождения]]</f>
        <v>0</v>
      </c>
    </row>
    <row r="2202" spans="22:23" ht="24.75" customHeight="1" x14ac:dyDescent="0.25">
      <c r="V2202" s="47">
        <f>Таблица1[[#This Row],[Дата перевода]]-Таблица1[[#This Row],[Дата поступления]]</f>
        <v>0</v>
      </c>
      <c r="W2202" s="47">
        <f>Таблица1[[#This Row],[Дата поступления]]-Таблица1[[#This Row],[Дата рождения]]</f>
        <v>0</v>
      </c>
    </row>
    <row r="2203" spans="22:23" ht="24.75" customHeight="1" x14ac:dyDescent="0.25">
      <c r="V2203" s="47">
        <f>Таблица1[[#This Row],[Дата перевода]]-Таблица1[[#This Row],[Дата поступления]]</f>
        <v>0</v>
      </c>
      <c r="W2203" s="47">
        <f>Таблица1[[#This Row],[Дата поступления]]-Таблица1[[#This Row],[Дата рождения]]</f>
        <v>0</v>
      </c>
    </row>
    <row r="2204" spans="22:23" ht="24.75" customHeight="1" x14ac:dyDescent="0.25">
      <c r="V2204" s="47">
        <f>Таблица1[[#This Row],[Дата перевода]]-Таблица1[[#This Row],[Дата поступления]]</f>
        <v>0</v>
      </c>
      <c r="W2204" s="47">
        <f>Таблица1[[#This Row],[Дата поступления]]-Таблица1[[#This Row],[Дата рождения]]</f>
        <v>0</v>
      </c>
    </row>
    <row r="2205" spans="22:23" ht="24.75" customHeight="1" x14ac:dyDescent="0.25">
      <c r="V2205" s="47">
        <f>Таблица1[[#This Row],[Дата перевода]]-Таблица1[[#This Row],[Дата поступления]]</f>
        <v>0</v>
      </c>
      <c r="W2205" s="47">
        <f>Таблица1[[#This Row],[Дата поступления]]-Таблица1[[#This Row],[Дата рождения]]</f>
        <v>0</v>
      </c>
    </row>
    <row r="2206" spans="22:23" ht="24.75" customHeight="1" x14ac:dyDescent="0.25">
      <c r="V2206" s="47">
        <f>Таблица1[[#This Row],[Дата перевода]]-Таблица1[[#This Row],[Дата поступления]]</f>
        <v>0</v>
      </c>
      <c r="W2206" s="47">
        <f>Таблица1[[#This Row],[Дата поступления]]-Таблица1[[#This Row],[Дата рождения]]</f>
        <v>0</v>
      </c>
    </row>
    <row r="2207" spans="22:23" ht="24.75" customHeight="1" x14ac:dyDescent="0.25">
      <c r="V2207" s="47">
        <f>Таблица1[[#This Row],[Дата перевода]]-Таблица1[[#This Row],[Дата поступления]]</f>
        <v>0</v>
      </c>
      <c r="W2207" s="47">
        <f>Таблица1[[#This Row],[Дата поступления]]-Таблица1[[#This Row],[Дата рождения]]</f>
        <v>0</v>
      </c>
    </row>
    <row r="2208" spans="22:23" ht="24.75" customHeight="1" x14ac:dyDescent="0.25">
      <c r="V2208" s="47">
        <f>Таблица1[[#This Row],[Дата перевода]]-Таблица1[[#This Row],[Дата поступления]]</f>
        <v>0</v>
      </c>
      <c r="W2208" s="47">
        <f>Таблица1[[#This Row],[Дата поступления]]-Таблица1[[#This Row],[Дата рождения]]</f>
        <v>0</v>
      </c>
    </row>
    <row r="2209" spans="22:23" ht="24.75" customHeight="1" x14ac:dyDescent="0.25">
      <c r="V2209" s="47">
        <f>Таблица1[[#This Row],[Дата перевода]]-Таблица1[[#This Row],[Дата поступления]]</f>
        <v>0</v>
      </c>
      <c r="W2209" s="47">
        <f>Таблица1[[#This Row],[Дата поступления]]-Таблица1[[#This Row],[Дата рождения]]</f>
        <v>0</v>
      </c>
    </row>
    <row r="2210" spans="22:23" ht="24.75" customHeight="1" x14ac:dyDescent="0.25">
      <c r="V2210" s="47">
        <f>Таблица1[[#This Row],[Дата перевода]]-Таблица1[[#This Row],[Дата поступления]]</f>
        <v>0</v>
      </c>
      <c r="W2210" s="47">
        <f>Таблица1[[#This Row],[Дата поступления]]-Таблица1[[#This Row],[Дата рождения]]</f>
        <v>0</v>
      </c>
    </row>
    <row r="2211" spans="22:23" ht="24.75" customHeight="1" x14ac:dyDescent="0.25">
      <c r="V2211" s="47">
        <f>Таблица1[[#This Row],[Дата перевода]]-Таблица1[[#This Row],[Дата поступления]]</f>
        <v>0</v>
      </c>
      <c r="W2211" s="47">
        <f>Таблица1[[#This Row],[Дата поступления]]-Таблица1[[#This Row],[Дата рождения]]</f>
        <v>0</v>
      </c>
    </row>
    <row r="2212" spans="22:23" ht="24.75" customHeight="1" x14ac:dyDescent="0.25">
      <c r="V2212" s="47">
        <f>Таблица1[[#This Row],[Дата перевода]]-Таблица1[[#This Row],[Дата поступления]]</f>
        <v>0</v>
      </c>
      <c r="W2212" s="47">
        <f>Таблица1[[#This Row],[Дата поступления]]-Таблица1[[#This Row],[Дата рождения]]</f>
        <v>0</v>
      </c>
    </row>
    <row r="2213" spans="22:23" ht="24.75" customHeight="1" x14ac:dyDescent="0.25">
      <c r="V2213" s="47">
        <f>Таблица1[[#This Row],[Дата перевода]]-Таблица1[[#This Row],[Дата поступления]]</f>
        <v>0</v>
      </c>
      <c r="W2213" s="47">
        <f>Таблица1[[#This Row],[Дата поступления]]-Таблица1[[#This Row],[Дата рождения]]</f>
        <v>0</v>
      </c>
    </row>
    <row r="2214" spans="22:23" ht="24.75" customHeight="1" x14ac:dyDescent="0.25">
      <c r="V2214" s="47">
        <f>Таблица1[[#This Row],[Дата перевода]]-Таблица1[[#This Row],[Дата поступления]]</f>
        <v>0</v>
      </c>
      <c r="W2214" s="47">
        <f>Таблица1[[#This Row],[Дата поступления]]-Таблица1[[#This Row],[Дата рождения]]</f>
        <v>0</v>
      </c>
    </row>
    <row r="2215" spans="22:23" ht="24.75" customHeight="1" x14ac:dyDescent="0.25">
      <c r="V2215" s="47">
        <f>Таблица1[[#This Row],[Дата перевода]]-Таблица1[[#This Row],[Дата поступления]]</f>
        <v>0</v>
      </c>
      <c r="W2215" s="47">
        <f>Таблица1[[#This Row],[Дата поступления]]-Таблица1[[#This Row],[Дата рождения]]</f>
        <v>0</v>
      </c>
    </row>
    <row r="2216" spans="22:23" ht="24.75" customHeight="1" x14ac:dyDescent="0.25">
      <c r="V2216" s="47">
        <f>Таблица1[[#This Row],[Дата перевода]]-Таблица1[[#This Row],[Дата поступления]]</f>
        <v>0</v>
      </c>
      <c r="W2216" s="47">
        <f>Таблица1[[#This Row],[Дата поступления]]-Таблица1[[#This Row],[Дата рождения]]</f>
        <v>0</v>
      </c>
    </row>
    <row r="2217" spans="22:23" ht="24.75" customHeight="1" x14ac:dyDescent="0.25">
      <c r="V2217" s="47">
        <f>Таблица1[[#This Row],[Дата перевода]]-Таблица1[[#This Row],[Дата поступления]]</f>
        <v>0</v>
      </c>
      <c r="W2217" s="47">
        <f>Таблица1[[#This Row],[Дата поступления]]-Таблица1[[#This Row],[Дата рождения]]</f>
        <v>0</v>
      </c>
    </row>
    <row r="2218" spans="22:23" ht="24.75" customHeight="1" x14ac:dyDescent="0.25">
      <c r="V2218" s="47">
        <f>Таблица1[[#This Row],[Дата перевода]]-Таблица1[[#This Row],[Дата поступления]]</f>
        <v>0</v>
      </c>
      <c r="W2218" s="47">
        <f>Таблица1[[#This Row],[Дата поступления]]-Таблица1[[#This Row],[Дата рождения]]</f>
        <v>0</v>
      </c>
    </row>
    <row r="2219" spans="22:23" ht="24.75" customHeight="1" x14ac:dyDescent="0.25">
      <c r="V2219" s="47">
        <f>Таблица1[[#This Row],[Дата перевода]]-Таблица1[[#This Row],[Дата поступления]]</f>
        <v>0</v>
      </c>
      <c r="W2219" s="47">
        <f>Таблица1[[#This Row],[Дата поступления]]-Таблица1[[#This Row],[Дата рождения]]</f>
        <v>0</v>
      </c>
    </row>
    <row r="2220" spans="22:23" ht="24.75" customHeight="1" x14ac:dyDescent="0.25">
      <c r="V2220" s="47">
        <f>Таблица1[[#This Row],[Дата перевода]]-Таблица1[[#This Row],[Дата поступления]]</f>
        <v>0</v>
      </c>
      <c r="W2220" s="47">
        <f>Таблица1[[#This Row],[Дата поступления]]-Таблица1[[#This Row],[Дата рождения]]</f>
        <v>0</v>
      </c>
    </row>
    <row r="2221" spans="22:23" ht="24.75" customHeight="1" x14ac:dyDescent="0.25">
      <c r="V2221" s="47">
        <f>Таблица1[[#This Row],[Дата перевода]]-Таблица1[[#This Row],[Дата поступления]]</f>
        <v>0</v>
      </c>
      <c r="W2221" s="47">
        <f>Таблица1[[#This Row],[Дата поступления]]-Таблица1[[#This Row],[Дата рождения]]</f>
        <v>0</v>
      </c>
    </row>
    <row r="2222" spans="22:23" ht="24.75" customHeight="1" x14ac:dyDescent="0.25">
      <c r="V2222" s="47">
        <f>Таблица1[[#This Row],[Дата перевода]]-Таблица1[[#This Row],[Дата поступления]]</f>
        <v>0</v>
      </c>
      <c r="W2222" s="47">
        <f>Таблица1[[#This Row],[Дата поступления]]-Таблица1[[#This Row],[Дата рождения]]</f>
        <v>0</v>
      </c>
    </row>
    <row r="2223" spans="22:23" ht="24.75" customHeight="1" x14ac:dyDescent="0.25">
      <c r="V2223" s="47">
        <f>Таблица1[[#This Row],[Дата перевода]]-Таблица1[[#This Row],[Дата поступления]]</f>
        <v>0</v>
      </c>
      <c r="W2223" s="47">
        <f>Таблица1[[#This Row],[Дата поступления]]-Таблица1[[#This Row],[Дата рождения]]</f>
        <v>0</v>
      </c>
    </row>
    <row r="2224" spans="22:23" ht="24.75" customHeight="1" x14ac:dyDescent="0.25">
      <c r="V2224" s="47">
        <f>Таблица1[[#This Row],[Дата перевода]]-Таблица1[[#This Row],[Дата поступления]]</f>
        <v>0</v>
      </c>
      <c r="W2224" s="47">
        <f>Таблица1[[#This Row],[Дата поступления]]-Таблица1[[#This Row],[Дата рождения]]</f>
        <v>0</v>
      </c>
    </row>
    <row r="2225" spans="22:23" ht="24.75" customHeight="1" x14ac:dyDescent="0.25">
      <c r="V2225" s="47">
        <f>Таблица1[[#This Row],[Дата перевода]]-Таблица1[[#This Row],[Дата поступления]]</f>
        <v>0</v>
      </c>
      <c r="W2225" s="47">
        <f>Таблица1[[#This Row],[Дата поступления]]-Таблица1[[#This Row],[Дата рождения]]</f>
        <v>0</v>
      </c>
    </row>
    <row r="2226" spans="22:23" ht="24.75" customHeight="1" x14ac:dyDescent="0.25">
      <c r="V2226" s="47">
        <f>Таблица1[[#This Row],[Дата перевода]]-Таблица1[[#This Row],[Дата поступления]]</f>
        <v>0</v>
      </c>
      <c r="W2226" s="47">
        <f>Таблица1[[#This Row],[Дата поступления]]-Таблица1[[#This Row],[Дата рождения]]</f>
        <v>0</v>
      </c>
    </row>
    <row r="2227" spans="22:23" ht="24.75" customHeight="1" x14ac:dyDescent="0.25">
      <c r="V2227" s="47">
        <f>Таблица1[[#This Row],[Дата перевода]]-Таблица1[[#This Row],[Дата поступления]]</f>
        <v>0</v>
      </c>
      <c r="W2227" s="47">
        <f>Таблица1[[#This Row],[Дата поступления]]-Таблица1[[#This Row],[Дата рождения]]</f>
        <v>0</v>
      </c>
    </row>
    <row r="2228" spans="22:23" ht="24.75" customHeight="1" x14ac:dyDescent="0.25">
      <c r="V2228" s="47">
        <f>Таблица1[[#This Row],[Дата перевода]]-Таблица1[[#This Row],[Дата поступления]]</f>
        <v>0</v>
      </c>
      <c r="W2228" s="47">
        <f>Таблица1[[#This Row],[Дата поступления]]-Таблица1[[#This Row],[Дата рождения]]</f>
        <v>0</v>
      </c>
    </row>
    <row r="2229" spans="22:23" ht="24.75" customHeight="1" x14ac:dyDescent="0.25">
      <c r="V2229" s="47">
        <f>Таблица1[[#This Row],[Дата перевода]]-Таблица1[[#This Row],[Дата поступления]]</f>
        <v>0</v>
      </c>
      <c r="W2229" s="47">
        <f>Таблица1[[#This Row],[Дата поступления]]-Таблица1[[#This Row],[Дата рождения]]</f>
        <v>0</v>
      </c>
    </row>
    <row r="2230" spans="22:23" ht="24.75" customHeight="1" x14ac:dyDescent="0.25">
      <c r="V2230" s="47">
        <f>Таблица1[[#This Row],[Дата перевода]]-Таблица1[[#This Row],[Дата поступления]]</f>
        <v>0</v>
      </c>
      <c r="W2230" s="47">
        <f>Таблица1[[#This Row],[Дата поступления]]-Таблица1[[#This Row],[Дата рождения]]</f>
        <v>0</v>
      </c>
    </row>
    <row r="2231" spans="22:23" ht="24.75" customHeight="1" x14ac:dyDescent="0.25">
      <c r="V2231" s="47">
        <f>Таблица1[[#This Row],[Дата перевода]]-Таблица1[[#This Row],[Дата поступления]]</f>
        <v>0</v>
      </c>
      <c r="W2231" s="47">
        <f>Таблица1[[#This Row],[Дата поступления]]-Таблица1[[#This Row],[Дата рождения]]</f>
        <v>0</v>
      </c>
    </row>
    <row r="2232" spans="22:23" ht="24.75" customHeight="1" x14ac:dyDescent="0.25">
      <c r="V2232" s="47">
        <f>Таблица1[[#This Row],[Дата перевода]]-Таблица1[[#This Row],[Дата поступления]]</f>
        <v>0</v>
      </c>
      <c r="W2232" s="47">
        <f>Таблица1[[#This Row],[Дата поступления]]-Таблица1[[#This Row],[Дата рождения]]</f>
        <v>0</v>
      </c>
    </row>
    <row r="2233" spans="22:23" ht="24.75" customHeight="1" x14ac:dyDescent="0.25">
      <c r="V2233" s="47">
        <f>Таблица1[[#This Row],[Дата перевода]]-Таблица1[[#This Row],[Дата поступления]]</f>
        <v>0</v>
      </c>
      <c r="W2233" s="47">
        <f>Таблица1[[#This Row],[Дата поступления]]-Таблица1[[#This Row],[Дата рождения]]</f>
        <v>0</v>
      </c>
    </row>
    <row r="2234" spans="22:23" ht="24.75" customHeight="1" x14ac:dyDescent="0.25">
      <c r="V2234" s="47">
        <f>Таблица1[[#This Row],[Дата перевода]]-Таблица1[[#This Row],[Дата поступления]]</f>
        <v>0</v>
      </c>
      <c r="W2234" s="47">
        <f>Таблица1[[#This Row],[Дата поступления]]-Таблица1[[#This Row],[Дата рождения]]</f>
        <v>0</v>
      </c>
    </row>
    <row r="2235" spans="22:23" ht="24.75" customHeight="1" x14ac:dyDescent="0.25">
      <c r="V2235" s="47">
        <f>Таблица1[[#This Row],[Дата перевода]]-Таблица1[[#This Row],[Дата поступления]]</f>
        <v>0</v>
      </c>
      <c r="W2235" s="47">
        <f>Таблица1[[#This Row],[Дата поступления]]-Таблица1[[#This Row],[Дата рождения]]</f>
        <v>0</v>
      </c>
    </row>
    <row r="2236" spans="22:23" ht="24.75" customHeight="1" x14ac:dyDescent="0.25">
      <c r="V2236" s="47">
        <f>Таблица1[[#This Row],[Дата перевода]]-Таблица1[[#This Row],[Дата поступления]]</f>
        <v>0</v>
      </c>
      <c r="W2236" s="47">
        <f>Таблица1[[#This Row],[Дата поступления]]-Таблица1[[#This Row],[Дата рождения]]</f>
        <v>0</v>
      </c>
    </row>
    <row r="2237" spans="22:23" ht="24.75" customHeight="1" x14ac:dyDescent="0.25">
      <c r="V2237" s="47">
        <f>Таблица1[[#This Row],[Дата перевода]]-Таблица1[[#This Row],[Дата поступления]]</f>
        <v>0</v>
      </c>
      <c r="W2237" s="47">
        <f>Таблица1[[#This Row],[Дата поступления]]-Таблица1[[#This Row],[Дата рождения]]</f>
        <v>0</v>
      </c>
    </row>
    <row r="2238" spans="22:23" ht="24.75" customHeight="1" x14ac:dyDescent="0.25">
      <c r="V2238" s="47">
        <f>Таблица1[[#This Row],[Дата перевода]]-Таблица1[[#This Row],[Дата поступления]]</f>
        <v>0</v>
      </c>
      <c r="W2238" s="47">
        <f>Таблица1[[#This Row],[Дата поступления]]-Таблица1[[#This Row],[Дата рождения]]</f>
        <v>0</v>
      </c>
    </row>
    <row r="2239" spans="22:23" ht="24.75" customHeight="1" x14ac:dyDescent="0.25">
      <c r="V2239" s="47">
        <f>Таблица1[[#This Row],[Дата перевода]]-Таблица1[[#This Row],[Дата поступления]]</f>
        <v>0</v>
      </c>
      <c r="W2239" s="47">
        <f>Таблица1[[#This Row],[Дата поступления]]-Таблица1[[#This Row],[Дата рождения]]</f>
        <v>0</v>
      </c>
    </row>
    <row r="2240" spans="22:23" ht="24.75" customHeight="1" x14ac:dyDescent="0.25">
      <c r="V2240" s="47">
        <f>Таблица1[[#This Row],[Дата перевода]]-Таблица1[[#This Row],[Дата поступления]]</f>
        <v>0</v>
      </c>
      <c r="W2240" s="47">
        <f>Таблица1[[#This Row],[Дата поступления]]-Таблица1[[#This Row],[Дата рождения]]</f>
        <v>0</v>
      </c>
    </row>
    <row r="2241" spans="22:23" ht="24.75" customHeight="1" x14ac:dyDescent="0.25">
      <c r="V2241" s="47">
        <f>Таблица1[[#This Row],[Дата перевода]]-Таблица1[[#This Row],[Дата поступления]]</f>
        <v>0</v>
      </c>
      <c r="W2241" s="47">
        <f>Таблица1[[#This Row],[Дата поступления]]-Таблица1[[#This Row],[Дата рождения]]</f>
        <v>0</v>
      </c>
    </row>
    <row r="2242" spans="22:23" ht="24.75" customHeight="1" x14ac:dyDescent="0.25">
      <c r="V2242" s="47">
        <f>Таблица1[[#This Row],[Дата перевода]]-Таблица1[[#This Row],[Дата поступления]]</f>
        <v>0</v>
      </c>
      <c r="W2242" s="47">
        <f>Таблица1[[#This Row],[Дата поступления]]-Таблица1[[#This Row],[Дата рождения]]</f>
        <v>0</v>
      </c>
    </row>
    <row r="2243" spans="22:23" ht="24.75" customHeight="1" x14ac:dyDescent="0.25">
      <c r="V2243" s="47">
        <f>Таблица1[[#This Row],[Дата перевода]]-Таблица1[[#This Row],[Дата поступления]]</f>
        <v>0</v>
      </c>
      <c r="W2243" s="47">
        <f>Таблица1[[#This Row],[Дата поступления]]-Таблица1[[#This Row],[Дата рождения]]</f>
        <v>0</v>
      </c>
    </row>
    <row r="2244" spans="22:23" ht="24.75" customHeight="1" x14ac:dyDescent="0.25">
      <c r="V2244" s="47">
        <f>Таблица1[[#This Row],[Дата перевода]]-Таблица1[[#This Row],[Дата поступления]]</f>
        <v>0</v>
      </c>
      <c r="W2244" s="47">
        <f>Таблица1[[#This Row],[Дата поступления]]-Таблица1[[#This Row],[Дата рождения]]</f>
        <v>0</v>
      </c>
    </row>
    <row r="2245" spans="22:23" ht="24.75" customHeight="1" x14ac:dyDescent="0.25">
      <c r="V2245" s="47">
        <f>Таблица1[[#This Row],[Дата перевода]]-Таблица1[[#This Row],[Дата поступления]]</f>
        <v>0</v>
      </c>
      <c r="W2245" s="47">
        <f>Таблица1[[#This Row],[Дата поступления]]-Таблица1[[#This Row],[Дата рождения]]</f>
        <v>0</v>
      </c>
    </row>
    <row r="2246" spans="22:23" ht="24.75" customHeight="1" x14ac:dyDescent="0.25">
      <c r="V2246" s="47">
        <f>Таблица1[[#This Row],[Дата перевода]]-Таблица1[[#This Row],[Дата поступления]]</f>
        <v>0</v>
      </c>
      <c r="W2246" s="47">
        <f>Таблица1[[#This Row],[Дата поступления]]-Таблица1[[#This Row],[Дата рождения]]</f>
        <v>0</v>
      </c>
    </row>
    <row r="2247" spans="22:23" ht="24.75" customHeight="1" x14ac:dyDescent="0.25">
      <c r="V2247" s="47">
        <f>Таблица1[[#This Row],[Дата перевода]]-Таблица1[[#This Row],[Дата поступления]]</f>
        <v>0</v>
      </c>
      <c r="W2247" s="47">
        <f>Таблица1[[#This Row],[Дата поступления]]-Таблица1[[#This Row],[Дата рождения]]</f>
        <v>0</v>
      </c>
    </row>
    <row r="2248" spans="22:23" ht="24.75" customHeight="1" x14ac:dyDescent="0.25">
      <c r="V2248" s="47">
        <f>Таблица1[[#This Row],[Дата перевода]]-Таблица1[[#This Row],[Дата поступления]]</f>
        <v>0</v>
      </c>
      <c r="W2248" s="47">
        <f>Таблица1[[#This Row],[Дата поступления]]-Таблица1[[#This Row],[Дата рождения]]</f>
        <v>0</v>
      </c>
    </row>
    <row r="2249" spans="22:23" ht="24.75" customHeight="1" x14ac:dyDescent="0.25">
      <c r="V2249" s="47">
        <f>Таблица1[[#This Row],[Дата перевода]]-Таблица1[[#This Row],[Дата поступления]]</f>
        <v>0</v>
      </c>
      <c r="W2249" s="47">
        <f>Таблица1[[#This Row],[Дата поступления]]-Таблица1[[#This Row],[Дата рождения]]</f>
        <v>0</v>
      </c>
    </row>
    <row r="2250" spans="22:23" ht="24.75" customHeight="1" x14ac:dyDescent="0.25">
      <c r="V2250" s="47">
        <f>Таблица1[[#This Row],[Дата перевода]]-Таблица1[[#This Row],[Дата поступления]]</f>
        <v>0</v>
      </c>
      <c r="W2250" s="47">
        <f>Таблица1[[#This Row],[Дата поступления]]-Таблица1[[#This Row],[Дата рождения]]</f>
        <v>0</v>
      </c>
    </row>
    <row r="2251" spans="22:23" ht="24.75" customHeight="1" x14ac:dyDescent="0.25">
      <c r="V2251" s="47">
        <f>Таблица1[[#This Row],[Дата перевода]]-Таблица1[[#This Row],[Дата поступления]]</f>
        <v>0</v>
      </c>
      <c r="W2251" s="47">
        <f>Таблица1[[#This Row],[Дата поступления]]-Таблица1[[#This Row],[Дата рождения]]</f>
        <v>0</v>
      </c>
    </row>
    <row r="2252" spans="22:23" ht="24.75" customHeight="1" x14ac:dyDescent="0.25">
      <c r="V2252" s="47">
        <f>Таблица1[[#This Row],[Дата перевода]]-Таблица1[[#This Row],[Дата поступления]]</f>
        <v>0</v>
      </c>
      <c r="W2252" s="47">
        <f>Таблица1[[#This Row],[Дата поступления]]-Таблица1[[#This Row],[Дата рождения]]</f>
        <v>0</v>
      </c>
    </row>
    <row r="2253" spans="22:23" ht="24.75" customHeight="1" x14ac:dyDescent="0.25">
      <c r="V2253" s="47">
        <f>Таблица1[[#This Row],[Дата перевода]]-Таблица1[[#This Row],[Дата поступления]]</f>
        <v>0</v>
      </c>
      <c r="W2253" s="47">
        <f>Таблица1[[#This Row],[Дата поступления]]-Таблица1[[#This Row],[Дата рождения]]</f>
        <v>0</v>
      </c>
    </row>
    <row r="2254" spans="22:23" ht="24.75" customHeight="1" x14ac:dyDescent="0.25">
      <c r="V2254" s="47">
        <f>Таблица1[[#This Row],[Дата перевода]]-Таблица1[[#This Row],[Дата поступления]]</f>
        <v>0</v>
      </c>
      <c r="W2254" s="47">
        <f>Таблица1[[#This Row],[Дата поступления]]-Таблица1[[#This Row],[Дата рождения]]</f>
        <v>0</v>
      </c>
    </row>
    <row r="2255" spans="22:23" ht="24.75" customHeight="1" x14ac:dyDescent="0.25">
      <c r="V2255" s="47">
        <f>Таблица1[[#This Row],[Дата перевода]]-Таблица1[[#This Row],[Дата поступления]]</f>
        <v>0</v>
      </c>
      <c r="W2255" s="47">
        <f>Таблица1[[#This Row],[Дата поступления]]-Таблица1[[#This Row],[Дата рождения]]</f>
        <v>0</v>
      </c>
    </row>
    <row r="2256" spans="22:23" ht="24.75" customHeight="1" x14ac:dyDescent="0.25">
      <c r="V2256" s="47">
        <f>Таблица1[[#This Row],[Дата перевода]]-Таблица1[[#This Row],[Дата поступления]]</f>
        <v>0</v>
      </c>
      <c r="W2256" s="47">
        <f>Таблица1[[#This Row],[Дата поступления]]-Таблица1[[#This Row],[Дата рождения]]</f>
        <v>0</v>
      </c>
    </row>
    <row r="2257" spans="22:23" ht="24.75" customHeight="1" x14ac:dyDescent="0.25">
      <c r="V2257" s="47">
        <f>Таблица1[[#This Row],[Дата перевода]]-Таблица1[[#This Row],[Дата поступления]]</f>
        <v>0</v>
      </c>
      <c r="W2257" s="47">
        <f>Таблица1[[#This Row],[Дата поступления]]-Таблица1[[#This Row],[Дата рождения]]</f>
        <v>0</v>
      </c>
    </row>
    <row r="2258" spans="22:23" ht="24.75" customHeight="1" x14ac:dyDescent="0.25">
      <c r="V2258" s="47">
        <f>Таблица1[[#This Row],[Дата перевода]]-Таблица1[[#This Row],[Дата поступления]]</f>
        <v>0</v>
      </c>
      <c r="W2258" s="47">
        <f>Таблица1[[#This Row],[Дата поступления]]-Таблица1[[#This Row],[Дата рождения]]</f>
        <v>0</v>
      </c>
    </row>
    <row r="2259" spans="22:23" ht="24.75" customHeight="1" x14ac:dyDescent="0.25">
      <c r="V2259" s="47">
        <f>Таблица1[[#This Row],[Дата перевода]]-Таблица1[[#This Row],[Дата поступления]]</f>
        <v>0</v>
      </c>
      <c r="W2259" s="47">
        <f>Таблица1[[#This Row],[Дата поступления]]-Таблица1[[#This Row],[Дата рождения]]</f>
        <v>0</v>
      </c>
    </row>
    <row r="2260" spans="22:23" ht="24.75" customHeight="1" x14ac:dyDescent="0.25">
      <c r="V2260" s="47">
        <f>Таблица1[[#This Row],[Дата перевода]]-Таблица1[[#This Row],[Дата поступления]]</f>
        <v>0</v>
      </c>
      <c r="W2260" s="47">
        <f>Таблица1[[#This Row],[Дата поступления]]-Таблица1[[#This Row],[Дата рождения]]</f>
        <v>0</v>
      </c>
    </row>
    <row r="2261" spans="22:23" ht="24.75" customHeight="1" x14ac:dyDescent="0.25">
      <c r="V2261" s="47">
        <f>Таблица1[[#This Row],[Дата перевода]]-Таблица1[[#This Row],[Дата поступления]]</f>
        <v>0</v>
      </c>
      <c r="W2261" s="47">
        <f>Таблица1[[#This Row],[Дата поступления]]-Таблица1[[#This Row],[Дата рождения]]</f>
        <v>0</v>
      </c>
    </row>
    <row r="2262" spans="22:23" ht="24.75" customHeight="1" x14ac:dyDescent="0.25">
      <c r="V2262" s="47">
        <f>Таблица1[[#This Row],[Дата перевода]]-Таблица1[[#This Row],[Дата поступления]]</f>
        <v>0</v>
      </c>
      <c r="W2262" s="47">
        <f>Таблица1[[#This Row],[Дата поступления]]-Таблица1[[#This Row],[Дата рождения]]</f>
        <v>0</v>
      </c>
    </row>
    <row r="2263" spans="22:23" ht="24.75" customHeight="1" x14ac:dyDescent="0.25">
      <c r="V2263" s="47">
        <f>Таблица1[[#This Row],[Дата перевода]]-Таблица1[[#This Row],[Дата поступления]]</f>
        <v>0</v>
      </c>
      <c r="W2263" s="47">
        <f>Таблица1[[#This Row],[Дата поступления]]-Таблица1[[#This Row],[Дата рождения]]</f>
        <v>0</v>
      </c>
    </row>
    <row r="2264" spans="22:23" ht="24.75" customHeight="1" x14ac:dyDescent="0.25">
      <c r="V2264" s="47">
        <f>Таблица1[[#This Row],[Дата перевода]]-Таблица1[[#This Row],[Дата поступления]]</f>
        <v>0</v>
      </c>
      <c r="W2264" s="47">
        <f>Таблица1[[#This Row],[Дата поступления]]-Таблица1[[#This Row],[Дата рождения]]</f>
        <v>0</v>
      </c>
    </row>
    <row r="2265" spans="22:23" ht="24.75" customHeight="1" x14ac:dyDescent="0.25">
      <c r="V2265" s="47">
        <f>Таблица1[[#This Row],[Дата перевода]]-Таблица1[[#This Row],[Дата поступления]]</f>
        <v>0</v>
      </c>
      <c r="W2265" s="47">
        <f>Таблица1[[#This Row],[Дата поступления]]-Таблица1[[#This Row],[Дата рождения]]</f>
        <v>0</v>
      </c>
    </row>
    <row r="2266" spans="22:23" ht="24.75" customHeight="1" x14ac:dyDescent="0.25">
      <c r="V2266" s="47">
        <f>Таблица1[[#This Row],[Дата перевода]]-Таблица1[[#This Row],[Дата поступления]]</f>
        <v>0</v>
      </c>
      <c r="W2266" s="47">
        <f>Таблица1[[#This Row],[Дата поступления]]-Таблица1[[#This Row],[Дата рождения]]</f>
        <v>0</v>
      </c>
    </row>
    <row r="2267" spans="22:23" ht="24.75" customHeight="1" x14ac:dyDescent="0.25">
      <c r="V2267" s="47">
        <f>Таблица1[[#This Row],[Дата перевода]]-Таблица1[[#This Row],[Дата поступления]]</f>
        <v>0</v>
      </c>
      <c r="W2267" s="47">
        <f>Таблица1[[#This Row],[Дата поступления]]-Таблица1[[#This Row],[Дата рождения]]</f>
        <v>0</v>
      </c>
    </row>
    <row r="2268" spans="22:23" ht="24.75" customHeight="1" x14ac:dyDescent="0.25">
      <c r="V2268" s="47">
        <f>Таблица1[[#This Row],[Дата перевода]]-Таблица1[[#This Row],[Дата поступления]]</f>
        <v>0</v>
      </c>
      <c r="W2268" s="47">
        <f>Таблица1[[#This Row],[Дата поступления]]-Таблица1[[#This Row],[Дата рождения]]</f>
        <v>0</v>
      </c>
    </row>
    <row r="2269" spans="22:23" ht="24.75" customHeight="1" x14ac:dyDescent="0.25">
      <c r="V2269" s="47">
        <f>Таблица1[[#This Row],[Дата перевода]]-Таблица1[[#This Row],[Дата поступления]]</f>
        <v>0</v>
      </c>
      <c r="W2269" s="47">
        <f>Таблица1[[#This Row],[Дата поступления]]-Таблица1[[#This Row],[Дата рождения]]</f>
        <v>0</v>
      </c>
    </row>
    <row r="2270" spans="22:23" ht="24.75" customHeight="1" x14ac:dyDescent="0.25">
      <c r="V2270" s="47">
        <f>Таблица1[[#This Row],[Дата перевода]]-Таблица1[[#This Row],[Дата поступления]]</f>
        <v>0</v>
      </c>
      <c r="W2270" s="47">
        <f>Таблица1[[#This Row],[Дата поступления]]-Таблица1[[#This Row],[Дата рождения]]</f>
        <v>0</v>
      </c>
    </row>
    <row r="2271" spans="22:23" ht="24.75" customHeight="1" x14ac:dyDescent="0.25">
      <c r="V2271" s="47">
        <f>Таблица1[[#This Row],[Дата перевода]]-Таблица1[[#This Row],[Дата поступления]]</f>
        <v>0</v>
      </c>
      <c r="W2271" s="47">
        <f>Таблица1[[#This Row],[Дата поступления]]-Таблица1[[#This Row],[Дата рождения]]</f>
        <v>0</v>
      </c>
    </row>
    <row r="2272" spans="22:23" ht="24.75" customHeight="1" x14ac:dyDescent="0.25">
      <c r="V2272" s="47">
        <f>Таблица1[[#This Row],[Дата перевода]]-Таблица1[[#This Row],[Дата поступления]]</f>
        <v>0</v>
      </c>
      <c r="W2272" s="47">
        <f>Таблица1[[#This Row],[Дата поступления]]-Таблица1[[#This Row],[Дата рождения]]</f>
        <v>0</v>
      </c>
    </row>
    <row r="2273" spans="22:23" ht="24.75" customHeight="1" x14ac:dyDescent="0.25">
      <c r="V2273" s="47">
        <f>Таблица1[[#This Row],[Дата перевода]]-Таблица1[[#This Row],[Дата поступления]]</f>
        <v>0</v>
      </c>
      <c r="W2273" s="47">
        <f>Таблица1[[#This Row],[Дата поступления]]-Таблица1[[#This Row],[Дата рождения]]</f>
        <v>0</v>
      </c>
    </row>
    <row r="2274" spans="22:23" ht="24.75" customHeight="1" x14ac:dyDescent="0.25">
      <c r="V2274" s="47">
        <f>Таблица1[[#This Row],[Дата перевода]]-Таблица1[[#This Row],[Дата поступления]]</f>
        <v>0</v>
      </c>
      <c r="W2274" s="47">
        <f>Таблица1[[#This Row],[Дата поступления]]-Таблица1[[#This Row],[Дата рождения]]</f>
        <v>0</v>
      </c>
    </row>
    <row r="2275" spans="22:23" ht="24.75" customHeight="1" x14ac:dyDescent="0.25">
      <c r="V2275" s="47">
        <f>Таблица1[[#This Row],[Дата перевода]]-Таблица1[[#This Row],[Дата поступления]]</f>
        <v>0</v>
      </c>
      <c r="W2275" s="47">
        <f>Таблица1[[#This Row],[Дата поступления]]-Таблица1[[#This Row],[Дата рождения]]</f>
        <v>0</v>
      </c>
    </row>
    <row r="2276" spans="22:23" ht="24.75" customHeight="1" x14ac:dyDescent="0.25">
      <c r="V2276" s="47">
        <f>Таблица1[[#This Row],[Дата перевода]]-Таблица1[[#This Row],[Дата поступления]]</f>
        <v>0</v>
      </c>
      <c r="W2276" s="47">
        <f>Таблица1[[#This Row],[Дата поступления]]-Таблица1[[#This Row],[Дата рождения]]</f>
        <v>0</v>
      </c>
    </row>
    <row r="2277" spans="22:23" ht="24.75" customHeight="1" x14ac:dyDescent="0.25">
      <c r="V2277" s="47">
        <f>Таблица1[[#This Row],[Дата перевода]]-Таблица1[[#This Row],[Дата поступления]]</f>
        <v>0</v>
      </c>
      <c r="W2277" s="47">
        <f>Таблица1[[#This Row],[Дата поступления]]-Таблица1[[#This Row],[Дата рождения]]</f>
        <v>0</v>
      </c>
    </row>
    <row r="2278" spans="22:23" ht="24.75" customHeight="1" x14ac:dyDescent="0.25">
      <c r="V2278" s="47">
        <f>Таблица1[[#This Row],[Дата перевода]]-Таблица1[[#This Row],[Дата поступления]]</f>
        <v>0</v>
      </c>
      <c r="W2278" s="47">
        <f>Таблица1[[#This Row],[Дата поступления]]-Таблица1[[#This Row],[Дата рождения]]</f>
        <v>0</v>
      </c>
    </row>
    <row r="2279" spans="22:23" ht="24.75" customHeight="1" x14ac:dyDescent="0.25">
      <c r="V2279" s="47">
        <f>Таблица1[[#This Row],[Дата перевода]]-Таблица1[[#This Row],[Дата поступления]]</f>
        <v>0</v>
      </c>
      <c r="W2279" s="47">
        <f>Таблица1[[#This Row],[Дата поступления]]-Таблица1[[#This Row],[Дата рождения]]</f>
        <v>0</v>
      </c>
    </row>
    <row r="2280" spans="22:23" ht="24.75" customHeight="1" x14ac:dyDescent="0.25">
      <c r="V2280" s="47">
        <f>Таблица1[[#This Row],[Дата перевода]]-Таблица1[[#This Row],[Дата поступления]]</f>
        <v>0</v>
      </c>
      <c r="W2280" s="47">
        <f>Таблица1[[#This Row],[Дата поступления]]-Таблица1[[#This Row],[Дата рождения]]</f>
        <v>0</v>
      </c>
    </row>
    <row r="2281" spans="22:23" ht="24.75" customHeight="1" x14ac:dyDescent="0.25">
      <c r="V2281" s="47">
        <f>Таблица1[[#This Row],[Дата перевода]]-Таблица1[[#This Row],[Дата поступления]]</f>
        <v>0</v>
      </c>
      <c r="W2281" s="47">
        <f>Таблица1[[#This Row],[Дата поступления]]-Таблица1[[#This Row],[Дата рождения]]</f>
        <v>0</v>
      </c>
    </row>
    <row r="2282" spans="22:23" ht="24.75" customHeight="1" x14ac:dyDescent="0.25">
      <c r="V2282" s="47">
        <f>Таблица1[[#This Row],[Дата перевода]]-Таблица1[[#This Row],[Дата поступления]]</f>
        <v>0</v>
      </c>
      <c r="W2282" s="47">
        <f>Таблица1[[#This Row],[Дата поступления]]-Таблица1[[#This Row],[Дата рождения]]</f>
        <v>0</v>
      </c>
    </row>
    <row r="2283" spans="22:23" ht="24.75" customHeight="1" x14ac:dyDescent="0.25">
      <c r="V2283" s="47">
        <f>Таблица1[[#This Row],[Дата перевода]]-Таблица1[[#This Row],[Дата поступления]]</f>
        <v>0</v>
      </c>
      <c r="W2283" s="47">
        <f>Таблица1[[#This Row],[Дата поступления]]-Таблица1[[#This Row],[Дата рождения]]</f>
        <v>0</v>
      </c>
    </row>
    <row r="2284" spans="22:23" ht="24.75" customHeight="1" x14ac:dyDescent="0.25">
      <c r="V2284" s="47">
        <f>Таблица1[[#This Row],[Дата перевода]]-Таблица1[[#This Row],[Дата поступления]]</f>
        <v>0</v>
      </c>
      <c r="W2284" s="47">
        <f>Таблица1[[#This Row],[Дата поступления]]-Таблица1[[#This Row],[Дата рождения]]</f>
        <v>0</v>
      </c>
    </row>
    <row r="2285" spans="22:23" ht="24.75" customHeight="1" x14ac:dyDescent="0.25">
      <c r="V2285" s="47">
        <f>Таблица1[[#This Row],[Дата перевода]]-Таблица1[[#This Row],[Дата поступления]]</f>
        <v>0</v>
      </c>
      <c r="W2285" s="47">
        <f>Таблица1[[#This Row],[Дата поступления]]-Таблица1[[#This Row],[Дата рождения]]</f>
        <v>0</v>
      </c>
    </row>
    <row r="2286" spans="22:23" ht="24.75" customHeight="1" x14ac:dyDescent="0.25">
      <c r="V2286" s="47">
        <f>Таблица1[[#This Row],[Дата перевода]]-Таблица1[[#This Row],[Дата поступления]]</f>
        <v>0</v>
      </c>
      <c r="W2286" s="47">
        <f>Таблица1[[#This Row],[Дата поступления]]-Таблица1[[#This Row],[Дата рождения]]</f>
        <v>0</v>
      </c>
    </row>
    <row r="2287" spans="22:23" ht="24.75" customHeight="1" x14ac:dyDescent="0.25">
      <c r="V2287" s="47">
        <f>Таблица1[[#This Row],[Дата перевода]]-Таблица1[[#This Row],[Дата поступления]]</f>
        <v>0</v>
      </c>
      <c r="W2287" s="47">
        <f>Таблица1[[#This Row],[Дата поступления]]-Таблица1[[#This Row],[Дата рождения]]</f>
        <v>0</v>
      </c>
    </row>
    <row r="2288" spans="22:23" ht="24.75" customHeight="1" x14ac:dyDescent="0.25">
      <c r="V2288" s="47">
        <f>Таблица1[[#This Row],[Дата перевода]]-Таблица1[[#This Row],[Дата поступления]]</f>
        <v>0</v>
      </c>
      <c r="W2288" s="47">
        <f>Таблица1[[#This Row],[Дата поступления]]-Таблица1[[#This Row],[Дата рождения]]</f>
        <v>0</v>
      </c>
    </row>
    <row r="2289" spans="22:23" ht="24.75" customHeight="1" x14ac:dyDescent="0.25">
      <c r="V2289" s="47">
        <f>Таблица1[[#This Row],[Дата перевода]]-Таблица1[[#This Row],[Дата поступления]]</f>
        <v>0</v>
      </c>
      <c r="W2289" s="47">
        <f>Таблица1[[#This Row],[Дата поступления]]-Таблица1[[#This Row],[Дата рождения]]</f>
        <v>0</v>
      </c>
    </row>
    <row r="2290" spans="22:23" ht="24.75" customHeight="1" x14ac:dyDescent="0.25">
      <c r="V2290" s="47">
        <f>Таблица1[[#This Row],[Дата перевода]]-Таблица1[[#This Row],[Дата поступления]]</f>
        <v>0</v>
      </c>
      <c r="W2290" s="47">
        <f>Таблица1[[#This Row],[Дата поступления]]-Таблица1[[#This Row],[Дата рождения]]</f>
        <v>0</v>
      </c>
    </row>
    <row r="2291" spans="22:23" ht="24.75" customHeight="1" x14ac:dyDescent="0.25">
      <c r="V2291" s="47">
        <f>Таблица1[[#This Row],[Дата перевода]]-Таблица1[[#This Row],[Дата поступления]]</f>
        <v>0</v>
      </c>
      <c r="W2291" s="47">
        <f>Таблица1[[#This Row],[Дата поступления]]-Таблица1[[#This Row],[Дата рождения]]</f>
        <v>0</v>
      </c>
    </row>
    <row r="2292" spans="22:23" ht="24.75" customHeight="1" x14ac:dyDescent="0.25">
      <c r="V2292" s="47">
        <f>Таблица1[[#This Row],[Дата перевода]]-Таблица1[[#This Row],[Дата поступления]]</f>
        <v>0</v>
      </c>
      <c r="W2292" s="47">
        <f>Таблица1[[#This Row],[Дата поступления]]-Таблица1[[#This Row],[Дата рождения]]</f>
        <v>0</v>
      </c>
    </row>
    <row r="2293" spans="22:23" ht="24.75" customHeight="1" x14ac:dyDescent="0.25">
      <c r="V2293" s="47">
        <f>Таблица1[[#This Row],[Дата перевода]]-Таблица1[[#This Row],[Дата поступления]]</f>
        <v>0</v>
      </c>
      <c r="W2293" s="47">
        <f>Таблица1[[#This Row],[Дата поступления]]-Таблица1[[#This Row],[Дата рождения]]</f>
        <v>0</v>
      </c>
    </row>
    <row r="2294" spans="22:23" ht="24.75" customHeight="1" x14ac:dyDescent="0.25">
      <c r="V2294" s="47">
        <f>Таблица1[[#This Row],[Дата перевода]]-Таблица1[[#This Row],[Дата поступления]]</f>
        <v>0</v>
      </c>
      <c r="W2294" s="47">
        <f>Таблица1[[#This Row],[Дата поступления]]-Таблица1[[#This Row],[Дата рождения]]</f>
        <v>0</v>
      </c>
    </row>
    <row r="2295" spans="22:23" ht="24.75" customHeight="1" x14ac:dyDescent="0.25">
      <c r="V2295" s="47">
        <f>Таблица1[[#This Row],[Дата перевода]]-Таблица1[[#This Row],[Дата поступления]]</f>
        <v>0</v>
      </c>
      <c r="W2295" s="47">
        <f>Таблица1[[#This Row],[Дата поступления]]-Таблица1[[#This Row],[Дата рождения]]</f>
        <v>0</v>
      </c>
    </row>
    <row r="2296" spans="22:23" ht="24.75" customHeight="1" x14ac:dyDescent="0.25">
      <c r="V2296" s="47">
        <f>Таблица1[[#This Row],[Дата перевода]]-Таблица1[[#This Row],[Дата поступления]]</f>
        <v>0</v>
      </c>
      <c r="W2296" s="47">
        <f>Таблица1[[#This Row],[Дата поступления]]-Таблица1[[#This Row],[Дата рождения]]</f>
        <v>0</v>
      </c>
    </row>
    <row r="2297" spans="22:23" ht="24.75" customHeight="1" x14ac:dyDescent="0.25">
      <c r="V2297" s="47">
        <f>Таблица1[[#This Row],[Дата перевода]]-Таблица1[[#This Row],[Дата поступления]]</f>
        <v>0</v>
      </c>
      <c r="W2297" s="47">
        <f>Таблица1[[#This Row],[Дата поступления]]-Таблица1[[#This Row],[Дата рождения]]</f>
        <v>0</v>
      </c>
    </row>
    <row r="2298" spans="22:23" ht="24.75" customHeight="1" x14ac:dyDescent="0.25">
      <c r="V2298" s="47">
        <f>Таблица1[[#This Row],[Дата перевода]]-Таблица1[[#This Row],[Дата поступления]]</f>
        <v>0</v>
      </c>
      <c r="W2298" s="47">
        <f>Таблица1[[#This Row],[Дата поступления]]-Таблица1[[#This Row],[Дата рождения]]</f>
        <v>0</v>
      </c>
    </row>
    <row r="2299" spans="22:23" ht="24.75" customHeight="1" x14ac:dyDescent="0.25">
      <c r="V2299" s="47">
        <f>Таблица1[[#This Row],[Дата перевода]]-Таблица1[[#This Row],[Дата поступления]]</f>
        <v>0</v>
      </c>
      <c r="W2299" s="47">
        <f>Таблица1[[#This Row],[Дата поступления]]-Таблица1[[#This Row],[Дата рождения]]</f>
        <v>0</v>
      </c>
    </row>
    <row r="2300" spans="22:23" ht="24.75" customHeight="1" x14ac:dyDescent="0.25">
      <c r="V2300" s="47">
        <f>Таблица1[[#This Row],[Дата перевода]]-Таблица1[[#This Row],[Дата поступления]]</f>
        <v>0</v>
      </c>
      <c r="W2300" s="47">
        <f>Таблица1[[#This Row],[Дата поступления]]-Таблица1[[#This Row],[Дата рождения]]</f>
        <v>0</v>
      </c>
    </row>
    <row r="2301" spans="22:23" ht="24.75" customHeight="1" x14ac:dyDescent="0.25">
      <c r="V2301" s="47">
        <f>Таблица1[[#This Row],[Дата перевода]]-Таблица1[[#This Row],[Дата поступления]]</f>
        <v>0</v>
      </c>
      <c r="W2301" s="47">
        <f>Таблица1[[#This Row],[Дата поступления]]-Таблица1[[#This Row],[Дата рождения]]</f>
        <v>0</v>
      </c>
    </row>
    <row r="2302" spans="22:23" ht="24.75" customHeight="1" x14ac:dyDescent="0.25">
      <c r="V2302" s="47">
        <f>Таблица1[[#This Row],[Дата перевода]]-Таблица1[[#This Row],[Дата поступления]]</f>
        <v>0</v>
      </c>
      <c r="W2302" s="47">
        <f>Таблица1[[#This Row],[Дата поступления]]-Таблица1[[#This Row],[Дата рождения]]</f>
        <v>0</v>
      </c>
    </row>
    <row r="2303" spans="22:23" ht="24.75" customHeight="1" x14ac:dyDescent="0.25">
      <c r="V2303" s="47">
        <f>Таблица1[[#This Row],[Дата перевода]]-Таблица1[[#This Row],[Дата поступления]]</f>
        <v>0</v>
      </c>
      <c r="W2303" s="47">
        <f>Таблица1[[#This Row],[Дата поступления]]-Таблица1[[#This Row],[Дата рождения]]</f>
        <v>0</v>
      </c>
    </row>
    <row r="2304" spans="22:23" ht="24.75" customHeight="1" x14ac:dyDescent="0.25">
      <c r="V2304" s="47">
        <f>Таблица1[[#This Row],[Дата перевода]]-Таблица1[[#This Row],[Дата поступления]]</f>
        <v>0</v>
      </c>
      <c r="W2304" s="47">
        <f>Таблица1[[#This Row],[Дата поступления]]-Таблица1[[#This Row],[Дата рождения]]</f>
        <v>0</v>
      </c>
    </row>
    <row r="2305" spans="22:23" ht="24.75" customHeight="1" x14ac:dyDescent="0.25">
      <c r="V2305" s="47">
        <f>Таблица1[[#This Row],[Дата перевода]]-Таблица1[[#This Row],[Дата поступления]]</f>
        <v>0</v>
      </c>
      <c r="W2305" s="47">
        <f>Таблица1[[#This Row],[Дата поступления]]-Таблица1[[#This Row],[Дата рождения]]</f>
        <v>0</v>
      </c>
    </row>
    <row r="2306" spans="22:23" ht="24.75" customHeight="1" x14ac:dyDescent="0.25">
      <c r="V2306" s="47">
        <f>Таблица1[[#This Row],[Дата перевода]]-Таблица1[[#This Row],[Дата поступления]]</f>
        <v>0</v>
      </c>
      <c r="W2306" s="47">
        <f>Таблица1[[#This Row],[Дата поступления]]-Таблица1[[#This Row],[Дата рождения]]</f>
        <v>0</v>
      </c>
    </row>
    <row r="2307" spans="22:23" ht="24.75" customHeight="1" x14ac:dyDescent="0.25">
      <c r="V2307" s="47">
        <f>Таблица1[[#This Row],[Дата перевода]]-Таблица1[[#This Row],[Дата поступления]]</f>
        <v>0</v>
      </c>
      <c r="W2307" s="47">
        <f>Таблица1[[#This Row],[Дата поступления]]-Таблица1[[#This Row],[Дата рождения]]</f>
        <v>0</v>
      </c>
    </row>
    <row r="2308" spans="22:23" ht="24.75" customHeight="1" x14ac:dyDescent="0.25">
      <c r="V2308" s="47">
        <f>Таблица1[[#This Row],[Дата перевода]]-Таблица1[[#This Row],[Дата поступления]]</f>
        <v>0</v>
      </c>
      <c r="W2308" s="47">
        <f>Таблица1[[#This Row],[Дата поступления]]-Таблица1[[#This Row],[Дата рождения]]</f>
        <v>0</v>
      </c>
    </row>
    <row r="2309" spans="22:23" ht="24.75" customHeight="1" x14ac:dyDescent="0.25">
      <c r="V2309" s="47">
        <f>Таблица1[[#This Row],[Дата перевода]]-Таблица1[[#This Row],[Дата поступления]]</f>
        <v>0</v>
      </c>
      <c r="W2309" s="47">
        <f>Таблица1[[#This Row],[Дата поступления]]-Таблица1[[#This Row],[Дата рождения]]</f>
        <v>0</v>
      </c>
    </row>
    <row r="2310" spans="22:23" ht="24.75" customHeight="1" x14ac:dyDescent="0.25">
      <c r="V2310" s="47">
        <f>Таблица1[[#This Row],[Дата перевода]]-Таблица1[[#This Row],[Дата поступления]]</f>
        <v>0</v>
      </c>
      <c r="W2310" s="47">
        <f>Таблица1[[#This Row],[Дата поступления]]-Таблица1[[#This Row],[Дата рождения]]</f>
        <v>0</v>
      </c>
    </row>
    <row r="2311" spans="22:23" ht="24.75" customHeight="1" x14ac:dyDescent="0.25">
      <c r="V2311" s="47">
        <f>Таблица1[[#This Row],[Дата перевода]]-Таблица1[[#This Row],[Дата поступления]]</f>
        <v>0</v>
      </c>
      <c r="W2311" s="47">
        <f>Таблица1[[#This Row],[Дата поступления]]-Таблица1[[#This Row],[Дата рождения]]</f>
        <v>0</v>
      </c>
    </row>
    <row r="2312" spans="22:23" ht="24.75" customHeight="1" x14ac:dyDescent="0.25">
      <c r="V2312" s="47">
        <f>Таблица1[[#This Row],[Дата перевода]]-Таблица1[[#This Row],[Дата поступления]]</f>
        <v>0</v>
      </c>
      <c r="W2312" s="47">
        <f>Таблица1[[#This Row],[Дата поступления]]-Таблица1[[#This Row],[Дата рождения]]</f>
        <v>0</v>
      </c>
    </row>
    <row r="2313" spans="22:23" ht="24.75" customHeight="1" x14ac:dyDescent="0.25">
      <c r="V2313" s="47">
        <f>Таблица1[[#This Row],[Дата перевода]]-Таблица1[[#This Row],[Дата поступления]]</f>
        <v>0</v>
      </c>
      <c r="W2313" s="47">
        <f>Таблица1[[#This Row],[Дата поступления]]-Таблица1[[#This Row],[Дата рождения]]</f>
        <v>0</v>
      </c>
    </row>
    <row r="2314" spans="22:23" ht="24.75" customHeight="1" x14ac:dyDescent="0.25">
      <c r="V2314" s="47">
        <f>Таблица1[[#This Row],[Дата перевода]]-Таблица1[[#This Row],[Дата поступления]]</f>
        <v>0</v>
      </c>
      <c r="W2314" s="47">
        <f>Таблица1[[#This Row],[Дата поступления]]-Таблица1[[#This Row],[Дата рождения]]</f>
        <v>0</v>
      </c>
    </row>
    <row r="2315" spans="22:23" ht="24.75" customHeight="1" x14ac:dyDescent="0.25">
      <c r="V2315" s="47">
        <f>Таблица1[[#This Row],[Дата перевода]]-Таблица1[[#This Row],[Дата поступления]]</f>
        <v>0</v>
      </c>
      <c r="W2315" s="47">
        <f>Таблица1[[#This Row],[Дата поступления]]-Таблица1[[#This Row],[Дата рождения]]</f>
        <v>0</v>
      </c>
    </row>
    <row r="2316" spans="22:23" ht="24.75" customHeight="1" x14ac:dyDescent="0.25">
      <c r="V2316" s="47">
        <f>Таблица1[[#This Row],[Дата перевода]]-Таблица1[[#This Row],[Дата поступления]]</f>
        <v>0</v>
      </c>
      <c r="W2316" s="47">
        <f>Таблица1[[#This Row],[Дата поступления]]-Таблица1[[#This Row],[Дата рождения]]</f>
        <v>0</v>
      </c>
    </row>
    <row r="2317" spans="22:23" ht="24.75" customHeight="1" x14ac:dyDescent="0.25">
      <c r="V2317" s="47">
        <f>Таблица1[[#This Row],[Дата перевода]]-Таблица1[[#This Row],[Дата поступления]]</f>
        <v>0</v>
      </c>
      <c r="W2317" s="47">
        <f>Таблица1[[#This Row],[Дата поступления]]-Таблица1[[#This Row],[Дата рождения]]</f>
        <v>0</v>
      </c>
    </row>
    <row r="2318" spans="22:23" ht="24.75" customHeight="1" x14ac:dyDescent="0.25">
      <c r="V2318" s="47">
        <f>Таблица1[[#This Row],[Дата перевода]]-Таблица1[[#This Row],[Дата поступления]]</f>
        <v>0</v>
      </c>
      <c r="W2318" s="47">
        <f>Таблица1[[#This Row],[Дата поступления]]-Таблица1[[#This Row],[Дата рождения]]</f>
        <v>0</v>
      </c>
    </row>
    <row r="2319" spans="22:23" ht="24.75" customHeight="1" x14ac:dyDescent="0.25">
      <c r="V2319" s="47">
        <f>Таблица1[[#This Row],[Дата перевода]]-Таблица1[[#This Row],[Дата поступления]]</f>
        <v>0</v>
      </c>
      <c r="W2319" s="47">
        <f>Таблица1[[#This Row],[Дата поступления]]-Таблица1[[#This Row],[Дата рождения]]</f>
        <v>0</v>
      </c>
    </row>
    <row r="2320" spans="22:23" ht="24.75" customHeight="1" x14ac:dyDescent="0.25">
      <c r="V2320" s="47">
        <f>Таблица1[[#This Row],[Дата перевода]]-Таблица1[[#This Row],[Дата поступления]]</f>
        <v>0</v>
      </c>
      <c r="W2320" s="47">
        <f>Таблица1[[#This Row],[Дата поступления]]-Таблица1[[#This Row],[Дата рождения]]</f>
        <v>0</v>
      </c>
    </row>
    <row r="2321" spans="22:23" ht="24.75" customHeight="1" x14ac:dyDescent="0.25">
      <c r="V2321" s="47">
        <f>Таблица1[[#This Row],[Дата перевода]]-Таблица1[[#This Row],[Дата поступления]]</f>
        <v>0</v>
      </c>
      <c r="W2321" s="47">
        <f>Таблица1[[#This Row],[Дата поступления]]-Таблица1[[#This Row],[Дата рождения]]</f>
        <v>0</v>
      </c>
    </row>
    <row r="2322" spans="22:23" ht="24.75" customHeight="1" x14ac:dyDescent="0.25">
      <c r="V2322" s="47">
        <f>Таблица1[[#This Row],[Дата перевода]]-Таблица1[[#This Row],[Дата поступления]]</f>
        <v>0</v>
      </c>
      <c r="W2322" s="47">
        <f>Таблица1[[#This Row],[Дата поступления]]-Таблица1[[#This Row],[Дата рождения]]</f>
        <v>0</v>
      </c>
    </row>
    <row r="2323" spans="22:23" ht="24.75" customHeight="1" x14ac:dyDescent="0.25">
      <c r="V2323" s="47">
        <f>Таблица1[[#This Row],[Дата перевода]]-Таблица1[[#This Row],[Дата поступления]]</f>
        <v>0</v>
      </c>
      <c r="W2323" s="47">
        <f>Таблица1[[#This Row],[Дата поступления]]-Таблица1[[#This Row],[Дата рождения]]</f>
        <v>0</v>
      </c>
    </row>
    <row r="2324" spans="22:23" ht="24.75" customHeight="1" x14ac:dyDescent="0.25">
      <c r="V2324" s="47">
        <f>Таблица1[[#This Row],[Дата перевода]]-Таблица1[[#This Row],[Дата поступления]]</f>
        <v>0</v>
      </c>
      <c r="W2324" s="47">
        <f>Таблица1[[#This Row],[Дата поступления]]-Таблица1[[#This Row],[Дата рождения]]</f>
        <v>0</v>
      </c>
    </row>
    <row r="2325" spans="22:23" ht="24.75" customHeight="1" x14ac:dyDescent="0.25">
      <c r="V2325" s="47">
        <f>Таблица1[[#This Row],[Дата перевода]]-Таблица1[[#This Row],[Дата поступления]]</f>
        <v>0</v>
      </c>
      <c r="W2325" s="47">
        <f>Таблица1[[#This Row],[Дата поступления]]-Таблица1[[#This Row],[Дата рождения]]</f>
        <v>0</v>
      </c>
    </row>
    <row r="2326" spans="22:23" ht="24.75" customHeight="1" x14ac:dyDescent="0.25">
      <c r="V2326" s="47">
        <f>Таблица1[[#This Row],[Дата перевода]]-Таблица1[[#This Row],[Дата поступления]]</f>
        <v>0</v>
      </c>
      <c r="W2326" s="47">
        <f>Таблица1[[#This Row],[Дата поступления]]-Таблица1[[#This Row],[Дата рождения]]</f>
        <v>0</v>
      </c>
    </row>
    <row r="2327" spans="22:23" ht="24.75" customHeight="1" x14ac:dyDescent="0.25">
      <c r="V2327" s="47">
        <f>Таблица1[[#This Row],[Дата перевода]]-Таблица1[[#This Row],[Дата поступления]]</f>
        <v>0</v>
      </c>
      <c r="W2327" s="47">
        <f>Таблица1[[#This Row],[Дата поступления]]-Таблица1[[#This Row],[Дата рождения]]</f>
        <v>0</v>
      </c>
    </row>
    <row r="2328" spans="22:23" ht="24.75" customHeight="1" x14ac:dyDescent="0.25">
      <c r="V2328" s="47">
        <f>Таблица1[[#This Row],[Дата перевода]]-Таблица1[[#This Row],[Дата поступления]]</f>
        <v>0</v>
      </c>
      <c r="W2328" s="47">
        <f>Таблица1[[#This Row],[Дата поступления]]-Таблица1[[#This Row],[Дата рождения]]</f>
        <v>0</v>
      </c>
    </row>
    <row r="2329" spans="22:23" ht="24.75" customHeight="1" x14ac:dyDescent="0.25">
      <c r="V2329" s="47">
        <f>Таблица1[[#This Row],[Дата перевода]]-Таблица1[[#This Row],[Дата поступления]]</f>
        <v>0</v>
      </c>
      <c r="W2329" s="47">
        <f>Таблица1[[#This Row],[Дата поступления]]-Таблица1[[#This Row],[Дата рождения]]</f>
        <v>0</v>
      </c>
    </row>
    <row r="2330" spans="22:23" ht="24.75" customHeight="1" x14ac:dyDescent="0.25">
      <c r="V2330" s="47">
        <f>Таблица1[[#This Row],[Дата перевода]]-Таблица1[[#This Row],[Дата поступления]]</f>
        <v>0</v>
      </c>
      <c r="W2330" s="47">
        <f>Таблица1[[#This Row],[Дата поступления]]-Таблица1[[#This Row],[Дата рождения]]</f>
        <v>0</v>
      </c>
    </row>
    <row r="2331" spans="22:23" ht="24.75" customHeight="1" x14ac:dyDescent="0.25">
      <c r="V2331" s="47">
        <f>Таблица1[[#This Row],[Дата перевода]]-Таблица1[[#This Row],[Дата поступления]]</f>
        <v>0</v>
      </c>
      <c r="W2331" s="47">
        <f>Таблица1[[#This Row],[Дата поступления]]-Таблица1[[#This Row],[Дата рождения]]</f>
        <v>0</v>
      </c>
    </row>
    <row r="2332" spans="22:23" ht="24.75" customHeight="1" x14ac:dyDescent="0.25">
      <c r="V2332" s="47">
        <f>Таблица1[[#This Row],[Дата перевода]]-Таблица1[[#This Row],[Дата поступления]]</f>
        <v>0</v>
      </c>
      <c r="W2332" s="47">
        <f>Таблица1[[#This Row],[Дата поступления]]-Таблица1[[#This Row],[Дата рождения]]</f>
        <v>0</v>
      </c>
    </row>
    <row r="2333" spans="22:23" ht="24.75" customHeight="1" x14ac:dyDescent="0.25">
      <c r="V2333" s="47">
        <f>Таблица1[[#This Row],[Дата перевода]]-Таблица1[[#This Row],[Дата поступления]]</f>
        <v>0</v>
      </c>
      <c r="W2333" s="47">
        <f>Таблица1[[#This Row],[Дата поступления]]-Таблица1[[#This Row],[Дата рождения]]</f>
        <v>0</v>
      </c>
    </row>
    <row r="2334" spans="22:23" ht="24.75" customHeight="1" x14ac:dyDescent="0.25">
      <c r="V2334" s="47">
        <f>Таблица1[[#This Row],[Дата перевода]]-Таблица1[[#This Row],[Дата поступления]]</f>
        <v>0</v>
      </c>
      <c r="W2334" s="47">
        <f>Таблица1[[#This Row],[Дата поступления]]-Таблица1[[#This Row],[Дата рождения]]</f>
        <v>0</v>
      </c>
    </row>
    <row r="2335" spans="22:23" ht="24.75" customHeight="1" x14ac:dyDescent="0.25">
      <c r="V2335" s="47">
        <f>Таблица1[[#This Row],[Дата перевода]]-Таблица1[[#This Row],[Дата поступления]]</f>
        <v>0</v>
      </c>
      <c r="W2335" s="47">
        <f>Таблица1[[#This Row],[Дата поступления]]-Таблица1[[#This Row],[Дата рождения]]</f>
        <v>0</v>
      </c>
    </row>
    <row r="2336" spans="22:23" ht="24.75" customHeight="1" x14ac:dyDescent="0.25">
      <c r="V2336" s="47">
        <f>Таблица1[[#This Row],[Дата перевода]]-Таблица1[[#This Row],[Дата поступления]]</f>
        <v>0</v>
      </c>
      <c r="W2336" s="47">
        <f>Таблица1[[#This Row],[Дата поступления]]-Таблица1[[#This Row],[Дата рождения]]</f>
        <v>0</v>
      </c>
    </row>
    <row r="2337" spans="22:23" ht="24.75" customHeight="1" x14ac:dyDescent="0.25">
      <c r="V2337" s="47">
        <f>Таблица1[[#This Row],[Дата перевода]]-Таблица1[[#This Row],[Дата поступления]]</f>
        <v>0</v>
      </c>
      <c r="W2337" s="47">
        <f>Таблица1[[#This Row],[Дата поступления]]-Таблица1[[#This Row],[Дата рождения]]</f>
        <v>0</v>
      </c>
    </row>
    <row r="2338" spans="22:23" ht="24.75" customHeight="1" x14ac:dyDescent="0.25">
      <c r="V2338" s="47">
        <f>Таблица1[[#This Row],[Дата перевода]]-Таблица1[[#This Row],[Дата поступления]]</f>
        <v>0</v>
      </c>
      <c r="W2338" s="47">
        <f>Таблица1[[#This Row],[Дата поступления]]-Таблица1[[#This Row],[Дата рождения]]</f>
        <v>0</v>
      </c>
    </row>
    <row r="2339" spans="22:23" ht="24.75" customHeight="1" x14ac:dyDescent="0.25">
      <c r="V2339" s="47">
        <f>Таблица1[[#This Row],[Дата перевода]]-Таблица1[[#This Row],[Дата поступления]]</f>
        <v>0</v>
      </c>
      <c r="W2339" s="47">
        <f>Таблица1[[#This Row],[Дата поступления]]-Таблица1[[#This Row],[Дата рождения]]</f>
        <v>0</v>
      </c>
    </row>
    <row r="2340" spans="22:23" ht="24.75" customHeight="1" x14ac:dyDescent="0.25">
      <c r="V2340" s="47">
        <f>Таблица1[[#This Row],[Дата перевода]]-Таблица1[[#This Row],[Дата поступления]]</f>
        <v>0</v>
      </c>
      <c r="W2340" s="47">
        <f>Таблица1[[#This Row],[Дата поступления]]-Таблица1[[#This Row],[Дата рождения]]</f>
        <v>0</v>
      </c>
    </row>
    <row r="2341" spans="22:23" ht="24.75" customHeight="1" x14ac:dyDescent="0.25">
      <c r="V2341" s="47">
        <f>Таблица1[[#This Row],[Дата перевода]]-Таблица1[[#This Row],[Дата поступления]]</f>
        <v>0</v>
      </c>
      <c r="W2341" s="47">
        <f>Таблица1[[#This Row],[Дата поступления]]-Таблица1[[#This Row],[Дата рождения]]</f>
        <v>0</v>
      </c>
    </row>
    <row r="2342" spans="22:23" ht="24.75" customHeight="1" x14ac:dyDescent="0.25">
      <c r="V2342" s="47">
        <f>Таблица1[[#This Row],[Дата перевода]]-Таблица1[[#This Row],[Дата поступления]]</f>
        <v>0</v>
      </c>
      <c r="W2342" s="47">
        <f>Таблица1[[#This Row],[Дата поступления]]-Таблица1[[#This Row],[Дата рождения]]</f>
        <v>0</v>
      </c>
    </row>
    <row r="2343" spans="22:23" ht="24.75" customHeight="1" x14ac:dyDescent="0.25">
      <c r="V2343" s="47">
        <f>Таблица1[[#This Row],[Дата перевода]]-Таблица1[[#This Row],[Дата поступления]]</f>
        <v>0</v>
      </c>
      <c r="W2343" s="47">
        <f>Таблица1[[#This Row],[Дата поступления]]-Таблица1[[#This Row],[Дата рождения]]</f>
        <v>0</v>
      </c>
    </row>
    <row r="2344" spans="22:23" ht="24.75" customHeight="1" x14ac:dyDescent="0.25">
      <c r="V2344" s="47">
        <f>Таблица1[[#This Row],[Дата перевода]]-Таблица1[[#This Row],[Дата поступления]]</f>
        <v>0</v>
      </c>
      <c r="W2344" s="47">
        <f>Таблица1[[#This Row],[Дата поступления]]-Таблица1[[#This Row],[Дата рождения]]</f>
        <v>0</v>
      </c>
    </row>
    <row r="2345" spans="22:23" ht="24.75" customHeight="1" x14ac:dyDescent="0.25">
      <c r="V2345" s="47">
        <f>Таблица1[[#This Row],[Дата перевода]]-Таблица1[[#This Row],[Дата поступления]]</f>
        <v>0</v>
      </c>
      <c r="W2345" s="47">
        <f>Таблица1[[#This Row],[Дата поступления]]-Таблица1[[#This Row],[Дата рождения]]</f>
        <v>0</v>
      </c>
    </row>
    <row r="2346" spans="22:23" ht="24.75" customHeight="1" x14ac:dyDescent="0.25">
      <c r="V2346" s="47">
        <f>Таблица1[[#This Row],[Дата перевода]]-Таблица1[[#This Row],[Дата поступления]]</f>
        <v>0</v>
      </c>
      <c r="W2346" s="47">
        <f>Таблица1[[#This Row],[Дата поступления]]-Таблица1[[#This Row],[Дата рождения]]</f>
        <v>0</v>
      </c>
    </row>
    <row r="2347" spans="22:23" ht="24.75" customHeight="1" x14ac:dyDescent="0.25">
      <c r="V2347" s="47">
        <f>Таблица1[[#This Row],[Дата перевода]]-Таблица1[[#This Row],[Дата поступления]]</f>
        <v>0</v>
      </c>
      <c r="W2347" s="47">
        <f>Таблица1[[#This Row],[Дата поступления]]-Таблица1[[#This Row],[Дата рождения]]</f>
        <v>0</v>
      </c>
    </row>
    <row r="2348" spans="22:23" ht="24.75" customHeight="1" x14ac:dyDescent="0.25">
      <c r="V2348" s="47">
        <f>Таблица1[[#This Row],[Дата перевода]]-Таблица1[[#This Row],[Дата поступления]]</f>
        <v>0</v>
      </c>
      <c r="W2348" s="47">
        <f>Таблица1[[#This Row],[Дата поступления]]-Таблица1[[#This Row],[Дата рождения]]</f>
        <v>0</v>
      </c>
    </row>
    <row r="2349" spans="22:23" ht="24.75" customHeight="1" x14ac:dyDescent="0.25">
      <c r="V2349" s="47">
        <f>Таблица1[[#This Row],[Дата перевода]]-Таблица1[[#This Row],[Дата поступления]]</f>
        <v>0</v>
      </c>
      <c r="W2349" s="47">
        <f>Таблица1[[#This Row],[Дата поступления]]-Таблица1[[#This Row],[Дата рождения]]</f>
        <v>0</v>
      </c>
    </row>
    <row r="2350" spans="22:23" ht="24.75" customHeight="1" x14ac:dyDescent="0.25">
      <c r="V2350" s="47">
        <f>Таблица1[[#This Row],[Дата перевода]]-Таблица1[[#This Row],[Дата поступления]]</f>
        <v>0</v>
      </c>
      <c r="W2350" s="47">
        <f>Таблица1[[#This Row],[Дата поступления]]-Таблица1[[#This Row],[Дата рождения]]</f>
        <v>0</v>
      </c>
    </row>
    <row r="2351" spans="22:23" ht="24.75" customHeight="1" x14ac:dyDescent="0.25">
      <c r="V2351" s="47">
        <f>Таблица1[[#This Row],[Дата перевода]]-Таблица1[[#This Row],[Дата поступления]]</f>
        <v>0</v>
      </c>
      <c r="W2351" s="47">
        <f>Таблица1[[#This Row],[Дата поступления]]-Таблица1[[#This Row],[Дата рождения]]</f>
        <v>0</v>
      </c>
    </row>
    <row r="2352" spans="22:23" ht="24.75" customHeight="1" x14ac:dyDescent="0.25">
      <c r="V2352" s="47">
        <f>Таблица1[[#This Row],[Дата перевода]]-Таблица1[[#This Row],[Дата поступления]]</f>
        <v>0</v>
      </c>
      <c r="W2352" s="47">
        <f>Таблица1[[#This Row],[Дата поступления]]-Таблица1[[#This Row],[Дата рождения]]</f>
        <v>0</v>
      </c>
    </row>
    <row r="2353" spans="22:23" ht="24.75" customHeight="1" x14ac:dyDescent="0.25">
      <c r="V2353" s="47">
        <f>Таблица1[[#This Row],[Дата перевода]]-Таблица1[[#This Row],[Дата поступления]]</f>
        <v>0</v>
      </c>
      <c r="W2353" s="47">
        <f>Таблица1[[#This Row],[Дата поступления]]-Таблица1[[#This Row],[Дата рождения]]</f>
        <v>0</v>
      </c>
    </row>
    <row r="2354" spans="22:23" ht="24.75" customHeight="1" x14ac:dyDescent="0.25">
      <c r="V2354" s="47">
        <f>Таблица1[[#This Row],[Дата перевода]]-Таблица1[[#This Row],[Дата поступления]]</f>
        <v>0</v>
      </c>
      <c r="W2354" s="47">
        <f>Таблица1[[#This Row],[Дата поступления]]-Таблица1[[#This Row],[Дата рождения]]</f>
        <v>0</v>
      </c>
    </row>
    <row r="2355" spans="22:23" ht="24.75" customHeight="1" x14ac:dyDescent="0.25">
      <c r="V2355" s="47">
        <f>Таблица1[[#This Row],[Дата перевода]]-Таблица1[[#This Row],[Дата поступления]]</f>
        <v>0</v>
      </c>
      <c r="W2355" s="47">
        <f>Таблица1[[#This Row],[Дата поступления]]-Таблица1[[#This Row],[Дата рождения]]</f>
        <v>0</v>
      </c>
    </row>
    <row r="2356" spans="22:23" ht="24.75" customHeight="1" x14ac:dyDescent="0.25">
      <c r="V2356" s="47">
        <f>Таблица1[[#This Row],[Дата перевода]]-Таблица1[[#This Row],[Дата поступления]]</f>
        <v>0</v>
      </c>
      <c r="W2356" s="47">
        <f>Таблица1[[#This Row],[Дата поступления]]-Таблица1[[#This Row],[Дата рождения]]</f>
        <v>0</v>
      </c>
    </row>
    <row r="2357" spans="22:23" ht="24.75" customHeight="1" x14ac:dyDescent="0.25">
      <c r="V2357" s="47">
        <f>Таблица1[[#This Row],[Дата перевода]]-Таблица1[[#This Row],[Дата поступления]]</f>
        <v>0</v>
      </c>
      <c r="W2357" s="47">
        <f>Таблица1[[#This Row],[Дата поступления]]-Таблица1[[#This Row],[Дата рождения]]</f>
        <v>0</v>
      </c>
    </row>
    <row r="2358" spans="22:23" ht="24.75" customHeight="1" x14ac:dyDescent="0.25">
      <c r="V2358" s="47">
        <f>Таблица1[[#This Row],[Дата перевода]]-Таблица1[[#This Row],[Дата поступления]]</f>
        <v>0</v>
      </c>
      <c r="W2358" s="47">
        <f>Таблица1[[#This Row],[Дата поступления]]-Таблица1[[#This Row],[Дата рождения]]</f>
        <v>0</v>
      </c>
    </row>
    <row r="2359" spans="22:23" ht="24.75" customHeight="1" x14ac:dyDescent="0.25">
      <c r="V2359" s="47">
        <f>Таблица1[[#This Row],[Дата перевода]]-Таблица1[[#This Row],[Дата поступления]]</f>
        <v>0</v>
      </c>
      <c r="W2359" s="47">
        <f>Таблица1[[#This Row],[Дата поступления]]-Таблица1[[#This Row],[Дата рождения]]</f>
        <v>0</v>
      </c>
    </row>
    <row r="2360" spans="22:23" ht="24.75" customHeight="1" x14ac:dyDescent="0.25">
      <c r="V2360" s="47">
        <f>Таблица1[[#This Row],[Дата перевода]]-Таблица1[[#This Row],[Дата поступления]]</f>
        <v>0</v>
      </c>
      <c r="W2360" s="47">
        <f>Таблица1[[#This Row],[Дата поступления]]-Таблица1[[#This Row],[Дата рождения]]</f>
        <v>0</v>
      </c>
    </row>
    <row r="2361" spans="22:23" ht="24.75" customHeight="1" x14ac:dyDescent="0.25">
      <c r="V2361" s="47">
        <f>Таблица1[[#This Row],[Дата перевода]]-Таблица1[[#This Row],[Дата поступления]]</f>
        <v>0</v>
      </c>
      <c r="W2361" s="47">
        <f>Таблица1[[#This Row],[Дата поступления]]-Таблица1[[#This Row],[Дата рождения]]</f>
        <v>0</v>
      </c>
    </row>
    <row r="2362" spans="22:23" ht="24.75" customHeight="1" x14ac:dyDescent="0.25">
      <c r="V2362" s="47">
        <f>Таблица1[[#This Row],[Дата перевода]]-Таблица1[[#This Row],[Дата поступления]]</f>
        <v>0</v>
      </c>
      <c r="W2362" s="47">
        <f>Таблица1[[#This Row],[Дата поступления]]-Таблица1[[#This Row],[Дата рождения]]</f>
        <v>0</v>
      </c>
    </row>
    <row r="2363" spans="22:23" ht="24.75" customHeight="1" x14ac:dyDescent="0.25">
      <c r="V2363" s="47">
        <f>Таблица1[[#This Row],[Дата перевода]]-Таблица1[[#This Row],[Дата поступления]]</f>
        <v>0</v>
      </c>
      <c r="W2363" s="47">
        <f>Таблица1[[#This Row],[Дата поступления]]-Таблица1[[#This Row],[Дата рождения]]</f>
        <v>0</v>
      </c>
    </row>
    <row r="2364" spans="22:23" ht="24.75" customHeight="1" x14ac:dyDescent="0.25">
      <c r="V2364" s="47">
        <f>Таблица1[[#This Row],[Дата перевода]]-Таблица1[[#This Row],[Дата поступления]]</f>
        <v>0</v>
      </c>
      <c r="W2364" s="47">
        <f>Таблица1[[#This Row],[Дата поступления]]-Таблица1[[#This Row],[Дата рождения]]</f>
        <v>0</v>
      </c>
    </row>
    <row r="2365" spans="22:23" ht="24.75" customHeight="1" x14ac:dyDescent="0.25">
      <c r="V2365" s="47">
        <f>Таблица1[[#This Row],[Дата перевода]]-Таблица1[[#This Row],[Дата поступления]]</f>
        <v>0</v>
      </c>
      <c r="W2365" s="47">
        <f>Таблица1[[#This Row],[Дата поступления]]-Таблица1[[#This Row],[Дата рождения]]</f>
        <v>0</v>
      </c>
    </row>
    <row r="2366" spans="22:23" ht="24.75" customHeight="1" x14ac:dyDescent="0.25">
      <c r="V2366" s="47">
        <f>Таблица1[[#This Row],[Дата перевода]]-Таблица1[[#This Row],[Дата поступления]]</f>
        <v>0</v>
      </c>
      <c r="W2366" s="47">
        <f>Таблица1[[#This Row],[Дата поступления]]-Таблица1[[#This Row],[Дата рождения]]</f>
        <v>0</v>
      </c>
    </row>
    <row r="2367" spans="22:23" ht="24.75" customHeight="1" x14ac:dyDescent="0.25">
      <c r="V2367" s="47">
        <f>Таблица1[[#This Row],[Дата перевода]]-Таблица1[[#This Row],[Дата поступления]]</f>
        <v>0</v>
      </c>
      <c r="W2367" s="47">
        <f>Таблица1[[#This Row],[Дата поступления]]-Таблица1[[#This Row],[Дата рождения]]</f>
        <v>0</v>
      </c>
    </row>
    <row r="2368" spans="22:23" ht="24.75" customHeight="1" x14ac:dyDescent="0.25">
      <c r="V2368" s="47">
        <f>Таблица1[[#This Row],[Дата перевода]]-Таблица1[[#This Row],[Дата поступления]]</f>
        <v>0</v>
      </c>
      <c r="W2368" s="47">
        <f>Таблица1[[#This Row],[Дата поступления]]-Таблица1[[#This Row],[Дата рождения]]</f>
        <v>0</v>
      </c>
    </row>
    <row r="2369" spans="22:23" ht="24.75" customHeight="1" x14ac:dyDescent="0.25">
      <c r="V2369" s="47">
        <f>Таблица1[[#This Row],[Дата перевода]]-Таблица1[[#This Row],[Дата поступления]]</f>
        <v>0</v>
      </c>
      <c r="W2369" s="47">
        <f>Таблица1[[#This Row],[Дата поступления]]-Таблица1[[#This Row],[Дата рождения]]</f>
        <v>0</v>
      </c>
    </row>
    <row r="2370" spans="22:23" ht="24.75" customHeight="1" x14ac:dyDescent="0.25">
      <c r="V2370" s="47">
        <f>Таблица1[[#This Row],[Дата перевода]]-Таблица1[[#This Row],[Дата поступления]]</f>
        <v>0</v>
      </c>
      <c r="W2370" s="47">
        <f>Таблица1[[#This Row],[Дата поступления]]-Таблица1[[#This Row],[Дата рождения]]</f>
        <v>0</v>
      </c>
    </row>
    <row r="2371" spans="22:23" ht="24.75" customHeight="1" x14ac:dyDescent="0.25">
      <c r="V2371" s="47">
        <f>Таблица1[[#This Row],[Дата перевода]]-Таблица1[[#This Row],[Дата поступления]]</f>
        <v>0</v>
      </c>
      <c r="W2371" s="47">
        <f>Таблица1[[#This Row],[Дата поступления]]-Таблица1[[#This Row],[Дата рождения]]</f>
        <v>0</v>
      </c>
    </row>
    <row r="2372" spans="22:23" ht="24.75" customHeight="1" x14ac:dyDescent="0.25">
      <c r="V2372" s="47">
        <f>Таблица1[[#This Row],[Дата перевода]]-Таблица1[[#This Row],[Дата поступления]]</f>
        <v>0</v>
      </c>
      <c r="W2372" s="47">
        <f>Таблица1[[#This Row],[Дата поступления]]-Таблица1[[#This Row],[Дата рождения]]</f>
        <v>0</v>
      </c>
    </row>
    <row r="2373" spans="22:23" ht="24.75" customHeight="1" x14ac:dyDescent="0.25">
      <c r="V2373" s="47">
        <f>Таблица1[[#This Row],[Дата перевода]]-Таблица1[[#This Row],[Дата поступления]]</f>
        <v>0</v>
      </c>
      <c r="W2373" s="47">
        <f>Таблица1[[#This Row],[Дата поступления]]-Таблица1[[#This Row],[Дата рождения]]</f>
        <v>0</v>
      </c>
    </row>
    <row r="2374" spans="22:23" ht="24.75" customHeight="1" x14ac:dyDescent="0.25">
      <c r="V2374" s="47">
        <f>Таблица1[[#This Row],[Дата перевода]]-Таблица1[[#This Row],[Дата поступления]]</f>
        <v>0</v>
      </c>
      <c r="W2374" s="47">
        <f>Таблица1[[#This Row],[Дата поступления]]-Таблица1[[#This Row],[Дата рождения]]</f>
        <v>0</v>
      </c>
    </row>
    <row r="2375" spans="22:23" ht="24.75" customHeight="1" x14ac:dyDescent="0.25">
      <c r="V2375" s="47">
        <f>Таблица1[[#This Row],[Дата перевода]]-Таблица1[[#This Row],[Дата поступления]]</f>
        <v>0</v>
      </c>
      <c r="W2375" s="47">
        <f>Таблица1[[#This Row],[Дата поступления]]-Таблица1[[#This Row],[Дата рождения]]</f>
        <v>0</v>
      </c>
    </row>
    <row r="2376" spans="22:23" ht="24.75" customHeight="1" x14ac:dyDescent="0.25">
      <c r="V2376" s="47">
        <f>Таблица1[[#This Row],[Дата перевода]]-Таблица1[[#This Row],[Дата поступления]]</f>
        <v>0</v>
      </c>
      <c r="W2376" s="47">
        <f>Таблица1[[#This Row],[Дата поступления]]-Таблица1[[#This Row],[Дата рождения]]</f>
        <v>0</v>
      </c>
    </row>
    <row r="2377" spans="22:23" ht="24.75" customHeight="1" x14ac:dyDescent="0.25">
      <c r="V2377" s="47">
        <f>Таблица1[[#This Row],[Дата перевода]]-Таблица1[[#This Row],[Дата поступления]]</f>
        <v>0</v>
      </c>
      <c r="W2377" s="47">
        <f>Таблица1[[#This Row],[Дата поступления]]-Таблица1[[#This Row],[Дата рождения]]</f>
        <v>0</v>
      </c>
    </row>
    <row r="2378" spans="22:23" ht="24.75" customHeight="1" x14ac:dyDescent="0.25">
      <c r="V2378" s="47">
        <f>Таблица1[[#This Row],[Дата перевода]]-Таблица1[[#This Row],[Дата поступления]]</f>
        <v>0</v>
      </c>
      <c r="W2378" s="47">
        <f>Таблица1[[#This Row],[Дата поступления]]-Таблица1[[#This Row],[Дата рождения]]</f>
        <v>0</v>
      </c>
    </row>
    <row r="2379" spans="22:23" ht="24.75" customHeight="1" x14ac:dyDescent="0.25">
      <c r="V2379" s="47">
        <f>Таблица1[[#This Row],[Дата перевода]]-Таблица1[[#This Row],[Дата поступления]]</f>
        <v>0</v>
      </c>
      <c r="W2379" s="47">
        <f>Таблица1[[#This Row],[Дата поступления]]-Таблица1[[#This Row],[Дата рождения]]</f>
        <v>0</v>
      </c>
    </row>
    <row r="2380" spans="22:23" ht="24.75" customHeight="1" x14ac:dyDescent="0.25">
      <c r="V2380" s="47">
        <f>Таблица1[[#This Row],[Дата перевода]]-Таблица1[[#This Row],[Дата поступления]]</f>
        <v>0</v>
      </c>
      <c r="W2380" s="47">
        <f>Таблица1[[#This Row],[Дата поступления]]-Таблица1[[#This Row],[Дата рождения]]</f>
        <v>0</v>
      </c>
    </row>
    <row r="2381" spans="22:23" ht="24.75" customHeight="1" x14ac:dyDescent="0.25">
      <c r="V2381" s="47">
        <f>Таблица1[[#This Row],[Дата перевода]]-Таблица1[[#This Row],[Дата поступления]]</f>
        <v>0</v>
      </c>
      <c r="W2381" s="47">
        <f>Таблица1[[#This Row],[Дата поступления]]-Таблица1[[#This Row],[Дата рождения]]</f>
        <v>0</v>
      </c>
    </row>
    <row r="2382" spans="22:23" ht="24.75" customHeight="1" x14ac:dyDescent="0.25">
      <c r="V2382" s="47">
        <f>Таблица1[[#This Row],[Дата перевода]]-Таблица1[[#This Row],[Дата поступления]]</f>
        <v>0</v>
      </c>
      <c r="W2382" s="47">
        <f>Таблица1[[#This Row],[Дата поступления]]-Таблица1[[#This Row],[Дата рождения]]</f>
        <v>0</v>
      </c>
    </row>
    <row r="2383" spans="22:23" ht="24.75" customHeight="1" x14ac:dyDescent="0.25">
      <c r="V2383" s="47">
        <f>Таблица1[[#This Row],[Дата перевода]]-Таблица1[[#This Row],[Дата поступления]]</f>
        <v>0</v>
      </c>
      <c r="W2383" s="47">
        <f>Таблица1[[#This Row],[Дата поступления]]-Таблица1[[#This Row],[Дата рождения]]</f>
        <v>0</v>
      </c>
    </row>
    <row r="2384" spans="22:23" ht="24.75" customHeight="1" x14ac:dyDescent="0.25">
      <c r="V2384" s="47">
        <f>Таблица1[[#This Row],[Дата перевода]]-Таблица1[[#This Row],[Дата поступления]]</f>
        <v>0</v>
      </c>
      <c r="W2384" s="47">
        <f>Таблица1[[#This Row],[Дата поступления]]-Таблица1[[#This Row],[Дата рождения]]</f>
        <v>0</v>
      </c>
    </row>
    <row r="2385" spans="22:23" ht="24.75" customHeight="1" x14ac:dyDescent="0.25">
      <c r="V2385" s="47">
        <f>Таблица1[[#This Row],[Дата перевода]]-Таблица1[[#This Row],[Дата поступления]]</f>
        <v>0</v>
      </c>
      <c r="W2385" s="47">
        <f>Таблица1[[#This Row],[Дата поступления]]-Таблица1[[#This Row],[Дата рождения]]</f>
        <v>0</v>
      </c>
    </row>
    <row r="2386" spans="22:23" ht="24.75" customHeight="1" x14ac:dyDescent="0.25">
      <c r="V2386" s="47">
        <f>Таблица1[[#This Row],[Дата перевода]]-Таблица1[[#This Row],[Дата поступления]]</f>
        <v>0</v>
      </c>
      <c r="W2386" s="47">
        <f>Таблица1[[#This Row],[Дата поступления]]-Таблица1[[#This Row],[Дата рождения]]</f>
        <v>0</v>
      </c>
    </row>
    <row r="2387" spans="22:23" ht="24.75" customHeight="1" x14ac:dyDescent="0.25">
      <c r="V2387" s="47">
        <f>Таблица1[[#This Row],[Дата перевода]]-Таблица1[[#This Row],[Дата поступления]]</f>
        <v>0</v>
      </c>
      <c r="W2387" s="47">
        <f>Таблица1[[#This Row],[Дата поступления]]-Таблица1[[#This Row],[Дата рождения]]</f>
        <v>0</v>
      </c>
    </row>
    <row r="2388" spans="22:23" ht="24.75" customHeight="1" x14ac:dyDescent="0.25">
      <c r="V2388" s="47">
        <f>Таблица1[[#This Row],[Дата перевода]]-Таблица1[[#This Row],[Дата поступления]]</f>
        <v>0</v>
      </c>
      <c r="W2388" s="47">
        <f>Таблица1[[#This Row],[Дата поступления]]-Таблица1[[#This Row],[Дата рождения]]</f>
        <v>0</v>
      </c>
    </row>
    <row r="2389" spans="22:23" ht="24.75" customHeight="1" x14ac:dyDescent="0.25">
      <c r="V2389" s="47">
        <f>Таблица1[[#This Row],[Дата перевода]]-Таблица1[[#This Row],[Дата поступления]]</f>
        <v>0</v>
      </c>
      <c r="W2389" s="47">
        <f>Таблица1[[#This Row],[Дата поступления]]-Таблица1[[#This Row],[Дата рождения]]</f>
        <v>0</v>
      </c>
    </row>
    <row r="2390" spans="22:23" ht="24.75" customHeight="1" x14ac:dyDescent="0.25">
      <c r="V2390" s="47">
        <f>Таблица1[[#This Row],[Дата перевода]]-Таблица1[[#This Row],[Дата поступления]]</f>
        <v>0</v>
      </c>
      <c r="W2390" s="47">
        <f>Таблица1[[#This Row],[Дата поступления]]-Таблица1[[#This Row],[Дата рождения]]</f>
        <v>0</v>
      </c>
    </row>
    <row r="2391" spans="22:23" ht="24.75" customHeight="1" x14ac:dyDescent="0.25">
      <c r="V2391" s="47">
        <f>Таблица1[[#This Row],[Дата перевода]]-Таблица1[[#This Row],[Дата поступления]]</f>
        <v>0</v>
      </c>
      <c r="W2391" s="47">
        <f>Таблица1[[#This Row],[Дата поступления]]-Таблица1[[#This Row],[Дата рождения]]</f>
        <v>0</v>
      </c>
    </row>
    <row r="2392" spans="22:23" ht="24.75" customHeight="1" x14ac:dyDescent="0.25">
      <c r="V2392" s="47">
        <f>Таблица1[[#This Row],[Дата перевода]]-Таблица1[[#This Row],[Дата поступления]]</f>
        <v>0</v>
      </c>
      <c r="W2392" s="47">
        <f>Таблица1[[#This Row],[Дата поступления]]-Таблица1[[#This Row],[Дата рождения]]</f>
        <v>0</v>
      </c>
    </row>
    <row r="2393" spans="22:23" ht="24.75" customHeight="1" x14ac:dyDescent="0.25">
      <c r="V2393" s="47">
        <f>Таблица1[[#This Row],[Дата перевода]]-Таблица1[[#This Row],[Дата поступления]]</f>
        <v>0</v>
      </c>
      <c r="W2393" s="47">
        <f>Таблица1[[#This Row],[Дата поступления]]-Таблица1[[#This Row],[Дата рождения]]</f>
        <v>0</v>
      </c>
    </row>
    <row r="2394" spans="22:23" ht="24.75" customHeight="1" x14ac:dyDescent="0.25">
      <c r="V2394" s="47">
        <f>Таблица1[[#This Row],[Дата перевода]]-Таблица1[[#This Row],[Дата поступления]]</f>
        <v>0</v>
      </c>
      <c r="W2394" s="47">
        <f>Таблица1[[#This Row],[Дата поступления]]-Таблица1[[#This Row],[Дата рождения]]</f>
        <v>0</v>
      </c>
    </row>
    <row r="2395" spans="22:23" ht="24.75" customHeight="1" x14ac:dyDescent="0.25">
      <c r="V2395" s="47">
        <f>Таблица1[[#This Row],[Дата перевода]]-Таблица1[[#This Row],[Дата поступления]]</f>
        <v>0</v>
      </c>
      <c r="W2395" s="47">
        <f>Таблица1[[#This Row],[Дата поступления]]-Таблица1[[#This Row],[Дата рождения]]</f>
        <v>0</v>
      </c>
    </row>
    <row r="2396" spans="22:23" ht="24.75" customHeight="1" x14ac:dyDescent="0.25">
      <c r="V2396" s="47">
        <f>Таблица1[[#This Row],[Дата перевода]]-Таблица1[[#This Row],[Дата поступления]]</f>
        <v>0</v>
      </c>
      <c r="W2396" s="47">
        <f>Таблица1[[#This Row],[Дата поступления]]-Таблица1[[#This Row],[Дата рождения]]</f>
        <v>0</v>
      </c>
    </row>
    <row r="2397" spans="22:23" ht="24.75" customHeight="1" x14ac:dyDescent="0.25">
      <c r="V2397" s="47">
        <f>Таблица1[[#This Row],[Дата перевода]]-Таблица1[[#This Row],[Дата поступления]]</f>
        <v>0</v>
      </c>
      <c r="W2397" s="47">
        <f>Таблица1[[#This Row],[Дата поступления]]-Таблица1[[#This Row],[Дата рождения]]</f>
        <v>0</v>
      </c>
    </row>
    <row r="2398" spans="22:23" ht="24.75" customHeight="1" x14ac:dyDescent="0.25">
      <c r="V2398" s="47">
        <f>Таблица1[[#This Row],[Дата перевода]]-Таблица1[[#This Row],[Дата поступления]]</f>
        <v>0</v>
      </c>
      <c r="W2398" s="47">
        <f>Таблица1[[#This Row],[Дата поступления]]-Таблица1[[#This Row],[Дата рождения]]</f>
        <v>0</v>
      </c>
    </row>
    <row r="2399" spans="22:23" ht="24.75" customHeight="1" x14ac:dyDescent="0.25">
      <c r="V2399" s="47">
        <f>Таблица1[[#This Row],[Дата перевода]]-Таблица1[[#This Row],[Дата поступления]]</f>
        <v>0</v>
      </c>
      <c r="W2399" s="47">
        <f>Таблица1[[#This Row],[Дата поступления]]-Таблица1[[#This Row],[Дата рождения]]</f>
        <v>0</v>
      </c>
    </row>
    <row r="2400" spans="22:23" ht="24.75" customHeight="1" x14ac:dyDescent="0.25">
      <c r="V2400" s="47">
        <f>Таблица1[[#This Row],[Дата перевода]]-Таблица1[[#This Row],[Дата поступления]]</f>
        <v>0</v>
      </c>
      <c r="W2400" s="47">
        <f>Таблица1[[#This Row],[Дата поступления]]-Таблица1[[#This Row],[Дата рождения]]</f>
        <v>0</v>
      </c>
    </row>
    <row r="2401" spans="22:23" ht="24.75" customHeight="1" x14ac:dyDescent="0.25">
      <c r="V2401" s="47">
        <f>Таблица1[[#This Row],[Дата перевода]]-Таблица1[[#This Row],[Дата поступления]]</f>
        <v>0</v>
      </c>
      <c r="W2401" s="47">
        <f>Таблица1[[#This Row],[Дата поступления]]-Таблица1[[#This Row],[Дата рождения]]</f>
        <v>0</v>
      </c>
    </row>
    <row r="2402" spans="22:23" ht="24.75" customHeight="1" x14ac:dyDescent="0.25">
      <c r="V2402" s="47">
        <f>Таблица1[[#This Row],[Дата перевода]]-Таблица1[[#This Row],[Дата поступления]]</f>
        <v>0</v>
      </c>
      <c r="W2402" s="47">
        <f>Таблица1[[#This Row],[Дата поступления]]-Таблица1[[#This Row],[Дата рождения]]</f>
        <v>0</v>
      </c>
    </row>
    <row r="2403" spans="22:23" ht="24.75" customHeight="1" x14ac:dyDescent="0.25">
      <c r="V2403" s="47">
        <f>Таблица1[[#This Row],[Дата перевода]]-Таблица1[[#This Row],[Дата поступления]]</f>
        <v>0</v>
      </c>
      <c r="W2403" s="47">
        <f>Таблица1[[#This Row],[Дата поступления]]-Таблица1[[#This Row],[Дата рождения]]</f>
        <v>0</v>
      </c>
    </row>
    <row r="2404" spans="22:23" ht="24.75" customHeight="1" x14ac:dyDescent="0.25">
      <c r="V2404" s="47">
        <f>Таблица1[[#This Row],[Дата перевода]]-Таблица1[[#This Row],[Дата поступления]]</f>
        <v>0</v>
      </c>
      <c r="W2404" s="47">
        <f>Таблица1[[#This Row],[Дата поступления]]-Таблица1[[#This Row],[Дата рождения]]</f>
        <v>0</v>
      </c>
    </row>
    <row r="2405" spans="22:23" ht="24.75" customHeight="1" x14ac:dyDescent="0.25">
      <c r="V2405" s="47">
        <f>Таблица1[[#This Row],[Дата перевода]]-Таблица1[[#This Row],[Дата поступления]]</f>
        <v>0</v>
      </c>
      <c r="W2405" s="47">
        <f>Таблица1[[#This Row],[Дата поступления]]-Таблица1[[#This Row],[Дата рождения]]</f>
        <v>0</v>
      </c>
    </row>
    <row r="2406" spans="22:23" ht="24.75" customHeight="1" x14ac:dyDescent="0.25">
      <c r="V2406" s="47">
        <f>Таблица1[[#This Row],[Дата перевода]]-Таблица1[[#This Row],[Дата поступления]]</f>
        <v>0</v>
      </c>
      <c r="W2406" s="47">
        <f>Таблица1[[#This Row],[Дата поступления]]-Таблица1[[#This Row],[Дата рождения]]</f>
        <v>0</v>
      </c>
    </row>
    <row r="2407" spans="22:23" ht="24.75" customHeight="1" x14ac:dyDescent="0.25">
      <c r="V2407" s="47">
        <f>Таблица1[[#This Row],[Дата перевода]]-Таблица1[[#This Row],[Дата поступления]]</f>
        <v>0</v>
      </c>
      <c r="W2407" s="47">
        <f>Таблица1[[#This Row],[Дата поступления]]-Таблица1[[#This Row],[Дата рождения]]</f>
        <v>0</v>
      </c>
    </row>
    <row r="2408" spans="22:23" ht="24.75" customHeight="1" x14ac:dyDescent="0.25">
      <c r="V2408" s="47">
        <f>Таблица1[[#This Row],[Дата перевода]]-Таблица1[[#This Row],[Дата поступления]]</f>
        <v>0</v>
      </c>
      <c r="W2408" s="47">
        <f>Таблица1[[#This Row],[Дата поступления]]-Таблица1[[#This Row],[Дата рождения]]</f>
        <v>0</v>
      </c>
    </row>
    <row r="2409" spans="22:23" ht="24.75" customHeight="1" x14ac:dyDescent="0.25">
      <c r="V2409" s="47">
        <f>Таблица1[[#This Row],[Дата перевода]]-Таблица1[[#This Row],[Дата поступления]]</f>
        <v>0</v>
      </c>
      <c r="W2409" s="47">
        <f>Таблица1[[#This Row],[Дата поступления]]-Таблица1[[#This Row],[Дата рождения]]</f>
        <v>0</v>
      </c>
    </row>
    <row r="2410" spans="22:23" ht="24.75" customHeight="1" x14ac:dyDescent="0.25">
      <c r="V2410" s="47">
        <f>Таблица1[[#This Row],[Дата перевода]]-Таблица1[[#This Row],[Дата поступления]]</f>
        <v>0</v>
      </c>
      <c r="W2410" s="47">
        <f>Таблица1[[#This Row],[Дата поступления]]-Таблица1[[#This Row],[Дата рождения]]</f>
        <v>0</v>
      </c>
    </row>
    <row r="2411" spans="22:23" ht="24.75" customHeight="1" x14ac:dyDescent="0.25">
      <c r="V2411" s="47">
        <f>Таблица1[[#This Row],[Дата перевода]]-Таблица1[[#This Row],[Дата поступления]]</f>
        <v>0</v>
      </c>
      <c r="W2411" s="47">
        <f>Таблица1[[#This Row],[Дата поступления]]-Таблица1[[#This Row],[Дата рождения]]</f>
        <v>0</v>
      </c>
    </row>
    <row r="2412" spans="22:23" ht="24.75" customHeight="1" x14ac:dyDescent="0.25">
      <c r="V2412" s="47">
        <f>Таблица1[[#This Row],[Дата перевода]]-Таблица1[[#This Row],[Дата поступления]]</f>
        <v>0</v>
      </c>
      <c r="W2412" s="47">
        <f>Таблица1[[#This Row],[Дата поступления]]-Таблица1[[#This Row],[Дата рождения]]</f>
        <v>0</v>
      </c>
    </row>
    <row r="2413" spans="22:23" ht="24.75" customHeight="1" x14ac:dyDescent="0.25">
      <c r="V2413" s="47">
        <f>Таблица1[[#This Row],[Дата перевода]]-Таблица1[[#This Row],[Дата поступления]]</f>
        <v>0</v>
      </c>
      <c r="W2413" s="47">
        <f>Таблица1[[#This Row],[Дата поступления]]-Таблица1[[#This Row],[Дата рождения]]</f>
        <v>0</v>
      </c>
    </row>
    <row r="2414" spans="22:23" ht="24.75" customHeight="1" x14ac:dyDescent="0.25">
      <c r="V2414" s="47">
        <f>Таблица1[[#This Row],[Дата перевода]]-Таблица1[[#This Row],[Дата поступления]]</f>
        <v>0</v>
      </c>
      <c r="W2414" s="47">
        <f>Таблица1[[#This Row],[Дата поступления]]-Таблица1[[#This Row],[Дата рождения]]</f>
        <v>0</v>
      </c>
    </row>
    <row r="2415" spans="22:23" ht="24.75" customHeight="1" x14ac:dyDescent="0.25">
      <c r="V2415" s="47">
        <f>Таблица1[[#This Row],[Дата перевода]]-Таблица1[[#This Row],[Дата поступления]]</f>
        <v>0</v>
      </c>
      <c r="W2415" s="47">
        <f>Таблица1[[#This Row],[Дата поступления]]-Таблица1[[#This Row],[Дата рождения]]</f>
        <v>0</v>
      </c>
    </row>
    <row r="2416" spans="22:23" ht="24.75" customHeight="1" x14ac:dyDescent="0.25">
      <c r="V2416" s="47">
        <f>Таблица1[[#This Row],[Дата перевода]]-Таблица1[[#This Row],[Дата поступления]]</f>
        <v>0</v>
      </c>
      <c r="W2416" s="47">
        <f>Таблица1[[#This Row],[Дата поступления]]-Таблица1[[#This Row],[Дата рождения]]</f>
        <v>0</v>
      </c>
    </row>
    <row r="2417" spans="22:23" ht="24.75" customHeight="1" x14ac:dyDescent="0.25">
      <c r="V2417" s="47">
        <f>Таблица1[[#This Row],[Дата перевода]]-Таблица1[[#This Row],[Дата поступления]]</f>
        <v>0</v>
      </c>
      <c r="W2417" s="47">
        <f>Таблица1[[#This Row],[Дата поступления]]-Таблица1[[#This Row],[Дата рождения]]</f>
        <v>0</v>
      </c>
    </row>
    <row r="2418" spans="22:23" ht="24.75" customHeight="1" x14ac:dyDescent="0.25">
      <c r="V2418" s="47">
        <f>Таблица1[[#This Row],[Дата перевода]]-Таблица1[[#This Row],[Дата поступления]]</f>
        <v>0</v>
      </c>
      <c r="W2418" s="47">
        <f>Таблица1[[#This Row],[Дата поступления]]-Таблица1[[#This Row],[Дата рождения]]</f>
        <v>0</v>
      </c>
    </row>
    <row r="2419" spans="22:23" ht="24.75" customHeight="1" x14ac:dyDescent="0.25">
      <c r="V2419" s="47">
        <f>Таблица1[[#This Row],[Дата перевода]]-Таблица1[[#This Row],[Дата поступления]]</f>
        <v>0</v>
      </c>
      <c r="W2419" s="47">
        <f>Таблица1[[#This Row],[Дата поступления]]-Таблица1[[#This Row],[Дата рождения]]</f>
        <v>0</v>
      </c>
    </row>
    <row r="2420" spans="22:23" ht="24.75" customHeight="1" x14ac:dyDescent="0.25">
      <c r="V2420" s="47">
        <f>Таблица1[[#This Row],[Дата перевода]]-Таблица1[[#This Row],[Дата поступления]]</f>
        <v>0</v>
      </c>
      <c r="W2420" s="47">
        <f>Таблица1[[#This Row],[Дата поступления]]-Таблица1[[#This Row],[Дата рождения]]</f>
        <v>0</v>
      </c>
    </row>
    <row r="2421" spans="22:23" ht="24.75" customHeight="1" x14ac:dyDescent="0.25">
      <c r="V2421" s="47">
        <f>Таблица1[[#This Row],[Дата перевода]]-Таблица1[[#This Row],[Дата поступления]]</f>
        <v>0</v>
      </c>
      <c r="W2421" s="47">
        <f>Таблица1[[#This Row],[Дата поступления]]-Таблица1[[#This Row],[Дата рождения]]</f>
        <v>0</v>
      </c>
    </row>
    <row r="2422" spans="22:23" ht="24.75" customHeight="1" x14ac:dyDescent="0.25">
      <c r="V2422" s="47">
        <f>Таблица1[[#This Row],[Дата перевода]]-Таблица1[[#This Row],[Дата поступления]]</f>
        <v>0</v>
      </c>
      <c r="W2422" s="47">
        <f>Таблица1[[#This Row],[Дата поступления]]-Таблица1[[#This Row],[Дата рождения]]</f>
        <v>0</v>
      </c>
    </row>
    <row r="2423" spans="22:23" ht="24.75" customHeight="1" x14ac:dyDescent="0.25">
      <c r="V2423" s="47">
        <f>Таблица1[[#This Row],[Дата перевода]]-Таблица1[[#This Row],[Дата поступления]]</f>
        <v>0</v>
      </c>
      <c r="W2423" s="47">
        <f>Таблица1[[#This Row],[Дата поступления]]-Таблица1[[#This Row],[Дата рождения]]</f>
        <v>0</v>
      </c>
    </row>
    <row r="2424" spans="22:23" ht="24.75" customHeight="1" x14ac:dyDescent="0.25">
      <c r="V2424" s="47">
        <f>Таблица1[[#This Row],[Дата перевода]]-Таблица1[[#This Row],[Дата поступления]]</f>
        <v>0</v>
      </c>
      <c r="W2424" s="47">
        <f>Таблица1[[#This Row],[Дата поступления]]-Таблица1[[#This Row],[Дата рождения]]</f>
        <v>0</v>
      </c>
    </row>
    <row r="2425" spans="22:23" ht="24.75" customHeight="1" x14ac:dyDescent="0.25">
      <c r="V2425" s="47">
        <f>Таблица1[[#This Row],[Дата перевода]]-Таблица1[[#This Row],[Дата поступления]]</f>
        <v>0</v>
      </c>
      <c r="W2425" s="47">
        <f>Таблица1[[#This Row],[Дата поступления]]-Таблица1[[#This Row],[Дата рождения]]</f>
        <v>0</v>
      </c>
    </row>
    <row r="2426" spans="22:23" ht="24.75" customHeight="1" x14ac:dyDescent="0.25">
      <c r="V2426" s="47">
        <f>Таблица1[[#This Row],[Дата перевода]]-Таблица1[[#This Row],[Дата поступления]]</f>
        <v>0</v>
      </c>
      <c r="W2426" s="47">
        <f>Таблица1[[#This Row],[Дата поступления]]-Таблица1[[#This Row],[Дата рождения]]</f>
        <v>0</v>
      </c>
    </row>
    <row r="2427" spans="22:23" ht="24.75" customHeight="1" x14ac:dyDescent="0.25">
      <c r="V2427" s="47">
        <f>Таблица1[[#This Row],[Дата перевода]]-Таблица1[[#This Row],[Дата поступления]]</f>
        <v>0</v>
      </c>
      <c r="W2427" s="47">
        <f>Таблица1[[#This Row],[Дата поступления]]-Таблица1[[#This Row],[Дата рождения]]</f>
        <v>0</v>
      </c>
    </row>
    <row r="2428" spans="22:23" ht="24.75" customHeight="1" x14ac:dyDescent="0.25">
      <c r="V2428" s="47">
        <f>Таблица1[[#This Row],[Дата перевода]]-Таблица1[[#This Row],[Дата поступления]]</f>
        <v>0</v>
      </c>
      <c r="W2428" s="47">
        <f>Таблица1[[#This Row],[Дата поступления]]-Таблица1[[#This Row],[Дата рождения]]</f>
        <v>0</v>
      </c>
    </row>
    <row r="2429" spans="22:23" ht="24.75" customHeight="1" x14ac:dyDescent="0.25">
      <c r="V2429" s="47">
        <f>Таблица1[[#This Row],[Дата перевода]]-Таблица1[[#This Row],[Дата поступления]]</f>
        <v>0</v>
      </c>
      <c r="W2429" s="47">
        <f>Таблица1[[#This Row],[Дата поступления]]-Таблица1[[#This Row],[Дата рождения]]</f>
        <v>0</v>
      </c>
    </row>
    <row r="2430" spans="22:23" ht="24.75" customHeight="1" x14ac:dyDescent="0.25">
      <c r="V2430" s="47">
        <f>Таблица1[[#This Row],[Дата перевода]]-Таблица1[[#This Row],[Дата поступления]]</f>
        <v>0</v>
      </c>
      <c r="W2430" s="47">
        <f>Таблица1[[#This Row],[Дата поступления]]-Таблица1[[#This Row],[Дата рождения]]</f>
        <v>0</v>
      </c>
    </row>
    <row r="2431" spans="22:23" ht="24.75" customHeight="1" x14ac:dyDescent="0.25">
      <c r="V2431" s="47">
        <f>Таблица1[[#This Row],[Дата перевода]]-Таблица1[[#This Row],[Дата поступления]]</f>
        <v>0</v>
      </c>
      <c r="W2431" s="47">
        <f>Таблица1[[#This Row],[Дата поступления]]-Таблица1[[#This Row],[Дата рождения]]</f>
        <v>0</v>
      </c>
    </row>
    <row r="2432" spans="22:23" ht="24.75" customHeight="1" x14ac:dyDescent="0.25">
      <c r="V2432" s="47">
        <f>Таблица1[[#This Row],[Дата перевода]]-Таблица1[[#This Row],[Дата поступления]]</f>
        <v>0</v>
      </c>
      <c r="W2432" s="47">
        <f>Таблица1[[#This Row],[Дата поступления]]-Таблица1[[#This Row],[Дата рождения]]</f>
        <v>0</v>
      </c>
    </row>
    <row r="2433" spans="22:23" ht="24.75" customHeight="1" x14ac:dyDescent="0.25">
      <c r="V2433" s="47">
        <f>Таблица1[[#This Row],[Дата перевода]]-Таблица1[[#This Row],[Дата поступления]]</f>
        <v>0</v>
      </c>
      <c r="W2433" s="47">
        <f>Таблица1[[#This Row],[Дата поступления]]-Таблица1[[#This Row],[Дата рождения]]</f>
        <v>0</v>
      </c>
    </row>
    <row r="2434" spans="22:23" ht="24.75" customHeight="1" x14ac:dyDescent="0.25">
      <c r="V2434" s="47">
        <f>Таблица1[[#This Row],[Дата перевода]]-Таблица1[[#This Row],[Дата поступления]]</f>
        <v>0</v>
      </c>
      <c r="W2434" s="47">
        <f>Таблица1[[#This Row],[Дата поступления]]-Таблица1[[#This Row],[Дата рождения]]</f>
        <v>0</v>
      </c>
    </row>
    <row r="2435" spans="22:23" ht="24.75" customHeight="1" x14ac:dyDescent="0.25">
      <c r="V2435" s="47">
        <f>Таблица1[[#This Row],[Дата перевода]]-Таблица1[[#This Row],[Дата поступления]]</f>
        <v>0</v>
      </c>
      <c r="W2435" s="47">
        <f>Таблица1[[#This Row],[Дата поступления]]-Таблица1[[#This Row],[Дата рождения]]</f>
        <v>0</v>
      </c>
    </row>
    <row r="2436" spans="22:23" ht="24.75" customHeight="1" x14ac:dyDescent="0.25">
      <c r="V2436" s="47">
        <f>Таблица1[[#This Row],[Дата перевода]]-Таблица1[[#This Row],[Дата поступления]]</f>
        <v>0</v>
      </c>
      <c r="W2436" s="47">
        <f>Таблица1[[#This Row],[Дата поступления]]-Таблица1[[#This Row],[Дата рождения]]</f>
        <v>0</v>
      </c>
    </row>
    <row r="2437" spans="22:23" ht="24.75" customHeight="1" x14ac:dyDescent="0.25">
      <c r="V2437" s="47">
        <f>Таблица1[[#This Row],[Дата перевода]]-Таблица1[[#This Row],[Дата поступления]]</f>
        <v>0</v>
      </c>
      <c r="W2437" s="47">
        <f>Таблица1[[#This Row],[Дата поступления]]-Таблица1[[#This Row],[Дата рождения]]</f>
        <v>0</v>
      </c>
    </row>
    <row r="2438" spans="22:23" ht="24.75" customHeight="1" x14ac:dyDescent="0.25">
      <c r="V2438" s="47">
        <f>Таблица1[[#This Row],[Дата перевода]]-Таблица1[[#This Row],[Дата поступления]]</f>
        <v>0</v>
      </c>
      <c r="W2438" s="47">
        <f>Таблица1[[#This Row],[Дата поступления]]-Таблица1[[#This Row],[Дата рождения]]</f>
        <v>0</v>
      </c>
    </row>
    <row r="2439" spans="22:23" ht="24.75" customHeight="1" x14ac:dyDescent="0.25">
      <c r="V2439" s="47">
        <f>Таблица1[[#This Row],[Дата перевода]]-Таблица1[[#This Row],[Дата поступления]]</f>
        <v>0</v>
      </c>
      <c r="W2439" s="47">
        <f>Таблица1[[#This Row],[Дата поступления]]-Таблица1[[#This Row],[Дата рождения]]</f>
        <v>0</v>
      </c>
    </row>
    <row r="2440" spans="22:23" ht="24.75" customHeight="1" x14ac:dyDescent="0.25">
      <c r="V2440" s="47">
        <f>Таблица1[[#This Row],[Дата перевода]]-Таблица1[[#This Row],[Дата поступления]]</f>
        <v>0</v>
      </c>
      <c r="W2440" s="47">
        <f>Таблица1[[#This Row],[Дата поступления]]-Таблица1[[#This Row],[Дата рождения]]</f>
        <v>0</v>
      </c>
    </row>
    <row r="2441" spans="22:23" ht="24.75" customHeight="1" x14ac:dyDescent="0.25">
      <c r="V2441" s="47">
        <f>Таблица1[[#This Row],[Дата перевода]]-Таблица1[[#This Row],[Дата поступления]]</f>
        <v>0</v>
      </c>
      <c r="W2441" s="47">
        <f>Таблица1[[#This Row],[Дата поступления]]-Таблица1[[#This Row],[Дата рождения]]</f>
        <v>0</v>
      </c>
    </row>
    <row r="2442" spans="22:23" ht="24.75" customHeight="1" x14ac:dyDescent="0.25">
      <c r="V2442" s="47">
        <f>Таблица1[[#This Row],[Дата перевода]]-Таблица1[[#This Row],[Дата поступления]]</f>
        <v>0</v>
      </c>
      <c r="W2442" s="47">
        <f>Таблица1[[#This Row],[Дата поступления]]-Таблица1[[#This Row],[Дата рождения]]</f>
        <v>0</v>
      </c>
    </row>
    <row r="2443" spans="22:23" ht="24.75" customHeight="1" x14ac:dyDescent="0.25">
      <c r="V2443" s="47">
        <f>Таблица1[[#This Row],[Дата перевода]]-Таблица1[[#This Row],[Дата поступления]]</f>
        <v>0</v>
      </c>
      <c r="W2443" s="47">
        <f>Таблица1[[#This Row],[Дата поступления]]-Таблица1[[#This Row],[Дата рождения]]</f>
        <v>0</v>
      </c>
    </row>
    <row r="2444" spans="22:23" ht="24.75" customHeight="1" x14ac:dyDescent="0.25">
      <c r="V2444" s="47">
        <f>Таблица1[[#This Row],[Дата перевода]]-Таблица1[[#This Row],[Дата поступления]]</f>
        <v>0</v>
      </c>
      <c r="W2444" s="47">
        <f>Таблица1[[#This Row],[Дата поступления]]-Таблица1[[#This Row],[Дата рождения]]</f>
        <v>0</v>
      </c>
    </row>
    <row r="2445" spans="22:23" ht="24.75" customHeight="1" x14ac:dyDescent="0.25">
      <c r="V2445" s="47">
        <f>Таблица1[[#This Row],[Дата перевода]]-Таблица1[[#This Row],[Дата поступления]]</f>
        <v>0</v>
      </c>
      <c r="W2445" s="47">
        <f>Таблица1[[#This Row],[Дата поступления]]-Таблица1[[#This Row],[Дата рождения]]</f>
        <v>0</v>
      </c>
    </row>
    <row r="2446" spans="22:23" ht="24.75" customHeight="1" x14ac:dyDescent="0.25">
      <c r="V2446" s="47">
        <f>Таблица1[[#This Row],[Дата перевода]]-Таблица1[[#This Row],[Дата поступления]]</f>
        <v>0</v>
      </c>
      <c r="W2446" s="47">
        <f>Таблица1[[#This Row],[Дата поступления]]-Таблица1[[#This Row],[Дата рождения]]</f>
        <v>0</v>
      </c>
    </row>
    <row r="2447" spans="22:23" ht="24.75" customHeight="1" x14ac:dyDescent="0.25">
      <c r="V2447" s="47">
        <f>Таблица1[[#This Row],[Дата перевода]]-Таблица1[[#This Row],[Дата поступления]]</f>
        <v>0</v>
      </c>
      <c r="W2447" s="47">
        <f>Таблица1[[#This Row],[Дата поступления]]-Таблица1[[#This Row],[Дата рождения]]</f>
        <v>0</v>
      </c>
    </row>
    <row r="2448" spans="22:23" ht="24.75" customHeight="1" x14ac:dyDescent="0.25">
      <c r="V2448" s="47">
        <f>Таблица1[[#This Row],[Дата перевода]]-Таблица1[[#This Row],[Дата поступления]]</f>
        <v>0</v>
      </c>
      <c r="W2448" s="47">
        <f>Таблица1[[#This Row],[Дата поступления]]-Таблица1[[#This Row],[Дата рождения]]</f>
        <v>0</v>
      </c>
    </row>
    <row r="2449" spans="22:23" ht="24.75" customHeight="1" x14ac:dyDescent="0.25">
      <c r="V2449" s="47">
        <f>Таблица1[[#This Row],[Дата перевода]]-Таблица1[[#This Row],[Дата поступления]]</f>
        <v>0</v>
      </c>
      <c r="W2449" s="47">
        <f>Таблица1[[#This Row],[Дата поступления]]-Таблица1[[#This Row],[Дата рождения]]</f>
        <v>0</v>
      </c>
    </row>
    <row r="2450" spans="22:23" ht="24.75" customHeight="1" x14ac:dyDescent="0.25">
      <c r="V2450" s="47">
        <f>Таблица1[[#This Row],[Дата перевода]]-Таблица1[[#This Row],[Дата поступления]]</f>
        <v>0</v>
      </c>
      <c r="W2450" s="47">
        <f>Таблица1[[#This Row],[Дата поступления]]-Таблица1[[#This Row],[Дата рождения]]</f>
        <v>0</v>
      </c>
    </row>
    <row r="2451" spans="22:23" ht="24.75" customHeight="1" x14ac:dyDescent="0.25">
      <c r="V2451" s="47">
        <f>Таблица1[[#This Row],[Дата перевода]]-Таблица1[[#This Row],[Дата поступления]]</f>
        <v>0</v>
      </c>
      <c r="W2451" s="47">
        <f>Таблица1[[#This Row],[Дата поступления]]-Таблица1[[#This Row],[Дата рождения]]</f>
        <v>0</v>
      </c>
    </row>
    <row r="2452" spans="22:23" ht="24.75" customHeight="1" x14ac:dyDescent="0.25">
      <c r="V2452" s="47">
        <f>Таблица1[[#This Row],[Дата перевода]]-Таблица1[[#This Row],[Дата поступления]]</f>
        <v>0</v>
      </c>
      <c r="W2452" s="47">
        <f>Таблица1[[#This Row],[Дата поступления]]-Таблица1[[#This Row],[Дата рождения]]</f>
        <v>0</v>
      </c>
    </row>
    <row r="2453" spans="22:23" ht="24.75" customHeight="1" x14ac:dyDescent="0.25">
      <c r="V2453" s="47">
        <f>Таблица1[[#This Row],[Дата перевода]]-Таблица1[[#This Row],[Дата поступления]]</f>
        <v>0</v>
      </c>
      <c r="W2453" s="47">
        <f>Таблица1[[#This Row],[Дата поступления]]-Таблица1[[#This Row],[Дата рождения]]</f>
        <v>0</v>
      </c>
    </row>
    <row r="2454" spans="22:23" ht="24.75" customHeight="1" x14ac:dyDescent="0.25">
      <c r="V2454" s="47">
        <f>Таблица1[[#This Row],[Дата перевода]]-Таблица1[[#This Row],[Дата поступления]]</f>
        <v>0</v>
      </c>
      <c r="W2454" s="47">
        <f>Таблица1[[#This Row],[Дата поступления]]-Таблица1[[#This Row],[Дата рождения]]</f>
        <v>0</v>
      </c>
    </row>
    <row r="2455" spans="22:23" ht="24.75" customHeight="1" x14ac:dyDescent="0.25">
      <c r="V2455" s="47">
        <f>Таблица1[[#This Row],[Дата перевода]]-Таблица1[[#This Row],[Дата поступления]]</f>
        <v>0</v>
      </c>
      <c r="W2455" s="47">
        <f>Таблица1[[#This Row],[Дата поступления]]-Таблица1[[#This Row],[Дата рождения]]</f>
        <v>0</v>
      </c>
    </row>
    <row r="2456" spans="22:23" ht="24.75" customHeight="1" x14ac:dyDescent="0.25">
      <c r="V2456" s="47">
        <f>Таблица1[[#This Row],[Дата перевода]]-Таблица1[[#This Row],[Дата поступления]]</f>
        <v>0</v>
      </c>
      <c r="W2456" s="47">
        <f>Таблица1[[#This Row],[Дата поступления]]-Таблица1[[#This Row],[Дата рождения]]</f>
        <v>0</v>
      </c>
    </row>
    <row r="2457" spans="22:23" ht="24.75" customHeight="1" x14ac:dyDescent="0.25">
      <c r="V2457" s="47">
        <f>Таблица1[[#This Row],[Дата перевода]]-Таблица1[[#This Row],[Дата поступления]]</f>
        <v>0</v>
      </c>
      <c r="W2457" s="47">
        <f>Таблица1[[#This Row],[Дата поступления]]-Таблица1[[#This Row],[Дата рождения]]</f>
        <v>0</v>
      </c>
    </row>
    <row r="2458" spans="22:23" ht="24.75" customHeight="1" x14ac:dyDescent="0.25">
      <c r="V2458" s="47">
        <f>Таблица1[[#This Row],[Дата перевода]]-Таблица1[[#This Row],[Дата поступления]]</f>
        <v>0</v>
      </c>
      <c r="W2458" s="47">
        <f>Таблица1[[#This Row],[Дата поступления]]-Таблица1[[#This Row],[Дата рождения]]</f>
        <v>0</v>
      </c>
    </row>
    <row r="2459" spans="22:23" ht="24.75" customHeight="1" x14ac:dyDescent="0.25">
      <c r="V2459" s="47">
        <f>Таблица1[[#This Row],[Дата перевода]]-Таблица1[[#This Row],[Дата поступления]]</f>
        <v>0</v>
      </c>
      <c r="W2459" s="47">
        <f>Таблица1[[#This Row],[Дата поступления]]-Таблица1[[#This Row],[Дата рождения]]</f>
        <v>0</v>
      </c>
    </row>
    <row r="2460" spans="22:23" ht="24.75" customHeight="1" x14ac:dyDescent="0.25">
      <c r="V2460" s="47">
        <f>Таблица1[[#This Row],[Дата перевода]]-Таблица1[[#This Row],[Дата поступления]]</f>
        <v>0</v>
      </c>
      <c r="W2460" s="47">
        <f>Таблица1[[#This Row],[Дата поступления]]-Таблица1[[#This Row],[Дата рождения]]</f>
        <v>0</v>
      </c>
    </row>
    <row r="2461" spans="22:23" ht="24.75" customHeight="1" x14ac:dyDescent="0.25">
      <c r="V2461" s="47">
        <f>Таблица1[[#This Row],[Дата перевода]]-Таблица1[[#This Row],[Дата поступления]]</f>
        <v>0</v>
      </c>
      <c r="W2461" s="47">
        <f>Таблица1[[#This Row],[Дата поступления]]-Таблица1[[#This Row],[Дата рождения]]</f>
        <v>0</v>
      </c>
    </row>
    <row r="2462" spans="22:23" ht="24.75" customHeight="1" x14ac:dyDescent="0.25">
      <c r="V2462" s="47">
        <f>Таблица1[[#This Row],[Дата перевода]]-Таблица1[[#This Row],[Дата поступления]]</f>
        <v>0</v>
      </c>
      <c r="W2462" s="47">
        <f>Таблица1[[#This Row],[Дата поступления]]-Таблица1[[#This Row],[Дата рождения]]</f>
        <v>0</v>
      </c>
    </row>
    <row r="2463" spans="22:23" ht="24.75" customHeight="1" x14ac:dyDescent="0.25">
      <c r="V2463" s="47">
        <f>Таблица1[[#This Row],[Дата перевода]]-Таблица1[[#This Row],[Дата поступления]]</f>
        <v>0</v>
      </c>
      <c r="W2463" s="47">
        <f>Таблица1[[#This Row],[Дата поступления]]-Таблица1[[#This Row],[Дата рождения]]</f>
        <v>0</v>
      </c>
    </row>
    <row r="2464" spans="22:23" ht="24.75" customHeight="1" x14ac:dyDescent="0.25">
      <c r="V2464" s="47">
        <f>Таблица1[[#This Row],[Дата перевода]]-Таблица1[[#This Row],[Дата поступления]]</f>
        <v>0</v>
      </c>
      <c r="W2464" s="47">
        <f>Таблица1[[#This Row],[Дата поступления]]-Таблица1[[#This Row],[Дата рождения]]</f>
        <v>0</v>
      </c>
    </row>
    <row r="2465" spans="22:23" ht="24.75" customHeight="1" x14ac:dyDescent="0.25">
      <c r="V2465" s="47">
        <f>Таблица1[[#This Row],[Дата перевода]]-Таблица1[[#This Row],[Дата поступления]]</f>
        <v>0</v>
      </c>
      <c r="W2465" s="47">
        <f>Таблица1[[#This Row],[Дата поступления]]-Таблица1[[#This Row],[Дата рождения]]</f>
        <v>0</v>
      </c>
    </row>
    <row r="2466" spans="22:23" ht="24.75" customHeight="1" x14ac:dyDescent="0.25">
      <c r="V2466" s="47">
        <f>Таблица1[[#This Row],[Дата перевода]]-Таблица1[[#This Row],[Дата поступления]]</f>
        <v>0</v>
      </c>
      <c r="W2466" s="47">
        <f>Таблица1[[#This Row],[Дата поступления]]-Таблица1[[#This Row],[Дата рождения]]</f>
        <v>0</v>
      </c>
    </row>
    <row r="2467" spans="22:23" ht="24.75" customHeight="1" x14ac:dyDescent="0.25">
      <c r="V2467" s="47">
        <f>Таблица1[[#This Row],[Дата перевода]]-Таблица1[[#This Row],[Дата поступления]]</f>
        <v>0</v>
      </c>
      <c r="W2467" s="47">
        <f>Таблица1[[#This Row],[Дата поступления]]-Таблица1[[#This Row],[Дата рождения]]</f>
        <v>0</v>
      </c>
    </row>
    <row r="2468" spans="22:23" ht="24.75" customHeight="1" x14ac:dyDescent="0.25">
      <c r="V2468" s="47">
        <f>Таблица1[[#This Row],[Дата перевода]]-Таблица1[[#This Row],[Дата поступления]]</f>
        <v>0</v>
      </c>
      <c r="W2468" s="47">
        <f>Таблица1[[#This Row],[Дата поступления]]-Таблица1[[#This Row],[Дата рождения]]</f>
        <v>0</v>
      </c>
    </row>
    <row r="2469" spans="22:23" ht="24.75" customHeight="1" x14ac:dyDescent="0.25">
      <c r="V2469" s="47">
        <f>Таблица1[[#This Row],[Дата перевода]]-Таблица1[[#This Row],[Дата поступления]]</f>
        <v>0</v>
      </c>
      <c r="W2469" s="47">
        <f>Таблица1[[#This Row],[Дата поступления]]-Таблица1[[#This Row],[Дата рождения]]</f>
        <v>0</v>
      </c>
    </row>
    <row r="2470" spans="22:23" ht="24.75" customHeight="1" x14ac:dyDescent="0.25">
      <c r="V2470" s="47">
        <f>Таблица1[[#This Row],[Дата перевода]]-Таблица1[[#This Row],[Дата поступления]]</f>
        <v>0</v>
      </c>
      <c r="W2470" s="47">
        <f>Таблица1[[#This Row],[Дата поступления]]-Таблица1[[#This Row],[Дата рождения]]</f>
        <v>0</v>
      </c>
    </row>
    <row r="2471" spans="22:23" ht="24.75" customHeight="1" x14ac:dyDescent="0.25">
      <c r="V2471" s="47">
        <f>Таблица1[[#This Row],[Дата перевода]]-Таблица1[[#This Row],[Дата поступления]]</f>
        <v>0</v>
      </c>
      <c r="W2471" s="47">
        <f>Таблица1[[#This Row],[Дата поступления]]-Таблица1[[#This Row],[Дата рождения]]</f>
        <v>0</v>
      </c>
    </row>
    <row r="2472" spans="22:23" ht="24.75" customHeight="1" x14ac:dyDescent="0.25">
      <c r="V2472" s="47">
        <f>Таблица1[[#This Row],[Дата перевода]]-Таблица1[[#This Row],[Дата поступления]]</f>
        <v>0</v>
      </c>
      <c r="W2472" s="47">
        <f>Таблица1[[#This Row],[Дата поступления]]-Таблица1[[#This Row],[Дата рождения]]</f>
        <v>0</v>
      </c>
    </row>
    <row r="2473" spans="22:23" ht="24.75" customHeight="1" x14ac:dyDescent="0.25">
      <c r="V2473" s="47">
        <f>Таблица1[[#This Row],[Дата перевода]]-Таблица1[[#This Row],[Дата поступления]]</f>
        <v>0</v>
      </c>
      <c r="W2473" s="47">
        <f>Таблица1[[#This Row],[Дата поступления]]-Таблица1[[#This Row],[Дата рождения]]</f>
        <v>0</v>
      </c>
    </row>
    <row r="2474" spans="22:23" ht="24.75" customHeight="1" x14ac:dyDescent="0.25">
      <c r="V2474" s="47">
        <f>Таблица1[[#This Row],[Дата перевода]]-Таблица1[[#This Row],[Дата поступления]]</f>
        <v>0</v>
      </c>
      <c r="W2474" s="47">
        <f>Таблица1[[#This Row],[Дата поступления]]-Таблица1[[#This Row],[Дата рождения]]</f>
        <v>0</v>
      </c>
    </row>
    <row r="2475" spans="22:23" ht="24.75" customHeight="1" x14ac:dyDescent="0.25">
      <c r="V2475" s="47">
        <f>Таблица1[[#This Row],[Дата перевода]]-Таблица1[[#This Row],[Дата поступления]]</f>
        <v>0</v>
      </c>
      <c r="W2475" s="47">
        <f>Таблица1[[#This Row],[Дата поступления]]-Таблица1[[#This Row],[Дата рождения]]</f>
        <v>0</v>
      </c>
    </row>
    <row r="2476" spans="22:23" ht="24.75" customHeight="1" x14ac:dyDescent="0.25">
      <c r="V2476" s="47">
        <f>Таблица1[[#This Row],[Дата перевода]]-Таблица1[[#This Row],[Дата поступления]]</f>
        <v>0</v>
      </c>
      <c r="W2476" s="47">
        <f>Таблица1[[#This Row],[Дата поступления]]-Таблица1[[#This Row],[Дата рождения]]</f>
        <v>0</v>
      </c>
    </row>
    <row r="2477" spans="22:23" ht="24.75" customHeight="1" x14ac:dyDescent="0.25">
      <c r="V2477" s="47">
        <f>Таблица1[[#This Row],[Дата перевода]]-Таблица1[[#This Row],[Дата поступления]]</f>
        <v>0</v>
      </c>
      <c r="W2477" s="47">
        <f>Таблица1[[#This Row],[Дата поступления]]-Таблица1[[#This Row],[Дата рождения]]</f>
        <v>0</v>
      </c>
    </row>
    <row r="2478" spans="22:23" ht="24.75" customHeight="1" x14ac:dyDescent="0.25">
      <c r="V2478" s="47">
        <f>Таблица1[[#This Row],[Дата перевода]]-Таблица1[[#This Row],[Дата поступления]]</f>
        <v>0</v>
      </c>
      <c r="W2478" s="47">
        <f>Таблица1[[#This Row],[Дата поступления]]-Таблица1[[#This Row],[Дата рождения]]</f>
        <v>0</v>
      </c>
    </row>
    <row r="2479" spans="22:23" ht="24.75" customHeight="1" x14ac:dyDescent="0.25">
      <c r="V2479" s="47">
        <f>Таблица1[[#This Row],[Дата перевода]]-Таблица1[[#This Row],[Дата поступления]]</f>
        <v>0</v>
      </c>
      <c r="W2479" s="47">
        <f>Таблица1[[#This Row],[Дата поступления]]-Таблица1[[#This Row],[Дата рождения]]</f>
        <v>0</v>
      </c>
    </row>
    <row r="2480" spans="22:23" ht="24.75" customHeight="1" x14ac:dyDescent="0.25">
      <c r="V2480" s="47">
        <f>Таблица1[[#This Row],[Дата перевода]]-Таблица1[[#This Row],[Дата поступления]]</f>
        <v>0</v>
      </c>
      <c r="W2480" s="47">
        <f>Таблица1[[#This Row],[Дата поступления]]-Таблица1[[#This Row],[Дата рождения]]</f>
        <v>0</v>
      </c>
    </row>
    <row r="2481" spans="22:23" ht="24.75" customHeight="1" x14ac:dyDescent="0.25">
      <c r="V2481" s="47">
        <f>Таблица1[[#This Row],[Дата перевода]]-Таблица1[[#This Row],[Дата поступления]]</f>
        <v>0</v>
      </c>
      <c r="W2481" s="47">
        <f>Таблица1[[#This Row],[Дата поступления]]-Таблица1[[#This Row],[Дата рождения]]</f>
        <v>0</v>
      </c>
    </row>
    <row r="2482" spans="22:23" ht="24.75" customHeight="1" x14ac:dyDescent="0.25">
      <c r="V2482" s="47">
        <f>Таблица1[[#This Row],[Дата перевода]]-Таблица1[[#This Row],[Дата поступления]]</f>
        <v>0</v>
      </c>
      <c r="W2482" s="47">
        <f>Таблица1[[#This Row],[Дата поступления]]-Таблица1[[#This Row],[Дата рождения]]</f>
        <v>0</v>
      </c>
    </row>
    <row r="2483" spans="22:23" ht="24.75" customHeight="1" x14ac:dyDescent="0.25">
      <c r="V2483" s="47">
        <f>Таблица1[[#This Row],[Дата перевода]]-Таблица1[[#This Row],[Дата поступления]]</f>
        <v>0</v>
      </c>
      <c r="W2483" s="47">
        <f>Таблица1[[#This Row],[Дата поступления]]-Таблица1[[#This Row],[Дата рождения]]</f>
        <v>0</v>
      </c>
    </row>
    <row r="2484" spans="22:23" ht="24.75" customHeight="1" x14ac:dyDescent="0.25">
      <c r="V2484" s="47">
        <f>Таблица1[[#This Row],[Дата перевода]]-Таблица1[[#This Row],[Дата поступления]]</f>
        <v>0</v>
      </c>
      <c r="W2484" s="47">
        <f>Таблица1[[#This Row],[Дата поступления]]-Таблица1[[#This Row],[Дата рождения]]</f>
        <v>0</v>
      </c>
    </row>
    <row r="2485" spans="22:23" ht="24.75" customHeight="1" x14ac:dyDescent="0.25">
      <c r="V2485" s="47">
        <f>Таблица1[[#This Row],[Дата перевода]]-Таблица1[[#This Row],[Дата поступления]]</f>
        <v>0</v>
      </c>
      <c r="W2485" s="47">
        <f>Таблица1[[#This Row],[Дата поступления]]-Таблица1[[#This Row],[Дата рождения]]</f>
        <v>0</v>
      </c>
    </row>
    <row r="2486" spans="22:23" ht="24.75" customHeight="1" x14ac:dyDescent="0.25">
      <c r="V2486" s="47">
        <f>Таблица1[[#This Row],[Дата перевода]]-Таблица1[[#This Row],[Дата поступления]]</f>
        <v>0</v>
      </c>
      <c r="W2486" s="47">
        <f>Таблица1[[#This Row],[Дата поступления]]-Таблица1[[#This Row],[Дата рождения]]</f>
        <v>0</v>
      </c>
    </row>
    <row r="2487" spans="22:23" ht="24.75" customHeight="1" x14ac:dyDescent="0.25">
      <c r="V2487" s="47">
        <f>Таблица1[[#This Row],[Дата перевода]]-Таблица1[[#This Row],[Дата поступления]]</f>
        <v>0</v>
      </c>
      <c r="W2487" s="47">
        <f>Таблица1[[#This Row],[Дата поступления]]-Таблица1[[#This Row],[Дата рождения]]</f>
        <v>0</v>
      </c>
    </row>
    <row r="2488" spans="22:23" ht="24.75" customHeight="1" x14ac:dyDescent="0.25">
      <c r="V2488" s="47">
        <f>Таблица1[[#This Row],[Дата перевода]]-Таблица1[[#This Row],[Дата поступления]]</f>
        <v>0</v>
      </c>
      <c r="W2488" s="47">
        <f>Таблица1[[#This Row],[Дата поступления]]-Таблица1[[#This Row],[Дата рождения]]</f>
        <v>0</v>
      </c>
    </row>
    <row r="2489" spans="22:23" ht="24.75" customHeight="1" x14ac:dyDescent="0.25">
      <c r="V2489" s="47">
        <f>Таблица1[[#This Row],[Дата перевода]]-Таблица1[[#This Row],[Дата поступления]]</f>
        <v>0</v>
      </c>
      <c r="W2489" s="47">
        <f>Таблица1[[#This Row],[Дата поступления]]-Таблица1[[#This Row],[Дата рождения]]</f>
        <v>0</v>
      </c>
    </row>
    <row r="2490" spans="22:23" ht="24.75" customHeight="1" x14ac:dyDescent="0.25">
      <c r="V2490" s="47">
        <f>Таблица1[[#This Row],[Дата перевода]]-Таблица1[[#This Row],[Дата поступления]]</f>
        <v>0</v>
      </c>
      <c r="W2490" s="47">
        <f>Таблица1[[#This Row],[Дата поступления]]-Таблица1[[#This Row],[Дата рождения]]</f>
        <v>0</v>
      </c>
    </row>
    <row r="2491" spans="22:23" ht="24.75" customHeight="1" x14ac:dyDescent="0.25">
      <c r="V2491" s="47">
        <f>Таблица1[[#This Row],[Дата перевода]]-Таблица1[[#This Row],[Дата поступления]]</f>
        <v>0</v>
      </c>
      <c r="W2491" s="47">
        <f>Таблица1[[#This Row],[Дата поступления]]-Таблица1[[#This Row],[Дата рождения]]</f>
        <v>0</v>
      </c>
    </row>
    <row r="2492" spans="22:23" ht="24.75" customHeight="1" x14ac:dyDescent="0.25">
      <c r="V2492" s="47">
        <f>Таблица1[[#This Row],[Дата перевода]]-Таблица1[[#This Row],[Дата поступления]]</f>
        <v>0</v>
      </c>
      <c r="W2492" s="47">
        <f>Таблица1[[#This Row],[Дата поступления]]-Таблица1[[#This Row],[Дата рождения]]</f>
        <v>0</v>
      </c>
    </row>
    <row r="2493" spans="22:23" ht="24.75" customHeight="1" x14ac:dyDescent="0.25">
      <c r="V2493" s="47">
        <f>Таблица1[[#This Row],[Дата перевода]]-Таблица1[[#This Row],[Дата поступления]]</f>
        <v>0</v>
      </c>
      <c r="W2493" s="47">
        <f>Таблица1[[#This Row],[Дата поступления]]-Таблица1[[#This Row],[Дата рождения]]</f>
        <v>0</v>
      </c>
    </row>
    <row r="2494" spans="22:23" ht="24.75" customHeight="1" x14ac:dyDescent="0.25">
      <c r="V2494" s="47">
        <f>Таблица1[[#This Row],[Дата перевода]]-Таблица1[[#This Row],[Дата поступления]]</f>
        <v>0</v>
      </c>
      <c r="W2494" s="47">
        <f>Таблица1[[#This Row],[Дата поступления]]-Таблица1[[#This Row],[Дата рождения]]</f>
        <v>0</v>
      </c>
    </row>
    <row r="2495" spans="22:23" ht="24.75" customHeight="1" x14ac:dyDescent="0.25">
      <c r="V2495" s="47">
        <f>Таблица1[[#This Row],[Дата перевода]]-Таблица1[[#This Row],[Дата поступления]]</f>
        <v>0</v>
      </c>
      <c r="W2495" s="47">
        <f>Таблица1[[#This Row],[Дата поступления]]-Таблица1[[#This Row],[Дата рождения]]</f>
        <v>0</v>
      </c>
    </row>
    <row r="2496" spans="22:23" ht="24.75" customHeight="1" x14ac:dyDescent="0.25">
      <c r="V2496" s="47">
        <f>Таблица1[[#This Row],[Дата перевода]]-Таблица1[[#This Row],[Дата поступления]]</f>
        <v>0</v>
      </c>
      <c r="W2496" s="47">
        <f>Таблица1[[#This Row],[Дата поступления]]-Таблица1[[#This Row],[Дата рождения]]</f>
        <v>0</v>
      </c>
    </row>
    <row r="2497" spans="22:23" ht="24.75" customHeight="1" x14ac:dyDescent="0.25">
      <c r="V2497" s="47">
        <f>Таблица1[[#This Row],[Дата перевода]]-Таблица1[[#This Row],[Дата поступления]]</f>
        <v>0</v>
      </c>
      <c r="W2497" s="47">
        <f>Таблица1[[#This Row],[Дата поступления]]-Таблица1[[#This Row],[Дата рождения]]</f>
        <v>0</v>
      </c>
    </row>
    <row r="2498" spans="22:23" ht="24.75" customHeight="1" x14ac:dyDescent="0.25">
      <c r="V2498" s="47">
        <f>Таблица1[[#This Row],[Дата перевода]]-Таблица1[[#This Row],[Дата поступления]]</f>
        <v>0</v>
      </c>
      <c r="W2498" s="47">
        <f>Таблица1[[#This Row],[Дата поступления]]-Таблица1[[#This Row],[Дата рождения]]</f>
        <v>0</v>
      </c>
    </row>
    <row r="2499" spans="22:23" ht="24.75" customHeight="1" x14ac:dyDescent="0.25">
      <c r="V2499" s="47">
        <f>Таблица1[[#This Row],[Дата перевода]]-Таблица1[[#This Row],[Дата поступления]]</f>
        <v>0</v>
      </c>
      <c r="W2499" s="47">
        <f>Таблица1[[#This Row],[Дата поступления]]-Таблица1[[#This Row],[Дата рождения]]</f>
        <v>0</v>
      </c>
    </row>
    <row r="2500" spans="22:23" ht="24.75" customHeight="1" x14ac:dyDescent="0.25">
      <c r="V2500" s="47">
        <f>Таблица1[[#This Row],[Дата перевода]]-Таблица1[[#This Row],[Дата поступления]]</f>
        <v>0</v>
      </c>
      <c r="W2500" s="47">
        <f>Таблица1[[#This Row],[Дата поступления]]-Таблица1[[#This Row],[Дата рождения]]</f>
        <v>0</v>
      </c>
    </row>
    <row r="2501" spans="22:23" ht="24.75" customHeight="1" x14ac:dyDescent="0.25">
      <c r="V2501" s="47">
        <f>Таблица1[[#This Row],[Дата перевода]]-Таблица1[[#This Row],[Дата поступления]]</f>
        <v>0</v>
      </c>
      <c r="W2501" s="47">
        <f>Таблица1[[#This Row],[Дата поступления]]-Таблица1[[#This Row],[Дата рождения]]</f>
        <v>0</v>
      </c>
    </row>
    <row r="2502" spans="22:23" ht="24.75" customHeight="1" x14ac:dyDescent="0.25">
      <c r="V2502" s="47">
        <f>Таблица1[[#This Row],[Дата перевода]]-Таблица1[[#This Row],[Дата поступления]]</f>
        <v>0</v>
      </c>
      <c r="W2502" s="47">
        <f>Таблица1[[#This Row],[Дата поступления]]-Таблица1[[#This Row],[Дата рождения]]</f>
        <v>0</v>
      </c>
    </row>
    <row r="2503" spans="22:23" ht="24.75" customHeight="1" x14ac:dyDescent="0.25">
      <c r="V2503" s="47">
        <f>Таблица1[[#This Row],[Дата перевода]]-Таблица1[[#This Row],[Дата поступления]]</f>
        <v>0</v>
      </c>
      <c r="W2503" s="47">
        <f>Таблица1[[#This Row],[Дата поступления]]-Таблица1[[#This Row],[Дата рождения]]</f>
        <v>0</v>
      </c>
    </row>
    <row r="2504" spans="22:23" ht="24.75" customHeight="1" x14ac:dyDescent="0.25">
      <c r="V2504" s="47">
        <f>Таблица1[[#This Row],[Дата перевода]]-Таблица1[[#This Row],[Дата поступления]]</f>
        <v>0</v>
      </c>
      <c r="W2504" s="47">
        <f>Таблица1[[#This Row],[Дата поступления]]-Таблица1[[#This Row],[Дата рождения]]</f>
        <v>0</v>
      </c>
    </row>
    <row r="2505" spans="22:23" ht="24.75" customHeight="1" x14ac:dyDescent="0.25">
      <c r="V2505" s="47">
        <f>Таблица1[[#This Row],[Дата перевода]]-Таблица1[[#This Row],[Дата поступления]]</f>
        <v>0</v>
      </c>
      <c r="W2505" s="47">
        <f>Таблица1[[#This Row],[Дата поступления]]-Таблица1[[#This Row],[Дата рождения]]</f>
        <v>0</v>
      </c>
    </row>
    <row r="2506" spans="22:23" ht="24.75" customHeight="1" x14ac:dyDescent="0.25">
      <c r="V2506" s="47">
        <f>Таблица1[[#This Row],[Дата перевода]]-Таблица1[[#This Row],[Дата поступления]]</f>
        <v>0</v>
      </c>
      <c r="W2506" s="47">
        <f>Таблица1[[#This Row],[Дата поступления]]-Таблица1[[#This Row],[Дата рождения]]</f>
        <v>0</v>
      </c>
    </row>
    <row r="2507" spans="22:23" ht="24.75" customHeight="1" x14ac:dyDescent="0.25">
      <c r="V2507" s="47">
        <f>Таблица1[[#This Row],[Дата перевода]]-Таблица1[[#This Row],[Дата поступления]]</f>
        <v>0</v>
      </c>
      <c r="W2507" s="47">
        <f>Таблица1[[#This Row],[Дата поступления]]-Таблица1[[#This Row],[Дата рождения]]</f>
        <v>0</v>
      </c>
    </row>
    <row r="2508" spans="22:23" ht="24.75" customHeight="1" x14ac:dyDescent="0.25">
      <c r="V2508" s="47">
        <f>Таблица1[[#This Row],[Дата перевода]]-Таблица1[[#This Row],[Дата поступления]]</f>
        <v>0</v>
      </c>
      <c r="W2508" s="47">
        <f>Таблица1[[#This Row],[Дата поступления]]-Таблица1[[#This Row],[Дата рождения]]</f>
        <v>0</v>
      </c>
    </row>
    <row r="2509" spans="22:23" ht="24.75" customHeight="1" x14ac:dyDescent="0.25">
      <c r="V2509" s="47">
        <f>Таблица1[[#This Row],[Дата перевода]]-Таблица1[[#This Row],[Дата поступления]]</f>
        <v>0</v>
      </c>
      <c r="W2509" s="47">
        <f>Таблица1[[#This Row],[Дата поступления]]-Таблица1[[#This Row],[Дата рождения]]</f>
        <v>0</v>
      </c>
    </row>
    <row r="2510" spans="22:23" ht="24.75" customHeight="1" x14ac:dyDescent="0.25">
      <c r="V2510" s="47">
        <f>Таблица1[[#This Row],[Дата перевода]]-Таблица1[[#This Row],[Дата поступления]]</f>
        <v>0</v>
      </c>
      <c r="W2510" s="47">
        <f>Таблица1[[#This Row],[Дата поступления]]-Таблица1[[#This Row],[Дата рождения]]</f>
        <v>0</v>
      </c>
    </row>
    <row r="2511" spans="22:23" ht="24.75" customHeight="1" x14ac:dyDescent="0.25">
      <c r="V2511" s="47" t="e">
        <f>Таблица1[[#This Row],[Дата перевода]]-Таблица1[[#This Row],[Дата поступления]]</f>
        <v>#VALUE!</v>
      </c>
      <c r="W2511" s="47" t="e">
        <f>Таблица1[[#This Row],[Дата поступления]]-Таблица1[[#This Row],[Дата рождения]]</f>
        <v>#VALUE!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Normal="100" workbookViewId="0">
      <selection activeCell="C34" sqref="C34"/>
    </sheetView>
  </sheetViews>
  <sheetFormatPr defaultColWidth="8.7109375" defaultRowHeight="15" x14ac:dyDescent="0.25"/>
  <cols>
    <col min="1" max="1" width="51" style="69" customWidth="1"/>
  </cols>
  <sheetData>
    <row r="1" spans="1:13" x14ac:dyDescent="0.25">
      <c r="A1" s="47" t="s">
        <v>619</v>
      </c>
      <c r="B1" s="47" t="s">
        <v>539</v>
      </c>
      <c r="C1" s="47"/>
      <c r="D1" s="47"/>
      <c r="E1" s="47"/>
      <c r="I1" s="47"/>
      <c r="J1" s="47"/>
      <c r="K1" s="47"/>
      <c r="L1" s="47"/>
      <c r="M1" s="47"/>
    </row>
    <row r="2" spans="1:13" x14ac:dyDescent="0.25">
      <c r="A2" s="47" t="s">
        <v>215</v>
      </c>
      <c r="B2" s="69">
        <f>COUNTIF(Лист1!M:M,"=Инфекционные и паразитарные болезни")</f>
        <v>5</v>
      </c>
    </row>
    <row r="3" spans="1:13" x14ac:dyDescent="0.25">
      <c r="A3" s="47" t="s">
        <v>37</v>
      </c>
      <c r="B3" s="69">
        <f>COUNTIF(Лист1!M:M,"=Новообразования")</f>
        <v>9</v>
      </c>
    </row>
    <row r="4" spans="1:13" x14ac:dyDescent="0.25">
      <c r="A4" s="47" t="s">
        <v>403</v>
      </c>
      <c r="B4" s="69">
        <f>COUNTIF(Лист1!M:M,"=Болезни крови и кроветворных органов")</f>
        <v>8</v>
      </c>
    </row>
    <row r="5" spans="1:13" ht="25.5" x14ac:dyDescent="0.25">
      <c r="A5" s="47" t="s">
        <v>135</v>
      </c>
      <c r="B5" s="69">
        <f>COUNTIF(Лист1!M:M,"=Болезни эндокринной системы и нарушения обмена веществ")</f>
        <v>41</v>
      </c>
    </row>
    <row r="6" spans="1:13" x14ac:dyDescent="0.25">
      <c r="A6" s="47" t="s">
        <v>620</v>
      </c>
      <c r="B6" s="69">
        <f>COUNTIF(Лист1!M:M,"=Психические расстройства")</f>
        <v>0</v>
      </c>
    </row>
    <row r="7" spans="1:13" x14ac:dyDescent="0.25">
      <c r="A7" s="47" t="s">
        <v>157</v>
      </c>
      <c r="B7" s="69">
        <f>COUNTIF(Лист1!M:M,"=Ретинопатии")</f>
        <v>2</v>
      </c>
    </row>
    <row r="8" spans="1:13" x14ac:dyDescent="0.25">
      <c r="A8" s="47" t="s">
        <v>73</v>
      </c>
      <c r="B8" s="69">
        <f>COUNTIF(Лист1!M:M,"=Болезни нервной системы и органов чувств")</f>
        <v>58</v>
      </c>
    </row>
    <row r="9" spans="1:13" x14ac:dyDescent="0.25">
      <c r="A9" s="47" t="s">
        <v>105</v>
      </c>
      <c r="B9" s="69">
        <f>COUNTIF(Лист1!M:M,"=Болезни системы кровообращения")</f>
        <v>17</v>
      </c>
    </row>
    <row r="10" spans="1:13" x14ac:dyDescent="0.25">
      <c r="A10" s="47" t="s">
        <v>28</v>
      </c>
      <c r="B10" s="69">
        <f>COUNTIF(Лист1!M:M,"=Болезни органов дыхания")</f>
        <v>30</v>
      </c>
    </row>
    <row r="11" spans="1:13" x14ac:dyDescent="0.25">
      <c r="A11" s="47" t="s">
        <v>87</v>
      </c>
      <c r="B11" s="69">
        <f>COUNTIF(Лист1!M:M,"=Болезни органов пищеварения")</f>
        <v>56</v>
      </c>
    </row>
    <row r="12" spans="1:13" x14ac:dyDescent="0.25">
      <c r="A12" s="47" t="s">
        <v>95</v>
      </c>
      <c r="B12" s="69">
        <f>COUNTIF(Лист1!M:M,"=Болезни мочеполовой системы")</f>
        <v>14</v>
      </c>
    </row>
    <row r="13" spans="1:13" x14ac:dyDescent="0.25">
      <c r="A13" s="47" t="s">
        <v>100</v>
      </c>
      <c r="B13" s="69">
        <f>COUNTIF(Лист1!M:M,"=Болезни костно-мышечного аппарата")</f>
        <v>19</v>
      </c>
    </row>
    <row r="14" spans="1:13" x14ac:dyDescent="0.25">
      <c r="A14" s="47" t="s">
        <v>181</v>
      </c>
      <c r="B14" s="69">
        <f>COUNTIF(Лист1!M:M,"=Травма сочетанная и изолированная")</f>
        <v>73</v>
      </c>
    </row>
    <row r="15" spans="1:13" x14ac:dyDescent="0.25">
      <c r="A15" s="47" t="s">
        <v>423</v>
      </c>
      <c r="B15" s="69">
        <f>COUNTIF(Лист1!M:M,"=Флегмоны, абсцессы и другие повреждения мягких тканей")</f>
        <v>3</v>
      </c>
    </row>
    <row r="16" spans="1:13" x14ac:dyDescent="0.25">
      <c r="A16" s="47" t="s">
        <v>65</v>
      </c>
      <c r="B16" s="69">
        <f>COUNTIF(Лист1!M:M,"=Ожоговая травма")</f>
        <v>23</v>
      </c>
    </row>
    <row r="17" spans="1:2" x14ac:dyDescent="0.25">
      <c r="A17" s="47" t="s">
        <v>50</v>
      </c>
      <c r="B17" s="69">
        <f>COUNTIF(Лист1!M:M,"=Отравления")</f>
        <v>67</v>
      </c>
    </row>
    <row r="18" spans="1:2" x14ac:dyDescent="0.25">
      <c r="A18" s="47" t="s">
        <v>123</v>
      </c>
      <c r="B18" s="69">
        <f>COUNTIF(Лист1!M:M,"=Пороки и врождённые аномалии развития")</f>
        <v>11</v>
      </c>
    </row>
    <row r="19" spans="1:2" x14ac:dyDescent="0.25">
      <c r="A19" s="47" t="s">
        <v>621</v>
      </c>
      <c r="B19" s="69">
        <f>COUNTIF(Лист2!W:W,"&lt;=28")-COUNTIF(Лист2!W:W,"=0")</f>
        <v>15</v>
      </c>
    </row>
    <row r="20" spans="1:2" x14ac:dyDescent="0.25">
      <c r="A20" s="47" t="s">
        <v>622</v>
      </c>
      <c r="B20" s="69">
        <f>COUNTIF(Лист2!W:W,"&lt;1825")-COUNTIF(Лист2!W:W,"&lt;=28")</f>
        <v>129</v>
      </c>
    </row>
    <row r="21" spans="1:2" x14ac:dyDescent="0.25">
      <c r="A21" s="47" t="s">
        <v>623</v>
      </c>
      <c r="B21" s="69">
        <f>COUNTIF(Лист2!W:W,"&lt;4380")-COUNTIF(Лист2!W:W,"&lt;1825")</f>
        <v>88</v>
      </c>
    </row>
    <row r="22" spans="1:2" x14ac:dyDescent="0.25">
      <c r="A22" s="47" t="s">
        <v>624</v>
      </c>
      <c r="B22" s="69">
        <f>COUNTIF(Лист2!W:W,"&lt;=6575")-COUNTIF(Лист2!W:W,"&lt;4380")</f>
        <v>193</v>
      </c>
    </row>
    <row r="23" spans="1:2" x14ac:dyDescent="0.25">
      <c r="A23" s="47" t="s">
        <v>618</v>
      </c>
      <c r="B23" s="69">
        <f>SUM(B2:B18)</f>
        <v>436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13</vt:i4>
      </vt:variant>
    </vt:vector>
  </HeadingPairs>
  <TitlesOfParts>
    <vt:vector size="16" baseType="lpstr">
      <vt:lpstr>Лист1</vt:lpstr>
      <vt:lpstr>Лист2</vt:lpstr>
      <vt:lpstr>Лист3</vt:lpstr>
      <vt:lpstr>Доставлен_СМП</vt:lpstr>
      <vt:lpstr>Из_других_больниц</vt:lpstr>
      <vt:lpstr>Из_операционной</vt:lpstr>
      <vt:lpstr>Из_профильных_отделений</vt:lpstr>
      <vt:lpstr>Из_родильных_домов</vt:lpstr>
      <vt:lpstr>Канал_поступления</vt:lpstr>
      <vt:lpstr>Категории_диагнозов</vt:lpstr>
      <vt:lpstr>Куда_переведён</vt:lpstr>
      <vt:lpstr>Манипуляции</vt:lpstr>
      <vt:lpstr>Отделения</vt:lpstr>
      <vt:lpstr>Повторное_поступление</vt:lpstr>
      <vt:lpstr>Самотёком</vt:lpstr>
      <vt:lpstr>Трансфузии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Горемыки</cp:lastModifiedBy>
  <cp:revision>6</cp:revision>
  <dcterms:created xsi:type="dcterms:W3CDTF">2015-06-05T18:19:34Z</dcterms:created>
  <dcterms:modified xsi:type="dcterms:W3CDTF">2025-12-17T22:31:26Z</dcterms:modified>
  <dc:language>ru-RU</dc:language>
</cp:coreProperties>
</file>