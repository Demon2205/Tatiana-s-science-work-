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0" yWindow="0" windowWidth="15600" windowHeight="11760"/>
  </bookViews>
  <sheets>
    <sheet name="Лист1" sheetId="1" r:id="rId1"/>
    <sheet name="Лист2" sheetId="2" r:id="rId2"/>
    <sheet name="Лист3" sheetId="3" r:id="rId3"/>
  </sheets>
  <externalReferences>
    <externalReference r:id="rId4"/>
  </externalReferences>
  <definedNames>
    <definedName name="в">[1]Лист2!$G$2:$G$9</definedName>
    <definedName name="Канал_поступления">Лист2!$E$2:$E$8</definedName>
    <definedName name="Категории_диагнозов">Лист3!$A$2:$A$18</definedName>
    <definedName name="Куда_переведён">Лист2!$G$2:$G$12</definedName>
    <definedName name="Манипуляции">Лист2!$U$2:$U$13</definedName>
    <definedName name="Отделения">Лист2!$G$2:$G$9</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43" i="1" l="1"/>
  <c r="H525" i="1" l="1"/>
  <c r="H518" i="1" l="1"/>
  <c r="H500" i="1" l="1"/>
  <c r="A480" i="1" l="1"/>
  <c r="H480" i="1"/>
  <c r="H479" i="1" l="1"/>
  <c r="A479" i="1"/>
  <c r="H473" i="1" l="1"/>
  <c r="H474" i="1"/>
  <c r="A440" i="1"/>
  <c r="H439" i="1"/>
  <c r="H433" i="1" l="1"/>
  <c r="H426" i="1" l="1"/>
  <c r="A426" i="1"/>
  <c r="H401" i="1" l="1"/>
  <c r="H380" i="1" l="1"/>
  <c r="H371" i="1" l="1"/>
  <c r="A371" i="1"/>
  <c r="H360" i="1" l="1"/>
  <c r="A302" i="1" l="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7" i="1"/>
  <c r="A428" i="1"/>
  <c r="A429" i="1"/>
  <c r="A430" i="1"/>
  <c r="A431" i="1"/>
  <c r="A432" i="1"/>
  <c r="A433" i="1"/>
  <c r="A434" i="1"/>
  <c r="A435" i="1"/>
  <c r="A436" i="1"/>
  <c r="A437" i="1"/>
  <c r="A438" i="1"/>
  <c r="A441" i="1"/>
  <c r="A442"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82" i="1"/>
  <c r="A483" i="1"/>
  <c r="A484" i="1"/>
  <c r="A485" i="1"/>
  <c r="A486" i="1"/>
  <c r="A487" i="1"/>
  <c r="A488" i="1"/>
  <c r="A489" i="1"/>
  <c r="A490" i="1"/>
  <c r="A491" i="1"/>
  <c r="A492" i="1"/>
  <c r="A493" i="1"/>
  <c r="A494" i="1"/>
  <c r="A495" i="1"/>
  <c r="A496" i="1"/>
  <c r="A497" i="1"/>
  <c r="A498" i="1"/>
  <c r="A499" i="1"/>
  <c r="A500" i="1"/>
  <c r="A501"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H303" i="1"/>
  <c r="H304" i="1"/>
  <c r="H305" i="1"/>
  <c r="H306" i="1"/>
  <c r="H307" i="1"/>
  <c r="H308" i="1"/>
  <c r="H309" i="1"/>
  <c r="H310" i="1"/>
  <c r="H311" i="1"/>
  <c r="H312" i="1"/>
  <c r="H313" i="1"/>
  <c r="H314" i="1"/>
  <c r="H315" i="1"/>
  <c r="H316" i="1"/>
  <c r="H317" i="1"/>
  <c r="H318" i="1"/>
  <c r="H319" i="1"/>
  <c r="H320" i="1"/>
  <c r="H321" i="1"/>
  <c r="H322" i="1"/>
  <c r="H323" i="1"/>
  <c r="H324" i="1"/>
  <c r="H325" i="1"/>
  <c r="H326" i="1"/>
  <c r="A2" i="1"/>
  <c r="H2" i="1"/>
  <c r="H3" i="1"/>
  <c r="A4" i="1"/>
  <c r="H4" i="1"/>
  <c r="A5" i="1"/>
  <c r="H5" i="1"/>
  <c r="A6" i="1"/>
  <c r="H6" i="1"/>
  <c r="H7" i="1"/>
  <c r="A8" i="1"/>
  <c r="H8" i="1"/>
  <c r="A9" i="1"/>
  <c r="H9" i="1"/>
  <c r="H10" i="1"/>
  <c r="A11" i="1"/>
  <c r="H11" i="1"/>
  <c r="A12" i="1"/>
  <c r="H12" i="1"/>
  <c r="A13" i="1"/>
  <c r="H13" i="1"/>
  <c r="A14" i="1"/>
  <c r="H14" i="1"/>
  <c r="A15" i="1"/>
  <c r="H15" i="1"/>
  <c r="A16" i="1"/>
  <c r="H16" i="1"/>
  <c r="A17" i="1"/>
  <c r="H17" i="1"/>
  <c r="A18" i="1"/>
  <c r="H18" i="1"/>
  <c r="A19" i="1"/>
  <c r="H19" i="1"/>
  <c r="A20" i="1"/>
  <c r="H20" i="1"/>
  <c r="A21" i="1"/>
  <c r="H21" i="1"/>
  <c r="A22" i="1"/>
  <c r="H22" i="1"/>
  <c r="A23" i="1"/>
  <c r="H23" i="1"/>
  <c r="A24" i="1"/>
  <c r="H24" i="1"/>
  <c r="A25" i="1"/>
  <c r="H25" i="1"/>
  <c r="A26" i="1"/>
  <c r="H26" i="1"/>
  <c r="A27" i="1"/>
  <c r="H27" i="1"/>
  <c r="A28" i="1"/>
  <c r="H28" i="1"/>
  <c r="A29" i="1"/>
  <c r="H29" i="1"/>
  <c r="A30" i="1"/>
  <c r="H30" i="1"/>
  <c r="A31" i="1"/>
  <c r="H31" i="1"/>
  <c r="A32" i="1"/>
  <c r="H32" i="1"/>
  <c r="A33" i="1"/>
  <c r="A34" i="1"/>
  <c r="A35" i="1"/>
  <c r="H35" i="1"/>
  <c r="A36" i="1"/>
  <c r="H36" i="1"/>
  <c r="A37" i="1"/>
  <c r="H37" i="1"/>
  <c r="A38" i="1"/>
  <c r="H38" i="1"/>
  <c r="A39" i="1"/>
  <c r="H39" i="1"/>
  <c r="A40" i="1"/>
  <c r="H40" i="1"/>
  <c r="A41" i="1"/>
  <c r="H41" i="1"/>
  <c r="A42" i="1"/>
  <c r="H42" i="1"/>
  <c r="A43" i="1"/>
  <c r="H43" i="1"/>
  <c r="A44" i="1"/>
  <c r="H44" i="1"/>
  <c r="A45" i="1"/>
  <c r="H45" i="1"/>
  <c r="A46" i="1"/>
  <c r="H46" i="1"/>
  <c r="A47" i="1"/>
  <c r="H47" i="1"/>
  <c r="A48" i="1"/>
  <c r="H48" i="1"/>
  <c r="A49" i="1"/>
  <c r="H49" i="1"/>
  <c r="A50" i="1"/>
  <c r="H50" i="1"/>
  <c r="A51" i="1"/>
  <c r="H51" i="1"/>
  <c r="A52" i="1"/>
  <c r="H52" i="1"/>
  <c r="A53" i="1"/>
  <c r="H53" i="1"/>
  <c r="A54" i="1"/>
  <c r="H54" i="1"/>
  <c r="A55" i="1"/>
  <c r="H55" i="1"/>
  <c r="A56" i="1"/>
  <c r="H56" i="1"/>
  <c r="A57" i="1"/>
  <c r="H57" i="1"/>
  <c r="A58" i="1"/>
  <c r="H58" i="1"/>
  <c r="A59" i="1"/>
  <c r="H59" i="1"/>
  <c r="A60" i="1"/>
  <c r="H60" i="1"/>
  <c r="A61" i="1"/>
  <c r="H61" i="1"/>
  <c r="A62" i="1"/>
  <c r="H62" i="1"/>
  <c r="A63" i="1"/>
  <c r="H63" i="1"/>
  <c r="A64" i="1"/>
  <c r="H64" i="1"/>
  <c r="A65" i="1"/>
  <c r="H65" i="1"/>
  <c r="A66" i="1"/>
  <c r="H66" i="1"/>
  <c r="A67" i="1"/>
  <c r="H67" i="1"/>
  <c r="A68" i="1"/>
  <c r="H68" i="1"/>
  <c r="A69" i="1"/>
  <c r="H69" i="1"/>
  <c r="A70" i="1"/>
  <c r="H70" i="1"/>
  <c r="A71" i="1"/>
  <c r="H71" i="1"/>
  <c r="A72" i="1"/>
  <c r="H72" i="1"/>
  <c r="A73" i="1"/>
  <c r="H73" i="1"/>
  <c r="A74" i="1"/>
  <c r="H74" i="1"/>
  <c r="A75" i="1"/>
  <c r="H75" i="1"/>
  <c r="A76" i="1"/>
  <c r="H76" i="1"/>
  <c r="A77" i="1"/>
  <c r="H77" i="1"/>
  <c r="A78" i="1"/>
  <c r="H78" i="1"/>
  <c r="A79" i="1"/>
  <c r="H79" i="1"/>
  <c r="A80" i="1"/>
  <c r="H80" i="1"/>
  <c r="A81" i="1"/>
  <c r="H81" i="1"/>
  <c r="A82" i="1"/>
  <c r="H82" i="1"/>
  <c r="A83" i="1"/>
  <c r="H83" i="1"/>
  <c r="A84" i="1"/>
  <c r="H84" i="1"/>
  <c r="A85" i="1"/>
  <c r="A86" i="1"/>
  <c r="H86" i="1"/>
  <c r="A87" i="1"/>
  <c r="H87" i="1"/>
  <c r="A88" i="1"/>
  <c r="H88" i="1"/>
  <c r="A89" i="1"/>
  <c r="H89" i="1"/>
  <c r="A90" i="1"/>
  <c r="H90" i="1"/>
  <c r="A91" i="1"/>
  <c r="H91" i="1"/>
  <c r="A92" i="1"/>
  <c r="H92" i="1"/>
  <c r="A93" i="1"/>
  <c r="H93" i="1"/>
  <c r="A94" i="1"/>
  <c r="H94" i="1"/>
  <c r="A95" i="1"/>
  <c r="H95" i="1"/>
  <c r="A96" i="1"/>
  <c r="H96" i="1"/>
  <c r="A97" i="1"/>
  <c r="H97" i="1"/>
  <c r="A98" i="1"/>
  <c r="H98" i="1"/>
  <c r="A100" i="1"/>
  <c r="H100" i="1"/>
  <c r="A101" i="1"/>
  <c r="H101" i="1"/>
  <c r="A102" i="1"/>
  <c r="H102" i="1"/>
  <c r="A103" i="1"/>
  <c r="H103" i="1"/>
  <c r="A104" i="1"/>
  <c r="H104" i="1"/>
  <c r="A105" i="1"/>
  <c r="H105" i="1"/>
  <c r="A106" i="1"/>
  <c r="H106" i="1"/>
  <c r="A107" i="1"/>
  <c r="H107" i="1"/>
  <c r="A108" i="1"/>
  <c r="H108" i="1"/>
  <c r="A109" i="1"/>
  <c r="H109" i="1"/>
  <c r="A110" i="1"/>
  <c r="H110" i="1"/>
  <c r="A111" i="1"/>
  <c r="H111" i="1"/>
  <c r="A112" i="1"/>
  <c r="H112" i="1"/>
  <c r="A113" i="1"/>
  <c r="H113" i="1"/>
  <c r="A114" i="1"/>
  <c r="H114" i="1"/>
  <c r="A115" i="1"/>
  <c r="H115" i="1"/>
  <c r="A116" i="1"/>
  <c r="H116" i="1"/>
  <c r="A117" i="1"/>
  <c r="H117" i="1"/>
  <c r="A118" i="1"/>
  <c r="H118" i="1"/>
  <c r="A119" i="1"/>
  <c r="H119" i="1"/>
  <c r="A120" i="1"/>
  <c r="H120" i="1"/>
  <c r="A121" i="1"/>
  <c r="H121" i="1"/>
  <c r="A122" i="1"/>
  <c r="H122" i="1"/>
  <c r="A123" i="1"/>
  <c r="H123" i="1"/>
  <c r="A124" i="1"/>
  <c r="H124" i="1"/>
  <c r="A125" i="1"/>
  <c r="H125" i="1"/>
  <c r="A126" i="1"/>
  <c r="H126" i="1"/>
  <c r="A127" i="1"/>
  <c r="H127" i="1"/>
  <c r="A128" i="1"/>
  <c r="H128" i="1"/>
  <c r="A129" i="1"/>
  <c r="H129" i="1"/>
  <c r="A130" i="1"/>
  <c r="H130" i="1"/>
  <c r="A131" i="1"/>
  <c r="H131" i="1"/>
  <c r="A132" i="1"/>
  <c r="H132" i="1"/>
  <c r="A133" i="1"/>
  <c r="H133" i="1"/>
  <c r="A134" i="1"/>
  <c r="H134" i="1"/>
  <c r="A135" i="1"/>
  <c r="H135" i="1"/>
  <c r="A136" i="1"/>
  <c r="H136" i="1"/>
  <c r="A137" i="1"/>
  <c r="H137" i="1"/>
  <c r="A138" i="1"/>
  <c r="H138" i="1"/>
  <c r="A139" i="1"/>
  <c r="H139" i="1"/>
  <c r="A140" i="1"/>
  <c r="H140" i="1"/>
  <c r="A141" i="1"/>
  <c r="H141" i="1"/>
  <c r="A142" i="1"/>
  <c r="H142" i="1"/>
  <c r="A143" i="1"/>
  <c r="H143" i="1"/>
  <c r="A144" i="1"/>
  <c r="H144" i="1"/>
  <c r="A145" i="1"/>
  <c r="H145" i="1"/>
  <c r="A146" i="1"/>
  <c r="H146" i="1"/>
  <c r="A147" i="1"/>
  <c r="H147" i="1"/>
  <c r="A148" i="1"/>
  <c r="H148" i="1"/>
  <c r="A149" i="1"/>
  <c r="H149" i="1"/>
  <c r="A150" i="1"/>
  <c r="H150" i="1"/>
  <c r="A151" i="1"/>
  <c r="H151" i="1"/>
  <c r="A152" i="1"/>
  <c r="H152" i="1"/>
  <c r="A153" i="1"/>
  <c r="H153" i="1"/>
  <c r="A154" i="1"/>
  <c r="H154" i="1"/>
  <c r="A155" i="1"/>
  <c r="H155" i="1"/>
  <c r="A156" i="1"/>
  <c r="H156" i="1"/>
  <c r="A157" i="1"/>
  <c r="H157" i="1"/>
  <c r="A158" i="1"/>
  <c r="H158" i="1"/>
  <c r="A159" i="1"/>
  <c r="H159" i="1"/>
  <c r="A160" i="1"/>
  <c r="H160" i="1"/>
  <c r="A161" i="1"/>
  <c r="H161" i="1"/>
  <c r="A162" i="1"/>
  <c r="H162" i="1"/>
  <c r="A163" i="1"/>
  <c r="H163" i="1"/>
  <c r="A164" i="1"/>
  <c r="H164" i="1"/>
  <c r="A165" i="1"/>
  <c r="H165" i="1"/>
  <c r="A166" i="1"/>
  <c r="H166" i="1"/>
  <c r="A167" i="1"/>
  <c r="H167" i="1"/>
  <c r="A168" i="1"/>
  <c r="H168" i="1"/>
  <c r="A169" i="1"/>
  <c r="H169" i="1"/>
  <c r="A170" i="1"/>
  <c r="H170" i="1"/>
  <c r="A171" i="1"/>
  <c r="H171" i="1"/>
  <c r="A172" i="1"/>
  <c r="H172" i="1"/>
  <c r="A173" i="1"/>
  <c r="H173" i="1"/>
  <c r="A174" i="1"/>
  <c r="H174" i="1"/>
  <c r="A175" i="1"/>
  <c r="H175" i="1"/>
  <c r="A176" i="1"/>
  <c r="H176" i="1"/>
  <c r="A177" i="1"/>
  <c r="H177" i="1"/>
  <c r="A178" i="1"/>
  <c r="H178" i="1"/>
  <c r="A179" i="1"/>
  <c r="H179" i="1"/>
  <c r="A180" i="1"/>
  <c r="H180" i="1"/>
  <c r="A181" i="1"/>
  <c r="H181" i="1"/>
  <c r="A182" i="1"/>
  <c r="H182" i="1"/>
  <c r="A183" i="1"/>
  <c r="H183" i="1"/>
  <c r="A184" i="1"/>
  <c r="H184" i="1"/>
  <c r="A185" i="1"/>
  <c r="H185" i="1"/>
  <c r="A186" i="1"/>
  <c r="H186" i="1"/>
  <c r="A187" i="1"/>
  <c r="H187" i="1"/>
  <c r="A188" i="1"/>
  <c r="H188" i="1"/>
  <c r="A189" i="1"/>
  <c r="H189" i="1"/>
  <c r="A190" i="1"/>
  <c r="H190" i="1"/>
  <c r="A191" i="1"/>
  <c r="H191" i="1"/>
  <c r="A192" i="1"/>
  <c r="H192" i="1"/>
  <c r="A193" i="1"/>
  <c r="H193" i="1"/>
  <c r="A194" i="1"/>
  <c r="H194" i="1"/>
  <c r="A195" i="1"/>
  <c r="H195" i="1"/>
  <c r="A196" i="1"/>
  <c r="H196" i="1"/>
  <c r="A197" i="1"/>
  <c r="H197" i="1"/>
  <c r="A198" i="1"/>
  <c r="H198" i="1"/>
  <c r="A199" i="1"/>
  <c r="H199" i="1"/>
  <c r="A200" i="1"/>
  <c r="H200" i="1"/>
  <c r="A201" i="1"/>
  <c r="H201" i="1"/>
  <c r="A202" i="1"/>
  <c r="H202" i="1"/>
  <c r="A203" i="1"/>
  <c r="H203" i="1"/>
  <c r="A204" i="1"/>
  <c r="H204" i="1"/>
  <c r="A205" i="1"/>
  <c r="H205" i="1"/>
  <c r="A206" i="1"/>
  <c r="H206" i="1"/>
  <c r="A207" i="1"/>
  <c r="H207" i="1"/>
  <c r="A208" i="1"/>
  <c r="H208" i="1"/>
  <c r="A209" i="1"/>
  <c r="H209" i="1"/>
  <c r="A210" i="1"/>
  <c r="H210" i="1"/>
  <c r="A211" i="1"/>
  <c r="H211" i="1"/>
  <c r="A212" i="1"/>
  <c r="H212" i="1"/>
  <c r="A213" i="1"/>
  <c r="H213" i="1"/>
  <c r="A214" i="1"/>
  <c r="H214" i="1"/>
  <c r="A215" i="1"/>
  <c r="H215" i="1"/>
  <c r="A216" i="1"/>
  <c r="H216" i="1"/>
  <c r="A217" i="1"/>
  <c r="H217" i="1"/>
  <c r="A218" i="1"/>
  <c r="H218" i="1"/>
  <c r="A219" i="1"/>
  <c r="H219" i="1"/>
  <c r="A220" i="1"/>
  <c r="H220" i="1"/>
  <c r="A221" i="1"/>
  <c r="H221" i="1"/>
  <c r="A222" i="1"/>
  <c r="H222" i="1"/>
  <c r="A223" i="1"/>
  <c r="H223" i="1"/>
  <c r="A224" i="1"/>
  <c r="H224" i="1"/>
  <c r="A225" i="1"/>
  <c r="H225" i="1"/>
  <c r="A226" i="1"/>
  <c r="H226" i="1"/>
  <c r="A227" i="1"/>
  <c r="H227" i="1"/>
  <c r="A228" i="1"/>
  <c r="H228" i="1"/>
  <c r="A229" i="1"/>
  <c r="H229" i="1"/>
  <c r="A230" i="1"/>
  <c r="H230" i="1"/>
  <c r="A231" i="1"/>
  <c r="H231" i="1"/>
  <c r="A232" i="1"/>
  <c r="H232" i="1"/>
  <c r="A233" i="1"/>
  <c r="H233" i="1"/>
  <c r="A234" i="1"/>
  <c r="H234" i="1"/>
  <c r="A235" i="1"/>
  <c r="H235" i="1"/>
  <c r="A236" i="1"/>
  <c r="H236" i="1"/>
  <c r="A237" i="1"/>
  <c r="H237" i="1"/>
  <c r="A238" i="1"/>
  <c r="H238" i="1"/>
  <c r="A239" i="1"/>
  <c r="H239" i="1"/>
  <c r="A240" i="1"/>
  <c r="H240" i="1"/>
  <c r="A241" i="1"/>
  <c r="H241" i="1"/>
  <c r="A242" i="1"/>
  <c r="H242" i="1"/>
  <c r="A243" i="1"/>
  <c r="H243" i="1"/>
  <c r="A244" i="1"/>
  <c r="H244" i="1"/>
  <c r="A245" i="1"/>
  <c r="H245" i="1"/>
  <c r="A246" i="1"/>
  <c r="H246" i="1"/>
  <c r="A247" i="1"/>
  <c r="H247" i="1"/>
  <c r="A248" i="1"/>
  <c r="H248" i="1"/>
  <c r="A249" i="1"/>
  <c r="H249" i="1"/>
  <c r="A250" i="1"/>
  <c r="H250" i="1"/>
  <c r="A251" i="1"/>
  <c r="H251" i="1"/>
  <c r="A252" i="1"/>
  <c r="H252" i="1"/>
  <c r="A253" i="1"/>
  <c r="H253" i="1"/>
  <c r="A254" i="1"/>
  <c r="H254" i="1"/>
  <c r="A255" i="1"/>
  <c r="H255" i="1"/>
  <c r="A256" i="1"/>
  <c r="H256" i="1"/>
  <c r="A257" i="1"/>
  <c r="H257" i="1"/>
  <c r="A258" i="1"/>
  <c r="H258" i="1"/>
  <c r="A259" i="1"/>
  <c r="H259" i="1"/>
  <c r="A260" i="1"/>
  <c r="H260" i="1"/>
  <c r="A261" i="1"/>
  <c r="H261" i="1"/>
  <c r="A262" i="1"/>
  <c r="H262" i="1"/>
  <c r="A263" i="1"/>
  <c r="H263" i="1"/>
  <c r="A264" i="1"/>
  <c r="H264" i="1"/>
  <c r="A265" i="1"/>
  <c r="H265" i="1"/>
  <c r="A266" i="1"/>
  <c r="H266" i="1"/>
  <c r="A267" i="1"/>
  <c r="H267" i="1"/>
  <c r="A268" i="1"/>
  <c r="H268" i="1"/>
  <c r="A269" i="1"/>
  <c r="H269" i="1"/>
  <c r="A270" i="1"/>
  <c r="H270" i="1"/>
  <c r="A271" i="1"/>
  <c r="H271" i="1"/>
  <c r="A272" i="1"/>
  <c r="H272" i="1"/>
  <c r="A273" i="1"/>
  <c r="H273" i="1"/>
  <c r="A274" i="1"/>
  <c r="H274" i="1"/>
  <c r="A275" i="1"/>
  <c r="H275" i="1"/>
  <c r="A276" i="1"/>
  <c r="H276" i="1"/>
  <c r="A277" i="1"/>
  <c r="H277" i="1"/>
  <c r="A278" i="1"/>
  <c r="H278" i="1"/>
  <c r="A279" i="1"/>
  <c r="H279" i="1"/>
  <c r="A280" i="1"/>
  <c r="H280" i="1"/>
  <c r="A281" i="1"/>
  <c r="H281" i="1"/>
  <c r="A282" i="1"/>
  <c r="H282" i="1"/>
  <c r="A283" i="1"/>
  <c r="H283" i="1"/>
  <c r="A284" i="1"/>
  <c r="H284" i="1"/>
  <c r="A285" i="1"/>
  <c r="H285" i="1"/>
  <c r="A286" i="1"/>
  <c r="H286" i="1"/>
  <c r="A287" i="1"/>
  <c r="H287" i="1"/>
  <c r="A288" i="1"/>
  <c r="H288" i="1"/>
  <c r="A289" i="1"/>
  <c r="H289" i="1"/>
  <c r="A290" i="1"/>
  <c r="H290" i="1"/>
  <c r="A291" i="1"/>
  <c r="H291" i="1"/>
  <c r="A292" i="1"/>
  <c r="H292" i="1"/>
  <c r="A293" i="1"/>
  <c r="H293" i="1"/>
  <c r="A294" i="1"/>
  <c r="H294" i="1"/>
  <c r="A295" i="1"/>
  <c r="H295" i="1"/>
  <c r="A296" i="1"/>
  <c r="H296" i="1"/>
  <c r="A297" i="1"/>
  <c r="H297" i="1"/>
  <c r="A298" i="1"/>
  <c r="H298" i="1"/>
  <c r="A299" i="1"/>
  <c r="H299" i="1"/>
  <c r="A300" i="1"/>
  <c r="H300" i="1"/>
  <c r="A301" i="1"/>
  <c r="H301"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1" i="1"/>
  <c r="H362" i="1"/>
  <c r="H363" i="1"/>
  <c r="H364" i="1"/>
  <c r="H365" i="1"/>
  <c r="H366" i="1"/>
  <c r="H367" i="1"/>
  <c r="H368" i="1"/>
  <c r="H370" i="1"/>
  <c r="H372" i="1"/>
  <c r="H373" i="1"/>
  <c r="H374" i="1"/>
  <c r="H375" i="1"/>
  <c r="H376" i="1"/>
  <c r="H377" i="1"/>
  <c r="H378" i="1"/>
  <c r="H379" i="1"/>
  <c r="H381" i="1"/>
  <c r="H382" i="1"/>
  <c r="H383" i="1"/>
  <c r="H384" i="1"/>
  <c r="H385" i="1"/>
  <c r="H386" i="1"/>
  <c r="H387" i="1"/>
  <c r="H388" i="1"/>
  <c r="H389" i="1"/>
  <c r="H390" i="1"/>
  <c r="H391" i="1"/>
  <c r="H392" i="1"/>
  <c r="H393" i="1"/>
  <c r="H394" i="1"/>
  <c r="H395" i="1"/>
  <c r="H396" i="1"/>
  <c r="H397" i="1"/>
  <c r="H398" i="1"/>
  <c r="H399" i="1"/>
  <c r="H400" i="1"/>
  <c r="H402" i="1"/>
  <c r="H403" i="1"/>
  <c r="H404" i="1"/>
  <c r="H405" i="1"/>
  <c r="H406" i="1"/>
  <c r="H407" i="1"/>
  <c r="H408" i="1"/>
  <c r="H409" i="1"/>
  <c r="H410" i="1"/>
  <c r="H411" i="1"/>
  <c r="H412" i="1"/>
  <c r="H413" i="1"/>
  <c r="H414" i="1"/>
  <c r="H415" i="1"/>
  <c r="H416" i="1"/>
  <c r="H417" i="1"/>
  <c r="H418" i="1"/>
  <c r="H419" i="1"/>
  <c r="H420" i="1"/>
  <c r="H421" i="1"/>
  <c r="H422" i="1"/>
  <c r="H423" i="1"/>
  <c r="H424" i="1"/>
  <c r="H425" i="1"/>
  <c r="H427" i="1"/>
  <c r="H428" i="1"/>
  <c r="H429" i="1"/>
  <c r="H430" i="1"/>
  <c r="H431" i="1"/>
  <c r="H432" i="1"/>
  <c r="H434" i="1"/>
  <c r="H435" i="1"/>
  <c r="H436" i="1"/>
  <c r="H437" i="1"/>
  <c r="H438"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5" i="1"/>
  <c r="H476" i="1"/>
  <c r="H477" i="1"/>
  <c r="H478" i="1"/>
  <c r="H481" i="1"/>
  <c r="H482" i="1"/>
  <c r="H483" i="1"/>
  <c r="H484" i="1"/>
  <c r="H485" i="1"/>
  <c r="H486" i="1"/>
  <c r="H487" i="1"/>
  <c r="H488" i="1"/>
  <c r="H489" i="1"/>
  <c r="H490" i="1"/>
  <c r="H491" i="1"/>
  <c r="H492" i="1"/>
  <c r="H493" i="1"/>
  <c r="H494" i="1"/>
  <c r="H495" i="1"/>
  <c r="H496" i="1"/>
  <c r="H497" i="1"/>
  <c r="H498" i="1"/>
  <c r="H499" i="1"/>
  <c r="H501" i="1"/>
  <c r="H502" i="1"/>
  <c r="H503" i="1"/>
  <c r="H504" i="1"/>
  <c r="H505" i="1"/>
  <c r="H506" i="1"/>
  <c r="H507" i="1"/>
  <c r="H508" i="1"/>
  <c r="H509" i="1"/>
  <c r="H510" i="1"/>
  <c r="H511" i="1"/>
  <c r="H512" i="1"/>
  <c r="H513" i="1"/>
  <c r="H514" i="1"/>
  <c r="H515" i="1"/>
  <c r="H516" i="1"/>
  <c r="H517" i="1"/>
  <c r="H519" i="1"/>
  <c r="H520" i="1"/>
  <c r="H521" i="1"/>
  <c r="H522" i="1"/>
  <c r="H523" i="1"/>
  <c r="H524" i="1"/>
  <c r="H526" i="1"/>
  <c r="H527" i="1"/>
  <c r="H528" i="1"/>
  <c r="H529" i="1"/>
  <c r="H530" i="1"/>
  <c r="H531" i="1"/>
  <c r="H532" i="1"/>
  <c r="H533" i="1"/>
  <c r="H534" i="1"/>
  <c r="H535" i="1"/>
  <c r="H536" i="1"/>
  <c r="H537" i="1"/>
  <c r="H538" i="1"/>
  <c r="H539" i="1"/>
  <c r="H540" i="1"/>
  <c r="H541" i="1"/>
  <c r="H542"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N8" i="2" l="1"/>
  <c r="N2" i="2"/>
  <c r="N7" i="2"/>
  <c r="N6" i="2"/>
  <c r="B18" i="3" l="1"/>
  <c r="B17" i="3"/>
  <c r="B16" i="3"/>
  <c r="B15" i="3"/>
  <c r="B14" i="3"/>
  <c r="B13" i="3"/>
  <c r="B12" i="3"/>
  <c r="B11" i="3"/>
  <c r="B10" i="3"/>
  <c r="B9" i="3"/>
  <c r="B7" i="3"/>
  <c r="B8" i="3"/>
  <c r="B6" i="3"/>
  <c r="B5" i="3"/>
  <c r="B3" i="3"/>
  <c r="B4" i="3"/>
  <c r="B2" i="3"/>
  <c r="B23" i="3" l="1"/>
  <c r="N5" i="2"/>
  <c r="N4" i="2"/>
  <c r="N3" i="2"/>
  <c r="L6" i="2" l="1"/>
  <c r="L5" i="2"/>
  <c r="L4" i="2"/>
  <c r="L3" i="2"/>
  <c r="L2" i="2"/>
  <c r="L8" i="2" l="1"/>
  <c r="S2" i="2"/>
  <c r="R2" i="2" l="1"/>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D8" i="2" l="1"/>
  <c r="B22" i="3"/>
  <c r="J8" i="2"/>
  <c r="B20" i="3"/>
  <c r="B21" i="3"/>
  <c r="B19" i="3"/>
  <c r="L7" i="2"/>
  <c r="J2" i="2"/>
  <c r="B3" i="2"/>
  <c r="J6" i="2"/>
  <c r="J4" i="2"/>
  <c r="D3" i="2"/>
  <c r="J7" i="2"/>
  <c r="J5" i="2"/>
  <c r="D4" i="2"/>
  <c r="D5" i="2"/>
  <c r="J3" i="2"/>
  <c r="B2" i="2"/>
  <c r="D2" i="2"/>
  <c r="B5" i="2"/>
  <c r="H12" i="2"/>
  <c r="H11" i="2"/>
  <c r="H10" i="2"/>
  <c r="H9" i="2"/>
  <c r="H8" i="2"/>
  <c r="H7" i="2"/>
  <c r="H6" i="2"/>
  <c r="H5" i="2"/>
  <c r="H4" i="2"/>
  <c r="H3" i="2"/>
  <c r="H2" i="2"/>
  <c r="J9" i="2" l="1"/>
  <c r="H13" i="2"/>
  <c r="D6" i="2"/>
  <c r="D7" i="2"/>
  <c r="D9" i="2" l="1"/>
  <c r="B4" i="2" l="1"/>
  <c r="B6" i="2" l="1"/>
  <c r="F8" i="2" l="1"/>
  <c r="F7" i="2"/>
  <c r="F2" i="2"/>
  <c r="F6" i="2"/>
  <c r="F4" i="2"/>
  <c r="F5" i="2"/>
  <c r="F3" i="2"/>
  <c r="F9" i="2" l="1"/>
</calcChain>
</file>

<file path=xl/sharedStrings.xml><?xml version="1.0" encoding="utf-8"?>
<sst xmlns="http://schemas.openxmlformats.org/spreadsheetml/2006/main" count="4997" uniqueCount="1496">
  <si>
    <t>№ п/п</t>
  </si>
  <si>
    <t>№ и/б</t>
  </si>
  <si>
    <t>Отделение</t>
  </si>
  <si>
    <t>Дата поступления</t>
  </si>
  <si>
    <t>Время поступления</t>
  </si>
  <si>
    <t>Дата рождения</t>
  </si>
  <si>
    <t>Возраст</t>
  </si>
  <si>
    <t>Канал поступления</t>
  </si>
  <si>
    <t>Длительность ИВЛ</t>
  </si>
  <si>
    <t>Манипуляции</t>
  </si>
  <si>
    <t>Куда переведён</t>
  </si>
  <si>
    <t>Дата перевода</t>
  </si>
  <si>
    <t>Диагноз при поступлении в ОРИТ</t>
  </si>
  <si>
    <t>Длительность</t>
  </si>
  <si>
    <t>До 1 сут.</t>
  </si>
  <si>
    <t>Свыше 30 сут.</t>
  </si>
  <si>
    <t>Кол-во</t>
  </si>
  <si>
    <t>Всего</t>
  </si>
  <si>
    <t>До 7 дней</t>
  </si>
  <si>
    <t>7-29 дней</t>
  </si>
  <si>
    <t>До 1 года</t>
  </si>
  <si>
    <t>1-3 года</t>
  </si>
  <si>
    <t>3-7 лет</t>
  </si>
  <si>
    <t>7-15 лет</t>
  </si>
  <si>
    <t>15-18 лет</t>
  </si>
  <si>
    <t>Доставлен СМП</t>
  </si>
  <si>
    <t>Из операционной</t>
  </si>
  <si>
    <t>Из профильных отделений</t>
  </si>
  <si>
    <t>Из других больниц</t>
  </si>
  <si>
    <t>Из родильных домов</t>
  </si>
  <si>
    <t>Повторное поступление</t>
  </si>
  <si>
    <t>ДХО-1</t>
  </si>
  <si>
    <t>ДХО-2</t>
  </si>
  <si>
    <t>ДОТО</t>
  </si>
  <si>
    <t>Нефро</t>
  </si>
  <si>
    <t>ОПНН</t>
  </si>
  <si>
    <t>Педиатрия</t>
  </si>
  <si>
    <t>Пульмо</t>
  </si>
  <si>
    <t>Неврология</t>
  </si>
  <si>
    <t>Другие больницы</t>
  </si>
  <si>
    <t>Летальный исход</t>
  </si>
  <si>
    <t>Прочее</t>
  </si>
  <si>
    <t>ИВЛ детям в возрасте</t>
  </si>
  <si>
    <t>ИВЛ по срокам</t>
  </si>
  <si>
    <t>Новорожденным</t>
  </si>
  <si>
    <t>Экстракорпоральные методы</t>
  </si>
  <si>
    <t>3-7 сут.</t>
  </si>
  <si>
    <t>1-3 сут.</t>
  </si>
  <si>
    <t>7-20 сут.</t>
  </si>
  <si>
    <t>Более 20 сут.</t>
  </si>
  <si>
    <t>Диагнозы</t>
  </si>
  <si>
    <t>Инфекционные и паразитарные болезни</t>
  </si>
  <si>
    <t>Новообразования</t>
  </si>
  <si>
    <t>Болезни крови и кроветворных органов</t>
  </si>
  <si>
    <t>Болезни эндокринной системы и нарушения обмена веществ</t>
  </si>
  <si>
    <t>Психические расстройства</t>
  </si>
  <si>
    <t>Ретинопатии</t>
  </si>
  <si>
    <t>Болезни нервной системы и органов чувств</t>
  </si>
  <si>
    <t>Болезни системы кровообращения</t>
  </si>
  <si>
    <t>Болезни органов дыхания</t>
  </si>
  <si>
    <t>Болезни органов пищеварения</t>
  </si>
  <si>
    <t>Болезни мочеполовой системы</t>
  </si>
  <si>
    <t>Болезни костно-мышечного аппарата</t>
  </si>
  <si>
    <t>Травма сочетанная и изолированная</t>
  </si>
  <si>
    <t>Флегмоны, абсцессы и другие повреждения мягких тканей</t>
  </si>
  <si>
    <t>Ожоговая травма</t>
  </si>
  <si>
    <t>Отравления</t>
  </si>
  <si>
    <t>Пороки и врождённые аномалии развития</t>
  </si>
  <si>
    <t>Болезни неонатального возраста</t>
  </si>
  <si>
    <t>Болезни в возрасте до 5 лет</t>
  </si>
  <si>
    <t>Болезни в возрасте 5-12 лет</t>
  </si>
  <si>
    <t>Болезни в возрасте 12-18 лет</t>
  </si>
  <si>
    <t>Кол-во2</t>
  </si>
  <si>
    <t>Кол-во3</t>
  </si>
  <si>
    <t>Кол-во4</t>
  </si>
  <si>
    <t>Кол-во5</t>
  </si>
  <si>
    <t>Кол-во6</t>
  </si>
  <si>
    <t>Кол-во7</t>
  </si>
  <si>
    <t>Адрес регистраци</t>
  </si>
  <si>
    <t>Фамилия, имя, отчество</t>
  </si>
  <si>
    <t>Категория диагноза</t>
  </si>
  <si>
    <t>Профиль отделения</t>
  </si>
  <si>
    <t>Периф. вен. катетер</t>
  </si>
  <si>
    <t>Гемотрансфузии</t>
  </si>
  <si>
    <t>Длительность, сут.</t>
  </si>
  <si>
    <t>Возраст в днях</t>
  </si>
  <si>
    <t>3-30 сут.</t>
  </si>
  <si>
    <t>ЦВК</t>
  </si>
  <si>
    <t>Глуб. вен. линия</t>
  </si>
  <si>
    <t>Люмб. Пункция (ЛП)</t>
  </si>
  <si>
    <t>ЦВК+ЛП</t>
  </si>
  <si>
    <t>ЦВК+ГВЛ</t>
  </si>
  <si>
    <t>ЦВК+Гемотрансфузии</t>
  </si>
  <si>
    <t>ГВЛ+Гемотрансфузии</t>
  </si>
  <si>
    <t>Люмбальная пункция</t>
  </si>
  <si>
    <t>Гемотрансфузия</t>
  </si>
  <si>
    <t>Экстракопоральные методы</t>
  </si>
  <si>
    <t>ЭА/СМА</t>
  </si>
  <si>
    <t>ЭА/СМА+ЦВК</t>
  </si>
  <si>
    <t>Время перевода</t>
  </si>
  <si>
    <t>Самотёком</t>
  </si>
  <si>
    <t>Итого</t>
  </si>
  <si>
    <t xml:space="preserve"> Манукян Мариям</t>
  </si>
  <si>
    <t>Кинешма</t>
  </si>
  <si>
    <t>Сочетанная травма</t>
  </si>
  <si>
    <t>ИВЛ</t>
  </si>
  <si>
    <t>Наволоки</t>
  </si>
  <si>
    <t>Пневмоторакс, вр.патология легких?</t>
  </si>
  <si>
    <t>Федотов Максим</t>
  </si>
  <si>
    <t>Иваново ул. 2-ая Нагорная д. 20 кв. 47</t>
  </si>
  <si>
    <t>Судороги неясного генеза</t>
  </si>
  <si>
    <t>Угодин</t>
  </si>
  <si>
    <t>Иваново</t>
  </si>
  <si>
    <t>Вр.перитонит</t>
  </si>
  <si>
    <t>Малов Алексей</t>
  </si>
  <si>
    <t>Южа ул. Ганабина д. 28</t>
  </si>
  <si>
    <t>Обструктивный бронхит</t>
  </si>
  <si>
    <t>Поляева Дарья</t>
  </si>
  <si>
    <t>Тейково ул. 8 Марта 14- 21</t>
  </si>
  <si>
    <t>ВУИ. ПП ЦНС. ЦИ 2 ст.</t>
  </si>
  <si>
    <t>Бугаков Евгений</t>
  </si>
  <si>
    <t>Иваново ул. Павленко д. 16 кв.16</t>
  </si>
  <si>
    <t>Токсическая эритема</t>
  </si>
  <si>
    <t>Юматова Елизавета</t>
  </si>
  <si>
    <t>Кохма ул. Машиностроителей д. 25 кв. 78</t>
  </si>
  <si>
    <t>Панкреонекроз. Сахарный диабет 1 типа.</t>
  </si>
  <si>
    <t>3 часа</t>
  </si>
  <si>
    <t>140 часов</t>
  </si>
  <si>
    <t>Иваново ул. Герцена 7- 61</t>
  </si>
  <si>
    <t>ЗЧМТ</t>
  </si>
  <si>
    <t>Фатахетдинов Амир</t>
  </si>
  <si>
    <t>Воронин Егор</t>
  </si>
  <si>
    <t>Кинешма ул. Кашмихинская 1- 65</t>
  </si>
  <si>
    <t>Термический ожог. Площадь 20%</t>
  </si>
  <si>
    <t>Куликов Кирилл</t>
  </si>
  <si>
    <t>Вичуга ул. Ленинградская 25- 9</t>
  </si>
  <si>
    <t>ЖКК</t>
  </si>
  <si>
    <t>Мольков Марк</t>
  </si>
  <si>
    <t>Кохма ул. Машиностроителей д. 14 кв. 11</t>
  </si>
  <si>
    <t>О. аппендицит</t>
  </si>
  <si>
    <t>Польшакова Валерия</t>
  </si>
  <si>
    <t>Иваново ул. Велижская 12- 95</t>
  </si>
  <si>
    <t>Пневмония внебольничная</t>
  </si>
  <si>
    <t>Борисова Варвара</t>
  </si>
  <si>
    <t>Иваново ул. Академическая 14- 87</t>
  </si>
  <si>
    <t>Дудина Арина</t>
  </si>
  <si>
    <t>Иваново ул. 14-е п/о д.254 кв2</t>
  </si>
  <si>
    <t>Палагутова Мира</t>
  </si>
  <si>
    <t>Иваново ул. Кузнецова д. 67-б кв. 174</t>
  </si>
  <si>
    <t>ОРВИ. Бронхит. Пневмония?</t>
  </si>
  <si>
    <t>Федотов Яромир</t>
  </si>
  <si>
    <t>Тейковский район с. Новое Леушино ул. Завокзальная д. 8</t>
  </si>
  <si>
    <t>Энцефалопатия. Вегетативное состояние. Паллиатив.</t>
  </si>
  <si>
    <t>Патурова Виктория</t>
  </si>
  <si>
    <t>Старая Вичуга ул. Чапаева дом 19</t>
  </si>
  <si>
    <t>Пневмония внебольничная, тяжелая</t>
  </si>
  <si>
    <t>Смирнов Сурэн</t>
  </si>
  <si>
    <t>Вичуга ул. Меньжинского дом 21</t>
  </si>
  <si>
    <t>Пневмония. Анемия.</t>
  </si>
  <si>
    <t>Смирнов Ризван</t>
  </si>
  <si>
    <t>Мухаммедова Хадиджа</t>
  </si>
  <si>
    <t>Иваново пер. Пограничный д. 13</t>
  </si>
  <si>
    <t>Церебральная ишемия 3 ст. Гидроцефалия</t>
  </si>
  <si>
    <t>Крутов Богдан</t>
  </si>
  <si>
    <t>Иваново, Бакинский пр., 53,13</t>
  </si>
  <si>
    <t xml:space="preserve">Анафилактическая реакция. </t>
  </si>
  <si>
    <t>Иванов Сергей</t>
  </si>
  <si>
    <t>Заволжский р-он д. Емельяново д. 41 кв. 2</t>
  </si>
  <si>
    <t>Лебедева Мария Николаевна</t>
  </si>
  <si>
    <t>г.Юрьевец, ул.Свободы, д.28, к.3.</t>
  </si>
  <si>
    <t>Сахарный диабет инсулинзависимый, впервые выявленный, с кетоацидозом</t>
  </si>
  <si>
    <t>Угодин Тимофей Артёмович</t>
  </si>
  <si>
    <t>г.Иваново, ул.4-я Деревенская, д.56, кв.4.</t>
  </si>
  <si>
    <t>Мишина Елизавета</t>
  </si>
  <si>
    <t>Анемия. Анастомозит.</t>
  </si>
  <si>
    <t>Абсцесс передней брюшной стенки</t>
  </si>
  <si>
    <t>Фурманов ул. Плесская д. 31</t>
  </si>
  <si>
    <t>Мигунова Алена Олеговна</t>
  </si>
  <si>
    <t>Иваново ул. Постышева д. 58 кв. 19</t>
  </si>
  <si>
    <t>Киста правого яичника</t>
  </si>
  <si>
    <t>Тихомиров Алексей</t>
  </si>
  <si>
    <t>Верхнеландовский р-он с. Мыт ул. Набережнаяд. 77</t>
  </si>
  <si>
    <t>Полип прямой кишки с кровотечением</t>
  </si>
  <si>
    <t>Петрова Елизавета</t>
  </si>
  <si>
    <t>Иваново ул. Диановых</t>
  </si>
  <si>
    <t>КОВИД</t>
  </si>
  <si>
    <t>Маковецкий Никита</t>
  </si>
  <si>
    <t>п. Савино ул. 2-я Восточная д.36</t>
  </si>
  <si>
    <t>Муравьева София</t>
  </si>
  <si>
    <t>Кохма ул. Кочетовой д. 34 кв. 58</t>
  </si>
  <si>
    <t>Сахарный диабет с кетоацидозом</t>
  </si>
  <si>
    <t>ЗЧМТ. Сотрясение головного мозга.</t>
  </si>
  <si>
    <t>Приволжск ул. Ленина дом 47</t>
  </si>
  <si>
    <t>ЖКБ</t>
  </si>
  <si>
    <t>Болбат Илья</t>
  </si>
  <si>
    <t>Волкова Дарья</t>
  </si>
  <si>
    <t>Пучеж ул. Грибоедова д. 6 кв. 63</t>
  </si>
  <si>
    <t>Эпистатус</t>
  </si>
  <si>
    <t>Яковлев Ярослав</t>
  </si>
  <si>
    <t>Кинешма ул. Менделеева д. 3а кв. 78</t>
  </si>
  <si>
    <t>Последствия перинатального поражения ЦНС.</t>
  </si>
  <si>
    <t>Лазарев Максим</t>
  </si>
  <si>
    <t>Иваново ул. Карьерная д. 58 кв. 29</t>
  </si>
  <si>
    <t>200 часов</t>
  </si>
  <si>
    <t>Эпилепсия</t>
  </si>
  <si>
    <t>Обрубова Владислава</t>
  </si>
  <si>
    <t>Кохма ул 1905 года д. 17</t>
  </si>
  <si>
    <t>Разин Александр</t>
  </si>
  <si>
    <t>Иваново пр-т Строителей д 114 кв. 16</t>
  </si>
  <si>
    <t>Еремеев Иван</t>
  </si>
  <si>
    <t>Иваново ул. 1-ая Депутатская д. 38</t>
  </si>
  <si>
    <t xml:space="preserve">Анемия. </t>
  </si>
  <si>
    <t>Сафарова Алсу</t>
  </si>
  <si>
    <t>Лежнево ул. Ивановская д. 37</t>
  </si>
  <si>
    <t>Фебрильные судороги</t>
  </si>
  <si>
    <t>Ильясова Варвара</t>
  </si>
  <si>
    <t>Иваново ул. 4-ая Березниковская д. 84</t>
  </si>
  <si>
    <t>Язвенный колит</t>
  </si>
  <si>
    <t>Гаримова</t>
  </si>
  <si>
    <t>Вичугский р-он п. Каменка ул. 50 лет СССР д. 7 кв. 12</t>
  </si>
  <si>
    <t>ВПС</t>
  </si>
  <si>
    <t>Герасимова З.Е.</t>
  </si>
  <si>
    <t>Иваново ул.Станкостроителей 44</t>
  </si>
  <si>
    <t>Параксизмальные сос-е неястной этиологии</t>
  </si>
  <si>
    <t>27 часов</t>
  </si>
  <si>
    <t>61 день</t>
  </si>
  <si>
    <t>Чернова Анастасия</t>
  </si>
  <si>
    <t>Кохма</t>
  </si>
  <si>
    <t>Абрамов Максим</t>
  </si>
  <si>
    <t>Приволжск</t>
  </si>
  <si>
    <t>Щаницын Иван</t>
  </si>
  <si>
    <t>Последствия ЧМТ</t>
  </si>
  <si>
    <t>Богомазова Ксения</t>
  </si>
  <si>
    <t>Иваново Бакинский проезд д. 59 кв. 39</t>
  </si>
  <si>
    <t>Отравление крысиным ядом</t>
  </si>
  <si>
    <t>Лухский р-н с. Порздни ул. Луговая д. 8</t>
  </si>
  <si>
    <t>Фокин Дмитрий Александрович</t>
  </si>
  <si>
    <t>Иваново ул.Сосневская 26</t>
  </si>
  <si>
    <t>Смирнов Данила Дмитриевич</t>
  </si>
  <si>
    <t>Тейковский район д.Елховка ул.Горьковская д.1</t>
  </si>
  <si>
    <t>Параксизмальные состояния неясной этиологии</t>
  </si>
  <si>
    <t xml:space="preserve"> Рыбак Екатерина</t>
  </si>
  <si>
    <t>СД. Кетоацидоз.</t>
  </si>
  <si>
    <t>Акулов Давид</t>
  </si>
  <si>
    <t>Иваново, Лежневскя 21</t>
  </si>
  <si>
    <t>Атактический синдром</t>
  </si>
  <si>
    <t>Брагина Данна</t>
  </si>
  <si>
    <t>Иваново, Авдотьинская 28</t>
  </si>
  <si>
    <t>Комсомольск                      ул. Комонова дом 28</t>
  </si>
  <si>
    <t>Молочкина Екатерина</t>
  </si>
  <si>
    <t>Сост. после удаления опухоли</t>
  </si>
  <si>
    <t>ив. Обл. г. ианово. Мкр ТЭЦ3 д 7бббБ, кв 36</t>
  </si>
  <si>
    <t>коррегиующаея остотомия левого   бедра.</t>
  </si>
  <si>
    <t>Б-нь Гиршпрунга. Параректальный абсцесс</t>
  </si>
  <si>
    <t>Ражук Анастасия Денисовна</t>
  </si>
  <si>
    <t>Иваново, Кузнечная, 38-136</t>
  </si>
  <si>
    <t>120 часов</t>
  </si>
  <si>
    <t>Смирнов Илья</t>
  </si>
  <si>
    <t>3 г.</t>
  </si>
  <si>
    <t>0 г.3 мес.</t>
  </si>
  <si>
    <t>Острое суицидальное отравление таблетками</t>
  </si>
  <si>
    <t>Мартощук Илья Александрович</t>
  </si>
  <si>
    <t>Ив. р-он д. Коляново ул. Школьная д. 34</t>
  </si>
  <si>
    <t>Минно-взрывная травма</t>
  </si>
  <si>
    <t>Мартощук Илья</t>
  </si>
  <si>
    <t>д. Коляново</t>
  </si>
  <si>
    <t>Иваново п/о 14 д. 313</t>
  </si>
  <si>
    <t>Гипогликемия. Судорожный с-м. Гликогеноз</t>
  </si>
  <si>
    <t>Леонов Артем Андреевич</t>
  </si>
  <si>
    <t>Объемное образование средостения</t>
  </si>
  <si>
    <t>Горелова Алина Андреевна</t>
  </si>
  <si>
    <t xml:space="preserve">г. Вичуга, ул. Ульяновская 30-59 </t>
  </si>
  <si>
    <t>Березин Максим Павлович</t>
  </si>
  <si>
    <t>г. Кинешма ул. Веснина 3 кв 1</t>
  </si>
  <si>
    <t>Спаечная кишечная непроходимость</t>
  </si>
  <si>
    <t>Пневмония, орг. Поражение ЦНС. ПАЛЛИАТИВ.</t>
  </si>
  <si>
    <t>40 минут</t>
  </si>
  <si>
    <t>Левачева Арина Сергеевна</t>
  </si>
  <si>
    <t>Иваново Палехская 13</t>
  </si>
  <si>
    <t xml:space="preserve">Нестабильность правого надколенника </t>
  </si>
  <si>
    <t xml:space="preserve">Сочетанная травма. ПАЛЛИАТИВНЫЙ </t>
  </si>
  <si>
    <t>27 дней</t>
  </si>
  <si>
    <t>Шишкин Егор Михайлович</t>
  </si>
  <si>
    <t>Комсомольский р-он с. Мытищи д. 34</t>
  </si>
  <si>
    <t>Пневмония</t>
  </si>
  <si>
    <t>Васин Максим Антонович</t>
  </si>
  <si>
    <t>Иваново ул. Б Хмельницкого д. 76 кв. 3</t>
  </si>
  <si>
    <t>Магомедов Абубакр</t>
  </si>
  <si>
    <t>Иваново ул. Бубнова д. 72 кв. 10</t>
  </si>
  <si>
    <t>ДЦП</t>
  </si>
  <si>
    <t>Хохрина Маргарита</t>
  </si>
  <si>
    <t>Иваново ул. Хлебникова д. 14 кв. 18</t>
  </si>
  <si>
    <t>Эпилепсия неуточненная</t>
  </si>
  <si>
    <t>Шудрин Иван Антонович</t>
  </si>
  <si>
    <t xml:space="preserve">Шуя ул Пушкинская д. 16 </t>
  </si>
  <si>
    <t>Объемное образование головного мозга</t>
  </si>
  <si>
    <t>Касатов Федор Павлович</t>
  </si>
  <si>
    <t>Ретинопатия, БЛД</t>
  </si>
  <si>
    <t>Надеждин Владислав</t>
  </si>
  <si>
    <t>Менингоэнцефалит. Язва 12 п. кишки</t>
  </si>
  <si>
    <t>Кочетов Антон</t>
  </si>
  <si>
    <t>Иваново ул. Суворова д. 38 кв. 28</t>
  </si>
  <si>
    <t>Иваново ул. Новосельская д. 10</t>
  </si>
  <si>
    <t>Энцефалитическая реакция. Токсический гепатит.</t>
  </si>
  <si>
    <t>Кондрашкина Ирина</t>
  </si>
  <si>
    <t>Кинешма ул. Декабристов д. 12 кв.21</t>
  </si>
  <si>
    <t>Лебедев Матвей</t>
  </si>
  <si>
    <t>Иваново ул. 3-я Чайковская дом 39</t>
  </si>
  <si>
    <t xml:space="preserve">Сахарный диабет </t>
  </si>
  <si>
    <t>Голубев Вячеслав</t>
  </si>
  <si>
    <t>г. Кинешма ул. Желябова д 20</t>
  </si>
  <si>
    <t xml:space="preserve">Музонов роман </t>
  </si>
  <si>
    <t>сахарный диабет</t>
  </si>
  <si>
    <t>Умников Кирилл</t>
  </si>
  <si>
    <t>Мальцева Нина</t>
  </si>
  <si>
    <t>химический ожог</t>
  </si>
  <si>
    <t>Филиппов Егор</t>
  </si>
  <si>
    <t>Иваново ул. Свободы д. 9 кв. 6</t>
  </si>
  <si>
    <t>Термический ожог. Площадь 30%</t>
  </si>
  <si>
    <t>Лашманова Екатерина</t>
  </si>
  <si>
    <t>Савинский р-он. С. Воскресенское ул. Пионерская 14-1</t>
  </si>
  <si>
    <t>г. Пучеж, ул Производственная</t>
  </si>
  <si>
    <t xml:space="preserve">Родники ул. Ивановская дом 30 </t>
  </si>
  <si>
    <t>Гидроцефалия. Постановка ВПШ.</t>
  </si>
  <si>
    <t>Кострома ул. Поселочная  д. 36-20</t>
  </si>
  <si>
    <t>Иваново 2-ая Нагорная      д. 20 кв. 47</t>
  </si>
  <si>
    <t>Дегенеративное заболевание нервной системы</t>
  </si>
  <si>
    <t>Васильев</t>
  </si>
  <si>
    <t>Атипичный ГУС</t>
  </si>
  <si>
    <t>Сивяков Вячеслав</t>
  </si>
  <si>
    <t>Комсомольский р-он с. Песцово ул. Суворова 15-2</t>
  </si>
  <si>
    <t>ожоговая травма</t>
  </si>
  <si>
    <t>Термический ожог, ожоговый шок</t>
  </si>
  <si>
    <t>Киселев Глеб</t>
  </si>
  <si>
    <t>Тейково</t>
  </si>
  <si>
    <t>Отравление суррогатами алкоголя</t>
  </si>
  <si>
    <t>15 лет</t>
  </si>
  <si>
    <t>Соловьев Алексей Андреевич</t>
  </si>
  <si>
    <t>Иваново, Кохомское шоссе, 10-14</t>
  </si>
  <si>
    <t>Бронхиолит</t>
  </si>
  <si>
    <t>Спиридонов Артем</t>
  </si>
  <si>
    <t>п. Савино ул. Малиновского д. 105 кв. 1</t>
  </si>
  <si>
    <t>Сахарный диабет. Кетоацидоз.</t>
  </si>
  <si>
    <t>Никитина Полина</t>
  </si>
  <si>
    <t>Хронический панкреатит, обострение.</t>
  </si>
  <si>
    <t>12.00</t>
  </si>
  <si>
    <t>Рыбакова Алёна Сергеевна</t>
  </si>
  <si>
    <t>р-он Ильинский, д.Ширяево, ул.Северная, д.9</t>
  </si>
  <si>
    <t>Острый аппендицит. Периаппендикулярный абсцесс.</t>
  </si>
  <si>
    <t>Катин Иван Алексеевич</t>
  </si>
  <si>
    <t>Иваново пр. Шереметевский д. 82 кв. 13</t>
  </si>
  <si>
    <t>Качалов Игорь Константинович</t>
  </si>
  <si>
    <t>Иваново ул. Д. Бедного     д. 43</t>
  </si>
  <si>
    <t>Пневмония внебольничная.</t>
  </si>
  <si>
    <t>Кухалейшвили Полина Сергеевна</t>
  </si>
  <si>
    <t>пос. Савино, 3 Восточная, д. 45</t>
  </si>
  <si>
    <t>ПП ЦНС</t>
  </si>
  <si>
    <t xml:space="preserve">Румянцева Анна Ивановна </t>
  </si>
  <si>
    <t xml:space="preserve">г.Шуя 11 мичунская корпус 4 </t>
  </si>
  <si>
    <t>Органическое поражение ЦНС</t>
  </si>
  <si>
    <t>Азарян Вардан Нарекович</t>
  </si>
  <si>
    <t>г.Иваново 4 Лагерная д 26</t>
  </si>
  <si>
    <t>химический ожог пищевода</t>
  </si>
  <si>
    <t>Корнилина Екатерина Александровна</t>
  </si>
  <si>
    <t>Иваново, Кохомское ш.,</t>
  </si>
  <si>
    <t>сахарный диабет, кетоацидоз</t>
  </si>
  <si>
    <t>Колесов Платон</t>
  </si>
  <si>
    <t>Вичуга ул. 50 лет Октября д. 21 кв. 45</t>
  </si>
  <si>
    <t>Состояние после удаления тератомы крестцово-копчиковой области.</t>
  </si>
  <si>
    <t>Лашманова Катерина Артёмовна</t>
  </si>
  <si>
    <t>Термический ожог, S-30%, 1-2-3АБ степени, ожоговая болезнь, аутодермопластика от 01.03.2021.</t>
  </si>
  <si>
    <t>Салимгереев Агай Юсупович</t>
  </si>
  <si>
    <t>г.Приволжск, ул.Фулонова, д.1б, кв.10.</t>
  </si>
  <si>
    <t>Острый аппендицит. Открытая аппендэктомия от 28.02.2021.  Периаппендикулярный абсцесс, ранняя послеоперационная спаечная непроходимость, релапаротомия, санация и дренирование брюшной полости от 04.03.2021.</t>
  </si>
  <si>
    <t>05.03.201</t>
  </si>
  <si>
    <t>Грехов Константин</t>
  </si>
  <si>
    <t>Шуйский р-он д. Прилив ул. Школьная д. 17</t>
  </si>
  <si>
    <t>Термический ожог головы, шеи S 12%</t>
  </si>
  <si>
    <t>Курбатова Кристина</t>
  </si>
  <si>
    <t>Шуя ШКЦ</t>
  </si>
  <si>
    <t>Пиелонефрит. Гидроуретеронефроз.</t>
  </si>
  <si>
    <t>Ильянков Андрей</t>
  </si>
  <si>
    <t>Заволжск ул. В. Дубинина д. 10</t>
  </si>
  <si>
    <t>Термический ожог обеих ягодиц, нижних конечностей S 12-13 %</t>
  </si>
  <si>
    <t>Столярова София</t>
  </si>
  <si>
    <t>Комсомольский р-он с. Писцово ул. Зеленая д. 10</t>
  </si>
  <si>
    <t>Перекрут правых придатков матки с некрозом.</t>
  </si>
  <si>
    <t>Сокурова Полина</t>
  </si>
  <si>
    <t xml:space="preserve">Фурманов ул. Возрождения д. 30 кв. 16 </t>
  </si>
  <si>
    <t>Хим. Ожог ротоглотки, пищевода</t>
  </si>
  <si>
    <t>нефро</t>
  </si>
  <si>
    <t>Голубева девочка</t>
  </si>
  <si>
    <t>Фурманов ул. Барабановская д. 27</t>
  </si>
  <si>
    <t>ВПР кишечника.</t>
  </si>
  <si>
    <t>Елизаров Арсений</t>
  </si>
  <si>
    <t>Смирнова Лилия</t>
  </si>
  <si>
    <t>Кинешма ул.Правды 7</t>
  </si>
  <si>
    <t>Состояние после удаления опухоли г/м</t>
  </si>
  <si>
    <t>Комарова Полина</t>
  </si>
  <si>
    <t>Тейково Молодежная 2</t>
  </si>
  <si>
    <t>Муравьев Арсений</t>
  </si>
  <si>
    <t>Кинешма  пер. Устиновский д. 37</t>
  </si>
  <si>
    <t>Буланов Леонид</t>
  </si>
  <si>
    <t>Шуя ул. Мичуринская д. 39</t>
  </si>
  <si>
    <t>Термический ожог кипятком передней грудной стенки, живота, поясницы, левого бедра $ 20%</t>
  </si>
  <si>
    <t>Шуя ул. 10 Текстильная д. 4</t>
  </si>
  <si>
    <t>Бегунова Виктория</t>
  </si>
  <si>
    <t>ОРВИ. Тонзилофарингит.</t>
  </si>
  <si>
    <t>Иваново ул. Ташкенская д. 93 кв. 16</t>
  </si>
  <si>
    <t>Фурмановский р-он с. Юрьевецкое д. 46 кв. 2</t>
  </si>
  <si>
    <t>Баева Софья</t>
  </si>
  <si>
    <t>Иваново ул. Авдотьинская д. 28 кв. 55</t>
  </si>
  <si>
    <t>Резекция экзостоза.</t>
  </si>
  <si>
    <t>Уваров Максим</t>
  </si>
  <si>
    <t>Грицына Кристина</t>
  </si>
  <si>
    <t>Фурманов ул. Красноармейская д.47 кв. 3</t>
  </si>
  <si>
    <t>Пневмония внебольничная двухсторонняя.</t>
  </si>
  <si>
    <t>Тимохина Верониа Анатольевна</t>
  </si>
  <si>
    <t>Субботин Михаил</t>
  </si>
  <si>
    <t xml:space="preserve">Иваново ул. Постышева д. 58 кв. 14 </t>
  </si>
  <si>
    <t>Пилоростеноз</t>
  </si>
  <si>
    <t>Онохин Вячеслав</t>
  </si>
  <si>
    <t xml:space="preserve">Палехский р-он с. Майдаково ул. Заводская 24-11 </t>
  </si>
  <si>
    <t>О. аппендицит. Периаппендикулярный абсцесс.</t>
  </si>
  <si>
    <t>Мешков Павел</t>
  </si>
  <si>
    <t>Родники</t>
  </si>
  <si>
    <t>Рустамова Есуман</t>
  </si>
  <si>
    <t xml:space="preserve">Старая Вичуга ул. Маяковского д. 5 </t>
  </si>
  <si>
    <t>Остеомиелит правой бедренной кости</t>
  </si>
  <si>
    <t>Грошев Павел</t>
  </si>
  <si>
    <t>Кинешма ул. Щорса д. 5 кв.34</t>
  </si>
  <si>
    <t>МОС бедренной кости справа</t>
  </si>
  <si>
    <t>г. Кинешма ул. Аристарха Марова 62-69</t>
  </si>
  <si>
    <t>Шипов Алексей</t>
  </si>
  <si>
    <t>Кинешма ул. Щорса д. 68 кв.116</t>
  </si>
  <si>
    <t>Органическое поражение ЦНС. Паллиотивный статус.</t>
  </si>
  <si>
    <t>Васильев Владислав</t>
  </si>
  <si>
    <t>Иваново ул. Лежневская д. 164 кв. 49</t>
  </si>
  <si>
    <t>ГУС</t>
  </si>
  <si>
    <t>Пономорев Вячеслав</t>
  </si>
  <si>
    <t>Саид хажаева Р. У.</t>
  </si>
  <si>
    <t>Гаранжа Аделина</t>
  </si>
  <si>
    <t>Иваново ул. Кудряшова д. 106 кв. 109</t>
  </si>
  <si>
    <t>ОПН</t>
  </si>
  <si>
    <t>Колоторезаное ранение</t>
  </si>
  <si>
    <t>ОЧМТ</t>
  </si>
  <si>
    <t>Вичуга  ул.  Полевая 18</t>
  </si>
  <si>
    <t>г. Иваново ул.  Московская 50</t>
  </si>
  <si>
    <t>г.Вичуга ул. Циолковского д 24</t>
  </si>
  <si>
    <t>Туболкина Анастасия</t>
  </si>
  <si>
    <t>Иваново ул. Суворова д. 38 кв. 14</t>
  </si>
  <si>
    <t>Мигрень простая? Энцефалопатия</t>
  </si>
  <si>
    <t>100 часов</t>
  </si>
  <si>
    <t>Химический ожог ротоглотки, пищевода кристалами марганцовки</t>
  </si>
  <si>
    <t>Опухоль брюшной полости</t>
  </si>
  <si>
    <t>Острое отравление суррогатами алкоголя</t>
  </si>
  <si>
    <t>гемлогическое отделение</t>
  </si>
  <si>
    <t>Бабаев Али Азад Оглы</t>
  </si>
  <si>
    <t>Степанян Сейран</t>
  </si>
  <si>
    <t>Термический ожог кипятком лица, шеи, надплечий $ 18%</t>
  </si>
  <si>
    <t>г.Иваново. С Новоталицы, ул. Школьная д.9 кв.52</t>
  </si>
  <si>
    <t>Кохма ул. Кочетовой д. 53 кв. 44</t>
  </si>
  <si>
    <t>Чистяков Максим Максимович</t>
  </si>
  <si>
    <t>г. Иваново, 8-Завокзальная д 64</t>
  </si>
  <si>
    <t>Смирнова Валентина Генадевна</t>
  </si>
  <si>
    <t>с. Колобацкое, ул. Молодежная д 15</t>
  </si>
  <si>
    <t>г. Приволжск, ул. Фурманово, д15,кв 56</t>
  </si>
  <si>
    <t>Костерин Егор</t>
  </si>
  <si>
    <t>г. Иваново ул. Шубиных 36а кв 67</t>
  </si>
  <si>
    <t>240 часов</t>
  </si>
  <si>
    <t>24 часа</t>
  </si>
  <si>
    <t>Кишечная непроходимость</t>
  </si>
  <si>
    <t>Острый лейкоз</t>
  </si>
  <si>
    <t>Максимов (мал)</t>
  </si>
  <si>
    <t>Кабанова Надежда</t>
  </si>
  <si>
    <t xml:space="preserve">Иваново,  ул. Шубиных д160 кв 41 </t>
  </si>
  <si>
    <t>Острое отравление препаратом Аминотрептилин</t>
  </si>
  <si>
    <t>Новиков Тимур</t>
  </si>
  <si>
    <t>Родники, ул Голарина д6 кв 10</t>
  </si>
  <si>
    <t>кохма, Октяборьская д 68 - кв 50</t>
  </si>
  <si>
    <t>Г. Иваново Воронина д.11</t>
  </si>
  <si>
    <t>Кострова Арина</t>
  </si>
  <si>
    <t>Крылов Матвей</t>
  </si>
  <si>
    <t>Иваново ул. Кавалерийская д. 58 кв. 42</t>
  </si>
  <si>
    <t>Закрытый перелом с/3 правой бедренной кости со смещением отломков.</t>
  </si>
  <si>
    <t>Острое отравлние сурругатами алкоголя</t>
  </si>
  <si>
    <t>Атрезия пищевода, трахеопищеводный свищ?</t>
  </si>
  <si>
    <t>Иваново м-он Рождественский д. 8 кв. 381</t>
  </si>
  <si>
    <t>Перфоративный аппендицит. Перипендикулярный абсцесс.</t>
  </si>
  <si>
    <t>Огурцова Вероника</t>
  </si>
  <si>
    <t>Кременицкая Александра</t>
  </si>
  <si>
    <t>Григорьева Алиса</t>
  </si>
  <si>
    <t>Иваново ул. Парижской Коммуны 46-36</t>
  </si>
  <si>
    <t>Анемия тяжелая.</t>
  </si>
  <si>
    <t>Гурылев Кирилл</t>
  </si>
  <si>
    <t>Кохма ул. Октябрьская д. 20а кв. 135</t>
  </si>
  <si>
    <t>Корочкин Ярослав</t>
  </si>
  <si>
    <t xml:space="preserve"> Орлов Николай</t>
  </si>
  <si>
    <t>г. Фурманов, уг. Гоголя д. 32</t>
  </si>
  <si>
    <t>Селезин Никита Алексеевич</t>
  </si>
  <si>
    <t>г. Шуя ул. Аникина д.1 кв 96</t>
  </si>
  <si>
    <t>Жарцов Никита Олегович</t>
  </si>
  <si>
    <t>г. Шуя ул 2- северная д.48</t>
  </si>
  <si>
    <t>Помпик Даниил</t>
  </si>
  <si>
    <t>с. Богородское, ум. 5 Кланцевская 24</t>
  </si>
  <si>
    <t>Бураков Евгений Владиславович</t>
  </si>
  <si>
    <t>владимирская область, петушиннский район,д Анкудиново ул Арханинская</t>
  </si>
  <si>
    <t>Тюленев Никита</t>
  </si>
  <si>
    <t>г. Иваново Гагарина д 2 кв 37</t>
  </si>
  <si>
    <t>13часов</t>
  </si>
  <si>
    <t>гематологическое отделение</t>
  </si>
  <si>
    <t>Катетеризация ЦВК</t>
  </si>
  <si>
    <t>Панкреатит</t>
  </si>
  <si>
    <t>Отравление таблетками</t>
  </si>
  <si>
    <t>Ярычева Виктория Сергеевна</t>
  </si>
  <si>
    <t>Иваново Герцина 15 кв.54</t>
  </si>
  <si>
    <t>Обьемное образование ГМ</t>
  </si>
  <si>
    <t>Сорокина Виталина Даниловна</t>
  </si>
  <si>
    <t>Шуя Аникина д. 7 кв.2</t>
  </si>
  <si>
    <t>20 ч</t>
  </si>
  <si>
    <t>Чернигина Анастасия</t>
  </si>
  <si>
    <t>г. Фурманов, уг. Возраждения д. 7 кв 4</t>
  </si>
  <si>
    <t>ЗЧМТ, эпилепсия</t>
  </si>
  <si>
    <t>Воронина Амелия</t>
  </si>
  <si>
    <t>ив. Обл. Шуйский район, д. Харитоново д.37</t>
  </si>
  <si>
    <t>ВПР, трахеи</t>
  </si>
  <si>
    <t>Кулагина Виолета</t>
  </si>
  <si>
    <t>р. Верхний Ландих ул. Советская д. 20 кв.1</t>
  </si>
  <si>
    <t>ВПС, Тетрада Фало  опер.</t>
  </si>
  <si>
    <t>Корсаков Владислав</t>
  </si>
  <si>
    <t>г. Иваново, д. бедного д 77 кв 82</t>
  </si>
  <si>
    <t>О. бронхит</t>
  </si>
  <si>
    <t>Безруков Никита</t>
  </si>
  <si>
    <t>г. Иваново, ул. Спортивная 21,</t>
  </si>
  <si>
    <t>г. Шуя, ул Северная д 24 кв 1</t>
  </si>
  <si>
    <t>Лянк Матвей</t>
  </si>
  <si>
    <t>г. Иваново д. Малинки 43а</t>
  </si>
  <si>
    <t>Беккер Артем</t>
  </si>
  <si>
    <t>г. Иваново, П. Комуны 24, кв 188</t>
  </si>
  <si>
    <t>Пневмония, мскт</t>
  </si>
  <si>
    <t>Остиосинтез правого плеча.</t>
  </si>
  <si>
    <t>Балякина Анастасия Андреевна</t>
  </si>
  <si>
    <t>г. Иваново М.Василевского 19, кв 2</t>
  </si>
  <si>
    <t>Келлер Павел Александрович</t>
  </si>
  <si>
    <t>г. Иваново ул Кавалерийская д 60 кв 39</t>
  </si>
  <si>
    <t>Елисеев Никита</t>
  </si>
  <si>
    <t>Иваново ул. Танкиста Белороссова 2- 35</t>
  </si>
  <si>
    <t>Термический ожог передней грудной, брюшной стенки, левого плеча, предплечья, левого бедра 1-2-3 ст. S- 15%</t>
  </si>
  <si>
    <t>Пневмония. Паллиотив.</t>
  </si>
  <si>
    <t>Гипогликемия.</t>
  </si>
  <si>
    <t>Милов Константин</t>
  </si>
  <si>
    <t xml:space="preserve">Коновалова Маргарита </t>
  </si>
  <si>
    <t>г.Наволоки,  пр Энгельса д 57а кв 5</t>
  </si>
  <si>
    <t>Капаева Алиса</t>
  </si>
  <si>
    <t>г. Шуя ул. 4-ая Текстильная д. 4</t>
  </si>
  <si>
    <t>Перфорация желудка</t>
  </si>
  <si>
    <t>Термический ожог</t>
  </si>
  <si>
    <t>Наумов Дмитрий Сергеевич</t>
  </si>
  <si>
    <t>г.Иваново ул. Некрасова 21 кв. 34</t>
  </si>
  <si>
    <t>Новообразование ГМ</t>
  </si>
  <si>
    <t>Рябинин Артур Петрович</t>
  </si>
  <si>
    <t>Вичуга ул. Школьная 35</t>
  </si>
  <si>
    <t xml:space="preserve">Первичный вывих прав. Надколенника </t>
  </si>
  <si>
    <t>Грибова Аксинья Альбертовна</t>
  </si>
  <si>
    <t>Кинешма ул.Кирина 18</t>
  </si>
  <si>
    <t xml:space="preserve">Энцефалопатия </t>
  </si>
  <si>
    <t>Хромов Григорий Антонович</t>
  </si>
  <si>
    <t>Иваново ул.Московская 62 кв.215</t>
  </si>
  <si>
    <t>Фомичев Артем</t>
  </si>
  <si>
    <t>О. Аппендицит</t>
  </si>
  <si>
    <t>г. Заволжск ул. Социалистическая 16-4</t>
  </si>
  <si>
    <t>Стрункина Виктория</t>
  </si>
  <si>
    <t>Пучеж ул. 30 лет Победы д. 44/14</t>
  </si>
  <si>
    <t>Теплова Екатерина</t>
  </si>
  <si>
    <t>г. Кинешма, ул. Виноградова д 27, кв 51</t>
  </si>
  <si>
    <t>Гузина Валерия</t>
  </si>
  <si>
    <t>г. Иваново Инженерная 2г, 32</t>
  </si>
  <si>
    <t>г. Иваново Лежневская д 122/ кв 56</t>
  </si>
  <si>
    <t>Луговин Геннадий</t>
  </si>
  <si>
    <t xml:space="preserve">Благовещенский Денис </t>
  </si>
  <si>
    <t>Иваново Рождественский м-он 10 кв.166</t>
  </si>
  <si>
    <t>Сучкова Анастасия</t>
  </si>
  <si>
    <t>Абуллахужаев Али Абро Оглы</t>
  </si>
  <si>
    <t>г.Шуя 2-я петропавловская д11</t>
  </si>
  <si>
    <t>г. Шуя Свердлова д 113а</t>
  </si>
  <si>
    <t>Ганюшин Мирон Игоревич</t>
  </si>
  <si>
    <t>г. Фурманов ул Социалистическая, д 4, кв 21</t>
  </si>
  <si>
    <t>Гогуа Бадри</t>
  </si>
  <si>
    <t>г. Иваново мкр 30, д23 кв2</t>
  </si>
  <si>
    <t>ЗЧМТ?</t>
  </si>
  <si>
    <t>Багирова Ксения</t>
  </si>
  <si>
    <t>Иваново Пер. Союзный дом 8</t>
  </si>
  <si>
    <t>После операции по поводу атрезии пищевода</t>
  </si>
  <si>
    <t xml:space="preserve">Панкреотит. СД. </t>
  </si>
  <si>
    <t>Ив. Обл. Шуйский район, д. Харитоново д.37</t>
  </si>
  <si>
    <t>Перелом костей основания черепа</t>
  </si>
  <si>
    <t>Врожденная гидроцефалия</t>
  </si>
  <si>
    <t>Острое отравление парацетамолом</t>
  </si>
  <si>
    <t>Сахарный диабет впервые выявленный</t>
  </si>
  <si>
    <t xml:space="preserve">Панкреотит </t>
  </si>
  <si>
    <t>Спинальная амиотрофия, люмбальная пункцкия</t>
  </si>
  <si>
    <t>Максимов Николай Александрович</t>
  </si>
  <si>
    <t>Заволжск,ул. Волжская,3</t>
  </si>
  <si>
    <t>Кирюшкин Даниил Дмитриевич</t>
  </si>
  <si>
    <t>Заволжск,ул.Мира,17-35</t>
  </si>
  <si>
    <t>Микулин Ярослав</t>
  </si>
  <si>
    <t xml:space="preserve">Иваново ул. Кавалерийская </t>
  </si>
  <si>
    <t>Состояние после механической асфиксии</t>
  </si>
  <si>
    <t>Перфоративная язва</t>
  </si>
  <si>
    <t>Смирнов Кирилл Иванович</t>
  </si>
  <si>
    <t>Иваново, ул. Танкиста Александрова, 15-185</t>
  </si>
  <si>
    <t>Синдром Арнольда-Киари?</t>
  </si>
  <si>
    <t>Строков Иван Юрьевич</t>
  </si>
  <si>
    <t>ул. 2й Кольчугинский переулок, д 5, кв 2.</t>
  </si>
  <si>
    <t>Андреев Захар Сергеевич</t>
  </si>
  <si>
    <t>г.Кинешма, ул. Полины Осипенко, д.104</t>
  </si>
  <si>
    <t>ул.Карла Маркса, д.4А, кв.175.</t>
  </si>
  <si>
    <t>Сочетанная травма. Сотрясение головного мозга. ЗТГК. Ушиб обоих ёгких. Перелом I-V рёбер слева без смещения отломков. Закрытый перелом левой боковой массы S1, перелом левой лонной кости без смещения отломков. ТТЖ, ушиб передней бококвой стенки. Закрытый перелом нижней трети правого бедра со смещением отломков. Рваная рана нижней челюсти. Травматический шок 2 степени.</t>
  </si>
  <si>
    <t>Перминов Егор Дмитриевич</t>
  </si>
  <si>
    <t>Гачин Матвей Анатольевич</t>
  </si>
  <si>
    <t>Паевский Никита Андреевич</t>
  </si>
  <si>
    <t>г. иваново</t>
  </si>
  <si>
    <t xml:space="preserve">Моисеев Сергей Александрович </t>
  </si>
  <si>
    <t>г. Иваново</t>
  </si>
  <si>
    <t>Корнилаева Мария</t>
  </si>
  <si>
    <t>Сусанин Иван</t>
  </si>
  <si>
    <t>Шуйский р-он д. Пермилово ул. Восточная д. 26</t>
  </si>
  <si>
    <t>Сочетанная травма. Разрыв печени.</t>
  </si>
  <si>
    <t>Якимова Валерия</t>
  </si>
  <si>
    <t>Иваново мкр. 30 д. 20 кв. 74</t>
  </si>
  <si>
    <t>Перекрут кисты яичника</t>
  </si>
  <si>
    <t>Поплевина Настя</t>
  </si>
  <si>
    <t>Субдуральная гематома.</t>
  </si>
  <si>
    <t>Эпиглотит</t>
  </si>
  <si>
    <t>Отравление алкогольной продукцией</t>
  </si>
  <si>
    <t>Термический ожог передней части грудной и брюшной области, правого бедра, правой голени, левого бедра, левой голени I-II-III степени общей площадью 10%.</t>
  </si>
  <si>
    <t xml:space="preserve">Лушина ВероникаВладимировна </t>
  </si>
  <si>
    <t xml:space="preserve">Лухский р-н с. Порздни ул. Зеленая  д6 кв 2 </t>
  </si>
  <si>
    <t>Открытый проникающий многооскольчатый перелом костей левой голени со смещением отломков</t>
  </si>
  <si>
    <t>Махлычев Александр Александрович</t>
  </si>
  <si>
    <t xml:space="preserve">Сочетанная травма, ЗЧМТ. Сотрясение головного мозга. Закрытый перелом с/з костей левой голени со смещением отломков. Травмотический шок 1 степени. Экстренная операция: репозиция костей левой голени, 
Сочетанная травма, МОС ТЕН 3.0
</t>
  </si>
  <si>
    <t>Ефимова Валерия</t>
  </si>
  <si>
    <t>Острое отравление психостимулирующим наркотиком  (соль альфа ПВП)</t>
  </si>
  <si>
    <t>Архангельская область, г. Котлас</t>
  </si>
  <si>
    <t>г Наволоки ул Осавиахима</t>
  </si>
  <si>
    <t>Плечкин Тимофей</t>
  </si>
  <si>
    <t>г. Иваново 1- меланжевская д.4 кв 19</t>
  </si>
  <si>
    <t>острый аппендицит</t>
  </si>
  <si>
    <t>Вейс Артем</t>
  </si>
  <si>
    <t>Тейково ул. Индустриальная д. 1 кв. 66</t>
  </si>
  <si>
    <t>Судорожный синдром. Эпилепсия ?</t>
  </si>
  <si>
    <t>Балякина София Андреевна</t>
  </si>
  <si>
    <t>Ивановский р-н с. Богородское ул. Парковая д61.</t>
  </si>
  <si>
    <t>Интерстициальный нефрит? Острый гломерулонефрит? НЯК? ГУС?</t>
  </si>
  <si>
    <t xml:space="preserve">Коптилов Арсений </t>
  </si>
  <si>
    <t>г. Иваново ул Революционная д101 кв 32</t>
  </si>
  <si>
    <t>Энтероколит</t>
  </si>
  <si>
    <t>Пермилов Егор Дмитриевич</t>
  </si>
  <si>
    <t>г. Иваново ул Карла Маркса д4А кв175</t>
  </si>
  <si>
    <t xml:space="preserve">Сочетанная травма, ЗЧМТ. Сотрясение головного мозга. ЗТГК. Ушиб обоих легких. Перелом 1-5 ребер слева без смешения отломков . Закртытый перелом левой боковой массы S1, перелом левой лонной кости без смещения отломков. ТТЖ, ушиб передней брюшной стенки. Закртый перелом н-3 правого бедра со смещением отломков. Рванная рана нижней челюсти. Травматический шок 2ст. 
</t>
  </si>
  <si>
    <t>Гурылев Кирилл Александрович</t>
  </si>
  <si>
    <t>г.Кохма ул. Октябрьская д20А, кв 135</t>
  </si>
  <si>
    <t>Эпилепсия фокальная</t>
  </si>
  <si>
    <t>Гаврилова Лилия Алексеевна</t>
  </si>
  <si>
    <t>г.Юрьевец, ул.Пушкина д40 кв 41</t>
  </si>
  <si>
    <t>Сочетанная трава</t>
  </si>
  <si>
    <t xml:space="preserve">Гаврилов Артем Яковлевич </t>
  </si>
  <si>
    <t>г. Иваново ул Кирякиных д5 кв 53</t>
  </si>
  <si>
    <t>Сочетаная травма</t>
  </si>
  <si>
    <t xml:space="preserve">Суровцева Илиана Германовна </t>
  </si>
  <si>
    <t>г. Иваново ул Стрелковая д8 кв 97</t>
  </si>
  <si>
    <t>Эпилептический статус</t>
  </si>
  <si>
    <t>Путцев Матвей</t>
  </si>
  <si>
    <t xml:space="preserve">Шуя ул. 11 Мичуринская д. 4 ШКЦ. </t>
  </si>
  <si>
    <t>Шуя ул. Аникина д. 7а кв. 21</t>
  </si>
  <si>
    <t>Филиппов Александр</t>
  </si>
  <si>
    <t>Приволжск, ул Фурманова д 22 кв 24</t>
  </si>
  <si>
    <t>г. Шуя ул Текстильная д11</t>
  </si>
  <si>
    <t xml:space="preserve">ВПС, оперированный </t>
  </si>
  <si>
    <t>г. Иваново, ул. Стрелковая д.8, кв.97</t>
  </si>
  <si>
    <t>Белова Анна Максимовна</t>
  </si>
  <si>
    <t>г. Иваново, ул.1-я Полевая д.3, кв. 74</t>
  </si>
  <si>
    <t>эпилепсия</t>
  </si>
  <si>
    <t>сочетанная травма</t>
  </si>
  <si>
    <t>г. иваново, ул. М. Василевского д 7а</t>
  </si>
  <si>
    <t xml:space="preserve">Новожилов Владислав </t>
  </si>
  <si>
    <t>Салехов Захар</t>
  </si>
  <si>
    <t>Фурманов ул. Пролетарская 2-96</t>
  </si>
  <si>
    <t>Кататравма</t>
  </si>
  <si>
    <t>Ваганов Семен</t>
  </si>
  <si>
    <t>Иваново Аадотьино ул. Революционная 89</t>
  </si>
  <si>
    <t>Инородное тело бронхов. Пневмония. Паллиотивный статус.</t>
  </si>
  <si>
    <t>Постнов Кирилл</t>
  </si>
  <si>
    <t>Иваново. Ул Коммунальная 5-16.</t>
  </si>
  <si>
    <t>Дистальный эзофагит. Дистальная грыжа пищевода. Синдром мелори вейса геморрагический гастрит</t>
  </si>
  <si>
    <t>Садыков Сергей</t>
  </si>
  <si>
    <t xml:space="preserve"> Родники. Ул Шилова д 21</t>
  </si>
  <si>
    <t>электротравма</t>
  </si>
  <si>
    <t xml:space="preserve">Новикова Арина Антоновна </t>
  </si>
  <si>
    <t>г. Иваново мкр Московский , д13 кв81</t>
  </si>
  <si>
    <t xml:space="preserve">Тупая травма живота </t>
  </si>
  <si>
    <t xml:space="preserve">Дрондина Ева Михайловна </t>
  </si>
  <si>
    <t>г. Иваново 7ой переулок д6 кв 48</t>
  </si>
  <si>
    <t>Врожденный порок развития легких. Аномалия развития бронхов</t>
  </si>
  <si>
    <t xml:space="preserve">Рыбкин Илья Дмитриевич </t>
  </si>
  <si>
    <t>с. Большое Кузьмичево ул Молодежная д1 кв 16</t>
  </si>
  <si>
    <t>Врожденная ларинготрахеомаляция.</t>
  </si>
  <si>
    <t>Рыбкина Виктория Евгеньевна</t>
  </si>
  <si>
    <t>Селезнев Савелий Дмитриевич</t>
  </si>
  <si>
    <t>Ивановский р-н д. Беляницы, ул. Дубравная д.63</t>
  </si>
  <si>
    <t>48 часов</t>
  </si>
  <si>
    <t>Интерстициальная болезнь легких</t>
  </si>
  <si>
    <t>Слезин Никита</t>
  </si>
  <si>
    <t>Краниопластика</t>
  </si>
  <si>
    <t>г. Родники ул 10 августа д.6</t>
  </si>
  <si>
    <t>Кохомское шоссе д3 кв 103</t>
  </si>
  <si>
    <t>Приволжск, ул Гоголя д 25</t>
  </si>
  <si>
    <t>Нечаева Ярослава</t>
  </si>
  <si>
    <t>г. Наволоки ул. Сосновая  д. 14</t>
  </si>
  <si>
    <t>Инородное тело левого междолевого бронха ( колпачок от ручки )</t>
  </si>
  <si>
    <t>Богданова Анастасия Юрьевна</t>
  </si>
  <si>
    <t>Гаврилово-Посадский район, село Ирмес, ул.Набережная, д.9, кв.2.</t>
  </si>
  <si>
    <t>Киста яичника, лапароскопия.</t>
  </si>
  <si>
    <t>Забродин Андрей Юрьевич</t>
  </si>
  <si>
    <t>г.Кинешма, ул. Юрьевецкая, д.202</t>
  </si>
  <si>
    <t>Острый аппендицит, лапароскопическая аппендэктомия</t>
  </si>
  <si>
    <t>Романов Алексей</t>
  </si>
  <si>
    <t>г.Иваново мкр Рождественский 6-84</t>
  </si>
  <si>
    <t>периф. вен. Катетер</t>
  </si>
  <si>
    <t>Кайсин Андрей</t>
  </si>
  <si>
    <t>д. Дегтярево дом 7</t>
  </si>
  <si>
    <t>МОС голени слева.</t>
  </si>
  <si>
    <t>Пискунова Анна Анатольевна</t>
  </si>
  <si>
    <t>г.Иваново, ул.Большая Полевая, д.9</t>
  </si>
  <si>
    <t>Отравление алкоголем</t>
  </si>
  <si>
    <t>Кутузова Екатерина Васильевна</t>
  </si>
  <si>
    <t>г.Иваново, ул. Красных Зорь,  д. 69, кв.2.</t>
  </si>
  <si>
    <t>Отравление аспирином</t>
  </si>
  <si>
    <t>Лаврентьев Никита Евгеньевич</t>
  </si>
  <si>
    <t>г.Иваново, ул.Богдана Хмельницкого, д.55, кв.26.</t>
  </si>
  <si>
    <t>Сепсис</t>
  </si>
  <si>
    <t>Кириенко Денис</t>
  </si>
  <si>
    <t>Родникики ул. Машиностроителей д. 12 кв. 224</t>
  </si>
  <si>
    <t>Сочетанная травма.</t>
  </si>
  <si>
    <t>Пысов Максим</t>
  </si>
  <si>
    <t>Лежнево ул. Луговая д. 15 кв.77</t>
  </si>
  <si>
    <r>
      <t>Термический ожог лица, спины, ягодиц, правого плеча, I-II-III ст. S</t>
    </r>
    <r>
      <rPr>
        <sz val="10"/>
        <color theme="1"/>
        <rFont val="Calibri"/>
        <family val="2"/>
        <charset val="204"/>
      </rPr>
      <t>≈3</t>
    </r>
    <r>
      <rPr>
        <sz val="10"/>
        <color theme="1"/>
        <rFont val="Times New Roman"/>
        <family val="1"/>
        <charset val="204"/>
      </rPr>
      <t>0%</t>
    </r>
  </si>
  <si>
    <r>
      <t>Термический ожог , I-II-III ст. S</t>
    </r>
    <r>
      <rPr>
        <sz val="10"/>
        <color theme="1"/>
        <rFont val="Calibri"/>
        <family val="2"/>
        <charset val="204"/>
      </rPr>
      <t>≈3</t>
    </r>
    <r>
      <rPr>
        <sz val="10"/>
        <color theme="1"/>
        <rFont val="Times New Roman"/>
        <family val="1"/>
        <charset val="204"/>
      </rPr>
      <t>0%</t>
    </r>
  </si>
  <si>
    <t>Тарасенко Дмитртй</t>
  </si>
  <si>
    <t>Иваново ул. Ермака дом 32 кв. 6</t>
  </si>
  <si>
    <t>Острое бытовое отравление суррогатами алкоголя</t>
  </si>
  <si>
    <t>31.06.0221</t>
  </si>
  <si>
    <t>Киреев Даниил</t>
  </si>
  <si>
    <t>г. Фурманов, пер Яровой</t>
  </si>
  <si>
    <t>о. апинлицит</t>
  </si>
  <si>
    <t>г. Кинешма, ул. Красный химик</t>
  </si>
  <si>
    <t>Чистяков Михаил</t>
  </si>
  <si>
    <t>Хмелев Ефим</t>
  </si>
  <si>
    <t>Владимирская область, г. Ковров, ул сосновская д17-2</t>
  </si>
  <si>
    <t>МОС</t>
  </si>
  <si>
    <t xml:space="preserve">Блинов Даниил </t>
  </si>
  <si>
    <t>г. Иваново пр. Строителей 116 - 75</t>
  </si>
  <si>
    <t>Сахарный диабет 1 типа</t>
  </si>
  <si>
    <t>Мясникова Дарья</t>
  </si>
  <si>
    <t>Вичугский р-он п. Каменка , 1 полевая. Д 35-28</t>
  </si>
  <si>
    <t>МОС бедра</t>
  </si>
  <si>
    <t>Власов Вадим</t>
  </si>
  <si>
    <t>остео остеома</t>
  </si>
  <si>
    <t>Ивановская область г. Кинешма ул А Макарова д 35 кв 3</t>
  </si>
  <si>
    <t>Якимова</t>
  </si>
  <si>
    <t>Ивановская область, Тейковский район, д.Захарово, д.3.</t>
  </si>
  <si>
    <t>ВПС: отхождение аорты и лёгочной артерии от левого желудочка, стеноз и гипоплазия клапана и ствола лёгочной артерии. Гипоплазия ветвей лёгочной артерии. Умеренная гипоплазия ветвей лёгочной артерии. Праволежащая дуга аорты. ДМЖП. МПС. ОАП. Поликистоз правой почки, агенезия левой почки. Отсутствие четырёх пальцев правой стопы, деформация пальцев левой стопы. Синдактилия 3и4 пальцев левой кистию Двухсторонняя врождённая колобома зрительного нерва. Недоношеность 34 недели.</t>
  </si>
  <si>
    <t>Низов Егор Олегович</t>
  </si>
  <si>
    <t>Псковская обл., Пушкиногорский район, село Велье, ул.Южная, д.8А.</t>
  </si>
  <si>
    <t>Сочетанная травма. Ушиб головного мозга лёгкой степени. ЗТГК. Ушиба верхних долей лёгких с двух сторон. Перелом 1 ребра слева без смещения отломков. Перелом  поперечного отростка СVII позвонка слева без смещения отломков. Ушибленые раны волосистой части головы, лба. ПХО от 03.06.2021. Травматический шок 1 степени.</t>
  </si>
  <si>
    <t>Траилина Алина Александровна</t>
  </si>
  <si>
    <t>г.Шуя, ул.Аникина, д.3, д. 81.</t>
  </si>
  <si>
    <t>ЖКК. Анемия</t>
  </si>
  <si>
    <t>Балин Александр Евгеньевич</t>
  </si>
  <si>
    <t>Иваново, Кудряшова 110а-86</t>
  </si>
  <si>
    <t xml:space="preserve">Менингоэнцефалит. </t>
  </si>
  <si>
    <t>Желеткин Артем</t>
  </si>
  <si>
    <t>г. новоталицы,  школьная 14-85</t>
  </si>
  <si>
    <t>термический ожог</t>
  </si>
  <si>
    <t>Палина Дарья</t>
  </si>
  <si>
    <t>иваново ул. Котовского 27-52</t>
  </si>
  <si>
    <t>Кишечная инвагинация</t>
  </si>
  <si>
    <t>Хализов Максим Евгеньевич</t>
  </si>
  <si>
    <t>п. Савино ул. Комсомольская д 17</t>
  </si>
  <si>
    <t>Геморрагический инсульт. Гемофилия. Состояние после декомпрессивной трепанации черепас удалением острых внутримозговый и субдуральной гематом от05.06.21.</t>
  </si>
  <si>
    <t>перферативный аппендицит. Периаппендиулярный абцесс</t>
  </si>
  <si>
    <t>Краснов Никита Владимирович</t>
  </si>
  <si>
    <t>Кинешма, Ломоносова, д. 21/10, кв 46</t>
  </si>
  <si>
    <t>13часов 25 минут</t>
  </si>
  <si>
    <t>Грибова Мария</t>
  </si>
  <si>
    <t>г. Ярославль пр-т Ленинский д 83 кв10</t>
  </si>
  <si>
    <t>Киселев Никита Алексеевич</t>
  </si>
  <si>
    <t>Иваново ул. Лагерная 42-1</t>
  </si>
  <si>
    <t xml:space="preserve">Сочетанная травма. ЗЧМТ. Сотрясение головного мозга </t>
  </si>
  <si>
    <t>Петрова Вера Алексеевна</t>
  </si>
  <si>
    <t>Сибякова Елизавета</t>
  </si>
  <si>
    <t>Иваново ул. Володарского д. 7 кв. 264</t>
  </si>
  <si>
    <t>Нефробластома</t>
  </si>
  <si>
    <t>Вичугский р-он д. Дягелиха д. 6</t>
  </si>
  <si>
    <t>Сазин Роман</t>
  </si>
  <si>
    <t>Шуя ул. 6-ая Мартовская д. 46</t>
  </si>
  <si>
    <t>Инородноке тело дыхательных путей</t>
  </si>
  <si>
    <t>Фролова Анастасия</t>
  </si>
  <si>
    <t>Иваново, ул.Гончарова д 26</t>
  </si>
  <si>
    <t>Сафронова Екатерина</t>
  </si>
  <si>
    <t>Инородное тело ЖКТ</t>
  </si>
  <si>
    <t>Пучеж пер 2 крунской д4</t>
  </si>
  <si>
    <t>Объемное образование головного мозга? ДЦП. Дисплазия тазобедренных суставов. Кахексия</t>
  </si>
  <si>
    <t>Ямко Анастасия Давидовна</t>
  </si>
  <si>
    <t>Ивановский р.,д. Куликово</t>
  </si>
  <si>
    <t>Иваново, Строителей, 30Б- 33</t>
  </si>
  <si>
    <t>Пилоидная астроцитома червя мозжечка</t>
  </si>
  <si>
    <t>Чернов Михаил Сергеевич</t>
  </si>
  <si>
    <t xml:space="preserve">Азамова Замира </t>
  </si>
  <si>
    <t xml:space="preserve">Деулина Анжелика  </t>
  </si>
  <si>
    <t>ОЧМТ. Ушиб головного мозга. Перелом затылочной кости с перехолом на основание черепа. Вдавленный перелом затылочной кости справа. Травматическое САК. Пневмоцефалия.</t>
  </si>
  <si>
    <t>г. Владимир ул. Борисенко д 10 кв 60</t>
  </si>
  <si>
    <t xml:space="preserve">шуя, Аникина д 1а кв 72 </t>
  </si>
  <si>
    <t>перфорация полого органа</t>
  </si>
  <si>
    <t xml:space="preserve">Аракелян Даниил Артурович </t>
  </si>
  <si>
    <t>эксикоз</t>
  </si>
  <si>
    <t xml:space="preserve">Ланичкин Тимофей </t>
  </si>
  <si>
    <t>нижний новгород</t>
  </si>
  <si>
    <t>Термический ожог лица передней грудной и брюшной стенки S15% 1-2-3 ст</t>
  </si>
  <si>
    <t xml:space="preserve">Брюхов Матвей </t>
  </si>
  <si>
    <t>г. ШУЯ 1 переулок беринского д. 5.</t>
  </si>
  <si>
    <t>перфоративная язва желужка</t>
  </si>
  <si>
    <t>Скрябина Ксения</t>
  </si>
  <si>
    <t>г. Шуя 3я Ьекстильная д 12</t>
  </si>
  <si>
    <t>Электротравма пальцев правой кисти 3 степ.</t>
  </si>
  <si>
    <t>Линькова София</t>
  </si>
  <si>
    <t>воронкобразная деформация грудной клетки.</t>
  </si>
  <si>
    <t>г Иваново 2я Чапаева д 45/9</t>
  </si>
  <si>
    <t>Матвиенко Наталья\</t>
  </si>
  <si>
    <t>г.Юрьевез ул. Заводская пер. д1. кв 2</t>
  </si>
  <si>
    <t>Пневмония правосторонняя полисегментарная. Сакроилиит</t>
  </si>
  <si>
    <t>Мохов Кирилл</t>
  </si>
  <si>
    <t>Хамироев Ризки</t>
  </si>
  <si>
    <t>г. Иваново ул. Тракторная, д.13</t>
  </si>
  <si>
    <t>пр. строителей 12 кв 42</t>
  </si>
  <si>
    <t>Добровольская Маргарита Александровна</t>
  </si>
  <si>
    <t>с.Ново-Талицы, Автодоровская, 5- 14</t>
  </si>
  <si>
    <t>Эпилепсия неуточненная. Аффективно-респираторные приступы?</t>
  </si>
  <si>
    <t>Беленко Диана</t>
  </si>
  <si>
    <t>г. Иваново Балинская</t>
  </si>
  <si>
    <t xml:space="preserve">Эпилепсия неуточненная. </t>
  </si>
  <si>
    <t xml:space="preserve">5 ГКБ. </t>
  </si>
  <si>
    <t>Бурчу Виктор</t>
  </si>
  <si>
    <t>новая ильинка 9-19</t>
  </si>
  <si>
    <t>диафрагмальная грыжа</t>
  </si>
  <si>
    <t>Чернова Софья</t>
  </si>
  <si>
    <t>приволжск, ул. Ленина 25</t>
  </si>
  <si>
    <t>Кононов Арсений Станиславович</t>
  </si>
  <si>
    <t>Перинатальное поражение ЦНС</t>
  </si>
  <si>
    <t>Беляев Матвей Денисович</t>
  </si>
  <si>
    <t>г Родники м-н 60 лет Октября</t>
  </si>
  <si>
    <t>Вдавленный перелом лобной кости</t>
  </si>
  <si>
    <t>инородное тело желудка</t>
  </si>
  <si>
    <t>Проникающее ранение.</t>
  </si>
  <si>
    <t>пилоростеноз</t>
  </si>
  <si>
    <t>с-м Эдвардса</t>
  </si>
  <si>
    <t>О. отравление бензином. Ожог пищевода?</t>
  </si>
  <si>
    <t>Опухоль ГМ</t>
  </si>
  <si>
    <t>Хим ожог полости рта, пищевода</t>
  </si>
  <si>
    <t>Сахарный диабет 1 типа. Кетоацидоз</t>
  </si>
  <si>
    <t>Сочет. Травма</t>
  </si>
  <si>
    <t>перекрут кисты яичника</t>
  </si>
  <si>
    <t>алкогольное опьянение</t>
  </si>
  <si>
    <t xml:space="preserve">Отравление парацетамолом </t>
  </si>
  <si>
    <t>Перитонит</t>
  </si>
  <si>
    <t>Язва желудка</t>
  </si>
  <si>
    <t>церебральная недостаточность</t>
  </si>
  <si>
    <t>Михай 15 лет</t>
  </si>
  <si>
    <t>Кавасаки подобный синдром</t>
  </si>
  <si>
    <t>ДТП. Сочетанная травма</t>
  </si>
  <si>
    <t>Острый панкреатит</t>
  </si>
  <si>
    <t>Окклюзионная гидроцефалия. Состояние после ВПШ</t>
  </si>
  <si>
    <t xml:space="preserve">Ларина </t>
  </si>
  <si>
    <t>Галкин Артем Николаевич</t>
  </si>
  <si>
    <t xml:space="preserve">пос. Лух </t>
  </si>
  <si>
    <t>г. Иваново Парижской камуны 39</t>
  </si>
  <si>
    <t>вичугский район, ул. Куркуново д 2</t>
  </si>
  <si>
    <t>Кожевников Кирилл Петрович</t>
  </si>
  <si>
    <t>отравление</t>
  </si>
  <si>
    <t>Соколов Ставр Сергеевич</t>
  </si>
  <si>
    <t>Блинов Данил Сергеевич</t>
  </si>
  <si>
    <t>Иваново Строителей д 116 кв 75</t>
  </si>
  <si>
    <t>Крылов Николай Александрович</t>
  </si>
  <si>
    <t>г.Иваново, ул Богдана хмельницкого30-217</t>
  </si>
  <si>
    <t>ЖКК. Дивертикул Меккеля</t>
  </si>
  <si>
    <t>Гордеева 1мес</t>
  </si>
  <si>
    <t>перитонит</t>
  </si>
  <si>
    <t xml:space="preserve">Королева </t>
  </si>
  <si>
    <t xml:space="preserve">Соловьев </t>
  </si>
  <si>
    <t xml:space="preserve">Никушкин </t>
  </si>
  <si>
    <t xml:space="preserve">Щавлев </t>
  </si>
  <si>
    <t xml:space="preserve">Дуров </t>
  </si>
  <si>
    <t xml:space="preserve">Спасенников </t>
  </si>
  <si>
    <t xml:space="preserve">Амосов </t>
  </si>
  <si>
    <t xml:space="preserve">Даметкин Дмитрий Денисович </t>
  </si>
  <si>
    <t>Ахмедова Камилла</t>
  </si>
  <si>
    <t>Борисова мария</t>
  </si>
  <si>
    <t>Данилов Даниил</t>
  </si>
  <si>
    <t>Рогозин  Антон</t>
  </si>
  <si>
    <t>ивановов, куконковых1422-а</t>
  </si>
  <si>
    <t>Вракова Виктория</t>
  </si>
  <si>
    <t>Иваново, шевченко 4-109</t>
  </si>
  <si>
    <t>Майкова Милана</t>
  </si>
  <si>
    <t>Шуя, Победы, 43-4</t>
  </si>
  <si>
    <t>Антонов  Антон</t>
  </si>
  <si>
    <t>шуя, металистов 2-214</t>
  </si>
  <si>
    <t>Краснова  София</t>
  </si>
  <si>
    <t>г. Шуя ул набережная 13-63</t>
  </si>
  <si>
    <t>р-н Савинский, п Савино ул западная 91-2</t>
  </si>
  <si>
    <t>Тевризова Амира</t>
  </si>
  <si>
    <t>г. Кинешма ул. Вичугская 144-65</t>
  </si>
  <si>
    <t>Овчинникова Арина</t>
  </si>
  <si>
    <t>иваново ул. Жарова 41-58</t>
  </si>
  <si>
    <t>Фадеев Тимофей</t>
  </si>
  <si>
    <t>г Кинешма, ул красная д 69</t>
  </si>
  <si>
    <t>Лебедева арина</t>
  </si>
  <si>
    <t>иваново, гагарина 9-32</t>
  </si>
  <si>
    <t>пучеж,пер. 2ой крупский д4</t>
  </si>
  <si>
    <t>Трофимов Алексей</t>
  </si>
  <si>
    <t>иваново куконковых 146-136</t>
  </si>
  <si>
    <t>Простатинова Надежда</t>
  </si>
  <si>
    <t>г. санкт петербург г краное село, р-н красносельский.</t>
  </si>
  <si>
    <t>Ларина Анжелика</t>
  </si>
  <si>
    <t>шуйский район, с василевское  65</t>
  </si>
  <si>
    <t>Ракитов Владислав</t>
  </si>
  <si>
    <t>иваново 3 березовская 51/30</t>
  </si>
  <si>
    <t>Синяков Егор</t>
  </si>
  <si>
    <t>иваново, чайковского 33/8</t>
  </si>
  <si>
    <t>Частова   Полина</t>
  </si>
  <si>
    <t>Плетнева Катя</t>
  </si>
  <si>
    <t>Иваново, Некрасова 45-13</t>
  </si>
  <si>
    <t>Тамулев Саша</t>
  </si>
  <si>
    <t>Иваново, 5Коляновская, 80-9</t>
  </si>
  <si>
    <t>Ларингит острый. Стеноз гортани</t>
  </si>
  <si>
    <t>Замотин Борис</t>
  </si>
  <si>
    <t>Кохма, Машиностроителей 31-4</t>
  </si>
  <si>
    <t>Вр. Пилоростеноз</t>
  </si>
  <si>
    <t>г фурманов д</t>
  </si>
  <si>
    <t>с Васелевское , советская 65</t>
  </si>
  <si>
    <t>владимир, ковровский р-н, п мелехово, ул набережная д 58</t>
  </si>
  <si>
    <t>г. Гав-пасад, красноармейская д 26.</t>
  </si>
  <si>
    <t>Горелова Кира Рустамовна</t>
  </si>
  <si>
    <t>Шуйский район, деревня Филина,ул. Набережная д 7, кв 53</t>
  </si>
  <si>
    <t>Острый лейкоз, адено  флегмона левой подчелюстной и правой околоушной области.</t>
  </si>
  <si>
    <t>Исаков Никита Сергеевич</t>
  </si>
  <si>
    <t>инфекционно токсический шок 2 ст, лейкоз</t>
  </si>
  <si>
    <t>Ивановская область, г. Кинешма, ул. ИМ Менделеева д 4/22  кв 78</t>
  </si>
  <si>
    <t xml:space="preserve">ОЧМТ, ушиб головного мозга, вдавленный перелом лобной кости справа. </t>
  </si>
  <si>
    <t>Бычков Илья</t>
  </si>
  <si>
    <t>вер. Ландих, базарная 9</t>
  </si>
  <si>
    <t>Дадакин Валерий Николаевич</t>
  </si>
  <si>
    <t>Заволжский р-он с Заречино Ул Заречная д1 кв6</t>
  </si>
  <si>
    <t>Геранина Ксения Николаевна</t>
  </si>
  <si>
    <t xml:space="preserve">г. Приволжск ул. Ф. Энгельса д16 кв1 </t>
  </si>
  <si>
    <t>О. аппендицин</t>
  </si>
  <si>
    <t>Железова София Ивановна</t>
  </si>
  <si>
    <t>г. Кохма ул Ивановская д61кв 78</t>
  </si>
  <si>
    <t>Прохоров Кирилл</t>
  </si>
  <si>
    <t>Борков Арсений Артёмович</t>
  </si>
  <si>
    <t>Приволжск,ул. Коминтеровская, 65-2</t>
  </si>
  <si>
    <t>Пароксизмальная эпилепсия</t>
  </si>
  <si>
    <t>Петрусенко Илья</t>
  </si>
  <si>
    <t>Москва ул. Медынская д. 14 кор 1 кв. 339</t>
  </si>
  <si>
    <t>Зубарев Владислав</t>
  </si>
  <si>
    <t>Тейково ул. Сов. Армии в/ч</t>
  </si>
  <si>
    <t>Спехов Дмитрий</t>
  </si>
  <si>
    <t>Сатина Полина</t>
  </si>
  <si>
    <t>с Ново-Талицы</t>
  </si>
  <si>
    <t>Органическое поражение цнс</t>
  </si>
  <si>
    <t>Курнатова София</t>
  </si>
  <si>
    <t>Иванова ул. Пророкова дом 60</t>
  </si>
  <si>
    <t>Авдалян Давид</t>
  </si>
  <si>
    <t>Иваново пр-т Текстильщиков д. 48 кв. 41</t>
  </si>
  <si>
    <t>Рожков Никита</t>
  </si>
  <si>
    <t>Писцово ул. Суворова д. 8</t>
  </si>
  <si>
    <t xml:space="preserve">Сочетанная травма. </t>
  </si>
  <si>
    <t>Геморрагический инсульт. Гемофилия. Состояние после декомпрессивной трепанации черепас удалением острых внутримозговый и субдуральной гематом от 05.06.21.</t>
  </si>
  <si>
    <t>Колобкова Злата Андреевна</t>
  </si>
  <si>
    <t xml:space="preserve">Иваново Революционная 14-44 </t>
  </si>
  <si>
    <t>Инфильтрат брюшной полости</t>
  </si>
  <si>
    <t>Кольков Тимофей Максимович</t>
  </si>
  <si>
    <t>Комсомольск Люлина 3</t>
  </si>
  <si>
    <t>ОНМК</t>
  </si>
  <si>
    <t>Волков Матвей Сергеевич</t>
  </si>
  <si>
    <t>Кохма Звездная 2</t>
  </si>
  <si>
    <t>Посл. ЗЧМТ. Нарушение развития</t>
  </si>
  <si>
    <t>Гусев Егор</t>
  </si>
  <si>
    <t>Иваново 5-ая Комбинатская д. 4</t>
  </si>
  <si>
    <t>Инороднее тело ЖКТ</t>
  </si>
  <si>
    <t>Мамаева Ева</t>
  </si>
  <si>
    <t>Ив. Р-он д. Востра дом 13</t>
  </si>
  <si>
    <t>Пчелинцева Арина</t>
  </si>
  <si>
    <t>Иваново ул. Нормандии Неман д.84 кв. 40</t>
  </si>
  <si>
    <t>Шуя ул. 11 Текстильная д. 11</t>
  </si>
  <si>
    <t>Бронхиолит. Органическое поражение ЦНС. Паллиотивный статус.</t>
  </si>
  <si>
    <t>Иваново ул. Революционная д. 14 кв.44</t>
  </si>
  <si>
    <t>18 часов</t>
  </si>
  <si>
    <t>Никифоров Владислав Антонович</t>
  </si>
  <si>
    <t>Вичуга Б.Хмельницкого 10</t>
  </si>
  <si>
    <t>Кинешма, 3 Новгородский, 3</t>
  </si>
  <si>
    <t>ЗЧМТ.СГМ</t>
  </si>
  <si>
    <t>Иваново ул Лежневская д. 164 кв. 49</t>
  </si>
  <si>
    <t>ДХО</t>
  </si>
  <si>
    <t>Кальщиков Артем</t>
  </si>
  <si>
    <t>Миелодиспластический синдром. Гемоторакс справа</t>
  </si>
  <si>
    <t>Рахманов Иван Сергеевич</t>
  </si>
  <si>
    <t>Шестернин Денис</t>
  </si>
  <si>
    <t>Кохма ул. Кочетковой д. 53 кв. 16</t>
  </si>
  <si>
    <t>ЗЧМТ.СГМ. Тупая травма живота. Разрыв поджелудочной железы.</t>
  </si>
  <si>
    <t>Абрамов Юрий</t>
  </si>
  <si>
    <t>Савинский р-он д. Панино</t>
  </si>
  <si>
    <t>Калинникова Русалина</t>
  </si>
  <si>
    <t>Смирнов Александр</t>
  </si>
  <si>
    <t>Иваново ул. Любимова д. 11</t>
  </si>
  <si>
    <t>Шуйский р-он д. Декрино дом 21</t>
  </si>
  <si>
    <t>Морокина Кира</t>
  </si>
  <si>
    <t>Вичуга ул. Коровина д. 25 кв. 18</t>
  </si>
  <si>
    <t>Пароксизмальная тахикардия</t>
  </si>
  <si>
    <t>Шигина Кира</t>
  </si>
  <si>
    <t>г. Шуя ул 6 Марковская д46</t>
  </si>
  <si>
    <t>Пневмоторакс справа</t>
  </si>
  <si>
    <t xml:space="preserve">Котушин Сергей </t>
  </si>
  <si>
    <t>г. Шуя ул 2я Яскинская д70</t>
  </si>
  <si>
    <t>Образование подвздошной кишки</t>
  </si>
  <si>
    <t xml:space="preserve">Шарова Екатерина </t>
  </si>
  <si>
    <t>г. Фурманов ул. Возрождения д13 кв 32</t>
  </si>
  <si>
    <t>Острый аппендицит</t>
  </si>
  <si>
    <t xml:space="preserve">Еремеева Алина </t>
  </si>
  <si>
    <t>г. Фурманов ул Киевская д7</t>
  </si>
  <si>
    <t>Варламов Константин</t>
  </si>
  <si>
    <t>г. Южа Глушицкий р-н д2 кв 65</t>
  </si>
  <si>
    <t>Сочетанная травм</t>
  </si>
  <si>
    <t xml:space="preserve">Морозов Николай Александрович </t>
  </si>
  <si>
    <t>Иваново Войкого 22</t>
  </si>
  <si>
    <t>Эмоционально волевые нарушения</t>
  </si>
  <si>
    <t>Маликова Фатима Аловидовна</t>
  </si>
  <si>
    <t>Ильинский район село Алексеевское</t>
  </si>
  <si>
    <t>Ращепов Никита Александрович</t>
  </si>
  <si>
    <t>Иваново, 30 мкрн, д.26, кв.35</t>
  </si>
  <si>
    <t>Артроскопия, пластика крестовид.связки</t>
  </si>
  <si>
    <t>Звездин Эван Петрович</t>
  </si>
  <si>
    <t>Иваново ул. Станко дом 6</t>
  </si>
  <si>
    <t>Киселев Степан</t>
  </si>
  <si>
    <t>Московская область г Подольск ул Курчатова д60 кв1</t>
  </si>
  <si>
    <t>Курнатова София Павловна</t>
  </si>
  <si>
    <t>Иваново, Пророкова, 60</t>
  </si>
  <si>
    <t>ВПС. Правосформированное леворасположенное сердце</t>
  </si>
  <si>
    <t>Ботвин Никита Вячеславович</t>
  </si>
  <si>
    <t>Шуя, Ш.Южное, 12-9</t>
  </si>
  <si>
    <t>сахарный диабет 1 типа</t>
  </si>
  <si>
    <t>Воробьева Аня</t>
  </si>
  <si>
    <t>Ст. Вичуга ул. Кооперативная д. 1 кв. 4</t>
  </si>
  <si>
    <t>Разлитой гнойный перитонит</t>
  </si>
  <si>
    <t>Пасников Артем Артемович</t>
  </si>
  <si>
    <t xml:space="preserve">Тейковский р-н д.Холутово </t>
  </si>
  <si>
    <t>Смирнова Лилия Михайловна</t>
  </si>
  <si>
    <t>Кинешма, ул Правды, д 7А, кв 24</t>
  </si>
  <si>
    <t>Эпендимома левой лобной доли после оператив.лечения</t>
  </si>
  <si>
    <t>Смагин Виктор Сергеевич</t>
  </si>
  <si>
    <t>г. Иваново ул. Текстильщиков д1 кв 95</t>
  </si>
  <si>
    <t>Врожденный пилоростеноз</t>
  </si>
  <si>
    <t>Смирнова Ульяна Максимовна</t>
  </si>
  <si>
    <t xml:space="preserve">г. Пестяки ул. Карла Маркса д79 </t>
  </si>
  <si>
    <t>О. Панкреатит</t>
  </si>
  <si>
    <t>Давлетгереев Юсуп</t>
  </si>
  <si>
    <t>Лежневский район с. Шлыково д1 кв 1</t>
  </si>
  <si>
    <t>Острое алкогольное отравление</t>
  </si>
  <si>
    <t>Касаткин Кирилл Сергеевич</t>
  </si>
  <si>
    <t>Торсионная дистония кистей</t>
  </si>
  <si>
    <t>Муратов Кирилл Юрьеич</t>
  </si>
  <si>
    <t>Вичуга</t>
  </si>
  <si>
    <t>Резанная рана грудной клетки</t>
  </si>
  <si>
    <t xml:space="preserve">Данилов Тимофей Степанович </t>
  </si>
  <si>
    <t>Иваново Воробьевская 12 кв.17</t>
  </si>
  <si>
    <t>Образование венозного синуса</t>
  </si>
  <si>
    <t>Петухова Лолита Юрьевна</t>
  </si>
  <si>
    <t>Кинешма Ленина 5</t>
  </si>
  <si>
    <t>Гематокольпикс</t>
  </si>
  <si>
    <t>Логинов Дмитрий</t>
  </si>
  <si>
    <t>Кинешма ул. Воеводы Бабарыкина 29- 50</t>
  </si>
  <si>
    <t>860 часов</t>
  </si>
  <si>
    <t>Махов Владислав Максимович</t>
  </si>
  <si>
    <t>Шуя, 1 Свободы д.4</t>
  </si>
  <si>
    <t>Широков Михаил Владимирович</t>
  </si>
  <si>
    <t>с. Моидаково ул. Почтовая д14</t>
  </si>
  <si>
    <t xml:space="preserve">алкогольное отравление </t>
  </si>
  <si>
    <t>Радченко Николай Николаевич</t>
  </si>
  <si>
    <t>с. Ново-Талицы, ул 1я Новинская д13А</t>
  </si>
  <si>
    <t>Глухова Ирина Валерьевна</t>
  </si>
  <si>
    <t>Лежневский район д. Колмыкова д14</t>
  </si>
  <si>
    <t>Киста левого яичника</t>
  </si>
  <si>
    <t>Штукарев Глеб Егорович</t>
  </si>
  <si>
    <t>Инородное тело желудка</t>
  </si>
  <si>
    <t>Клемин Александр Дмитриевич</t>
  </si>
  <si>
    <t>Иваново Ташкентская 97-59</t>
  </si>
  <si>
    <t>Белова Виктория</t>
  </si>
  <si>
    <t xml:space="preserve">Палехский р-он с. Майдаково ул. Мира д. 46 </t>
  </si>
  <si>
    <t>РЭП</t>
  </si>
  <si>
    <t>Диндаров Алексей</t>
  </si>
  <si>
    <t xml:space="preserve">Фурманов ул. Возрождения д. 36 кв. 15 </t>
  </si>
  <si>
    <t xml:space="preserve">Судорожный синдром. </t>
  </si>
  <si>
    <t>Калуцкий Артем Алексеевич</t>
  </si>
  <si>
    <t>Иваново ул.Чайковского 24</t>
  </si>
  <si>
    <t>Чернова Варвара</t>
  </si>
  <si>
    <t>г. Иваново п/о 14 д. 6 кв. 9</t>
  </si>
  <si>
    <t>ВПР ЦНС. Гидроцефалия.</t>
  </si>
  <si>
    <t>Иваново ул. Кудряшова д. 110 кв. 86</t>
  </si>
  <si>
    <t>Последствия нейроинфекции.</t>
  </si>
  <si>
    <t>Коллеров Александр Константинович</t>
  </si>
  <si>
    <t>Иваново, Володиной 48/51</t>
  </si>
  <si>
    <t>Киселев Владислав</t>
  </si>
  <si>
    <t>Фурманов ул. Жигулевская 27-7</t>
  </si>
  <si>
    <t>Разрыв селезенки. Спленэктомия.</t>
  </si>
  <si>
    <t>Рогачев Кирилл</t>
  </si>
  <si>
    <t>Шуйский р-он д. Милюковка д. 9</t>
  </si>
  <si>
    <t>образование г/мозга?</t>
  </si>
  <si>
    <t>Денежкина Мария</t>
  </si>
  <si>
    <t>Футбольная д 41 кв 24</t>
  </si>
  <si>
    <t>отравление таблетками</t>
  </si>
  <si>
    <t>ОПЦНС, палиативный статус</t>
  </si>
  <si>
    <t>Сорокин Даниил Федорович</t>
  </si>
  <si>
    <t>г. Кохма ул тургенева д43</t>
  </si>
  <si>
    <t>Кисиль Мария Павловна</t>
  </si>
  <si>
    <t>Иваново, ул.Кудряшова, д.82, кв. 120</t>
  </si>
  <si>
    <t>Врожд. Смеш. Гидроцефалия</t>
  </si>
  <si>
    <t>Аронов Семен Павлович</t>
  </si>
  <si>
    <t>пер. пограничный, д68, кв3</t>
  </si>
  <si>
    <t>термический ожог кипятком S10%</t>
  </si>
  <si>
    <t>Грудистов Степан</t>
  </si>
  <si>
    <t>кохма, ул. Кочетовой, д 28/4-77</t>
  </si>
  <si>
    <t>Открытый перелом в/с 3 бедра со смещением отломков, состояние после наложения аппарата наружной фиксации. Травматический шок 1-2</t>
  </si>
  <si>
    <t>Голубев Максим</t>
  </si>
  <si>
    <t>кохма, фрунзе д 34</t>
  </si>
  <si>
    <t>сочетанная травма. ЗЧМТ. Сотрячение ГМ, множественные ссадины лица, левой ушной раковины. Открытый не проникающий краевой перелом левого надколенника. Рваная рана области левого коленного сустава. Закрытый перелом внутренней левой голени со смещением отломков. Закрытый перелом пяточной, медиальной клиновидной костей стопы, без смещения отломков. Множественные ссадины верхних и нижних конечностей. Травматический шок 1-2ст.</t>
  </si>
  <si>
    <t>Жаков Никита Андреевич</t>
  </si>
  <si>
    <t>Комсомольск Садовая 7</t>
  </si>
  <si>
    <t>ПП ЦНС. Судорожный синдром.</t>
  </si>
  <si>
    <t>Родники ул. Рябикова д. 12 кв. 138</t>
  </si>
  <si>
    <t>Хмелинин Егор</t>
  </si>
  <si>
    <t>Сысуева Кристина Валерьевна</t>
  </si>
  <si>
    <t>Иваново Василевского 9</t>
  </si>
  <si>
    <t>Козлова Оксана Михайловна</t>
  </si>
  <si>
    <t>с. Дерябиха д50 кв 9</t>
  </si>
  <si>
    <t>объемное образование головного мозга</t>
  </si>
  <si>
    <t>Полякова София</t>
  </si>
  <si>
    <t>Кохма, ул 2ой Пятилетки д1</t>
  </si>
  <si>
    <t>Острый стенозирующий ларинготрахеит</t>
  </si>
  <si>
    <t>Лунина Дарья</t>
  </si>
  <si>
    <t>г. Иваново ул Рязанского д9 кв58</t>
  </si>
  <si>
    <t xml:space="preserve">Перфоративный аппендицит. </t>
  </si>
  <si>
    <t>Пырэу Антон</t>
  </si>
  <si>
    <t>Иваново ул. Войкова дом 22</t>
  </si>
  <si>
    <t>Яблоков Никита</t>
  </si>
  <si>
    <t>Шуя ул. Южная д. 14 кв. 82</t>
  </si>
  <si>
    <t>Кардит. Полисерозит. НК 2-3 ст</t>
  </si>
  <si>
    <t>Гурьянов Виталий Викторович</t>
  </si>
  <si>
    <t>о.аппендицит</t>
  </si>
  <si>
    <t>кохомское шоссе д21</t>
  </si>
  <si>
    <t>бронхиальная астма?</t>
  </si>
  <si>
    <t>Кириллов егор</t>
  </si>
  <si>
    <t>Панченко София Павловна</t>
  </si>
  <si>
    <t>р-н  шуйский д харинкова 24</t>
  </si>
  <si>
    <t>СД 1 тип.</t>
  </si>
  <si>
    <t>г иваново ул Азовская д 13</t>
  </si>
  <si>
    <t>Храпов Алексей</t>
  </si>
  <si>
    <t>ул. Лежневская 201/ кв 7</t>
  </si>
  <si>
    <t>ГУС?</t>
  </si>
  <si>
    <t>Шугаров Артур Николаевич</t>
  </si>
  <si>
    <t>Савино Дзержинского 82</t>
  </si>
  <si>
    <t>з/п левой ключицы</t>
  </si>
  <si>
    <t>Чалов Денис Михайлович</t>
  </si>
  <si>
    <t>Рана левой паховой складки</t>
  </si>
  <si>
    <t>Куранов Кирилл Иванович</t>
  </si>
  <si>
    <t>Иваново Березняковская 6</t>
  </si>
  <si>
    <t>о. аппендицит</t>
  </si>
  <si>
    <t>Прыткова Анна</t>
  </si>
  <si>
    <t>Кузьменко Ариадна</t>
  </si>
  <si>
    <t>Иваново, ул. Минаская 167</t>
  </si>
  <si>
    <t>Барышников Максим Владимирович</t>
  </si>
  <si>
    <t>Иваново, ул Кавалерийская д 54 кв 92</t>
  </si>
  <si>
    <t>Дойников Артем Иванович</t>
  </si>
  <si>
    <t>Приволжск ул. Московская 3</t>
  </si>
  <si>
    <t>ДЦП. ОНМК</t>
  </si>
  <si>
    <t>Иваново ул. Благова д. 21 кв. 15</t>
  </si>
  <si>
    <t>Сухов Александр</t>
  </si>
  <si>
    <t xml:space="preserve">Иваново </t>
  </si>
  <si>
    <t>Инородное тело тонкого и толстого кишечника. Перфорация тонкого и толстого кишечника. Разлитой гнойный перитонит.</t>
  </si>
  <si>
    <t>Мансуров мухаммад</t>
  </si>
  <si>
    <t>Ляпухов Лев Михайлович</t>
  </si>
  <si>
    <t>Кинешемский район д. Белухино ул. Ключевая дом 2</t>
  </si>
  <si>
    <t>Затравина Кристина Денисовна</t>
  </si>
  <si>
    <t>Иваново Куконковых 43</t>
  </si>
  <si>
    <t>Шукурова Милана</t>
  </si>
  <si>
    <t>Ново-Талицы ул. Школьная 9</t>
  </si>
  <si>
    <t xml:space="preserve"> Голубев Максим Юрьевич</t>
  </si>
  <si>
    <t>Кохма, ул.Фрунзе, д. 34</t>
  </si>
  <si>
    <t>сочетанная травма. МОС левой голени</t>
  </si>
  <si>
    <t>Маршинова Милена</t>
  </si>
  <si>
    <t>Лежневский р-он п. Шилыково д. 10 кв. 29</t>
  </si>
  <si>
    <t>ППЦНС. Адреногенитальный синдром.</t>
  </si>
  <si>
    <t>Романова Елена</t>
  </si>
  <si>
    <t>Тейковский район д. Сахтыш ул. Тракторная д. 18</t>
  </si>
  <si>
    <t>Отравление неизвестным веществом.</t>
  </si>
  <si>
    <t>Марков Матвей Александрович</t>
  </si>
  <si>
    <t>Иваново проезд 14 д.31 кв.31</t>
  </si>
  <si>
    <t xml:space="preserve">з/п головки левой плечевой кости </t>
  </si>
  <si>
    <t>Сыровягин Матвей Артемович</t>
  </si>
  <si>
    <t>Кинешма Воренцова д.27</t>
  </si>
  <si>
    <t>Головные боли неуточненной этиологии</t>
  </si>
  <si>
    <t>Якимов Денис</t>
  </si>
  <si>
    <t>Иваново ул. Огородная д. 19 кв 19</t>
  </si>
  <si>
    <t xml:space="preserve">Сочетанная травма. ЗЧМТ. Перелом 5-6 шейного позвонка. </t>
  </si>
  <si>
    <t>Шнырова Лилия Дмитриевна</t>
  </si>
  <si>
    <t>Иваново, ул.Станко, д.36, кв.12</t>
  </si>
  <si>
    <t>Пароксизмальные состояния неуточненные</t>
  </si>
  <si>
    <t>Охунчонзода Шадман</t>
  </si>
  <si>
    <t>термическтй ожог 20%</t>
  </si>
  <si>
    <t>Слепов Илья Анатольевич</t>
  </si>
  <si>
    <t>острое былотвое отравление алкогольной продукцией т таблетками димедрола</t>
  </si>
  <si>
    <t>Иваново пр-т Текстильщиков д 58 кв 11</t>
  </si>
  <si>
    <t>шуйский р-н, село Васильевское ул. Гладкова д 5</t>
  </si>
  <si>
    <t>Сотова Вера Алексеевна</t>
  </si>
  <si>
    <t>Шуя Вихрева 70</t>
  </si>
  <si>
    <t>ВПР ЦНС</t>
  </si>
  <si>
    <t>Толмачева Виктория Дмитриевна</t>
  </si>
  <si>
    <t>Кинешма Гончарова 5</t>
  </si>
  <si>
    <t>Еременко Иван Иванович</t>
  </si>
  <si>
    <t>Иваново 3-я Минеевская 35 кв.24</t>
  </si>
  <si>
    <t>закрытый перелом с/3 правой плечевой кости</t>
  </si>
  <si>
    <t>Антонов Савелий Антонович</t>
  </si>
  <si>
    <t>Прогрессирующая внутренняя гидроцефалия</t>
  </si>
  <si>
    <t>Пучеж, Парижской коммуны, 18</t>
  </si>
  <si>
    <t>Спасенников Марк</t>
  </si>
  <si>
    <t>г. Родники ул Малая стрелецкая д8</t>
  </si>
  <si>
    <t>Дисфункция шунта</t>
  </si>
  <si>
    <t>г Кохма ул Московская д27 кв 6</t>
  </si>
  <si>
    <t>Сахарный диабет</t>
  </si>
  <si>
    <t>Менькова Екатерина</t>
  </si>
  <si>
    <t>Кинешемский район д. Дьякого  дом 10 кв. 13</t>
  </si>
  <si>
    <t>Снегирев Михаил</t>
  </si>
  <si>
    <t>Кохма ул. Кукиева дом 2 кв.6</t>
  </si>
  <si>
    <t>Точенов Иван</t>
  </si>
  <si>
    <t>Кинешма,ул. Суворова,58</t>
  </si>
  <si>
    <t>Василевский Дмитрий</t>
  </si>
  <si>
    <t>Кинешма ул. Наволокская дом 1б квю. 6</t>
  </si>
  <si>
    <t>Гордеева Ксения</t>
  </si>
  <si>
    <t>Иваново ул. 19 Линия д. 1 кв. 34</t>
  </si>
  <si>
    <t>Постгеморрагическая гидроцефалия</t>
  </si>
  <si>
    <t>Мегникулова Сабрина</t>
  </si>
  <si>
    <t>Иваново ул. Калинцева д. 61 кв. 5</t>
  </si>
  <si>
    <t>отравление таблетками снотворного действия Реслип</t>
  </si>
  <si>
    <t>Савицких Дарья</t>
  </si>
  <si>
    <t>Иваново Кохомское шоссе 21- 29</t>
  </si>
  <si>
    <t>Самедов Михаил</t>
  </si>
  <si>
    <t>Кохма ул. Октябрьская д. 49 кв. 15</t>
  </si>
  <si>
    <t xml:space="preserve">О. аппендицит. </t>
  </si>
  <si>
    <t>Никеров Платон</t>
  </si>
  <si>
    <t>Кинешма ул. Щорса д. 7 кв. 15</t>
  </si>
  <si>
    <t>Баимова Анастасия Алексеевна</t>
  </si>
  <si>
    <t>Кохма ул.Московская 39</t>
  </si>
  <si>
    <t>разрыв кисты яичника</t>
  </si>
  <si>
    <t>Прыгунова Алена Артемовна</t>
  </si>
  <si>
    <t>Фурманов ул.Ногорная 16</t>
  </si>
  <si>
    <t>о. холецистит</t>
  </si>
  <si>
    <t>г. Родники  ул. Шагова 15, 12</t>
  </si>
  <si>
    <t>отравление нафтизином</t>
  </si>
  <si>
    <t xml:space="preserve">кинешма, </t>
  </si>
  <si>
    <t>Морозова Маргарита</t>
  </si>
  <si>
    <t>Цветков Даниил</t>
  </si>
  <si>
    <t>с. Рябово, ул Садовая 6</t>
  </si>
  <si>
    <t>Экламсия, язва 12-п к-ки без кровотечения</t>
  </si>
  <si>
    <t>385 часов</t>
  </si>
  <si>
    <t>Фролов василий</t>
  </si>
  <si>
    <t>Инородное тело бронхов.(орех)</t>
  </si>
  <si>
    <t>Калашников Глеб Дмитриевич</t>
  </si>
  <si>
    <t>Южа Восточная 11</t>
  </si>
  <si>
    <t>Образование бедра</t>
  </si>
  <si>
    <t>Петров Кристиан Германович</t>
  </si>
  <si>
    <t>с.Подвязоновский ул.Сосновая 6</t>
  </si>
  <si>
    <t>ППП ЦНС</t>
  </si>
  <si>
    <t>Петросян Виген Овакимович</t>
  </si>
  <si>
    <t>Сахарный диабет I типа с кетоацидозом</t>
  </si>
  <si>
    <t>ул.Куконковых, д.110, кв.49.</t>
  </si>
  <si>
    <t>Никитин Никита</t>
  </si>
  <si>
    <t>Ивановоул. 1-ая Нагорная дом 19</t>
  </si>
  <si>
    <t>острое былотвое отравление алкогольной продукцией</t>
  </si>
  <si>
    <t>Масленников Тихон</t>
  </si>
  <si>
    <t>Кинешма ул. Авиационная д. 1 кв. 18</t>
  </si>
  <si>
    <t>Шаркова Алиса</t>
  </si>
  <si>
    <t xml:space="preserve">Лежневский р-он д. Стояково д. 10 </t>
  </si>
  <si>
    <t>О. аппендицит. Разлитой гнойный перитонит.</t>
  </si>
  <si>
    <t>Новиков Егор</t>
  </si>
  <si>
    <t>Иваново ул. Куконковых дом 130 кв. 124</t>
  </si>
  <si>
    <t>Менингококцемия.</t>
  </si>
  <si>
    <t>Беляева Милана</t>
  </si>
  <si>
    <t>Иваново ул. Карьерная д. 46 кв. 35</t>
  </si>
  <si>
    <t>Отравление таблетками Тироксин</t>
  </si>
  <si>
    <t>Туманов Матвей Павлович</t>
  </si>
  <si>
    <t>г. Фурманов, ул. Крупской, 4</t>
  </si>
  <si>
    <t>БЛД</t>
  </si>
  <si>
    <t>Норматов Мухаммедюсуф Дорохонович</t>
  </si>
  <si>
    <t>Иван. Обл., с. Васильевское, ул. Меншикова, 7</t>
  </si>
  <si>
    <t>ВПС. Коарктация аорты на уровне перешейка. ВПР. Анофтальмия слева. Полидактилия.</t>
  </si>
  <si>
    <t>Кудряшов Марк Макарович</t>
  </si>
  <si>
    <t>Иваново, Ташкентская, 85а- 19</t>
  </si>
  <si>
    <t>Родники, ул Малая стрелецкая 8</t>
  </si>
  <si>
    <t>Гипотрофия</t>
  </si>
  <si>
    <t>Муравьев Артем Вадимович</t>
  </si>
  <si>
    <t>г Кинешма, ул Аристарха Макрова, 10</t>
  </si>
  <si>
    <t>Трусова Елизавета Андреевна</t>
  </si>
  <si>
    <t>Иваново, мкр Московский, 1- 154</t>
  </si>
  <si>
    <t>Агенезия мозолистого тела, гидроцефалия</t>
  </si>
  <si>
    <t>Постановка ВПШ слева.</t>
  </si>
  <si>
    <t>Сочетанная травма. ЗЧМТ. Перелом 5-6 шейного позвонка. ТЭЛА.</t>
  </si>
  <si>
    <t>Эпилептический статус. О.отравление?</t>
  </si>
  <si>
    <t>Смирнов Роман</t>
  </si>
  <si>
    <t>Семенов Егор</t>
  </si>
  <si>
    <t>Термический ожог пламенем</t>
  </si>
  <si>
    <t>Крайков Сергей Александрович</t>
  </si>
  <si>
    <t>Иваново, Кудряшова, 80- 179</t>
  </si>
  <si>
    <t>Внутренняя открытая гидроцефалия</t>
  </si>
  <si>
    <t>г. Иваново ул. Войкова д. 5 кв. 57</t>
  </si>
  <si>
    <t>Открытый перелом большеберцовой и малоберцовой костей левой голени. Наложение аппарата наружной фиксации. Травматический шок.</t>
  </si>
  <si>
    <t>Комсомольский р-он сю. Никольское д. 40</t>
  </si>
  <si>
    <t>молочкина екатерина</t>
  </si>
  <si>
    <t>г. иваново, тэц 3, кв 36</t>
  </si>
  <si>
    <t>вальгусная деформация ног</t>
  </si>
  <si>
    <t>Даниловский Александр</t>
  </si>
  <si>
    <t>г. Иваново лежневская 154 кв 171</t>
  </si>
  <si>
    <t xml:space="preserve">Смелков Никита </t>
  </si>
  <si>
    <t>г. Вичуга ул 20Слоботская д30</t>
  </si>
  <si>
    <t>Элеткротравма</t>
  </si>
  <si>
    <t>Тумкин Иван</t>
  </si>
  <si>
    <t>Савченко Нелли</t>
  </si>
  <si>
    <t>Скворцова Василиса</t>
  </si>
  <si>
    <t>Вторичный биллиарный цирроз. Токсическая энцефалопатия</t>
  </si>
  <si>
    <t>Двусторонняя пневмония. ДН 1</t>
  </si>
  <si>
    <t xml:space="preserve">Вичуга, ул. Ленинградская, 77 </t>
  </si>
  <si>
    <t>Иваново, ул. Батурина, 17-8</t>
  </si>
  <si>
    <t>Лебедева Алиса</t>
  </si>
  <si>
    <t>Внебольничная, двусторонняя пневмония, тяжелая. ДН2</t>
  </si>
  <si>
    <t>г. Иваново Лежневская     д. 122б кв. 37</t>
  </si>
  <si>
    <t>Пнеамония двухсторонняя аспирационная</t>
  </si>
  <si>
    <t>Белянчикова Мария</t>
  </si>
  <si>
    <t>Иваново ул. Ташкенская д. 9 кв. 28</t>
  </si>
  <si>
    <t>Дисфункция шунта. Перестановка ВПШ.</t>
  </si>
  <si>
    <t>Иваново, ул. Гончаровых 26</t>
  </si>
  <si>
    <t>Москвина Любовь Витальевна</t>
  </si>
  <si>
    <t>Иваново, Ноздрина, 11-28</t>
  </si>
  <si>
    <t>Сочет. Травма, ЗЧМТ.СГМ. ЗТГК, ушиб грудной клетки. З/оскольчатый перелом костей ср/3 левой голени. Травматический шок 1.  Ссадины лица.</t>
  </si>
  <si>
    <t>Квик Ибрагим</t>
  </si>
  <si>
    <t>Ив. Р-он д. Игнатово ул. Деревенская д. 107</t>
  </si>
  <si>
    <t>Сочет. Травма. ЗЧМТ. СГМ. ЗТГК., ушиб грудной клетки. ТТЖ с повреждением печени. Травм. Шок. Диагностическая лапароскопия. Санация и дренирование брюшной полости.</t>
  </si>
  <si>
    <t>Пещерова Ксения</t>
  </si>
  <si>
    <t>Ив. Обл. пос.  Чернореченский ул. Ленина 6- 7</t>
  </si>
  <si>
    <t>О. аппендицит. Флегмонозный дивертикулит.</t>
  </si>
  <si>
    <t>Ландышев Максим</t>
  </si>
  <si>
    <t>Вичуга ул. Кинешемская д. 43 кв. 11</t>
  </si>
  <si>
    <t>Полип желчного пузыря.</t>
  </si>
  <si>
    <t>Толыгин Алексей</t>
  </si>
  <si>
    <t xml:space="preserve">приволжский район, </t>
  </si>
  <si>
    <t>ОРВИ  с-м Штурге- вебера</t>
  </si>
  <si>
    <t>панина 19-2</t>
  </si>
  <si>
    <t>Гунина Мария</t>
  </si>
  <si>
    <t>Ново-Талицы ул. Садовая д 8-26</t>
  </si>
  <si>
    <t>дисф. Шунта</t>
  </si>
  <si>
    <t>Эгамбердиева Алия</t>
  </si>
  <si>
    <t>Виноградов Асен Надармевич</t>
  </si>
  <si>
    <t xml:space="preserve">Иваново ул.Любимова 11 </t>
  </si>
  <si>
    <t>ППЦНС</t>
  </si>
  <si>
    <t>Дивертикулит. Послеоперационная спаечная кишечная непроходимость.</t>
  </si>
  <si>
    <t>Арташина Диана</t>
  </si>
  <si>
    <t>Иваново ул. Лежневская д. 164 а кв. 36</t>
  </si>
  <si>
    <t>Сочетанная кататравма.</t>
  </si>
  <si>
    <t>1 ч 10 мин</t>
  </si>
  <si>
    <t>Белохвостов Александр Константинович</t>
  </si>
  <si>
    <t>Ивановский р-н, Михалево,20-12</t>
  </si>
  <si>
    <t>Белкин Даниил Максимович</t>
  </si>
  <si>
    <t>Шуя Свердлова 125А кв.20</t>
  </si>
  <si>
    <t>Задержка психо-моторного развития</t>
  </si>
  <si>
    <t>Спиричев Кирилл</t>
  </si>
  <si>
    <t>Ив. Область д. Малышево ул. Малышевская д. 16</t>
  </si>
  <si>
    <t>СД 1 тип. Кетоацидоз.</t>
  </si>
  <si>
    <t>Алешин Артем</t>
  </si>
  <si>
    <t>г. Шуя ул. Мичуринская д. 61</t>
  </si>
  <si>
    <t>Вьюгин Матвей</t>
  </si>
  <si>
    <t>Кинешма ул. Львовская д. 32 а кв. 14</t>
  </si>
  <si>
    <t>Волков Арсений</t>
  </si>
  <si>
    <t>Фурманов ул. Социалистическая д. 41 кв. 4</t>
  </si>
  <si>
    <t>Быченкова Варвара</t>
  </si>
  <si>
    <t>Ильинское Хованское ул. Ростовская д. 4</t>
  </si>
  <si>
    <t>Острое бытовое отравление неизвестным веществом</t>
  </si>
  <si>
    <t xml:space="preserve">Пневмония внебольничная. Миелодиспластический синдром. </t>
  </si>
  <si>
    <t>Сергеев Максим Сергеевич</t>
  </si>
  <si>
    <t>г. Заволжск переулок Октябрьский д6 кв 79</t>
  </si>
  <si>
    <t>закрытый перелом н/3 правой бедреной кости</t>
  </si>
  <si>
    <t>Горохова Мария Сергеевна</t>
  </si>
  <si>
    <t>Комсомольский р-н, с Писцово ул Комсомальская д41 кв11</t>
  </si>
  <si>
    <t>острый перфоративный аппендицит</t>
  </si>
  <si>
    <t>Соколов (мал.)</t>
  </si>
  <si>
    <t>Вичуга ул. Виноградовых д. 1 кв. 7</t>
  </si>
  <si>
    <t>ВПР кишечника. Атрезия подвздошной кишки.</t>
  </si>
  <si>
    <t xml:space="preserve">Миронова Ольга Евгеньева </t>
  </si>
  <si>
    <t>Иваново Строителей д30А кв. 80</t>
  </si>
  <si>
    <t xml:space="preserve">Эпилепсия </t>
  </si>
  <si>
    <t>Дремина Дарья</t>
  </si>
  <si>
    <t>Иваново Кохомское шоссе 7- 200</t>
  </si>
  <si>
    <t>Термический ожог кипятком.</t>
  </si>
  <si>
    <t>72 часа</t>
  </si>
  <si>
    <t xml:space="preserve">Бекренев Георгий </t>
  </si>
  <si>
    <t xml:space="preserve">г. Кинешма ул 1 Союзная д6 </t>
  </si>
  <si>
    <t>Ущемленная паховая грыжа</t>
  </si>
  <si>
    <t>г. Кинешма ул Львовская д32а, кв 14</t>
  </si>
  <si>
    <t>Матвеев Андрей</t>
  </si>
  <si>
    <t>Иваново ул. Поэта Лебедева д. 12 кв. 22</t>
  </si>
  <si>
    <t>Ново-Талицы ул. Новинская д. 13-А</t>
  </si>
  <si>
    <t>Щаницын Никита</t>
  </si>
  <si>
    <t>Шуйский р-он д. Милюковка д. 46</t>
  </si>
  <si>
    <t>Перфоративный аппендицит. Разлитой гнойный перитонит.</t>
  </si>
  <si>
    <t>Комаров Григорий</t>
  </si>
  <si>
    <t>Задоров Александр Сергеевич</t>
  </si>
  <si>
    <t>Вичуга Ткачей 3</t>
  </si>
  <si>
    <t>ЯБЖ</t>
  </si>
  <si>
    <t>Выренкова Алиса</t>
  </si>
  <si>
    <t>п.лежнево, с Ивановское 34а-24</t>
  </si>
  <si>
    <t>Термический ожог кипятком</t>
  </si>
  <si>
    <t>г. Заволжск ул Социалистическая д24 кв 83</t>
  </si>
  <si>
    <t>Хидиралиев Мухвмматджан</t>
  </si>
  <si>
    <t>д. Балахони ул Центральная д25</t>
  </si>
  <si>
    <t>ГЛПС?</t>
  </si>
  <si>
    <t>156 часов</t>
  </si>
  <si>
    <t>Киста сальника</t>
  </si>
  <si>
    <t>Белячкова Вера Анатольевна</t>
  </si>
  <si>
    <t>Иваново Фрунзе 24 кв.1</t>
  </si>
  <si>
    <t>Козырев Роман Халимович</t>
  </si>
  <si>
    <t>Ст. Вичуга ул. Советская д. 7 кв. 6</t>
  </si>
  <si>
    <t>Менингоэнцефалит</t>
  </si>
  <si>
    <t>Бирюкова Софья</t>
  </si>
  <si>
    <t>Шибнева Мирослава</t>
  </si>
  <si>
    <t>Южский р-он с. Преображенское ул. Первомайская д. 2в.</t>
  </si>
  <si>
    <t>Пучеж Театральная 18</t>
  </si>
  <si>
    <t>Вичуга ул.Ленина 77</t>
  </si>
  <si>
    <t xml:space="preserve">Задворнова Арина </t>
  </si>
  <si>
    <t>Гав. Посад ул. Люксембург д. 22 кв. 11</t>
  </si>
  <si>
    <t>Иваново ул. Лежневская д. 164 б кв. 49</t>
  </si>
  <si>
    <t>Петрова Владислава</t>
  </si>
  <si>
    <t>Чепарин Александр</t>
  </si>
  <si>
    <t>Иваново, ул. Шубиных, д. 4-56</t>
  </si>
  <si>
    <t>застарелый разрыв крестообразной связки</t>
  </si>
  <si>
    <t>Соколов Тимур</t>
  </si>
  <si>
    <t>Иваново, ул. Ташкентская д. 79-32</t>
  </si>
  <si>
    <t>з/неосложненный компрессионный перелом тела Th-VII позвонка</t>
  </si>
  <si>
    <t>Иваново 14 Проезд д. 8 а кв. 40</t>
  </si>
  <si>
    <t>Майорова Ксения</t>
  </si>
  <si>
    <t xml:space="preserve">с. Беляницы ул Полевая д1 </t>
  </si>
  <si>
    <t>ЖКБ. Состояние после лапароскопии</t>
  </si>
  <si>
    <t>Абдувалиев Никита</t>
  </si>
  <si>
    <t>Южа ул. Стадионная д. 12 кв. 90</t>
  </si>
  <si>
    <t>ВПС.</t>
  </si>
  <si>
    <t>Якимов Никита</t>
  </si>
  <si>
    <t>Ив. Обл. Лежневский р-он с. Чернцы д. 9 кв. 1</t>
  </si>
  <si>
    <t>Перфоративная язва желудка.</t>
  </si>
  <si>
    <t>Оладьина Милана-Злата</t>
  </si>
  <si>
    <t>Вичуга ул. Пролетарская д. 68</t>
  </si>
  <si>
    <t>Куликова Виктория</t>
  </si>
  <si>
    <t>Иваново перелок Окружной д. 3</t>
  </si>
  <si>
    <t>Хонин Роман</t>
  </si>
  <si>
    <t>Родники мкр. Гагарина д.23 кв.57</t>
  </si>
  <si>
    <t>О. аппендицит.</t>
  </si>
  <si>
    <t>Киселева Софья</t>
  </si>
  <si>
    <t>Иваново 5-ый Линейный переулок д. 22</t>
  </si>
  <si>
    <t>Иваново, ул. Кавалерийская 60-39</t>
  </si>
  <si>
    <t>Челышев Ангелина</t>
  </si>
  <si>
    <t>Южский р-н, Д. Домнино д.70</t>
  </si>
  <si>
    <t>Туберкулезный склероз</t>
  </si>
  <si>
    <t>Шаковская Диана</t>
  </si>
  <si>
    <t>наволоки п. лесное 2</t>
  </si>
  <si>
    <t>Пневмония, ВПС</t>
  </si>
  <si>
    <t>Анисимов Илья</t>
  </si>
  <si>
    <t>иваново. Пер. Стрелковой 6</t>
  </si>
  <si>
    <t>МОС костей голени</t>
  </si>
  <si>
    <t>Беляков Андрей</t>
  </si>
  <si>
    <t>иваново Ташкенская 96-12</t>
  </si>
  <si>
    <t>эпилептический статус</t>
  </si>
  <si>
    <t>Курбатский Матвей</t>
  </si>
  <si>
    <t>О. бытовое пероральное отравление моксонидином</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</si>
</sst>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0"/>
      <color theme="1"/>
      <name val="Times New Roman"/>
      <family val="1"/>
      <charset val="204"/>
    </font>
    <font>
      <sz val="10"/>
      <color theme="1"/>
      <name val="Times New Roman"/>
      <family val="1"/>
      <charset val="204"/>
    </font>
    <font>
      <sz val="10"/>
      <color theme="1"/>
      <name val="Times New Roman"/>
      <family val="1"/>
      <charset val="204"/>
    </font>
    <font>
      <sz val="11"/>
      <color theme="1"/>
      <name val="Times New Roman"/>
      <family val="1"/>
      <charset val="204"/>
    </font>
    <font>
      <sz val="10"/>
      <color theme="1"/>
      <name val="Calibri"/>
      <family val="2"/>
      <scheme val="minor"/>
    </font>
    <font>
      <sz val="11"/>
      <color rgb="FF9C0006"/>
      <name val="Calibri"/>
      <family val="2"/>
      <charset val="204"/>
      <scheme val="minor"/>
    </font>
    <font>
      <sz val="10"/>
      <color theme="1"/>
      <name val="Times New Roman"/>
      <family val="1"/>
      <charset val="204"/>
    </font>
    <font>
      <sz val="12"/>
      <color theme="1"/>
      <name val="Calibri"/>
      <family val="2"/>
      <charset val="204"/>
      <scheme val="minor"/>
    </font>
    <font>
      <sz val="10"/>
      <color theme="1"/>
      <name val="Calibri"/>
      <family val="2"/>
      <charset val="204"/>
    </font>
    <font>
      <sz val="14"/>
      <color theme="1"/>
      <name val="Times New Roman"/>
      <family val="1"/>
      <charset val="204"/>
    </font>
    <font>
      <sz val="13"/>
      <color theme="1"/>
      <name val="Times New Roman"/>
      <family val="1"/>
      <charset val="204"/>
    </font>
    <font>
      <sz val="12"/>
      <color theme="1"/>
      <name val="Times New Roman"/>
      <family val="1"/>
      <charset val="204"/>
    </font>
    <font>
      <sz val="10"/>
      <name val="Calibri"/>
      <family val="2"/>
      <charset val="204"/>
      <scheme val="minor"/>
    </font>
    <font>
      <sz val="10"/>
      <color rgb="FF000000"/>
      <name val="Times New Roman"/>
      <family val="1"/>
      <charset val="204"/>
    </font>
    <font>
      <sz val="10"/>
      <name val="Times New Roman"/>
      <family val="1"/>
      <charset val="204"/>
    </font>
    <font>
      <sz val="10"/>
      <name val="Arial"/>
      <family val="2"/>
      <charset val="204"/>
    </font>
    <font>
      <sz val="10"/>
      <color rgb="FFFF0000"/>
      <name val="Times New Roman"/>
      <family val="1"/>
      <charset val="204"/>
    </font>
    <font>
      <b/>
      <sz val="12"/>
      <color rgb="FFFF0000"/>
      <name val="Times New Roman"/>
      <family val="1"/>
      <charset val="204"/>
    </font>
    <font>
      <sz val="10"/>
      <color rgb="FFFF0000"/>
      <name val="Arial"/>
      <family val="2"/>
      <charset val="204"/>
    </font>
    <font>
      <sz val="10"/>
      <color rgb="FFFF0000"/>
      <name val="Calibri"/>
      <family val="2"/>
      <charset val="204"/>
      <scheme val="minor"/>
    </font>
    <font>
      <sz val="10"/>
      <color theme="1"/>
      <name val="Times New Roman"/>
    </font>
  </fonts>
  <fills count="9">
    <fill>
      <patternFill patternType="none"/>
    </fill>
    <fill>
      <patternFill patternType="gray125"/>
    </fill>
    <fill>
      <patternFill patternType="solid">
        <fgColor theme="4" tint="0.39994506668294322"/>
        <bgColor theme="5" tint="0.59999389629810485"/>
      </patternFill>
    </fill>
    <fill>
      <patternFill patternType="solid">
        <fgColor theme="4" tint="0.39994506668294322"/>
        <bgColor theme="5" tint="0.79998168889431442"/>
      </patternFill>
    </fill>
    <fill>
      <patternFill patternType="solid">
        <fgColor theme="4" tint="0.3999450666829432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DDEBF7"/>
        <bgColor rgb="FFDDEBF7"/>
      </patternFill>
    </fill>
  </fills>
  <borders count="3">
    <border>
      <left/>
      <right/>
      <top/>
      <bottom/>
      <diagonal/>
    </border>
    <border>
      <left style="thin">
        <color theme="0"/>
      </left>
      <right style="thin">
        <color theme="0"/>
      </right>
      <top style="thin">
        <color theme="0"/>
      </top>
      <bottom style="thin">
        <color theme="0"/>
      </bottom>
      <diagonal/>
    </border>
    <border>
      <left/>
      <right/>
      <top style="thin">
        <color rgb="FF9BC2E6"/>
      </top>
      <bottom style="thin">
        <color rgb="FF9BC2E6"/>
      </bottom>
      <diagonal/>
    </border>
  </borders>
  <cellStyleXfs count="2">
    <xf numFmtId="0" fontId="0" fillId="0" borderId="0"/>
    <xf numFmtId="0" fontId="6" fillId="7" borderId="0" applyNumberFormat="0" applyBorder="0" applyAlignment="0" applyProtection="0"/>
  </cellStyleXfs>
  <cellXfs count="7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0" xfId="0" applyFont="1" applyFill="1" applyAlignment="1">
      <alignment horizontal="center" vertical="center" wrapText="1"/>
    </xf>
    <xf numFmtId="20" fontId="2" fillId="0" borderId="0" xfId="0" applyNumberFormat="1" applyFont="1" applyAlignment="1">
      <alignment horizontal="center" vertical="center" wrapText="1"/>
    </xf>
    <xf numFmtId="0" fontId="3" fillId="0" borderId="0" xfId="0" applyFont="1" applyAlignment="1">
      <alignment horizontal="center" vertical="center"/>
    </xf>
    <xf numFmtId="20" fontId="3" fillId="0" borderId="0" xfId="0" applyNumberFormat="1" applyFont="1" applyAlignment="1">
      <alignment horizontal="center" vertical="center" wrapText="1"/>
    </xf>
    <xf numFmtId="0" fontId="0" fillId="0" borderId="0" xfId="0" applyNumberFormat="1"/>
    <xf numFmtId="0" fontId="0" fillId="0" borderId="0" xfId="0" applyAlignment="1">
      <alignment horizontal="center"/>
    </xf>
    <xf numFmtId="20" fontId="1" fillId="0" borderId="0" xfId="0" applyNumberFormat="1" applyFont="1" applyAlignment="1">
      <alignment horizontal="center" vertical="center" wrapText="1"/>
    </xf>
    <xf numFmtId="0" fontId="4" fillId="0" borderId="0" xfId="0" applyFont="1" applyAlignment="1">
      <alignment horizontal="center" vertical="center" wrapText="1"/>
    </xf>
    <xf numFmtId="14" fontId="4" fillId="0" borderId="0" xfId="0" applyNumberFormat="1" applyFont="1" applyAlignment="1">
      <alignment horizontal="center" vertical="center" wrapText="1"/>
    </xf>
    <xf numFmtId="20" fontId="4" fillId="0" borderId="0" xfId="0" applyNumberFormat="1" applyFont="1" applyAlignment="1">
      <alignment horizontal="center" vertical="center" wrapText="1"/>
    </xf>
    <xf numFmtId="0" fontId="2" fillId="5" borderId="0" xfId="0" applyFont="1" applyFill="1" applyAlignment="1">
      <alignment horizontal="center" vertical="center" wrapText="1"/>
    </xf>
    <xf numFmtId="14" fontId="2" fillId="5" borderId="0" xfId="0" applyNumberFormat="1" applyFont="1" applyFill="1" applyAlignment="1">
      <alignment horizontal="center" vertical="center" wrapText="1"/>
    </xf>
    <xf numFmtId="20" fontId="2" fillId="5" borderId="0" xfId="0" applyNumberFormat="1" applyFont="1" applyFill="1" applyAlignment="1">
      <alignment horizontal="center" vertical="center" wrapText="1"/>
    </xf>
    <xf numFmtId="0" fontId="1" fillId="5" borderId="0" xfId="0" applyFont="1" applyFill="1" applyAlignment="1">
      <alignment horizontal="center" vertical="center" wrapText="1"/>
    </xf>
    <xf numFmtId="20" fontId="3" fillId="5" borderId="0" xfId="0" applyNumberFormat="1" applyFont="1" applyFill="1" applyAlignment="1">
      <alignment horizontal="center" vertical="center" wrapText="1"/>
    </xf>
    <xf numFmtId="14" fontId="1" fillId="5" borderId="0" xfId="0" applyNumberFormat="1" applyFont="1" applyFill="1" applyAlignment="1">
      <alignment horizontal="center" vertical="center" wrapText="1"/>
    </xf>
    <xf numFmtId="20" fontId="1" fillId="5" borderId="0" xfId="0" applyNumberFormat="1" applyFont="1" applyFill="1" applyAlignment="1">
      <alignment horizontal="center" vertical="center" wrapText="1"/>
    </xf>
    <xf numFmtId="0" fontId="5" fillId="0" borderId="0" xfId="0" applyFont="1" applyAlignment="1">
      <alignment horizontal="center"/>
    </xf>
    <xf numFmtId="14" fontId="5" fillId="0" borderId="0" xfId="0" applyNumberFormat="1" applyFont="1" applyAlignment="1">
      <alignment horizontal="center"/>
    </xf>
    <xf numFmtId="20" fontId="5" fillId="0" borderId="0" xfId="0" applyNumberFormat="1" applyFont="1" applyAlignment="1">
      <alignment horizontal="center"/>
    </xf>
    <xf numFmtId="0" fontId="4" fillId="6" borderId="0" xfId="0" applyFont="1" applyFill="1" applyAlignment="1">
      <alignment horizontal="center" vertical="center" wrapText="1"/>
    </xf>
    <xf numFmtId="0" fontId="2" fillId="6" borderId="0" xfId="0" applyFont="1" applyFill="1" applyAlignment="1">
      <alignment horizontal="center" vertical="center" wrapText="1"/>
    </xf>
    <xf numFmtId="14" fontId="2" fillId="6" borderId="0" xfId="0" applyNumberFormat="1" applyFont="1" applyFill="1" applyAlignment="1">
      <alignment horizontal="center" vertical="center" wrapText="1"/>
    </xf>
    <xf numFmtId="20" fontId="2" fillId="6" borderId="0" xfId="0" applyNumberFormat="1" applyFont="1" applyFill="1" applyAlignment="1">
      <alignment horizontal="center" vertical="center" wrapText="1"/>
    </xf>
    <xf numFmtId="0" fontId="1" fillId="6" borderId="0" xfId="0" applyFont="1" applyFill="1" applyAlignment="1">
      <alignment horizontal="center" vertical="center" wrapText="1"/>
    </xf>
    <xf numFmtId="20" fontId="3" fillId="6" borderId="0" xfId="0" applyNumberFormat="1" applyFont="1" applyFill="1" applyAlignment="1">
      <alignment horizontal="center" vertical="center" wrapText="1"/>
    </xf>
    <xf numFmtId="0" fontId="6" fillId="6" borderId="0" xfId="1" applyFill="1" applyAlignment="1">
      <alignment horizontal="center" vertical="center" wrapText="1"/>
    </xf>
    <xf numFmtId="14" fontId="6" fillId="6" borderId="0" xfId="1" applyNumberFormat="1" applyFill="1" applyAlignment="1">
      <alignment horizontal="center" vertical="center" wrapText="1"/>
    </xf>
    <xf numFmtId="20" fontId="6" fillId="6" borderId="0" xfId="1" applyNumberFormat="1" applyFill="1" applyAlignment="1">
      <alignment horizontal="center" vertical="center" wrapText="1"/>
    </xf>
    <xf numFmtId="16" fontId="6" fillId="6" borderId="0" xfId="1" applyNumberFormat="1" applyFill="1" applyAlignment="1">
      <alignment horizontal="center" vertical="center" wrapText="1"/>
    </xf>
    <xf numFmtId="20" fontId="0" fillId="5" borderId="0" xfId="0" applyNumberFormat="1" applyFill="1" applyAlignment="1">
      <alignment horizontal="center"/>
    </xf>
    <xf numFmtId="0" fontId="7" fillId="0" borderId="0" xfId="0" applyFont="1" applyAlignment="1">
      <alignment horizontal="center" vertical="center" wrapText="1"/>
    </xf>
    <xf numFmtId="0" fontId="8" fillId="0" borderId="0" xfId="0" applyFont="1"/>
    <xf numFmtId="14" fontId="8" fillId="0" borderId="0" xfId="0" applyNumberFormat="1" applyFont="1"/>
    <xf numFmtId="0" fontId="10" fillId="0" borderId="0" xfId="0" applyFont="1"/>
    <xf numFmtId="14" fontId="11" fillId="0" borderId="0" xfId="0" applyNumberFormat="1" applyFont="1"/>
    <xf numFmtId="0" fontId="12" fillId="0" borderId="0" xfId="0" applyFont="1"/>
    <xf numFmtId="0" fontId="13" fillId="0" borderId="0" xfId="0" applyFont="1"/>
    <xf numFmtId="0" fontId="14" fillId="8" borderId="2" xfId="0" applyFont="1" applyFill="1" applyBorder="1" applyAlignment="1">
      <alignment horizontal="center" vertical="center" wrapText="1"/>
    </xf>
    <xf numFmtId="0" fontId="15" fillId="0" borderId="0" xfId="0" applyFont="1"/>
    <xf numFmtId="0" fontId="15" fillId="0" borderId="0" xfId="0" applyFont="1" applyAlignment="1">
      <alignment horizontal="justify" vertical="center"/>
    </xf>
    <xf numFmtId="0" fontId="16" fillId="0" borderId="0" xfId="0" applyFont="1"/>
    <xf numFmtId="14" fontId="16" fillId="0" borderId="0" xfId="0" applyNumberFormat="1" applyFont="1"/>
    <xf numFmtId="0" fontId="14" fillId="8" borderId="2" xfId="0" applyFont="1" applyFill="1" applyBorder="1" applyAlignment="1">
      <alignment horizontal="center" vertical="center"/>
    </xf>
    <xf numFmtId="0" fontId="6" fillId="7" borderId="0" xfId="1" applyAlignment="1">
      <alignment horizontal="center" vertical="center" wrapText="1"/>
    </xf>
    <xf numFmtId="14" fontId="6" fillId="7" borderId="0" xfId="1" applyNumberFormat="1" applyAlignment="1">
      <alignment horizontal="center" vertical="center" wrapText="1"/>
    </xf>
    <xf numFmtId="20" fontId="6" fillId="7" borderId="0" xfId="1" applyNumberFormat="1" applyAlignment="1">
      <alignment horizontal="center" vertical="center" wrapText="1"/>
    </xf>
    <xf numFmtId="14" fontId="13" fillId="0" borderId="0" xfId="0" applyNumberFormat="1" applyFont="1"/>
    <xf numFmtId="0" fontId="17" fillId="0" borderId="0" xfId="0" applyFont="1" applyAlignment="1">
      <alignment horizontal="center" vertical="center" wrapText="1"/>
    </xf>
    <xf numFmtId="14" fontId="17" fillId="0" borderId="0" xfId="0" applyNumberFormat="1" applyFont="1" applyAlignment="1">
      <alignment horizontal="center" vertical="center" wrapText="1"/>
    </xf>
    <xf numFmtId="20" fontId="17" fillId="0" borderId="0" xfId="0" applyNumberFormat="1" applyFont="1" applyAlignment="1">
      <alignment horizontal="center" vertical="center" wrapText="1"/>
    </xf>
    <xf numFmtId="0" fontId="1" fillId="0" borderId="0" xfId="0" applyNumberFormat="1" applyFont="1" applyAlignment="1">
      <alignment horizontal="center" vertical="center" wrapText="1"/>
    </xf>
    <xf numFmtId="14" fontId="12" fillId="0" borderId="0" xfId="0" applyNumberFormat="1" applyFont="1"/>
    <xf numFmtId="21" fontId="3" fillId="0" borderId="0" xfId="0" applyNumberFormat="1" applyFont="1" applyAlignment="1">
      <alignment horizontal="center" vertical="center" wrapText="1"/>
    </xf>
    <xf numFmtId="0" fontId="18" fillId="5" borderId="0" xfId="0" applyFont="1" applyFill="1"/>
    <xf numFmtId="0" fontId="17" fillId="5" borderId="0" xfId="0" applyFont="1" applyFill="1" applyAlignment="1">
      <alignment horizontal="center" vertical="center" wrapText="1"/>
    </xf>
    <xf numFmtId="14" fontId="17" fillId="5" borderId="0" xfId="0" applyNumberFormat="1" applyFont="1" applyFill="1" applyAlignment="1">
      <alignment horizontal="center" vertical="center" wrapText="1"/>
    </xf>
    <xf numFmtId="20" fontId="17" fillId="5" borderId="0" xfId="0" applyNumberFormat="1" applyFont="1" applyFill="1" applyAlignment="1">
      <alignment horizontal="center" vertical="center" wrapText="1"/>
    </xf>
    <xf numFmtId="14" fontId="18" fillId="5" borderId="0" xfId="0" applyNumberFormat="1" applyFont="1" applyFill="1"/>
    <xf numFmtId="0" fontId="19" fillId="5" borderId="0" xfId="0" applyFont="1" applyFill="1"/>
    <xf numFmtId="0" fontId="20" fillId="5" borderId="0" xfId="0" applyFont="1" applyFill="1"/>
    <xf numFmtId="0" fontId="1" fillId="0" borderId="0" xfId="0" applyFont="1" applyFill="1" applyAlignment="1">
      <alignment horizontal="center" vertical="center" wrapText="1"/>
    </xf>
    <xf numFmtId="0" fontId="21" fillId="0" borderId="0" xfId="0" applyNumberFormat="1" applyFont="1" applyAlignment="1">
      <alignment horizontal="center" vertical="center" wrapText="1"/>
    </xf>
    <xf numFmtId="0" fontId="10" fillId="5" borderId="0" xfId="0" applyFont="1" applyFill="1"/>
    <xf numFmtId="0" fontId="3" fillId="5" borderId="0" xfId="0" applyFont="1" applyFill="1" applyAlignment="1">
      <alignment horizontal="center" vertical="center" wrapText="1"/>
    </xf>
    <xf numFmtId="0" fontId="21" fillId="0" borderId="0" xfId="0" applyFont="1" applyAlignment="1">
      <alignment horizontal="center" vertical="center" wrapText="1"/>
    </xf>
    <xf numFmtId="14" fontId="21" fillId="0" borderId="0" xfId="0" applyNumberFormat="1" applyFont="1" applyAlignment="1">
      <alignment horizontal="center" vertical="center" wrapText="1"/>
    </xf>
    <xf numFmtId="20" fontId="21" fillId="0" borderId="0" xfId="0" applyNumberFormat="1" applyFont="1" applyAlignment="1">
      <alignment horizontal="center" vertical="center" wrapText="1"/>
    </xf>
  </cellXfs>
  <cellStyles count="2">
    <cellStyle name="Обычный" xfId="0" builtinId="0"/>
    <cellStyle name="Плохой" xfId="1" builtinId="27"/>
  </cellStyles>
  <dxfs count="43">
    <dxf>
      <numFmt numFmtId="0" formatCode="General"/>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46;&#1091;&#1088;&#1085;&#1072;&#1083;%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s>
    <sheetDataSet>
      <sheetData sheetId="0"/>
      <sheetData sheetId="1">
        <row r="2">
          <cell r="G2" t="str">
            <v>ДХО-1</v>
          </cell>
        </row>
        <row r="3">
          <cell r="G3" t="str">
            <v>ДХО-2</v>
          </cell>
        </row>
        <row r="4">
          <cell r="G4" t="str">
            <v>ДОТО</v>
          </cell>
        </row>
        <row r="5">
          <cell r="G5" t="str">
            <v>Нефро</v>
          </cell>
        </row>
        <row r="6">
          <cell r="G6" t="str">
            <v>ОПНН</v>
          </cell>
        </row>
        <row r="7">
          <cell r="G7" t="str">
            <v>Пульмо</v>
          </cell>
        </row>
        <row r="8">
          <cell r="G8" t="str">
            <v>Педиатрия</v>
          </cell>
        </row>
        <row r="9">
          <cell r="G9" t="str">
            <v>Неврология</v>
          </cell>
        </row>
      </sheetData>
      <sheetData sheetId="2"/>
    </sheetDataSet>
  </externalBook>
</externalLink>
</file>

<file path=xl/tables/table1.xml><?xml version="1.0" encoding="utf-8"?>
<table xmlns="http://schemas.openxmlformats.org/spreadsheetml/2006/main" id="1" name="Таблица1" displayName="Таблица1" ref="A1:R2507" insertRowShift="1" totalsRowShown="0" headerRowDxfId="42" dataDxfId="41">
  <autoFilter ref="A1:R2507"/>
  <tableColumns count="18">
    <tableColumn id="1" name="№ п/п" dataDxfId="40">
      <calculatedColumnFormula>ROW(A1)</calculatedColumnFormula>
    </tableColumn>
    <tableColumn id="2" name="№ и/б" dataDxfId="39"/>
    <tableColumn id="3" name="Отделение" dataDxfId="38"/>
    <tableColumn id="4" name="Дата поступления" dataDxfId="37"/>
    <tableColumn id="5" name="Время поступления" dataDxfId="36"/>
    <tableColumn id="6" name="Фамилия, имя, отчество" dataDxfId="35"/>
    <tableColumn id="7" name="Дата рождения" dataDxfId="34"/>
    <tableColumn id="8" name="Возраст" dataDxfId="33">
      <calculatedColumnFormula>DATEDIF(G2,D2,"y") &amp; " г. " &amp; DATEDIF(G2,D2,"ym") &amp; " мес. " &amp; DATEDIF(G2,D2,"md") &amp; " дн."</calculatedColumnFormula>
    </tableColumn>
    <tableColumn id="9" name="Канал поступления" dataDxfId="32"/>
    <tableColumn id="18" name="Профиль отделения" dataDxfId="31"/>
    <tableColumn id="10" name="Адрес регистраци" dataDxfId="30"/>
    <tableColumn id="11" name="Диагноз при поступлении в ОРИТ" dataDxfId="29"/>
    <tableColumn id="16" name="Категория диагноза" dataDxfId="28"/>
    <tableColumn id="12" name="Длительность ИВЛ" dataDxfId="27">
      <calculatedColumnFormula>ROW(N1)</calculatedColumnFormula>
    </tableColumn>
    <tableColumn id="13" name="Манипуляции" dataDxfId="26"/>
    <tableColumn id="14" name="Куда переведён" dataDxfId="25"/>
    <tableColumn id="15" name="Дата перевода" dataDxfId="24"/>
    <tableColumn id="17" name="Время перевода" dataDxfId="23"/>
  </tableColumns>
  <tableStyleInfo name="TableStyleMedium2" showFirstColumn="0" showLastColumn="0" showRowStripes="1" showColumnStripes="0"/>
</table>
</file>

<file path=xl/tables/table2.xml><?xml version="1.0" encoding="utf-8"?>
<table xmlns="http://schemas.openxmlformats.org/spreadsheetml/2006/main" id="2" name="Таблица2" displayName="Таблица2" ref="A1:N13" totalsRowShown="0" headerRowDxfId="22" dataDxfId="21">
  <autoFilter ref="A1:N13"/>
  <tableColumns count="14">
    <tableColumn id="1" name="Длительность" dataDxfId="20"/>
    <tableColumn id="2" name="Кол-во" dataDxfId="19">
      <calculatedColumnFormula>COUNTIF(Таблица4[[#This Row],[Длительность, сут.]], "&gt;=0")-COUNTIF(Таблица4[[#This Row],[Длительность, сут.]], "&gt;=1")-COUNTIF(Таблица1[[#This Row],[Дата перевода]], "=")</calculatedColumnFormula>
    </tableColumn>
    <tableColumn id="3" name="Возраст" dataDxfId="18"/>
    <tableColumn id="4" name="Кол-во2" dataDxfId="17">
      <calculatedColumnFormula>COUNTIF(S:S,"&gt;=0")-COUNTIF(S:S, "&gt;=6")</calculatedColumnFormula>
    </tableColumn>
    <tableColumn id="5" name="Канал поступления" dataDxfId="16"/>
    <tableColumn id="6" name="Кол-во3" dataDxfId="15">
      <calculatedColumnFormula>COUNTIF(Лист1!I:I, "СМП")</calculatedColumnFormula>
    </tableColumn>
    <tableColumn id="7" name="Куда переведён" dataDxfId="14"/>
    <tableColumn id="8" name="Кол-во4" dataDxfId="13">
      <calculatedColumnFormula>COUNTIF(Лист1!P:P, "ДХО-1")</calculatedColumnFormula>
    </tableColumn>
    <tableColumn id="9" name="ИВЛ детям в возрасте" dataDxfId="12"/>
    <tableColumn id="10" name="Кол-во5" dataDxfId="11">
      <calculatedColumnFormula>COUNTIF(S:S,"&gt;=0")-COUNTIF(S:S, "&gt;=7")-COUNTIF(Таблица1[[#This Row],[Длительность ИВЛ]], "=0")+1</calculatedColumnFormula>
    </tableColumn>
    <tableColumn id="11" name="ИВЛ по срокам" dataDxfId="10"/>
    <tableColumn id="12" name="Кол-во6" dataDxfId="9">
      <calculatedColumnFormula>COUNTIFS(Лист1!N2:N2507,"&lt;24")-COUNTIFS(Лист1!N2:N2507,"=0")</calculatedColumnFormula>
    </tableColumn>
    <tableColumn id="13" name="Манипуляции" dataDxfId="8"/>
    <tableColumn id="14" name="Кол-во7" dataDxfId="7">
      <calculatedColumnFormula>COUNTIF(Лист1!O:O,"=ЦВК")+COUNTIF(Лист1!O:O,"=ЦВК+ЛП")+COUNTIF(Лист1!O:O,"=ЦВК+Гемотрансфузия")+COUNTIF(Лист1!O:O,"=ЦВК+ГВЛ")+COUNTIF(Лист1!O:O,"=Экстракорпоральные методы")</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id="4" name="Таблица4" displayName="Таблица4" ref="R1:S2502" totalsRowShown="0" headerRowDxfId="6" dataDxfId="5">
  <autoFilter ref="R1:S2502"/>
  <tableColumns count="2">
    <tableColumn id="1" name="Длительность, сут." dataDxfId="4">
      <calculatedColumnFormula>Таблица1[[#This Row],[Дата перевода]]-Таблица1[[#This Row],[Дата поступления]]</calculatedColumnFormula>
    </tableColumn>
    <tableColumn id="2" name="Возраст в днях" dataDxfId="3">
      <calculatedColumnFormula>Таблица1[[#This Row],[Дата поступления]]-Таблица1[[#This Row],[Дата рождения]]</calculatedColumnFormula>
    </tableColumn>
  </tableColumns>
  <tableStyleInfo name="TableStyleMedium1" showFirstColumn="0" showLastColumn="0" showRowStripes="1" showColumnStripes="0"/>
</table>
</file>

<file path=xl/tables/table4.xml><?xml version="1.0" encoding="utf-8"?>
<table xmlns="http://schemas.openxmlformats.org/spreadsheetml/2006/main" id="3" name="Таблица3" displayName="Таблица3" ref="A1:B23" totalsRowShown="0" headerRowDxfId="2">
  <autoFilter ref="A1:B23"/>
  <tableColumns count="2">
    <tableColumn id="1" name="Диагнозы" dataDxfId="1"/>
    <tableColumn id="2" name="Кол-во" dataDxfId="0">
      <calculatedColumnFormula>COUNTIF(Лист1!M:M,"Инфекционные и паразитарные болезни")</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08"/>
  <sheetViews>
    <sheetView tabSelected="1" topLeftCell="D71" zoomScale="115" zoomScaleNormal="115" workbookViewId="0">
      <selection activeCell="L80" sqref="L80"/>
    </sheetView>
  </sheetViews>
  <sheetFormatPr defaultRowHeight="12.75" x14ac:dyDescent="0.25"/>
  <cols>
    <col min="1" max="1" width="6.140625" style="1" customWidth="1"/>
    <col min="2" max="2" width="5.28515625" style="1" customWidth="1"/>
    <col min="3" max="3" width="11.5703125" style="1" customWidth="1"/>
    <col min="4" max="4" width="14.7109375" style="1" customWidth="1"/>
    <col min="5" max="5" width="12.140625" style="1" customWidth="1"/>
    <col min="6" max="6" width="24.5703125" style="1" customWidth="1"/>
    <col min="7" max="7" width="15.42578125" style="1" customWidth="1"/>
    <col min="8" max="8" width="14.42578125" style="1" customWidth="1"/>
    <col min="9" max="9" width="18.85546875" style="1" customWidth="1"/>
    <col min="10" max="10" width="7.85546875" style="1" customWidth="1"/>
    <col min="11" max="11" width="22" style="1" customWidth="1"/>
    <col min="12" max="12" width="30" style="1" customWidth="1"/>
    <col min="13" max="13" width="16.140625" style="1" customWidth="1"/>
    <col min="14" max="14" width="15.85546875" style="1" customWidth="1"/>
    <col min="15" max="15" width="14.7109375" style="1" customWidth="1"/>
    <col min="16" max="16" width="14.42578125" style="1" customWidth="1"/>
    <col min="17" max="17" width="12.140625" style="1" customWidth="1"/>
    <col min="18" max="18" width="11.42578125" style="1" customWidth="1"/>
    <col min="19" max="16384" width="9.140625" style="1"/>
  </cols>
  <sheetData>
    <row r="1" spans="1:18" x14ac:dyDescent="0.25">
      <c r="A1" s="3" t="s">
        <v>0</v>
      </c>
      <c r="B1" s="3" t="s">
        <v>1</v>
      </c>
      <c r="C1" s="3" t="s">
        <v>2</v>
      </c>
      <c r="D1" s="3" t="s">
        <v>3</v>
      </c>
      <c r="E1" s="3" t="s">
        <v>4</v>
      </c>
      <c r="F1" s="3" t="s">
        <v>79</v>
      </c>
      <c r="G1" s="3" t="s">
        <v>5</v>
      </c>
      <c r="H1" s="3" t="s">
        <v>6</v>
      </c>
      <c r="I1" s="3" t="s">
        <v>7</v>
      </c>
      <c r="J1" s="3" t="s">
        <v>81</v>
      </c>
      <c r="K1" s="3" t="s">
        <v>78</v>
      </c>
      <c r="L1" s="3" t="s">
        <v>12</v>
      </c>
      <c r="M1" s="3" t="s">
        <v>80</v>
      </c>
      <c r="N1" s="3" t="s">
        <v>8</v>
      </c>
      <c r="O1" s="3" t="s">
        <v>9</v>
      </c>
      <c r="P1" s="3" t="s">
        <v>10</v>
      </c>
      <c r="Q1" s="3" t="s">
        <v>11</v>
      </c>
      <c r="R1" s="11" t="s">
        <v>99</v>
      </c>
    </row>
    <row r="2" spans="1:18" customFormat="1" ht="13.5" customHeight="1" x14ac:dyDescent="0.25">
      <c r="A2" s="1">
        <f t="shared" ref="A2" si="0">ROW(A1)</f>
        <v>1</v>
      </c>
      <c r="B2" s="22">
        <v>1029</v>
      </c>
      <c r="C2" s="22" t="s">
        <v>33</v>
      </c>
      <c r="D2" s="24">
        <v>44098</v>
      </c>
      <c r="E2" s="25">
        <v>0.67361111111111116</v>
      </c>
      <c r="F2" s="22" t="s">
        <v>102</v>
      </c>
      <c r="G2" s="24">
        <v>41014</v>
      </c>
      <c r="H2" s="22" t="str">
        <f t="shared" ref="H2:H10" si="1">DATEDIF(G2,D2,"y") &amp; " г. " &amp; DATEDIF(G2,D2,"ym") &amp; " мес. " &amp; DATEDIF(G2,D2,"md") &amp; " дн."</f>
        <v>8 г. 5 мес. 9 дн.</v>
      </c>
      <c r="I2" s="22" t="s">
        <v>28</v>
      </c>
      <c r="J2" s="22" t="s">
        <v>33</v>
      </c>
      <c r="K2" s="22" t="s">
        <v>103</v>
      </c>
      <c r="L2" s="22" t="s">
        <v>280</v>
      </c>
      <c r="M2" s="22" t="s">
        <v>63</v>
      </c>
      <c r="N2" s="22" t="s">
        <v>105</v>
      </c>
      <c r="O2" s="22" t="s">
        <v>87</v>
      </c>
      <c r="P2" s="22" t="s">
        <v>40</v>
      </c>
      <c r="Q2" s="24">
        <v>44237</v>
      </c>
      <c r="R2" s="39">
        <v>6.7361111111111108E-2</v>
      </c>
    </row>
    <row r="3" spans="1:18" ht="25.5" x14ac:dyDescent="0.25">
      <c r="A3" s="1">
        <v>2</v>
      </c>
      <c r="B3" s="22">
        <v>1106</v>
      </c>
      <c r="C3" s="22" t="s">
        <v>32</v>
      </c>
      <c r="D3" s="24">
        <v>44167</v>
      </c>
      <c r="E3" s="25">
        <v>0.4861111111111111</v>
      </c>
      <c r="F3" s="22" t="s">
        <v>257</v>
      </c>
      <c r="G3" s="24">
        <v>44166</v>
      </c>
      <c r="H3" s="22" t="str">
        <f t="shared" si="1"/>
        <v>0 г. 0 мес. 1 дн.</v>
      </c>
      <c r="I3" s="22" t="s">
        <v>28</v>
      </c>
      <c r="J3" s="22" t="s">
        <v>32</v>
      </c>
      <c r="K3" s="22" t="s">
        <v>106</v>
      </c>
      <c r="L3" s="22" t="s">
        <v>107</v>
      </c>
      <c r="M3" s="22" t="s">
        <v>59</v>
      </c>
      <c r="N3" s="22" t="s">
        <v>225</v>
      </c>
      <c r="O3" s="22" t="s">
        <v>87</v>
      </c>
      <c r="P3" s="22" t="s">
        <v>40</v>
      </c>
      <c r="Q3" s="24">
        <v>44227</v>
      </c>
      <c r="R3" s="23">
        <v>0.5</v>
      </c>
    </row>
    <row r="4" spans="1:18" customFormat="1" ht="38.25" x14ac:dyDescent="0.25">
      <c r="A4" s="14">
        <f>ROW(A3)</f>
        <v>3</v>
      </c>
      <c r="B4" s="1">
        <v>346</v>
      </c>
      <c r="C4" s="1" t="s">
        <v>38</v>
      </c>
      <c r="D4" s="4">
        <v>44168</v>
      </c>
      <c r="E4" s="15">
        <v>0.26041666666666669</v>
      </c>
      <c r="F4" s="1" t="s">
        <v>108</v>
      </c>
      <c r="G4" s="4">
        <v>43613</v>
      </c>
      <c r="H4" s="1" t="str">
        <f t="shared" si="1"/>
        <v>1 г. 6 мес. 5 дн.</v>
      </c>
      <c r="I4" s="1" t="s">
        <v>25</v>
      </c>
      <c r="J4" s="1" t="s">
        <v>38</v>
      </c>
      <c r="K4" s="1" t="s">
        <v>109</v>
      </c>
      <c r="L4" s="1" t="s">
        <v>110</v>
      </c>
      <c r="M4" s="1" t="s">
        <v>57</v>
      </c>
      <c r="N4" s="1" t="s">
        <v>105</v>
      </c>
      <c r="O4" s="1" t="s">
        <v>87</v>
      </c>
      <c r="P4" s="1" t="s">
        <v>39</v>
      </c>
      <c r="Q4" s="4">
        <v>44235</v>
      </c>
      <c r="R4" s="14"/>
    </row>
    <row r="5" spans="1:18" ht="25.5" x14ac:dyDescent="0.25">
      <c r="A5" s="6">
        <f>ROW(A4)</f>
        <v>4</v>
      </c>
      <c r="B5" s="1">
        <v>501</v>
      </c>
      <c r="C5" s="1" t="s">
        <v>36</v>
      </c>
      <c r="D5" s="4">
        <v>44195</v>
      </c>
      <c r="E5" s="15">
        <v>0.63541666666666663</v>
      </c>
      <c r="F5" s="1" t="s">
        <v>147</v>
      </c>
      <c r="G5" s="4">
        <v>43783</v>
      </c>
      <c r="H5" s="1" t="str">
        <f t="shared" si="1"/>
        <v>1 г. 1 мес. 16 дн.</v>
      </c>
      <c r="I5" s="1" t="s">
        <v>28</v>
      </c>
      <c r="J5" s="1" t="s">
        <v>36</v>
      </c>
      <c r="K5" s="1" t="s">
        <v>148</v>
      </c>
      <c r="L5" s="1" t="s">
        <v>149</v>
      </c>
      <c r="M5" s="1" t="s">
        <v>60</v>
      </c>
      <c r="N5" s="1">
        <v>0</v>
      </c>
      <c r="O5" s="1" t="s">
        <v>82</v>
      </c>
      <c r="P5" s="1" t="s">
        <v>31</v>
      </c>
      <c r="Q5" s="4">
        <v>44199</v>
      </c>
      <c r="R5" s="6"/>
    </row>
    <row r="6" spans="1:18" ht="38.25" x14ac:dyDescent="0.25">
      <c r="A6" s="6">
        <f>ROW(A5)</f>
        <v>5</v>
      </c>
      <c r="B6" s="1">
        <v>494</v>
      </c>
      <c r="C6" s="1" t="s">
        <v>36</v>
      </c>
      <c r="D6" s="4">
        <v>44195</v>
      </c>
      <c r="E6" s="15">
        <v>0.63888888888888895</v>
      </c>
      <c r="F6" s="1" t="s">
        <v>150</v>
      </c>
      <c r="G6" s="4">
        <v>40074</v>
      </c>
      <c r="H6" s="1" t="str">
        <f t="shared" si="1"/>
        <v>11 г. 3 мес. 12 дн.</v>
      </c>
      <c r="I6" s="1" t="s">
        <v>27</v>
      </c>
      <c r="J6" s="1" t="s">
        <v>36</v>
      </c>
      <c r="K6" s="1" t="s">
        <v>151</v>
      </c>
      <c r="L6" s="1" t="s">
        <v>152</v>
      </c>
      <c r="M6" s="1" t="s">
        <v>57</v>
      </c>
      <c r="N6" s="1">
        <v>0</v>
      </c>
      <c r="O6" s="1" t="s">
        <v>82</v>
      </c>
      <c r="P6" s="1" t="s">
        <v>36</v>
      </c>
      <c r="Q6" s="4">
        <v>44199</v>
      </c>
      <c r="R6" s="6"/>
    </row>
    <row r="7" spans="1:18" ht="25.5" x14ac:dyDescent="0.25">
      <c r="A7" s="1">
        <v>6</v>
      </c>
      <c r="B7" s="1">
        <v>740</v>
      </c>
      <c r="C7" s="1" t="s">
        <v>37</v>
      </c>
      <c r="D7" s="4">
        <v>44196</v>
      </c>
      <c r="E7" s="15">
        <v>0.66666666666666663</v>
      </c>
      <c r="F7" s="1" t="s">
        <v>153</v>
      </c>
      <c r="G7" s="4">
        <v>42062</v>
      </c>
      <c r="H7" s="1" t="str">
        <f t="shared" si="1"/>
        <v>5 г. 10 мес. 4 дн.</v>
      </c>
      <c r="I7" s="1" t="s">
        <v>25</v>
      </c>
      <c r="J7" s="1" t="s">
        <v>37</v>
      </c>
      <c r="K7" s="1" t="s">
        <v>154</v>
      </c>
      <c r="L7" s="1" t="s">
        <v>155</v>
      </c>
      <c r="M7" s="1" t="s">
        <v>59</v>
      </c>
      <c r="N7" s="1">
        <v>0</v>
      </c>
      <c r="O7" s="1" t="s">
        <v>87</v>
      </c>
      <c r="P7" s="1" t="s">
        <v>37</v>
      </c>
      <c r="Q7" s="4">
        <v>44200</v>
      </c>
      <c r="R7" s="6"/>
    </row>
    <row r="8" spans="1:18" ht="25.5" x14ac:dyDescent="0.25">
      <c r="A8" s="6">
        <f>ROW(A7)</f>
        <v>7</v>
      </c>
      <c r="B8" s="1">
        <v>502</v>
      </c>
      <c r="C8" s="1" t="s">
        <v>36</v>
      </c>
      <c r="D8" s="4">
        <v>44196</v>
      </c>
      <c r="E8" s="15">
        <v>0.76388888888888884</v>
      </c>
      <c r="F8" s="1" t="s">
        <v>156</v>
      </c>
      <c r="G8" s="4">
        <v>44015</v>
      </c>
      <c r="H8" s="1" t="str">
        <f t="shared" si="1"/>
        <v>0 г. 5 мес. 28 дн.</v>
      </c>
      <c r="I8" s="1" t="s">
        <v>25</v>
      </c>
      <c r="J8" s="1" t="s">
        <v>36</v>
      </c>
      <c r="K8" s="1" t="s">
        <v>157</v>
      </c>
      <c r="L8" s="1" t="s">
        <v>158</v>
      </c>
      <c r="M8" s="1" t="s">
        <v>59</v>
      </c>
      <c r="N8" s="1">
        <v>0</v>
      </c>
      <c r="O8" s="1" t="s">
        <v>83</v>
      </c>
      <c r="P8" s="1" t="s">
        <v>36</v>
      </c>
      <c r="Q8" s="4">
        <v>44197</v>
      </c>
      <c r="R8" s="6"/>
    </row>
    <row r="9" spans="1:18" ht="25.5" x14ac:dyDescent="0.25">
      <c r="A9" s="6">
        <f>ROW(A8)</f>
        <v>8</v>
      </c>
      <c r="B9" s="1">
        <v>503</v>
      </c>
      <c r="C9" s="1" t="s">
        <v>36</v>
      </c>
      <c r="D9" s="4">
        <v>44196</v>
      </c>
      <c r="E9" s="15">
        <v>0.76736111111111116</v>
      </c>
      <c r="F9" s="1" t="s">
        <v>159</v>
      </c>
      <c r="G9" s="4">
        <v>44015</v>
      </c>
      <c r="H9" s="1" t="str">
        <f t="shared" si="1"/>
        <v>0 г. 5 мес. 28 дн.</v>
      </c>
      <c r="I9" s="1" t="s">
        <v>25</v>
      </c>
      <c r="J9" s="1" t="s">
        <v>36</v>
      </c>
      <c r="K9" s="1" t="s">
        <v>157</v>
      </c>
      <c r="L9" s="1" t="s">
        <v>158</v>
      </c>
      <c r="M9" s="1" t="s">
        <v>59</v>
      </c>
      <c r="N9" s="1">
        <v>0</v>
      </c>
      <c r="O9" s="1" t="s">
        <v>83</v>
      </c>
      <c r="P9" s="1" t="s">
        <v>36</v>
      </c>
      <c r="Q9" s="4">
        <v>44197</v>
      </c>
      <c r="R9" s="6"/>
    </row>
    <row r="10" spans="1:18" ht="25.5" x14ac:dyDescent="0.25">
      <c r="A10" s="1">
        <v>9</v>
      </c>
      <c r="B10" s="1">
        <v>2</v>
      </c>
      <c r="C10" s="1" t="s">
        <v>32</v>
      </c>
      <c r="D10" s="4">
        <v>44197</v>
      </c>
      <c r="E10" s="15">
        <v>0.70833333333333337</v>
      </c>
      <c r="F10" s="1" t="s">
        <v>111</v>
      </c>
      <c r="G10" s="4">
        <v>44197</v>
      </c>
      <c r="H10" s="1" t="str">
        <f t="shared" si="1"/>
        <v>0 г. 0 мес. 0 дн.</v>
      </c>
      <c r="I10" s="1" t="s">
        <v>28</v>
      </c>
      <c r="J10" s="1" t="s">
        <v>32</v>
      </c>
      <c r="K10" s="1" t="s">
        <v>112</v>
      </c>
      <c r="L10" s="1" t="s">
        <v>113</v>
      </c>
      <c r="M10" s="1" t="s">
        <v>60</v>
      </c>
      <c r="N10" s="1" t="s">
        <v>127</v>
      </c>
      <c r="O10" s="1" t="s">
        <v>88</v>
      </c>
      <c r="P10" s="1" t="s">
        <v>35</v>
      </c>
      <c r="Q10" s="4">
        <v>44210</v>
      </c>
      <c r="R10" s="12"/>
    </row>
    <row r="11" spans="1:18" ht="25.5" x14ac:dyDescent="0.25">
      <c r="A11" s="1">
        <f t="shared" ref="A11:A28" si="2">ROW(A10)</f>
        <v>10</v>
      </c>
      <c r="B11" s="1">
        <v>741</v>
      </c>
      <c r="C11" s="2" t="s">
        <v>37</v>
      </c>
      <c r="D11" s="5">
        <v>44198</v>
      </c>
      <c r="E11" s="10">
        <v>0.47222222222222227</v>
      </c>
      <c r="F11" s="1" t="s">
        <v>114</v>
      </c>
      <c r="G11" s="5">
        <v>43374</v>
      </c>
      <c r="H11" s="2" t="str">
        <f>DATEDIF(G11,D11,"y") &amp; " г. " &amp; DATEDIF(G11,D11,"ym") &amp; " мес. " &amp; DATEDIF(G11,D11,"md") &amp; " дн."</f>
        <v>2 г. 3 мес. 1 дн.</v>
      </c>
      <c r="I11" s="2" t="s">
        <v>28</v>
      </c>
      <c r="J11" s="2" t="s">
        <v>37</v>
      </c>
      <c r="K11" s="1" t="s">
        <v>115</v>
      </c>
      <c r="L11" s="1" t="s">
        <v>116</v>
      </c>
      <c r="M11" s="2" t="s">
        <v>59</v>
      </c>
      <c r="N11" s="1">
        <v>0</v>
      </c>
      <c r="O11" s="2" t="s">
        <v>82</v>
      </c>
      <c r="P11" s="2" t="s">
        <v>37</v>
      </c>
      <c r="Q11" s="5">
        <v>44201</v>
      </c>
      <c r="R11" s="12"/>
    </row>
    <row r="12" spans="1:18" ht="38.25" x14ac:dyDescent="0.25">
      <c r="A12" s="1">
        <f t="shared" si="2"/>
        <v>11</v>
      </c>
      <c r="B12" s="2">
        <v>3</v>
      </c>
      <c r="C12" s="2" t="s">
        <v>35</v>
      </c>
      <c r="D12" s="5">
        <v>44201</v>
      </c>
      <c r="E12" s="10">
        <v>0.72916666666666663</v>
      </c>
      <c r="F12" s="1" t="s">
        <v>117</v>
      </c>
      <c r="G12" s="5">
        <v>44180</v>
      </c>
      <c r="H12" s="2" t="str">
        <f t="shared" ref="H12:H67" si="3">DATEDIF(G12,D12,"y") &amp; " г. " &amp; DATEDIF(G12,D12,"ym") &amp; " мес. " &amp; DATEDIF(G12,D12,"md") &amp; " дн."</f>
        <v>0 г. 0 мес. 21 дн.</v>
      </c>
      <c r="I12" s="2" t="s">
        <v>28</v>
      </c>
      <c r="J12" s="2" t="s">
        <v>35</v>
      </c>
      <c r="K12" s="1" t="s">
        <v>118</v>
      </c>
      <c r="L12" s="1" t="s">
        <v>119</v>
      </c>
      <c r="M12" s="2" t="s">
        <v>57</v>
      </c>
      <c r="N12" s="1">
        <v>0</v>
      </c>
      <c r="O12" s="2" t="s">
        <v>82</v>
      </c>
      <c r="P12" s="2" t="s">
        <v>35</v>
      </c>
      <c r="Q12" s="5">
        <v>44205</v>
      </c>
      <c r="R12" s="6"/>
    </row>
    <row r="13" spans="1:18" ht="25.5" x14ac:dyDescent="0.25">
      <c r="A13" s="1">
        <f t="shared" si="2"/>
        <v>12</v>
      </c>
      <c r="B13" s="2">
        <v>2</v>
      </c>
      <c r="C13" s="2" t="s">
        <v>37</v>
      </c>
      <c r="D13" s="5">
        <v>44201</v>
      </c>
      <c r="E13" s="10">
        <v>0.75694444444444453</v>
      </c>
      <c r="F13" s="1" t="s">
        <v>120</v>
      </c>
      <c r="G13" s="5">
        <v>44078</v>
      </c>
      <c r="H13" s="2" t="str">
        <f t="shared" si="3"/>
        <v>0 г. 4 мес. 1 дн.</v>
      </c>
      <c r="I13" s="2" t="s">
        <v>25</v>
      </c>
      <c r="J13" s="2" t="s">
        <v>37</v>
      </c>
      <c r="K13" s="1" t="s">
        <v>121</v>
      </c>
      <c r="L13" s="1" t="s">
        <v>122</v>
      </c>
      <c r="M13" s="2" t="s">
        <v>59</v>
      </c>
      <c r="N13" s="1">
        <v>0</v>
      </c>
      <c r="O13" s="2" t="s">
        <v>82</v>
      </c>
      <c r="P13" s="2" t="s">
        <v>37</v>
      </c>
      <c r="Q13" s="5">
        <v>44202</v>
      </c>
      <c r="R13" s="6"/>
    </row>
    <row r="14" spans="1:18" ht="38.25" x14ac:dyDescent="0.25">
      <c r="A14" s="1">
        <f t="shared" si="2"/>
        <v>13</v>
      </c>
      <c r="B14" s="2">
        <v>9</v>
      </c>
      <c r="C14" s="2" t="s">
        <v>31</v>
      </c>
      <c r="D14" s="5">
        <v>44201</v>
      </c>
      <c r="E14" s="10">
        <v>0.55555555555555558</v>
      </c>
      <c r="F14" s="1" t="s">
        <v>123</v>
      </c>
      <c r="G14" s="5">
        <v>40919</v>
      </c>
      <c r="H14" s="2" t="str">
        <f t="shared" si="3"/>
        <v>8 г. 11 мес. 25 дн.</v>
      </c>
      <c r="I14" s="2" t="s">
        <v>28</v>
      </c>
      <c r="J14" s="2" t="s">
        <v>31</v>
      </c>
      <c r="K14" s="1" t="s">
        <v>124</v>
      </c>
      <c r="L14" s="1" t="s">
        <v>125</v>
      </c>
      <c r="M14" s="2" t="s">
        <v>60</v>
      </c>
      <c r="N14" s="1" t="s">
        <v>126</v>
      </c>
      <c r="O14" s="2" t="s">
        <v>87</v>
      </c>
      <c r="P14" s="2" t="s">
        <v>31</v>
      </c>
      <c r="Q14" s="5">
        <v>44208</v>
      </c>
      <c r="R14" s="6"/>
    </row>
    <row r="15" spans="1:18" ht="38.25" x14ac:dyDescent="0.25">
      <c r="A15" s="1">
        <f t="shared" si="2"/>
        <v>14</v>
      </c>
      <c r="B15" s="2">
        <v>11</v>
      </c>
      <c r="C15" s="2" t="s">
        <v>32</v>
      </c>
      <c r="D15" s="4">
        <v>44202</v>
      </c>
      <c r="E15" s="10">
        <v>0.63888888888888895</v>
      </c>
      <c r="F15" s="1" t="s">
        <v>130</v>
      </c>
      <c r="G15" s="5">
        <v>42650</v>
      </c>
      <c r="H15" s="2" t="str">
        <f t="shared" si="3"/>
        <v>4 г. 2 мес. 30 дн.</v>
      </c>
      <c r="I15" s="2" t="s">
        <v>25</v>
      </c>
      <c r="J15" s="2" t="s">
        <v>32</v>
      </c>
      <c r="K15" s="1" t="s">
        <v>128</v>
      </c>
      <c r="L15" s="1" t="s">
        <v>129</v>
      </c>
      <c r="M15" s="2" t="s">
        <v>63</v>
      </c>
      <c r="N15" s="1">
        <v>0</v>
      </c>
      <c r="O15" s="2" t="s">
        <v>82</v>
      </c>
      <c r="P15" s="2" t="s">
        <v>32</v>
      </c>
      <c r="Q15" s="5">
        <v>44204</v>
      </c>
      <c r="R15" s="6"/>
    </row>
    <row r="16" spans="1:18" ht="25.5" x14ac:dyDescent="0.25">
      <c r="A16" s="1">
        <f t="shared" si="2"/>
        <v>15</v>
      </c>
      <c r="B16" s="2">
        <v>12</v>
      </c>
      <c r="C16" s="2" t="s">
        <v>31</v>
      </c>
      <c r="D16" s="5">
        <v>44202</v>
      </c>
      <c r="E16" s="10">
        <v>0.90972222222222221</v>
      </c>
      <c r="F16" s="1" t="s">
        <v>131</v>
      </c>
      <c r="G16" s="5">
        <v>43805</v>
      </c>
      <c r="H16" s="2" t="str">
        <f t="shared" si="3"/>
        <v>1 г. 1 мес. 0 дн.</v>
      </c>
      <c r="I16" s="2" t="s">
        <v>28</v>
      </c>
      <c r="J16" s="2" t="s">
        <v>31</v>
      </c>
      <c r="K16" s="1" t="s">
        <v>132</v>
      </c>
      <c r="L16" s="1" t="s">
        <v>133</v>
      </c>
      <c r="M16" s="2" t="s">
        <v>65</v>
      </c>
      <c r="N16" s="1">
        <v>0</v>
      </c>
      <c r="O16" s="2" t="s">
        <v>87</v>
      </c>
      <c r="P16" s="2" t="s">
        <v>31</v>
      </c>
      <c r="Q16" s="5">
        <v>44205</v>
      </c>
      <c r="R16" s="6"/>
    </row>
    <row r="17" spans="1:18" ht="25.5" x14ac:dyDescent="0.25">
      <c r="A17" s="1">
        <f t="shared" si="2"/>
        <v>16</v>
      </c>
      <c r="B17" s="2">
        <v>13</v>
      </c>
      <c r="C17" s="2" t="s">
        <v>32</v>
      </c>
      <c r="D17" s="5">
        <v>44202</v>
      </c>
      <c r="E17" s="10">
        <v>0.95833333333333337</v>
      </c>
      <c r="F17" s="1" t="s">
        <v>134</v>
      </c>
      <c r="G17" s="5">
        <v>41748</v>
      </c>
      <c r="H17" s="2" t="str">
        <f t="shared" si="3"/>
        <v>6 г. 8 мес. 18 дн.</v>
      </c>
      <c r="I17" s="2" t="s">
        <v>28</v>
      </c>
      <c r="J17" s="2" t="s">
        <v>32</v>
      </c>
      <c r="K17" s="1" t="s">
        <v>135</v>
      </c>
      <c r="L17" s="1" t="s">
        <v>136</v>
      </c>
      <c r="M17" s="2" t="s">
        <v>60</v>
      </c>
      <c r="N17" s="1">
        <v>0</v>
      </c>
      <c r="O17" s="2" t="s">
        <v>82</v>
      </c>
      <c r="P17" s="2" t="s">
        <v>32</v>
      </c>
      <c r="Q17" s="5">
        <v>44205</v>
      </c>
      <c r="R17" s="12"/>
    </row>
    <row r="18" spans="1:18" ht="38.25" x14ac:dyDescent="0.25">
      <c r="A18" s="1">
        <f t="shared" si="2"/>
        <v>17</v>
      </c>
      <c r="B18" s="2">
        <v>11</v>
      </c>
      <c r="C18" s="2" t="s">
        <v>31</v>
      </c>
      <c r="D18" s="5">
        <v>44202</v>
      </c>
      <c r="E18" s="10">
        <v>0.89583333333333337</v>
      </c>
      <c r="F18" s="1" t="s">
        <v>137</v>
      </c>
      <c r="G18" s="5">
        <v>41984</v>
      </c>
      <c r="H18" s="2" t="str">
        <f t="shared" si="3"/>
        <v>6 г. 0 мес. 26 дн.</v>
      </c>
      <c r="I18" s="2" t="s">
        <v>26</v>
      </c>
      <c r="J18" s="2" t="s">
        <v>31</v>
      </c>
      <c r="K18" s="1" t="s">
        <v>138</v>
      </c>
      <c r="L18" s="1" t="s">
        <v>139</v>
      </c>
      <c r="M18" s="2" t="s">
        <v>60</v>
      </c>
      <c r="N18" s="1">
        <v>0</v>
      </c>
      <c r="O18" s="2" t="s">
        <v>82</v>
      </c>
      <c r="P18" s="2" t="s">
        <v>31</v>
      </c>
      <c r="Q18" s="5">
        <v>44203</v>
      </c>
      <c r="R18" s="6"/>
    </row>
    <row r="19" spans="1:18" ht="25.5" x14ac:dyDescent="0.25">
      <c r="A19" s="1">
        <f t="shared" si="2"/>
        <v>18</v>
      </c>
      <c r="B19" s="2">
        <v>4</v>
      </c>
      <c r="C19" s="2" t="s">
        <v>37</v>
      </c>
      <c r="D19" s="5">
        <v>44204</v>
      </c>
      <c r="E19" s="10">
        <v>0.875</v>
      </c>
      <c r="F19" s="1" t="s">
        <v>140</v>
      </c>
      <c r="G19" s="5">
        <v>43705</v>
      </c>
      <c r="H19" s="2" t="str">
        <f t="shared" si="3"/>
        <v>1 г. 4 мес. 11 дн.</v>
      </c>
      <c r="I19" s="2" t="s">
        <v>28</v>
      </c>
      <c r="J19" s="2" t="s">
        <v>37</v>
      </c>
      <c r="K19" s="1" t="s">
        <v>141</v>
      </c>
      <c r="L19" s="1" t="s">
        <v>142</v>
      </c>
      <c r="M19" s="2" t="s">
        <v>59</v>
      </c>
      <c r="N19" s="1">
        <v>0</v>
      </c>
      <c r="O19" s="2" t="s">
        <v>87</v>
      </c>
      <c r="P19" s="2" t="s">
        <v>37</v>
      </c>
      <c r="Q19" s="5">
        <v>44206</v>
      </c>
      <c r="R19" s="6"/>
    </row>
    <row r="20" spans="1:18" ht="25.5" x14ac:dyDescent="0.25">
      <c r="A20" s="1">
        <f t="shared" si="2"/>
        <v>19</v>
      </c>
      <c r="B20" s="2">
        <v>18</v>
      </c>
      <c r="C20" s="2" t="s">
        <v>31</v>
      </c>
      <c r="D20" s="5">
        <v>44206</v>
      </c>
      <c r="E20" s="10">
        <v>8.3333333333333329E-2</v>
      </c>
      <c r="F20" s="1" t="s">
        <v>143</v>
      </c>
      <c r="G20" s="5">
        <v>41653</v>
      </c>
      <c r="H20" s="2" t="str">
        <f t="shared" si="3"/>
        <v>6 г. 11 мес. 27 дн.</v>
      </c>
      <c r="I20" s="2" t="s">
        <v>26</v>
      </c>
      <c r="J20" s="2" t="s">
        <v>31</v>
      </c>
      <c r="K20" s="1" t="s">
        <v>144</v>
      </c>
      <c r="L20" s="1" t="s">
        <v>139</v>
      </c>
      <c r="M20" s="2" t="s">
        <v>60</v>
      </c>
      <c r="N20" s="1">
        <v>0</v>
      </c>
      <c r="O20" s="2" t="s">
        <v>82</v>
      </c>
      <c r="P20" s="2" t="s">
        <v>31</v>
      </c>
      <c r="Q20" s="5">
        <v>44206</v>
      </c>
      <c r="R20" s="12"/>
    </row>
    <row r="21" spans="1:18" ht="25.5" x14ac:dyDescent="0.25">
      <c r="A21" s="1">
        <f t="shared" si="2"/>
        <v>20</v>
      </c>
      <c r="B21" s="2">
        <v>20</v>
      </c>
      <c r="C21" s="2" t="s">
        <v>31</v>
      </c>
      <c r="D21" s="5">
        <v>44206</v>
      </c>
      <c r="E21" s="10">
        <v>0.3298611111111111</v>
      </c>
      <c r="F21" s="1" t="s">
        <v>145</v>
      </c>
      <c r="G21" s="5">
        <v>39638</v>
      </c>
      <c r="H21" s="2" t="str">
        <f t="shared" si="3"/>
        <v>12 г. 6 мес. 1 дн.</v>
      </c>
      <c r="I21" s="2" t="s">
        <v>26</v>
      </c>
      <c r="J21" s="2" t="s">
        <v>31</v>
      </c>
      <c r="K21" s="1" t="s">
        <v>146</v>
      </c>
      <c r="L21" s="1" t="s">
        <v>139</v>
      </c>
      <c r="M21" s="2" t="s">
        <v>60</v>
      </c>
      <c r="N21" s="1">
        <v>0</v>
      </c>
      <c r="O21" s="2" t="s">
        <v>82</v>
      </c>
      <c r="P21" s="2" t="s">
        <v>31</v>
      </c>
      <c r="Q21" s="5">
        <v>44206</v>
      </c>
      <c r="R21" s="12"/>
    </row>
    <row r="22" spans="1:18" ht="60" x14ac:dyDescent="0.25">
      <c r="A22" s="33">
        <f t="shared" si="2"/>
        <v>21</v>
      </c>
      <c r="B22" s="30">
        <v>6</v>
      </c>
      <c r="C22" s="35" t="s">
        <v>38</v>
      </c>
      <c r="D22" s="36">
        <v>44208</v>
      </c>
      <c r="E22" s="37">
        <v>0.51388888888888895</v>
      </c>
      <c r="F22" s="35" t="s">
        <v>160</v>
      </c>
      <c r="G22" s="36">
        <v>44169</v>
      </c>
      <c r="H22" s="35" t="str">
        <f t="shared" si="3"/>
        <v>0 г. 1 мес. 8 дн.</v>
      </c>
      <c r="I22" s="35" t="s">
        <v>29</v>
      </c>
      <c r="J22" s="35" t="s">
        <v>38</v>
      </c>
      <c r="K22" s="35" t="s">
        <v>161</v>
      </c>
      <c r="L22" s="35" t="s">
        <v>162</v>
      </c>
      <c r="M22" s="35" t="s">
        <v>57</v>
      </c>
      <c r="N22" s="35" t="s">
        <v>281</v>
      </c>
      <c r="O22" s="35" t="s">
        <v>88</v>
      </c>
      <c r="P22" s="35" t="s">
        <v>40</v>
      </c>
      <c r="Q22" s="38">
        <v>44235</v>
      </c>
      <c r="R22" s="37">
        <v>0.51388888888888895</v>
      </c>
    </row>
    <row r="23" spans="1:18" ht="38.25" x14ac:dyDescent="0.25">
      <c r="A23" s="1">
        <f>ROW(A22)</f>
        <v>22</v>
      </c>
      <c r="B23" s="2">
        <v>31</v>
      </c>
      <c r="C23" s="2" t="s">
        <v>31</v>
      </c>
      <c r="D23" s="5">
        <v>44212</v>
      </c>
      <c r="E23" s="10">
        <v>0.375</v>
      </c>
      <c r="F23" s="1" t="s">
        <v>163</v>
      </c>
      <c r="G23" s="5">
        <v>38012</v>
      </c>
      <c r="H23" s="2" t="str">
        <f t="shared" si="3"/>
        <v>16 г. 11 мес. 21 дн.</v>
      </c>
      <c r="I23" s="2" t="s">
        <v>27</v>
      </c>
      <c r="J23" s="2" t="s">
        <v>31</v>
      </c>
      <c r="K23" s="1" t="s">
        <v>164</v>
      </c>
      <c r="L23" s="1" t="s">
        <v>165</v>
      </c>
      <c r="M23" s="2" t="s">
        <v>51</v>
      </c>
      <c r="N23" s="1">
        <v>0</v>
      </c>
      <c r="O23" s="2" t="s">
        <v>82</v>
      </c>
      <c r="P23" s="2" t="s">
        <v>31</v>
      </c>
      <c r="Q23" s="5">
        <v>44213</v>
      </c>
      <c r="R23" s="12"/>
    </row>
    <row r="24" spans="1:18" ht="25.5" x14ac:dyDescent="0.25">
      <c r="A24" s="1">
        <f t="shared" si="2"/>
        <v>23</v>
      </c>
      <c r="B24" s="2">
        <v>35</v>
      </c>
      <c r="C24" s="2" t="s">
        <v>37</v>
      </c>
      <c r="D24" s="5">
        <v>44214</v>
      </c>
      <c r="E24" s="10">
        <v>2.0833333333333332E-2</v>
      </c>
      <c r="F24" s="1" t="s">
        <v>166</v>
      </c>
      <c r="G24" s="5">
        <v>43857</v>
      </c>
      <c r="H24" s="2" t="str">
        <f t="shared" si="3"/>
        <v>0 г. 11 мес. 22 дн.</v>
      </c>
      <c r="I24" s="2" t="s">
        <v>25</v>
      </c>
      <c r="J24" s="2" t="s">
        <v>37</v>
      </c>
      <c r="K24" s="1" t="s">
        <v>167</v>
      </c>
      <c r="L24" s="1" t="s">
        <v>116</v>
      </c>
      <c r="M24" s="2" t="s">
        <v>59</v>
      </c>
      <c r="N24" s="1">
        <v>0</v>
      </c>
      <c r="O24" s="2" t="s">
        <v>82</v>
      </c>
      <c r="P24" s="2" t="s">
        <v>37</v>
      </c>
      <c r="Q24" s="5">
        <v>44214</v>
      </c>
      <c r="R24" s="6"/>
    </row>
    <row r="25" spans="1:18" ht="51" x14ac:dyDescent="0.25">
      <c r="A25" s="1">
        <f t="shared" si="2"/>
        <v>24</v>
      </c>
      <c r="B25" s="2">
        <v>2</v>
      </c>
      <c r="C25" s="2" t="s">
        <v>32</v>
      </c>
      <c r="D25" s="5">
        <v>44214</v>
      </c>
      <c r="E25" s="10">
        <v>0.45833333333333331</v>
      </c>
      <c r="F25" s="1" t="s">
        <v>171</v>
      </c>
      <c r="G25" s="5">
        <v>44197</v>
      </c>
      <c r="H25" s="2" t="str">
        <f t="shared" si="3"/>
        <v>0 г. 0 мес. 17 дн.</v>
      </c>
      <c r="I25" s="2" t="s">
        <v>30</v>
      </c>
      <c r="J25" s="2" t="s">
        <v>35</v>
      </c>
      <c r="K25" s="1" t="s">
        <v>172</v>
      </c>
      <c r="L25" s="1" t="s">
        <v>174</v>
      </c>
      <c r="M25" s="2" t="s">
        <v>67</v>
      </c>
      <c r="N25" s="1" t="s">
        <v>203</v>
      </c>
      <c r="O25" s="2" t="s">
        <v>87</v>
      </c>
      <c r="P25" s="1" t="s">
        <v>39</v>
      </c>
      <c r="Q25" s="5">
        <v>44230</v>
      </c>
      <c r="R25" s="12"/>
    </row>
    <row r="26" spans="1:18" customFormat="1" ht="63.75" x14ac:dyDescent="0.25">
      <c r="A26" s="1">
        <f t="shared" si="2"/>
        <v>25</v>
      </c>
      <c r="B26" s="1">
        <v>13</v>
      </c>
      <c r="C26" s="2" t="s">
        <v>36</v>
      </c>
      <c r="D26" s="5">
        <v>44214</v>
      </c>
      <c r="E26" s="10">
        <v>0.71527777777777779</v>
      </c>
      <c r="F26" s="1" t="s">
        <v>168</v>
      </c>
      <c r="G26" s="5">
        <v>38828</v>
      </c>
      <c r="H26" s="2" t="str">
        <f t="shared" si="3"/>
        <v>14 г. 8 мес. 28 дн.</v>
      </c>
      <c r="I26" s="1" t="s">
        <v>25</v>
      </c>
      <c r="J26" s="2" t="s">
        <v>36</v>
      </c>
      <c r="K26" s="1" t="s">
        <v>169</v>
      </c>
      <c r="L26" s="1" t="s">
        <v>170</v>
      </c>
      <c r="M26" s="2" t="s">
        <v>54</v>
      </c>
      <c r="N26" s="1">
        <v>0</v>
      </c>
      <c r="O26" s="1" t="s">
        <v>82</v>
      </c>
      <c r="P26" s="2" t="s">
        <v>39</v>
      </c>
      <c r="Q26" s="5">
        <v>44215</v>
      </c>
      <c r="R26" s="12"/>
    </row>
    <row r="27" spans="1:18" ht="25.5" x14ac:dyDescent="0.25">
      <c r="A27" s="1">
        <f t="shared" si="2"/>
        <v>26</v>
      </c>
      <c r="B27" s="2">
        <v>11</v>
      </c>
      <c r="C27" s="2" t="s">
        <v>31</v>
      </c>
      <c r="D27" s="5">
        <v>44215</v>
      </c>
      <c r="E27" s="10">
        <v>0.79166666666666663</v>
      </c>
      <c r="F27" s="1" t="s">
        <v>173</v>
      </c>
      <c r="G27" s="5">
        <v>39266</v>
      </c>
      <c r="H27" s="2" t="str">
        <f t="shared" si="3"/>
        <v>13 г. 6 мес. 16 дн.</v>
      </c>
      <c r="I27" s="2" t="s">
        <v>26</v>
      </c>
      <c r="J27" s="2" t="s">
        <v>31</v>
      </c>
      <c r="K27" s="1" t="s">
        <v>176</v>
      </c>
      <c r="L27" s="1" t="s">
        <v>175</v>
      </c>
      <c r="M27" s="2" t="s">
        <v>60</v>
      </c>
      <c r="N27" s="1">
        <v>0</v>
      </c>
      <c r="O27" s="2" t="s">
        <v>82</v>
      </c>
      <c r="P27" s="2" t="s">
        <v>31</v>
      </c>
      <c r="Q27" s="5">
        <v>44216</v>
      </c>
      <c r="R27" s="12"/>
    </row>
    <row r="28" spans="1:18" ht="38.25" x14ac:dyDescent="0.25">
      <c r="A28" s="1">
        <f t="shared" si="2"/>
        <v>27</v>
      </c>
      <c r="B28" s="2">
        <v>19</v>
      </c>
      <c r="C28" s="2" t="s">
        <v>31</v>
      </c>
      <c r="D28" s="5">
        <v>44216</v>
      </c>
      <c r="E28" s="10">
        <v>0.6875</v>
      </c>
      <c r="F28" s="1" t="s">
        <v>177</v>
      </c>
      <c r="G28" s="5">
        <v>39582</v>
      </c>
      <c r="H28" s="2" t="str">
        <f t="shared" si="3"/>
        <v>12 г. 8 мес. 6 дн.</v>
      </c>
      <c r="I28" s="2" t="s">
        <v>26</v>
      </c>
      <c r="J28" s="2" t="s">
        <v>31</v>
      </c>
      <c r="K28" s="1" t="s">
        <v>178</v>
      </c>
      <c r="L28" s="1" t="s">
        <v>179</v>
      </c>
      <c r="M28" s="2" t="s">
        <v>61</v>
      </c>
      <c r="N28" s="1">
        <v>0</v>
      </c>
      <c r="O28" s="2" t="s">
        <v>82</v>
      </c>
      <c r="P28" s="2" t="s">
        <v>31</v>
      </c>
      <c r="Q28" s="5">
        <v>44217</v>
      </c>
      <c r="R28" s="12"/>
    </row>
    <row r="29" spans="1:18" ht="25.5" x14ac:dyDescent="0.25">
      <c r="A29" s="2">
        <f t="shared" ref="A29:A92" si="4">ROW(A28)</f>
        <v>28</v>
      </c>
      <c r="B29" s="2">
        <v>28</v>
      </c>
      <c r="C29" s="2" t="s">
        <v>31</v>
      </c>
      <c r="D29" s="5">
        <v>44217</v>
      </c>
      <c r="E29" s="10">
        <v>0.71527777777777779</v>
      </c>
      <c r="F29" s="1" t="s">
        <v>180</v>
      </c>
      <c r="G29" s="5">
        <v>38329</v>
      </c>
      <c r="H29" s="2" t="str">
        <f t="shared" si="3"/>
        <v>16 г. 1 мес. 13 дн.</v>
      </c>
      <c r="I29" s="2" t="s">
        <v>26</v>
      </c>
      <c r="J29" s="2" t="s">
        <v>31</v>
      </c>
      <c r="K29" s="1" t="s">
        <v>181</v>
      </c>
      <c r="L29" s="1" t="s">
        <v>182</v>
      </c>
      <c r="M29" s="2" t="s">
        <v>60</v>
      </c>
      <c r="N29" s="1">
        <v>0</v>
      </c>
      <c r="O29" s="2" t="s">
        <v>82</v>
      </c>
      <c r="P29" s="2" t="s">
        <v>31</v>
      </c>
      <c r="Q29" s="5">
        <v>44218</v>
      </c>
      <c r="R29" s="12"/>
    </row>
    <row r="30" spans="1:18" ht="38.25" x14ac:dyDescent="0.25">
      <c r="A30" s="2">
        <f t="shared" si="4"/>
        <v>29</v>
      </c>
      <c r="B30" s="2"/>
      <c r="C30" s="2" t="s">
        <v>33</v>
      </c>
      <c r="D30" s="5">
        <v>44217</v>
      </c>
      <c r="E30" s="10">
        <v>0.96527777777777779</v>
      </c>
      <c r="F30" s="1" t="s">
        <v>183</v>
      </c>
      <c r="G30" s="5"/>
      <c r="H30" s="2" t="str">
        <f t="shared" si="3"/>
        <v>121 г. 0 мес. 21 дн.</v>
      </c>
      <c r="I30" s="2" t="s">
        <v>26</v>
      </c>
      <c r="J30" s="2" t="s">
        <v>33</v>
      </c>
      <c r="K30" s="1" t="s">
        <v>184</v>
      </c>
      <c r="L30" s="1" t="s">
        <v>185</v>
      </c>
      <c r="M30" s="2" t="s">
        <v>62</v>
      </c>
      <c r="N30" s="1">
        <v>0</v>
      </c>
      <c r="O30" s="2" t="s">
        <v>82</v>
      </c>
      <c r="P30" s="2" t="s">
        <v>39</v>
      </c>
      <c r="Q30" s="5">
        <v>44218</v>
      </c>
      <c r="R30" s="6"/>
    </row>
    <row r="31" spans="1:18" ht="30" x14ac:dyDescent="0.25">
      <c r="A31" s="14">
        <f t="shared" si="4"/>
        <v>30</v>
      </c>
      <c r="B31" s="16">
        <v>25</v>
      </c>
      <c r="C31" s="16" t="s">
        <v>31</v>
      </c>
      <c r="D31" s="17">
        <v>44218</v>
      </c>
      <c r="E31" s="18">
        <v>6.5972222222222224E-2</v>
      </c>
      <c r="F31" s="16" t="s">
        <v>186</v>
      </c>
      <c r="G31" s="17">
        <v>39108</v>
      </c>
      <c r="H31" s="16" t="str">
        <f t="shared" si="3"/>
        <v>13 г. 11 мес. 27 дн.</v>
      </c>
      <c r="I31" s="16" t="s">
        <v>26</v>
      </c>
      <c r="J31" s="16" t="s">
        <v>31</v>
      </c>
      <c r="K31" s="16" t="s">
        <v>187</v>
      </c>
      <c r="L31" s="16" t="s">
        <v>136</v>
      </c>
      <c r="M31" s="16" t="s">
        <v>60</v>
      </c>
      <c r="N31" s="1">
        <v>0</v>
      </c>
      <c r="O31" s="16" t="s">
        <v>82</v>
      </c>
      <c r="P31" s="16" t="s">
        <v>31</v>
      </c>
      <c r="Q31" s="4">
        <v>44221</v>
      </c>
      <c r="R31" s="14"/>
    </row>
    <row r="32" spans="1:18" ht="63.75" x14ac:dyDescent="0.25">
      <c r="A32" s="2">
        <f t="shared" si="4"/>
        <v>31</v>
      </c>
      <c r="B32" s="2">
        <v>23</v>
      </c>
      <c r="C32" s="2" t="s">
        <v>36</v>
      </c>
      <c r="D32" s="5">
        <v>44220</v>
      </c>
      <c r="E32" s="10">
        <v>0.47222222222222227</v>
      </c>
      <c r="F32" s="1" t="s">
        <v>188</v>
      </c>
      <c r="G32" s="5">
        <v>39464</v>
      </c>
      <c r="H32" s="2" t="str">
        <f t="shared" si="3"/>
        <v>13 г. 0 мес. 7 дн.</v>
      </c>
      <c r="I32" s="2" t="s">
        <v>28</v>
      </c>
      <c r="J32" s="2" t="s">
        <v>36</v>
      </c>
      <c r="K32" s="1" t="s">
        <v>189</v>
      </c>
      <c r="L32" s="1" t="s">
        <v>190</v>
      </c>
      <c r="M32" s="2" t="s">
        <v>54</v>
      </c>
      <c r="N32" s="1">
        <v>0</v>
      </c>
      <c r="O32" s="2" t="s">
        <v>82</v>
      </c>
      <c r="P32" s="2" t="s">
        <v>39</v>
      </c>
      <c r="Q32" s="5">
        <v>44221</v>
      </c>
      <c r="R32" s="6"/>
    </row>
    <row r="33" spans="1:18" ht="38.25" x14ac:dyDescent="0.25">
      <c r="A33" s="2">
        <f t="shared" si="4"/>
        <v>32</v>
      </c>
      <c r="B33" s="2">
        <v>49</v>
      </c>
      <c r="C33" s="2" t="s">
        <v>32</v>
      </c>
      <c r="D33" s="5">
        <v>44221</v>
      </c>
      <c r="E33" s="10">
        <v>8.3333333333333329E-2</v>
      </c>
      <c r="G33" s="5"/>
      <c r="H33" s="1" t="s">
        <v>259</v>
      </c>
      <c r="I33" s="2" t="s">
        <v>25</v>
      </c>
      <c r="J33" s="2" t="s">
        <v>32</v>
      </c>
      <c r="L33" s="1" t="s">
        <v>191</v>
      </c>
      <c r="M33" s="2" t="s">
        <v>63</v>
      </c>
      <c r="N33" s="1">
        <v>0</v>
      </c>
      <c r="O33" s="2" t="s">
        <v>82</v>
      </c>
      <c r="P33" s="2" t="s">
        <v>32</v>
      </c>
      <c r="Q33" s="5">
        <v>44222</v>
      </c>
      <c r="R33" s="12"/>
    </row>
    <row r="34" spans="1:18" ht="38.25" x14ac:dyDescent="0.25">
      <c r="A34" s="2">
        <f t="shared" si="4"/>
        <v>33</v>
      </c>
      <c r="B34" s="2">
        <v>50</v>
      </c>
      <c r="C34" s="2" t="s">
        <v>32</v>
      </c>
      <c r="D34" s="5">
        <v>44221</v>
      </c>
      <c r="E34" s="10">
        <v>9.0277777777777776E-2</v>
      </c>
      <c r="G34" s="5"/>
      <c r="H34" s="1" t="s">
        <v>258</v>
      </c>
      <c r="I34" s="2" t="s">
        <v>25</v>
      </c>
      <c r="J34" s="2" t="s">
        <v>32</v>
      </c>
      <c r="L34" s="1" t="s">
        <v>191</v>
      </c>
      <c r="M34" s="2" t="s">
        <v>63</v>
      </c>
      <c r="N34" s="1">
        <v>0</v>
      </c>
      <c r="O34" s="2" t="s">
        <v>82</v>
      </c>
      <c r="P34" s="2" t="s">
        <v>32</v>
      </c>
      <c r="Q34" s="5">
        <v>44222</v>
      </c>
      <c r="R34" s="12"/>
    </row>
    <row r="35" spans="1:18" ht="25.5" x14ac:dyDescent="0.25">
      <c r="A35" s="2">
        <f t="shared" si="4"/>
        <v>34</v>
      </c>
      <c r="B35" s="2">
        <v>31</v>
      </c>
      <c r="C35" s="2" t="s">
        <v>32</v>
      </c>
      <c r="D35" s="5">
        <v>44221</v>
      </c>
      <c r="E35" s="10">
        <v>0.55208333333333337</v>
      </c>
      <c r="F35" s="1" t="s">
        <v>194</v>
      </c>
      <c r="G35" s="5">
        <v>40683</v>
      </c>
      <c r="H35" s="2" t="str">
        <f t="shared" si="3"/>
        <v>9 г. 8 мес. 5 дн.</v>
      </c>
      <c r="I35" s="2" t="s">
        <v>26</v>
      </c>
      <c r="J35" s="2" t="s">
        <v>32</v>
      </c>
      <c r="K35" s="1" t="s">
        <v>192</v>
      </c>
      <c r="L35" s="1" t="s">
        <v>193</v>
      </c>
      <c r="M35" s="2" t="s">
        <v>60</v>
      </c>
      <c r="N35" s="1">
        <v>0</v>
      </c>
      <c r="O35" s="2" t="s">
        <v>82</v>
      </c>
      <c r="P35" s="2" t="s">
        <v>32</v>
      </c>
      <c r="Q35" s="5">
        <v>44222</v>
      </c>
      <c r="R35" s="6"/>
    </row>
    <row r="36" spans="1:18" ht="38.25" x14ac:dyDescent="0.25">
      <c r="A36" s="2">
        <f t="shared" si="4"/>
        <v>35</v>
      </c>
      <c r="B36" s="2">
        <v>31</v>
      </c>
      <c r="C36" s="2" t="s">
        <v>38</v>
      </c>
      <c r="D36" s="5">
        <v>44222</v>
      </c>
      <c r="E36" s="10">
        <v>0.64583333333333337</v>
      </c>
      <c r="F36" s="1" t="s">
        <v>195</v>
      </c>
      <c r="G36" s="5">
        <v>43782</v>
      </c>
      <c r="H36" s="2" t="str">
        <f t="shared" si="3"/>
        <v>1 г. 2 мес. 13 дн.</v>
      </c>
      <c r="I36" s="2" t="s">
        <v>25</v>
      </c>
      <c r="J36" s="2" t="s">
        <v>38</v>
      </c>
      <c r="K36" s="1" t="s">
        <v>196</v>
      </c>
      <c r="L36" s="1" t="s">
        <v>197</v>
      </c>
      <c r="M36" s="2" t="s">
        <v>57</v>
      </c>
      <c r="N36" s="1">
        <v>0</v>
      </c>
      <c r="O36" s="2" t="s">
        <v>82</v>
      </c>
      <c r="P36" s="2" t="s">
        <v>38</v>
      </c>
      <c r="Q36" s="5">
        <v>44223</v>
      </c>
      <c r="R36" s="6"/>
    </row>
    <row r="37" spans="1:18" ht="38.25" x14ac:dyDescent="0.25">
      <c r="A37" s="2">
        <f t="shared" si="4"/>
        <v>36</v>
      </c>
      <c r="B37" s="2">
        <v>5</v>
      </c>
      <c r="C37" s="2" t="s">
        <v>38</v>
      </c>
      <c r="D37" s="5">
        <v>44222</v>
      </c>
      <c r="E37" s="10">
        <v>0.75</v>
      </c>
      <c r="F37" s="1" t="s">
        <v>198</v>
      </c>
      <c r="G37" s="5">
        <v>44120</v>
      </c>
      <c r="H37" s="2" t="str">
        <f t="shared" si="3"/>
        <v>0 г. 3 мес. 10 дн.</v>
      </c>
      <c r="I37" s="2" t="s">
        <v>27</v>
      </c>
      <c r="J37" s="2" t="s">
        <v>38</v>
      </c>
      <c r="K37" s="1" t="s">
        <v>199</v>
      </c>
      <c r="L37" s="1" t="s">
        <v>200</v>
      </c>
      <c r="M37" s="2" t="s">
        <v>57</v>
      </c>
      <c r="N37" s="1">
        <v>0</v>
      </c>
      <c r="O37" s="2" t="s">
        <v>82</v>
      </c>
      <c r="P37" s="2" t="s">
        <v>38</v>
      </c>
      <c r="Q37" s="5">
        <v>44223</v>
      </c>
      <c r="R37" s="6"/>
    </row>
    <row r="38" spans="1:18" ht="25.5" x14ac:dyDescent="0.25">
      <c r="A38" s="2">
        <f t="shared" si="4"/>
        <v>37</v>
      </c>
      <c r="B38" s="1">
        <v>65</v>
      </c>
      <c r="C38" s="2" t="s">
        <v>31</v>
      </c>
      <c r="D38" s="5">
        <v>44222</v>
      </c>
      <c r="E38" s="10">
        <v>0.88541666666666663</v>
      </c>
      <c r="F38" s="1" t="s">
        <v>201</v>
      </c>
      <c r="G38" s="5">
        <v>41438</v>
      </c>
      <c r="H38" s="2" t="str">
        <f t="shared" si="3"/>
        <v>7 г. 7 мес. 13 дн.</v>
      </c>
      <c r="I38" s="2" t="s">
        <v>26</v>
      </c>
      <c r="J38" s="2" t="s">
        <v>31</v>
      </c>
      <c r="K38" s="1" t="s">
        <v>202</v>
      </c>
      <c r="L38" s="1" t="s">
        <v>139</v>
      </c>
      <c r="M38" s="2" t="s">
        <v>60</v>
      </c>
      <c r="N38" s="1">
        <v>0</v>
      </c>
      <c r="O38" s="2" t="s">
        <v>82</v>
      </c>
      <c r="P38" s="2" t="s">
        <v>31</v>
      </c>
      <c r="Q38" s="5">
        <v>44223</v>
      </c>
      <c r="R38" s="6"/>
    </row>
    <row r="39" spans="1:18" ht="38.25" x14ac:dyDescent="0.25">
      <c r="A39" s="2">
        <f t="shared" si="4"/>
        <v>38</v>
      </c>
      <c r="B39" s="2">
        <v>31</v>
      </c>
      <c r="C39" s="2" t="s">
        <v>38</v>
      </c>
      <c r="D39" s="5">
        <v>44224</v>
      </c>
      <c r="E39" s="10">
        <v>0.72916666666666663</v>
      </c>
      <c r="F39" s="1" t="s">
        <v>195</v>
      </c>
      <c r="G39" s="5">
        <v>43782</v>
      </c>
      <c r="H39" s="2" t="str">
        <f t="shared" si="3"/>
        <v>1 г. 2 мес. 15 дн.</v>
      </c>
      <c r="I39" s="2" t="s">
        <v>27</v>
      </c>
      <c r="J39" s="2" t="s">
        <v>38</v>
      </c>
      <c r="K39" s="1" t="s">
        <v>196</v>
      </c>
      <c r="L39" s="1" t="s">
        <v>204</v>
      </c>
      <c r="M39" s="2" t="s">
        <v>57</v>
      </c>
      <c r="N39" s="1" t="s">
        <v>256</v>
      </c>
      <c r="O39" s="2" t="s">
        <v>82</v>
      </c>
      <c r="P39" s="2" t="s">
        <v>38</v>
      </c>
      <c r="Q39" s="5">
        <v>44232</v>
      </c>
      <c r="R39" s="12"/>
    </row>
    <row r="40" spans="1:18" ht="25.5" x14ac:dyDescent="0.25">
      <c r="A40" s="2">
        <f t="shared" si="4"/>
        <v>39</v>
      </c>
      <c r="B40" s="1">
        <v>82</v>
      </c>
      <c r="C40" s="2" t="s">
        <v>31</v>
      </c>
      <c r="D40" s="5">
        <v>44224</v>
      </c>
      <c r="E40" s="10">
        <v>0.90972222222222221</v>
      </c>
      <c r="F40" s="1" t="s">
        <v>205</v>
      </c>
      <c r="G40" s="5">
        <v>40696</v>
      </c>
      <c r="H40" s="2" t="str">
        <f t="shared" si="3"/>
        <v>9 г. 7 мес. 26 дн.</v>
      </c>
      <c r="I40" s="2" t="s">
        <v>26</v>
      </c>
      <c r="J40" s="2" t="s">
        <v>31</v>
      </c>
      <c r="K40" s="1" t="s">
        <v>206</v>
      </c>
      <c r="L40" s="1" t="s">
        <v>139</v>
      </c>
      <c r="M40" s="2" t="s">
        <v>60</v>
      </c>
      <c r="N40" s="1">
        <v>0</v>
      </c>
      <c r="O40" s="2" t="s">
        <v>82</v>
      </c>
      <c r="P40" s="2" t="s">
        <v>31</v>
      </c>
      <c r="Q40" s="5">
        <v>44225</v>
      </c>
      <c r="R40" s="6"/>
    </row>
    <row r="41" spans="1:18" ht="38.25" x14ac:dyDescent="0.25">
      <c r="A41" s="2">
        <f t="shared" si="4"/>
        <v>40</v>
      </c>
      <c r="B41" s="2">
        <v>37</v>
      </c>
      <c r="C41" s="2" t="s">
        <v>38</v>
      </c>
      <c r="D41" s="5">
        <v>44227</v>
      </c>
      <c r="E41" s="10">
        <v>0.65277777777777779</v>
      </c>
      <c r="F41" s="1" t="s">
        <v>207</v>
      </c>
      <c r="G41" s="5">
        <v>42559</v>
      </c>
      <c r="H41" s="2" t="str">
        <f t="shared" si="3"/>
        <v>4 г. 6 мес. 23 дн.</v>
      </c>
      <c r="I41" s="2" t="s">
        <v>25</v>
      </c>
      <c r="J41" s="2" t="s">
        <v>38</v>
      </c>
      <c r="K41" s="1" t="s">
        <v>208</v>
      </c>
      <c r="L41" s="1" t="s">
        <v>197</v>
      </c>
      <c r="M41" s="2" t="s">
        <v>57</v>
      </c>
      <c r="N41" s="1">
        <v>0</v>
      </c>
      <c r="O41" s="2" t="s">
        <v>82</v>
      </c>
      <c r="P41" s="2" t="s">
        <v>38</v>
      </c>
      <c r="Q41" s="5">
        <v>44228</v>
      </c>
      <c r="R41" s="12"/>
    </row>
    <row r="42" spans="1:18" ht="38.25" x14ac:dyDescent="0.25">
      <c r="A42" s="2">
        <f t="shared" si="4"/>
        <v>41</v>
      </c>
      <c r="B42" s="2">
        <v>31</v>
      </c>
      <c r="C42" s="2" t="s">
        <v>36</v>
      </c>
      <c r="D42" s="5">
        <v>44227</v>
      </c>
      <c r="E42" s="10">
        <v>0.97916666666666663</v>
      </c>
      <c r="F42" s="1" t="s">
        <v>209</v>
      </c>
      <c r="G42" s="5">
        <v>43346</v>
      </c>
      <c r="H42" s="2" t="str">
        <f t="shared" si="3"/>
        <v>2 г. 4 мес. 28 дн.</v>
      </c>
      <c r="I42" s="2" t="s">
        <v>28</v>
      </c>
      <c r="J42" s="2" t="s">
        <v>36</v>
      </c>
      <c r="K42" s="1" t="s">
        <v>210</v>
      </c>
      <c r="L42" s="1" t="s">
        <v>211</v>
      </c>
      <c r="M42" s="2" t="s">
        <v>53</v>
      </c>
      <c r="N42" s="1">
        <v>0</v>
      </c>
      <c r="O42" s="2" t="s">
        <v>83</v>
      </c>
      <c r="P42" s="2" t="s">
        <v>36</v>
      </c>
      <c r="Q42" s="5">
        <v>44228</v>
      </c>
      <c r="R42" s="6"/>
    </row>
    <row r="43" spans="1:18" ht="38.25" x14ac:dyDescent="0.25">
      <c r="A43" s="2">
        <f t="shared" si="4"/>
        <v>42</v>
      </c>
      <c r="B43" s="2">
        <v>32</v>
      </c>
      <c r="C43" s="2" t="s">
        <v>36</v>
      </c>
      <c r="D43" s="5">
        <v>44227</v>
      </c>
      <c r="E43" s="10">
        <v>0.99652777777777779</v>
      </c>
      <c r="F43" s="1" t="s">
        <v>212</v>
      </c>
      <c r="G43" s="5">
        <v>43178</v>
      </c>
      <c r="H43" s="2" t="str">
        <f t="shared" si="3"/>
        <v>2 г. 10 мес. 12 дн.</v>
      </c>
      <c r="I43" s="2" t="s">
        <v>26</v>
      </c>
      <c r="J43" s="2" t="s">
        <v>36</v>
      </c>
      <c r="K43" s="1" t="s">
        <v>213</v>
      </c>
      <c r="L43" s="1" t="s">
        <v>214</v>
      </c>
      <c r="M43" s="2" t="s">
        <v>51</v>
      </c>
      <c r="N43" s="1">
        <v>0</v>
      </c>
      <c r="O43" s="2" t="s">
        <v>82</v>
      </c>
      <c r="P43" s="2" t="s">
        <v>36</v>
      </c>
      <c r="Q43" s="5">
        <v>44228</v>
      </c>
      <c r="R43" s="12"/>
    </row>
    <row r="44" spans="1:18" ht="25.5" x14ac:dyDescent="0.25">
      <c r="A44" s="2">
        <f t="shared" si="4"/>
        <v>43</v>
      </c>
      <c r="B44" s="2">
        <v>93</v>
      </c>
      <c r="C44" s="2" t="s">
        <v>32</v>
      </c>
      <c r="D44" s="5">
        <v>44226</v>
      </c>
      <c r="E44" s="10">
        <v>0.78472222222222221</v>
      </c>
      <c r="F44" s="1" t="s">
        <v>215</v>
      </c>
      <c r="G44" s="5">
        <v>38310</v>
      </c>
      <c r="H44" s="2" t="str">
        <f t="shared" si="3"/>
        <v>16 г. 2 мес. 11 дн.</v>
      </c>
      <c r="I44" s="2" t="s">
        <v>27</v>
      </c>
      <c r="J44" s="2" t="s">
        <v>32</v>
      </c>
      <c r="K44" s="1" t="s">
        <v>216</v>
      </c>
      <c r="L44" s="1" t="s">
        <v>217</v>
      </c>
      <c r="M44" s="2" t="s">
        <v>60</v>
      </c>
      <c r="N44" s="1">
        <v>0</v>
      </c>
      <c r="O44" s="2" t="s">
        <v>82</v>
      </c>
      <c r="P44" s="2" t="s">
        <v>32</v>
      </c>
      <c r="Q44" s="5">
        <v>44229</v>
      </c>
      <c r="R44" s="6"/>
    </row>
    <row r="45" spans="1:18" ht="51" x14ac:dyDescent="0.25">
      <c r="A45" s="2">
        <f t="shared" si="4"/>
        <v>44</v>
      </c>
      <c r="B45" s="19">
        <v>55</v>
      </c>
      <c r="C45" s="19" t="s">
        <v>35</v>
      </c>
      <c r="D45" s="20">
        <v>44227</v>
      </c>
      <c r="E45" s="21">
        <v>0.3125</v>
      </c>
      <c r="F45" s="22" t="s">
        <v>218</v>
      </c>
      <c r="G45" s="20">
        <v>44222</v>
      </c>
      <c r="H45" s="19" t="str">
        <f t="shared" si="3"/>
        <v>0 г. 0 мес. 5 дн.</v>
      </c>
      <c r="I45" s="19" t="s">
        <v>27</v>
      </c>
      <c r="J45" s="19" t="s">
        <v>35</v>
      </c>
      <c r="K45" s="22" t="s">
        <v>219</v>
      </c>
      <c r="L45" s="22" t="s">
        <v>220</v>
      </c>
      <c r="M45" s="19" t="s">
        <v>67</v>
      </c>
      <c r="N45" s="22" t="s">
        <v>224</v>
      </c>
      <c r="O45" s="19" t="s">
        <v>87</v>
      </c>
      <c r="P45" s="19" t="s">
        <v>40</v>
      </c>
      <c r="Q45" s="20">
        <v>44228</v>
      </c>
      <c r="R45" s="23">
        <v>0.48333333333333334</v>
      </c>
    </row>
    <row r="46" spans="1:18" ht="38.25" x14ac:dyDescent="0.25">
      <c r="A46" s="2">
        <f t="shared" si="4"/>
        <v>45</v>
      </c>
      <c r="B46" s="2">
        <v>18</v>
      </c>
      <c r="C46" s="1" t="s">
        <v>38</v>
      </c>
      <c r="D46" s="5">
        <v>44227</v>
      </c>
      <c r="E46" s="10">
        <v>0.75</v>
      </c>
      <c r="F46" s="1" t="s">
        <v>221</v>
      </c>
      <c r="G46" s="5">
        <v>42414</v>
      </c>
      <c r="H46" s="2" t="str">
        <f t="shared" si="3"/>
        <v>4 г. 11 мес. 17 дн.</v>
      </c>
      <c r="I46" s="2" t="s">
        <v>27</v>
      </c>
      <c r="J46" s="2" t="s">
        <v>38</v>
      </c>
      <c r="K46" s="1" t="s">
        <v>222</v>
      </c>
      <c r="L46" s="1" t="s">
        <v>223</v>
      </c>
      <c r="M46" s="2" t="s">
        <v>57</v>
      </c>
      <c r="N46" s="1">
        <v>0</v>
      </c>
      <c r="O46" s="2" t="s">
        <v>82</v>
      </c>
      <c r="P46" s="2" t="s">
        <v>38</v>
      </c>
      <c r="Q46" s="5">
        <v>44228</v>
      </c>
      <c r="R46" s="12">
        <v>0.45833333333333331</v>
      </c>
    </row>
    <row r="47" spans="1:18" ht="38.25" x14ac:dyDescent="0.25">
      <c r="A47" s="2">
        <f t="shared" si="4"/>
        <v>46</v>
      </c>
      <c r="B47" s="2">
        <v>98</v>
      </c>
      <c r="C47" s="2" t="s">
        <v>33</v>
      </c>
      <c r="D47" s="5">
        <v>44228</v>
      </c>
      <c r="E47" s="10">
        <v>0.80208333333333337</v>
      </c>
      <c r="F47" s="1" t="s">
        <v>226</v>
      </c>
      <c r="G47" s="5">
        <v>39176</v>
      </c>
      <c r="H47" s="2" t="str">
        <f t="shared" si="3"/>
        <v>13 г. 9 мес. 28 дн.</v>
      </c>
      <c r="I47" s="2" t="s">
        <v>25</v>
      </c>
      <c r="J47" s="2" t="s">
        <v>33</v>
      </c>
      <c r="K47" s="1" t="s">
        <v>227</v>
      </c>
      <c r="L47" s="1" t="s">
        <v>104</v>
      </c>
      <c r="M47" s="2" t="s">
        <v>63</v>
      </c>
      <c r="N47" s="1">
        <v>0</v>
      </c>
      <c r="O47" s="2" t="s">
        <v>82</v>
      </c>
      <c r="P47" s="2" t="s">
        <v>33</v>
      </c>
      <c r="Q47" s="5">
        <v>44229</v>
      </c>
      <c r="R47" s="6"/>
    </row>
    <row r="48" spans="1:18" ht="25.5" x14ac:dyDescent="0.25">
      <c r="A48" s="2">
        <f t="shared" si="4"/>
        <v>47</v>
      </c>
      <c r="B48" s="2">
        <v>115</v>
      </c>
      <c r="C48" s="2" t="s">
        <v>32</v>
      </c>
      <c r="D48" s="5">
        <v>44228</v>
      </c>
      <c r="E48" s="10">
        <v>0.29166666666666669</v>
      </c>
      <c r="F48" s="1" t="s">
        <v>228</v>
      </c>
      <c r="G48" s="5">
        <v>43127</v>
      </c>
      <c r="H48" s="2" t="str">
        <f t="shared" si="3"/>
        <v>3 г. 0 мес. 5 дн.</v>
      </c>
      <c r="I48" s="2" t="s">
        <v>27</v>
      </c>
      <c r="J48" s="2" t="s">
        <v>32</v>
      </c>
      <c r="K48" s="1" t="s">
        <v>229</v>
      </c>
      <c r="L48" s="1" t="s">
        <v>175</v>
      </c>
      <c r="M48" s="2" t="s">
        <v>60</v>
      </c>
      <c r="N48" s="1">
        <v>0</v>
      </c>
      <c r="O48" s="2" t="s">
        <v>82</v>
      </c>
      <c r="P48" s="2" t="s">
        <v>32</v>
      </c>
      <c r="Q48" s="5">
        <v>44229</v>
      </c>
      <c r="R48" s="12"/>
    </row>
    <row r="49" spans="1:18" ht="25.5" x14ac:dyDescent="0.25">
      <c r="A49" s="2">
        <f t="shared" si="4"/>
        <v>48</v>
      </c>
      <c r="B49" s="2">
        <v>37</v>
      </c>
      <c r="C49" s="2" t="s">
        <v>36</v>
      </c>
      <c r="D49" s="5">
        <v>44229</v>
      </c>
      <c r="E49" s="10">
        <v>0.57291666666666663</v>
      </c>
      <c r="F49" s="1" t="s">
        <v>232</v>
      </c>
      <c r="G49" s="5">
        <v>43813</v>
      </c>
      <c r="H49" s="2" t="str">
        <f t="shared" si="3"/>
        <v>1 г. 1 мес. 19 дн.</v>
      </c>
      <c r="I49" s="2" t="s">
        <v>25</v>
      </c>
      <c r="J49" s="2" t="s">
        <v>36</v>
      </c>
      <c r="K49" s="1" t="s">
        <v>233</v>
      </c>
      <c r="L49" s="1" t="s">
        <v>234</v>
      </c>
      <c r="M49" s="2" t="s">
        <v>66</v>
      </c>
      <c r="N49" s="1">
        <v>0</v>
      </c>
      <c r="O49" s="2" t="s">
        <v>82</v>
      </c>
      <c r="P49" s="2" t="s">
        <v>36</v>
      </c>
      <c r="Q49" s="5">
        <v>44230</v>
      </c>
      <c r="R49" s="12"/>
    </row>
    <row r="50" spans="1:18" ht="38.25" x14ac:dyDescent="0.25">
      <c r="A50" s="2">
        <f t="shared" si="4"/>
        <v>49</v>
      </c>
      <c r="B50" s="2">
        <v>105</v>
      </c>
      <c r="C50" s="2" t="s">
        <v>32</v>
      </c>
      <c r="D50" s="5">
        <v>44229</v>
      </c>
      <c r="E50" s="10">
        <v>0.65972222222222221</v>
      </c>
      <c r="F50" s="1" t="s">
        <v>230</v>
      </c>
      <c r="G50" s="5">
        <v>37951</v>
      </c>
      <c r="H50" s="2" t="str">
        <f t="shared" si="3"/>
        <v>17 г. 2 мес. 7 дн.</v>
      </c>
      <c r="I50" s="2" t="s">
        <v>27</v>
      </c>
      <c r="J50" s="2" t="s">
        <v>32</v>
      </c>
      <c r="K50" s="1" t="s">
        <v>235</v>
      </c>
      <c r="L50" s="1" t="s">
        <v>231</v>
      </c>
      <c r="M50" s="2" t="s">
        <v>63</v>
      </c>
      <c r="N50" s="1">
        <v>0</v>
      </c>
      <c r="O50" s="2" t="s">
        <v>82</v>
      </c>
      <c r="P50" s="2" t="s">
        <v>32</v>
      </c>
      <c r="Q50" s="5">
        <v>44230</v>
      </c>
      <c r="R50" s="6"/>
    </row>
    <row r="51" spans="1:18" ht="25.5" x14ac:dyDescent="0.25">
      <c r="A51" s="2">
        <f t="shared" si="4"/>
        <v>50</v>
      </c>
      <c r="B51" s="2">
        <v>117</v>
      </c>
      <c r="C51" s="2" t="s">
        <v>31</v>
      </c>
      <c r="D51" s="5">
        <v>44229</v>
      </c>
      <c r="E51" s="10">
        <v>0.89583333333333337</v>
      </c>
      <c r="F51" s="1" t="s">
        <v>236</v>
      </c>
      <c r="G51" s="5">
        <v>37961</v>
      </c>
      <c r="H51" s="2" t="str">
        <f t="shared" si="3"/>
        <v>17 г. 1 мес. 27 дн.</v>
      </c>
      <c r="I51" s="2" t="s">
        <v>27</v>
      </c>
      <c r="J51" s="2" t="s">
        <v>31</v>
      </c>
      <c r="K51" s="1" t="s">
        <v>237</v>
      </c>
      <c r="L51" s="1" t="s">
        <v>139</v>
      </c>
      <c r="M51" s="2" t="s">
        <v>60</v>
      </c>
      <c r="N51" s="1">
        <v>0</v>
      </c>
      <c r="O51" s="2" t="s">
        <v>82</v>
      </c>
      <c r="P51" s="2" t="s">
        <v>31</v>
      </c>
      <c r="Q51" s="5">
        <v>44230</v>
      </c>
      <c r="R51" s="12">
        <v>0.41666666666666669</v>
      </c>
    </row>
    <row r="52" spans="1:18" ht="38.25" x14ac:dyDescent="0.25">
      <c r="A52" s="2">
        <f t="shared" si="4"/>
        <v>51</v>
      </c>
      <c r="B52" s="2">
        <v>27</v>
      </c>
      <c r="C52" s="2" t="s">
        <v>38</v>
      </c>
      <c r="D52" s="5">
        <v>44229</v>
      </c>
      <c r="E52" s="10">
        <v>0.90277777777777779</v>
      </c>
      <c r="F52" s="1" t="s">
        <v>238</v>
      </c>
      <c r="G52" s="5">
        <v>41360</v>
      </c>
      <c r="H52" s="2" t="str">
        <f t="shared" si="3"/>
        <v>7 г. 10 мес. 6 дн.</v>
      </c>
      <c r="I52" s="2" t="s">
        <v>27</v>
      </c>
      <c r="J52" s="2" t="s">
        <v>38</v>
      </c>
      <c r="K52" s="1" t="s">
        <v>239</v>
      </c>
      <c r="L52" s="1" t="s">
        <v>240</v>
      </c>
      <c r="M52" s="2" t="s">
        <v>57</v>
      </c>
      <c r="N52" s="1">
        <v>0</v>
      </c>
      <c r="O52" s="2" t="s">
        <v>82</v>
      </c>
      <c r="P52" s="2" t="s">
        <v>38</v>
      </c>
      <c r="Q52" s="5">
        <v>44230</v>
      </c>
      <c r="R52" s="12">
        <v>0.4375</v>
      </c>
    </row>
    <row r="53" spans="1:18" ht="63.75" x14ac:dyDescent="0.25">
      <c r="A53" s="2">
        <f t="shared" si="4"/>
        <v>52</v>
      </c>
      <c r="B53" s="2">
        <v>39</v>
      </c>
      <c r="C53" s="2" t="s">
        <v>36</v>
      </c>
      <c r="D53" s="5">
        <v>44230</v>
      </c>
      <c r="E53" s="10">
        <v>1.0416666666666666E-2</v>
      </c>
      <c r="F53" s="1" t="s">
        <v>241</v>
      </c>
      <c r="G53" s="5">
        <v>39155</v>
      </c>
      <c r="H53" s="2" t="str">
        <f t="shared" si="3"/>
        <v>13 г. 10 мес. 20 дн.</v>
      </c>
      <c r="I53" s="2" t="s">
        <v>25</v>
      </c>
      <c r="J53" s="2" t="s">
        <v>36</v>
      </c>
      <c r="K53" s="1" t="s">
        <v>248</v>
      </c>
      <c r="L53" s="1" t="s">
        <v>242</v>
      </c>
      <c r="M53" s="2" t="s">
        <v>54</v>
      </c>
      <c r="N53" s="1">
        <v>0</v>
      </c>
      <c r="O53" s="2" t="s">
        <v>82</v>
      </c>
      <c r="P53" s="2" t="s">
        <v>39</v>
      </c>
      <c r="Q53" s="5">
        <v>44232</v>
      </c>
      <c r="R53" s="12"/>
    </row>
    <row r="54" spans="1:18" ht="38.25" x14ac:dyDescent="0.25">
      <c r="A54" s="2">
        <f t="shared" si="4"/>
        <v>53</v>
      </c>
      <c r="B54" s="2">
        <v>41</v>
      </c>
      <c r="C54" s="1" t="s">
        <v>38</v>
      </c>
      <c r="D54" s="5">
        <v>44230</v>
      </c>
      <c r="E54" s="10">
        <v>0.58333333333333337</v>
      </c>
      <c r="F54" s="1" t="s">
        <v>243</v>
      </c>
      <c r="G54" s="5">
        <v>43224</v>
      </c>
      <c r="H54" s="2" t="str">
        <f t="shared" si="3"/>
        <v>2 г. 8 мес. 30 дн.</v>
      </c>
      <c r="I54" s="2" t="s">
        <v>27</v>
      </c>
      <c r="J54" s="2" t="s">
        <v>38</v>
      </c>
      <c r="K54" s="1" t="s">
        <v>244</v>
      </c>
      <c r="L54" s="1" t="s">
        <v>245</v>
      </c>
      <c r="M54" s="2" t="s">
        <v>57</v>
      </c>
      <c r="N54" s="1">
        <v>0</v>
      </c>
      <c r="O54" s="2" t="s">
        <v>82</v>
      </c>
      <c r="P54" s="2" t="s">
        <v>38</v>
      </c>
      <c r="Q54" s="5">
        <v>44231</v>
      </c>
      <c r="R54" s="12"/>
    </row>
    <row r="55" spans="1:18" customFormat="1" ht="38.25" x14ac:dyDescent="0.25">
      <c r="A55" s="2">
        <f t="shared" si="4"/>
        <v>54</v>
      </c>
      <c r="B55" s="2">
        <v>42</v>
      </c>
      <c r="C55" s="2" t="s">
        <v>38</v>
      </c>
      <c r="D55" s="5">
        <v>44230</v>
      </c>
      <c r="E55" s="10">
        <v>0.60416666666666663</v>
      </c>
      <c r="F55" s="1" t="s">
        <v>246</v>
      </c>
      <c r="G55" s="5">
        <v>39337</v>
      </c>
      <c r="H55" s="2" t="str">
        <f t="shared" si="3"/>
        <v>13 г. 4 мес. 22 дн.</v>
      </c>
      <c r="I55" s="2" t="s">
        <v>27</v>
      </c>
      <c r="J55" s="2" t="s">
        <v>38</v>
      </c>
      <c r="K55" s="1" t="s">
        <v>247</v>
      </c>
      <c r="L55" s="1" t="s">
        <v>250</v>
      </c>
      <c r="M55" s="2" t="s">
        <v>57</v>
      </c>
      <c r="N55" s="1">
        <v>0</v>
      </c>
      <c r="O55" s="2" t="s">
        <v>82</v>
      </c>
      <c r="P55" s="2" t="s">
        <v>38</v>
      </c>
      <c r="Q55" s="5">
        <v>44231</v>
      </c>
      <c r="R55" s="6"/>
    </row>
    <row r="56" spans="1:18" ht="38.25" x14ac:dyDescent="0.25">
      <c r="A56" s="2">
        <f t="shared" si="4"/>
        <v>55</v>
      </c>
      <c r="B56" s="2">
        <v>78</v>
      </c>
      <c r="C56" s="2" t="s">
        <v>33</v>
      </c>
      <c r="D56" s="5">
        <v>44230</v>
      </c>
      <c r="E56" s="10">
        <v>0.66666666666666663</v>
      </c>
      <c r="F56" s="1" t="s">
        <v>249</v>
      </c>
      <c r="G56" s="5">
        <v>38649</v>
      </c>
      <c r="H56" s="2" t="str">
        <f t="shared" si="3"/>
        <v>15 г. 3 мес. 10 дн.</v>
      </c>
      <c r="I56" s="2" t="s">
        <v>26</v>
      </c>
      <c r="J56" s="2" t="s">
        <v>33</v>
      </c>
      <c r="K56" s="1" t="s">
        <v>251</v>
      </c>
      <c r="L56" s="1" t="s">
        <v>252</v>
      </c>
      <c r="M56" s="2" t="s">
        <v>62</v>
      </c>
      <c r="N56" s="1">
        <v>0</v>
      </c>
      <c r="O56" s="2" t="s">
        <v>97</v>
      </c>
      <c r="P56" s="2" t="s">
        <v>33</v>
      </c>
      <c r="Q56" s="5">
        <v>44232</v>
      </c>
      <c r="R56" s="6"/>
    </row>
    <row r="57" spans="1:18" ht="25.5" x14ac:dyDescent="0.25">
      <c r="A57" s="2">
        <f t="shared" si="4"/>
        <v>56</v>
      </c>
      <c r="B57" s="2">
        <v>115</v>
      </c>
      <c r="C57" s="2" t="s">
        <v>31</v>
      </c>
      <c r="D57" s="5">
        <v>44231</v>
      </c>
      <c r="E57" s="10">
        <v>0.52777777777777779</v>
      </c>
      <c r="F57" s="1" t="s">
        <v>228</v>
      </c>
      <c r="G57" s="5">
        <v>43121</v>
      </c>
      <c r="H57" s="2" t="str">
        <f t="shared" si="3"/>
        <v>3 г. 0 мес. 14 дн.</v>
      </c>
      <c r="I57" s="2" t="s">
        <v>27</v>
      </c>
      <c r="J57" s="2" t="s">
        <v>31</v>
      </c>
      <c r="K57" s="1" t="s">
        <v>229</v>
      </c>
      <c r="L57" s="1" t="s">
        <v>253</v>
      </c>
      <c r="M57" s="2" t="s">
        <v>60</v>
      </c>
      <c r="N57" s="1">
        <v>0</v>
      </c>
      <c r="O57" s="2" t="s">
        <v>87</v>
      </c>
      <c r="P57" s="2" t="s">
        <v>31</v>
      </c>
      <c r="Q57" s="5">
        <v>44233</v>
      </c>
      <c r="R57" s="12"/>
    </row>
    <row r="58" spans="1:18" ht="25.5" x14ac:dyDescent="0.25">
      <c r="A58" s="30">
        <f t="shared" si="4"/>
        <v>57</v>
      </c>
      <c r="B58" s="30">
        <v>43</v>
      </c>
      <c r="C58" s="30" t="s">
        <v>36</v>
      </c>
      <c r="D58" s="31">
        <v>44231</v>
      </c>
      <c r="E58" s="32">
        <v>0.90277777777777779</v>
      </c>
      <c r="F58" s="33" t="s">
        <v>254</v>
      </c>
      <c r="G58" s="31">
        <v>38530</v>
      </c>
      <c r="H58" s="30" t="str">
        <f t="shared" si="3"/>
        <v>15 г. 7 мес. 8 дн.</v>
      </c>
      <c r="I58" s="30" t="s">
        <v>25</v>
      </c>
      <c r="J58" s="30" t="s">
        <v>36</v>
      </c>
      <c r="K58" s="33" t="s">
        <v>255</v>
      </c>
      <c r="L58" s="33" t="s">
        <v>260</v>
      </c>
      <c r="M58" s="30" t="s">
        <v>60</v>
      </c>
      <c r="N58" s="33" t="s">
        <v>105</v>
      </c>
      <c r="O58" s="30" t="s">
        <v>87</v>
      </c>
      <c r="P58" s="30" t="s">
        <v>40</v>
      </c>
      <c r="Q58" s="31">
        <v>44248</v>
      </c>
      <c r="R58" s="34">
        <v>2.7777777777777776E-2</v>
      </c>
    </row>
    <row r="59" spans="1:18" ht="38.25" x14ac:dyDescent="0.25">
      <c r="A59" s="2">
        <f t="shared" si="4"/>
        <v>58</v>
      </c>
      <c r="B59" s="1">
        <v>123</v>
      </c>
      <c r="C59" s="2" t="s">
        <v>33</v>
      </c>
      <c r="D59" s="5">
        <v>44232</v>
      </c>
      <c r="E59" s="10">
        <v>0.92708333333333337</v>
      </c>
      <c r="F59" s="1" t="s">
        <v>261</v>
      </c>
      <c r="G59" s="5">
        <v>38852</v>
      </c>
      <c r="H59" s="2" t="str">
        <f t="shared" si="3"/>
        <v>14 г. 8 мес. 21 дн.</v>
      </c>
      <c r="I59" s="2" t="s">
        <v>25</v>
      </c>
      <c r="J59" s="2" t="s">
        <v>33</v>
      </c>
      <c r="K59" s="1" t="s">
        <v>262</v>
      </c>
      <c r="L59" s="1" t="s">
        <v>263</v>
      </c>
      <c r="M59" s="2" t="s">
        <v>63</v>
      </c>
      <c r="N59" s="1">
        <v>0</v>
      </c>
      <c r="O59" s="2" t="s">
        <v>87</v>
      </c>
      <c r="P59" s="2" t="s">
        <v>39</v>
      </c>
      <c r="Q59" s="5">
        <v>44233</v>
      </c>
      <c r="R59" s="12"/>
    </row>
    <row r="60" spans="1:18" ht="15" x14ac:dyDescent="0.25">
      <c r="A60" s="14">
        <f t="shared" si="4"/>
        <v>59</v>
      </c>
      <c r="B60" s="26">
        <v>125</v>
      </c>
      <c r="C60" s="26" t="s">
        <v>33</v>
      </c>
      <c r="D60" s="27">
        <v>44233</v>
      </c>
      <c r="E60" s="28">
        <v>0.97569444444444453</v>
      </c>
      <c r="F60" s="26" t="s">
        <v>264</v>
      </c>
      <c r="G60" s="27">
        <v>38791</v>
      </c>
      <c r="H60" s="26" t="str">
        <f t="shared" si="3"/>
        <v>14 г. 10 мес. 22 дн.</v>
      </c>
      <c r="I60" s="26" t="s">
        <v>28</v>
      </c>
      <c r="J60" s="26" t="s">
        <v>33</v>
      </c>
      <c r="K60" s="26" t="s">
        <v>265</v>
      </c>
      <c r="L60" s="26" t="s">
        <v>263</v>
      </c>
      <c r="M60" s="26" t="s">
        <v>63</v>
      </c>
      <c r="N60" s="1">
        <v>0</v>
      </c>
      <c r="O60" s="26" t="s">
        <v>87</v>
      </c>
      <c r="P60" s="14" t="s">
        <v>33</v>
      </c>
      <c r="Q60" s="5">
        <v>44235</v>
      </c>
      <c r="R60" s="14"/>
    </row>
    <row r="61" spans="1:18" s="33" customFormat="1" ht="63.75" x14ac:dyDescent="0.25">
      <c r="A61" s="30">
        <f t="shared" si="4"/>
        <v>60</v>
      </c>
      <c r="B61" s="29">
        <v>53</v>
      </c>
      <c r="C61" s="30" t="s">
        <v>33</v>
      </c>
      <c r="D61" s="31">
        <v>44234</v>
      </c>
      <c r="E61" s="32">
        <v>0.1076388888888889</v>
      </c>
      <c r="F61" s="33" t="s">
        <v>147</v>
      </c>
      <c r="G61" s="31">
        <v>43783</v>
      </c>
      <c r="H61" s="30" t="str">
        <f t="shared" si="3"/>
        <v>1 г. 2 мес. 24 дн.</v>
      </c>
      <c r="I61" s="30" t="s">
        <v>28</v>
      </c>
      <c r="J61" s="30" t="s">
        <v>36</v>
      </c>
      <c r="K61" s="33" t="s">
        <v>266</v>
      </c>
      <c r="L61" s="33" t="s">
        <v>267</v>
      </c>
      <c r="M61" s="30" t="s">
        <v>54</v>
      </c>
      <c r="N61" s="33" t="s">
        <v>276</v>
      </c>
      <c r="O61" s="30" t="s">
        <v>82</v>
      </c>
      <c r="P61" s="30" t="s">
        <v>40</v>
      </c>
      <c r="Q61" s="31">
        <v>44234</v>
      </c>
      <c r="R61" s="34">
        <v>0.1388888888888889</v>
      </c>
    </row>
    <row r="62" spans="1:18" ht="25.5" x14ac:dyDescent="0.25">
      <c r="A62" s="2">
        <f t="shared" si="4"/>
        <v>61</v>
      </c>
      <c r="B62" s="2">
        <v>133</v>
      </c>
      <c r="C62" s="2" t="s">
        <v>32</v>
      </c>
      <c r="D62" s="5">
        <v>44235</v>
      </c>
      <c r="E62" s="10">
        <v>0.56944444444444442</v>
      </c>
      <c r="F62" s="1" t="s">
        <v>268</v>
      </c>
      <c r="G62" s="5">
        <v>39541</v>
      </c>
      <c r="H62" s="2" t="str">
        <f t="shared" si="3"/>
        <v>12 г. 10 мес. 5 дн.</v>
      </c>
      <c r="I62" s="2" t="s">
        <v>26</v>
      </c>
      <c r="J62" s="2" t="s">
        <v>32</v>
      </c>
      <c r="K62" s="1" t="s">
        <v>227</v>
      </c>
      <c r="L62" s="1" t="s">
        <v>269</v>
      </c>
      <c r="M62" s="2" t="s">
        <v>52</v>
      </c>
      <c r="N62" s="1">
        <v>0</v>
      </c>
      <c r="O62" s="2" t="s">
        <v>82</v>
      </c>
      <c r="P62" s="2" t="s">
        <v>32</v>
      </c>
      <c r="Q62" s="5">
        <v>44236</v>
      </c>
      <c r="R62" s="6"/>
    </row>
    <row r="63" spans="1:18" ht="25.5" x14ac:dyDescent="0.25">
      <c r="A63" s="2">
        <f t="shared" si="4"/>
        <v>62</v>
      </c>
      <c r="B63" s="2">
        <v>153</v>
      </c>
      <c r="C63" s="2" t="s">
        <v>32</v>
      </c>
      <c r="D63" s="5">
        <v>44235</v>
      </c>
      <c r="E63" s="10">
        <v>3.4722222222222224E-2</v>
      </c>
      <c r="F63" s="1" t="s">
        <v>270</v>
      </c>
      <c r="G63" s="4">
        <v>40348</v>
      </c>
      <c r="H63" s="2" t="str">
        <f t="shared" si="3"/>
        <v>10 г. 7 мес. 20 дн.</v>
      </c>
      <c r="I63" s="1" t="s">
        <v>26</v>
      </c>
      <c r="J63" s="1" t="s">
        <v>32</v>
      </c>
      <c r="K63" s="1" t="s">
        <v>271</v>
      </c>
      <c r="L63" s="1" t="s">
        <v>274</v>
      </c>
      <c r="M63" s="2" t="s">
        <v>60</v>
      </c>
      <c r="N63" s="1">
        <v>0</v>
      </c>
      <c r="O63" s="2" t="s">
        <v>97</v>
      </c>
      <c r="P63" s="2" t="s">
        <v>32</v>
      </c>
      <c r="Q63" s="5">
        <v>44239</v>
      </c>
      <c r="R63" s="12"/>
    </row>
    <row r="64" spans="1:18" ht="25.5" x14ac:dyDescent="0.25">
      <c r="A64" s="2">
        <f t="shared" si="4"/>
        <v>63</v>
      </c>
      <c r="B64" s="2">
        <v>143</v>
      </c>
      <c r="C64" s="2" t="s">
        <v>37</v>
      </c>
      <c r="D64" s="5">
        <v>44236</v>
      </c>
      <c r="E64" s="10">
        <v>0.15277777777777776</v>
      </c>
      <c r="F64" s="1" t="s">
        <v>272</v>
      </c>
      <c r="G64" s="5">
        <v>38159</v>
      </c>
      <c r="H64" s="2" t="str">
        <f t="shared" si="3"/>
        <v>16 г. 7 мес. 19 дн.</v>
      </c>
      <c r="I64" s="2" t="s">
        <v>28</v>
      </c>
      <c r="J64" s="1" t="s">
        <v>37</v>
      </c>
      <c r="K64" s="1" t="s">
        <v>273</v>
      </c>
      <c r="L64" s="1" t="s">
        <v>275</v>
      </c>
      <c r="M64" s="2" t="s">
        <v>59</v>
      </c>
      <c r="N64" s="1">
        <v>0</v>
      </c>
      <c r="O64" s="1" t="s">
        <v>87</v>
      </c>
      <c r="P64" s="2" t="s">
        <v>36</v>
      </c>
      <c r="Q64" s="5">
        <v>44237</v>
      </c>
      <c r="R64" s="12"/>
    </row>
    <row r="65" spans="1:18" ht="38.25" x14ac:dyDescent="0.25">
      <c r="A65" s="2">
        <f t="shared" si="4"/>
        <v>64</v>
      </c>
      <c r="B65" s="2">
        <v>119</v>
      </c>
      <c r="C65" s="2" t="s">
        <v>33</v>
      </c>
      <c r="D65" s="5">
        <v>44236</v>
      </c>
      <c r="E65" s="10">
        <v>0.64583333333333337</v>
      </c>
      <c r="F65" s="1" t="s">
        <v>277</v>
      </c>
      <c r="G65" s="5">
        <v>38601</v>
      </c>
      <c r="H65" s="2" t="str">
        <f t="shared" si="3"/>
        <v>15 г. 5 мес. 3 дн.</v>
      </c>
      <c r="I65" s="2" t="s">
        <v>27</v>
      </c>
      <c r="J65" s="2" t="s">
        <v>33</v>
      </c>
      <c r="K65" s="1" t="s">
        <v>278</v>
      </c>
      <c r="L65" s="1" t="s">
        <v>279</v>
      </c>
      <c r="M65" s="2" t="s">
        <v>62</v>
      </c>
      <c r="N65" s="1">
        <v>0</v>
      </c>
      <c r="O65" s="2" t="s">
        <v>82</v>
      </c>
      <c r="P65" s="2" t="s">
        <v>33</v>
      </c>
      <c r="Q65" s="5">
        <v>44237</v>
      </c>
      <c r="R65" s="12"/>
    </row>
    <row r="66" spans="1:18" ht="25.5" x14ac:dyDescent="0.25">
      <c r="A66" s="2">
        <f t="shared" si="4"/>
        <v>65</v>
      </c>
      <c r="B66" s="2">
        <v>130</v>
      </c>
      <c r="C66" s="2" t="s">
        <v>37</v>
      </c>
      <c r="D66" s="5">
        <v>44236</v>
      </c>
      <c r="E66" s="10">
        <v>0.75694444444444453</v>
      </c>
      <c r="F66" s="1" t="s">
        <v>282</v>
      </c>
      <c r="G66" s="5">
        <v>44108</v>
      </c>
      <c r="H66" s="2" t="str">
        <f t="shared" si="3"/>
        <v>0 г. 4 мес. 5 дн.</v>
      </c>
      <c r="I66" s="2" t="s">
        <v>27</v>
      </c>
      <c r="J66" s="2" t="s">
        <v>37</v>
      </c>
      <c r="K66" s="1" t="s">
        <v>283</v>
      </c>
      <c r="L66" s="1" t="s">
        <v>284</v>
      </c>
      <c r="M66" s="2" t="s">
        <v>59</v>
      </c>
      <c r="N66" s="1">
        <v>0</v>
      </c>
      <c r="O66" s="2" t="s">
        <v>82</v>
      </c>
      <c r="P66" s="2" t="s">
        <v>37</v>
      </c>
      <c r="Q66" s="5">
        <v>44237</v>
      </c>
      <c r="R66" s="6"/>
    </row>
    <row r="67" spans="1:18" ht="38.25" x14ac:dyDescent="0.25">
      <c r="A67" s="2">
        <f t="shared" si="4"/>
        <v>66</v>
      </c>
      <c r="B67" s="2">
        <v>54</v>
      </c>
      <c r="C67" s="2" t="s">
        <v>38</v>
      </c>
      <c r="D67" s="5">
        <v>44238</v>
      </c>
      <c r="E67" s="10">
        <v>0.52083333333333337</v>
      </c>
      <c r="F67" s="1" t="s">
        <v>285</v>
      </c>
      <c r="G67" s="5">
        <v>38019</v>
      </c>
      <c r="H67" s="2" t="str">
        <f t="shared" si="3"/>
        <v>17 г. 0 мес. 9 дн.</v>
      </c>
      <c r="I67" s="2" t="s">
        <v>28</v>
      </c>
      <c r="J67" s="2" t="s">
        <v>38</v>
      </c>
      <c r="K67" s="1" t="s">
        <v>286</v>
      </c>
      <c r="L67" s="1" t="s">
        <v>197</v>
      </c>
      <c r="M67" s="2" t="s">
        <v>57</v>
      </c>
      <c r="N67" s="1">
        <v>0</v>
      </c>
      <c r="O67" s="2" t="s">
        <v>87</v>
      </c>
      <c r="P67" s="2" t="s">
        <v>39</v>
      </c>
      <c r="Q67" s="5">
        <v>44242</v>
      </c>
      <c r="R67" s="6"/>
    </row>
    <row r="68" spans="1:18" ht="38.25" x14ac:dyDescent="0.25">
      <c r="A68" s="2">
        <f t="shared" si="4"/>
        <v>67</v>
      </c>
      <c r="B68" s="2">
        <v>39</v>
      </c>
      <c r="C68" s="2" t="s">
        <v>38</v>
      </c>
      <c r="D68" s="5">
        <v>44238</v>
      </c>
      <c r="E68" s="10">
        <v>0.75</v>
      </c>
      <c r="F68" s="1" t="s">
        <v>287</v>
      </c>
      <c r="G68" s="5">
        <v>43635</v>
      </c>
      <c r="H68" s="2" t="str">
        <f t="shared" ref="H68:H131" si="5">DATEDIF(G68,D68,"y") &amp; " г. " &amp; DATEDIF(G68,D68,"ym") &amp; " мес. " &amp; DATEDIF(G68,D68,"md") &amp; " дн."</f>
        <v>1 г. 7 мес. 23 дн.</v>
      </c>
      <c r="I68" s="2" t="s">
        <v>27</v>
      </c>
      <c r="J68" s="2" t="s">
        <v>38</v>
      </c>
      <c r="K68" s="1" t="s">
        <v>288</v>
      </c>
      <c r="L68" s="1" t="s">
        <v>289</v>
      </c>
      <c r="M68" s="2" t="s">
        <v>57</v>
      </c>
      <c r="N68" s="1">
        <v>0</v>
      </c>
      <c r="O68" s="2" t="s">
        <v>82</v>
      </c>
      <c r="P68" s="2" t="s">
        <v>38</v>
      </c>
      <c r="Q68" s="5">
        <v>44239</v>
      </c>
      <c r="R68" s="6"/>
    </row>
    <row r="69" spans="1:18" ht="38.25" x14ac:dyDescent="0.25">
      <c r="A69" s="2">
        <f t="shared" si="4"/>
        <v>68</v>
      </c>
      <c r="B69" s="2">
        <v>47</v>
      </c>
      <c r="C69" s="2" t="s">
        <v>38</v>
      </c>
      <c r="D69" s="5">
        <v>44238</v>
      </c>
      <c r="E69" s="10">
        <v>0.75694444444444453</v>
      </c>
      <c r="F69" s="1" t="s">
        <v>290</v>
      </c>
      <c r="G69" s="5">
        <v>43998</v>
      </c>
      <c r="H69" s="2" t="str">
        <f t="shared" si="5"/>
        <v>0 г. 7 мес. 26 дн.</v>
      </c>
      <c r="I69" s="2" t="s">
        <v>27</v>
      </c>
      <c r="J69" s="2" t="s">
        <v>38</v>
      </c>
      <c r="K69" s="1" t="s">
        <v>291</v>
      </c>
      <c r="L69" s="1" t="s">
        <v>292</v>
      </c>
      <c r="M69" s="2" t="s">
        <v>57</v>
      </c>
      <c r="N69" s="1">
        <v>0</v>
      </c>
      <c r="O69" s="2" t="s">
        <v>82</v>
      </c>
      <c r="P69" s="2" t="s">
        <v>38</v>
      </c>
      <c r="Q69" s="5">
        <v>44239</v>
      </c>
      <c r="R69" s="12"/>
    </row>
    <row r="70" spans="1:18" ht="38.25" x14ac:dyDescent="0.25">
      <c r="A70" s="2">
        <f t="shared" si="4"/>
        <v>69</v>
      </c>
      <c r="B70" s="2">
        <v>52</v>
      </c>
      <c r="C70" s="2" t="s">
        <v>38</v>
      </c>
      <c r="D70" s="5">
        <v>44238</v>
      </c>
      <c r="E70" s="10">
        <v>0.76388888888888884</v>
      </c>
      <c r="F70" s="1" t="s">
        <v>293</v>
      </c>
      <c r="G70" s="5">
        <v>42815</v>
      </c>
      <c r="H70" s="2" t="str">
        <f t="shared" si="5"/>
        <v>3 г. 10 мес. 21 дн.</v>
      </c>
      <c r="I70" s="2" t="s">
        <v>27</v>
      </c>
      <c r="J70" s="2" t="s">
        <v>38</v>
      </c>
      <c r="K70" s="1" t="s">
        <v>294</v>
      </c>
      <c r="L70" s="1" t="s">
        <v>295</v>
      </c>
      <c r="M70" s="2" t="s">
        <v>57</v>
      </c>
      <c r="N70" s="1">
        <v>0</v>
      </c>
      <c r="O70" s="2" t="s">
        <v>82</v>
      </c>
      <c r="P70" s="2" t="s">
        <v>38</v>
      </c>
      <c r="Q70" s="5">
        <v>44239</v>
      </c>
      <c r="R70" s="6"/>
    </row>
    <row r="71" spans="1:18" ht="25.5" x14ac:dyDescent="0.25">
      <c r="A71" s="2">
        <f t="shared" si="4"/>
        <v>70</v>
      </c>
      <c r="B71" s="2">
        <v>33</v>
      </c>
      <c r="C71" s="2" t="s">
        <v>32</v>
      </c>
      <c r="D71" s="5">
        <v>44239</v>
      </c>
      <c r="E71" s="10">
        <v>0.42708333333333331</v>
      </c>
      <c r="F71" s="1" t="s">
        <v>296</v>
      </c>
      <c r="G71" s="5">
        <v>44174</v>
      </c>
      <c r="H71" s="2" t="str">
        <f t="shared" si="5"/>
        <v>0 г. 2 мес. 3 дн.</v>
      </c>
      <c r="I71" s="2" t="s">
        <v>28</v>
      </c>
      <c r="J71" s="2" t="s">
        <v>32</v>
      </c>
      <c r="K71" s="1" t="s">
        <v>227</v>
      </c>
      <c r="L71" s="1" t="s">
        <v>297</v>
      </c>
      <c r="M71" s="2" t="s">
        <v>56</v>
      </c>
      <c r="N71" s="1">
        <v>0</v>
      </c>
      <c r="O71" s="2" t="s">
        <v>82</v>
      </c>
      <c r="P71" s="2" t="s">
        <v>35</v>
      </c>
      <c r="Q71" s="5">
        <v>44243</v>
      </c>
      <c r="R71" s="6"/>
    </row>
    <row r="72" spans="1:18" ht="25.5" x14ac:dyDescent="0.25">
      <c r="A72" s="2">
        <f t="shared" si="4"/>
        <v>71</v>
      </c>
      <c r="B72" s="2">
        <v>186</v>
      </c>
      <c r="C72" s="2" t="s">
        <v>31</v>
      </c>
      <c r="D72" s="5">
        <v>44240</v>
      </c>
      <c r="E72" s="10">
        <v>0.95138888888888884</v>
      </c>
      <c r="F72" s="1" t="s">
        <v>298</v>
      </c>
      <c r="G72" s="5">
        <v>42979</v>
      </c>
      <c r="H72" s="2" t="str">
        <f t="shared" si="5"/>
        <v>3 г. 5 мес. 12 дн.</v>
      </c>
      <c r="I72" s="2" t="s">
        <v>25</v>
      </c>
      <c r="J72" s="2" t="s">
        <v>32</v>
      </c>
      <c r="K72" s="1" t="s">
        <v>301</v>
      </c>
      <c r="L72" s="1" t="s">
        <v>299</v>
      </c>
      <c r="M72" s="2" t="s">
        <v>60</v>
      </c>
      <c r="N72" s="1">
        <v>0</v>
      </c>
      <c r="O72" s="2" t="s">
        <v>87</v>
      </c>
      <c r="P72" s="2" t="s">
        <v>31</v>
      </c>
      <c r="Q72" s="5">
        <v>44245</v>
      </c>
      <c r="R72" s="6"/>
    </row>
    <row r="73" spans="1:18" ht="38.25" x14ac:dyDescent="0.25">
      <c r="A73" s="2">
        <f t="shared" si="4"/>
        <v>72</v>
      </c>
      <c r="B73" s="2">
        <v>74</v>
      </c>
      <c r="C73" s="2" t="s">
        <v>36</v>
      </c>
      <c r="D73" s="5">
        <v>44241</v>
      </c>
      <c r="E73" s="10">
        <v>0.88888888888888884</v>
      </c>
      <c r="F73" s="1" t="s">
        <v>300</v>
      </c>
      <c r="G73" s="5">
        <v>43228</v>
      </c>
      <c r="H73" s="2" t="str">
        <f t="shared" si="5"/>
        <v>2 г. 9 мес. 6 дн.</v>
      </c>
      <c r="I73" s="2" t="s">
        <v>28</v>
      </c>
      <c r="J73" s="2" t="s">
        <v>36</v>
      </c>
      <c r="K73" s="1" t="s">
        <v>302</v>
      </c>
      <c r="L73" s="1" t="s">
        <v>303</v>
      </c>
      <c r="M73" s="2" t="s">
        <v>51</v>
      </c>
      <c r="N73" s="1">
        <v>0</v>
      </c>
      <c r="O73" s="2" t="s">
        <v>82</v>
      </c>
      <c r="P73" s="2" t="s">
        <v>36</v>
      </c>
      <c r="Q73" s="5">
        <v>44244</v>
      </c>
      <c r="R73" s="12"/>
    </row>
    <row r="74" spans="1:18" ht="25.5" x14ac:dyDescent="0.25">
      <c r="A74" s="2">
        <f t="shared" si="4"/>
        <v>73</v>
      </c>
      <c r="B74" s="2">
        <v>168</v>
      </c>
      <c r="C74" s="2" t="s">
        <v>32</v>
      </c>
      <c r="D74" s="5">
        <v>44242</v>
      </c>
      <c r="E74" s="10">
        <v>0.54861111111111105</v>
      </c>
      <c r="F74" s="1" t="s">
        <v>304</v>
      </c>
      <c r="G74" s="5">
        <v>39724</v>
      </c>
      <c r="H74" s="2" t="str">
        <f t="shared" si="5"/>
        <v>12 г. 4 мес. 12 дн.</v>
      </c>
      <c r="I74" s="2" t="s">
        <v>27</v>
      </c>
      <c r="J74" s="2" t="s">
        <v>32</v>
      </c>
      <c r="K74" s="1" t="s">
        <v>305</v>
      </c>
      <c r="L74" s="1" t="s">
        <v>269</v>
      </c>
      <c r="M74" s="2" t="s">
        <v>52</v>
      </c>
      <c r="N74" s="1">
        <v>0</v>
      </c>
      <c r="O74" s="2" t="s">
        <v>82</v>
      </c>
      <c r="P74" s="2" t="s">
        <v>32</v>
      </c>
      <c r="Q74" s="5">
        <v>44244</v>
      </c>
      <c r="R74" s="12"/>
    </row>
    <row r="75" spans="1:18" ht="63.75" x14ac:dyDescent="0.25">
      <c r="A75" s="2">
        <f t="shared" si="4"/>
        <v>74</v>
      </c>
      <c r="B75" s="2">
        <v>78</v>
      </c>
      <c r="C75" s="2" t="s">
        <v>36</v>
      </c>
      <c r="D75" s="5">
        <v>44242</v>
      </c>
      <c r="E75" s="10">
        <v>0.64583333333333337</v>
      </c>
      <c r="F75" s="1" t="s">
        <v>306</v>
      </c>
      <c r="G75" s="5">
        <v>40023</v>
      </c>
      <c r="H75" s="2" t="str">
        <f t="shared" si="5"/>
        <v>11 г. 6 мес. 17 дн.</v>
      </c>
      <c r="I75" s="2" t="s">
        <v>28</v>
      </c>
      <c r="J75" s="2" t="s">
        <v>36</v>
      </c>
      <c r="K75" s="1" t="s">
        <v>307</v>
      </c>
      <c r="L75" s="1" t="s">
        <v>308</v>
      </c>
      <c r="M75" s="2" t="s">
        <v>54</v>
      </c>
      <c r="N75" s="1">
        <v>0</v>
      </c>
      <c r="O75" s="2" t="s">
        <v>82</v>
      </c>
      <c r="P75" s="2" t="s">
        <v>36</v>
      </c>
      <c r="Q75" s="5">
        <v>44244</v>
      </c>
      <c r="R75" s="6"/>
    </row>
    <row r="76" spans="1:18" ht="25.5" x14ac:dyDescent="0.25">
      <c r="A76" s="2">
        <f t="shared" si="4"/>
        <v>75</v>
      </c>
      <c r="B76" s="2">
        <v>210</v>
      </c>
      <c r="C76" s="2" t="s">
        <v>31</v>
      </c>
      <c r="D76" s="5">
        <v>44243</v>
      </c>
      <c r="E76" s="10">
        <v>2.0833333333333332E-2</v>
      </c>
      <c r="F76" s="1" t="s">
        <v>309</v>
      </c>
      <c r="G76" s="5">
        <v>39618</v>
      </c>
      <c r="H76" s="2" t="str">
        <f t="shared" si="5"/>
        <v>12 г. 7 мес. 28 дн.</v>
      </c>
      <c r="I76" s="2" t="s">
        <v>26</v>
      </c>
      <c r="J76" s="2" t="s">
        <v>31</v>
      </c>
      <c r="K76" s="1" t="s">
        <v>310</v>
      </c>
      <c r="L76" s="1" t="s">
        <v>136</v>
      </c>
      <c r="M76" s="2" t="s">
        <v>60</v>
      </c>
      <c r="N76" s="1">
        <v>0</v>
      </c>
      <c r="O76" s="1" t="s">
        <v>82</v>
      </c>
      <c r="P76" s="2" t="s">
        <v>31</v>
      </c>
      <c r="Q76" s="5">
        <v>44245</v>
      </c>
      <c r="R76" s="12"/>
    </row>
    <row r="77" spans="1:18" ht="63.75" x14ac:dyDescent="0.25">
      <c r="A77" s="2">
        <f t="shared" si="4"/>
        <v>76</v>
      </c>
      <c r="B77" s="2">
        <v>81</v>
      </c>
      <c r="C77" s="1" t="s">
        <v>36</v>
      </c>
      <c r="D77" s="5">
        <v>44243</v>
      </c>
      <c r="E77" s="10">
        <v>0.66666666666666663</v>
      </c>
      <c r="F77" s="1" t="s">
        <v>311</v>
      </c>
      <c r="G77" s="5">
        <v>41297</v>
      </c>
      <c r="H77" s="2" t="str">
        <f t="shared" si="5"/>
        <v>8 г. 0 мес. 24 дн.</v>
      </c>
      <c r="I77" s="2" t="s">
        <v>28</v>
      </c>
      <c r="J77" s="2" t="s">
        <v>36</v>
      </c>
      <c r="K77" s="1" t="s">
        <v>322</v>
      </c>
      <c r="L77" s="1" t="s">
        <v>312</v>
      </c>
      <c r="M77" s="2" t="s">
        <v>54</v>
      </c>
      <c r="N77" s="1">
        <v>0</v>
      </c>
      <c r="O77" s="2" t="s">
        <v>82</v>
      </c>
      <c r="P77" s="2" t="s">
        <v>36</v>
      </c>
      <c r="Q77" s="5">
        <v>44245</v>
      </c>
      <c r="R77" s="12"/>
    </row>
    <row r="78" spans="1:18" ht="38.25" x14ac:dyDescent="0.25">
      <c r="A78" s="2">
        <f t="shared" si="4"/>
        <v>77</v>
      </c>
      <c r="B78" s="30">
        <v>207</v>
      </c>
      <c r="C78" s="30" t="s">
        <v>31</v>
      </c>
      <c r="D78" s="31">
        <v>44242</v>
      </c>
      <c r="E78" s="32">
        <v>0.4236111111111111</v>
      </c>
      <c r="F78" s="33" t="s">
        <v>313</v>
      </c>
      <c r="G78" s="31">
        <v>44187</v>
      </c>
      <c r="H78" s="30" t="str">
        <f t="shared" si="5"/>
        <v>0 г. 1 мес. 24 дн.</v>
      </c>
      <c r="I78" s="30" t="s">
        <v>28</v>
      </c>
      <c r="J78" s="30" t="s">
        <v>31</v>
      </c>
      <c r="K78" s="33" t="s">
        <v>324</v>
      </c>
      <c r="L78" s="33" t="s">
        <v>323</v>
      </c>
      <c r="M78" s="30" t="s">
        <v>57</v>
      </c>
      <c r="N78" s="33" t="s">
        <v>105</v>
      </c>
      <c r="O78" s="30" t="s">
        <v>88</v>
      </c>
      <c r="P78" s="30" t="s">
        <v>40</v>
      </c>
      <c r="Q78" s="31">
        <v>44263</v>
      </c>
      <c r="R78" s="34">
        <v>0.6694444444444444</v>
      </c>
    </row>
    <row r="79" spans="1:18" ht="25.5" x14ac:dyDescent="0.25">
      <c r="A79" s="2">
        <f t="shared" si="4"/>
        <v>78</v>
      </c>
      <c r="B79" s="1">
        <v>215</v>
      </c>
      <c r="C79" s="2" t="s">
        <v>31</v>
      </c>
      <c r="D79" s="5">
        <v>44244</v>
      </c>
      <c r="E79" s="10">
        <v>0.57638888888888895</v>
      </c>
      <c r="F79" s="1" t="s">
        <v>314</v>
      </c>
      <c r="G79" s="5">
        <v>43290</v>
      </c>
      <c r="H79" s="2" t="str">
        <f t="shared" si="5"/>
        <v>2 г. 7 мес. 8 дн.</v>
      </c>
      <c r="I79" s="2" t="s">
        <v>28</v>
      </c>
      <c r="J79" s="2" t="s">
        <v>31</v>
      </c>
      <c r="K79" s="1" t="s">
        <v>321</v>
      </c>
      <c r="L79" s="1" t="s">
        <v>315</v>
      </c>
      <c r="M79" s="2" t="s">
        <v>60</v>
      </c>
      <c r="N79" s="1">
        <v>0</v>
      </c>
      <c r="O79" s="2" t="s">
        <v>82</v>
      </c>
      <c r="P79" s="2" t="s">
        <v>31</v>
      </c>
      <c r="Q79" s="5">
        <v>44245</v>
      </c>
      <c r="R79" s="6"/>
    </row>
    <row r="80" spans="1:18" ht="25.5" x14ac:dyDescent="0.25">
      <c r="A80" s="2">
        <f t="shared" si="4"/>
        <v>79</v>
      </c>
      <c r="B80" s="1">
        <v>224</v>
      </c>
      <c r="C80" s="2" t="s">
        <v>31</v>
      </c>
      <c r="D80" s="5">
        <v>44245</v>
      </c>
      <c r="E80" s="10">
        <v>0.46875</v>
      </c>
      <c r="F80" s="1" t="s">
        <v>316</v>
      </c>
      <c r="G80" s="5">
        <v>43747</v>
      </c>
      <c r="H80" s="2" t="str">
        <f t="shared" si="5"/>
        <v>1 г. 4 мес. 9 дн.</v>
      </c>
      <c r="I80" s="2" t="s">
        <v>25</v>
      </c>
      <c r="J80" s="2" t="s">
        <v>31</v>
      </c>
      <c r="K80" s="1" t="s">
        <v>317</v>
      </c>
      <c r="L80" s="1" t="s">
        <v>318</v>
      </c>
      <c r="M80" s="2" t="s">
        <v>65</v>
      </c>
      <c r="N80" s="1">
        <v>0</v>
      </c>
      <c r="O80" s="2" t="s">
        <v>87</v>
      </c>
      <c r="P80" s="2" t="s">
        <v>31</v>
      </c>
      <c r="Q80" s="5">
        <v>44269</v>
      </c>
      <c r="R80" s="6"/>
    </row>
    <row r="81" spans="1:18" ht="38.25" x14ac:dyDescent="0.25">
      <c r="A81" s="2">
        <f t="shared" si="4"/>
        <v>80</v>
      </c>
      <c r="B81" s="2">
        <v>225</v>
      </c>
      <c r="C81" s="2" t="s">
        <v>31</v>
      </c>
      <c r="D81" s="5">
        <v>44245</v>
      </c>
      <c r="E81" s="10">
        <v>0.5</v>
      </c>
      <c r="F81" s="1" t="s">
        <v>319</v>
      </c>
      <c r="G81" s="5">
        <v>43244</v>
      </c>
      <c r="H81" s="2" t="str">
        <f t="shared" si="5"/>
        <v>2 г. 8 мес. 25 дн.</v>
      </c>
      <c r="I81" s="2" t="s">
        <v>25</v>
      </c>
      <c r="J81" s="2" t="s">
        <v>31</v>
      </c>
      <c r="K81" s="1" t="s">
        <v>320</v>
      </c>
      <c r="L81" s="1" t="s">
        <v>318</v>
      </c>
      <c r="M81" s="2" t="s">
        <v>65</v>
      </c>
      <c r="N81" s="1">
        <v>0</v>
      </c>
      <c r="O81" s="2" t="s">
        <v>87</v>
      </c>
      <c r="P81" s="2" t="s">
        <v>31</v>
      </c>
      <c r="Q81" s="5">
        <v>44257</v>
      </c>
      <c r="R81" s="6"/>
    </row>
    <row r="82" spans="1:18" ht="38.25" x14ac:dyDescent="0.25">
      <c r="A82" s="30">
        <f t="shared" si="4"/>
        <v>81</v>
      </c>
      <c r="B82" s="30">
        <v>70</v>
      </c>
      <c r="C82" s="30" t="s">
        <v>38</v>
      </c>
      <c r="D82" s="31">
        <v>44246</v>
      </c>
      <c r="E82" s="32">
        <v>0.16666666666666666</v>
      </c>
      <c r="F82" s="33" t="s">
        <v>108</v>
      </c>
      <c r="G82" s="31">
        <v>43613</v>
      </c>
      <c r="H82" s="30" t="str">
        <f t="shared" si="5"/>
        <v>1 г. 8 мес. 22 дн.</v>
      </c>
      <c r="I82" s="30" t="s">
        <v>28</v>
      </c>
      <c r="J82" s="30" t="s">
        <v>38</v>
      </c>
      <c r="K82" s="33" t="s">
        <v>325</v>
      </c>
      <c r="L82" s="33" t="s">
        <v>326</v>
      </c>
      <c r="M82" s="30" t="s">
        <v>57</v>
      </c>
      <c r="N82" s="33" t="s">
        <v>105</v>
      </c>
      <c r="O82" s="30" t="s">
        <v>87</v>
      </c>
      <c r="P82" s="30" t="s">
        <v>40</v>
      </c>
      <c r="Q82" s="31">
        <v>44249</v>
      </c>
      <c r="R82" s="34">
        <v>0.12152777777777778</v>
      </c>
    </row>
    <row r="83" spans="1:18" ht="38.25" x14ac:dyDescent="0.25">
      <c r="A83" s="2">
        <f t="shared" si="4"/>
        <v>82</v>
      </c>
      <c r="B83" s="2"/>
      <c r="C83" s="2" t="s">
        <v>34</v>
      </c>
      <c r="D83" s="5">
        <v>44246</v>
      </c>
      <c r="E83" s="10">
        <v>0.39583333333333331</v>
      </c>
      <c r="F83" s="1" t="s">
        <v>327</v>
      </c>
      <c r="G83" s="5"/>
      <c r="H83" s="2" t="str">
        <f t="shared" si="5"/>
        <v>121 г. 1 мес. 19 дн.</v>
      </c>
      <c r="I83" s="2" t="s">
        <v>27</v>
      </c>
      <c r="J83" s="2" t="s">
        <v>34</v>
      </c>
      <c r="K83" s="1" t="s">
        <v>112</v>
      </c>
      <c r="L83" s="1" t="s">
        <v>328</v>
      </c>
      <c r="M83" s="2" t="s">
        <v>53</v>
      </c>
      <c r="N83" s="1">
        <v>0</v>
      </c>
      <c r="O83" s="2" t="s">
        <v>82</v>
      </c>
      <c r="P83" s="2" t="s">
        <v>34</v>
      </c>
      <c r="Q83" s="5">
        <v>44246</v>
      </c>
      <c r="R83" s="12"/>
    </row>
    <row r="84" spans="1:18" ht="38.25" x14ac:dyDescent="0.25">
      <c r="A84" s="2">
        <f t="shared" si="4"/>
        <v>83</v>
      </c>
      <c r="B84" s="2">
        <v>254</v>
      </c>
      <c r="C84" s="2" t="s">
        <v>31</v>
      </c>
      <c r="D84" s="5">
        <v>44248</v>
      </c>
      <c r="E84" s="10">
        <v>0.71736111111111101</v>
      </c>
      <c r="F84" s="1" t="s">
        <v>329</v>
      </c>
      <c r="G84" s="5">
        <v>44248</v>
      </c>
      <c r="H84" s="2" t="str">
        <f t="shared" si="5"/>
        <v>0 г. 0 мес. 0 дн.</v>
      </c>
      <c r="I84" s="2" t="s">
        <v>25</v>
      </c>
      <c r="J84" s="2" t="s">
        <v>31</v>
      </c>
      <c r="K84" s="1" t="s">
        <v>330</v>
      </c>
      <c r="L84" s="1" t="s">
        <v>332</v>
      </c>
      <c r="M84" s="1" t="s">
        <v>331</v>
      </c>
      <c r="N84" s="1">
        <v>0</v>
      </c>
      <c r="O84" s="2" t="s">
        <v>87</v>
      </c>
      <c r="P84" s="2" t="s">
        <v>39</v>
      </c>
      <c r="Q84" s="5">
        <v>44249</v>
      </c>
      <c r="R84" s="12"/>
    </row>
    <row r="85" spans="1:18" ht="25.5" x14ac:dyDescent="0.25">
      <c r="A85" s="2">
        <f t="shared" si="4"/>
        <v>84</v>
      </c>
      <c r="B85" s="2">
        <v>92</v>
      </c>
      <c r="C85" s="2" t="s">
        <v>36</v>
      </c>
      <c r="D85" s="5">
        <v>44250</v>
      </c>
      <c r="E85" s="10">
        <v>0.90625</v>
      </c>
      <c r="F85" s="1" t="s">
        <v>333</v>
      </c>
      <c r="G85" s="5"/>
      <c r="H85" s="1" t="s">
        <v>336</v>
      </c>
      <c r="I85" s="2" t="s">
        <v>25</v>
      </c>
      <c r="J85" s="2" t="s">
        <v>36</v>
      </c>
      <c r="K85" s="1" t="s">
        <v>334</v>
      </c>
      <c r="L85" s="1" t="s">
        <v>335</v>
      </c>
      <c r="M85" s="2" t="s">
        <v>66</v>
      </c>
      <c r="N85" s="1">
        <v>0</v>
      </c>
      <c r="O85" s="2" t="s">
        <v>82</v>
      </c>
      <c r="P85" s="2" t="s">
        <v>36</v>
      </c>
      <c r="Q85" s="5">
        <v>44252</v>
      </c>
      <c r="R85" s="12"/>
    </row>
    <row r="86" spans="1:18" ht="25.5" x14ac:dyDescent="0.25">
      <c r="A86" s="2">
        <f t="shared" si="4"/>
        <v>85</v>
      </c>
      <c r="B86" s="2">
        <v>95</v>
      </c>
      <c r="C86" s="2" t="s">
        <v>36</v>
      </c>
      <c r="D86" s="5">
        <v>44251</v>
      </c>
      <c r="E86" s="10">
        <v>0.70138888888888884</v>
      </c>
      <c r="F86" s="1" t="s">
        <v>337</v>
      </c>
      <c r="G86" s="5">
        <v>44194</v>
      </c>
      <c r="H86" s="2" t="str">
        <f t="shared" si="5"/>
        <v>0 г. 1 мес. 26 дн.</v>
      </c>
      <c r="I86" s="2" t="s">
        <v>25</v>
      </c>
      <c r="J86" s="2" t="s">
        <v>36</v>
      </c>
      <c r="K86" s="1" t="s">
        <v>338</v>
      </c>
      <c r="L86" s="1" t="s">
        <v>339</v>
      </c>
      <c r="M86" s="2" t="s">
        <v>59</v>
      </c>
      <c r="N86" s="1">
        <v>0</v>
      </c>
      <c r="O86" s="2" t="s">
        <v>82</v>
      </c>
      <c r="P86" s="2" t="s">
        <v>36</v>
      </c>
      <c r="Q86" s="5">
        <v>44252</v>
      </c>
      <c r="R86" s="6"/>
    </row>
    <row r="87" spans="1:18" ht="63.75" x14ac:dyDescent="0.25">
      <c r="A87" s="2">
        <f t="shared" si="4"/>
        <v>86</v>
      </c>
      <c r="B87" s="2">
        <v>96</v>
      </c>
      <c r="C87" s="2" t="s">
        <v>36</v>
      </c>
      <c r="D87" s="5">
        <v>44251</v>
      </c>
      <c r="E87" s="10">
        <v>0.80208333333333337</v>
      </c>
      <c r="F87" s="1" t="s">
        <v>340</v>
      </c>
      <c r="G87" s="5">
        <v>42562</v>
      </c>
      <c r="H87" s="2" t="str">
        <f t="shared" si="5"/>
        <v>4 г. 7 мес. 13 дн.</v>
      </c>
      <c r="I87" s="2" t="s">
        <v>25</v>
      </c>
      <c r="J87" s="2" t="s">
        <v>36</v>
      </c>
      <c r="K87" s="1" t="s">
        <v>341</v>
      </c>
      <c r="L87" s="1" t="s">
        <v>342</v>
      </c>
      <c r="M87" s="2" t="s">
        <v>54</v>
      </c>
      <c r="N87" s="1">
        <v>0</v>
      </c>
      <c r="O87" s="2" t="s">
        <v>82</v>
      </c>
      <c r="P87" s="2" t="s">
        <v>39</v>
      </c>
      <c r="Q87" s="5">
        <v>44252</v>
      </c>
      <c r="R87" s="12"/>
    </row>
    <row r="88" spans="1:18" ht="25.5" x14ac:dyDescent="0.25">
      <c r="A88" s="2">
        <f t="shared" si="4"/>
        <v>87</v>
      </c>
      <c r="B88" s="2"/>
      <c r="C88" s="2" t="s">
        <v>31</v>
      </c>
      <c r="D88" s="5">
        <v>44253</v>
      </c>
      <c r="E88" s="10">
        <v>0.78125</v>
      </c>
      <c r="F88" s="1" t="s">
        <v>343</v>
      </c>
      <c r="G88" s="5"/>
      <c r="H88" s="2" t="str">
        <f t="shared" si="5"/>
        <v>121 г. 1 мес. 26 дн.</v>
      </c>
      <c r="I88" s="2" t="s">
        <v>100</v>
      </c>
      <c r="J88" s="2" t="s">
        <v>31</v>
      </c>
      <c r="L88" s="1" t="s">
        <v>344</v>
      </c>
      <c r="M88" s="2" t="s">
        <v>60</v>
      </c>
      <c r="N88" s="1">
        <v>0</v>
      </c>
      <c r="O88" s="2" t="s">
        <v>82</v>
      </c>
      <c r="P88" s="2" t="s">
        <v>31</v>
      </c>
      <c r="Q88" s="5">
        <v>44255</v>
      </c>
      <c r="R88" s="15" t="s">
        <v>345</v>
      </c>
    </row>
    <row r="89" spans="1:18" ht="38.25" x14ac:dyDescent="0.25">
      <c r="A89" s="2">
        <f t="shared" si="4"/>
        <v>88</v>
      </c>
      <c r="B89" s="2">
        <v>304</v>
      </c>
      <c r="C89" s="2" t="s">
        <v>31</v>
      </c>
      <c r="D89" s="5">
        <v>44255</v>
      </c>
      <c r="E89" s="10">
        <v>0.92013888888888884</v>
      </c>
      <c r="F89" s="1" t="s">
        <v>346</v>
      </c>
      <c r="G89" s="5">
        <v>43593</v>
      </c>
      <c r="H89" s="2" t="str">
        <f t="shared" si="5"/>
        <v>1 г. 9 мес. 20 дн.</v>
      </c>
      <c r="I89" s="2" t="s">
        <v>26</v>
      </c>
      <c r="J89" s="2" t="s">
        <v>31</v>
      </c>
      <c r="K89" s="1" t="s">
        <v>347</v>
      </c>
      <c r="L89" s="1" t="s">
        <v>348</v>
      </c>
      <c r="M89" s="2" t="s">
        <v>60</v>
      </c>
      <c r="N89" s="1">
        <v>0</v>
      </c>
      <c r="O89" s="2" t="s">
        <v>82</v>
      </c>
      <c r="P89" s="2" t="s">
        <v>31</v>
      </c>
      <c r="Q89" s="5">
        <v>44256</v>
      </c>
      <c r="R89" s="12"/>
    </row>
    <row r="90" spans="1:18" ht="63.75" x14ac:dyDescent="0.25">
      <c r="A90" s="2">
        <f t="shared" si="4"/>
        <v>89</v>
      </c>
      <c r="B90" s="2">
        <v>104</v>
      </c>
      <c r="C90" s="2" t="s">
        <v>36</v>
      </c>
      <c r="D90" s="5">
        <v>44253</v>
      </c>
      <c r="E90" s="10">
        <v>0.41666666666666669</v>
      </c>
      <c r="F90" s="1" t="s">
        <v>349</v>
      </c>
      <c r="G90" s="5">
        <v>38297</v>
      </c>
      <c r="H90" s="2" t="str">
        <f t="shared" si="5"/>
        <v>16 г. 3 мес. 20 дн.</v>
      </c>
      <c r="I90" s="2" t="s">
        <v>25</v>
      </c>
      <c r="J90" s="2" t="s">
        <v>36</v>
      </c>
      <c r="K90" s="1" t="s">
        <v>350</v>
      </c>
      <c r="L90" s="1" t="s">
        <v>342</v>
      </c>
      <c r="M90" s="2" t="s">
        <v>54</v>
      </c>
      <c r="N90" s="1">
        <v>0</v>
      </c>
      <c r="O90" s="2" t="s">
        <v>82</v>
      </c>
      <c r="P90" s="2" t="s">
        <v>39</v>
      </c>
      <c r="Q90" s="5">
        <v>44256</v>
      </c>
      <c r="R90" s="12"/>
    </row>
    <row r="91" spans="1:18" ht="25.5" x14ac:dyDescent="0.25">
      <c r="A91" s="2">
        <f t="shared" si="4"/>
        <v>90</v>
      </c>
      <c r="B91" s="2">
        <v>101</v>
      </c>
      <c r="C91" s="2" t="s">
        <v>36</v>
      </c>
      <c r="D91" s="5">
        <v>44255</v>
      </c>
      <c r="E91" s="10">
        <v>2.7777777777777776E-2</v>
      </c>
      <c r="F91" s="1" t="s">
        <v>351</v>
      </c>
      <c r="G91" s="5">
        <v>43832</v>
      </c>
      <c r="H91" s="2" t="str">
        <f t="shared" si="5"/>
        <v>1 г. 1 мес. 26 дн.</v>
      </c>
      <c r="I91" s="2" t="s">
        <v>27</v>
      </c>
      <c r="J91" s="2" t="s">
        <v>36</v>
      </c>
      <c r="K91" s="1" t="s">
        <v>352</v>
      </c>
      <c r="L91" s="1" t="s">
        <v>353</v>
      </c>
      <c r="M91" s="2" t="s">
        <v>59</v>
      </c>
      <c r="N91" s="1">
        <v>0</v>
      </c>
      <c r="O91" s="2" t="s">
        <v>82</v>
      </c>
      <c r="P91" s="2" t="s">
        <v>36</v>
      </c>
      <c r="Q91" s="5">
        <v>44255</v>
      </c>
      <c r="R91" s="12"/>
    </row>
    <row r="92" spans="1:18" ht="38.25" x14ac:dyDescent="0.25">
      <c r="A92" s="2">
        <f t="shared" si="4"/>
        <v>91</v>
      </c>
      <c r="B92" s="2">
        <v>77</v>
      </c>
      <c r="C92" s="2" t="s">
        <v>38</v>
      </c>
      <c r="D92" s="5">
        <v>44256</v>
      </c>
      <c r="E92" s="10">
        <v>0.625</v>
      </c>
      <c r="F92" s="1" t="s">
        <v>354</v>
      </c>
      <c r="G92" s="5">
        <v>42940</v>
      </c>
      <c r="H92" s="2" t="str">
        <f t="shared" si="5"/>
        <v>3 г. 7 мес. 5 дн.</v>
      </c>
      <c r="I92" s="2" t="s">
        <v>27</v>
      </c>
      <c r="J92" s="2" t="s">
        <v>38</v>
      </c>
      <c r="K92" s="1" t="s">
        <v>355</v>
      </c>
      <c r="L92" s="1" t="s">
        <v>356</v>
      </c>
      <c r="M92" s="2" t="s">
        <v>57</v>
      </c>
      <c r="N92" s="1">
        <v>0</v>
      </c>
      <c r="O92" s="2" t="s">
        <v>82</v>
      </c>
      <c r="P92" s="2" t="s">
        <v>38</v>
      </c>
      <c r="Q92" s="5">
        <v>44257</v>
      </c>
      <c r="R92" s="12"/>
    </row>
    <row r="93" spans="1:18" ht="38.25" x14ac:dyDescent="0.25">
      <c r="A93" s="2">
        <f t="shared" ref="A93:A156" si="6">ROW(A92)</f>
        <v>92</v>
      </c>
      <c r="B93" s="1">
        <v>99</v>
      </c>
      <c r="C93" s="2" t="s">
        <v>36</v>
      </c>
      <c r="D93" s="5">
        <v>44258</v>
      </c>
      <c r="E93" s="10">
        <v>0.4375</v>
      </c>
      <c r="F93" s="1" t="s">
        <v>357</v>
      </c>
      <c r="G93" s="5">
        <v>38901</v>
      </c>
      <c r="H93" s="2" t="str">
        <f t="shared" si="5"/>
        <v>14 г. 8 мес. 0 дн.</v>
      </c>
      <c r="I93" s="2" t="s">
        <v>27</v>
      </c>
      <c r="J93" s="2" t="s">
        <v>36</v>
      </c>
      <c r="K93" s="1" t="s">
        <v>358</v>
      </c>
      <c r="L93" s="1" t="s">
        <v>359</v>
      </c>
      <c r="M93" s="2" t="s">
        <v>57</v>
      </c>
      <c r="N93" s="1">
        <v>0</v>
      </c>
      <c r="O93" s="2" t="s">
        <v>82</v>
      </c>
      <c r="P93" s="2" t="s">
        <v>36</v>
      </c>
      <c r="Q93" s="5">
        <v>44259</v>
      </c>
      <c r="R93" s="6"/>
    </row>
    <row r="94" spans="1:18" ht="25.5" x14ac:dyDescent="0.25">
      <c r="A94" s="2">
        <f t="shared" si="6"/>
        <v>93</v>
      </c>
      <c r="B94" s="2">
        <v>326</v>
      </c>
      <c r="C94" s="2" t="s">
        <v>32</v>
      </c>
      <c r="D94" s="5">
        <v>44258</v>
      </c>
      <c r="E94" s="10">
        <v>0.47569444444444442</v>
      </c>
      <c r="F94" s="1" t="s">
        <v>360</v>
      </c>
      <c r="G94" s="5">
        <v>42170</v>
      </c>
      <c r="H94" s="2" t="str">
        <f t="shared" si="5"/>
        <v>5 г. 8 мес. 16 дн.</v>
      </c>
      <c r="I94" s="2" t="s">
        <v>27</v>
      </c>
      <c r="J94" s="2" t="s">
        <v>32</v>
      </c>
      <c r="K94" s="1" t="s">
        <v>361</v>
      </c>
      <c r="L94" s="1" t="s">
        <v>362</v>
      </c>
      <c r="M94" s="2" t="s">
        <v>60</v>
      </c>
      <c r="N94" s="1">
        <v>0</v>
      </c>
      <c r="O94" s="2" t="s">
        <v>82</v>
      </c>
      <c r="P94" s="2" t="s">
        <v>31</v>
      </c>
      <c r="Q94" s="1" t="s">
        <v>374</v>
      </c>
      <c r="R94" s="12"/>
    </row>
    <row r="95" spans="1:18" ht="63.75" x14ac:dyDescent="0.25">
      <c r="A95" s="2">
        <f t="shared" si="6"/>
        <v>94</v>
      </c>
      <c r="B95" s="2">
        <v>111</v>
      </c>
      <c r="C95" s="2" t="s">
        <v>36</v>
      </c>
      <c r="D95" s="5">
        <v>44258</v>
      </c>
      <c r="E95" s="10">
        <v>0.72222222222222221</v>
      </c>
      <c r="F95" s="1" t="s">
        <v>363</v>
      </c>
      <c r="G95" s="5">
        <v>38445</v>
      </c>
      <c r="H95" s="2" t="str">
        <f t="shared" si="5"/>
        <v>15 г. 11 мес. 0 дн.</v>
      </c>
      <c r="I95" s="2" t="s">
        <v>25</v>
      </c>
      <c r="J95" s="2" t="s">
        <v>36</v>
      </c>
      <c r="K95" s="1" t="s">
        <v>364</v>
      </c>
      <c r="L95" s="1" t="s">
        <v>365</v>
      </c>
      <c r="M95" s="2" t="s">
        <v>54</v>
      </c>
      <c r="N95" s="1">
        <v>0</v>
      </c>
      <c r="O95" s="2" t="s">
        <v>82</v>
      </c>
      <c r="P95" s="2" t="s">
        <v>36</v>
      </c>
      <c r="Q95" s="5">
        <v>44259</v>
      </c>
      <c r="R95" s="12"/>
    </row>
    <row r="96" spans="1:18" ht="38.25" x14ac:dyDescent="0.25">
      <c r="A96" s="2">
        <f t="shared" si="6"/>
        <v>95</v>
      </c>
      <c r="B96" s="2">
        <v>329</v>
      </c>
      <c r="C96" s="2" t="s">
        <v>32</v>
      </c>
      <c r="D96" s="5">
        <v>44258</v>
      </c>
      <c r="E96" s="10">
        <v>0.75</v>
      </c>
      <c r="F96" s="1" t="s">
        <v>366</v>
      </c>
      <c r="G96" s="5">
        <v>42009</v>
      </c>
      <c r="H96" s="2" t="str">
        <f t="shared" si="5"/>
        <v>6 г. 1 мес. 26 дн.</v>
      </c>
      <c r="I96" s="2" t="s">
        <v>27</v>
      </c>
      <c r="J96" s="2" t="s">
        <v>32</v>
      </c>
      <c r="K96" s="1" t="s">
        <v>367</v>
      </c>
      <c r="L96" s="1" t="s">
        <v>368</v>
      </c>
      <c r="M96" s="2" t="s">
        <v>52</v>
      </c>
      <c r="N96" s="1">
        <v>0</v>
      </c>
      <c r="O96" s="2" t="s">
        <v>82</v>
      </c>
      <c r="P96" s="2" t="s">
        <v>32</v>
      </c>
      <c r="Q96" s="5">
        <v>44259</v>
      </c>
      <c r="R96" s="12"/>
    </row>
    <row r="97" spans="1:18" ht="38.25" x14ac:dyDescent="0.25">
      <c r="A97" s="2">
        <f t="shared" si="6"/>
        <v>96</v>
      </c>
      <c r="B97" s="2">
        <v>225</v>
      </c>
      <c r="C97" s="2" t="s">
        <v>32</v>
      </c>
      <c r="D97" s="5">
        <v>44259</v>
      </c>
      <c r="E97" s="10">
        <v>0.4548611111111111</v>
      </c>
      <c r="F97" s="1" t="s">
        <v>369</v>
      </c>
      <c r="G97" s="5">
        <v>43244</v>
      </c>
      <c r="H97" s="2" t="str">
        <f t="shared" si="5"/>
        <v>2 г. 9 мес. 8 дн.</v>
      </c>
      <c r="I97" s="2" t="s">
        <v>30</v>
      </c>
      <c r="J97" s="2" t="s">
        <v>32</v>
      </c>
      <c r="K97" s="1" t="s">
        <v>320</v>
      </c>
      <c r="L97" s="1" t="s">
        <v>370</v>
      </c>
      <c r="M97" s="2" t="s">
        <v>65</v>
      </c>
      <c r="N97" s="1">
        <v>0</v>
      </c>
      <c r="O97" s="2" t="s">
        <v>87</v>
      </c>
      <c r="P97" s="2" t="s">
        <v>32</v>
      </c>
      <c r="Q97" s="5">
        <v>44264</v>
      </c>
      <c r="R97" s="6"/>
    </row>
    <row r="98" spans="1:18" ht="102" x14ac:dyDescent="0.25">
      <c r="A98" s="2">
        <f t="shared" si="6"/>
        <v>97</v>
      </c>
      <c r="B98" s="2">
        <v>305</v>
      </c>
      <c r="C98" s="2" t="s">
        <v>32</v>
      </c>
      <c r="D98" s="5">
        <v>44259</v>
      </c>
      <c r="E98" s="10">
        <v>0.75347222222222221</v>
      </c>
      <c r="F98" s="1" t="s">
        <v>371</v>
      </c>
      <c r="G98" s="5">
        <v>41473</v>
      </c>
      <c r="H98" s="2" t="str">
        <f t="shared" si="5"/>
        <v>7 г. 7 мес. 14 дн.</v>
      </c>
      <c r="I98" s="2" t="s">
        <v>26</v>
      </c>
      <c r="J98" s="2" t="s">
        <v>32</v>
      </c>
      <c r="K98" s="1" t="s">
        <v>372</v>
      </c>
      <c r="L98" s="1" t="s">
        <v>373</v>
      </c>
      <c r="M98" s="2" t="s">
        <v>60</v>
      </c>
      <c r="N98" s="1">
        <v>0</v>
      </c>
      <c r="O98" s="2" t="s">
        <v>82</v>
      </c>
      <c r="P98" s="2" t="s">
        <v>32</v>
      </c>
      <c r="Q98" s="5">
        <v>44264</v>
      </c>
      <c r="R98" s="12"/>
    </row>
    <row r="99" spans="1:18" ht="25.5" x14ac:dyDescent="0.25">
      <c r="A99" s="2">
        <v>98</v>
      </c>
      <c r="B99" s="2">
        <v>347</v>
      </c>
      <c r="C99" s="2" t="s">
        <v>31</v>
      </c>
      <c r="D99" s="5">
        <v>44261</v>
      </c>
      <c r="E99" s="10">
        <v>0.51736111111111105</v>
      </c>
      <c r="F99" s="1" t="s">
        <v>375</v>
      </c>
      <c r="G99" s="5">
        <v>43553</v>
      </c>
      <c r="H99" s="2"/>
      <c r="I99" s="2" t="s">
        <v>25</v>
      </c>
      <c r="J99" s="2" t="s">
        <v>31</v>
      </c>
      <c r="K99" s="1" t="s">
        <v>376</v>
      </c>
      <c r="L99" s="1" t="s">
        <v>377</v>
      </c>
      <c r="M99" s="2" t="s">
        <v>65</v>
      </c>
      <c r="N99" s="1">
        <v>0</v>
      </c>
      <c r="O99" s="2" t="s">
        <v>87</v>
      </c>
      <c r="P99" s="2" t="s">
        <v>31</v>
      </c>
      <c r="Q99" s="5">
        <v>44269</v>
      </c>
      <c r="R99" s="12"/>
    </row>
    <row r="100" spans="1:18" ht="38.25" x14ac:dyDescent="0.25">
      <c r="A100" s="2">
        <f t="shared" si="6"/>
        <v>99</v>
      </c>
      <c r="B100" s="2">
        <v>355</v>
      </c>
      <c r="C100" s="2" t="s">
        <v>31</v>
      </c>
      <c r="D100" s="5">
        <v>44262</v>
      </c>
      <c r="E100" s="10">
        <v>0.97916666666666663</v>
      </c>
      <c r="F100" s="1" t="s">
        <v>378</v>
      </c>
      <c r="G100" s="5">
        <v>37838</v>
      </c>
      <c r="H100" s="2" t="str">
        <f t="shared" si="5"/>
        <v>17 г. 7 мес. 2 дн.</v>
      </c>
      <c r="I100" s="2" t="s">
        <v>25</v>
      </c>
      <c r="J100" s="2" t="s">
        <v>31</v>
      </c>
      <c r="K100" s="1" t="s">
        <v>379</v>
      </c>
      <c r="L100" s="1" t="s">
        <v>380</v>
      </c>
      <c r="M100" s="2" t="s">
        <v>61</v>
      </c>
      <c r="N100" s="1">
        <v>0</v>
      </c>
      <c r="O100" s="2" t="s">
        <v>82</v>
      </c>
      <c r="P100" s="2" t="s">
        <v>39</v>
      </c>
      <c r="Q100" s="5">
        <v>44264</v>
      </c>
      <c r="R100" s="6"/>
    </row>
    <row r="101" spans="1:18" ht="25.5" x14ac:dyDescent="0.25">
      <c r="A101" s="2">
        <f t="shared" si="6"/>
        <v>100</v>
      </c>
      <c r="B101" s="2">
        <v>366</v>
      </c>
      <c r="C101" s="2" t="s">
        <v>31</v>
      </c>
      <c r="D101" s="5">
        <v>44264</v>
      </c>
      <c r="E101" s="10">
        <v>0.44791666666666669</v>
      </c>
      <c r="F101" s="1" t="s">
        <v>381</v>
      </c>
      <c r="G101" s="5">
        <v>43672</v>
      </c>
      <c r="H101" s="2" t="str">
        <f t="shared" si="5"/>
        <v>1 г. 7 мес. 11 дн.</v>
      </c>
      <c r="I101" s="2" t="s">
        <v>25</v>
      </c>
      <c r="J101" s="2" t="s">
        <v>31</v>
      </c>
      <c r="K101" s="1" t="s">
        <v>382</v>
      </c>
      <c r="L101" s="1" t="s">
        <v>383</v>
      </c>
      <c r="M101" s="2" t="s">
        <v>65</v>
      </c>
      <c r="N101" s="1">
        <v>0</v>
      </c>
      <c r="O101" s="2" t="s">
        <v>87</v>
      </c>
      <c r="P101" s="2" t="s">
        <v>31</v>
      </c>
      <c r="Q101" s="5">
        <v>44267</v>
      </c>
      <c r="R101" s="12"/>
    </row>
    <row r="102" spans="1:18" ht="51" x14ac:dyDescent="0.25">
      <c r="A102" s="2">
        <f t="shared" si="6"/>
        <v>101</v>
      </c>
      <c r="B102" s="2">
        <v>361</v>
      </c>
      <c r="C102" s="2" t="s">
        <v>31</v>
      </c>
      <c r="D102" s="5">
        <v>44264</v>
      </c>
      <c r="E102" s="10">
        <v>0.51041666666666663</v>
      </c>
      <c r="F102" s="1" t="s">
        <v>384</v>
      </c>
      <c r="G102" s="4">
        <v>41796</v>
      </c>
      <c r="H102" s="2" t="str">
        <f t="shared" si="5"/>
        <v>6 г. 9 мес. 3 дн.</v>
      </c>
      <c r="I102" s="2" t="s">
        <v>26</v>
      </c>
      <c r="J102" s="2" t="s">
        <v>31</v>
      </c>
      <c r="K102" s="1" t="s">
        <v>385</v>
      </c>
      <c r="L102" s="1" t="s">
        <v>386</v>
      </c>
      <c r="M102" s="2" t="s">
        <v>64</v>
      </c>
      <c r="N102" s="1">
        <v>0</v>
      </c>
      <c r="O102" s="2" t="s">
        <v>82</v>
      </c>
      <c r="P102" s="2" t="s">
        <v>31</v>
      </c>
      <c r="Q102" s="5">
        <v>44265</v>
      </c>
      <c r="R102" s="6"/>
    </row>
    <row r="103" spans="1:18" ht="25.5" x14ac:dyDescent="0.25">
      <c r="A103" s="2">
        <f t="shared" si="6"/>
        <v>102</v>
      </c>
      <c r="B103" s="2">
        <v>368</v>
      </c>
      <c r="C103" s="2" t="s">
        <v>31</v>
      </c>
      <c r="D103" s="5">
        <v>44264</v>
      </c>
      <c r="E103" s="10">
        <v>0.51388888888888895</v>
      </c>
      <c r="F103" s="1" t="s">
        <v>387</v>
      </c>
      <c r="G103" s="5">
        <v>43811</v>
      </c>
      <c r="H103" s="2" t="str">
        <f t="shared" si="5"/>
        <v>1 г. 2 мес. 25 дн.</v>
      </c>
      <c r="I103" s="2" t="s">
        <v>25</v>
      </c>
      <c r="J103" s="2" t="s">
        <v>31</v>
      </c>
      <c r="K103" s="1" t="s">
        <v>388</v>
      </c>
      <c r="L103" s="1" t="s">
        <v>389</v>
      </c>
      <c r="M103" s="2" t="s">
        <v>66</v>
      </c>
      <c r="N103" s="1">
        <v>0</v>
      </c>
      <c r="O103" s="2" t="s">
        <v>82</v>
      </c>
      <c r="P103" s="2" t="s">
        <v>31</v>
      </c>
      <c r="Q103" s="5">
        <v>44265</v>
      </c>
      <c r="R103" s="6"/>
    </row>
    <row r="104" spans="1:18" ht="38.25" x14ac:dyDescent="0.25">
      <c r="A104" s="19">
        <f t="shared" si="6"/>
        <v>103</v>
      </c>
      <c r="B104" s="19">
        <v>107</v>
      </c>
      <c r="C104" s="22" t="s">
        <v>390</v>
      </c>
      <c r="D104" s="20">
        <v>44265</v>
      </c>
      <c r="E104" s="21">
        <v>0.61458333333333337</v>
      </c>
      <c r="F104" s="22" t="s">
        <v>378</v>
      </c>
      <c r="G104" s="20">
        <v>37838</v>
      </c>
      <c r="H104" s="19" t="str">
        <f t="shared" si="5"/>
        <v>17 г. 7 мес. 5 дн.</v>
      </c>
      <c r="I104" s="19" t="s">
        <v>28</v>
      </c>
      <c r="J104" s="22" t="s">
        <v>390</v>
      </c>
      <c r="K104" s="22" t="s">
        <v>379</v>
      </c>
      <c r="L104" s="22" t="s">
        <v>380</v>
      </c>
      <c r="M104" s="19" t="s">
        <v>61</v>
      </c>
      <c r="N104" s="22" t="s">
        <v>470</v>
      </c>
      <c r="O104" s="19" t="s">
        <v>87</v>
      </c>
      <c r="P104" s="19" t="s">
        <v>40</v>
      </c>
      <c r="Q104" s="20">
        <v>44328</v>
      </c>
      <c r="R104" s="23">
        <v>8.6805555555555566E-2</v>
      </c>
    </row>
    <row r="105" spans="1:18" ht="25.5" x14ac:dyDescent="0.25">
      <c r="A105" s="2">
        <f t="shared" si="6"/>
        <v>104</v>
      </c>
      <c r="B105" s="2">
        <v>389</v>
      </c>
      <c r="C105" s="2" t="s">
        <v>32</v>
      </c>
      <c r="D105" s="5">
        <v>44266</v>
      </c>
      <c r="E105" s="10">
        <v>0.625</v>
      </c>
      <c r="F105" s="1" t="s">
        <v>391</v>
      </c>
      <c r="G105" s="5">
        <v>44265</v>
      </c>
      <c r="H105" s="2" t="str">
        <f t="shared" si="5"/>
        <v>0 г. 0 мес. 1 дн.</v>
      </c>
      <c r="I105" s="2" t="s">
        <v>29</v>
      </c>
      <c r="J105" s="2" t="s">
        <v>32</v>
      </c>
      <c r="K105" s="1" t="s">
        <v>392</v>
      </c>
      <c r="L105" s="1" t="s">
        <v>393</v>
      </c>
      <c r="M105" s="2" t="s">
        <v>60</v>
      </c>
      <c r="N105" s="1" t="s">
        <v>452</v>
      </c>
      <c r="O105" s="2" t="s">
        <v>87</v>
      </c>
      <c r="P105" s="2" t="s">
        <v>35</v>
      </c>
      <c r="Q105" s="5">
        <v>44274</v>
      </c>
      <c r="R105" s="6"/>
    </row>
    <row r="106" spans="1:18" ht="25.5" x14ac:dyDescent="0.25">
      <c r="A106" s="2">
        <f t="shared" si="6"/>
        <v>105</v>
      </c>
      <c r="B106" s="2">
        <v>391</v>
      </c>
      <c r="C106" s="2" t="s">
        <v>32</v>
      </c>
      <c r="D106" s="5">
        <v>44266</v>
      </c>
      <c r="E106" s="10">
        <v>0.80972222222222223</v>
      </c>
      <c r="F106" s="1" t="s">
        <v>394</v>
      </c>
      <c r="G106" s="4">
        <v>43480</v>
      </c>
      <c r="H106" s="2" t="str">
        <f t="shared" si="5"/>
        <v>2 г. 1 мес. 24 дн.</v>
      </c>
      <c r="I106" s="2" t="s">
        <v>25</v>
      </c>
      <c r="J106" s="2" t="s">
        <v>32</v>
      </c>
      <c r="K106" s="1" t="s">
        <v>409</v>
      </c>
      <c r="L106" s="1" t="s">
        <v>389</v>
      </c>
      <c r="M106" s="2" t="s">
        <v>66</v>
      </c>
      <c r="N106" s="1" t="s">
        <v>105</v>
      </c>
      <c r="O106" s="1" t="s">
        <v>87</v>
      </c>
      <c r="P106" s="2" t="s">
        <v>31</v>
      </c>
      <c r="Q106" s="5">
        <v>44284</v>
      </c>
      <c r="R106" s="12"/>
    </row>
    <row r="107" spans="1:18" ht="38.25" x14ac:dyDescent="0.25">
      <c r="A107" s="2">
        <f t="shared" si="6"/>
        <v>106</v>
      </c>
      <c r="B107" s="2">
        <v>101</v>
      </c>
      <c r="C107" s="2" t="s">
        <v>38</v>
      </c>
      <c r="D107" s="5">
        <v>44269</v>
      </c>
      <c r="E107" s="10">
        <v>0.5</v>
      </c>
      <c r="F107" s="1" t="s">
        <v>395</v>
      </c>
      <c r="G107" s="5">
        <v>42037</v>
      </c>
      <c r="H107" s="2" t="str">
        <f t="shared" si="5"/>
        <v>6 г. 1 мес. 12 дн.</v>
      </c>
      <c r="I107" s="2" t="s">
        <v>27</v>
      </c>
      <c r="J107" s="2" t="s">
        <v>38</v>
      </c>
      <c r="K107" s="1" t="s">
        <v>396</v>
      </c>
      <c r="L107" s="1" t="s">
        <v>397</v>
      </c>
      <c r="M107" s="2" t="s">
        <v>57</v>
      </c>
      <c r="N107" s="1">
        <v>0</v>
      </c>
      <c r="O107" s="2" t="s">
        <v>82</v>
      </c>
      <c r="P107" s="2" t="s">
        <v>38</v>
      </c>
      <c r="Q107" s="5">
        <v>44270</v>
      </c>
      <c r="R107" s="6"/>
    </row>
    <row r="108" spans="1:18" ht="38.25" x14ac:dyDescent="0.25">
      <c r="A108" s="2">
        <f t="shared" si="6"/>
        <v>107</v>
      </c>
      <c r="B108" s="1">
        <v>102</v>
      </c>
      <c r="C108" s="2" t="s">
        <v>38</v>
      </c>
      <c r="D108" s="5">
        <v>44269</v>
      </c>
      <c r="E108" s="10">
        <v>0.52083333333333337</v>
      </c>
      <c r="F108" s="1" t="s">
        <v>398</v>
      </c>
      <c r="G108" s="5">
        <v>41889</v>
      </c>
      <c r="H108" s="2" t="str">
        <f t="shared" si="5"/>
        <v>6 г. 6 мес. 7 дн.</v>
      </c>
      <c r="I108" s="2" t="s">
        <v>27</v>
      </c>
      <c r="J108" s="2" t="s">
        <v>38</v>
      </c>
      <c r="K108" s="1" t="s">
        <v>399</v>
      </c>
      <c r="L108" s="1" t="s">
        <v>295</v>
      </c>
      <c r="M108" s="2" t="s">
        <v>57</v>
      </c>
      <c r="N108" s="1">
        <v>0</v>
      </c>
      <c r="O108" s="2" t="s">
        <v>82</v>
      </c>
      <c r="P108" s="2" t="s">
        <v>38</v>
      </c>
      <c r="Q108" s="5">
        <v>44270</v>
      </c>
      <c r="R108" s="12"/>
    </row>
    <row r="109" spans="1:18" ht="25.5" x14ac:dyDescent="0.25">
      <c r="A109" s="2">
        <f t="shared" si="6"/>
        <v>108</v>
      </c>
      <c r="B109" s="2">
        <v>398</v>
      </c>
      <c r="C109" s="2" t="s">
        <v>32</v>
      </c>
      <c r="D109" s="5">
        <v>44268</v>
      </c>
      <c r="E109" s="10">
        <v>0.47222222222222227</v>
      </c>
      <c r="F109" s="1" t="s">
        <v>400</v>
      </c>
      <c r="G109" s="5">
        <v>42805</v>
      </c>
      <c r="H109" s="2" t="str">
        <f t="shared" si="5"/>
        <v>4 г. 0 мес. 2 дн.</v>
      </c>
      <c r="I109" s="2" t="s">
        <v>28</v>
      </c>
      <c r="J109" s="2" t="s">
        <v>32</v>
      </c>
      <c r="K109" s="1" t="s">
        <v>401</v>
      </c>
      <c r="L109" s="1" t="s">
        <v>453</v>
      </c>
      <c r="M109" s="2" t="s">
        <v>66</v>
      </c>
      <c r="N109" s="1">
        <v>0</v>
      </c>
      <c r="O109" s="2" t="s">
        <v>82</v>
      </c>
      <c r="P109" s="2" t="s">
        <v>32</v>
      </c>
      <c r="Q109" s="5">
        <v>44269</v>
      </c>
      <c r="R109" s="6"/>
    </row>
    <row r="110" spans="1:18" ht="38.25" x14ac:dyDescent="0.25">
      <c r="A110" s="2">
        <f t="shared" si="6"/>
        <v>109</v>
      </c>
      <c r="B110" s="2">
        <v>403</v>
      </c>
      <c r="C110" s="2" t="s">
        <v>31</v>
      </c>
      <c r="D110" s="5">
        <v>44268</v>
      </c>
      <c r="E110" s="10">
        <v>0.90277777777777779</v>
      </c>
      <c r="F110" s="1" t="s">
        <v>402</v>
      </c>
      <c r="G110" s="5">
        <v>41710</v>
      </c>
      <c r="H110" s="2" t="str">
        <f t="shared" si="5"/>
        <v>7 г. 0 мес. 1 дн.</v>
      </c>
      <c r="I110" s="2" t="s">
        <v>25</v>
      </c>
      <c r="J110" s="2" t="s">
        <v>31</v>
      </c>
      <c r="K110" s="1" t="s">
        <v>403</v>
      </c>
      <c r="L110" s="1" t="s">
        <v>404</v>
      </c>
      <c r="M110" s="2" t="s">
        <v>65</v>
      </c>
      <c r="N110" s="1">
        <v>0</v>
      </c>
      <c r="O110" s="2" t="s">
        <v>87</v>
      </c>
      <c r="P110" s="2" t="s">
        <v>31</v>
      </c>
      <c r="Q110" s="5">
        <v>44279</v>
      </c>
      <c r="R110" s="12"/>
    </row>
    <row r="111" spans="1:18" ht="25.5" x14ac:dyDescent="0.25">
      <c r="A111" s="2">
        <f t="shared" si="6"/>
        <v>110</v>
      </c>
      <c r="B111" s="2">
        <v>134</v>
      </c>
      <c r="C111" s="2" t="s">
        <v>36</v>
      </c>
      <c r="D111" s="5">
        <v>44269</v>
      </c>
      <c r="E111" s="10">
        <v>0.875</v>
      </c>
      <c r="F111" s="1" t="s">
        <v>413</v>
      </c>
      <c r="G111" s="5">
        <v>44218</v>
      </c>
      <c r="H111" s="2" t="str">
        <f t="shared" si="5"/>
        <v>0 г. 1 мес. 20 дн.</v>
      </c>
      <c r="I111" s="2" t="s">
        <v>25</v>
      </c>
      <c r="J111" s="2" t="s">
        <v>31</v>
      </c>
      <c r="K111" s="1" t="s">
        <v>405</v>
      </c>
      <c r="L111" s="1" t="s">
        <v>149</v>
      </c>
      <c r="M111" s="2" t="s">
        <v>59</v>
      </c>
      <c r="N111" s="1" t="s">
        <v>105</v>
      </c>
      <c r="O111" s="2" t="s">
        <v>87</v>
      </c>
      <c r="P111" s="2" t="s">
        <v>39</v>
      </c>
      <c r="Q111" s="5">
        <v>44313</v>
      </c>
      <c r="R111" s="12"/>
    </row>
    <row r="112" spans="1:18" ht="25.5" x14ac:dyDescent="0.25">
      <c r="A112" s="2">
        <f t="shared" si="6"/>
        <v>111</v>
      </c>
      <c r="B112" s="2">
        <v>132</v>
      </c>
      <c r="C112" s="2" t="s">
        <v>36</v>
      </c>
      <c r="D112" s="5">
        <v>44268</v>
      </c>
      <c r="E112" s="10">
        <v>0.92361111111111116</v>
      </c>
      <c r="F112" s="1" t="s">
        <v>406</v>
      </c>
      <c r="G112" s="5">
        <v>43460</v>
      </c>
      <c r="H112" s="2" t="str">
        <f t="shared" si="5"/>
        <v>2 г. 2 мес. 15 дн.</v>
      </c>
      <c r="I112" s="2" t="s">
        <v>28</v>
      </c>
      <c r="J112" s="2" t="s">
        <v>36</v>
      </c>
      <c r="K112" s="1" t="s">
        <v>408</v>
      </c>
      <c r="L112" s="1" t="s">
        <v>407</v>
      </c>
      <c r="M112" s="2" t="s">
        <v>59</v>
      </c>
      <c r="N112" s="1">
        <v>0</v>
      </c>
      <c r="O112" s="2" t="s">
        <v>82</v>
      </c>
      <c r="P112" s="2" t="s">
        <v>36</v>
      </c>
      <c r="Q112" s="5">
        <v>44269</v>
      </c>
      <c r="R112" s="12"/>
    </row>
    <row r="113" spans="1:18" ht="38.25" x14ac:dyDescent="0.25">
      <c r="A113" s="2">
        <f t="shared" si="6"/>
        <v>112</v>
      </c>
      <c r="B113" s="2">
        <v>238</v>
      </c>
      <c r="C113" s="2" t="s">
        <v>33</v>
      </c>
      <c r="D113" s="4">
        <v>44270</v>
      </c>
      <c r="E113" s="10">
        <v>0.47916666666666669</v>
      </c>
      <c r="F113" s="1" t="s">
        <v>410</v>
      </c>
      <c r="G113" s="5">
        <v>40555</v>
      </c>
      <c r="H113" s="2" t="str">
        <f t="shared" si="5"/>
        <v>10 г. 2 мес. 3 дн.</v>
      </c>
      <c r="I113" s="2" t="s">
        <v>26</v>
      </c>
      <c r="J113" s="2" t="s">
        <v>33</v>
      </c>
      <c r="K113" s="1" t="s">
        <v>411</v>
      </c>
      <c r="L113" s="1" t="s">
        <v>412</v>
      </c>
      <c r="M113" s="2" t="s">
        <v>62</v>
      </c>
      <c r="N113" s="1">
        <v>0</v>
      </c>
      <c r="O113" s="2" t="s">
        <v>97</v>
      </c>
      <c r="P113" s="2" t="s">
        <v>33</v>
      </c>
      <c r="Q113" s="5">
        <v>44271</v>
      </c>
      <c r="R113" s="12"/>
    </row>
    <row r="114" spans="1:18" ht="38.25" x14ac:dyDescent="0.25">
      <c r="A114" s="19">
        <f t="shared" si="6"/>
        <v>113</v>
      </c>
      <c r="B114" s="19"/>
      <c r="C114" s="19" t="s">
        <v>36</v>
      </c>
      <c r="D114" s="20">
        <v>44270</v>
      </c>
      <c r="E114" s="21">
        <v>0.87152777777777779</v>
      </c>
      <c r="F114" s="22" t="s">
        <v>414</v>
      </c>
      <c r="G114" s="20">
        <v>39181</v>
      </c>
      <c r="H114" s="19" t="str">
        <f t="shared" si="5"/>
        <v>13 г. 11 мес. 6 дн.</v>
      </c>
      <c r="I114" s="19" t="s">
        <v>25</v>
      </c>
      <c r="J114" s="19" t="s">
        <v>36</v>
      </c>
      <c r="K114" s="22" t="s">
        <v>415</v>
      </c>
      <c r="L114" s="22" t="s">
        <v>416</v>
      </c>
      <c r="M114" s="19" t="s">
        <v>59</v>
      </c>
      <c r="N114" s="22" t="s">
        <v>105</v>
      </c>
      <c r="O114" s="19" t="s">
        <v>87</v>
      </c>
      <c r="P114" s="19" t="s">
        <v>40</v>
      </c>
      <c r="Q114" s="20">
        <v>44273</v>
      </c>
      <c r="R114" s="23">
        <v>0.86319444444444438</v>
      </c>
    </row>
    <row r="115" spans="1:18" ht="25.5" x14ac:dyDescent="0.25">
      <c r="A115" s="2">
        <f t="shared" si="6"/>
        <v>114</v>
      </c>
      <c r="B115" s="1">
        <v>388</v>
      </c>
      <c r="C115" s="2" t="s">
        <v>31</v>
      </c>
      <c r="D115" s="5">
        <v>44271</v>
      </c>
      <c r="E115" s="10">
        <v>0.52083333333333337</v>
      </c>
      <c r="F115" s="1" t="s">
        <v>417</v>
      </c>
      <c r="G115" s="5">
        <v>41067</v>
      </c>
      <c r="H115" s="2" t="str">
        <f t="shared" si="5"/>
        <v>8 г. 9 мес. 9 дн.</v>
      </c>
      <c r="I115" s="2" t="s">
        <v>26</v>
      </c>
      <c r="J115" s="40"/>
      <c r="K115" s="1" t="s">
        <v>432</v>
      </c>
      <c r="L115" s="1" t="s">
        <v>454</v>
      </c>
      <c r="M115" s="2" t="s">
        <v>60</v>
      </c>
      <c r="N115" s="1">
        <v>0</v>
      </c>
      <c r="O115" s="2" t="s">
        <v>82</v>
      </c>
      <c r="P115" s="2" t="s">
        <v>31</v>
      </c>
      <c r="Q115" s="5">
        <v>44273</v>
      </c>
      <c r="R115" s="6"/>
    </row>
    <row r="116" spans="1:18" ht="25.5" x14ac:dyDescent="0.25">
      <c r="A116" s="2">
        <f t="shared" si="6"/>
        <v>115</v>
      </c>
      <c r="B116" s="2">
        <v>428</v>
      </c>
      <c r="C116" s="2" t="s">
        <v>32</v>
      </c>
      <c r="D116" s="5">
        <v>44271</v>
      </c>
      <c r="E116" s="10">
        <v>0.58333333333333337</v>
      </c>
      <c r="F116" s="1" t="s">
        <v>418</v>
      </c>
      <c r="G116" s="5">
        <v>44242</v>
      </c>
      <c r="H116" s="2" t="str">
        <f t="shared" si="5"/>
        <v>0 г. 1 мес. 1 дн.</v>
      </c>
      <c r="I116" s="2" t="s">
        <v>27</v>
      </c>
      <c r="J116" s="2" t="s">
        <v>32</v>
      </c>
      <c r="K116" s="1" t="s">
        <v>419</v>
      </c>
      <c r="L116" s="1" t="s">
        <v>420</v>
      </c>
      <c r="M116" s="2" t="s">
        <v>60</v>
      </c>
      <c r="N116" s="1">
        <v>0</v>
      </c>
      <c r="O116" s="2" t="s">
        <v>82</v>
      </c>
      <c r="P116" s="2" t="s">
        <v>32</v>
      </c>
      <c r="Q116" s="5">
        <v>44274</v>
      </c>
      <c r="R116" s="12"/>
    </row>
    <row r="117" spans="1:18" ht="38.25" x14ac:dyDescent="0.25">
      <c r="A117" s="2">
        <f t="shared" si="6"/>
        <v>116</v>
      </c>
      <c r="B117" s="2">
        <v>429</v>
      </c>
      <c r="C117" s="2" t="s">
        <v>31</v>
      </c>
      <c r="D117" s="5">
        <v>44271</v>
      </c>
      <c r="E117" s="10">
        <v>0.82638888888888884</v>
      </c>
      <c r="F117" s="1" t="s">
        <v>421</v>
      </c>
      <c r="G117" s="5">
        <v>40501</v>
      </c>
      <c r="H117" s="2" t="str">
        <f t="shared" si="5"/>
        <v>10 г. 3 мес. 25 дн.</v>
      </c>
      <c r="I117" s="2" t="s">
        <v>26</v>
      </c>
      <c r="J117" s="2" t="s">
        <v>31</v>
      </c>
      <c r="K117" s="1" t="s">
        <v>422</v>
      </c>
      <c r="L117" s="1" t="s">
        <v>423</v>
      </c>
      <c r="M117" s="2" t="s">
        <v>60</v>
      </c>
      <c r="N117" s="1">
        <v>0</v>
      </c>
      <c r="O117" s="2" t="s">
        <v>98</v>
      </c>
      <c r="P117" s="2" t="s">
        <v>31</v>
      </c>
      <c r="Q117" s="5">
        <v>44273</v>
      </c>
      <c r="R117" s="6"/>
    </row>
    <row r="118" spans="1:18" ht="38.25" x14ac:dyDescent="0.25">
      <c r="A118" s="1">
        <f t="shared" si="6"/>
        <v>117</v>
      </c>
      <c r="B118" s="1">
        <v>390</v>
      </c>
      <c r="C118" s="1" t="s">
        <v>31</v>
      </c>
      <c r="D118" s="4">
        <v>44272</v>
      </c>
      <c r="E118" s="15">
        <v>0.33333333333333331</v>
      </c>
      <c r="F118" s="1" t="s">
        <v>424</v>
      </c>
      <c r="G118" s="4">
        <v>38550</v>
      </c>
      <c r="H118" s="1" t="str">
        <f t="shared" si="5"/>
        <v>15 г. 8 мес. 0 дн.</v>
      </c>
      <c r="I118" s="1" t="s">
        <v>27</v>
      </c>
      <c r="J118" s="1" t="s">
        <v>31</v>
      </c>
      <c r="K118" s="1" t="s">
        <v>425</v>
      </c>
      <c r="L118" s="1" t="s">
        <v>104</v>
      </c>
      <c r="M118" s="1" t="s">
        <v>63</v>
      </c>
      <c r="N118" s="1">
        <v>0</v>
      </c>
      <c r="O118" s="1" t="s">
        <v>82</v>
      </c>
      <c r="P118" s="1" t="s">
        <v>31</v>
      </c>
      <c r="Q118" s="4">
        <v>44273</v>
      </c>
      <c r="R118" s="12"/>
    </row>
    <row r="119" spans="1:18" ht="38.25" x14ac:dyDescent="0.25">
      <c r="A119" s="2">
        <f t="shared" si="6"/>
        <v>118</v>
      </c>
      <c r="B119" s="2">
        <v>441</v>
      </c>
      <c r="C119" s="2" t="s">
        <v>31</v>
      </c>
      <c r="D119" s="5">
        <v>44272</v>
      </c>
      <c r="E119" s="10">
        <v>0.75694444444444453</v>
      </c>
      <c r="F119" s="1" t="s">
        <v>426</v>
      </c>
      <c r="G119" s="5">
        <v>43937</v>
      </c>
      <c r="H119" s="2" t="str">
        <f t="shared" si="5"/>
        <v>0 г. 11 мес. 1 дн.</v>
      </c>
      <c r="I119" s="2" t="s">
        <v>26</v>
      </c>
      <c r="J119" s="2" t="s">
        <v>31</v>
      </c>
      <c r="K119" s="1" t="s">
        <v>427</v>
      </c>
      <c r="L119" s="1" t="s">
        <v>428</v>
      </c>
      <c r="M119" s="2" t="s">
        <v>51</v>
      </c>
      <c r="N119" s="1">
        <v>0</v>
      </c>
      <c r="O119" s="2" t="s">
        <v>82</v>
      </c>
      <c r="P119" s="2" t="s">
        <v>31</v>
      </c>
      <c r="Q119" s="5">
        <v>44274</v>
      </c>
      <c r="R119" s="6"/>
    </row>
    <row r="120" spans="1:18" ht="38.25" x14ac:dyDescent="0.25">
      <c r="A120" s="2">
        <f t="shared" si="6"/>
        <v>119</v>
      </c>
      <c r="B120" s="2">
        <v>245</v>
      </c>
      <c r="C120" s="2" t="s">
        <v>33</v>
      </c>
      <c r="D120" s="5">
        <v>44273</v>
      </c>
      <c r="E120" s="10">
        <v>0.69791666666666663</v>
      </c>
      <c r="F120" s="1" t="s">
        <v>429</v>
      </c>
      <c r="G120" s="5">
        <v>40555</v>
      </c>
      <c r="H120" s="2" t="str">
        <f t="shared" si="5"/>
        <v>10 г. 2 мес. 6 дн.</v>
      </c>
      <c r="I120" s="2" t="s">
        <v>26</v>
      </c>
      <c r="J120" s="2" t="s">
        <v>33</v>
      </c>
      <c r="K120" s="1" t="s">
        <v>430</v>
      </c>
      <c r="L120" s="1" t="s">
        <v>431</v>
      </c>
      <c r="M120" s="2" t="s">
        <v>62</v>
      </c>
      <c r="N120" s="1">
        <v>0</v>
      </c>
      <c r="O120" s="2" t="s">
        <v>97</v>
      </c>
      <c r="P120" s="2" t="s">
        <v>33</v>
      </c>
      <c r="Q120" s="5">
        <v>44275</v>
      </c>
      <c r="R120" s="6"/>
    </row>
    <row r="121" spans="1:18" ht="38.25" x14ac:dyDescent="0.25">
      <c r="A121" s="2">
        <f t="shared" si="6"/>
        <v>120</v>
      </c>
      <c r="B121" s="2">
        <v>136</v>
      </c>
      <c r="C121" s="2" t="s">
        <v>36</v>
      </c>
      <c r="D121" s="5">
        <v>44273</v>
      </c>
      <c r="E121" s="10">
        <v>0.75694444444444453</v>
      </c>
      <c r="F121" s="1" t="s">
        <v>433</v>
      </c>
      <c r="G121" s="5">
        <v>38693</v>
      </c>
      <c r="H121" s="2" t="str">
        <f t="shared" si="5"/>
        <v>15 г. 3 мес. 11 дн.</v>
      </c>
      <c r="I121" s="2" t="s">
        <v>27</v>
      </c>
      <c r="J121" s="2" t="s">
        <v>36</v>
      </c>
      <c r="K121" s="1" t="s">
        <v>434</v>
      </c>
      <c r="L121" s="1" t="s">
        <v>435</v>
      </c>
      <c r="M121" s="2" t="s">
        <v>57</v>
      </c>
      <c r="N121" s="1" t="s">
        <v>256</v>
      </c>
      <c r="O121" s="2" t="s">
        <v>82</v>
      </c>
      <c r="P121" s="2" t="s">
        <v>36</v>
      </c>
      <c r="Q121" s="5">
        <v>44280</v>
      </c>
      <c r="R121" s="6"/>
    </row>
    <row r="122" spans="1:18" ht="38.25" x14ac:dyDescent="0.25">
      <c r="A122" s="2">
        <f t="shared" si="6"/>
        <v>121</v>
      </c>
      <c r="B122" s="2">
        <v>123</v>
      </c>
      <c r="C122" s="2" t="s">
        <v>34</v>
      </c>
      <c r="D122" s="5">
        <v>44274</v>
      </c>
      <c r="E122" s="10">
        <v>0.33333333333333331</v>
      </c>
      <c r="F122" s="1" t="s">
        <v>436</v>
      </c>
      <c r="G122" s="5">
        <v>43152</v>
      </c>
      <c r="H122" s="2" t="str">
        <f t="shared" si="5"/>
        <v>3 г. 0 мес. 26 дн.</v>
      </c>
      <c r="I122" s="2" t="s">
        <v>27</v>
      </c>
      <c r="J122" s="2" t="s">
        <v>34</v>
      </c>
      <c r="K122" s="1" t="s">
        <v>437</v>
      </c>
      <c r="L122" s="1" t="s">
        <v>438</v>
      </c>
      <c r="M122" s="2" t="s">
        <v>61</v>
      </c>
      <c r="N122" s="1">
        <v>0</v>
      </c>
      <c r="O122" s="2" t="s">
        <v>82</v>
      </c>
      <c r="P122" s="2" t="s">
        <v>34</v>
      </c>
      <c r="Q122" s="5">
        <v>44274</v>
      </c>
      <c r="R122" s="6"/>
    </row>
    <row r="123" spans="1:18" ht="38.25" x14ac:dyDescent="0.25">
      <c r="A123" s="2">
        <f t="shared" si="6"/>
        <v>122</v>
      </c>
      <c r="B123" s="2">
        <v>275</v>
      </c>
      <c r="C123" s="2" t="s">
        <v>33</v>
      </c>
      <c r="D123" s="5">
        <v>44274</v>
      </c>
      <c r="E123" s="10">
        <v>0.88194444444444453</v>
      </c>
      <c r="F123" s="1" t="s">
        <v>490</v>
      </c>
      <c r="G123" s="5">
        <v>40101</v>
      </c>
      <c r="H123" s="2" t="str">
        <f t="shared" si="5"/>
        <v>11 г. 5 мес. 4 дн.</v>
      </c>
      <c r="I123" s="2" t="s">
        <v>25</v>
      </c>
      <c r="J123" s="2" t="s">
        <v>33</v>
      </c>
      <c r="K123" s="1" t="s">
        <v>448</v>
      </c>
      <c r="L123" s="1" t="s">
        <v>445</v>
      </c>
      <c r="M123" s="2" t="s">
        <v>63</v>
      </c>
      <c r="N123" s="1" t="s">
        <v>469</v>
      </c>
      <c r="O123" s="2" t="s">
        <v>87</v>
      </c>
      <c r="P123" s="2" t="s">
        <v>39</v>
      </c>
      <c r="Q123" s="5">
        <v>44288</v>
      </c>
      <c r="R123" s="6"/>
    </row>
    <row r="124" spans="1:18" ht="25.5" x14ac:dyDescent="0.25">
      <c r="A124" s="2">
        <f t="shared" si="6"/>
        <v>123</v>
      </c>
      <c r="B124" s="2">
        <v>150</v>
      </c>
      <c r="C124" s="2" t="s">
        <v>36</v>
      </c>
      <c r="D124" s="4">
        <v>44276</v>
      </c>
      <c r="E124" s="10">
        <v>0.92361111111111116</v>
      </c>
      <c r="F124" s="1" t="s">
        <v>439</v>
      </c>
      <c r="G124" s="5">
        <v>38846</v>
      </c>
      <c r="H124" s="2" t="str">
        <f t="shared" si="5"/>
        <v>14 г. 10 мес. 12 дн.</v>
      </c>
      <c r="I124" s="2" t="s">
        <v>25</v>
      </c>
      <c r="J124" s="2" t="s">
        <v>36</v>
      </c>
      <c r="K124" s="1" t="s">
        <v>447</v>
      </c>
      <c r="L124" s="1" t="s">
        <v>455</v>
      </c>
      <c r="M124" s="2" t="s">
        <v>66</v>
      </c>
      <c r="N124" s="1">
        <v>0</v>
      </c>
      <c r="O124" s="2" t="s">
        <v>82</v>
      </c>
      <c r="P124" s="2" t="s">
        <v>36</v>
      </c>
      <c r="Q124" s="5">
        <v>44278</v>
      </c>
      <c r="R124" s="6"/>
    </row>
    <row r="125" spans="1:18" ht="38.25" x14ac:dyDescent="0.25">
      <c r="A125" s="2">
        <f t="shared" si="6"/>
        <v>124</v>
      </c>
      <c r="B125" s="2">
        <v>454</v>
      </c>
      <c r="C125" s="2" t="s">
        <v>31</v>
      </c>
      <c r="D125" s="5">
        <v>44274</v>
      </c>
      <c r="E125" s="10">
        <v>0.41666666666666669</v>
      </c>
      <c r="F125" s="1" t="s">
        <v>440</v>
      </c>
      <c r="G125" s="5">
        <v>37735</v>
      </c>
      <c r="H125" s="2" t="str">
        <f t="shared" si="5"/>
        <v>17 г. 10 мес. 23 дн.</v>
      </c>
      <c r="I125" s="2" t="s">
        <v>25</v>
      </c>
      <c r="J125" s="2" t="s">
        <v>31</v>
      </c>
      <c r="K125" s="1" t="s">
        <v>446</v>
      </c>
      <c r="L125" s="1" t="s">
        <v>444</v>
      </c>
      <c r="M125" s="2" t="s">
        <v>63</v>
      </c>
      <c r="N125" s="1">
        <v>0</v>
      </c>
      <c r="O125" s="2" t="s">
        <v>87</v>
      </c>
      <c r="P125" s="2" t="s">
        <v>39</v>
      </c>
      <c r="Q125" s="5">
        <v>44280</v>
      </c>
      <c r="R125" s="6"/>
    </row>
    <row r="126" spans="1:18" ht="38.25" x14ac:dyDescent="0.25">
      <c r="A126" s="2">
        <f t="shared" si="6"/>
        <v>125</v>
      </c>
      <c r="B126" s="2">
        <v>126</v>
      </c>
      <c r="C126" s="2" t="s">
        <v>34</v>
      </c>
      <c r="D126" s="5">
        <v>44275</v>
      </c>
      <c r="E126" s="10">
        <v>0.97222222222222221</v>
      </c>
      <c r="F126" s="1" t="s">
        <v>441</v>
      </c>
      <c r="G126" s="5">
        <v>39703</v>
      </c>
      <c r="H126" s="2" t="str">
        <f t="shared" si="5"/>
        <v>12 г. 6 мес. 8 дн.</v>
      </c>
      <c r="I126" s="2" t="s">
        <v>28</v>
      </c>
      <c r="J126" s="2" t="s">
        <v>34</v>
      </c>
      <c r="K126" s="1" t="s">
        <v>442</v>
      </c>
      <c r="L126" s="1" t="s">
        <v>443</v>
      </c>
      <c r="M126" s="2" t="s">
        <v>61</v>
      </c>
      <c r="N126" s="1">
        <v>0</v>
      </c>
      <c r="O126" s="2" t="s">
        <v>82</v>
      </c>
      <c r="P126" s="2" t="s">
        <v>34</v>
      </c>
      <c r="Q126" s="5">
        <v>44276</v>
      </c>
      <c r="R126" s="6"/>
    </row>
    <row r="127" spans="1:18" ht="38.25" x14ac:dyDescent="0.25">
      <c r="A127" s="2">
        <f t="shared" si="6"/>
        <v>126</v>
      </c>
      <c r="B127" s="2">
        <v>113</v>
      </c>
      <c r="C127" s="2" t="s">
        <v>38</v>
      </c>
      <c r="D127" s="5">
        <v>44276</v>
      </c>
      <c r="E127" s="10">
        <v>0.75</v>
      </c>
      <c r="F127" s="1" t="s">
        <v>449</v>
      </c>
      <c r="G127" s="5">
        <v>40547</v>
      </c>
      <c r="H127" s="2" t="str">
        <f t="shared" si="5"/>
        <v>10 г. 2 мес. 17 дн.</v>
      </c>
      <c r="I127" s="2" t="s">
        <v>27</v>
      </c>
      <c r="J127" s="2" t="s">
        <v>38</v>
      </c>
      <c r="K127" s="1" t="s">
        <v>450</v>
      </c>
      <c r="L127" s="1" t="s">
        <v>451</v>
      </c>
      <c r="M127" s="2" t="s">
        <v>57</v>
      </c>
      <c r="N127" s="1">
        <v>0</v>
      </c>
      <c r="O127" s="2" t="s">
        <v>82</v>
      </c>
      <c r="P127" s="2" t="s">
        <v>38</v>
      </c>
      <c r="Q127" s="5">
        <v>44277</v>
      </c>
      <c r="R127" s="6"/>
    </row>
    <row r="128" spans="1:18" ht="51" x14ac:dyDescent="0.25">
      <c r="A128" s="2">
        <f t="shared" si="6"/>
        <v>127</v>
      </c>
      <c r="B128" s="2">
        <v>1903421</v>
      </c>
      <c r="C128" s="1" t="s">
        <v>456</v>
      </c>
      <c r="D128" s="5">
        <v>44278</v>
      </c>
      <c r="E128" s="10">
        <v>0.4375</v>
      </c>
      <c r="F128" s="1" t="s">
        <v>457</v>
      </c>
      <c r="G128" s="5">
        <v>40151</v>
      </c>
      <c r="H128" s="2" t="str">
        <f t="shared" si="5"/>
        <v>11 г. 3 мес. 19 дн.</v>
      </c>
      <c r="I128" s="2" t="s">
        <v>27</v>
      </c>
      <c r="J128" s="1" t="s">
        <v>456</v>
      </c>
      <c r="K128" s="1" t="s">
        <v>460</v>
      </c>
      <c r="L128" s="1" t="s">
        <v>472</v>
      </c>
      <c r="M128" s="2" t="s">
        <v>58</v>
      </c>
      <c r="N128" s="1">
        <v>0</v>
      </c>
      <c r="O128" s="1" t="s">
        <v>87</v>
      </c>
      <c r="P128" s="2" t="s">
        <v>41</v>
      </c>
      <c r="Q128" s="5">
        <v>44278</v>
      </c>
      <c r="R128" s="6"/>
    </row>
    <row r="129" spans="1:18" ht="25.5" x14ac:dyDescent="0.25">
      <c r="A129" s="2">
        <f t="shared" si="6"/>
        <v>128</v>
      </c>
      <c r="B129" s="2">
        <v>485</v>
      </c>
      <c r="C129" s="2" t="s">
        <v>31</v>
      </c>
      <c r="D129" s="5">
        <v>44278</v>
      </c>
      <c r="E129" s="10">
        <v>0.95138888888888884</v>
      </c>
      <c r="F129" s="1" t="s">
        <v>458</v>
      </c>
      <c r="G129" s="5">
        <v>43661</v>
      </c>
      <c r="H129" s="2" t="str">
        <f t="shared" si="5"/>
        <v>1 г. 8 мес. 8 дн.</v>
      </c>
      <c r="I129" s="2" t="s">
        <v>25</v>
      </c>
      <c r="J129" s="2" t="s">
        <v>31</v>
      </c>
      <c r="K129" s="1" t="s">
        <v>461</v>
      </c>
      <c r="L129" s="1" t="s">
        <v>459</v>
      </c>
      <c r="M129" s="2" t="s">
        <v>65</v>
      </c>
      <c r="N129" s="1">
        <v>0</v>
      </c>
      <c r="O129" s="2" t="s">
        <v>87</v>
      </c>
      <c r="P129" s="2" t="s">
        <v>31</v>
      </c>
      <c r="Q129" s="5">
        <v>44283</v>
      </c>
      <c r="R129" s="6"/>
    </row>
    <row r="130" spans="1:18" ht="25.5" x14ac:dyDescent="0.25">
      <c r="A130" s="2">
        <f t="shared" si="6"/>
        <v>129</v>
      </c>
      <c r="B130" s="2">
        <v>172</v>
      </c>
      <c r="C130" s="2" t="s">
        <v>36</v>
      </c>
      <c r="D130" s="5">
        <v>44283</v>
      </c>
      <c r="E130" s="10">
        <v>0.82291666666666663</v>
      </c>
      <c r="F130" s="1" t="s">
        <v>462</v>
      </c>
      <c r="G130" s="2"/>
      <c r="H130" s="2" t="str">
        <f t="shared" si="5"/>
        <v>121 г. 2 мес. 28 дн.</v>
      </c>
      <c r="I130" s="2" t="s">
        <v>25</v>
      </c>
      <c r="J130" s="2" t="s">
        <v>36</v>
      </c>
      <c r="K130" s="1" t="s">
        <v>463</v>
      </c>
      <c r="L130" s="1" t="s">
        <v>335</v>
      </c>
      <c r="M130" s="2" t="s">
        <v>66</v>
      </c>
      <c r="N130" s="1">
        <v>0</v>
      </c>
      <c r="O130" s="2" t="s">
        <v>82</v>
      </c>
      <c r="P130" s="2" t="s">
        <v>36</v>
      </c>
      <c r="Q130" s="5">
        <v>44284</v>
      </c>
      <c r="R130" s="6"/>
    </row>
    <row r="131" spans="1:18" ht="38.25" x14ac:dyDescent="0.25">
      <c r="A131" s="2">
        <f t="shared" si="6"/>
        <v>130</v>
      </c>
      <c r="B131" s="2">
        <v>140</v>
      </c>
      <c r="C131" s="2" t="s">
        <v>38</v>
      </c>
      <c r="D131" s="5">
        <v>44281</v>
      </c>
      <c r="E131" s="10">
        <v>0.68055555555555547</v>
      </c>
      <c r="F131" s="1" t="s">
        <v>464</v>
      </c>
      <c r="G131" s="5">
        <v>42844</v>
      </c>
      <c r="H131" s="2" t="str">
        <f t="shared" si="5"/>
        <v>3 г. 11 мес. 7 дн.</v>
      </c>
      <c r="I131" s="2" t="s">
        <v>25</v>
      </c>
      <c r="J131" s="2" t="s">
        <v>38</v>
      </c>
      <c r="K131" s="1" t="s">
        <v>465</v>
      </c>
      <c r="L131" s="1" t="s">
        <v>204</v>
      </c>
      <c r="M131" s="2" t="s">
        <v>57</v>
      </c>
      <c r="N131" s="1">
        <v>0</v>
      </c>
      <c r="O131" s="2" t="s">
        <v>82</v>
      </c>
      <c r="P131" s="2" t="s">
        <v>38</v>
      </c>
      <c r="Q131" s="5">
        <v>44284</v>
      </c>
      <c r="R131" s="6"/>
    </row>
    <row r="132" spans="1:18" ht="25.5" x14ac:dyDescent="0.25">
      <c r="A132" s="2">
        <f t="shared" si="6"/>
        <v>131</v>
      </c>
      <c r="B132" s="2">
        <v>517</v>
      </c>
      <c r="C132" s="2" t="s">
        <v>31</v>
      </c>
      <c r="D132" s="5">
        <v>44283</v>
      </c>
      <c r="E132" s="10">
        <v>1.0416666666666666E-2</v>
      </c>
      <c r="F132" s="1" t="s">
        <v>228</v>
      </c>
      <c r="G132" s="5">
        <v>43121</v>
      </c>
      <c r="H132" s="2" t="str">
        <f t="shared" ref="H132:H195" si="7">DATEDIF(G132,D132,"y") &amp; " г. " &amp; DATEDIF(G132,D132,"ym") &amp; " мес. " &amp; DATEDIF(G132,D132,"md") &amp; " дн."</f>
        <v>3 г. 2 мес. 7 дн.</v>
      </c>
      <c r="I132" s="2" t="s">
        <v>27</v>
      </c>
      <c r="J132" s="2" t="s">
        <v>31</v>
      </c>
      <c r="K132" s="1" t="s">
        <v>466</v>
      </c>
      <c r="L132" s="1" t="s">
        <v>471</v>
      </c>
      <c r="M132" s="2" t="s">
        <v>60</v>
      </c>
      <c r="N132" s="1">
        <v>0</v>
      </c>
      <c r="O132" s="2" t="s">
        <v>82</v>
      </c>
      <c r="P132" s="2" t="s">
        <v>31</v>
      </c>
      <c r="Q132" s="5">
        <v>44284</v>
      </c>
      <c r="R132" s="6"/>
    </row>
    <row r="133" spans="1:18" ht="25.5" x14ac:dyDescent="0.25">
      <c r="A133" s="2">
        <f t="shared" si="6"/>
        <v>132</v>
      </c>
      <c r="B133" s="2">
        <v>170</v>
      </c>
      <c r="C133" s="2" t="s">
        <v>36</v>
      </c>
      <c r="D133" s="5">
        <v>44283</v>
      </c>
      <c r="E133" s="10">
        <v>0.54861111111111105</v>
      </c>
      <c r="F133" s="1" t="s">
        <v>467</v>
      </c>
      <c r="G133" s="5">
        <v>43207</v>
      </c>
      <c r="H133" s="2" t="str">
        <f t="shared" si="7"/>
        <v>2 г. 11 мес. 11 дн.</v>
      </c>
      <c r="I133" s="2" t="s">
        <v>25</v>
      </c>
      <c r="J133" s="2" t="s">
        <v>36</v>
      </c>
      <c r="K133" s="1" t="s">
        <v>468</v>
      </c>
      <c r="L133" s="1" t="s">
        <v>284</v>
      </c>
      <c r="M133" s="2" t="s">
        <v>59</v>
      </c>
      <c r="N133" s="1">
        <v>0</v>
      </c>
      <c r="O133" s="2" t="s">
        <v>82</v>
      </c>
      <c r="P133" s="2" t="s">
        <v>36</v>
      </c>
      <c r="Q133" s="5">
        <v>44284</v>
      </c>
      <c r="R133" s="6"/>
    </row>
    <row r="134" spans="1:18" ht="25.5" x14ac:dyDescent="0.25">
      <c r="A134" s="2">
        <f t="shared" si="6"/>
        <v>133</v>
      </c>
      <c r="B134" s="2">
        <v>522</v>
      </c>
      <c r="C134" s="2" t="s">
        <v>31</v>
      </c>
      <c r="D134" s="5">
        <v>44285</v>
      </c>
      <c r="E134" s="10">
        <v>0.14583333333333334</v>
      </c>
      <c r="F134" s="1" t="s">
        <v>473</v>
      </c>
      <c r="G134" s="5">
        <v>44284</v>
      </c>
      <c r="H134" s="2" t="str">
        <f t="shared" si="7"/>
        <v>0 г. 0 мес. 1 дн.</v>
      </c>
      <c r="I134" s="2" t="s">
        <v>29</v>
      </c>
      <c r="J134" s="2" t="s">
        <v>31</v>
      </c>
      <c r="K134" s="2"/>
      <c r="L134" s="1" t="s">
        <v>486</v>
      </c>
      <c r="M134" s="2" t="s">
        <v>60</v>
      </c>
      <c r="N134" s="1" t="s">
        <v>519</v>
      </c>
      <c r="O134" s="2" t="s">
        <v>88</v>
      </c>
      <c r="P134" s="2" t="s">
        <v>39</v>
      </c>
      <c r="Q134" s="5">
        <v>44285</v>
      </c>
      <c r="R134" s="12">
        <v>0.97222222222222221</v>
      </c>
    </row>
    <row r="135" spans="1:18" ht="25.5" x14ac:dyDescent="0.25">
      <c r="A135" s="2">
        <f t="shared" si="6"/>
        <v>134</v>
      </c>
      <c r="B135" s="2">
        <v>180</v>
      </c>
      <c r="C135" s="2" t="s">
        <v>36</v>
      </c>
      <c r="D135" s="5">
        <v>44286</v>
      </c>
      <c r="E135" s="10">
        <v>2.0833333333333332E-2</v>
      </c>
      <c r="F135" s="1" t="s">
        <v>474</v>
      </c>
      <c r="G135" s="5">
        <v>38014</v>
      </c>
      <c r="H135" s="2" t="str">
        <f t="shared" si="7"/>
        <v>17 г. 2 мес. 3 дн.</v>
      </c>
      <c r="I135" s="2" t="s">
        <v>25</v>
      </c>
      <c r="J135" s="2" t="s">
        <v>36</v>
      </c>
      <c r="K135" s="1" t="s">
        <v>475</v>
      </c>
      <c r="L135" s="1" t="s">
        <v>476</v>
      </c>
      <c r="M135" s="2" t="s">
        <v>66</v>
      </c>
      <c r="N135" s="1">
        <v>0</v>
      </c>
      <c r="O135" s="2" t="s">
        <v>82</v>
      </c>
      <c r="P135" s="2" t="s">
        <v>36</v>
      </c>
      <c r="Q135" s="5">
        <v>44286</v>
      </c>
      <c r="R135" s="6"/>
    </row>
    <row r="136" spans="1:18" ht="25.5" x14ac:dyDescent="0.25">
      <c r="A136" s="2">
        <f t="shared" si="6"/>
        <v>135</v>
      </c>
      <c r="B136" s="2">
        <v>179</v>
      </c>
      <c r="C136" s="1" t="s">
        <v>36</v>
      </c>
      <c r="D136" s="5">
        <v>44285</v>
      </c>
      <c r="E136" s="10">
        <v>0.96666666666666667</v>
      </c>
      <c r="F136" s="1" t="s">
        <v>477</v>
      </c>
      <c r="G136" s="5">
        <v>38083</v>
      </c>
      <c r="H136" s="2" t="str">
        <f t="shared" si="7"/>
        <v>16 г. 11 мес. 24 дн.</v>
      </c>
      <c r="I136" s="2" t="s">
        <v>25</v>
      </c>
      <c r="J136" s="2" t="s">
        <v>36</v>
      </c>
      <c r="K136" s="1" t="s">
        <v>478</v>
      </c>
      <c r="L136" s="1" t="s">
        <v>485</v>
      </c>
      <c r="M136" s="2" t="s">
        <v>66</v>
      </c>
      <c r="N136" s="1">
        <v>0</v>
      </c>
      <c r="O136" s="2" t="s">
        <v>82</v>
      </c>
      <c r="P136" s="2" t="s">
        <v>36</v>
      </c>
      <c r="Q136" s="5">
        <v>44286</v>
      </c>
      <c r="R136" s="6"/>
    </row>
    <row r="137" spans="1:18" ht="25.5" x14ac:dyDescent="0.25">
      <c r="A137" s="2">
        <f t="shared" si="6"/>
        <v>136</v>
      </c>
      <c r="B137" s="2">
        <v>181</v>
      </c>
      <c r="C137" s="2" t="s">
        <v>37</v>
      </c>
      <c r="D137" s="5">
        <v>44286</v>
      </c>
      <c r="E137" s="10">
        <v>7.6388888888888895E-2</v>
      </c>
      <c r="F137" s="1" t="s">
        <v>496</v>
      </c>
      <c r="G137" s="5">
        <v>43991</v>
      </c>
      <c r="H137" s="2" t="str">
        <f t="shared" si="7"/>
        <v>0 г. 9 мес. 22 дн.</v>
      </c>
      <c r="I137" s="2" t="s">
        <v>25</v>
      </c>
      <c r="J137" s="2" t="s">
        <v>37</v>
      </c>
      <c r="K137" s="1" t="s">
        <v>479</v>
      </c>
      <c r="L137" s="1" t="s">
        <v>548</v>
      </c>
      <c r="M137" s="2" t="s">
        <v>59</v>
      </c>
      <c r="N137" s="1" t="s">
        <v>105</v>
      </c>
      <c r="O137" s="2" t="s">
        <v>87</v>
      </c>
      <c r="P137" s="2" t="s">
        <v>36</v>
      </c>
      <c r="Q137" s="5">
        <v>44302</v>
      </c>
      <c r="R137" s="6"/>
    </row>
    <row r="138" spans="1:18" ht="25.5" x14ac:dyDescent="0.25">
      <c r="A138" s="2">
        <f t="shared" si="6"/>
        <v>137</v>
      </c>
      <c r="B138" s="2">
        <v>391</v>
      </c>
      <c r="C138" s="2" t="s">
        <v>32</v>
      </c>
      <c r="D138" s="5">
        <v>44285</v>
      </c>
      <c r="E138" s="10">
        <v>0.82291666666666663</v>
      </c>
      <c r="F138" s="1" t="s">
        <v>394</v>
      </c>
      <c r="G138" s="4">
        <v>43480</v>
      </c>
      <c r="H138" s="2" t="str">
        <f t="shared" si="7"/>
        <v>2 г. 2 мес. 15 дн.</v>
      </c>
      <c r="I138" s="1" t="s">
        <v>30</v>
      </c>
      <c r="J138" s="2" t="s">
        <v>32</v>
      </c>
      <c r="K138" s="1" t="s">
        <v>409</v>
      </c>
      <c r="L138" s="1" t="s">
        <v>389</v>
      </c>
      <c r="M138" s="2" t="s">
        <v>66</v>
      </c>
      <c r="N138" s="1">
        <v>0</v>
      </c>
      <c r="O138" s="1" t="s">
        <v>87</v>
      </c>
      <c r="P138" s="2" t="s">
        <v>32</v>
      </c>
      <c r="Q138" s="5">
        <v>44288</v>
      </c>
      <c r="R138" s="6"/>
    </row>
    <row r="139" spans="1:18" ht="25.5" x14ac:dyDescent="0.25">
      <c r="A139" s="2">
        <f t="shared" si="6"/>
        <v>138</v>
      </c>
      <c r="B139" s="2">
        <v>523</v>
      </c>
      <c r="C139" s="2" t="s">
        <v>31</v>
      </c>
      <c r="D139" s="4">
        <v>44286</v>
      </c>
      <c r="E139" s="10">
        <v>0.46527777777777773</v>
      </c>
      <c r="F139" s="1" t="s">
        <v>481</v>
      </c>
      <c r="G139" s="4">
        <v>40364</v>
      </c>
      <c r="H139" s="2" t="str">
        <f t="shared" si="7"/>
        <v>10 г. 8 мес. 26 дн.</v>
      </c>
      <c r="I139" s="2" t="s">
        <v>26</v>
      </c>
      <c r="J139" s="2" t="s">
        <v>31</v>
      </c>
      <c r="K139" s="1" t="s">
        <v>480</v>
      </c>
      <c r="L139" s="1" t="s">
        <v>193</v>
      </c>
      <c r="M139" s="2" t="s">
        <v>60</v>
      </c>
      <c r="N139" s="1">
        <v>0</v>
      </c>
      <c r="O139" s="2" t="s">
        <v>82</v>
      </c>
      <c r="P139" s="2" t="s">
        <v>32</v>
      </c>
      <c r="Q139" s="5">
        <v>44287</v>
      </c>
      <c r="R139" s="6"/>
    </row>
    <row r="140" spans="1:18" ht="38.25" x14ac:dyDescent="0.25">
      <c r="A140" s="2">
        <f t="shared" si="6"/>
        <v>139</v>
      </c>
      <c r="B140" s="2">
        <v>308</v>
      </c>
      <c r="C140" s="2" t="s">
        <v>33</v>
      </c>
      <c r="D140" s="5">
        <v>44286</v>
      </c>
      <c r="E140" s="10">
        <v>0.94444444444444453</v>
      </c>
      <c r="F140" s="1" t="s">
        <v>482</v>
      </c>
      <c r="G140" s="5">
        <v>39930</v>
      </c>
      <c r="H140" s="2" t="str">
        <f t="shared" si="7"/>
        <v>11 г. 11 мес. 4 дн.</v>
      </c>
      <c r="I140" s="2" t="s">
        <v>26</v>
      </c>
      <c r="J140" s="2" t="s">
        <v>33</v>
      </c>
      <c r="K140" s="1" t="s">
        <v>483</v>
      </c>
      <c r="L140" s="1" t="s">
        <v>484</v>
      </c>
      <c r="M140" s="2" t="s">
        <v>62</v>
      </c>
      <c r="N140" s="1">
        <v>0</v>
      </c>
      <c r="O140" s="2" t="s">
        <v>82</v>
      </c>
      <c r="P140" s="2" t="s">
        <v>33</v>
      </c>
      <c r="Q140" s="5">
        <v>44287</v>
      </c>
      <c r="R140" s="6"/>
    </row>
    <row r="141" spans="1:18" ht="38.25" x14ac:dyDescent="0.25">
      <c r="A141" s="2">
        <f t="shared" si="6"/>
        <v>140</v>
      </c>
      <c r="B141" s="2">
        <v>539</v>
      </c>
      <c r="C141" s="2" t="s">
        <v>31</v>
      </c>
      <c r="D141" s="5">
        <v>44286</v>
      </c>
      <c r="E141" s="10">
        <v>0.75</v>
      </c>
      <c r="F141" s="1" t="s">
        <v>489</v>
      </c>
      <c r="G141" s="5">
        <v>40736</v>
      </c>
      <c r="H141" s="2" t="str">
        <f t="shared" si="7"/>
        <v>9 г. 8 мес. 19 дн.</v>
      </c>
      <c r="I141" s="2" t="s">
        <v>26</v>
      </c>
      <c r="J141" s="2" t="s">
        <v>31</v>
      </c>
      <c r="K141" s="1" t="s">
        <v>487</v>
      </c>
      <c r="L141" s="1" t="s">
        <v>488</v>
      </c>
      <c r="M141" s="2" t="s">
        <v>60</v>
      </c>
      <c r="N141" s="1">
        <v>0</v>
      </c>
      <c r="O141" s="2" t="s">
        <v>98</v>
      </c>
      <c r="P141" s="2" t="s">
        <v>31</v>
      </c>
      <c r="Q141" s="5">
        <v>44288</v>
      </c>
      <c r="R141" s="6"/>
    </row>
    <row r="142" spans="1:18" ht="38.25" x14ac:dyDescent="0.25">
      <c r="A142" s="2">
        <f t="shared" si="6"/>
        <v>141</v>
      </c>
      <c r="B142" s="2">
        <v>148</v>
      </c>
      <c r="C142" s="2" t="s">
        <v>34</v>
      </c>
      <c r="D142" s="5">
        <v>44288</v>
      </c>
      <c r="E142" s="10">
        <v>0.375</v>
      </c>
      <c r="F142" s="1" t="s">
        <v>436</v>
      </c>
      <c r="G142" s="5">
        <v>43152</v>
      </c>
      <c r="H142" s="2" t="str">
        <f t="shared" si="7"/>
        <v>3 г. 1 мес. 12 дн.</v>
      </c>
      <c r="I142" s="2" t="s">
        <v>27</v>
      </c>
      <c r="J142" s="2" t="s">
        <v>34</v>
      </c>
      <c r="K142" s="1" t="s">
        <v>437</v>
      </c>
      <c r="L142" s="1" t="s">
        <v>438</v>
      </c>
      <c r="M142" s="2" t="s">
        <v>61</v>
      </c>
      <c r="N142" s="1">
        <v>0</v>
      </c>
      <c r="O142" s="2" t="s">
        <v>82</v>
      </c>
      <c r="P142" s="2" t="s">
        <v>34</v>
      </c>
      <c r="Q142" s="5">
        <v>44289</v>
      </c>
      <c r="R142" s="6"/>
    </row>
    <row r="143" spans="1:18" ht="38.25" x14ac:dyDescent="0.25">
      <c r="A143" s="2">
        <f t="shared" si="6"/>
        <v>142</v>
      </c>
      <c r="B143" s="2">
        <v>183</v>
      </c>
      <c r="C143" s="2" t="s">
        <v>36</v>
      </c>
      <c r="D143" s="5">
        <v>44287</v>
      </c>
      <c r="E143" s="10">
        <v>0.4375</v>
      </c>
      <c r="F143" s="1" t="s">
        <v>491</v>
      </c>
      <c r="G143" s="5">
        <v>43741</v>
      </c>
      <c r="H143" s="2" t="str">
        <f t="shared" si="7"/>
        <v>1 г. 5 мес. 29 дн.</v>
      </c>
      <c r="I143" s="2" t="s">
        <v>27</v>
      </c>
      <c r="J143" s="2" t="s">
        <v>36</v>
      </c>
      <c r="K143" s="1" t="s">
        <v>492</v>
      </c>
      <c r="L143" s="1" t="s">
        <v>493</v>
      </c>
      <c r="M143" s="2" t="s">
        <v>53</v>
      </c>
      <c r="N143" s="1">
        <v>0</v>
      </c>
      <c r="O143" s="2" t="s">
        <v>83</v>
      </c>
      <c r="P143" s="2" t="s">
        <v>36</v>
      </c>
      <c r="Q143" s="5">
        <v>44288</v>
      </c>
      <c r="R143" s="6"/>
    </row>
    <row r="144" spans="1:18" ht="38.25" x14ac:dyDescent="0.25">
      <c r="A144" s="2">
        <f t="shared" si="6"/>
        <v>143</v>
      </c>
      <c r="B144" s="2">
        <v>156</v>
      </c>
      <c r="C144" s="2" t="s">
        <v>38</v>
      </c>
      <c r="D144" s="5">
        <v>44288</v>
      </c>
      <c r="E144" s="10">
        <v>0.4826388888888889</v>
      </c>
      <c r="F144" s="1" t="s">
        <v>494</v>
      </c>
      <c r="G144" s="5">
        <v>42972</v>
      </c>
      <c r="H144" s="2" t="str">
        <f t="shared" si="7"/>
        <v>3 г. 7 мес. 8 дн.</v>
      </c>
      <c r="I144" s="2" t="s">
        <v>100</v>
      </c>
      <c r="J144" s="2" t="s">
        <v>38</v>
      </c>
      <c r="K144" s="1" t="s">
        <v>495</v>
      </c>
      <c r="L144" s="1" t="s">
        <v>204</v>
      </c>
      <c r="M144" s="2" t="s">
        <v>57</v>
      </c>
      <c r="N144" s="1">
        <v>0</v>
      </c>
      <c r="O144" s="2" t="s">
        <v>82</v>
      </c>
      <c r="P144" s="2" t="s">
        <v>38</v>
      </c>
      <c r="Q144" s="5">
        <v>44289</v>
      </c>
      <c r="R144" s="6"/>
    </row>
    <row r="145" spans="1:18" ht="38.25" x14ac:dyDescent="0.25">
      <c r="A145" s="2">
        <f t="shared" si="6"/>
        <v>144</v>
      </c>
      <c r="B145" s="2">
        <v>315</v>
      </c>
      <c r="C145" s="2" t="s">
        <v>33</v>
      </c>
      <c r="D145" s="5">
        <v>44289</v>
      </c>
      <c r="E145" s="10">
        <v>3.8194444444444441E-2</v>
      </c>
      <c r="F145" s="1" t="s">
        <v>497</v>
      </c>
      <c r="G145" s="5">
        <v>44288</v>
      </c>
      <c r="H145" s="2" t="str">
        <f t="shared" si="7"/>
        <v>0 г. 0 мес. 1 дн.</v>
      </c>
      <c r="I145" s="2" t="s">
        <v>27</v>
      </c>
      <c r="J145" s="2" t="s">
        <v>33</v>
      </c>
      <c r="K145" s="1" t="s">
        <v>498</v>
      </c>
      <c r="L145" s="1" t="s">
        <v>104</v>
      </c>
      <c r="M145" s="2" t="s">
        <v>62</v>
      </c>
      <c r="N145" s="1">
        <v>0</v>
      </c>
      <c r="O145" s="2" t="s">
        <v>87</v>
      </c>
      <c r="P145" s="2" t="s">
        <v>33</v>
      </c>
      <c r="Q145" s="5">
        <v>44291</v>
      </c>
      <c r="R145" s="6"/>
    </row>
    <row r="146" spans="1:18" ht="38.25" x14ac:dyDescent="0.25">
      <c r="A146" s="2">
        <f t="shared" si="6"/>
        <v>145</v>
      </c>
      <c r="B146" s="2">
        <v>308</v>
      </c>
      <c r="C146" s="2" t="s">
        <v>33</v>
      </c>
      <c r="D146" s="5">
        <v>44291</v>
      </c>
      <c r="E146" s="10">
        <v>0.60416666666666663</v>
      </c>
      <c r="F146" s="1" t="s">
        <v>482</v>
      </c>
      <c r="G146" s="5">
        <v>39930</v>
      </c>
      <c r="H146" s="2" t="str">
        <f t="shared" si="7"/>
        <v>11 г. 11 мес. 9 дн.</v>
      </c>
      <c r="I146" s="2" t="s">
        <v>26</v>
      </c>
      <c r="J146" s="2" t="s">
        <v>33</v>
      </c>
      <c r="K146" s="1" t="s">
        <v>483</v>
      </c>
      <c r="L146" s="1" t="s">
        <v>431</v>
      </c>
      <c r="M146" s="2" t="s">
        <v>62</v>
      </c>
      <c r="N146" s="1">
        <v>0</v>
      </c>
      <c r="O146" s="2" t="s">
        <v>97</v>
      </c>
      <c r="P146" s="2" t="s">
        <v>33</v>
      </c>
      <c r="Q146" s="5">
        <v>44293</v>
      </c>
      <c r="R146" s="6"/>
    </row>
    <row r="147" spans="1:18" ht="38.25" x14ac:dyDescent="0.25">
      <c r="A147" s="2">
        <f t="shared" si="6"/>
        <v>146</v>
      </c>
      <c r="B147" s="2">
        <v>590</v>
      </c>
      <c r="C147" s="2" t="s">
        <v>31</v>
      </c>
      <c r="D147" s="5">
        <v>44292</v>
      </c>
      <c r="E147" s="10">
        <v>0.85416666666666663</v>
      </c>
      <c r="F147" s="1" t="s">
        <v>499</v>
      </c>
      <c r="G147" s="5">
        <v>40189</v>
      </c>
      <c r="H147" s="2" t="str">
        <f t="shared" si="7"/>
        <v>11 г. 2 мес. 26 дн.</v>
      </c>
      <c r="I147" s="2" t="s">
        <v>27</v>
      </c>
      <c r="J147" s="2" t="s">
        <v>31</v>
      </c>
      <c r="K147" s="1" t="s">
        <v>500</v>
      </c>
      <c r="L147" s="1" t="s">
        <v>129</v>
      </c>
      <c r="M147" s="2" t="s">
        <v>62</v>
      </c>
      <c r="N147" s="1" t="s">
        <v>509</v>
      </c>
      <c r="O147" s="2" t="s">
        <v>82</v>
      </c>
      <c r="P147" s="2" t="s">
        <v>31</v>
      </c>
      <c r="Q147" s="5">
        <v>44294</v>
      </c>
      <c r="R147" s="6"/>
    </row>
    <row r="148" spans="1:18" ht="25.5" x14ac:dyDescent="0.25">
      <c r="A148" s="2">
        <f t="shared" si="6"/>
        <v>147</v>
      </c>
      <c r="B148" s="2">
        <v>571</v>
      </c>
      <c r="C148" s="2" t="s">
        <v>31</v>
      </c>
      <c r="D148" s="5">
        <v>44292</v>
      </c>
      <c r="E148" s="10">
        <v>0.51944444444444449</v>
      </c>
      <c r="F148" s="1" t="s">
        <v>501</v>
      </c>
      <c r="G148" s="5">
        <v>38332</v>
      </c>
      <c r="H148" s="2" t="str">
        <f t="shared" si="7"/>
        <v>16 г. 3 мес. 26 дн.</v>
      </c>
      <c r="I148" s="2" t="s">
        <v>26</v>
      </c>
      <c r="J148" s="2" t="s">
        <v>31</v>
      </c>
      <c r="K148" s="1" t="s">
        <v>502</v>
      </c>
      <c r="L148" s="1" t="s">
        <v>193</v>
      </c>
      <c r="M148" s="2" t="s">
        <v>60</v>
      </c>
      <c r="N148" s="1">
        <v>0</v>
      </c>
      <c r="O148" s="2" t="s">
        <v>82</v>
      </c>
      <c r="P148" s="2" t="s">
        <v>31</v>
      </c>
      <c r="Q148" s="5">
        <v>44293</v>
      </c>
      <c r="R148" s="6"/>
    </row>
    <row r="149" spans="1:18" ht="25.5" x14ac:dyDescent="0.25">
      <c r="A149" s="2">
        <f t="shared" si="6"/>
        <v>148</v>
      </c>
      <c r="B149" s="2">
        <v>196</v>
      </c>
      <c r="C149" s="2" t="s">
        <v>36</v>
      </c>
      <c r="D149" s="5">
        <v>44292</v>
      </c>
      <c r="E149" s="10">
        <v>0.6875</v>
      </c>
      <c r="F149" s="1" t="s">
        <v>503</v>
      </c>
      <c r="G149" s="5">
        <v>40327</v>
      </c>
      <c r="H149" s="2" t="str">
        <f t="shared" si="7"/>
        <v>10 г. 10 мес. 8 дн.</v>
      </c>
      <c r="I149" s="2" t="s">
        <v>25</v>
      </c>
      <c r="J149" s="2" t="s">
        <v>36</v>
      </c>
      <c r="K149" s="1" t="s">
        <v>504</v>
      </c>
      <c r="L149" s="1" t="s">
        <v>513</v>
      </c>
      <c r="M149" s="2" t="s">
        <v>66</v>
      </c>
      <c r="N149" s="1">
        <v>0</v>
      </c>
      <c r="O149" s="2" t="s">
        <v>82</v>
      </c>
      <c r="P149" s="2" t="s">
        <v>36</v>
      </c>
      <c r="Q149" s="5">
        <v>44293</v>
      </c>
      <c r="R149" s="6"/>
    </row>
    <row r="150" spans="1:18" ht="63.75" x14ac:dyDescent="0.25">
      <c r="A150" s="2">
        <f t="shared" si="6"/>
        <v>149</v>
      </c>
      <c r="B150" s="2">
        <v>2343421</v>
      </c>
      <c r="C150" s="2"/>
      <c r="D150" s="5">
        <v>44293</v>
      </c>
      <c r="E150" s="10">
        <v>0.44444444444444442</v>
      </c>
      <c r="F150" s="1" t="s">
        <v>505</v>
      </c>
      <c r="G150" s="5">
        <v>43481</v>
      </c>
      <c r="H150" s="2" t="str">
        <f t="shared" si="7"/>
        <v>2 г. 2 мес. 22 дн.</v>
      </c>
      <c r="I150" s="2" t="s">
        <v>28</v>
      </c>
      <c r="J150" s="1" t="s">
        <v>510</v>
      </c>
      <c r="K150" s="1" t="s">
        <v>506</v>
      </c>
      <c r="L150" s="1" t="s">
        <v>511</v>
      </c>
      <c r="M150" s="2" t="s">
        <v>52</v>
      </c>
      <c r="N150" s="1">
        <v>0</v>
      </c>
      <c r="O150" s="1" t="s">
        <v>87</v>
      </c>
      <c r="P150" s="1" t="s">
        <v>510</v>
      </c>
      <c r="Q150" s="5">
        <v>44293</v>
      </c>
      <c r="R150" s="6"/>
    </row>
    <row r="151" spans="1:18" ht="25.5" x14ac:dyDescent="0.25">
      <c r="A151" s="2">
        <f t="shared" si="6"/>
        <v>150</v>
      </c>
      <c r="B151" s="2">
        <v>583</v>
      </c>
      <c r="C151" s="2" t="s">
        <v>31</v>
      </c>
      <c r="D151" s="5">
        <v>44292</v>
      </c>
      <c r="E151" s="10">
        <v>0.625</v>
      </c>
      <c r="F151" s="1" t="s">
        <v>507</v>
      </c>
      <c r="G151" s="5">
        <v>38019</v>
      </c>
      <c r="H151" s="2" t="str">
        <f t="shared" si="7"/>
        <v>17 г. 2 мес. 4 дн.</v>
      </c>
      <c r="I151" s="2" t="s">
        <v>27</v>
      </c>
      <c r="J151" s="2" t="s">
        <v>31</v>
      </c>
      <c r="K151" s="1" t="s">
        <v>508</v>
      </c>
      <c r="L151" s="1" t="s">
        <v>512</v>
      </c>
      <c r="M151" s="2" t="s">
        <v>60</v>
      </c>
      <c r="N151" s="1">
        <v>0</v>
      </c>
      <c r="O151" s="2" t="s">
        <v>82</v>
      </c>
      <c r="P151" s="2" t="s">
        <v>32</v>
      </c>
      <c r="Q151" s="5">
        <v>44298</v>
      </c>
      <c r="R151" s="6"/>
    </row>
    <row r="152" spans="1:18" ht="38.25" x14ac:dyDescent="0.25">
      <c r="A152" s="2">
        <f t="shared" si="6"/>
        <v>151</v>
      </c>
      <c r="B152" s="2">
        <v>165</v>
      </c>
      <c r="C152" s="2" t="s">
        <v>38</v>
      </c>
      <c r="D152" s="5">
        <v>44294</v>
      </c>
      <c r="E152" s="10">
        <v>0.58333333333333337</v>
      </c>
      <c r="F152" s="1" t="s">
        <v>514</v>
      </c>
      <c r="G152" s="5">
        <v>42937</v>
      </c>
      <c r="H152" s="2" t="str">
        <f t="shared" si="7"/>
        <v>3 г. 8 мес. 18 дн.</v>
      </c>
      <c r="I152" s="2" t="s">
        <v>27</v>
      </c>
      <c r="J152" s="2" t="s">
        <v>38</v>
      </c>
      <c r="K152" s="1" t="s">
        <v>515</v>
      </c>
      <c r="L152" s="1" t="s">
        <v>516</v>
      </c>
      <c r="M152" s="2" t="s">
        <v>57</v>
      </c>
      <c r="N152" s="1">
        <v>0</v>
      </c>
      <c r="O152" s="2" t="s">
        <v>82</v>
      </c>
      <c r="P152" s="2" t="s">
        <v>38</v>
      </c>
      <c r="Q152" s="5">
        <v>44295</v>
      </c>
      <c r="R152" s="6"/>
    </row>
    <row r="153" spans="1:18" customFormat="1" ht="15" x14ac:dyDescent="0.25">
      <c r="A153">
        <f t="shared" si="6"/>
        <v>152</v>
      </c>
      <c r="B153">
        <v>137</v>
      </c>
      <c r="C153" t="s">
        <v>38</v>
      </c>
      <c r="D153">
        <v>44294</v>
      </c>
      <c r="F153" t="s">
        <v>517</v>
      </c>
      <c r="G153">
        <v>44108</v>
      </c>
      <c r="H153" t="str">
        <f t="shared" si="7"/>
        <v>0 г. 6 мес. 4 дн.</v>
      </c>
      <c r="I153" t="s">
        <v>27</v>
      </c>
      <c r="J153" t="s">
        <v>38</v>
      </c>
      <c r="K153" t="s">
        <v>518</v>
      </c>
      <c r="L153" t="s">
        <v>292</v>
      </c>
      <c r="M153" t="s">
        <v>57</v>
      </c>
      <c r="N153">
        <v>0</v>
      </c>
      <c r="O153" t="s">
        <v>82</v>
      </c>
      <c r="P153" t="s">
        <v>38</v>
      </c>
      <c r="Q153">
        <v>44295</v>
      </c>
    </row>
    <row r="154" spans="1:18" ht="38.25" x14ac:dyDescent="0.25">
      <c r="A154" s="2">
        <f t="shared" si="6"/>
        <v>153</v>
      </c>
      <c r="B154" s="2">
        <v>621</v>
      </c>
      <c r="C154" s="2" t="s">
        <v>31</v>
      </c>
      <c r="D154" s="5">
        <v>44297</v>
      </c>
      <c r="E154" s="10">
        <v>0.90972222222222221</v>
      </c>
      <c r="F154" s="1" t="s">
        <v>520</v>
      </c>
      <c r="G154" s="5">
        <v>41385</v>
      </c>
      <c r="H154" s="2" t="str">
        <f t="shared" si="7"/>
        <v>7 г. 11 мес. 21 дн.</v>
      </c>
      <c r="I154" s="2" t="s">
        <v>25</v>
      </c>
      <c r="J154" s="2" t="s">
        <v>31</v>
      </c>
      <c r="K154" s="1" t="s">
        <v>521</v>
      </c>
      <c r="L154" s="1" t="s">
        <v>522</v>
      </c>
      <c r="M154" s="2" t="s">
        <v>63</v>
      </c>
      <c r="N154" s="1">
        <v>0</v>
      </c>
      <c r="O154" s="2" t="s">
        <v>82</v>
      </c>
      <c r="P154" s="2" t="s">
        <v>31</v>
      </c>
      <c r="Q154" s="5">
        <v>44298</v>
      </c>
      <c r="R154" s="6"/>
    </row>
    <row r="155" spans="1:18" ht="25.5" x14ac:dyDescent="0.25">
      <c r="A155" s="2">
        <f t="shared" si="6"/>
        <v>154</v>
      </c>
      <c r="B155" s="2">
        <v>368</v>
      </c>
      <c r="C155" s="2" t="s">
        <v>37</v>
      </c>
      <c r="D155" s="5">
        <v>44296</v>
      </c>
      <c r="E155" s="10">
        <v>0.69791666666666663</v>
      </c>
      <c r="F155" s="1" t="s">
        <v>523</v>
      </c>
      <c r="G155" s="5">
        <v>44233</v>
      </c>
      <c r="H155" s="2" t="str">
        <f t="shared" si="7"/>
        <v>0 г. 2 мес. 4 дн.</v>
      </c>
      <c r="I155" s="2" t="s">
        <v>28</v>
      </c>
      <c r="J155" s="2" t="s">
        <v>37</v>
      </c>
      <c r="K155" s="1" t="s">
        <v>524</v>
      </c>
      <c r="L155" s="1" t="s">
        <v>525</v>
      </c>
      <c r="M155" s="2" t="s">
        <v>59</v>
      </c>
      <c r="N155" s="1">
        <v>0</v>
      </c>
      <c r="O155" s="2" t="s">
        <v>87</v>
      </c>
      <c r="P155" s="2" t="s">
        <v>39</v>
      </c>
      <c r="Q155" s="5">
        <v>44301</v>
      </c>
      <c r="R155" s="6"/>
    </row>
    <row r="156" spans="1:18" ht="38.25" x14ac:dyDescent="0.25">
      <c r="A156" s="2">
        <f t="shared" si="6"/>
        <v>155</v>
      </c>
      <c r="B156" s="2">
        <v>209</v>
      </c>
      <c r="C156" s="2" t="s">
        <v>36</v>
      </c>
      <c r="D156" s="5">
        <v>44297</v>
      </c>
      <c r="E156" s="10">
        <v>0.5</v>
      </c>
      <c r="F156" s="1" t="s">
        <v>526</v>
      </c>
      <c r="G156" s="5">
        <v>44145</v>
      </c>
      <c r="H156" s="2" t="str">
        <f t="shared" si="7"/>
        <v>0 г. 5 мес. 1 дн.</v>
      </c>
      <c r="I156" s="2" t="s">
        <v>28</v>
      </c>
      <c r="J156" s="2" t="s">
        <v>36</v>
      </c>
      <c r="K156" s="1" t="s">
        <v>527</v>
      </c>
      <c r="L156" s="1" t="s">
        <v>528</v>
      </c>
      <c r="M156" s="2" t="s">
        <v>53</v>
      </c>
      <c r="N156" s="1">
        <v>0</v>
      </c>
      <c r="O156" s="2" t="s">
        <v>82</v>
      </c>
      <c r="P156" s="2" t="s">
        <v>39</v>
      </c>
      <c r="Q156" s="5">
        <v>44302</v>
      </c>
      <c r="R156" s="6"/>
    </row>
    <row r="157" spans="1:18" ht="25.5" x14ac:dyDescent="0.25">
      <c r="A157" s="2">
        <f t="shared" ref="A157:A220" si="8">ROW(A156)</f>
        <v>156</v>
      </c>
      <c r="B157" s="2">
        <v>204</v>
      </c>
      <c r="C157" s="2" t="s">
        <v>36</v>
      </c>
      <c r="D157" s="5">
        <v>44295</v>
      </c>
      <c r="E157" s="10">
        <v>0.53125</v>
      </c>
      <c r="F157" s="1" t="s">
        <v>529</v>
      </c>
      <c r="G157" s="5">
        <v>43186</v>
      </c>
      <c r="H157" s="2" t="str">
        <f t="shared" si="7"/>
        <v>3 г. 0 мес. 13 дн.</v>
      </c>
      <c r="I157" s="2" t="s">
        <v>28</v>
      </c>
      <c r="J157" s="2" t="s">
        <v>36</v>
      </c>
      <c r="K157" s="1" t="s">
        <v>530</v>
      </c>
      <c r="L157" s="1" t="s">
        <v>531</v>
      </c>
      <c r="M157" s="2" t="s">
        <v>59</v>
      </c>
      <c r="N157" s="1">
        <v>0</v>
      </c>
      <c r="O157" s="2" t="s">
        <v>82</v>
      </c>
      <c r="P157" s="2" t="s">
        <v>36</v>
      </c>
      <c r="Q157" s="5">
        <v>44298</v>
      </c>
      <c r="R157" s="6"/>
    </row>
    <row r="158" spans="1:18" ht="38.25" x14ac:dyDescent="0.25">
      <c r="A158" s="2">
        <f t="shared" si="8"/>
        <v>157</v>
      </c>
      <c r="B158" s="2">
        <v>334</v>
      </c>
      <c r="C158" s="2" t="s">
        <v>33</v>
      </c>
      <c r="D158" s="5">
        <v>44298</v>
      </c>
      <c r="E158" s="10">
        <v>0.63541666666666663</v>
      </c>
      <c r="F158" s="1" t="s">
        <v>532</v>
      </c>
      <c r="G158" s="5">
        <v>39888</v>
      </c>
      <c r="H158" s="2" t="str">
        <f t="shared" si="7"/>
        <v>12 г. 0 мес. 27 дн.</v>
      </c>
      <c r="I158" s="2" t="s">
        <v>26</v>
      </c>
      <c r="J158" s="2" t="s">
        <v>33</v>
      </c>
      <c r="K158" s="1" t="s">
        <v>533</v>
      </c>
      <c r="L158" s="1" t="s">
        <v>540</v>
      </c>
      <c r="M158" s="2" t="s">
        <v>62</v>
      </c>
      <c r="N158" s="1">
        <v>0</v>
      </c>
      <c r="O158" s="2" t="s">
        <v>82</v>
      </c>
      <c r="P158" s="2" t="s">
        <v>33</v>
      </c>
      <c r="Q158" s="5">
        <v>44299</v>
      </c>
      <c r="R158" s="6"/>
    </row>
    <row r="159" spans="1:18" ht="25.5" x14ac:dyDescent="0.25">
      <c r="A159" s="2">
        <f t="shared" si="8"/>
        <v>158</v>
      </c>
      <c r="B159" s="2">
        <v>349</v>
      </c>
      <c r="C159" s="2" t="s">
        <v>33</v>
      </c>
      <c r="D159" s="5">
        <v>44298</v>
      </c>
      <c r="E159" s="10">
        <v>0.54166666666666663</v>
      </c>
      <c r="F159" s="1" t="s">
        <v>272</v>
      </c>
      <c r="G159" s="5">
        <v>43837</v>
      </c>
      <c r="H159" s="2" t="str">
        <f t="shared" si="7"/>
        <v>1 г. 3 мес. 5 дн.</v>
      </c>
      <c r="I159" s="2" t="s">
        <v>27</v>
      </c>
      <c r="J159" s="2" t="s">
        <v>36</v>
      </c>
      <c r="K159" s="1" t="s">
        <v>534</v>
      </c>
      <c r="L159" s="1" t="s">
        <v>539</v>
      </c>
      <c r="M159" s="2" t="s">
        <v>59</v>
      </c>
      <c r="N159" s="1">
        <v>0</v>
      </c>
      <c r="O159" s="2" t="s">
        <v>82</v>
      </c>
      <c r="P159" s="2" t="s">
        <v>36</v>
      </c>
      <c r="Q159" s="5">
        <v>44299</v>
      </c>
      <c r="R159" s="6"/>
    </row>
    <row r="160" spans="1:18" ht="25.5" x14ac:dyDescent="0.25">
      <c r="A160" s="2">
        <f t="shared" si="8"/>
        <v>159</v>
      </c>
      <c r="B160" s="2">
        <v>208</v>
      </c>
      <c r="C160" s="2" t="s">
        <v>36</v>
      </c>
      <c r="D160" s="5">
        <v>44296</v>
      </c>
      <c r="E160" s="10">
        <v>0.79166666666666663</v>
      </c>
      <c r="F160" s="1" t="s">
        <v>535</v>
      </c>
      <c r="G160" s="2"/>
      <c r="H160" s="2" t="str">
        <f t="shared" si="7"/>
        <v>121 г. 3 мес. 10 дн.</v>
      </c>
      <c r="I160" s="2" t="s">
        <v>28</v>
      </c>
      <c r="J160" s="2" t="s">
        <v>36</v>
      </c>
      <c r="K160" s="1" t="s">
        <v>536</v>
      </c>
      <c r="L160" s="1" t="s">
        <v>513</v>
      </c>
      <c r="M160" s="2" t="s">
        <v>66</v>
      </c>
      <c r="N160" s="1">
        <v>0</v>
      </c>
      <c r="O160" s="2" t="s">
        <v>82</v>
      </c>
      <c r="P160" s="2" t="s">
        <v>36</v>
      </c>
      <c r="Q160" s="5">
        <v>44297</v>
      </c>
      <c r="R160" s="6"/>
    </row>
    <row r="161" spans="1:18" ht="25.5" x14ac:dyDescent="0.25">
      <c r="A161" s="2">
        <f t="shared" si="8"/>
        <v>160</v>
      </c>
      <c r="B161" s="2">
        <v>212</v>
      </c>
      <c r="C161" s="2" t="s">
        <v>36</v>
      </c>
      <c r="D161" s="5">
        <v>44298</v>
      </c>
      <c r="E161" s="10">
        <v>0.94097222222222221</v>
      </c>
      <c r="F161" s="1" t="s">
        <v>537</v>
      </c>
      <c r="G161" s="5">
        <v>39119</v>
      </c>
      <c r="H161" s="2" t="str">
        <f t="shared" si="7"/>
        <v>14 г. 2 мес. 6 дн.</v>
      </c>
      <c r="I161" s="2" t="s">
        <v>25</v>
      </c>
      <c r="J161" s="2" t="s">
        <v>36</v>
      </c>
      <c r="K161" s="1" t="s">
        <v>538</v>
      </c>
      <c r="L161" s="1" t="s">
        <v>335</v>
      </c>
      <c r="M161" s="2" t="s">
        <v>66</v>
      </c>
      <c r="N161" s="1">
        <v>0</v>
      </c>
      <c r="O161" s="2" t="s">
        <v>82</v>
      </c>
      <c r="P161" s="2" t="s">
        <v>36</v>
      </c>
      <c r="Q161" s="5">
        <v>44299</v>
      </c>
      <c r="R161" s="6"/>
    </row>
    <row r="162" spans="1:18" ht="38.25" x14ac:dyDescent="0.25">
      <c r="A162" s="2">
        <f t="shared" si="8"/>
        <v>161</v>
      </c>
      <c r="B162" s="2">
        <v>171</v>
      </c>
      <c r="C162" s="2" t="s">
        <v>38</v>
      </c>
      <c r="D162" s="5">
        <v>44299</v>
      </c>
      <c r="E162" s="10">
        <v>0.83333333333333337</v>
      </c>
      <c r="F162" s="1" t="s">
        <v>541</v>
      </c>
      <c r="G162" s="5">
        <v>39687</v>
      </c>
      <c r="H162" s="2" t="str">
        <f t="shared" si="7"/>
        <v>12 г. 7 мес. 17 дн.</v>
      </c>
      <c r="I162" s="2" t="s">
        <v>27</v>
      </c>
      <c r="J162" s="1" t="s">
        <v>38</v>
      </c>
      <c r="K162" s="1" t="s">
        <v>542</v>
      </c>
      <c r="L162" s="1" t="s">
        <v>600</v>
      </c>
      <c r="M162" s="2" t="s">
        <v>57</v>
      </c>
      <c r="N162" s="1">
        <v>0</v>
      </c>
      <c r="O162" s="2" t="s">
        <v>82</v>
      </c>
      <c r="P162" s="2" t="s">
        <v>38</v>
      </c>
      <c r="Q162" s="5">
        <v>44269</v>
      </c>
      <c r="R162" s="6"/>
    </row>
    <row r="163" spans="1:18" ht="38.25" x14ac:dyDescent="0.25">
      <c r="A163" s="2">
        <f t="shared" si="8"/>
        <v>162</v>
      </c>
      <c r="B163" s="2">
        <v>172</v>
      </c>
      <c r="C163" s="1" t="s">
        <v>38</v>
      </c>
      <c r="D163" s="5">
        <v>44299</v>
      </c>
      <c r="E163" s="10">
        <v>0.83333333333333337</v>
      </c>
      <c r="F163" s="1" t="s">
        <v>543</v>
      </c>
      <c r="G163" s="5">
        <v>41762</v>
      </c>
      <c r="H163" s="2" t="str">
        <f t="shared" si="7"/>
        <v>6 г. 11 мес. 10 дн.</v>
      </c>
      <c r="I163" s="2" t="s">
        <v>27</v>
      </c>
      <c r="J163" s="1" t="s">
        <v>38</v>
      </c>
      <c r="K163" s="1" t="s">
        <v>544</v>
      </c>
      <c r="L163" s="1" t="s">
        <v>600</v>
      </c>
      <c r="M163" s="2" t="s">
        <v>57</v>
      </c>
      <c r="N163" s="1">
        <v>0</v>
      </c>
      <c r="O163" s="2" t="s">
        <v>82</v>
      </c>
      <c r="P163" s="2" t="s">
        <v>38</v>
      </c>
      <c r="Q163" s="5">
        <v>44269</v>
      </c>
      <c r="R163" s="6"/>
    </row>
    <row r="164" spans="1:18" ht="51" x14ac:dyDescent="0.25">
      <c r="A164" s="2">
        <f t="shared" si="8"/>
        <v>163</v>
      </c>
      <c r="B164" s="2">
        <v>648</v>
      </c>
      <c r="C164" s="2" t="s">
        <v>31</v>
      </c>
      <c r="D164" s="5">
        <v>44300</v>
      </c>
      <c r="E164" s="10">
        <v>0.83333333333333337</v>
      </c>
      <c r="F164" s="1" t="s">
        <v>545</v>
      </c>
      <c r="G164" s="5">
        <v>44025</v>
      </c>
      <c r="H164" s="2" t="str">
        <f t="shared" si="7"/>
        <v>0 г. 9 мес. 1 дн.</v>
      </c>
      <c r="I164" s="2" t="s">
        <v>25</v>
      </c>
      <c r="J164" s="2" t="s">
        <v>31</v>
      </c>
      <c r="K164" s="1" t="s">
        <v>546</v>
      </c>
      <c r="L164" s="1" t="s">
        <v>547</v>
      </c>
      <c r="M164" s="2" t="s">
        <v>65</v>
      </c>
      <c r="N164" s="1">
        <v>0</v>
      </c>
      <c r="O164" s="2" t="s">
        <v>82</v>
      </c>
      <c r="P164" s="2" t="s">
        <v>31</v>
      </c>
      <c r="Q164" s="5">
        <v>44302</v>
      </c>
      <c r="R164" s="6"/>
    </row>
    <row r="165" spans="1:18" ht="63.75" x14ac:dyDescent="0.25">
      <c r="A165" s="2">
        <f t="shared" si="8"/>
        <v>164</v>
      </c>
      <c r="B165" s="2">
        <v>204</v>
      </c>
      <c r="C165" s="2" t="s">
        <v>36</v>
      </c>
      <c r="D165" s="5">
        <v>44303</v>
      </c>
      <c r="E165" s="10">
        <v>0.53125</v>
      </c>
      <c r="F165" s="1" t="s">
        <v>529</v>
      </c>
      <c r="G165" s="5">
        <v>43186</v>
      </c>
      <c r="H165" s="2" t="str">
        <f t="shared" ref="H165" si="9">DATEDIF(G165,D165,"y") &amp; " г. " &amp; DATEDIF(G165,D165,"ym") &amp; " мес. " &amp; DATEDIF(G165,D165,"md") &amp; " дн."</f>
        <v>3 г. 0 мес. 21 дн.</v>
      </c>
      <c r="I165" s="2" t="s">
        <v>30</v>
      </c>
      <c r="J165" s="2" t="s">
        <v>36</v>
      </c>
      <c r="K165" s="1" t="s">
        <v>530</v>
      </c>
      <c r="L165" s="1" t="s">
        <v>549</v>
      </c>
      <c r="M165" s="2" t="s">
        <v>54</v>
      </c>
      <c r="N165" s="1">
        <v>0</v>
      </c>
      <c r="O165" s="2" t="s">
        <v>82</v>
      </c>
      <c r="P165" s="2" t="s">
        <v>36</v>
      </c>
      <c r="Q165" s="5">
        <v>44305</v>
      </c>
      <c r="R165" s="6"/>
    </row>
    <row r="166" spans="1:18" ht="25.5" x14ac:dyDescent="0.25">
      <c r="A166" s="19">
        <f t="shared" si="8"/>
        <v>165</v>
      </c>
      <c r="B166" s="19">
        <v>685</v>
      </c>
      <c r="C166" s="19" t="s">
        <v>31</v>
      </c>
      <c r="D166" s="20">
        <v>44304</v>
      </c>
      <c r="E166" s="21">
        <v>0.60763888888888895</v>
      </c>
      <c r="F166" s="22" t="s">
        <v>550</v>
      </c>
      <c r="G166" s="20">
        <v>44280</v>
      </c>
      <c r="H166" s="19" t="str">
        <f t="shared" si="7"/>
        <v>0 г. 0 мес. 24 дн.</v>
      </c>
      <c r="I166" s="19" t="s">
        <v>28</v>
      </c>
      <c r="J166" s="19" t="s">
        <v>31</v>
      </c>
      <c r="K166" s="22" t="s">
        <v>714</v>
      </c>
      <c r="L166" s="22" t="s">
        <v>555</v>
      </c>
      <c r="M166" s="19" t="s">
        <v>60</v>
      </c>
      <c r="N166" s="22" t="s">
        <v>105</v>
      </c>
      <c r="O166" s="19" t="s">
        <v>88</v>
      </c>
      <c r="P166" s="19" t="s">
        <v>40</v>
      </c>
      <c r="Q166" s="20">
        <v>44310</v>
      </c>
      <c r="R166" s="23">
        <v>0.84027777777777779</v>
      </c>
    </row>
    <row r="167" spans="1:18" ht="25.5" x14ac:dyDescent="0.25">
      <c r="A167" s="2">
        <f t="shared" si="8"/>
        <v>166</v>
      </c>
      <c r="B167" s="2">
        <v>668</v>
      </c>
      <c r="C167" s="2" t="s">
        <v>31</v>
      </c>
      <c r="D167" s="5">
        <v>44302</v>
      </c>
      <c r="E167" s="10">
        <v>0.53125</v>
      </c>
      <c r="F167" s="1" t="s">
        <v>551</v>
      </c>
      <c r="G167" s="5">
        <v>43881</v>
      </c>
      <c r="H167" s="2" t="str">
        <f t="shared" si="7"/>
        <v>1 г. 1 мес. 27 дн.</v>
      </c>
      <c r="I167" s="2" t="s">
        <v>25</v>
      </c>
      <c r="J167" s="2" t="s">
        <v>31</v>
      </c>
      <c r="K167" s="1" t="s">
        <v>552</v>
      </c>
      <c r="L167" s="1" t="s">
        <v>556</v>
      </c>
      <c r="M167" s="2" t="s">
        <v>65</v>
      </c>
      <c r="N167" s="1">
        <v>0</v>
      </c>
      <c r="O167" s="2" t="s">
        <v>87</v>
      </c>
      <c r="P167" s="2" t="s">
        <v>31</v>
      </c>
      <c r="Q167" s="5">
        <v>44309</v>
      </c>
      <c r="R167" s="6"/>
    </row>
    <row r="168" spans="1:18" ht="38.25" x14ac:dyDescent="0.25">
      <c r="A168" s="2">
        <f t="shared" si="8"/>
        <v>167</v>
      </c>
      <c r="B168" s="2">
        <v>362</v>
      </c>
      <c r="C168" s="2" t="s">
        <v>33</v>
      </c>
      <c r="D168" s="5">
        <v>44305</v>
      </c>
      <c r="E168" s="10">
        <v>0.51736111111111105</v>
      </c>
      <c r="F168" s="1" t="s">
        <v>553</v>
      </c>
      <c r="G168" s="5">
        <v>41367</v>
      </c>
      <c r="H168" s="2" t="str">
        <f t="shared" si="7"/>
        <v>8 г. 0 мес. 16 дн.</v>
      </c>
      <c r="I168" s="2" t="s">
        <v>26</v>
      </c>
      <c r="J168" s="2" t="s">
        <v>33</v>
      </c>
      <c r="K168" s="1" t="s">
        <v>554</v>
      </c>
      <c r="L168" s="1" t="s">
        <v>431</v>
      </c>
      <c r="M168" s="2" t="s">
        <v>62</v>
      </c>
      <c r="N168" s="1">
        <v>0</v>
      </c>
      <c r="O168" s="2" t="s">
        <v>97</v>
      </c>
      <c r="P168" s="2" t="s">
        <v>33</v>
      </c>
      <c r="Q168" s="5">
        <v>44307</v>
      </c>
      <c r="R168" s="6"/>
    </row>
    <row r="169" spans="1:18" ht="38.25" x14ac:dyDescent="0.25">
      <c r="A169" s="2">
        <f t="shared" si="8"/>
        <v>168</v>
      </c>
      <c r="B169" s="2">
        <v>695</v>
      </c>
      <c r="C169" s="2" t="s">
        <v>31</v>
      </c>
      <c r="D169" s="5">
        <v>44305</v>
      </c>
      <c r="E169" s="10">
        <v>0.60416666666666663</v>
      </c>
      <c r="F169" s="1" t="s">
        <v>557</v>
      </c>
      <c r="G169" s="5">
        <v>42343</v>
      </c>
      <c r="H169" s="2" t="str">
        <f t="shared" si="7"/>
        <v>5 г. 4 мес. 14 дн.</v>
      </c>
      <c r="I169" s="2" t="s">
        <v>27</v>
      </c>
      <c r="J169" s="2" t="s">
        <v>31</v>
      </c>
      <c r="K169" s="1" t="s">
        <v>558</v>
      </c>
      <c r="L169" s="1" t="s">
        <v>559</v>
      </c>
      <c r="M169" s="2" t="s">
        <v>57</v>
      </c>
      <c r="N169" s="1">
        <v>0</v>
      </c>
      <c r="O169" s="2" t="s">
        <v>82</v>
      </c>
      <c r="P169" s="2" t="s">
        <v>31</v>
      </c>
      <c r="Q169" s="5">
        <v>44306</v>
      </c>
      <c r="R169" s="6"/>
    </row>
    <row r="170" spans="1:18" ht="38.25" x14ac:dyDescent="0.25">
      <c r="A170" s="2">
        <f t="shared" si="8"/>
        <v>169</v>
      </c>
      <c r="B170" s="2">
        <v>304</v>
      </c>
      <c r="C170" s="2" t="s">
        <v>33</v>
      </c>
      <c r="D170" s="5">
        <v>44305</v>
      </c>
      <c r="E170" s="10">
        <v>0.61458333333333337</v>
      </c>
      <c r="F170" s="1" t="s">
        <v>560</v>
      </c>
      <c r="G170" s="5">
        <v>39406</v>
      </c>
      <c r="H170" s="2" t="str">
        <f t="shared" si="7"/>
        <v>13 г. 4 мес. 30 дн.</v>
      </c>
      <c r="I170" s="2" t="s">
        <v>27</v>
      </c>
      <c r="J170" s="2" t="s">
        <v>33</v>
      </c>
      <c r="K170" s="1" t="s">
        <v>561</v>
      </c>
      <c r="L170" s="1" t="s">
        <v>562</v>
      </c>
      <c r="M170" s="2" t="s">
        <v>62</v>
      </c>
      <c r="N170" s="1">
        <v>0</v>
      </c>
      <c r="O170" s="2" t="s">
        <v>82</v>
      </c>
      <c r="P170" s="2" t="s">
        <v>33</v>
      </c>
      <c r="Q170" s="5">
        <v>44306</v>
      </c>
      <c r="R170" s="6"/>
    </row>
    <row r="171" spans="1:18" ht="38.25" x14ac:dyDescent="0.25">
      <c r="A171" s="2">
        <f t="shared" si="8"/>
        <v>170</v>
      </c>
      <c r="B171" s="2">
        <v>173</v>
      </c>
      <c r="C171" s="2" t="s">
        <v>38</v>
      </c>
      <c r="D171" s="5">
        <v>44305</v>
      </c>
      <c r="E171" s="10">
        <v>0.70833333333333337</v>
      </c>
      <c r="F171" s="1" t="s">
        <v>563</v>
      </c>
      <c r="G171" s="5">
        <v>41999</v>
      </c>
      <c r="H171" s="2" t="str">
        <f t="shared" si="7"/>
        <v>6 г. 3 мес. 24 дн.</v>
      </c>
      <c r="I171" s="2" t="s">
        <v>27</v>
      </c>
      <c r="J171" s="2" t="s">
        <v>38</v>
      </c>
      <c r="K171" s="1" t="s">
        <v>564</v>
      </c>
      <c r="L171" s="1" t="s">
        <v>565</v>
      </c>
      <c r="M171" s="2" t="s">
        <v>57</v>
      </c>
      <c r="N171" s="1">
        <v>0</v>
      </c>
      <c r="O171" s="2" t="s">
        <v>82</v>
      </c>
      <c r="P171" s="2" t="s">
        <v>38</v>
      </c>
      <c r="Q171" s="5">
        <v>44306</v>
      </c>
      <c r="R171" s="6"/>
    </row>
    <row r="172" spans="1:18" ht="25.5" x14ac:dyDescent="0.25">
      <c r="A172" s="2">
        <f t="shared" si="8"/>
        <v>171</v>
      </c>
      <c r="B172" s="2">
        <v>694</v>
      </c>
      <c r="C172" s="2" t="s">
        <v>31</v>
      </c>
      <c r="D172" s="5">
        <v>44305</v>
      </c>
      <c r="E172" s="10">
        <v>0.5</v>
      </c>
      <c r="F172" s="1" t="s">
        <v>566</v>
      </c>
      <c r="G172" s="5">
        <v>40551</v>
      </c>
      <c r="H172" s="2" t="str">
        <f t="shared" si="7"/>
        <v>10 г. 3 мес. 11 дн.</v>
      </c>
      <c r="I172" s="2" t="s">
        <v>25</v>
      </c>
      <c r="J172" s="2" t="s">
        <v>31</v>
      </c>
      <c r="K172" s="1" t="s">
        <v>567</v>
      </c>
      <c r="L172" s="1" t="s">
        <v>136</v>
      </c>
      <c r="M172" s="2" t="s">
        <v>60</v>
      </c>
      <c r="N172" s="1">
        <v>0</v>
      </c>
      <c r="O172" s="2" t="s">
        <v>82</v>
      </c>
      <c r="P172" s="2" t="s">
        <v>39</v>
      </c>
      <c r="Q172" s="5">
        <v>44305</v>
      </c>
      <c r="R172" s="6"/>
    </row>
    <row r="173" spans="1:18" ht="25.5" x14ac:dyDescent="0.25">
      <c r="A173" s="2">
        <f t="shared" si="8"/>
        <v>172</v>
      </c>
      <c r="B173" s="2">
        <v>697</v>
      </c>
      <c r="C173" s="2" t="s">
        <v>31</v>
      </c>
      <c r="D173" s="5">
        <v>44305</v>
      </c>
      <c r="E173" s="10">
        <v>0.90972222222222221</v>
      </c>
      <c r="F173" s="1" t="s">
        <v>568</v>
      </c>
      <c r="G173" s="5">
        <v>41133</v>
      </c>
      <c r="H173" s="2" t="str">
        <f t="shared" si="7"/>
        <v>8 г. 8 мес. 7 дн.</v>
      </c>
      <c r="I173" s="2" t="s">
        <v>26</v>
      </c>
      <c r="J173" s="2" t="s">
        <v>31</v>
      </c>
      <c r="K173" s="1" t="s">
        <v>570</v>
      </c>
      <c r="L173" s="1" t="s">
        <v>569</v>
      </c>
      <c r="M173" s="2" t="s">
        <v>60</v>
      </c>
      <c r="N173" s="1">
        <v>0</v>
      </c>
      <c r="O173" s="2" t="s">
        <v>82</v>
      </c>
      <c r="P173" s="2" t="s">
        <v>31</v>
      </c>
      <c r="Q173" s="5">
        <v>44306</v>
      </c>
      <c r="R173" s="6"/>
    </row>
    <row r="174" spans="1:18" ht="38.25" x14ac:dyDescent="0.25">
      <c r="A174" s="2">
        <f t="shared" si="8"/>
        <v>173</v>
      </c>
      <c r="B174" s="2">
        <v>180</v>
      </c>
      <c r="C174" s="2" t="s">
        <v>38</v>
      </c>
      <c r="D174" s="5">
        <v>44306</v>
      </c>
      <c r="E174" s="10">
        <v>0.75</v>
      </c>
      <c r="F174" s="1" t="s">
        <v>571</v>
      </c>
      <c r="G174" s="5">
        <v>44240</v>
      </c>
      <c r="H174" s="2" t="str">
        <f t="shared" si="7"/>
        <v>0 г. 2 мес. 7 дн.</v>
      </c>
      <c r="I174" s="2" t="s">
        <v>27</v>
      </c>
      <c r="J174" s="2" t="s">
        <v>38</v>
      </c>
      <c r="K174" s="1" t="s">
        <v>572</v>
      </c>
      <c r="L174" s="1" t="s">
        <v>295</v>
      </c>
      <c r="M174" s="2" t="s">
        <v>57</v>
      </c>
      <c r="N174" s="1">
        <v>0</v>
      </c>
      <c r="O174" s="2" t="s">
        <v>82</v>
      </c>
      <c r="P174" s="2" t="s">
        <v>38</v>
      </c>
      <c r="Q174" s="5">
        <v>44307</v>
      </c>
      <c r="R174" s="6"/>
    </row>
    <row r="175" spans="1:18" ht="63.75" x14ac:dyDescent="0.25">
      <c r="A175" s="2">
        <f t="shared" si="8"/>
        <v>174</v>
      </c>
      <c r="B175" s="2">
        <v>230</v>
      </c>
      <c r="C175" s="2" t="s">
        <v>36</v>
      </c>
      <c r="D175" s="5">
        <v>44307</v>
      </c>
      <c r="E175" s="10">
        <v>0.95138888888888884</v>
      </c>
      <c r="F175" s="1" t="s">
        <v>573</v>
      </c>
      <c r="G175" s="5">
        <v>44307</v>
      </c>
      <c r="H175" s="2" t="str">
        <f t="shared" si="7"/>
        <v>0 г. 0 мес. 0 дн.</v>
      </c>
      <c r="I175" s="2" t="s">
        <v>25</v>
      </c>
      <c r="J175" s="2" t="s">
        <v>36</v>
      </c>
      <c r="K175" s="1" t="s">
        <v>574</v>
      </c>
      <c r="L175" s="1" t="s">
        <v>598</v>
      </c>
      <c r="M175" s="2" t="s">
        <v>54</v>
      </c>
      <c r="N175" s="1">
        <v>0</v>
      </c>
      <c r="O175" s="2" t="s">
        <v>82</v>
      </c>
      <c r="P175" s="2" t="s">
        <v>39</v>
      </c>
      <c r="Q175" s="5">
        <v>44309</v>
      </c>
      <c r="R175" s="6"/>
    </row>
    <row r="176" spans="1:18" ht="25.5" x14ac:dyDescent="0.25">
      <c r="A176" s="2">
        <f t="shared" si="8"/>
        <v>175</v>
      </c>
      <c r="B176" s="2">
        <v>231</v>
      </c>
      <c r="C176" s="2" t="s">
        <v>36</v>
      </c>
      <c r="D176" s="5">
        <v>44308</v>
      </c>
      <c r="E176" s="10">
        <v>0.3263888888888889</v>
      </c>
      <c r="F176" s="1" t="s">
        <v>575</v>
      </c>
      <c r="G176" s="5">
        <v>44223</v>
      </c>
      <c r="H176" s="2" t="str">
        <f t="shared" si="7"/>
        <v>0 г. 2 мес. 26 дн.</v>
      </c>
      <c r="I176" s="2" t="s">
        <v>25</v>
      </c>
      <c r="J176" s="2" t="s">
        <v>36</v>
      </c>
      <c r="K176" s="1" t="s">
        <v>576</v>
      </c>
      <c r="L176" s="1" t="s">
        <v>597</v>
      </c>
      <c r="M176" s="2" t="s">
        <v>66</v>
      </c>
      <c r="N176" s="1">
        <v>0</v>
      </c>
      <c r="O176" s="2" t="s">
        <v>82</v>
      </c>
      <c r="P176" s="2" t="s">
        <v>36</v>
      </c>
      <c r="Q176" s="5">
        <v>44309</v>
      </c>
      <c r="R176" s="6"/>
    </row>
    <row r="177" spans="1:18" ht="25.5" x14ac:dyDescent="0.25">
      <c r="A177" s="2">
        <f t="shared" si="8"/>
        <v>176</v>
      </c>
      <c r="B177" s="2">
        <v>712</v>
      </c>
      <c r="C177" s="2" t="s">
        <v>31</v>
      </c>
      <c r="D177" s="5">
        <v>44307</v>
      </c>
      <c r="E177" s="10">
        <v>0.60763888888888895</v>
      </c>
      <c r="F177" s="1" t="s">
        <v>343</v>
      </c>
      <c r="G177" s="5">
        <v>40408</v>
      </c>
      <c r="H177" s="2" t="str">
        <f t="shared" si="7"/>
        <v>10 г. 8 мес. 3 дн.</v>
      </c>
      <c r="I177" s="2" t="s">
        <v>28</v>
      </c>
      <c r="J177" s="2" t="s">
        <v>31</v>
      </c>
      <c r="K177" s="1" t="s">
        <v>577</v>
      </c>
      <c r="L177" s="1" t="s">
        <v>599</v>
      </c>
      <c r="M177" s="2" t="s">
        <v>60</v>
      </c>
      <c r="N177" s="1">
        <v>0</v>
      </c>
      <c r="O177" s="2" t="s">
        <v>82</v>
      </c>
      <c r="P177" s="2" t="s">
        <v>39</v>
      </c>
      <c r="Q177" s="5">
        <v>44308</v>
      </c>
      <c r="R177" s="6"/>
    </row>
    <row r="178" spans="1:18" ht="38.25" x14ac:dyDescent="0.25">
      <c r="A178" s="2">
        <f t="shared" si="8"/>
        <v>177</v>
      </c>
      <c r="B178" s="2">
        <v>184</v>
      </c>
      <c r="C178" s="2" t="s">
        <v>38</v>
      </c>
      <c r="D178" s="5">
        <v>44307</v>
      </c>
      <c r="E178" s="10">
        <v>0.8125</v>
      </c>
      <c r="F178" s="1" t="s">
        <v>578</v>
      </c>
      <c r="G178" s="5">
        <v>42565</v>
      </c>
      <c r="H178" s="2" t="str">
        <f t="shared" si="7"/>
        <v>4 г. 9 мес. 7 дн.</v>
      </c>
      <c r="I178" s="2" t="s">
        <v>27</v>
      </c>
      <c r="J178" s="2" t="s">
        <v>38</v>
      </c>
      <c r="K178" s="1" t="s">
        <v>112</v>
      </c>
      <c r="L178" s="1" t="s">
        <v>110</v>
      </c>
      <c r="M178" s="2" t="s">
        <v>57</v>
      </c>
      <c r="N178" s="1">
        <v>0</v>
      </c>
      <c r="O178" s="2" t="s">
        <v>82</v>
      </c>
      <c r="P178" s="2" t="s">
        <v>38</v>
      </c>
      <c r="Q178" s="5">
        <v>44308</v>
      </c>
      <c r="R178" s="6"/>
    </row>
    <row r="179" spans="1:18" ht="38.25" x14ac:dyDescent="0.25">
      <c r="A179" s="2">
        <f t="shared" si="8"/>
        <v>178</v>
      </c>
      <c r="B179" s="2">
        <v>186</v>
      </c>
      <c r="C179" s="2" t="s">
        <v>38</v>
      </c>
      <c r="D179" s="5">
        <v>44308</v>
      </c>
      <c r="E179" s="10">
        <v>0.64583333333333337</v>
      </c>
      <c r="F179" s="1" t="s">
        <v>579</v>
      </c>
      <c r="G179" s="5">
        <v>43383</v>
      </c>
      <c r="H179" s="2" t="str">
        <f t="shared" si="7"/>
        <v>2 г. 6 мес. 12 дн.</v>
      </c>
      <c r="I179" s="2" t="s">
        <v>27</v>
      </c>
      <c r="J179" s="2" t="s">
        <v>38</v>
      </c>
      <c r="K179" s="1" t="s">
        <v>580</v>
      </c>
      <c r="L179" s="1" t="s">
        <v>596</v>
      </c>
      <c r="M179" s="2" t="s">
        <v>57</v>
      </c>
      <c r="N179" s="1">
        <v>0</v>
      </c>
      <c r="O179" s="2" t="s">
        <v>82</v>
      </c>
      <c r="P179" s="2" t="s">
        <v>38</v>
      </c>
      <c r="Q179" s="5">
        <v>44309</v>
      </c>
      <c r="R179" s="6"/>
    </row>
    <row r="180" spans="1:18" ht="25.5" x14ac:dyDescent="0.25">
      <c r="A180" s="2">
        <f t="shared" si="8"/>
        <v>179</v>
      </c>
      <c r="B180" s="2">
        <v>728</v>
      </c>
      <c r="C180" s="2" t="s">
        <v>31</v>
      </c>
      <c r="D180" s="5">
        <v>44309</v>
      </c>
      <c r="E180" s="10">
        <v>0.77777777777777779</v>
      </c>
      <c r="F180" s="1" t="s">
        <v>581</v>
      </c>
      <c r="G180" s="5">
        <v>38988</v>
      </c>
      <c r="H180" s="2" t="str">
        <f t="shared" si="7"/>
        <v>14 г. 6 мес. 26 дн.</v>
      </c>
      <c r="I180" s="2" t="s">
        <v>28</v>
      </c>
      <c r="J180" s="2" t="s">
        <v>31</v>
      </c>
      <c r="K180" s="1" t="s">
        <v>583</v>
      </c>
      <c r="L180" s="1" t="s">
        <v>488</v>
      </c>
      <c r="M180" s="2" t="s">
        <v>60</v>
      </c>
      <c r="N180" s="1">
        <v>0</v>
      </c>
      <c r="O180" s="2" t="s">
        <v>87</v>
      </c>
      <c r="P180" s="2" t="s">
        <v>31</v>
      </c>
      <c r="Q180" s="5">
        <v>44310</v>
      </c>
      <c r="R180" s="6"/>
    </row>
    <row r="181" spans="1:18" ht="38.25" x14ac:dyDescent="0.25">
      <c r="A181" s="2">
        <f t="shared" si="8"/>
        <v>180</v>
      </c>
      <c r="B181" s="2">
        <v>729</v>
      </c>
      <c r="C181" s="2" t="s">
        <v>31</v>
      </c>
      <c r="D181" s="4">
        <v>44309</v>
      </c>
      <c r="E181" s="10">
        <v>0.77777777777777779</v>
      </c>
      <c r="F181" s="1" t="s">
        <v>582</v>
      </c>
      <c r="G181" s="5">
        <v>42686</v>
      </c>
      <c r="H181" s="2" t="str">
        <f t="shared" si="7"/>
        <v>4 г. 5 мес. 11 дн.</v>
      </c>
      <c r="I181" s="2" t="s">
        <v>28</v>
      </c>
      <c r="J181" s="2" t="s">
        <v>31</v>
      </c>
      <c r="K181" s="1" t="s">
        <v>584</v>
      </c>
      <c r="L181" s="1" t="s">
        <v>595</v>
      </c>
      <c r="M181" s="2" t="s">
        <v>62</v>
      </c>
      <c r="N181" s="1">
        <v>0</v>
      </c>
      <c r="O181" s="2" t="s">
        <v>82</v>
      </c>
      <c r="P181" s="2" t="s">
        <v>31</v>
      </c>
      <c r="Q181" s="5">
        <v>44310</v>
      </c>
      <c r="R181" s="6"/>
    </row>
    <row r="182" spans="1:18" ht="38.25" x14ac:dyDescent="0.25">
      <c r="A182" s="2">
        <f t="shared" si="8"/>
        <v>181</v>
      </c>
      <c r="B182" s="2">
        <v>730</v>
      </c>
      <c r="C182" s="2" t="s">
        <v>31</v>
      </c>
      <c r="D182" s="5">
        <v>44309</v>
      </c>
      <c r="E182" s="10">
        <v>0.78125</v>
      </c>
      <c r="F182" s="1" t="s">
        <v>585</v>
      </c>
      <c r="G182" s="5">
        <v>41627</v>
      </c>
      <c r="H182" s="2" t="str">
        <f t="shared" si="7"/>
        <v>7 г. 4 мес. 4 дн.</v>
      </c>
      <c r="I182" s="2" t="s">
        <v>25</v>
      </c>
      <c r="J182" s="2" t="s">
        <v>31</v>
      </c>
      <c r="K182" s="1" t="s">
        <v>586</v>
      </c>
      <c r="L182" s="1" t="s">
        <v>445</v>
      </c>
      <c r="M182" s="2" t="s">
        <v>62</v>
      </c>
      <c r="N182" s="1">
        <v>0</v>
      </c>
      <c r="O182" s="2" t="s">
        <v>82</v>
      </c>
      <c r="P182" s="2" t="s">
        <v>31</v>
      </c>
      <c r="Q182" s="5">
        <v>44310</v>
      </c>
      <c r="R182" s="6"/>
    </row>
    <row r="183" spans="1:18" ht="38.25" x14ac:dyDescent="0.25">
      <c r="A183" s="2">
        <f t="shared" si="8"/>
        <v>182</v>
      </c>
      <c r="B183" s="2">
        <v>732</v>
      </c>
      <c r="C183" s="2" t="s">
        <v>31</v>
      </c>
      <c r="D183" s="5">
        <v>44309</v>
      </c>
      <c r="E183" s="10">
        <v>0.93402777777777779</v>
      </c>
      <c r="F183" s="1" t="s">
        <v>587</v>
      </c>
      <c r="G183" s="5">
        <v>43124</v>
      </c>
      <c r="H183" s="2" t="str">
        <f t="shared" si="7"/>
        <v>3 г. 2 мес. 30 дн.</v>
      </c>
      <c r="I183" s="2" t="s">
        <v>100</v>
      </c>
      <c r="J183" s="2" t="s">
        <v>31</v>
      </c>
      <c r="K183" s="1" t="s">
        <v>588</v>
      </c>
      <c r="L183" s="1" t="s">
        <v>589</v>
      </c>
      <c r="M183" s="2" t="s">
        <v>62</v>
      </c>
      <c r="N183" s="1">
        <v>0</v>
      </c>
      <c r="O183" s="2" t="s">
        <v>82</v>
      </c>
      <c r="P183" s="2" t="s">
        <v>31</v>
      </c>
      <c r="Q183" s="5">
        <v>44310</v>
      </c>
      <c r="R183" s="6"/>
    </row>
    <row r="184" spans="1:18" ht="63.75" x14ac:dyDescent="0.25">
      <c r="A184" s="2">
        <f t="shared" si="8"/>
        <v>183</v>
      </c>
      <c r="B184" s="2">
        <v>238</v>
      </c>
      <c r="C184" s="2" t="s">
        <v>36</v>
      </c>
      <c r="D184" s="5">
        <v>44311</v>
      </c>
      <c r="E184" s="10">
        <v>0.39583333333333331</v>
      </c>
      <c r="F184" s="1" t="s">
        <v>590</v>
      </c>
      <c r="G184" s="5">
        <v>43658</v>
      </c>
      <c r="H184" s="2" t="str">
        <f t="shared" si="7"/>
        <v>1 г. 9 мес. 13 дн.</v>
      </c>
      <c r="I184" s="2" t="s">
        <v>25</v>
      </c>
      <c r="J184" s="2" t="s">
        <v>36</v>
      </c>
      <c r="K184" s="1" t="s">
        <v>591</v>
      </c>
      <c r="L184" s="1" t="s">
        <v>242</v>
      </c>
      <c r="M184" s="2" t="s">
        <v>54</v>
      </c>
      <c r="N184" s="1">
        <v>0</v>
      </c>
      <c r="O184" s="2" t="s">
        <v>87</v>
      </c>
      <c r="P184" s="2" t="s">
        <v>39</v>
      </c>
      <c r="Q184" s="5">
        <v>44312</v>
      </c>
      <c r="R184" s="6"/>
    </row>
    <row r="185" spans="1:18" ht="25.5" x14ac:dyDescent="0.25">
      <c r="A185" s="2">
        <f t="shared" si="8"/>
        <v>184</v>
      </c>
      <c r="B185" s="2">
        <v>239</v>
      </c>
      <c r="C185" s="2" t="s">
        <v>36</v>
      </c>
      <c r="D185" s="5">
        <v>44311</v>
      </c>
      <c r="E185" s="10">
        <v>0.94444444444444453</v>
      </c>
      <c r="F185" s="1" t="s">
        <v>523</v>
      </c>
      <c r="G185" s="5">
        <v>44233</v>
      </c>
      <c r="H185" s="2" t="str">
        <f t="shared" si="7"/>
        <v>0 г. 2 мес. 19 дн.</v>
      </c>
      <c r="I185" s="2" t="s">
        <v>30</v>
      </c>
      <c r="J185" s="2" t="s">
        <v>36</v>
      </c>
      <c r="K185" s="1" t="s">
        <v>594</v>
      </c>
      <c r="L185" s="1" t="s">
        <v>592</v>
      </c>
      <c r="M185" s="2" t="s">
        <v>60</v>
      </c>
      <c r="N185" s="1">
        <v>0</v>
      </c>
      <c r="O185" s="2" t="s">
        <v>87</v>
      </c>
      <c r="P185" s="2" t="s">
        <v>36</v>
      </c>
      <c r="Q185" s="5">
        <v>44316</v>
      </c>
      <c r="R185" s="6"/>
    </row>
    <row r="186" spans="1:18" ht="63.75" x14ac:dyDescent="0.25">
      <c r="A186" s="2">
        <f t="shared" si="8"/>
        <v>185</v>
      </c>
      <c r="B186" s="2">
        <v>756</v>
      </c>
      <c r="C186" s="2" t="s">
        <v>31</v>
      </c>
      <c r="D186" s="5">
        <v>44313</v>
      </c>
      <c r="E186" s="10">
        <v>0.67013888888888884</v>
      </c>
      <c r="F186" s="1" t="s">
        <v>590</v>
      </c>
      <c r="G186" s="5">
        <v>43658</v>
      </c>
      <c r="H186" s="2" t="str">
        <f t="shared" ref="H186:H188" si="10">DATEDIF(G186,D186,"y") &amp; " г. " &amp; DATEDIF(G186,D186,"ym") &amp; " мес. " &amp; DATEDIF(G186,D186,"md") &amp; " дн."</f>
        <v>1 г. 9 мес. 15 дн.</v>
      </c>
      <c r="I186" s="2" t="s">
        <v>28</v>
      </c>
      <c r="J186" s="2" t="s">
        <v>31</v>
      </c>
      <c r="K186" s="1" t="s">
        <v>591</v>
      </c>
      <c r="L186" s="1" t="s">
        <v>593</v>
      </c>
      <c r="M186" s="2" t="s">
        <v>54</v>
      </c>
      <c r="N186" s="1">
        <v>0</v>
      </c>
      <c r="O186" s="2" t="s">
        <v>87</v>
      </c>
      <c r="P186" s="2" t="s">
        <v>39</v>
      </c>
      <c r="Q186" s="5">
        <v>44315</v>
      </c>
      <c r="R186" s="6"/>
    </row>
    <row r="187" spans="1:18" ht="38.25" x14ac:dyDescent="0.25">
      <c r="A187" s="2">
        <f t="shared" si="8"/>
        <v>186</v>
      </c>
      <c r="B187" s="2">
        <v>171</v>
      </c>
      <c r="C187" s="2" t="s">
        <v>38</v>
      </c>
      <c r="D187" s="5">
        <v>44314</v>
      </c>
      <c r="E187" s="10">
        <v>0.83333333333333337</v>
      </c>
      <c r="F187" s="1" t="s">
        <v>541</v>
      </c>
      <c r="G187" s="5">
        <v>39687</v>
      </c>
      <c r="H187" s="2" t="str">
        <f t="shared" si="10"/>
        <v>12 г. 8 мес. 1 дн.</v>
      </c>
      <c r="I187" s="2" t="s">
        <v>27</v>
      </c>
      <c r="J187" s="1" t="s">
        <v>38</v>
      </c>
      <c r="K187" s="1" t="s">
        <v>542</v>
      </c>
      <c r="L187" s="1" t="s">
        <v>600</v>
      </c>
      <c r="M187" s="2" t="s">
        <v>57</v>
      </c>
      <c r="N187" s="1">
        <v>0</v>
      </c>
      <c r="O187" s="2" t="s">
        <v>82</v>
      </c>
      <c r="P187" s="2" t="s">
        <v>38</v>
      </c>
      <c r="Q187" s="5">
        <v>44284</v>
      </c>
      <c r="R187" s="6"/>
    </row>
    <row r="188" spans="1:18" ht="38.25" x14ac:dyDescent="0.25">
      <c r="A188" s="2">
        <f t="shared" si="8"/>
        <v>187</v>
      </c>
      <c r="B188" s="2">
        <v>172</v>
      </c>
      <c r="C188" s="1" t="s">
        <v>38</v>
      </c>
      <c r="D188" s="5">
        <v>44314</v>
      </c>
      <c r="E188" s="10">
        <v>0.83333333333333337</v>
      </c>
      <c r="F188" s="1" t="s">
        <v>543</v>
      </c>
      <c r="G188" s="5">
        <v>41762</v>
      </c>
      <c r="H188" s="2" t="str">
        <f t="shared" si="10"/>
        <v>6 г. 11 мес. 25 дн.</v>
      </c>
      <c r="I188" s="2" t="s">
        <v>27</v>
      </c>
      <c r="J188" s="1" t="s">
        <v>38</v>
      </c>
      <c r="K188" s="1" t="s">
        <v>544</v>
      </c>
      <c r="L188" s="1" t="s">
        <v>600</v>
      </c>
      <c r="M188" s="2" t="s">
        <v>57</v>
      </c>
      <c r="N188" s="1">
        <v>0</v>
      </c>
      <c r="O188" s="2" t="s">
        <v>82</v>
      </c>
      <c r="P188" s="2" t="s">
        <v>38</v>
      </c>
      <c r="Q188" s="5">
        <v>44284</v>
      </c>
      <c r="R188" s="6"/>
    </row>
    <row r="189" spans="1:18" ht="38.25" x14ac:dyDescent="0.25">
      <c r="A189" s="2">
        <f t="shared" si="8"/>
        <v>188</v>
      </c>
      <c r="B189" s="2">
        <v>774</v>
      </c>
      <c r="C189" s="2" t="s">
        <v>31</v>
      </c>
      <c r="D189" s="5">
        <v>44315</v>
      </c>
      <c r="E189" s="10">
        <v>0.78472222222222221</v>
      </c>
      <c r="F189" s="1" t="s">
        <v>601</v>
      </c>
      <c r="G189" s="5">
        <v>40373</v>
      </c>
      <c r="H189" s="2" t="str">
        <f t="shared" si="7"/>
        <v>10 г. 9 мес. 15 дн.</v>
      </c>
      <c r="I189" s="2" t="s">
        <v>28</v>
      </c>
      <c r="J189" s="2" t="s">
        <v>31</v>
      </c>
      <c r="K189" s="1" t="s">
        <v>602</v>
      </c>
      <c r="L189" s="1" t="s">
        <v>607</v>
      </c>
      <c r="M189" s="2" t="s">
        <v>63</v>
      </c>
      <c r="N189" s="1">
        <v>0</v>
      </c>
      <c r="O189" s="2" t="s">
        <v>82</v>
      </c>
      <c r="P189" s="2" t="s">
        <v>31</v>
      </c>
      <c r="Q189" s="5">
        <v>44316</v>
      </c>
      <c r="R189" s="6"/>
    </row>
    <row r="190" spans="1:18" ht="25.5" x14ac:dyDescent="0.25">
      <c r="A190" s="2">
        <f t="shared" si="8"/>
        <v>189</v>
      </c>
      <c r="B190" s="2">
        <v>773</v>
      </c>
      <c r="C190" s="2" t="s">
        <v>31</v>
      </c>
      <c r="D190" s="5">
        <v>44315</v>
      </c>
      <c r="E190" s="10">
        <v>0.84027777777777779</v>
      </c>
      <c r="F190" s="1" t="s">
        <v>603</v>
      </c>
      <c r="G190" s="5">
        <v>38422</v>
      </c>
      <c r="H190" s="2" t="str">
        <f t="shared" si="7"/>
        <v>16 г. 1 мес. 18 дн.</v>
      </c>
      <c r="I190" s="2" t="s">
        <v>26</v>
      </c>
      <c r="J190" s="2" t="s">
        <v>31</v>
      </c>
      <c r="K190" s="1" t="s">
        <v>604</v>
      </c>
      <c r="L190" s="1" t="s">
        <v>608</v>
      </c>
      <c r="M190" s="2" t="s">
        <v>60</v>
      </c>
      <c r="N190" s="1">
        <v>0</v>
      </c>
      <c r="O190" s="2" t="s">
        <v>87</v>
      </c>
      <c r="P190" s="2" t="s">
        <v>31</v>
      </c>
      <c r="Q190" s="5">
        <v>44321</v>
      </c>
      <c r="R190" s="6"/>
    </row>
    <row r="191" spans="1:18" ht="38.25" x14ac:dyDescent="0.25">
      <c r="A191" s="2">
        <f t="shared" si="8"/>
        <v>190</v>
      </c>
      <c r="B191" s="2">
        <v>195</v>
      </c>
      <c r="C191" s="2" t="s">
        <v>38</v>
      </c>
      <c r="D191" s="5">
        <v>44316</v>
      </c>
      <c r="E191" s="10">
        <v>9.0277777777777776E-2</v>
      </c>
      <c r="F191" s="1" t="s">
        <v>605</v>
      </c>
      <c r="G191" s="5">
        <v>42037</v>
      </c>
      <c r="H191" s="2" t="str">
        <f t="shared" si="7"/>
        <v>6 г. 2 мес. 28 дн.</v>
      </c>
      <c r="I191" s="2" t="s">
        <v>25</v>
      </c>
      <c r="J191" s="2" t="s">
        <v>38</v>
      </c>
      <c r="K191" s="1" t="s">
        <v>606</v>
      </c>
      <c r="L191" s="1" t="s">
        <v>110</v>
      </c>
      <c r="M191" s="2" t="s">
        <v>57</v>
      </c>
      <c r="N191" s="1">
        <v>0</v>
      </c>
      <c r="O191" s="2" t="s">
        <v>82</v>
      </c>
      <c r="P191" s="2" t="s">
        <v>38</v>
      </c>
      <c r="Q191" s="5">
        <v>44317</v>
      </c>
      <c r="R191" s="6"/>
    </row>
    <row r="192" spans="1:18" ht="38.25" x14ac:dyDescent="0.25">
      <c r="A192" s="2">
        <f t="shared" si="8"/>
        <v>191</v>
      </c>
      <c r="B192" s="2">
        <v>767</v>
      </c>
      <c r="C192" s="2" t="s">
        <v>38</v>
      </c>
      <c r="D192" s="5">
        <v>44315</v>
      </c>
      <c r="E192" s="10">
        <v>0.66666666666666663</v>
      </c>
      <c r="F192" s="1" t="s">
        <v>609</v>
      </c>
      <c r="G192" s="5">
        <v>43438</v>
      </c>
      <c r="H192" s="2" t="str">
        <f t="shared" si="7"/>
        <v>2 г. 4 мес. 25 дн.</v>
      </c>
      <c r="I192" s="2" t="s">
        <v>27</v>
      </c>
      <c r="J192" s="2" t="s">
        <v>38</v>
      </c>
      <c r="K192" s="1" t="s">
        <v>610</v>
      </c>
      <c r="L192" s="1" t="s">
        <v>611</v>
      </c>
      <c r="M192" s="2" t="s">
        <v>57</v>
      </c>
      <c r="N192" s="1">
        <v>0</v>
      </c>
      <c r="O192" s="2" t="s">
        <v>82</v>
      </c>
      <c r="P192" s="2" t="s">
        <v>38</v>
      </c>
      <c r="Q192" s="5">
        <v>44316</v>
      </c>
      <c r="R192" s="12">
        <v>0.54166666666666663</v>
      </c>
    </row>
    <row r="193" spans="1:18" ht="63.75" x14ac:dyDescent="0.25">
      <c r="A193" s="2">
        <f t="shared" si="8"/>
        <v>192</v>
      </c>
      <c r="B193" s="2">
        <v>246</v>
      </c>
      <c r="C193" s="2" t="s">
        <v>36</v>
      </c>
      <c r="D193" s="5">
        <v>44319</v>
      </c>
      <c r="E193" s="10">
        <v>0.52430555555555558</v>
      </c>
      <c r="F193" s="1" t="s">
        <v>612</v>
      </c>
      <c r="G193" s="5">
        <v>38537</v>
      </c>
      <c r="H193" s="2" t="str">
        <f>DATEDIF(G193,D193,"y") &amp; " г. " &amp; DATEDIF(G193,D193,"ym") &amp; " мес. " &amp; DATEDIF(G193,D193,"md") &amp; " дн."</f>
        <v>15 г. 9 мес. 29 дн.</v>
      </c>
      <c r="I193" s="2" t="s">
        <v>25</v>
      </c>
      <c r="J193" s="2" t="s">
        <v>36</v>
      </c>
      <c r="K193" s="1" t="s">
        <v>613</v>
      </c>
      <c r="L193" s="1" t="s">
        <v>190</v>
      </c>
      <c r="M193" s="2" t="s">
        <v>54</v>
      </c>
      <c r="N193" s="1">
        <v>0</v>
      </c>
      <c r="O193" s="2" t="s">
        <v>82</v>
      </c>
      <c r="P193" s="2" t="s">
        <v>36</v>
      </c>
      <c r="Q193" s="5">
        <v>44321</v>
      </c>
      <c r="R193" s="6"/>
    </row>
    <row r="194" spans="1:18" ht="63.75" x14ac:dyDescent="0.25">
      <c r="A194" s="2">
        <f t="shared" si="8"/>
        <v>193</v>
      </c>
      <c r="B194" s="2">
        <v>782</v>
      </c>
      <c r="C194" s="2" t="s">
        <v>31</v>
      </c>
      <c r="D194" s="5">
        <v>44317</v>
      </c>
      <c r="E194" s="10">
        <v>0.5625</v>
      </c>
      <c r="F194" s="1" t="s">
        <v>614</v>
      </c>
      <c r="G194" s="5">
        <v>44063</v>
      </c>
      <c r="H194" s="2" t="str">
        <f t="shared" si="7"/>
        <v>0 г. 8 мес. 11 дн.</v>
      </c>
      <c r="I194" s="2" t="s">
        <v>25</v>
      </c>
      <c r="J194" s="2" t="s">
        <v>31</v>
      </c>
      <c r="K194" s="1" t="s">
        <v>615</v>
      </c>
      <c r="L194" s="1" t="s">
        <v>635</v>
      </c>
      <c r="M194" s="2" t="s">
        <v>65</v>
      </c>
      <c r="N194" s="1">
        <v>0</v>
      </c>
      <c r="O194" s="2" t="s">
        <v>87</v>
      </c>
      <c r="P194" s="2" t="s">
        <v>31</v>
      </c>
      <c r="Q194" s="5">
        <v>44319</v>
      </c>
      <c r="R194" s="6"/>
    </row>
    <row r="195" spans="1:18" ht="38.25" x14ac:dyDescent="0.25">
      <c r="A195" s="2">
        <f t="shared" si="8"/>
        <v>194</v>
      </c>
      <c r="B195" s="2">
        <v>426</v>
      </c>
      <c r="C195" s="2" t="s">
        <v>33</v>
      </c>
      <c r="D195" s="5">
        <v>44320</v>
      </c>
      <c r="E195" s="10">
        <v>0.63888888888888895</v>
      </c>
      <c r="F195" s="1" t="s">
        <v>619</v>
      </c>
      <c r="G195" s="4">
        <v>41906</v>
      </c>
      <c r="H195" s="2" t="str">
        <f t="shared" si="7"/>
        <v>6 г. 7 мес. 10 дн.</v>
      </c>
      <c r="I195" s="2" t="s">
        <v>25</v>
      </c>
      <c r="J195" s="2" t="s">
        <v>33</v>
      </c>
      <c r="K195" s="1" t="s">
        <v>716</v>
      </c>
      <c r="L195" s="1" t="s">
        <v>104</v>
      </c>
      <c r="M195" s="2" t="s">
        <v>63</v>
      </c>
      <c r="N195" s="1">
        <v>0</v>
      </c>
      <c r="O195" s="1" t="s">
        <v>87</v>
      </c>
      <c r="P195" s="2" t="s">
        <v>33</v>
      </c>
      <c r="Q195" s="5">
        <v>44322</v>
      </c>
      <c r="R195" s="6"/>
    </row>
    <row r="196" spans="1:18" ht="25.5" x14ac:dyDescent="0.25">
      <c r="A196" s="2">
        <f t="shared" si="8"/>
        <v>195</v>
      </c>
      <c r="B196" s="2">
        <v>241</v>
      </c>
      <c r="C196" s="2" t="s">
        <v>35</v>
      </c>
      <c r="D196" s="5">
        <v>44322</v>
      </c>
      <c r="E196" s="10">
        <v>0.41666666666666669</v>
      </c>
      <c r="F196" s="1" t="s">
        <v>620</v>
      </c>
      <c r="G196" s="5">
        <v>44302</v>
      </c>
      <c r="H196" s="2" t="str">
        <f t="shared" ref="H196:H259" si="11">DATEDIF(G196,D196,"y") &amp; " г. " &amp; DATEDIF(G196,D196,"ym") &amp; " мес. " &amp; DATEDIF(G196,D196,"md") &amp; " дн."</f>
        <v>0 г. 0 мес. 20 дн.</v>
      </c>
      <c r="I196" s="2" t="s">
        <v>27</v>
      </c>
      <c r="J196" s="2" t="s">
        <v>35</v>
      </c>
      <c r="K196" s="1" t="s">
        <v>621</v>
      </c>
      <c r="L196" s="1" t="s">
        <v>95</v>
      </c>
      <c r="M196" s="2" t="s">
        <v>58</v>
      </c>
      <c r="N196" s="1">
        <v>0</v>
      </c>
      <c r="O196" s="2" t="s">
        <v>82</v>
      </c>
      <c r="P196" s="2" t="s">
        <v>35</v>
      </c>
      <c r="Q196" s="5">
        <v>44323</v>
      </c>
      <c r="R196" s="6"/>
    </row>
    <row r="197" spans="1:18" ht="25.5" x14ac:dyDescent="0.25">
      <c r="A197" s="2">
        <f t="shared" si="8"/>
        <v>196</v>
      </c>
      <c r="B197" s="2"/>
      <c r="C197" s="2" t="s">
        <v>36</v>
      </c>
      <c r="D197" s="5">
        <v>44321</v>
      </c>
      <c r="E197" s="2"/>
      <c r="F197" s="41" t="s">
        <v>622</v>
      </c>
      <c r="G197" s="42">
        <v>39052</v>
      </c>
      <c r="H197" s="2" t="str">
        <f t="shared" si="11"/>
        <v>14 г. 5 мес. 4 дн.</v>
      </c>
      <c r="I197" s="2" t="s">
        <v>25</v>
      </c>
      <c r="J197" s="2" t="s">
        <v>36</v>
      </c>
      <c r="K197" s="1" t="s">
        <v>623</v>
      </c>
      <c r="L197" s="1" t="s">
        <v>634</v>
      </c>
      <c r="M197" s="2" t="s">
        <v>66</v>
      </c>
      <c r="N197" s="1">
        <v>0</v>
      </c>
      <c r="O197" s="2" t="s">
        <v>82</v>
      </c>
      <c r="P197" s="2" t="s">
        <v>36</v>
      </c>
      <c r="Q197" s="5">
        <v>44322</v>
      </c>
      <c r="R197" s="6"/>
    </row>
    <row r="198" spans="1:18" ht="30.75" customHeight="1" x14ac:dyDescent="0.25">
      <c r="A198" s="2">
        <f t="shared" si="8"/>
        <v>197</v>
      </c>
      <c r="B198" s="2">
        <v>434</v>
      </c>
      <c r="C198" s="2" t="s">
        <v>33</v>
      </c>
      <c r="D198" s="5">
        <v>44326</v>
      </c>
      <c r="E198" s="10">
        <v>0.71527777777777779</v>
      </c>
      <c r="F198" s="1" t="s">
        <v>618</v>
      </c>
      <c r="G198" s="5">
        <v>44326</v>
      </c>
      <c r="H198" s="2" t="str">
        <f t="shared" si="11"/>
        <v>0 г. 0 мес. 0 дн.</v>
      </c>
      <c r="I198" s="2" t="s">
        <v>25</v>
      </c>
      <c r="J198" s="2" t="s">
        <v>33</v>
      </c>
      <c r="K198" s="1" t="s">
        <v>616</v>
      </c>
      <c r="L198" s="1" t="s">
        <v>617</v>
      </c>
      <c r="M198" s="2" t="s">
        <v>63</v>
      </c>
      <c r="N198" s="1">
        <v>0</v>
      </c>
      <c r="O198" s="2" t="s">
        <v>87</v>
      </c>
      <c r="P198" s="2" t="s">
        <v>33</v>
      </c>
      <c r="Q198" s="5">
        <v>44332</v>
      </c>
      <c r="R198" s="6"/>
    </row>
    <row r="199" spans="1:18" ht="25.5" x14ac:dyDescent="0.25">
      <c r="A199" s="2">
        <f t="shared" si="8"/>
        <v>198</v>
      </c>
      <c r="B199" s="2">
        <v>253</v>
      </c>
      <c r="C199" s="2" t="s">
        <v>36</v>
      </c>
      <c r="D199" s="5">
        <v>44323</v>
      </c>
      <c r="E199" s="10">
        <v>2.7777777777777776E-2</v>
      </c>
      <c r="F199" s="1" t="s">
        <v>624</v>
      </c>
      <c r="G199" s="5">
        <v>43489</v>
      </c>
      <c r="H199" s="2" t="str">
        <f t="shared" si="11"/>
        <v>2 г. 3 мес. 13 дн.</v>
      </c>
      <c r="I199" s="2" t="s">
        <v>25</v>
      </c>
      <c r="J199" s="2" t="s">
        <v>36</v>
      </c>
      <c r="K199" s="1" t="s">
        <v>715</v>
      </c>
      <c r="L199" s="1" t="s">
        <v>633</v>
      </c>
      <c r="M199" s="2" t="s">
        <v>59</v>
      </c>
      <c r="N199" s="1">
        <v>0</v>
      </c>
      <c r="O199" s="1" t="s">
        <v>87</v>
      </c>
      <c r="P199" s="2" t="s">
        <v>36</v>
      </c>
      <c r="Q199" s="5">
        <v>44328</v>
      </c>
      <c r="R199" s="6"/>
    </row>
    <row r="200" spans="1:18" ht="38.25" x14ac:dyDescent="0.25">
      <c r="A200" s="2">
        <f t="shared" si="8"/>
        <v>199</v>
      </c>
      <c r="B200" s="2">
        <v>811</v>
      </c>
      <c r="C200" s="2" t="s">
        <v>31</v>
      </c>
      <c r="D200" s="5">
        <v>44324</v>
      </c>
      <c r="E200" s="10">
        <v>0.55208333333333337</v>
      </c>
      <c r="F200" s="1" t="s">
        <v>625</v>
      </c>
      <c r="G200" s="5">
        <v>43716</v>
      </c>
      <c r="H200" s="2" t="str">
        <f t="shared" si="11"/>
        <v>1 г. 8 мес. 0 дн.</v>
      </c>
      <c r="I200" s="2" t="s">
        <v>25</v>
      </c>
      <c r="J200" s="2" t="s">
        <v>31</v>
      </c>
      <c r="K200" s="1" t="s">
        <v>626</v>
      </c>
      <c r="L200" s="1" t="s">
        <v>627</v>
      </c>
      <c r="M200" s="2" t="s">
        <v>63</v>
      </c>
      <c r="N200" s="1">
        <v>0</v>
      </c>
      <c r="O200" s="2" t="s">
        <v>87</v>
      </c>
      <c r="P200" s="2" t="s">
        <v>31</v>
      </c>
      <c r="Q200" s="5">
        <v>44332</v>
      </c>
      <c r="R200" s="6"/>
    </row>
    <row r="201" spans="1:18" ht="38.25" x14ac:dyDescent="0.25">
      <c r="A201" s="2">
        <f t="shared" si="8"/>
        <v>200</v>
      </c>
      <c r="B201" s="2">
        <v>822</v>
      </c>
      <c r="C201" s="2" t="s">
        <v>31</v>
      </c>
      <c r="D201" s="5">
        <v>44326</v>
      </c>
      <c r="E201" s="10">
        <v>0.54513888888888895</v>
      </c>
      <c r="F201" s="1" t="s">
        <v>628</v>
      </c>
      <c r="G201" s="5">
        <v>39268</v>
      </c>
      <c r="H201" s="2" t="str">
        <f t="shared" si="11"/>
        <v>13 г. 10 мес. 5 дн.</v>
      </c>
      <c r="I201" s="2" t="s">
        <v>26</v>
      </c>
      <c r="J201" s="2" t="s">
        <v>31</v>
      </c>
      <c r="K201" s="1" t="s">
        <v>629</v>
      </c>
      <c r="L201" s="1" t="s">
        <v>630</v>
      </c>
      <c r="M201" s="2" t="s">
        <v>61</v>
      </c>
      <c r="N201" s="1">
        <v>0</v>
      </c>
      <c r="O201" s="2" t="s">
        <v>82</v>
      </c>
      <c r="P201" s="2" t="s">
        <v>31</v>
      </c>
      <c r="Q201" s="5">
        <v>44328</v>
      </c>
      <c r="R201" s="6"/>
    </row>
    <row r="202" spans="1:18" ht="38.25" x14ac:dyDescent="0.25">
      <c r="A202" s="2">
        <f t="shared" si="8"/>
        <v>201</v>
      </c>
      <c r="B202" s="2"/>
      <c r="C202" s="2" t="s">
        <v>32</v>
      </c>
      <c r="D202" s="5">
        <v>44323</v>
      </c>
      <c r="E202" s="2"/>
      <c r="F202" s="1" t="s">
        <v>631</v>
      </c>
      <c r="G202" s="2"/>
      <c r="H202" s="2" t="str">
        <f t="shared" si="11"/>
        <v>121 г. 4 мес. 7 дн.</v>
      </c>
      <c r="I202" s="2" t="s">
        <v>25</v>
      </c>
      <c r="J202" s="2" t="s">
        <v>32</v>
      </c>
      <c r="K202" s="1" t="s">
        <v>112</v>
      </c>
      <c r="L202" s="1" t="s">
        <v>632</v>
      </c>
      <c r="M202" s="2" t="s">
        <v>62</v>
      </c>
      <c r="N202" s="1">
        <v>0</v>
      </c>
      <c r="O202" s="2" t="s">
        <v>82</v>
      </c>
      <c r="P202" s="2" t="s">
        <v>32</v>
      </c>
      <c r="Q202" s="5">
        <v>44324</v>
      </c>
      <c r="R202" s="6"/>
    </row>
    <row r="203" spans="1:18" ht="51" x14ac:dyDescent="0.25">
      <c r="A203" s="2">
        <f t="shared" si="8"/>
        <v>202</v>
      </c>
      <c r="B203" s="2">
        <v>424</v>
      </c>
      <c r="C203" s="1" t="s">
        <v>33</v>
      </c>
      <c r="D203" s="5">
        <v>44318</v>
      </c>
      <c r="E203" s="10">
        <v>0.95833333333333337</v>
      </c>
      <c r="F203" s="1" t="s">
        <v>636</v>
      </c>
      <c r="G203" s="5">
        <v>42340</v>
      </c>
      <c r="H203" s="2" t="str">
        <f t="shared" si="11"/>
        <v>5 г. 5 мес. 0 дн.</v>
      </c>
      <c r="I203" s="1" t="s">
        <v>26</v>
      </c>
      <c r="J203" s="1" t="s">
        <v>33</v>
      </c>
      <c r="K203" s="1" t="s">
        <v>637</v>
      </c>
      <c r="L203" s="1" t="s">
        <v>638</v>
      </c>
      <c r="M203" s="2" t="s">
        <v>62</v>
      </c>
      <c r="N203" s="1">
        <v>0</v>
      </c>
      <c r="O203" s="1" t="s">
        <v>82</v>
      </c>
      <c r="P203" s="1" t="s">
        <v>33</v>
      </c>
      <c r="Q203" s="5">
        <v>44322</v>
      </c>
      <c r="R203" s="6"/>
    </row>
    <row r="204" spans="1:18" ht="114.75" x14ac:dyDescent="0.25">
      <c r="A204" s="2">
        <f t="shared" si="8"/>
        <v>203</v>
      </c>
      <c r="B204" s="2">
        <v>446</v>
      </c>
      <c r="C204" s="2" t="s">
        <v>33</v>
      </c>
      <c r="D204" s="5">
        <v>44328</v>
      </c>
      <c r="E204" s="10">
        <v>0.67013888888888884</v>
      </c>
      <c r="F204" s="1" t="s">
        <v>639</v>
      </c>
      <c r="G204" s="4">
        <v>41561</v>
      </c>
      <c r="H204" s="2" t="str">
        <f t="shared" si="11"/>
        <v>7 г. 6 мес. 28 дн.</v>
      </c>
      <c r="I204" s="2" t="s">
        <v>26</v>
      </c>
      <c r="J204" s="2" t="s">
        <v>33</v>
      </c>
      <c r="K204" s="1" t="s">
        <v>644</v>
      </c>
      <c r="L204" s="1" t="s">
        <v>640</v>
      </c>
      <c r="M204" s="2" t="s">
        <v>62</v>
      </c>
      <c r="N204" s="1">
        <v>0</v>
      </c>
      <c r="O204" s="2" t="s">
        <v>82</v>
      </c>
      <c r="P204" s="2" t="s">
        <v>33</v>
      </c>
      <c r="Q204" s="5">
        <v>44329</v>
      </c>
      <c r="R204" s="6"/>
    </row>
    <row r="205" spans="1:18" ht="38.25" x14ac:dyDescent="0.25">
      <c r="A205" s="2">
        <f t="shared" si="8"/>
        <v>204</v>
      </c>
      <c r="B205" s="2">
        <v>441</v>
      </c>
      <c r="C205" s="2" t="s">
        <v>37</v>
      </c>
      <c r="D205" s="5">
        <v>44328</v>
      </c>
      <c r="E205" s="10">
        <v>0.99305555555555547</v>
      </c>
      <c r="F205" s="1" t="s">
        <v>641</v>
      </c>
      <c r="G205" s="5">
        <v>37781</v>
      </c>
      <c r="H205" s="2" t="str">
        <f t="shared" si="11"/>
        <v>17 г. 11 мес. 3 дн.</v>
      </c>
      <c r="I205" s="2" t="s">
        <v>25</v>
      </c>
      <c r="J205" s="2" t="s">
        <v>37</v>
      </c>
      <c r="K205" s="1" t="s">
        <v>643</v>
      </c>
      <c r="L205" s="1" t="s">
        <v>642</v>
      </c>
      <c r="M205" s="2" t="s">
        <v>66</v>
      </c>
      <c r="N205" s="1">
        <v>0</v>
      </c>
      <c r="O205" s="2" t="s">
        <v>82</v>
      </c>
      <c r="P205" s="2" t="s">
        <v>39</v>
      </c>
      <c r="Q205" s="5">
        <v>44329</v>
      </c>
      <c r="R205" s="6"/>
    </row>
    <row r="206" spans="1:18" ht="25.5" x14ac:dyDescent="0.25">
      <c r="A206" s="2">
        <f t="shared" si="8"/>
        <v>205</v>
      </c>
      <c r="B206" s="2">
        <v>857</v>
      </c>
      <c r="C206" s="2" t="s">
        <v>31</v>
      </c>
      <c r="D206" s="5">
        <v>44329</v>
      </c>
      <c r="E206" s="10">
        <v>0.66666666666666663</v>
      </c>
      <c r="F206" s="1" t="s">
        <v>645</v>
      </c>
      <c r="G206" s="5">
        <v>41050</v>
      </c>
      <c r="H206" s="2" t="str">
        <f t="shared" si="11"/>
        <v>8 г. 11 мес. 22 дн.</v>
      </c>
      <c r="I206" s="2" t="s">
        <v>26</v>
      </c>
      <c r="J206" s="2" t="s">
        <v>31</v>
      </c>
      <c r="K206" s="1" t="s">
        <v>646</v>
      </c>
      <c r="L206" s="1" t="s">
        <v>647</v>
      </c>
      <c r="M206" s="2" t="s">
        <v>60</v>
      </c>
      <c r="N206" s="1">
        <v>0</v>
      </c>
      <c r="O206" s="2" t="s">
        <v>82</v>
      </c>
      <c r="P206" s="2" t="s">
        <v>31</v>
      </c>
      <c r="Q206" s="5">
        <v>44330</v>
      </c>
      <c r="R206" s="6"/>
    </row>
    <row r="207" spans="1:18" ht="38.25" x14ac:dyDescent="0.25">
      <c r="A207" s="2">
        <f t="shared" si="8"/>
        <v>206</v>
      </c>
      <c r="B207" s="2">
        <v>196</v>
      </c>
      <c r="C207" s="2" t="s">
        <v>38</v>
      </c>
      <c r="D207" s="5">
        <v>44329</v>
      </c>
      <c r="E207" s="10">
        <v>0.83333333333333337</v>
      </c>
      <c r="F207" s="1" t="s">
        <v>648</v>
      </c>
      <c r="G207" s="5">
        <v>43073</v>
      </c>
      <c r="H207" s="2" t="str">
        <f t="shared" si="11"/>
        <v>3 г. 5 мес. 9 дн.</v>
      </c>
      <c r="I207" s="2" t="s">
        <v>27</v>
      </c>
      <c r="J207" s="2" t="s">
        <v>38</v>
      </c>
      <c r="K207" s="1" t="s">
        <v>649</v>
      </c>
      <c r="L207" s="1" t="s">
        <v>650</v>
      </c>
      <c r="M207" s="2" t="s">
        <v>57</v>
      </c>
      <c r="N207" s="1">
        <v>0</v>
      </c>
      <c r="O207" s="2" t="s">
        <v>82</v>
      </c>
      <c r="P207" s="2" t="s">
        <v>38</v>
      </c>
      <c r="Q207" s="5">
        <v>44330</v>
      </c>
      <c r="R207" s="6"/>
    </row>
    <row r="208" spans="1:18" ht="38.25" x14ac:dyDescent="0.25">
      <c r="A208" s="2">
        <f t="shared" si="8"/>
        <v>207</v>
      </c>
      <c r="B208" s="2">
        <v>810</v>
      </c>
      <c r="C208" s="1" t="s">
        <v>32</v>
      </c>
      <c r="D208" s="5">
        <v>44323</v>
      </c>
      <c r="E208" s="10">
        <v>0.85763888888888884</v>
      </c>
      <c r="F208" s="1" t="s">
        <v>651</v>
      </c>
      <c r="G208" s="5">
        <v>42345</v>
      </c>
      <c r="H208" s="2" t="str">
        <f t="shared" si="11"/>
        <v>5 г. 5 мес. 0 дн.</v>
      </c>
      <c r="I208" s="2" t="s">
        <v>27</v>
      </c>
      <c r="J208" s="1" t="s">
        <v>32</v>
      </c>
      <c r="K208" s="1" t="s">
        <v>652</v>
      </c>
      <c r="L208" s="1" t="s">
        <v>653</v>
      </c>
      <c r="M208" s="2" t="s">
        <v>61</v>
      </c>
      <c r="N208" s="1">
        <v>0</v>
      </c>
      <c r="O208" s="1" t="s">
        <v>82</v>
      </c>
      <c r="P208" s="2" t="s">
        <v>34</v>
      </c>
      <c r="Q208" s="5">
        <v>44334</v>
      </c>
      <c r="R208" s="6"/>
    </row>
    <row r="209" spans="1:18" ht="38.25" x14ac:dyDescent="0.25">
      <c r="A209" s="2">
        <f t="shared" si="8"/>
        <v>208</v>
      </c>
      <c r="B209" s="2">
        <v>863</v>
      </c>
      <c r="C209" s="1" t="s">
        <v>32</v>
      </c>
      <c r="D209" s="5">
        <v>44330</v>
      </c>
      <c r="E209" s="10">
        <v>0.31944444444444448</v>
      </c>
      <c r="F209" s="1" t="s">
        <v>654</v>
      </c>
      <c r="G209" s="5">
        <v>44323</v>
      </c>
      <c r="H209" s="2" t="str">
        <f t="shared" si="11"/>
        <v>0 г. 0 мес. 7 дн.</v>
      </c>
      <c r="I209" s="2" t="s">
        <v>29</v>
      </c>
      <c r="J209" s="1" t="s">
        <v>32</v>
      </c>
      <c r="K209" s="1" t="s">
        <v>655</v>
      </c>
      <c r="L209" s="1" t="s">
        <v>656</v>
      </c>
      <c r="M209" s="2" t="s">
        <v>60</v>
      </c>
      <c r="N209" s="1">
        <v>0</v>
      </c>
      <c r="O209" s="1" t="s">
        <v>82</v>
      </c>
      <c r="P209" s="1" t="s">
        <v>32</v>
      </c>
      <c r="Q209" s="5">
        <v>44332</v>
      </c>
      <c r="R209" s="6"/>
    </row>
    <row r="210" spans="1:18" ht="165.75" x14ac:dyDescent="0.25">
      <c r="A210" s="2">
        <f t="shared" si="8"/>
        <v>209</v>
      </c>
      <c r="B210" s="2">
        <v>434</v>
      </c>
      <c r="C210" s="1" t="s">
        <v>33</v>
      </c>
      <c r="D210" s="5">
        <v>44326</v>
      </c>
      <c r="E210" s="10">
        <v>0.71527777777777779</v>
      </c>
      <c r="F210" s="1" t="s">
        <v>657</v>
      </c>
      <c r="G210" s="5">
        <v>41842</v>
      </c>
      <c r="H210" s="2" t="str">
        <f t="shared" si="11"/>
        <v>6 г. 9 мес. 18 дн.</v>
      </c>
      <c r="I210" s="2" t="s">
        <v>25</v>
      </c>
      <c r="J210" s="1" t="s">
        <v>33</v>
      </c>
      <c r="K210" s="1" t="s">
        <v>658</v>
      </c>
      <c r="L210" s="1" t="s">
        <v>659</v>
      </c>
      <c r="M210" s="2" t="s">
        <v>62</v>
      </c>
      <c r="N210" s="1">
        <v>48</v>
      </c>
      <c r="O210" s="1" t="s">
        <v>87</v>
      </c>
      <c r="P210" s="1" t="s">
        <v>33</v>
      </c>
      <c r="Q210" s="5">
        <v>44332</v>
      </c>
      <c r="R210" s="6"/>
    </row>
    <row r="211" spans="1:18" ht="38.25" x14ac:dyDescent="0.25">
      <c r="A211" s="2">
        <f t="shared" si="8"/>
        <v>210</v>
      </c>
      <c r="B211" s="2">
        <v>203</v>
      </c>
      <c r="C211" s="1" t="s">
        <v>38</v>
      </c>
      <c r="D211" s="5">
        <v>44330</v>
      </c>
      <c r="E211" s="10">
        <v>0.74652777777777779</v>
      </c>
      <c r="F211" s="1" t="s">
        <v>660</v>
      </c>
      <c r="G211" s="5">
        <v>42972</v>
      </c>
      <c r="H211" s="2" t="str">
        <f t="shared" si="11"/>
        <v>3 г. 8 мес. 19 дн.</v>
      </c>
      <c r="I211" s="2" t="s">
        <v>100</v>
      </c>
      <c r="J211" s="2" t="s">
        <v>38</v>
      </c>
      <c r="K211" s="1" t="s">
        <v>661</v>
      </c>
      <c r="L211" s="1" t="s">
        <v>662</v>
      </c>
      <c r="M211" s="2" t="s">
        <v>57</v>
      </c>
      <c r="N211" s="1">
        <v>0</v>
      </c>
      <c r="O211" s="1" t="s">
        <v>82</v>
      </c>
      <c r="P211" s="1" t="s">
        <v>38</v>
      </c>
      <c r="Q211" s="5">
        <v>44332</v>
      </c>
      <c r="R211" s="6"/>
    </row>
    <row r="212" spans="1:18" ht="38.25" x14ac:dyDescent="0.25">
      <c r="A212" s="2">
        <f t="shared" si="8"/>
        <v>211</v>
      </c>
      <c r="B212" s="2">
        <v>461</v>
      </c>
      <c r="C212" s="1" t="s">
        <v>33</v>
      </c>
      <c r="D212" s="5">
        <v>44330</v>
      </c>
      <c r="E212" s="10">
        <v>0.70138888888888884</v>
      </c>
      <c r="F212" s="1" t="s">
        <v>663</v>
      </c>
      <c r="G212" s="5">
        <v>43804</v>
      </c>
      <c r="H212" s="2" t="str">
        <f t="shared" si="11"/>
        <v>1 г. 5 мес. 9 дн.</v>
      </c>
      <c r="I212" s="2" t="s">
        <v>25</v>
      </c>
      <c r="J212" s="1" t="s">
        <v>33</v>
      </c>
      <c r="K212" s="1" t="s">
        <v>664</v>
      </c>
      <c r="L212" s="1" t="s">
        <v>665</v>
      </c>
      <c r="M212" s="2" t="s">
        <v>62</v>
      </c>
      <c r="N212" s="1">
        <v>0</v>
      </c>
      <c r="O212" s="1" t="s">
        <v>82</v>
      </c>
      <c r="P212" s="1" t="s">
        <v>33</v>
      </c>
      <c r="Q212" s="5">
        <v>44332</v>
      </c>
      <c r="R212" s="6"/>
    </row>
    <row r="213" spans="1:18" ht="38.25" x14ac:dyDescent="0.25">
      <c r="A213" s="2">
        <f t="shared" si="8"/>
        <v>212</v>
      </c>
      <c r="B213" s="2">
        <v>466</v>
      </c>
      <c r="C213" s="2" t="s">
        <v>33</v>
      </c>
      <c r="D213" s="5">
        <v>44331</v>
      </c>
      <c r="E213" s="10">
        <v>0.625</v>
      </c>
      <c r="F213" s="1" t="s">
        <v>666</v>
      </c>
      <c r="G213" s="5">
        <v>43190</v>
      </c>
      <c r="H213" s="2" t="str">
        <f t="shared" si="11"/>
        <v>3 г. 1 мес. 14 дн.</v>
      </c>
      <c r="I213" s="1" t="s">
        <v>25</v>
      </c>
      <c r="J213" s="1" t="s">
        <v>33</v>
      </c>
      <c r="K213" s="1" t="s">
        <v>667</v>
      </c>
      <c r="L213" s="1" t="s">
        <v>668</v>
      </c>
      <c r="M213" s="2" t="s">
        <v>62</v>
      </c>
      <c r="N213" s="1" t="s">
        <v>105</v>
      </c>
      <c r="O213" s="1" t="s">
        <v>87</v>
      </c>
      <c r="P213" s="2" t="s">
        <v>39</v>
      </c>
      <c r="Q213" s="5">
        <v>44351</v>
      </c>
      <c r="R213" s="6"/>
    </row>
    <row r="214" spans="1:18" ht="38.25" x14ac:dyDescent="0.25">
      <c r="A214" s="2">
        <f t="shared" si="8"/>
        <v>213</v>
      </c>
      <c r="B214" s="2">
        <v>205</v>
      </c>
      <c r="C214" s="2" t="s">
        <v>38</v>
      </c>
      <c r="D214" s="5">
        <v>44331</v>
      </c>
      <c r="E214" s="10">
        <v>0.52083333333333337</v>
      </c>
      <c r="F214" s="1" t="s">
        <v>669</v>
      </c>
      <c r="G214" s="5">
        <v>42942</v>
      </c>
      <c r="H214" s="2" t="str">
        <f t="shared" si="11"/>
        <v>3 г. 9 мес. 19 дн.</v>
      </c>
      <c r="I214" s="1" t="s">
        <v>25</v>
      </c>
      <c r="J214" s="2" t="s">
        <v>38</v>
      </c>
      <c r="K214" s="1" t="s">
        <v>670</v>
      </c>
      <c r="L214" s="1" t="s">
        <v>671</v>
      </c>
      <c r="M214" s="2" t="s">
        <v>57</v>
      </c>
      <c r="N214" s="1">
        <v>0</v>
      </c>
      <c r="O214" s="1" t="s">
        <v>82</v>
      </c>
      <c r="P214" s="2" t="s">
        <v>38</v>
      </c>
      <c r="Q214" s="5">
        <v>44332</v>
      </c>
      <c r="R214" s="6"/>
    </row>
    <row r="215" spans="1:18" ht="38.25" x14ac:dyDescent="0.25">
      <c r="A215" s="2">
        <f t="shared" si="8"/>
        <v>214</v>
      </c>
      <c r="B215" s="2">
        <v>264</v>
      </c>
      <c r="C215" s="2" t="s">
        <v>36</v>
      </c>
      <c r="D215" s="5">
        <v>44333</v>
      </c>
      <c r="E215" s="10">
        <v>0.4375</v>
      </c>
      <c r="F215" s="1" t="s">
        <v>672</v>
      </c>
      <c r="G215" s="5">
        <v>41578</v>
      </c>
      <c r="H215" s="2" t="str">
        <f t="shared" si="11"/>
        <v>7 г. 6 мес. 16 дн.</v>
      </c>
      <c r="I215" s="2" t="s">
        <v>27</v>
      </c>
      <c r="J215" s="2" t="s">
        <v>36</v>
      </c>
      <c r="K215" s="1" t="s">
        <v>673</v>
      </c>
      <c r="L215" s="1" t="s">
        <v>435</v>
      </c>
      <c r="M215" s="2" t="s">
        <v>57</v>
      </c>
      <c r="N215" s="1">
        <v>0</v>
      </c>
      <c r="O215" s="2" t="s">
        <v>82</v>
      </c>
      <c r="P215" s="2" t="s">
        <v>36</v>
      </c>
      <c r="Q215" s="5">
        <v>44334</v>
      </c>
      <c r="R215" s="6"/>
    </row>
    <row r="216" spans="1:18" s="53" customFormat="1" ht="45" x14ac:dyDescent="0.25">
      <c r="A216" s="53">
        <f t="shared" si="8"/>
        <v>215</v>
      </c>
      <c r="B216" s="53">
        <v>459</v>
      </c>
      <c r="C216" s="53" t="s">
        <v>37</v>
      </c>
      <c r="D216" s="54">
        <v>44333</v>
      </c>
      <c r="E216" s="55">
        <v>0.57986111111111105</v>
      </c>
      <c r="F216" s="53" t="s">
        <v>517</v>
      </c>
      <c r="G216" s="54">
        <v>44108</v>
      </c>
      <c r="H216" s="53" t="str">
        <f t="shared" si="11"/>
        <v>0 г. 7 мес. 13 дн.</v>
      </c>
      <c r="I216" s="53" t="s">
        <v>25</v>
      </c>
      <c r="J216" s="53" t="s">
        <v>37</v>
      </c>
      <c r="K216" s="53" t="s">
        <v>674</v>
      </c>
      <c r="L216" s="53" t="s">
        <v>284</v>
      </c>
      <c r="M216" s="53" t="s">
        <v>59</v>
      </c>
      <c r="N216" s="53" t="s">
        <v>105</v>
      </c>
      <c r="O216" s="53" t="s">
        <v>87</v>
      </c>
      <c r="P216" s="53" t="s">
        <v>40</v>
      </c>
      <c r="Q216" s="54">
        <v>44392</v>
      </c>
      <c r="R216" s="55">
        <v>0.96180555555555547</v>
      </c>
    </row>
    <row r="217" spans="1:18" ht="51" x14ac:dyDescent="0.25">
      <c r="A217" s="2">
        <f t="shared" si="8"/>
        <v>216</v>
      </c>
      <c r="B217" s="2"/>
      <c r="C217" s="2" t="s">
        <v>37</v>
      </c>
      <c r="D217" s="5">
        <v>44333</v>
      </c>
      <c r="E217" s="10">
        <v>0.22222222222222221</v>
      </c>
      <c r="F217" s="1" t="s">
        <v>413</v>
      </c>
      <c r="G217" s="5">
        <v>44218</v>
      </c>
      <c r="H217" s="2" t="str">
        <f t="shared" si="11"/>
        <v>0 г. 3 мес. 25 дн.</v>
      </c>
      <c r="I217" s="2" t="s">
        <v>28</v>
      </c>
      <c r="J217" s="1" t="s">
        <v>37</v>
      </c>
      <c r="K217" s="1" t="s">
        <v>677</v>
      </c>
      <c r="L217" s="1" t="s">
        <v>678</v>
      </c>
      <c r="M217" s="2" t="s">
        <v>67</v>
      </c>
      <c r="N217" s="1">
        <v>0</v>
      </c>
      <c r="O217" s="2" t="s">
        <v>87</v>
      </c>
      <c r="P217" s="1" t="s">
        <v>37</v>
      </c>
      <c r="Q217" s="2">
        <v>0</v>
      </c>
      <c r="R217" s="6"/>
    </row>
    <row r="218" spans="1:18" ht="25.5" x14ac:dyDescent="0.25">
      <c r="A218" s="2">
        <f t="shared" si="8"/>
        <v>217</v>
      </c>
      <c r="B218" s="2">
        <v>895</v>
      </c>
      <c r="C218" s="2" t="s">
        <v>32</v>
      </c>
      <c r="D218" s="5">
        <v>44334</v>
      </c>
      <c r="E218" s="10">
        <v>0.98263888888888884</v>
      </c>
      <c r="F218" s="1" t="s">
        <v>675</v>
      </c>
      <c r="G218" s="5">
        <v>43052</v>
      </c>
      <c r="H218" s="2" t="str">
        <f t="shared" si="11"/>
        <v>3 г. 6 мес. 5 дн.</v>
      </c>
      <c r="I218" s="2" t="s">
        <v>25</v>
      </c>
      <c r="J218" s="2" t="s">
        <v>32</v>
      </c>
      <c r="K218" s="1" t="s">
        <v>676</v>
      </c>
      <c r="L218" s="1" t="s">
        <v>389</v>
      </c>
      <c r="M218" s="2" t="s">
        <v>60</v>
      </c>
      <c r="N218" s="1">
        <v>0</v>
      </c>
      <c r="O218" s="1" t="s">
        <v>82</v>
      </c>
      <c r="P218" s="2" t="s">
        <v>31</v>
      </c>
      <c r="Q218" s="5">
        <v>44336</v>
      </c>
      <c r="R218" s="6"/>
    </row>
    <row r="219" spans="1:18" ht="38.25" x14ac:dyDescent="0.25">
      <c r="A219" s="2">
        <f t="shared" si="8"/>
        <v>218</v>
      </c>
      <c r="B219" s="2">
        <v>205</v>
      </c>
      <c r="C219" s="2" t="s">
        <v>38</v>
      </c>
      <c r="D219" s="5">
        <v>44334</v>
      </c>
      <c r="E219" s="10">
        <v>0.75</v>
      </c>
      <c r="F219" s="1" t="s">
        <v>669</v>
      </c>
      <c r="G219" s="4">
        <v>42942</v>
      </c>
      <c r="H219" s="2" t="str">
        <f t="shared" si="11"/>
        <v>3 г. 9 мес. 22 дн.</v>
      </c>
      <c r="I219" s="2" t="s">
        <v>27</v>
      </c>
      <c r="J219" s="2" t="s">
        <v>38</v>
      </c>
      <c r="K219" s="1" t="s">
        <v>679</v>
      </c>
      <c r="L219" s="1" t="s">
        <v>671</v>
      </c>
      <c r="M219" s="2" t="s">
        <v>57</v>
      </c>
      <c r="N219" s="1">
        <v>0</v>
      </c>
      <c r="O219" s="1" t="s">
        <v>82</v>
      </c>
      <c r="P219" s="2" t="s">
        <v>38</v>
      </c>
      <c r="Q219" s="5">
        <v>44335</v>
      </c>
      <c r="R219" s="6"/>
    </row>
    <row r="220" spans="1:18" ht="38.25" x14ac:dyDescent="0.25">
      <c r="A220" s="2">
        <f t="shared" si="8"/>
        <v>219</v>
      </c>
      <c r="B220" s="2">
        <v>209</v>
      </c>
      <c r="C220" s="2" t="s">
        <v>38</v>
      </c>
      <c r="D220" s="5">
        <v>44335</v>
      </c>
      <c r="E220" s="10">
        <v>0.75</v>
      </c>
      <c r="F220" s="1" t="s">
        <v>680</v>
      </c>
      <c r="G220" s="5">
        <v>42587</v>
      </c>
      <c r="H220" s="2" t="str">
        <f t="shared" si="11"/>
        <v>4 г. 9 мес. 14 дн.</v>
      </c>
      <c r="I220" s="2" t="s">
        <v>27</v>
      </c>
      <c r="J220" s="2" t="s">
        <v>38</v>
      </c>
      <c r="K220" s="1" t="s">
        <v>681</v>
      </c>
      <c r="L220" s="1" t="s">
        <v>682</v>
      </c>
      <c r="M220" s="2" t="s">
        <v>57</v>
      </c>
      <c r="N220" s="1">
        <v>0</v>
      </c>
      <c r="O220" s="2" t="s">
        <v>82</v>
      </c>
      <c r="P220" s="2" t="s">
        <v>38</v>
      </c>
      <c r="Q220" s="5">
        <v>44336</v>
      </c>
      <c r="R220" s="6"/>
    </row>
    <row r="221" spans="1:18" ht="38.25" x14ac:dyDescent="0.25">
      <c r="A221" s="2">
        <f t="shared" ref="A221:A284" si="12">ROW(A220)</f>
        <v>220</v>
      </c>
      <c r="B221" s="2">
        <v>482</v>
      </c>
      <c r="C221" s="2" t="s">
        <v>33</v>
      </c>
      <c r="D221" s="5">
        <v>44335</v>
      </c>
      <c r="E221" s="10">
        <v>0.73611111111111116</v>
      </c>
      <c r="F221" s="1" t="s">
        <v>685</v>
      </c>
      <c r="G221" s="5">
        <v>39038</v>
      </c>
      <c r="H221" s="2" t="str">
        <f t="shared" si="11"/>
        <v>14 г. 6 мес. 2 дн.</v>
      </c>
      <c r="I221" s="2" t="s">
        <v>25</v>
      </c>
      <c r="J221" s="2" t="s">
        <v>33</v>
      </c>
      <c r="K221" s="1" t="s">
        <v>684</v>
      </c>
      <c r="L221" s="1" t="s">
        <v>683</v>
      </c>
      <c r="M221" s="2" t="s">
        <v>62</v>
      </c>
      <c r="N221" s="1">
        <v>0</v>
      </c>
      <c r="O221" s="1" t="s">
        <v>82</v>
      </c>
      <c r="P221" s="2" t="s">
        <v>33</v>
      </c>
      <c r="Q221" s="5">
        <v>44337</v>
      </c>
      <c r="R221" s="6"/>
    </row>
    <row r="222" spans="1:18" ht="38.25" x14ac:dyDescent="0.25">
      <c r="A222" s="2">
        <f t="shared" si="12"/>
        <v>221</v>
      </c>
      <c r="B222" s="2">
        <v>487</v>
      </c>
      <c r="C222" s="2" t="s">
        <v>33</v>
      </c>
      <c r="D222" s="5">
        <v>44336</v>
      </c>
      <c r="E222" s="10">
        <v>0.90277777777777779</v>
      </c>
      <c r="F222" s="1" t="s">
        <v>686</v>
      </c>
      <c r="G222" s="5">
        <v>43338</v>
      </c>
      <c r="H222" s="2" t="str">
        <f t="shared" si="11"/>
        <v>2 г. 8 мес. 24 дн.</v>
      </c>
      <c r="I222" s="2" t="s">
        <v>25</v>
      </c>
      <c r="J222" s="2" t="s">
        <v>33</v>
      </c>
      <c r="K222" s="1" t="s">
        <v>687</v>
      </c>
      <c r="L222" s="1" t="s">
        <v>688</v>
      </c>
      <c r="M222" s="2" t="s">
        <v>62</v>
      </c>
      <c r="N222" s="1">
        <v>0</v>
      </c>
      <c r="O222" s="2" t="s">
        <v>82</v>
      </c>
      <c r="P222" s="2" t="s">
        <v>33</v>
      </c>
      <c r="Q222" s="5">
        <v>44338</v>
      </c>
      <c r="R222" s="6"/>
    </row>
    <row r="223" spans="1:18" ht="38.25" x14ac:dyDescent="0.25">
      <c r="A223" s="2">
        <f t="shared" si="12"/>
        <v>222</v>
      </c>
      <c r="B223" s="2">
        <v>264</v>
      </c>
      <c r="C223" s="2" t="s">
        <v>36</v>
      </c>
      <c r="D223" s="5">
        <v>44337</v>
      </c>
      <c r="E223" s="10">
        <v>0.87847222222222221</v>
      </c>
      <c r="F223" s="1" t="s">
        <v>672</v>
      </c>
      <c r="G223" s="5">
        <v>41578</v>
      </c>
      <c r="H223" s="2" t="str">
        <f t="shared" si="11"/>
        <v>7 г. 6 мес. 20 дн.</v>
      </c>
      <c r="I223" s="2" t="s">
        <v>27</v>
      </c>
      <c r="J223" s="2" t="s">
        <v>36</v>
      </c>
      <c r="K223" s="1" t="s">
        <v>673</v>
      </c>
      <c r="L223" s="2" t="s">
        <v>435</v>
      </c>
      <c r="M223" s="2" t="s">
        <v>57</v>
      </c>
      <c r="N223" s="1" t="s">
        <v>710</v>
      </c>
      <c r="O223" s="2" t="s">
        <v>82</v>
      </c>
      <c r="P223" s="2" t="s">
        <v>36</v>
      </c>
      <c r="Q223" s="5">
        <v>44342</v>
      </c>
      <c r="R223" s="6"/>
    </row>
    <row r="224" spans="1:18" ht="38.25" x14ac:dyDescent="0.25">
      <c r="A224" s="2">
        <f t="shared" si="12"/>
        <v>223</v>
      </c>
      <c r="B224" s="2">
        <v>228</v>
      </c>
      <c r="C224" s="2" t="s">
        <v>34</v>
      </c>
      <c r="D224" s="5">
        <v>44339</v>
      </c>
      <c r="E224" s="10">
        <v>0.96180555555555547</v>
      </c>
      <c r="F224" s="1" t="s">
        <v>689</v>
      </c>
      <c r="G224" s="5">
        <v>43661</v>
      </c>
      <c r="H224" s="2" t="str">
        <f t="shared" si="11"/>
        <v>1 г. 10 мес. 8 дн.</v>
      </c>
      <c r="I224" s="2" t="s">
        <v>25</v>
      </c>
      <c r="J224" s="2" t="s">
        <v>34</v>
      </c>
      <c r="K224" s="1" t="s">
        <v>690</v>
      </c>
      <c r="L224" s="1" t="s">
        <v>438</v>
      </c>
      <c r="M224" s="2" t="s">
        <v>61</v>
      </c>
      <c r="N224" s="1">
        <v>0</v>
      </c>
      <c r="O224" s="2" t="s">
        <v>87</v>
      </c>
      <c r="P224" s="2" t="s">
        <v>34</v>
      </c>
      <c r="Q224" s="5">
        <v>44343</v>
      </c>
      <c r="R224" s="6"/>
    </row>
    <row r="225" spans="1:18" ht="25.5" x14ac:dyDescent="0.25">
      <c r="A225" s="2">
        <f t="shared" si="12"/>
        <v>224</v>
      </c>
      <c r="B225" s="2">
        <v>925</v>
      </c>
      <c r="C225" s="2" t="s">
        <v>32</v>
      </c>
      <c r="D225" s="5">
        <v>44340</v>
      </c>
      <c r="E225" s="10">
        <v>0.15277777777777776</v>
      </c>
      <c r="F225" s="1" t="s">
        <v>433</v>
      </c>
      <c r="G225" s="5">
        <v>38693</v>
      </c>
      <c r="H225" s="2" t="str">
        <f t="shared" si="11"/>
        <v>15 г. 5 мес. 17 дн.</v>
      </c>
      <c r="I225" s="2" t="s">
        <v>28</v>
      </c>
      <c r="J225" s="2" t="s">
        <v>32</v>
      </c>
      <c r="K225" s="1" t="s">
        <v>103</v>
      </c>
      <c r="L225" s="1" t="s">
        <v>691</v>
      </c>
      <c r="M225" s="2" t="s">
        <v>59</v>
      </c>
      <c r="N225" s="1" t="s">
        <v>470</v>
      </c>
      <c r="O225" s="2" t="s">
        <v>82</v>
      </c>
      <c r="P225" s="2" t="s">
        <v>36</v>
      </c>
      <c r="Q225" s="5">
        <v>44342</v>
      </c>
      <c r="R225" s="6"/>
    </row>
    <row r="226" spans="1:18" ht="38.25" x14ac:dyDescent="0.25">
      <c r="A226" s="2">
        <f t="shared" si="12"/>
        <v>225</v>
      </c>
      <c r="B226" s="2">
        <v>933</v>
      </c>
      <c r="C226" s="2" t="s">
        <v>31</v>
      </c>
      <c r="D226" s="5">
        <v>44340</v>
      </c>
      <c r="E226" s="10">
        <v>0.61805555555555558</v>
      </c>
      <c r="F226" s="1" t="s">
        <v>692</v>
      </c>
      <c r="G226" s="5">
        <v>37925</v>
      </c>
      <c r="H226" s="2" t="str">
        <f t="shared" si="11"/>
        <v>17 г. 6 мес. 23 дн.</v>
      </c>
      <c r="I226" s="2" t="s">
        <v>27</v>
      </c>
      <c r="J226" s="2" t="s">
        <v>31</v>
      </c>
      <c r="K226" s="1" t="s">
        <v>693</v>
      </c>
      <c r="L226" s="1" t="s">
        <v>694</v>
      </c>
      <c r="M226" s="2" t="s">
        <v>53</v>
      </c>
      <c r="N226" s="1">
        <v>0</v>
      </c>
      <c r="O226" s="2" t="s">
        <v>82</v>
      </c>
      <c r="P226" s="2" t="s">
        <v>31</v>
      </c>
      <c r="Q226" s="5">
        <v>44341</v>
      </c>
      <c r="R226" s="6"/>
    </row>
    <row r="227" spans="1:18" ht="25.5" x14ac:dyDescent="0.25">
      <c r="A227" s="2">
        <f t="shared" si="12"/>
        <v>226</v>
      </c>
      <c r="B227" s="2">
        <v>935</v>
      </c>
      <c r="C227" s="2" t="s">
        <v>31</v>
      </c>
      <c r="D227" s="5">
        <v>44340</v>
      </c>
      <c r="E227" s="10">
        <v>0.88194444444444453</v>
      </c>
      <c r="F227" s="1" t="s">
        <v>695</v>
      </c>
      <c r="G227" s="5">
        <v>42056</v>
      </c>
      <c r="H227" s="2" t="str">
        <f t="shared" si="11"/>
        <v>6 г. 3 мес. 3 дн.</v>
      </c>
      <c r="I227" s="2" t="s">
        <v>25</v>
      </c>
      <c r="J227" s="2" t="s">
        <v>31</v>
      </c>
      <c r="K227" s="1" t="s">
        <v>696</v>
      </c>
      <c r="L227" s="1" t="s">
        <v>697</v>
      </c>
      <c r="M227" s="2" t="s">
        <v>65</v>
      </c>
      <c r="N227" s="1">
        <v>0</v>
      </c>
      <c r="O227" s="2" t="s">
        <v>82</v>
      </c>
      <c r="P227" s="2" t="s">
        <v>31</v>
      </c>
      <c r="Q227" s="5">
        <v>44341</v>
      </c>
      <c r="R227" s="6"/>
    </row>
    <row r="228" spans="1:18" ht="25.5" x14ac:dyDescent="0.25">
      <c r="A228" s="2">
        <f t="shared" si="12"/>
        <v>227</v>
      </c>
      <c r="B228" s="2">
        <v>943</v>
      </c>
      <c r="C228" s="2" t="s">
        <v>31</v>
      </c>
      <c r="D228" s="5">
        <v>44341</v>
      </c>
      <c r="E228" s="10">
        <v>0.40972222222222227</v>
      </c>
      <c r="F228" s="1" t="s">
        <v>698</v>
      </c>
      <c r="G228" s="5">
        <v>40443</v>
      </c>
      <c r="H228" s="2" t="str">
        <f t="shared" si="11"/>
        <v>10 г. 8 мес. 3 дн.</v>
      </c>
      <c r="I228" s="2" t="s">
        <v>100</v>
      </c>
      <c r="J228" s="2" t="s">
        <v>31</v>
      </c>
      <c r="K228" s="1" t="s">
        <v>699</v>
      </c>
      <c r="L228" s="1" t="s">
        <v>700</v>
      </c>
      <c r="M228" s="2" t="s">
        <v>60</v>
      </c>
      <c r="N228" s="1">
        <v>0</v>
      </c>
      <c r="O228" s="1" t="s">
        <v>82</v>
      </c>
      <c r="P228" s="2" t="s">
        <v>31</v>
      </c>
      <c r="Q228" s="5">
        <v>44344</v>
      </c>
      <c r="R228" s="6"/>
    </row>
    <row r="229" spans="1:18" ht="25.5" x14ac:dyDescent="0.25">
      <c r="A229" s="2">
        <f t="shared" si="12"/>
        <v>228</v>
      </c>
      <c r="B229" s="2">
        <v>481</v>
      </c>
      <c r="C229" s="1" t="s">
        <v>37</v>
      </c>
      <c r="D229" s="5">
        <v>44340</v>
      </c>
      <c r="E229" s="10">
        <v>0.75</v>
      </c>
      <c r="F229" s="1" t="s">
        <v>701</v>
      </c>
      <c r="G229" s="5">
        <v>44031</v>
      </c>
      <c r="H229" s="2" t="str">
        <f t="shared" si="11"/>
        <v>0 г. 10 мес. 5 дн.</v>
      </c>
      <c r="I229" s="2" t="s">
        <v>27</v>
      </c>
      <c r="J229" s="1" t="s">
        <v>37</v>
      </c>
      <c r="K229" s="1" t="s">
        <v>702</v>
      </c>
      <c r="L229" s="1" t="s">
        <v>703</v>
      </c>
      <c r="M229" s="2" t="s">
        <v>59</v>
      </c>
      <c r="N229" s="1">
        <v>0</v>
      </c>
      <c r="O229" s="1" t="s">
        <v>82</v>
      </c>
      <c r="P229" s="1" t="s">
        <v>37</v>
      </c>
      <c r="Q229" s="5">
        <v>44341</v>
      </c>
      <c r="R229" s="6"/>
    </row>
    <row r="230" spans="1:18" ht="25.5" x14ac:dyDescent="0.25">
      <c r="A230" s="2">
        <f t="shared" si="12"/>
        <v>229</v>
      </c>
      <c r="B230" s="2">
        <v>468</v>
      </c>
      <c r="C230" s="1" t="s">
        <v>37</v>
      </c>
      <c r="D230" s="5">
        <v>44335</v>
      </c>
      <c r="E230" s="10">
        <v>0.46180555555555558</v>
      </c>
      <c r="F230" s="1" t="s">
        <v>704</v>
      </c>
      <c r="G230" s="5">
        <v>44017</v>
      </c>
      <c r="H230" s="2" t="str">
        <f t="shared" si="11"/>
        <v>0 г. 10 мес. 14 дн.</v>
      </c>
      <c r="I230" s="2" t="s">
        <v>27</v>
      </c>
      <c r="J230" s="1" t="s">
        <v>37</v>
      </c>
      <c r="K230" s="1" t="s">
        <v>705</v>
      </c>
      <c r="L230" s="1" t="s">
        <v>706</v>
      </c>
      <c r="M230" s="2" t="s">
        <v>59</v>
      </c>
      <c r="N230" s="1">
        <v>0</v>
      </c>
      <c r="O230" s="1" t="s">
        <v>82</v>
      </c>
      <c r="P230" s="1" t="s">
        <v>37</v>
      </c>
      <c r="Q230" s="5">
        <v>44336</v>
      </c>
      <c r="R230" s="6"/>
    </row>
    <row r="231" spans="1:18" ht="38.25" x14ac:dyDescent="0.25">
      <c r="A231" s="2">
        <f t="shared" si="12"/>
        <v>230</v>
      </c>
      <c r="B231" s="2">
        <v>216</v>
      </c>
      <c r="C231" s="2" t="s">
        <v>38</v>
      </c>
      <c r="D231" s="5">
        <v>44340</v>
      </c>
      <c r="E231" s="10">
        <v>0.75</v>
      </c>
      <c r="F231" s="1" t="s">
        <v>707</v>
      </c>
      <c r="G231" s="5">
        <v>42786</v>
      </c>
      <c r="H231" s="2" t="str">
        <f t="shared" si="11"/>
        <v>4 г. 3 мес. 4 дн.</v>
      </c>
      <c r="I231" s="2" t="s">
        <v>27</v>
      </c>
      <c r="J231" s="2" t="s">
        <v>38</v>
      </c>
      <c r="K231" s="1" t="s">
        <v>103</v>
      </c>
      <c r="L231" s="1" t="s">
        <v>359</v>
      </c>
      <c r="M231" s="2" t="s">
        <v>57</v>
      </c>
      <c r="N231" s="1">
        <v>0</v>
      </c>
      <c r="O231" s="2" t="s">
        <v>82</v>
      </c>
      <c r="P231" s="2" t="s">
        <v>38</v>
      </c>
      <c r="Q231" s="5">
        <v>44341</v>
      </c>
      <c r="R231" s="6"/>
    </row>
    <row r="232" spans="1:18" ht="38.25" x14ac:dyDescent="0.25">
      <c r="A232" s="2">
        <f t="shared" si="12"/>
        <v>231</v>
      </c>
      <c r="B232" s="2">
        <v>462</v>
      </c>
      <c r="C232" s="2" t="s">
        <v>37</v>
      </c>
      <c r="D232" s="5">
        <v>44341</v>
      </c>
      <c r="E232" s="10">
        <v>0.75</v>
      </c>
      <c r="F232" s="1" t="s">
        <v>708</v>
      </c>
      <c r="G232" s="5">
        <v>43302</v>
      </c>
      <c r="H232" s="2" t="str">
        <f t="shared" si="11"/>
        <v>2 г. 10 мес. 4 дн.</v>
      </c>
      <c r="I232" s="2" t="s">
        <v>27</v>
      </c>
      <c r="J232" s="2" t="s">
        <v>37</v>
      </c>
      <c r="K232" s="1" t="s">
        <v>709</v>
      </c>
      <c r="L232" s="1" t="s">
        <v>711</v>
      </c>
      <c r="M232" s="2" t="s">
        <v>59</v>
      </c>
      <c r="N232" s="1">
        <v>0</v>
      </c>
      <c r="O232" s="2" t="s">
        <v>82</v>
      </c>
      <c r="P232" s="2" t="s">
        <v>37</v>
      </c>
      <c r="Q232" s="5">
        <v>44342</v>
      </c>
      <c r="R232" s="6"/>
    </row>
    <row r="233" spans="1:18" ht="38.25" x14ac:dyDescent="0.25">
      <c r="A233" s="2">
        <f t="shared" si="12"/>
        <v>232</v>
      </c>
      <c r="B233" s="2"/>
      <c r="C233" s="2" t="s">
        <v>32</v>
      </c>
      <c r="D233" s="5">
        <v>44342</v>
      </c>
      <c r="E233" s="10">
        <v>0.5</v>
      </c>
      <c r="F233" s="1" t="s">
        <v>712</v>
      </c>
      <c r="G233" s="2"/>
      <c r="H233" s="2" t="str">
        <f t="shared" si="11"/>
        <v>121 г. 4 мес. 26 дн.</v>
      </c>
      <c r="I233" s="2" t="s">
        <v>26</v>
      </c>
      <c r="J233" s="2" t="s">
        <v>32</v>
      </c>
      <c r="K233" s="2"/>
      <c r="L233" s="1" t="s">
        <v>713</v>
      </c>
      <c r="M233" s="2" t="s">
        <v>62</v>
      </c>
      <c r="N233" s="1">
        <v>0</v>
      </c>
      <c r="O233" s="2" t="s">
        <v>82</v>
      </c>
      <c r="P233" s="2" t="s">
        <v>32</v>
      </c>
      <c r="Q233" s="5">
        <v>44343</v>
      </c>
      <c r="R233" s="6"/>
    </row>
    <row r="234" spans="1:18" ht="38.25" x14ac:dyDescent="0.25">
      <c r="A234" s="2">
        <f t="shared" si="12"/>
        <v>233</v>
      </c>
      <c r="B234" s="2">
        <v>471</v>
      </c>
      <c r="C234" s="2" t="s">
        <v>31</v>
      </c>
      <c r="D234" s="5">
        <v>44343</v>
      </c>
      <c r="E234" s="10">
        <v>0.71527777777777779</v>
      </c>
      <c r="F234" s="1" t="s">
        <v>717</v>
      </c>
      <c r="G234" s="5">
        <v>42141</v>
      </c>
      <c r="H234" s="2" t="str">
        <f t="shared" si="11"/>
        <v>6 г. 0 мес. 10 дн.</v>
      </c>
      <c r="I234" s="2" t="s">
        <v>26</v>
      </c>
      <c r="J234" s="2" t="s">
        <v>31</v>
      </c>
      <c r="K234" s="1" t="s">
        <v>718</v>
      </c>
      <c r="L234" s="1" t="s">
        <v>719</v>
      </c>
      <c r="M234" s="2" t="s">
        <v>59</v>
      </c>
      <c r="N234" s="1">
        <v>0</v>
      </c>
      <c r="O234" s="2" t="s">
        <v>82</v>
      </c>
      <c r="P234" s="2" t="s">
        <v>39</v>
      </c>
      <c r="Q234" s="5">
        <v>44344</v>
      </c>
      <c r="R234" s="6"/>
    </row>
    <row r="235" spans="1:18" ht="38.25" x14ac:dyDescent="0.25">
      <c r="A235" s="2">
        <f t="shared" si="12"/>
        <v>234</v>
      </c>
      <c r="B235" s="2">
        <v>966</v>
      </c>
      <c r="C235" s="2" t="s">
        <v>31</v>
      </c>
      <c r="D235" s="5">
        <v>44343</v>
      </c>
      <c r="E235" s="10">
        <v>0.91666666666666663</v>
      </c>
      <c r="F235" s="1" t="s">
        <v>720</v>
      </c>
      <c r="G235" s="5">
        <v>39082</v>
      </c>
      <c r="H235" s="2" t="str">
        <f t="shared" si="11"/>
        <v>14 г. 4 мес. 26 дн.</v>
      </c>
      <c r="I235" s="2" t="s">
        <v>26</v>
      </c>
      <c r="J235" s="2" t="s">
        <v>31</v>
      </c>
      <c r="K235" s="1" t="s">
        <v>721</v>
      </c>
      <c r="L235" s="1" t="s">
        <v>722</v>
      </c>
      <c r="M235" s="2" t="s">
        <v>61</v>
      </c>
      <c r="N235" s="1">
        <v>0</v>
      </c>
      <c r="O235" s="2" t="s">
        <v>82</v>
      </c>
      <c r="P235" s="2" t="s">
        <v>31</v>
      </c>
      <c r="Q235" s="5">
        <v>44344</v>
      </c>
      <c r="R235" s="6"/>
    </row>
    <row r="236" spans="1:18" ht="25.5" x14ac:dyDescent="0.25">
      <c r="A236" s="2">
        <f t="shared" si="12"/>
        <v>235</v>
      </c>
      <c r="B236" s="2">
        <v>964</v>
      </c>
      <c r="C236" s="2" t="s">
        <v>31</v>
      </c>
      <c r="D236" s="5">
        <v>44343</v>
      </c>
      <c r="E236" s="10">
        <v>0.84722222222222221</v>
      </c>
      <c r="F236" s="1" t="s">
        <v>723</v>
      </c>
      <c r="G236" s="5">
        <v>39799</v>
      </c>
      <c r="H236" s="2" t="str">
        <f t="shared" si="11"/>
        <v>12 г. 5 мес. 10 дн.</v>
      </c>
      <c r="I236" s="2" t="s">
        <v>26</v>
      </c>
      <c r="J236" s="2" t="s">
        <v>31</v>
      </c>
      <c r="K236" s="1" t="s">
        <v>724</v>
      </c>
      <c r="L236" s="1" t="s">
        <v>725</v>
      </c>
      <c r="M236" s="2" t="s">
        <v>60</v>
      </c>
      <c r="N236" s="1">
        <v>0</v>
      </c>
      <c r="O236" s="2" t="s">
        <v>82</v>
      </c>
      <c r="P236" s="2" t="s">
        <v>31</v>
      </c>
      <c r="Q236" s="5">
        <v>44344</v>
      </c>
      <c r="R236" s="6"/>
    </row>
    <row r="237" spans="1:18" ht="25.5" x14ac:dyDescent="0.25">
      <c r="A237" s="2">
        <f t="shared" si="12"/>
        <v>236</v>
      </c>
      <c r="B237" s="2">
        <v>969</v>
      </c>
      <c r="C237" s="2" t="s">
        <v>31</v>
      </c>
      <c r="D237" s="5">
        <v>44344</v>
      </c>
      <c r="E237" s="10">
        <v>0.3125</v>
      </c>
      <c r="F237" s="1" t="s">
        <v>726</v>
      </c>
      <c r="G237" s="5">
        <v>43365</v>
      </c>
      <c r="H237" s="2" t="str">
        <f t="shared" si="11"/>
        <v>2 г. 8 мес. 6 дн.</v>
      </c>
      <c r="I237" s="2" t="s">
        <v>27</v>
      </c>
      <c r="J237" s="2" t="s">
        <v>31</v>
      </c>
      <c r="K237" s="1" t="s">
        <v>727</v>
      </c>
      <c r="L237" s="1" t="s">
        <v>740</v>
      </c>
      <c r="M237" s="2" t="s">
        <v>60</v>
      </c>
      <c r="N237" s="1">
        <v>0</v>
      </c>
      <c r="O237" s="1" t="s">
        <v>728</v>
      </c>
      <c r="P237" s="2" t="s">
        <v>36</v>
      </c>
      <c r="Q237" s="5">
        <v>44348</v>
      </c>
      <c r="R237" s="6"/>
    </row>
    <row r="238" spans="1:18" ht="38.25" x14ac:dyDescent="0.25">
      <c r="A238" s="2">
        <f t="shared" si="12"/>
        <v>237</v>
      </c>
      <c r="B238" s="2">
        <v>512</v>
      </c>
      <c r="C238" s="2" t="s">
        <v>33</v>
      </c>
      <c r="D238" s="5">
        <v>44344</v>
      </c>
      <c r="E238" s="10">
        <v>0.54861111111111105</v>
      </c>
      <c r="F238" s="1" t="s">
        <v>729</v>
      </c>
      <c r="G238" s="5">
        <v>38404</v>
      </c>
      <c r="H238" s="2" t="str">
        <f t="shared" si="11"/>
        <v>16 г. 3 мес. 7 дн.</v>
      </c>
      <c r="I238" s="2" t="s">
        <v>26</v>
      </c>
      <c r="J238" s="2" t="s">
        <v>33</v>
      </c>
      <c r="K238" s="1" t="s">
        <v>730</v>
      </c>
      <c r="L238" s="1" t="s">
        <v>731</v>
      </c>
      <c r="M238" s="2" t="s">
        <v>62</v>
      </c>
      <c r="N238" s="1">
        <v>0</v>
      </c>
      <c r="O238" s="2" t="s">
        <v>97</v>
      </c>
      <c r="P238" s="2" t="s">
        <v>33</v>
      </c>
      <c r="Q238" s="5">
        <v>44346</v>
      </c>
      <c r="R238" s="6"/>
    </row>
    <row r="239" spans="1:18" ht="25.5" x14ac:dyDescent="0.25">
      <c r="A239" s="2">
        <f t="shared" si="12"/>
        <v>238</v>
      </c>
      <c r="B239" s="2">
        <v>295</v>
      </c>
      <c r="C239" s="2" t="s">
        <v>36</v>
      </c>
      <c r="D239" s="5">
        <v>44345</v>
      </c>
      <c r="E239" s="10">
        <v>0.16666666666666666</v>
      </c>
      <c r="F239" s="1" t="s">
        <v>732</v>
      </c>
      <c r="G239" s="5">
        <v>38155</v>
      </c>
      <c r="H239" s="2" t="str">
        <f t="shared" si="11"/>
        <v>16 г. 11 мес. 12 дн.</v>
      </c>
      <c r="I239" s="2" t="s">
        <v>25</v>
      </c>
      <c r="J239" s="2" t="s">
        <v>36</v>
      </c>
      <c r="K239" s="1" t="s">
        <v>733</v>
      </c>
      <c r="L239" s="1" t="s">
        <v>734</v>
      </c>
      <c r="M239" s="2" t="s">
        <v>66</v>
      </c>
      <c r="N239" s="1">
        <v>0</v>
      </c>
      <c r="O239" s="2" t="s">
        <v>82</v>
      </c>
      <c r="P239" s="2" t="s">
        <v>36</v>
      </c>
      <c r="Q239" s="4">
        <v>44345</v>
      </c>
      <c r="R239" s="12">
        <v>0.5</v>
      </c>
    </row>
    <row r="240" spans="1:18" ht="25.5" x14ac:dyDescent="0.25">
      <c r="A240" s="2">
        <f t="shared" si="12"/>
        <v>239</v>
      </c>
      <c r="B240" s="2">
        <v>297</v>
      </c>
      <c r="C240" s="2" t="s">
        <v>36</v>
      </c>
      <c r="D240" s="5">
        <v>44345</v>
      </c>
      <c r="E240" s="10">
        <v>0.84027777777777779</v>
      </c>
      <c r="F240" s="1" t="s">
        <v>735</v>
      </c>
      <c r="G240" s="5">
        <v>39122</v>
      </c>
      <c r="H240" s="2" t="str">
        <f t="shared" si="11"/>
        <v>14 г. 3 мес. 20 дн.</v>
      </c>
      <c r="I240" s="2" t="s">
        <v>25</v>
      </c>
      <c r="J240" s="2" t="s">
        <v>36</v>
      </c>
      <c r="K240" s="1" t="s">
        <v>736</v>
      </c>
      <c r="L240" s="1" t="s">
        <v>737</v>
      </c>
      <c r="M240" s="2" t="s">
        <v>66</v>
      </c>
      <c r="N240" s="1">
        <v>0</v>
      </c>
      <c r="O240" s="2" t="s">
        <v>82</v>
      </c>
      <c r="P240" s="2" t="s">
        <v>36</v>
      </c>
      <c r="Q240" s="5">
        <v>44347</v>
      </c>
      <c r="R240" s="6"/>
    </row>
    <row r="241" spans="1:18" ht="38.25" x14ac:dyDescent="0.25">
      <c r="A241" s="2">
        <f t="shared" si="12"/>
        <v>240</v>
      </c>
      <c r="B241" s="2">
        <v>978</v>
      </c>
      <c r="C241" s="2" t="s">
        <v>31</v>
      </c>
      <c r="D241" s="5">
        <v>44345</v>
      </c>
      <c r="E241" s="10">
        <v>0.98611111111111116</v>
      </c>
      <c r="F241" s="1" t="s">
        <v>738</v>
      </c>
      <c r="G241" s="5">
        <v>40809</v>
      </c>
      <c r="H241" s="2" t="str">
        <f t="shared" si="11"/>
        <v>9 г. 8 мес. 6 дн.</v>
      </c>
      <c r="I241" s="2" t="s">
        <v>25</v>
      </c>
      <c r="J241" s="2" t="s">
        <v>31</v>
      </c>
      <c r="K241" s="1" t="s">
        <v>739</v>
      </c>
      <c r="L241" s="1" t="s">
        <v>746</v>
      </c>
      <c r="M241" s="2" t="s">
        <v>65</v>
      </c>
      <c r="N241" s="1">
        <v>0</v>
      </c>
      <c r="O241" s="2" t="s">
        <v>82</v>
      </c>
      <c r="P241" s="2" t="s">
        <v>31</v>
      </c>
      <c r="Q241" s="5">
        <v>44350</v>
      </c>
      <c r="R241" s="6"/>
    </row>
    <row r="242" spans="1:18" ht="38.25" x14ac:dyDescent="0.25">
      <c r="A242" s="2">
        <f t="shared" si="12"/>
        <v>241</v>
      </c>
      <c r="B242" s="2">
        <v>529</v>
      </c>
      <c r="C242" s="2" t="s">
        <v>33</v>
      </c>
      <c r="D242" s="5">
        <v>44347</v>
      </c>
      <c r="E242" s="10">
        <v>0.69444444444444453</v>
      </c>
      <c r="F242" s="1" t="s">
        <v>741</v>
      </c>
      <c r="G242" s="5">
        <v>40542</v>
      </c>
      <c r="H242" s="2" t="str">
        <f t="shared" si="11"/>
        <v>10 г. 5 мес. 1 дн.</v>
      </c>
      <c r="I242" s="2" t="s">
        <v>25</v>
      </c>
      <c r="J242" s="2" t="s">
        <v>33</v>
      </c>
      <c r="K242" s="1" t="s">
        <v>742</v>
      </c>
      <c r="L242" s="1" t="s">
        <v>743</v>
      </c>
      <c r="M242" s="2" t="s">
        <v>63</v>
      </c>
      <c r="N242" s="1">
        <v>0</v>
      </c>
      <c r="O242" s="2" t="s">
        <v>87</v>
      </c>
      <c r="P242" s="2" t="s">
        <v>33</v>
      </c>
      <c r="Q242" s="5">
        <v>44350</v>
      </c>
      <c r="R242" s="6"/>
    </row>
    <row r="243" spans="1:18" ht="25.5" x14ac:dyDescent="0.25">
      <c r="A243" s="2">
        <f t="shared" si="12"/>
        <v>242</v>
      </c>
      <c r="B243" s="2">
        <v>992</v>
      </c>
      <c r="C243" s="2" t="s">
        <v>31</v>
      </c>
      <c r="D243" s="5">
        <v>44347</v>
      </c>
      <c r="E243" s="10">
        <v>0.77777777777777779</v>
      </c>
      <c r="F243" s="1" t="s">
        <v>744</v>
      </c>
      <c r="G243" s="5">
        <v>43798</v>
      </c>
      <c r="H243" s="2" t="str">
        <f t="shared" si="11"/>
        <v>1 г. 6 мес. 2 дн.</v>
      </c>
      <c r="I243" s="2" t="s">
        <v>25</v>
      </c>
      <c r="J243" s="2" t="s">
        <v>31</v>
      </c>
      <c r="K243" s="1" t="s">
        <v>745</v>
      </c>
      <c r="L243" s="1" t="s">
        <v>747</v>
      </c>
      <c r="M243" s="2" t="s">
        <v>65</v>
      </c>
      <c r="N243" s="1">
        <v>0</v>
      </c>
      <c r="O243" s="2" t="s">
        <v>87</v>
      </c>
      <c r="P243" s="2" t="s">
        <v>31</v>
      </c>
      <c r="Q243" s="5">
        <v>44355</v>
      </c>
      <c r="R243" s="6"/>
    </row>
    <row r="244" spans="1:18" ht="25.5" x14ac:dyDescent="0.25">
      <c r="A244" s="2">
        <f t="shared" si="12"/>
        <v>243</v>
      </c>
      <c r="B244" s="2">
        <v>300</v>
      </c>
      <c r="C244" s="2" t="s">
        <v>36</v>
      </c>
      <c r="D244" s="5">
        <v>44347</v>
      </c>
      <c r="E244" s="10">
        <v>0.91666666666666663</v>
      </c>
      <c r="F244" s="1" t="s">
        <v>748</v>
      </c>
      <c r="G244" s="5">
        <v>38834</v>
      </c>
      <c r="H244" s="2" t="str">
        <f t="shared" si="11"/>
        <v>15 г. 1 мес. 4 дн.</v>
      </c>
      <c r="I244" s="2" t="s">
        <v>25</v>
      </c>
      <c r="J244" s="2" t="s">
        <v>36</v>
      </c>
      <c r="K244" s="1" t="s">
        <v>749</v>
      </c>
      <c r="L244" s="1" t="s">
        <v>750</v>
      </c>
      <c r="M244" s="2" t="s">
        <v>66</v>
      </c>
      <c r="N244" s="1">
        <v>0</v>
      </c>
      <c r="O244" s="2" t="s">
        <v>82</v>
      </c>
      <c r="P244" s="2" t="s">
        <v>36</v>
      </c>
      <c r="Q244" s="5">
        <v>44348</v>
      </c>
      <c r="R244" s="6"/>
    </row>
    <row r="245" spans="1:18" ht="25.5" x14ac:dyDescent="0.25">
      <c r="A245" s="2">
        <f t="shared" si="12"/>
        <v>244</v>
      </c>
      <c r="B245" s="2">
        <v>991</v>
      </c>
      <c r="C245" s="2" t="s">
        <v>31</v>
      </c>
      <c r="D245" s="1" t="s">
        <v>751</v>
      </c>
      <c r="E245" s="2"/>
      <c r="F245" s="1" t="s">
        <v>752</v>
      </c>
      <c r="G245" s="5">
        <v>38553</v>
      </c>
      <c r="H245" s="2" t="e">
        <f t="shared" si="11"/>
        <v>#VALUE!</v>
      </c>
      <c r="I245" s="2" t="s">
        <v>28</v>
      </c>
      <c r="J245" s="2" t="s">
        <v>31</v>
      </c>
      <c r="K245" s="1" t="s">
        <v>753</v>
      </c>
      <c r="L245" s="1" t="s">
        <v>754</v>
      </c>
      <c r="M245" s="2" t="s">
        <v>60</v>
      </c>
      <c r="N245" s="1">
        <v>0</v>
      </c>
      <c r="O245" s="2" t="s">
        <v>82</v>
      </c>
      <c r="P245" s="2" t="s">
        <v>31</v>
      </c>
      <c r="Q245" s="5">
        <v>44348</v>
      </c>
      <c r="R245" s="12">
        <v>0.41666666666666669</v>
      </c>
    </row>
    <row r="246" spans="1:18" ht="25.5" x14ac:dyDescent="0.25">
      <c r="A246" s="2">
        <f t="shared" si="12"/>
        <v>245</v>
      </c>
      <c r="B246" s="2">
        <v>989</v>
      </c>
      <c r="C246" s="2" t="s">
        <v>31</v>
      </c>
      <c r="D246" s="5">
        <v>44347</v>
      </c>
      <c r="E246" s="2"/>
      <c r="F246" s="1" t="s">
        <v>756</v>
      </c>
      <c r="G246" s="5">
        <v>44220</v>
      </c>
      <c r="H246" s="2" t="str">
        <f t="shared" si="11"/>
        <v>0 г. 4 мес. 7 дн.</v>
      </c>
      <c r="I246" s="2" t="s">
        <v>28</v>
      </c>
      <c r="J246" s="2" t="s">
        <v>31</v>
      </c>
      <c r="K246" s="1" t="s">
        <v>755</v>
      </c>
      <c r="L246" s="1" t="s">
        <v>754</v>
      </c>
      <c r="M246" s="2" t="s">
        <v>60</v>
      </c>
      <c r="N246" s="1">
        <v>0</v>
      </c>
      <c r="O246" s="2" t="s">
        <v>82</v>
      </c>
      <c r="P246" s="2" t="s">
        <v>31</v>
      </c>
      <c r="Q246" s="5">
        <v>44348</v>
      </c>
      <c r="R246" s="12">
        <v>0.41666666666666669</v>
      </c>
    </row>
    <row r="247" spans="1:18" ht="38.25" x14ac:dyDescent="0.25">
      <c r="A247" s="2">
        <f t="shared" si="12"/>
        <v>246</v>
      </c>
      <c r="B247" s="2">
        <v>521</v>
      </c>
      <c r="C247" s="2" t="s">
        <v>33</v>
      </c>
      <c r="D247" s="5">
        <v>44348</v>
      </c>
      <c r="E247" s="10">
        <v>0.49305555555555558</v>
      </c>
      <c r="F247" s="1" t="s">
        <v>763</v>
      </c>
      <c r="G247" s="5">
        <v>41348</v>
      </c>
      <c r="H247" s="2" t="str">
        <f t="shared" si="11"/>
        <v>8 г. 2 мес. 17 дн.</v>
      </c>
      <c r="I247" s="2" t="s">
        <v>26</v>
      </c>
      <c r="J247" s="2" t="s">
        <v>33</v>
      </c>
      <c r="K247" s="1" t="s">
        <v>764</v>
      </c>
      <c r="L247" s="1" t="s">
        <v>765</v>
      </c>
      <c r="M247" s="2" t="s">
        <v>62</v>
      </c>
      <c r="N247" s="1">
        <v>0</v>
      </c>
      <c r="O247" s="2" t="s">
        <v>82</v>
      </c>
      <c r="P247" s="2" t="s">
        <v>33</v>
      </c>
      <c r="Q247" s="5">
        <v>44351</v>
      </c>
      <c r="R247" s="6"/>
    </row>
    <row r="248" spans="1:18" ht="63.75" x14ac:dyDescent="0.25">
      <c r="A248" s="2">
        <f t="shared" si="12"/>
        <v>247</v>
      </c>
      <c r="B248" s="2">
        <v>301</v>
      </c>
      <c r="C248" s="2" t="s">
        <v>36</v>
      </c>
      <c r="D248" s="5">
        <v>44349</v>
      </c>
      <c r="E248" s="10">
        <v>0.38194444444444442</v>
      </c>
      <c r="F248" s="2" t="s">
        <v>760</v>
      </c>
      <c r="G248" s="4">
        <v>38224</v>
      </c>
      <c r="H248" s="2" t="str">
        <f t="shared" si="11"/>
        <v>16 г. 9 мес. 8 дн.</v>
      </c>
      <c r="I248" s="2" t="s">
        <v>25</v>
      </c>
      <c r="J248" s="2" t="s">
        <v>36</v>
      </c>
      <c r="K248" s="1" t="s">
        <v>761</v>
      </c>
      <c r="L248" s="1" t="s">
        <v>762</v>
      </c>
      <c r="M248" s="2" t="s">
        <v>54</v>
      </c>
      <c r="N248" s="1">
        <v>0</v>
      </c>
      <c r="O248" s="2" t="s">
        <v>82</v>
      </c>
      <c r="P248" s="2" t="s">
        <v>39</v>
      </c>
      <c r="Q248" s="5">
        <v>44350</v>
      </c>
      <c r="R248" s="6"/>
    </row>
    <row r="249" spans="1:18" ht="38.25" x14ac:dyDescent="0.25">
      <c r="A249" s="2">
        <f t="shared" si="12"/>
        <v>248</v>
      </c>
      <c r="B249" s="2">
        <v>526</v>
      </c>
      <c r="C249" s="2" t="s">
        <v>31</v>
      </c>
      <c r="D249" s="5">
        <v>44318</v>
      </c>
      <c r="E249" s="10">
        <v>0.46875</v>
      </c>
      <c r="F249" s="1" t="s">
        <v>757</v>
      </c>
      <c r="G249" s="5">
        <v>39033</v>
      </c>
      <c r="H249" s="2" t="str">
        <f t="shared" si="11"/>
        <v>14 г. 5 мес. 20 дн.</v>
      </c>
      <c r="I249" s="2" t="s">
        <v>26</v>
      </c>
      <c r="J249" s="2" t="s">
        <v>31</v>
      </c>
      <c r="K249" s="1" t="s">
        <v>758</v>
      </c>
      <c r="L249" s="1" t="s">
        <v>759</v>
      </c>
      <c r="M249" s="2" t="s">
        <v>62</v>
      </c>
      <c r="N249" s="1">
        <v>0</v>
      </c>
      <c r="O249" s="2" t="s">
        <v>82</v>
      </c>
      <c r="P249" s="2" t="s">
        <v>31</v>
      </c>
      <c r="Q249" s="5">
        <v>44350</v>
      </c>
      <c r="R249" s="12">
        <v>0.41666666666666669</v>
      </c>
    </row>
    <row r="250" spans="1:18" ht="38.25" x14ac:dyDescent="0.25">
      <c r="A250" s="2">
        <f t="shared" si="12"/>
        <v>249</v>
      </c>
      <c r="B250" s="2">
        <v>532</v>
      </c>
      <c r="C250" s="2" t="s">
        <v>33</v>
      </c>
      <c r="D250" s="5">
        <v>44349</v>
      </c>
      <c r="E250" s="10">
        <v>0.57638888888888895</v>
      </c>
      <c r="F250" s="1" t="s">
        <v>766</v>
      </c>
      <c r="G250" s="5">
        <v>44270</v>
      </c>
      <c r="H250" s="2" t="str">
        <f t="shared" si="11"/>
        <v>0 г. 2 мес. 18 дн.</v>
      </c>
      <c r="I250" s="2" t="s">
        <v>26</v>
      </c>
      <c r="J250" s="2" t="s">
        <v>33</v>
      </c>
      <c r="K250" s="1" t="s">
        <v>768</v>
      </c>
      <c r="L250" s="1" t="s">
        <v>767</v>
      </c>
      <c r="M250" s="2" t="s">
        <v>62</v>
      </c>
      <c r="N250" s="1">
        <v>0</v>
      </c>
      <c r="O250" s="2" t="s">
        <v>82</v>
      </c>
      <c r="P250" s="2" t="s">
        <v>33</v>
      </c>
      <c r="Q250" s="5">
        <v>44351</v>
      </c>
      <c r="R250" s="6"/>
    </row>
    <row r="251" spans="1:18" ht="204" x14ac:dyDescent="0.25">
      <c r="A251" s="19">
        <f t="shared" si="12"/>
        <v>250</v>
      </c>
      <c r="B251" s="19">
        <v>322</v>
      </c>
      <c r="C251" s="19" t="s">
        <v>35</v>
      </c>
      <c r="D251" s="20">
        <v>44350</v>
      </c>
      <c r="E251" s="21">
        <v>0.4513888888888889</v>
      </c>
      <c r="F251" s="22" t="s">
        <v>769</v>
      </c>
      <c r="G251" s="20">
        <v>44322</v>
      </c>
      <c r="H251" s="19" t="str">
        <f t="shared" si="11"/>
        <v>0 г. 0 мес. 28 дн.</v>
      </c>
      <c r="I251" s="19" t="s">
        <v>28</v>
      </c>
      <c r="J251" s="19" t="s">
        <v>35</v>
      </c>
      <c r="K251" s="22" t="s">
        <v>770</v>
      </c>
      <c r="L251" s="22" t="s">
        <v>771</v>
      </c>
      <c r="M251" s="19" t="s">
        <v>67</v>
      </c>
      <c r="N251" s="22" t="s">
        <v>793</v>
      </c>
      <c r="O251" s="19" t="s">
        <v>88</v>
      </c>
      <c r="P251" s="19" t="s">
        <v>40</v>
      </c>
      <c r="Q251" s="5">
        <v>44356</v>
      </c>
      <c r="R251" s="12">
        <v>3.8194444444444441E-2</v>
      </c>
    </row>
    <row r="252" spans="1:18" ht="140.25" x14ac:dyDescent="0.25">
      <c r="A252" s="2">
        <f t="shared" si="12"/>
        <v>251</v>
      </c>
      <c r="B252" s="2">
        <v>547</v>
      </c>
      <c r="C252" s="2" t="s">
        <v>33</v>
      </c>
      <c r="D252" s="5">
        <v>44350</v>
      </c>
      <c r="E252" s="10">
        <v>0.63541666666666663</v>
      </c>
      <c r="F252" s="1" t="s">
        <v>772</v>
      </c>
      <c r="G252" s="5">
        <v>41713</v>
      </c>
      <c r="H252" s="2" t="str">
        <f t="shared" si="11"/>
        <v>7 г. 2 мес. 19 дн.</v>
      </c>
      <c r="I252" s="2" t="s">
        <v>25</v>
      </c>
      <c r="J252" s="2" t="s">
        <v>33</v>
      </c>
      <c r="K252" s="1" t="s">
        <v>773</v>
      </c>
      <c r="L252" s="1" t="s">
        <v>774</v>
      </c>
      <c r="M252" s="2" t="s">
        <v>63</v>
      </c>
      <c r="N252" s="1">
        <v>0</v>
      </c>
      <c r="O252" s="2" t="s">
        <v>82</v>
      </c>
      <c r="P252" s="2" t="s">
        <v>33</v>
      </c>
      <c r="Q252" s="5">
        <v>44351</v>
      </c>
      <c r="R252" s="6"/>
    </row>
    <row r="253" spans="1:18" ht="25.5" x14ac:dyDescent="0.25">
      <c r="A253" s="2">
        <f t="shared" si="12"/>
        <v>252</v>
      </c>
      <c r="B253" s="2">
        <v>1008</v>
      </c>
      <c r="C253" s="2" t="s">
        <v>31</v>
      </c>
      <c r="D253" s="5">
        <v>44350</v>
      </c>
      <c r="E253" s="10">
        <v>0.96875</v>
      </c>
      <c r="F253" s="1" t="s">
        <v>775</v>
      </c>
      <c r="G253" s="5">
        <v>38196</v>
      </c>
      <c r="H253" s="2" t="str">
        <f t="shared" si="11"/>
        <v>16 г. 10 мес. 6 дн.</v>
      </c>
      <c r="I253" s="2" t="s">
        <v>25</v>
      </c>
      <c r="J253" s="2" t="s">
        <v>31</v>
      </c>
      <c r="K253" s="1" t="s">
        <v>776</v>
      </c>
      <c r="L253" s="1" t="s">
        <v>777</v>
      </c>
      <c r="M253" s="2" t="s">
        <v>60</v>
      </c>
      <c r="N253" s="1">
        <v>0</v>
      </c>
      <c r="O253" s="2" t="s">
        <v>82</v>
      </c>
      <c r="P253" s="2" t="s">
        <v>31</v>
      </c>
      <c r="Q253" s="5">
        <v>44351</v>
      </c>
      <c r="R253" s="6"/>
    </row>
    <row r="254" spans="1:18" ht="38.25" x14ac:dyDescent="0.25">
      <c r="A254" s="2">
        <f t="shared" si="12"/>
        <v>253</v>
      </c>
      <c r="B254" s="2">
        <v>239</v>
      </c>
      <c r="C254" s="2" t="s">
        <v>36</v>
      </c>
      <c r="D254" s="5">
        <v>44353</v>
      </c>
      <c r="E254" s="10">
        <v>0.52083333333333337</v>
      </c>
      <c r="F254" s="1" t="s">
        <v>778</v>
      </c>
      <c r="G254" s="5">
        <v>44306</v>
      </c>
      <c r="H254" s="2" t="str">
        <f t="shared" si="11"/>
        <v>0 г. 1 мес. 17 дн.</v>
      </c>
      <c r="I254" s="2" t="s">
        <v>28</v>
      </c>
      <c r="J254" s="2" t="s">
        <v>36</v>
      </c>
      <c r="K254" s="1" t="s">
        <v>779</v>
      </c>
      <c r="L254" s="1" t="s">
        <v>780</v>
      </c>
      <c r="M254" s="2" t="s">
        <v>57</v>
      </c>
      <c r="N254" s="1" t="s">
        <v>105</v>
      </c>
      <c r="O254" s="2" t="s">
        <v>87</v>
      </c>
      <c r="P254" s="2"/>
      <c r="Q254" s="2">
        <v>0</v>
      </c>
      <c r="R254" s="6"/>
    </row>
    <row r="255" spans="1:18" ht="25.5" x14ac:dyDescent="0.25">
      <c r="A255" s="2">
        <f t="shared" si="12"/>
        <v>254</v>
      </c>
      <c r="B255" s="2">
        <v>121</v>
      </c>
      <c r="C255" s="2" t="s">
        <v>31</v>
      </c>
      <c r="D255" s="5">
        <v>44352</v>
      </c>
      <c r="E255" s="10">
        <v>0.70138888888888884</v>
      </c>
      <c r="F255" s="1" t="s">
        <v>781</v>
      </c>
      <c r="G255" s="5">
        <v>39457</v>
      </c>
      <c r="H255" s="2" t="str">
        <f t="shared" si="11"/>
        <v>13 г. 4 мес. 26 дн.</v>
      </c>
      <c r="I255" s="2" t="s">
        <v>25</v>
      </c>
      <c r="J255" s="2" t="s">
        <v>31</v>
      </c>
      <c r="K255" s="1" t="s">
        <v>782</v>
      </c>
      <c r="L255" s="1" t="s">
        <v>783</v>
      </c>
      <c r="M255" s="2" t="s">
        <v>65</v>
      </c>
      <c r="N255" s="1">
        <v>0</v>
      </c>
      <c r="O255" s="2" t="s">
        <v>82</v>
      </c>
      <c r="P255" s="2" t="s">
        <v>31</v>
      </c>
      <c r="Q255" s="5">
        <v>44354</v>
      </c>
      <c r="R255" s="6"/>
    </row>
    <row r="256" spans="1:18" ht="25.5" x14ac:dyDescent="0.25">
      <c r="A256" s="2">
        <f t="shared" si="12"/>
        <v>255</v>
      </c>
      <c r="B256" s="2">
        <v>1027</v>
      </c>
      <c r="C256" s="2" t="s">
        <v>31</v>
      </c>
      <c r="D256" s="4">
        <v>44353</v>
      </c>
      <c r="E256" s="10">
        <v>0.92361111111111116</v>
      </c>
      <c r="F256" s="1" t="s">
        <v>784</v>
      </c>
      <c r="G256" s="5">
        <v>43650</v>
      </c>
      <c r="H256" s="2" t="str">
        <f t="shared" si="11"/>
        <v>1 г. 11 мес. 2 дн.</v>
      </c>
      <c r="I256" s="2" t="s">
        <v>26</v>
      </c>
      <c r="J256" s="2" t="s">
        <v>31</v>
      </c>
      <c r="K256" s="1" t="s">
        <v>785</v>
      </c>
      <c r="L256" s="1" t="s">
        <v>786</v>
      </c>
      <c r="M256" s="2" t="s">
        <v>60</v>
      </c>
      <c r="N256" s="1">
        <v>0</v>
      </c>
      <c r="O256" s="2" t="s">
        <v>82</v>
      </c>
      <c r="P256" s="2" t="s">
        <v>31</v>
      </c>
      <c r="Q256" s="5">
        <v>44354</v>
      </c>
      <c r="R256" s="6"/>
    </row>
    <row r="257" spans="1:18" ht="76.5" x14ac:dyDescent="0.25">
      <c r="A257" s="2">
        <f t="shared" si="12"/>
        <v>256</v>
      </c>
      <c r="B257" s="2">
        <v>1020</v>
      </c>
      <c r="C257" s="2" t="s">
        <v>31</v>
      </c>
      <c r="D257" s="5">
        <v>44352</v>
      </c>
      <c r="E257" s="10">
        <v>0.69097222222222221</v>
      </c>
      <c r="F257" s="1" t="s">
        <v>787</v>
      </c>
      <c r="G257" s="5">
        <v>43654</v>
      </c>
      <c r="H257" s="2" t="str">
        <f t="shared" si="11"/>
        <v>1 г. 10 мес. 28 дн.</v>
      </c>
      <c r="I257" s="2" t="s">
        <v>25</v>
      </c>
      <c r="J257" s="2" t="s">
        <v>31</v>
      </c>
      <c r="K257" s="1" t="s">
        <v>788</v>
      </c>
      <c r="L257" s="1" t="s">
        <v>789</v>
      </c>
      <c r="M257" s="2" t="s">
        <v>57</v>
      </c>
      <c r="N257" s="1" t="s">
        <v>105</v>
      </c>
      <c r="O257" s="1" t="s">
        <v>87</v>
      </c>
      <c r="P257" s="2" t="s">
        <v>38</v>
      </c>
      <c r="Q257" s="5">
        <v>44404</v>
      </c>
      <c r="R257" s="6"/>
    </row>
    <row r="258" spans="1:18" ht="25.5" x14ac:dyDescent="0.25">
      <c r="A258" s="2">
        <f t="shared" si="12"/>
        <v>257</v>
      </c>
      <c r="B258" s="2">
        <v>1038</v>
      </c>
      <c r="C258" s="2" t="s">
        <v>31</v>
      </c>
      <c r="D258" s="5">
        <v>44355</v>
      </c>
      <c r="E258" s="10">
        <v>3.472222222222222E-3</v>
      </c>
      <c r="F258" s="1" t="s">
        <v>799</v>
      </c>
      <c r="G258" s="5">
        <v>41002</v>
      </c>
      <c r="H258" s="2" t="str">
        <f t="shared" si="11"/>
        <v>9 г. 2 мес. 5 дн.</v>
      </c>
      <c r="I258" s="2" t="s">
        <v>26</v>
      </c>
      <c r="J258" s="2" t="s">
        <v>31</v>
      </c>
      <c r="K258" s="1" t="s">
        <v>795</v>
      </c>
      <c r="L258" s="1" t="s">
        <v>790</v>
      </c>
      <c r="M258" s="2" t="s">
        <v>60</v>
      </c>
      <c r="N258" s="1">
        <v>0</v>
      </c>
      <c r="O258" s="1" t="s">
        <v>87</v>
      </c>
      <c r="P258" s="2" t="s">
        <v>31</v>
      </c>
      <c r="Q258" s="5">
        <v>44357</v>
      </c>
      <c r="R258" s="6"/>
    </row>
    <row r="259" spans="1:18" ht="38.25" x14ac:dyDescent="0.25">
      <c r="A259" s="2">
        <f t="shared" si="12"/>
        <v>258</v>
      </c>
      <c r="B259" s="2">
        <v>242</v>
      </c>
      <c r="C259" s="2" t="s">
        <v>38</v>
      </c>
      <c r="D259" s="5">
        <v>44355</v>
      </c>
      <c r="E259" s="10">
        <v>0.66666666666666663</v>
      </c>
      <c r="F259" s="1" t="s">
        <v>791</v>
      </c>
      <c r="G259" s="4">
        <v>42954</v>
      </c>
      <c r="H259" s="2" t="str">
        <f t="shared" si="11"/>
        <v>3 г. 10 мес. 1 дн.</v>
      </c>
      <c r="I259" s="2" t="s">
        <v>27</v>
      </c>
      <c r="J259" s="2" t="s">
        <v>38</v>
      </c>
      <c r="K259" s="1" t="s">
        <v>792</v>
      </c>
      <c r="L259" s="1" t="s">
        <v>204</v>
      </c>
      <c r="M259" s="2" t="s">
        <v>57</v>
      </c>
      <c r="N259" s="1">
        <v>0</v>
      </c>
      <c r="O259" s="2" t="s">
        <v>82</v>
      </c>
      <c r="P259" s="2" t="s">
        <v>38</v>
      </c>
      <c r="Q259" s="5">
        <v>44356</v>
      </c>
      <c r="R259" s="6"/>
    </row>
    <row r="260" spans="1:18" ht="63.75" x14ac:dyDescent="0.25">
      <c r="A260" s="2">
        <f t="shared" si="12"/>
        <v>259</v>
      </c>
      <c r="B260" s="2">
        <v>312</v>
      </c>
      <c r="C260" s="2" t="s">
        <v>36</v>
      </c>
      <c r="D260" s="5">
        <v>44355</v>
      </c>
      <c r="E260" s="10">
        <v>0.95138888888888884</v>
      </c>
      <c r="F260" s="1" t="s">
        <v>794</v>
      </c>
      <c r="G260" s="5">
        <v>43164</v>
      </c>
      <c r="H260" s="2" t="str">
        <f t="shared" ref="H260:H301" si="13">DATEDIF(G260,D260,"y") &amp; " г. " &amp; DATEDIF(G260,D260,"ym") &amp; " мес. " &amp; DATEDIF(G260,D260,"md") &amp; " дн."</f>
        <v>3 г. 3 мес. 3 дн.</v>
      </c>
      <c r="I260" s="2" t="s">
        <v>100</v>
      </c>
      <c r="J260" s="2" t="s">
        <v>36</v>
      </c>
      <c r="K260" s="1" t="s">
        <v>803</v>
      </c>
      <c r="L260" s="1" t="s">
        <v>242</v>
      </c>
      <c r="M260" s="2" t="s">
        <v>54</v>
      </c>
      <c r="N260" s="1">
        <v>0</v>
      </c>
      <c r="O260" s="2" t="s">
        <v>82</v>
      </c>
      <c r="P260" s="2" t="s">
        <v>39</v>
      </c>
      <c r="Q260" s="5">
        <v>44356</v>
      </c>
      <c r="R260" s="6"/>
    </row>
    <row r="261" spans="1:18" ht="38.25" x14ac:dyDescent="0.25">
      <c r="A261" s="2">
        <f t="shared" si="12"/>
        <v>260</v>
      </c>
      <c r="B261" s="2">
        <v>577</v>
      </c>
      <c r="C261" s="1" t="s">
        <v>33</v>
      </c>
      <c r="D261" s="5">
        <v>44356</v>
      </c>
      <c r="E261" s="10">
        <v>0.88888888888888884</v>
      </c>
      <c r="F261" s="1" t="s">
        <v>796</v>
      </c>
      <c r="G261" s="5">
        <v>43139</v>
      </c>
      <c r="H261" s="2" t="str">
        <f t="shared" si="13"/>
        <v>3 г. 4 мес. 1 дн.</v>
      </c>
      <c r="I261" s="2" t="s">
        <v>25</v>
      </c>
      <c r="J261" s="1" t="s">
        <v>33</v>
      </c>
      <c r="K261" s="1" t="s">
        <v>797</v>
      </c>
      <c r="L261" s="1" t="s">
        <v>798</v>
      </c>
      <c r="M261" s="2" t="s">
        <v>63</v>
      </c>
      <c r="N261" s="1">
        <v>0</v>
      </c>
      <c r="O261" s="1" t="s">
        <v>82</v>
      </c>
      <c r="P261" s="2" t="s">
        <v>33</v>
      </c>
      <c r="Q261" s="5">
        <v>44357</v>
      </c>
      <c r="R261" s="6"/>
    </row>
    <row r="262" spans="1:18" ht="25.5" x14ac:dyDescent="0.25">
      <c r="A262" s="2">
        <f t="shared" si="12"/>
        <v>261</v>
      </c>
      <c r="B262" s="2">
        <v>1051</v>
      </c>
      <c r="C262" s="2" t="s">
        <v>31</v>
      </c>
      <c r="D262" s="5">
        <v>44356</v>
      </c>
      <c r="E262" s="10">
        <v>0.83333333333333337</v>
      </c>
      <c r="F262" s="1" t="s">
        <v>800</v>
      </c>
      <c r="G262" s="5">
        <v>43995</v>
      </c>
      <c r="H262" s="2" t="str">
        <f t="shared" si="13"/>
        <v>0 г. 11 мес. 27 дн.</v>
      </c>
      <c r="I262" s="2" t="s">
        <v>27</v>
      </c>
      <c r="J262" s="2" t="s">
        <v>31</v>
      </c>
      <c r="K262" s="1" t="s">
        <v>801</v>
      </c>
      <c r="L262" s="1" t="s">
        <v>802</v>
      </c>
      <c r="M262" s="2" t="s">
        <v>52</v>
      </c>
      <c r="N262" s="1">
        <v>0</v>
      </c>
      <c r="O262" s="2" t="s">
        <v>82</v>
      </c>
      <c r="P262" s="2" t="s">
        <v>31</v>
      </c>
      <c r="Q262" s="5">
        <v>44357</v>
      </c>
      <c r="R262" s="6"/>
    </row>
    <row r="263" spans="1:18" ht="25.5" x14ac:dyDescent="0.25">
      <c r="A263" s="2">
        <f t="shared" si="12"/>
        <v>262</v>
      </c>
      <c r="B263" s="2">
        <v>1056</v>
      </c>
      <c r="C263" s="2" t="s">
        <v>31</v>
      </c>
      <c r="D263" s="5">
        <v>44356</v>
      </c>
      <c r="E263" s="10">
        <v>0.96527777777777779</v>
      </c>
      <c r="F263" s="1" t="s">
        <v>804</v>
      </c>
      <c r="G263" s="5">
        <v>43887</v>
      </c>
      <c r="H263" s="2" t="str">
        <f t="shared" si="13"/>
        <v>1 г. 3 мес. 14 дн.</v>
      </c>
      <c r="I263" s="2" t="s">
        <v>26</v>
      </c>
      <c r="J263" s="2" t="s">
        <v>31</v>
      </c>
      <c r="K263" s="1" t="s">
        <v>805</v>
      </c>
      <c r="L263" s="1" t="s">
        <v>806</v>
      </c>
      <c r="M263" s="2" t="s">
        <v>59</v>
      </c>
      <c r="N263" s="1">
        <v>0</v>
      </c>
      <c r="O263" s="2" t="s">
        <v>82</v>
      </c>
      <c r="P263" s="2" t="s">
        <v>31</v>
      </c>
      <c r="Q263" s="5">
        <v>44357</v>
      </c>
      <c r="R263" s="6"/>
    </row>
    <row r="264" spans="1:18" ht="38.25" x14ac:dyDescent="0.25">
      <c r="A264" s="2">
        <f t="shared" si="12"/>
        <v>263</v>
      </c>
      <c r="B264" s="2">
        <v>561</v>
      </c>
      <c r="C264" s="2" t="s">
        <v>33</v>
      </c>
      <c r="D264" s="5">
        <v>44354</v>
      </c>
      <c r="E264" s="10">
        <v>0.73611111111111116</v>
      </c>
      <c r="F264" s="1" t="s">
        <v>807</v>
      </c>
      <c r="G264" s="5">
        <v>44209</v>
      </c>
      <c r="H264" s="2" t="str">
        <f t="shared" si="13"/>
        <v>0 г. 4 мес. 25 дн.</v>
      </c>
      <c r="I264" s="2" t="s">
        <v>27</v>
      </c>
      <c r="J264" s="2" t="s">
        <v>33</v>
      </c>
      <c r="K264" s="1" t="s">
        <v>808</v>
      </c>
      <c r="L264" s="1" t="s">
        <v>812</v>
      </c>
      <c r="M264" s="2" t="s">
        <v>57</v>
      </c>
      <c r="N264" s="1" t="s">
        <v>105</v>
      </c>
      <c r="O264" s="2" t="s">
        <v>87</v>
      </c>
      <c r="P264" s="2" t="s">
        <v>38</v>
      </c>
      <c r="Q264" s="5">
        <v>44413</v>
      </c>
      <c r="R264" s="6"/>
    </row>
    <row r="265" spans="1:18" ht="25.5" x14ac:dyDescent="0.25">
      <c r="A265" s="2">
        <f t="shared" si="12"/>
        <v>264</v>
      </c>
      <c r="B265" s="2">
        <v>1052</v>
      </c>
      <c r="C265" s="2" t="s">
        <v>31</v>
      </c>
      <c r="D265" s="4">
        <v>44357</v>
      </c>
      <c r="E265" s="10">
        <v>0.59027777777777779</v>
      </c>
      <c r="F265" s="1" t="s">
        <v>809</v>
      </c>
      <c r="G265" s="5">
        <v>38777</v>
      </c>
      <c r="H265" s="2" t="str">
        <f t="shared" si="13"/>
        <v>15 г. 3 мес. 9 дн.</v>
      </c>
      <c r="I265" s="2" t="s">
        <v>26</v>
      </c>
      <c r="J265" s="2" t="s">
        <v>31</v>
      </c>
      <c r="K265" s="1" t="s">
        <v>811</v>
      </c>
      <c r="L265" s="1" t="s">
        <v>810</v>
      </c>
      <c r="M265" s="2" t="s">
        <v>60</v>
      </c>
      <c r="N265" s="1">
        <v>0</v>
      </c>
      <c r="O265" s="2" t="s">
        <v>87</v>
      </c>
      <c r="P265" s="2" t="s">
        <v>31</v>
      </c>
      <c r="Q265" s="5">
        <v>44359</v>
      </c>
      <c r="R265" s="6"/>
    </row>
    <row r="266" spans="1:18" ht="25.5" x14ac:dyDescent="0.25">
      <c r="A266" s="2">
        <f t="shared" si="12"/>
        <v>265</v>
      </c>
      <c r="B266" s="2"/>
      <c r="C266" s="2" t="s">
        <v>36</v>
      </c>
      <c r="D266" s="5">
        <v>44358</v>
      </c>
      <c r="E266" s="10">
        <v>0.86111111111111116</v>
      </c>
      <c r="F266" s="1" t="s">
        <v>813</v>
      </c>
      <c r="G266" s="5">
        <v>38904</v>
      </c>
      <c r="H266" s="2" t="str">
        <f t="shared" si="13"/>
        <v>14 г. 11 мес. 5 дн.</v>
      </c>
      <c r="I266" s="2" t="s">
        <v>100</v>
      </c>
      <c r="J266" s="2" t="s">
        <v>36</v>
      </c>
      <c r="K266" s="1" t="s">
        <v>814</v>
      </c>
      <c r="L266" s="1" t="s">
        <v>513</v>
      </c>
      <c r="M266" s="2" t="s">
        <v>66</v>
      </c>
      <c r="N266" s="1">
        <v>0</v>
      </c>
      <c r="O266" s="2" t="s">
        <v>82</v>
      </c>
      <c r="P266" s="2" t="s">
        <v>36</v>
      </c>
      <c r="Q266" s="5">
        <v>44360</v>
      </c>
      <c r="R266" s="6"/>
    </row>
    <row r="267" spans="1:18" ht="38.25" x14ac:dyDescent="0.25">
      <c r="A267" s="2">
        <f t="shared" si="12"/>
        <v>266</v>
      </c>
      <c r="B267" s="2">
        <v>247</v>
      </c>
      <c r="C267" s="2" t="s">
        <v>38</v>
      </c>
      <c r="D267" s="5">
        <v>44357</v>
      </c>
      <c r="E267" s="10">
        <v>0.66666666666666663</v>
      </c>
      <c r="F267" s="1" t="s">
        <v>817</v>
      </c>
      <c r="G267" s="5">
        <v>43139</v>
      </c>
      <c r="H267" s="2" t="str">
        <f t="shared" si="13"/>
        <v>3 г. 4 мес. 2 дн.</v>
      </c>
      <c r="I267" s="2" t="s">
        <v>27</v>
      </c>
      <c r="J267" s="2" t="s">
        <v>38</v>
      </c>
      <c r="K267" s="1" t="s">
        <v>815</v>
      </c>
      <c r="L267" s="1" t="s">
        <v>816</v>
      </c>
      <c r="M267" s="2" t="s">
        <v>57</v>
      </c>
      <c r="N267" s="1">
        <v>0</v>
      </c>
      <c r="O267" s="2" t="s">
        <v>82</v>
      </c>
      <c r="P267" s="2" t="s">
        <v>38</v>
      </c>
      <c r="Q267" s="5">
        <v>44358</v>
      </c>
      <c r="R267" s="6"/>
    </row>
    <row r="268" spans="1:18" ht="76.5" x14ac:dyDescent="0.3">
      <c r="A268" s="2">
        <f t="shared" si="12"/>
        <v>267</v>
      </c>
      <c r="B268" s="2">
        <v>1085</v>
      </c>
      <c r="C268" s="2" t="s">
        <v>31</v>
      </c>
      <c r="D268" s="5">
        <v>44361</v>
      </c>
      <c r="E268" s="10">
        <v>0.875</v>
      </c>
      <c r="F268" s="43" t="s">
        <v>818</v>
      </c>
      <c r="G268" s="5">
        <v>43805</v>
      </c>
      <c r="H268" s="2" t="str">
        <f t="shared" si="13"/>
        <v>1 г. 6 мес. 8 дн.</v>
      </c>
      <c r="I268" s="2" t="s">
        <v>26</v>
      </c>
      <c r="J268" s="2" t="s">
        <v>31</v>
      </c>
      <c r="K268" s="1" t="s">
        <v>821</v>
      </c>
      <c r="L268" s="1" t="s">
        <v>820</v>
      </c>
      <c r="M268" s="2"/>
      <c r="N268" s="1">
        <v>0</v>
      </c>
      <c r="O268" s="2" t="s">
        <v>82</v>
      </c>
      <c r="P268" s="2" t="s">
        <v>31</v>
      </c>
      <c r="Q268" s="5">
        <v>44362</v>
      </c>
      <c r="R268" s="6"/>
    </row>
    <row r="269" spans="1:18" ht="25.5" x14ac:dyDescent="0.3">
      <c r="A269" s="19">
        <f t="shared" si="12"/>
        <v>268</v>
      </c>
      <c r="B269" s="19">
        <v>1078</v>
      </c>
      <c r="C269" s="19" t="s">
        <v>31</v>
      </c>
      <c r="D269" s="20">
        <v>44361</v>
      </c>
      <c r="E269" s="21">
        <v>1.0416666666666666E-2</v>
      </c>
      <c r="F269" s="72" t="s">
        <v>819</v>
      </c>
      <c r="G269" s="20">
        <v>44350</v>
      </c>
      <c r="H269" s="19" t="str">
        <f t="shared" si="13"/>
        <v>0 г. 0 мес. 11 дн.</v>
      </c>
      <c r="I269" s="19" t="s">
        <v>25</v>
      </c>
      <c r="J269" s="19" t="s">
        <v>31</v>
      </c>
      <c r="K269" s="22" t="s">
        <v>822</v>
      </c>
      <c r="L269" s="22" t="s">
        <v>823</v>
      </c>
      <c r="M269" s="19"/>
      <c r="N269" s="22">
        <v>0</v>
      </c>
      <c r="O269" s="19" t="s">
        <v>82</v>
      </c>
      <c r="P269" s="19"/>
      <c r="Q269" s="19">
        <v>0</v>
      </c>
      <c r="R269" s="73"/>
    </row>
    <row r="270" spans="1:18" ht="25.5" x14ac:dyDescent="0.25">
      <c r="A270" s="2">
        <f t="shared" si="12"/>
        <v>269</v>
      </c>
      <c r="B270" s="2"/>
      <c r="C270" s="2" t="s">
        <v>31</v>
      </c>
      <c r="D270" s="5">
        <v>44361</v>
      </c>
      <c r="E270" s="2"/>
      <c r="F270" s="1" t="s">
        <v>824</v>
      </c>
      <c r="G270" s="44">
        <v>43119</v>
      </c>
      <c r="H270" s="2" t="str">
        <f t="shared" si="13"/>
        <v>3 г. 4 мес. 26 дн.</v>
      </c>
      <c r="I270" s="2" t="s">
        <v>25</v>
      </c>
      <c r="J270" s="2" t="s">
        <v>31</v>
      </c>
      <c r="K270" s="2"/>
      <c r="L270" s="1" t="s">
        <v>825</v>
      </c>
      <c r="M270" s="2"/>
      <c r="N270" s="1">
        <v>0</v>
      </c>
      <c r="O270" s="2" t="s">
        <v>82</v>
      </c>
      <c r="P270" s="2"/>
      <c r="Q270" s="5">
        <v>44362</v>
      </c>
      <c r="R270" s="6"/>
    </row>
    <row r="271" spans="1:18" ht="25.5" x14ac:dyDescent="0.25">
      <c r="A271" s="2">
        <f t="shared" si="12"/>
        <v>270</v>
      </c>
      <c r="B271" s="2"/>
      <c r="C271" s="2" t="s">
        <v>31</v>
      </c>
      <c r="D271" s="5">
        <v>44360</v>
      </c>
      <c r="E271" s="2"/>
      <c r="F271" s="1" t="s">
        <v>826</v>
      </c>
      <c r="G271" s="4">
        <v>43924</v>
      </c>
      <c r="H271" s="2" t="str">
        <f t="shared" si="13"/>
        <v>1 г. 2 мес. 10 дн.</v>
      </c>
      <c r="I271" s="2" t="s">
        <v>25</v>
      </c>
      <c r="J271" s="2" t="s">
        <v>31</v>
      </c>
      <c r="K271" s="1" t="s">
        <v>827</v>
      </c>
      <c r="L271" s="45" t="s">
        <v>828</v>
      </c>
      <c r="M271" s="2"/>
      <c r="N271" s="1">
        <v>0</v>
      </c>
      <c r="O271" s="2" t="s">
        <v>82</v>
      </c>
      <c r="P271" s="2"/>
      <c r="Q271" s="5">
        <v>44362</v>
      </c>
      <c r="R271" s="6"/>
    </row>
    <row r="272" spans="1:18" ht="25.5" x14ac:dyDescent="0.3">
      <c r="A272" s="2">
        <f t="shared" si="12"/>
        <v>271</v>
      </c>
      <c r="B272" s="2">
        <v>1088</v>
      </c>
      <c r="C272" s="2" t="s">
        <v>31</v>
      </c>
      <c r="D272" s="5">
        <v>44362</v>
      </c>
      <c r="E272" s="10">
        <v>0.53125</v>
      </c>
      <c r="F272" s="1" t="s">
        <v>829</v>
      </c>
      <c r="G272" s="4">
        <v>38056</v>
      </c>
      <c r="H272" s="2" t="str">
        <f t="shared" si="13"/>
        <v>17 г. 3 мес. 5 дн.</v>
      </c>
      <c r="I272" s="2" t="s">
        <v>25</v>
      </c>
      <c r="J272" s="2" t="s">
        <v>31</v>
      </c>
      <c r="K272" s="1" t="s">
        <v>830</v>
      </c>
      <c r="L272" s="43" t="s">
        <v>831</v>
      </c>
      <c r="M272" s="2" t="s">
        <v>60</v>
      </c>
      <c r="N272" s="1">
        <v>0</v>
      </c>
      <c r="O272" s="2" t="s">
        <v>87</v>
      </c>
      <c r="P272" s="2"/>
      <c r="Q272" s="2">
        <v>0</v>
      </c>
      <c r="R272" s="6"/>
    </row>
    <row r="273" spans="1:18" ht="25.5" x14ac:dyDescent="0.25">
      <c r="A273" s="2">
        <f t="shared" si="12"/>
        <v>272</v>
      </c>
      <c r="B273" s="2">
        <v>1105</v>
      </c>
      <c r="C273" s="2" t="s">
        <v>31</v>
      </c>
      <c r="D273" s="5">
        <v>44363</v>
      </c>
      <c r="E273" s="10">
        <v>0.79166666666666663</v>
      </c>
      <c r="F273" s="1" t="s">
        <v>832</v>
      </c>
      <c r="G273" s="5">
        <v>40951</v>
      </c>
      <c r="H273" s="2" t="str">
        <f t="shared" si="13"/>
        <v>9 г. 4 мес. 4 дн.</v>
      </c>
      <c r="I273" s="2" t="s">
        <v>25</v>
      </c>
      <c r="J273" s="2" t="s">
        <v>31</v>
      </c>
      <c r="K273" s="1" t="s">
        <v>833</v>
      </c>
      <c r="L273" s="1" t="s">
        <v>834</v>
      </c>
      <c r="M273" s="2" t="s">
        <v>65</v>
      </c>
      <c r="N273" s="1">
        <v>0</v>
      </c>
      <c r="O273" s="2"/>
      <c r="P273" s="2"/>
      <c r="Q273" s="2">
        <v>0</v>
      </c>
      <c r="R273" s="6"/>
    </row>
    <row r="274" spans="1:18" ht="38.25" x14ac:dyDescent="0.25">
      <c r="A274" s="2">
        <f t="shared" si="12"/>
        <v>273</v>
      </c>
      <c r="B274" s="2">
        <v>592</v>
      </c>
      <c r="C274" s="2" t="s">
        <v>31</v>
      </c>
      <c r="D274" s="5">
        <v>44363</v>
      </c>
      <c r="E274" s="10">
        <v>0.64652777777777781</v>
      </c>
      <c r="F274" s="1" t="s">
        <v>835</v>
      </c>
      <c r="G274" s="5">
        <v>39097</v>
      </c>
      <c r="H274" s="2" t="str">
        <f t="shared" si="13"/>
        <v>14 г. 5 мес. 1 дн.</v>
      </c>
      <c r="I274" s="2" t="s">
        <v>26</v>
      </c>
      <c r="J274" s="2" t="s">
        <v>31</v>
      </c>
      <c r="K274" s="1" t="s">
        <v>837</v>
      </c>
      <c r="L274" s="1" t="s">
        <v>836</v>
      </c>
      <c r="M274" s="2" t="s">
        <v>62</v>
      </c>
      <c r="N274" s="1">
        <v>0</v>
      </c>
      <c r="O274" s="2" t="s">
        <v>87</v>
      </c>
      <c r="P274" s="2"/>
      <c r="Q274" s="2">
        <v>0</v>
      </c>
      <c r="R274" s="6"/>
    </row>
    <row r="275" spans="1:18" ht="25.5" x14ac:dyDescent="0.25">
      <c r="A275" s="2">
        <f t="shared" si="12"/>
        <v>274</v>
      </c>
      <c r="B275" s="2">
        <v>579</v>
      </c>
      <c r="C275" s="2" t="s">
        <v>33</v>
      </c>
      <c r="D275" s="5">
        <v>44363</v>
      </c>
      <c r="E275" s="10">
        <v>0.57291666666666663</v>
      </c>
      <c r="F275" s="1" t="s">
        <v>838</v>
      </c>
      <c r="G275" s="5">
        <v>38269</v>
      </c>
      <c r="H275" s="2" t="str">
        <f t="shared" si="13"/>
        <v>16 г. 8 мес. 7 дн.</v>
      </c>
      <c r="I275" s="2" t="s">
        <v>25</v>
      </c>
      <c r="J275" s="2" t="s">
        <v>33</v>
      </c>
      <c r="K275" s="1" t="s">
        <v>839</v>
      </c>
      <c r="L275" s="1" t="s">
        <v>840</v>
      </c>
      <c r="M275" s="2" t="s">
        <v>59</v>
      </c>
      <c r="N275" s="1">
        <v>0</v>
      </c>
      <c r="O275" s="2" t="s">
        <v>82</v>
      </c>
      <c r="P275" s="2"/>
      <c r="Q275" s="2">
        <v>0</v>
      </c>
      <c r="R275" s="6"/>
    </row>
    <row r="276" spans="1:18" ht="25.5" x14ac:dyDescent="0.25">
      <c r="A276" s="2">
        <f t="shared" si="12"/>
        <v>275</v>
      </c>
      <c r="B276" s="2">
        <v>326</v>
      </c>
      <c r="C276" s="2" t="s">
        <v>36</v>
      </c>
      <c r="D276" s="5">
        <v>44363</v>
      </c>
      <c r="E276" s="10">
        <v>0.66666666666666663</v>
      </c>
      <c r="F276" s="1" t="s">
        <v>841</v>
      </c>
      <c r="G276" s="5">
        <v>38160</v>
      </c>
      <c r="H276" s="2" t="str">
        <f t="shared" si="13"/>
        <v>16 г. 11 мес. 25 дн.</v>
      </c>
      <c r="I276" s="2" t="s">
        <v>25</v>
      </c>
      <c r="J276" s="2" t="s">
        <v>36</v>
      </c>
      <c r="K276" s="1" t="s">
        <v>844</v>
      </c>
      <c r="L276" s="1" t="s">
        <v>335</v>
      </c>
      <c r="M276" s="2" t="s">
        <v>66</v>
      </c>
      <c r="N276" s="1">
        <v>0</v>
      </c>
      <c r="O276" s="2"/>
      <c r="P276" s="2"/>
      <c r="Q276" s="2">
        <v>0</v>
      </c>
      <c r="R276" s="6"/>
    </row>
    <row r="277" spans="1:18" ht="25.5" x14ac:dyDescent="0.25">
      <c r="A277" s="2">
        <f t="shared" si="12"/>
        <v>276</v>
      </c>
      <c r="B277" s="2">
        <v>1111</v>
      </c>
      <c r="C277" s="2" t="s">
        <v>31</v>
      </c>
      <c r="D277" s="5">
        <v>44364</v>
      </c>
      <c r="E277" s="10">
        <v>6.5972222222222224E-2</v>
      </c>
      <c r="F277" s="1" t="s">
        <v>842</v>
      </c>
      <c r="G277" s="5">
        <v>43973</v>
      </c>
      <c r="H277" s="2" t="str">
        <f t="shared" si="13"/>
        <v>1 г. 0 мес. 26 дн.</v>
      </c>
      <c r="I277" s="2" t="s">
        <v>26</v>
      </c>
      <c r="J277" s="2" t="s">
        <v>31</v>
      </c>
      <c r="K277" s="1" t="s">
        <v>843</v>
      </c>
      <c r="L277" s="1" t="s">
        <v>362</v>
      </c>
      <c r="M277" s="2" t="s">
        <v>65</v>
      </c>
      <c r="N277" s="1">
        <v>0</v>
      </c>
      <c r="O277" s="2"/>
      <c r="P277" s="2"/>
      <c r="Q277" s="2">
        <v>0</v>
      </c>
      <c r="R277" s="6"/>
    </row>
    <row r="278" spans="1:18" ht="38.25" x14ac:dyDescent="0.25">
      <c r="A278" s="2">
        <f t="shared" si="12"/>
        <v>277</v>
      </c>
      <c r="B278" s="2">
        <v>241</v>
      </c>
      <c r="C278" s="2" t="s">
        <v>38</v>
      </c>
      <c r="D278" s="5">
        <v>44368</v>
      </c>
      <c r="E278" s="10">
        <v>0.66666666666666663</v>
      </c>
      <c r="F278" s="1" t="s">
        <v>845</v>
      </c>
      <c r="G278" s="5">
        <v>43285</v>
      </c>
      <c r="H278" s="2" t="str">
        <f t="shared" si="13"/>
        <v>2 г. 11 мес. 17 дн.</v>
      </c>
      <c r="I278" s="2" t="s">
        <v>27</v>
      </c>
      <c r="J278" s="2" t="s">
        <v>38</v>
      </c>
      <c r="K278" s="1" t="s">
        <v>846</v>
      </c>
      <c r="L278" s="1" t="s">
        <v>847</v>
      </c>
      <c r="M278" s="1" t="s">
        <v>57</v>
      </c>
      <c r="N278" s="1">
        <v>0</v>
      </c>
      <c r="O278" s="2" t="s">
        <v>82</v>
      </c>
      <c r="P278" s="2" t="s">
        <v>38</v>
      </c>
      <c r="Q278" s="5">
        <v>44369</v>
      </c>
      <c r="R278" s="6"/>
    </row>
    <row r="279" spans="1:18" ht="38.25" x14ac:dyDescent="0.25">
      <c r="A279" s="2">
        <f t="shared" si="12"/>
        <v>278</v>
      </c>
      <c r="B279" s="2">
        <v>262</v>
      </c>
      <c r="C279" s="2" t="s">
        <v>38</v>
      </c>
      <c r="D279" s="5">
        <v>44367</v>
      </c>
      <c r="E279" s="10">
        <v>0.76388888888888884</v>
      </c>
      <c r="F279" s="1" t="s">
        <v>848</v>
      </c>
      <c r="G279" s="5">
        <v>42113</v>
      </c>
      <c r="H279" s="2" t="str">
        <f t="shared" si="13"/>
        <v>6 г. 2 мес. 1 дн.</v>
      </c>
      <c r="I279" s="2" t="s">
        <v>25</v>
      </c>
      <c r="J279" s="2" t="s">
        <v>38</v>
      </c>
      <c r="K279" s="1" t="s">
        <v>849</v>
      </c>
      <c r="L279" s="1" t="s">
        <v>850</v>
      </c>
      <c r="M279" s="1" t="s">
        <v>57</v>
      </c>
      <c r="N279" s="1">
        <v>0</v>
      </c>
      <c r="O279" s="2" t="s">
        <v>82</v>
      </c>
      <c r="P279" s="1" t="s">
        <v>851</v>
      </c>
      <c r="Q279" s="5">
        <v>44368</v>
      </c>
      <c r="R279" s="6"/>
    </row>
    <row r="280" spans="1:18" ht="25.5" x14ac:dyDescent="0.25">
      <c r="A280" s="2">
        <f t="shared" si="12"/>
        <v>279</v>
      </c>
      <c r="B280" s="2">
        <v>1119</v>
      </c>
      <c r="C280" s="2" t="s">
        <v>31</v>
      </c>
      <c r="D280" s="5">
        <v>44364</v>
      </c>
      <c r="E280" s="10">
        <v>0.9375</v>
      </c>
      <c r="F280" s="1" t="s">
        <v>852</v>
      </c>
      <c r="G280" s="5">
        <v>43603</v>
      </c>
      <c r="H280" s="2" t="str">
        <f t="shared" si="13"/>
        <v>2 г. 0 мес. 30 дн.</v>
      </c>
      <c r="I280" s="2" t="s">
        <v>25</v>
      </c>
      <c r="J280" s="2" t="s">
        <v>31</v>
      </c>
      <c r="K280" s="1" t="s">
        <v>853</v>
      </c>
      <c r="L280" s="1" t="s">
        <v>854</v>
      </c>
      <c r="M280" s="2" t="s">
        <v>60</v>
      </c>
      <c r="N280" s="1">
        <v>0</v>
      </c>
      <c r="O280" s="1" t="s">
        <v>87</v>
      </c>
      <c r="P280" s="2"/>
      <c r="Q280" s="2">
        <v>0</v>
      </c>
      <c r="R280" s="6"/>
    </row>
    <row r="281" spans="1:18" ht="25.5" x14ac:dyDescent="0.25">
      <c r="A281" s="2">
        <f t="shared" si="12"/>
        <v>280</v>
      </c>
      <c r="B281" s="2">
        <v>1123</v>
      </c>
      <c r="C281" s="2" t="s">
        <v>31</v>
      </c>
      <c r="D281" s="5">
        <v>44366</v>
      </c>
      <c r="E281" s="10">
        <v>0.86458333333333337</v>
      </c>
      <c r="F281" s="1" t="s">
        <v>855</v>
      </c>
      <c r="G281" s="5">
        <v>42663</v>
      </c>
      <c r="H281" s="2" t="str">
        <f t="shared" si="13"/>
        <v>4 г. 7 мес. 30 дн.</v>
      </c>
      <c r="I281" s="2" t="s">
        <v>25</v>
      </c>
      <c r="J281" s="2" t="s">
        <v>31</v>
      </c>
      <c r="K281" s="1" t="s">
        <v>856</v>
      </c>
      <c r="L281" s="1" t="s">
        <v>783</v>
      </c>
      <c r="M281" s="2" t="s">
        <v>65</v>
      </c>
      <c r="N281" s="1">
        <v>0</v>
      </c>
      <c r="O281" s="2" t="s">
        <v>82</v>
      </c>
      <c r="P281" s="2"/>
      <c r="Q281" s="2">
        <v>0</v>
      </c>
      <c r="R281" s="6"/>
    </row>
    <row r="282" spans="1:18" ht="38.25" x14ac:dyDescent="0.25">
      <c r="A282" s="2">
        <f t="shared" si="12"/>
        <v>281</v>
      </c>
      <c r="B282" s="2"/>
      <c r="C282" s="2" t="s">
        <v>38</v>
      </c>
      <c r="D282" s="5">
        <v>44375</v>
      </c>
      <c r="E282" s="10">
        <v>0.66666666666666663</v>
      </c>
      <c r="F282" s="1" t="s">
        <v>857</v>
      </c>
      <c r="G282" s="5">
        <v>42963</v>
      </c>
      <c r="H282" s="2" t="str">
        <f t="shared" si="13"/>
        <v>3 г. 10 мес. 12 дн.</v>
      </c>
      <c r="I282" s="2" t="s">
        <v>27</v>
      </c>
      <c r="J282" s="2" t="s">
        <v>38</v>
      </c>
      <c r="K282" s="2"/>
      <c r="L282" s="1" t="s">
        <v>858</v>
      </c>
      <c r="M282" s="2" t="s">
        <v>57</v>
      </c>
      <c r="N282" s="1">
        <v>0</v>
      </c>
      <c r="O282" s="2" t="s">
        <v>82</v>
      </c>
      <c r="P282" s="2" t="s">
        <v>38</v>
      </c>
      <c r="Q282" s="5">
        <v>44376</v>
      </c>
      <c r="R282" s="6"/>
    </row>
    <row r="283" spans="1:18" ht="38.25" x14ac:dyDescent="0.25">
      <c r="A283" s="2">
        <f t="shared" si="12"/>
        <v>282</v>
      </c>
      <c r="B283" s="2"/>
      <c r="C283" s="2"/>
      <c r="D283" s="2"/>
      <c r="E283" s="10">
        <v>0.93055555555555547</v>
      </c>
      <c r="F283" s="1" t="s">
        <v>859</v>
      </c>
      <c r="G283" s="5">
        <v>43587</v>
      </c>
      <c r="H283" s="2" t="e">
        <f t="shared" si="13"/>
        <v>#NUM!</v>
      </c>
      <c r="I283" s="1" t="s">
        <v>25</v>
      </c>
      <c r="J283" s="1" t="s">
        <v>31</v>
      </c>
      <c r="K283" s="1" t="s">
        <v>860</v>
      </c>
      <c r="L283" s="1" t="s">
        <v>861</v>
      </c>
      <c r="M283" s="2" t="s">
        <v>62</v>
      </c>
      <c r="N283" s="1">
        <v>0</v>
      </c>
      <c r="O283" s="1" t="s">
        <v>82</v>
      </c>
      <c r="P283" s="1" t="s">
        <v>31</v>
      </c>
      <c r="Q283" s="5">
        <v>44348</v>
      </c>
      <c r="R283" s="6"/>
    </row>
    <row r="284" spans="1:18" ht="25.5" x14ac:dyDescent="0.2">
      <c r="A284" s="2">
        <f t="shared" si="12"/>
        <v>283</v>
      </c>
      <c r="B284" s="2">
        <v>1154</v>
      </c>
      <c r="C284" s="2" t="s">
        <v>31</v>
      </c>
      <c r="D284" s="5">
        <v>44369</v>
      </c>
      <c r="E284" s="10">
        <v>0.77083333333333337</v>
      </c>
      <c r="F284" s="46" t="s">
        <v>908</v>
      </c>
      <c r="G284" s="5">
        <v>43662</v>
      </c>
      <c r="H284" s="2" t="str">
        <f t="shared" si="13"/>
        <v>1 г. 11 мес. 6 дн.</v>
      </c>
      <c r="I284" s="2"/>
      <c r="J284" s="2" t="s">
        <v>31</v>
      </c>
      <c r="K284" s="1" t="s">
        <v>909</v>
      </c>
      <c r="L284" s="46" t="s">
        <v>862</v>
      </c>
      <c r="M284" s="2" t="s">
        <v>60</v>
      </c>
      <c r="N284" s="1">
        <v>0</v>
      </c>
      <c r="O284" s="2" t="s">
        <v>82</v>
      </c>
      <c r="P284" s="2" t="s">
        <v>31</v>
      </c>
      <c r="Q284" s="5">
        <v>44371</v>
      </c>
      <c r="R284" s="6"/>
    </row>
    <row r="285" spans="1:18" ht="38.25" x14ac:dyDescent="0.2">
      <c r="A285" s="2">
        <f t="shared" ref="A285:A348" si="14">ROW(A284)</f>
        <v>284</v>
      </c>
      <c r="B285" s="2">
        <v>1170</v>
      </c>
      <c r="C285" s="2" t="s">
        <v>31</v>
      </c>
      <c r="D285" s="5">
        <v>44370</v>
      </c>
      <c r="E285" s="10">
        <v>0.98611111111111116</v>
      </c>
      <c r="F285" s="1" t="s">
        <v>910</v>
      </c>
      <c r="G285" s="5">
        <v>38035</v>
      </c>
      <c r="H285" s="2" t="str">
        <f t="shared" si="13"/>
        <v>17 г. 4 мес. 5 дн.</v>
      </c>
      <c r="I285" s="2" t="s">
        <v>28</v>
      </c>
      <c r="J285" s="2" t="s">
        <v>31</v>
      </c>
      <c r="K285" s="1" t="s">
        <v>911</v>
      </c>
      <c r="L285" s="46" t="s">
        <v>863</v>
      </c>
      <c r="M285" s="2" t="s">
        <v>63</v>
      </c>
      <c r="N285" s="1">
        <v>0</v>
      </c>
      <c r="O285" s="2" t="s">
        <v>82</v>
      </c>
      <c r="P285" s="2"/>
      <c r="Q285" s="2">
        <v>0</v>
      </c>
      <c r="R285" s="6"/>
    </row>
    <row r="286" spans="1:18" ht="25.5" x14ac:dyDescent="0.25">
      <c r="A286" s="2">
        <f t="shared" si="14"/>
        <v>285</v>
      </c>
      <c r="B286" s="2">
        <v>1179</v>
      </c>
      <c r="C286" s="2" t="s">
        <v>31</v>
      </c>
      <c r="D286" s="5">
        <v>44371</v>
      </c>
      <c r="E286" s="10">
        <v>0.46875</v>
      </c>
      <c r="F286" s="47" t="s">
        <v>912</v>
      </c>
      <c r="G286" s="5">
        <v>44341</v>
      </c>
      <c r="H286" s="2" t="str">
        <f t="shared" si="13"/>
        <v>0 г. 0 мес. 30 дн.</v>
      </c>
      <c r="I286" s="2" t="s">
        <v>27</v>
      </c>
      <c r="J286" s="2" t="s">
        <v>31</v>
      </c>
      <c r="K286" s="1" t="s">
        <v>913</v>
      </c>
      <c r="L286" s="49" t="s">
        <v>864</v>
      </c>
      <c r="M286" s="2" t="s">
        <v>60</v>
      </c>
      <c r="N286" s="1">
        <v>0</v>
      </c>
      <c r="O286" s="2" t="s">
        <v>82</v>
      </c>
      <c r="P286" s="2"/>
      <c r="Q286" s="2">
        <v>0</v>
      </c>
      <c r="R286" s="6"/>
    </row>
    <row r="287" spans="1:18" ht="38.25" x14ac:dyDescent="0.2">
      <c r="A287" s="2">
        <f t="shared" si="14"/>
        <v>286</v>
      </c>
      <c r="B287" s="2">
        <v>609</v>
      </c>
      <c r="C287" s="2" t="s">
        <v>33</v>
      </c>
      <c r="D287" s="5">
        <v>44366</v>
      </c>
      <c r="E287" s="2"/>
      <c r="F287" s="48" t="s">
        <v>958</v>
      </c>
      <c r="G287" s="5">
        <v>37827</v>
      </c>
      <c r="H287" s="2" t="str">
        <f t="shared" si="13"/>
        <v>17 г. 10 мес. 25 дн.</v>
      </c>
      <c r="I287" s="2" t="s">
        <v>25</v>
      </c>
      <c r="J287" s="2" t="s">
        <v>33</v>
      </c>
      <c r="K287" s="1" t="s">
        <v>959</v>
      </c>
      <c r="L287" s="46" t="s">
        <v>683</v>
      </c>
      <c r="M287" s="2" t="s">
        <v>63</v>
      </c>
      <c r="N287" s="1">
        <v>0</v>
      </c>
      <c r="O287" s="2" t="s">
        <v>82</v>
      </c>
      <c r="P287" s="2"/>
      <c r="Q287" s="2">
        <v>0</v>
      </c>
      <c r="R287" s="6"/>
    </row>
    <row r="288" spans="1:18" x14ac:dyDescent="0.2">
      <c r="A288" s="2">
        <f t="shared" si="14"/>
        <v>287</v>
      </c>
      <c r="B288" s="2">
        <v>1186</v>
      </c>
      <c r="C288" s="2" t="s">
        <v>31</v>
      </c>
      <c r="D288" s="5">
        <v>44372</v>
      </c>
      <c r="E288" s="10">
        <v>0.47916666666666669</v>
      </c>
      <c r="F288" s="50" t="s">
        <v>914</v>
      </c>
      <c r="G288" s="4">
        <v>43822</v>
      </c>
      <c r="H288" s="2" t="str">
        <f t="shared" si="13"/>
        <v>1 г. 6 мес. 2 дн.</v>
      </c>
      <c r="I288" s="2" t="s">
        <v>25</v>
      </c>
      <c r="J288" s="2" t="s">
        <v>31</v>
      </c>
      <c r="K288" s="1" t="s">
        <v>915</v>
      </c>
      <c r="L288" s="46" t="s">
        <v>556</v>
      </c>
      <c r="M288" s="2" t="s">
        <v>65</v>
      </c>
      <c r="N288" s="1">
        <v>0</v>
      </c>
      <c r="O288" s="2"/>
      <c r="P288" s="2"/>
      <c r="Q288" s="2">
        <v>0</v>
      </c>
      <c r="R288" s="6"/>
    </row>
    <row r="289" spans="1:18" ht="25.5" x14ac:dyDescent="0.2">
      <c r="A289" s="2">
        <f t="shared" si="14"/>
        <v>288</v>
      </c>
      <c r="B289" s="64">
        <v>349</v>
      </c>
      <c r="C289" s="64" t="s">
        <v>35</v>
      </c>
      <c r="D289" s="65">
        <v>44372</v>
      </c>
      <c r="E289" s="66">
        <v>0.54166666666666663</v>
      </c>
      <c r="F289" s="68" t="s">
        <v>889</v>
      </c>
      <c r="G289" s="65">
        <v>44335</v>
      </c>
      <c r="H289" s="64" t="str">
        <f t="shared" si="13"/>
        <v>0 г. 1 мес. 6 дн.</v>
      </c>
      <c r="I289" s="64" t="s">
        <v>28</v>
      </c>
      <c r="J289" s="64" t="s">
        <v>35</v>
      </c>
      <c r="K289" s="64" t="s">
        <v>885</v>
      </c>
      <c r="L289" s="69" t="s">
        <v>865</v>
      </c>
      <c r="M289" s="64"/>
      <c r="N289" s="22">
        <v>0</v>
      </c>
      <c r="O289" s="19" t="s">
        <v>87</v>
      </c>
      <c r="P289" s="19" t="s">
        <v>40</v>
      </c>
      <c r="Q289" s="2">
        <v>0</v>
      </c>
      <c r="R289" s="6"/>
    </row>
    <row r="290" spans="1:18" ht="25.5" x14ac:dyDescent="0.2">
      <c r="A290" s="2">
        <f t="shared" si="14"/>
        <v>289</v>
      </c>
      <c r="B290" s="2">
        <v>347</v>
      </c>
      <c r="C290" s="2" t="s">
        <v>36</v>
      </c>
      <c r="D290" s="5">
        <v>44372</v>
      </c>
      <c r="E290" s="10">
        <v>6.5972222222222224E-2</v>
      </c>
      <c r="F290" s="50" t="s">
        <v>897</v>
      </c>
      <c r="G290" s="5">
        <v>38290</v>
      </c>
      <c r="H290" s="2" t="str">
        <f t="shared" si="13"/>
        <v>16 г. 7 мес. 26 дн.</v>
      </c>
      <c r="I290" s="2" t="s">
        <v>25</v>
      </c>
      <c r="J290" s="2" t="s">
        <v>36</v>
      </c>
      <c r="K290" s="2"/>
      <c r="L290" s="46" t="s">
        <v>513</v>
      </c>
      <c r="M290" s="2" t="s">
        <v>66</v>
      </c>
      <c r="N290" s="1">
        <v>0</v>
      </c>
      <c r="O290" s="2" t="s">
        <v>82</v>
      </c>
      <c r="P290" s="2" t="s">
        <v>36</v>
      </c>
      <c r="Q290" s="2">
        <v>0</v>
      </c>
      <c r="R290" s="6"/>
    </row>
    <row r="291" spans="1:18" ht="38.25" x14ac:dyDescent="0.2">
      <c r="A291" s="2">
        <f t="shared" si="14"/>
        <v>290</v>
      </c>
      <c r="B291" s="2">
        <v>637</v>
      </c>
      <c r="C291" s="2" t="s">
        <v>33</v>
      </c>
      <c r="D291" s="5">
        <v>44372</v>
      </c>
      <c r="E291" s="10">
        <v>0.77430555555555547</v>
      </c>
      <c r="F291" s="50" t="s">
        <v>898</v>
      </c>
      <c r="G291" s="56">
        <v>41241</v>
      </c>
      <c r="H291" s="2" t="str">
        <f t="shared" si="13"/>
        <v>8 г. 6 мес. 28 дн.</v>
      </c>
      <c r="I291" s="2" t="s">
        <v>25</v>
      </c>
      <c r="J291" s="2" t="s">
        <v>33</v>
      </c>
      <c r="K291" s="2"/>
      <c r="L291" s="46" t="s">
        <v>683</v>
      </c>
      <c r="M291" s="2" t="s">
        <v>63</v>
      </c>
      <c r="N291" s="1">
        <v>0</v>
      </c>
      <c r="O291" s="2" t="s">
        <v>82</v>
      </c>
      <c r="P291" s="2"/>
      <c r="Q291" s="2">
        <v>0</v>
      </c>
      <c r="R291" s="6"/>
    </row>
    <row r="292" spans="1:18" ht="38.25" x14ac:dyDescent="0.2">
      <c r="A292" s="2">
        <f t="shared" si="14"/>
        <v>291</v>
      </c>
      <c r="B292" s="2">
        <v>636</v>
      </c>
      <c r="C292" s="2" t="s">
        <v>33</v>
      </c>
      <c r="D292" s="5">
        <v>44372</v>
      </c>
      <c r="E292" s="10">
        <v>0.77083333333333337</v>
      </c>
      <c r="F292" s="50" t="s">
        <v>898</v>
      </c>
      <c r="G292" s="56">
        <v>39939</v>
      </c>
      <c r="H292" s="2" t="str">
        <f t="shared" si="13"/>
        <v>12 г. 1 мес. 19 дн.</v>
      </c>
      <c r="I292" s="2" t="s">
        <v>25</v>
      </c>
      <c r="J292" s="2" t="s">
        <v>33</v>
      </c>
      <c r="K292" s="2"/>
      <c r="L292" s="46" t="s">
        <v>683</v>
      </c>
      <c r="M292" s="2" t="s">
        <v>63</v>
      </c>
      <c r="N292" s="1">
        <v>0</v>
      </c>
      <c r="O292" s="2" t="s">
        <v>82</v>
      </c>
      <c r="P292" s="2"/>
      <c r="Q292" s="2">
        <v>0</v>
      </c>
      <c r="R292" s="6"/>
    </row>
    <row r="293" spans="1:18" ht="25.5" x14ac:dyDescent="0.2">
      <c r="A293" s="2">
        <f t="shared" si="14"/>
        <v>292</v>
      </c>
      <c r="B293" s="2">
        <v>1193</v>
      </c>
      <c r="C293" s="2" t="s">
        <v>31</v>
      </c>
      <c r="D293" s="4">
        <v>44373</v>
      </c>
      <c r="E293" s="10">
        <v>0.86458333333333337</v>
      </c>
      <c r="F293" s="48" t="s">
        <v>916</v>
      </c>
      <c r="G293" s="5">
        <v>42382</v>
      </c>
      <c r="H293" s="2" t="str">
        <f t="shared" si="13"/>
        <v>5 г. 5 мес. 13 дн.</v>
      </c>
      <c r="I293" s="2" t="s">
        <v>25</v>
      </c>
      <c r="J293" s="2" t="s">
        <v>31</v>
      </c>
      <c r="K293" s="1" t="s">
        <v>917</v>
      </c>
      <c r="L293" s="46" t="s">
        <v>783</v>
      </c>
      <c r="M293" s="2" t="s">
        <v>65</v>
      </c>
      <c r="N293" s="1">
        <v>0</v>
      </c>
      <c r="O293" s="2" t="s">
        <v>82</v>
      </c>
      <c r="P293" s="2"/>
      <c r="Q293" s="2">
        <v>0</v>
      </c>
      <c r="R293" s="6"/>
    </row>
    <row r="294" spans="1:18" ht="38.25" x14ac:dyDescent="0.2">
      <c r="A294" s="2">
        <f t="shared" si="14"/>
        <v>293</v>
      </c>
      <c r="B294" s="2">
        <v>275</v>
      </c>
      <c r="C294" s="2" t="s">
        <v>32</v>
      </c>
      <c r="D294" s="51">
        <v>44374</v>
      </c>
      <c r="E294" s="10">
        <v>0.64930555555555558</v>
      </c>
      <c r="F294" s="50" t="s">
        <v>899</v>
      </c>
      <c r="G294" s="5">
        <v>38809</v>
      </c>
      <c r="H294" s="2" t="str">
        <f t="shared" si="13"/>
        <v>15 г. 2 мес. 25 дн.</v>
      </c>
      <c r="I294" s="2" t="s">
        <v>25</v>
      </c>
      <c r="J294" s="2" t="s">
        <v>32</v>
      </c>
      <c r="K294" s="2"/>
      <c r="L294" s="50" t="s">
        <v>867</v>
      </c>
      <c r="M294" s="2" t="s">
        <v>57</v>
      </c>
      <c r="N294" s="1">
        <v>0</v>
      </c>
      <c r="O294" s="2"/>
      <c r="P294" s="2"/>
      <c r="Q294" s="2">
        <v>0</v>
      </c>
      <c r="R294" s="6"/>
    </row>
    <row r="295" spans="1:18" ht="25.5" x14ac:dyDescent="0.2">
      <c r="A295" s="2">
        <f t="shared" si="14"/>
        <v>294</v>
      </c>
      <c r="B295" s="2">
        <v>359</v>
      </c>
      <c r="C295" s="2" t="s">
        <v>36</v>
      </c>
      <c r="D295" s="51">
        <v>44375</v>
      </c>
      <c r="E295" s="10">
        <v>0.66666666666666663</v>
      </c>
      <c r="F295" s="50" t="s">
        <v>934</v>
      </c>
      <c r="G295" s="5">
        <v>43413</v>
      </c>
      <c r="H295" s="2" t="str">
        <f t="shared" si="13"/>
        <v>2 г. 7 мес. 19 дн.</v>
      </c>
      <c r="I295" s="2" t="s">
        <v>28</v>
      </c>
      <c r="J295" s="2" t="s">
        <v>36</v>
      </c>
      <c r="K295" s="1" t="s">
        <v>935</v>
      </c>
      <c r="L295" s="46" t="s">
        <v>866</v>
      </c>
      <c r="M295" s="2" t="s">
        <v>65</v>
      </c>
      <c r="N295" s="1">
        <v>0</v>
      </c>
      <c r="O295" s="2"/>
      <c r="P295" s="2"/>
      <c r="Q295" s="2">
        <v>0</v>
      </c>
      <c r="R295" s="6"/>
    </row>
    <row r="296" spans="1:18" ht="25.5" x14ac:dyDescent="0.2">
      <c r="A296" s="2">
        <f t="shared" si="14"/>
        <v>295</v>
      </c>
      <c r="B296" s="2">
        <v>1200</v>
      </c>
      <c r="C296" s="2" t="s">
        <v>31</v>
      </c>
      <c r="D296" s="51">
        <v>44374</v>
      </c>
      <c r="E296" s="10">
        <v>0.82291666666666663</v>
      </c>
      <c r="F296" s="50" t="s">
        <v>900</v>
      </c>
      <c r="G296" s="5">
        <v>41912</v>
      </c>
      <c r="H296" s="2" t="str">
        <f t="shared" si="13"/>
        <v>6 г. 8 мес. 28 дн.</v>
      </c>
      <c r="I296" s="2" t="s">
        <v>25</v>
      </c>
      <c r="J296" s="2" t="s">
        <v>31</v>
      </c>
      <c r="K296" s="1" t="s">
        <v>918</v>
      </c>
      <c r="L296" s="46" t="s">
        <v>868</v>
      </c>
      <c r="M296" s="2" t="s">
        <v>65</v>
      </c>
      <c r="N296" s="1">
        <v>0</v>
      </c>
      <c r="O296" s="2"/>
      <c r="P296" s="2"/>
      <c r="Q296" s="2">
        <v>0</v>
      </c>
      <c r="R296" s="6"/>
    </row>
    <row r="297" spans="1:18" ht="63.75" x14ac:dyDescent="0.2">
      <c r="A297" s="2">
        <f t="shared" si="14"/>
        <v>296</v>
      </c>
      <c r="B297" s="2">
        <v>356</v>
      </c>
      <c r="C297" s="2" t="s">
        <v>36</v>
      </c>
      <c r="D297" s="5">
        <v>44374</v>
      </c>
      <c r="E297" s="10">
        <v>0.11805555555555557</v>
      </c>
      <c r="F297" s="50" t="s">
        <v>890</v>
      </c>
      <c r="G297" s="5">
        <v>38224</v>
      </c>
      <c r="H297" s="2" t="str">
        <f t="shared" si="13"/>
        <v>16 г. 10 мес. 2 дн.</v>
      </c>
      <c r="I297" s="2" t="s">
        <v>25</v>
      </c>
      <c r="J297" s="2" t="s">
        <v>36</v>
      </c>
      <c r="K297" s="1" t="s">
        <v>891</v>
      </c>
      <c r="L297" s="46" t="s">
        <v>869</v>
      </c>
      <c r="M297" s="2" t="s">
        <v>54</v>
      </c>
      <c r="N297" s="1">
        <v>0</v>
      </c>
      <c r="O297" s="2"/>
      <c r="P297" s="2"/>
      <c r="Q297" s="2">
        <v>0</v>
      </c>
      <c r="R297" s="6"/>
    </row>
    <row r="298" spans="1:18" ht="38.25" x14ac:dyDescent="0.2">
      <c r="A298" s="2">
        <f t="shared" si="14"/>
        <v>297</v>
      </c>
      <c r="B298" s="2">
        <v>640</v>
      </c>
      <c r="C298" s="2" t="s">
        <v>33</v>
      </c>
      <c r="D298" s="51">
        <v>44374</v>
      </c>
      <c r="E298" s="2"/>
      <c r="F298" s="50" t="s">
        <v>905</v>
      </c>
      <c r="G298" s="5">
        <v>37991</v>
      </c>
      <c r="H298" s="2" t="str">
        <f t="shared" si="13"/>
        <v>17 г. 5 мес. 22 дн.</v>
      </c>
      <c r="I298" s="2" t="s">
        <v>25</v>
      </c>
      <c r="J298" s="2" t="s">
        <v>33</v>
      </c>
      <c r="K298" s="2"/>
      <c r="L298" s="46" t="s">
        <v>870</v>
      </c>
      <c r="M298" s="2" t="s">
        <v>63</v>
      </c>
      <c r="N298" s="1">
        <v>0</v>
      </c>
      <c r="O298" s="2"/>
      <c r="P298" s="2"/>
      <c r="Q298" s="2">
        <v>0</v>
      </c>
      <c r="R298" s="6"/>
    </row>
    <row r="299" spans="1:18" ht="25.5" x14ac:dyDescent="0.2">
      <c r="A299" s="2">
        <f t="shared" si="14"/>
        <v>298</v>
      </c>
      <c r="B299" s="2">
        <v>361</v>
      </c>
      <c r="C299" s="2" t="s">
        <v>36</v>
      </c>
      <c r="D299" s="51">
        <v>44375</v>
      </c>
      <c r="E299" s="10">
        <v>0.57638888888888895</v>
      </c>
      <c r="F299" s="52" t="s">
        <v>936</v>
      </c>
      <c r="G299" s="5">
        <v>40362</v>
      </c>
      <c r="H299" s="2" t="str">
        <f t="shared" si="13"/>
        <v>10 г. 11 мес. 25 дн.</v>
      </c>
      <c r="I299" s="2" t="s">
        <v>25</v>
      </c>
      <c r="J299" s="2" t="s">
        <v>36</v>
      </c>
      <c r="K299" s="1" t="s">
        <v>937</v>
      </c>
      <c r="L299" s="49" t="s">
        <v>872</v>
      </c>
      <c r="M299" s="2" t="s">
        <v>66</v>
      </c>
      <c r="N299" s="1">
        <v>0</v>
      </c>
      <c r="O299" s="2" t="s">
        <v>82</v>
      </c>
      <c r="P299" s="2" t="s">
        <v>36</v>
      </c>
      <c r="Q299" s="5">
        <v>44377</v>
      </c>
      <c r="R299" s="6"/>
    </row>
    <row r="300" spans="1:18" ht="38.25" x14ac:dyDescent="0.2">
      <c r="A300" s="2">
        <f t="shared" si="14"/>
        <v>299</v>
      </c>
      <c r="B300" s="2">
        <v>1213</v>
      </c>
      <c r="C300" s="2" t="s">
        <v>31</v>
      </c>
      <c r="D300" s="5">
        <v>44375</v>
      </c>
      <c r="E300" s="10">
        <v>0.46875</v>
      </c>
      <c r="F300" s="1" t="s">
        <v>919</v>
      </c>
      <c r="G300" s="5">
        <v>37989</v>
      </c>
      <c r="H300" s="2" t="str">
        <f t="shared" si="13"/>
        <v>17 г. 5 мес. 25 дн.</v>
      </c>
      <c r="I300" s="2" t="s">
        <v>28</v>
      </c>
      <c r="J300" s="2" t="s">
        <v>31</v>
      </c>
      <c r="K300" s="1" t="s">
        <v>920</v>
      </c>
      <c r="L300" s="46" t="s">
        <v>871</v>
      </c>
      <c r="M300" s="2" t="s">
        <v>61</v>
      </c>
      <c r="N300" s="1">
        <v>0</v>
      </c>
      <c r="O300" s="2" t="s">
        <v>82</v>
      </c>
      <c r="P300" s="2" t="s">
        <v>31</v>
      </c>
      <c r="Q300" s="5">
        <v>44377</v>
      </c>
      <c r="R300" s="6"/>
    </row>
    <row r="301" spans="1:18" ht="38.25" x14ac:dyDescent="0.2">
      <c r="A301" s="2">
        <f t="shared" si="14"/>
        <v>300</v>
      </c>
      <c r="B301" s="2">
        <v>386</v>
      </c>
      <c r="C301" s="2" t="s">
        <v>35</v>
      </c>
      <c r="D301" s="5">
        <v>44377</v>
      </c>
      <c r="E301" s="10">
        <v>0.5625</v>
      </c>
      <c r="F301" s="46" t="s">
        <v>883</v>
      </c>
      <c r="G301" s="5">
        <v>44323</v>
      </c>
      <c r="H301" s="2" t="str">
        <f t="shared" si="13"/>
        <v>0 г. 1 мес. 23 дн.</v>
      </c>
      <c r="I301" s="2" t="s">
        <v>28</v>
      </c>
      <c r="J301" s="2" t="s">
        <v>35</v>
      </c>
      <c r="K301" s="1" t="s">
        <v>884</v>
      </c>
      <c r="L301" s="49" t="s">
        <v>359</v>
      </c>
      <c r="M301" s="2" t="s">
        <v>57</v>
      </c>
      <c r="N301" s="1" t="s">
        <v>105</v>
      </c>
      <c r="O301" s="2" t="s">
        <v>88</v>
      </c>
      <c r="P301" s="2"/>
      <c r="Q301" s="2">
        <v>0</v>
      </c>
      <c r="R301" s="6"/>
    </row>
    <row r="302" spans="1:18" ht="38.25" x14ac:dyDescent="0.25">
      <c r="A302" s="2">
        <f t="shared" si="14"/>
        <v>301</v>
      </c>
      <c r="B302" s="60"/>
      <c r="C302" s="1" t="s">
        <v>1012</v>
      </c>
      <c r="D302" s="4">
        <v>44377</v>
      </c>
      <c r="F302" s="45" t="s">
        <v>859</v>
      </c>
      <c r="G302" s="4">
        <v>43587</v>
      </c>
      <c r="H302" s="60"/>
      <c r="I302" s="60"/>
      <c r="J302" s="1" t="s">
        <v>1012</v>
      </c>
      <c r="L302" s="1" t="s">
        <v>957</v>
      </c>
      <c r="M302" s="2" t="s">
        <v>63</v>
      </c>
      <c r="N302" s="60"/>
      <c r="P302" s="2"/>
      <c r="Q302" s="2">
        <v>0</v>
      </c>
      <c r="R302" s="6"/>
    </row>
    <row r="303" spans="1:18" ht="25.5" x14ac:dyDescent="0.25">
      <c r="A303" s="2">
        <f t="shared" si="14"/>
        <v>302</v>
      </c>
      <c r="B303" s="60">
        <v>364</v>
      </c>
      <c r="C303" s="1" t="s">
        <v>36</v>
      </c>
      <c r="D303" s="4">
        <v>44377</v>
      </c>
      <c r="E303" s="15">
        <v>0.44444444444444442</v>
      </c>
      <c r="F303" s="1" t="s">
        <v>938</v>
      </c>
      <c r="G303" s="4">
        <v>39815</v>
      </c>
      <c r="H303" s="60" t="str">
        <f t="shared" ref="H303:H326" si="15">DATEDIF(G303,D303,"y") &amp; " г. " &amp; DATEDIF(G303,D303,"ym") &amp; " мес. " &amp; DATEDIF(G303,D303,"md") &amp; " дн."</f>
        <v>12 г. 5 мес. 28 дн.</v>
      </c>
      <c r="I303" s="60"/>
      <c r="J303" s="1" t="s">
        <v>36</v>
      </c>
      <c r="L303" s="1" t="s">
        <v>873</v>
      </c>
      <c r="M303" s="1" t="s">
        <v>66</v>
      </c>
      <c r="N303" s="60">
        <v>0</v>
      </c>
      <c r="P303" s="2"/>
      <c r="Q303" s="2">
        <v>0</v>
      </c>
      <c r="R303" s="6"/>
    </row>
    <row r="304" spans="1:18" ht="25.5" x14ac:dyDescent="0.25">
      <c r="A304" s="2">
        <f t="shared" si="14"/>
        <v>303</v>
      </c>
      <c r="B304" s="60">
        <v>1064</v>
      </c>
      <c r="C304" s="1" t="s">
        <v>31</v>
      </c>
      <c r="D304" s="4">
        <v>44380</v>
      </c>
      <c r="E304" s="15">
        <v>0.45833333333333331</v>
      </c>
      <c r="F304" s="1" t="s">
        <v>901</v>
      </c>
      <c r="G304" s="4">
        <v>38021</v>
      </c>
      <c r="H304" s="60" t="str">
        <f t="shared" si="15"/>
        <v>17 г. 4 мес. 29 дн.</v>
      </c>
      <c r="I304" s="60"/>
      <c r="J304" s="1" t="s">
        <v>31</v>
      </c>
      <c r="L304" s="1" t="s">
        <v>896</v>
      </c>
      <c r="M304" s="1" t="s">
        <v>60</v>
      </c>
      <c r="N304" s="60">
        <v>0</v>
      </c>
      <c r="P304" s="2"/>
      <c r="Q304" s="2">
        <v>0</v>
      </c>
      <c r="R304" s="6"/>
    </row>
    <row r="305" spans="1:18" x14ac:dyDescent="0.25">
      <c r="A305" s="2">
        <f t="shared" si="14"/>
        <v>304</v>
      </c>
      <c r="B305" s="60">
        <v>1239</v>
      </c>
      <c r="C305" s="1" t="s">
        <v>31</v>
      </c>
      <c r="D305" s="4">
        <v>44379</v>
      </c>
      <c r="E305" s="15">
        <v>0.41666666666666669</v>
      </c>
      <c r="F305" s="1" t="s">
        <v>921</v>
      </c>
      <c r="G305" s="4">
        <v>42740</v>
      </c>
      <c r="H305" s="60" t="str">
        <f t="shared" si="15"/>
        <v>4 г. 5 мес. 27 дн.</v>
      </c>
      <c r="I305" s="60" t="s">
        <v>25</v>
      </c>
      <c r="J305" s="1" t="s">
        <v>31</v>
      </c>
      <c r="K305" s="1" t="s">
        <v>922</v>
      </c>
      <c r="L305" s="1" t="s">
        <v>783</v>
      </c>
      <c r="M305" s="1" t="s">
        <v>65</v>
      </c>
      <c r="N305" s="60">
        <v>0</v>
      </c>
      <c r="P305" s="2"/>
      <c r="Q305" s="2">
        <v>0</v>
      </c>
      <c r="R305" s="6"/>
    </row>
    <row r="306" spans="1:18" ht="25.5" x14ac:dyDescent="0.25">
      <c r="A306" s="2">
        <f t="shared" si="14"/>
        <v>305</v>
      </c>
      <c r="B306" s="60">
        <v>1242</v>
      </c>
      <c r="C306" s="1" t="s">
        <v>31</v>
      </c>
      <c r="D306" s="4">
        <v>44379</v>
      </c>
      <c r="E306" s="15">
        <v>0.89583333333333337</v>
      </c>
      <c r="F306" s="1" t="s">
        <v>923</v>
      </c>
      <c r="G306" s="4">
        <v>42752</v>
      </c>
      <c r="H306" s="60" t="str">
        <f t="shared" si="15"/>
        <v>4 г. 5 мес. 15 дн.</v>
      </c>
      <c r="I306" s="60" t="s">
        <v>28</v>
      </c>
      <c r="J306" s="1" t="s">
        <v>31</v>
      </c>
      <c r="K306" s="1" t="s">
        <v>924</v>
      </c>
      <c r="L306" s="1" t="s">
        <v>874</v>
      </c>
      <c r="M306" s="1" t="s">
        <v>60</v>
      </c>
      <c r="N306" s="60">
        <v>0</v>
      </c>
      <c r="P306" s="2"/>
      <c r="Q306" s="2">
        <v>0</v>
      </c>
      <c r="R306" s="6"/>
    </row>
    <row r="307" spans="1:18" x14ac:dyDescent="0.25">
      <c r="A307" s="2">
        <f t="shared" si="14"/>
        <v>306</v>
      </c>
      <c r="B307" s="60">
        <v>1243</v>
      </c>
      <c r="C307" s="1" t="s">
        <v>31</v>
      </c>
      <c r="D307" s="4">
        <v>44380</v>
      </c>
      <c r="E307" s="15">
        <v>0.60069444444444442</v>
      </c>
      <c r="F307" s="1" t="s">
        <v>925</v>
      </c>
      <c r="G307" s="4">
        <v>43223</v>
      </c>
      <c r="H307" s="60" t="str">
        <f t="shared" si="15"/>
        <v>3 г. 2 мес. 0 дн.</v>
      </c>
      <c r="I307" s="60" t="s">
        <v>25</v>
      </c>
      <c r="J307" s="1" t="s">
        <v>31</v>
      </c>
      <c r="K307" s="1" t="s">
        <v>926</v>
      </c>
      <c r="L307" s="1" t="s">
        <v>362</v>
      </c>
      <c r="M307" s="1" t="s">
        <v>65</v>
      </c>
      <c r="N307" s="60">
        <v>0</v>
      </c>
      <c r="P307" s="2"/>
      <c r="Q307" s="2">
        <v>0</v>
      </c>
      <c r="R307" s="6"/>
    </row>
    <row r="308" spans="1:18" ht="25.5" x14ac:dyDescent="0.25">
      <c r="A308" s="2">
        <f t="shared" si="14"/>
        <v>307</v>
      </c>
      <c r="B308" s="60">
        <v>1250</v>
      </c>
      <c r="C308" s="1" t="s">
        <v>31</v>
      </c>
      <c r="D308" s="4">
        <v>44382</v>
      </c>
      <c r="E308" s="15">
        <v>0.60416666666666663</v>
      </c>
      <c r="F308" s="1" t="s">
        <v>809</v>
      </c>
      <c r="G308" s="4">
        <v>42430</v>
      </c>
      <c r="H308" s="60" t="str">
        <f t="shared" si="15"/>
        <v>5 г. 4 мес. 4 дн.</v>
      </c>
      <c r="I308" s="60" t="s">
        <v>28</v>
      </c>
      <c r="J308" s="1" t="s">
        <v>31</v>
      </c>
      <c r="K308" s="1" t="s">
        <v>927</v>
      </c>
      <c r="L308" s="1" t="s">
        <v>875</v>
      </c>
      <c r="M308" s="1" t="s">
        <v>60</v>
      </c>
      <c r="N308" s="60">
        <v>0</v>
      </c>
      <c r="P308" s="2"/>
      <c r="Q308" s="61">
        <v>44019</v>
      </c>
      <c r="R308" s="6"/>
    </row>
    <row r="309" spans="1:18" ht="25.5" x14ac:dyDescent="0.25">
      <c r="A309" s="2">
        <f t="shared" si="14"/>
        <v>308</v>
      </c>
      <c r="B309" s="60">
        <v>1261</v>
      </c>
      <c r="C309" s="1" t="s">
        <v>31</v>
      </c>
      <c r="D309" s="4">
        <v>44383</v>
      </c>
      <c r="E309" s="15">
        <v>0.52777777777777779</v>
      </c>
      <c r="F309" s="1" t="s">
        <v>928</v>
      </c>
      <c r="G309" s="4">
        <v>44008</v>
      </c>
      <c r="H309" s="60" t="str">
        <f t="shared" si="15"/>
        <v>1 г. 0 мес. 10 дн.</v>
      </c>
      <c r="I309" s="60" t="s">
        <v>28</v>
      </c>
      <c r="J309" s="1" t="s">
        <v>31</v>
      </c>
      <c r="K309" s="1" t="s">
        <v>929</v>
      </c>
      <c r="L309" s="1" t="s">
        <v>556</v>
      </c>
      <c r="M309" s="1" t="s">
        <v>65</v>
      </c>
      <c r="N309" s="60">
        <v>0</v>
      </c>
      <c r="P309" s="2"/>
      <c r="Q309" s="2">
        <v>0</v>
      </c>
      <c r="R309" s="6"/>
    </row>
    <row r="310" spans="1:18" ht="38.25" x14ac:dyDescent="0.25">
      <c r="A310" s="2">
        <f t="shared" si="14"/>
        <v>309</v>
      </c>
      <c r="B310" s="60">
        <v>282</v>
      </c>
      <c r="D310" s="4">
        <v>44384</v>
      </c>
      <c r="F310" s="1" t="s">
        <v>895</v>
      </c>
      <c r="H310" s="60" t="str">
        <f t="shared" si="15"/>
        <v>121 г. 6 мес. 7 дн.</v>
      </c>
      <c r="I310" s="60"/>
      <c r="L310" s="1" t="s">
        <v>876</v>
      </c>
      <c r="M310" s="1" t="s">
        <v>57</v>
      </c>
      <c r="N310" s="60">
        <v>0</v>
      </c>
      <c r="P310" s="2"/>
      <c r="Q310" s="2">
        <v>0</v>
      </c>
      <c r="R310" s="6"/>
    </row>
    <row r="311" spans="1:18" x14ac:dyDescent="0.25">
      <c r="A311" s="2">
        <f t="shared" si="14"/>
        <v>310</v>
      </c>
      <c r="B311" s="60"/>
      <c r="D311" s="4">
        <v>44384</v>
      </c>
      <c r="F311" s="1" t="s">
        <v>877</v>
      </c>
      <c r="G311" s="4">
        <v>40197</v>
      </c>
      <c r="H311" s="60" t="str">
        <f t="shared" si="15"/>
        <v>11 г. 5 мес. 18 дн.</v>
      </c>
      <c r="I311" s="60"/>
      <c r="L311" s="1" t="s">
        <v>878</v>
      </c>
      <c r="N311" s="60">
        <v>0</v>
      </c>
      <c r="P311" s="2"/>
      <c r="Q311" s="2">
        <v>0</v>
      </c>
      <c r="R311" s="6"/>
    </row>
    <row r="312" spans="1:18" ht="38.25" x14ac:dyDescent="0.25">
      <c r="A312" s="2">
        <f t="shared" si="14"/>
        <v>311</v>
      </c>
      <c r="B312" s="60">
        <v>407</v>
      </c>
      <c r="C312" s="1" t="s">
        <v>35</v>
      </c>
      <c r="D312" s="4">
        <v>44384</v>
      </c>
      <c r="E312" s="15">
        <v>0.42708333333333331</v>
      </c>
      <c r="F312" s="1" t="s">
        <v>904</v>
      </c>
      <c r="G312" s="4">
        <v>44362</v>
      </c>
      <c r="H312" s="60" t="str">
        <f t="shared" si="15"/>
        <v>0 г. 0 мес. 22 дн.</v>
      </c>
      <c r="I312" s="60" t="s">
        <v>28</v>
      </c>
      <c r="J312" s="1" t="s">
        <v>35</v>
      </c>
      <c r="K312" s="1" t="s">
        <v>886</v>
      </c>
      <c r="L312" s="1" t="s">
        <v>359</v>
      </c>
      <c r="M312" s="1" t="s">
        <v>57</v>
      </c>
      <c r="N312" s="60" t="s">
        <v>1090</v>
      </c>
      <c r="O312" s="1" t="s">
        <v>88</v>
      </c>
      <c r="P312" s="2" t="s">
        <v>37</v>
      </c>
      <c r="Q312" s="5">
        <v>44427</v>
      </c>
      <c r="R312" s="6"/>
    </row>
    <row r="313" spans="1:18" ht="38.25" x14ac:dyDescent="0.25">
      <c r="A313" s="2">
        <f t="shared" si="14"/>
        <v>312</v>
      </c>
      <c r="B313" s="60">
        <v>693</v>
      </c>
      <c r="D313" s="4">
        <v>44386</v>
      </c>
      <c r="F313" s="1" t="s">
        <v>906</v>
      </c>
      <c r="G313" s="4">
        <v>39155</v>
      </c>
      <c r="H313" s="60" t="str">
        <f t="shared" si="15"/>
        <v>14 г. 3 мес. 25 дн.</v>
      </c>
      <c r="I313" s="60" t="s">
        <v>25</v>
      </c>
      <c r="K313" s="1" t="s">
        <v>949</v>
      </c>
      <c r="L313" s="1" t="s">
        <v>879</v>
      </c>
      <c r="M313" s="1" t="s">
        <v>63</v>
      </c>
      <c r="N313" s="60">
        <v>0</v>
      </c>
      <c r="P313" s="2"/>
      <c r="Q313" s="2">
        <v>0</v>
      </c>
      <c r="R313" s="6"/>
    </row>
    <row r="314" spans="1:18" ht="38.25" x14ac:dyDescent="0.25">
      <c r="A314" s="2">
        <f t="shared" si="14"/>
        <v>313</v>
      </c>
      <c r="B314" s="60">
        <v>1288</v>
      </c>
      <c r="C314" s="1" t="s">
        <v>31</v>
      </c>
      <c r="D314" s="4">
        <v>44387</v>
      </c>
      <c r="E314" s="15">
        <v>0.27777777777777779</v>
      </c>
      <c r="F314" s="1" t="s">
        <v>930</v>
      </c>
      <c r="G314" s="4">
        <v>38759</v>
      </c>
      <c r="H314" s="60" t="str">
        <f t="shared" si="15"/>
        <v>15 г. 4 мес. 29 дн.</v>
      </c>
      <c r="I314" s="60" t="s">
        <v>28</v>
      </c>
      <c r="J314" s="1" t="s">
        <v>31</v>
      </c>
      <c r="K314" s="1" t="s">
        <v>931</v>
      </c>
      <c r="L314" s="1" t="s">
        <v>880</v>
      </c>
      <c r="M314" s="1" t="s">
        <v>60</v>
      </c>
      <c r="N314" s="60">
        <v>0</v>
      </c>
      <c r="P314" s="2"/>
      <c r="Q314" s="2">
        <v>0</v>
      </c>
      <c r="R314" s="6"/>
    </row>
    <row r="315" spans="1:18" ht="25.5" x14ac:dyDescent="0.25">
      <c r="A315" s="2">
        <f t="shared" si="14"/>
        <v>314</v>
      </c>
      <c r="B315" s="60">
        <v>1298</v>
      </c>
      <c r="C315" s="1" t="s">
        <v>31</v>
      </c>
      <c r="D315" s="4">
        <v>44388</v>
      </c>
      <c r="E315" s="15">
        <v>0.80902777777777779</v>
      </c>
      <c r="F315" s="1" t="s">
        <v>882</v>
      </c>
      <c r="G315" s="4">
        <v>41465</v>
      </c>
      <c r="H315" s="60" t="str">
        <f t="shared" si="15"/>
        <v>8 г. 0 мес. 1 дн.</v>
      </c>
      <c r="I315" s="60" t="s">
        <v>28</v>
      </c>
      <c r="J315" s="1" t="s">
        <v>31</v>
      </c>
      <c r="K315" s="1" t="s">
        <v>948</v>
      </c>
      <c r="L315" s="1" t="s">
        <v>556</v>
      </c>
      <c r="M315" s="1" t="s">
        <v>65</v>
      </c>
      <c r="N315" s="60">
        <v>0</v>
      </c>
      <c r="P315" s="2"/>
      <c r="Q315" s="2">
        <v>0</v>
      </c>
      <c r="R315" s="6"/>
    </row>
    <row r="316" spans="1:18" ht="63.75" x14ac:dyDescent="0.25">
      <c r="A316" s="2">
        <f t="shared" si="14"/>
        <v>315</v>
      </c>
      <c r="B316" s="60">
        <v>388</v>
      </c>
      <c r="D316" s="4">
        <v>44388</v>
      </c>
      <c r="E316" s="15">
        <v>0.83680555555555547</v>
      </c>
      <c r="F316" s="1" t="s">
        <v>903</v>
      </c>
      <c r="G316" s="4">
        <v>39393</v>
      </c>
      <c r="H316" s="60" t="str">
        <f t="shared" si="15"/>
        <v>13 г. 8 мес. 4 дн.</v>
      </c>
      <c r="I316" s="60" t="s">
        <v>27</v>
      </c>
      <c r="K316" s="1" t="s">
        <v>947</v>
      </c>
      <c r="L316" s="1" t="s">
        <v>762</v>
      </c>
      <c r="M316" s="1" t="s">
        <v>54</v>
      </c>
      <c r="N316" s="60">
        <v>0</v>
      </c>
      <c r="P316" s="2"/>
      <c r="Q316" s="2">
        <v>0</v>
      </c>
      <c r="R316" s="6"/>
    </row>
    <row r="317" spans="1:18" ht="38.25" x14ac:dyDescent="0.25">
      <c r="A317" s="2">
        <f t="shared" si="14"/>
        <v>316</v>
      </c>
      <c r="B317" s="60">
        <v>296</v>
      </c>
      <c r="D317" s="4">
        <v>44388</v>
      </c>
      <c r="E317" s="15">
        <v>0.85763888888888884</v>
      </c>
      <c r="F317" s="1" t="s">
        <v>902</v>
      </c>
      <c r="G317" s="4">
        <v>44153</v>
      </c>
      <c r="H317" s="60" t="str">
        <f t="shared" si="15"/>
        <v>0 г. 7 мес. 23 дн.</v>
      </c>
      <c r="I317" s="60" t="s">
        <v>28</v>
      </c>
      <c r="L317" s="1" t="s">
        <v>881</v>
      </c>
      <c r="M317" s="1" t="s">
        <v>57</v>
      </c>
      <c r="N317" s="60">
        <v>0</v>
      </c>
      <c r="P317" s="2"/>
      <c r="Q317" s="2">
        <v>0</v>
      </c>
      <c r="R317" s="6"/>
    </row>
    <row r="318" spans="1:18" ht="25.5" x14ac:dyDescent="0.25">
      <c r="A318" s="2">
        <f t="shared" si="14"/>
        <v>317</v>
      </c>
      <c r="B318" s="60">
        <v>393</v>
      </c>
      <c r="C318" s="1" t="s">
        <v>36</v>
      </c>
      <c r="D318" s="4">
        <v>44390</v>
      </c>
      <c r="E318" s="15">
        <v>0.91666666666666663</v>
      </c>
      <c r="F318" s="1" t="s">
        <v>887</v>
      </c>
      <c r="G318" s="4">
        <v>40896</v>
      </c>
      <c r="H318" s="60" t="str">
        <f t="shared" si="15"/>
        <v>9 г. 6 мес. 24 дн.</v>
      </c>
      <c r="I318" s="60" t="s">
        <v>25</v>
      </c>
      <c r="J318" s="1" t="s">
        <v>36</v>
      </c>
      <c r="L318" s="1" t="s">
        <v>888</v>
      </c>
      <c r="M318" s="1" t="s">
        <v>66</v>
      </c>
      <c r="N318" s="60">
        <v>0</v>
      </c>
      <c r="P318" s="2"/>
      <c r="Q318" s="2">
        <v>0</v>
      </c>
      <c r="R318" s="6"/>
    </row>
    <row r="319" spans="1:18" ht="25.5" x14ac:dyDescent="0.25">
      <c r="A319" s="2">
        <f t="shared" si="14"/>
        <v>318</v>
      </c>
      <c r="B319" s="60">
        <v>1329</v>
      </c>
      <c r="C319" s="1" t="s">
        <v>31</v>
      </c>
      <c r="D319" s="4">
        <v>44392</v>
      </c>
      <c r="E319" s="15">
        <v>0.89583333333333337</v>
      </c>
      <c r="F319" s="1" t="s">
        <v>892</v>
      </c>
      <c r="G319" s="4">
        <v>43074</v>
      </c>
      <c r="H319" s="60" t="str">
        <f t="shared" si="15"/>
        <v>3 г. 7 мес. 10 дн.</v>
      </c>
      <c r="I319" s="60" t="s">
        <v>26</v>
      </c>
      <c r="J319" s="1" t="s">
        <v>31</v>
      </c>
      <c r="K319" s="1" t="s">
        <v>893</v>
      </c>
      <c r="L319" s="1" t="s">
        <v>894</v>
      </c>
      <c r="M319" s="1" t="s">
        <v>60</v>
      </c>
      <c r="N319" s="60">
        <v>0</v>
      </c>
      <c r="O319" s="1" t="s">
        <v>87</v>
      </c>
      <c r="P319" s="2"/>
      <c r="Q319" s="2">
        <v>0</v>
      </c>
      <c r="R319" s="6"/>
    </row>
    <row r="320" spans="1:18" ht="38.25" x14ac:dyDescent="0.25">
      <c r="A320" s="2">
        <f t="shared" si="14"/>
        <v>319</v>
      </c>
      <c r="B320" s="60"/>
      <c r="C320" s="1" t="s">
        <v>33</v>
      </c>
      <c r="D320" s="4">
        <v>44398</v>
      </c>
      <c r="F320" s="1" t="s">
        <v>907</v>
      </c>
      <c r="G320" s="4">
        <v>39493</v>
      </c>
      <c r="H320" s="60" t="str">
        <f t="shared" si="15"/>
        <v>13 г. 5 мес. 6 дн.</v>
      </c>
      <c r="I320" s="60" t="s">
        <v>25</v>
      </c>
      <c r="J320" s="1" t="s">
        <v>33</v>
      </c>
      <c r="K320" s="1" t="s">
        <v>950</v>
      </c>
      <c r="L320" s="1" t="s">
        <v>683</v>
      </c>
      <c r="M320" s="1" t="s">
        <v>63</v>
      </c>
      <c r="N320" s="60">
        <v>0</v>
      </c>
      <c r="P320" s="2"/>
      <c r="Q320" s="2">
        <v>0</v>
      </c>
      <c r="R320" s="6"/>
    </row>
    <row r="321" spans="1:18" ht="25.5" x14ac:dyDescent="0.25">
      <c r="A321" s="2">
        <f t="shared" si="14"/>
        <v>320</v>
      </c>
      <c r="B321" s="60">
        <v>1298</v>
      </c>
      <c r="C321" s="1" t="s">
        <v>31</v>
      </c>
      <c r="D321" s="4">
        <v>44388</v>
      </c>
      <c r="E321" s="15">
        <v>0.80902777777777779</v>
      </c>
      <c r="F321" s="1" t="s">
        <v>932</v>
      </c>
      <c r="G321" s="4">
        <v>41465</v>
      </c>
      <c r="H321" s="60" t="str">
        <f t="shared" si="15"/>
        <v>8 г. 0 мес. 1 дн.</v>
      </c>
      <c r="I321" s="60" t="s">
        <v>100</v>
      </c>
      <c r="K321" s="1" t="s">
        <v>933</v>
      </c>
      <c r="L321" s="1" t="s">
        <v>783</v>
      </c>
      <c r="M321" s="1" t="s">
        <v>65</v>
      </c>
      <c r="N321" s="60">
        <v>0</v>
      </c>
    </row>
    <row r="322" spans="1:18" ht="25.5" x14ac:dyDescent="0.25">
      <c r="A322" s="2">
        <f t="shared" si="14"/>
        <v>321</v>
      </c>
      <c r="B322" s="60">
        <v>408</v>
      </c>
      <c r="C322" s="1" t="s">
        <v>36</v>
      </c>
      <c r="D322" s="4">
        <v>44400</v>
      </c>
      <c r="E322" s="15">
        <v>0.2986111111111111</v>
      </c>
      <c r="F322" s="1" t="s">
        <v>941</v>
      </c>
      <c r="G322" s="4">
        <v>44268</v>
      </c>
      <c r="H322" s="60" t="str">
        <f t="shared" si="15"/>
        <v>0 г. 4 мес. 10 дн.</v>
      </c>
      <c r="I322" s="60" t="s">
        <v>25</v>
      </c>
      <c r="J322" s="1" t="s">
        <v>31</v>
      </c>
      <c r="K322" s="1" t="s">
        <v>942</v>
      </c>
      <c r="L322" s="1" t="s">
        <v>943</v>
      </c>
      <c r="N322" s="60">
        <v>0</v>
      </c>
      <c r="P322" s="2"/>
      <c r="Q322" s="2">
        <v>0</v>
      </c>
      <c r="R322" s="6"/>
    </row>
    <row r="323" spans="1:18" x14ac:dyDescent="0.25">
      <c r="A323" s="2">
        <f t="shared" si="14"/>
        <v>322</v>
      </c>
      <c r="B323" s="60">
        <v>1403</v>
      </c>
      <c r="C323" s="1" t="s">
        <v>31</v>
      </c>
      <c r="D323" s="4">
        <v>44400</v>
      </c>
      <c r="E323" s="15">
        <v>0.64583333333333337</v>
      </c>
      <c r="F323" s="1" t="s">
        <v>939</v>
      </c>
      <c r="G323" s="4">
        <v>43858</v>
      </c>
      <c r="H323" s="60" t="str">
        <f t="shared" si="15"/>
        <v>1 г. 5 мес. 25 дн.</v>
      </c>
      <c r="I323" s="60" t="s">
        <v>25</v>
      </c>
      <c r="J323" s="1" t="s">
        <v>31</v>
      </c>
      <c r="K323" s="1" t="s">
        <v>940</v>
      </c>
      <c r="L323" s="1" t="s">
        <v>783</v>
      </c>
      <c r="M323" s="1" t="s">
        <v>65</v>
      </c>
      <c r="N323" s="60">
        <v>0</v>
      </c>
      <c r="P323" s="2"/>
      <c r="Q323" s="2">
        <v>0</v>
      </c>
      <c r="R323" s="6"/>
    </row>
    <row r="324" spans="1:18" ht="25.5" x14ac:dyDescent="0.25">
      <c r="A324" s="2">
        <f t="shared" si="14"/>
        <v>323</v>
      </c>
      <c r="B324" s="60">
        <v>1401</v>
      </c>
      <c r="C324" s="1" t="s">
        <v>31</v>
      </c>
      <c r="D324" s="4">
        <v>44400</v>
      </c>
      <c r="E324" s="15">
        <v>0.6875</v>
      </c>
      <c r="F324" s="1" t="s">
        <v>944</v>
      </c>
      <c r="G324" s="4">
        <v>44366</v>
      </c>
      <c r="H324" s="60" t="str">
        <f t="shared" si="15"/>
        <v>0 г. 1 мес. 4 дн.</v>
      </c>
      <c r="I324" s="60" t="s">
        <v>27</v>
      </c>
      <c r="J324" s="1" t="s">
        <v>31</v>
      </c>
      <c r="K324" s="1" t="s">
        <v>945</v>
      </c>
      <c r="L324" s="1" t="s">
        <v>946</v>
      </c>
      <c r="M324" s="1" t="s">
        <v>60</v>
      </c>
      <c r="N324" s="60">
        <v>0</v>
      </c>
      <c r="P324" s="2"/>
      <c r="Q324" s="2">
        <v>0</v>
      </c>
      <c r="R324" s="6"/>
    </row>
    <row r="325" spans="1:18" ht="38.25" x14ac:dyDescent="0.25">
      <c r="A325" s="2">
        <f t="shared" si="14"/>
        <v>324</v>
      </c>
      <c r="B325" s="60"/>
      <c r="C325" s="1" t="s">
        <v>36</v>
      </c>
      <c r="D325" s="4">
        <v>44396</v>
      </c>
      <c r="F325" s="1" t="s">
        <v>951</v>
      </c>
      <c r="G325" s="4">
        <v>40845</v>
      </c>
      <c r="H325" s="60" t="str">
        <f t="shared" si="15"/>
        <v>9 г. 8 мес. 20 дн.</v>
      </c>
      <c r="I325" s="60"/>
      <c r="J325" s="1" t="s">
        <v>36</v>
      </c>
      <c r="K325" s="1" t="s">
        <v>952</v>
      </c>
      <c r="L325" s="1" t="s">
        <v>953</v>
      </c>
      <c r="M325" s="1" t="s">
        <v>52</v>
      </c>
      <c r="N325" s="60">
        <v>0</v>
      </c>
      <c r="P325" s="57"/>
      <c r="Q325" s="58"/>
      <c r="R325" s="59"/>
    </row>
    <row r="326" spans="1:18" ht="38.25" x14ac:dyDescent="0.25">
      <c r="A326" s="19">
        <f t="shared" si="14"/>
        <v>325</v>
      </c>
      <c r="B326" s="63">
        <v>404</v>
      </c>
      <c r="C326" s="64" t="s">
        <v>36</v>
      </c>
      <c r="D326" s="65">
        <v>44398</v>
      </c>
      <c r="E326" s="66">
        <v>0.3888888888888889</v>
      </c>
      <c r="F326" s="64" t="s">
        <v>954</v>
      </c>
      <c r="G326" s="67">
        <v>37975</v>
      </c>
      <c r="H326" s="64" t="str">
        <f t="shared" si="15"/>
        <v>17 г. 7 мес. 1 дн.</v>
      </c>
      <c r="I326" s="64" t="s">
        <v>28</v>
      </c>
      <c r="J326" s="64" t="s">
        <v>36</v>
      </c>
      <c r="K326" s="64" t="s">
        <v>956</v>
      </c>
      <c r="L326" s="64" t="s">
        <v>955</v>
      </c>
      <c r="M326" s="64"/>
      <c r="N326" s="64" t="s">
        <v>105</v>
      </c>
      <c r="O326" s="64" t="s">
        <v>87</v>
      </c>
      <c r="P326" s="19" t="s">
        <v>40</v>
      </c>
      <c r="Q326" s="5">
        <v>44398</v>
      </c>
      <c r="R326" s="62">
        <v>0.7006944444444444</v>
      </c>
    </row>
    <row r="327" spans="1:18" ht="38.25" x14ac:dyDescent="0.25">
      <c r="A327" s="2">
        <f t="shared" si="14"/>
        <v>326</v>
      </c>
      <c r="B327" s="2">
        <v>768</v>
      </c>
      <c r="C327" s="1" t="s">
        <v>33</v>
      </c>
      <c r="D327" s="5">
        <v>44402</v>
      </c>
      <c r="E327" s="10">
        <v>3.125E-2</v>
      </c>
      <c r="F327" s="1" t="s">
        <v>960</v>
      </c>
      <c r="G327" s="5">
        <v>39008</v>
      </c>
      <c r="H327" s="2" t="str">
        <f t="shared" ref="H327:H387" si="16">DATEDIF(G327,D327,"y") &amp; " г. " &amp; DATEDIF(G327,D327,"ym") &amp; " мес. " &amp; DATEDIF(G327,D327,"md") &amp; " дн."</f>
        <v>14 г. 9 мес. 7 дн.</v>
      </c>
      <c r="I327" s="1" t="s">
        <v>25</v>
      </c>
      <c r="J327" s="1" t="s">
        <v>33</v>
      </c>
      <c r="K327" s="1" t="s">
        <v>961</v>
      </c>
      <c r="L327" s="1" t="s">
        <v>104</v>
      </c>
      <c r="M327" s="2" t="s">
        <v>62</v>
      </c>
      <c r="N327" s="1">
        <v>0</v>
      </c>
      <c r="O327" s="2" t="s">
        <v>82</v>
      </c>
      <c r="P327" s="1" t="s">
        <v>33</v>
      </c>
      <c r="Q327" s="5">
        <v>44403</v>
      </c>
      <c r="R327" s="6"/>
    </row>
    <row r="328" spans="1:18" ht="25.5" x14ac:dyDescent="0.25">
      <c r="A328" s="2">
        <f t="shared" si="14"/>
        <v>327</v>
      </c>
      <c r="B328" s="2">
        <v>1413</v>
      </c>
      <c r="C328" s="1" t="s">
        <v>31</v>
      </c>
      <c r="D328" s="5">
        <v>44402</v>
      </c>
      <c r="E328" s="10">
        <v>0.4826388888888889</v>
      </c>
      <c r="F328" s="1" t="s">
        <v>962</v>
      </c>
      <c r="G328" s="5">
        <v>41967</v>
      </c>
      <c r="H328" s="2" t="str">
        <f t="shared" si="16"/>
        <v>6 г. 8 мес. 1 дн.</v>
      </c>
      <c r="I328" s="1" t="s">
        <v>25</v>
      </c>
      <c r="J328" s="1" t="s">
        <v>31</v>
      </c>
      <c r="K328" s="1" t="s">
        <v>963</v>
      </c>
      <c r="L328" s="1" t="s">
        <v>964</v>
      </c>
      <c r="M328" s="2" t="s">
        <v>60</v>
      </c>
      <c r="N328" s="1">
        <v>0</v>
      </c>
      <c r="O328" s="2" t="s">
        <v>82</v>
      </c>
      <c r="P328" s="1" t="s">
        <v>31</v>
      </c>
      <c r="Q328" s="5">
        <v>44403</v>
      </c>
      <c r="R328" s="6"/>
    </row>
    <row r="329" spans="1:18" ht="25.5" x14ac:dyDescent="0.25">
      <c r="A329" s="2">
        <f t="shared" si="14"/>
        <v>328</v>
      </c>
      <c r="B329" s="2">
        <v>1415</v>
      </c>
      <c r="C329" s="1" t="s">
        <v>31</v>
      </c>
      <c r="D329" s="5">
        <v>44402</v>
      </c>
      <c r="E329" s="10">
        <v>0.84375</v>
      </c>
      <c r="F329" s="1" t="s">
        <v>965</v>
      </c>
      <c r="G329" s="5">
        <v>44029</v>
      </c>
      <c r="H329" s="2" t="str">
        <f t="shared" si="16"/>
        <v>1 г. 0 мес. 8 дн.</v>
      </c>
      <c r="I329" s="1" t="s">
        <v>100</v>
      </c>
      <c r="J329" s="1" t="s">
        <v>31</v>
      </c>
      <c r="K329" s="1" t="s">
        <v>966</v>
      </c>
      <c r="L329" s="1" t="s">
        <v>556</v>
      </c>
      <c r="M329" s="2" t="s">
        <v>65</v>
      </c>
      <c r="N329" s="1">
        <v>0</v>
      </c>
      <c r="O329" s="2" t="s">
        <v>82</v>
      </c>
      <c r="P329" s="1" t="s">
        <v>31</v>
      </c>
      <c r="Q329" s="5">
        <v>44435</v>
      </c>
      <c r="R329" s="6"/>
    </row>
    <row r="330" spans="1:18" ht="25.5" x14ac:dyDescent="0.25">
      <c r="A330" s="2">
        <f t="shared" si="14"/>
        <v>329</v>
      </c>
      <c r="B330" s="2">
        <v>1425</v>
      </c>
      <c r="C330" s="2" t="s">
        <v>31</v>
      </c>
      <c r="D330" s="5">
        <v>44403</v>
      </c>
      <c r="E330" s="10">
        <v>0.71527777777777779</v>
      </c>
      <c r="F330" s="1" t="s">
        <v>971</v>
      </c>
      <c r="G330" s="5">
        <v>38888</v>
      </c>
      <c r="H330" s="2" t="str">
        <f t="shared" si="16"/>
        <v>15 г. 1 мес. 6 дн.</v>
      </c>
      <c r="I330" s="2" t="s">
        <v>28</v>
      </c>
      <c r="J330" s="2" t="s">
        <v>31</v>
      </c>
      <c r="K330" s="1" t="s">
        <v>972</v>
      </c>
      <c r="L330" s="1" t="s">
        <v>493</v>
      </c>
      <c r="M330" s="2" t="s">
        <v>58</v>
      </c>
      <c r="N330" s="1">
        <v>0</v>
      </c>
      <c r="O330" s="2" t="s">
        <v>82</v>
      </c>
      <c r="P330" s="2" t="s">
        <v>31</v>
      </c>
      <c r="Q330" s="5">
        <v>44405</v>
      </c>
      <c r="R330" s="6"/>
    </row>
    <row r="331" spans="1:18" ht="38.25" x14ac:dyDescent="0.25">
      <c r="A331" s="2">
        <f t="shared" si="14"/>
        <v>330</v>
      </c>
      <c r="B331" s="2">
        <v>432</v>
      </c>
      <c r="C331" s="2" t="s">
        <v>35</v>
      </c>
      <c r="D331" s="5">
        <v>44404</v>
      </c>
      <c r="E331" s="10">
        <v>0.41666666666666669</v>
      </c>
      <c r="F331" s="1" t="s">
        <v>967</v>
      </c>
      <c r="G331" s="5">
        <v>44371</v>
      </c>
      <c r="H331" s="2" t="str">
        <f t="shared" si="16"/>
        <v>0 г. 1 мес. 3 дн.</v>
      </c>
      <c r="I331" s="2" t="s">
        <v>27</v>
      </c>
      <c r="J331" s="2" t="s">
        <v>35</v>
      </c>
      <c r="K331" s="1" t="s">
        <v>112</v>
      </c>
      <c r="L331" s="1" t="s">
        <v>493</v>
      </c>
      <c r="M331" s="2" t="s">
        <v>53</v>
      </c>
      <c r="N331" s="1">
        <v>0</v>
      </c>
      <c r="O331" s="2" t="s">
        <v>82</v>
      </c>
      <c r="P331" s="2" t="s">
        <v>35</v>
      </c>
      <c r="Q331" s="5">
        <v>44405</v>
      </c>
      <c r="R331" s="6"/>
    </row>
    <row r="332" spans="1:18" ht="38.25" x14ac:dyDescent="0.25">
      <c r="A332" s="2">
        <f t="shared" si="14"/>
        <v>331</v>
      </c>
      <c r="B332" s="2"/>
      <c r="C332" s="2" t="s">
        <v>38</v>
      </c>
      <c r="D332" s="5">
        <v>44404</v>
      </c>
      <c r="E332" s="10">
        <v>0.375</v>
      </c>
      <c r="F332" s="1" t="s">
        <v>968</v>
      </c>
      <c r="G332" s="5">
        <v>44205</v>
      </c>
      <c r="H332" s="2" t="str">
        <f t="shared" si="16"/>
        <v>0 г. 6 мес. 18 дн.</v>
      </c>
      <c r="I332" s="2" t="s">
        <v>27</v>
      </c>
      <c r="J332" s="2" t="s">
        <v>38</v>
      </c>
      <c r="K332" s="1" t="s">
        <v>969</v>
      </c>
      <c r="L332" s="1" t="s">
        <v>970</v>
      </c>
      <c r="M332" s="2" t="s">
        <v>57</v>
      </c>
      <c r="N332" s="1">
        <v>0</v>
      </c>
      <c r="O332" s="2" t="s">
        <v>82</v>
      </c>
      <c r="P332" s="2" t="s">
        <v>38</v>
      </c>
      <c r="Q332" s="5">
        <v>44404</v>
      </c>
      <c r="R332" s="6"/>
    </row>
    <row r="333" spans="1:18" ht="38.25" x14ac:dyDescent="0.25">
      <c r="A333" s="2">
        <f t="shared" si="14"/>
        <v>332</v>
      </c>
      <c r="B333" s="2">
        <v>316</v>
      </c>
      <c r="C333" s="2" t="s">
        <v>38</v>
      </c>
      <c r="D333" s="5">
        <v>44404</v>
      </c>
      <c r="E333" s="10">
        <v>0.41666666666666669</v>
      </c>
      <c r="F333" s="1" t="s">
        <v>973</v>
      </c>
      <c r="G333" s="5">
        <v>41459</v>
      </c>
      <c r="H333" s="2" t="str">
        <f t="shared" si="16"/>
        <v>8 г. 0 мес. 23 дн.</v>
      </c>
      <c r="I333" s="2" t="s">
        <v>27</v>
      </c>
      <c r="J333" s="2" t="s">
        <v>38</v>
      </c>
      <c r="K333" s="1" t="s">
        <v>974</v>
      </c>
      <c r="L333" s="1" t="s">
        <v>289</v>
      </c>
      <c r="M333" s="2" t="s">
        <v>57</v>
      </c>
      <c r="N333" s="1">
        <v>0</v>
      </c>
      <c r="O333" s="2" t="s">
        <v>82</v>
      </c>
      <c r="P333" s="2" t="s">
        <v>38</v>
      </c>
      <c r="Q333" s="5">
        <v>44405</v>
      </c>
      <c r="R333" s="6"/>
    </row>
    <row r="334" spans="1:18" ht="25.5" x14ac:dyDescent="0.25">
      <c r="A334" s="2">
        <f t="shared" si="14"/>
        <v>333</v>
      </c>
      <c r="B334" s="2">
        <v>1436</v>
      </c>
      <c r="C334" s="2" t="s">
        <v>31</v>
      </c>
      <c r="D334" s="5">
        <v>44404</v>
      </c>
      <c r="E334" s="10">
        <v>0.95486111111111116</v>
      </c>
      <c r="F334" s="1" t="s">
        <v>975</v>
      </c>
      <c r="G334" s="5">
        <v>42866</v>
      </c>
      <c r="H334" s="2" t="str">
        <f t="shared" si="16"/>
        <v>4 г. 2 мес. 16 дн.</v>
      </c>
      <c r="I334" s="2" t="s">
        <v>25</v>
      </c>
      <c r="J334" s="2" t="s">
        <v>31</v>
      </c>
      <c r="K334" s="1" t="s">
        <v>112</v>
      </c>
      <c r="L334" s="1" t="s">
        <v>810</v>
      </c>
      <c r="M334" s="2" t="s">
        <v>60</v>
      </c>
      <c r="N334" s="1">
        <v>0</v>
      </c>
      <c r="O334" s="2" t="s">
        <v>82</v>
      </c>
      <c r="P334" s="2" t="s">
        <v>31</v>
      </c>
      <c r="Q334" s="5">
        <v>44405</v>
      </c>
      <c r="R334" s="6"/>
    </row>
    <row r="335" spans="1:18" ht="38.25" x14ac:dyDescent="0.25">
      <c r="A335" s="2">
        <f t="shared" si="14"/>
        <v>334</v>
      </c>
      <c r="B335" s="2">
        <v>327</v>
      </c>
      <c r="C335" s="2" t="s">
        <v>38</v>
      </c>
      <c r="D335" s="5">
        <v>44405</v>
      </c>
      <c r="E335" s="10">
        <v>0.75</v>
      </c>
      <c r="F335" s="1" t="s">
        <v>976</v>
      </c>
      <c r="G335" s="5">
        <v>43344</v>
      </c>
      <c r="H335" s="2" t="str">
        <f t="shared" si="16"/>
        <v>2 г. 10 мес. 27 дн.</v>
      </c>
      <c r="I335" s="2" t="s">
        <v>27</v>
      </c>
      <c r="J335" s="2" t="s">
        <v>38</v>
      </c>
      <c r="K335" s="1" t="s">
        <v>977</v>
      </c>
      <c r="L335" s="1" t="s">
        <v>978</v>
      </c>
      <c r="M335" s="2" t="s">
        <v>57</v>
      </c>
      <c r="N335" s="1">
        <v>0</v>
      </c>
      <c r="O335" s="2" t="s">
        <v>82</v>
      </c>
      <c r="P335" s="2" t="s">
        <v>38</v>
      </c>
      <c r="Q335" s="5">
        <v>44406</v>
      </c>
      <c r="R335" s="6"/>
    </row>
    <row r="336" spans="1:18" ht="51" x14ac:dyDescent="0.25">
      <c r="A336" s="2">
        <f t="shared" si="14"/>
        <v>335</v>
      </c>
      <c r="B336" s="2">
        <v>412</v>
      </c>
      <c r="C336" s="1" t="s">
        <v>36</v>
      </c>
      <c r="D336" s="5">
        <v>44405</v>
      </c>
      <c r="E336" s="10">
        <v>0.82291666666666663</v>
      </c>
      <c r="F336" s="1" t="s">
        <v>979</v>
      </c>
      <c r="G336" s="5">
        <v>41997</v>
      </c>
      <c r="H336" s="2" t="str">
        <f t="shared" si="16"/>
        <v>6 г. 7 мес. 4 дн.</v>
      </c>
      <c r="I336" s="2" t="s">
        <v>28</v>
      </c>
      <c r="J336" s="2" t="s">
        <v>36</v>
      </c>
      <c r="K336" s="1" t="s">
        <v>980</v>
      </c>
      <c r="L336" s="1" t="s">
        <v>220</v>
      </c>
      <c r="M336" s="2" t="s">
        <v>67</v>
      </c>
      <c r="N336" s="1">
        <v>0</v>
      </c>
      <c r="O336" s="2" t="s">
        <v>87</v>
      </c>
      <c r="P336" s="2" t="s">
        <v>39</v>
      </c>
      <c r="Q336" s="5">
        <v>44406</v>
      </c>
      <c r="R336" s="6"/>
    </row>
    <row r="337" spans="1:18" ht="38.25" x14ac:dyDescent="0.25">
      <c r="A337" s="2">
        <f t="shared" si="14"/>
        <v>336</v>
      </c>
      <c r="B337" s="2">
        <v>333</v>
      </c>
      <c r="C337" s="2" t="s">
        <v>38</v>
      </c>
      <c r="D337" s="5">
        <v>44406</v>
      </c>
      <c r="E337" s="10">
        <v>0.71527777777777779</v>
      </c>
      <c r="F337" s="1" t="s">
        <v>981</v>
      </c>
      <c r="G337" s="5">
        <v>41952</v>
      </c>
      <c r="H337" s="2" t="str">
        <f t="shared" si="16"/>
        <v>6 г. 8 мес. 20 дн.</v>
      </c>
      <c r="I337" s="2" t="s">
        <v>27</v>
      </c>
      <c r="J337" s="2" t="s">
        <v>38</v>
      </c>
      <c r="K337" s="1" t="s">
        <v>982</v>
      </c>
      <c r="L337" s="1" t="s">
        <v>289</v>
      </c>
      <c r="M337" s="2" t="s">
        <v>57</v>
      </c>
      <c r="N337" s="1">
        <v>0</v>
      </c>
      <c r="O337" s="2" t="s">
        <v>82</v>
      </c>
      <c r="P337" s="2" t="s">
        <v>38</v>
      </c>
      <c r="Q337" s="5">
        <v>44407</v>
      </c>
      <c r="R337" s="6"/>
    </row>
    <row r="338" spans="1:18" ht="38.25" x14ac:dyDescent="0.25">
      <c r="A338" s="2">
        <f t="shared" si="14"/>
        <v>337</v>
      </c>
      <c r="B338" s="2">
        <v>797</v>
      </c>
      <c r="C338" s="2" t="s">
        <v>33</v>
      </c>
      <c r="D338" s="5">
        <v>44409</v>
      </c>
      <c r="E338" s="10">
        <v>0.78125</v>
      </c>
      <c r="F338" s="1" t="s">
        <v>983</v>
      </c>
      <c r="G338" s="5">
        <v>38201</v>
      </c>
      <c r="H338" s="2" t="str">
        <f t="shared" si="16"/>
        <v>16 г. 11 мес. 30 дн.</v>
      </c>
      <c r="I338" s="2" t="s">
        <v>25</v>
      </c>
      <c r="J338" s="2" t="s">
        <v>33</v>
      </c>
      <c r="K338" s="1" t="s">
        <v>984</v>
      </c>
      <c r="L338" s="1" t="s">
        <v>985</v>
      </c>
      <c r="M338" s="2" t="s">
        <v>63</v>
      </c>
      <c r="N338" s="1">
        <v>0</v>
      </c>
      <c r="O338" s="2" t="s">
        <v>82</v>
      </c>
      <c r="P338" s="2" t="s">
        <v>33</v>
      </c>
      <c r="Q338" s="5">
        <v>44412</v>
      </c>
      <c r="R338" s="6"/>
    </row>
    <row r="339" spans="1:18" ht="76.5" x14ac:dyDescent="0.25">
      <c r="A339" s="2">
        <f t="shared" si="14"/>
        <v>338</v>
      </c>
      <c r="B339" s="2">
        <v>328</v>
      </c>
      <c r="C339" s="2" t="s">
        <v>38</v>
      </c>
      <c r="D339" s="5">
        <v>44409</v>
      </c>
      <c r="E339" s="10">
        <v>0.59375</v>
      </c>
      <c r="F339" s="1" t="s">
        <v>787</v>
      </c>
      <c r="G339" s="5">
        <v>43654</v>
      </c>
      <c r="H339" s="2" t="str">
        <f t="shared" si="16"/>
        <v>2 г. 0 мес. 24 дн.</v>
      </c>
      <c r="I339" s="2" t="s">
        <v>27</v>
      </c>
      <c r="J339" s="2" t="s">
        <v>38</v>
      </c>
      <c r="K339" s="1" t="s">
        <v>788</v>
      </c>
      <c r="L339" s="1" t="s">
        <v>986</v>
      </c>
      <c r="M339" s="2" t="s">
        <v>53</v>
      </c>
      <c r="N339" s="1" t="s">
        <v>1006</v>
      </c>
      <c r="O339" s="2" t="s">
        <v>87</v>
      </c>
      <c r="P339" s="2" t="s">
        <v>38</v>
      </c>
      <c r="Q339" s="5">
        <v>44427</v>
      </c>
      <c r="R339" s="6"/>
    </row>
    <row r="340" spans="1:18" ht="25.5" x14ac:dyDescent="0.25">
      <c r="A340" s="2">
        <f t="shared" si="14"/>
        <v>339</v>
      </c>
      <c r="B340" s="2">
        <v>1479</v>
      </c>
      <c r="C340" s="2" t="s">
        <v>32</v>
      </c>
      <c r="D340" s="5">
        <v>44410</v>
      </c>
      <c r="E340" s="10">
        <v>0.76388888888888884</v>
      </c>
      <c r="F340" s="1" t="s">
        <v>987</v>
      </c>
      <c r="G340" s="5">
        <v>43397</v>
      </c>
      <c r="H340" s="2" t="str">
        <f t="shared" si="16"/>
        <v>2 г. 9 мес. 9 дн.</v>
      </c>
      <c r="I340" s="2" t="s">
        <v>27</v>
      </c>
      <c r="J340" s="2" t="s">
        <v>32</v>
      </c>
      <c r="K340" s="1" t="s">
        <v>988</v>
      </c>
      <c r="L340" s="1" t="s">
        <v>989</v>
      </c>
      <c r="M340" s="2" t="s">
        <v>60</v>
      </c>
      <c r="N340" s="1">
        <v>0</v>
      </c>
      <c r="O340" s="2" t="s">
        <v>82</v>
      </c>
      <c r="P340" s="2" t="s">
        <v>32</v>
      </c>
      <c r="Q340" s="5">
        <v>44411</v>
      </c>
      <c r="R340" s="6"/>
    </row>
    <row r="341" spans="1:18" ht="38.25" x14ac:dyDescent="0.25">
      <c r="A341" s="2">
        <f t="shared" si="14"/>
        <v>340</v>
      </c>
      <c r="B341" s="2">
        <v>330</v>
      </c>
      <c r="C341" s="2" t="s">
        <v>38</v>
      </c>
      <c r="D341" s="5">
        <v>44410</v>
      </c>
      <c r="E341" s="10">
        <v>0.41666666666666669</v>
      </c>
      <c r="F341" s="1" t="s">
        <v>990</v>
      </c>
      <c r="G341" s="5">
        <v>43765</v>
      </c>
      <c r="H341" s="2" t="str">
        <f t="shared" si="16"/>
        <v>1 г. 9 мес. 6 дн.</v>
      </c>
      <c r="I341" s="2" t="s">
        <v>27</v>
      </c>
      <c r="J341" s="2" t="s">
        <v>38</v>
      </c>
      <c r="K341" s="1" t="s">
        <v>991</v>
      </c>
      <c r="L341" s="1" t="s">
        <v>992</v>
      </c>
      <c r="M341" s="2" t="s">
        <v>57</v>
      </c>
      <c r="N341" s="1">
        <v>0</v>
      </c>
      <c r="O341" s="2" t="s">
        <v>82</v>
      </c>
      <c r="P341" s="2" t="s">
        <v>38</v>
      </c>
      <c r="Q341" s="5">
        <v>44411</v>
      </c>
      <c r="R341" s="6"/>
    </row>
    <row r="342" spans="1:18" ht="38.25" x14ac:dyDescent="0.25">
      <c r="A342" s="2">
        <f t="shared" si="14"/>
        <v>341</v>
      </c>
      <c r="B342" s="2">
        <v>341</v>
      </c>
      <c r="C342" s="2" t="s">
        <v>38</v>
      </c>
      <c r="D342" s="5">
        <v>44410</v>
      </c>
      <c r="E342" s="10">
        <v>0.4375</v>
      </c>
      <c r="F342" s="1" t="s">
        <v>993</v>
      </c>
      <c r="G342" s="5">
        <v>42754</v>
      </c>
      <c r="H342" s="2" t="str">
        <f t="shared" si="16"/>
        <v>4 г. 6 мес. 14 дн.</v>
      </c>
      <c r="I342" s="2" t="s">
        <v>27</v>
      </c>
      <c r="J342" s="2" t="s">
        <v>38</v>
      </c>
      <c r="K342" s="1" t="s">
        <v>994</v>
      </c>
      <c r="L342" s="1" t="s">
        <v>995</v>
      </c>
      <c r="M342" s="2" t="s">
        <v>57</v>
      </c>
      <c r="N342" s="1">
        <v>0</v>
      </c>
      <c r="O342" s="2" t="s">
        <v>82</v>
      </c>
      <c r="P342" s="2" t="s">
        <v>38</v>
      </c>
      <c r="Q342" s="5">
        <v>44411</v>
      </c>
      <c r="R342" s="6"/>
    </row>
    <row r="343" spans="1:18" ht="25.5" x14ac:dyDescent="0.25">
      <c r="A343" s="2">
        <f t="shared" si="14"/>
        <v>342</v>
      </c>
      <c r="B343" s="2">
        <v>1482</v>
      </c>
      <c r="C343" s="2" t="s">
        <v>31</v>
      </c>
      <c r="D343" s="5">
        <v>44410</v>
      </c>
      <c r="E343" s="10">
        <v>0.74652777777777779</v>
      </c>
      <c r="F343" s="1" t="s">
        <v>996</v>
      </c>
      <c r="G343" s="5">
        <v>43690</v>
      </c>
      <c r="H343" s="2" t="str">
        <f t="shared" si="16"/>
        <v>1 г. 11 мес. 20 дн.</v>
      </c>
      <c r="I343" s="2" t="s">
        <v>25</v>
      </c>
      <c r="J343" s="2" t="s">
        <v>31</v>
      </c>
      <c r="K343" s="1" t="s">
        <v>997</v>
      </c>
      <c r="L343" s="1" t="s">
        <v>998</v>
      </c>
      <c r="M343" s="2" t="s">
        <v>60</v>
      </c>
      <c r="N343" s="1">
        <v>0</v>
      </c>
      <c r="O343" s="2" t="s">
        <v>82</v>
      </c>
      <c r="P343" s="2" t="s">
        <v>31</v>
      </c>
      <c r="Q343" s="5">
        <v>44411</v>
      </c>
      <c r="R343" s="6"/>
    </row>
    <row r="344" spans="1:18" ht="25.5" x14ac:dyDescent="0.25">
      <c r="A344" s="2">
        <f t="shared" si="14"/>
        <v>343</v>
      </c>
      <c r="B344" s="2">
        <v>1481</v>
      </c>
      <c r="C344" s="2" t="s">
        <v>31</v>
      </c>
      <c r="D344" s="5">
        <v>44410</v>
      </c>
      <c r="E344" s="10">
        <v>0.73263888888888884</v>
      </c>
      <c r="F344" s="1" t="s">
        <v>999</v>
      </c>
      <c r="G344" s="5">
        <v>42793</v>
      </c>
      <c r="H344" s="2" t="str">
        <f t="shared" si="16"/>
        <v>4 г. 5 мес. 6 дн.</v>
      </c>
      <c r="I344" s="2" t="s">
        <v>25</v>
      </c>
      <c r="J344" s="2" t="s">
        <v>31</v>
      </c>
      <c r="K344" s="1" t="s">
        <v>1000</v>
      </c>
      <c r="L344" s="1" t="s">
        <v>139</v>
      </c>
      <c r="M344" s="2" t="s">
        <v>60</v>
      </c>
      <c r="N344" s="1">
        <v>0</v>
      </c>
      <c r="O344" s="2" t="s">
        <v>82</v>
      </c>
      <c r="P344" s="2" t="s">
        <v>31</v>
      </c>
      <c r="Q344" s="5">
        <v>44411</v>
      </c>
      <c r="R344" s="6"/>
    </row>
    <row r="345" spans="1:18" ht="25.5" x14ac:dyDescent="0.25">
      <c r="A345" s="2">
        <f t="shared" si="14"/>
        <v>344</v>
      </c>
      <c r="B345" s="2">
        <v>414</v>
      </c>
      <c r="C345" s="2" t="s">
        <v>36</v>
      </c>
      <c r="D345" s="5">
        <v>44410</v>
      </c>
      <c r="E345" s="10">
        <v>0.84027777777777779</v>
      </c>
      <c r="F345" s="1" t="s">
        <v>1001</v>
      </c>
      <c r="G345" s="5">
        <v>38534</v>
      </c>
      <c r="H345" s="2" t="str">
        <f t="shared" si="16"/>
        <v>16 г. 1 мес. 1 дн.</v>
      </c>
      <c r="I345" s="2" t="s">
        <v>25</v>
      </c>
      <c r="J345" s="2" t="s">
        <v>36</v>
      </c>
      <c r="K345" s="1" t="s">
        <v>1002</v>
      </c>
      <c r="L345" s="1" t="s">
        <v>455</v>
      </c>
      <c r="M345" s="2" t="s">
        <v>66</v>
      </c>
      <c r="N345" s="1">
        <v>0</v>
      </c>
      <c r="O345" s="2" t="s">
        <v>82</v>
      </c>
      <c r="P345" s="2" t="s">
        <v>36</v>
      </c>
      <c r="Q345" s="5">
        <v>44411</v>
      </c>
      <c r="R345" s="6"/>
    </row>
    <row r="346" spans="1:18" ht="38.25" x14ac:dyDescent="0.25">
      <c r="A346" s="2">
        <f t="shared" si="14"/>
        <v>345</v>
      </c>
      <c r="B346" s="2">
        <v>634</v>
      </c>
      <c r="C346" s="2" t="s">
        <v>37</v>
      </c>
      <c r="D346" s="5">
        <v>44410</v>
      </c>
      <c r="E346" s="10">
        <v>0.4826388888888889</v>
      </c>
      <c r="F346" s="1" t="s">
        <v>413</v>
      </c>
      <c r="G346" s="5">
        <v>44218</v>
      </c>
      <c r="H346" s="2" t="str">
        <f t="shared" si="16"/>
        <v>0 г. 6 мес. 11 дн.</v>
      </c>
      <c r="I346" s="2" t="s">
        <v>28</v>
      </c>
      <c r="J346" s="2" t="s">
        <v>37</v>
      </c>
      <c r="K346" s="1" t="s">
        <v>1003</v>
      </c>
      <c r="L346" s="1" t="s">
        <v>1004</v>
      </c>
      <c r="M346" s="2" t="s">
        <v>59</v>
      </c>
      <c r="N346" s="1" t="s">
        <v>105</v>
      </c>
      <c r="O346" s="2" t="s">
        <v>82</v>
      </c>
      <c r="P346" s="2" t="s">
        <v>37</v>
      </c>
      <c r="Q346" s="5">
        <v>44434</v>
      </c>
      <c r="R346" s="6"/>
    </row>
    <row r="347" spans="1:18" ht="38.25" x14ac:dyDescent="0.25">
      <c r="A347" s="2">
        <f t="shared" si="14"/>
        <v>346</v>
      </c>
      <c r="B347" s="2">
        <v>1479</v>
      </c>
      <c r="C347" s="2" t="s">
        <v>31</v>
      </c>
      <c r="D347" s="5">
        <v>44411</v>
      </c>
      <c r="E347" s="10">
        <v>0.55208333333333337</v>
      </c>
      <c r="F347" s="1" t="s">
        <v>987</v>
      </c>
      <c r="G347" s="5">
        <v>43377</v>
      </c>
      <c r="H347" s="2" t="str">
        <f t="shared" si="16"/>
        <v>2 г. 9 мес. 30 дн.</v>
      </c>
      <c r="I347" s="2" t="s">
        <v>26</v>
      </c>
      <c r="J347" s="2" t="s">
        <v>31</v>
      </c>
      <c r="K347" s="1" t="s">
        <v>1005</v>
      </c>
      <c r="L347" s="1" t="s">
        <v>488</v>
      </c>
      <c r="M347" s="2" t="s">
        <v>60</v>
      </c>
      <c r="N347" s="1">
        <v>0</v>
      </c>
      <c r="O347" s="2" t="s">
        <v>82</v>
      </c>
      <c r="P347" s="2" t="s">
        <v>31</v>
      </c>
      <c r="Q347" s="5">
        <v>44412</v>
      </c>
      <c r="R347" s="6"/>
    </row>
    <row r="348" spans="1:18" ht="38.25" x14ac:dyDescent="0.25">
      <c r="A348" s="2">
        <f t="shared" si="14"/>
        <v>347</v>
      </c>
      <c r="B348" s="2">
        <v>352</v>
      </c>
      <c r="C348" s="2" t="s">
        <v>38</v>
      </c>
      <c r="D348" s="5">
        <v>44412</v>
      </c>
      <c r="E348" s="10">
        <v>0.41666666666666669</v>
      </c>
      <c r="F348" s="1" t="s">
        <v>1007</v>
      </c>
      <c r="G348" s="5">
        <v>43922</v>
      </c>
      <c r="H348" s="2" t="str">
        <f t="shared" si="16"/>
        <v>1 г. 4 мес. 3 дн.</v>
      </c>
      <c r="I348" s="2" t="s">
        <v>27</v>
      </c>
      <c r="J348" s="2" t="s">
        <v>33</v>
      </c>
      <c r="K348" s="1" t="s">
        <v>1008</v>
      </c>
      <c r="L348" s="1" t="s">
        <v>970</v>
      </c>
      <c r="M348" s="2" t="s">
        <v>57</v>
      </c>
      <c r="N348" s="1">
        <v>0</v>
      </c>
      <c r="O348" s="2" t="s">
        <v>82</v>
      </c>
      <c r="P348" s="2" t="s">
        <v>38</v>
      </c>
      <c r="Q348" s="5">
        <v>44413</v>
      </c>
      <c r="R348" s="6"/>
    </row>
    <row r="349" spans="1:18" ht="38.25" x14ac:dyDescent="0.25">
      <c r="A349" s="2">
        <f t="shared" ref="A349:A412" si="17">ROW(A348)</f>
        <v>348</v>
      </c>
      <c r="B349" s="2">
        <v>1512</v>
      </c>
      <c r="C349" s="2" t="s">
        <v>32</v>
      </c>
      <c r="D349" s="5">
        <v>44413</v>
      </c>
      <c r="E349" s="10">
        <v>3.4722222222222224E-2</v>
      </c>
      <c r="F349" s="1" t="s">
        <v>1015</v>
      </c>
      <c r="G349" s="5">
        <v>41315</v>
      </c>
      <c r="H349" s="2" t="str">
        <f t="shared" si="16"/>
        <v>8 г. 5 мес. 26 дн.</v>
      </c>
      <c r="I349" s="2" t="s">
        <v>28</v>
      </c>
      <c r="J349" s="2" t="s">
        <v>32</v>
      </c>
      <c r="K349" s="1" t="s">
        <v>1009</v>
      </c>
      <c r="L349" s="1" t="s">
        <v>1010</v>
      </c>
      <c r="M349" s="2" t="s">
        <v>63</v>
      </c>
      <c r="N349" s="1">
        <v>0</v>
      </c>
      <c r="O349" s="2" t="s">
        <v>82</v>
      </c>
      <c r="P349" s="2" t="s">
        <v>32</v>
      </c>
      <c r="Q349" s="5">
        <v>44414</v>
      </c>
      <c r="R349" s="6"/>
    </row>
    <row r="350" spans="1:18" ht="38.25" x14ac:dyDescent="0.25">
      <c r="A350" s="2">
        <f t="shared" si="17"/>
        <v>349</v>
      </c>
      <c r="B350" s="2">
        <v>361</v>
      </c>
      <c r="C350" s="2" t="s">
        <v>34</v>
      </c>
      <c r="D350" s="5">
        <v>44413</v>
      </c>
      <c r="E350" s="10">
        <v>0.41666666666666669</v>
      </c>
      <c r="F350" s="1" t="s">
        <v>436</v>
      </c>
      <c r="G350" s="5">
        <v>43152</v>
      </c>
      <c r="H350" s="2" t="str">
        <f t="shared" si="16"/>
        <v>3 г. 5 мес. 15 дн.</v>
      </c>
      <c r="I350" s="2" t="s">
        <v>27</v>
      </c>
      <c r="J350" s="2" t="s">
        <v>34</v>
      </c>
      <c r="K350" s="1" t="s">
        <v>1011</v>
      </c>
      <c r="L350" s="1" t="s">
        <v>328</v>
      </c>
      <c r="M350" s="2" t="s">
        <v>61</v>
      </c>
      <c r="N350" s="1">
        <v>0</v>
      </c>
      <c r="O350" s="2" t="s">
        <v>82</v>
      </c>
      <c r="P350" s="2" t="s">
        <v>34</v>
      </c>
      <c r="Q350" s="5">
        <v>44414</v>
      </c>
      <c r="R350" s="6"/>
    </row>
    <row r="351" spans="1:18" ht="25.5" x14ac:dyDescent="0.25">
      <c r="A351" s="2">
        <f t="shared" si="17"/>
        <v>350</v>
      </c>
      <c r="B351" s="2">
        <v>1521</v>
      </c>
      <c r="C351" s="2" t="s">
        <v>32</v>
      </c>
      <c r="D351" s="5">
        <v>44413</v>
      </c>
      <c r="E351" s="10">
        <v>0.76041666666666663</v>
      </c>
      <c r="F351" s="1" t="s">
        <v>1013</v>
      </c>
      <c r="G351" s="5">
        <v>41115</v>
      </c>
      <c r="H351" s="2" t="str">
        <f t="shared" si="16"/>
        <v>9 г. 0 мес. 11 дн.</v>
      </c>
      <c r="I351" s="2" t="s">
        <v>28</v>
      </c>
      <c r="J351" s="2" t="s">
        <v>32</v>
      </c>
      <c r="K351" s="1" t="s">
        <v>805</v>
      </c>
      <c r="L351" s="1" t="s">
        <v>1014</v>
      </c>
      <c r="M351" s="2" t="s">
        <v>52</v>
      </c>
      <c r="N351" s="1">
        <v>0</v>
      </c>
      <c r="O351" s="2" t="s">
        <v>87</v>
      </c>
      <c r="P351" s="2" t="s">
        <v>39</v>
      </c>
      <c r="Q351" s="5">
        <v>44414</v>
      </c>
      <c r="R351" s="6"/>
    </row>
    <row r="352" spans="1:18" ht="38.25" x14ac:dyDescent="0.25">
      <c r="A352" s="2">
        <f t="shared" si="17"/>
        <v>351</v>
      </c>
      <c r="B352" s="2">
        <v>1531</v>
      </c>
      <c r="C352" s="2" t="s">
        <v>31</v>
      </c>
      <c r="D352" s="5">
        <v>44414</v>
      </c>
      <c r="E352" s="10">
        <v>0.47222222222222227</v>
      </c>
      <c r="F352" s="1" t="s">
        <v>1016</v>
      </c>
      <c r="G352" s="5">
        <v>41598</v>
      </c>
      <c r="H352" s="2" t="str">
        <f t="shared" si="16"/>
        <v>7 г. 8 мес. 17 дн.</v>
      </c>
      <c r="I352" s="2" t="s">
        <v>100</v>
      </c>
      <c r="J352" s="2" t="s">
        <v>31</v>
      </c>
      <c r="K352" s="1" t="s">
        <v>1017</v>
      </c>
      <c r="L352" s="1" t="s">
        <v>1018</v>
      </c>
      <c r="M352" s="2" t="s">
        <v>63</v>
      </c>
      <c r="N352" s="1">
        <v>0</v>
      </c>
      <c r="O352" s="2" t="s">
        <v>87</v>
      </c>
      <c r="P352" s="2" t="s">
        <v>31</v>
      </c>
      <c r="Q352" s="5">
        <v>44421</v>
      </c>
      <c r="R352" s="6"/>
    </row>
    <row r="353" spans="1:18" ht="25.5" x14ac:dyDescent="0.25">
      <c r="A353" s="2">
        <f t="shared" si="17"/>
        <v>352</v>
      </c>
      <c r="B353" s="2">
        <v>652</v>
      </c>
      <c r="C353" s="2" t="s">
        <v>37</v>
      </c>
      <c r="D353" s="5">
        <v>44414</v>
      </c>
      <c r="E353" s="10">
        <v>0.5</v>
      </c>
      <c r="F353" s="1" t="s">
        <v>1019</v>
      </c>
      <c r="G353" s="5">
        <v>44379</v>
      </c>
      <c r="H353" s="2" t="str">
        <f t="shared" si="16"/>
        <v>0 г. 1 мес. 4 дн.</v>
      </c>
      <c r="I353" s="2" t="s">
        <v>28</v>
      </c>
      <c r="J353" s="2" t="s">
        <v>37</v>
      </c>
      <c r="K353" s="1" t="s">
        <v>1020</v>
      </c>
      <c r="L353" s="1" t="s">
        <v>416</v>
      </c>
      <c r="M353" s="2" t="s">
        <v>59</v>
      </c>
      <c r="N353" s="1">
        <v>0</v>
      </c>
      <c r="O353" s="2" t="s">
        <v>82</v>
      </c>
      <c r="P353" s="2" t="s">
        <v>37</v>
      </c>
      <c r="Q353" s="5">
        <v>44416</v>
      </c>
      <c r="R353" s="6"/>
    </row>
    <row r="354" spans="1:18" ht="25.5" x14ac:dyDescent="0.25">
      <c r="A354" s="2">
        <f t="shared" si="17"/>
        <v>353</v>
      </c>
      <c r="B354" s="2">
        <v>1532</v>
      </c>
      <c r="C354" s="2" t="s">
        <v>31</v>
      </c>
      <c r="D354" s="5">
        <v>44414</v>
      </c>
      <c r="E354" s="10">
        <v>0.55208333333333337</v>
      </c>
      <c r="F354" s="1" t="s">
        <v>1021</v>
      </c>
      <c r="G354" s="5">
        <v>43839</v>
      </c>
      <c r="H354" s="2" t="str">
        <f t="shared" si="16"/>
        <v>1 г. 6 мес. 28 дн.</v>
      </c>
      <c r="I354" s="2" t="s">
        <v>25</v>
      </c>
      <c r="J354" s="2" t="s">
        <v>31</v>
      </c>
      <c r="K354" s="1" t="s">
        <v>1024</v>
      </c>
      <c r="L354" s="1" t="s">
        <v>362</v>
      </c>
      <c r="M354" s="2" t="s">
        <v>65</v>
      </c>
      <c r="N354" s="1">
        <v>0</v>
      </c>
      <c r="O354" s="2" t="s">
        <v>82</v>
      </c>
      <c r="P354" s="2" t="s">
        <v>31</v>
      </c>
      <c r="Q354" s="5">
        <v>44416</v>
      </c>
      <c r="R354" s="6"/>
    </row>
    <row r="355" spans="1:18" ht="25.5" x14ac:dyDescent="0.25">
      <c r="A355" s="19">
        <f t="shared" si="17"/>
        <v>354</v>
      </c>
      <c r="B355" s="19">
        <v>653</v>
      </c>
      <c r="C355" s="19" t="s">
        <v>37</v>
      </c>
      <c r="D355" s="20">
        <v>44414</v>
      </c>
      <c r="E355" s="21">
        <v>0.69097222222222221</v>
      </c>
      <c r="F355" s="22" t="s">
        <v>1022</v>
      </c>
      <c r="G355" s="20">
        <v>44306</v>
      </c>
      <c r="H355" s="19" t="str">
        <f t="shared" si="16"/>
        <v>0 г. 3 мес. 17 дн.</v>
      </c>
      <c r="I355" s="19" t="s">
        <v>28</v>
      </c>
      <c r="J355" s="19" t="s">
        <v>37</v>
      </c>
      <c r="K355" s="22" t="s">
        <v>1023</v>
      </c>
      <c r="L355" s="22" t="s">
        <v>416</v>
      </c>
      <c r="M355" s="19" t="s">
        <v>59</v>
      </c>
      <c r="N355" s="22">
        <v>0</v>
      </c>
      <c r="O355" s="19" t="s">
        <v>82</v>
      </c>
      <c r="P355" s="19" t="s">
        <v>40</v>
      </c>
      <c r="Q355" s="20">
        <v>44415</v>
      </c>
      <c r="R355" s="23">
        <v>0.27083333333333331</v>
      </c>
    </row>
    <row r="356" spans="1:18" ht="25.5" x14ac:dyDescent="0.25">
      <c r="A356" s="2">
        <f t="shared" si="17"/>
        <v>355</v>
      </c>
      <c r="B356" s="2">
        <v>480</v>
      </c>
      <c r="C356" s="2" t="s">
        <v>35</v>
      </c>
      <c r="D356" s="5">
        <v>44415</v>
      </c>
      <c r="E356" s="10">
        <v>0.65625</v>
      </c>
      <c r="F356" s="1" t="s">
        <v>1025</v>
      </c>
      <c r="G356" s="5">
        <v>44391</v>
      </c>
      <c r="H356" s="2" t="str">
        <f t="shared" si="16"/>
        <v>0 г. 0 мес. 24 дн.</v>
      </c>
      <c r="I356" s="2" t="s">
        <v>28</v>
      </c>
      <c r="J356" s="2" t="s">
        <v>35</v>
      </c>
      <c r="K356" s="1" t="s">
        <v>1026</v>
      </c>
      <c r="L356" s="1" t="s">
        <v>1027</v>
      </c>
      <c r="M356" s="2" t="s">
        <v>58</v>
      </c>
      <c r="N356" s="1">
        <v>0</v>
      </c>
      <c r="O356" s="2" t="s">
        <v>82</v>
      </c>
      <c r="P356" s="2" t="s">
        <v>35</v>
      </c>
      <c r="Q356" s="5">
        <v>44417</v>
      </c>
      <c r="R356" s="6"/>
    </row>
    <row r="357" spans="1:18" ht="38.25" x14ac:dyDescent="0.25">
      <c r="A357" s="2">
        <f t="shared" si="17"/>
        <v>356</v>
      </c>
      <c r="B357" s="2">
        <v>330</v>
      </c>
      <c r="C357" s="2" t="s">
        <v>38</v>
      </c>
      <c r="D357" s="5">
        <v>44416</v>
      </c>
      <c r="E357" s="10">
        <v>0.75</v>
      </c>
      <c r="F357" s="1" t="s">
        <v>1028</v>
      </c>
      <c r="G357" s="5">
        <v>43563</v>
      </c>
      <c r="H357" s="2" t="str">
        <f t="shared" si="16"/>
        <v>2 г. 4 мес. 0 дн.</v>
      </c>
      <c r="I357" s="2" t="s">
        <v>27</v>
      </c>
      <c r="J357" s="2" t="s">
        <v>38</v>
      </c>
      <c r="K357" s="70" t="s">
        <v>1023</v>
      </c>
      <c r="L357" s="1" t="s">
        <v>356</v>
      </c>
      <c r="M357" s="2" t="s">
        <v>57</v>
      </c>
      <c r="N357" s="1">
        <v>0</v>
      </c>
      <c r="O357" s="2" t="s">
        <v>82</v>
      </c>
      <c r="P357" s="2" t="s">
        <v>38</v>
      </c>
      <c r="Q357" s="5">
        <v>44417</v>
      </c>
      <c r="R357" s="6"/>
    </row>
    <row r="358" spans="1:18" ht="25.5" x14ac:dyDescent="0.25">
      <c r="A358" s="2">
        <f t="shared" si="17"/>
        <v>357</v>
      </c>
      <c r="B358" s="2">
        <v>1539</v>
      </c>
      <c r="C358" s="1" t="s">
        <v>31</v>
      </c>
      <c r="D358" s="5">
        <v>44416</v>
      </c>
      <c r="E358" s="10">
        <v>0.4513888888888889</v>
      </c>
      <c r="F358" s="1" t="s">
        <v>1013</v>
      </c>
      <c r="G358" s="5">
        <v>41113</v>
      </c>
      <c r="H358" s="2" t="str">
        <f t="shared" si="16"/>
        <v>9 г. 0 мес. 16 дн.</v>
      </c>
      <c r="I358" s="2" t="s">
        <v>28</v>
      </c>
      <c r="J358" s="1" t="s">
        <v>31</v>
      </c>
      <c r="K358" s="1" t="s">
        <v>1029</v>
      </c>
      <c r="L358" s="1" t="s">
        <v>1030</v>
      </c>
      <c r="M358" s="2" t="s">
        <v>59</v>
      </c>
      <c r="N358" s="1">
        <v>0</v>
      </c>
      <c r="O358" s="2" t="s">
        <v>82</v>
      </c>
      <c r="P358" s="2" t="s">
        <v>39</v>
      </c>
      <c r="Q358" s="5">
        <v>44417</v>
      </c>
      <c r="R358" s="6"/>
    </row>
    <row r="359" spans="1:18" ht="25.5" x14ac:dyDescent="0.25">
      <c r="A359" s="2">
        <f t="shared" si="17"/>
        <v>358</v>
      </c>
      <c r="B359" s="2">
        <v>1463</v>
      </c>
      <c r="C359" s="1" t="s">
        <v>31</v>
      </c>
      <c r="D359" s="5">
        <v>44417</v>
      </c>
      <c r="E359" s="10">
        <v>0.52083333333333337</v>
      </c>
      <c r="F359" s="1" t="s">
        <v>1031</v>
      </c>
      <c r="G359" s="4">
        <v>41758</v>
      </c>
      <c r="H359" s="2" t="str">
        <f t="shared" si="16"/>
        <v>7 г. 3 мес. 11 дн.</v>
      </c>
      <c r="I359" s="2" t="s">
        <v>26</v>
      </c>
      <c r="J359" s="1" t="s">
        <v>31</v>
      </c>
      <c r="K359" s="1" t="s">
        <v>1032</v>
      </c>
      <c r="L359" s="1" t="s">
        <v>1033</v>
      </c>
      <c r="M359" s="2" t="s">
        <v>60</v>
      </c>
      <c r="N359" s="1">
        <v>0</v>
      </c>
      <c r="O359" s="2" t="s">
        <v>90</v>
      </c>
      <c r="P359" s="2" t="s">
        <v>31</v>
      </c>
      <c r="Q359" s="5">
        <v>44420</v>
      </c>
      <c r="R359" s="6"/>
    </row>
    <row r="360" spans="1:18" ht="25.5" x14ac:dyDescent="0.25">
      <c r="A360" s="2">
        <f t="shared" si="17"/>
        <v>359</v>
      </c>
      <c r="B360" s="2">
        <v>1562</v>
      </c>
      <c r="C360" s="1" t="s">
        <v>31</v>
      </c>
      <c r="D360" s="5">
        <v>44417</v>
      </c>
      <c r="E360" s="10">
        <v>0.72916666666666663</v>
      </c>
      <c r="F360" s="1" t="s">
        <v>1034</v>
      </c>
      <c r="G360" s="4">
        <v>42997</v>
      </c>
      <c r="H360" s="2" t="str">
        <f>DATEDIF(G360,D360,"y") &amp; " г. " &amp; DATEDIF(G360,D360,"ym") &amp; " мес. " &amp; DATEDIF(G360,D360,"md") &amp; " дн."</f>
        <v>3 г. 10 мес. 21 дн.</v>
      </c>
      <c r="I360" s="2" t="s">
        <v>27</v>
      </c>
      <c r="J360" s="1" t="s">
        <v>31</v>
      </c>
      <c r="K360" s="1" t="s">
        <v>1035</v>
      </c>
      <c r="L360" s="1" t="s">
        <v>1036</v>
      </c>
      <c r="M360" s="2" t="s">
        <v>60</v>
      </c>
      <c r="N360" s="1">
        <v>0</v>
      </c>
      <c r="O360" s="2" t="s">
        <v>87</v>
      </c>
      <c r="P360" s="2" t="s">
        <v>31</v>
      </c>
      <c r="Q360" s="5">
        <v>44421</v>
      </c>
      <c r="R360" s="6"/>
    </row>
    <row r="361" spans="1:18" ht="25.5" x14ac:dyDescent="0.25">
      <c r="A361" s="2">
        <f t="shared" si="17"/>
        <v>360</v>
      </c>
      <c r="B361" s="2">
        <v>1564</v>
      </c>
      <c r="C361" s="1" t="s">
        <v>31</v>
      </c>
      <c r="D361" s="5">
        <v>44417</v>
      </c>
      <c r="E361" s="10">
        <v>0.94444444444444453</v>
      </c>
      <c r="F361" s="1" t="s">
        <v>1037</v>
      </c>
      <c r="G361" s="5">
        <v>43982</v>
      </c>
      <c r="H361" s="2" t="str">
        <f t="shared" si="16"/>
        <v>1 г. 2 мес. 9 дн.</v>
      </c>
      <c r="I361" s="2" t="s">
        <v>25</v>
      </c>
      <c r="J361" s="1" t="s">
        <v>31</v>
      </c>
      <c r="K361" s="1" t="s">
        <v>1038</v>
      </c>
      <c r="L361" s="1" t="s">
        <v>556</v>
      </c>
      <c r="M361" s="2" t="s">
        <v>65</v>
      </c>
      <c r="N361" s="1">
        <v>0</v>
      </c>
      <c r="O361" s="2" t="s">
        <v>87</v>
      </c>
      <c r="P361" s="1" t="s">
        <v>31</v>
      </c>
      <c r="Q361" s="5">
        <v>44420</v>
      </c>
      <c r="R361" s="6"/>
    </row>
    <row r="362" spans="1:18" ht="38.25" x14ac:dyDescent="0.25">
      <c r="A362" s="2">
        <f t="shared" si="17"/>
        <v>361</v>
      </c>
      <c r="B362" s="2">
        <v>836</v>
      </c>
      <c r="C362" s="1" t="s">
        <v>33</v>
      </c>
      <c r="D362" s="5">
        <v>44417</v>
      </c>
      <c r="E362" s="10">
        <v>0.94444444444444453</v>
      </c>
      <c r="F362" s="1" t="s">
        <v>1039</v>
      </c>
      <c r="G362" s="5">
        <v>42349</v>
      </c>
      <c r="H362" s="2" t="str">
        <f t="shared" si="16"/>
        <v>5 г. 7 мес. 29 дн.</v>
      </c>
      <c r="I362" s="2" t="s">
        <v>25</v>
      </c>
      <c r="J362" s="1" t="s">
        <v>33</v>
      </c>
      <c r="K362" s="1" t="s">
        <v>1040</v>
      </c>
      <c r="L362" s="1" t="s">
        <v>1041</v>
      </c>
      <c r="M362" s="2" t="s">
        <v>63</v>
      </c>
      <c r="N362" s="1">
        <v>0</v>
      </c>
      <c r="O362" s="2" t="s">
        <v>87</v>
      </c>
      <c r="P362" s="1" t="s">
        <v>33</v>
      </c>
      <c r="Q362" s="5">
        <v>44420</v>
      </c>
      <c r="R362" s="6"/>
    </row>
    <row r="363" spans="1:18" ht="25.5" x14ac:dyDescent="0.25">
      <c r="A363" s="2">
        <f t="shared" si="17"/>
        <v>362</v>
      </c>
      <c r="B363" s="2">
        <v>718</v>
      </c>
      <c r="C363" s="2" t="s">
        <v>38</v>
      </c>
      <c r="D363" s="5">
        <v>44418</v>
      </c>
      <c r="E363" s="10">
        <v>0.5</v>
      </c>
      <c r="F363" s="1" t="s">
        <v>1042</v>
      </c>
      <c r="G363" s="5">
        <v>40683</v>
      </c>
      <c r="H363" s="2" t="str">
        <f t="shared" si="16"/>
        <v>10 г. 2 мес. 21 дн.</v>
      </c>
      <c r="I363" s="2" t="s">
        <v>27</v>
      </c>
      <c r="J363" s="2" t="s">
        <v>38</v>
      </c>
      <c r="K363" s="1" t="s">
        <v>1043</v>
      </c>
      <c r="L363" s="1" t="s">
        <v>1044</v>
      </c>
      <c r="M363" s="2" t="s">
        <v>55</v>
      </c>
      <c r="N363" s="1">
        <v>0</v>
      </c>
      <c r="O363" s="2" t="s">
        <v>82</v>
      </c>
      <c r="P363" s="2" t="s">
        <v>38</v>
      </c>
      <c r="Q363" s="5">
        <v>44419</v>
      </c>
      <c r="R363" s="6"/>
    </row>
    <row r="364" spans="1:18" ht="25.5" x14ac:dyDescent="0.25">
      <c r="A364" s="19">
        <f t="shared" si="17"/>
        <v>363</v>
      </c>
      <c r="B364" s="19">
        <v>667</v>
      </c>
      <c r="C364" s="19" t="s">
        <v>37</v>
      </c>
      <c r="D364" s="20">
        <v>44418</v>
      </c>
      <c r="E364" s="21">
        <v>0.60416666666666663</v>
      </c>
      <c r="F364" s="22" t="s">
        <v>1013</v>
      </c>
      <c r="G364" s="20">
        <v>41113</v>
      </c>
      <c r="H364" s="19" t="str">
        <f t="shared" si="16"/>
        <v>9 г. 0 мес. 18 дн.</v>
      </c>
      <c r="I364" s="19" t="s">
        <v>28</v>
      </c>
      <c r="J364" s="19" t="s">
        <v>37</v>
      </c>
      <c r="K364" s="22" t="s">
        <v>805</v>
      </c>
      <c r="L364" s="22" t="s">
        <v>1402</v>
      </c>
      <c r="M364" s="19" t="s">
        <v>52</v>
      </c>
      <c r="N364" s="22" t="s">
        <v>105</v>
      </c>
      <c r="O364" s="19" t="s">
        <v>87</v>
      </c>
      <c r="P364" s="19" t="s">
        <v>40</v>
      </c>
      <c r="Q364" s="20">
        <v>44422</v>
      </c>
      <c r="R364" s="23">
        <v>0.75694444444444453</v>
      </c>
    </row>
    <row r="365" spans="1:18" ht="38.25" x14ac:dyDescent="0.25">
      <c r="A365" s="2">
        <f t="shared" si="17"/>
        <v>364</v>
      </c>
      <c r="B365" s="2">
        <v>708</v>
      </c>
      <c r="C365" s="2" t="s">
        <v>38</v>
      </c>
      <c r="D365" s="5">
        <v>44419</v>
      </c>
      <c r="E365" s="10">
        <v>0.61458333333333337</v>
      </c>
      <c r="F365" s="1" t="s">
        <v>1045</v>
      </c>
      <c r="G365" s="5">
        <v>44077</v>
      </c>
      <c r="H365" s="2" t="str">
        <f t="shared" si="16"/>
        <v>0 г. 11 мес. 8 дн.</v>
      </c>
      <c r="I365" s="2" t="s">
        <v>27</v>
      </c>
      <c r="J365" s="2" t="s">
        <v>38</v>
      </c>
      <c r="K365" s="1" t="s">
        <v>1046</v>
      </c>
      <c r="L365" s="1" t="s">
        <v>858</v>
      </c>
      <c r="M365" s="2" t="s">
        <v>57</v>
      </c>
      <c r="N365" s="1">
        <v>0</v>
      </c>
      <c r="O365" s="2" t="s">
        <v>82</v>
      </c>
      <c r="P365" s="2" t="s">
        <v>38</v>
      </c>
      <c r="Q365" s="5">
        <v>44420</v>
      </c>
      <c r="R365" s="6"/>
    </row>
    <row r="366" spans="1:18" ht="38.25" x14ac:dyDescent="0.25">
      <c r="A366" s="2">
        <f t="shared" si="17"/>
        <v>365</v>
      </c>
      <c r="B366" s="2">
        <v>839</v>
      </c>
      <c r="C366" s="1" t="s">
        <v>33</v>
      </c>
      <c r="D366" s="5">
        <v>44420</v>
      </c>
      <c r="E366" s="10">
        <v>0.5</v>
      </c>
      <c r="F366" s="1" t="s">
        <v>1047</v>
      </c>
      <c r="G366" s="5">
        <v>38597</v>
      </c>
      <c r="H366" s="2" t="str">
        <f t="shared" si="16"/>
        <v>15 г. 11 мес. 10 дн.</v>
      </c>
      <c r="I366" s="2" t="s">
        <v>26</v>
      </c>
      <c r="J366" s="2" t="s">
        <v>33</v>
      </c>
      <c r="K366" s="1" t="s">
        <v>1048</v>
      </c>
      <c r="L366" s="1" t="s">
        <v>1049</v>
      </c>
      <c r="M366" s="2" t="s">
        <v>62</v>
      </c>
      <c r="N366" s="1">
        <v>0</v>
      </c>
      <c r="O366" s="2" t="s">
        <v>82</v>
      </c>
      <c r="P366" s="2" t="s">
        <v>33</v>
      </c>
      <c r="Q366" s="5">
        <v>44421</v>
      </c>
      <c r="R366" s="6"/>
    </row>
    <row r="367" spans="1:18" ht="25.5" x14ac:dyDescent="0.25">
      <c r="A367" s="2">
        <f t="shared" si="17"/>
        <v>366</v>
      </c>
      <c r="B367" s="2">
        <v>1584</v>
      </c>
      <c r="C367" s="2" t="s">
        <v>31</v>
      </c>
      <c r="D367" s="5">
        <v>44420</v>
      </c>
      <c r="E367" s="10">
        <v>0.73611111111111116</v>
      </c>
      <c r="F367" s="1" t="s">
        <v>1050</v>
      </c>
      <c r="G367" s="5">
        <v>43363</v>
      </c>
      <c r="H367" s="2" t="str">
        <f t="shared" si="16"/>
        <v>2 г. 10 мес. 23 дн.</v>
      </c>
      <c r="I367" s="2" t="s">
        <v>26</v>
      </c>
      <c r="J367" s="2" t="s">
        <v>31</v>
      </c>
      <c r="K367" s="1" t="s">
        <v>1051</v>
      </c>
      <c r="L367" s="1" t="s">
        <v>139</v>
      </c>
      <c r="M367" s="2" t="s">
        <v>60</v>
      </c>
      <c r="N367" s="1">
        <v>0</v>
      </c>
      <c r="O367" s="2" t="s">
        <v>82</v>
      </c>
      <c r="P367" s="2" t="s">
        <v>31</v>
      </c>
      <c r="Q367" s="5">
        <v>44421</v>
      </c>
      <c r="R367" s="6"/>
    </row>
    <row r="368" spans="1:18" ht="38.25" x14ac:dyDescent="0.25">
      <c r="A368" s="2">
        <f t="shared" si="17"/>
        <v>367</v>
      </c>
      <c r="B368" s="2">
        <v>1594</v>
      </c>
      <c r="C368" s="2" t="s">
        <v>31</v>
      </c>
      <c r="D368" s="5">
        <v>44421</v>
      </c>
      <c r="E368" s="10">
        <v>0.88194444444444453</v>
      </c>
      <c r="F368" s="1" t="s">
        <v>1052</v>
      </c>
      <c r="G368" s="5">
        <v>43622</v>
      </c>
      <c r="H368" s="2" t="str">
        <f t="shared" si="16"/>
        <v>2 г. 2 мес. 7 дн.</v>
      </c>
      <c r="I368" s="2" t="s">
        <v>100</v>
      </c>
      <c r="J368" s="2" t="s">
        <v>31</v>
      </c>
      <c r="K368" s="1" t="s">
        <v>1053</v>
      </c>
      <c r="L368" s="1" t="s">
        <v>389</v>
      </c>
      <c r="M368" s="1" t="s">
        <v>60</v>
      </c>
      <c r="N368" s="1">
        <v>0</v>
      </c>
      <c r="O368" s="2" t="s">
        <v>82</v>
      </c>
      <c r="P368" s="2" t="s">
        <v>31</v>
      </c>
      <c r="Q368" s="5">
        <v>44422</v>
      </c>
      <c r="R368" s="6"/>
    </row>
    <row r="369" spans="1:18" ht="25.5" x14ac:dyDescent="0.25">
      <c r="A369" s="2">
        <f t="shared" si="17"/>
        <v>368</v>
      </c>
      <c r="B369" s="2"/>
      <c r="C369" s="2" t="s">
        <v>36</v>
      </c>
      <c r="D369" s="5">
        <v>44423</v>
      </c>
      <c r="E369" s="10">
        <v>0.88541666666666663</v>
      </c>
      <c r="F369" s="1" t="s">
        <v>1054</v>
      </c>
      <c r="G369" s="5">
        <v>41997</v>
      </c>
      <c r="H369" s="2"/>
      <c r="I369" s="2" t="s">
        <v>25</v>
      </c>
      <c r="J369" s="2" t="s">
        <v>36</v>
      </c>
      <c r="K369" s="1" t="s">
        <v>1055</v>
      </c>
      <c r="L369" s="1" t="s">
        <v>1056</v>
      </c>
      <c r="M369" s="2" t="s">
        <v>58</v>
      </c>
      <c r="N369" s="71">
        <v>0</v>
      </c>
      <c r="O369" s="2" t="s">
        <v>82</v>
      </c>
      <c r="P369" s="2" t="s">
        <v>41</v>
      </c>
      <c r="Q369" s="5">
        <v>44424</v>
      </c>
      <c r="R369" s="6"/>
    </row>
    <row r="370" spans="1:18" ht="63.75" x14ac:dyDescent="0.25">
      <c r="A370" s="2">
        <f t="shared" si="17"/>
        <v>369</v>
      </c>
      <c r="B370" s="2"/>
      <c r="C370" s="2" t="s">
        <v>36</v>
      </c>
      <c r="D370" s="5">
        <v>44423</v>
      </c>
      <c r="E370" s="10">
        <v>0.99305555555555547</v>
      </c>
      <c r="F370" s="1" t="s">
        <v>1057</v>
      </c>
      <c r="G370" s="5">
        <v>39339</v>
      </c>
      <c r="H370" s="2" t="str">
        <f t="shared" si="16"/>
        <v>13 г. 11 мес. 1 дн.</v>
      </c>
      <c r="I370" s="2" t="s">
        <v>25</v>
      </c>
      <c r="J370" s="2" t="s">
        <v>36</v>
      </c>
      <c r="K370" s="1" t="s">
        <v>1058</v>
      </c>
      <c r="L370" s="1" t="s">
        <v>1059</v>
      </c>
      <c r="M370" s="2" t="s">
        <v>54</v>
      </c>
      <c r="N370" s="1">
        <v>0</v>
      </c>
      <c r="O370" s="2" t="s">
        <v>82</v>
      </c>
      <c r="P370" s="2" t="s">
        <v>36</v>
      </c>
      <c r="Q370" s="5">
        <v>44424</v>
      </c>
      <c r="R370" s="6"/>
    </row>
    <row r="371" spans="1:18" ht="38.25" x14ac:dyDescent="0.25">
      <c r="A371" s="2">
        <f t="shared" si="17"/>
        <v>370</v>
      </c>
      <c r="B371" s="2">
        <v>1531</v>
      </c>
      <c r="C371" s="2" t="s">
        <v>31</v>
      </c>
      <c r="D371" s="5">
        <v>44424</v>
      </c>
      <c r="E371" s="10">
        <v>0.47222222222222227</v>
      </c>
      <c r="F371" s="1" t="s">
        <v>1016</v>
      </c>
      <c r="G371" s="5">
        <v>41598</v>
      </c>
      <c r="H371" s="2" t="str">
        <f t="shared" ref="H371" si="18">DATEDIF(G371,D371,"y") &amp; " г. " &amp; DATEDIF(G371,D371,"ym") &amp; " мес. " &amp; DATEDIF(G371,D371,"md") &amp; " дн."</f>
        <v>7 г. 8 мес. 27 дн.</v>
      </c>
      <c r="I371" s="2" t="s">
        <v>30</v>
      </c>
      <c r="J371" s="2" t="s">
        <v>31</v>
      </c>
      <c r="K371" s="1" t="s">
        <v>1017</v>
      </c>
      <c r="L371" s="1" t="s">
        <v>1018</v>
      </c>
      <c r="M371" s="2" t="s">
        <v>63</v>
      </c>
      <c r="N371" s="1">
        <v>0</v>
      </c>
      <c r="O371" s="2" t="s">
        <v>87</v>
      </c>
      <c r="P371" s="2" t="s">
        <v>39</v>
      </c>
      <c r="Q371" s="5">
        <v>44434</v>
      </c>
      <c r="R371" s="6"/>
    </row>
    <row r="372" spans="1:18" ht="25.5" x14ac:dyDescent="0.25">
      <c r="A372" s="2">
        <f t="shared" si="17"/>
        <v>371</v>
      </c>
      <c r="B372" s="2">
        <v>1612</v>
      </c>
      <c r="C372" s="2" t="s">
        <v>31</v>
      </c>
      <c r="D372" s="5">
        <v>44424</v>
      </c>
      <c r="E372" s="10">
        <v>0.79513888888888884</v>
      </c>
      <c r="F372" s="1" t="s">
        <v>1060</v>
      </c>
      <c r="G372" s="5">
        <v>42252</v>
      </c>
      <c r="H372" s="2" t="str">
        <f t="shared" si="16"/>
        <v>5 г. 11 мес. 11 дн.</v>
      </c>
      <c r="I372" s="2" t="s">
        <v>26</v>
      </c>
      <c r="J372" s="2" t="s">
        <v>31</v>
      </c>
      <c r="K372" s="1" t="s">
        <v>1061</v>
      </c>
      <c r="L372" s="1" t="s">
        <v>1062</v>
      </c>
      <c r="M372" s="2" t="s">
        <v>60</v>
      </c>
      <c r="N372" s="1">
        <v>0</v>
      </c>
      <c r="O372" s="2" t="s">
        <v>98</v>
      </c>
      <c r="P372" s="2" t="s">
        <v>31</v>
      </c>
      <c r="Q372" s="5">
        <v>44428</v>
      </c>
      <c r="R372" s="6"/>
    </row>
    <row r="373" spans="1:18" ht="38.25" x14ac:dyDescent="0.25">
      <c r="A373" s="2">
        <f t="shared" si="17"/>
        <v>372</v>
      </c>
      <c r="B373" s="2">
        <v>722</v>
      </c>
      <c r="C373" s="2" t="s">
        <v>38</v>
      </c>
      <c r="D373" s="5">
        <v>44424</v>
      </c>
      <c r="E373" s="10">
        <v>0.66666666666666663</v>
      </c>
      <c r="F373" s="1" t="s">
        <v>1063</v>
      </c>
      <c r="G373" s="5">
        <v>43837</v>
      </c>
      <c r="H373" s="2" t="str">
        <f t="shared" si="16"/>
        <v>1 г. 7 мес. 9 дн.</v>
      </c>
      <c r="I373" s="2" t="s">
        <v>27</v>
      </c>
      <c r="J373" s="2" t="s">
        <v>38</v>
      </c>
      <c r="K373" s="1" t="s">
        <v>1064</v>
      </c>
      <c r="L373" s="1" t="s">
        <v>359</v>
      </c>
      <c r="M373" s="2" t="s">
        <v>57</v>
      </c>
      <c r="N373" s="1">
        <v>0</v>
      </c>
      <c r="O373" s="2" t="s">
        <v>82</v>
      </c>
      <c r="P373" s="2" t="s">
        <v>38</v>
      </c>
      <c r="Q373" s="5">
        <v>44425</v>
      </c>
      <c r="R373" s="6"/>
    </row>
    <row r="374" spans="1:18" ht="38.25" x14ac:dyDescent="0.25">
      <c r="A374" s="2">
        <f t="shared" si="17"/>
        <v>373</v>
      </c>
      <c r="B374" s="2">
        <v>365</v>
      </c>
      <c r="C374" s="2" t="s">
        <v>38</v>
      </c>
      <c r="D374" s="5">
        <v>44425</v>
      </c>
      <c r="E374" s="10">
        <v>0.6875</v>
      </c>
      <c r="F374" s="1" t="s">
        <v>1065</v>
      </c>
      <c r="G374" s="5">
        <v>42037</v>
      </c>
      <c r="H374" s="2" t="str">
        <f t="shared" si="16"/>
        <v>6 г. 6 мес. 15 дн.</v>
      </c>
      <c r="I374" s="2" t="s">
        <v>27</v>
      </c>
      <c r="J374" s="2" t="s">
        <v>38</v>
      </c>
      <c r="K374" s="1" t="s">
        <v>1066</v>
      </c>
      <c r="L374" s="1" t="s">
        <v>1067</v>
      </c>
      <c r="M374" s="2" t="s">
        <v>57</v>
      </c>
      <c r="N374" s="1">
        <v>0</v>
      </c>
      <c r="O374" s="2" t="s">
        <v>82</v>
      </c>
      <c r="P374" s="2" t="s">
        <v>38</v>
      </c>
      <c r="Q374" s="5">
        <v>44426</v>
      </c>
      <c r="R374" s="6"/>
    </row>
    <row r="375" spans="1:18" ht="25.5" x14ac:dyDescent="0.25">
      <c r="A375" s="2">
        <f t="shared" si="17"/>
        <v>374</v>
      </c>
      <c r="B375" s="2">
        <v>1615</v>
      </c>
      <c r="C375" s="1" t="s">
        <v>31</v>
      </c>
      <c r="D375" s="5">
        <v>44425</v>
      </c>
      <c r="E375" s="10">
        <v>0.4375</v>
      </c>
      <c r="F375" s="1" t="s">
        <v>1068</v>
      </c>
      <c r="G375" s="5">
        <v>44392</v>
      </c>
      <c r="H375" s="2" t="str">
        <f t="shared" si="16"/>
        <v>0 г. 1 мес. 2 дн.</v>
      </c>
      <c r="I375" s="2" t="s">
        <v>27</v>
      </c>
      <c r="J375" s="1" t="s">
        <v>31</v>
      </c>
      <c r="K375" s="1" t="s">
        <v>1069</v>
      </c>
      <c r="L375" s="1" t="s">
        <v>1070</v>
      </c>
      <c r="M375" s="2" t="s">
        <v>60</v>
      </c>
      <c r="N375" s="1">
        <v>0</v>
      </c>
      <c r="O375" s="2" t="s">
        <v>82</v>
      </c>
      <c r="P375" s="1" t="s">
        <v>31</v>
      </c>
      <c r="Q375" s="5">
        <v>44428</v>
      </c>
      <c r="R375" s="6"/>
    </row>
    <row r="376" spans="1:18" ht="25.5" x14ac:dyDescent="0.25">
      <c r="A376" s="2">
        <f t="shared" si="17"/>
        <v>375</v>
      </c>
      <c r="B376" s="2">
        <v>1622</v>
      </c>
      <c r="C376" s="1" t="s">
        <v>31</v>
      </c>
      <c r="D376" s="5">
        <v>44425</v>
      </c>
      <c r="E376" s="10">
        <v>0.625</v>
      </c>
      <c r="F376" s="1" t="s">
        <v>1071</v>
      </c>
      <c r="G376" s="5">
        <v>40493</v>
      </c>
      <c r="H376" s="2" t="str">
        <f t="shared" si="16"/>
        <v>10 г. 9 мес. 6 дн.</v>
      </c>
      <c r="I376" s="2" t="s">
        <v>28</v>
      </c>
      <c r="J376" s="1" t="s">
        <v>31</v>
      </c>
      <c r="K376" s="1" t="s">
        <v>1072</v>
      </c>
      <c r="L376" s="1" t="s">
        <v>1073</v>
      </c>
      <c r="M376" s="2" t="s">
        <v>60</v>
      </c>
      <c r="N376" s="1">
        <v>0</v>
      </c>
      <c r="O376" s="2" t="s">
        <v>87</v>
      </c>
      <c r="P376" s="1" t="s">
        <v>39</v>
      </c>
      <c r="Q376" s="5">
        <v>44426</v>
      </c>
      <c r="R376" s="6"/>
    </row>
    <row r="377" spans="1:18" ht="25.5" x14ac:dyDescent="0.25">
      <c r="A377" s="2">
        <f t="shared" si="17"/>
        <v>376</v>
      </c>
      <c r="B377" s="2">
        <v>423</v>
      </c>
      <c r="C377" s="1" t="s">
        <v>36</v>
      </c>
      <c r="D377" s="5">
        <v>44425</v>
      </c>
      <c r="E377" s="10">
        <v>0.44444444444444442</v>
      </c>
      <c r="F377" s="1" t="s">
        <v>1074</v>
      </c>
      <c r="G377" s="4">
        <v>38438</v>
      </c>
      <c r="H377" s="2" t="str">
        <f t="shared" si="16"/>
        <v>16 г. 4 мес. 21 дн.</v>
      </c>
      <c r="I377" s="2" t="s">
        <v>25</v>
      </c>
      <c r="J377" s="1" t="s">
        <v>36</v>
      </c>
      <c r="K377" s="1" t="s">
        <v>1075</v>
      </c>
      <c r="L377" s="1" t="s">
        <v>1076</v>
      </c>
      <c r="M377" s="2" t="s">
        <v>66</v>
      </c>
      <c r="N377" s="1">
        <v>0</v>
      </c>
      <c r="O377" s="2" t="s">
        <v>82</v>
      </c>
      <c r="P377" s="2" t="s">
        <v>36</v>
      </c>
      <c r="Q377" s="5">
        <v>44426</v>
      </c>
      <c r="R377" s="6"/>
    </row>
    <row r="378" spans="1:18" ht="38.25" x14ac:dyDescent="0.25">
      <c r="A378" s="2">
        <f t="shared" si="17"/>
        <v>377</v>
      </c>
      <c r="B378" s="2">
        <v>366</v>
      </c>
      <c r="C378" s="2" t="s">
        <v>38</v>
      </c>
      <c r="D378" s="5">
        <v>44426</v>
      </c>
      <c r="E378" s="10">
        <v>0.75</v>
      </c>
      <c r="F378" s="1" t="s">
        <v>1077</v>
      </c>
      <c r="G378" s="5">
        <v>41908</v>
      </c>
      <c r="H378" s="2" t="str">
        <f t="shared" si="16"/>
        <v>6 г. 10 мес. 23 дн.</v>
      </c>
      <c r="I378" s="2" t="s">
        <v>27</v>
      </c>
      <c r="J378" s="2" t="s">
        <v>38</v>
      </c>
      <c r="K378" s="1" t="s">
        <v>103</v>
      </c>
      <c r="L378" s="1" t="s">
        <v>1078</v>
      </c>
      <c r="M378" s="2" t="s">
        <v>57</v>
      </c>
      <c r="N378" s="1">
        <v>0</v>
      </c>
      <c r="O378" s="2" t="s">
        <v>82</v>
      </c>
      <c r="P378" s="2" t="s">
        <v>38</v>
      </c>
      <c r="Q378" s="5">
        <v>44427</v>
      </c>
      <c r="R378" s="6"/>
    </row>
    <row r="379" spans="1:18" ht="38.25" x14ac:dyDescent="0.25">
      <c r="A379" s="2">
        <f t="shared" si="17"/>
        <v>378</v>
      </c>
      <c r="B379" s="2">
        <v>884</v>
      </c>
      <c r="C379" s="2" t="s">
        <v>33</v>
      </c>
      <c r="D379" s="5">
        <v>44426</v>
      </c>
      <c r="E379" s="10">
        <v>0.89583333333333337</v>
      </c>
      <c r="F379" s="1" t="s">
        <v>1079</v>
      </c>
      <c r="G379" s="5">
        <v>39132</v>
      </c>
      <c r="H379" s="2" t="str">
        <f t="shared" si="16"/>
        <v>14 г. 5 мес. 30 дн.</v>
      </c>
      <c r="I379" s="2" t="s">
        <v>25</v>
      </c>
      <c r="J379" s="2" t="s">
        <v>33</v>
      </c>
      <c r="K379" s="1" t="s">
        <v>1080</v>
      </c>
      <c r="L379" s="1" t="s">
        <v>1081</v>
      </c>
      <c r="M379" s="2" t="s">
        <v>62</v>
      </c>
      <c r="N379" s="1">
        <v>0</v>
      </c>
      <c r="O379" s="2" t="s">
        <v>82</v>
      </c>
      <c r="P379" s="2" t="s">
        <v>33</v>
      </c>
      <c r="Q379" s="5">
        <v>44427</v>
      </c>
      <c r="R379" s="6"/>
    </row>
    <row r="380" spans="1:18" ht="38.25" x14ac:dyDescent="0.25">
      <c r="A380" s="2">
        <f t="shared" si="17"/>
        <v>379</v>
      </c>
      <c r="B380" s="2">
        <v>407</v>
      </c>
      <c r="C380" s="2" t="s">
        <v>34</v>
      </c>
      <c r="D380" s="5">
        <v>44427</v>
      </c>
      <c r="E380" s="10">
        <v>0.375</v>
      </c>
      <c r="F380" s="1" t="s">
        <v>436</v>
      </c>
      <c r="G380" s="5">
        <v>43152</v>
      </c>
      <c r="H380" s="2" t="str">
        <f t="shared" ref="H380" si="19">DATEDIF(G380,D380,"y") &amp; " г. " &amp; DATEDIF(G380,D380,"ym") &amp; " мес. " &amp; DATEDIF(G380,D380,"md") &amp; " дн."</f>
        <v>3 г. 5 мес. 29 дн.</v>
      </c>
      <c r="I380" s="2" t="s">
        <v>27</v>
      </c>
      <c r="J380" s="2" t="s">
        <v>34</v>
      </c>
      <c r="K380" s="1" t="s">
        <v>1011</v>
      </c>
      <c r="L380" s="1" t="s">
        <v>328</v>
      </c>
      <c r="M380" s="2" t="s">
        <v>61</v>
      </c>
      <c r="N380" s="1">
        <v>0</v>
      </c>
      <c r="O380" s="2" t="s">
        <v>82</v>
      </c>
      <c r="P380" s="2" t="s">
        <v>34</v>
      </c>
      <c r="Q380" s="5">
        <v>44428</v>
      </c>
      <c r="R380" s="6"/>
    </row>
    <row r="381" spans="1:18" ht="38.25" x14ac:dyDescent="0.25">
      <c r="A381" s="2">
        <f t="shared" si="17"/>
        <v>380</v>
      </c>
      <c r="B381" s="2">
        <v>369</v>
      </c>
      <c r="C381" s="2" t="s">
        <v>38</v>
      </c>
      <c r="D381" s="5">
        <v>44427</v>
      </c>
      <c r="E381" s="10">
        <v>0.66666666666666663</v>
      </c>
      <c r="F381" s="1" t="s">
        <v>1082</v>
      </c>
      <c r="G381" s="5">
        <v>44103</v>
      </c>
      <c r="H381" s="2" t="str">
        <f t="shared" si="16"/>
        <v>0 г. 10 мес. 21 дн.</v>
      </c>
      <c r="I381" s="2" t="s">
        <v>27</v>
      </c>
      <c r="J381" s="2" t="s">
        <v>38</v>
      </c>
      <c r="K381" s="1" t="s">
        <v>1083</v>
      </c>
      <c r="L381" s="1" t="s">
        <v>1084</v>
      </c>
      <c r="M381" s="2" t="s">
        <v>57</v>
      </c>
      <c r="N381" s="1">
        <v>0</v>
      </c>
      <c r="O381" s="2" t="s">
        <v>82</v>
      </c>
      <c r="P381" s="2" t="s">
        <v>38</v>
      </c>
      <c r="Q381" s="5">
        <v>44428</v>
      </c>
      <c r="R381" s="6"/>
    </row>
    <row r="382" spans="1:18" ht="38.25" x14ac:dyDescent="0.25">
      <c r="A382" s="2">
        <f t="shared" si="17"/>
        <v>381</v>
      </c>
      <c r="B382" s="2">
        <v>1639</v>
      </c>
      <c r="C382" s="2" t="s">
        <v>32</v>
      </c>
      <c r="D382" s="5">
        <v>44427</v>
      </c>
      <c r="E382" s="10">
        <v>0.6875</v>
      </c>
      <c r="F382" s="1" t="s">
        <v>1085</v>
      </c>
      <c r="G382" s="5">
        <v>39776</v>
      </c>
      <c r="H382" s="2" t="str">
        <f t="shared" si="16"/>
        <v>12 г. 8 мес. 26 дн.</v>
      </c>
      <c r="I382" s="2" t="s">
        <v>27</v>
      </c>
      <c r="J382" s="2" t="s">
        <v>32</v>
      </c>
      <c r="K382" s="1" t="s">
        <v>1086</v>
      </c>
      <c r="L382" s="1" t="s">
        <v>1087</v>
      </c>
      <c r="M382" s="2" t="s">
        <v>61</v>
      </c>
      <c r="N382" s="1">
        <v>0</v>
      </c>
      <c r="O382" s="2" t="s">
        <v>82</v>
      </c>
      <c r="P382" s="2" t="s">
        <v>32</v>
      </c>
      <c r="Q382" s="5">
        <v>44428</v>
      </c>
      <c r="R382" s="6"/>
    </row>
    <row r="383" spans="1:18" ht="25.5" x14ac:dyDescent="0.25">
      <c r="A383" s="2">
        <f t="shared" si="17"/>
        <v>382</v>
      </c>
      <c r="B383" s="2">
        <v>1643</v>
      </c>
      <c r="C383" s="2" t="s">
        <v>31</v>
      </c>
      <c r="D383" s="5">
        <v>44427</v>
      </c>
      <c r="E383" s="10">
        <v>0.94791666666666663</v>
      </c>
      <c r="F383" s="1" t="s">
        <v>1088</v>
      </c>
      <c r="G383" s="5">
        <v>40994</v>
      </c>
      <c r="H383" s="2" t="str">
        <f t="shared" si="16"/>
        <v>9 г. 4 мес. 24 дн.</v>
      </c>
      <c r="I383" s="2" t="s">
        <v>25</v>
      </c>
      <c r="J383" s="2" t="s">
        <v>31</v>
      </c>
      <c r="K383" s="1" t="s">
        <v>1089</v>
      </c>
      <c r="L383" s="1" t="s">
        <v>556</v>
      </c>
      <c r="M383" s="2" t="s">
        <v>65</v>
      </c>
      <c r="N383" s="1">
        <v>0</v>
      </c>
      <c r="O383" s="2" t="s">
        <v>87</v>
      </c>
      <c r="P383" s="2" t="s">
        <v>31</v>
      </c>
      <c r="Q383" s="5">
        <v>44438</v>
      </c>
      <c r="R383" s="6"/>
    </row>
    <row r="384" spans="1:18" ht="51" x14ac:dyDescent="0.25">
      <c r="A384" s="2">
        <f t="shared" si="17"/>
        <v>383</v>
      </c>
      <c r="B384" s="2">
        <v>1645</v>
      </c>
      <c r="C384" s="2" t="s">
        <v>31</v>
      </c>
      <c r="D384" s="5">
        <v>44428</v>
      </c>
      <c r="E384" s="10">
        <v>0.75</v>
      </c>
      <c r="F384" s="1" t="s">
        <v>1091</v>
      </c>
      <c r="G384" s="5">
        <v>38461</v>
      </c>
      <c r="H384" s="2" t="str">
        <f t="shared" si="16"/>
        <v>16 г. 4 мес. 1 дн.</v>
      </c>
      <c r="I384" s="2" t="s">
        <v>27</v>
      </c>
      <c r="J384" s="2" t="s">
        <v>31</v>
      </c>
      <c r="K384" s="1" t="s">
        <v>1092</v>
      </c>
      <c r="L384" s="1" t="s">
        <v>1036</v>
      </c>
      <c r="M384" s="2" t="s">
        <v>64</v>
      </c>
      <c r="N384" s="1">
        <v>0</v>
      </c>
      <c r="O384" s="2" t="s">
        <v>82</v>
      </c>
      <c r="P384" s="2" t="s">
        <v>31</v>
      </c>
      <c r="Q384" s="5">
        <v>44429</v>
      </c>
      <c r="R384" s="6"/>
    </row>
    <row r="385" spans="1:18" ht="25.5" x14ac:dyDescent="0.25">
      <c r="A385" s="2">
        <f t="shared" si="17"/>
        <v>384</v>
      </c>
      <c r="B385" s="2">
        <v>431</v>
      </c>
      <c r="C385" s="1" t="s">
        <v>36</v>
      </c>
      <c r="D385" s="5">
        <v>44429</v>
      </c>
      <c r="E385" s="10">
        <v>0.93055555555555547</v>
      </c>
      <c r="F385" s="1" t="s">
        <v>1093</v>
      </c>
      <c r="G385" s="5">
        <v>39124</v>
      </c>
      <c r="H385" s="2" t="str">
        <f t="shared" si="16"/>
        <v>14 г. 6 мес. 10 дн.</v>
      </c>
      <c r="I385" s="2" t="s">
        <v>25</v>
      </c>
      <c r="J385" s="1" t="s">
        <v>36</v>
      </c>
      <c r="K385" s="1" t="s">
        <v>1094</v>
      </c>
      <c r="L385" s="1" t="s">
        <v>1095</v>
      </c>
      <c r="M385" s="2" t="s">
        <v>66</v>
      </c>
      <c r="N385" s="1">
        <v>0</v>
      </c>
      <c r="O385" s="2" t="s">
        <v>82</v>
      </c>
      <c r="P385" s="1" t="s">
        <v>36</v>
      </c>
      <c r="Q385" s="5">
        <v>44430</v>
      </c>
      <c r="R385" s="12">
        <v>0.5</v>
      </c>
    </row>
    <row r="386" spans="1:18" ht="38.25" x14ac:dyDescent="0.25">
      <c r="A386" s="2">
        <f t="shared" si="17"/>
        <v>385</v>
      </c>
      <c r="B386" s="2">
        <v>1657</v>
      </c>
      <c r="C386" s="1" t="s">
        <v>31</v>
      </c>
      <c r="D386" s="5">
        <v>44431</v>
      </c>
      <c r="E386" s="10">
        <v>0.1076388888888889</v>
      </c>
      <c r="F386" s="1" t="s">
        <v>1096</v>
      </c>
      <c r="G386" s="5">
        <v>41534</v>
      </c>
      <c r="H386" s="2" t="str">
        <f t="shared" si="16"/>
        <v>7 г. 11 мес. 6 дн.</v>
      </c>
      <c r="I386" s="2" t="s">
        <v>26</v>
      </c>
      <c r="J386" s="1" t="s">
        <v>31</v>
      </c>
      <c r="K386" s="1" t="s">
        <v>1097</v>
      </c>
      <c r="L386" s="1" t="s">
        <v>129</v>
      </c>
      <c r="M386" s="2" t="s">
        <v>62</v>
      </c>
      <c r="N386" s="1">
        <v>0</v>
      </c>
      <c r="O386" s="2" t="s">
        <v>82</v>
      </c>
      <c r="P386" s="2" t="s">
        <v>31</v>
      </c>
      <c r="Q386" s="5">
        <v>44431</v>
      </c>
      <c r="R386" s="6"/>
    </row>
    <row r="387" spans="1:18" ht="38.25" x14ac:dyDescent="0.25">
      <c r="A387" s="2">
        <f t="shared" si="17"/>
        <v>386</v>
      </c>
      <c r="B387" s="2">
        <v>1668</v>
      </c>
      <c r="C387" s="2" t="s">
        <v>31</v>
      </c>
      <c r="D387" s="5">
        <v>44431</v>
      </c>
      <c r="E387" s="10">
        <v>0.41666666666666669</v>
      </c>
      <c r="F387" s="1" t="s">
        <v>1098</v>
      </c>
      <c r="G387" s="5">
        <v>38454</v>
      </c>
      <c r="H387" s="2" t="str">
        <f t="shared" si="16"/>
        <v>16 г. 4 мес. 11 дн.</v>
      </c>
      <c r="I387" s="2" t="s">
        <v>27</v>
      </c>
      <c r="J387" s="2" t="s">
        <v>31</v>
      </c>
      <c r="K387" s="1" t="s">
        <v>1099</v>
      </c>
      <c r="L387" s="1" t="s">
        <v>1100</v>
      </c>
      <c r="M387" s="2" t="s">
        <v>61</v>
      </c>
      <c r="N387" s="1">
        <v>0</v>
      </c>
      <c r="O387" s="2" t="s">
        <v>82</v>
      </c>
      <c r="P387" s="2" t="s">
        <v>31</v>
      </c>
      <c r="Q387" s="5">
        <v>44432</v>
      </c>
      <c r="R387" s="12">
        <v>0.5</v>
      </c>
    </row>
    <row r="388" spans="1:18" ht="25.5" x14ac:dyDescent="0.25">
      <c r="A388" s="2">
        <f t="shared" si="17"/>
        <v>387</v>
      </c>
      <c r="B388" s="2">
        <v>1641</v>
      </c>
      <c r="C388" s="2" t="s">
        <v>31</v>
      </c>
      <c r="D388" s="5">
        <v>44431</v>
      </c>
      <c r="E388" s="10">
        <v>0.4375</v>
      </c>
      <c r="F388" s="1" t="s">
        <v>1101</v>
      </c>
      <c r="G388" s="5">
        <v>42364</v>
      </c>
      <c r="H388" s="2" t="str">
        <f t="shared" ref="H388:H451" si="20">DATEDIF(G388,D388,"y") &amp; " г. " &amp; DATEDIF(G388,D388,"ym") &amp; " мес. " &amp; DATEDIF(G388,D388,"md") &amp; " дн."</f>
        <v>5 г. 7 мес. 28 дн.</v>
      </c>
      <c r="I388" s="2" t="s">
        <v>27</v>
      </c>
      <c r="J388" s="2" t="s">
        <v>31</v>
      </c>
      <c r="K388" s="1" t="s">
        <v>988</v>
      </c>
      <c r="L388" s="1" t="s">
        <v>1102</v>
      </c>
      <c r="M388" s="2" t="s">
        <v>60</v>
      </c>
      <c r="N388" s="1">
        <v>0</v>
      </c>
      <c r="O388" s="2" t="s">
        <v>82</v>
      </c>
      <c r="P388" s="2" t="s">
        <v>31</v>
      </c>
      <c r="Q388" s="5">
        <v>44432</v>
      </c>
      <c r="R388" s="12">
        <v>0.52083333333333337</v>
      </c>
    </row>
    <row r="389" spans="1:18" ht="25.5" x14ac:dyDescent="0.25">
      <c r="A389" s="2">
        <f t="shared" si="17"/>
        <v>388</v>
      </c>
      <c r="B389" s="2">
        <v>1630</v>
      </c>
      <c r="C389" s="2" t="s">
        <v>31</v>
      </c>
      <c r="D389" s="5">
        <v>44431</v>
      </c>
      <c r="E389" s="10">
        <v>0.44444444444444442</v>
      </c>
      <c r="F389" s="1" t="s">
        <v>1103</v>
      </c>
      <c r="G389" s="5">
        <v>39674</v>
      </c>
      <c r="H389" s="2" t="str">
        <f t="shared" si="20"/>
        <v>13 г. 0 мес. 9 дн.</v>
      </c>
      <c r="I389" s="2" t="s">
        <v>27</v>
      </c>
      <c r="J389" s="2" t="s">
        <v>31</v>
      </c>
      <c r="K389" s="1" t="s">
        <v>1104</v>
      </c>
      <c r="L389" s="1" t="s">
        <v>136</v>
      </c>
      <c r="M389" s="2" t="s">
        <v>60</v>
      </c>
      <c r="N389" s="1">
        <v>0</v>
      </c>
      <c r="O389" s="2" t="s">
        <v>82</v>
      </c>
      <c r="P389" s="2" t="s">
        <v>31</v>
      </c>
      <c r="Q389" s="5">
        <v>44432</v>
      </c>
      <c r="R389" s="12">
        <v>0.52777777777777779</v>
      </c>
    </row>
    <row r="390" spans="1:18" ht="38.25" x14ac:dyDescent="0.25">
      <c r="A390" s="2">
        <f t="shared" si="17"/>
        <v>389</v>
      </c>
      <c r="B390" s="2">
        <v>370</v>
      </c>
      <c r="C390" s="2" t="s">
        <v>38</v>
      </c>
      <c r="D390" s="5">
        <v>44431</v>
      </c>
      <c r="E390" s="10">
        <v>0.75</v>
      </c>
      <c r="F390" s="1" t="s">
        <v>1105</v>
      </c>
      <c r="G390" s="5">
        <v>42112</v>
      </c>
      <c r="H390" s="2" t="str">
        <f t="shared" si="20"/>
        <v>6 г. 4 мес. 5 дн.</v>
      </c>
      <c r="I390" s="2" t="s">
        <v>27</v>
      </c>
      <c r="J390" s="2" t="s">
        <v>38</v>
      </c>
      <c r="K390" s="1" t="s">
        <v>1106</v>
      </c>
      <c r="L390" s="1" t="s">
        <v>1107</v>
      </c>
      <c r="M390" s="2" t="s">
        <v>57</v>
      </c>
      <c r="N390" s="1">
        <v>0</v>
      </c>
      <c r="O390" s="2" t="s">
        <v>82</v>
      </c>
      <c r="P390" s="2" t="s">
        <v>38</v>
      </c>
      <c r="Q390" s="5">
        <v>44432</v>
      </c>
      <c r="R390" s="6"/>
    </row>
    <row r="391" spans="1:18" ht="38.25" x14ac:dyDescent="0.25">
      <c r="A391" s="2">
        <f t="shared" si="17"/>
        <v>390</v>
      </c>
      <c r="B391" s="2">
        <v>378</v>
      </c>
      <c r="C391" s="2" t="s">
        <v>38</v>
      </c>
      <c r="D391" s="5">
        <v>44432</v>
      </c>
      <c r="E391" s="10">
        <v>8.3333333333333329E-2</v>
      </c>
      <c r="F391" s="1" t="s">
        <v>1108</v>
      </c>
      <c r="G391" s="5">
        <v>41298</v>
      </c>
      <c r="H391" s="2" t="str">
        <f t="shared" si="20"/>
        <v>8 г. 7 мес. 0 дн.</v>
      </c>
      <c r="I391" s="2" t="s">
        <v>25</v>
      </c>
      <c r="J391" s="2" t="s">
        <v>38</v>
      </c>
      <c r="K391" s="1" t="s">
        <v>1109</v>
      </c>
      <c r="L391" s="1" t="s">
        <v>1110</v>
      </c>
      <c r="M391" s="2" t="s">
        <v>57</v>
      </c>
      <c r="N391" s="1">
        <v>0</v>
      </c>
      <c r="O391" s="2" t="s">
        <v>82</v>
      </c>
      <c r="P391" s="2" t="s">
        <v>38</v>
      </c>
      <c r="Q391" s="5">
        <v>44433</v>
      </c>
      <c r="R391" s="6"/>
    </row>
    <row r="392" spans="1:18" ht="38.25" x14ac:dyDescent="0.25">
      <c r="A392" s="2">
        <f t="shared" si="17"/>
        <v>391</v>
      </c>
      <c r="B392" s="2">
        <v>371</v>
      </c>
      <c r="C392" s="2" t="s">
        <v>38</v>
      </c>
      <c r="D392" s="5">
        <v>44433</v>
      </c>
      <c r="E392" s="10">
        <v>0.58333333333333337</v>
      </c>
      <c r="F392" s="1" t="s">
        <v>1111</v>
      </c>
      <c r="G392" s="5">
        <v>43433</v>
      </c>
      <c r="H392" s="2" t="str">
        <f t="shared" si="20"/>
        <v>2 г. 8 мес. 27 дн.</v>
      </c>
      <c r="I392" s="2" t="s">
        <v>27</v>
      </c>
      <c r="J392" s="2" t="s">
        <v>38</v>
      </c>
      <c r="K392" s="1" t="s">
        <v>1112</v>
      </c>
      <c r="L392" s="1" t="s">
        <v>289</v>
      </c>
      <c r="M392" s="2" t="s">
        <v>57</v>
      </c>
      <c r="N392" s="1">
        <v>0</v>
      </c>
      <c r="O392" s="2" t="s">
        <v>82</v>
      </c>
      <c r="P392" s="2" t="s">
        <v>38</v>
      </c>
      <c r="Q392" s="5">
        <v>44434</v>
      </c>
      <c r="R392" s="6"/>
    </row>
    <row r="393" spans="1:18" ht="51" x14ac:dyDescent="0.25">
      <c r="A393" s="2">
        <f t="shared" si="17"/>
        <v>392</v>
      </c>
      <c r="B393" s="2">
        <v>1684</v>
      </c>
      <c r="C393" s="2" t="s">
        <v>32</v>
      </c>
      <c r="D393" s="5">
        <v>44434</v>
      </c>
      <c r="E393" s="10">
        <v>0.47222222222222227</v>
      </c>
      <c r="F393" s="1" t="s">
        <v>1113</v>
      </c>
      <c r="G393" s="5">
        <v>44425</v>
      </c>
      <c r="H393" s="2" t="str">
        <f t="shared" si="20"/>
        <v>0 г. 0 мес. 9 дн.</v>
      </c>
      <c r="I393" s="2" t="s">
        <v>29</v>
      </c>
      <c r="J393" s="2" t="s">
        <v>32</v>
      </c>
      <c r="K393" s="1" t="s">
        <v>1114</v>
      </c>
      <c r="L393" s="1" t="s">
        <v>1115</v>
      </c>
      <c r="M393" s="2" t="s">
        <v>67</v>
      </c>
      <c r="N393" s="1">
        <v>0</v>
      </c>
      <c r="O393" s="2" t="s">
        <v>82</v>
      </c>
      <c r="P393" s="2" t="s">
        <v>32</v>
      </c>
      <c r="Q393" s="5">
        <v>44438</v>
      </c>
      <c r="R393" s="6"/>
    </row>
    <row r="394" spans="1:18" ht="38.25" x14ac:dyDescent="0.25">
      <c r="A394" s="2">
        <f t="shared" si="17"/>
        <v>393</v>
      </c>
      <c r="B394" s="2">
        <v>361</v>
      </c>
      <c r="C394" s="2" t="s">
        <v>38</v>
      </c>
      <c r="D394" s="5">
        <v>44434</v>
      </c>
      <c r="E394" s="10">
        <v>0.75</v>
      </c>
      <c r="F394" s="1" t="s">
        <v>778</v>
      </c>
      <c r="G394" s="5">
        <v>44306</v>
      </c>
      <c r="H394" s="2" t="str">
        <f t="shared" si="20"/>
        <v>0 г. 4 мес. 6 дн.</v>
      </c>
      <c r="I394" s="2" t="s">
        <v>27</v>
      </c>
      <c r="J394" s="2" t="s">
        <v>38</v>
      </c>
      <c r="K394" s="1" t="s">
        <v>1116</v>
      </c>
      <c r="L394" s="1" t="s">
        <v>1117</v>
      </c>
      <c r="M394" s="2" t="s">
        <v>57</v>
      </c>
      <c r="N394" s="1">
        <v>0</v>
      </c>
      <c r="O394" s="2" t="s">
        <v>82</v>
      </c>
      <c r="P394" s="2" t="s">
        <v>38</v>
      </c>
      <c r="Q394" s="5">
        <v>44435</v>
      </c>
      <c r="R394" s="6"/>
    </row>
    <row r="395" spans="1:18" ht="38.25" x14ac:dyDescent="0.25">
      <c r="A395" s="2">
        <f t="shared" si="17"/>
        <v>394</v>
      </c>
      <c r="B395" s="2"/>
      <c r="C395" s="2" t="s">
        <v>37</v>
      </c>
      <c r="D395" s="5">
        <v>44435</v>
      </c>
      <c r="E395" s="2"/>
      <c r="F395" s="1" t="s">
        <v>904</v>
      </c>
      <c r="G395" s="2"/>
      <c r="H395" s="2" t="str">
        <f t="shared" si="20"/>
        <v>121 г. 7 мес. 27 дн.</v>
      </c>
      <c r="I395" s="2" t="s">
        <v>27</v>
      </c>
      <c r="J395" s="2" t="s">
        <v>37</v>
      </c>
      <c r="K395" s="2"/>
      <c r="L395" s="1" t="s">
        <v>493</v>
      </c>
      <c r="M395" s="2" t="s">
        <v>53</v>
      </c>
      <c r="N395" s="1">
        <v>0</v>
      </c>
      <c r="O395" s="2" t="s">
        <v>83</v>
      </c>
      <c r="P395" s="2" t="s">
        <v>37</v>
      </c>
      <c r="Q395" s="5">
        <v>44435</v>
      </c>
      <c r="R395" s="6"/>
    </row>
    <row r="396" spans="1:18" ht="38.25" x14ac:dyDescent="0.25">
      <c r="A396" s="2">
        <f t="shared" si="17"/>
        <v>395</v>
      </c>
      <c r="B396" s="2">
        <v>397</v>
      </c>
      <c r="C396" s="2" t="s">
        <v>34</v>
      </c>
      <c r="D396" s="5">
        <v>44435</v>
      </c>
      <c r="E396" s="10">
        <v>0.71875</v>
      </c>
      <c r="F396" s="1" t="s">
        <v>1118</v>
      </c>
      <c r="G396" s="5">
        <v>39706</v>
      </c>
      <c r="H396" s="2" t="str">
        <f t="shared" si="20"/>
        <v>12 г. 11 мес. 12 дн.</v>
      </c>
      <c r="I396" s="2" t="s">
        <v>27</v>
      </c>
      <c r="J396" s="2" t="s">
        <v>34</v>
      </c>
      <c r="K396" s="1" t="s">
        <v>1119</v>
      </c>
      <c r="L396" s="1" t="s">
        <v>443</v>
      </c>
      <c r="M396" s="2" t="s">
        <v>61</v>
      </c>
      <c r="N396" s="1">
        <v>0</v>
      </c>
      <c r="O396" s="2" t="s">
        <v>82</v>
      </c>
      <c r="P396" s="2" t="s">
        <v>34</v>
      </c>
      <c r="Q396" s="5">
        <v>44438</v>
      </c>
      <c r="R396" s="6"/>
    </row>
    <row r="397" spans="1:18" ht="38.25" x14ac:dyDescent="0.25">
      <c r="A397" s="2">
        <f t="shared" si="17"/>
        <v>396</v>
      </c>
      <c r="B397" s="2">
        <v>1691</v>
      </c>
      <c r="C397" s="2" t="s">
        <v>31</v>
      </c>
      <c r="D397" s="5">
        <v>44435</v>
      </c>
      <c r="E397" s="10">
        <v>0.99305555555555547</v>
      </c>
      <c r="F397" s="1" t="s">
        <v>1120</v>
      </c>
      <c r="G397" s="5">
        <v>38537</v>
      </c>
      <c r="H397" s="2" t="str">
        <f t="shared" si="20"/>
        <v>16 г. 1 мес. 23 дн.</v>
      </c>
      <c r="I397" s="2" t="s">
        <v>25</v>
      </c>
      <c r="J397" s="2" t="s">
        <v>31</v>
      </c>
      <c r="K397" s="1" t="s">
        <v>1121</v>
      </c>
      <c r="L397" s="1" t="s">
        <v>1122</v>
      </c>
      <c r="M397" s="2" t="s">
        <v>63</v>
      </c>
      <c r="N397" s="1">
        <v>0</v>
      </c>
      <c r="O397" s="2" t="s">
        <v>87</v>
      </c>
      <c r="P397" s="2" t="s">
        <v>31</v>
      </c>
      <c r="Q397" s="5">
        <v>44438</v>
      </c>
      <c r="R397" s="6"/>
    </row>
    <row r="398" spans="1:18" ht="25.5" x14ac:dyDescent="0.25">
      <c r="A398" s="2">
        <f t="shared" si="17"/>
        <v>397</v>
      </c>
      <c r="B398" s="2">
        <v>1690</v>
      </c>
      <c r="C398" s="2" t="s">
        <v>31</v>
      </c>
      <c r="D398" s="5">
        <v>44436</v>
      </c>
      <c r="E398" s="10">
        <v>0.10416666666666667</v>
      </c>
      <c r="F398" s="1" t="s">
        <v>1123</v>
      </c>
      <c r="G398" s="5">
        <v>38453</v>
      </c>
      <c r="H398" s="2" t="str">
        <f t="shared" si="20"/>
        <v>16 г. 4 мес. 17 дн.</v>
      </c>
      <c r="I398" s="2" t="s">
        <v>25</v>
      </c>
      <c r="J398" s="2" t="s">
        <v>31</v>
      </c>
      <c r="K398" s="1" t="s">
        <v>1124</v>
      </c>
      <c r="L398" s="1" t="s">
        <v>423</v>
      </c>
      <c r="M398" s="2" t="s">
        <v>60</v>
      </c>
      <c r="N398" s="1">
        <v>0</v>
      </c>
      <c r="O398" s="2" t="s">
        <v>82</v>
      </c>
      <c r="P398" s="2" t="s">
        <v>31</v>
      </c>
      <c r="Q398" s="5">
        <v>44438</v>
      </c>
      <c r="R398" s="6"/>
    </row>
    <row r="399" spans="1:18" ht="38.25" x14ac:dyDescent="0.25">
      <c r="A399" s="2">
        <f t="shared" si="17"/>
        <v>398</v>
      </c>
      <c r="B399" s="2">
        <v>370</v>
      </c>
      <c r="C399" s="2" t="s">
        <v>38</v>
      </c>
      <c r="D399" s="5">
        <v>44438</v>
      </c>
      <c r="E399" s="10">
        <v>0.75</v>
      </c>
      <c r="F399" s="1" t="s">
        <v>1105</v>
      </c>
      <c r="G399" s="5">
        <v>42112</v>
      </c>
      <c r="H399" s="2" t="str">
        <f t="shared" si="20"/>
        <v>6 г. 4 мес. 12 дн.</v>
      </c>
      <c r="I399" s="2" t="s">
        <v>27</v>
      </c>
      <c r="J399" s="2" t="s">
        <v>38</v>
      </c>
      <c r="K399" s="1" t="s">
        <v>1106</v>
      </c>
      <c r="L399" s="1" t="s">
        <v>1125</v>
      </c>
      <c r="M399" s="2" t="s">
        <v>57</v>
      </c>
      <c r="N399" s="1">
        <v>0</v>
      </c>
      <c r="O399" s="2" t="s">
        <v>82</v>
      </c>
      <c r="P399" s="2" t="s">
        <v>38</v>
      </c>
      <c r="Q399" s="5">
        <v>44439</v>
      </c>
      <c r="R399" s="6"/>
    </row>
    <row r="400" spans="1:18" ht="25.5" x14ac:dyDescent="0.25">
      <c r="A400" s="2">
        <f t="shared" si="17"/>
        <v>399</v>
      </c>
      <c r="B400" s="2">
        <v>443</v>
      </c>
      <c r="C400" s="2" t="s">
        <v>36</v>
      </c>
      <c r="D400" s="5">
        <v>44439</v>
      </c>
      <c r="E400" s="10">
        <v>0.22916666666666666</v>
      </c>
      <c r="F400" s="1" t="s">
        <v>1126</v>
      </c>
      <c r="G400" s="5">
        <v>38201</v>
      </c>
      <c r="H400" s="2" t="str">
        <f t="shared" si="20"/>
        <v>17 г. 0 мес. 29 дн.</v>
      </c>
      <c r="I400" s="2" t="s">
        <v>25</v>
      </c>
      <c r="J400" s="2" t="s">
        <v>36</v>
      </c>
      <c r="K400" s="1" t="s">
        <v>1127</v>
      </c>
      <c r="L400" s="1" t="s">
        <v>1128</v>
      </c>
      <c r="M400" s="2" t="s">
        <v>66</v>
      </c>
      <c r="N400" s="1">
        <v>0</v>
      </c>
      <c r="O400" s="2" t="s">
        <v>82</v>
      </c>
      <c r="P400" s="2" t="s">
        <v>36</v>
      </c>
      <c r="Q400" s="5">
        <v>44441</v>
      </c>
      <c r="R400" s="6"/>
    </row>
    <row r="401" spans="1:18" ht="38.25" x14ac:dyDescent="0.25">
      <c r="A401" s="2">
        <f t="shared" si="17"/>
        <v>400</v>
      </c>
      <c r="B401" s="2">
        <v>252</v>
      </c>
      <c r="C401" s="2" t="s">
        <v>38</v>
      </c>
      <c r="D401" s="5">
        <v>44439</v>
      </c>
      <c r="E401" s="10">
        <v>0.45833333333333331</v>
      </c>
      <c r="F401" s="1" t="s">
        <v>807</v>
      </c>
      <c r="G401" s="5">
        <v>44209</v>
      </c>
      <c r="H401" s="2" t="str">
        <f t="shared" si="20"/>
        <v>0 г. 7 мес. 18 дн.</v>
      </c>
      <c r="I401" s="2" t="s">
        <v>27</v>
      </c>
      <c r="J401" s="2" t="s">
        <v>38</v>
      </c>
      <c r="K401" s="1" t="s">
        <v>808</v>
      </c>
      <c r="L401" s="1" t="s">
        <v>1129</v>
      </c>
      <c r="M401" s="2" t="s">
        <v>57</v>
      </c>
      <c r="N401" s="1" t="s">
        <v>1281</v>
      </c>
      <c r="O401" s="2" t="s">
        <v>82</v>
      </c>
      <c r="P401" s="2" t="s">
        <v>36</v>
      </c>
      <c r="Q401" s="5">
        <v>44461</v>
      </c>
      <c r="R401" s="6"/>
    </row>
    <row r="402" spans="1:18" ht="25.5" x14ac:dyDescent="0.25">
      <c r="A402" s="2">
        <f t="shared" si="17"/>
        <v>401</v>
      </c>
      <c r="B402" s="2">
        <v>252</v>
      </c>
      <c r="C402" s="2" t="s">
        <v>36</v>
      </c>
      <c r="D402" s="5">
        <v>44439</v>
      </c>
      <c r="E402" s="10">
        <v>0.79166666666666663</v>
      </c>
      <c r="F402" s="1" t="s">
        <v>1130</v>
      </c>
      <c r="G402" s="5">
        <v>39480</v>
      </c>
      <c r="H402" s="2" t="str">
        <f t="shared" si="20"/>
        <v>13 г. 6 мес. 29 дн.</v>
      </c>
      <c r="I402" s="2" t="s">
        <v>25</v>
      </c>
      <c r="J402" s="2" t="s">
        <v>36</v>
      </c>
      <c r="K402" s="1" t="s">
        <v>1131</v>
      </c>
      <c r="L402" s="1" t="s">
        <v>335</v>
      </c>
      <c r="M402" s="2" t="s">
        <v>66</v>
      </c>
      <c r="N402" s="1">
        <v>0</v>
      </c>
      <c r="O402" s="2" t="s">
        <v>82</v>
      </c>
      <c r="P402" s="2" t="s">
        <v>36</v>
      </c>
      <c r="Q402" s="5">
        <v>44440</v>
      </c>
      <c r="R402" s="6"/>
    </row>
    <row r="403" spans="1:18" ht="38.25" x14ac:dyDescent="0.25">
      <c r="A403" s="2">
        <f t="shared" si="17"/>
        <v>402</v>
      </c>
      <c r="B403" s="2">
        <v>385</v>
      </c>
      <c r="C403" s="2" t="s">
        <v>38</v>
      </c>
      <c r="D403" s="5">
        <v>44439</v>
      </c>
      <c r="E403" s="10">
        <v>0.66666666666666663</v>
      </c>
      <c r="F403" s="1" t="s">
        <v>1132</v>
      </c>
      <c r="G403" s="5">
        <v>42161</v>
      </c>
      <c r="H403" s="2" t="str">
        <f t="shared" si="20"/>
        <v>6 г. 2 мес. 25 дн.</v>
      </c>
      <c r="I403" s="2" t="s">
        <v>27</v>
      </c>
      <c r="J403" s="2" t="s">
        <v>38</v>
      </c>
      <c r="K403" s="1" t="s">
        <v>1133</v>
      </c>
      <c r="L403" s="1" t="s">
        <v>1134</v>
      </c>
      <c r="M403" s="2" t="s">
        <v>57</v>
      </c>
      <c r="N403" s="1">
        <v>0</v>
      </c>
      <c r="O403" s="2" t="s">
        <v>82</v>
      </c>
      <c r="P403" s="2" t="s">
        <v>38</v>
      </c>
      <c r="Q403" s="5">
        <v>44440</v>
      </c>
      <c r="R403" s="6"/>
    </row>
    <row r="404" spans="1:18" ht="25.5" x14ac:dyDescent="0.25">
      <c r="A404" s="2">
        <f t="shared" si="17"/>
        <v>403</v>
      </c>
      <c r="B404" s="2">
        <v>1717</v>
      </c>
      <c r="C404" s="2" t="s">
        <v>31</v>
      </c>
      <c r="D404" s="5">
        <v>44440</v>
      </c>
      <c r="E404" s="10">
        <v>0.47569444444444442</v>
      </c>
      <c r="F404" s="1" t="s">
        <v>1135</v>
      </c>
      <c r="G404" s="5">
        <v>44144</v>
      </c>
      <c r="H404" s="2" t="str">
        <f t="shared" si="20"/>
        <v>0 г. 9 мес. 23 дн.</v>
      </c>
      <c r="I404" s="2" t="s">
        <v>25</v>
      </c>
      <c r="J404" s="2" t="s">
        <v>31</v>
      </c>
      <c r="K404" s="1" t="s">
        <v>1136</v>
      </c>
      <c r="L404" s="1" t="s">
        <v>1137</v>
      </c>
      <c r="M404" s="2" t="s">
        <v>65</v>
      </c>
      <c r="N404" s="1">
        <v>0</v>
      </c>
      <c r="O404" s="1" t="s">
        <v>87</v>
      </c>
      <c r="P404" s="2" t="s">
        <v>31</v>
      </c>
      <c r="Q404" s="5">
        <v>44442</v>
      </c>
      <c r="R404" s="6"/>
    </row>
    <row r="405" spans="1:18" ht="63.75" x14ac:dyDescent="0.25">
      <c r="A405" s="2">
        <f t="shared" si="17"/>
        <v>404</v>
      </c>
      <c r="B405" s="2">
        <v>938</v>
      </c>
      <c r="C405" s="2" t="s">
        <v>33</v>
      </c>
      <c r="D405" s="5">
        <v>44440</v>
      </c>
      <c r="E405" s="10">
        <v>0.67361111111111116</v>
      </c>
      <c r="F405" s="1" t="s">
        <v>1138</v>
      </c>
      <c r="G405" s="5">
        <v>40499</v>
      </c>
      <c r="H405" s="2" t="str">
        <f t="shared" si="20"/>
        <v>10 г. 9 мес. 15 дн.</v>
      </c>
      <c r="I405" s="2" t="s">
        <v>26</v>
      </c>
      <c r="J405" s="2" t="s">
        <v>33</v>
      </c>
      <c r="K405" s="1" t="s">
        <v>1139</v>
      </c>
      <c r="L405" s="1" t="s">
        <v>1140</v>
      </c>
      <c r="M405" s="2" t="s">
        <v>63</v>
      </c>
      <c r="N405" s="1">
        <v>0</v>
      </c>
      <c r="O405" s="2" t="s">
        <v>82</v>
      </c>
      <c r="P405" s="2" t="s">
        <v>33</v>
      </c>
      <c r="Q405" s="5">
        <v>44441</v>
      </c>
      <c r="R405" s="6"/>
    </row>
    <row r="406" spans="1:18" ht="204" x14ac:dyDescent="0.25">
      <c r="A406" s="2">
        <f t="shared" si="17"/>
        <v>405</v>
      </c>
      <c r="B406" s="2">
        <v>939</v>
      </c>
      <c r="C406" s="2" t="s">
        <v>33</v>
      </c>
      <c r="D406" s="5">
        <v>44440</v>
      </c>
      <c r="E406" s="10">
        <v>0.72916666666666663</v>
      </c>
      <c r="F406" s="1" t="s">
        <v>1141</v>
      </c>
      <c r="G406" s="4">
        <v>39149</v>
      </c>
      <c r="H406" s="2" t="str">
        <f t="shared" si="20"/>
        <v>14 г. 5 мес. 24 дн.</v>
      </c>
      <c r="I406" s="2" t="s">
        <v>25</v>
      </c>
      <c r="J406" s="2" t="s">
        <v>33</v>
      </c>
      <c r="K406" s="1" t="s">
        <v>1142</v>
      </c>
      <c r="L406" s="1" t="s">
        <v>1143</v>
      </c>
      <c r="M406" s="2" t="s">
        <v>63</v>
      </c>
      <c r="N406" s="1">
        <v>0</v>
      </c>
      <c r="O406" s="2" t="s">
        <v>82</v>
      </c>
      <c r="P406" s="2" t="s">
        <v>33</v>
      </c>
      <c r="Q406" s="5">
        <v>44441</v>
      </c>
      <c r="R406" s="6"/>
    </row>
    <row r="407" spans="1:18" ht="38.25" x14ac:dyDescent="0.25">
      <c r="A407" s="2">
        <f t="shared" si="17"/>
        <v>406</v>
      </c>
      <c r="B407" s="2">
        <v>388</v>
      </c>
      <c r="C407" s="2" t="s">
        <v>38</v>
      </c>
      <c r="D407" s="5">
        <v>44440</v>
      </c>
      <c r="E407" s="10">
        <v>0.66666666666666663</v>
      </c>
      <c r="F407" s="1" t="s">
        <v>1144</v>
      </c>
      <c r="G407" s="5">
        <v>43634</v>
      </c>
      <c r="H407" s="2" t="str">
        <f t="shared" si="20"/>
        <v>2 г. 2 мес. 14 дн.</v>
      </c>
      <c r="I407" s="2" t="s">
        <v>27</v>
      </c>
      <c r="J407" s="2" t="s">
        <v>38</v>
      </c>
      <c r="K407" s="1" t="s">
        <v>1145</v>
      </c>
      <c r="L407" s="1" t="s">
        <v>356</v>
      </c>
      <c r="M407" s="2" t="s">
        <v>57</v>
      </c>
      <c r="N407" s="1">
        <v>0</v>
      </c>
      <c r="O407" s="2" t="s">
        <v>82</v>
      </c>
      <c r="P407" s="2" t="s">
        <v>38</v>
      </c>
      <c r="Q407" s="5">
        <v>44441</v>
      </c>
      <c r="R407" s="6"/>
    </row>
    <row r="408" spans="1:18" ht="38.25" x14ac:dyDescent="0.25">
      <c r="A408" s="2">
        <f t="shared" si="17"/>
        <v>407</v>
      </c>
      <c r="B408" s="2">
        <v>494</v>
      </c>
      <c r="C408" s="2" t="s">
        <v>35</v>
      </c>
      <c r="D408" s="5">
        <v>44440</v>
      </c>
      <c r="E408" s="10">
        <v>0.99305555555555547</v>
      </c>
      <c r="F408" s="1" t="s">
        <v>1148</v>
      </c>
      <c r="G408" s="5">
        <v>44419</v>
      </c>
      <c r="H408" s="2" t="str">
        <f t="shared" si="20"/>
        <v>0 г. 0 мес. 21 дн.</v>
      </c>
      <c r="I408" s="2" t="s">
        <v>27</v>
      </c>
      <c r="J408" s="2" t="s">
        <v>35</v>
      </c>
      <c r="K408" s="1" t="s">
        <v>1147</v>
      </c>
      <c r="L408" s="1" t="s">
        <v>1146</v>
      </c>
      <c r="M408" s="2" t="s">
        <v>57</v>
      </c>
      <c r="N408" s="1">
        <v>0</v>
      </c>
      <c r="O408" s="2" t="s">
        <v>87</v>
      </c>
      <c r="P408" s="2" t="s">
        <v>35</v>
      </c>
      <c r="Q408" s="5">
        <v>44441</v>
      </c>
      <c r="R408" s="6"/>
    </row>
    <row r="409" spans="1:18" ht="38.25" x14ac:dyDescent="0.25">
      <c r="A409" s="2">
        <f t="shared" si="17"/>
        <v>408</v>
      </c>
      <c r="B409" s="2">
        <v>1726</v>
      </c>
      <c r="C409" s="2" t="s">
        <v>31</v>
      </c>
      <c r="D409" s="5">
        <v>44441</v>
      </c>
      <c r="E409" s="10">
        <v>0.625</v>
      </c>
      <c r="F409" s="1" t="s">
        <v>1149</v>
      </c>
      <c r="G409" s="5">
        <v>39249</v>
      </c>
      <c r="H409" s="2" t="str">
        <f t="shared" si="20"/>
        <v>14 г. 2 мес. 17 дн.</v>
      </c>
      <c r="I409" s="2" t="s">
        <v>27</v>
      </c>
      <c r="J409" s="2" t="s">
        <v>31</v>
      </c>
      <c r="K409" s="1" t="s">
        <v>1150</v>
      </c>
      <c r="L409" s="1" t="s">
        <v>1087</v>
      </c>
      <c r="M409" s="2" t="s">
        <v>61</v>
      </c>
      <c r="N409" s="1">
        <v>0</v>
      </c>
      <c r="O409" s="2" t="s">
        <v>82</v>
      </c>
      <c r="P409" s="2" t="s">
        <v>31</v>
      </c>
      <c r="Q409" s="5">
        <v>44442</v>
      </c>
      <c r="R409" s="6"/>
    </row>
    <row r="410" spans="1:18" ht="38.25" x14ac:dyDescent="0.25">
      <c r="A410" s="2">
        <f t="shared" si="17"/>
        <v>409</v>
      </c>
      <c r="B410" s="2">
        <v>387</v>
      </c>
      <c r="C410" s="2" t="s">
        <v>38</v>
      </c>
      <c r="D410" s="5">
        <v>44441</v>
      </c>
      <c r="E410" s="10">
        <v>0.625</v>
      </c>
      <c r="F410" s="1" t="s">
        <v>1151</v>
      </c>
      <c r="G410" s="5">
        <v>43709</v>
      </c>
      <c r="H410" s="2" t="str">
        <f t="shared" si="20"/>
        <v>2 г. 0 мес. 1 дн.</v>
      </c>
      <c r="I410" s="2" t="s">
        <v>27</v>
      </c>
      <c r="J410" s="2" t="s">
        <v>38</v>
      </c>
      <c r="K410" s="1" t="s">
        <v>1152</v>
      </c>
      <c r="L410" s="1" t="s">
        <v>1153</v>
      </c>
      <c r="M410" s="2" t="s">
        <v>57</v>
      </c>
      <c r="N410" s="1">
        <v>0</v>
      </c>
      <c r="O410" s="2" t="s">
        <v>82</v>
      </c>
      <c r="P410" s="2" t="s">
        <v>38</v>
      </c>
      <c r="Q410" s="5">
        <v>44442</v>
      </c>
      <c r="R410" s="6"/>
    </row>
    <row r="411" spans="1:18" ht="25.5" x14ac:dyDescent="0.25">
      <c r="A411" s="2">
        <f t="shared" si="17"/>
        <v>410</v>
      </c>
      <c r="B411" s="2">
        <v>445</v>
      </c>
      <c r="C411" s="1" t="s">
        <v>36</v>
      </c>
      <c r="D411" s="5">
        <v>44257</v>
      </c>
      <c r="E411" s="10">
        <v>0.9375</v>
      </c>
      <c r="F411" s="1" t="s">
        <v>1154</v>
      </c>
      <c r="G411" s="5">
        <v>44074</v>
      </c>
      <c r="H411" s="2" t="str">
        <f t="shared" si="20"/>
        <v>0 г. 6 мес. -1 дн.</v>
      </c>
      <c r="I411" s="2" t="s">
        <v>25</v>
      </c>
      <c r="J411" s="2" t="s">
        <v>36</v>
      </c>
      <c r="K411" s="1" t="s">
        <v>1155</v>
      </c>
      <c r="L411" s="1" t="s">
        <v>1156</v>
      </c>
      <c r="M411" s="2" t="s">
        <v>59</v>
      </c>
      <c r="N411" s="1">
        <v>0</v>
      </c>
      <c r="O411" s="2" t="s">
        <v>82</v>
      </c>
      <c r="P411" s="2" t="s">
        <v>36</v>
      </c>
      <c r="Q411" s="5">
        <v>44445</v>
      </c>
      <c r="R411" s="6"/>
    </row>
    <row r="412" spans="1:18" ht="25.5" x14ac:dyDescent="0.25">
      <c r="A412" s="2">
        <f t="shared" si="17"/>
        <v>411</v>
      </c>
      <c r="B412" s="2">
        <v>1731</v>
      </c>
      <c r="C412" s="2" t="s">
        <v>31</v>
      </c>
      <c r="D412" s="5">
        <v>44442</v>
      </c>
      <c r="E412" s="10">
        <v>4.8611111111111112E-2</v>
      </c>
      <c r="F412" s="1" t="s">
        <v>1157</v>
      </c>
      <c r="G412" s="5">
        <v>42731</v>
      </c>
      <c r="H412" s="2" t="str">
        <f t="shared" si="20"/>
        <v>4 г. 8 мес. 7 дн.</v>
      </c>
      <c r="I412" s="2" t="s">
        <v>26</v>
      </c>
      <c r="J412" s="2" t="s">
        <v>31</v>
      </c>
      <c r="K412" s="1" t="s">
        <v>1158</v>
      </c>
      <c r="L412" s="1" t="s">
        <v>1159</v>
      </c>
      <c r="M412" s="2" t="s">
        <v>60</v>
      </c>
      <c r="N412" s="1">
        <v>0</v>
      </c>
      <c r="O412" s="2" t="s">
        <v>82</v>
      </c>
      <c r="P412" s="2" t="s">
        <v>31</v>
      </c>
      <c r="Q412" s="5">
        <v>44444</v>
      </c>
      <c r="R412" s="6"/>
    </row>
    <row r="413" spans="1:18" ht="25.5" x14ac:dyDescent="0.25">
      <c r="A413" s="2">
        <f t="shared" ref="A413:A476" si="21">ROW(A412)</f>
        <v>412</v>
      </c>
      <c r="B413" s="2">
        <v>450</v>
      </c>
      <c r="C413" s="2" t="s">
        <v>36</v>
      </c>
      <c r="D413" s="5">
        <v>44442</v>
      </c>
      <c r="E413" s="10">
        <v>0.91666666666666663</v>
      </c>
      <c r="F413" s="1" t="s">
        <v>1160</v>
      </c>
      <c r="G413" s="5">
        <v>38505</v>
      </c>
      <c r="H413" s="2" t="str">
        <f t="shared" si="20"/>
        <v>16 г. 3 мес. 1 дн.</v>
      </c>
      <c r="I413" s="2" t="s">
        <v>25</v>
      </c>
      <c r="J413" s="2" t="s">
        <v>36</v>
      </c>
      <c r="K413" s="1" t="s">
        <v>1161</v>
      </c>
      <c r="L413" s="1" t="s">
        <v>335</v>
      </c>
      <c r="M413" s="2" t="s">
        <v>66</v>
      </c>
      <c r="N413" s="1">
        <v>0</v>
      </c>
      <c r="O413" s="2" t="s">
        <v>82</v>
      </c>
      <c r="P413" s="2" t="s">
        <v>36</v>
      </c>
      <c r="Q413" s="5">
        <v>44444</v>
      </c>
      <c r="R413" s="6"/>
    </row>
    <row r="414" spans="1:18" ht="25.5" x14ac:dyDescent="0.25">
      <c r="A414" s="2">
        <f t="shared" si="21"/>
        <v>413</v>
      </c>
      <c r="B414" s="19">
        <v>449</v>
      </c>
      <c r="C414" s="19" t="s">
        <v>36</v>
      </c>
      <c r="D414" s="20">
        <v>44442</v>
      </c>
      <c r="E414" s="21">
        <v>0.88194444444444453</v>
      </c>
      <c r="F414" s="22" t="s">
        <v>1162</v>
      </c>
      <c r="G414" s="20">
        <v>44020</v>
      </c>
      <c r="H414" s="19" t="str">
        <f t="shared" si="20"/>
        <v>1 г. 1 мес. 26 дн.</v>
      </c>
      <c r="I414" s="19" t="s">
        <v>100</v>
      </c>
      <c r="J414" s="19" t="s">
        <v>36</v>
      </c>
      <c r="K414" s="22" t="s">
        <v>1163</v>
      </c>
      <c r="L414" s="22" t="s">
        <v>1164</v>
      </c>
      <c r="M414" s="19" t="s">
        <v>58</v>
      </c>
      <c r="N414" s="22">
        <v>0</v>
      </c>
      <c r="O414" s="19" t="s">
        <v>87</v>
      </c>
      <c r="P414" s="19" t="s">
        <v>40</v>
      </c>
      <c r="Q414" s="20">
        <v>44443</v>
      </c>
      <c r="R414" s="23">
        <v>0.12847222222222224</v>
      </c>
    </row>
    <row r="415" spans="1:18" ht="25.5" x14ac:dyDescent="0.25">
      <c r="A415" s="2">
        <f t="shared" si="21"/>
        <v>414</v>
      </c>
      <c r="B415" s="2">
        <v>1753</v>
      </c>
      <c r="C415" s="2" t="s">
        <v>31</v>
      </c>
      <c r="D415" s="5">
        <v>44445</v>
      </c>
      <c r="E415" s="10">
        <v>0.77083333333333337</v>
      </c>
      <c r="F415" s="1" t="s">
        <v>1165</v>
      </c>
      <c r="G415" s="5">
        <v>40065</v>
      </c>
      <c r="H415" s="2" t="str">
        <f t="shared" si="20"/>
        <v>11 г. 11 мес. 28 дн.</v>
      </c>
      <c r="I415" s="2" t="s">
        <v>27</v>
      </c>
      <c r="J415" s="2" t="s">
        <v>31</v>
      </c>
      <c r="K415" s="1" t="s">
        <v>112</v>
      </c>
      <c r="L415" s="1" t="s">
        <v>1166</v>
      </c>
      <c r="M415" s="2" t="s">
        <v>60</v>
      </c>
      <c r="N415" s="1">
        <v>0</v>
      </c>
      <c r="O415" s="2" t="s">
        <v>82</v>
      </c>
      <c r="P415" s="2" t="s">
        <v>31</v>
      </c>
      <c r="Q415" s="5">
        <v>44446</v>
      </c>
      <c r="R415" s="6"/>
    </row>
    <row r="416" spans="1:18" ht="25.5" x14ac:dyDescent="0.25">
      <c r="A416" s="2">
        <f t="shared" si="21"/>
        <v>415</v>
      </c>
      <c r="B416" s="2">
        <v>734</v>
      </c>
      <c r="C416" s="2" t="s">
        <v>37</v>
      </c>
      <c r="D416" s="5">
        <v>44444</v>
      </c>
      <c r="E416" s="10">
        <v>0.27430555555555552</v>
      </c>
      <c r="F416" s="1" t="s">
        <v>1169</v>
      </c>
      <c r="G416" s="5">
        <v>42062</v>
      </c>
      <c r="H416" s="2" t="str">
        <f t="shared" si="20"/>
        <v>6 г. 6 мес. 9 дн.</v>
      </c>
      <c r="I416" s="2" t="s">
        <v>25</v>
      </c>
      <c r="J416" s="2" t="s">
        <v>37</v>
      </c>
      <c r="K416" s="1" t="s">
        <v>1167</v>
      </c>
      <c r="L416" s="1" t="s">
        <v>1168</v>
      </c>
      <c r="M416" s="2" t="s">
        <v>59</v>
      </c>
      <c r="N416" s="1">
        <v>0</v>
      </c>
      <c r="O416" s="2" t="s">
        <v>82</v>
      </c>
      <c r="P416" s="2" t="s">
        <v>37</v>
      </c>
      <c r="Q416" s="5">
        <v>44445</v>
      </c>
      <c r="R416" s="6"/>
    </row>
    <row r="417" spans="1:18" ht="63.75" x14ac:dyDescent="0.25">
      <c r="A417" s="2">
        <f t="shared" si="21"/>
        <v>416</v>
      </c>
      <c r="B417" s="2">
        <v>452</v>
      </c>
      <c r="C417" s="2" t="s">
        <v>36</v>
      </c>
      <c r="D417" s="5">
        <v>44445</v>
      </c>
      <c r="E417" s="10">
        <v>0.31944444444444448</v>
      </c>
      <c r="F417" s="1" t="s">
        <v>1170</v>
      </c>
      <c r="G417" s="5">
        <v>40406</v>
      </c>
      <c r="H417" s="2" t="str">
        <f t="shared" si="20"/>
        <v>11 г. 0 мес. 21 дн.</v>
      </c>
      <c r="I417" s="2" t="s">
        <v>25</v>
      </c>
      <c r="J417" s="2" t="s">
        <v>36</v>
      </c>
      <c r="K417" s="1" t="s">
        <v>1171</v>
      </c>
      <c r="L417" s="1" t="s">
        <v>1172</v>
      </c>
      <c r="M417" s="2" t="s">
        <v>54</v>
      </c>
      <c r="N417" s="1">
        <v>0</v>
      </c>
      <c r="O417" s="2" t="s">
        <v>87</v>
      </c>
      <c r="P417" s="2" t="s">
        <v>36</v>
      </c>
      <c r="Q417" s="5">
        <v>44447</v>
      </c>
      <c r="R417" s="6"/>
    </row>
    <row r="418" spans="1:18" ht="25.5" x14ac:dyDescent="0.25">
      <c r="A418" s="2">
        <f t="shared" si="21"/>
        <v>417</v>
      </c>
      <c r="B418" s="2">
        <v>1740</v>
      </c>
      <c r="C418" s="2" t="s">
        <v>31</v>
      </c>
      <c r="D418" s="5">
        <v>44445</v>
      </c>
      <c r="E418" s="10">
        <v>0.40277777777777773</v>
      </c>
      <c r="F418" s="1" t="s">
        <v>1197</v>
      </c>
      <c r="G418" s="5">
        <v>44407</v>
      </c>
      <c r="H418" s="2" t="str">
        <f t="shared" si="20"/>
        <v>0 г. 1 мес. 7 дн.</v>
      </c>
      <c r="I418" s="1" t="s">
        <v>27</v>
      </c>
      <c r="J418" s="2" t="s">
        <v>31</v>
      </c>
      <c r="K418" s="1" t="s">
        <v>1173</v>
      </c>
      <c r="L418" s="1" t="s">
        <v>864</v>
      </c>
      <c r="M418" s="2" t="s">
        <v>60</v>
      </c>
      <c r="N418" s="1">
        <v>0</v>
      </c>
      <c r="O418" s="2" t="s">
        <v>82</v>
      </c>
      <c r="P418" s="2" t="s">
        <v>31</v>
      </c>
      <c r="Q418" s="5">
        <v>44448</v>
      </c>
      <c r="R418" s="6"/>
    </row>
    <row r="419" spans="1:18" ht="38.25" x14ac:dyDescent="0.25">
      <c r="A419" s="2">
        <f t="shared" si="21"/>
        <v>418</v>
      </c>
      <c r="B419" s="2">
        <v>410</v>
      </c>
      <c r="C419" s="2" t="s">
        <v>34</v>
      </c>
      <c r="D419" s="5">
        <v>44446</v>
      </c>
      <c r="E419" s="10">
        <v>0.20138888888888887</v>
      </c>
      <c r="F419" s="1" t="s">
        <v>1174</v>
      </c>
      <c r="G419" s="5">
        <v>41621</v>
      </c>
      <c r="H419" s="2" t="str">
        <f t="shared" si="20"/>
        <v>7 г. 8 мес. 25 дн.</v>
      </c>
      <c r="I419" s="2" t="s">
        <v>27</v>
      </c>
      <c r="J419" s="2" t="s">
        <v>34</v>
      </c>
      <c r="K419" s="1" t="s">
        <v>1175</v>
      </c>
      <c r="L419" s="1" t="s">
        <v>1176</v>
      </c>
      <c r="M419" s="2" t="s">
        <v>61</v>
      </c>
      <c r="N419" s="1">
        <v>0</v>
      </c>
      <c r="O419" s="2" t="s">
        <v>82</v>
      </c>
      <c r="P419" s="2" t="s">
        <v>34</v>
      </c>
      <c r="Q419" s="5">
        <v>44447</v>
      </c>
      <c r="R419" s="6"/>
    </row>
    <row r="420" spans="1:18" ht="38.25" x14ac:dyDescent="0.25">
      <c r="A420" s="2">
        <f t="shared" si="21"/>
        <v>419</v>
      </c>
      <c r="B420" s="2">
        <v>954</v>
      </c>
      <c r="C420" s="2" t="s">
        <v>33</v>
      </c>
      <c r="D420" s="5">
        <v>44445</v>
      </c>
      <c r="E420" s="10">
        <v>0.875</v>
      </c>
      <c r="F420" s="1" t="s">
        <v>1177</v>
      </c>
      <c r="G420" s="5">
        <v>39307</v>
      </c>
      <c r="H420" s="2" t="str">
        <f t="shared" si="20"/>
        <v>14 г. 0 мес. 24 дн.</v>
      </c>
      <c r="I420" s="2" t="s">
        <v>27</v>
      </c>
      <c r="J420" s="2" t="s">
        <v>33</v>
      </c>
      <c r="K420" s="1" t="s">
        <v>1178</v>
      </c>
      <c r="L420" s="1" t="s">
        <v>1179</v>
      </c>
      <c r="M420" s="2" t="s">
        <v>62</v>
      </c>
      <c r="N420" s="1">
        <v>0</v>
      </c>
      <c r="O420" s="2" t="s">
        <v>82</v>
      </c>
      <c r="P420" s="2" t="s">
        <v>33</v>
      </c>
      <c r="Q420" s="5">
        <v>44446</v>
      </c>
      <c r="R420" s="6"/>
    </row>
    <row r="421" spans="1:18" ht="38.25" x14ac:dyDescent="0.25">
      <c r="A421" s="2">
        <f t="shared" si="21"/>
        <v>420</v>
      </c>
      <c r="B421" s="2">
        <v>1768</v>
      </c>
      <c r="C421" s="2" t="s">
        <v>31</v>
      </c>
      <c r="D421" s="5">
        <v>44446</v>
      </c>
      <c r="E421" s="10">
        <v>2.0833333333333332E-2</v>
      </c>
      <c r="F421" s="1" t="s">
        <v>1180</v>
      </c>
      <c r="G421" s="5">
        <v>40550</v>
      </c>
      <c r="H421" s="2" t="str">
        <f t="shared" si="20"/>
        <v>10 г. 8 мес. 0 дн.</v>
      </c>
      <c r="I421" s="2" t="s">
        <v>27</v>
      </c>
      <c r="J421" s="2" t="s">
        <v>31</v>
      </c>
      <c r="K421" s="1" t="s">
        <v>425</v>
      </c>
      <c r="L421" s="1" t="s">
        <v>1181</v>
      </c>
      <c r="M421" s="2" t="s">
        <v>63</v>
      </c>
      <c r="N421" s="1">
        <v>0</v>
      </c>
      <c r="O421" s="2" t="s">
        <v>82</v>
      </c>
      <c r="P421" s="2" t="s">
        <v>31</v>
      </c>
      <c r="Q421" s="5">
        <v>44447</v>
      </c>
      <c r="R421" s="6"/>
    </row>
    <row r="422" spans="1:18" ht="25.5" x14ac:dyDescent="0.25">
      <c r="A422" s="2">
        <f t="shared" si="21"/>
        <v>421</v>
      </c>
      <c r="B422" s="2">
        <v>1757</v>
      </c>
      <c r="C422" s="2" t="s">
        <v>31</v>
      </c>
      <c r="D422" s="5">
        <v>44446</v>
      </c>
      <c r="E422" s="10">
        <v>4.1666666666666664E-2</v>
      </c>
      <c r="F422" s="1" t="s">
        <v>1182</v>
      </c>
      <c r="G422" s="5">
        <v>38400</v>
      </c>
      <c r="H422" s="2" t="str">
        <f t="shared" si="20"/>
        <v>16 г. 6 мес. 21 дн.</v>
      </c>
      <c r="I422" s="2" t="s">
        <v>27</v>
      </c>
      <c r="J422" s="2" t="s">
        <v>31</v>
      </c>
      <c r="K422" s="1" t="s">
        <v>1183</v>
      </c>
      <c r="L422" s="1" t="s">
        <v>1184</v>
      </c>
      <c r="M422" s="2" t="s">
        <v>60</v>
      </c>
      <c r="N422" s="1">
        <v>0</v>
      </c>
      <c r="O422" s="2" t="s">
        <v>82</v>
      </c>
      <c r="P422" s="2" t="s">
        <v>31</v>
      </c>
      <c r="Q422" s="5">
        <v>44447</v>
      </c>
      <c r="R422" s="6"/>
    </row>
    <row r="423" spans="1:18" ht="38.25" x14ac:dyDescent="0.25">
      <c r="A423" s="2">
        <f t="shared" si="21"/>
        <v>422</v>
      </c>
      <c r="B423" s="2">
        <v>457</v>
      </c>
      <c r="C423" s="2" t="s">
        <v>35</v>
      </c>
      <c r="D423" s="5">
        <v>44446</v>
      </c>
      <c r="E423" s="2"/>
      <c r="F423" s="1" t="s">
        <v>1185</v>
      </c>
      <c r="G423" s="5">
        <v>44400</v>
      </c>
      <c r="H423" s="2" t="str">
        <f t="shared" si="20"/>
        <v>0 г. 1 мес. 15 дн.</v>
      </c>
      <c r="I423" s="2" t="s">
        <v>27</v>
      </c>
      <c r="J423" s="2" t="s">
        <v>35</v>
      </c>
      <c r="K423" s="2"/>
      <c r="L423" s="1" t="s">
        <v>493</v>
      </c>
      <c r="M423" s="2" t="s">
        <v>53</v>
      </c>
      <c r="N423" s="1">
        <v>0</v>
      </c>
      <c r="O423" s="2" t="s">
        <v>83</v>
      </c>
      <c r="P423" s="2" t="s">
        <v>35</v>
      </c>
      <c r="Q423" s="5">
        <v>44447</v>
      </c>
      <c r="R423" s="6"/>
    </row>
    <row r="424" spans="1:18" ht="38.25" x14ac:dyDescent="0.25">
      <c r="A424" s="2">
        <f t="shared" si="21"/>
        <v>423</v>
      </c>
      <c r="B424" s="2">
        <v>395</v>
      </c>
      <c r="C424" s="2" t="s">
        <v>38</v>
      </c>
      <c r="D424" s="5">
        <v>44446</v>
      </c>
      <c r="E424" s="10">
        <v>0.75</v>
      </c>
      <c r="F424" s="1" t="s">
        <v>1186</v>
      </c>
      <c r="G424" s="5">
        <v>43851</v>
      </c>
      <c r="H424" s="2" t="str">
        <f t="shared" si="20"/>
        <v>1 г. 7 мес. 17 дн.</v>
      </c>
      <c r="I424" s="2" t="s">
        <v>27</v>
      </c>
      <c r="J424" s="2" t="s">
        <v>38</v>
      </c>
      <c r="K424" s="1" t="s">
        <v>1187</v>
      </c>
      <c r="L424" s="1" t="s">
        <v>1153</v>
      </c>
      <c r="M424" s="2" t="s">
        <v>57</v>
      </c>
      <c r="N424" s="1">
        <v>0</v>
      </c>
      <c r="O424" s="2" t="s">
        <v>82</v>
      </c>
      <c r="P424" s="2" t="s">
        <v>38</v>
      </c>
      <c r="Q424" s="5">
        <v>44447</v>
      </c>
      <c r="R424" s="6"/>
    </row>
    <row r="425" spans="1:18" ht="38.25" x14ac:dyDescent="0.25">
      <c r="A425" s="2">
        <f t="shared" si="21"/>
        <v>424</v>
      </c>
      <c r="B425" s="2">
        <v>412</v>
      </c>
      <c r="C425" s="1" t="s">
        <v>34</v>
      </c>
      <c r="D425" s="5">
        <v>44446</v>
      </c>
      <c r="E425" s="10">
        <v>0.92361111111111116</v>
      </c>
      <c r="F425" s="1" t="s">
        <v>1188</v>
      </c>
      <c r="G425" s="5">
        <v>38624</v>
      </c>
      <c r="H425" s="2" t="str">
        <f t="shared" si="20"/>
        <v>15 г. 11 мес. 9 дн.</v>
      </c>
      <c r="I425" s="2" t="s">
        <v>27</v>
      </c>
      <c r="J425" s="1" t="s">
        <v>34</v>
      </c>
      <c r="K425" s="1" t="s">
        <v>1189</v>
      </c>
      <c r="L425" s="1" t="s">
        <v>1176</v>
      </c>
      <c r="M425" s="2" t="s">
        <v>61</v>
      </c>
      <c r="N425" s="1">
        <v>0</v>
      </c>
      <c r="O425" s="2" t="s">
        <v>82</v>
      </c>
      <c r="P425" s="1" t="s">
        <v>34</v>
      </c>
      <c r="Q425" s="5">
        <v>44447</v>
      </c>
      <c r="R425" s="6"/>
    </row>
    <row r="426" spans="1:18" ht="25.5" x14ac:dyDescent="0.25">
      <c r="A426" s="2">
        <f t="shared" si="21"/>
        <v>425</v>
      </c>
      <c r="B426" s="2">
        <v>1753</v>
      </c>
      <c r="C426" s="2" t="s">
        <v>31</v>
      </c>
      <c r="D426" s="5">
        <v>44445</v>
      </c>
      <c r="E426" s="10">
        <v>0.77083333333333337</v>
      </c>
      <c r="F426" s="1" t="s">
        <v>1165</v>
      </c>
      <c r="G426" s="5">
        <v>40065</v>
      </c>
      <c r="H426" s="2" t="str">
        <f t="shared" ref="H426" si="22">DATEDIF(G426,D426,"y") &amp; " г. " &amp; DATEDIF(G426,D426,"ym") &amp; " мес. " &amp; DATEDIF(G426,D426,"md") &amp; " дн."</f>
        <v>11 г. 11 мес. 28 дн.</v>
      </c>
      <c r="I426" s="2" t="s">
        <v>27</v>
      </c>
      <c r="J426" s="2" t="s">
        <v>31</v>
      </c>
      <c r="K426" s="1" t="s">
        <v>1195</v>
      </c>
      <c r="L426" s="1" t="s">
        <v>1166</v>
      </c>
      <c r="M426" s="2" t="s">
        <v>60</v>
      </c>
      <c r="N426" s="1">
        <v>0</v>
      </c>
      <c r="O426" s="2" t="s">
        <v>87</v>
      </c>
      <c r="P426" s="2" t="s">
        <v>31</v>
      </c>
      <c r="Q426" s="5">
        <v>44449</v>
      </c>
      <c r="R426" s="6"/>
    </row>
    <row r="427" spans="1:18" ht="38.25" x14ac:dyDescent="0.25">
      <c r="A427" s="2">
        <f t="shared" si="21"/>
        <v>426</v>
      </c>
      <c r="B427" s="2">
        <v>391</v>
      </c>
      <c r="C427" s="2" t="s">
        <v>38</v>
      </c>
      <c r="D427" s="5">
        <v>44447</v>
      </c>
      <c r="E427" s="10">
        <v>0.77777777777777779</v>
      </c>
      <c r="F427" s="1" t="s">
        <v>1190</v>
      </c>
      <c r="G427" s="5">
        <v>43056</v>
      </c>
      <c r="H427" s="2" t="str">
        <f t="shared" si="20"/>
        <v>3 г. 9 мес. 22 дн.</v>
      </c>
      <c r="I427" s="2" t="s">
        <v>27</v>
      </c>
      <c r="J427" s="2" t="s">
        <v>38</v>
      </c>
      <c r="K427" s="1" t="s">
        <v>1191</v>
      </c>
      <c r="L427" s="1" t="s">
        <v>1192</v>
      </c>
      <c r="M427" s="2" t="s">
        <v>57</v>
      </c>
      <c r="N427" s="1">
        <v>0</v>
      </c>
      <c r="O427" s="2" t="s">
        <v>82</v>
      </c>
      <c r="P427" s="2" t="s">
        <v>38</v>
      </c>
      <c r="Q427" s="5">
        <v>44448</v>
      </c>
      <c r="R427" s="6"/>
    </row>
    <row r="428" spans="1:18" ht="51" x14ac:dyDescent="0.25">
      <c r="A428" s="2">
        <f t="shared" si="21"/>
        <v>427</v>
      </c>
      <c r="B428" s="2">
        <v>1779</v>
      </c>
      <c r="C428" s="2" t="s">
        <v>31</v>
      </c>
      <c r="D428" s="5">
        <v>44447</v>
      </c>
      <c r="E428" s="10">
        <v>0.54513888888888895</v>
      </c>
      <c r="F428" s="1" t="s">
        <v>1194</v>
      </c>
      <c r="G428" s="5">
        <v>43362</v>
      </c>
      <c r="H428" s="2" t="str">
        <f t="shared" si="20"/>
        <v>2 г. 11 мес. 20 дн.</v>
      </c>
      <c r="I428" s="2" t="s">
        <v>25</v>
      </c>
      <c r="J428" s="2" t="s">
        <v>31</v>
      </c>
      <c r="K428" s="1" t="s">
        <v>1193</v>
      </c>
      <c r="L428" s="1" t="s">
        <v>1196</v>
      </c>
      <c r="M428" s="2" t="s">
        <v>60</v>
      </c>
      <c r="N428" s="1">
        <v>0</v>
      </c>
      <c r="O428" s="2" t="s">
        <v>87</v>
      </c>
      <c r="P428" s="2" t="s">
        <v>31</v>
      </c>
      <c r="Q428" s="5">
        <v>44452</v>
      </c>
      <c r="R428" s="6"/>
    </row>
    <row r="429" spans="1:18" ht="38.25" x14ac:dyDescent="0.25">
      <c r="A429" s="2">
        <f t="shared" si="21"/>
        <v>428</v>
      </c>
      <c r="B429" s="2">
        <v>401</v>
      </c>
      <c r="C429" s="2" t="s">
        <v>38</v>
      </c>
      <c r="D429" s="5">
        <v>44448</v>
      </c>
      <c r="E429" s="10">
        <v>0.75694444444444453</v>
      </c>
      <c r="F429" s="1" t="s">
        <v>660</v>
      </c>
      <c r="G429" s="5">
        <v>42760</v>
      </c>
      <c r="H429" s="2" t="str">
        <f t="shared" si="20"/>
        <v>4 г. 7 мес. 15 дн.</v>
      </c>
      <c r="I429" s="2" t="s">
        <v>100</v>
      </c>
      <c r="J429" s="2" t="s">
        <v>38</v>
      </c>
      <c r="K429" s="1" t="s">
        <v>495</v>
      </c>
      <c r="L429" s="1" t="s">
        <v>197</v>
      </c>
      <c r="M429" s="2" t="s">
        <v>57</v>
      </c>
      <c r="N429" s="1">
        <v>0</v>
      </c>
      <c r="O429" s="2" t="s">
        <v>82</v>
      </c>
      <c r="P429" s="2" t="s">
        <v>38</v>
      </c>
      <c r="Q429" s="5">
        <v>44449</v>
      </c>
      <c r="R429" s="6"/>
    </row>
    <row r="430" spans="1:18" ht="38.25" x14ac:dyDescent="0.25">
      <c r="A430" s="2">
        <f t="shared" si="21"/>
        <v>429</v>
      </c>
      <c r="B430" s="2">
        <v>1784</v>
      </c>
      <c r="C430" s="2" t="s">
        <v>31</v>
      </c>
      <c r="D430" s="5">
        <v>44448</v>
      </c>
      <c r="E430" s="10">
        <v>0.70138888888888884</v>
      </c>
      <c r="F430" s="1" t="s">
        <v>1198</v>
      </c>
      <c r="G430" s="5">
        <v>38549</v>
      </c>
      <c r="H430" s="2" t="str">
        <f t="shared" si="20"/>
        <v>16 г. 1 мес. 24 дн.</v>
      </c>
      <c r="I430" s="2" t="s">
        <v>25</v>
      </c>
      <c r="J430" s="2" t="s">
        <v>31</v>
      </c>
      <c r="K430" s="1" t="s">
        <v>1199</v>
      </c>
      <c r="L430" s="1" t="s">
        <v>139</v>
      </c>
      <c r="M430" s="2" t="s">
        <v>60</v>
      </c>
      <c r="N430" s="1">
        <v>0</v>
      </c>
      <c r="O430" s="2" t="s">
        <v>82</v>
      </c>
      <c r="P430" s="2" t="s">
        <v>31</v>
      </c>
      <c r="Q430" s="5">
        <v>44449</v>
      </c>
      <c r="R430" s="6"/>
    </row>
    <row r="431" spans="1:18" ht="38.25" x14ac:dyDescent="0.25">
      <c r="A431" s="2">
        <f t="shared" si="21"/>
        <v>430</v>
      </c>
      <c r="B431" s="2">
        <v>396</v>
      </c>
      <c r="C431" s="2" t="s">
        <v>38</v>
      </c>
      <c r="D431" s="5">
        <v>44448</v>
      </c>
      <c r="E431" s="10">
        <v>0.70486111111111116</v>
      </c>
      <c r="F431" s="1" t="s">
        <v>1200</v>
      </c>
      <c r="G431" s="5">
        <v>44280</v>
      </c>
      <c r="H431" s="2" t="str">
        <f t="shared" si="20"/>
        <v>0 г. 5 мес. 15 дн.</v>
      </c>
      <c r="I431" s="2" t="s">
        <v>27</v>
      </c>
      <c r="J431" s="2" t="s">
        <v>38</v>
      </c>
      <c r="K431" s="1" t="s">
        <v>1201</v>
      </c>
      <c r="L431" s="1" t="s">
        <v>204</v>
      </c>
      <c r="M431" s="2" t="s">
        <v>57</v>
      </c>
      <c r="N431" s="1">
        <v>0</v>
      </c>
      <c r="O431" s="2" t="s">
        <v>82</v>
      </c>
      <c r="P431" s="2" t="s">
        <v>38</v>
      </c>
      <c r="Q431" s="5">
        <v>44449</v>
      </c>
      <c r="R431" s="6"/>
    </row>
    <row r="432" spans="1:18" ht="25.5" x14ac:dyDescent="0.25">
      <c r="A432" s="2">
        <f t="shared" si="21"/>
        <v>431</v>
      </c>
      <c r="B432" s="2">
        <v>1791</v>
      </c>
      <c r="C432" s="2" t="s">
        <v>32</v>
      </c>
      <c r="D432" s="5">
        <v>44449</v>
      </c>
      <c r="E432" s="10">
        <v>9.0277777777777776E-2</v>
      </c>
      <c r="F432" s="1" t="s">
        <v>1202</v>
      </c>
      <c r="G432" s="5">
        <v>44398</v>
      </c>
      <c r="H432" s="2" t="str">
        <f t="shared" si="20"/>
        <v>0 г. 1 мес. 20 дн.</v>
      </c>
      <c r="I432" s="2" t="s">
        <v>27</v>
      </c>
      <c r="J432" s="2" t="s">
        <v>32</v>
      </c>
      <c r="K432" s="1" t="s">
        <v>1203</v>
      </c>
      <c r="L432" s="1" t="s">
        <v>864</v>
      </c>
      <c r="M432" s="2" t="s">
        <v>60</v>
      </c>
      <c r="N432" s="1">
        <v>0</v>
      </c>
      <c r="O432" s="2" t="s">
        <v>82</v>
      </c>
      <c r="P432" s="2" t="s">
        <v>32</v>
      </c>
      <c r="Q432" s="5">
        <v>44451</v>
      </c>
      <c r="R432" s="6"/>
    </row>
    <row r="433" spans="1:18" ht="38.25" x14ac:dyDescent="0.25">
      <c r="A433" s="2">
        <f t="shared" si="21"/>
        <v>432</v>
      </c>
      <c r="B433" s="2">
        <v>939</v>
      </c>
      <c r="C433" s="2" t="s">
        <v>33</v>
      </c>
      <c r="D433" s="5">
        <v>44449</v>
      </c>
      <c r="E433" s="10">
        <v>0.52083333333333337</v>
      </c>
      <c r="F433" s="1" t="s">
        <v>1204</v>
      </c>
      <c r="G433" s="5">
        <v>39149</v>
      </c>
      <c r="H433" s="5" t="str">
        <f>DATEDIF(G433,D433,"y") &amp; " г. " &amp; DATEDIF(G433,D433,"ym") &amp; " мес. " &amp; DATEDIF(G433,D433,"md") &amp; " дн."</f>
        <v>14 г. 6 мес. 2 дн.</v>
      </c>
      <c r="I433" s="2" t="s">
        <v>26</v>
      </c>
      <c r="J433" s="2" t="s">
        <v>33</v>
      </c>
      <c r="K433" s="1" t="s">
        <v>1205</v>
      </c>
      <c r="L433" s="1" t="s">
        <v>1206</v>
      </c>
      <c r="M433" s="2" t="s">
        <v>63</v>
      </c>
      <c r="N433" s="1">
        <v>0</v>
      </c>
      <c r="O433" s="2" t="s">
        <v>82</v>
      </c>
      <c r="P433" s="2" t="s">
        <v>33</v>
      </c>
      <c r="Q433" s="5">
        <v>44450</v>
      </c>
      <c r="R433" s="6"/>
    </row>
    <row r="434" spans="1:18" ht="63.75" x14ac:dyDescent="0.25">
      <c r="A434" s="2">
        <f t="shared" si="21"/>
        <v>433</v>
      </c>
      <c r="B434" s="2">
        <v>398</v>
      </c>
      <c r="C434" s="2" t="s">
        <v>38</v>
      </c>
      <c r="D434" s="5">
        <v>44449</v>
      </c>
      <c r="E434" s="10">
        <v>0.64583333333333337</v>
      </c>
      <c r="F434" s="1" t="s">
        <v>1207</v>
      </c>
      <c r="G434" s="5">
        <v>44358</v>
      </c>
      <c r="H434" s="2" t="str">
        <f t="shared" si="20"/>
        <v>0 г. 2 мес. 30 дн.</v>
      </c>
      <c r="I434" s="2" t="s">
        <v>27</v>
      </c>
      <c r="J434" s="2" t="s">
        <v>38</v>
      </c>
      <c r="K434" s="1" t="s">
        <v>1208</v>
      </c>
      <c r="L434" s="1" t="s">
        <v>1209</v>
      </c>
      <c r="M434" s="2" t="s">
        <v>54</v>
      </c>
      <c r="N434" s="1">
        <v>0</v>
      </c>
      <c r="O434" s="2" t="s">
        <v>87</v>
      </c>
      <c r="P434" s="2" t="s">
        <v>39</v>
      </c>
      <c r="Q434" s="5">
        <v>44452</v>
      </c>
      <c r="R434" s="6"/>
    </row>
    <row r="435" spans="1:18" ht="38.25" x14ac:dyDescent="0.25">
      <c r="A435" s="2">
        <f t="shared" si="21"/>
        <v>434</v>
      </c>
      <c r="B435" s="2">
        <v>457</v>
      </c>
      <c r="C435" s="2" t="s">
        <v>36</v>
      </c>
      <c r="D435" s="5">
        <v>44451</v>
      </c>
      <c r="E435" s="10">
        <v>1.0416666666666666E-2</v>
      </c>
      <c r="F435" s="1" t="s">
        <v>1210</v>
      </c>
      <c r="G435" s="5">
        <v>37920</v>
      </c>
      <c r="H435" s="2" t="str">
        <f t="shared" si="20"/>
        <v>17 г. 10 мес. 17 дн.</v>
      </c>
      <c r="I435" s="2" t="s">
        <v>25</v>
      </c>
      <c r="J435" s="2" t="s">
        <v>36</v>
      </c>
      <c r="K435" s="1" t="s">
        <v>1211</v>
      </c>
      <c r="L435" s="1" t="s">
        <v>1212</v>
      </c>
      <c r="M435" s="2" t="s">
        <v>66</v>
      </c>
      <c r="N435" s="1">
        <v>0</v>
      </c>
      <c r="O435" s="2" t="s">
        <v>82</v>
      </c>
      <c r="P435" s="2" t="s">
        <v>39</v>
      </c>
      <c r="Q435" s="5">
        <v>44453</v>
      </c>
      <c r="R435" s="6"/>
    </row>
    <row r="436" spans="1:18" ht="38.25" x14ac:dyDescent="0.25">
      <c r="A436" s="2">
        <f t="shared" si="21"/>
        <v>435</v>
      </c>
      <c r="B436" s="2">
        <v>973</v>
      </c>
      <c r="C436" s="2" t="s">
        <v>33</v>
      </c>
      <c r="D436" s="5">
        <v>44452</v>
      </c>
      <c r="E436" s="10">
        <v>0.66666666666666663</v>
      </c>
      <c r="F436" s="1" t="s">
        <v>1213</v>
      </c>
      <c r="G436" s="5">
        <v>41368</v>
      </c>
      <c r="H436" s="2" t="str">
        <f t="shared" si="20"/>
        <v>8 г. 5 мес. 9 дн.</v>
      </c>
      <c r="I436" s="2" t="s">
        <v>27</v>
      </c>
      <c r="J436" s="2" t="s">
        <v>33</v>
      </c>
      <c r="K436" s="1" t="s">
        <v>1214</v>
      </c>
      <c r="L436" s="1" t="s">
        <v>1215</v>
      </c>
      <c r="M436" s="2" t="s">
        <v>63</v>
      </c>
      <c r="N436" s="1">
        <v>0</v>
      </c>
      <c r="O436" s="2" t="s">
        <v>82</v>
      </c>
      <c r="P436" s="2" t="s">
        <v>33</v>
      </c>
      <c r="Q436" s="5">
        <v>44453</v>
      </c>
      <c r="R436" s="6"/>
    </row>
    <row r="437" spans="1:18" ht="38.25" x14ac:dyDescent="0.25">
      <c r="A437" s="2">
        <f t="shared" si="21"/>
        <v>436</v>
      </c>
      <c r="B437" s="2">
        <v>402</v>
      </c>
      <c r="C437" s="2" t="s">
        <v>38</v>
      </c>
      <c r="D437" s="5">
        <v>44452</v>
      </c>
      <c r="E437" s="10">
        <v>0.6875</v>
      </c>
      <c r="F437" s="1" t="s">
        <v>1216</v>
      </c>
      <c r="G437" s="5">
        <v>43085</v>
      </c>
      <c r="H437" s="2" t="str">
        <f t="shared" si="20"/>
        <v>3 г. 8 мес. 28 дн.</v>
      </c>
      <c r="I437" s="2" t="s">
        <v>27</v>
      </c>
      <c r="J437" s="2" t="s">
        <v>38</v>
      </c>
      <c r="K437" s="1" t="s">
        <v>1217</v>
      </c>
      <c r="L437" s="1" t="s">
        <v>1218</v>
      </c>
      <c r="M437" s="2" t="s">
        <v>57</v>
      </c>
      <c r="N437" s="1">
        <v>0</v>
      </c>
      <c r="O437" s="2" t="s">
        <v>82</v>
      </c>
      <c r="P437" s="2" t="s">
        <v>38</v>
      </c>
      <c r="Q437" s="5">
        <v>44453</v>
      </c>
      <c r="R437" s="6"/>
    </row>
    <row r="438" spans="1:18" ht="38.25" x14ac:dyDescent="0.25">
      <c r="A438" s="2">
        <f t="shared" si="21"/>
        <v>437</v>
      </c>
      <c r="B438" s="2">
        <v>976</v>
      </c>
      <c r="C438" s="2" t="s">
        <v>33</v>
      </c>
      <c r="D438" s="5">
        <v>44452</v>
      </c>
      <c r="E438" s="10">
        <v>0.96180555555555547</v>
      </c>
      <c r="F438" s="1" t="s">
        <v>1219</v>
      </c>
      <c r="G438" s="5">
        <v>40208</v>
      </c>
      <c r="H438" s="2" t="str">
        <f t="shared" si="20"/>
        <v>11 г. 7 мес. 14 дн.</v>
      </c>
      <c r="I438" s="2" t="s">
        <v>25</v>
      </c>
      <c r="J438" s="2" t="s">
        <v>33</v>
      </c>
      <c r="K438" s="1" t="s">
        <v>1220</v>
      </c>
      <c r="L438" s="1" t="s">
        <v>1221</v>
      </c>
      <c r="M438" s="2" t="s">
        <v>63</v>
      </c>
      <c r="N438" s="1">
        <v>0</v>
      </c>
      <c r="O438" s="2" t="s">
        <v>87</v>
      </c>
      <c r="P438" s="2" t="s">
        <v>33</v>
      </c>
      <c r="Q438" s="5">
        <v>44460</v>
      </c>
      <c r="R438" s="6"/>
    </row>
    <row r="439" spans="1:18" ht="38.25" x14ac:dyDescent="0.25">
      <c r="A439" s="74">
        <v>438</v>
      </c>
      <c r="B439" s="71">
        <v>537</v>
      </c>
      <c r="C439" s="74" t="s">
        <v>35</v>
      </c>
      <c r="D439" s="75">
        <v>44453</v>
      </c>
      <c r="E439" s="76">
        <v>0.25</v>
      </c>
      <c r="F439" s="74" t="s">
        <v>1310</v>
      </c>
      <c r="G439" s="75">
        <v>44447</v>
      </c>
      <c r="H439" s="71" t="str">
        <f>DATEDIF(G439,D439,"y") &amp; " г. " &amp; DATEDIF(G439,D439,"ym") &amp; " мес. " &amp; DATEDIF(G439,D439,"md") &amp; " дн."</f>
        <v>0 г. 0 мес. 6 дн.</v>
      </c>
      <c r="I439" s="71" t="s">
        <v>25</v>
      </c>
      <c r="J439" s="74" t="s">
        <v>35</v>
      </c>
      <c r="K439" s="74" t="s">
        <v>1311</v>
      </c>
      <c r="L439" s="74" t="s">
        <v>1312</v>
      </c>
      <c r="M439" s="74" t="s">
        <v>58</v>
      </c>
      <c r="N439" s="71">
        <v>0</v>
      </c>
      <c r="O439" s="74" t="s">
        <v>82</v>
      </c>
      <c r="P439" s="74" t="s">
        <v>39</v>
      </c>
      <c r="Q439" s="75">
        <v>44467</v>
      </c>
      <c r="R439" s="74"/>
    </row>
    <row r="440" spans="1:18" ht="38.25" x14ac:dyDescent="0.25">
      <c r="A440" s="2">
        <f>ROW(A439)</f>
        <v>439</v>
      </c>
      <c r="B440" s="2">
        <v>399</v>
      </c>
      <c r="C440" s="2" t="s">
        <v>38</v>
      </c>
      <c r="D440" s="5">
        <v>44453</v>
      </c>
      <c r="E440" s="10">
        <v>0.66666666666666663</v>
      </c>
      <c r="F440" s="1" t="s">
        <v>1222</v>
      </c>
      <c r="G440" s="5">
        <v>41389</v>
      </c>
      <c r="H440" s="2" t="str">
        <f t="shared" si="20"/>
        <v>8 г. 4 мес. 20 дн.</v>
      </c>
      <c r="I440" s="2" t="s">
        <v>27</v>
      </c>
      <c r="J440" s="2" t="s">
        <v>38</v>
      </c>
      <c r="K440" s="1" t="s">
        <v>1223</v>
      </c>
      <c r="L440" s="1" t="s">
        <v>1224</v>
      </c>
      <c r="M440" s="2" t="s">
        <v>57</v>
      </c>
      <c r="N440" s="1">
        <v>0</v>
      </c>
      <c r="O440" s="2" t="s">
        <v>82</v>
      </c>
      <c r="P440" s="2" t="s">
        <v>38</v>
      </c>
      <c r="Q440" s="5">
        <v>44454</v>
      </c>
      <c r="R440" s="6"/>
    </row>
    <row r="441" spans="1:18" ht="38.25" x14ac:dyDescent="0.25">
      <c r="A441" s="2">
        <f t="shared" si="21"/>
        <v>440</v>
      </c>
      <c r="B441" s="2">
        <v>1825</v>
      </c>
      <c r="C441" s="2" t="s">
        <v>31</v>
      </c>
      <c r="D441" s="5">
        <v>44453</v>
      </c>
      <c r="E441" s="10">
        <v>0.80208333333333337</v>
      </c>
      <c r="F441" s="1" t="s">
        <v>1225</v>
      </c>
      <c r="G441" s="5">
        <v>43979</v>
      </c>
      <c r="H441" s="2" t="str">
        <f t="shared" si="20"/>
        <v>1 г. 3 мес. 17 дн.</v>
      </c>
      <c r="I441" s="2" t="s">
        <v>25</v>
      </c>
      <c r="J441" s="2" t="s">
        <v>31</v>
      </c>
      <c r="K441" s="1" t="s">
        <v>1230</v>
      </c>
      <c r="L441" s="1" t="s">
        <v>1226</v>
      </c>
      <c r="M441" s="2" t="s">
        <v>65</v>
      </c>
      <c r="N441" s="1">
        <v>0</v>
      </c>
      <c r="O441" s="2" t="s">
        <v>87</v>
      </c>
      <c r="P441" s="2" t="s">
        <v>31</v>
      </c>
      <c r="Q441" s="5">
        <v>44456</v>
      </c>
      <c r="R441" s="6"/>
    </row>
    <row r="442" spans="1:18" ht="38.25" x14ac:dyDescent="0.25">
      <c r="A442" s="2">
        <f t="shared" si="21"/>
        <v>441</v>
      </c>
      <c r="B442" s="2">
        <v>466</v>
      </c>
      <c r="C442" s="2" t="s">
        <v>36</v>
      </c>
      <c r="D442" s="5">
        <v>44454</v>
      </c>
      <c r="E442" s="10">
        <v>0.34027777777777773</v>
      </c>
      <c r="F442" s="1" t="s">
        <v>1227</v>
      </c>
      <c r="G442" s="5">
        <v>38542</v>
      </c>
      <c r="H442" s="2" t="str">
        <f t="shared" si="20"/>
        <v>16 г. 2 мес. 6 дн.</v>
      </c>
      <c r="I442" s="2" t="s">
        <v>25</v>
      </c>
      <c r="J442" s="2" t="s">
        <v>36</v>
      </c>
      <c r="K442" s="1" t="s">
        <v>1229</v>
      </c>
      <c r="L442" s="1" t="s">
        <v>1228</v>
      </c>
      <c r="M442" s="2" t="s">
        <v>66</v>
      </c>
      <c r="N442" s="1">
        <v>0</v>
      </c>
      <c r="O442" s="2" t="s">
        <v>82</v>
      </c>
      <c r="P442" s="2" t="s">
        <v>36</v>
      </c>
      <c r="Q442" s="5">
        <v>44456</v>
      </c>
      <c r="R442" s="6"/>
    </row>
    <row r="443" spans="1:18" ht="38.25" x14ac:dyDescent="0.25">
      <c r="A443" s="2">
        <v>442</v>
      </c>
      <c r="B443" s="2">
        <v>405</v>
      </c>
      <c r="C443" s="2" t="s">
        <v>38</v>
      </c>
      <c r="D443" s="5">
        <v>44454</v>
      </c>
      <c r="E443" s="10">
        <v>0.64583333333333337</v>
      </c>
      <c r="F443" s="1" t="s">
        <v>1231</v>
      </c>
      <c r="G443" s="5">
        <v>42475</v>
      </c>
      <c r="H443" s="2" t="str">
        <f t="shared" si="20"/>
        <v>5 г. 5 мес. 0 дн.</v>
      </c>
      <c r="I443" s="2" t="s">
        <v>27</v>
      </c>
      <c r="J443" s="2" t="s">
        <v>38</v>
      </c>
      <c r="K443" s="1" t="s">
        <v>1232</v>
      </c>
      <c r="L443" s="1" t="s">
        <v>1233</v>
      </c>
      <c r="M443" s="2" t="s">
        <v>57</v>
      </c>
      <c r="N443" s="1">
        <v>0</v>
      </c>
      <c r="O443" s="2" t="s">
        <v>82</v>
      </c>
      <c r="P443" s="2" t="s">
        <v>38</v>
      </c>
      <c r="Q443" s="5">
        <v>44455</v>
      </c>
      <c r="R443" s="6"/>
    </row>
    <row r="444" spans="1:18" ht="25.5" x14ac:dyDescent="0.25">
      <c r="A444" s="2">
        <f t="shared" si="21"/>
        <v>443</v>
      </c>
      <c r="B444" s="2">
        <v>1832</v>
      </c>
      <c r="C444" s="2" t="s">
        <v>31</v>
      </c>
      <c r="D444" s="5">
        <v>44454</v>
      </c>
      <c r="E444" s="10">
        <v>0.66666666666666663</v>
      </c>
      <c r="F444" s="1" t="s">
        <v>1234</v>
      </c>
      <c r="G444" s="5">
        <v>42321</v>
      </c>
      <c r="H444" s="2" t="str">
        <f t="shared" si="20"/>
        <v>5 г. 10 мес. 2 дн.</v>
      </c>
      <c r="I444" s="2" t="s">
        <v>27</v>
      </c>
      <c r="J444" s="2" t="s">
        <v>31</v>
      </c>
      <c r="K444" s="1" t="s">
        <v>1235</v>
      </c>
      <c r="L444" s="1" t="s">
        <v>1184</v>
      </c>
      <c r="M444" s="2" t="s">
        <v>60</v>
      </c>
      <c r="N444" s="1">
        <v>0</v>
      </c>
      <c r="O444" s="2" t="s">
        <v>82</v>
      </c>
      <c r="P444" s="2" t="s">
        <v>31</v>
      </c>
      <c r="Q444" s="5">
        <v>44455</v>
      </c>
      <c r="R444" s="6"/>
    </row>
    <row r="445" spans="1:18" ht="38.25" x14ac:dyDescent="0.25">
      <c r="A445" s="2">
        <f t="shared" si="21"/>
        <v>444</v>
      </c>
      <c r="B445" s="2">
        <v>984</v>
      </c>
      <c r="C445" s="2" t="s">
        <v>33</v>
      </c>
      <c r="D445" s="5">
        <v>44454</v>
      </c>
      <c r="E445" s="10">
        <v>0.82291666666666663</v>
      </c>
      <c r="F445" s="1" t="s">
        <v>1236</v>
      </c>
      <c r="G445" s="5">
        <v>41720</v>
      </c>
      <c r="H445" s="2" t="str">
        <f t="shared" si="20"/>
        <v>7 г. 5 мес. 24 дн.</v>
      </c>
      <c r="I445" s="2" t="s">
        <v>27</v>
      </c>
      <c r="J445" s="2" t="s">
        <v>33</v>
      </c>
      <c r="K445" s="1" t="s">
        <v>1237</v>
      </c>
      <c r="L445" s="1" t="s">
        <v>1238</v>
      </c>
      <c r="M445" s="2" t="s">
        <v>63</v>
      </c>
      <c r="N445" s="1">
        <v>0</v>
      </c>
      <c r="O445" s="2" t="s">
        <v>82</v>
      </c>
      <c r="P445" s="2" t="s">
        <v>33</v>
      </c>
      <c r="Q445" s="5">
        <v>44455</v>
      </c>
      <c r="R445" s="6"/>
    </row>
    <row r="446" spans="1:18" ht="38.25" x14ac:dyDescent="0.25">
      <c r="A446" s="2">
        <f t="shared" si="21"/>
        <v>445</v>
      </c>
      <c r="B446" s="2">
        <v>407</v>
      </c>
      <c r="C446" s="2" t="s">
        <v>38</v>
      </c>
      <c r="D446" s="5">
        <v>44455</v>
      </c>
      <c r="E446" s="10">
        <v>0.66666666666666663</v>
      </c>
      <c r="F446" s="1" t="s">
        <v>1239</v>
      </c>
      <c r="G446" s="5">
        <v>44392</v>
      </c>
      <c r="H446" s="2" t="str">
        <f t="shared" si="20"/>
        <v>0 г. 2 мес. 1 дн.</v>
      </c>
      <c r="I446" s="2" t="s">
        <v>27</v>
      </c>
      <c r="J446" s="2" t="s">
        <v>38</v>
      </c>
      <c r="K446" s="1" t="s">
        <v>1241</v>
      </c>
      <c r="L446" s="1" t="s">
        <v>1240</v>
      </c>
      <c r="M446" s="2" t="s">
        <v>57</v>
      </c>
      <c r="N446" s="1">
        <v>0</v>
      </c>
      <c r="O446" s="2" t="s">
        <v>82</v>
      </c>
      <c r="P446" s="2" t="s">
        <v>38</v>
      </c>
      <c r="Q446" s="5">
        <v>44456</v>
      </c>
      <c r="R446" s="6"/>
    </row>
    <row r="447" spans="1:18" ht="38.25" x14ac:dyDescent="0.25">
      <c r="A447" s="2">
        <f t="shared" si="21"/>
        <v>446</v>
      </c>
      <c r="B447" s="2">
        <v>1798</v>
      </c>
      <c r="C447" s="2" t="s">
        <v>32</v>
      </c>
      <c r="D447" s="5">
        <v>44456</v>
      </c>
      <c r="E447" s="10">
        <v>0.5</v>
      </c>
      <c r="F447" s="1" t="s">
        <v>1242</v>
      </c>
      <c r="G447" s="5">
        <v>44153</v>
      </c>
      <c r="H447" s="2" t="str">
        <f t="shared" si="20"/>
        <v>0 г. 9 мес. 30 дн.</v>
      </c>
      <c r="I447" s="2" t="s">
        <v>26</v>
      </c>
      <c r="J447" s="2" t="s">
        <v>32</v>
      </c>
      <c r="K447" s="1" t="s">
        <v>1243</v>
      </c>
      <c r="L447" s="1" t="s">
        <v>1244</v>
      </c>
      <c r="M447" s="2" t="s">
        <v>57</v>
      </c>
      <c r="N447" s="1">
        <v>0</v>
      </c>
      <c r="O447" s="2" t="s">
        <v>82</v>
      </c>
      <c r="P447" s="2" t="s">
        <v>32</v>
      </c>
      <c r="Q447" s="5">
        <v>44457</v>
      </c>
      <c r="R447" s="6"/>
    </row>
    <row r="448" spans="1:18" ht="63.75" x14ac:dyDescent="0.25">
      <c r="A448" s="2">
        <f t="shared" si="21"/>
        <v>447</v>
      </c>
      <c r="B448" s="2">
        <v>474</v>
      </c>
      <c r="C448" s="2" t="s">
        <v>36</v>
      </c>
      <c r="D448" s="5">
        <v>44456</v>
      </c>
      <c r="E448" s="10">
        <v>0.78125</v>
      </c>
      <c r="F448" s="1" t="s">
        <v>363</v>
      </c>
      <c r="G448" s="5">
        <v>38445</v>
      </c>
      <c r="H448" s="2" t="str">
        <f t="shared" si="20"/>
        <v>16 г. 5 мес. 14 дн.</v>
      </c>
      <c r="I448" s="2" t="s">
        <v>25</v>
      </c>
      <c r="J448" s="2" t="s">
        <v>36</v>
      </c>
      <c r="K448" s="1" t="s">
        <v>1245</v>
      </c>
      <c r="L448" s="1" t="s">
        <v>1246</v>
      </c>
      <c r="M448" s="2" t="s">
        <v>54</v>
      </c>
      <c r="N448" s="1">
        <v>0</v>
      </c>
      <c r="O448" s="2" t="s">
        <v>82</v>
      </c>
      <c r="P448" s="2" t="s">
        <v>36</v>
      </c>
      <c r="Q448" s="5">
        <v>44458</v>
      </c>
      <c r="R448" s="6"/>
    </row>
    <row r="449" spans="1:18" ht="25.5" x14ac:dyDescent="0.25">
      <c r="A449" s="2">
        <f t="shared" si="21"/>
        <v>448</v>
      </c>
      <c r="B449" s="2">
        <v>488</v>
      </c>
      <c r="C449" s="2" t="s">
        <v>35</v>
      </c>
      <c r="D449" s="5">
        <v>44455</v>
      </c>
      <c r="E449" s="10">
        <v>0.40277777777777773</v>
      </c>
      <c r="F449" s="1" t="s">
        <v>1247</v>
      </c>
      <c r="G449" s="5">
        <v>44405</v>
      </c>
      <c r="H449" s="2" t="str">
        <f t="shared" si="20"/>
        <v>0 г. 1 мес. 19 дн.</v>
      </c>
      <c r="I449" s="2" t="s">
        <v>27</v>
      </c>
      <c r="J449" s="2" t="s">
        <v>35</v>
      </c>
      <c r="K449" s="1" t="s">
        <v>1248</v>
      </c>
      <c r="L449" s="1" t="s">
        <v>493</v>
      </c>
      <c r="M449" s="2" t="s">
        <v>58</v>
      </c>
      <c r="N449" s="1">
        <v>0</v>
      </c>
      <c r="O449" s="2" t="s">
        <v>82</v>
      </c>
      <c r="P449" s="2" t="s">
        <v>35</v>
      </c>
      <c r="Q449" s="5">
        <v>44456</v>
      </c>
      <c r="R449" s="6"/>
    </row>
    <row r="450" spans="1:18" ht="38.25" x14ac:dyDescent="0.25">
      <c r="A450" s="2">
        <f t="shared" si="21"/>
        <v>449</v>
      </c>
      <c r="B450" s="2">
        <v>412</v>
      </c>
      <c r="C450" s="2" t="s">
        <v>38</v>
      </c>
      <c r="D450" s="5">
        <v>44366</v>
      </c>
      <c r="E450" s="10">
        <v>6.25E-2</v>
      </c>
      <c r="F450" s="1" t="s">
        <v>1249</v>
      </c>
      <c r="G450" s="5">
        <v>42931</v>
      </c>
      <c r="H450" s="2" t="str">
        <f t="shared" si="20"/>
        <v>3 г. 11 мес. 4 дн.</v>
      </c>
      <c r="I450" s="2" t="s">
        <v>25</v>
      </c>
      <c r="J450" s="2" t="s">
        <v>38</v>
      </c>
      <c r="K450" s="1" t="s">
        <v>1250</v>
      </c>
      <c r="L450" s="1" t="s">
        <v>204</v>
      </c>
      <c r="M450" s="2" t="s">
        <v>57</v>
      </c>
      <c r="N450" s="1">
        <v>0</v>
      </c>
      <c r="O450" s="2" t="s">
        <v>82</v>
      </c>
      <c r="P450" s="2" t="s">
        <v>38</v>
      </c>
      <c r="Q450" s="5">
        <v>44459</v>
      </c>
      <c r="R450" s="6"/>
    </row>
    <row r="451" spans="1:18" ht="38.25" x14ac:dyDescent="0.25">
      <c r="A451" s="2">
        <f t="shared" si="21"/>
        <v>450</v>
      </c>
      <c r="B451" s="2">
        <v>499</v>
      </c>
      <c r="C451" s="2" t="s">
        <v>35</v>
      </c>
      <c r="D451" s="5">
        <v>44459</v>
      </c>
      <c r="E451" s="10">
        <v>0.39583333333333331</v>
      </c>
      <c r="F451" s="1" t="s">
        <v>1251</v>
      </c>
      <c r="G451" s="5">
        <v>44423</v>
      </c>
      <c r="H451" s="2" t="str">
        <f t="shared" si="20"/>
        <v>0 г. 1 мес. 5 дн.</v>
      </c>
      <c r="I451" s="2" t="s">
        <v>27</v>
      </c>
      <c r="J451" s="2" t="s">
        <v>35</v>
      </c>
      <c r="K451" s="1" t="s">
        <v>1252</v>
      </c>
      <c r="L451" s="1" t="s">
        <v>493</v>
      </c>
      <c r="M451" s="2" t="s">
        <v>53</v>
      </c>
      <c r="N451" s="1">
        <v>0</v>
      </c>
      <c r="O451" s="2" t="s">
        <v>82</v>
      </c>
      <c r="P451" s="2" t="s">
        <v>35</v>
      </c>
      <c r="Q451" s="5">
        <v>44460</v>
      </c>
      <c r="R451" s="6"/>
    </row>
    <row r="452" spans="1:18" ht="38.25" x14ac:dyDescent="0.25">
      <c r="A452" s="2">
        <f t="shared" si="21"/>
        <v>451</v>
      </c>
      <c r="B452" s="2">
        <v>991</v>
      </c>
      <c r="C452" s="2" t="s">
        <v>33</v>
      </c>
      <c r="D452" s="5">
        <v>44459</v>
      </c>
      <c r="E452" s="10">
        <v>0.56597222222222221</v>
      </c>
      <c r="F452" s="1" t="s">
        <v>1253</v>
      </c>
      <c r="G452" s="5">
        <v>38416</v>
      </c>
      <c r="H452" s="2" t="str">
        <f t="shared" ref="H452:H515" si="23">DATEDIF(G452,D452,"y") &amp; " г. " &amp; DATEDIF(G452,D452,"ym") &amp; " мес. " &amp; DATEDIF(G452,D452,"md") &amp; " дн."</f>
        <v>16 г. 6 мес. 15 дн.</v>
      </c>
      <c r="I452" s="2" t="s">
        <v>26</v>
      </c>
      <c r="J452" s="2" t="s">
        <v>33</v>
      </c>
      <c r="K452" s="1" t="s">
        <v>1254</v>
      </c>
      <c r="L452" s="1" t="s">
        <v>836</v>
      </c>
      <c r="M452" s="2" t="s">
        <v>62</v>
      </c>
      <c r="N452" s="1">
        <v>0</v>
      </c>
      <c r="O452" s="2" t="s">
        <v>97</v>
      </c>
      <c r="P452" s="2" t="s">
        <v>33</v>
      </c>
      <c r="Q452" s="5">
        <v>44462</v>
      </c>
      <c r="R452" s="6"/>
    </row>
    <row r="453" spans="1:18" ht="38.25" x14ac:dyDescent="0.25">
      <c r="A453" s="2">
        <f t="shared" si="21"/>
        <v>452</v>
      </c>
      <c r="B453" s="2">
        <v>389</v>
      </c>
      <c r="C453" s="2" t="s">
        <v>38</v>
      </c>
      <c r="D453" s="5">
        <v>44459</v>
      </c>
      <c r="E453" s="10">
        <v>0.70833333333333337</v>
      </c>
      <c r="F453" s="1" t="s">
        <v>1255</v>
      </c>
      <c r="G453" s="5">
        <v>44336</v>
      </c>
      <c r="H453" s="2" t="str">
        <f t="shared" si="23"/>
        <v>0 г. 4 мес. 0 дн.</v>
      </c>
      <c r="I453" s="2" t="s">
        <v>27</v>
      </c>
      <c r="J453" s="2" t="s">
        <v>38</v>
      </c>
      <c r="K453" s="1" t="s">
        <v>1256</v>
      </c>
      <c r="L453" s="1" t="s">
        <v>1257</v>
      </c>
      <c r="M453" s="2" t="s">
        <v>57</v>
      </c>
      <c r="N453" s="1">
        <v>0</v>
      </c>
      <c r="O453" s="2" t="s">
        <v>82</v>
      </c>
      <c r="P453" s="2" t="s">
        <v>38</v>
      </c>
      <c r="Q453" s="5">
        <v>44460</v>
      </c>
      <c r="R453" s="6"/>
    </row>
    <row r="454" spans="1:18" ht="25.5" x14ac:dyDescent="0.25">
      <c r="A454" s="2">
        <f t="shared" si="21"/>
        <v>453</v>
      </c>
      <c r="B454" s="2">
        <v>488</v>
      </c>
      <c r="C454" s="2" t="s">
        <v>36</v>
      </c>
      <c r="D454" s="5">
        <v>44459</v>
      </c>
      <c r="E454" s="10">
        <v>0.85416666666666663</v>
      </c>
      <c r="F454" s="1" t="s">
        <v>1258</v>
      </c>
      <c r="G454" s="5">
        <v>43135</v>
      </c>
      <c r="H454" s="2" t="str">
        <f t="shared" si="23"/>
        <v>3 г. 7 мес. 16 дн.</v>
      </c>
      <c r="I454" s="2" t="s">
        <v>25</v>
      </c>
      <c r="J454" s="2" t="s">
        <v>36</v>
      </c>
      <c r="K454" s="1" t="s">
        <v>1259</v>
      </c>
      <c r="L454" s="1" t="s">
        <v>1260</v>
      </c>
      <c r="M454" s="2" t="s">
        <v>66</v>
      </c>
      <c r="N454" s="1">
        <v>0</v>
      </c>
      <c r="O454" s="2" t="s">
        <v>82</v>
      </c>
      <c r="P454" s="2" t="s">
        <v>36</v>
      </c>
      <c r="Q454" s="5">
        <v>44460</v>
      </c>
      <c r="R454" s="6"/>
    </row>
    <row r="455" spans="1:18" ht="25.5" x14ac:dyDescent="0.25">
      <c r="A455" s="2">
        <f t="shared" si="21"/>
        <v>454</v>
      </c>
      <c r="B455" s="2">
        <v>1864</v>
      </c>
      <c r="C455" s="2" t="s">
        <v>31</v>
      </c>
      <c r="D455" s="5">
        <v>44459</v>
      </c>
      <c r="E455" s="10">
        <v>0.89583333333333337</v>
      </c>
      <c r="F455" s="1" t="s">
        <v>1261</v>
      </c>
      <c r="G455" s="5">
        <v>40801</v>
      </c>
      <c r="H455" s="2" t="str">
        <f t="shared" si="23"/>
        <v>10 г. 0 мес. 5 дн.</v>
      </c>
      <c r="I455" s="2" t="s">
        <v>26</v>
      </c>
      <c r="J455" s="2" t="s">
        <v>31</v>
      </c>
      <c r="K455" s="1" t="s">
        <v>1262</v>
      </c>
      <c r="L455" s="1" t="s">
        <v>139</v>
      </c>
      <c r="M455" s="2" t="s">
        <v>60</v>
      </c>
      <c r="N455" s="1">
        <v>0</v>
      </c>
      <c r="O455" s="2" t="s">
        <v>82</v>
      </c>
      <c r="P455" s="2" t="s">
        <v>31</v>
      </c>
      <c r="Q455" s="5">
        <v>44460</v>
      </c>
      <c r="R455" s="6"/>
    </row>
    <row r="456" spans="1:18" ht="25.5" x14ac:dyDescent="0.25">
      <c r="A456" s="2">
        <f t="shared" si="21"/>
        <v>455</v>
      </c>
      <c r="B456" s="2">
        <v>1859</v>
      </c>
      <c r="C456" s="2" t="s">
        <v>31</v>
      </c>
      <c r="D456" s="5">
        <v>44459</v>
      </c>
      <c r="E456" s="10">
        <v>0.9375</v>
      </c>
      <c r="F456" s="1" t="s">
        <v>1263</v>
      </c>
      <c r="G456" s="5">
        <v>40541</v>
      </c>
      <c r="H456" s="2" t="str">
        <f t="shared" si="23"/>
        <v>10 г. 8 мес. 22 дн.</v>
      </c>
      <c r="I456" s="2" t="s">
        <v>26</v>
      </c>
      <c r="J456" s="2" t="s">
        <v>31</v>
      </c>
      <c r="K456" s="1" t="s">
        <v>1264</v>
      </c>
      <c r="L456" s="1" t="s">
        <v>1265</v>
      </c>
      <c r="M456" s="2" t="s">
        <v>60</v>
      </c>
      <c r="N456" s="1">
        <v>0</v>
      </c>
      <c r="O456" s="2" t="s">
        <v>82</v>
      </c>
      <c r="P456" s="2" t="s">
        <v>31</v>
      </c>
      <c r="Q456" s="5">
        <v>44460</v>
      </c>
      <c r="R456" s="6"/>
    </row>
    <row r="457" spans="1:18" ht="25.5" x14ac:dyDescent="0.25">
      <c r="A457" s="2">
        <f t="shared" si="21"/>
        <v>456</v>
      </c>
      <c r="B457" s="2">
        <v>1869</v>
      </c>
      <c r="C457" s="2" t="s">
        <v>31</v>
      </c>
      <c r="D457" s="5">
        <v>44459</v>
      </c>
      <c r="E457" s="10">
        <v>0.97916666666666663</v>
      </c>
      <c r="F457" s="1" t="s">
        <v>1266</v>
      </c>
      <c r="G457" s="5">
        <v>42010</v>
      </c>
      <c r="H457" s="2" t="str">
        <f t="shared" si="23"/>
        <v>6 г. 8 мес. 14 дн.</v>
      </c>
      <c r="I457" s="2" t="s">
        <v>26</v>
      </c>
      <c r="J457" s="2" t="s">
        <v>31</v>
      </c>
      <c r="K457" s="1" t="s">
        <v>1267</v>
      </c>
      <c r="L457" s="1" t="s">
        <v>139</v>
      </c>
      <c r="M457" s="2" t="s">
        <v>60</v>
      </c>
      <c r="N457" s="1">
        <v>0</v>
      </c>
      <c r="O457" s="2" t="s">
        <v>82</v>
      </c>
      <c r="P457" s="2" t="s">
        <v>31</v>
      </c>
      <c r="Q457" s="5">
        <v>44460</v>
      </c>
      <c r="R457" s="6"/>
    </row>
    <row r="458" spans="1:18" ht="38.25" x14ac:dyDescent="0.25">
      <c r="A458" s="2">
        <f t="shared" si="21"/>
        <v>457</v>
      </c>
      <c r="B458" s="2">
        <v>1871</v>
      </c>
      <c r="C458" s="2" t="s">
        <v>31</v>
      </c>
      <c r="D458" s="5">
        <v>44460</v>
      </c>
      <c r="E458" s="10">
        <v>0.64583333333333337</v>
      </c>
      <c r="F458" s="1" t="s">
        <v>1268</v>
      </c>
      <c r="G458" s="5">
        <v>38502</v>
      </c>
      <c r="H458" s="2" t="str">
        <f t="shared" si="23"/>
        <v>16 г. 3 мес. 22 дн.</v>
      </c>
      <c r="I458" s="2" t="s">
        <v>26</v>
      </c>
      <c r="J458" s="2" t="s">
        <v>31</v>
      </c>
      <c r="K458" s="1" t="s">
        <v>1269</v>
      </c>
      <c r="L458" s="1" t="s">
        <v>1270</v>
      </c>
      <c r="M458" s="2" t="s">
        <v>61</v>
      </c>
      <c r="N458" s="1">
        <v>0</v>
      </c>
      <c r="O458" s="2" t="s">
        <v>82</v>
      </c>
      <c r="P458" s="2" t="s">
        <v>31</v>
      </c>
      <c r="Q458" s="5">
        <v>44461</v>
      </c>
      <c r="R458" s="6"/>
    </row>
    <row r="459" spans="1:18" ht="25.5" x14ac:dyDescent="0.25">
      <c r="A459" s="2">
        <f t="shared" si="21"/>
        <v>458</v>
      </c>
      <c r="B459" s="2">
        <v>1879</v>
      </c>
      <c r="C459" s="2" t="s">
        <v>31</v>
      </c>
      <c r="D459" s="5">
        <v>44460</v>
      </c>
      <c r="E459" s="10">
        <v>0.91666666666666663</v>
      </c>
      <c r="F459" s="1" t="s">
        <v>1271</v>
      </c>
      <c r="G459" s="5">
        <v>39325</v>
      </c>
      <c r="H459" s="2" t="str">
        <f t="shared" si="23"/>
        <v>14 г. 0 мес. 21 дн.</v>
      </c>
      <c r="I459" s="2" t="s">
        <v>26</v>
      </c>
      <c r="J459" s="2" t="s">
        <v>31</v>
      </c>
      <c r="K459" s="1" t="s">
        <v>1272</v>
      </c>
      <c r="L459" s="1" t="s">
        <v>1273</v>
      </c>
      <c r="M459" s="2" t="s">
        <v>60</v>
      </c>
      <c r="N459" s="1">
        <v>0</v>
      </c>
      <c r="O459" s="2" t="s">
        <v>82</v>
      </c>
      <c r="P459" s="2" t="s">
        <v>31</v>
      </c>
      <c r="Q459" s="5">
        <v>44461</v>
      </c>
      <c r="R459" s="6"/>
    </row>
    <row r="460" spans="1:18" ht="25.5" x14ac:dyDescent="0.25">
      <c r="A460" s="2">
        <f t="shared" si="21"/>
        <v>459</v>
      </c>
      <c r="B460" s="2">
        <v>491</v>
      </c>
      <c r="C460" s="2" t="s">
        <v>36</v>
      </c>
      <c r="D460" s="5">
        <v>44460</v>
      </c>
      <c r="E460" s="10">
        <v>0.96875</v>
      </c>
      <c r="F460" s="1" t="s">
        <v>1282</v>
      </c>
      <c r="G460" s="5">
        <v>43053</v>
      </c>
      <c r="H460" s="2" t="str">
        <f t="shared" si="23"/>
        <v>3 г. 10 мес. 7 дн.</v>
      </c>
      <c r="I460" s="2" t="s">
        <v>25</v>
      </c>
      <c r="J460" s="2" t="s">
        <v>36</v>
      </c>
      <c r="K460" s="1" t="s">
        <v>1274</v>
      </c>
      <c r="L460" s="1" t="s">
        <v>1275</v>
      </c>
      <c r="M460" s="2" t="s">
        <v>66</v>
      </c>
      <c r="N460" s="1">
        <v>0</v>
      </c>
      <c r="O460" s="2" t="s">
        <v>82</v>
      </c>
      <c r="P460" s="2" t="s">
        <v>36</v>
      </c>
      <c r="Q460" s="5">
        <v>44461</v>
      </c>
      <c r="R460" s="6"/>
    </row>
    <row r="461" spans="1:18" ht="38.25" x14ac:dyDescent="0.25">
      <c r="A461" s="2">
        <f t="shared" si="21"/>
        <v>460</v>
      </c>
      <c r="B461" s="2">
        <v>1882</v>
      </c>
      <c r="C461" s="2" t="s">
        <v>31</v>
      </c>
      <c r="D461" s="5">
        <v>44461</v>
      </c>
      <c r="E461" s="10">
        <v>0.51388888888888895</v>
      </c>
      <c r="F461" s="1" t="s">
        <v>1277</v>
      </c>
      <c r="G461" s="5">
        <v>44259</v>
      </c>
      <c r="H461" s="2" t="str">
        <f t="shared" si="23"/>
        <v>0 г. 6 мес. 18 дн.</v>
      </c>
      <c r="I461" s="2" t="s">
        <v>29</v>
      </c>
      <c r="J461" s="2" t="s">
        <v>31</v>
      </c>
      <c r="K461" s="1" t="s">
        <v>1276</v>
      </c>
      <c r="L461" s="1" t="s">
        <v>1280</v>
      </c>
      <c r="M461" s="2" t="s">
        <v>53</v>
      </c>
      <c r="N461" s="1">
        <v>0</v>
      </c>
      <c r="O461" s="2" t="s">
        <v>87</v>
      </c>
      <c r="P461" s="2" t="s">
        <v>31</v>
      </c>
      <c r="Q461" s="5">
        <v>44464</v>
      </c>
      <c r="R461" s="6"/>
    </row>
    <row r="462" spans="1:18" ht="25.5" x14ac:dyDescent="0.25">
      <c r="A462" s="2">
        <f t="shared" si="21"/>
        <v>461</v>
      </c>
      <c r="B462" s="2">
        <v>1891</v>
      </c>
      <c r="C462" s="2" t="s">
        <v>31</v>
      </c>
      <c r="D462" s="5">
        <v>44462</v>
      </c>
      <c r="E462" s="10">
        <v>6.5972222222222224E-2</v>
      </c>
      <c r="F462" s="1" t="s">
        <v>1278</v>
      </c>
      <c r="G462" s="5">
        <v>44099</v>
      </c>
      <c r="H462" s="2" t="str">
        <f t="shared" si="23"/>
        <v>0 г. 11 мес. 29 дн.</v>
      </c>
      <c r="I462" s="2" t="s">
        <v>25</v>
      </c>
      <c r="J462" s="2" t="s">
        <v>31</v>
      </c>
      <c r="K462" s="1" t="s">
        <v>1279</v>
      </c>
      <c r="L462" s="1" t="s">
        <v>1283</v>
      </c>
      <c r="M462" s="2" t="s">
        <v>59</v>
      </c>
      <c r="N462" s="1">
        <v>0</v>
      </c>
      <c r="O462" s="2" t="s">
        <v>82</v>
      </c>
      <c r="P462" s="2" t="s">
        <v>31</v>
      </c>
      <c r="Q462" s="5">
        <v>44463</v>
      </c>
      <c r="R462" s="6"/>
    </row>
    <row r="463" spans="1:18" ht="38.25" x14ac:dyDescent="0.25">
      <c r="A463" s="2">
        <f t="shared" si="21"/>
        <v>462</v>
      </c>
      <c r="B463" s="2">
        <v>1839</v>
      </c>
      <c r="C463" s="2" t="s">
        <v>31</v>
      </c>
      <c r="D463" s="5">
        <v>44462</v>
      </c>
      <c r="E463" s="10">
        <v>0.33333333333333331</v>
      </c>
      <c r="F463" s="1" t="s">
        <v>1284</v>
      </c>
      <c r="G463" s="5">
        <v>44186</v>
      </c>
      <c r="H463" s="2" t="str">
        <f t="shared" si="23"/>
        <v>0 г. 9 мес. 2 дн.</v>
      </c>
      <c r="I463" s="2" t="s">
        <v>27</v>
      </c>
      <c r="J463" s="2" t="s">
        <v>31</v>
      </c>
      <c r="K463" s="1" t="s">
        <v>1285</v>
      </c>
      <c r="L463" s="1" t="s">
        <v>1286</v>
      </c>
      <c r="M463" s="2" t="s">
        <v>62</v>
      </c>
      <c r="N463" s="1">
        <v>0</v>
      </c>
      <c r="O463" s="2" t="s">
        <v>82</v>
      </c>
      <c r="P463" s="2" t="s">
        <v>31</v>
      </c>
      <c r="Q463" s="5">
        <v>44463</v>
      </c>
      <c r="R463" s="6"/>
    </row>
    <row r="464" spans="1:18" ht="38.25" x14ac:dyDescent="0.25">
      <c r="A464" s="2">
        <f t="shared" si="21"/>
        <v>463</v>
      </c>
      <c r="B464" s="2">
        <v>416</v>
      </c>
      <c r="C464" s="2" t="s">
        <v>38</v>
      </c>
      <c r="D464" s="5">
        <v>44462</v>
      </c>
      <c r="E464" s="10">
        <v>0.66666666666666663</v>
      </c>
      <c r="F464" s="1" t="s">
        <v>1287</v>
      </c>
      <c r="G464" s="5">
        <v>42712</v>
      </c>
      <c r="H464" s="2" t="str">
        <f t="shared" si="23"/>
        <v>4 г. 9 мес. 15 дн.</v>
      </c>
      <c r="I464" s="2" t="s">
        <v>27</v>
      </c>
      <c r="J464" s="2" t="s">
        <v>38</v>
      </c>
      <c r="K464" s="1" t="s">
        <v>1288</v>
      </c>
      <c r="L464" s="1" t="s">
        <v>1289</v>
      </c>
      <c r="M464" s="2" t="s">
        <v>57</v>
      </c>
      <c r="N464" s="1">
        <v>0</v>
      </c>
      <c r="O464" s="2" t="s">
        <v>82</v>
      </c>
      <c r="P464" s="2" t="s">
        <v>38</v>
      </c>
      <c r="Q464" s="5">
        <v>44463</v>
      </c>
      <c r="R464" s="6"/>
    </row>
    <row r="465" spans="1:18" ht="63.75" x14ac:dyDescent="0.25">
      <c r="A465" s="2">
        <f t="shared" si="21"/>
        <v>464</v>
      </c>
      <c r="B465" s="2">
        <v>500</v>
      </c>
      <c r="C465" s="1" t="s">
        <v>36</v>
      </c>
      <c r="D465" s="5">
        <v>44463</v>
      </c>
      <c r="E465" s="10">
        <v>4.1666666666666664E-2</v>
      </c>
      <c r="F465" s="1" t="s">
        <v>1290</v>
      </c>
      <c r="G465" s="5">
        <v>42202</v>
      </c>
      <c r="H465" s="2" t="str">
        <f t="shared" si="23"/>
        <v>6 г. 2 мес. 7 дн.</v>
      </c>
      <c r="I465" s="2" t="s">
        <v>25</v>
      </c>
      <c r="J465" s="2" t="s">
        <v>36</v>
      </c>
      <c r="K465" s="1" t="s">
        <v>1292</v>
      </c>
      <c r="L465" s="1" t="s">
        <v>1291</v>
      </c>
      <c r="M465" s="2" t="s">
        <v>54</v>
      </c>
      <c r="N465" s="1">
        <v>0</v>
      </c>
      <c r="O465" s="2" t="s">
        <v>82</v>
      </c>
      <c r="P465" s="2" t="s">
        <v>39</v>
      </c>
      <c r="Q465" s="5">
        <v>44464</v>
      </c>
      <c r="R465" s="6"/>
    </row>
    <row r="466" spans="1:18" ht="25.5" x14ac:dyDescent="0.25">
      <c r="A466" s="2">
        <f t="shared" si="21"/>
        <v>465</v>
      </c>
      <c r="B466" s="2">
        <v>506</v>
      </c>
      <c r="C466" s="2" t="s">
        <v>36</v>
      </c>
      <c r="D466" s="5">
        <v>44464</v>
      </c>
      <c r="E466" s="10">
        <v>5.2083333333333336E-2</v>
      </c>
      <c r="F466" s="1" t="s">
        <v>1293</v>
      </c>
      <c r="G466" s="5">
        <v>38285</v>
      </c>
      <c r="H466" s="2" t="str">
        <f t="shared" si="23"/>
        <v>16 г. 11 мес. 0 дн.</v>
      </c>
      <c r="I466" s="2" t="s">
        <v>25</v>
      </c>
      <c r="J466" s="2" t="s">
        <v>36</v>
      </c>
      <c r="K466" s="1" t="s">
        <v>1294</v>
      </c>
      <c r="L466" s="1" t="s">
        <v>1295</v>
      </c>
      <c r="M466" s="2" t="s">
        <v>66</v>
      </c>
      <c r="N466" s="1">
        <v>0</v>
      </c>
      <c r="O466" s="2" t="s">
        <v>82</v>
      </c>
      <c r="P466" s="2" t="s">
        <v>36</v>
      </c>
      <c r="Q466" s="5">
        <v>44465</v>
      </c>
      <c r="R466" s="6"/>
    </row>
    <row r="467" spans="1:18" ht="25.5" x14ac:dyDescent="0.25">
      <c r="A467" s="2">
        <f t="shared" si="21"/>
        <v>466</v>
      </c>
      <c r="B467" s="2">
        <v>787</v>
      </c>
      <c r="C467" s="2" t="s">
        <v>37</v>
      </c>
      <c r="D467" s="5">
        <v>44464</v>
      </c>
      <c r="E467" s="10">
        <v>0.58333333333333337</v>
      </c>
      <c r="F467" s="1" t="s">
        <v>1296</v>
      </c>
      <c r="G467" s="5">
        <v>44093</v>
      </c>
      <c r="H467" s="2" t="str">
        <f t="shared" si="23"/>
        <v>1 г. 0 мес. 6 дн.</v>
      </c>
      <c r="I467" s="2" t="s">
        <v>25</v>
      </c>
      <c r="J467" s="2" t="s">
        <v>37</v>
      </c>
      <c r="K467" s="1" t="s">
        <v>1297</v>
      </c>
      <c r="L467" s="1" t="s">
        <v>116</v>
      </c>
      <c r="M467" s="2" t="s">
        <v>59</v>
      </c>
      <c r="N467" s="1">
        <v>0</v>
      </c>
      <c r="O467" s="2" t="s">
        <v>82</v>
      </c>
      <c r="P467" s="2" t="s">
        <v>37</v>
      </c>
      <c r="Q467" s="5">
        <v>44466</v>
      </c>
      <c r="R467" s="6"/>
    </row>
    <row r="468" spans="1:18" ht="25.5" x14ac:dyDescent="0.25">
      <c r="A468" s="2">
        <f t="shared" si="21"/>
        <v>467</v>
      </c>
      <c r="B468" s="2">
        <v>1903</v>
      </c>
      <c r="C468" s="2" t="s">
        <v>31</v>
      </c>
      <c r="D468" s="5">
        <v>44464</v>
      </c>
      <c r="E468" s="10">
        <v>6.25E-2</v>
      </c>
      <c r="F468" s="1" t="s">
        <v>1298</v>
      </c>
      <c r="G468" s="5">
        <v>42198</v>
      </c>
      <c r="H468" s="2" t="str">
        <f t="shared" si="23"/>
        <v>6 г. 2 мес. 12 дн.</v>
      </c>
      <c r="I468" s="2" t="s">
        <v>25</v>
      </c>
      <c r="J468" s="2" t="s">
        <v>31</v>
      </c>
      <c r="K468" s="1" t="s">
        <v>1299</v>
      </c>
      <c r="L468" s="1" t="s">
        <v>1300</v>
      </c>
      <c r="M468" s="2" t="s">
        <v>60</v>
      </c>
      <c r="N468" s="1">
        <v>0</v>
      </c>
      <c r="O468" s="2" t="s">
        <v>82</v>
      </c>
      <c r="P468" s="2" t="s">
        <v>31</v>
      </c>
      <c r="Q468" s="5">
        <v>44466</v>
      </c>
      <c r="R468" s="6"/>
    </row>
    <row r="469" spans="1:18" ht="38.25" x14ac:dyDescent="0.25">
      <c r="A469" s="2">
        <f t="shared" si="21"/>
        <v>468</v>
      </c>
      <c r="B469" s="2">
        <v>508</v>
      </c>
      <c r="C469" s="2" t="s">
        <v>36</v>
      </c>
      <c r="D469" s="5">
        <v>44465</v>
      </c>
      <c r="E469" s="10">
        <v>0.56597222222222221</v>
      </c>
      <c r="F469" s="1" t="s">
        <v>1301</v>
      </c>
      <c r="G469" s="5">
        <v>44036</v>
      </c>
      <c r="H469" s="2" t="str">
        <f t="shared" si="23"/>
        <v>1 г. 2 мес. 2 дн.</v>
      </c>
      <c r="I469" s="2" t="s">
        <v>25</v>
      </c>
      <c r="J469" s="2" t="s">
        <v>36</v>
      </c>
      <c r="K469" s="1" t="s">
        <v>1302</v>
      </c>
      <c r="L469" s="1" t="s">
        <v>1303</v>
      </c>
      <c r="M469" s="2" t="s">
        <v>51</v>
      </c>
      <c r="N469" s="1">
        <v>0</v>
      </c>
      <c r="O469" s="2" t="s">
        <v>87</v>
      </c>
      <c r="P469" s="2" t="s">
        <v>39</v>
      </c>
      <c r="Q469" s="5">
        <v>44465</v>
      </c>
      <c r="R469" s="6"/>
    </row>
    <row r="470" spans="1:18" ht="25.5" x14ac:dyDescent="0.25">
      <c r="A470" s="2">
        <f t="shared" si="21"/>
        <v>469</v>
      </c>
      <c r="B470" s="2">
        <v>507</v>
      </c>
      <c r="C470" s="2" t="s">
        <v>36</v>
      </c>
      <c r="D470" s="5">
        <v>44464</v>
      </c>
      <c r="E470" s="10">
        <v>0.88055555555555554</v>
      </c>
      <c r="F470" s="1" t="s">
        <v>1304</v>
      </c>
      <c r="G470" s="5">
        <v>43158</v>
      </c>
      <c r="H470" s="2" t="str">
        <f t="shared" si="23"/>
        <v>3 г. 6 мес. 29 дн.</v>
      </c>
      <c r="I470" s="2" t="s">
        <v>25</v>
      </c>
      <c r="J470" s="2" t="s">
        <v>36</v>
      </c>
      <c r="K470" s="1" t="s">
        <v>1305</v>
      </c>
      <c r="L470" s="1" t="s">
        <v>1306</v>
      </c>
      <c r="M470" s="2" t="s">
        <v>66</v>
      </c>
      <c r="N470" s="1">
        <v>0</v>
      </c>
      <c r="O470" s="2" t="s">
        <v>82</v>
      </c>
      <c r="P470" s="2" t="s">
        <v>36</v>
      </c>
      <c r="Q470" s="5">
        <v>44465</v>
      </c>
      <c r="R470" s="6"/>
    </row>
    <row r="471" spans="1:18" ht="25.5" x14ac:dyDescent="0.25">
      <c r="A471" s="2">
        <f t="shared" si="21"/>
        <v>470</v>
      </c>
      <c r="B471" s="2">
        <v>783</v>
      </c>
      <c r="C471" s="2" t="s">
        <v>37</v>
      </c>
      <c r="D471" s="5">
        <v>44466</v>
      </c>
      <c r="E471" s="10">
        <v>0.54166666666666663</v>
      </c>
      <c r="F471" s="1" t="s">
        <v>1307</v>
      </c>
      <c r="G471" s="5">
        <v>44389</v>
      </c>
      <c r="H471" s="2" t="str">
        <f t="shared" si="23"/>
        <v>0 г. 2 мес. 15 дн.</v>
      </c>
      <c r="I471" s="2" t="s">
        <v>27</v>
      </c>
      <c r="J471" s="2" t="s">
        <v>37</v>
      </c>
      <c r="K471" s="1" t="s">
        <v>1308</v>
      </c>
      <c r="L471" s="1" t="s">
        <v>1309</v>
      </c>
      <c r="M471" s="2" t="s">
        <v>59</v>
      </c>
      <c r="N471" s="1">
        <v>0</v>
      </c>
      <c r="O471" s="2" t="s">
        <v>82</v>
      </c>
      <c r="P471" s="2" t="s">
        <v>37</v>
      </c>
      <c r="Q471" s="5">
        <v>44466</v>
      </c>
      <c r="R471" s="6"/>
    </row>
    <row r="472" spans="1:18" ht="38.25" x14ac:dyDescent="0.25">
      <c r="A472" s="2">
        <f t="shared" si="21"/>
        <v>471</v>
      </c>
      <c r="B472" s="2">
        <v>510</v>
      </c>
      <c r="C472" s="2" t="s">
        <v>35</v>
      </c>
      <c r="D472" s="5">
        <v>44466</v>
      </c>
      <c r="E472" s="10">
        <v>0.54166666666666663</v>
      </c>
      <c r="F472" s="1" t="s">
        <v>1313</v>
      </c>
      <c r="G472" s="5">
        <v>44421</v>
      </c>
      <c r="H472" s="2" t="str">
        <f t="shared" si="23"/>
        <v>0 г. 1 мес. 14 дн.</v>
      </c>
      <c r="I472" s="2" t="s">
        <v>27</v>
      </c>
      <c r="J472" s="2" t="s">
        <v>35</v>
      </c>
      <c r="K472" s="1" t="s">
        <v>1314</v>
      </c>
      <c r="L472" s="1" t="s">
        <v>493</v>
      </c>
      <c r="M472" s="2" t="s">
        <v>53</v>
      </c>
      <c r="N472" s="1">
        <v>0</v>
      </c>
      <c r="O472" s="2" t="s">
        <v>83</v>
      </c>
      <c r="P472" s="2" t="s">
        <v>35</v>
      </c>
      <c r="Q472" s="5">
        <v>44467</v>
      </c>
      <c r="R472" s="6"/>
    </row>
    <row r="473" spans="1:18" ht="38.25" x14ac:dyDescent="0.25">
      <c r="A473" s="2">
        <f>ROW(A472)</f>
        <v>472</v>
      </c>
      <c r="B473" s="2">
        <v>1798</v>
      </c>
      <c r="C473" s="2" t="s">
        <v>32</v>
      </c>
      <c r="D473" s="5">
        <v>44466</v>
      </c>
      <c r="E473" s="10">
        <v>0.625</v>
      </c>
      <c r="F473" s="1" t="s">
        <v>1242</v>
      </c>
      <c r="G473" s="5">
        <v>44153</v>
      </c>
      <c r="H473" s="1" t="str">
        <f>DATEDIF(G473,D473,"y") &amp; " г. " &amp; DATEDIF(G473,D473,"ym") &amp; " мес. " &amp; DATEDIF(G473,D473,"md") &amp; " дн."</f>
        <v>0 г. 10 мес. 9 дн.</v>
      </c>
      <c r="I473" s="2" t="s">
        <v>27</v>
      </c>
      <c r="J473" s="2" t="s">
        <v>32</v>
      </c>
      <c r="K473" s="1" t="s">
        <v>1315</v>
      </c>
      <c r="L473" s="1" t="s">
        <v>1316</v>
      </c>
      <c r="M473" s="2" t="s">
        <v>57</v>
      </c>
      <c r="N473" s="1">
        <v>0</v>
      </c>
      <c r="O473" s="2" t="s">
        <v>87</v>
      </c>
      <c r="P473" s="2" t="s">
        <v>36</v>
      </c>
      <c r="Q473" s="5">
        <v>44469</v>
      </c>
      <c r="R473" s="6"/>
    </row>
    <row r="474" spans="1:18" ht="38.25" x14ac:dyDescent="0.25">
      <c r="A474" s="2">
        <f t="shared" si="21"/>
        <v>473</v>
      </c>
      <c r="B474" s="2">
        <v>418</v>
      </c>
      <c r="C474" s="2" t="s">
        <v>38</v>
      </c>
      <c r="D474" s="5">
        <v>44466</v>
      </c>
      <c r="E474" s="10">
        <v>0.66666666666666663</v>
      </c>
      <c r="F474" s="1" t="s">
        <v>1317</v>
      </c>
      <c r="G474" s="5">
        <v>42766</v>
      </c>
      <c r="H474" s="2" t="str">
        <f>DATEDIF(G474,D474,"y") &amp; " г. " &amp; DATEDIF(G474,D474,"ym") &amp; " мес. " &amp; DATEDIF(G474,D474,"md") &amp; " дн."</f>
        <v>4 г. 7 мес. 27 дн.</v>
      </c>
      <c r="I474" s="2" t="s">
        <v>27</v>
      </c>
      <c r="J474" s="2" t="s">
        <v>38</v>
      </c>
      <c r="K474" s="1" t="s">
        <v>1318</v>
      </c>
      <c r="L474" s="1" t="s">
        <v>682</v>
      </c>
      <c r="M474" s="2" t="s">
        <v>57</v>
      </c>
      <c r="N474" s="1">
        <v>0</v>
      </c>
      <c r="O474" s="2" t="s">
        <v>82</v>
      </c>
      <c r="P474" s="2" t="s">
        <v>38</v>
      </c>
      <c r="Q474" s="5">
        <v>44467</v>
      </c>
      <c r="R474" s="6"/>
    </row>
    <row r="475" spans="1:18" ht="38.25" x14ac:dyDescent="0.25">
      <c r="A475" s="2">
        <f t="shared" si="21"/>
        <v>474</v>
      </c>
      <c r="B475" s="2">
        <v>419</v>
      </c>
      <c r="C475" s="2" t="s">
        <v>38</v>
      </c>
      <c r="D475" s="5">
        <v>44467</v>
      </c>
      <c r="E475" s="10">
        <v>0.69444444444444453</v>
      </c>
      <c r="F475" s="1" t="s">
        <v>1319</v>
      </c>
      <c r="G475" s="5">
        <v>44107</v>
      </c>
      <c r="H475" s="2" t="str">
        <f t="shared" si="23"/>
        <v>0 г. 11 мес. 25 дн.</v>
      </c>
      <c r="I475" s="2" t="s">
        <v>27</v>
      </c>
      <c r="J475" s="2" t="s">
        <v>38</v>
      </c>
      <c r="K475" s="1" t="s">
        <v>1320</v>
      </c>
      <c r="L475" s="1" t="s">
        <v>1321</v>
      </c>
      <c r="M475" s="2" t="s">
        <v>57</v>
      </c>
      <c r="N475" s="1">
        <v>0</v>
      </c>
      <c r="O475" s="2" t="s">
        <v>82</v>
      </c>
      <c r="P475" s="2" t="s">
        <v>38</v>
      </c>
      <c r="Q475" s="5">
        <v>44468</v>
      </c>
      <c r="R475" s="6"/>
    </row>
    <row r="476" spans="1:18" ht="38.25" x14ac:dyDescent="0.25">
      <c r="A476" s="2">
        <f t="shared" si="21"/>
        <v>475</v>
      </c>
      <c r="B476" s="2">
        <v>1924</v>
      </c>
      <c r="C476" s="2" t="s">
        <v>32</v>
      </c>
      <c r="D476" s="5">
        <v>44467</v>
      </c>
      <c r="E476" s="10">
        <v>0.50347222222222221</v>
      </c>
      <c r="F476" s="1" t="s">
        <v>1239</v>
      </c>
      <c r="G476" s="5">
        <v>44392</v>
      </c>
      <c r="H476" s="2" t="str">
        <f t="shared" si="23"/>
        <v>0 г. 2 мес. 13 дн.</v>
      </c>
      <c r="I476" s="2" t="s">
        <v>26</v>
      </c>
      <c r="J476" s="2" t="s">
        <v>32</v>
      </c>
      <c r="K476" s="1" t="s">
        <v>1241</v>
      </c>
      <c r="L476" s="1" t="s">
        <v>1322</v>
      </c>
      <c r="M476" s="2" t="s">
        <v>57</v>
      </c>
      <c r="N476" s="1">
        <v>0</v>
      </c>
      <c r="O476" s="2" t="s">
        <v>82</v>
      </c>
      <c r="P476" s="2" t="s">
        <v>32</v>
      </c>
      <c r="Q476" s="5">
        <v>44468</v>
      </c>
      <c r="R476" s="6"/>
    </row>
    <row r="477" spans="1:18" ht="38.25" x14ac:dyDescent="0.25">
      <c r="A477" s="19">
        <f t="shared" ref="A477:A540" si="24">ROW(A476)</f>
        <v>476</v>
      </c>
      <c r="B477" s="19">
        <v>976</v>
      </c>
      <c r="C477" s="19" t="s">
        <v>33</v>
      </c>
      <c r="D477" s="20">
        <v>44467</v>
      </c>
      <c r="E477" s="21">
        <v>0.88888888888888884</v>
      </c>
      <c r="F477" s="22" t="s">
        <v>1219</v>
      </c>
      <c r="G477" s="20">
        <v>40208</v>
      </c>
      <c r="H477" s="19" t="str">
        <f t="shared" si="23"/>
        <v>11 г. 7 мес. 29 дн.</v>
      </c>
      <c r="I477" s="19" t="s">
        <v>27</v>
      </c>
      <c r="J477" s="19" t="s">
        <v>33</v>
      </c>
      <c r="K477" s="22" t="s">
        <v>1220</v>
      </c>
      <c r="L477" s="22" t="s">
        <v>1323</v>
      </c>
      <c r="M477" s="19" t="s">
        <v>63</v>
      </c>
      <c r="N477" s="22">
        <v>0</v>
      </c>
      <c r="O477" s="19" t="s">
        <v>87</v>
      </c>
      <c r="P477" s="19" t="s">
        <v>40</v>
      </c>
      <c r="Q477" s="20">
        <v>44467</v>
      </c>
      <c r="R477" s="23">
        <v>0.92361111111111116</v>
      </c>
    </row>
    <row r="478" spans="1:18" ht="38.25" x14ac:dyDescent="0.25">
      <c r="A478" s="2">
        <f t="shared" si="24"/>
        <v>477</v>
      </c>
      <c r="B478" s="2">
        <v>422</v>
      </c>
      <c r="C478" s="2" t="s">
        <v>38</v>
      </c>
      <c r="D478" s="5">
        <v>44468</v>
      </c>
      <c r="E478" s="10">
        <v>0.4375</v>
      </c>
      <c r="F478" s="1" t="s">
        <v>1210</v>
      </c>
      <c r="G478" s="5">
        <v>37920</v>
      </c>
      <c r="H478" s="2" t="str">
        <f t="shared" si="23"/>
        <v>17 г. 11 мес. 3 дн.</v>
      </c>
      <c r="I478" s="2" t="s">
        <v>25</v>
      </c>
      <c r="J478" s="2" t="s">
        <v>38</v>
      </c>
      <c r="K478" s="1" t="s">
        <v>334</v>
      </c>
      <c r="L478" s="1" t="s">
        <v>1324</v>
      </c>
      <c r="M478" s="2" t="s">
        <v>57</v>
      </c>
      <c r="N478" s="1">
        <v>0</v>
      </c>
      <c r="O478" s="2" t="s">
        <v>82</v>
      </c>
      <c r="P478" s="2" t="s">
        <v>39</v>
      </c>
      <c r="Q478" s="5">
        <v>44470</v>
      </c>
      <c r="R478" s="6"/>
    </row>
    <row r="479" spans="1:18" ht="38.25" x14ac:dyDescent="0.25">
      <c r="A479" s="2">
        <f t="shared" si="24"/>
        <v>478</v>
      </c>
      <c r="B479" s="2">
        <v>407</v>
      </c>
      <c r="C479" s="2" t="s">
        <v>34</v>
      </c>
      <c r="D479" s="5">
        <v>44469</v>
      </c>
      <c r="E479" s="10">
        <v>0.375</v>
      </c>
      <c r="F479" s="1" t="s">
        <v>436</v>
      </c>
      <c r="G479" s="5">
        <v>43152</v>
      </c>
      <c r="H479" s="2" t="str">
        <f t="shared" si="23"/>
        <v>3 г. 7 мес. 9 дн.</v>
      </c>
      <c r="I479" s="2" t="s">
        <v>27</v>
      </c>
      <c r="J479" s="2" t="s">
        <v>34</v>
      </c>
      <c r="K479" s="1" t="s">
        <v>1011</v>
      </c>
      <c r="L479" s="1" t="s">
        <v>328</v>
      </c>
      <c r="M479" s="2" t="s">
        <v>61</v>
      </c>
      <c r="N479" s="1">
        <v>0</v>
      </c>
      <c r="O479" s="2" t="s">
        <v>82</v>
      </c>
      <c r="P479" s="2" t="s">
        <v>34</v>
      </c>
      <c r="Q479" s="5">
        <v>44470</v>
      </c>
      <c r="R479" s="6"/>
    </row>
    <row r="480" spans="1:18" ht="38.25" x14ac:dyDescent="0.25">
      <c r="A480" s="74">
        <f>ROW(A479)</f>
        <v>479</v>
      </c>
      <c r="B480" s="71">
        <v>421</v>
      </c>
      <c r="C480" s="74" t="s">
        <v>38</v>
      </c>
      <c r="D480" s="75">
        <v>44469</v>
      </c>
      <c r="E480" s="76">
        <v>0.66666666666666663</v>
      </c>
      <c r="F480" s="74" t="s">
        <v>1328</v>
      </c>
      <c r="G480" s="75">
        <v>43003</v>
      </c>
      <c r="H480" s="71" t="str">
        <f>DATEDIF(G480,D480,"y") &amp; " г. " &amp; DATEDIF(G480,D480,"ym") &amp; " мес. " &amp; DATEDIF(G480,D480,"md") &amp; " дн."</f>
        <v>4 г. 0 мес. 5 дн.</v>
      </c>
      <c r="I480" s="71" t="s">
        <v>27</v>
      </c>
      <c r="J480" s="74" t="s">
        <v>38</v>
      </c>
      <c r="K480" s="74" t="s">
        <v>1329</v>
      </c>
      <c r="L480" s="74" t="s">
        <v>1330</v>
      </c>
      <c r="M480" s="74" t="s">
        <v>57</v>
      </c>
      <c r="N480" s="71">
        <v>0</v>
      </c>
      <c r="O480" s="74" t="s">
        <v>82</v>
      </c>
      <c r="P480" s="74" t="s">
        <v>38</v>
      </c>
      <c r="Q480" s="75">
        <v>44470</v>
      </c>
      <c r="R480" s="74"/>
    </row>
    <row r="481" spans="1:18" ht="63.75" x14ac:dyDescent="0.25">
      <c r="A481" s="2">
        <v>480</v>
      </c>
      <c r="B481" s="2">
        <v>1052</v>
      </c>
      <c r="C481" s="2" t="s">
        <v>33</v>
      </c>
      <c r="D481" s="5">
        <v>44469</v>
      </c>
      <c r="E481" s="10">
        <v>0.76041666666666663</v>
      </c>
      <c r="F481" s="1" t="s">
        <v>1325</v>
      </c>
      <c r="G481" s="5">
        <v>40513</v>
      </c>
      <c r="H481" s="2" t="str">
        <f t="shared" si="23"/>
        <v>10 г. 9 мес. 29 дн.</v>
      </c>
      <c r="I481" s="2" t="s">
        <v>25</v>
      </c>
      <c r="J481" s="2" t="s">
        <v>33</v>
      </c>
      <c r="K481" s="1" t="s">
        <v>1331</v>
      </c>
      <c r="L481" s="1" t="s">
        <v>1332</v>
      </c>
      <c r="M481" s="2" t="s">
        <v>62</v>
      </c>
      <c r="N481" s="1">
        <v>0</v>
      </c>
      <c r="O481" s="2" t="s">
        <v>82</v>
      </c>
      <c r="P481" s="2" t="s">
        <v>33</v>
      </c>
      <c r="Q481" s="5">
        <v>44470</v>
      </c>
      <c r="R481" s="6"/>
    </row>
    <row r="482" spans="1:18" ht="25.5" x14ac:dyDescent="0.25">
      <c r="A482" s="2">
        <f t="shared" si="24"/>
        <v>481</v>
      </c>
      <c r="B482" s="2">
        <v>1952</v>
      </c>
      <c r="C482" s="2" t="s">
        <v>31</v>
      </c>
      <c r="D482" s="5">
        <v>44469</v>
      </c>
      <c r="E482" s="10">
        <v>0.85069444444444453</v>
      </c>
      <c r="F482" s="1" t="s">
        <v>1326</v>
      </c>
      <c r="G482" s="5">
        <v>43218</v>
      </c>
      <c r="H482" s="2" t="str">
        <f t="shared" si="23"/>
        <v>3 г. 5 мес. 2 дн.</v>
      </c>
      <c r="I482" s="2" t="s">
        <v>25</v>
      </c>
      <c r="J482" s="2" t="s">
        <v>31</v>
      </c>
      <c r="K482" s="1" t="s">
        <v>1333</v>
      </c>
      <c r="L482" s="1" t="s">
        <v>1327</v>
      </c>
      <c r="M482" s="2" t="s">
        <v>65</v>
      </c>
      <c r="N482" s="1">
        <v>0</v>
      </c>
      <c r="O482" s="2" t="s">
        <v>87</v>
      </c>
      <c r="P482" s="2" t="s">
        <v>31</v>
      </c>
      <c r="Q482" s="5">
        <v>44483</v>
      </c>
      <c r="R482" s="6"/>
    </row>
    <row r="483" spans="1:18" ht="38.25" x14ac:dyDescent="0.25">
      <c r="A483" s="2">
        <f t="shared" si="24"/>
        <v>482</v>
      </c>
      <c r="B483" s="2">
        <v>1025</v>
      </c>
      <c r="C483" s="2" t="s">
        <v>33</v>
      </c>
      <c r="D483" s="5">
        <v>44470</v>
      </c>
      <c r="E483" s="10">
        <v>0.58680555555555558</v>
      </c>
      <c r="F483" s="1" t="s">
        <v>1334</v>
      </c>
      <c r="G483" s="5">
        <v>38649</v>
      </c>
      <c r="H483" s="2" t="str">
        <f t="shared" si="23"/>
        <v>15 г. 11 мес. 7 дн.</v>
      </c>
      <c r="I483" s="2" t="s">
        <v>26</v>
      </c>
      <c r="J483" s="2" t="s">
        <v>33</v>
      </c>
      <c r="K483" s="1" t="s">
        <v>1335</v>
      </c>
      <c r="L483" s="1" t="s">
        <v>1336</v>
      </c>
      <c r="M483" s="2" t="s">
        <v>62</v>
      </c>
      <c r="N483" s="1">
        <v>0</v>
      </c>
      <c r="O483" s="2" t="s">
        <v>82</v>
      </c>
      <c r="P483" s="2" t="s">
        <v>33</v>
      </c>
      <c r="Q483" s="5">
        <v>44471</v>
      </c>
      <c r="R483" s="6"/>
    </row>
    <row r="484" spans="1:18" ht="25.5" x14ac:dyDescent="0.25">
      <c r="A484" s="2">
        <f t="shared" si="24"/>
        <v>483</v>
      </c>
      <c r="B484" s="2">
        <v>1953</v>
      </c>
      <c r="C484" s="2" t="s">
        <v>31</v>
      </c>
      <c r="D484" s="5">
        <v>44470</v>
      </c>
      <c r="E484" s="10">
        <v>0.74652777777777779</v>
      </c>
      <c r="F484" s="1" t="s">
        <v>1337</v>
      </c>
      <c r="G484" s="5">
        <v>43937</v>
      </c>
      <c r="H484" s="2" t="str">
        <f t="shared" si="23"/>
        <v>1 г. 5 мес. 15 дн.</v>
      </c>
      <c r="I484" s="2" t="s">
        <v>25</v>
      </c>
      <c r="J484" s="2" t="s">
        <v>31</v>
      </c>
      <c r="K484" s="1" t="s">
        <v>1338</v>
      </c>
      <c r="L484" s="1" t="s">
        <v>389</v>
      </c>
      <c r="M484" s="2" t="s">
        <v>65</v>
      </c>
      <c r="N484" s="1" t="s">
        <v>1440</v>
      </c>
      <c r="O484" s="2" t="s">
        <v>87</v>
      </c>
      <c r="P484" s="2" t="s">
        <v>31</v>
      </c>
      <c r="Q484" s="5">
        <v>44477</v>
      </c>
      <c r="R484" s="6"/>
    </row>
    <row r="485" spans="1:18" ht="25.5" x14ac:dyDescent="0.25">
      <c r="A485" s="2">
        <f t="shared" si="24"/>
        <v>484</v>
      </c>
      <c r="B485" s="2">
        <v>1959</v>
      </c>
      <c r="C485" s="1" t="s">
        <v>31</v>
      </c>
      <c r="D485" s="5">
        <v>44471</v>
      </c>
      <c r="E485" s="10">
        <v>0.79166666666666663</v>
      </c>
      <c r="F485" s="1" t="s">
        <v>1339</v>
      </c>
      <c r="G485" s="5">
        <v>38363</v>
      </c>
      <c r="H485" s="2" t="str">
        <f t="shared" si="23"/>
        <v>16 г. 8 мес. 21 дн.</v>
      </c>
      <c r="I485" s="1" t="s">
        <v>25</v>
      </c>
      <c r="J485" s="2" t="s">
        <v>31</v>
      </c>
      <c r="K485" s="1" t="s">
        <v>1340</v>
      </c>
      <c r="L485" s="1" t="s">
        <v>1341</v>
      </c>
      <c r="M485" s="2" t="s">
        <v>65</v>
      </c>
      <c r="N485" s="1">
        <v>0</v>
      </c>
      <c r="O485" s="2" t="s">
        <v>82</v>
      </c>
      <c r="P485" s="2" t="s">
        <v>31</v>
      </c>
      <c r="Q485" s="5">
        <v>44472</v>
      </c>
      <c r="R485" s="6"/>
    </row>
    <row r="486" spans="1:18" ht="63.75" x14ac:dyDescent="0.25">
      <c r="A486" s="2">
        <f t="shared" si="24"/>
        <v>485</v>
      </c>
      <c r="B486" s="2">
        <v>531</v>
      </c>
      <c r="C486" s="2" t="s">
        <v>36</v>
      </c>
      <c r="D486" s="5">
        <v>44471</v>
      </c>
      <c r="E486" s="10">
        <v>0.90277777777777779</v>
      </c>
      <c r="F486" s="1" t="s">
        <v>1342</v>
      </c>
      <c r="G486" s="5">
        <v>41579</v>
      </c>
      <c r="H486" s="2" t="str">
        <f t="shared" si="23"/>
        <v>7 г. 11 мес. 1 дн.</v>
      </c>
      <c r="I486" s="1" t="s">
        <v>25</v>
      </c>
      <c r="J486" s="2" t="s">
        <v>31</v>
      </c>
      <c r="K486" s="1" t="s">
        <v>1351</v>
      </c>
      <c r="L486" s="1" t="s">
        <v>1172</v>
      </c>
      <c r="M486" s="2" t="s">
        <v>54</v>
      </c>
      <c r="N486" s="1">
        <v>0</v>
      </c>
      <c r="O486" s="2" t="s">
        <v>82</v>
      </c>
      <c r="P486" s="2" t="s">
        <v>36</v>
      </c>
      <c r="Q486" s="5">
        <v>44472</v>
      </c>
      <c r="R486" s="6"/>
    </row>
    <row r="487" spans="1:18" ht="25.5" x14ac:dyDescent="0.25">
      <c r="A487" s="2">
        <f t="shared" si="24"/>
        <v>486</v>
      </c>
      <c r="B487" s="2">
        <v>534</v>
      </c>
      <c r="C487" s="2" t="s">
        <v>36</v>
      </c>
      <c r="D487" s="5">
        <v>44472</v>
      </c>
      <c r="E487" s="10">
        <v>0.55555555555555558</v>
      </c>
      <c r="F487" s="1" t="s">
        <v>1344</v>
      </c>
      <c r="G487" s="5">
        <v>44444</v>
      </c>
      <c r="H487" s="2" t="str">
        <f t="shared" si="23"/>
        <v>0 г. 0 мес. 28 дн.</v>
      </c>
      <c r="I487" s="2" t="s">
        <v>28</v>
      </c>
      <c r="J487" s="2" t="s">
        <v>36</v>
      </c>
      <c r="K487" s="1" t="s">
        <v>1347</v>
      </c>
      <c r="L487" s="1" t="s">
        <v>1345</v>
      </c>
      <c r="M487" s="2" t="s">
        <v>60</v>
      </c>
      <c r="N487" s="1">
        <v>0</v>
      </c>
      <c r="O487" s="2" t="s">
        <v>82</v>
      </c>
      <c r="P487" s="2" t="s">
        <v>39</v>
      </c>
      <c r="Q487" s="5">
        <v>44473</v>
      </c>
      <c r="R487" s="6"/>
    </row>
    <row r="488" spans="1:18" ht="25.5" x14ac:dyDescent="0.25">
      <c r="A488" s="2">
        <f t="shared" si="24"/>
        <v>487</v>
      </c>
      <c r="B488" s="2">
        <v>535</v>
      </c>
      <c r="C488" s="2" t="s">
        <v>36</v>
      </c>
      <c r="D488" s="5">
        <v>44472</v>
      </c>
      <c r="E488" s="10">
        <v>0.57638888888888895</v>
      </c>
      <c r="F488" s="1" t="s">
        <v>1343</v>
      </c>
      <c r="G488" s="5">
        <v>44424</v>
      </c>
      <c r="H488" s="2" t="str">
        <f t="shared" si="23"/>
        <v>0 г. 1 мес. 17 дн.</v>
      </c>
      <c r="I488" s="2" t="s">
        <v>28</v>
      </c>
      <c r="J488" s="2" t="s">
        <v>36</v>
      </c>
      <c r="K488" s="1" t="s">
        <v>1348</v>
      </c>
      <c r="L488" s="1" t="s">
        <v>1346</v>
      </c>
      <c r="M488" s="2" t="s">
        <v>59</v>
      </c>
      <c r="N488" s="1">
        <v>0</v>
      </c>
      <c r="O488" s="2" t="s">
        <v>82</v>
      </c>
      <c r="P488" s="2" t="s">
        <v>36</v>
      </c>
      <c r="Q488" s="5">
        <v>44473</v>
      </c>
      <c r="R488" s="6"/>
    </row>
    <row r="489" spans="1:18" ht="25.5" x14ac:dyDescent="0.25">
      <c r="A489" s="2">
        <f t="shared" si="24"/>
        <v>488</v>
      </c>
      <c r="B489" s="2"/>
      <c r="C489" s="2" t="s">
        <v>37</v>
      </c>
      <c r="D489" s="5">
        <v>44472</v>
      </c>
      <c r="E489" s="10">
        <v>0.94444444444444453</v>
      </c>
      <c r="F489" s="1" t="s">
        <v>1349</v>
      </c>
      <c r="G489" s="5">
        <v>43742</v>
      </c>
      <c r="H489" s="2" t="str">
        <f t="shared" si="23"/>
        <v>1 г. 11 мес. 29 дн.</v>
      </c>
      <c r="I489" s="2" t="s">
        <v>28</v>
      </c>
      <c r="J489" s="2" t="s">
        <v>37</v>
      </c>
      <c r="K489" s="2"/>
      <c r="L489" s="1" t="s">
        <v>1350</v>
      </c>
      <c r="M489" s="2" t="s">
        <v>59</v>
      </c>
      <c r="N489" s="1">
        <v>0</v>
      </c>
      <c r="O489" s="2" t="s">
        <v>82</v>
      </c>
      <c r="P489" s="2" t="s">
        <v>37</v>
      </c>
      <c r="Q489" s="5">
        <v>44474</v>
      </c>
      <c r="R489" s="6"/>
    </row>
    <row r="490" spans="1:18" ht="25.5" x14ac:dyDescent="0.25">
      <c r="A490" s="2">
        <f t="shared" si="24"/>
        <v>489</v>
      </c>
      <c r="B490" s="2">
        <v>797</v>
      </c>
      <c r="C490" s="2" t="s">
        <v>36</v>
      </c>
      <c r="D490" s="5">
        <v>44475</v>
      </c>
      <c r="E490" s="10">
        <v>4.1666666666666664E-2</v>
      </c>
      <c r="F490" s="1" t="s">
        <v>1148</v>
      </c>
      <c r="G490" s="5">
        <v>44419</v>
      </c>
      <c r="H490" s="2" t="str">
        <f t="shared" si="23"/>
        <v>0 г. 1 мес. 25 дн.</v>
      </c>
      <c r="I490" s="2" t="s">
        <v>27</v>
      </c>
      <c r="J490" s="2" t="s">
        <v>37</v>
      </c>
      <c r="K490" s="1" t="s">
        <v>1147</v>
      </c>
      <c r="L490" s="1" t="s">
        <v>1352</v>
      </c>
      <c r="M490" s="2" t="s">
        <v>59</v>
      </c>
      <c r="N490" s="1">
        <v>0</v>
      </c>
      <c r="O490" s="2" t="s">
        <v>87</v>
      </c>
      <c r="P490" s="2" t="s">
        <v>37</v>
      </c>
      <c r="Q490" s="5">
        <v>44477</v>
      </c>
      <c r="R490" s="6"/>
    </row>
    <row r="491" spans="1:18" ht="51" x14ac:dyDescent="0.25">
      <c r="A491" s="2">
        <f t="shared" si="24"/>
        <v>490</v>
      </c>
      <c r="B491" s="2">
        <v>1973</v>
      </c>
      <c r="C491" s="2" t="s">
        <v>32</v>
      </c>
      <c r="D491" s="5">
        <v>44474</v>
      </c>
      <c r="E491" s="10">
        <v>0.75</v>
      </c>
      <c r="F491" s="1" t="s">
        <v>1353</v>
      </c>
      <c r="G491" s="5">
        <v>41374</v>
      </c>
      <c r="H491" s="2" t="str">
        <f t="shared" si="23"/>
        <v>8 г. 5 мес. 25 дн.</v>
      </c>
      <c r="I491" s="2" t="s">
        <v>26</v>
      </c>
      <c r="J491" s="2" t="s">
        <v>32</v>
      </c>
      <c r="K491" s="1" t="s">
        <v>1354</v>
      </c>
      <c r="L491" s="1" t="s">
        <v>1355</v>
      </c>
      <c r="M491" s="2" t="s">
        <v>67</v>
      </c>
      <c r="N491" s="1">
        <v>0</v>
      </c>
      <c r="O491" s="2" t="s">
        <v>82</v>
      </c>
      <c r="P491" s="2" t="s">
        <v>32</v>
      </c>
      <c r="Q491" s="5">
        <v>44475</v>
      </c>
      <c r="R491" s="6"/>
    </row>
    <row r="492" spans="1:18" ht="38.25" x14ac:dyDescent="0.25">
      <c r="A492" s="2">
        <f t="shared" si="24"/>
        <v>491</v>
      </c>
      <c r="B492" s="2">
        <v>532</v>
      </c>
      <c r="C492" s="2" t="s">
        <v>36</v>
      </c>
      <c r="D492" s="5">
        <v>44475</v>
      </c>
      <c r="E492" s="10">
        <v>0.69444444444444453</v>
      </c>
      <c r="F492" s="1" t="s">
        <v>807</v>
      </c>
      <c r="G492" s="5">
        <v>38730</v>
      </c>
      <c r="H492" s="2" t="str">
        <f t="shared" si="23"/>
        <v>15 г. 8 мес. 23 дн.</v>
      </c>
      <c r="I492" s="2" t="s">
        <v>30</v>
      </c>
      <c r="J492" s="2" t="s">
        <v>36</v>
      </c>
      <c r="K492" s="1" t="s">
        <v>1356</v>
      </c>
      <c r="L492" s="1" t="s">
        <v>1192</v>
      </c>
      <c r="M492" s="2" t="s">
        <v>57</v>
      </c>
      <c r="N492" s="1">
        <v>0</v>
      </c>
      <c r="O492" s="2" t="s">
        <v>87</v>
      </c>
      <c r="P492" s="2" t="s">
        <v>36</v>
      </c>
      <c r="Q492" s="5">
        <v>44488</v>
      </c>
      <c r="R492" s="6"/>
    </row>
    <row r="493" spans="1:18" ht="63.75" x14ac:dyDescent="0.25">
      <c r="A493" s="2">
        <f t="shared" si="24"/>
        <v>492</v>
      </c>
      <c r="B493" s="2">
        <v>1080</v>
      </c>
      <c r="C493" s="2" t="s">
        <v>33</v>
      </c>
      <c r="D493" s="5">
        <v>44475</v>
      </c>
      <c r="E493" s="10">
        <v>0.83680555555555547</v>
      </c>
      <c r="F493" s="1" t="s">
        <v>1357</v>
      </c>
      <c r="G493" s="5">
        <v>39534</v>
      </c>
      <c r="H493" s="2" t="str">
        <f t="shared" si="23"/>
        <v>13 г. 6 мес. 9 дн.</v>
      </c>
      <c r="I493" s="2" t="s">
        <v>25</v>
      </c>
      <c r="J493" s="2" t="s">
        <v>33</v>
      </c>
      <c r="K493" s="1" t="s">
        <v>1358</v>
      </c>
      <c r="L493" s="1" t="s">
        <v>1359</v>
      </c>
      <c r="M493" s="2" t="s">
        <v>63</v>
      </c>
      <c r="N493" s="1">
        <v>0</v>
      </c>
      <c r="O493" s="2" t="s">
        <v>82</v>
      </c>
      <c r="P493" s="2" t="s">
        <v>32</v>
      </c>
      <c r="Q493" s="5">
        <v>44476</v>
      </c>
      <c r="R493" s="6"/>
    </row>
    <row r="494" spans="1:18" ht="76.5" x14ac:dyDescent="0.25">
      <c r="A494" s="2">
        <f t="shared" si="24"/>
        <v>493</v>
      </c>
      <c r="B494" s="2">
        <v>1088</v>
      </c>
      <c r="C494" s="2" t="s">
        <v>33</v>
      </c>
      <c r="D494" s="5">
        <v>44476</v>
      </c>
      <c r="E494" s="10">
        <v>0.85416666666666663</v>
      </c>
      <c r="F494" s="1" t="s">
        <v>1360</v>
      </c>
      <c r="G494" s="5">
        <v>38686</v>
      </c>
      <c r="H494" s="2" t="str">
        <f t="shared" si="23"/>
        <v>15 г. 10 мес. 7 дн.</v>
      </c>
      <c r="I494" s="2" t="s">
        <v>25</v>
      </c>
      <c r="J494" s="2" t="s">
        <v>33</v>
      </c>
      <c r="K494" s="1" t="s">
        <v>1361</v>
      </c>
      <c r="L494" s="1" t="s">
        <v>1362</v>
      </c>
      <c r="M494" s="2" t="s">
        <v>63</v>
      </c>
      <c r="N494" s="1">
        <v>0</v>
      </c>
      <c r="O494" s="2" t="s">
        <v>82</v>
      </c>
      <c r="P494" s="2" t="s">
        <v>33</v>
      </c>
      <c r="Q494" s="5">
        <v>44477</v>
      </c>
      <c r="R494" s="6"/>
    </row>
    <row r="495" spans="1:18" ht="38.25" x14ac:dyDescent="0.25">
      <c r="A495" s="2">
        <f t="shared" si="24"/>
        <v>494</v>
      </c>
      <c r="B495" s="2">
        <v>1987</v>
      </c>
      <c r="C495" s="2" t="s">
        <v>31</v>
      </c>
      <c r="D495" s="5">
        <v>44476</v>
      </c>
      <c r="E495" s="10">
        <v>0.77777777777777779</v>
      </c>
      <c r="F495" s="1" t="s">
        <v>1363</v>
      </c>
      <c r="G495" s="5">
        <v>41421</v>
      </c>
      <c r="H495" s="2" t="str">
        <f t="shared" si="23"/>
        <v>8 г. 4 мес. 10 дн.</v>
      </c>
      <c r="I495" s="2" t="s">
        <v>25</v>
      </c>
      <c r="J495" s="2" t="s">
        <v>31</v>
      </c>
      <c r="K495" s="1" t="s">
        <v>1364</v>
      </c>
      <c r="L495" s="1" t="s">
        <v>1365</v>
      </c>
      <c r="M495" s="2" t="s">
        <v>60</v>
      </c>
      <c r="N495" s="1">
        <v>0</v>
      </c>
      <c r="O495" s="2" t="s">
        <v>82</v>
      </c>
      <c r="P495" s="2" t="s">
        <v>31</v>
      </c>
      <c r="Q495" s="5">
        <v>44478</v>
      </c>
      <c r="R495" s="6"/>
    </row>
    <row r="496" spans="1:18" ht="25.5" x14ac:dyDescent="0.25">
      <c r="A496" s="2">
        <f t="shared" si="24"/>
        <v>495</v>
      </c>
      <c r="B496" s="2">
        <v>1986</v>
      </c>
      <c r="C496" s="2" t="s">
        <v>31</v>
      </c>
      <c r="D496" s="5">
        <v>44477</v>
      </c>
      <c r="E496" s="10">
        <v>0.47916666666666669</v>
      </c>
      <c r="F496" s="1" t="s">
        <v>1366</v>
      </c>
      <c r="G496" s="5">
        <v>38225</v>
      </c>
      <c r="H496" s="2" t="str">
        <f t="shared" si="23"/>
        <v>17 г. 1 мес. 12 дн.</v>
      </c>
      <c r="I496" s="2" t="s">
        <v>26</v>
      </c>
      <c r="J496" s="2" t="s">
        <v>31</v>
      </c>
      <c r="K496" s="1" t="s">
        <v>1367</v>
      </c>
      <c r="L496" s="1" t="s">
        <v>1368</v>
      </c>
      <c r="M496" s="2" t="s">
        <v>60</v>
      </c>
      <c r="N496" s="1">
        <v>0</v>
      </c>
      <c r="O496" s="2" t="s">
        <v>82</v>
      </c>
      <c r="P496" s="2" t="s">
        <v>31</v>
      </c>
      <c r="Q496" s="5">
        <v>44479</v>
      </c>
      <c r="R496" s="6"/>
    </row>
    <row r="497" spans="1:18" ht="25.5" x14ac:dyDescent="0.25">
      <c r="A497" s="2">
        <f t="shared" si="24"/>
        <v>496</v>
      </c>
      <c r="B497" s="2">
        <v>824</v>
      </c>
      <c r="C497" s="2" t="s">
        <v>36</v>
      </c>
      <c r="D497" s="5">
        <v>44476</v>
      </c>
      <c r="E497" s="10">
        <v>0.59722222222222221</v>
      </c>
      <c r="F497" s="1" t="s">
        <v>1369</v>
      </c>
      <c r="G497" s="5">
        <v>40744</v>
      </c>
      <c r="H497" s="2" t="str">
        <f t="shared" si="23"/>
        <v>10 г. 2 мес. 17 дн.</v>
      </c>
      <c r="I497" s="2" t="s">
        <v>25</v>
      </c>
      <c r="J497" s="2" t="s">
        <v>37</v>
      </c>
      <c r="K497" s="1" t="s">
        <v>1370</v>
      </c>
      <c r="L497" s="1" t="s">
        <v>1371</v>
      </c>
      <c r="M497" s="2" t="s">
        <v>59</v>
      </c>
      <c r="N497" s="1" t="s">
        <v>105</v>
      </c>
      <c r="O497" s="2" t="s">
        <v>87</v>
      </c>
      <c r="P497" s="2" t="s">
        <v>37</v>
      </c>
      <c r="Q497" s="5">
        <v>44494</v>
      </c>
      <c r="R497" s="6"/>
    </row>
    <row r="498" spans="1:18" ht="38.25" x14ac:dyDescent="0.25">
      <c r="A498" s="2">
        <f t="shared" si="24"/>
        <v>497</v>
      </c>
      <c r="B498" s="2">
        <v>1092</v>
      </c>
      <c r="C498" s="2" t="s">
        <v>33</v>
      </c>
      <c r="D498" s="5">
        <v>44478</v>
      </c>
      <c r="E498" s="10">
        <v>0.75</v>
      </c>
      <c r="F498" s="1" t="s">
        <v>1376</v>
      </c>
      <c r="G498" s="5">
        <v>42363</v>
      </c>
      <c r="H498" s="2" t="str">
        <f t="shared" si="23"/>
        <v>5 г. 9 мес. 14 дн.</v>
      </c>
      <c r="I498" s="2" t="s">
        <v>25</v>
      </c>
      <c r="J498" s="2" t="s">
        <v>33</v>
      </c>
      <c r="K498" s="1" t="s">
        <v>1372</v>
      </c>
      <c r="L498" s="1" t="s">
        <v>104</v>
      </c>
      <c r="M498" s="2" t="s">
        <v>63</v>
      </c>
      <c r="N498" s="1">
        <v>0</v>
      </c>
      <c r="O498" s="2" t="s">
        <v>82</v>
      </c>
      <c r="P498" s="2" t="s">
        <v>33</v>
      </c>
      <c r="Q498" s="5">
        <v>44479</v>
      </c>
      <c r="R498" s="6"/>
    </row>
    <row r="499" spans="1:18" ht="38.25" x14ac:dyDescent="0.25">
      <c r="A499" s="2">
        <f t="shared" si="24"/>
        <v>498</v>
      </c>
      <c r="B499" s="2">
        <v>1996</v>
      </c>
      <c r="C499" s="2" t="s">
        <v>31</v>
      </c>
      <c r="D499" s="5">
        <v>44478</v>
      </c>
      <c r="E499" s="10">
        <v>0.88194444444444453</v>
      </c>
      <c r="F499" s="1" t="s">
        <v>1373</v>
      </c>
      <c r="G499" s="5">
        <v>41913</v>
      </c>
      <c r="H499" s="2" t="str">
        <f t="shared" si="23"/>
        <v>7 г. 0 мес. 8 дн.</v>
      </c>
      <c r="I499" s="2" t="s">
        <v>26</v>
      </c>
      <c r="J499" s="2" t="s">
        <v>31</v>
      </c>
      <c r="K499" s="1" t="s">
        <v>1374</v>
      </c>
      <c r="L499" s="1" t="s">
        <v>1375</v>
      </c>
      <c r="M499" s="2" t="s">
        <v>57</v>
      </c>
      <c r="N499" s="1">
        <v>0</v>
      </c>
      <c r="O499" s="2" t="s">
        <v>82</v>
      </c>
      <c r="P499" s="2" t="s">
        <v>31</v>
      </c>
      <c r="Q499" s="5">
        <v>44479</v>
      </c>
      <c r="R499" s="6"/>
    </row>
    <row r="500" spans="1:18" ht="25.5" x14ac:dyDescent="0.25">
      <c r="A500" s="2">
        <f t="shared" si="24"/>
        <v>499</v>
      </c>
      <c r="B500" s="2">
        <v>1953</v>
      </c>
      <c r="C500" s="2" t="s">
        <v>31</v>
      </c>
      <c r="D500" s="5">
        <v>44479</v>
      </c>
      <c r="E500" s="10">
        <v>0.74652777777777779</v>
      </c>
      <c r="F500" s="1" t="s">
        <v>1337</v>
      </c>
      <c r="G500" s="5">
        <v>43937</v>
      </c>
      <c r="H500" s="2" t="str">
        <f t="shared" ref="H500" si="25">DATEDIF(G500,D500,"y") &amp; " г. " &amp; DATEDIF(G500,D500,"ym") &amp; " мес. " &amp; DATEDIF(G500,D500,"md") &amp; " дн."</f>
        <v>1 г. 5 мес. 24 дн.</v>
      </c>
      <c r="I500" s="2" t="s">
        <v>30</v>
      </c>
      <c r="J500" s="2" t="s">
        <v>31</v>
      </c>
      <c r="K500" s="1" t="s">
        <v>1338</v>
      </c>
      <c r="L500" s="1" t="s">
        <v>389</v>
      </c>
      <c r="M500" s="2" t="s">
        <v>65</v>
      </c>
      <c r="N500" s="1" t="s">
        <v>710</v>
      </c>
      <c r="O500" s="2" t="s">
        <v>87</v>
      </c>
      <c r="P500" s="2" t="s">
        <v>31</v>
      </c>
      <c r="Q500" s="5">
        <v>44485</v>
      </c>
      <c r="R500" s="6"/>
    </row>
    <row r="501" spans="1:18" ht="38.25" x14ac:dyDescent="0.25">
      <c r="A501" s="2">
        <f t="shared" si="24"/>
        <v>500</v>
      </c>
      <c r="B501" s="2">
        <v>704</v>
      </c>
      <c r="C501" s="2" t="s">
        <v>38</v>
      </c>
      <c r="D501" s="5">
        <v>44480</v>
      </c>
      <c r="E501" s="10">
        <v>0.58333333333333337</v>
      </c>
      <c r="F501" s="1" t="s">
        <v>1377</v>
      </c>
      <c r="G501" s="5">
        <v>43848</v>
      </c>
      <c r="H501" s="2" t="str">
        <f t="shared" si="23"/>
        <v>1 г. 8 мес. 23 дн.</v>
      </c>
      <c r="I501" s="2" t="s">
        <v>27</v>
      </c>
      <c r="J501" s="2" t="s">
        <v>38</v>
      </c>
      <c r="K501" s="1" t="s">
        <v>1378</v>
      </c>
      <c r="L501" s="1" t="s">
        <v>1379</v>
      </c>
      <c r="M501" s="2" t="s">
        <v>57</v>
      </c>
      <c r="N501" s="1">
        <v>0</v>
      </c>
      <c r="O501" s="2" t="s">
        <v>82</v>
      </c>
      <c r="P501" s="2" t="s">
        <v>38</v>
      </c>
      <c r="Q501" s="5">
        <v>44481</v>
      </c>
      <c r="R501" s="6"/>
    </row>
    <row r="502" spans="1:18" ht="38.25" x14ac:dyDescent="0.25">
      <c r="A502" s="2">
        <v>501</v>
      </c>
      <c r="B502" s="2">
        <v>1987</v>
      </c>
      <c r="C502" s="2" t="s">
        <v>31</v>
      </c>
      <c r="D502" s="5">
        <v>44481</v>
      </c>
      <c r="E502" s="10">
        <v>0.49652777777777773</v>
      </c>
      <c r="F502" s="1" t="s">
        <v>1363</v>
      </c>
      <c r="G502" s="5">
        <v>41421</v>
      </c>
      <c r="H502" s="2" t="str">
        <f t="shared" si="23"/>
        <v>8 г. 4 мес. 15 дн.</v>
      </c>
      <c r="I502" s="2" t="s">
        <v>27</v>
      </c>
      <c r="J502" s="2" t="s">
        <v>31</v>
      </c>
      <c r="K502" s="1" t="s">
        <v>1364</v>
      </c>
      <c r="L502" s="1" t="s">
        <v>1380</v>
      </c>
      <c r="M502" s="2" t="s">
        <v>60</v>
      </c>
      <c r="N502" s="1">
        <v>0</v>
      </c>
      <c r="O502" s="2" t="s">
        <v>82</v>
      </c>
      <c r="P502" s="2" t="s">
        <v>31</v>
      </c>
      <c r="Q502" s="5">
        <v>44484</v>
      </c>
      <c r="R502" s="6"/>
    </row>
    <row r="503" spans="1:18" ht="38.25" x14ac:dyDescent="0.25">
      <c r="A503" s="19">
        <f t="shared" si="24"/>
        <v>502</v>
      </c>
      <c r="B503" s="19">
        <v>1099</v>
      </c>
      <c r="C503" s="19" t="s">
        <v>33</v>
      </c>
      <c r="D503" s="20">
        <v>44480</v>
      </c>
      <c r="E503" s="21">
        <v>0.81597222222222221</v>
      </c>
      <c r="F503" s="22" t="s">
        <v>1381</v>
      </c>
      <c r="G503" s="20">
        <v>40644</v>
      </c>
      <c r="H503" s="19" t="str">
        <f t="shared" si="23"/>
        <v>10 г. 6 мес. 0 дн.</v>
      </c>
      <c r="I503" s="19" t="s">
        <v>25</v>
      </c>
      <c r="J503" s="19" t="s">
        <v>33</v>
      </c>
      <c r="K503" s="22" t="s">
        <v>1382</v>
      </c>
      <c r="L503" s="22" t="s">
        <v>1383</v>
      </c>
      <c r="M503" s="19" t="s">
        <v>63</v>
      </c>
      <c r="N503" s="22" t="s">
        <v>1384</v>
      </c>
      <c r="O503" s="19" t="s">
        <v>87</v>
      </c>
      <c r="P503" s="19" t="s">
        <v>40</v>
      </c>
      <c r="Q503" s="20">
        <v>44480</v>
      </c>
      <c r="R503" s="23">
        <v>0.86458333333333337</v>
      </c>
    </row>
    <row r="504" spans="1:18" ht="38.25" x14ac:dyDescent="0.25">
      <c r="A504" s="2">
        <f t="shared" si="24"/>
        <v>503</v>
      </c>
      <c r="B504" s="2">
        <v>1109</v>
      </c>
      <c r="C504" s="2" t="s">
        <v>33</v>
      </c>
      <c r="D504" s="5">
        <v>44481</v>
      </c>
      <c r="E504" s="10">
        <v>0.92013888888888884</v>
      </c>
      <c r="F504" s="1" t="s">
        <v>1385</v>
      </c>
      <c r="G504" s="5">
        <v>38100</v>
      </c>
      <c r="H504" s="2" t="str">
        <f t="shared" si="23"/>
        <v>17 г. 5 мес. 19 дн.</v>
      </c>
      <c r="I504" s="2" t="s">
        <v>25</v>
      </c>
      <c r="J504" s="2" t="s">
        <v>33</v>
      </c>
      <c r="K504" s="1" t="s">
        <v>1386</v>
      </c>
      <c r="L504" s="1" t="s">
        <v>104</v>
      </c>
      <c r="M504" s="2" t="s">
        <v>63</v>
      </c>
      <c r="N504" s="1">
        <v>0</v>
      </c>
      <c r="O504" s="2" t="s">
        <v>82</v>
      </c>
      <c r="P504" s="2" t="s">
        <v>33</v>
      </c>
      <c r="Q504" s="5">
        <v>44484</v>
      </c>
      <c r="R504" s="6"/>
    </row>
    <row r="505" spans="1:18" ht="38.25" x14ac:dyDescent="0.25">
      <c r="A505" s="2">
        <f t="shared" si="24"/>
        <v>504</v>
      </c>
      <c r="B505" s="2">
        <v>435</v>
      </c>
      <c r="C505" s="2" t="s">
        <v>38</v>
      </c>
      <c r="D505" s="5">
        <v>44482</v>
      </c>
      <c r="E505" s="10">
        <v>0.58333333333333337</v>
      </c>
      <c r="F505" s="1" t="s">
        <v>1387</v>
      </c>
      <c r="G505" s="5">
        <v>43312</v>
      </c>
      <c r="H505" s="2" t="str">
        <f t="shared" si="23"/>
        <v>3 г. 2 мес. 12 дн.</v>
      </c>
      <c r="I505" s="2" t="s">
        <v>27</v>
      </c>
      <c r="J505" s="2" t="s">
        <v>38</v>
      </c>
      <c r="K505" s="1" t="s">
        <v>1388</v>
      </c>
      <c r="L505" s="1" t="s">
        <v>1389</v>
      </c>
      <c r="M505" s="2" t="s">
        <v>57</v>
      </c>
      <c r="N505" s="1">
        <v>0</v>
      </c>
      <c r="O505" s="2" t="s">
        <v>82</v>
      </c>
      <c r="P505" s="2" t="s">
        <v>38</v>
      </c>
      <c r="Q505" s="5">
        <v>44483</v>
      </c>
      <c r="R505" s="6"/>
    </row>
    <row r="506" spans="1:18" ht="63.75" x14ac:dyDescent="0.25">
      <c r="A506" s="2">
        <f t="shared" si="24"/>
        <v>505</v>
      </c>
      <c r="B506" s="2">
        <v>572</v>
      </c>
      <c r="C506" s="2" t="s">
        <v>36</v>
      </c>
      <c r="D506" s="5">
        <v>44482</v>
      </c>
      <c r="E506" s="10">
        <v>0.45833333333333331</v>
      </c>
      <c r="F506" s="1" t="s">
        <v>1390</v>
      </c>
      <c r="G506" s="2"/>
      <c r="H506" s="2" t="str">
        <f t="shared" si="23"/>
        <v>121 г. 9 мес. 13 дн.</v>
      </c>
      <c r="I506" s="2" t="s">
        <v>25</v>
      </c>
      <c r="J506" s="2" t="s">
        <v>36</v>
      </c>
      <c r="K506" s="1" t="s">
        <v>1391</v>
      </c>
      <c r="L506" s="1" t="s">
        <v>1392</v>
      </c>
      <c r="M506" s="2" t="s">
        <v>54</v>
      </c>
      <c r="N506" s="1">
        <v>0</v>
      </c>
      <c r="O506" s="2" t="s">
        <v>82</v>
      </c>
      <c r="P506" s="2" t="s">
        <v>39</v>
      </c>
      <c r="Q506" s="5">
        <v>44483</v>
      </c>
      <c r="R506" s="6"/>
    </row>
    <row r="507" spans="1:18" ht="25.5" x14ac:dyDescent="0.25">
      <c r="A507" s="2">
        <f t="shared" si="24"/>
        <v>506</v>
      </c>
      <c r="B507" s="2">
        <v>575</v>
      </c>
      <c r="C507" s="2" t="s">
        <v>36</v>
      </c>
      <c r="D507" s="5">
        <v>44482</v>
      </c>
      <c r="E507" s="10">
        <v>0.70833333333333337</v>
      </c>
      <c r="F507" s="1" t="s">
        <v>1393</v>
      </c>
      <c r="G507" s="5">
        <v>44441</v>
      </c>
      <c r="H507" s="2" t="str">
        <f t="shared" si="23"/>
        <v>0 г. 1 мес. 11 дн.</v>
      </c>
      <c r="I507" s="2" t="s">
        <v>25</v>
      </c>
      <c r="J507" s="2" t="s">
        <v>36</v>
      </c>
      <c r="K507" s="1" t="s">
        <v>1394</v>
      </c>
      <c r="L507" s="1" t="s">
        <v>493</v>
      </c>
      <c r="M507" s="2" t="s">
        <v>58</v>
      </c>
      <c r="N507" s="1">
        <v>0</v>
      </c>
      <c r="O507" s="2" t="s">
        <v>82</v>
      </c>
      <c r="P507" s="2" t="s">
        <v>36</v>
      </c>
      <c r="Q507" s="5">
        <v>44483</v>
      </c>
      <c r="R507" s="6"/>
    </row>
    <row r="508" spans="1:18" ht="25.5" x14ac:dyDescent="0.25">
      <c r="A508" s="2">
        <f t="shared" si="24"/>
        <v>507</v>
      </c>
      <c r="B508" s="2">
        <v>2023</v>
      </c>
      <c r="C508" s="2" t="s">
        <v>32</v>
      </c>
      <c r="D508" s="5">
        <v>44483</v>
      </c>
      <c r="E508" s="10">
        <v>0.59027777777777779</v>
      </c>
      <c r="F508" s="1" t="s">
        <v>1395</v>
      </c>
      <c r="G508" s="5">
        <v>44426</v>
      </c>
      <c r="H508" s="2" t="str">
        <f t="shared" si="23"/>
        <v>0 г. 1 мес. 26 дн.</v>
      </c>
      <c r="I508" s="2" t="s">
        <v>25</v>
      </c>
      <c r="J508" s="2" t="s">
        <v>32</v>
      </c>
      <c r="K508" s="1" t="s">
        <v>1396</v>
      </c>
      <c r="L508" s="1" t="s">
        <v>420</v>
      </c>
      <c r="M508" s="2" t="s">
        <v>60</v>
      </c>
      <c r="N508" s="1">
        <v>0</v>
      </c>
      <c r="O508" s="2" t="s">
        <v>87</v>
      </c>
      <c r="P508" s="2" t="s">
        <v>32</v>
      </c>
      <c r="Q508" s="4">
        <v>44487</v>
      </c>
      <c r="R508" s="6"/>
    </row>
    <row r="509" spans="1:18" ht="38.25" x14ac:dyDescent="0.25">
      <c r="A509" s="2">
        <f t="shared" si="24"/>
        <v>508</v>
      </c>
      <c r="B509" s="2">
        <v>839</v>
      </c>
      <c r="C509" s="2" t="s">
        <v>37</v>
      </c>
      <c r="D509" s="5">
        <v>44483</v>
      </c>
      <c r="E509" s="10">
        <v>0.73263888888888884</v>
      </c>
      <c r="F509" s="1" t="s">
        <v>1397</v>
      </c>
      <c r="G509" s="5">
        <v>44431</v>
      </c>
      <c r="H509" s="2" t="str">
        <f t="shared" si="23"/>
        <v>0 г. 1 мес. 21 дн.</v>
      </c>
      <c r="I509" s="2" t="s">
        <v>25</v>
      </c>
      <c r="J509" s="2" t="s">
        <v>37</v>
      </c>
      <c r="K509" s="1" t="s">
        <v>1398</v>
      </c>
      <c r="L509" s="1" t="s">
        <v>142</v>
      </c>
      <c r="M509" s="2" t="s">
        <v>59</v>
      </c>
      <c r="N509" s="1">
        <v>0</v>
      </c>
      <c r="O509" s="2" t="s">
        <v>87</v>
      </c>
      <c r="P509" s="2" t="s">
        <v>37</v>
      </c>
      <c r="Q509" s="5">
        <v>44487</v>
      </c>
      <c r="R509" s="6"/>
    </row>
    <row r="510" spans="1:18" ht="25.5" x14ac:dyDescent="0.25">
      <c r="A510" s="2">
        <f t="shared" si="24"/>
        <v>509</v>
      </c>
      <c r="B510" s="2">
        <v>579</v>
      </c>
      <c r="C510" s="2" t="s">
        <v>36</v>
      </c>
      <c r="D510" s="5">
        <v>44483</v>
      </c>
      <c r="E510" s="10">
        <v>0.90972222222222221</v>
      </c>
      <c r="F510" s="1" t="s">
        <v>1399</v>
      </c>
      <c r="G510" s="5">
        <v>38347</v>
      </c>
      <c r="H510" s="2" t="str">
        <f t="shared" si="23"/>
        <v>16 г. 9 мес. 18 дн.</v>
      </c>
      <c r="I510" s="2" t="s">
        <v>25</v>
      </c>
      <c r="J510" s="2" t="s">
        <v>36</v>
      </c>
      <c r="K510" s="1" t="s">
        <v>1400</v>
      </c>
      <c r="L510" s="1" t="s">
        <v>1401</v>
      </c>
      <c r="M510" s="2" t="s">
        <v>66</v>
      </c>
      <c r="N510" s="1">
        <v>0</v>
      </c>
      <c r="O510" s="2" t="s">
        <v>82</v>
      </c>
      <c r="P510" s="2" t="s">
        <v>36</v>
      </c>
      <c r="Q510" s="5">
        <v>44484</v>
      </c>
      <c r="R510" s="6"/>
    </row>
    <row r="511" spans="1:18" ht="38.25" x14ac:dyDescent="0.25">
      <c r="A511" s="2">
        <f t="shared" si="24"/>
        <v>510</v>
      </c>
      <c r="B511" s="2">
        <v>1114</v>
      </c>
      <c r="C511" s="2" t="s">
        <v>33</v>
      </c>
      <c r="D511" s="5">
        <v>44484</v>
      </c>
      <c r="E511" s="10">
        <v>0.5</v>
      </c>
      <c r="F511" s="1" t="s">
        <v>1403</v>
      </c>
      <c r="G511" s="5">
        <v>41537</v>
      </c>
      <c r="H511" s="2" t="str">
        <f t="shared" si="23"/>
        <v>8 г. 0 мес. 25 дн.</v>
      </c>
      <c r="I511" s="2" t="s">
        <v>27</v>
      </c>
      <c r="J511" s="2" t="s">
        <v>33</v>
      </c>
      <c r="K511" s="1" t="s">
        <v>1404</v>
      </c>
      <c r="L511" s="1" t="s">
        <v>1405</v>
      </c>
      <c r="M511" s="2" t="s">
        <v>62</v>
      </c>
      <c r="N511" s="1">
        <v>0</v>
      </c>
      <c r="O511" s="1" t="s">
        <v>82</v>
      </c>
      <c r="P511" s="2" t="s">
        <v>33</v>
      </c>
      <c r="Q511" s="5">
        <v>44486</v>
      </c>
      <c r="R511" s="6"/>
    </row>
    <row r="512" spans="1:18" ht="38.25" x14ac:dyDescent="0.25">
      <c r="A512" s="2">
        <f t="shared" si="24"/>
        <v>511</v>
      </c>
      <c r="B512" s="2">
        <v>2035</v>
      </c>
      <c r="C512" s="2" t="s">
        <v>31</v>
      </c>
      <c r="D512" s="5">
        <v>44485</v>
      </c>
      <c r="E512" s="10">
        <v>0.64583333333333337</v>
      </c>
      <c r="F512" s="1" t="s">
        <v>1406</v>
      </c>
      <c r="G512" s="5">
        <v>38551</v>
      </c>
      <c r="H512" s="2" t="str">
        <f t="shared" si="23"/>
        <v>16 г. 2 мес. 28 дн.</v>
      </c>
      <c r="I512" s="2" t="s">
        <v>26</v>
      </c>
      <c r="J512" s="2" t="s">
        <v>31</v>
      </c>
      <c r="K512" s="1" t="s">
        <v>1407</v>
      </c>
      <c r="L512" s="1" t="s">
        <v>1408</v>
      </c>
      <c r="M512" s="2" t="s">
        <v>60</v>
      </c>
      <c r="N512" s="1">
        <v>0</v>
      </c>
      <c r="O512" s="1" t="s">
        <v>82</v>
      </c>
      <c r="P512" s="2" t="s">
        <v>31</v>
      </c>
      <c r="Q512" s="5">
        <v>44486</v>
      </c>
      <c r="R512" s="6"/>
    </row>
    <row r="513" spans="1:18" ht="51" x14ac:dyDescent="0.25">
      <c r="A513" s="2">
        <f t="shared" si="24"/>
        <v>512</v>
      </c>
      <c r="B513" s="19">
        <v>2033</v>
      </c>
      <c r="C513" s="19" t="s">
        <v>31</v>
      </c>
      <c r="D513" s="20">
        <v>44484</v>
      </c>
      <c r="E513" s="21">
        <v>0.67708333333333337</v>
      </c>
      <c r="F513" s="22" t="s">
        <v>1409</v>
      </c>
      <c r="G513" s="20">
        <v>44483</v>
      </c>
      <c r="H513" s="19" t="str">
        <f t="shared" si="23"/>
        <v>0 г. 0 мес. 1 дн.</v>
      </c>
      <c r="I513" s="19" t="s">
        <v>29</v>
      </c>
      <c r="J513" s="19" t="s">
        <v>31</v>
      </c>
      <c r="K513" s="22" t="s">
        <v>1410</v>
      </c>
      <c r="L513" s="22" t="s">
        <v>1411</v>
      </c>
      <c r="M513" s="19" t="s">
        <v>67</v>
      </c>
      <c r="N513" s="22">
        <v>0</v>
      </c>
      <c r="O513" s="19" t="s">
        <v>88</v>
      </c>
      <c r="P513" s="19" t="s">
        <v>40</v>
      </c>
      <c r="Q513" s="20">
        <v>44486</v>
      </c>
      <c r="R513" s="23">
        <v>0.16666666666666666</v>
      </c>
    </row>
    <row r="514" spans="1:18" ht="38.25" x14ac:dyDescent="0.25">
      <c r="A514" s="2">
        <f t="shared" si="24"/>
        <v>513</v>
      </c>
      <c r="B514" s="2">
        <v>440</v>
      </c>
      <c r="C514" s="2" t="s">
        <v>38</v>
      </c>
      <c r="D514" s="5">
        <v>44487</v>
      </c>
      <c r="E514" s="10">
        <v>0.59722222222222221</v>
      </c>
      <c r="F514" s="1" t="s">
        <v>1412</v>
      </c>
      <c r="G514" s="5">
        <v>43430</v>
      </c>
      <c r="H514" s="2" t="str">
        <f t="shared" si="23"/>
        <v>2 г. 10 мес. 22 дн.</v>
      </c>
      <c r="I514" s="2" t="s">
        <v>27</v>
      </c>
      <c r="J514" s="2" t="s">
        <v>38</v>
      </c>
      <c r="K514" s="1" t="s">
        <v>1413</v>
      </c>
      <c r="L514" s="1" t="s">
        <v>1414</v>
      </c>
      <c r="M514" s="2" t="s">
        <v>57</v>
      </c>
      <c r="N514" s="1">
        <v>0</v>
      </c>
      <c r="O514" s="2" t="s">
        <v>82</v>
      </c>
      <c r="P514" s="2" t="s">
        <v>38</v>
      </c>
      <c r="Q514" s="5">
        <v>44488</v>
      </c>
      <c r="R514" s="6"/>
    </row>
    <row r="515" spans="1:18" ht="25.5" x14ac:dyDescent="0.25">
      <c r="A515" s="2">
        <f t="shared" si="24"/>
        <v>514</v>
      </c>
      <c r="B515" s="2">
        <v>2000</v>
      </c>
      <c r="C515" s="2" t="s">
        <v>31</v>
      </c>
      <c r="D515" s="5">
        <v>44479</v>
      </c>
      <c r="E515" s="10">
        <v>0.61111111111111105</v>
      </c>
      <c r="F515" s="1" t="s">
        <v>1415</v>
      </c>
      <c r="G515" s="5">
        <v>44025</v>
      </c>
      <c r="H515" s="2" t="str">
        <f t="shared" si="23"/>
        <v>1 г. 2 мес. 27 дн.</v>
      </c>
      <c r="I515" s="2" t="s">
        <v>25</v>
      </c>
      <c r="J515" s="2" t="s">
        <v>31</v>
      </c>
      <c r="K515" s="1" t="s">
        <v>1416</v>
      </c>
      <c r="L515" s="1" t="s">
        <v>1417</v>
      </c>
      <c r="M515" s="2" t="s">
        <v>65</v>
      </c>
      <c r="N515" s="1" t="s">
        <v>1418</v>
      </c>
      <c r="O515" s="2" t="s">
        <v>87</v>
      </c>
      <c r="P515" s="2" t="s">
        <v>31</v>
      </c>
      <c r="Q515" s="5">
        <v>44488</v>
      </c>
      <c r="R515" s="6"/>
    </row>
    <row r="516" spans="1:18" ht="51" x14ac:dyDescent="0.25">
      <c r="A516" s="2">
        <f t="shared" si="24"/>
        <v>515</v>
      </c>
      <c r="B516" s="2">
        <v>2061</v>
      </c>
      <c r="C516" s="1" t="s">
        <v>31</v>
      </c>
      <c r="D516" s="5">
        <v>44488</v>
      </c>
      <c r="E516" s="10">
        <v>0.62847222222222221</v>
      </c>
      <c r="F516" s="1" t="s">
        <v>1419</v>
      </c>
      <c r="G516" s="5">
        <v>43847</v>
      </c>
      <c r="H516" s="2" t="str">
        <f t="shared" ref="H516:H579" si="26">DATEDIF(G516,D516,"y") &amp; " г. " &amp; DATEDIF(G516,D516,"ym") &amp; " мес. " &amp; DATEDIF(G516,D516,"md") &amp; " дн."</f>
        <v>1 г. 9 мес. 2 дн.</v>
      </c>
      <c r="I516" s="2" t="s">
        <v>26</v>
      </c>
      <c r="J516" s="2" t="s">
        <v>31</v>
      </c>
      <c r="K516" s="1" t="s">
        <v>1420</v>
      </c>
      <c r="L516" s="1" t="s">
        <v>1421</v>
      </c>
      <c r="M516" s="2" t="s">
        <v>67</v>
      </c>
      <c r="N516" s="1">
        <v>0</v>
      </c>
      <c r="O516" s="2" t="s">
        <v>82</v>
      </c>
      <c r="P516" s="2" t="s">
        <v>31</v>
      </c>
      <c r="Q516" s="5">
        <v>44489</v>
      </c>
      <c r="R516" s="6"/>
    </row>
    <row r="517" spans="1:18" ht="25.5" x14ac:dyDescent="0.25">
      <c r="A517" s="2">
        <f t="shared" si="24"/>
        <v>516</v>
      </c>
      <c r="B517" s="2">
        <v>2023</v>
      </c>
      <c r="C517" s="2" t="s">
        <v>31</v>
      </c>
      <c r="D517" s="5">
        <v>44488</v>
      </c>
      <c r="E517" s="10">
        <v>0.84027777777777779</v>
      </c>
      <c r="F517" s="1" t="s">
        <v>1395</v>
      </c>
      <c r="G517" s="5">
        <v>44426</v>
      </c>
      <c r="H517" s="2" t="str">
        <f t="shared" si="26"/>
        <v>0 г. 2 мес. 1 дн.</v>
      </c>
      <c r="I517" s="2" t="s">
        <v>27</v>
      </c>
      <c r="J517" s="2" t="s">
        <v>31</v>
      </c>
      <c r="K517" s="1" t="s">
        <v>1422</v>
      </c>
      <c r="L517" s="1" t="s">
        <v>1070</v>
      </c>
      <c r="M517" s="2" t="s">
        <v>60</v>
      </c>
      <c r="N517" s="1">
        <v>0</v>
      </c>
      <c r="O517" s="2" t="s">
        <v>87</v>
      </c>
      <c r="P517" s="2" t="s">
        <v>31</v>
      </c>
      <c r="Q517" s="5">
        <v>44491</v>
      </c>
      <c r="R517" s="6"/>
    </row>
    <row r="518" spans="1:18" ht="25.5" x14ac:dyDescent="0.25">
      <c r="A518" s="2">
        <f t="shared" si="24"/>
        <v>517</v>
      </c>
      <c r="B518" s="2">
        <v>1952</v>
      </c>
      <c r="C518" s="2" t="s">
        <v>31</v>
      </c>
      <c r="D518" s="5">
        <v>44488</v>
      </c>
      <c r="E518" s="10">
        <v>0.51736111111111105</v>
      </c>
      <c r="F518" s="1" t="s">
        <v>1326</v>
      </c>
      <c r="G518" s="5">
        <v>43218</v>
      </c>
      <c r="H518" s="2" t="str">
        <f t="shared" si="26"/>
        <v>3 г. 5 мес. 21 дн.</v>
      </c>
      <c r="I518" s="2" t="s">
        <v>26</v>
      </c>
      <c r="J518" s="2" t="s">
        <v>31</v>
      </c>
      <c r="K518" s="1" t="s">
        <v>1333</v>
      </c>
      <c r="L518" s="1" t="s">
        <v>1327</v>
      </c>
      <c r="M518" s="2" t="s">
        <v>65</v>
      </c>
      <c r="N518" s="1">
        <v>0</v>
      </c>
      <c r="O518" s="2" t="s">
        <v>87</v>
      </c>
      <c r="P518" s="2" t="s">
        <v>31</v>
      </c>
      <c r="Q518" s="5">
        <v>44491</v>
      </c>
      <c r="R518" s="6"/>
    </row>
    <row r="519" spans="1:18" ht="25.5" x14ac:dyDescent="0.25">
      <c r="A519" s="2">
        <f t="shared" si="24"/>
        <v>518</v>
      </c>
      <c r="B519" s="2">
        <v>2065</v>
      </c>
      <c r="C519" s="2" t="s">
        <v>31</v>
      </c>
      <c r="D519" s="5">
        <v>44489</v>
      </c>
      <c r="E519" s="10">
        <v>0.47569444444444442</v>
      </c>
      <c r="F519" s="1" t="s">
        <v>1423</v>
      </c>
      <c r="G519" s="5">
        <v>40454</v>
      </c>
      <c r="H519" s="2" t="str">
        <f t="shared" si="26"/>
        <v>11 г. 0 мес. 17 дн.</v>
      </c>
      <c r="I519" s="2" t="s">
        <v>26</v>
      </c>
      <c r="J519" s="2" t="s">
        <v>31</v>
      </c>
      <c r="K519" s="1" t="s">
        <v>1424</v>
      </c>
      <c r="L519" s="1" t="s">
        <v>139</v>
      </c>
      <c r="M519" s="2" t="s">
        <v>60</v>
      </c>
      <c r="N519" s="1">
        <v>0</v>
      </c>
      <c r="O519" s="2" t="s">
        <v>82</v>
      </c>
      <c r="P519" s="2" t="s">
        <v>31</v>
      </c>
      <c r="Q519" s="5">
        <v>44490</v>
      </c>
      <c r="R519" s="6"/>
    </row>
    <row r="520" spans="1:18" ht="38.25" x14ac:dyDescent="0.25">
      <c r="A520" s="2">
        <f t="shared" si="24"/>
        <v>519</v>
      </c>
      <c r="B520" s="2">
        <v>2059</v>
      </c>
      <c r="C520" s="2" t="s">
        <v>32</v>
      </c>
      <c r="D520" s="5">
        <v>44489</v>
      </c>
      <c r="E520" s="10">
        <v>0.53125</v>
      </c>
      <c r="F520" s="1" t="s">
        <v>1096</v>
      </c>
      <c r="G520" s="5">
        <v>41534</v>
      </c>
      <c r="H520" s="2" t="str">
        <f t="shared" si="26"/>
        <v>8 г. 1 мес. 3 дн.</v>
      </c>
      <c r="I520" s="2" t="s">
        <v>26</v>
      </c>
      <c r="J520" s="2" t="s">
        <v>32</v>
      </c>
      <c r="K520" s="1" t="s">
        <v>1425</v>
      </c>
      <c r="L520" s="1" t="s">
        <v>713</v>
      </c>
      <c r="M520" s="2" t="s">
        <v>62</v>
      </c>
      <c r="N520" s="1">
        <v>0</v>
      </c>
      <c r="O520" s="2" t="s">
        <v>82</v>
      </c>
      <c r="P520" s="2" t="s">
        <v>32</v>
      </c>
      <c r="Q520" s="5">
        <v>44490</v>
      </c>
      <c r="R520" s="6"/>
    </row>
    <row r="521" spans="1:18" ht="25.5" x14ac:dyDescent="0.25">
      <c r="A521" s="2">
        <f t="shared" si="24"/>
        <v>520</v>
      </c>
      <c r="B521" s="2">
        <v>2069</v>
      </c>
      <c r="C521" s="2" t="s">
        <v>31</v>
      </c>
      <c r="D521" s="5">
        <v>44490</v>
      </c>
      <c r="E521" s="10">
        <v>6.25E-2</v>
      </c>
      <c r="F521" s="1" t="s">
        <v>1426</v>
      </c>
      <c r="G521" s="5">
        <v>39051</v>
      </c>
      <c r="H521" s="2" t="str">
        <f t="shared" si="26"/>
        <v>14 г. 10 мес. 21 дн.</v>
      </c>
      <c r="I521" s="2" t="s">
        <v>26</v>
      </c>
      <c r="J521" s="2" t="s">
        <v>31</v>
      </c>
      <c r="K521" s="1" t="s">
        <v>1427</v>
      </c>
      <c r="L521" s="1" t="s">
        <v>1428</v>
      </c>
      <c r="M521" s="2" t="s">
        <v>60</v>
      </c>
      <c r="N521" s="1">
        <v>0</v>
      </c>
      <c r="O521" s="2" t="s">
        <v>98</v>
      </c>
      <c r="P521" s="2" t="s">
        <v>31</v>
      </c>
      <c r="Q521" s="5">
        <v>44493</v>
      </c>
      <c r="R521" s="6"/>
    </row>
    <row r="522" spans="1:18" ht="38.25" x14ac:dyDescent="0.25">
      <c r="A522" s="2">
        <f t="shared" si="24"/>
        <v>521</v>
      </c>
      <c r="B522" s="2">
        <v>439</v>
      </c>
      <c r="C522" s="2" t="s">
        <v>38</v>
      </c>
      <c r="D522" s="5">
        <v>44489</v>
      </c>
      <c r="E522" s="10">
        <v>0.75</v>
      </c>
      <c r="F522" s="1" t="s">
        <v>1429</v>
      </c>
      <c r="G522" s="5">
        <v>43570</v>
      </c>
      <c r="H522" s="2" t="str">
        <f t="shared" si="26"/>
        <v>2 г. 6 мес. 5 дн.</v>
      </c>
      <c r="I522" s="2" t="s">
        <v>27</v>
      </c>
      <c r="J522" s="2" t="s">
        <v>38</v>
      </c>
      <c r="K522" s="1" t="s">
        <v>1080</v>
      </c>
      <c r="L522" s="1" t="s">
        <v>204</v>
      </c>
      <c r="M522" s="2" t="s">
        <v>57</v>
      </c>
      <c r="N522" s="1">
        <v>0</v>
      </c>
      <c r="O522" s="2" t="s">
        <v>82</v>
      </c>
      <c r="P522" s="2" t="s">
        <v>38</v>
      </c>
      <c r="Q522" s="5">
        <v>44490</v>
      </c>
      <c r="R522" s="6"/>
    </row>
    <row r="523" spans="1:18" ht="38.25" x14ac:dyDescent="0.25">
      <c r="A523" s="2">
        <f t="shared" si="24"/>
        <v>522</v>
      </c>
      <c r="B523" s="2">
        <v>438</v>
      </c>
      <c r="C523" s="2" t="s">
        <v>38</v>
      </c>
      <c r="D523" s="5">
        <v>44490</v>
      </c>
      <c r="E523" s="10">
        <v>0.59722222222222221</v>
      </c>
      <c r="F523" s="1" t="s">
        <v>1430</v>
      </c>
      <c r="G523" s="5">
        <v>42086</v>
      </c>
      <c r="H523" s="2" t="str">
        <f t="shared" si="26"/>
        <v>6 г. 6 мес. 28 дн.</v>
      </c>
      <c r="I523" s="2" t="s">
        <v>27</v>
      </c>
      <c r="J523" s="2" t="s">
        <v>38</v>
      </c>
      <c r="K523" s="1" t="s">
        <v>1431</v>
      </c>
      <c r="L523" s="1" t="s">
        <v>204</v>
      </c>
      <c r="M523" s="2" t="s">
        <v>57</v>
      </c>
      <c r="N523" s="1">
        <v>0</v>
      </c>
      <c r="O523" s="2" t="s">
        <v>82</v>
      </c>
      <c r="P523" s="2" t="s">
        <v>38</v>
      </c>
      <c r="Q523" s="5">
        <v>44491</v>
      </c>
      <c r="R523" s="6"/>
    </row>
    <row r="524" spans="1:18" ht="25.5" x14ac:dyDescent="0.25">
      <c r="A524" s="2">
        <f t="shared" si="24"/>
        <v>523</v>
      </c>
      <c r="B524" s="2"/>
      <c r="C524" s="2" t="s">
        <v>31</v>
      </c>
      <c r="D524" s="4">
        <v>44490</v>
      </c>
      <c r="E524" s="10">
        <v>0.84375</v>
      </c>
      <c r="F524" s="1" t="s">
        <v>1433</v>
      </c>
      <c r="G524" s="5">
        <v>43712</v>
      </c>
      <c r="H524" s="2" t="str">
        <f t="shared" si="26"/>
        <v>2 г. 1 мес. 17 дн.</v>
      </c>
      <c r="I524" s="2" t="s">
        <v>25</v>
      </c>
      <c r="J524" s="2" t="s">
        <v>31</v>
      </c>
      <c r="K524" s="1" t="s">
        <v>1434</v>
      </c>
      <c r="L524" s="1" t="s">
        <v>1435</v>
      </c>
      <c r="M524" s="2" t="s">
        <v>65</v>
      </c>
      <c r="N524" s="1">
        <v>0</v>
      </c>
      <c r="O524" s="2" t="s">
        <v>82</v>
      </c>
      <c r="P524" s="2" t="s">
        <v>31</v>
      </c>
      <c r="Q524" s="5">
        <v>44493</v>
      </c>
      <c r="R524" s="6"/>
    </row>
    <row r="525" spans="1:18" ht="25.5" x14ac:dyDescent="0.25">
      <c r="A525" s="2">
        <f t="shared" si="24"/>
        <v>524</v>
      </c>
      <c r="B525" s="2">
        <v>2065</v>
      </c>
      <c r="C525" s="2" t="s">
        <v>36</v>
      </c>
      <c r="D525" s="5">
        <v>44491</v>
      </c>
      <c r="E525" s="10">
        <v>0.41875000000000001</v>
      </c>
      <c r="F525" s="1" t="s">
        <v>1423</v>
      </c>
      <c r="G525" s="5">
        <v>40454</v>
      </c>
      <c r="H525" s="2" t="str">
        <f t="shared" ref="H525" si="27">DATEDIF(G525,D525,"y") &amp; " г. " &amp; DATEDIF(G525,D525,"ym") &amp; " мес. " &amp; DATEDIF(G525,D525,"md") &amp; " дн."</f>
        <v>11 г. 0 мес. 19 дн.</v>
      </c>
      <c r="I525" s="2" t="s">
        <v>27</v>
      </c>
      <c r="J525" s="2" t="s">
        <v>36</v>
      </c>
      <c r="K525" s="1" t="s">
        <v>1424</v>
      </c>
      <c r="L525" s="1" t="s">
        <v>1432</v>
      </c>
      <c r="M525" s="2" t="s">
        <v>60</v>
      </c>
      <c r="N525" s="1">
        <v>0</v>
      </c>
      <c r="O525" s="2" t="s">
        <v>82</v>
      </c>
      <c r="P525" s="2" t="s">
        <v>36</v>
      </c>
      <c r="Q525" s="5">
        <v>44494</v>
      </c>
      <c r="R525" s="6"/>
    </row>
    <row r="526" spans="1:18" ht="38.25" x14ac:dyDescent="0.25">
      <c r="A526" s="2">
        <f t="shared" si="24"/>
        <v>525</v>
      </c>
      <c r="B526" s="2">
        <v>2095</v>
      </c>
      <c r="C526" s="1" t="s">
        <v>31</v>
      </c>
      <c r="D526" s="5">
        <v>44493</v>
      </c>
      <c r="E526" s="10">
        <v>0.84375</v>
      </c>
      <c r="F526" s="1" t="s">
        <v>1397</v>
      </c>
      <c r="G526" s="5">
        <v>42533</v>
      </c>
      <c r="H526" s="2" t="str">
        <f t="shared" si="26"/>
        <v>5 г. 4 мес. 12 дн.</v>
      </c>
      <c r="I526" s="2" t="s">
        <v>26</v>
      </c>
      <c r="J526" s="2" t="s">
        <v>31</v>
      </c>
      <c r="K526" s="1" t="s">
        <v>1436</v>
      </c>
      <c r="L526" s="1" t="s">
        <v>1441</v>
      </c>
      <c r="M526" s="2" t="s">
        <v>60</v>
      </c>
      <c r="N526" s="1">
        <v>0</v>
      </c>
      <c r="O526" s="2" t="s">
        <v>82</v>
      </c>
      <c r="P526" s="2" t="s">
        <v>31</v>
      </c>
      <c r="Q526" s="5">
        <v>44494</v>
      </c>
      <c r="R526" s="6"/>
    </row>
    <row r="527" spans="1:18" ht="38.25" x14ac:dyDescent="0.25">
      <c r="A527" s="2">
        <f t="shared" si="24"/>
        <v>526</v>
      </c>
      <c r="B527" s="2">
        <v>2091</v>
      </c>
      <c r="C527" s="2" t="s">
        <v>34</v>
      </c>
      <c r="D527" s="5">
        <v>44493</v>
      </c>
      <c r="E527" s="10">
        <v>0.74305555555555547</v>
      </c>
      <c r="F527" s="1" t="s">
        <v>1437</v>
      </c>
      <c r="G527" s="5">
        <v>39331</v>
      </c>
      <c r="H527" s="2" t="str">
        <f t="shared" si="26"/>
        <v>14 г. 1 мес. 18 дн.</v>
      </c>
      <c r="I527" s="2" t="s">
        <v>27</v>
      </c>
      <c r="J527" s="2" t="s">
        <v>34</v>
      </c>
      <c r="K527" s="1" t="s">
        <v>1438</v>
      </c>
      <c r="L527" s="1" t="s">
        <v>1439</v>
      </c>
      <c r="M527" s="2" t="s">
        <v>51</v>
      </c>
      <c r="N527" s="1">
        <v>0</v>
      </c>
      <c r="O527" s="2" t="s">
        <v>87</v>
      </c>
      <c r="P527" s="2" t="s">
        <v>34</v>
      </c>
      <c r="Q527" s="5">
        <v>44494</v>
      </c>
      <c r="R527" s="6"/>
    </row>
    <row r="528" spans="1:18" ht="38.25" x14ac:dyDescent="0.25">
      <c r="A528" s="2">
        <f t="shared" si="24"/>
        <v>527</v>
      </c>
      <c r="B528" s="2">
        <v>454</v>
      </c>
      <c r="C528" s="2" t="s">
        <v>38</v>
      </c>
      <c r="D528" s="5">
        <v>44494</v>
      </c>
      <c r="E528" s="10">
        <v>0.58333333333333337</v>
      </c>
      <c r="F528" s="1" t="s">
        <v>1442</v>
      </c>
      <c r="G528" s="5">
        <v>43140</v>
      </c>
      <c r="H528" s="2" t="str">
        <f t="shared" si="26"/>
        <v>3 г. 8 мес. 16 дн.</v>
      </c>
      <c r="I528" s="2" t="s">
        <v>27</v>
      </c>
      <c r="J528" s="2" t="s">
        <v>38</v>
      </c>
      <c r="K528" s="1" t="s">
        <v>1443</v>
      </c>
      <c r="L528" s="1" t="s">
        <v>289</v>
      </c>
      <c r="M528" s="2" t="s">
        <v>57</v>
      </c>
      <c r="N528" s="1">
        <v>0</v>
      </c>
      <c r="O528" s="2" t="s">
        <v>82</v>
      </c>
      <c r="P528" s="2" t="s">
        <v>38</v>
      </c>
      <c r="Q528" s="5">
        <v>44495</v>
      </c>
      <c r="R528" s="6"/>
    </row>
    <row r="529" spans="1:18" ht="38.25" x14ac:dyDescent="0.25">
      <c r="A529" s="2">
        <f t="shared" si="24"/>
        <v>528</v>
      </c>
      <c r="B529" s="2">
        <v>466</v>
      </c>
      <c r="C529" s="2" t="s">
        <v>38</v>
      </c>
      <c r="D529" s="5">
        <v>44494</v>
      </c>
      <c r="E529" s="10">
        <v>0.52083333333333337</v>
      </c>
      <c r="F529" s="1" t="s">
        <v>1444</v>
      </c>
      <c r="G529" s="5">
        <v>39101</v>
      </c>
      <c r="H529" s="2" t="str">
        <f t="shared" si="26"/>
        <v>14 г. 9 мес. 6 дн.</v>
      </c>
      <c r="I529" s="2" t="s">
        <v>25</v>
      </c>
      <c r="J529" s="2" t="s">
        <v>38</v>
      </c>
      <c r="K529" s="1" t="s">
        <v>1445</v>
      </c>
      <c r="L529" s="1" t="s">
        <v>1446</v>
      </c>
      <c r="M529" s="2" t="s">
        <v>57</v>
      </c>
      <c r="N529" s="1">
        <v>0</v>
      </c>
      <c r="O529" s="2" t="s">
        <v>82</v>
      </c>
      <c r="P529" s="2" t="s">
        <v>38</v>
      </c>
      <c r="Q529" s="5">
        <v>44501</v>
      </c>
      <c r="R529" s="6"/>
    </row>
    <row r="530" spans="1:18" ht="38.25" x14ac:dyDescent="0.25">
      <c r="A530" s="2">
        <f t="shared" si="24"/>
        <v>529</v>
      </c>
      <c r="B530" s="2"/>
      <c r="C530" s="2" t="s">
        <v>35</v>
      </c>
      <c r="D530" s="5">
        <v>44494</v>
      </c>
      <c r="E530" s="10">
        <v>0.59027777777777779</v>
      </c>
      <c r="F530" s="1" t="s">
        <v>1448</v>
      </c>
      <c r="G530" s="5">
        <v>44466</v>
      </c>
      <c r="H530" s="2" t="str">
        <f t="shared" si="26"/>
        <v>0 г. 0 мес. 28 дн.</v>
      </c>
      <c r="I530" s="2" t="s">
        <v>27</v>
      </c>
      <c r="J530" s="2" t="s">
        <v>35</v>
      </c>
      <c r="K530" s="2"/>
      <c r="L530" s="1" t="s">
        <v>493</v>
      </c>
      <c r="M530" s="2" t="s">
        <v>53</v>
      </c>
      <c r="N530" s="1">
        <v>0</v>
      </c>
      <c r="O530" s="2" t="s">
        <v>82</v>
      </c>
      <c r="P530" s="2" t="s">
        <v>35</v>
      </c>
      <c r="Q530" s="5">
        <v>44495</v>
      </c>
      <c r="R530" s="6"/>
    </row>
    <row r="531" spans="1:18" ht="63.75" x14ac:dyDescent="0.25">
      <c r="A531" s="2">
        <f t="shared" si="24"/>
        <v>530</v>
      </c>
      <c r="B531" s="2">
        <v>610</v>
      </c>
      <c r="C531" s="2" t="s">
        <v>36</v>
      </c>
      <c r="D531" s="5">
        <v>44495</v>
      </c>
      <c r="E531" s="10">
        <v>0.88194444444444453</v>
      </c>
      <c r="F531" s="1" t="s">
        <v>1447</v>
      </c>
      <c r="G531" s="5">
        <v>41041</v>
      </c>
      <c r="H531" s="2" t="str">
        <f t="shared" si="26"/>
        <v>9 г. 5 мес. 14 дн.</v>
      </c>
      <c r="I531" s="2" t="s">
        <v>25</v>
      </c>
      <c r="J531" s="2" t="s">
        <v>36</v>
      </c>
      <c r="K531" s="1" t="s">
        <v>1449</v>
      </c>
      <c r="L531" s="1" t="s">
        <v>1291</v>
      </c>
      <c r="M531" s="2" t="s">
        <v>54</v>
      </c>
      <c r="N531" s="1">
        <v>0</v>
      </c>
      <c r="O531" s="2" t="s">
        <v>87</v>
      </c>
      <c r="P531" s="2" t="s">
        <v>39</v>
      </c>
      <c r="Q531" s="5">
        <v>44497</v>
      </c>
      <c r="R531" s="6"/>
    </row>
    <row r="532" spans="1:18" ht="38.25" x14ac:dyDescent="0.25">
      <c r="A532" s="2">
        <f t="shared" si="24"/>
        <v>531</v>
      </c>
      <c r="B532" s="2">
        <v>2027</v>
      </c>
      <c r="C532" s="2" t="s">
        <v>31</v>
      </c>
      <c r="D532" s="5">
        <v>44495</v>
      </c>
      <c r="E532" s="10">
        <v>0.83333333333333337</v>
      </c>
      <c r="F532" s="1" t="s">
        <v>1239</v>
      </c>
      <c r="G532" s="4">
        <v>44392</v>
      </c>
      <c r="H532" s="2" t="str">
        <f t="shared" si="26"/>
        <v>0 г. 3 мес. 11 дн.</v>
      </c>
      <c r="I532" s="2" t="s">
        <v>27</v>
      </c>
      <c r="J532" s="2" t="s">
        <v>31</v>
      </c>
      <c r="K532" s="1" t="s">
        <v>1450</v>
      </c>
      <c r="L532" s="1" t="s">
        <v>1244</v>
      </c>
      <c r="M532" s="2" t="s">
        <v>57</v>
      </c>
      <c r="N532" s="1">
        <v>0</v>
      </c>
      <c r="O532" s="2" t="s">
        <v>82</v>
      </c>
      <c r="P532" s="2" t="s">
        <v>31</v>
      </c>
      <c r="Q532" s="5">
        <v>44496</v>
      </c>
      <c r="R532" s="6"/>
    </row>
    <row r="533" spans="1:18" ht="25.5" x14ac:dyDescent="0.25">
      <c r="A533" s="2">
        <f t="shared" si="24"/>
        <v>532</v>
      </c>
      <c r="B533" s="2">
        <v>586</v>
      </c>
      <c r="C533" s="2" t="s">
        <v>36</v>
      </c>
      <c r="D533" s="5">
        <v>44495</v>
      </c>
      <c r="E533" s="10">
        <v>0.875</v>
      </c>
      <c r="F533" s="1" t="s">
        <v>1344</v>
      </c>
      <c r="G533" s="5">
        <v>44325</v>
      </c>
      <c r="H533" s="2" t="str">
        <f t="shared" si="26"/>
        <v>0 г. 5 мес. 17 дн.</v>
      </c>
      <c r="I533" s="2" t="s">
        <v>27</v>
      </c>
      <c r="J533" s="2" t="s">
        <v>36</v>
      </c>
      <c r="K533" s="1" t="s">
        <v>1451</v>
      </c>
      <c r="L533" s="1" t="s">
        <v>1345</v>
      </c>
      <c r="M533" s="2" t="s">
        <v>60</v>
      </c>
      <c r="N533" s="1">
        <v>0</v>
      </c>
      <c r="O533" s="2" t="s">
        <v>82</v>
      </c>
      <c r="P533" s="2" t="s">
        <v>36</v>
      </c>
      <c r="Q533" s="5">
        <v>44496</v>
      </c>
      <c r="R533" s="6"/>
    </row>
    <row r="534" spans="1:18" ht="38.25" x14ac:dyDescent="0.25">
      <c r="A534" s="2">
        <f t="shared" si="24"/>
        <v>533</v>
      </c>
      <c r="B534" s="2">
        <v>471</v>
      </c>
      <c r="C534" s="2" t="s">
        <v>38</v>
      </c>
      <c r="D534" s="5">
        <v>44496</v>
      </c>
      <c r="E534" s="10">
        <v>0.75</v>
      </c>
      <c r="F534" s="1" t="s">
        <v>1452</v>
      </c>
      <c r="G534" s="5">
        <v>44005</v>
      </c>
      <c r="H534" s="2" t="str">
        <f t="shared" si="26"/>
        <v>1 г. 4 мес. 4 дн.</v>
      </c>
      <c r="I534" s="2" t="s">
        <v>27</v>
      </c>
      <c r="J534" s="2" t="s">
        <v>38</v>
      </c>
      <c r="K534" s="1" t="s">
        <v>1453</v>
      </c>
      <c r="L534" s="1" t="s">
        <v>1233</v>
      </c>
      <c r="M534" s="2" t="s">
        <v>57</v>
      </c>
      <c r="N534" s="1">
        <v>0</v>
      </c>
      <c r="O534" s="2" t="s">
        <v>82</v>
      </c>
      <c r="P534" s="2" t="s">
        <v>38</v>
      </c>
      <c r="Q534" s="5">
        <v>44497</v>
      </c>
      <c r="R534" s="6"/>
    </row>
    <row r="535" spans="1:18" ht="38.25" x14ac:dyDescent="0.25">
      <c r="A535" s="2">
        <f t="shared" si="24"/>
        <v>534</v>
      </c>
      <c r="B535" s="2">
        <v>481</v>
      </c>
      <c r="C535" s="2" t="s">
        <v>34</v>
      </c>
      <c r="D535" s="5">
        <v>44497</v>
      </c>
      <c r="E535" s="10">
        <v>0.39583333333333331</v>
      </c>
      <c r="F535" s="1" t="s">
        <v>436</v>
      </c>
      <c r="G535" s="5">
        <v>43180</v>
      </c>
      <c r="H535" s="2" t="str">
        <f t="shared" si="26"/>
        <v>3 г. 7 мес. 7 дн.</v>
      </c>
      <c r="I535" s="2" t="s">
        <v>27</v>
      </c>
      <c r="J535" s="2" t="s">
        <v>34</v>
      </c>
      <c r="K535" s="1" t="s">
        <v>1454</v>
      </c>
      <c r="L535" s="1" t="s">
        <v>438</v>
      </c>
      <c r="M535" s="2" t="s">
        <v>61</v>
      </c>
      <c r="N535" s="1">
        <v>0</v>
      </c>
      <c r="O535" s="2" t="s">
        <v>82</v>
      </c>
      <c r="P535" s="2" t="s">
        <v>34</v>
      </c>
      <c r="Q535" s="5">
        <v>44498</v>
      </c>
      <c r="R535" s="6"/>
    </row>
    <row r="536" spans="1:18" ht="25.5" x14ac:dyDescent="0.25">
      <c r="A536" s="2">
        <f t="shared" si="24"/>
        <v>535</v>
      </c>
      <c r="B536" s="2">
        <v>2127</v>
      </c>
      <c r="C536" s="2" t="s">
        <v>32</v>
      </c>
      <c r="D536" s="5">
        <v>44497</v>
      </c>
      <c r="E536" s="10">
        <v>0.47222222222222227</v>
      </c>
      <c r="F536" s="1" t="s">
        <v>1455</v>
      </c>
      <c r="G536" s="5">
        <v>43651</v>
      </c>
      <c r="H536" s="2" t="str">
        <f t="shared" si="26"/>
        <v>2 г. 3 мес. 23 дн.</v>
      </c>
      <c r="I536" s="2" t="s">
        <v>25</v>
      </c>
      <c r="J536" s="2" t="s">
        <v>32</v>
      </c>
      <c r="K536" s="1" t="s">
        <v>1462</v>
      </c>
      <c r="L536" s="1" t="s">
        <v>389</v>
      </c>
      <c r="M536" s="2" t="s">
        <v>65</v>
      </c>
      <c r="N536" s="1">
        <v>0</v>
      </c>
      <c r="O536" s="2" t="s">
        <v>82</v>
      </c>
      <c r="P536" s="2" t="s">
        <v>32</v>
      </c>
      <c r="Q536" s="5">
        <v>44498</v>
      </c>
      <c r="R536" s="6"/>
    </row>
    <row r="537" spans="1:18" ht="38.25" x14ac:dyDescent="0.25">
      <c r="A537" s="2">
        <f t="shared" si="24"/>
        <v>536</v>
      </c>
      <c r="B537" s="2">
        <v>1142</v>
      </c>
      <c r="C537" s="2" t="s">
        <v>33</v>
      </c>
      <c r="D537" s="5">
        <v>44497</v>
      </c>
      <c r="E537" s="10">
        <v>0.67361111111111116</v>
      </c>
      <c r="F537" s="1" t="s">
        <v>1456</v>
      </c>
      <c r="G537" s="5">
        <v>38515</v>
      </c>
      <c r="H537" s="2" t="str">
        <f t="shared" si="26"/>
        <v>16 г. 4 мес. 16 дн.</v>
      </c>
      <c r="I537" s="2" t="s">
        <v>26</v>
      </c>
      <c r="J537" s="2" t="s">
        <v>33</v>
      </c>
      <c r="K537" s="1" t="s">
        <v>1457</v>
      </c>
      <c r="L537" s="1" t="s">
        <v>1458</v>
      </c>
      <c r="M537" s="2" t="s">
        <v>62</v>
      </c>
      <c r="N537" s="1">
        <v>0</v>
      </c>
      <c r="O537" s="2" t="s">
        <v>82</v>
      </c>
      <c r="P537" s="2" t="s">
        <v>33</v>
      </c>
      <c r="Q537" s="5">
        <v>44498</v>
      </c>
      <c r="R537" s="6"/>
    </row>
    <row r="538" spans="1:18" ht="38.25" x14ac:dyDescent="0.25">
      <c r="A538" s="2">
        <f t="shared" si="24"/>
        <v>537</v>
      </c>
      <c r="B538" s="2">
        <v>1159</v>
      </c>
      <c r="C538" s="2" t="s">
        <v>33</v>
      </c>
      <c r="D538" s="5">
        <v>44497</v>
      </c>
      <c r="E538" s="10">
        <v>0.75</v>
      </c>
      <c r="F538" s="1" t="s">
        <v>1459</v>
      </c>
      <c r="G538" s="5">
        <v>42687</v>
      </c>
      <c r="H538" s="2" t="str">
        <f t="shared" si="26"/>
        <v>4 г. 11 мес. 15 дн.</v>
      </c>
      <c r="I538" s="2" t="s">
        <v>27</v>
      </c>
      <c r="J538" s="2" t="s">
        <v>33</v>
      </c>
      <c r="K538" s="1" t="s">
        <v>1460</v>
      </c>
      <c r="L538" s="1" t="s">
        <v>1461</v>
      </c>
      <c r="M538" s="2" t="s">
        <v>62</v>
      </c>
      <c r="N538" s="1">
        <v>0</v>
      </c>
      <c r="O538" s="2" t="s">
        <v>82</v>
      </c>
      <c r="P538" s="2" t="s">
        <v>33</v>
      </c>
      <c r="Q538" s="5">
        <v>44498</v>
      </c>
      <c r="R538" s="6"/>
    </row>
    <row r="539" spans="1:18" ht="25.5" x14ac:dyDescent="0.25">
      <c r="A539" s="2">
        <f t="shared" si="24"/>
        <v>538</v>
      </c>
      <c r="B539" s="2">
        <v>2123</v>
      </c>
      <c r="C539" s="2" t="s">
        <v>31</v>
      </c>
      <c r="D539" s="5">
        <v>44498</v>
      </c>
      <c r="E539" s="10">
        <v>0.57291666666666663</v>
      </c>
      <c r="F539" s="1" t="s">
        <v>1463</v>
      </c>
      <c r="G539" s="5">
        <v>40057</v>
      </c>
      <c r="H539" s="2" t="str">
        <f t="shared" si="26"/>
        <v>12 г. 1 мес. 28 дн.</v>
      </c>
      <c r="I539" s="2" t="s">
        <v>26</v>
      </c>
      <c r="J539" s="2" t="s">
        <v>31</v>
      </c>
      <c r="K539" s="1" t="s">
        <v>1464</v>
      </c>
      <c r="L539" s="1" t="s">
        <v>1465</v>
      </c>
      <c r="M539" s="2" t="s">
        <v>60</v>
      </c>
      <c r="N539" s="1">
        <v>0</v>
      </c>
      <c r="O539" s="2" t="s">
        <v>82</v>
      </c>
      <c r="P539" s="2" t="s">
        <v>31</v>
      </c>
      <c r="Q539" s="5">
        <v>44499</v>
      </c>
      <c r="R539" s="6"/>
    </row>
    <row r="540" spans="1:18" ht="51" x14ac:dyDescent="0.25">
      <c r="A540" s="2">
        <f t="shared" si="24"/>
        <v>539</v>
      </c>
      <c r="B540" s="2">
        <v>624</v>
      </c>
      <c r="C540" s="2" t="s">
        <v>36</v>
      </c>
      <c r="D540" s="5">
        <v>44499</v>
      </c>
      <c r="E540" s="10">
        <v>0.72222222222222221</v>
      </c>
      <c r="F540" s="1" t="s">
        <v>1466</v>
      </c>
      <c r="G540" s="5">
        <v>39524</v>
      </c>
      <c r="H540" s="2" t="str">
        <f t="shared" si="26"/>
        <v>13 г. 7 мес. 13 дн.</v>
      </c>
      <c r="I540" s="2" t="s">
        <v>28</v>
      </c>
      <c r="J540" s="2" t="s">
        <v>36</v>
      </c>
      <c r="K540" s="1" t="s">
        <v>1467</v>
      </c>
      <c r="L540" s="1" t="s">
        <v>1468</v>
      </c>
      <c r="M540" s="2" t="s">
        <v>67</v>
      </c>
      <c r="N540" s="1">
        <v>0</v>
      </c>
      <c r="O540" s="2" t="s">
        <v>82</v>
      </c>
      <c r="P540" s="2" t="s">
        <v>39</v>
      </c>
      <c r="Q540" s="5">
        <v>44501</v>
      </c>
      <c r="R540" s="6"/>
    </row>
    <row r="541" spans="1:18" ht="25.5" x14ac:dyDescent="0.25">
      <c r="A541" s="2">
        <f t="shared" ref="A541:A604" si="28">ROW(A540)</f>
        <v>540</v>
      </c>
      <c r="B541" s="2">
        <v>2132</v>
      </c>
      <c r="C541" s="2" t="s">
        <v>32</v>
      </c>
      <c r="D541" s="5">
        <v>44499</v>
      </c>
      <c r="E541" s="10">
        <v>0.92361111111111116</v>
      </c>
      <c r="F541" s="1" t="s">
        <v>1469</v>
      </c>
      <c r="G541" s="5">
        <v>38508</v>
      </c>
      <c r="H541" s="2" t="str">
        <f t="shared" si="26"/>
        <v>16 г. 4 мес. 25 дн.</v>
      </c>
      <c r="I541" s="2" t="s">
        <v>26</v>
      </c>
      <c r="J541" s="2" t="s">
        <v>32</v>
      </c>
      <c r="K541" s="1" t="s">
        <v>1470</v>
      </c>
      <c r="L541" s="1" t="s">
        <v>1471</v>
      </c>
      <c r="M541" s="2" t="s">
        <v>60</v>
      </c>
      <c r="N541" s="1">
        <v>0</v>
      </c>
      <c r="O541" s="2" t="s">
        <v>82</v>
      </c>
      <c r="P541" s="2" t="s">
        <v>32</v>
      </c>
      <c r="Q541" s="5">
        <v>44501</v>
      </c>
      <c r="R541" s="6"/>
    </row>
    <row r="542" spans="1:18" ht="25.5" x14ac:dyDescent="0.25">
      <c r="A542" s="2">
        <f t="shared" si="28"/>
        <v>541</v>
      </c>
      <c r="B542" s="2">
        <v>623</v>
      </c>
      <c r="C542" s="2" t="s">
        <v>36</v>
      </c>
      <c r="D542" s="5">
        <v>44499</v>
      </c>
      <c r="E542" s="10">
        <v>0.52083333333333337</v>
      </c>
      <c r="F542" s="1" t="s">
        <v>1472</v>
      </c>
      <c r="G542" s="5">
        <v>44425</v>
      </c>
      <c r="H542" s="2" t="str">
        <f t="shared" si="26"/>
        <v>0 г. 2 мес. 13 дн.</v>
      </c>
      <c r="I542" s="2" t="s">
        <v>25</v>
      </c>
      <c r="J542" s="2" t="s">
        <v>36</v>
      </c>
      <c r="K542" s="1" t="s">
        <v>1473</v>
      </c>
      <c r="L542" s="1" t="s">
        <v>142</v>
      </c>
      <c r="M542" s="2" t="s">
        <v>59</v>
      </c>
      <c r="N542" s="1">
        <v>0</v>
      </c>
      <c r="O542" s="2" t="s">
        <v>82</v>
      </c>
      <c r="P542" s="2" t="s">
        <v>36</v>
      </c>
      <c r="Q542" s="5">
        <v>44501</v>
      </c>
      <c r="R542" s="6"/>
    </row>
    <row r="543" spans="1:18" ht="38.25" x14ac:dyDescent="0.25">
      <c r="A543" s="2">
        <f t="shared" si="28"/>
        <v>542</v>
      </c>
      <c r="B543" s="2"/>
      <c r="C543" s="2" t="s">
        <v>38</v>
      </c>
      <c r="D543" s="5">
        <v>44499</v>
      </c>
      <c r="E543" s="10">
        <v>0.4826388888888889</v>
      </c>
      <c r="F543" s="1" t="s">
        <v>494</v>
      </c>
      <c r="G543" s="5">
        <v>42972</v>
      </c>
      <c r="H543" s="2" t="str">
        <f t="shared" si="26"/>
        <v>4 г. 2 мес. 5 дн.</v>
      </c>
      <c r="I543" s="2" t="s">
        <v>25</v>
      </c>
      <c r="J543" s="2" t="s">
        <v>38</v>
      </c>
      <c r="K543" s="1" t="s">
        <v>495</v>
      </c>
      <c r="L543" s="1" t="s">
        <v>204</v>
      </c>
      <c r="M543" s="2" t="s">
        <v>57</v>
      </c>
      <c r="N543" s="1">
        <v>0</v>
      </c>
      <c r="O543" s="2" t="s">
        <v>82</v>
      </c>
      <c r="P543" s="2" t="s">
        <v>38</v>
      </c>
      <c r="Q543" s="5">
        <v>44500</v>
      </c>
      <c r="R543" s="6"/>
    </row>
    <row r="544" spans="1:18" ht="25.5" x14ac:dyDescent="0.25">
      <c r="A544" s="2">
        <f t="shared" si="28"/>
        <v>543</v>
      </c>
      <c r="B544" s="2">
        <v>2141</v>
      </c>
      <c r="C544" s="2" t="s">
        <v>31</v>
      </c>
      <c r="D544" s="5">
        <v>44501</v>
      </c>
      <c r="E544" s="10">
        <v>0.65277777777777779</v>
      </c>
      <c r="F544" s="1" t="s">
        <v>1474</v>
      </c>
      <c r="G544" s="5">
        <v>38577</v>
      </c>
      <c r="H544" s="2" t="str">
        <f t="shared" si="26"/>
        <v>16 г. 2 мес. 19 дн.</v>
      </c>
      <c r="I544" s="2" t="s">
        <v>100</v>
      </c>
      <c r="J544" s="2" t="s">
        <v>31</v>
      </c>
      <c r="K544" s="1" t="s">
        <v>1475</v>
      </c>
      <c r="L544" s="1" t="s">
        <v>1341</v>
      </c>
      <c r="M544" s="2" t="s">
        <v>65</v>
      </c>
      <c r="N544" s="1">
        <v>0</v>
      </c>
      <c r="O544" s="2" t="s">
        <v>82</v>
      </c>
      <c r="P544" s="2" t="s">
        <v>31</v>
      </c>
      <c r="Q544" s="5">
        <v>44502</v>
      </c>
      <c r="R544" s="6"/>
    </row>
    <row r="545" spans="1:18" ht="25.5" x14ac:dyDescent="0.25">
      <c r="A545" s="2">
        <f t="shared" si="28"/>
        <v>544</v>
      </c>
      <c r="B545" s="2">
        <v>2138</v>
      </c>
      <c r="C545" s="2" t="s">
        <v>31</v>
      </c>
      <c r="D545" s="5">
        <v>44501</v>
      </c>
      <c r="E545" s="10">
        <v>0.71180555555555547</v>
      </c>
      <c r="F545" s="1" t="s">
        <v>1476</v>
      </c>
      <c r="G545" s="5">
        <v>42310</v>
      </c>
      <c r="H545" s="2" t="str">
        <f t="shared" si="26"/>
        <v>5 г. 11 мес. 30 дн.</v>
      </c>
      <c r="I545" s="2" t="s">
        <v>26</v>
      </c>
      <c r="J545" s="2" t="s">
        <v>31</v>
      </c>
      <c r="K545" s="1" t="s">
        <v>1477</v>
      </c>
      <c r="L545" s="1" t="s">
        <v>423</v>
      </c>
      <c r="M545" s="2" t="s">
        <v>60</v>
      </c>
      <c r="N545" s="1">
        <v>0</v>
      </c>
      <c r="O545" s="2" t="s">
        <v>82</v>
      </c>
      <c r="P545" s="2" t="s">
        <v>31</v>
      </c>
      <c r="Q545" s="5">
        <v>44502</v>
      </c>
      <c r="R545" s="6"/>
    </row>
    <row r="546" spans="1:18" ht="25.5" x14ac:dyDescent="0.25">
      <c r="A546" s="2">
        <f t="shared" si="28"/>
        <v>545</v>
      </c>
      <c r="B546" s="2">
        <v>2142</v>
      </c>
      <c r="C546" s="2" t="s">
        <v>31</v>
      </c>
      <c r="D546" s="5">
        <v>44501</v>
      </c>
      <c r="E546" s="10">
        <v>0.9291666666666667</v>
      </c>
      <c r="F546" s="1" t="s">
        <v>1479</v>
      </c>
      <c r="G546" s="5">
        <v>41203</v>
      </c>
      <c r="H546" s="2" t="str">
        <f t="shared" si="26"/>
        <v>9 г. 0 мес. 11 дн.</v>
      </c>
      <c r="I546" s="2" t="s">
        <v>26</v>
      </c>
      <c r="J546" s="2" t="s">
        <v>31</v>
      </c>
      <c r="K546" s="1" t="s">
        <v>1480</v>
      </c>
      <c r="L546" s="1" t="s">
        <v>1478</v>
      </c>
      <c r="M546" s="2" t="s">
        <v>60</v>
      </c>
      <c r="N546" s="1">
        <v>0</v>
      </c>
      <c r="O546" s="2" t="s">
        <v>82</v>
      </c>
      <c r="P546" s="2" t="s">
        <v>31</v>
      </c>
      <c r="Q546" s="5">
        <v>44502</v>
      </c>
      <c r="R546" s="6"/>
    </row>
    <row r="547" spans="1:18" ht="38.25" x14ac:dyDescent="0.25">
      <c r="A547" s="2">
        <f t="shared" si="28"/>
        <v>546</v>
      </c>
      <c r="B547" s="2">
        <v>481</v>
      </c>
      <c r="C547" s="2" t="s">
        <v>38</v>
      </c>
      <c r="D547" s="5">
        <v>44502</v>
      </c>
      <c r="E547" s="10">
        <v>0.75</v>
      </c>
      <c r="F547" s="1" t="s">
        <v>543</v>
      </c>
      <c r="G547" s="5">
        <v>41762</v>
      </c>
      <c r="H547" s="2" t="str">
        <f t="shared" si="26"/>
        <v>7 г. 5 мес. 30 дн.</v>
      </c>
      <c r="I547" s="2" t="s">
        <v>27</v>
      </c>
      <c r="J547" s="2" t="s">
        <v>38</v>
      </c>
      <c r="K547" s="1" t="s">
        <v>1481</v>
      </c>
      <c r="L547" s="1" t="s">
        <v>600</v>
      </c>
      <c r="M547" s="2" t="s">
        <v>57</v>
      </c>
      <c r="N547" s="1">
        <v>0</v>
      </c>
      <c r="O547" s="2" t="s">
        <v>89</v>
      </c>
      <c r="P547" s="2" t="s">
        <v>38</v>
      </c>
      <c r="Q547" s="5">
        <v>44503</v>
      </c>
      <c r="R547" s="6"/>
    </row>
    <row r="548" spans="1:18" ht="38.25" x14ac:dyDescent="0.25">
      <c r="A548" s="2">
        <f t="shared" si="28"/>
        <v>547</v>
      </c>
      <c r="B548" s="2">
        <v>479</v>
      </c>
      <c r="C548" s="2" t="s">
        <v>38</v>
      </c>
      <c r="D548" s="5">
        <v>44502</v>
      </c>
      <c r="E548" s="10">
        <v>0.66666666666666663</v>
      </c>
      <c r="F548" s="1" t="s">
        <v>1482</v>
      </c>
      <c r="G548" s="5">
        <v>43164</v>
      </c>
      <c r="H548" s="2" t="str">
        <f t="shared" si="26"/>
        <v>3 г. 7 мес. 28 дн.</v>
      </c>
      <c r="I548" s="2" t="s">
        <v>27</v>
      </c>
      <c r="J548" s="2" t="s">
        <v>38</v>
      </c>
      <c r="K548" s="1" t="s">
        <v>1483</v>
      </c>
      <c r="L548" s="1" t="s">
        <v>1484</v>
      </c>
      <c r="M548" s="2" t="s">
        <v>57</v>
      </c>
      <c r="N548" s="1">
        <v>0</v>
      </c>
      <c r="O548" s="2" t="s">
        <v>82</v>
      </c>
      <c r="P548" s="2" t="s">
        <v>38</v>
      </c>
      <c r="Q548" s="5">
        <v>44503</v>
      </c>
      <c r="R548" s="6"/>
    </row>
    <row r="549" spans="1:18" ht="38.25" x14ac:dyDescent="0.25">
      <c r="A549" s="2">
        <f t="shared" si="28"/>
        <v>548</v>
      </c>
      <c r="B549" s="2">
        <v>896</v>
      </c>
      <c r="C549" s="2" t="s">
        <v>37</v>
      </c>
      <c r="D549" s="5">
        <v>44503</v>
      </c>
      <c r="E549" s="10">
        <v>0.5</v>
      </c>
      <c r="F549" s="1" t="s">
        <v>1485</v>
      </c>
      <c r="G549" s="5">
        <v>44503</v>
      </c>
      <c r="H549" s="2" t="str">
        <f t="shared" si="26"/>
        <v>0 г. 0 мес. 0 дн.</v>
      </c>
      <c r="I549" s="2" t="s">
        <v>25</v>
      </c>
      <c r="J549" s="2" t="s">
        <v>37</v>
      </c>
      <c r="K549" s="1" t="s">
        <v>1486</v>
      </c>
      <c r="L549" s="1" t="s">
        <v>1487</v>
      </c>
      <c r="M549" s="2" t="s">
        <v>53</v>
      </c>
      <c r="N549" s="1">
        <v>0</v>
      </c>
      <c r="O549" s="2" t="s">
        <v>88</v>
      </c>
      <c r="P549" s="2"/>
      <c r="Q549" s="2">
        <v>0</v>
      </c>
      <c r="R549" s="6"/>
    </row>
    <row r="550" spans="1:18" ht="38.25" x14ac:dyDescent="0.25">
      <c r="A550" s="2">
        <f t="shared" si="28"/>
        <v>549</v>
      </c>
      <c r="B550" s="2">
        <v>1176</v>
      </c>
      <c r="C550" s="2" t="s">
        <v>33</v>
      </c>
      <c r="D550" s="5">
        <v>44503</v>
      </c>
      <c r="E550" s="10">
        <v>0.15972222222222224</v>
      </c>
      <c r="F550" s="1" t="s">
        <v>1488</v>
      </c>
      <c r="G550" s="5">
        <v>38157</v>
      </c>
      <c r="H550" s="2" t="str">
        <f t="shared" si="26"/>
        <v>17 г. 4 мес. 15 дн.</v>
      </c>
      <c r="I550" s="2" t="s">
        <v>26</v>
      </c>
      <c r="J550" s="2" t="s">
        <v>34</v>
      </c>
      <c r="K550" s="1" t="s">
        <v>1489</v>
      </c>
      <c r="L550" s="1" t="s">
        <v>1490</v>
      </c>
      <c r="M550" s="2" t="s">
        <v>62</v>
      </c>
      <c r="N550" s="1">
        <v>0</v>
      </c>
      <c r="O550" s="2" t="s">
        <v>82</v>
      </c>
      <c r="P550" s="2" t="s">
        <v>33</v>
      </c>
      <c r="Q550" s="5">
        <v>44504</v>
      </c>
      <c r="R550" s="6"/>
    </row>
    <row r="551" spans="1:18" ht="38.25" x14ac:dyDescent="0.25">
      <c r="A551" s="2">
        <f t="shared" si="28"/>
        <v>550</v>
      </c>
      <c r="B551" s="2">
        <v>483</v>
      </c>
      <c r="C551" s="2" t="s">
        <v>38</v>
      </c>
      <c r="D551" s="5">
        <v>44200</v>
      </c>
      <c r="E551" s="10">
        <v>0.27777777777777779</v>
      </c>
      <c r="F551" s="1" t="s">
        <v>1491</v>
      </c>
      <c r="G551" s="5">
        <v>42298</v>
      </c>
      <c r="H551" s="2" t="str">
        <f t="shared" si="26"/>
        <v>5 г. 2 мес. 14 дн.</v>
      </c>
      <c r="I551" s="2" t="s">
        <v>25</v>
      </c>
      <c r="J551" s="2" t="s">
        <v>38</v>
      </c>
      <c r="K551" s="1" t="s">
        <v>1492</v>
      </c>
      <c r="L551" s="1" t="s">
        <v>1493</v>
      </c>
      <c r="M551" s="2" t="s">
        <v>57</v>
      </c>
      <c r="N551" s="1">
        <v>0</v>
      </c>
      <c r="O551" s="2" t="s">
        <v>82</v>
      </c>
      <c r="P551" s="2"/>
      <c r="Q551" s="2">
        <v>0</v>
      </c>
      <c r="R551" s="6"/>
    </row>
    <row r="552" spans="1:18" ht="25.5" x14ac:dyDescent="0.25">
      <c r="A552" s="2">
        <f t="shared" si="28"/>
        <v>551</v>
      </c>
      <c r="B552" s="2"/>
      <c r="C552" s="2" t="s">
        <v>36</v>
      </c>
      <c r="D552" s="5">
        <v>44504</v>
      </c>
      <c r="E552" s="2"/>
      <c r="F552" s="1" t="s">
        <v>1494</v>
      </c>
      <c r="G552" s="2"/>
      <c r="H552" s="2" t="str">
        <f t="shared" si="26"/>
        <v>121 г. 10 мес. 4 дн.</v>
      </c>
      <c r="I552" s="2" t="s">
        <v>25</v>
      </c>
      <c r="J552" s="2" t="s">
        <v>36</v>
      </c>
      <c r="K552" s="2"/>
      <c r="L552" s="1" t="s">
        <v>1495</v>
      </c>
      <c r="M552" s="2" t="s">
        <v>66</v>
      </c>
      <c r="N552" s="1">
        <v>0</v>
      </c>
      <c r="O552" s="2" t="s">
        <v>82</v>
      </c>
      <c r="P552" s="2"/>
      <c r="Q552" s="2">
        <v>0</v>
      </c>
      <c r="R552" s="6"/>
    </row>
    <row r="553" spans="1:18" x14ac:dyDescent="0.25">
      <c r="A553" s="2">
        <f t="shared" si="28"/>
        <v>552</v>
      </c>
      <c r="B553" s="2"/>
      <c r="C553" s="2"/>
      <c r="D553" s="2"/>
      <c r="E553" s="2"/>
      <c r="F553" s="2"/>
      <c r="G553" s="2"/>
      <c r="H553" s="2" t="str">
        <f t="shared" si="26"/>
        <v>0 г. 0 мес. 0 дн.</v>
      </c>
      <c r="I553" s="2"/>
      <c r="J553" s="2"/>
      <c r="K553" s="2"/>
      <c r="L553" s="2"/>
      <c r="M553" s="2"/>
      <c r="N553" s="1">
        <v>0</v>
      </c>
      <c r="O553" s="2"/>
      <c r="P553" s="2"/>
      <c r="Q553" s="2">
        <v>0</v>
      </c>
      <c r="R553" s="6"/>
    </row>
    <row r="554" spans="1:18" x14ac:dyDescent="0.25">
      <c r="A554" s="2">
        <f t="shared" si="28"/>
        <v>553</v>
      </c>
      <c r="B554" s="2"/>
      <c r="C554" s="2"/>
      <c r="D554" s="2"/>
      <c r="E554" s="2"/>
      <c r="F554" s="2"/>
      <c r="G554" s="2"/>
      <c r="H554" s="2" t="str">
        <f t="shared" si="26"/>
        <v>0 г. 0 мес. 0 дн.</v>
      </c>
      <c r="I554" s="2"/>
      <c r="J554" s="2"/>
      <c r="K554" s="2"/>
      <c r="L554" s="2"/>
      <c r="M554" s="2"/>
      <c r="N554" s="1">
        <v>0</v>
      </c>
      <c r="O554" s="2"/>
      <c r="P554" s="2"/>
      <c r="Q554" s="2">
        <v>0</v>
      </c>
      <c r="R554" s="6"/>
    </row>
    <row r="555" spans="1:18" x14ac:dyDescent="0.25">
      <c r="A555" s="2">
        <f t="shared" si="28"/>
        <v>554</v>
      </c>
      <c r="B555" s="2"/>
      <c r="C555" s="2"/>
      <c r="D555" s="2"/>
      <c r="E555" s="2"/>
      <c r="F555" s="2"/>
      <c r="G555" s="2"/>
      <c r="H555" s="2" t="str">
        <f t="shared" si="26"/>
        <v>0 г. 0 мес. 0 дн.</v>
      </c>
      <c r="I555" s="2"/>
      <c r="J555" s="2"/>
      <c r="K555" s="2"/>
      <c r="L555" s="2"/>
      <c r="M555" s="2"/>
      <c r="N555" s="1">
        <v>0</v>
      </c>
      <c r="O555" s="2"/>
      <c r="P555" s="2"/>
      <c r="Q555" s="2">
        <v>0</v>
      </c>
      <c r="R555" s="6"/>
    </row>
    <row r="556" spans="1:18" x14ac:dyDescent="0.25">
      <c r="A556" s="2">
        <f t="shared" si="28"/>
        <v>555</v>
      </c>
      <c r="B556" s="2"/>
      <c r="C556" s="2"/>
      <c r="D556" s="2"/>
      <c r="E556" s="2"/>
      <c r="F556" s="2"/>
      <c r="G556" s="2"/>
      <c r="H556" s="2" t="str">
        <f t="shared" si="26"/>
        <v>0 г. 0 мес. 0 дн.</v>
      </c>
      <c r="I556" s="2"/>
      <c r="J556" s="2"/>
      <c r="K556" s="2"/>
      <c r="L556" s="2"/>
      <c r="M556" s="2"/>
      <c r="N556" s="1">
        <v>0</v>
      </c>
      <c r="O556" s="2"/>
      <c r="P556" s="2"/>
      <c r="Q556" s="2">
        <v>0</v>
      </c>
      <c r="R556" s="6"/>
    </row>
    <row r="557" spans="1:18" x14ac:dyDescent="0.25">
      <c r="A557" s="2">
        <f t="shared" si="28"/>
        <v>556</v>
      </c>
      <c r="B557" s="2"/>
      <c r="C557" s="2"/>
      <c r="D557" s="2"/>
      <c r="E557" s="2"/>
      <c r="F557" s="2"/>
      <c r="G557" s="2"/>
      <c r="H557" s="2" t="str">
        <f t="shared" si="26"/>
        <v>0 г. 0 мес. 0 дн.</v>
      </c>
      <c r="I557" s="2"/>
      <c r="J557" s="2"/>
      <c r="K557" s="2"/>
      <c r="L557" s="2"/>
      <c r="M557" s="2"/>
      <c r="N557" s="1">
        <v>0</v>
      </c>
      <c r="O557" s="2"/>
      <c r="P557" s="2"/>
      <c r="Q557" s="2">
        <v>0</v>
      </c>
      <c r="R557" s="6"/>
    </row>
    <row r="558" spans="1:18" x14ac:dyDescent="0.25">
      <c r="A558" s="2">
        <f t="shared" si="28"/>
        <v>557</v>
      </c>
      <c r="B558" s="2"/>
      <c r="C558" s="2"/>
      <c r="D558" s="2"/>
      <c r="E558" s="2"/>
      <c r="F558" s="2"/>
      <c r="G558" s="2"/>
      <c r="H558" s="2" t="str">
        <f t="shared" si="26"/>
        <v>0 г. 0 мес. 0 дн.</v>
      </c>
      <c r="I558" s="2"/>
      <c r="J558" s="2"/>
      <c r="K558" s="2"/>
      <c r="L558" s="2"/>
      <c r="M558" s="2"/>
      <c r="N558" s="1">
        <v>0</v>
      </c>
      <c r="O558" s="2"/>
      <c r="P558" s="2"/>
      <c r="Q558" s="2">
        <v>0</v>
      </c>
      <c r="R558" s="6"/>
    </row>
    <row r="559" spans="1:18" x14ac:dyDescent="0.25">
      <c r="A559" s="2">
        <f t="shared" si="28"/>
        <v>558</v>
      </c>
      <c r="B559" s="2"/>
      <c r="C559" s="2"/>
      <c r="D559" s="2"/>
      <c r="E559" s="2"/>
      <c r="F559" s="2"/>
      <c r="G559" s="2"/>
      <c r="H559" s="2" t="str">
        <f t="shared" si="26"/>
        <v>0 г. 0 мес. 0 дн.</v>
      </c>
      <c r="I559" s="2"/>
      <c r="J559" s="2"/>
      <c r="K559" s="2"/>
      <c r="L559" s="2"/>
      <c r="M559" s="2"/>
      <c r="N559" s="1">
        <v>0</v>
      </c>
      <c r="O559" s="2"/>
      <c r="P559" s="2"/>
      <c r="Q559" s="2">
        <v>0</v>
      </c>
      <c r="R559" s="6"/>
    </row>
    <row r="560" spans="1:18" x14ac:dyDescent="0.25">
      <c r="A560" s="2">
        <f t="shared" si="28"/>
        <v>559</v>
      </c>
      <c r="B560" s="2"/>
      <c r="C560" s="2"/>
      <c r="D560" s="2"/>
      <c r="E560" s="2"/>
      <c r="F560" s="2"/>
      <c r="G560" s="2"/>
      <c r="H560" s="2" t="str">
        <f t="shared" si="26"/>
        <v>0 г. 0 мес. 0 дн.</v>
      </c>
      <c r="I560" s="2"/>
      <c r="J560" s="2"/>
      <c r="K560" s="2"/>
      <c r="L560" s="2"/>
      <c r="M560" s="2"/>
      <c r="N560" s="1">
        <v>0</v>
      </c>
      <c r="O560" s="2"/>
      <c r="P560" s="2"/>
      <c r="Q560" s="2">
        <v>0</v>
      </c>
      <c r="R560" s="6"/>
    </row>
    <row r="561" spans="1:18" x14ac:dyDescent="0.25">
      <c r="A561" s="2">
        <f t="shared" si="28"/>
        <v>560</v>
      </c>
      <c r="B561" s="2"/>
      <c r="C561" s="2"/>
      <c r="D561" s="2"/>
      <c r="E561" s="2"/>
      <c r="F561" s="2"/>
      <c r="G561" s="2"/>
      <c r="H561" s="2" t="str">
        <f t="shared" si="26"/>
        <v>0 г. 0 мес. 0 дн.</v>
      </c>
      <c r="I561" s="2"/>
      <c r="J561" s="2"/>
      <c r="K561" s="2"/>
      <c r="L561" s="2"/>
      <c r="M561" s="2"/>
      <c r="N561" s="1">
        <v>0</v>
      </c>
      <c r="O561" s="2"/>
      <c r="P561" s="2"/>
      <c r="Q561" s="2">
        <v>0</v>
      </c>
      <c r="R561" s="6"/>
    </row>
    <row r="562" spans="1:18" x14ac:dyDescent="0.25">
      <c r="A562" s="2">
        <f t="shared" si="28"/>
        <v>561</v>
      </c>
      <c r="B562" s="2"/>
      <c r="C562" s="2"/>
      <c r="D562" s="2"/>
      <c r="E562" s="2"/>
      <c r="F562" s="2"/>
      <c r="G562" s="2"/>
      <c r="H562" s="2" t="str">
        <f t="shared" si="26"/>
        <v>0 г. 0 мес. 0 дн.</v>
      </c>
      <c r="I562" s="2"/>
      <c r="J562" s="2"/>
      <c r="K562" s="2"/>
      <c r="L562" s="2"/>
      <c r="M562" s="2"/>
      <c r="N562" s="1">
        <v>0</v>
      </c>
      <c r="O562" s="2"/>
      <c r="P562" s="2"/>
      <c r="Q562" s="2">
        <v>0</v>
      </c>
      <c r="R562" s="6"/>
    </row>
    <row r="563" spans="1:18" x14ac:dyDescent="0.25">
      <c r="A563" s="2">
        <f t="shared" si="28"/>
        <v>562</v>
      </c>
      <c r="B563" s="2"/>
      <c r="C563" s="2"/>
      <c r="D563" s="2"/>
      <c r="E563" s="2"/>
      <c r="F563" s="2"/>
      <c r="G563" s="2"/>
      <c r="H563" s="2" t="str">
        <f t="shared" si="26"/>
        <v>0 г. 0 мес. 0 дн.</v>
      </c>
      <c r="I563" s="2"/>
      <c r="J563" s="2"/>
      <c r="K563" s="2"/>
      <c r="L563" s="2"/>
      <c r="M563" s="2"/>
      <c r="N563" s="1">
        <v>0</v>
      </c>
      <c r="O563" s="2"/>
      <c r="P563" s="2"/>
      <c r="Q563" s="2">
        <v>0</v>
      </c>
      <c r="R563" s="6"/>
    </row>
    <row r="564" spans="1:18" x14ac:dyDescent="0.25">
      <c r="A564" s="2">
        <f t="shared" si="28"/>
        <v>563</v>
      </c>
      <c r="B564" s="2"/>
      <c r="C564" s="2"/>
      <c r="D564" s="2"/>
      <c r="E564" s="2"/>
      <c r="F564" s="2"/>
      <c r="G564" s="2"/>
      <c r="H564" s="2" t="str">
        <f t="shared" si="26"/>
        <v>0 г. 0 мес. 0 дн.</v>
      </c>
      <c r="I564" s="2"/>
      <c r="J564" s="2"/>
      <c r="K564" s="2"/>
      <c r="L564" s="2"/>
      <c r="M564" s="2"/>
      <c r="N564" s="1">
        <v>0</v>
      </c>
      <c r="O564" s="2"/>
      <c r="P564" s="2"/>
      <c r="Q564" s="2">
        <v>0</v>
      </c>
      <c r="R564" s="6"/>
    </row>
    <row r="565" spans="1:18" x14ac:dyDescent="0.25">
      <c r="A565" s="2">
        <f t="shared" si="28"/>
        <v>564</v>
      </c>
      <c r="B565" s="2"/>
      <c r="C565" s="2"/>
      <c r="D565" s="2"/>
      <c r="E565" s="2"/>
      <c r="F565" s="2"/>
      <c r="G565" s="2"/>
      <c r="H565" s="2" t="str">
        <f t="shared" si="26"/>
        <v>0 г. 0 мес. 0 дн.</v>
      </c>
      <c r="I565" s="2"/>
      <c r="J565" s="2"/>
      <c r="K565" s="2"/>
      <c r="L565" s="2"/>
      <c r="M565" s="2"/>
      <c r="N565" s="1">
        <v>0</v>
      </c>
      <c r="O565" s="2"/>
      <c r="P565" s="2"/>
      <c r="Q565" s="2">
        <v>0</v>
      </c>
      <c r="R565" s="6"/>
    </row>
    <row r="566" spans="1:18" x14ac:dyDescent="0.25">
      <c r="A566" s="2">
        <f t="shared" si="28"/>
        <v>565</v>
      </c>
      <c r="B566" s="2"/>
      <c r="C566" s="2"/>
      <c r="D566" s="2"/>
      <c r="E566" s="2"/>
      <c r="F566" s="2"/>
      <c r="G566" s="2"/>
      <c r="H566" s="2" t="str">
        <f t="shared" si="26"/>
        <v>0 г. 0 мес. 0 дн.</v>
      </c>
      <c r="I566" s="2"/>
      <c r="J566" s="2"/>
      <c r="K566" s="2"/>
      <c r="L566" s="2"/>
      <c r="M566" s="2"/>
      <c r="N566" s="1">
        <v>0</v>
      </c>
      <c r="O566" s="2"/>
      <c r="P566" s="2"/>
      <c r="Q566" s="2">
        <v>0</v>
      </c>
      <c r="R566" s="6"/>
    </row>
    <row r="567" spans="1:18" x14ac:dyDescent="0.25">
      <c r="A567" s="2">
        <f t="shared" si="28"/>
        <v>566</v>
      </c>
      <c r="B567" s="2"/>
      <c r="C567" s="2"/>
      <c r="D567" s="2"/>
      <c r="E567" s="2"/>
      <c r="F567" s="2"/>
      <c r="G567" s="2"/>
      <c r="H567" s="2" t="str">
        <f t="shared" si="26"/>
        <v>0 г. 0 мес. 0 дн.</v>
      </c>
      <c r="I567" s="2"/>
      <c r="J567" s="2"/>
      <c r="K567" s="2"/>
      <c r="L567" s="2"/>
      <c r="M567" s="2"/>
      <c r="N567" s="1">
        <v>0</v>
      </c>
      <c r="O567" s="2"/>
      <c r="P567" s="2"/>
      <c r="Q567" s="2">
        <v>0</v>
      </c>
      <c r="R567" s="6"/>
    </row>
    <row r="568" spans="1:18" x14ac:dyDescent="0.25">
      <c r="A568" s="2">
        <f t="shared" si="28"/>
        <v>567</v>
      </c>
      <c r="B568" s="2"/>
      <c r="C568" s="2"/>
      <c r="D568" s="2"/>
      <c r="E568" s="2"/>
      <c r="F568" s="2"/>
      <c r="G568" s="2"/>
      <c r="H568" s="2" t="str">
        <f t="shared" si="26"/>
        <v>0 г. 0 мес. 0 дн.</v>
      </c>
      <c r="I568" s="2"/>
      <c r="J568" s="2"/>
      <c r="K568" s="2"/>
      <c r="L568" s="2"/>
      <c r="M568" s="2"/>
      <c r="N568" s="1">
        <v>0</v>
      </c>
      <c r="O568" s="2"/>
      <c r="P568" s="2"/>
      <c r="Q568" s="2">
        <v>0</v>
      </c>
      <c r="R568" s="6"/>
    </row>
    <row r="569" spans="1:18" x14ac:dyDescent="0.25">
      <c r="A569" s="2">
        <f t="shared" si="28"/>
        <v>568</v>
      </c>
      <c r="B569" s="2"/>
      <c r="C569" s="2"/>
      <c r="D569" s="2"/>
      <c r="E569" s="2"/>
      <c r="F569" s="2"/>
      <c r="G569" s="2"/>
      <c r="H569" s="2" t="str">
        <f t="shared" si="26"/>
        <v>0 г. 0 мес. 0 дн.</v>
      </c>
      <c r="I569" s="2"/>
      <c r="J569" s="2"/>
      <c r="K569" s="2"/>
      <c r="L569" s="2"/>
      <c r="M569" s="2"/>
      <c r="N569" s="1">
        <v>0</v>
      </c>
      <c r="O569" s="2"/>
      <c r="P569" s="2"/>
      <c r="Q569" s="2">
        <v>0</v>
      </c>
      <c r="R569" s="6"/>
    </row>
    <row r="570" spans="1:18" x14ac:dyDescent="0.25">
      <c r="A570" s="2">
        <f t="shared" si="28"/>
        <v>569</v>
      </c>
      <c r="B570" s="2"/>
      <c r="C570" s="2"/>
      <c r="D570" s="2"/>
      <c r="E570" s="2"/>
      <c r="F570" s="2"/>
      <c r="G570" s="2"/>
      <c r="H570" s="2" t="str">
        <f t="shared" si="26"/>
        <v>0 г. 0 мес. 0 дн.</v>
      </c>
      <c r="I570" s="2"/>
      <c r="J570" s="2"/>
      <c r="K570" s="2"/>
      <c r="L570" s="2"/>
      <c r="M570" s="2"/>
      <c r="N570" s="1">
        <v>0</v>
      </c>
      <c r="O570" s="2"/>
      <c r="P570" s="2"/>
      <c r="Q570" s="2">
        <v>0</v>
      </c>
      <c r="R570" s="6"/>
    </row>
    <row r="571" spans="1:18" x14ac:dyDescent="0.25">
      <c r="A571" s="2">
        <f t="shared" si="28"/>
        <v>570</v>
      </c>
      <c r="B571" s="2"/>
      <c r="C571" s="2"/>
      <c r="D571" s="2"/>
      <c r="E571" s="2"/>
      <c r="F571" s="2"/>
      <c r="G571" s="2"/>
      <c r="H571" s="2" t="str">
        <f t="shared" si="26"/>
        <v>0 г. 0 мес. 0 дн.</v>
      </c>
      <c r="I571" s="2"/>
      <c r="J571" s="2"/>
      <c r="K571" s="2"/>
      <c r="L571" s="2"/>
      <c r="M571" s="2"/>
      <c r="N571" s="1">
        <v>0</v>
      </c>
      <c r="O571" s="2"/>
      <c r="P571" s="2"/>
      <c r="Q571" s="2">
        <v>0</v>
      </c>
      <c r="R571" s="6"/>
    </row>
    <row r="572" spans="1:18" x14ac:dyDescent="0.25">
      <c r="A572" s="2">
        <f t="shared" si="28"/>
        <v>571</v>
      </c>
      <c r="B572" s="2"/>
      <c r="C572" s="2"/>
      <c r="D572" s="2"/>
      <c r="E572" s="2"/>
      <c r="F572" s="2"/>
      <c r="G572" s="2"/>
      <c r="H572" s="2" t="str">
        <f t="shared" si="26"/>
        <v>0 г. 0 мес. 0 дн.</v>
      </c>
      <c r="I572" s="2"/>
      <c r="J572" s="2"/>
      <c r="K572" s="2"/>
      <c r="L572" s="2"/>
      <c r="M572" s="2"/>
      <c r="N572" s="1">
        <v>0</v>
      </c>
      <c r="O572" s="2"/>
      <c r="P572" s="2"/>
      <c r="Q572" s="2">
        <v>0</v>
      </c>
      <c r="R572" s="6"/>
    </row>
    <row r="573" spans="1:18" x14ac:dyDescent="0.25">
      <c r="A573" s="2">
        <f t="shared" si="28"/>
        <v>572</v>
      </c>
      <c r="B573" s="2"/>
      <c r="C573" s="2"/>
      <c r="D573" s="2"/>
      <c r="E573" s="2"/>
      <c r="F573" s="2"/>
      <c r="G573" s="2"/>
      <c r="H573" s="2" t="str">
        <f t="shared" si="26"/>
        <v>0 г. 0 мес. 0 дн.</v>
      </c>
      <c r="I573" s="2"/>
      <c r="J573" s="2"/>
      <c r="K573" s="2"/>
      <c r="L573" s="2"/>
      <c r="M573" s="2"/>
      <c r="N573" s="1">
        <v>0</v>
      </c>
      <c r="O573" s="2"/>
      <c r="P573" s="2"/>
      <c r="Q573" s="2">
        <v>0</v>
      </c>
      <c r="R573" s="6"/>
    </row>
    <row r="574" spans="1:18" x14ac:dyDescent="0.25">
      <c r="A574" s="2">
        <f t="shared" si="28"/>
        <v>573</v>
      </c>
      <c r="B574" s="2"/>
      <c r="C574" s="2"/>
      <c r="D574" s="2"/>
      <c r="E574" s="2"/>
      <c r="F574" s="2"/>
      <c r="G574" s="2"/>
      <c r="H574" s="2" t="str">
        <f t="shared" si="26"/>
        <v>0 г. 0 мес. 0 дн.</v>
      </c>
      <c r="I574" s="2"/>
      <c r="J574" s="2"/>
      <c r="K574" s="2"/>
      <c r="L574" s="2"/>
      <c r="M574" s="2"/>
      <c r="N574" s="1">
        <v>0</v>
      </c>
      <c r="O574" s="2"/>
      <c r="P574" s="2"/>
      <c r="Q574" s="2">
        <v>0</v>
      </c>
      <c r="R574" s="6"/>
    </row>
    <row r="575" spans="1:18" x14ac:dyDescent="0.25">
      <c r="A575" s="2">
        <f t="shared" si="28"/>
        <v>574</v>
      </c>
      <c r="B575" s="2"/>
      <c r="C575" s="2"/>
      <c r="D575" s="2"/>
      <c r="E575" s="2"/>
      <c r="F575" s="2"/>
      <c r="G575" s="2"/>
      <c r="H575" s="2" t="str">
        <f t="shared" si="26"/>
        <v>0 г. 0 мес. 0 дн.</v>
      </c>
      <c r="I575" s="2"/>
      <c r="J575" s="2"/>
      <c r="K575" s="2"/>
      <c r="L575" s="2"/>
      <c r="M575" s="2"/>
      <c r="N575" s="1">
        <v>0</v>
      </c>
      <c r="O575" s="2"/>
      <c r="P575" s="2"/>
      <c r="Q575" s="2">
        <v>0</v>
      </c>
      <c r="R575" s="6"/>
    </row>
    <row r="576" spans="1:18" x14ac:dyDescent="0.25">
      <c r="A576" s="2">
        <f t="shared" si="28"/>
        <v>575</v>
      </c>
      <c r="B576" s="2"/>
      <c r="C576" s="2"/>
      <c r="D576" s="2"/>
      <c r="E576" s="2"/>
      <c r="F576" s="2"/>
      <c r="G576" s="2"/>
      <c r="H576" s="2" t="str">
        <f t="shared" si="26"/>
        <v>0 г. 0 мес. 0 дн.</v>
      </c>
      <c r="I576" s="2"/>
      <c r="J576" s="2"/>
      <c r="K576" s="2"/>
      <c r="L576" s="2"/>
      <c r="M576" s="2"/>
      <c r="N576" s="1">
        <v>0</v>
      </c>
      <c r="O576" s="2"/>
      <c r="P576" s="2"/>
      <c r="Q576" s="2">
        <v>0</v>
      </c>
      <c r="R576" s="6"/>
    </row>
    <row r="577" spans="1:18" x14ac:dyDescent="0.25">
      <c r="A577" s="2">
        <f t="shared" si="28"/>
        <v>576</v>
      </c>
      <c r="B577" s="2"/>
      <c r="C577" s="2"/>
      <c r="D577" s="2"/>
      <c r="E577" s="2"/>
      <c r="F577" s="2"/>
      <c r="G577" s="2"/>
      <c r="H577" s="2" t="str">
        <f t="shared" si="26"/>
        <v>0 г. 0 мес. 0 дн.</v>
      </c>
      <c r="I577" s="2"/>
      <c r="J577" s="2"/>
      <c r="K577" s="2"/>
      <c r="L577" s="2"/>
      <c r="M577" s="2"/>
      <c r="N577" s="1">
        <v>0</v>
      </c>
      <c r="O577" s="2"/>
      <c r="P577" s="2"/>
      <c r="Q577" s="2">
        <v>0</v>
      </c>
      <c r="R577" s="6"/>
    </row>
    <row r="578" spans="1:18" x14ac:dyDescent="0.25">
      <c r="A578" s="2">
        <f t="shared" si="28"/>
        <v>577</v>
      </c>
      <c r="B578" s="2"/>
      <c r="C578" s="2"/>
      <c r="D578" s="2"/>
      <c r="E578" s="2"/>
      <c r="F578" s="2"/>
      <c r="G578" s="2"/>
      <c r="H578" s="2" t="str">
        <f t="shared" si="26"/>
        <v>0 г. 0 мес. 0 дн.</v>
      </c>
      <c r="I578" s="2"/>
      <c r="J578" s="2"/>
      <c r="K578" s="2"/>
      <c r="L578" s="2"/>
      <c r="M578" s="2"/>
      <c r="N578" s="1">
        <v>0</v>
      </c>
      <c r="O578" s="2"/>
      <c r="P578" s="2"/>
      <c r="Q578" s="2">
        <v>0</v>
      </c>
      <c r="R578" s="6"/>
    </row>
    <row r="579" spans="1:18" x14ac:dyDescent="0.25">
      <c r="A579" s="2">
        <f t="shared" si="28"/>
        <v>578</v>
      </c>
      <c r="B579" s="2"/>
      <c r="C579" s="2"/>
      <c r="D579" s="2"/>
      <c r="E579" s="2"/>
      <c r="F579" s="2"/>
      <c r="G579" s="2"/>
      <c r="H579" s="2" t="str">
        <f t="shared" si="26"/>
        <v>0 г. 0 мес. 0 дн.</v>
      </c>
      <c r="I579" s="2"/>
      <c r="J579" s="2"/>
      <c r="K579" s="2"/>
      <c r="L579" s="2"/>
      <c r="M579" s="2"/>
      <c r="N579" s="1">
        <v>0</v>
      </c>
      <c r="O579" s="2"/>
      <c r="P579" s="2"/>
      <c r="Q579" s="2">
        <v>0</v>
      </c>
      <c r="R579" s="6"/>
    </row>
    <row r="580" spans="1:18" x14ac:dyDescent="0.25">
      <c r="A580" s="2">
        <f t="shared" si="28"/>
        <v>579</v>
      </c>
      <c r="B580" s="2"/>
      <c r="C580" s="2"/>
      <c r="D580" s="2"/>
      <c r="E580" s="2"/>
      <c r="F580" s="2"/>
      <c r="G580" s="2"/>
      <c r="H580" s="2" t="str">
        <f t="shared" ref="H580:H643" si="29">DATEDIF(G580,D580,"y") &amp; " г. " &amp; DATEDIF(G580,D580,"ym") &amp; " мес. " &amp; DATEDIF(G580,D580,"md") &amp; " дн."</f>
        <v>0 г. 0 мес. 0 дн.</v>
      </c>
      <c r="I580" s="2"/>
      <c r="J580" s="2"/>
      <c r="K580" s="2"/>
      <c r="L580" s="2"/>
      <c r="M580" s="2"/>
      <c r="N580" s="1">
        <v>0</v>
      </c>
      <c r="O580" s="2"/>
      <c r="P580" s="2"/>
      <c r="Q580" s="2">
        <v>0</v>
      </c>
      <c r="R580" s="6"/>
    </row>
    <row r="581" spans="1:18" x14ac:dyDescent="0.25">
      <c r="A581" s="2">
        <f t="shared" si="28"/>
        <v>580</v>
      </c>
      <c r="B581" s="2"/>
      <c r="C581" s="2"/>
      <c r="D581" s="2"/>
      <c r="E581" s="2"/>
      <c r="F581" s="2"/>
      <c r="G581" s="2"/>
      <c r="H581" s="2" t="str">
        <f t="shared" si="29"/>
        <v>0 г. 0 мес. 0 дн.</v>
      </c>
      <c r="I581" s="2"/>
      <c r="J581" s="2"/>
      <c r="K581" s="2"/>
      <c r="L581" s="2"/>
      <c r="M581" s="2"/>
      <c r="N581" s="1">
        <v>0</v>
      </c>
      <c r="O581" s="2"/>
      <c r="P581" s="2"/>
      <c r="Q581" s="2">
        <v>0</v>
      </c>
      <c r="R581" s="6"/>
    </row>
    <row r="582" spans="1:18" x14ac:dyDescent="0.25">
      <c r="A582" s="2">
        <f t="shared" si="28"/>
        <v>581</v>
      </c>
      <c r="B582" s="2"/>
      <c r="C582" s="2"/>
      <c r="D582" s="2"/>
      <c r="E582" s="2"/>
      <c r="F582" s="2"/>
      <c r="G582" s="2"/>
      <c r="H582" s="2" t="str">
        <f t="shared" si="29"/>
        <v>0 г. 0 мес. 0 дн.</v>
      </c>
      <c r="I582" s="2"/>
      <c r="J582" s="2"/>
      <c r="K582" s="2"/>
      <c r="L582" s="2"/>
      <c r="M582" s="2"/>
      <c r="N582" s="1">
        <v>0</v>
      </c>
      <c r="O582" s="2"/>
      <c r="P582" s="2"/>
      <c r="Q582" s="2">
        <v>0</v>
      </c>
      <c r="R582" s="6"/>
    </row>
    <row r="583" spans="1:18" x14ac:dyDescent="0.25">
      <c r="A583" s="2">
        <f t="shared" si="28"/>
        <v>582</v>
      </c>
      <c r="B583" s="2"/>
      <c r="C583" s="2"/>
      <c r="D583" s="2"/>
      <c r="E583" s="2"/>
      <c r="F583" s="2"/>
      <c r="G583" s="2"/>
      <c r="H583" s="2" t="str">
        <f t="shared" si="29"/>
        <v>0 г. 0 мес. 0 дн.</v>
      </c>
      <c r="I583" s="2"/>
      <c r="J583" s="2"/>
      <c r="K583" s="2"/>
      <c r="L583" s="2"/>
      <c r="M583" s="2"/>
      <c r="N583" s="1">
        <v>0</v>
      </c>
      <c r="O583" s="2"/>
      <c r="P583" s="2"/>
      <c r="Q583" s="2">
        <v>0</v>
      </c>
      <c r="R583" s="6"/>
    </row>
    <row r="584" spans="1:18" x14ac:dyDescent="0.25">
      <c r="A584" s="2">
        <f t="shared" si="28"/>
        <v>583</v>
      </c>
      <c r="B584" s="2"/>
      <c r="C584" s="2"/>
      <c r="D584" s="2"/>
      <c r="E584" s="2"/>
      <c r="F584" s="2"/>
      <c r="G584" s="2"/>
      <c r="H584" s="2" t="str">
        <f t="shared" si="29"/>
        <v>0 г. 0 мес. 0 дн.</v>
      </c>
      <c r="I584" s="2"/>
      <c r="J584" s="2"/>
      <c r="K584" s="2"/>
      <c r="L584" s="2"/>
      <c r="M584" s="2"/>
      <c r="N584" s="1">
        <v>0</v>
      </c>
      <c r="O584" s="2"/>
      <c r="P584" s="2"/>
      <c r="Q584" s="2">
        <v>0</v>
      </c>
      <c r="R584" s="6"/>
    </row>
    <row r="585" spans="1:18" x14ac:dyDescent="0.25">
      <c r="A585" s="2">
        <f t="shared" si="28"/>
        <v>584</v>
      </c>
      <c r="B585" s="2"/>
      <c r="C585" s="2"/>
      <c r="D585" s="2"/>
      <c r="E585" s="2"/>
      <c r="F585" s="2"/>
      <c r="G585" s="2"/>
      <c r="H585" s="2" t="str">
        <f t="shared" si="29"/>
        <v>0 г. 0 мес. 0 дн.</v>
      </c>
      <c r="I585" s="2"/>
      <c r="J585" s="2"/>
      <c r="K585" s="2"/>
      <c r="L585" s="2"/>
      <c r="M585" s="2"/>
      <c r="N585" s="1">
        <v>0</v>
      </c>
      <c r="O585" s="2"/>
      <c r="P585" s="2"/>
      <c r="Q585" s="2">
        <v>0</v>
      </c>
      <c r="R585" s="6"/>
    </row>
    <row r="586" spans="1:18" x14ac:dyDescent="0.25">
      <c r="A586" s="2">
        <f t="shared" si="28"/>
        <v>585</v>
      </c>
      <c r="B586" s="2"/>
      <c r="C586" s="2"/>
      <c r="D586" s="2"/>
      <c r="E586" s="2"/>
      <c r="F586" s="2"/>
      <c r="G586" s="2"/>
      <c r="H586" s="2" t="str">
        <f t="shared" si="29"/>
        <v>0 г. 0 мес. 0 дн.</v>
      </c>
      <c r="I586" s="2"/>
      <c r="J586" s="2"/>
      <c r="K586" s="2"/>
      <c r="L586" s="2"/>
      <c r="M586" s="2"/>
      <c r="N586" s="1">
        <v>0</v>
      </c>
      <c r="O586" s="2"/>
      <c r="P586" s="2"/>
      <c r="Q586" s="2">
        <v>0</v>
      </c>
      <c r="R586" s="6"/>
    </row>
    <row r="587" spans="1:18" x14ac:dyDescent="0.25">
      <c r="A587" s="2">
        <f t="shared" si="28"/>
        <v>586</v>
      </c>
      <c r="B587" s="2"/>
      <c r="C587" s="2"/>
      <c r="D587" s="2"/>
      <c r="E587" s="2"/>
      <c r="F587" s="2"/>
      <c r="G587" s="2"/>
      <c r="H587" s="2" t="str">
        <f t="shared" si="29"/>
        <v>0 г. 0 мес. 0 дн.</v>
      </c>
      <c r="I587" s="2"/>
      <c r="J587" s="2"/>
      <c r="K587" s="2"/>
      <c r="L587" s="2"/>
      <c r="M587" s="2"/>
      <c r="N587" s="1">
        <v>0</v>
      </c>
      <c r="O587" s="2"/>
      <c r="P587" s="2"/>
      <c r="Q587" s="2">
        <v>0</v>
      </c>
      <c r="R587" s="6"/>
    </row>
    <row r="588" spans="1:18" x14ac:dyDescent="0.25">
      <c r="A588" s="2">
        <f t="shared" si="28"/>
        <v>587</v>
      </c>
      <c r="B588" s="2"/>
      <c r="C588" s="2"/>
      <c r="D588" s="2"/>
      <c r="E588" s="2"/>
      <c r="F588" s="2"/>
      <c r="G588" s="2"/>
      <c r="H588" s="2" t="str">
        <f t="shared" si="29"/>
        <v>0 г. 0 мес. 0 дн.</v>
      </c>
      <c r="I588" s="2"/>
      <c r="J588" s="2"/>
      <c r="K588" s="2"/>
      <c r="L588" s="2"/>
      <c r="M588" s="2"/>
      <c r="N588" s="1">
        <v>0</v>
      </c>
      <c r="O588" s="2"/>
      <c r="P588" s="2"/>
      <c r="Q588" s="2">
        <v>0</v>
      </c>
      <c r="R588" s="6"/>
    </row>
    <row r="589" spans="1:18" x14ac:dyDescent="0.25">
      <c r="A589" s="2">
        <f t="shared" si="28"/>
        <v>588</v>
      </c>
      <c r="B589" s="2"/>
      <c r="C589" s="2"/>
      <c r="D589" s="2"/>
      <c r="E589" s="2"/>
      <c r="F589" s="2"/>
      <c r="G589" s="2"/>
      <c r="H589" s="2" t="str">
        <f t="shared" si="29"/>
        <v>0 г. 0 мес. 0 дн.</v>
      </c>
      <c r="I589" s="2"/>
      <c r="J589" s="2"/>
      <c r="K589" s="2"/>
      <c r="L589" s="2"/>
      <c r="M589" s="2"/>
      <c r="N589" s="1">
        <v>0</v>
      </c>
      <c r="O589" s="2"/>
      <c r="P589" s="2"/>
      <c r="Q589" s="2">
        <v>0</v>
      </c>
      <c r="R589" s="6"/>
    </row>
    <row r="590" spans="1:18" x14ac:dyDescent="0.25">
      <c r="A590" s="2">
        <f t="shared" si="28"/>
        <v>589</v>
      </c>
      <c r="B590" s="2"/>
      <c r="C590" s="2"/>
      <c r="D590" s="2"/>
      <c r="E590" s="2"/>
      <c r="F590" s="2"/>
      <c r="G590" s="2"/>
      <c r="H590" s="2" t="str">
        <f t="shared" si="29"/>
        <v>0 г. 0 мес. 0 дн.</v>
      </c>
      <c r="I590" s="2"/>
      <c r="J590" s="2"/>
      <c r="K590" s="2"/>
      <c r="L590" s="2"/>
      <c r="M590" s="2"/>
      <c r="N590" s="1">
        <v>0</v>
      </c>
      <c r="O590" s="2"/>
      <c r="P590" s="2"/>
      <c r="Q590" s="2">
        <v>0</v>
      </c>
      <c r="R590" s="6"/>
    </row>
    <row r="591" spans="1:18" x14ac:dyDescent="0.25">
      <c r="A591" s="2">
        <f t="shared" si="28"/>
        <v>590</v>
      </c>
      <c r="B591" s="2"/>
      <c r="C591" s="2"/>
      <c r="D591" s="2"/>
      <c r="E591" s="2"/>
      <c r="F591" s="2"/>
      <c r="G591" s="2"/>
      <c r="H591" s="2" t="str">
        <f t="shared" si="29"/>
        <v>0 г. 0 мес. 0 дн.</v>
      </c>
      <c r="I591" s="2"/>
      <c r="J591" s="2"/>
      <c r="K591" s="2"/>
      <c r="L591" s="2"/>
      <c r="M591" s="2"/>
      <c r="N591" s="1">
        <v>0</v>
      </c>
      <c r="O591" s="2"/>
      <c r="P591" s="2"/>
      <c r="Q591" s="2">
        <v>0</v>
      </c>
      <c r="R591" s="6"/>
    </row>
    <row r="592" spans="1:18" x14ac:dyDescent="0.25">
      <c r="A592" s="2">
        <f t="shared" si="28"/>
        <v>591</v>
      </c>
      <c r="B592" s="2"/>
      <c r="C592" s="2"/>
      <c r="D592" s="2"/>
      <c r="E592" s="2"/>
      <c r="F592" s="2"/>
      <c r="G592" s="2"/>
      <c r="H592" s="2" t="str">
        <f t="shared" si="29"/>
        <v>0 г. 0 мес. 0 дн.</v>
      </c>
      <c r="I592" s="2"/>
      <c r="J592" s="2"/>
      <c r="K592" s="2"/>
      <c r="L592" s="2"/>
      <c r="M592" s="2"/>
      <c r="N592" s="1">
        <v>0</v>
      </c>
      <c r="O592" s="2"/>
      <c r="P592" s="2"/>
      <c r="Q592" s="2">
        <v>0</v>
      </c>
      <c r="R592" s="6"/>
    </row>
    <row r="593" spans="1:18" x14ac:dyDescent="0.25">
      <c r="A593" s="2">
        <f t="shared" si="28"/>
        <v>592</v>
      </c>
      <c r="B593" s="2"/>
      <c r="C593" s="2"/>
      <c r="D593" s="2"/>
      <c r="E593" s="2"/>
      <c r="F593" s="2"/>
      <c r="G593" s="2"/>
      <c r="H593" s="2" t="str">
        <f t="shared" si="29"/>
        <v>0 г. 0 мес. 0 дн.</v>
      </c>
      <c r="I593" s="2"/>
      <c r="J593" s="2"/>
      <c r="K593" s="2"/>
      <c r="L593" s="2"/>
      <c r="M593" s="2"/>
      <c r="N593" s="1">
        <v>0</v>
      </c>
      <c r="O593" s="2"/>
      <c r="P593" s="2"/>
      <c r="Q593" s="2">
        <v>0</v>
      </c>
      <c r="R593" s="6"/>
    </row>
    <row r="594" spans="1:18" x14ac:dyDescent="0.25">
      <c r="A594" s="2">
        <f t="shared" si="28"/>
        <v>593</v>
      </c>
      <c r="B594" s="2"/>
      <c r="C594" s="2"/>
      <c r="D594" s="2"/>
      <c r="E594" s="2"/>
      <c r="F594" s="2"/>
      <c r="G594" s="2"/>
      <c r="H594" s="2" t="str">
        <f t="shared" si="29"/>
        <v>0 г. 0 мес. 0 дн.</v>
      </c>
      <c r="I594" s="2"/>
      <c r="J594" s="2"/>
      <c r="K594" s="2"/>
      <c r="L594" s="2"/>
      <c r="M594" s="2"/>
      <c r="N594" s="1">
        <v>0</v>
      </c>
      <c r="O594" s="2"/>
      <c r="P594" s="2"/>
      <c r="Q594" s="2">
        <v>0</v>
      </c>
      <c r="R594" s="6"/>
    </row>
    <row r="595" spans="1:18" x14ac:dyDescent="0.25">
      <c r="A595" s="2">
        <f t="shared" si="28"/>
        <v>594</v>
      </c>
      <c r="B595" s="2"/>
      <c r="C595" s="2"/>
      <c r="D595" s="2"/>
      <c r="E595" s="2"/>
      <c r="F595" s="2"/>
      <c r="G595" s="2"/>
      <c r="H595" s="2" t="str">
        <f t="shared" si="29"/>
        <v>0 г. 0 мес. 0 дн.</v>
      </c>
      <c r="I595" s="2"/>
      <c r="J595" s="2"/>
      <c r="K595" s="2"/>
      <c r="L595" s="2"/>
      <c r="M595" s="2"/>
      <c r="N595" s="1">
        <v>0</v>
      </c>
      <c r="O595" s="2"/>
      <c r="P595" s="2"/>
      <c r="Q595" s="2">
        <v>0</v>
      </c>
      <c r="R595" s="6"/>
    </row>
    <row r="596" spans="1:18" x14ac:dyDescent="0.25">
      <c r="A596" s="2">
        <f t="shared" si="28"/>
        <v>595</v>
      </c>
      <c r="B596" s="2"/>
      <c r="C596" s="2"/>
      <c r="D596" s="2"/>
      <c r="E596" s="2"/>
      <c r="F596" s="2"/>
      <c r="G596" s="2"/>
      <c r="H596" s="2" t="str">
        <f t="shared" si="29"/>
        <v>0 г. 0 мес. 0 дн.</v>
      </c>
      <c r="I596" s="2"/>
      <c r="J596" s="2"/>
      <c r="K596" s="2"/>
      <c r="L596" s="2"/>
      <c r="M596" s="2"/>
      <c r="N596" s="1">
        <v>0</v>
      </c>
      <c r="O596" s="2"/>
      <c r="P596" s="2"/>
      <c r="Q596" s="2">
        <v>0</v>
      </c>
      <c r="R596" s="6"/>
    </row>
    <row r="597" spans="1:18" x14ac:dyDescent="0.25">
      <c r="A597" s="2">
        <f t="shared" si="28"/>
        <v>596</v>
      </c>
      <c r="B597" s="2"/>
      <c r="C597" s="2"/>
      <c r="D597" s="2"/>
      <c r="E597" s="2"/>
      <c r="F597" s="2"/>
      <c r="G597" s="2"/>
      <c r="H597" s="2" t="str">
        <f t="shared" si="29"/>
        <v>0 г. 0 мес. 0 дн.</v>
      </c>
      <c r="I597" s="2"/>
      <c r="J597" s="2"/>
      <c r="K597" s="2"/>
      <c r="L597" s="2"/>
      <c r="M597" s="2"/>
      <c r="N597" s="1">
        <v>0</v>
      </c>
      <c r="O597" s="2"/>
      <c r="P597" s="2"/>
      <c r="Q597" s="2">
        <v>0</v>
      </c>
      <c r="R597" s="6"/>
    </row>
    <row r="598" spans="1:18" x14ac:dyDescent="0.25">
      <c r="A598" s="2">
        <f t="shared" si="28"/>
        <v>597</v>
      </c>
      <c r="B598" s="2"/>
      <c r="C598" s="2"/>
      <c r="D598" s="2"/>
      <c r="E598" s="2"/>
      <c r="F598" s="2"/>
      <c r="G598" s="2"/>
      <c r="H598" s="2" t="str">
        <f t="shared" si="29"/>
        <v>0 г. 0 мес. 0 дн.</v>
      </c>
      <c r="I598" s="2"/>
      <c r="J598" s="2"/>
      <c r="K598" s="2"/>
      <c r="L598" s="2"/>
      <c r="M598" s="2"/>
      <c r="N598" s="1">
        <v>0</v>
      </c>
      <c r="O598" s="2"/>
      <c r="P598" s="2"/>
      <c r="Q598" s="2">
        <v>0</v>
      </c>
      <c r="R598" s="6"/>
    </row>
    <row r="599" spans="1:18" x14ac:dyDescent="0.25">
      <c r="A599" s="2">
        <f t="shared" si="28"/>
        <v>598</v>
      </c>
      <c r="B599" s="2"/>
      <c r="C599" s="2"/>
      <c r="D599" s="2"/>
      <c r="E599" s="2"/>
      <c r="F599" s="2"/>
      <c r="G599" s="2"/>
      <c r="H599" s="2" t="str">
        <f t="shared" si="29"/>
        <v>0 г. 0 мес. 0 дн.</v>
      </c>
      <c r="I599" s="2"/>
      <c r="J599" s="2"/>
      <c r="K599" s="2"/>
      <c r="L599" s="2"/>
      <c r="M599" s="2"/>
      <c r="N599" s="1">
        <v>0</v>
      </c>
      <c r="O599" s="2"/>
      <c r="P599" s="2"/>
      <c r="Q599" s="2">
        <v>0</v>
      </c>
      <c r="R599" s="6"/>
    </row>
    <row r="600" spans="1:18" x14ac:dyDescent="0.25">
      <c r="A600" s="2">
        <f t="shared" si="28"/>
        <v>599</v>
      </c>
      <c r="B600" s="2"/>
      <c r="C600" s="2"/>
      <c r="D600" s="2"/>
      <c r="E600" s="2"/>
      <c r="F600" s="2"/>
      <c r="G600" s="2"/>
      <c r="H600" s="2" t="str">
        <f t="shared" si="29"/>
        <v>0 г. 0 мес. 0 дн.</v>
      </c>
      <c r="I600" s="2"/>
      <c r="J600" s="2"/>
      <c r="K600" s="2"/>
      <c r="L600" s="2"/>
      <c r="M600" s="2"/>
      <c r="N600" s="1">
        <v>0</v>
      </c>
      <c r="O600" s="2"/>
      <c r="P600" s="2"/>
      <c r="Q600" s="2">
        <v>0</v>
      </c>
      <c r="R600" s="6"/>
    </row>
    <row r="601" spans="1:18" x14ac:dyDescent="0.25">
      <c r="A601" s="2">
        <f t="shared" si="28"/>
        <v>600</v>
      </c>
      <c r="B601" s="2"/>
      <c r="C601" s="2"/>
      <c r="D601" s="2"/>
      <c r="E601" s="2"/>
      <c r="F601" s="2"/>
      <c r="G601" s="2"/>
      <c r="H601" s="2" t="str">
        <f t="shared" si="29"/>
        <v>0 г. 0 мес. 0 дн.</v>
      </c>
      <c r="I601" s="2"/>
      <c r="J601" s="2"/>
      <c r="K601" s="2"/>
      <c r="L601" s="2"/>
      <c r="M601" s="2"/>
      <c r="N601" s="1">
        <v>0</v>
      </c>
      <c r="O601" s="2"/>
      <c r="P601" s="2"/>
      <c r="Q601" s="2">
        <v>0</v>
      </c>
      <c r="R601" s="6"/>
    </row>
    <row r="602" spans="1:18" x14ac:dyDescent="0.25">
      <c r="A602" s="2">
        <f t="shared" si="28"/>
        <v>601</v>
      </c>
      <c r="B602" s="2"/>
      <c r="C602" s="2"/>
      <c r="D602" s="2"/>
      <c r="E602" s="2"/>
      <c r="F602" s="2"/>
      <c r="G602" s="2"/>
      <c r="H602" s="2" t="str">
        <f t="shared" si="29"/>
        <v>0 г. 0 мес. 0 дн.</v>
      </c>
      <c r="I602" s="2"/>
      <c r="J602" s="2"/>
      <c r="K602" s="2"/>
      <c r="L602" s="2"/>
      <c r="M602" s="2"/>
      <c r="N602" s="1">
        <v>0</v>
      </c>
      <c r="O602" s="2"/>
      <c r="P602" s="2"/>
      <c r="Q602" s="2">
        <v>0</v>
      </c>
      <c r="R602" s="6"/>
    </row>
    <row r="603" spans="1:18" x14ac:dyDescent="0.25">
      <c r="A603" s="2">
        <f t="shared" si="28"/>
        <v>602</v>
      </c>
      <c r="B603" s="2"/>
      <c r="C603" s="2"/>
      <c r="D603" s="2"/>
      <c r="E603" s="2"/>
      <c r="F603" s="2"/>
      <c r="G603" s="2"/>
      <c r="H603" s="2" t="str">
        <f t="shared" si="29"/>
        <v>0 г. 0 мес. 0 дн.</v>
      </c>
      <c r="I603" s="2"/>
      <c r="J603" s="2"/>
      <c r="K603" s="2"/>
      <c r="L603" s="2"/>
      <c r="M603" s="2"/>
      <c r="N603" s="1">
        <v>0</v>
      </c>
      <c r="O603" s="2"/>
      <c r="P603" s="2"/>
      <c r="Q603" s="2">
        <v>0</v>
      </c>
      <c r="R603" s="6"/>
    </row>
    <row r="604" spans="1:18" x14ac:dyDescent="0.25">
      <c r="A604" s="2">
        <f t="shared" si="28"/>
        <v>603</v>
      </c>
      <c r="B604" s="2"/>
      <c r="C604" s="2"/>
      <c r="D604" s="2"/>
      <c r="E604" s="2"/>
      <c r="F604" s="2"/>
      <c r="G604" s="2"/>
      <c r="H604" s="2" t="str">
        <f t="shared" si="29"/>
        <v>0 г. 0 мес. 0 дн.</v>
      </c>
      <c r="I604" s="2"/>
      <c r="J604" s="2"/>
      <c r="K604" s="2"/>
      <c r="L604" s="2"/>
      <c r="M604" s="2"/>
      <c r="N604" s="1">
        <v>0</v>
      </c>
      <c r="O604" s="2"/>
      <c r="P604" s="2"/>
      <c r="Q604" s="2">
        <v>0</v>
      </c>
      <c r="R604" s="6"/>
    </row>
    <row r="605" spans="1:18" x14ac:dyDescent="0.25">
      <c r="A605" s="2">
        <f t="shared" ref="A605:A668" si="30">ROW(A604)</f>
        <v>604</v>
      </c>
      <c r="B605" s="2"/>
      <c r="C605" s="2"/>
      <c r="D605" s="2"/>
      <c r="E605" s="2"/>
      <c r="F605" s="2"/>
      <c r="G605" s="2"/>
      <c r="H605" s="2" t="str">
        <f t="shared" si="29"/>
        <v>0 г. 0 мес. 0 дн.</v>
      </c>
      <c r="I605" s="2"/>
      <c r="J605" s="2"/>
      <c r="K605" s="2"/>
      <c r="L605" s="2"/>
      <c r="M605" s="2"/>
      <c r="N605" s="1">
        <v>0</v>
      </c>
      <c r="O605" s="2"/>
      <c r="P605" s="2"/>
      <c r="Q605" s="2">
        <v>0</v>
      </c>
      <c r="R605" s="6"/>
    </row>
    <row r="606" spans="1:18" x14ac:dyDescent="0.25">
      <c r="A606" s="2">
        <f t="shared" si="30"/>
        <v>605</v>
      </c>
      <c r="B606" s="2"/>
      <c r="C606" s="2"/>
      <c r="D606" s="2"/>
      <c r="E606" s="2"/>
      <c r="F606" s="2"/>
      <c r="G606" s="2"/>
      <c r="H606" s="2" t="str">
        <f t="shared" si="29"/>
        <v>0 г. 0 мес. 0 дн.</v>
      </c>
      <c r="I606" s="2"/>
      <c r="J606" s="2"/>
      <c r="K606" s="2"/>
      <c r="L606" s="2"/>
      <c r="M606" s="2"/>
      <c r="N606" s="1">
        <v>0</v>
      </c>
      <c r="O606" s="2"/>
      <c r="P606" s="2"/>
      <c r="Q606" s="2">
        <v>0</v>
      </c>
      <c r="R606" s="6"/>
    </row>
    <row r="607" spans="1:18" x14ac:dyDescent="0.25">
      <c r="A607" s="2">
        <f t="shared" si="30"/>
        <v>606</v>
      </c>
      <c r="B607" s="2"/>
      <c r="C607" s="2"/>
      <c r="D607" s="2"/>
      <c r="E607" s="2"/>
      <c r="F607" s="2"/>
      <c r="G607" s="2"/>
      <c r="H607" s="2" t="str">
        <f t="shared" si="29"/>
        <v>0 г. 0 мес. 0 дн.</v>
      </c>
      <c r="I607" s="2"/>
      <c r="J607" s="2"/>
      <c r="K607" s="2"/>
      <c r="L607" s="2"/>
      <c r="M607" s="2"/>
      <c r="N607" s="1">
        <v>0</v>
      </c>
      <c r="O607" s="2"/>
      <c r="P607" s="2"/>
      <c r="Q607" s="2">
        <v>0</v>
      </c>
      <c r="R607" s="6"/>
    </row>
    <row r="608" spans="1:18" x14ac:dyDescent="0.25">
      <c r="A608" s="2">
        <f t="shared" si="30"/>
        <v>607</v>
      </c>
      <c r="B608" s="2"/>
      <c r="C608" s="2"/>
      <c r="D608" s="2"/>
      <c r="E608" s="2"/>
      <c r="F608" s="2"/>
      <c r="G608" s="2"/>
      <c r="H608" s="2" t="str">
        <f t="shared" si="29"/>
        <v>0 г. 0 мес. 0 дн.</v>
      </c>
      <c r="I608" s="2"/>
      <c r="J608" s="2"/>
      <c r="K608" s="2"/>
      <c r="L608" s="2"/>
      <c r="M608" s="2"/>
      <c r="N608" s="1">
        <v>0</v>
      </c>
      <c r="O608" s="2"/>
      <c r="P608" s="2"/>
      <c r="Q608" s="2">
        <v>0</v>
      </c>
      <c r="R608" s="6"/>
    </row>
    <row r="609" spans="1:18" x14ac:dyDescent="0.25">
      <c r="A609" s="2">
        <f t="shared" si="30"/>
        <v>608</v>
      </c>
      <c r="B609" s="2"/>
      <c r="C609" s="2"/>
      <c r="D609" s="2"/>
      <c r="E609" s="2"/>
      <c r="F609" s="2"/>
      <c r="G609" s="2"/>
      <c r="H609" s="2" t="str">
        <f t="shared" si="29"/>
        <v>0 г. 0 мес. 0 дн.</v>
      </c>
      <c r="I609" s="2"/>
      <c r="J609" s="2"/>
      <c r="K609" s="2"/>
      <c r="L609" s="2"/>
      <c r="M609" s="2"/>
      <c r="N609" s="1">
        <v>0</v>
      </c>
      <c r="O609" s="2"/>
      <c r="P609" s="2"/>
      <c r="Q609" s="2">
        <v>0</v>
      </c>
      <c r="R609" s="6"/>
    </row>
    <row r="610" spans="1:18" x14ac:dyDescent="0.25">
      <c r="A610" s="2">
        <f t="shared" si="30"/>
        <v>609</v>
      </c>
      <c r="B610" s="2"/>
      <c r="C610" s="2"/>
      <c r="D610" s="2"/>
      <c r="E610" s="2"/>
      <c r="F610" s="2"/>
      <c r="G610" s="2"/>
      <c r="H610" s="2" t="str">
        <f t="shared" si="29"/>
        <v>0 г. 0 мес. 0 дн.</v>
      </c>
      <c r="I610" s="2"/>
      <c r="J610" s="2"/>
      <c r="K610" s="2"/>
      <c r="L610" s="2"/>
      <c r="M610" s="2"/>
      <c r="N610" s="1">
        <v>0</v>
      </c>
      <c r="O610" s="2"/>
      <c r="P610" s="2"/>
      <c r="Q610" s="2">
        <v>0</v>
      </c>
      <c r="R610" s="6"/>
    </row>
    <row r="611" spans="1:18" x14ac:dyDescent="0.25">
      <c r="A611" s="2">
        <f t="shared" si="30"/>
        <v>610</v>
      </c>
      <c r="B611" s="2"/>
      <c r="C611" s="2"/>
      <c r="D611" s="2"/>
      <c r="E611" s="2"/>
      <c r="F611" s="2"/>
      <c r="G611" s="2"/>
      <c r="H611" s="2" t="str">
        <f t="shared" si="29"/>
        <v>0 г. 0 мес. 0 дн.</v>
      </c>
      <c r="I611" s="2"/>
      <c r="J611" s="2"/>
      <c r="K611" s="2"/>
      <c r="L611" s="2"/>
      <c r="M611" s="2"/>
      <c r="N611" s="1">
        <v>0</v>
      </c>
      <c r="O611" s="2"/>
      <c r="P611" s="2"/>
      <c r="Q611" s="2">
        <v>0</v>
      </c>
      <c r="R611" s="6"/>
    </row>
    <row r="612" spans="1:18" x14ac:dyDescent="0.25">
      <c r="A612" s="2">
        <f t="shared" si="30"/>
        <v>611</v>
      </c>
      <c r="B612" s="2"/>
      <c r="C612" s="2"/>
      <c r="D612" s="2"/>
      <c r="E612" s="2"/>
      <c r="F612" s="2"/>
      <c r="G612" s="2"/>
      <c r="H612" s="2" t="str">
        <f t="shared" si="29"/>
        <v>0 г. 0 мес. 0 дн.</v>
      </c>
      <c r="I612" s="2"/>
      <c r="J612" s="2"/>
      <c r="K612" s="2"/>
      <c r="L612" s="2"/>
      <c r="M612" s="2"/>
      <c r="N612" s="1">
        <v>0</v>
      </c>
      <c r="O612" s="2"/>
      <c r="P612" s="2"/>
      <c r="Q612" s="2">
        <v>0</v>
      </c>
      <c r="R612" s="6"/>
    </row>
    <row r="613" spans="1:18" x14ac:dyDescent="0.25">
      <c r="A613" s="2">
        <f t="shared" si="30"/>
        <v>612</v>
      </c>
      <c r="B613" s="2"/>
      <c r="C613" s="2"/>
      <c r="D613" s="2"/>
      <c r="E613" s="2"/>
      <c r="F613" s="2"/>
      <c r="G613" s="2"/>
      <c r="H613" s="2" t="str">
        <f t="shared" si="29"/>
        <v>0 г. 0 мес. 0 дн.</v>
      </c>
      <c r="I613" s="2"/>
      <c r="J613" s="2"/>
      <c r="K613" s="2"/>
      <c r="L613" s="2"/>
      <c r="M613" s="2"/>
      <c r="N613" s="1">
        <v>0</v>
      </c>
      <c r="O613" s="2"/>
      <c r="P613" s="2"/>
      <c r="Q613" s="2">
        <v>0</v>
      </c>
      <c r="R613" s="6"/>
    </row>
    <row r="614" spans="1:18" x14ac:dyDescent="0.25">
      <c r="A614" s="2">
        <f t="shared" si="30"/>
        <v>613</v>
      </c>
      <c r="B614" s="2"/>
      <c r="C614" s="2"/>
      <c r="D614" s="2"/>
      <c r="E614" s="2"/>
      <c r="F614" s="2"/>
      <c r="G614" s="2"/>
      <c r="H614" s="2" t="str">
        <f t="shared" si="29"/>
        <v>0 г. 0 мес. 0 дн.</v>
      </c>
      <c r="I614" s="2"/>
      <c r="J614" s="2"/>
      <c r="K614" s="2"/>
      <c r="L614" s="2"/>
      <c r="M614" s="2"/>
      <c r="N614" s="1">
        <v>0</v>
      </c>
      <c r="O614" s="2"/>
      <c r="P614" s="2"/>
      <c r="Q614" s="2">
        <v>0</v>
      </c>
      <c r="R614" s="6"/>
    </row>
    <row r="615" spans="1:18" x14ac:dyDescent="0.25">
      <c r="A615" s="2">
        <f t="shared" si="30"/>
        <v>614</v>
      </c>
      <c r="B615" s="2"/>
      <c r="C615" s="2"/>
      <c r="D615" s="2"/>
      <c r="E615" s="2"/>
      <c r="F615" s="2"/>
      <c r="G615" s="2"/>
      <c r="H615" s="2" t="str">
        <f t="shared" si="29"/>
        <v>0 г. 0 мес. 0 дн.</v>
      </c>
      <c r="I615" s="2"/>
      <c r="J615" s="2"/>
      <c r="K615" s="2"/>
      <c r="L615" s="2"/>
      <c r="M615" s="2"/>
      <c r="N615" s="1">
        <v>0</v>
      </c>
      <c r="O615" s="2"/>
      <c r="P615" s="2"/>
      <c r="Q615" s="2">
        <v>0</v>
      </c>
      <c r="R615" s="6"/>
    </row>
    <row r="616" spans="1:18" x14ac:dyDescent="0.25">
      <c r="A616" s="2">
        <f t="shared" si="30"/>
        <v>615</v>
      </c>
      <c r="B616" s="2"/>
      <c r="C616" s="2"/>
      <c r="D616" s="2"/>
      <c r="E616" s="2"/>
      <c r="F616" s="2"/>
      <c r="G616" s="2"/>
      <c r="H616" s="2" t="str">
        <f t="shared" si="29"/>
        <v>0 г. 0 мес. 0 дн.</v>
      </c>
      <c r="I616" s="2"/>
      <c r="J616" s="2"/>
      <c r="K616" s="2"/>
      <c r="L616" s="2"/>
      <c r="M616" s="2"/>
      <c r="N616" s="1">
        <v>0</v>
      </c>
      <c r="O616" s="2"/>
      <c r="P616" s="2"/>
      <c r="Q616" s="2">
        <v>0</v>
      </c>
      <c r="R616" s="6"/>
    </row>
    <row r="617" spans="1:18" x14ac:dyDescent="0.25">
      <c r="A617" s="2">
        <f t="shared" si="30"/>
        <v>616</v>
      </c>
      <c r="B617" s="2"/>
      <c r="C617" s="2"/>
      <c r="D617" s="2"/>
      <c r="E617" s="2"/>
      <c r="F617" s="2"/>
      <c r="G617" s="2"/>
      <c r="H617" s="2" t="str">
        <f t="shared" si="29"/>
        <v>0 г. 0 мес. 0 дн.</v>
      </c>
      <c r="I617" s="2"/>
      <c r="J617" s="2"/>
      <c r="K617" s="2"/>
      <c r="L617" s="2"/>
      <c r="M617" s="2"/>
      <c r="N617" s="1">
        <v>0</v>
      </c>
      <c r="O617" s="2"/>
      <c r="P617" s="2"/>
      <c r="Q617" s="2">
        <v>0</v>
      </c>
      <c r="R617" s="6"/>
    </row>
    <row r="618" spans="1:18" x14ac:dyDescent="0.25">
      <c r="A618" s="2">
        <f t="shared" si="30"/>
        <v>617</v>
      </c>
      <c r="B618" s="2"/>
      <c r="C618" s="2"/>
      <c r="D618" s="2"/>
      <c r="E618" s="2"/>
      <c r="F618" s="2"/>
      <c r="G618" s="2"/>
      <c r="H618" s="2" t="str">
        <f t="shared" si="29"/>
        <v>0 г. 0 мес. 0 дн.</v>
      </c>
      <c r="I618" s="2"/>
      <c r="J618" s="2"/>
      <c r="K618" s="2"/>
      <c r="L618" s="2"/>
      <c r="M618" s="2"/>
      <c r="N618" s="1">
        <v>0</v>
      </c>
      <c r="O618" s="2"/>
      <c r="P618" s="2"/>
      <c r="Q618" s="2">
        <v>0</v>
      </c>
      <c r="R618" s="6"/>
    </row>
    <row r="619" spans="1:18" x14ac:dyDescent="0.25">
      <c r="A619" s="2">
        <f t="shared" si="30"/>
        <v>618</v>
      </c>
      <c r="B619" s="2"/>
      <c r="C619" s="2"/>
      <c r="D619" s="2"/>
      <c r="E619" s="2"/>
      <c r="F619" s="2"/>
      <c r="G619" s="2"/>
      <c r="H619" s="2" t="str">
        <f t="shared" si="29"/>
        <v>0 г. 0 мес. 0 дн.</v>
      </c>
      <c r="I619" s="2"/>
      <c r="J619" s="2"/>
      <c r="K619" s="2"/>
      <c r="L619" s="2"/>
      <c r="M619" s="2"/>
      <c r="N619" s="1">
        <v>0</v>
      </c>
      <c r="O619" s="2"/>
      <c r="P619" s="2"/>
      <c r="Q619" s="2">
        <v>0</v>
      </c>
      <c r="R619" s="6"/>
    </row>
    <row r="620" spans="1:18" x14ac:dyDescent="0.25">
      <c r="A620" s="2">
        <f t="shared" si="30"/>
        <v>619</v>
      </c>
      <c r="B620" s="2"/>
      <c r="C620" s="2"/>
      <c r="D620" s="2"/>
      <c r="E620" s="2"/>
      <c r="F620" s="2"/>
      <c r="G620" s="2"/>
      <c r="H620" s="2" t="str">
        <f t="shared" si="29"/>
        <v>0 г. 0 мес. 0 дн.</v>
      </c>
      <c r="I620" s="2"/>
      <c r="J620" s="2"/>
      <c r="K620" s="2"/>
      <c r="L620" s="2"/>
      <c r="M620" s="2"/>
      <c r="N620" s="1">
        <v>0</v>
      </c>
      <c r="O620" s="2"/>
      <c r="P620" s="2"/>
      <c r="Q620" s="2">
        <v>0</v>
      </c>
      <c r="R620" s="6"/>
    </row>
    <row r="621" spans="1:18" x14ac:dyDescent="0.25">
      <c r="A621" s="2">
        <f t="shared" si="30"/>
        <v>620</v>
      </c>
      <c r="B621" s="2"/>
      <c r="C621" s="2"/>
      <c r="D621" s="2"/>
      <c r="E621" s="2"/>
      <c r="F621" s="2"/>
      <c r="G621" s="2"/>
      <c r="H621" s="2" t="str">
        <f t="shared" si="29"/>
        <v>0 г. 0 мес. 0 дн.</v>
      </c>
      <c r="I621" s="2"/>
      <c r="J621" s="2"/>
      <c r="K621" s="2"/>
      <c r="L621" s="2"/>
      <c r="M621" s="2"/>
      <c r="N621" s="1">
        <v>0</v>
      </c>
      <c r="O621" s="2"/>
      <c r="P621" s="2"/>
      <c r="Q621" s="2">
        <v>0</v>
      </c>
      <c r="R621" s="6"/>
    </row>
    <row r="622" spans="1:18" x14ac:dyDescent="0.25">
      <c r="A622" s="2">
        <f t="shared" si="30"/>
        <v>621</v>
      </c>
      <c r="B622" s="2"/>
      <c r="C622" s="2"/>
      <c r="D622" s="2"/>
      <c r="E622" s="2"/>
      <c r="F622" s="2"/>
      <c r="G622" s="2"/>
      <c r="H622" s="2" t="str">
        <f t="shared" si="29"/>
        <v>0 г. 0 мес. 0 дн.</v>
      </c>
      <c r="I622" s="2"/>
      <c r="J622" s="2"/>
      <c r="K622" s="2"/>
      <c r="L622" s="2"/>
      <c r="M622" s="2"/>
      <c r="N622" s="1">
        <v>0</v>
      </c>
      <c r="O622" s="2"/>
      <c r="P622" s="2"/>
      <c r="Q622" s="2">
        <v>0</v>
      </c>
      <c r="R622" s="6"/>
    </row>
    <row r="623" spans="1:18" x14ac:dyDescent="0.25">
      <c r="A623" s="2">
        <f t="shared" si="30"/>
        <v>622</v>
      </c>
      <c r="B623" s="2"/>
      <c r="C623" s="2"/>
      <c r="D623" s="2"/>
      <c r="E623" s="2"/>
      <c r="F623" s="2"/>
      <c r="G623" s="2"/>
      <c r="H623" s="2" t="str">
        <f t="shared" si="29"/>
        <v>0 г. 0 мес. 0 дн.</v>
      </c>
      <c r="I623" s="2"/>
      <c r="J623" s="2"/>
      <c r="K623" s="2"/>
      <c r="L623" s="2"/>
      <c r="M623" s="2"/>
      <c r="N623" s="1">
        <v>0</v>
      </c>
      <c r="O623" s="2"/>
      <c r="P623" s="2"/>
      <c r="Q623" s="2">
        <v>0</v>
      </c>
      <c r="R623" s="6"/>
    </row>
    <row r="624" spans="1:18" x14ac:dyDescent="0.25">
      <c r="A624" s="2">
        <f t="shared" si="30"/>
        <v>623</v>
      </c>
      <c r="B624" s="2"/>
      <c r="C624" s="2"/>
      <c r="D624" s="2"/>
      <c r="E624" s="2"/>
      <c r="F624" s="2"/>
      <c r="G624" s="2"/>
      <c r="H624" s="2" t="str">
        <f t="shared" si="29"/>
        <v>0 г. 0 мес. 0 дн.</v>
      </c>
      <c r="I624" s="2"/>
      <c r="J624" s="2"/>
      <c r="K624" s="2"/>
      <c r="L624" s="2"/>
      <c r="M624" s="2"/>
      <c r="N624" s="1">
        <v>0</v>
      </c>
      <c r="O624" s="2"/>
      <c r="P624" s="2"/>
      <c r="Q624" s="2">
        <v>0</v>
      </c>
      <c r="R624" s="6"/>
    </row>
    <row r="625" spans="1:18" x14ac:dyDescent="0.25">
      <c r="A625" s="2">
        <f t="shared" si="30"/>
        <v>624</v>
      </c>
      <c r="B625" s="2"/>
      <c r="C625" s="2"/>
      <c r="D625" s="2"/>
      <c r="E625" s="2"/>
      <c r="F625" s="2"/>
      <c r="G625" s="2"/>
      <c r="H625" s="2" t="str">
        <f t="shared" si="29"/>
        <v>0 г. 0 мес. 0 дн.</v>
      </c>
      <c r="I625" s="2"/>
      <c r="J625" s="2"/>
      <c r="K625" s="2"/>
      <c r="L625" s="2"/>
      <c r="M625" s="2"/>
      <c r="N625" s="1">
        <v>0</v>
      </c>
      <c r="O625" s="2"/>
      <c r="P625" s="2"/>
      <c r="Q625" s="2">
        <v>0</v>
      </c>
      <c r="R625" s="6"/>
    </row>
    <row r="626" spans="1:18" x14ac:dyDescent="0.25">
      <c r="A626" s="2">
        <f t="shared" si="30"/>
        <v>625</v>
      </c>
      <c r="B626" s="2"/>
      <c r="C626" s="2"/>
      <c r="D626" s="2"/>
      <c r="E626" s="2"/>
      <c r="F626" s="2"/>
      <c r="G626" s="2"/>
      <c r="H626" s="2" t="str">
        <f t="shared" si="29"/>
        <v>0 г. 0 мес. 0 дн.</v>
      </c>
      <c r="I626" s="2"/>
      <c r="J626" s="2"/>
      <c r="K626" s="2"/>
      <c r="L626" s="2"/>
      <c r="M626" s="2"/>
      <c r="N626" s="1">
        <v>0</v>
      </c>
      <c r="O626" s="2"/>
      <c r="P626" s="2"/>
      <c r="Q626" s="2">
        <v>0</v>
      </c>
      <c r="R626" s="6"/>
    </row>
    <row r="627" spans="1:18" x14ac:dyDescent="0.25">
      <c r="A627" s="2">
        <f t="shared" si="30"/>
        <v>626</v>
      </c>
      <c r="B627" s="2"/>
      <c r="C627" s="2"/>
      <c r="D627" s="2"/>
      <c r="E627" s="2"/>
      <c r="F627" s="2"/>
      <c r="G627" s="2"/>
      <c r="H627" s="2" t="str">
        <f t="shared" si="29"/>
        <v>0 г. 0 мес. 0 дн.</v>
      </c>
      <c r="I627" s="2"/>
      <c r="J627" s="2"/>
      <c r="K627" s="2"/>
      <c r="L627" s="2"/>
      <c r="M627" s="2"/>
      <c r="N627" s="1">
        <v>0</v>
      </c>
      <c r="O627" s="2"/>
      <c r="P627" s="2"/>
      <c r="Q627" s="2">
        <v>0</v>
      </c>
      <c r="R627" s="6"/>
    </row>
    <row r="628" spans="1:18" x14ac:dyDescent="0.25">
      <c r="A628" s="2">
        <f t="shared" si="30"/>
        <v>627</v>
      </c>
      <c r="B628" s="2"/>
      <c r="C628" s="2"/>
      <c r="D628" s="2"/>
      <c r="E628" s="2"/>
      <c r="F628" s="2"/>
      <c r="G628" s="2"/>
      <c r="H628" s="2" t="str">
        <f t="shared" si="29"/>
        <v>0 г. 0 мес. 0 дн.</v>
      </c>
      <c r="I628" s="2"/>
      <c r="J628" s="2"/>
      <c r="K628" s="2"/>
      <c r="L628" s="2"/>
      <c r="M628" s="2"/>
      <c r="N628" s="1">
        <v>0</v>
      </c>
      <c r="O628" s="2"/>
      <c r="P628" s="2"/>
      <c r="Q628" s="2">
        <v>0</v>
      </c>
      <c r="R628" s="6"/>
    </row>
    <row r="629" spans="1:18" x14ac:dyDescent="0.25">
      <c r="A629" s="2">
        <f t="shared" si="30"/>
        <v>628</v>
      </c>
      <c r="B629" s="2"/>
      <c r="C629" s="2"/>
      <c r="D629" s="2"/>
      <c r="E629" s="2"/>
      <c r="F629" s="2"/>
      <c r="G629" s="2"/>
      <c r="H629" s="2" t="str">
        <f t="shared" si="29"/>
        <v>0 г. 0 мес. 0 дн.</v>
      </c>
      <c r="I629" s="2"/>
      <c r="J629" s="2"/>
      <c r="K629" s="2"/>
      <c r="L629" s="2"/>
      <c r="M629" s="2"/>
      <c r="N629" s="1">
        <v>0</v>
      </c>
      <c r="O629" s="2"/>
      <c r="P629" s="2"/>
      <c r="Q629" s="2">
        <v>0</v>
      </c>
      <c r="R629" s="6"/>
    </row>
    <row r="630" spans="1:18" x14ac:dyDescent="0.25">
      <c r="A630" s="2">
        <f t="shared" si="30"/>
        <v>629</v>
      </c>
      <c r="B630" s="2"/>
      <c r="C630" s="2"/>
      <c r="D630" s="2"/>
      <c r="E630" s="2"/>
      <c r="F630" s="2"/>
      <c r="G630" s="2"/>
      <c r="H630" s="2" t="str">
        <f t="shared" si="29"/>
        <v>0 г. 0 мес. 0 дн.</v>
      </c>
      <c r="I630" s="2"/>
      <c r="J630" s="2"/>
      <c r="K630" s="2"/>
      <c r="L630" s="2"/>
      <c r="M630" s="2"/>
      <c r="N630" s="1">
        <v>0</v>
      </c>
      <c r="O630" s="2"/>
      <c r="P630" s="2"/>
      <c r="Q630" s="2">
        <v>0</v>
      </c>
      <c r="R630" s="6"/>
    </row>
    <row r="631" spans="1:18" x14ac:dyDescent="0.25">
      <c r="A631" s="2">
        <f t="shared" si="30"/>
        <v>630</v>
      </c>
      <c r="B631" s="2"/>
      <c r="C631" s="2"/>
      <c r="D631" s="2"/>
      <c r="E631" s="2"/>
      <c r="F631" s="2"/>
      <c r="G631" s="2"/>
      <c r="H631" s="2" t="str">
        <f t="shared" si="29"/>
        <v>0 г. 0 мес. 0 дн.</v>
      </c>
      <c r="I631" s="2"/>
      <c r="J631" s="2"/>
      <c r="K631" s="2"/>
      <c r="L631" s="2"/>
      <c r="M631" s="2"/>
      <c r="N631" s="1">
        <v>0</v>
      </c>
      <c r="O631" s="2"/>
      <c r="P631" s="2"/>
      <c r="Q631" s="2">
        <v>0</v>
      </c>
      <c r="R631" s="6"/>
    </row>
    <row r="632" spans="1:18" x14ac:dyDescent="0.25">
      <c r="A632" s="2">
        <f t="shared" si="30"/>
        <v>631</v>
      </c>
      <c r="B632" s="2"/>
      <c r="C632" s="2"/>
      <c r="D632" s="2"/>
      <c r="E632" s="2"/>
      <c r="F632" s="2"/>
      <c r="G632" s="2"/>
      <c r="H632" s="2" t="str">
        <f t="shared" si="29"/>
        <v>0 г. 0 мес. 0 дн.</v>
      </c>
      <c r="I632" s="2"/>
      <c r="J632" s="2"/>
      <c r="K632" s="2"/>
      <c r="L632" s="2"/>
      <c r="M632" s="2"/>
      <c r="N632" s="1">
        <v>0</v>
      </c>
      <c r="O632" s="2"/>
      <c r="P632" s="2"/>
      <c r="Q632" s="2">
        <v>0</v>
      </c>
      <c r="R632" s="6"/>
    </row>
    <row r="633" spans="1:18" x14ac:dyDescent="0.25">
      <c r="A633" s="2">
        <f t="shared" si="30"/>
        <v>632</v>
      </c>
      <c r="B633" s="2"/>
      <c r="C633" s="2"/>
      <c r="D633" s="2"/>
      <c r="E633" s="2"/>
      <c r="F633" s="2"/>
      <c r="G633" s="2"/>
      <c r="H633" s="2" t="str">
        <f t="shared" si="29"/>
        <v>0 г. 0 мес. 0 дн.</v>
      </c>
      <c r="I633" s="2"/>
      <c r="J633" s="2"/>
      <c r="K633" s="2"/>
      <c r="L633" s="2"/>
      <c r="M633" s="2"/>
      <c r="N633" s="1">
        <v>0</v>
      </c>
      <c r="O633" s="2"/>
      <c r="P633" s="2"/>
      <c r="Q633" s="2">
        <v>0</v>
      </c>
      <c r="R633" s="6"/>
    </row>
    <row r="634" spans="1:18" x14ac:dyDescent="0.25">
      <c r="A634" s="2">
        <f t="shared" si="30"/>
        <v>633</v>
      </c>
      <c r="B634" s="2"/>
      <c r="C634" s="2"/>
      <c r="D634" s="2"/>
      <c r="E634" s="2"/>
      <c r="F634" s="2"/>
      <c r="G634" s="2"/>
      <c r="H634" s="2" t="str">
        <f t="shared" si="29"/>
        <v>0 г. 0 мес. 0 дн.</v>
      </c>
      <c r="I634" s="2"/>
      <c r="J634" s="2"/>
      <c r="K634" s="2"/>
      <c r="L634" s="2"/>
      <c r="M634" s="2"/>
      <c r="N634" s="1">
        <v>0</v>
      </c>
      <c r="O634" s="2"/>
      <c r="P634" s="2"/>
      <c r="Q634" s="2">
        <v>0</v>
      </c>
      <c r="R634" s="6"/>
    </row>
    <row r="635" spans="1:18" x14ac:dyDescent="0.25">
      <c r="A635" s="2">
        <f t="shared" si="30"/>
        <v>634</v>
      </c>
      <c r="B635" s="2"/>
      <c r="C635" s="2"/>
      <c r="D635" s="2"/>
      <c r="E635" s="2"/>
      <c r="F635" s="2"/>
      <c r="G635" s="2"/>
      <c r="H635" s="2" t="str">
        <f t="shared" si="29"/>
        <v>0 г. 0 мес. 0 дн.</v>
      </c>
      <c r="I635" s="2"/>
      <c r="J635" s="2"/>
      <c r="K635" s="2"/>
      <c r="L635" s="2"/>
      <c r="M635" s="2"/>
      <c r="N635" s="1">
        <v>0</v>
      </c>
      <c r="O635" s="2"/>
      <c r="P635" s="2"/>
      <c r="Q635" s="2">
        <v>0</v>
      </c>
      <c r="R635" s="6"/>
    </row>
    <row r="636" spans="1:18" x14ac:dyDescent="0.25">
      <c r="A636" s="2">
        <f t="shared" si="30"/>
        <v>635</v>
      </c>
      <c r="B636" s="2"/>
      <c r="C636" s="2"/>
      <c r="D636" s="2"/>
      <c r="E636" s="2"/>
      <c r="F636" s="2"/>
      <c r="G636" s="2"/>
      <c r="H636" s="2" t="str">
        <f t="shared" si="29"/>
        <v>0 г. 0 мес. 0 дн.</v>
      </c>
      <c r="I636" s="2"/>
      <c r="J636" s="2"/>
      <c r="K636" s="2"/>
      <c r="L636" s="2"/>
      <c r="M636" s="2"/>
      <c r="N636" s="1">
        <v>0</v>
      </c>
      <c r="O636" s="2"/>
      <c r="P636" s="2"/>
      <c r="Q636" s="2">
        <v>0</v>
      </c>
      <c r="R636" s="6"/>
    </row>
    <row r="637" spans="1:18" x14ac:dyDescent="0.25">
      <c r="A637" s="2">
        <f t="shared" si="30"/>
        <v>636</v>
      </c>
      <c r="B637" s="2"/>
      <c r="C637" s="2"/>
      <c r="D637" s="2"/>
      <c r="E637" s="2"/>
      <c r="F637" s="2"/>
      <c r="G637" s="2"/>
      <c r="H637" s="2" t="str">
        <f t="shared" si="29"/>
        <v>0 г. 0 мес. 0 дн.</v>
      </c>
      <c r="I637" s="2"/>
      <c r="J637" s="2"/>
      <c r="K637" s="2"/>
      <c r="L637" s="2"/>
      <c r="M637" s="2"/>
      <c r="N637" s="1">
        <v>0</v>
      </c>
      <c r="O637" s="2"/>
      <c r="P637" s="2"/>
      <c r="Q637" s="2">
        <v>0</v>
      </c>
      <c r="R637" s="6"/>
    </row>
    <row r="638" spans="1:18" x14ac:dyDescent="0.25">
      <c r="A638" s="2">
        <f t="shared" si="30"/>
        <v>637</v>
      </c>
      <c r="B638" s="2"/>
      <c r="C638" s="2"/>
      <c r="D638" s="2"/>
      <c r="E638" s="2"/>
      <c r="F638" s="2"/>
      <c r="G638" s="2"/>
      <c r="H638" s="2" t="str">
        <f t="shared" si="29"/>
        <v>0 г. 0 мес. 0 дн.</v>
      </c>
      <c r="I638" s="2"/>
      <c r="J638" s="2"/>
      <c r="K638" s="2"/>
      <c r="L638" s="2"/>
      <c r="M638" s="2"/>
      <c r="N638" s="1">
        <v>0</v>
      </c>
      <c r="O638" s="2"/>
      <c r="P638" s="2"/>
      <c r="Q638" s="2">
        <v>0</v>
      </c>
      <c r="R638" s="6"/>
    </row>
    <row r="639" spans="1:18" x14ac:dyDescent="0.25">
      <c r="A639" s="2">
        <f t="shared" si="30"/>
        <v>638</v>
      </c>
      <c r="B639" s="2"/>
      <c r="C639" s="2"/>
      <c r="D639" s="2"/>
      <c r="E639" s="2"/>
      <c r="F639" s="2"/>
      <c r="G639" s="2"/>
      <c r="H639" s="2" t="str">
        <f t="shared" si="29"/>
        <v>0 г. 0 мес. 0 дн.</v>
      </c>
      <c r="I639" s="2"/>
      <c r="J639" s="2"/>
      <c r="K639" s="2"/>
      <c r="L639" s="2"/>
      <c r="M639" s="2"/>
      <c r="N639" s="1">
        <v>0</v>
      </c>
      <c r="O639" s="2"/>
      <c r="P639" s="2"/>
      <c r="Q639" s="2">
        <v>0</v>
      </c>
      <c r="R639" s="6"/>
    </row>
    <row r="640" spans="1:18" x14ac:dyDescent="0.25">
      <c r="A640" s="2">
        <f t="shared" si="30"/>
        <v>639</v>
      </c>
      <c r="B640" s="2"/>
      <c r="C640" s="2"/>
      <c r="D640" s="2"/>
      <c r="E640" s="2"/>
      <c r="F640" s="2"/>
      <c r="G640" s="2"/>
      <c r="H640" s="2" t="str">
        <f t="shared" si="29"/>
        <v>0 г. 0 мес. 0 дн.</v>
      </c>
      <c r="I640" s="2"/>
      <c r="J640" s="2"/>
      <c r="K640" s="2"/>
      <c r="L640" s="2"/>
      <c r="M640" s="2"/>
      <c r="N640" s="1">
        <v>0</v>
      </c>
      <c r="O640" s="2"/>
      <c r="P640" s="2"/>
      <c r="Q640" s="2">
        <v>0</v>
      </c>
      <c r="R640" s="6"/>
    </row>
    <row r="641" spans="1:18" x14ac:dyDescent="0.25">
      <c r="A641" s="2">
        <f t="shared" si="30"/>
        <v>640</v>
      </c>
      <c r="B641" s="2"/>
      <c r="C641" s="2"/>
      <c r="D641" s="2"/>
      <c r="E641" s="2"/>
      <c r="F641" s="2"/>
      <c r="G641" s="2"/>
      <c r="H641" s="2" t="str">
        <f t="shared" si="29"/>
        <v>0 г. 0 мес. 0 дн.</v>
      </c>
      <c r="I641" s="2"/>
      <c r="J641" s="2"/>
      <c r="K641" s="2"/>
      <c r="L641" s="2"/>
      <c r="M641" s="2"/>
      <c r="N641" s="1">
        <v>0</v>
      </c>
      <c r="O641" s="2"/>
      <c r="P641" s="2"/>
      <c r="Q641" s="2">
        <v>0</v>
      </c>
      <c r="R641" s="6"/>
    </row>
    <row r="642" spans="1:18" x14ac:dyDescent="0.25">
      <c r="A642" s="2">
        <f t="shared" si="30"/>
        <v>641</v>
      </c>
      <c r="B642" s="2"/>
      <c r="C642" s="2"/>
      <c r="D642" s="2"/>
      <c r="E642" s="2"/>
      <c r="F642" s="2"/>
      <c r="G642" s="2"/>
      <c r="H642" s="2" t="str">
        <f t="shared" si="29"/>
        <v>0 г. 0 мес. 0 дн.</v>
      </c>
      <c r="I642" s="2"/>
      <c r="J642" s="2"/>
      <c r="K642" s="2"/>
      <c r="L642" s="2"/>
      <c r="M642" s="2"/>
      <c r="N642" s="1">
        <v>0</v>
      </c>
      <c r="O642" s="2"/>
      <c r="P642" s="2"/>
      <c r="Q642" s="2">
        <v>0</v>
      </c>
      <c r="R642" s="6"/>
    </row>
    <row r="643" spans="1:18" x14ac:dyDescent="0.25">
      <c r="A643" s="2">
        <f t="shared" si="30"/>
        <v>642</v>
      </c>
      <c r="B643" s="2"/>
      <c r="C643" s="2"/>
      <c r="D643" s="2"/>
      <c r="E643" s="2"/>
      <c r="F643" s="2"/>
      <c r="G643" s="2"/>
      <c r="H643" s="2" t="str">
        <f t="shared" si="29"/>
        <v>0 г. 0 мес. 0 дн.</v>
      </c>
      <c r="I643" s="2"/>
      <c r="J643" s="2"/>
      <c r="K643" s="2"/>
      <c r="L643" s="2"/>
      <c r="M643" s="2"/>
      <c r="N643" s="1">
        <v>0</v>
      </c>
      <c r="O643" s="2"/>
      <c r="P643" s="2"/>
      <c r="Q643" s="2">
        <v>0</v>
      </c>
      <c r="R643" s="6"/>
    </row>
    <row r="644" spans="1:18" x14ac:dyDescent="0.25">
      <c r="A644" s="2">
        <f t="shared" si="30"/>
        <v>643</v>
      </c>
      <c r="B644" s="2"/>
      <c r="C644" s="2"/>
      <c r="D644" s="2"/>
      <c r="E644" s="2"/>
      <c r="F644" s="2"/>
      <c r="G644" s="2"/>
      <c r="H644" s="2" t="str">
        <f t="shared" ref="H644:H707" si="31">DATEDIF(G644,D644,"y") &amp; " г. " &amp; DATEDIF(G644,D644,"ym") &amp; " мес. " &amp; DATEDIF(G644,D644,"md") &amp; " дн."</f>
        <v>0 г. 0 мес. 0 дн.</v>
      </c>
      <c r="I644" s="2"/>
      <c r="J644" s="2"/>
      <c r="K644" s="2"/>
      <c r="L644" s="2"/>
      <c r="M644" s="2"/>
      <c r="N644" s="1">
        <v>0</v>
      </c>
      <c r="O644" s="2"/>
      <c r="P644" s="2"/>
      <c r="Q644" s="2">
        <v>0</v>
      </c>
      <c r="R644" s="6"/>
    </row>
    <row r="645" spans="1:18" x14ac:dyDescent="0.25">
      <c r="A645" s="2">
        <f t="shared" si="30"/>
        <v>644</v>
      </c>
      <c r="B645" s="2"/>
      <c r="C645" s="2"/>
      <c r="D645" s="2"/>
      <c r="E645" s="2"/>
      <c r="F645" s="2"/>
      <c r="G645" s="2"/>
      <c r="H645" s="2" t="str">
        <f t="shared" si="31"/>
        <v>0 г. 0 мес. 0 дн.</v>
      </c>
      <c r="I645" s="2"/>
      <c r="J645" s="2"/>
      <c r="K645" s="2"/>
      <c r="L645" s="2"/>
      <c r="M645" s="2"/>
      <c r="N645" s="1">
        <v>0</v>
      </c>
      <c r="O645" s="2"/>
      <c r="P645" s="2"/>
      <c r="Q645" s="2">
        <v>0</v>
      </c>
      <c r="R645" s="6"/>
    </row>
    <row r="646" spans="1:18" x14ac:dyDescent="0.25">
      <c r="A646" s="2">
        <f t="shared" si="30"/>
        <v>645</v>
      </c>
      <c r="B646" s="2"/>
      <c r="C646" s="2"/>
      <c r="D646" s="2"/>
      <c r="E646" s="2"/>
      <c r="F646" s="2"/>
      <c r="G646" s="2"/>
      <c r="H646" s="2" t="str">
        <f t="shared" si="31"/>
        <v>0 г. 0 мес. 0 дн.</v>
      </c>
      <c r="I646" s="2"/>
      <c r="J646" s="2"/>
      <c r="K646" s="2"/>
      <c r="L646" s="2"/>
      <c r="M646" s="2"/>
      <c r="N646" s="1">
        <v>0</v>
      </c>
      <c r="O646" s="2"/>
      <c r="P646" s="2"/>
      <c r="Q646" s="2">
        <v>0</v>
      </c>
      <c r="R646" s="6"/>
    </row>
    <row r="647" spans="1:18" x14ac:dyDescent="0.25">
      <c r="A647" s="2">
        <f t="shared" si="30"/>
        <v>646</v>
      </c>
      <c r="B647" s="2"/>
      <c r="C647" s="2"/>
      <c r="D647" s="2"/>
      <c r="E647" s="2"/>
      <c r="F647" s="2"/>
      <c r="G647" s="2"/>
      <c r="H647" s="2" t="str">
        <f t="shared" si="31"/>
        <v>0 г. 0 мес. 0 дн.</v>
      </c>
      <c r="I647" s="2"/>
      <c r="J647" s="2"/>
      <c r="K647" s="2"/>
      <c r="L647" s="2"/>
      <c r="M647" s="2"/>
      <c r="N647" s="1">
        <v>0</v>
      </c>
      <c r="O647" s="2"/>
      <c r="P647" s="2"/>
      <c r="Q647" s="2">
        <v>0</v>
      </c>
      <c r="R647" s="6"/>
    </row>
    <row r="648" spans="1:18" x14ac:dyDescent="0.25">
      <c r="A648" s="2">
        <f t="shared" si="30"/>
        <v>647</v>
      </c>
      <c r="B648" s="2"/>
      <c r="C648" s="2"/>
      <c r="D648" s="2"/>
      <c r="E648" s="2"/>
      <c r="F648" s="2"/>
      <c r="G648" s="2"/>
      <c r="H648" s="2" t="str">
        <f t="shared" si="31"/>
        <v>0 г. 0 мес. 0 дн.</v>
      </c>
      <c r="I648" s="2"/>
      <c r="J648" s="2"/>
      <c r="K648" s="2"/>
      <c r="L648" s="2"/>
      <c r="M648" s="2"/>
      <c r="N648" s="1">
        <v>0</v>
      </c>
      <c r="O648" s="2"/>
      <c r="P648" s="2"/>
      <c r="Q648" s="2">
        <v>0</v>
      </c>
      <c r="R648" s="6"/>
    </row>
    <row r="649" spans="1:18" x14ac:dyDescent="0.25">
      <c r="A649" s="2">
        <f t="shared" si="30"/>
        <v>648</v>
      </c>
      <c r="B649" s="2"/>
      <c r="C649" s="2"/>
      <c r="D649" s="2"/>
      <c r="E649" s="2"/>
      <c r="F649" s="2"/>
      <c r="G649" s="2"/>
      <c r="H649" s="2" t="str">
        <f t="shared" si="31"/>
        <v>0 г. 0 мес. 0 дн.</v>
      </c>
      <c r="I649" s="2"/>
      <c r="J649" s="2"/>
      <c r="K649" s="2"/>
      <c r="L649" s="2"/>
      <c r="M649" s="2"/>
      <c r="N649" s="1">
        <v>0</v>
      </c>
      <c r="O649" s="2"/>
      <c r="P649" s="2"/>
      <c r="Q649" s="2">
        <v>0</v>
      </c>
      <c r="R649" s="6"/>
    </row>
    <row r="650" spans="1:18" x14ac:dyDescent="0.25">
      <c r="A650" s="2">
        <f t="shared" si="30"/>
        <v>649</v>
      </c>
      <c r="B650" s="2"/>
      <c r="C650" s="2"/>
      <c r="D650" s="2"/>
      <c r="E650" s="2"/>
      <c r="F650" s="2"/>
      <c r="G650" s="2"/>
      <c r="H650" s="2" t="str">
        <f t="shared" si="31"/>
        <v>0 г. 0 мес. 0 дн.</v>
      </c>
      <c r="I650" s="2"/>
      <c r="J650" s="2"/>
      <c r="K650" s="2"/>
      <c r="L650" s="2"/>
      <c r="M650" s="2"/>
      <c r="N650" s="1">
        <v>0</v>
      </c>
      <c r="O650" s="2"/>
      <c r="P650" s="2"/>
      <c r="Q650" s="2">
        <v>0</v>
      </c>
      <c r="R650" s="6"/>
    </row>
    <row r="651" spans="1:18" x14ac:dyDescent="0.25">
      <c r="A651" s="2">
        <f t="shared" si="30"/>
        <v>650</v>
      </c>
      <c r="B651" s="2"/>
      <c r="C651" s="2"/>
      <c r="D651" s="2"/>
      <c r="E651" s="2"/>
      <c r="F651" s="2"/>
      <c r="G651" s="2"/>
      <c r="H651" s="2" t="str">
        <f t="shared" si="31"/>
        <v>0 г. 0 мес. 0 дн.</v>
      </c>
      <c r="I651" s="2"/>
      <c r="J651" s="2"/>
      <c r="K651" s="2"/>
      <c r="L651" s="2"/>
      <c r="M651" s="2"/>
      <c r="N651" s="1">
        <v>0</v>
      </c>
      <c r="O651" s="2"/>
      <c r="P651" s="2"/>
      <c r="Q651" s="2">
        <v>0</v>
      </c>
      <c r="R651" s="6"/>
    </row>
    <row r="652" spans="1:18" x14ac:dyDescent="0.25">
      <c r="A652" s="2">
        <f t="shared" si="30"/>
        <v>651</v>
      </c>
      <c r="B652" s="2"/>
      <c r="C652" s="2"/>
      <c r="D652" s="2"/>
      <c r="E652" s="2"/>
      <c r="F652" s="2"/>
      <c r="G652" s="2"/>
      <c r="H652" s="2" t="str">
        <f t="shared" si="31"/>
        <v>0 г. 0 мес. 0 дн.</v>
      </c>
      <c r="I652" s="2"/>
      <c r="J652" s="2"/>
      <c r="K652" s="2"/>
      <c r="L652" s="2"/>
      <c r="M652" s="2"/>
      <c r="N652" s="1">
        <v>0</v>
      </c>
      <c r="O652" s="2"/>
      <c r="P652" s="2"/>
      <c r="Q652" s="2">
        <v>0</v>
      </c>
      <c r="R652" s="6"/>
    </row>
    <row r="653" spans="1:18" x14ac:dyDescent="0.25">
      <c r="A653" s="2">
        <f t="shared" si="30"/>
        <v>652</v>
      </c>
      <c r="B653" s="2"/>
      <c r="C653" s="2"/>
      <c r="D653" s="2"/>
      <c r="E653" s="2"/>
      <c r="F653" s="2"/>
      <c r="G653" s="2"/>
      <c r="H653" s="2" t="str">
        <f t="shared" si="31"/>
        <v>0 г. 0 мес. 0 дн.</v>
      </c>
      <c r="I653" s="2"/>
      <c r="J653" s="2"/>
      <c r="K653" s="2"/>
      <c r="L653" s="2"/>
      <c r="M653" s="2"/>
      <c r="N653" s="1">
        <v>0</v>
      </c>
      <c r="O653" s="2"/>
      <c r="P653" s="2"/>
      <c r="Q653" s="2">
        <v>0</v>
      </c>
      <c r="R653" s="6"/>
    </row>
    <row r="654" spans="1:18" x14ac:dyDescent="0.25">
      <c r="A654" s="2">
        <f t="shared" si="30"/>
        <v>653</v>
      </c>
      <c r="B654" s="2"/>
      <c r="C654" s="2"/>
      <c r="D654" s="2"/>
      <c r="E654" s="2"/>
      <c r="F654" s="2"/>
      <c r="G654" s="2"/>
      <c r="H654" s="2" t="str">
        <f t="shared" si="31"/>
        <v>0 г. 0 мес. 0 дн.</v>
      </c>
      <c r="I654" s="2"/>
      <c r="J654" s="2"/>
      <c r="K654" s="2"/>
      <c r="L654" s="2"/>
      <c r="M654" s="2"/>
      <c r="N654" s="1">
        <v>0</v>
      </c>
      <c r="O654" s="2"/>
      <c r="P654" s="2"/>
      <c r="Q654" s="2">
        <v>0</v>
      </c>
      <c r="R654" s="6"/>
    </row>
    <row r="655" spans="1:18" x14ac:dyDescent="0.25">
      <c r="A655" s="2">
        <f t="shared" si="30"/>
        <v>654</v>
      </c>
      <c r="B655" s="2"/>
      <c r="C655" s="2"/>
      <c r="D655" s="2"/>
      <c r="E655" s="2"/>
      <c r="F655" s="2"/>
      <c r="G655" s="2"/>
      <c r="H655" s="2" t="str">
        <f t="shared" si="31"/>
        <v>0 г. 0 мес. 0 дн.</v>
      </c>
      <c r="I655" s="2"/>
      <c r="J655" s="2"/>
      <c r="K655" s="2"/>
      <c r="L655" s="2"/>
      <c r="M655" s="2"/>
      <c r="N655" s="1">
        <v>0</v>
      </c>
      <c r="O655" s="2"/>
      <c r="P655" s="2"/>
      <c r="Q655" s="2">
        <v>0</v>
      </c>
      <c r="R655" s="6"/>
    </row>
    <row r="656" spans="1:18" x14ac:dyDescent="0.25">
      <c r="A656" s="2">
        <f t="shared" si="30"/>
        <v>655</v>
      </c>
      <c r="B656" s="2"/>
      <c r="C656" s="2"/>
      <c r="D656" s="2"/>
      <c r="E656" s="2"/>
      <c r="F656" s="2"/>
      <c r="G656" s="2"/>
      <c r="H656" s="2" t="str">
        <f t="shared" si="31"/>
        <v>0 г. 0 мес. 0 дн.</v>
      </c>
      <c r="I656" s="2"/>
      <c r="J656" s="2"/>
      <c r="K656" s="2"/>
      <c r="L656" s="2"/>
      <c r="M656" s="2"/>
      <c r="N656" s="1">
        <v>0</v>
      </c>
      <c r="O656" s="2"/>
      <c r="P656" s="2"/>
      <c r="Q656" s="2">
        <v>0</v>
      </c>
      <c r="R656" s="6"/>
    </row>
    <row r="657" spans="1:18" x14ac:dyDescent="0.25">
      <c r="A657" s="2">
        <f t="shared" si="30"/>
        <v>656</v>
      </c>
      <c r="B657" s="2"/>
      <c r="C657" s="2"/>
      <c r="D657" s="2"/>
      <c r="E657" s="2"/>
      <c r="F657" s="2"/>
      <c r="G657" s="2"/>
      <c r="H657" s="2" t="str">
        <f t="shared" si="31"/>
        <v>0 г. 0 мес. 0 дн.</v>
      </c>
      <c r="I657" s="2"/>
      <c r="J657" s="2"/>
      <c r="K657" s="2"/>
      <c r="L657" s="2"/>
      <c r="M657" s="2"/>
      <c r="N657" s="1">
        <v>0</v>
      </c>
      <c r="O657" s="2"/>
      <c r="P657" s="2"/>
      <c r="Q657" s="2">
        <v>0</v>
      </c>
      <c r="R657" s="6"/>
    </row>
    <row r="658" spans="1:18" x14ac:dyDescent="0.25">
      <c r="A658" s="2">
        <f t="shared" si="30"/>
        <v>657</v>
      </c>
      <c r="B658" s="2"/>
      <c r="C658" s="2"/>
      <c r="D658" s="2"/>
      <c r="E658" s="2"/>
      <c r="F658" s="2"/>
      <c r="G658" s="2"/>
      <c r="H658" s="2" t="str">
        <f t="shared" si="31"/>
        <v>0 г. 0 мес. 0 дн.</v>
      </c>
      <c r="I658" s="2"/>
      <c r="J658" s="2"/>
      <c r="K658" s="2"/>
      <c r="L658" s="2"/>
      <c r="M658" s="2"/>
      <c r="N658" s="1">
        <v>0</v>
      </c>
      <c r="O658" s="2"/>
      <c r="P658" s="2"/>
      <c r="Q658" s="2">
        <v>0</v>
      </c>
      <c r="R658" s="6"/>
    </row>
    <row r="659" spans="1:18" x14ac:dyDescent="0.25">
      <c r="A659" s="2">
        <f t="shared" si="30"/>
        <v>658</v>
      </c>
      <c r="B659" s="2"/>
      <c r="C659" s="2"/>
      <c r="D659" s="2"/>
      <c r="E659" s="2"/>
      <c r="F659" s="2"/>
      <c r="G659" s="2"/>
      <c r="H659" s="2" t="str">
        <f t="shared" si="31"/>
        <v>0 г. 0 мес. 0 дн.</v>
      </c>
      <c r="I659" s="2"/>
      <c r="J659" s="2"/>
      <c r="K659" s="2"/>
      <c r="L659" s="2"/>
      <c r="M659" s="2"/>
      <c r="N659" s="1">
        <v>0</v>
      </c>
      <c r="O659" s="2"/>
      <c r="P659" s="2"/>
      <c r="Q659" s="2">
        <v>0</v>
      </c>
      <c r="R659" s="6"/>
    </row>
    <row r="660" spans="1:18" x14ac:dyDescent="0.25">
      <c r="A660" s="2">
        <f t="shared" si="30"/>
        <v>659</v>
      </c>
      <c r="B660" s="2"/>
      <c r="C660" s="2"/>
      <c r="D660" s="2"/>
      <c r="E660" s="2"/>
      <c r="F660" s="2"/>
      <c r="G660" s="2"/>
      <c r="H660" s="2" t="str">
        <f t="shared" si="31"/>
        <v>0 г. 0 мес. 0 дн.</v>
      </c>
      <c r="I660" s="2"/>
      <c r="J660" s="2"/>
      <c r="K660" s="2"/>
      <c r="L660" s="2"/>
      <c r="M660" s="2"/>
      <c r="N660" s="1">
        <v>0</v>
      </c>
      <c r="O660" s="2"/>
      <c r="P660" s="2"/>
      <c r="Q660" s="2">
        <v>0</v>
      </c>
      <c r="R660" s="6"/>
    </row>
    <row r="661" spans="1:18" x14ac:dyDescent="0.25">
      <c r="A661" s="2">
        <f t="shared" si="30"/>
        <v>660</v>
      </c>
      <c r="B661" s="2"/>
      <c r="C661" s="2"/>
      <c r="D661" s="2"/>
      <c r="E661" s="2"/>
      <c r="F661" s="2"/>
      <c r="G661" s="2"/>
      <c r="H661" s="2" t="str">
        <f t="shared" si="31"/>
        <v>0 г. 0 мес. 0 дн.</v>
      </c>
      <c r="I661" s="2"/>
      <c r="J661" s="2"/>
      <c r="K661" s="2"/>
      <c r="L661" s="2"/>
      <c r="M661" s="2"/>
      <c r="N661" s="1">
        <v>0</v>
      </c>
      <c r="O661" s="2"/>
      <c r="P661" s="2"/>
      <c r="Q661" s="2">
        <v>0</v>
      </c>
      <c r="R661" s="6"/>
    </row>
    <row r="662" spans="1:18" x14ac:dyDescent="0.25">
      <c r="A662" s="2">
        <f t="shared" si="30"/>
        <v>661</v>
      </c>
      <c r="B662" s="2"/>
      <c r="C662" s="2"/>
      <c r="D662" s="2"/>
      <c r="E662" s="2"/>
      <c r="F662" s="2"/>
      <c r="G662" s="2"/>
      <c r="H662" s="2" t="str">
        <f t="shared" si="31"/>
        <v>0 г. 0 мес. 0 дн.</v>
      </c>
      <c r="I662" s="2"/>
      <c r="J662" s="2"/>
      <c r="K662" s="2"/>
      <c r="L662" s="2"/>
      <c r="M662" s="2"/>
      <c r="N662" s="1">
        <v>0</v>
      </c>
      <c r="O662" s="2"/>
      <c r="P662" s="2"/>
      <c r="Q662" s="2">
        <v>0</v>
      </c>
      <c r="R662" s="6"/>
    </row>
    <row r="663" spans="1:18" x14ac:dyDescent="0.25">
      <c r="A663" s="2">
        <f t="shared" si="30"/>
        <v>662</v>
      </c>
      <c r="B663" s="2"/>
      <c r="C663" s="2"/>
      <c r="D663" s="2"/>
      <c r="E663" s="2"/>
      <c r="F663" s="2"/>
      <c r="G663" s="2"/>
      <c r="H663" s="2" t="str">
        <f t="shared" si="31"/>
        <v>0 г. 0 мес. 0 дн.</v>
      </c>
      <c r="I663" s="2"/>
      <c r="J663" s="2"/>
      <c r="K663" s="2"/>
      <c r="L663" s="2"/>
      <c r="M663" s="2"/>
      <c r="N663" s="1">
        <v>0</v>
      </c>
      <c r="O663" s="2"/>
      <c r="P663" s="2"/>
      <c r="Q663" s="2">
        <v>0</v>
      </c>
      <c r="R663" s="6"/>
    </row>
    <row r="664" spans="1:18" x14ac:dyDescent="0.25">
      <c r="A664" s="2">
        <f t="shared" si="30"/>
        <v>663</v>
      </c>
      <c r="B664" s="2"/>
      <c r="C664" s="2"/>
      <c r="D664" s="2"/>
      <c r="E664" s="2"/>
      <c r="F664" s="2"/>
      <c r="G664" s="2"/>
      <c r="H664" s="2" t="str">
        <f t="shared" si="31"/>
        <v>0 г. 0 мес. 0 дн.</v>
      </c>
      <c r="I664" s="2"/>
      <c r="J664" s="2"/>
      <c r="K664" s="2"/>
      <c r="L664" s="2"/>
      <c r="M664" s="2"/>
      <c r="N664" s="1">
        <v>0</v>
      </c>
      <c r="O664" s="2"/>
      <c r="P664" s="2"/>
      <c r="Q664" s="2">
        <v>0</v>
      </c>
      <c r="R664" s="6"/>
    </row>
    <row r="665" spans="1:18" x14ac:dyDescent="0.25">
      <c r="A665" s="2">
        <f t="shared" si="30"/>
        <v>664</v>
      </c>
      <c r="B665" s="2"/>
      <c r="C665" s="2"/>
      <c r="D665" s="2"/>
      <c r="E665" s="2"/>
      <c r="F665" s="2"/>
      <c r="G665" s="2"/>
      <c r="H665" s="2" t="str">
        <f t="shared" si="31"/>
        <v>0 г. 0 мес. 0 дн.</v>
      </c>
      <c r="I665" s="2"/>
      <c r="J665" s="2"/>
      <c r="K665" s="2"/>
      <c r="L665" s="2"/>
      <c r="M665" s="2"/>
      <c r="N665" s="1">
        <v>0</v>
      </c>
      <c r="O665" s="2"/>
      <c r="P665" s="2"/>
      <c r="Q665" s="2">
        <v>0</v>
      </c>
      <c r="R665" s="6"/>
    </row>
    <row r="666" spans="1:18" x14ac:dyDescent="0.25">
      <c r="A666" s="2">
        <f t="shared" si="30"/>
        <v>665</v>
      </c>
      <c r="B666" s="2"/>
      <c r="C666" s="2"/>
      <c r="D666" s="2"/>
      <c r="E666" s="2"/>
      <c r="F666" s="2"/>
      <c r="G666" s="2"/>
      <c r="H666" s="2" t="str">
        <f t="shared" si="31"/>
        <v>0 г. 0 мес. 0 дн.</v>
      </c>
      <c r="I666" s="2"/>
      <c r="J666" s="2"/>
      <c r="K666" s="2"/>
      <c r="L666" s="2"/>
      <c r="M666" s="2"/>
      <c r="N666" s="1">
        <v>0</v>
      </c>
      <c r="O666" s="2"/>
      <c r="P666" s="2"/>
      <c r="Q666" s="2">
        <v>0</v>
      </c>
      <c r="R666" s="6"/>
    </row>
    <row r="667" spans="1:18" x14ac:dyDescent="0.25">
      <c r="A667" s="2">
        <f t="shared" si="30"/>
        <v>666</v>
      </c>
      <c r="B667" s="2"/>
      <c r="C667" s="2"/>
      <c r="D667" s="2"/>
      <c r="E667" s="2"/>
      <c r="F667" s="2"/>
      <c r="G667" s="2"/>
      <c r="H667" s="2" t="str">
        <f t="shared" si="31"/>
        <v>0 г. 0 мес. 0 дн.</v>
      </c>
      <c r="I667" s="2"/>
      <c r="J667" s="2"/>
      <c r="K667" s="2"/>
      <c r="L667" s="2"/>
      <c r="M667" s="2"/>
      <c r="N667" s="1">
        <v>0</v>
      </c>
      <c r="O667" s="2"/>
      <c r="P667" s="2"/>
      <c r="Q667" s="2">
        <v>0</v>
      </c>
      <c r="R667" s="6"/>
    </row>
    <row r="668" spans="1:18" x14ac:dyDescent="0.25">
      <c r="A668" s="2">
        <f t="shared" si="30"/>
        <v>667</v>
      </c>
      <c r="B668" s="2"/>
      <c r="C668" s="2"/>
      <c r="D668" s="2"/>
      <c r="E668" s="2"/>
      <c r="F668" s="2"/>
      <c r="G668" s="2"/>
      <c r="H668" s="2" t="str">
        <f t="shared" si="31"/>
        <v>0 г. 0 мес. 0 дн.</v>
      </c>
      <c r="I668" s="2"/>
      <c r="J668" s="2"/>
      <c r="K668" s="2"/>
      <c r="L668" s="2"/>
      <c r="M668" s="2"/>
      <c r="N668" s="1">
        <v>0</v>
      </c>
      <c r="O668" s="2"/>
      <c r="P668" s="2"/>
      <c r="Q668" s="2">
        <v>0</v>
      </c>
      <c r="R668" s="6"/>
    </row>
    <row r="669" spans="1:18" x14ac:dyDescent="0.25">
      <c r="A669" s="2">
        <f t="shared" ref="A669:A732" si="32">ROW(A668)</f>
        <v>668</v>
      </c>
      <c r="B669" s="2"/>
      <c r="C669" s="2"/>
      <c r="D669" s="2"/>
      <c r="E669" s="2"/>
      <c r="F669" s="2"/>
      <c r="G669" s="2"/>
      <c r="H669" s="2" t="str">
        <f t="shared" si="31"/>
        <v>0 г. 0 мес. 0 дн.</v>
      </c>
      <c r="I669" s="2"/>
      <c r="J669" s="2"/>
      <c r="K669" s="2"/>
      <c r="L669" s="2"/>
      <c r="M669" s="2"/>
      <c r="N669" s="1">
        <v>0</v>
      </c>
      <c r="O669" s="2"/>
      <c r="P669" s="2"/>
      <c r="Q669" s="2">
        <v>0</v>
      </c>
      <c r="R669" s="6"/>
    </row>
    <row r="670" spans="1:18" x14ac:dyDescent="0.25">
      <c r="A670" s="2">
        <f t="shared" si="32"/>
        <v>669</v>
      </c>
      <c r="B670" s="2"/>
      <c r="C670" s="2"/>
      <c r="D670" s="2"/>
      <c r="E670" s="2"/>
      <c r="F670" s="2"/>
      <c r="G670" s="2"/>
      <c r="H670" s="2" t="str">
        <f t="shared" si="31"/>
        <v>0 г. 0 мес. 0 дн.</v>
      </c>
      <c r="I670" s="2"/>
      <c r="J670" s="2"/>
      <c r="K670" s="2"/>
      <c r="L670" s="2"/>
      <c r="M670" s="2"/>
      <c r="N670" s="1">
        <v>0</v>
      </c>
      <c r="O670" s="2"/>
      <c r="P670" s="2"/>
      <c r="Q670" s="2">
        <v>0</v>
      </c>
      <c r="R670" s="6"/>
    </row>
    <row r="671" spans="1:18" x14ac:dyDescent="0.25">
      <c r="A671" s="2">
        <f t="shared" si="32"/>
        <v>670</v>
      </c>
      <c r="B671" s="2"/>
      <c r="C671" s="2"/>
      <c r="D671" s="2"/>
      <c r="E671" s="2"/>
      <c r="F671" s="2"/>
      <c r="G671" s="2"/>
      <c r="H671" s="2" t="str">
        <f t="shared" si="31"/>
        <v>0 г. 0 мес. 0 дн.</v>
      </c>
      <c r="I671" s="2"/>
      <c r="J671" s="2"/>
      <c r="K671" s="2"/>
      <c r="L671" s="2"/>
      <c r="M671" s="2"/>
      <c r="N671" s="1">
        <v>0</v>
      </c>
      <c r="O671" s="2"/>
      <c r="P671" s="2"/>
      <c r="Q671" s="2">
        <v>0</v>
      </c>
      <c r="R671" s="6"/>
    </row>
    <row r="672" spans="1:18" x14ac:dyDescent="0.25">
      <c r="A672" s="2">
        <f t="shared" si="32"/>
        <v>671</v>
      </c>
      <c r="B672" s="2"/>
      <c r="C672" s="2"/>
      <c r="D672" s="2"/>
      <c r="E672" s="2"/>
      <c r="F672" s="2"/>
      <c r="G672" s="2"/>
      <c r="H672" s="2" t="str">
        <f t="shared" si="31"/>
        <v>0 г. 0 мес. 0 дн.</v>
      </c>
      <c r="I672" s="2"/>
      <c r="J672" s="2"/>
      <c r="K672" s="2"/>
      <c r="L672" s="2"/>
      <c r="M672" s="2"/>
      <c r="N672" s="1">
        <v>0</v>
      </c>
      <c r="O672" s="2"/>
      <c r="P672" s="2"/>
      <c r="Q672" s="2">
        <v>0</v>
      </c>
      <c r="R672" s="6"/>
    </row>
    <row r="673" spans="1:18" x14ac:dyDescent="0.25">
      <c r="A673" s="2">
        <f t="shared" si="32"/>
        <v>672</v>
      </c>
      <c r="B673" s="2"/>
      <c r="C673" s="2"/>
      <c r="D673" s="2"/>
      <c r="E673" s="2"/>
      <c r="F673" s="2"/>
      <c r="G673" s="2"/>
      <c r="H673" s="2" t="str">
        <f t="shared" si="31"/>
        <v>0 г. 0 мес. 0 дн.</v>
      </c>
      <c r="I673" s="2"/>
      <c r="J673" s="2"/>
      <c r="K673" s="2"/>
      <c r="L673" s="2"/>
      <c r="M673" s="2"/>
      <c r="N673" s="1">
        <v>0</v>
      </c>
      <c r="O673" s="2"/>
      <c r="P673" s="2"/>
      <c r="Q673" s="2">
        <v>0</v>
      </c>
      <c r="R673" s="6"/>
    </row>
    <row r="674" spans="1:18" x14ac:dyDescent="0.25">
      <c r="A674" s="2">
        <f t="shared" si="32"/>
        <v>673</v>
      </c>
      <c r="B674" s="2"/>
      <c r="C674" s="2"/>
      <c r="D674" s="2"/>
      <c r="E674" s="2"/>
      <c r="F674" s="2"/>
      <c r="G674" s="2"/>
      <c r="H674" s="2" t="str">
        <f t="shared" si="31"/>
        <v>0 г. 0 мес. 0 дн.</v>
      </c>
      <c r="I674" s="2"/>
      <c r="J674" s="2"/>
      <c r="K674" s="2"/>
      <c r="L674" s="2"/>
      <c r="M674" s="2"/>
      <c r="N674" s="1">
        <v>0</v>
      </c>
      <c r="O674" s="2"/>
      <c r="P674" s="2"/>
      <c r="Q674" s="2">
        <v>0</v>
      </c>
      <c r="R674" s="6"/>
    </row>
    <row r="675" spans="1:18" x14ac:dyDescent="0.25">
      <c r="A675" s="2">
        <f t="shared" si="32"/>
        <v>674</v>
      </c>
      <c r="B675" s="2"/>
      <c r="C675" s="2"/>
      <c r="D675" s="2"/>
      <c r="E675" s="2"/>
      <c r="F675" s="2"/>
      <c r="G675" s="2"/>
      <c r="H675" s="2" t="str">
        <f t="shared" si="31"/>
        <v>0 г. 0 мес. 0 дн.</v>
      </c>
      <c r="I675" s="2"/>
      <c r="J675" s="2"/>
      <c r="K675" s="2"/>
      <c r="L675" s="2"/>
      <c r="M675" s="2"/>
      <c r="N675" s="1">
        <v>0</v>
      </c>
      <c r="O675" s="2"/>
      <c r="P675" s="2"/>
      <c r="Q675" s="2">
        <v>0</v>
      </c>
      <c r="R675" s="6"/>
    </row>
    <row r="676" spans="1:18" x14ac:dyDescent="0.25">
      <c r="A676" s="2">
        <f t="shared" si="32"/>
        <v>675</v>
      </c>
      <c r="B676" s="2"/>
      <c r="C676" s="2"/>
      <c r="D676" s="2"/>
      <c r="E676" s="2"/>
      <c r="F676" s="2"/>
      <c r="G676" s="2"/>
      <c r="H676" s="2" t="str">
        <f t="shared" si="31"/>
        <v>0 г. 0 мес. 0 дн.</v>
      </c>
      <c r="I676" s="2"/>
      <c r="J676" s="2"/>
      <c r="K676" s="2"/>
      <c r="L676" s="2"/>
      <c r="M676" s="2"/>
      <c r="N676" s="1">
        <v>0</v>
      </c>
      <c r="O676" s="2"/>
      <c r="P676" s="2"/>
      <c r="Q676" s="2">
        <v>0</v>
      </c>
      <c r="R676" s="6"/>
    </row>
    <row r="677" spans="1:18" x14ac:dyDescent="0.25">
      <c r="A677" s="2">
        <f t="shared" si="32"/>
        <v>676</v>
      </c>
      <c r="B677" s="2"/>
      <c r="C677" s="2"/>
      <c r="D677" s="2"/>
      <c r="E677" s="2"/>
      <c r="F677" s="2"/>
      <c r="G677" s="2"/>
      <c r="H677" s="2" t="str">
        <f t="shared" si="31"/>
        <v>0 г. 0 мес. 0 дн.</v>
      </c>
      <c r="I677" s="2"/>
      <c r="J677" s="2"/>
      <c r="K677" s="2"/>
      <c r="L677" s="2"/>
      <c r="M677" s="2"/>
      <c r="N677" s="1">
        <v>0</v>
      </c>
      <c r="O677" s="2"/>
      <c r="P677" s="2"/>
      <c r="Q677" s="2">
        <v>0</v>
      </c>
      <c r="R677" s="6"/>
    </row>
    <row r="678" spans="1:18" x14ac:dyDescent="0.25">
      <c r="A678" s="2">
        <f t="shared" si="32"/>
        <v>677</v>
      </c>
      <c r="B678" s="2"/>
      <c r="C678" s="2"/>
      <c r="D678" s="2"/>
      <c r="E678" s="2"/>
      <c r="F678" s="2"/>
      <c r="G678" s="2"/>
      <c r="H678" s="2" t="str">
        <f t="shared" si="31"/>
        <v>0 г. 0 мес. 0 дн.</v>
      </c>
      <c r="I678" s="2"/>
      <c r="J678" s="2"/>
      <c r="K678" s="2"/>
      <c r="L678" s="2"/>
      <c r="M678" s="2"/>
      <c r="N678" s="1">
        <v>0</v>
      </c>
      <c r="O678" s="2"/>
      <c r="P678" s="2"/>
      <c r="Q678" s="2">
        <v>0</v>
      </c>
      <c r="R678" s="6"/>
    </row>
    <row r="679" spans="1:18" x14ac:dyDescent="0.25">
      <c r="A679" s="2">
        <f t="shared" si="32"/>
        <v>678</v>
      </c>
      <c r="B679" s="2"/>
      <c r="C679" s="2"/>
      <c r="D679" s="2"/>
      <c r="E679" s="2"/>
      <c r="F679" s="2"/>
      <c r="G679" s="2"/>
      <c r="H679" s="2" t="str">
        <f t="shared" si="31"/>
        <v>0 г. 0 мес. 0 дн.</v>
      </c>
      <c r="I679" s="2"/>
      <c r="J679" s="2"/>
      <c r="K679" s="2"/>
      <c r="L679" s="2"/>
      <c r="M679" s="2"/>
      <c r="N679" s="1">
        <v>0</v>
      </c>
      <c r="O679" s="2"/>
      <c r="P679" s="2"/>
      <c r="Q679" s="2">
        <v>0</v>
      </c>
      <c r="R679" s="6"/>
    </row>
    <row r="680" spans="1:18" x14ac:dyDescent="0.25">
      <c r="A680" s="2">
        <f t="shared" si="32"/>
        <v>679</v>
      </c>
      <c r="B680" s="2"/>
      <c r="C680" s="2"/>
      <c r="D680" s="2"/>
      <c r="E680" s="2"/>
      <c r="F680" s="2"/>
      <c r="G680" s="2"/>
      <c r="H680" s="2" t="str">
        <f t="shared" si="31"/>
        <v>0 г. 0 мес. 0 дн.</v>
      </c>
      <c r="I680" s="2"/>
      <c r="J680" s="2"/>
      <c r="K680" s="2"/>
      <c r="L680" s="2"/>
      <c r="M680" s="2"/>
      <c r="N680" s="1">
        <v>0</v>
      </c>
      <c r="O680" s="2"/>
      <c r="P680" s="2"/>
      <c r="Q680" s="2">
        <v>0</v>
      </c>
      <c r="R680" s="6"/>
    </row>
    <row r="681" spans="1:18" x14ac:dyDescent="0.25">
      <c r="A681" s="2">
        <f t="shared" si="32"/>
        <v>680</v>
      </c>
      <c r="B681" s="2"/>
      <c r="C681" s="2"/>
      <c r="D681" s="2"/>
      <c r="E681" s="2"/>
      <c r="F681" s="2"/>
      <c r="G681" s="2"/>
      <c r="H681" s="2" t="str">
        <f t="shared" si="31"/>
        <v>0 г. 0 мес. 0 дн.</v>
      </c>
      <c r="I681" s="2"/>
      <c r="J681" s="2"/>
      <c r="K681" s="2"/>
      <c r="L681" s="2"/>
      <c r="M681" s="2"/>
      <c r="N681" s="1">
        <v>0</v>
      </c>
      <c r="O681" s="2"/>
      <c r="P681" s="2"/>
      <c r="Q681" s="2">
        <v>0</v>
      </c>
      <c r="R681" s="6"/>
    </row>
    <row r="682" spans="1:18" x14ac:dyDescent="0.25">
      <c r="A682" s="2">
        <f t="shared" si="32"/>
        <v>681</v>
      </c>
      <c r="B682" s="2"/>
      <c r="C682" s="2"/>
      <c r="D682" s="2"/>
      <c r="E682" s="2"/>
      <c r="F682" s="2"/>
      <c r="G682" s="2"/>
      <c r="H682" s="2" t="str">
        <f t="shared" si="31"/>
        <v>0 г. 0 мес. 0 дн.</v>
      </c>
      <c r="I682" s="2"/>
      <c r="J682" s="2"/>
      <c r="K682" s="2"/>
      <c r="L682" s="2"/>
      <c r="M682" s="2"/>
      <c r="N682" s="1">
        <v>0</v>
      </c>
      <c r="O682" s="2"/>
      <c r="P682" s="2"/>
      <c r="Q682" s="2">
        <v>0</v>
      </c>
      <c r="R682" s="6"/>
    </row>
    <row r="683" spans="1:18" x14ac:dyDescent="0.25">
      <c r="A683" s="2">
        <f t="shared" si="32"/>
        <v>682</v>
      </c>
      <c r="B683" s="2"/>
      <c r="C683" s="2"/>
      <c r="D683" s="2"/>
      <c r="E683" s="2"/>
      <c r="F683" s="2"/>
      <c r="G683" s="2"/>
      <c r="H683" s="2" t="str">
        <f t="shared" si="31"/>
        <v>0 г. 0 мес. 0 дн.</v>
      </c>
      <c r="I683" s="2"/>
      <c r="J683" s="2"/>
      <c r="K683" s="2"/>
      <c r="L683" s="2"/>
      <c r="M683" s="2"/>
      <c r="N683" s="1">
        <v>0</v>
      </c>
      <c r="O683" s="2"/>
      <c r="P683" s="2"/>
      <c r="Q683" s="2">
        <v>0</v>
      </c>
      <c r="R683" s="6"/>
    </row>
    <row r="684" spans="1:18" x14ac:dyDescent="0.25">
      <c r="A684" s="2">
        <f t="shared" si="32"/>
        <v>683</v>
      </c>
      <c r="B684" s="2"/>
      <c r="C684" s="2"/>
      <c r="D684" s="2"/>
      <c r="E684" s="2"/>
      <c r="F684" s="2"/>
      <c r="G684" s="2"/>
      <c r="H684" s="2" t="str">
        <f t="shared" si="31"/>
        <v>0 г. 0 мес. 0 дн.</v>
      </c>
      <c r="I684" s="2"/>
      <c r="J684" s="2"/>
      <c r="K684" s="2"/>
      <c r="L684" s="2"/>
      <c r="M684" s="2"/>
      <c r="N684" s="1">
        <v>0</v>
      </c>
      <c r="O684" s="2"/>
      <c r="P684" s="2"/>
      <c r="Q684" s="2">
        <v>0</v>
      </c>
      <c r="R684" s="6"/>
    </row>
    <row r="685" spans="1:18" x14ac:dyDescent="0.25">
      <c r="A685" s="2">
        <f t="shared" si="32"/>
        <v>684</v>
      </c>
      <c r="B685" s="2"/>
      <c r="C685" s="2"/>
      <c r="D685" s="2"/>
      <c r="E685" s="2"/>
      <c r="F685" s="2"/>
      <c r="G685" s="2"/>
      <c r="H685" s="2" t="str">
        <f t="shared" si="31"/>
        <v>0 г. 0 мес. 0 дн.</v>
      </c>
      <c r="I685" s="2"/>
      <c r="J685" s="2"/>
      <c r="K685" s="2"/>
      <c r="L685" s="2"/>
      <c r="M685" s="2"/>
      <c r="N685" s="1">
        <v>0</v>
      </c>
      <c r="O685" s="2"/>
      <c r="P685" s="2"/>
      <c r="Q685" s="2">
        <v>0</v>
      </c>
      <c r="R685" s="6"/>
    </row>
    <row r="686" spans="1:18" x14ac:dyDescent="0.25">
      <c r="A686" s="2">
        <f t="shared" si="32"/>
        <v>685</v>
      </c>
      <c r="B686" s="2"/>
      <c r="C686" s="2"/>
      <c r="D686" s="2"/>
      <c r="E686" s="2"/>
      <c r="F686" s="2"/>
      <c r="G686" s="2"/>
      <c r="H686" s="2" t="str">
        <f t="shared" si="31"/>
        <v>0 г. 0 мес. 0 дн.</v>
      </c>
      <c r="I686" s="2"/>
      <c r="J686" s="2"/>
      <c r="K686" s="2"/>
      <c r="L686" s="2"/>
      <c r="M686" s="2"/>
      <c r="N686" s="1">
        <v>0</v>
      </c>
      <c r="O686" s="2"/>
      <c r="P686" s="2"/>
      <c r="Q686" s="2">
        <v>0</v>
      </c>
      <c r="R686" s="6"/>
    </row>
    <row r="687" spans="1:18" x14ac:dyDescent="0.25">
      <c r="A687" s="2">
        <f t="shared" si="32"/>
        <v>686</v>
      </c>
      <c r="B687" s="2"/>
      <c r="C687" s="2"/>
      <c r="D687" s="2"/>
      <c r="E687" s="2"/>
      <c r="F687" s="2"/>
      <c r="G687" s="2"/>
      <c r="H687" s="2" t="str">
        <f t="shared" si="31"/>
        <v>0 г. 0 мес. 0 дн.</v>
      </c>
      <c r="I687" s="2"/>
      <c r="J687" s="2"/>
      <c r="K687" s="2"/>
      <c r="L687" s="2"/>
      <c r="M687" s="2"/>
      <c r="N687" s="1">
        <v>0</v>
      </c>
      <c r="O687" s="2"/>
      <c r="P687" s="2"/>
      <c r="Q687" s="2">
        <v>0</v>
      </c>
      <c r="R687" s="6"/>
    </row>
    <row r="688" spans="1:18" x14ac:dyDescent="0.25">
      <c r="A688" s="2">
        <f t="shared" si="32"/>
        <v>687</v>
      </c>
      <c r="B688" s="2"/>
      <c r="C688" s="2"/>
      <c r="D688" s="2"/>
      <c r="E688" s="2"/>
      <c r="F688" s="2"/>
      <c r="G688" s="2"/>
      <c r="H688" s="2" t="str">
        <f t="shared" si="31"/>
        <v>0 г. 0 мес. 0 дн.</v>
      </c>
      <c r="I688" s="2"/>
      <c r="J688" s="2"/>
      <c r="K688" s="2"/>
      <c r="L688" s="2"/>
      <c r="M688" s="2"/>
      <c r="N688" s="1">
        <v>0</v>
      </c>
      <c r="O688" s="2"/>
      <c r="P688" s="2"/>
      <c r="Q688" s="2">
        <v>0</v>
      </c>
      <c r="R688" s="6"/>
    </row>
    <row r="689" spans="1:18" x14ac:dyDescent="0.25">
      <c r="A689" s="2">
        <f t="shared" si="32"/>
        <v>688</v>
      </c>
      <c r="B689" s="2"/>
      <c r="C689" s="2"/>
      <c r="D689" s="2"/>
      <c r="E689" s="2"/>
      <c r="F689" s="2"/>
      <c r="G689" s="2"/>
      <c r="H689" s="2" t="str">
        <f t="shared" si="31"/>
        <v>0 г. 0 мес. 0 дн.</v>
      </c>
      <c r="I689" s="2"/>
      <c r="J689" s="2"/>
      <c r="K689" s="2"/>
      <c r="L689" s="2"/>
      <c r="M689" s="2"/>
      <c r="N689" s="1">
        <v>0</v>
      </c>
      <c r="O689" s="2"/>
      <c r="P689" s="2"/>
      <c r="Q689" s="2">
        <v>0</v>
      </c>
      <c r="R689" s="6"/>
    </row>
    <row r="690" spans="1:18" x14ac:dyDescent="0.25">
      <c r="A690" s="2">
        <f t="shared" si="32"/>
        <v>689</v>
      </c>
      <c r="B690" s="2"/>
      <c r="C690" s="2"/>
      <c r="D690" s="2"/>
      <c r="E690" s="2"/>
      <c r="F690" s="2"/>
      <c r="G690" s="2"/>
      <c r="H690" s="2" t="str">
        <f t="shared" si="31"/>
        <v>0 г. 0 мес. 0 дн.</v>
      </c>
      <c r="I690" s="2"/>
      <c r="J690" s="2"/>
      <c r="K690" s="2"/>
      <c r="L690" s="2"/>
      <c r="M690" s="2"/>
      <c r="N690" s="1">
        <v>0</v>
      </c>
      <c r="O690" s="2"/>
      <c r="P690" s="2"/>
      <c r="Q690" s="2">
        <v>0</v>
      </c>
      <c r="R690" s="6"/>
    </row>
    <row r="691" spans="1:18" x14ac:dyDescent="0.25">
      <c r="A691" s="2">
        <f t="shared" si="32"/>
        <v>690</v>
      </c>
      <c r="B691" s="2"/>
      <c r="C691" s="2"/>
      <c r="D691" s="2"/>
      <c r="E691" s="2"/>
      <c r="F691" s="2"/>
      <c r="G691" s="2"/>
      <c r="H691" s="2" t="str">
        <f t="shared" si="31"/>
        <v>0 г. 0 мес. 0 дн.</v>
      </c>
      <c r="I691" s="2"/>
      <c r="J691" s="2"/>
      <c r="K691" s="2"/>
      <c r="L691" s="2"/>
      <c r="M691" s="2"/>
      <c r="N691" s="1">
        <v>0</v>
      </c>
      <c r="O691" s="2"/>
      <c r="P691" s="2"/>
      <c r="Q691" s="2">
        <v>0</v>
      </c>
      <c r="R691" s="6"/>
    </row>
    <row r="692" spans="1:18" x14ac:dyDescent="0.25">
      <c r="A692" s="2">
        <f t="shared" si="32"/>
        <v>691</v>
      </c>
      <c r="B692" s="2"/>
      <c r="C692" s="2"/>
      <c r="D692" s="2"/>
      <c r="E692" s="2"/>
      <c r="F692" s="2"/>
      <c r="G692" s="2"/>
      <c r="H692" s="2" t="str">
        <f t="shared" si="31"/>
        <v>0 г. 0 мес. 0 дн.</v>
      </c>
      <c r="I692" s="2"/>
      <c r="J692" s="2"/>
      <c r="K692" s="2"/>
      <c r="L692" s="2"/>
      <c r="M692" s="2"/>
      <c r="N692" s="1">
        <v>0</v>
      </c>
      <c r="O692" s="2"/>
      <c r="P692" s="2"/>
      <c r="Q692" s="2">
        <v>0</v>
      </c>
      <c r="R692" s="6"/>
    </row>
    <row r="693" spans="1:18" x14ac:dyDescent="0.25">
      <c r="A693" s="2">
        <f t="shared" si="32"/>
        <v>692</v>
      </c>
      <c r="B693" s="2"/>
      <c r="C693" s="2"/>
      <c r="D693" s="2"/>
      <c r="E693" s="2"/>
      <c r="F693" s="2"/>
      <c r="G693" s="2"/>
      <c r="H693" s="2" t="str">
        <f t="shared" si="31"/>
        <v>0 г. 0 мес. 0 дн.</v>
      </c>
      <c r="I693" s="2"/>
      <c r="J693" s="2"/>
      <c r="K693" s="2"/>
      <c r="L693" s="2"/>
      <c r="M693" s="2"/>
      <c r="N693" s="1">
        <v>0</v>
      </c>
      <c r="O693" s="2"/>
      <c r="P693" s="2"/>
      <c r="Q693" s="2">
        <v>0</v>
      </c>
      <c r="R693" s="6"/>
    </row>
    <row r="694" spans="1:18" x14ac:dyDescent="0.25">
      <c r="A694" s="2">
        <f t="shared" si="32"/>
        <v>693</v>
      </c>
      <c r="B694" s="2"/>
      <c r="C694" s="2"/>
      <c r="D694" s="2"/>
      <c r="E694" s="2"/>
      <c r="F694" s="2"/>
      <c r="G694" s="2"/>
      <c r="H694" s="2" t="str">
        <f t="shared" si="31"/>
        <v>0 г. 0 мес. 0 дн.</v>
      </c>
      <c r="I694" s="2"/>
      <c r="J694" s="2"/>
      <c r="K694" s="2"/>
      <c r="L694" s="2"/>
      <c r="M694" s="2"/>
      <c r="N694" s="1">
        <v>0</v>
      </c>
      <c r="O694" s="2"/>
      <c r="P694" s="2"/>
      <c r="Q694" s="2">
        <v>0</v>
      </c>
      <c r="R694" s="6"/>
    </row>
    <row r="695" spans="1:18" x14ac:dyDescent="0.25">
      <c r="A695" s="2">
        <f t="shared" si="32"/>
        <v>694</v>
      </c>
      <c r="B695" s="2"/>
      <c r="C695" s="2"/>
      <c r="D695" s="2"/>
      <c r="E695" s="2"/>
      <c r="F695" s="2"/>
      <c r="G695" s="2"/>
      <c r="H695" s="2" t="str">
        <f t="shared" si="31"/>
        <v>0 г. 0 мес. 0 дн.</v>
      </c>
      <c r="I695" s="2"/>
      <c r="J695" s="2"/>
      <c r="K695" s="2"/>
      <c r="L695" s="2"/>
      <c r="M695" s="2"/>
      <c r="N695" s="1">
        <v>0</v>
      </c>
      <c r="O695" s="2"/>
      <c r="P695" s="2"/>
      <c r="Q695" s="2">
        <v>0</v>
      </c>
      <c r="R695" s="6"/>
    </row>
    <row r="696" spans="1:18" x14ac:dyDescent="0.25">
      <c r="A696" s="2">
        <f t="shared" si="32"/>
        <v>695</v>
      </c>
      <c r="B696" s="2"/>
      <c r="C696" s="2"/>
      <c r="D696" s="2"/>
      <c r="E696" s="2"/>
      <c r="F696" s="2"/>
      <c r="G696" s="2"/>
      <c r="H696" s="2" t="str">
        <f t="shared" si="31"/>
        <v>0 г. 0 мес. 0 дн.</v>
      </c>
      <c r="I696" s="2"/>
      <c r="J696" s="2"/>
      <c r="K696" s="2"/>
      <c r="L696" s="2"/>
      <c r="M696" s="2"/>
      <c r="N696" s="1">
        <v>0</v>
      </c>
      <c r="O696" s="2"/>
      <c r="P696" s="2"/>
      <c r="Q696" s="2">
        <v>0</v>
      </c>
      <c r="R696" s="6"/>
    </row>
    <row r="697" spans="1:18" x14ac:dyDescent="0.25">
      <c r="A697" s="2">
        <f t="shared" si="32"/>
        <v>696</v>
      </c>
      <c r="B697" s="2"/>
      <c r="C697" s="2"/>
      <c r="D697" s="2"/>
      <c r="E697" s="2"/>
      <c r="F697" s="2"/>
      <c r="G697" s="2"/>
      <c r="H697" s="2" t="str">
        <f t="shared" si="31"/>
        <v>0 г. 0 мес. 0 дн.</v>
      </c>
      <c r="I697" s="2"/>
      <c r="J697" s="2"/>
      <c r="K697" s="2"/>
      <c r="L697" s="2"/>
      <c r="M697" s="2"/>
      <c r="N697" s="1">
        <v>0</v>
      </c>
      <c r="O697" s="2"/>
      <c r="P697" s="2"/>
      <c r="Q697" s="2">
        <v>0</v>
      </c>
      <c r="R697" s="6"/>
    </row>
    <row r="698" spans="1:18" x14ac:dyDescent="0.25">
      <c r="A698" s="2">
        <f t="shared" si="32"/>
        <v>697</v>
      </c>
      <c r="B698" s="2"/>
      <c r="C698" s="2"/>
      <c r="D698" s="2"/>
      <c r="E698" s="2"/>
      <c r="F698" s="2"/>
      <c r="G698" s="2"/>
      <c r="H698" s="2" t="str">
        <f t="shared" si="31"/>
        <v>0 г. 0 мес. 0 дн.</v>
      </c>
      <c r="I698" s="2"/>
      <c r="J698" s="2"/>
      <c r="K698" s="2"/>
      <c r="L698" s="2"/>
      <c r="M698" s="2"/>
      <c r="N698" s="1">
        <v>0</v>
      </c>
      <c r="O698" s="2"/>
      <c r="P698" s="2"/>
      <c r="Q698" s="2">
        <v>0</v>
      </c>
      <c r="R698" s="6"/>
    </row>
    <row r="699" spans="1:18" x14ac:dyDescent="0.25">
      <c r="A699" s="2">
        <f t="shared" si="32"/>
        <v>698</v>
      </c>
      <c r="B699" s="2"/>
      <c r="C699" s="2"/>
      <c r="D699" s="2"/>
      <c r="E699" s="2"/>
      <c r="F699" s="2"/>
      <c r="G699" s="2"/>
      <c r="H699" s="2" t="str">
        <f t="shared" si="31"/>
        <v>0 г. 0 мес. 0 дн.</v>
      </c>
      <c r="I699" s="2"/>
      <c r="J699" s="2"/>
      <c r="K699" s="2"/>
      <c r="L699" s="2"/>
      <c r="M699" s="2"/>
      <c r="N699" s="1">
        <v>0</v>
      </c>
      <c r="O699" s="2"/>
      <c r="P699" s="2"/>
      <c r="Q699" s="2">
        <v>0</v>
      </c>
      <c r="R699" s="6"/>
    </row>
    <row r="700" spans="1:18" x14ac:dyDescent="0.25">
      <c r="A700" s="2">
        <f t="shared" si="32"/>
        <v>699</v>
      </c>
      <c r="B700" s="2"/>
      <c r="C700" s="2"/>
      <c r="D700" s="2"/>
      <c r="E700" s="2"/>
      <c r="F700" s="2"/>
      <c r="G700" s="2"/>
      <c r="H700" s="2" t="str">
        <f t="shared" si="31"/>
        <v>0 г. 0 мес. 0 дн.</v>
      </c>
      <c r="I700" s="2"/>
      <c r="J700" s="2"/>
      <c r="K700" s="2"/>
      <c r="L700" s="2"/>
      <c r="M700" s="2"/>
      <c r="N700" s="1">
        <v>0</v>
      </c>
      <c r="O700" s="2"/>
      <c r="P700" s="2"/>
      <c r="Q700" s="2">
        <v>0</v>
      </c>
      <c r="R700" s="6"/>
    </row>
    <row r="701" spans="1:18" x14ac:dyDescent="0.25">
      <c r="A701" s="2">
        <f t="shared" si="32"/>
        <v>700</v>
      </c>
      <c r="B701" s="2"/>
      <c r="C701" s="2"/>
      <c r="D701" s="2"/>
      <c r="E701" s="2"/>
      <c r="F701" s="2"/>
      <c r="G701" s="2"/>
      <c r="H701" s="2" t="str">
        <f t="shared" si="31"/>
        <v>0 г. 0 мес. 0 дн.</v>
      </c>
      <c r="I701" s="2"/>
      <c r="J701" s="2"/>
      <c r="K701" s="2"/>
      <c r="L701" s="2"/>
      <c r="M701" s="2"/>
      <c r="N701" s="1">
        <v>0</v>
      </c>
      <c r="O701" s="2"/>
      <c r="P701" s="2"/>
      <c r="Q701" s="2">
        <v>0</v>
      </c>
      <c r="R701" s="6"/>
    </row>
    <row r="702" spans="1:18" x14ac:dyDescent="0.25">
      <c r="A702" s="2">
        <f t="shared" si="32"/>
        <v>701</v>
      </c>
      <c r="B702" s="2"/>
      <c r="C702" s="2"/>
      <c r="D702" s="2"/>
      <c r="E702" s="2"/>
      <c r="F702" s="2"/>
      <c r="G702" s="2"/>
      <c r="H702" s="2" t="str">
        <f t="shared" si="31"/>
        <v>0 г. 0 мес. 0 дн.</v>
      </c>
      <c r="I702" s="2"/>
      <c r="J702" s="2"/>
      <c r="K702" s="2"/>
      <c r="L702" s="2"/>
      <c r="M702" s="2"/>
      <c r="N702" s="1">
        <v>0</v>
      </c>
      <c r="O702" s="2"/>
      <c r="P702" s="2"/>
      <c r="Q702" s="2">
        <v>0</v>
      </c>
      <c r="R702" s="6"/>
    </row>
    <row r="703" spans="1:18" x14ac:dyDescent="0.25">
      <c r="A703" s="2">
        <f t="shared" si="32"/>
        <v>702</v>
      </c>
      <c r="B703" s="2"/>
      <c r="C703" s="2"/>
      <c r="D703" s="2"/>
      <c r="E703" s="2"/>
      <c r="F703" s="2"/>
      <c r="G703" s="2"/>
      <c r="H703" s="2" t="str">
        <f t="shared" si="31"/>
        <v>0 г. 0 мес. 0 дн.</v>
      </c>
      <c r="I703" s="2"/>
      <c r="J703" s="2"/>
      <c r="K703" s="2"/>
      <c r="L703" s="2"/>
      <c r="M703" s="2"/>
      <c r="N703" s="1">
        <v>0</v>
      </c>
      <c r="O703" s="2"/>
      <c r="P703" s="2"/>
      <c r="Q703" s="2">
        <v>0</v>
      </c>
      <c r="R703" s="6"/>
    </row>
    <row r="704" spans="1:18" x14ac:dyDescent="0.25">
      <c r="A704" s="2">
        <f t="shared" si="32"/>
        <v>703</v>
      </c>
      <c r="B704" s="2"/>
      <c r="C704" s="2"/>
      <c r="D704" s="2"/>
      <c r="E704" s="2"/>
      <c r="F704" s="2"/>
      <c r="G704" s="2"/>
      <c r="H704" s="2" t="str">
        <f t="shared" si="31"/>
        <v>0 г. 0 мес. 0 дн.</v>
      </c>
      <c r="I704" s="2"/>
      <c r="J704" s="2"/>
      <c r="K704" s="2"/>
      <c r="L704" s="2"/>
      <c r="M704" s="2"/>
      <c r="N704" s="1">
        <v>0</v>
      </c>
      <c r="O704" s="2"/>
      <c r="P704" s="2"/>
      <c r="Q704" s="2">
        <v>0</v>
      </c>
      <c r="R704" s="6"/>
    </row>
    <row r="705" spans="1:18" x14ac:dyDescent="0.25">
      <c r="A705" s="2">
        <f t="shared" si="32"/>
        <v>704</v>
      </c>
      <c r="B705" s="2"/>
      <c r="C705" s="2"/>
      <c r="D705" s="2"/>
      <c r="E705" s="2"/>
      <c r="F705" s="2"/>
      <c r="G705" s="2"/>
      <c r="H705" s="2" t="str">
        <f t="shared" si="31"/>
        <v>0 г. 0 мес. 0 дн.</v>
      </c>
      <c r="I705" s="2"/>
      <c r="J705" s="2"/>
      <c r="K705" s="2"/>
      <c r="L705" s="2"/>
      <c r="M705" s="2"/>
      <c r="N705" s="1">
        <v>0</v>
      </c>
      <c r="O705" s="2"/>
      <c r="P705" s="2"/>
      <c r="Q705" s="2">
        <v>0</v>
      </c>
      <c r="R705" s="6"/>
    </row>
    <row r="706" spans="1:18" x14ac:dyDescent="0.25">
      <c r="A706" s="2">
        <f t="shared" si="32"/>
        <v>705</v>
      </c>
      <c r="B706" s="2"/>
      <c r="C706" s="2"/>
      <c r="D706" s="2"/>
      <c r="E706" s="2"/>
      <c r="F706" s="2"/>
      <c r="G706" s="2"/>
      <c r="H706" s="2" t="str">
        <f t="shared" si="31"/>
        <v>0 г. 0 мес. 0 дн.</v>
      </c>
      <c r="I706" s="2"/>
      <c r="J706" s="2"/>
      <c r="K706" s="2"/>
      <c r="L706" s="2"/>
      <c r="M706" s="2"/>
      <c r="N706" s="1">
        <v>0</v>
      </c>
      <c r="O706" s="2"/>
      <c r="P706" s="2"/>
      <c r="Q706" s="2">
        <v>0</v>
      </c>
      <c r="R706" s="6"/>
    </row>
    <row r="707" spans="1:18" x14ac:dyDescent="0.25">
      <c r="A707" s="2">
        <f t="shared" si="32"/>
        <v>706</v>
      </c>
      <c r="B707" s="2"/>
      <c r="C707" s="2"/>
      <c r="D707" s="2"/>
      <c r="E707" s="2"/>
      <c r="F707" s="2"/>
      <c r="G707" s="2"/>
      <c r="H707" s="2" t="str">
        <f t="shared" si="31"/>
        <v>0 г. 0 мес. 0 дн.</v>
      </c>
      <c r="I707" s="2"/>
      <c r="J707" s="2"/>
      <c r="K707" s="2"/>
      <c r="L707" s="2"/>
      <c r="M707" s="2"/>
      <c r="N707" s="1">
        <v>0</v>
      </c>
      <c r="O707" s="2"/>
      <c r="P707" s="2"/>
      <c r="Q707" s="2">
        <v>0</v>
      </c>
      <c r="R707" s="6"/>
    </row>
    <row r="708" spans="1:18" x14ac:dyDescent="0.25">
      <c r="A708" s="2">
        <f t="shared" si="32"/>
        <v>707</v>
      </c>
      <c r="B708" s="2"/>
      <c r="C708" s="2"/>
      <c r="D708" s="2"/>
      <c r="E708" s="2"/>
      <c r="F708" s="2"/>
      <c r="G708" s="2"/>
      <c r="H708" s="2" t="str">
        <f t="shared" ref="H708:H771" si="33">DATEDIF(G708,D708,"y") &amp; " г. " &amp; DATEDIF(G708,D708,"ym") &amp; " мес. " &amp; DATEDIF(G708,D708,"md") &amp; " дн."</f>
        <v>0 г. 0 мес. 0 дн.</v>
      </c>
      <c r="I708" s="2"/>
      <c r="J708" s="2"/>
      <c r="K708" s="2"/>
      <c r="L708" s="2"/>
      <c r="M708" s="2"/>
      <c r="N708" s="1">
        <v>0</v>
      </c>
      <c r="O708" s="2"/>
      <c r="P708" s="2"/>
      <c r="Q708" s="2">
        <v>0</v>
      </c>
      <c r="R708" s="6"/>
    </row>
    <row r="709" spans="1:18" x14ac:dyDescent="0.25">
      <c r="A709" s="2">
        <f t="shared" si="32"/>
        <v>708</v>
      </c>
      <c r="B709" s="2"/>
      <c r="C709" s="2"/>
      <c r="D709" s="2"/>
      <c r="E709" s="2"/>
      <c r="F709" s="2"/>
      <c r="G709" s="2"/>
      <c r="H709" s="2" t="str">
        <f t="shared" si="33"/>
        <v>0 г. 0 мес. 0 дн.</v>
      </c>
      <c r="I709" s="2"/>
      <c r="J709" s="2"/>
      <c r="K709" s="2"/>
      <c r="L709" s="2"/>
      <c r="M709" s="2"/>
      <c r="N709" s="1">
        <v>0</v>
      </c>
      <c r="O709" s="2"/>
      <c r="P709" s="2"/>
      <c r="Q709" s="2">
        <v>0</v>
      </c>
      <c r="R709" s="6"/>
    </row>
    <row r="710" spans="1:18" x14ac:dyDescent="0.25">
      <c r="A710" s="2">
        <f t="shared" si="32"/>
        <v>709</v>
      </c>
      <c r="B710" s="2"/>
      <c r="C710" s="2"/>
      <c r="D710" s="2"/>
      <c r="E710" s="2"/>
      <c r="F710" s="2"/>
      <c r="G710" s="2"/>
      <c r="H710" s="2" t="str">
        <f t="shared" si="33"/>
        <v>0 г. 0 мес. 0 дн.</v>
      </c>
      <c r="I710" s="2"/>
      <c r="J710" s="2"/>
      <c r="K710" s="2"/>
      <c r="L710" s="2"/>
      <c r="M710" s="2"/>
      <c r="N710" s="1">
        <v>0</v>
      </c>
      <c r="O710" s="2"/>
      <c r="P710" s="2"/>
      <c r="Q710" s="2">
        <v>0</v>
      </c>
      <c r="R710" s="6"/>
    </row>
    <row r="711" spans="1:18" x14ac:dyDescent="0.25">
      <c r="A711" s="2">
        <f t="shared" si="32"/>
        <v>710</v>
      </c>
      <c r="B711" s="2"/>
      <c r="C711" s="2"/>
      <c r="D711" s="2"/>
      <c r="E711" s="2"/>
      <c r="F711" s="2"/>
      <c r="G711" s="2"/>
      <c r="H711" s="2" t="str">
        <f t="shared" si="33"/>
        <v>0 г. 0 мес. 0 дн.</v>
      </c>
      <c r="I711" s="2"/>
      <c r="J711" s="2"/>
      <c r="K711" s="2"/>
      <c r="L711" s="2"/>
      <c r="M711" s="2"/>
      <c r="N711" s="1">
        <v>0</v>
      </c>
      <c r="O711" s="2"/>
      <c r="P711" s="2"/>
      <c r="Q711" s="2">
        <v>0</v>
      </c>
      <c r="R711" s="6"/>
    </row>
    <row r="712" spans="1:18" x14ac:dyDescent="0.25">
      <c r="A712" s="2">
        <f t="shared" si="32"/>
        <v>711</v>
      </c>
      <c r="B712" s="2"/>
      <c r="C712" s="2"/>
      <c r="D712" s="2"/>
      <c r="E712" s="2"/>
      <c r="F712" s="2"/>
      <c r="G712" s="2"/>
      <c r="H712" s="2" t="str">
        <f t="shared" si="33"/>
        <v>0 г. 0 мес. 0 дн.</v>
      </c>
      <c r="I712" s="2"/>
      <c r="J712" s="2"/>
      <c r="K712" s="2"/>
      <c r="L712" s="2"/>
      <c r="M712" s="2"/>
      <c r="N712" s="1">
        <v>0</v>
      </c>
      <c r="O712" s="2"/>
      <c r="P712" s="2"/>
      <c r="Q712" s="2">
        <v>0</v>
      </c>
      <c r="R712" s="6"/>
    </row>
    <row r="713" spans="1:18" x14ac:dyDescent="0.25">
      <c r="A713" s="2">
        <f t="shared" si="32"/>
        <v>712</v>
      </c>
      <c r="B713" s="2"/>
      <c r="C713" s="2"/>
      <c r="D713" s="2"/>
      <c r="E713" s="2"/>
      <c r="F713" s="2"/>
      <c r="G713" s="2"/>
      <c r="H713" s="2" t="str">
        <f t="shared" si="33"/>
        <v>0 г. 0 мес. 0 дн.</v>
      </c>
      <c r="I713" s="2"/>
      <c r="J713" s="2"/>
      <c r="K713" s="2"/>
      <c r="L713" s="2"/>
      <c r="M713" s="2"/>
      <c r="N713" s="1">
        <v>0</v>
      </c>
      <c r="O713" s="2"/>
      <c r="P713" s="2"/>
      <c r="Q713" s="2">
        <v>0</v>
      </c>
      <c r="R713" s="6"/>
    </row>
    <row r="714" spans="1:18" x14ac:dyDescent="0.25">
      <c r="A714" s="2">
        <f t="shared" si="32"/>
        <v>713</v>
      </c>
      <c r="B714" s="2"/>
      <c r="C714" s="2"/>
      <c r="D714" s="2"/>
      <c r="E714" s="2"/>
      <c r="F714" s="2"/>
      <c r="G714" s="2"/>
      <c r="H714" s="2" t="str">
        <f t="shared" si="33"/>
        <v>0 г. 0 мес. 0 дн.</v>
      </c>
      <c r="I714" s="2"/>
      <c r="J714" s="2"/>
      <c r="K714" s="2"/>
      <c r="L714" s="2"/>
      <c r="M714" s="2"/>
      <c r="N714" s="1">
        <v>0</v>
      </c>
      <c r="O714" s="2"/>
      <c r="P714" s="2"/>
      <c r="Q714" s="2">
        <v>0</v>
      </c>
      <c r="R714" s="6"/>
    </row>
    <row r="715" spans="1:18" x14ac:dyDescent="0.25">
      <c r="A715" s="2">
        <f t="shared" si="32"/>
        <v>714</v>
      </c>
      <c r="B715" s="2"/>
      <c r="C715" s="2"/>
      <c r="D715" s="2"/>
      <c r="E715" s="2"/>
      <c r="F715" s="2"/>
      <c r="G715" s="2"/>
      <c r="H715" s="2" t="str">
        <f t="shared" si="33"/>
        <v>0 г. 0 мес. 0 дн.</v>
      </c>
      <c r="I715" s="2"/>
      <c r="J715" s="2"/>
      <c r="K715" s="2"/>
      <c r="L715" s="2"/>
      <c r="M715" s="2"/>
      <c r="N715" s="1">
        <v>0</v>
      </c>
      <c r="O715" s="2"/>
      <c r="P715" s="2"/>
      <c r="Q715" s="2">
        <v>0</v>
      </c>
      <c r="R715" s="6"/>
    </row>
    <row r="716" spans="1:18" x14ac:dyDescent="0.25">
      <c r="A716" s="2">
        <f t="shared" si="32"/>
        <v>715</v>
      </c>
      <c r="B716" s="2"/>
      <c r="C716" s="2"/>
      <c r="D716" s="2"/>
      <c r="E716" s="2"/>
      <c r="F716" s="2"/>
      <c r="G716" s="2"/>
      <c r="H716" s="2" t="str">
        <f t="shared" si="33"/>
        <v>0 г. 0 мес. 0 дн.</v>
      </c>
      <c r="I716" s="2"/>
      <c r="J716" s="2"/>
      <c r="K716" s="2"/>
      <c r="L716" s="2"/>
      <c r="M716" s="2"/>
      <c r="N716" s="1">
        <v>0</v>
      </c>
      <c r="O716" s="2"/>
      <c r="P716" s="2"/>
      <c r="Q716" s="2">
        <v>0</v>
      </c>
      <c r="R716" s="6"/>
    </row>
    <row r="717" spans="1:18" x14ac:dyDescent="0.25">
      <c r="A717" s="2">
        <f t="shared" si="32"/>
        <v>716</v>
      </c>
      <c r="B717" s="2"/>
      <c r="C717" s="2"/>
      <c r="D717" s="2"/>
      <c r="E717" s="2"/>
      <c r="F717" s="2"/>
      <c r="G717" s="2"/>
      <c r="H717" s="2" t="str">
        <f t="shared" si="33"/>
        <v>0 г. 0 мес. 0 дн.</v>
      </c>
      <c r="I717" s="2"/>
      <c r="J717" s="2"/>
      <c r="K717" s="2"/>
      <c r="L717" s="2"/>
      <c r="M717" s="2"/>
      <c r="N717" s="1">
        <v>0</v>
      </c>
      <c r="O717" s="2"/>
      <c r="P717" s="2"/>
      <c r="Q717" s="2">
        <v>0</v>
      </c>
      <c r="R717" s="6"/>
    </row>
    <row r="718" spans="1:18" x14ac:dyDescent="0.25">
      <c r="A718" s="2">
        <f t="shared" si="32"/>
        <v>717</v>
      </c>
      <c r="B718" s="2"/>
      <c r="C718" s="2"/>
      <c r="D718" s="2"/>
      <c r="E718" s="2"/>
      <c r="F718" s="2"/>
      <c r="G718" s="2"/>
      <c r="H718" s="2" t="str">
        <f t="shared" si="33"/>
        <v>0 г. 0 мес. 0 дн.</v>
      </c>
      <c r="I718" s="2"/>
      <c r="J718" s="2"/>
      <c r="K718" s="2"/>
      <c r="L718" s="2"/>
      <c r="M718" s="2"/>
      <c r="N718" s="1">
        <v>0</v>
      </c>
      <c r="O718" s="2"/>
      <c r="P718" s="2"/>
      <c r="Q718" s="2">
        <v>0</v>
      </c>
      <c r="R718" s="6"/>
    </row>
    <row r="719" spans="1:18" x14ac:dyDescent="0.25">
      <c r="A719" s="2">
        <f t="shared" si="32"/>
        <v>718</v>
      </c>
      <c r="B719" s="2"/>
      <c r="C719" s="2"/>
      <c r="D719" s="2"/>
      <c r="E719" s="2"/>
      <c r="F719" s="2"/>
      <c r="G719" s="2"/>
      <c r="H719" s="2" t="str">
        <f t="shared" si="33"/>
        <v>0 г. 0 мес. 0 дн.</v>
      </c>
      <c r="I719" s="2"/>
      <c r="J719" s="2"/>
      <c r="K719" s="2"/>
      <c r="L719" s="2"/>
      <c r="M719" s="2"/>
      <c r="N719" s="1">
        <v>0</v>
      </c>
      <c r="O719" s="2"/>
      <c r="P719" s="2"/>
      <c r="Q719" s="2">
        <v>0</v>
      </c>
      <c r="R719" s="6"/>
    </row>
    <row r="720" spans="1:18" x14ac:dyDescent="0.25">
      <c r="A720" s="2">
        <f t="shared" si="32"/>
        <v>719</v>
      </c>
      <c r="B720" s="2"/>
      <c r="C720" s="2"/>
      <c r="D720" s="2"/>
      <c r="E720" s="2"/>
      <c r="F720" s="2"/>
      <c r="G720" s="2"/>
      <c r="H720" s="2" t="str">
        <f t="shared" si="33"/>
        <v>0 г. 0 мес. 0 дн.</v>
      </c>
      <c r="I720" s="2"/>
      <c r="J720" s="2"/>
      <c r="K720" s="2"/>
      <c r="L720" s="2"/>
      <c r="M720" s="2"/>
      <c r="N720" s="1">
        <v>0</v>
      </c>
      <c r="O720" s="2"/>
      <c r="P720" s="2"/>
      <c r="Q720" s="2">
        <v>0</v>
      </c>
      <c r="R720" s="6"/>
    </row>
    <row r="721" spans="1:18" x14ac:dyDescent="0.25">
      <c r="A721" s="2">
        <f t="shared" si="32"/>
        <v>720</v>
      </c>
      <c r="B721" s="2"/>
      <c r="C721" s="2"/>
      <c r="D721" s="2"/>
      <c r="E721" s="2"/>
      <c r="F721" s="2"/>
      <c r="G721" s="2"/>
      <c r="H721" s="2" t="str">
        <f t="shared" si="33"/>
        <v>0 г. 0 мес. 0 дн.</v>
      </c>
      <c r="I721" s="2"/>
      <c r="J721" s="2"/>
      <c r="K721" s="2"/>
      <c r="L721" s="2"/>
      <c r="M721" s="2"/>
      <c r="N721" s="1">
        <v>0</v>
      </c>
      <c r="O721" s="2"/>
      <c r="P721" s="2"/>
      <c r="Q721" s="2">
        <v>0</v>
      </c>
      <c r="R721" s="6"/>
    </row>
    <row r="722" spans="1:18" x14ac:dyDescent="0.25">
      <c r="A722" s="2">
        <f t="shared" si="32"/>
        <v>721</v>
      </c>
      <c r="B722" s="2"/>
      <c r="C722" s="2"/>
      <c r="D722" s="2"/>
      <c r="E722" s="2"/>
      <c r="F722" s="2"/>
      <c r="G722" s="2"/>
      <c r="H722" s="2" t="str">
        <f t="shared" si="33"/>
        <v>0 г. 0 мес. 0 дн.</v>
      </c>
      <c r="I722" s="2"/>
      <c r="J722" s="2"/>
      <c r="K722" s="2"/>
      <c r="L722" s="2"/>
      <c r="M722" s="2"/>
      <c r="N722" s="1">
        <v>0</v>
      </c>
      <c r="O722" s="2"/>
      <c r="P722" s="2"/>
      <c r="Q722" s="2">
        <v>0</v>
      </c>
      <c r="R722" s="6"/>
    </row>
    <row r="723" spans="1:18" x14ac:dyDescent="0.25">
      <c r="A723" s="2">
        <f t="shared" si="32"/>
        <v>722</v>
      </c>
      <c r="B723" s="2"/>
      <c r="C723" s="2"/>
      <c r="D723" s="2"/>
      <c r="E723" s="2"/>
      <c r="F723" s="2"/>
      <c r="G723" s="2"/>
      <c r="H723" s="2" t="str">
        <f t="shared" si="33"/>
        <v>0 г. 0 мес. 0 дн.</v>
      </c>
      <c r="I723" s="2"/>
      <c r="J723" s="2"/>
      <c r="K723" s="2"/>
      <c r="L723" s="2"/>
      <c r="M723" s="2"/>
      <c r="N723" s="1">
        <v>0</v>
      </c>
      <c r="O723" s="2"/>
      <c r="P723" s="2"/>
      <c r="Q723" s="2">
        <v>0</v>
      </c>
      <c r="R723" s="6"/>
    </row>
    <row r="724" spans="1:18" x14ac:dyDescent="0.25">
      <c r="A724" s="2">
        <f t="shared" si="32"/>
        <v>723</v>
      </c>
      <c r="B724" s="2"/>
      <c r="C724" s="2"/>
      <c r="D724" s="2"/>
      <c r="E724" s="2"/>
      <c r="F724" s="2"/>
      <c r="G724" s="2"/>
      <c r="H724" s="2" t="str">
        <f t="shared" si="33"/>
        <v>0 г. 0 мес. 0 дн.</v>
      </c>
      <c r="I724" s="2"/>
      <c r="J724" s="2"/>
      <c r="K724" s="2"/>
      <c r="L724" s="2"/>
      <c r="M724" s="2"/>
      <c r="N724" s="1">
        <v>0</v>
      </c>
      <c r="O724" s="2"/>
      <c r="P724" s="2"/>
      <c r="Q724" s="2">
        <v>0</v>
      </c>
      <c r="R724" s="6"/>
    </row>
    <row r="725" spans="1:18" x14ac:dyDescent="0.25">
      <c r="A725" s="2">
        <f t="shared" si="32"/>
        <v>724</v>
      </c>
      <c r="B725" s="2"/>
      <c r="C725" s="2"/>
      <c r="D725" s="2"/>
      <c r="E725" s="2"/>
      <c r="F725" s="2"/>
      <c r="G725" s="2"/>
      <c r="H725" s="2" t="str">
        <f t="shared" si="33"/>
        <v>0 г. 0 мес. 0 дн.</v>
      </c>
      <c r="I725" s="2"/>
      <c r="J725" s="2"/>
      <c r="K725" s="2"/>
      <c r="L725" s="2"/>
      <c r="M725" s="2"/>
      <c r="N725" s="1">
        <v>0</v>
      </c>
      <c r="O725" s="2"/>
      <c r="P725" s="2"/>
      <c r="Q725" s="2">
        <v>0</v>
      </c>
      <c r="R725" s="6"/>
    </row>
    <row r="726" spans="1:18" x14ac:dyDescent="0.25">
      <c r="A726" s="2">
        <f t="shared" si="32"/>
        <v>725</v>
      </c>
      <c r="B726" s="2"/>
      <c r="C726" s="2"/>
      <c r="D726" s="2"/>
      <c r="E726" s="2"/>
      <c r="F726" s="2"/>
      <c r="G726" s="2"/>
      <c r="H726" s="2" t="str">
        <f t="shared" si="33"/>
        <v>0 г. 0 мес. 0 дн.</v>
      </c>
      <c r="I726" s="2"/>
      <c r="J726" s="2"/>
      <c r="K726" s="2"/>
      <c r="L726" s="2"/>
      <c r="M726" s="2"/>
      <c r="N726" s="1">
        <v>0</v>
      </c>
      <c r="O726" s="2"/>
      <c r="P726" s="2"/>
      <c r="Q726" s="2">
        <v>0</v>
      </c>
      <c r="R726" s="6"/>
    </row>
    <row r="727" spans="1:18" x14ac:dyDescent="0.25">
      <c r="A727" s="2">
        <f t="shared" si="32"/>
        <v>726</v>
      </c>
      <c r="B727" s="2"/>
      <c r="C727" s="2"/>
      <c r="D727" s="2"/>
      <c r="E727" s="2"/>
      <c r="F727" s="2"/>
      <c r="G727" s="2"/>
      <c r="H727" s="2" t="str">
        <f t="shared" si="33"/>
        <v>0 г. 0 мес. 0 дн.</v>
      </c>
      <c r="I727" s="2"/>
      <c r="J727" s="2"/>
      <c r="K727" s="2"/>
      <c r="L727" s="2"/>
      <c r="M727" s="2"/>
      <c r="N727" s="1">
        <v>0</v>
      </c>
      <c r="O727" s="2"/>
      <c r="P727" s="2"/>
      <c r="Q727" s="2">
        <v>0</v>
      </c>
      <c r="R727" s="6"/>
    </row>
    <row r="728" spans="1:18" x14ac:dyDescent="0.25">
      <c r="A728" s="2">
        <f t="shared" si="32"/>
        <v>727</v>
      </c>
      <c r="B728" s="2"/>
      <c r="C728" s="2"/>
      <c r="D728" s="2"/>
      <c r="E728" s="2"/>
      <c r="F728" s="2"/>
      <c r="G728" s="2"/>
      <c r="H728" s="2" t="str">
        <f t="shared" si="33"/>
        <v>0 г. 0 мес. 0 дн.</v>
      </c>
      <c r="I728" s="2"/>
      <c r="J728" s="2"/>
      <c r="K728" s="2"/>
      <c r="L728" s="2"/>
      <c r="M728" s="2"/>
      <c r="N728" s="1">
        <v>0</v>
      </c>
      <c r="O728" s="2"/>
      <c r="P728" s="2"/>
      <c r="Q728" s="2">
        <v>0</v>
      </c>
      <c r="R728" s="6"/>
    </row>
    <row r="729" spans="1:18" x14ac:dyDescent="0.25">
      <c r="A729" s="2">
        <f t="shared" si="32"/>
        <v>728</v>
      </c>
      <c r="B729" s="2"/>
      <c r="C729" s="2"/>
      <c r="D729" s="2"/>
      <c r="E729" s="2"/>
      <c r="F729" s="2"/>
      <c r="G729" s="2"/>
      <c r="H729" s="2" t="str">
        <f t="shared" si="33"/>
        <v>0 г. 0 мес. 0 дн.</v>
      </c>
      <c r="I729" s="2"/>
      <c r="J729" s="2"/>
      <c r="K729" s="2"/>
      <c r="L729" s="2"/>
      <c r="M729" s="2"/>
      <c r="N729" s="1">
        <v>0</v>
      </c>
      <c r="O729" s="2"/>
      <c r="P729" s="2"/>
      <c r="Q729" s="2">
        <v>0</v>
      </c>
      <c r="R729" s="6"/>
    </row>
    <row r="730" spans="1:18" x14ac:dyDescent="0.25">
      <c r="A730" s="2">
        <f t="shared" si="32"/>
        <v>729</v>
      </c>
      <c r="B730" s="2"/>
      <c r="C730" s="2"/>
      <c r="D730" s="2"/>
      <c r="E730" s="2"/>
      <c r="F730" s="2"/>
      <c r="G730" s="2"/>
      <c r="H730" s="2" t="str">
        <f t="shared" si="33"/>
        <v>0 г. 0 мес. 0 дн.</v>
      </c>
      <c r="I730" s="2"/>
      <c r="J730" s="2"/>
      <c r="K730" s="2"/>
      <c r="L730" s="2"/>
      <c r="M730" s="2"/>
      <c r="N730" s="1">
        <v>0</v>
      </c>
      <c r="O730" s="2"/>
      <c r="P730" s="2"/>
      <c r="Q730" s="2">
        <v>0</v>
      </c>
      <c r="R730" s="6"/>
    </row>
    <row r="731" spans="1:18" x14ac:dyDescent="0.25">
      <c r="A731" s="2">
        <f t="shared" si="32"/>
        <v>730</v>
      </c>
      <c r="B731" s="2"/>
      <c r="C731" s="2"/>
      <c r="D731" s="2"/>
      <c r="E731" s="2"/>
      <c r="F731" s="2"/>
      <c r="G731" s="2"/>
      <c r="H731" s="2" t="str">
        <f t="shared" si="33"/>
        <v>0 г. 0 мес. 0 дн.</v>
      </c>
      <c r="I731" s="2"/>
      <c r="J731" s="2"/>
      <c r="K731" s="2"/>
      <c r="L731" s="2"/>
      <c r="M731" s="2"/>
      <c r="N731" s="1">
        <v>0</v>
      </c>
      <c r="O731" s="2"/>
      <c r="P731" s="2"/>
      <c r="Q731" s="2">
        <v>0</v>
      </c>
      <c r="R731" s="6"/>
    </row>
    <row r="732" spans="1:18" x14ac:dyDescent="0.25">
      <c r="A732" s="2">
        <f t="shared" si="32"/>
        <v>731</v>
      </c>
      <c r="B732" s="2"/>
      <c r="C732" s="2"/>
      <c r="D732" s="2"/>
      <c r="E732" s="2"/>
      <c r="F732" s="2"/>
      <c r="G732" s="2"/>
      <c r="H732" s="2" t="str">
        <f t="shared" si="33"/>
        <v>0 г. 0 мес. 0 дн.</v>
      </c>
      <c r="I732" s="2"/>
      <c r="J732" s="2"/>
      <c r="K732" s="2"/>
      <c r="L732" s="2"/>
      <c r="M732" s="2"/>
      <c r="N732" s="1">
        <v>0</v>
      </c>
      <c r="O732" s="2"/>
      <c r="P732" s="2"/>
      <c r="Q732" s="2">
        <v>0</v>
      </c>
      <c r="R732" s="6"/>
    </row>
    <row r="733" spans="1:18" x14ac:dyDescent="0.25">
      <c r="A733" s="2">
        <f t="shared" ref="A733:A796" si="34">ROW(A732)</f>
        <v>732</v>
      </c>
      <c r="B733" s="2"/>
      <c r="C733" s="2"/>
      <c r="D733" s="2"/>
      <c r="E733" s="2"/>
      <c r="F733" s="2"/>
      <c r="G733" s="2"/>
      <c r="H733" s="2" t="str">
        <f t="shared" si="33"/>
        <v>0 г. 0 мес. 0 дн.</v>
      </c>
      <c r="I733" s="2"/>
      <c r="J733" s="2"/>
      <c r="K733" s="2"/>
      <c r="L733" s="2"/>
      <c r="M733" s="2"/>
      <c r="N733" s="1">
        <v>0</v>
      </c>
      <c r="O733" s="2"/>
      <c r="P733" s="2"/>
      <c r="Q733" s="2">
        <v>0</v>
      </c>
      <c r="R733" s="6"/>
    </row>
    <row r="734" spans="1:18" x14ac:dyDescent="0.25">
      <c r="A734" s="2">
        <f t="shared" si="34"/>
        <v>733</v>
      </c>
      <c r="B734" s="2"/>
      <c r="C734" s="2"/>
      <c r="D734" s="2"/>
      <c r="E734" s="2"/>
      <c r="F734" s="2"/>
      <c r="G734" s="2"/>
      <c r="H734" s="2" t="str">
        <f t="shared" si="33"/>
        <v>0 г. 0 мес. 0 дн.</v>
      </c>
      <c r="I734" s="2"/>
      <c r="J734" s="2"/>
      <c r="K734" s="2"/>
      <c r="L734" s="2"/>
      <c r="M734" s="2"/>
      <c r="N734" s="1">
        <v>0</v>
      </c>
      <c r="O734" s="2"/>
      <c r="P734" s="2"/>
      <c r="Q734" s="2">
        <v>0</v>
      </c>
      <c r="R734" s="6"/>
    </row>
    <row r="735" spans="1:18" x14ac:dyDescent="0.25">
      <c r="A735" s="2">
        <f t="shared" si="34"/>
        <v>734</v>
      </c>
      <c r="B735" s="2"/>
      <c r="C735" s="2"/>
      <c r="D735" s="2"/>
      <c r="E735" s="2"/>
      <c r="F735" s="2"/>
      <c r="G735" s="2"/>
      <c r="H735" s="2" t="str">
        <f t="shared" si="33"/>
        <v>0 г. 0 мес. 0 дн.</v>
      </c>
      <c r="I735" s="2"/>
      <c r="J735" s="2"/>
      <c r="K735" s="2"/>
      <c r="L735" s="2"/>
      <c r="M735" s="2"/>
      <c r="N735" s="1">
        <v>0</v>
      </c>
      <c r="O735" s="2"/>
      <c r="P735" s="2"/>
      <c r="Q735" s="2">
        <v>0</v>
      </c>
      <c r="R735" s="6"/>
    </row>
    <row r="736" spans="1:18" x14ac:dyDescent="0.25">
      <c r="A736" s="2">
        <f t="shared" si="34"/>
        <v>735</v>
      </c>
      <c r="B736" s="2"/>
      <c r="C736" s="2"/>
      <c r="D736" s="2"/>
      <c r="E736" s="2"/>
      <c r="F736" s="2"/>
      <c r="G736" s="2"/>
      <c r="H736" s="2" t="str">
        <f t="shared" si="33"/>
        <v>0 г. 0 мес. 0 дн.</v>
      </c>
      <c r="I736" s="2"/>
      <c r="J736" s="2"/>
      <c r="K736" s="2"/>
      <c r="L736" s="2"/>
      <c r="M736" s="2"/>
      <c r="N736" s="1">
        <v>0</v>
      </c>
      <c r="O736" s="2"/>
      <c r="P736" s="2"/>
      <c r="Q736" s="2">
        <v>0</v>
      </c>
      <c r="R736" s="6"/>
    </row>
    <row r="737" spans="1:18" x14ac:dyDescent="0.25">
      <c r="A737" s="2">
        <f t="shared" si="34"/>
        <v>736</v>
      </c>
      <c r="B737" s="2"/>
      <c r="C737" s="2"/>
      <c r="D737" s="2"/>
      <c r="E737" s="2"/>
      <c r="F737" s="2"/>
      <c r="G737" s="2"/>
      <c r="H737" s="2" t="str">
        <f t="shared" si="33"/>
        <v>0 г. 0 мес. 0 дн.</v>
      </c>
      <c r="I737" s="2"/>
      <c r="J737" s="2"/>
      <c r="K737" s="2"/>
      <c r="L737" s="2"/>
      <c r="M737" s="2"/>
      <c r="N737" s="1">
        <v>0</v>
      </c>
      <c r="O737" s="2"/>
      <c r="P737" s="2"/>
      <c r="Q737" s="2">
        <v>0</v>
      </c>
      <c r="R737" s="6"/>
    </row>
    <row r="738" spans="1:18" x14ac:dyDescent="0.25">
      <c r="A738" s="2">
        <f t="shared" si="34"/>
        <v>737</v>
      </c>
      <c r="B738" s="2"/>
      <c r="C738" s="2"/>
      <c r="D738" s="2"/>
      <c r="E738" s="2"/>
      <c r="F738" s="2"/>
      <c r="G738" s="2"/>
      <c r="H738" s="2" t="str">
        <f t="shared" si="33"/>
        <v>0 г. 0 мес. 0 дн.</v>
      </c>
      <c r="I738" s="2"/>
      <c r="J738" s="2"/>
      <c r="K738" s="2"/>
      <c r="L738" s="2"/>
      <c r="M738" s="2"/>
      <c r="N738" s="1">
        <v>0</v>
      </c>
      <c r="O738" s="2"/>
      <c r="P738" s="2"/>
      <c r="Q738" s="2">
        <v>0</v>
      </c>
      <c r="R738" s="6"/>
    </row>
    <row r="739" spans="1:18" x14ac:dyDescent="0.25">
      <c r="A739" s="2">
        <f t="shared" si="34"/>
        <v>738</v>
      </c>
      <c r="B739" s="2"/>
      <c r="C739" s="2"/>
      <c r="D739" s="2"/>
      <c r="E739" s="2"/>
      <c r="F739" s="2"/>
      <c r="G739" s="2"/>
      <c r="H739" s="2" t="str">
        <f t="shared" si="33"/>
        <v>0 г. 0 мес. 0 дн.</v>
      </c>
      <c r="I739" s="2"/>
      <c r="J739" s="2"/>
      <c r="K739" s="2"/>
      <c r="L739" s="2"/>
      <c r="M739" s="2"/>
      <c r="N739" s="1">
        <v>0</v>
      </c>
      <c r="O739" s="2"/>
      <c r="P739" s="2"/>
      <c r="Q739" s="2">
        <v>0</v>
      </c>
      <c r="R739" s="6"/>
    </row>
    <row r="740" spans="1:18" x14ac:dyDescent="0.25">
      <c r="A740" s="2">
        <f t="shared" si="34"/>
        <v>739</v>
      </c>
      <c r="B740" s="2"/>
      <c r="C740" s="2"/>
      <c r="D740" s="2"/>
      <c r="E740" s="2"/>
      <c r="F740" s="2"/>
      <c r="G740" s="2"/>
      <c r="H740" s="2" t="str">
        <f t="shared" si="33"/>
        <v>0 г. 0 мес. 0 дн.</v>
      </c>
      <c r="I740" s="2"/>
      <c r="J740" s="2"/>
      <c r="K740" s="2"/>
      <c r="L740" s="2"/>
      <c r="M740" s="2"/>
      <c r="N740" s="1">
        <v>0</v>
      </c>
      <c r="O740" s="2"/>
      <c r="P740" s="2"/>
      <c r="Q740" s="2">
        <v>0</v>
      </c>
      <c r="R740" s="6"/>
    </row>
    <row r="741" spans="1:18" x14ac:dyDescent="0.25">
      <c r="A741" s="2">
        <f t="shared" si="34"/>
        <v>740</v>
      </c>
      <c r="B741" s="2"/>
      <c r="C741" s="2"/>
      <c r="D741" s="2"/>
      <c r="E741" s="2"/>
      <c r="F741" s="2"/>
      <c r="G741" s="2"/>
      <c r="H741" s="2" t="str">
        <f t="shared" si="33"/>
        <v>0 г. 0 мес. 0 дн.</v>
      </c>
      <c r="I741" s="2"/>
      <c r="J741" s="2"/>
      <c r="K741" s="2"/>
      <c r="L741" s="2"/>
      <c r="M741" s="2"/>
      <c r="N741" s="1">
        <v>0</v>
      </c>
      <c r="O741" s="2"/>
      <c r="P741" s="2"/>
      <c r="Q741" s="2">
        <v>0</v>
      </c>
      <c r="R741" s="6"/>
    </row>
    <row r="742" spans="1:18" x14ac:dyDescent="0.25">
      <c r="A742" s="2">
        <f t="shared" si="34"/>
        <v>741</v>
      </c>
      <c r="B742" s="2"/>
      <c r="C742" s="2"/>
      <c r="D742" s="2"/>
      <c r="E742" s="2"/>
      <c r="F742" s="2"/>
      <c r="G742" s="2"/>
      <c r="H742" s="2" t="str">
        <f t="shared" si="33"/>
        <v>0 г. 0 мес. 0 дн.</v>
      </c>
      <c r="I742" s="2"/>
      <c r="J742" s="2"/>
      <c r="K742" s="2"/>
      <c r="L742" s="2"/>
      <c r="M742" s="2"/>
      <c r="N742" s="1">
        <v>0</v>
      </c>
      <c r="O742" s="2"/>
      <c r="P742" s="2"/>
      <c r="Q742" s="2">
        <v>0</v>
      </c>
      <c r="R742" s="6"/>
    </row>
    <row r="743" spans="1:18" x14ac:dyDescent="0.25">
      <c r="A743" s="2">
        <f t="shared" si="34"/>
        <v>742</v>
      </c>
      <c r="B743" s="2"/>
      <c r="C743" s="2"/>
      <c r="D743" s="2"/>
      <c r="E743" s="2"/>
      <c r="F743" s="2"/>
      <c r="G743" s="2"/>
      <c r="H743" s="2" t="str">
        <f t="shared" si="33"/>
        <v>0 г. 0 мес. 0 дн.</v>
      </c>
      <c r="I743" s="2"/>
      <c r="J743" s="2"/>
      <c r="K743" s="2"/>
      <c r="L743" s="2"/>
      <c r="M743" s="2"/>
      <c r="N743" s="1">
        <v>0</v>
      </c>
      <c r="O743" s="2"/>
      <c r="P743" s="2"/>
      <c r="Q743" s="2">
        <v>0</v>
      </c>
      <c r="R743" s="6"/>
    </row>
    <row r="744" spans="1:18" x14ac:dyDescent="0.25">
      <c r="A744" s="2">
        <f t="shared" si="34"/>
        <v>743</v>
      </c>
      <c r="B744" s="2"/>
      <c r="C744" s="2"/>
      <c r="D744" s="2"/>
      <c r="E744" s="2"/>
      <c r="F744" s="2"/>
      <c r="G744" s="2"/>
      <c r="H744" s="2" t="str">
        <f t="shared" si="33"/>
        <v>0 г. 0 мес. 0 дн.</v>
      </c>
      <c r="I744" s="2"/>
      <c r="J744" s="2"/>
      <c r="K744" s="2"/>
      <c r="L744" s="2"/>
      <c r="M744" s="2"/>
      <c r="N744" s="1">
        <v>0</v>
      </c>
      <c r="O744" s="2"/>
      <c r="P744" s="2"/>
      <c r="Q744" s="2">
        <v>0</v>
      </c>
      <c r="R744" s="6"/>
    </row>
    <row r="745" spans="1:18" x14ac:dyDescent="0.25">
      <c r="A745" s="2">
        <f t="shared" si="34"/>
        <v>744</v>
      </c>
      <c r="B745" s="2"/>
      <c r="C745" s="2"/>
      <c r="D745" s="2"/>
      <c r="E745" s="2"/>
      <c r="F745" s="2"/>
      <c r="G745" s="2"/>
      <c r="H745" s="2" t="str">
        <f t="shared" si="33"/>
        <v>0 г. 0 мес. 0 дн.</v>
      </c>
      <c r="I745" s="2"/>
      <c r="J745" s="2"/>
      <c r="K745" s="2"/>
      <c r="L745" s="2"/>
      <c r="M745" s="2"/>
      <c r="N745" s="1">
        <v>0</v>
      </c>
      <c r="O745" s="2"/>
      <c r="P745" s="2"/>
      <c r="Q745" s="2">
        <v>0</v>
      </c>
      <c r="R745" s="6"/>
    </row>
    <row r="746" spans="1:18" x14ac:dyDescent="0.25">
      <c r="A746" s="2">
        <f t="shared" si="34"/>
        <v>745</v>
      </c>
      <c r="B746" s="2"/>
      <c r="C746" s="2"/>
      <c r="D746" s="2"/>
      <c r="E746" s="2"/>
      <c r="F746" s="2"/>
      <c r="G746" s="2"/>
      <c r="H746" s="2" t="str">
        <f t="shared" si="33"/>
        <v>0 г. 0 мес. 0 дн.</v>
      </c>
      <c r="I746" s="2"/>
      <c r="J746" s="2"/>
      <c r="K746" s="2"/>
      <c r="L746" s="2"/>
      <c r="M746" s="2"/>
      <c r="N746" s="1">
        <v>0</v>
      </c>
      <c r="O746" s="2"/>
      <c r="P746" s="2"/>
      <c r="Q746" s="2">
        <v>0</v>
      </c>
      <c r="R746" s="6"/>
    </row>
    <row r="747" spans="1:18" x14ac:dyDescent="0.25">
      <c r="A747" s="2">
        <f t="shared" si="34"/>
        <v>746</v>
      </c>
      <c r="B747" s="2"/>
      <c r="C747" s="2"/>
      <c r="D747" s="2"/>
      <c r="E747" s="2"/>
      <c r="F747" s="2"/>
      <c r="G747" s="2"/>
      <c r="H747" s="2" t="str">
        <f t="shared" si="33"/>
        <v>0 г. 0 мес. 0 дн.</v>
      </c>
      <c r="I747" s="2"/>
      <c r="J747" s="2"/>
      <c r="K747" s="2"/>
      <c r="L747" s="2"/>
      <c r="M747" s="2"/>
      <c r="N747" s="1">
        <v>0</v>
      </c>
      <c r="O747" s="2"/>
      <c r="P747" s="2"/>
      <c r="Q747" s="2">
        <v>0</v>
      </c>
      <c r="R747" s="6"/>
    </row>
    <row r="748" spans="1:18" x14ac:dyDescent="0.25">
      <c r="A748" s="2">
        <f t="shared" si="34"/>
        <v>747</v>
      </c>
      <c r="B748" s="2"/>
      <c r="C748" s="2"/>
      <c r="D748" s="2"/>
      <c r="E748" s="2"/>
      <c r="F748" s="2"/>
      <c r="G748" s="2"/>
      <c r="H748" s="2" t="str">
        <f t="shared" si="33"/>
        <v>0 г. 0 мес. 0 дн.</v>
      </c>
      <c r="I748" s="2"/>
      <c r="J748" s="2"/>
      <c r="K748" s="2"/>
      <c r="L748" s="2"/>
      <c r="M748" s="2"/>
      <c r="N748" s="1">
        <v>0</v>
      </c>
      <c r="O748" s="2"/>
      <c r="P748" s="2"/>
      <c r="Q748" s="2">
        <v>0</v>
      </c>
      <c r="R748" s="6"/>
    </row>
    <row r="749" spans="1:18" x14ac:dyDescent="0.25">
      <c r="A749" s="2">
        <f t="shared" si="34"/>
        <v>748</v>
      </c>
      <c r="B749" s="2"/>
      <c r="C749" s="2"/>
      <c r="D749" s="2"/>
      <c r="E749" s="2"/>
      <c r="F749" s="2"/>
      <c r="G749" s="2"/>
      <c r="H749" s="2" t="str">
        <f t="shared" si="33"/>
        <v>0 г. 0 мес. 0 дн.</v>
      </c>
      <c r="I749" s="2"/>
      <c r="J749" s="2"/>
      <c r="K749" s="2"/>
      <c r="L749" s="2"/>
      <c r="M749" s="2"/>
      <c r="N749" s="1">
        <v>0</v>
      </c>
      <c r="O749" s="2"/>
      <c r="P749" s="2"/>
      <c r="Q749" s="2">
        <v>0</v>
      </c>
      <c r="R749" s="6"/>
    </row>
    <row r="750" spans="1:18" x14ac:dyDescent="0.25">
      <c r="A750" s="2">
        <f t="shared" si="34"/>
        <v>749</v>
      </c>
      <c r="B750" s="2"/>
      <c r="C750" s="2"/>
      <c r="D750" s="2"/>
      <c r="E750" s="2"/>
      <c r="F750" s="2"/>
      <c r="G750" s="2"/>
      <c r="H750" s="2" t="str">
        <f t="shared" si="33"/>
        <v>0 г. 0 мес. 0 дн.</v>
      </c>
      <c r="I750" s="2"/>
      <c r="J750" s="2"/>
      <c r="K750" s="2"/>
      <c r="L750" s="2"/>
      <c r="M750" s="2"/>
      <c r="N750" s="1">
        <v>0</v>
      </c>
      <c r="O750" s="2"/>
      <c r="P750" s="2"/>
      <c r="Q750" s="2">
        <v>0</v>
      </c>
      <c r="R750" s="6"/>
    </row>
    <row r="751" spans="1:18" x14ac:dyDescent="0.25">
      <c r="A751" s="2">
        <f t="shared" si="34"/>
        <v>750</v>
      </c>
      <c r="B751" s="2"/>
      <c r="C751" s="2"/>
      <c r="D751" s="2"/>
      <c r="E751" s="2"/>
      <c r="F751" s="2"/>
      <c r="G751" s="2"/>
      <c r="H751" s="2" t="str">
        <f t="shared" si="33"/>
        <v>0 г. 0 мес. 0 дн.</v>
      </c>
      <c r="I751" s="2"/>
      <c r="J751" s="2"/>
      <c r="K751" s="2"/>
      <c r="L751" s="2"/>
      <c r="M751" s="2"/>
      <c r="N751" s="1">
        <v>0</v>
      </c>
      <c r="O751" s="2"/>
      <c r="P751" s="2"/>
      <c r="Q751" s="2">
        <v>0</v>
      </c>
      <c r="R751" s="6"/>
    </row>
    <row r="752" spans="1:18" x14ac:dyDescent="0.25">
      <c r="A752" s="2">
        <f t="shared" si="34"/>
        <v>751</v>
      </c>
      <c r="B752" s="2"/>
      <c r="C752" s="2"/>
      <c r="D752" s="2"/>
      <c r="E752" s="2"/>
      <c r="F752" s="2"/>
      <c r="G752" s="2"/>
      <c r="H752" s="2" t="str">
        <f t="shared" si="33"/>
        <v>0 г. 0 мес. 0 дн.</v>
      </c>
      <c r="I752" s="2"/>
      <c r="J752" s="2"/>
      <c r="K752" s="2"/>
      <c r="L752" s="2"/>
      <c r="M752" s="2"/>
      <c r="N752" s="1">
        <v>0</v>
      </c>
      <c r="O752" s="2"/>
      <c r="P752" s="2"/>
      <c r="Q752" s="2">
        <v>0</v>
      </c>
      <c r="R752" s="6"/>
    </row>
    <row r="753" spans="1:18" x14ac:dyDescent="0.25">
      <c r="A753" s="2">
        <f t="shared" si="34"/>
        <v>752</v>
      </c>
      <c r="B753" s="2"/>
      <c r="C753" s="2"/>
      <c r="D753" s="2"/>
      <c r="E753" s="2"/>
      <c r="F753" s="2"/>
      <c r="G753" s="2"/>
      <c r="H753" s="2" t="str">
        <f t="shared" si="33"/>
        <v>0 г. 0 мес. 0 дн.</v>
      </c>
      <c r="I753" s="2"/>
      <c r="J753" s="2"/>
      <c r="K753" s="2"/>
      <c r="L753" s="2"/>
      <c r="M753" s="2"/>
      <c r="N753" s="1">
        <v>0</v>
      </c>
      <c r="O753" s="2"/>
      <c r="P753" s="2"/>
      <c r="Q753" s="2">
        <v>0</v>
      </c>
      <c r="R753" s="6"/>
    </row>
    <row r="754" spans="1:18" x14ac:dyDescent="0.25">
      <c r="A754" s="2">
        <f t="shared" si="34"/>
        <v>753</v>
      </c>
      <c r="B754" s="2"/>
      <c r="C754" s="2"/>
      <c r="D754" s="2"/>
      <c r="E754" s="2"/>
      <c r="F754" s="2"/>
      <c r="G754" s="2"/>
      <c r="H754" s="2" t="str">
        <f t="shared" si="33"/>
        <v>0 г. 0 мес. 0 дн.</v>
      </c>
      <c r="I754" s="2"/>
      <c r="J754" s="2"/>
      <c r="K754" s="2"/>
      <c r="L754" s="2"/>
      <c r="M754" s="2"/>
      <c r="N754" s="1">
        <v>0</v>
      </c>
      <c r="O754" s="2"/>
      <c r="P754" s="2"/>
      <c r="Q754" s="2">
        <v>0</v>
      </c>
      <c r="R754" s="6"/>
    </row>
    <row r="755" spans="1:18" x14ac:dyDescent="0.25">
      <c r="A755" s="2">
        <f t="shared" si="34"/>
        <v>754</v>
      </c>
      <c r="B755" s="2"/>
      <c r="C755" s="2"/>
      <c r="D755" s="2"/>
      <c r="E755" s="2"/>
      <c r="F755" s="2"/>
      <c r="G755" s="2"/>
      <c r="H755" s="2" t="str">
        <f t="shared" si="33"/>
        <v>0 г. 0 мес. 0 дн.</v>
      </c>
      <c r="I755" s="2"/>
      <c r="J755" s="2"/>
      <c r="K755" s="2"/>
      <c r="L755" s="2"/>
      <c r="M755" s="2"/>
      <c r="N755" s="1">
        <v>0</v>
      </c>
      <c r="O755" s="2"/>
      <c r="P755" s="2"/>
      <c r="Q755" s="2">
        <v>0</v>
      </c>
      <c r="R755" s="6"/>
    </row>
    <row r="756" spans="1:18" x14ac:dyDescent="0.25">
      <c r="A756" s="2">
        <f t="shared" si="34"/>
        <v>755</v>
      </c>
      <c r="B756" s="2"/>
      <c r="C756" s="2"/>
      <c r="D756" s="2"/>
      <c r="E756" s="2"/>
      <c r="F756" s="2"/>
      <c r="G756" s="2"/>
      <c r="H756" s="2" t="str">
        <f t="shared" si="33"/>
        <v>0 г. 0 мес. 0 дн.</v>
      </c>
      <c r="I756" s="2"/>
      <c r="J756" s="2"/>
      <c r="K756" s="2"/>
      <c r="L756" s="2"/>
      <c r="M756" s="2"/>
      <c r="N756" s="1">
        <v>0</v>
      </c>
      <c r="O756" s="2"/>
      <c r="P756" s="2"/>
      <c r="Q756" s="2">
        <v>0</v>
      </c>
      <c r="R756" s="6"/>
    </row>
    <row r="757" spans="1:18" x14ac:dyDescent="0.25">
      <c r="A757" s="2">
        <f t="shared" si="34"/>
        <v>756</v>
      </c>
      <c r="B757" s="2"/>
      <c r="C757" s="2"/>
      <c r="D757" s="2"/>
      <c r="E757" s="2"/>
      <c r="F757" s="2"/>
      <c r="G757" s="2"/>
      <c r="H757" s="2" t="str">
        <f t="shared" si="33"/>
        <v>0 г. 0 мес. 0 дн.</v>
      </c>
      <c r="I757" s="2"/>
      <c r="J757" s="2"/>
      <c r="K757" s="2"/>
      <c r="L757" s="2"/>
      <c r="M757" s="2"/>
      <c r="N757" s="1">
        <v>0</v>
      </c>
      <c r="O757" s="2"/>
      <c r="P757" s="2"/>
      <c r="Q757" s="2">
        <v>0</v>
      </c>
      <c r="R757" s="6"/>
    </row>
    <row r="758" spans="1:18" x14ac:dyDescent="0.25">
      <c r="A758" s="2">
        <f t="shared" si="34"/>
        <v>757</v>
      </c>
      <c r="B758" s="2"/>
      <c r="C758" s="2"/>
      <c r="D758" s="2"/>
      <c r="E758" s="2"/>
      <c r="F758" s="2"/>
      <c r="G758" s="2"/>
      <c r="H758" s="2" t="str">
        <f t="shared" si="33"/>
        <v>0 г. 0 мес. 0 дн.</v>
      </c>
      <c r="I758" s="2"/>
      <c r="J758" s="2"/>
      <c r="K758" s="2"/>
      <c r="L758" s="2"/>
      <c r="M758" s="2"/>
      <c r="N758" s="1">
        <v>0</v>
      </c>
      <c r="O758" s="2"/>
      <c r="P758" s="2"/>
      <c r="Q758" s="2">
        <v>0</v>
      </c>
      <c r="R758" s="6"/>
    </row>
    <row r="759" spans="1:18" x14ac:dyDescent="0.25">
      <c r="A759" s="2">
        <f t="shared" si="34"/>
        <v>758</v>
      </c>
      <c r="B759" s="2"/>
      <c r="C759" s="2"/>
      <c r="D759" s="2"/>
      <c r="E759" s="2"/>
      <c r="F759" s="2"/>
      <c r="G759" s="2"/>
      <c r="H759" s="2" t="str">
        <f t="shared" si="33"/>
        <v>0 г. 0 мес. 0 дн.</v>
      </c>
      <c r="I759" s="2"/>
      <c r="J759" s="2"/>
      <c r="K759" s="2"/>
      <c r="L759" s="2"/>
      <c r="M759" s="2"/>
      <c r="N759" s="1">
        <v>0</v>
      </c>
      <c r="O759" s="2"/>
      <c r="P759" s="2"/>
      <c r="Q759" s="2">
        <v>0</v>
      </c>
      <c r="R759" s="6"/>
    </row>
    <row r="760" spans="1:18" x14ac:dyDescent="0.25">
      <c r="A760" s="2">
        <f t="shared" si="34"/>
        <v>759</v>
      </c>
      <c r="B760" s="2"/>
      <c r="C760" s="2"/>
      <c r="D760" s="2"/>
      <c r="E760" s="2"/>
      <c r="F760" s="2"/>
      <c r="G760" s="2"/>
      <c r="H760" s="2" t="str">
        <f t="shared" si="33"/>
        <v>0 г. 0 мес. 0 дн.</v>
      </c>
      <c r="I760" s="2"/>
      <c r="J760" s="2"/>
      <c r="K760" s="2"/>
      <c r="L760" s="2"/>
      <c r="M760" s="2"/>
      <c r="N760" s="1">
        <v>0</v>
      </c>
      <c r="O760" s="2"/>
      <c r="P760" s="2"/>
      <c r="Q760" s="2">
        <v>0</v>
      </c>
      <c r="R760" s="6"/>
    </row>
    <row r="761" spans="1:18" x14ac:dyDescent="0.25">
      <c r="A761" s="2">
        <f t="shared" si="34"/>
        <v>760</v>
      </c>
      <c r="B761" s="2"/>
      <c r="C761" s="2"/>
      <c r="D761" s="2"/>
      <c r="E761" s="2"/>
      <c r="F761" s="2"/>
      <c r="G761" s="2"/>
      <c r="H761" s="2" t="str">
        <f t="shared" si="33"/>
        <v>0 г. 0 мес. 0 дн.</v>
      </c>
      <c r="I761" s="2"/>
      <c r="J761" s="2"/>
      <c r="K761" s="2"/>
      <c r="L761" s="2"/>
      <c r="M761" s="2"/>
      <c r="N761" s="1">
        <v>0</v>
      </c>
      <c r="O761" s="2"/>
      <c r="P761" s="2"/>
      <c r="Q761" s="2">
        <v>0</v>
      </c>
      <c r="R761" s="6"/>
    </row>
    <row r="762" spans="1:18" x14ac:dyDescent="0.25">
      <c r="A762" s="2">
        <f t="shared" si="34"/>
        <v>761</v>
      </c>
      <c r="B762" s="2"/>
      <c r="C762" s="2"/>
      <c r="D762" s="2"/>
      <c r="E762" s="2"/>
      <c r="F762" s="2"/>
      <c r="G762" s="2"/>
      <c r="H762" s="2" t="str">
        <f t="shared" si="33"/>
        <v>0 г. 0 мес. 0 дн.</v>
      </c>
      <c r="I762" s="2"/>
      <c r="J762" s="2"/>
      <c r="K762" s="2"/>
      <c r="L762" s="2"/>
      <c r="M762" s="2"/>
      <c r="N762" s="1">
        <v>0</v>
      </c>
      <c r="O762" s="2"/>
      <c r="P762" s="2"/>
      <c r="Q762" s="2">
        <v>0</v>
      </c>
      <c r="R762" s="6"/>
    </row>
    <row r="763" spans="1:18" x14ac:dyDescent="0.25">
      <c r="A763" s="2">
        <f t="shared" si="34"/>
        <v>762</v>
      </c>
      <c r="B763" s="2"/>
      <c r="C763" s="2"/>
      <c r="D763" s="2"/>
      <c r="E763" s="2"/>
      <c r="F763" s="2"/>
      <c r="G763" s="2"/>
      <c r="H763" s="2" t="str">
        <f t="shared" si="33"/>
        <v>0 г. 0 мес. 0 дн.</v>
      </c>
      <c r="I763" s="2"/>
      <c r="J763" s="2"/>
      <c r="K763" s="2"/>
      <c r="L763" s="2"/>
      <c r="M763" s="2"/>
      <c r="N763" s="1">
        <v>0</v>
      </c>
      <c r="O763" s="2"/>
      <c r="P763" s="2"/>
      <c r="Q763" s="2">
        <v>0</v>
      </c>
      <c r="R763" s="6"/>
    </row>
    <row r="764" spans="1:18" x14ac:dyDescent="0.25">
      <c r="A764" s="2">
        <f t="shared" si="34"/>
        <v>763</v>
      </c>
      <c r="B764" s="2"/>
      <c r="C764" s="2"/>
      <c r="D764" s="2"/>
      <c r="E764" s="2"/>
      <c r="F764" s="2"/>
      <c r="G764" s="2"/>
      <c r="H764" s="2" t="str">
        <f t="shared" si="33"/>
        <v>0 г. 0 мес. 0 дн.</v>
      </c>
      <c r="I764" s="2"/>
      <c r="J764" s="2"/>
      <c r="K764" s="2"/>
      <c r="L764" s="2"/>
      <c r="M764" s="2"/>
      <c r="N764" s="1">
        <v>0</v>
      </c>
      <c r="O764" s="2"/>
      <c r="P764" s="2"/>
      <c r="Q764" s="2">
        <v>0</v>
      </c>
      <c r="R764" s="6"/>
    </row>
    <row r="765" spans="1:18" x14ac:dyDescent="0.25">
      <c r="A765" s="2">
        <f t="shared" si="34"/>
        <v>764</v>
      </c>
      <c r="B765" s="2"/>
      <c r="C765" s="2"/>
      <c r="D765" s="2"/>
      <c r="E765" s="2"/>
      <c r="F765" s="2"/>
      <c r="G765" s="2"/>
      <c r="H765" s="2" t="str">
        <f t="shared" si="33"/>
        <v>0 г. 0 мес. 0 дн.</v>
      </c>
      <c r="I765" s="2"/>
      <c r="J765" s="2"/>
      <c r="K765" s="2"/>
      <c r="L765" s="2"/>
      <c r="M765" s="2"/>
      <c r="N765" s="1">
        <v>0</v>
      </c>
      <c r="O765" s="2"/>
      <c r="P765" s="2"/>
      <c r="Q765" s="2">
        <v>0</v>
      </c>
      <c r="R765" s="6"/>
    </row>
    <row r="766" spans="1:18" x14ac:dyDescent="0.25">
      <c r="A766" s="2">
        <f t="shared" si="34"/>
        <v>765</v>
      </c>
      <c r="B766" s="2"/>
      <c r="C766" s="2"/>
      <c r="D766" s="2"/>
      <c r="E766" s="2"/>
      <c r="F766" s="2"/>
      <c r="G766" s="2"/>
      <c r="H766" s="2" t="str">
        <f t="shared" si="33"/>
        <v>0 г. 0 мес. 0 дн.</v>
      </c>
      <c r="I766" s="2"/>
      <c r="J766" s="2"/>
      <c r="K766" s="2"/>
      <c r="L766" s="2"/>
      <c r="M766" s="2"/>
      <c r="N766" s="1">
        <v>0</v>
      </c>
      <c r="O766" s="2"/>
      <c r="P766" s="2"/>
      <c r="Q766" s="2">
        <v>0</v>
      </c>
      <c r="R766" s="6"/>
    </row>
    <row r="767" spans="1:18" x14ac:dyDescent="0.25">
      <c r="A767" s="2">
        <f t="shared" si="34"/>
        <v>766</v>
      </c>
      <c r="B767" s="2"/>
      <c r="C767" s="2"/>
      <c r="D767" s="2"/>
      <c r="E767" s="2"/>
      <c r="F767" s="2"/>
      <c r="G767" s="2"/>
      <c r="H767" s="2" t="str">
        <f t="shared" si="33"/>
        <v>0 г. 0 мес. 0 дн.</v>
      </c>
      <c r="I767" s="2"/>
      <c r="J767" s="2"/>
      <c r="K767" s="2"/>
      <c r="L767" s="2"/>
      <c r="M767" s="2"/>
      <c r="N767" s="1">
        <v>0</v>
      </c>
      <c r="O767" s="2"/>
      <c r="P767" s="2"/>
      <c r="Q767" s="2">
        <v>0</v>
      </c>
      <c r="R767" s="6"/>
    </row>
    <row r="768" spans="1:18" x14ac:dyDescent="0.25">
      <c r="A768" s="2">
        <f t="shared" si="34"/>
        <v>767</v>
      </c>
      <c r="B768" s="2"/>
      <c r="C768" s="2"/>
      <c r="D768" s="2"/>
      <c r="E768" s="2"/>
      <c r="F768" s="2"/>
      <c r="G768" s="2"/>
      <c r="H768" s="2" t="str">
        <f t="shared" si="33"/>
        <v>0 г. 0 мес. 0 дн.</v>
      </c>
      <c r="I768" s="2"/>
      <c r="J768" s="2"/>
      <c r="K768" s="2"/>
      <c r="L768" s="2"/>
      <c r="M768" s="2"/>
      <c r="N768" s="1">
        <v>0</v>
      </c>
      <c r="O768" s="2"/>
      <c r="P768" s="2"/>
      <c r="Q768" s="2">
        <v>0</v>
      </c>
      <c r="R768" s="6"/>
    </row>
    <row r="769" spans="1:18" x14ac:dyDescent="0.25">
      <c r="A769" s="2">
        <f t="shared" si="34"/>
        <v>768</v>
      </c>
      <c r="B769" s="2"/>
      <c r="C769" s="2"/>
      <c r="D769" s="2"/>
      <c r="E769" s="2"/>
      <c r="F769" s="2"/>
      <c r="G769" s="2"/>
      <c r="H769" s="2" t="str">
        <f t="shared" si="33"/>
        <v>0 г. 0 мес. 0 дн.</v>
      </c>
      <c r="I769" s="2"/>
      <c r="J769" s="2"/>
      <c r="K769" s="2"/>
      <c r="L769" s="2"/>
      <c r="M769" s="2"/>
      <c r="N769" s="1">
        <v>0</v>
      </c>
      <c r="O769" s="2"/>
      <c r="P769" s="2"/>
      <c r="Q769" s="2">
        <v>0</v>
      </c>
      <c r="R769" s="6"/>
    </row>
    <row r="770" spans="1:18" x14ac:dyDescent="0.25">
      <c r="A770" s="2">
        <f t="shared" si="34"/>
        <v>769</v>
      </c>
      <c r="B770" s="2"/>
      <c r="C770" s="2"/>
      <c r="D770" s="2"/>
      <c r="E770" s="2"/>
      <c r="F770" s="2"/>
      <c r="G770" s="2"/>
      <c r="H770" s="2" t="str">
        <f t="shared" si="33"/>
        <v>0 г. 0 мес. 0 дн.</v>
      </c>
      <c r="I770" s="2"/>
      <c r="J770" s="2"/>
      <c r="K770" s="2"/>
      <c r="L770" s="2"/>
      <c r="M770" s="2"/>
      <c r="N770" s="1">
        <v>0</v>
      </c>
      <c r="O770" s="2"/>
      <c r="P770" s="2"/>
      <c r="Q770" s="2">
        <v>0</v>
      </c>
      <c r="R770" s="6"/>
    </row>
    <row r="771" spans="1:18" x14ac:dyDescent="0.25">
      <c r="A771" s="2">
        <f t="shared" si="34"/>
        <v>770</v>
      </c>
      <c r="B771" s="2"/>
      <c r="C771" s="2"/>
      <c r="D771" s="2"/>
      <c r="E771" s="2"/>
      <c r="F771" s="2"/>
      <c r="G771" s="2"/>
      <c r="H771" s="2" t="str">
        <f t="shared" si="33"/>
        <v>0 г. 0 мес. 0 дн.</v>
      </c>
      <c r="I771" s="2"/>
      <c r="J771" s="2"/>
      <c r="K771" s="2"/>
      <c r="L771" s="2"/>
      <c r="M771" s="2"/>
      <c r="N771" s="1">
        <v>0</v>
      </c>
      <c r="O771" s="2"/>
      <c r="P771" s="2"/>
      <c r="Q771" s="2">
        <v>0</v>
      </c>
      <c r="R771" s="6"/>
    </row>
    <row r="772" spans="1:18" x14ac:dyDescent="0.25">
      <c r="A772" s="2">
        <f t="shared" si="34"/>
        <v>771</v>
      </c>
      <c r="B772" s="2"/>
      <c r="C772" s="2"/>
      <c r="D772" s="2"/>
      <c r="E772" s="2"/>
      <c r="F772" s="2"/>
      <c r="G772" s="2"/>
      <c r="H772" s="2" t="str">
        <f t="shared" ref="H772:H835" si="35">DATEDIF(G772,D772,"y") &amp; " г. " &amp; DATEDIF(G772,D772,"ym") &amp; " мес. " &amp; DATEDIF(G772,D772,"md") &amp; " дн."</f>
        <v>0 г. 0 мес. 0 дн.</v>
      </c>
      <c r="I772" s="2"/>
      <c r="J772" s="2"/>
      <c r="K772" s="2"/>
      <c r="L772" s="2"/>
      <c r="M772" s="2"/>
      <c r="N772" s="1">
        <v>0</v>
      </c>
      <c r="O772" s="2"/>
      <c r="P772" s="2"/>
      <c r="Q772" s="2">
        <v>0</v>
      </c>
      <c r="R772" s="6"/>
    </row>
    <row r="773" spans="1:18" x14ac:dyDescent="0.25">
      <c r="A773" s="2">
        <f t="shared" si="34"/>
        <v>772</v>
      </c>
      <c r="B773" s="2"/>
      <c r="C773" s="2"/>
      <c r="D773" s="2"/>
      <c r="E773" s="2"/>
      <c r="F773" s="2"/>
      <c r="G773" s="2"/>
      <c r="H773" s="2" t="str">
        <f t="shared" si="35"/>
        <v>0 г. 0 мес. 0 дн.</v>
      </c>
      <c r="I773" s="2"/>
      <c r="J773" s="2"/>
      <c r="K773" s="2"/>
      <c r="L773" s="2"/>
      <c r="M773" s="2"/>
      <c r="N773" s="1">
        <v>0</v>
      </c>
      <c r="O773" s="2"/>
      <c r="P773" s="2"/>
      <c r="Q773" s="2">
        <v>0</v>
      </c>
      <c r="R773" s="6"/>
    </row>
    <row r="774" spans="1:18" x14ac:dyDescent="0.25">
      <c r="A774" s="2">
        <f t="shared" si="34"/>
        <v>773</v>
      </c>
      <c r="B774" s="2"/>
      <c r="C774" s="2"/>
      <c r="D774" s="2"/>
      <c r="E774" s="2"/>
      <c r="F774" s="2"/>
      <c r="G774" s="2"/>
      <c r="H774" s="2" t="str">
        <f t="shared" si="35"/>
        <v>0 г. 0 мес. 0 дн.</v>
      </c>
      <c r="I774" s="2"/>
      <c r="J774" s="2"/>
      <c r="K774" s="2"/>
      <c r="L774" s="2"/>
      <c r="M774" s="2"/>
      <c r="N774" s="1">
        <v>0</v>
      </c>
      <c r="O774" s="2"/>
      <c r="P774" s="2"/>
      <c r="Q774" s="2">
        <v>0</v>
      </c>
      <c r="R774" s="6"/>
    </row>
    <row r="775" spans="1:18" x14ac:dyDescent="0.25">
      <c r="A775" s="2">
        <f t="shared" si="34"/>
        <v>774</v>
      </c>
      <c r="B775" s="2"/>
      <c r="C775" s="2"/>
      <c r="D775" s="2"/>
      <c r="E775" s="2"/>
      <c r="F775" s="2"/>
      <c r="G775" s="2"/>
      <c r="H775" s="2" t="str">
        <f t="shared" si="35"/>
        <v>0 г. 0 мес. 0 дн.</v>
      </c>
      <c r="I775" s="2"/>
      <c r="J775" s="2"/>
      <c r="K775" s="2"/>
      <c r="L775" s="2"/>
      <c r="M775" s="2"/>
      <c r="N775" s="1">
        <v>0</v>
      </c>
      <c r="O775" s="2"/>
      <c r="P775" s="2"/>
      <c r="Q775" s="2">
        <v>0</v>
      </c>
      <c r="R775" s="6"/>
    </row>
    <row r="776" spans="1:18" x14ac:dyDescent="0.25">
      <c r="A776" s="2">
        <f t="shared" si="34"/>
        <v>775</v>
      </c>
      <c r="B776" s="2"/>
      <c r="C776" s="2"/>
      <c r="D776" s="2"/>
      <c r="E776" s="2"/>
      <c r="F776" s="2"/>
      <c r="G776" s="2"/>
      <c r="H776" s="2" t="str">
        <f t="shared" si="35"/>
        <v>0 г. 0 мес. 0 дн.</v>
      </c>
      <c r="I776" s="2"/>
      <c r="J776" s="2"/>
      <c r="K776" s="2"/>
      <c r="L776" s="2"/>
      <c r="M776" s="2"/>
      <c r="N776" s="1">
        <v>0</v>
      </c>
      <c r="O776" s="2"/>
      <c r="P776" s="2"/>
      <c r="Q776" s="2">
        <v>0</v>
      </c>
      <c r="R776" s="6"/>
    </row>
    <row r="777" spans="1:18" x14ac:dyDescent="0.25">
      <c r="A777" s="2">
        <f t="shared" si="34"/>
        <v>776</v>
      </c>
      <c r="B777" s="2"/>
      <c r="C777" s="2"/>
      <c r="D777" s="2"/>
      <c r="E777" s="2"/>
      <c r="F777" s="2"/>
      <c r="G777" s="2"/>
      <c r="H777" s="2" t="str">
        <f t="shared" si="35"/>
        <v>0 г. 0 мес. 0 дн.</v>
      </c>
      <c r="I777" s="2"/>
      <c r="J777" s="2"/>
      <c r="K777" s="2"/>
      <c r="L777" s="2"/>
      <c r="M777" s="2"/>
      <c r="N777" s="1">
        <v>0</v>
      </c>
      <c r="O777" s="2"/>
      <c r="P777" s="2"/>
      <c r="Q777" s="2">
        <v>0</v>
      </c>
      <c r="R777" s="6"/>
    </row>
    <row r="778" spans="1:18" x14ac:dyDescent="0.25">
      <c r="A778" s="2">
        <f t="shared" si="34"/>
        <v>777</v>
      </c>
      <c r="B778" s="2"/>
      <c r="C778" s="2"/>
      <c r="D778" s="2"/>
      <c r="E778" s="2"/>
      <c r="F778" s="2"/>
      <c r="G778" s="2"/>
      <c r="H778" s="2" t="str">
        <f t="shared" si="35"/>
        <v>0 г. 0 мес. 0 дн.</v>
      </c>
      <c r="I778" s="2"/>
      <c r="J778" s="2"/>
      <c r="K778" s="2"/>
      <c r="L778" s="2"/>
      <c r="M778" s="2"/>
      <c r="N778" s="1">
        <v>0</v>
      </c>
      <c r="O778" s="2"/>
      <c r="P778" s="2"/>
      <c r="Q778" s="2">
        <v>0</v>
      </c>
      <c r="R778" s="6"/>
    </row>
    <row r="779" spans="1:18" x14ac:dyDescent="0.25">
      <c r="A779" s="2">
        <f t="shared" si="34"/>
        <v>778</v>
      </c>
      <c r="B779" s="2"/>
      <c r="C779" s="2"/>
      <c r="D779" s="2"/>
      <c r="E779" s="2"/>
      <c r="F779" s="2"/>
      <c r="G779" s="2"/>
      <c r="H779" s="2" t="str">
        <f t="shared" si="35"/>
        <v>0 г. 0 мес. 0 дн.</v>
      </c>
      <c r="I779" s="2"/>
      <c r="J779" s="2"/>
      <c r="K779" s="2"/>
      <c r="L779" s="2"/>
      <c r="M779" s="2"/>
      <c r="N779" s="1">
        <v>0</v>
      </c>
      <c r="O779" s="2"/>
      <c r="P779" s="2"/>
      <c r="Q779" s="2">
        <v>0</v>
      </c>
      <c r="R779" s="6"/>
    </row>
    <row r="780" spans="1:18" x14ac:dyDescent="0.25">
      <c r="A780" s="2">
        <f t="shared" si="34"/>
        <v>779</v>
      </c>
      <c r="B780" s="2"/>
      <c r="C780" s="2"/>
      <c r="D780" s="2"/>
      <c r="E780" s="2"/>
      <c r="F780" s="2"/>
      <c r="G780" s="2"/>
      <c r="H780" s="2" t="str">
        <f t="shared" si="35"/>
        <v>0 г. 0 мес. 0 дн.</v>
      </c>
      <c r="I780" s="2"/>
      <c r="J780" s="2"/>
      <c r="K780" s="2"/>
      <c r="L780" s="2"/>
      <c r="M780" s="2"/>
      <c r="N780" s="1">
        <v>0</v>
      </c>
      <c r="O780" s="2"/>
      <c r="P780" s="2"/>
      <c r="Q780" s="2">
        <v>0</v>
      </c>
      <c r="R780" s="6"/>
    </row>
    <row r="781" spans="1:18" x14ac:dyDescent="0.25">
      <c r="A781" s="2">
        <f t="shared" si="34"/>
        <v>780</v>
      </c>
      <c r="B781" s="2"/>
      <c r="C781" s="2"/>
      <c r="D781" s="2"/>
      <c r="E781" s="2"/>
      <c r="F781" s="2"/>
      <c r="G781" s="2"/>
      <c r="H781" s="2" t="str">
        <f t="shared" si="35"/>
        <v>0 г. 0 мес. 0 дн.</v>
      </c>
      <c r="I781" s="2"/>
      <c r="J781" s="2"/>
      <c r="K781" s="2"/>
      <c r="L781" s="2"/>
      <c r="M781" s="2"/>
      <c r="N781" s="1">
        <v>0</v>
      </c>
      <c r="O781" s="2"/>
      <c r="P781" s="2"/>
      <c r="Q781" s="2">
        <v>0</v>
      </c>
      <c r="R781" s="6"/>
    </row>
    <row r="782" spans="1:18" x14ac:dyDescent="0.25">
      <c r="A782" s="2">
        <f t="shared" si="34"/>
        <v>781</v>
      </c>
      <c r="B782" s="2"/>
      <c r="C782" s="2"/>
      <c r="D782" s="2"/>
      <c r="E782" s="2"/>
      <c r="F782" s="2"/>
      <c r="G782" s="2"/>
      <c r="H782" s="2" t="str">
        <f t="shared" si="35"/>
        <v>0 г. 0 мес. 0 дн.</v>
      </c>
      <c r="I782" s="2"/>
      <c r="J782" s="2"/>
      <c r="K782" s="2"/>
      <c r="L782" s="2"/>
      <c r="M782" s="2"/>
      <c r="N782" s="1">
        <v>0</v>
      </c>
      <c r="O782" s="2"/>
      <c r="P782" s="2"/>
      <c r="Q782" s="2">
        <v>0</v>
      </c>
      <c r="R782" s="6"/>
    </row>
    <row r="783" spans="1:18" x14ac:dyDescent="0.25">
      <c r="A783" s="2">
        <f t="shared" si="34"/>
        <v>782</v>
      </c>
      <c r="B783" s="2"/>
      <c r="C783" s="2"/>
      <c r="D783" s="2"/>
      <c r="E783" s="2"/>
      <c r="F783" s="2"/>
      <c r="G783" s="2"/>
      <c r="H783" s="2" t="str">
        <f t="shared" si="35"/>
        <v>0 г. 0 мес. 0 дн.</v>
      </c>
      <c r="I783" s="2"/>
      <c r="J783" s="2"/>
      <c r="K783" s="2"/>
      <c r="L783" s="2"/>
      <c r="M783" s="2"/>
      <c r="N783" s="1">
        <v>0</v>
      </c>
      <c r="O783" s="2"/>
      <c r="P783" s="2"/>
      <c r="Q783" s="2">
        <v>0</v>
      </c>
      <c r="R783" s="6"/>
    </row>
    <row r="784" spans="1:18" x14ac:dyDescent="0.25">
      <c r="A784" s="2">
        <f t="shared" si="34"/>
        <v>783</v>
      </c>
      <c r="B784" s="2"/>
      <c r="C784" s="2"/>
      <c r="D784" s="2"/>
      <c r="E784" s="2"/>
      <c r="F784" s="2"/>
      <c r="G784" s="2"/>
      <c r="H784" s="2" t="str">
        <f t="shared" si="35"/>
        <v>0 г. 0 мес. 0 дн.</v>
      </c>
      <c r="I784" s="2"/>
      <c r="J784" s="2"/>
      <c r="K784" s="2"/>
      <c r="L784" s="2"/>
      <c r="M784" s="2"/>
      <c r="N784" s="1">
        <v>0</v>
      </c>
      <c r="O784" s="2"/>
      <c r="P784" s="2"/>
      <c r="Q784" s="2">
        <v>0</v>
      </c>
      <c r="R784" s="6"/>
    </row>
    <row r="785" spans="1:18" x14ac:dyDescent="0.25">
      <c r="A785" s="2">
        <f t="shared" si="34"/>
        <v>784</v>
      </c>
      <c r="B785" s="2"/>
      <c r="C785" s="2"/>
      <c r="D785" s="2"/>
      <c r="E785" s="2"/>
      <c r="F785" s="2"/>
      <c r="G785" s="2"/>
      <c r="H785" s="2" t="str">
        <f t="shared" si="35"/>
        <v>0 г. 0 мес. 0 дн.</v>
      </c>
      <c r="I785" s="2"/>
      <c r="J785" s="2"/>
      <c r="K785" s="2"/>
      <c r="L785" s="2"/>
      <c r="M785" s="2"/>
      <c r="N785" s="1">
        <v>0</v>
      </c>
      <c r="O785" s="2"/>
      <c r="P785" s="2"/>
      <c r="Q785" s="2">
        <v>0</v>
      </c>
      <c r="R785" s="6"/>
    </row>
    <row r="786" spans="1:18" x14ac:dyDescent="0.25">
      <c r="A786" s="2">
        <f t="shared" si="34"/>
        <v>785</v>
      </c>
      <c r="B786" s="2"/>
      <c r="C786" s="2"/>
      <c r="D786" s="2"/>
      <c r="E786" s="2"/>
      <c r="F786" s="2"/>
      <c r="G786" s="2"/>
      <c r="H786" s="2" t="str">
        <f t="shared" si="35"/>
        <v>0 г. 0 мес. 0 дн.</v>
      </c>
      <c r="I786" s="2"/>
      <c r="J786" s="2"/>
      <c r="K786" s="2"/>
      <c r="L786" s="2"/>
      <c r="M786" s="2"/>
      <c r="N786" s="1">
        <v>0</v>
      </c>
      <c r="O786" s="2"/>
      <c r="P786" s="2"/>
      <c r="Q786" s="2">
        <v>0</v>
      </c>
      <c r="R786" s="6"/>
    </row>
    <row r="787" spans="1:18" x14ac:dyDescent="0.25">
      <c r="A787" s="2">
        <f t="shared" si="34"/>
        <v>786</v>
      </c>
      <c r="B787" s="2"/>
      <c r="C787" s="2"/>
      <c r="D787" s="2"/>
      <c r="E787" s="2"/>
      <c r="F787" s="2"/>
      <c r="G787" s="2"/>
      <c r="H787" s="2" t="str">
        <f t="shared" si="35"/>
        <v>0 г. 0 мес. 0 дн.</v>
      </c>
      <c r="I787" s="2"/>
      <c r="J787" s="2"/>
      <c r="K787" s="2"/>
      <c r="L787" s="2"/>
      <c r="M787" s="2"/>
      <c r="N787" s="1">
        <v>0</v>
      </c>
      <c r="O787" s="2"/>
      <c r="P787" s="2"/>
      <c r="Q787" s="2">
        <v>0</v>
      </c>
      <c r="R787" s="6"/>
    </row>
    <row r="788" spans="1:18" x14ac:dyDescent="0.25">
      <c r="A788" s="2">
        <f t="shared" si="34"/>
        <v>787</v>
      </c>
      <c r="B788" s="2"/>
      <c r="C788" s="2"/>
      <c r="D788" s="2"/>
      <c r="E788" s="2"/>
      <c r="F788" s="2"/>
      <c r="G788" s="2"/>
      <c r="H788" s="2" t="str">
        <f t="shared" si="35"/>
        <v>0 г. 0 мес. 0 дн.</v>
      </c>
      <c r="I788" s="2"/>
      <c r="J788" s="2"/>
      <c r="K788" s="2"/>
      <c r="L788" s="2"/>
      <c r="M788" s="2"/>
      <c r="N788" s="1">
        <v>0</v>
      </c>
      <c r="O788" s="2"/>
      <c r="P788" s="2"/>
      <c r="Q788" s="2">
        <v>0</v>
      </c>
      <c r="R788" s="6"/>
    </row>
    <row r="789" spans="1:18" x14ac:dyDescent="0.25">
      <c r="A789" s="2">
        <f t="shared" si="34"/>
        <v>788</v>
      </c>
      <c r="B789" s="2"/>
      <c r="C789" s="2"/>
      <c r="D789" s="2"/>
      <c r="E789" s="2"/>
      <c r="F789" s="2"/>
      <c r="G789" s="2"/>
      <c r="H789" s="2" t="str">
        <f t="shared" si="35"/>
        <v>0 г. 0 мес. 0 дн.</v>
      </c>
      <c r="I789" s="2"/>
      <c r="J789" s="2"/>
      <c r="K789" s="2"/>
      <c r="L789" s="2"/>
      <c r="M789" s="2"/>
      <c r="N789" s="1">
        <v>0</v>
      </c>
      <c r="O789" s="2"/>
      <c r="P789" s="2"/>
      <c r="Q789" s="2">
        <v>0</v>
      </c>
      <c r="R789" s="6"/>
    </row>
    <row r="790" spans="1:18" x14ac:dyDescent="0.25">
      <c r="A790" s="2">
        <f t="shared" si="34"/>
        <v>789</v>
      </c>
      <c r="B790" s="2"/>
      <c r="C790" s="2"/>
      <c r="D790" s="2"/>
      <c r="E790" s="2"/>
      <c r="F790" s="2"/>
      <c r="G790" s="2"/>
      <c r="H790" s="2" t="str">
        <f t="shared" si="35"/>
        <v>0 г. 0 мес. 0 дн.</v>
      </c>
      <c r="I790" s="2"/>
      <c r="J790" s="2"/>
      <c r="K790" s="2"/>
      <c r="L790" s="2"/>
      <c r="M790" s="2"/>
      <c r="N790" s="1">
        <v>0</v>
      </c>
      <c r="O790" s="2"/>
      <c r="P790" s="2"/>
      <c r="Q790" s="2">
        <v>0</v>
      </c>
      <c r="R790" s="6"/>
    </row>
    <row r="791" spans="1:18" x14ac:dyDescent="0.25">
      <c r="A791" s="2">
        <f t="shared" si="34"/>
        <v>790</v>
      </c>
      <c r="B791" s="2"/>
      <c r="C791" s="2"/>
      <c r="D791" s="2"/>
      <c r="E791" s="2"/>
      <c r="F791" s="2"/>
      <c r="G791" s="2"/>
      <c r="H791" s="2" t="str">
        <f t="shared" si="35"/>
        <v>0 г. 0 мес. 0 дн.</v>
      </c>
      <c r="I791" s="2"/>
      <c r="J791" s="2"/>
      <c r="K791" s="2"/>
      <c r="L791" s="2"/>
      <c r="M791" s="2"/>
      <c r="N791" s="1">
        <v>0</v>
      </c>
      <c r="O791" s="2"/>
      <c r="P791" s="2"/>
      <c r="Q791" s="2">
        <v>0</v>
      </c>
      <c r="R791" s="6"/>
    </row>
    <row r="792" spans="1:18" x14ac:dyDescent="0.25">
      <c r="A792" s="2">
        <f t="shared" si="34"/>
        <v>791</v>
      </c>
      <c r="B792" s="2"/>
      <c r="C792" s="2"/>
      <c r="D792" s="2"/>
      <c r="E792" s="2"/>
      <c r="F792" s="2"/>
      <c r="G792" s="2"/>
      <c r="H792" s="2" t="str">
        <f t="shared" si="35"/>
        <v>0 г. 0 мес. 0 дн.</v>
      </c>
      <c r="I792" s="2"/>
      <c r="J792" s="2"/>
      <c r="K792" s="2"/>
      <c r="L792" s="2"/>
      <c r="M792" s="2"/>
      <c r="N792" s="1">
        <v>0</v>
      </c>
      <c r="O792" s="2"/>
      <c r="P792" s="2"/>
      <c r="Q792" s="2">
        <v>0</v>
      </c>
      <c r="R792" s="6"/>
    </row>
    <row r="793" spans="1:18" x14ac:dyDescent="0.25">
      <c r="A793" s="2">
        <f t="shared" si="34"/>
        <v>792</v>
      </c>
      <c r="B793" s="2"/>
      <c r="C793" s="2"/>
      <c r="D793" s="2"/>
      <c r="E793" s="2"/>
      <c r="F793" s="2"/>
      <c r="G793" s="2"/>
      <c r="H793" s="2" t="str">
        <f t="shared" si="35"/>
        <v>0 г. 0 мес. 0 дн.</v>
      </c>
      <c r="I793" s="2"/>
      <c r="J793" s="2"/>
      <c r="K793" s="2"/>
      <c r="L793" s="2"/>
      <c r="M793" s="2"/>
      <c r="N793" s="1">
        <v>0</v>
      </c>
      <c r="O793" s="2"/>
      <c r="P793" s="2"/>
      <c r="Q793" s="2">
        <v>0</v>
      </c>
      <c r="R793" s="6"/>
    </row>
    <row r="794" spans="1:18" x14ac:dyDescent="0.25">
      <c r="A794" s="2">
        <f t="shared" si="34"/>
        <v>793</v>
      </c>
      <c r="B794" s="2"/>
      <c r="C794" s="2"/>
      <c r="D794" s="2"/>
      <c r="E794" s="2"/>
      <c r="F794" s="2"/>
      <c r="G794" s="2"/>
      <c r="H794" s="2" t="str">
        <f t="shared" si="35"/>
        <v>0 г. 0 мес. 0 дн.</v>
      </c>
      <c r="I794" s="2"/>
      <c r="J794" s="2"/>
      <c r="K794" s="2"/>
      <c r="L794" s="2"/>
      <c r="M794" s="2"/>
      <c r="N794" s="1">
        <v>0</v>
      </c>
      <c r="O794" s="2"/>
      <c r="P794" s="2"/>
      <c r="Q794" s="2">
        <v>0</v>
      </c>
      <c r="R794" s="6"/>
    </row>
    <row r="795" spans="1:18" x14ac:dyDescent="0.25">
      <c r="A795" s="2">
        <f t="shared" si="34"/>
        <v>794</v>
      </c>
      <c r="B795" s="2"/>
      <c r="C795" s="2"/>
      <c r="D795" s="2"/>
      <c r="E795" s="2"/>
      <c r="F795" s="2"/>
      <c r="G795" s="2"/>
      <c r="H795" s="2" t="str">
        <f t="shared" si="35"/>
        <v>0 г. 0 мес. 0 дн.</v>
      </c>
      <c r="I795" s="2"/>
      <c r="J795" s="2"/>
      <c r="K795" s="2"/>
      <c r="L795" s="2"/>
      <c r="M795" s="2"/>
      <c r="N795" s="1">
        <v>0</v>
      </c>
      <c r="O795" s="2"/>
      <c r="P795" s="2"/>
      <c r="Q795" s="2">
        <v>0</v>
      </c>
      <c r="R795" s="6"/>
    </row>
    <row r="796" spans="1:18" x14ac:dyDescent="0.25">
      <c r="A796" s="2">
        <f t="shared" si="34"/>
        <v>795</v>
      </c>
      <c r="B796" s="2"/>
      <c r="C796" s="2"/>
      <c r="D796" s="2"/>
      <c r="E796" s="2"/>
      <c r="F796" s="2"/>
      <c r="G796" s="2"/>
      <c r="H796" s="2" t="str">
        <f t="shared" si="35"/>
        <v>0 г. 0 мес. 0 дн.</v>
      </c>
      <c r="I796" s="2"/>
      <c r="J796" s="2"/>
      <c r="K796" s="2"/>
      <c r="L796" s="2"/>
      <c r="M796" s="2"/>
      <c r="N796" s="1">
        <v>0</v>
      </c>
      <c r="O796" s="2"/>
      <c r="P796" s="2"/>
      <c r="Q796" s="2">
        <v>0</v>
      </c>
      <c r="R796" s="6"/>
    </row>
    <row r="797" spans="1:18" x14ac:dyDescent="0.25">
      <c r="A797" s="2">
        <f t="shared" ref="A797:A860" si="36">ROW(A796)</f>
        <v>796</v>
      </c>
      <c r="B797" s="2"/>
      <c r="C797" s="2"/>
      <c r="D797" s="2"/>
      <c r="E797" s="2"/>
      <c r="F797" s="2"/>
      <c r="G797" s="2"/>
      <c r="H797" s="2" t="str">
        <f t="shared" si="35"/>
        <v>0 г. 0 мес. 0 дн.</v>
      </c>
      <c r="I797" s="2"/>
      <c r="J797" s="2"/>
      <c r="K797" s="2"/>
      <c r="L797" s="2"/>
      <c r="M797" s="2"/>
      <c r="N797" s="1">
        <v>0</v>
      </c>
      <c r="O797" s="2"/>
      <c r="P797" s="2"/>
      <c r="Q797" s="2">
        <v>0</v>
      </c>
      <c r="R797" s="6"/>
    </row>
    <row r="798" spans="1:18" x14ac:dyDescent="0.25">
      <c r="A798" s="2">
        <f t="shared" si="36"/>
        <v>797</v>
      </c>
      <c r="B798" s="2"/>
      <c r="C798" s="2"/>
      <c r="D798" s="2"/>
      <c r="E798" s="2"/>
      <c r="F798" s="2"/>
      <c r="G798" s="2"/>
      <c r="H798" s="2" t="str">
        <f t="shared" si="35"/>
        <v>0 г. 0 мес. 0 дн.</v>
      </c>
      <c r="I798" s="2"/>
      <c r="J798" s="2"/>
      <c r="K798" s="2"/>
      <c r="L798" s="2"/>
      <c r="M798" s="2"/>
      <c r="N798" s="1">
        <v>0</v>
      </c>
      <c r="O798" s="2"/>
      <c r="P798" s="2"/>
      <c r="Q798" s="2">
        <v>0</v>
      </c>
      <c r="R798" s="6"/>
    </row>
    <row r="799" spans="1:18" x14ac:dyDescent="0.25">
      <c r="A799" s="2">
        <f t="shared" si="36"/>
        <v>798</v>
      </c>
      <c r="B799" s="2"/>
      <c r="C799" s="2"/>
      <c r="D799" s="2"/>
      <c r="E799" s="2"/>
      <c r="F799" s="2"/>
      <c r="G799" s="2"/>
      <c r="H799" s="2" t="str">
        <f t="shared" si="35"/>
        <v>0 г. 0 мес. 0 дн.</v>
      </c>
      <c r="I799" s="2"/>
      <c r="J799" s="2"/>
      <c r="K799" s="2"/>
      <c r="L799" s="2"/>
      <c r="M799" s="2"/>
      <c r="N799" s="1">
        <v>0</v>
      </c>
      <c r="O799" s="2"/>
      <c r="P799" s="2"/>
      <c r="Q799" s="2">
        <v>0</v>
      </c>
      <c r="R799" s="6"/>
    </row>
    <row r="800" spans="1:18" x14ac:dyDescent="0.25">
      <c r="A800" s="2">
        <f t="shared" si="36"/>
        <v>799</v>
      </c>
      <c r="B800" s="2"/>
      <c r="C800" s="2"/>
      <c r="D800" s="2"/>
      <c r="E800" s="2"/>
      <c r="F800" s="2"/>
      <c r="G800" s="2"/>
      <c r="H800" s="2" t="str">
        <f t="shared" si="35"/>
        <v>0 г. 0 мес. 0 дн.</v>
      </c>
      <c r="I800" s="2"/>
      <c r="J800" s="2"/>
      <c r="K800" s="2"/>
      <c r="L800" s="2"/>
      <c r="M800" s="2"/>
      <c r="N800" s="1">
        <v>0</v>
      </c>
      <c r="O800" s="2"/>
      <c r="P800" s="2"/>
      <c r="Q800" s="2">
        <v>0</v>
      </c>
      <c r="R800" s="6"/>
    </row>
    <row r="801" spans="1:18" x14ac:dyDescent="0.25">
      <c r="A801" s="2">
        <f t="shared" si="36"/>
        <v>800</v>
      </c>
      <c r="B801" s="2"/>
      <c r="C801" s="2"/>
      <c r="D801" s="2"/>
      <c r="E801" s="2"/>
      <c r="F801" s="2"/>
      <c r="G801" s="2"/>
      <c r="H801" s="2" t="str">
        <f t="shared" si="35"/>
        <v>0 г. 0 мес. 0 дн.</v>
      </c>
      <c r="I801" s="2"/>
      <c r="J801" s="2"/>
      <c r="K801" s="2"/>
      <c r="L801" s="2"/>
      <c r="M801" s="2"/>
      <c r="N801" s="1">
        <v>0</v>
      </c>
      <c r="O801" s="2"/>
      <c r="P801" s="2"/>
      <c r="Q801" s="2">
        <v>0</v>
      </c>
      <c r="R801" s="6"/>
    </row>
    <row r="802" spans="1:18" x14ac:dyDescent="0.25">
      <c r="A802" s="2">
        <f t="shared" si="36"/>
        <v>801</v>
      </c>
      <c r="B802" s="2"/>
      <c r="C802" s="2"/>
      <c r="D802" s="2"/>
      <c r="E802" s="2"/>
      <c r="F802" s="2"/>
      <c r="G802" s="2"/>
      <c r="H802" s="2" t="str">
        <f t="shared" si="35"/>
        <v>0 г. 0 мес. 0 дн.</v>
      </c>
      <c r="I802" s="2"/>
      <c r="J802" s="2"/>
      <c r="K802" s="2"/>
      <c r="L802" s="2"/>
      <c r="M802" s="2"/>
      <c r="N802" s="1">
        <v>0</v>
      </c>
      <c r="O802" s="2"/>
      <c r="P802" s="2"/>
      <c r="Q802" s="2">
        <v>0</v>
      </c>
      <c r="R802" s="6"/>
    </row>
    <row r="803" spans="1:18" x14ac:dyDescent="0.25">
      <c r="A803" s="2">
        <f t="shared" si="36"/>
        <v>802</v>
      </c>
      <c r="B803" s="2"/>
      <c r="C803" s="2"/>
      <c r="D803" s="2"/>
      <c r="E803" s="2"/>
      <c r="F803" s="2"/>
      <c r="G803" s="2"/>
      <c r="H803" s="2" t="str">
        <f t="shared" si="35"/>
        <v>0 г. 0 мес. 0 дн.</v>
      </c>
      <c r="I803" s="2"/>
      <c r="J803" s="2"/>
      <c r="K803" s="2"/>
      <c r="L803" s="2"/>
      <c r="M803" s="2"/>
      <c r="N803" s="1">
        <v>0</v>
      </c>
      <c r="O803" s="2"/>
      <c r="P803" s="2"/>
      <c r="Q803" s="2">
        <v>0</v>
      </c>
      <c r="R803" s="6"/>
    </row>
    <row r="804" spans="1:18" x14ac:dyDescent="0.25">
      <c r="A804" s="2">
        <f t="shared" si="36"/>
        <v>803</v>
      </c>
      <c r="B804" s="2"/>
      <c r="C804" s="2"/>
      <c r="D804" s="2"/>
      <c r="E804" s="2"/>
      <c r="F804" s="2"/>
      <c r="G804" s="2"/>
      <c r="H804" s="2" t="str">
        <f t="shared" si="35"/>
        <v>0 г. 0 мес. 0 дн.</v>
      </c>
      <c r="I804" s="2"/>
      <c r="J804" s="2"/>
      <c r="K804" s="2"/>
      <c r="L804" s="2"/>
      <c r="M804" s="2"/>
      <c r="N804" s="1">
        <v>0</v>
      </c>
      <c r="O804" s="2"/>
      <c r="P804" s="2"/>
      <c r="Q804" s="2">
        <v>0</v>
      </c>
      <c r="R804" s="6"/>
    </row>
    <row r="805" spans="1:18" x14ac:dyDescent="0.25">
      <c r="A805" s="2">
        <f t="shared" si="36"/>
        <v>804</v>
      </c>
      <c r="B805" s="2"/>
      <c r="C805" s="2"/>
      <c r="D805" s="2"/>
      <c r="E805" s="2"/>
      <c r="F805" s="2"/>
      <c r="G805" s="2"/>
      <c r="H805" s="2" t="str">
        <f t="shared" si="35"/>
        <v>0 г. 0 мес. 0 дн.</v>
      </c>
      <c r="I805" s="2"/>
      <c r="J805" s="2"/>
      <c r="K805" s="2"/>
      <c r="L805" s="2"/>
      <c r="M805" s="2"/>
      <c r="N805" s="1">
        <v>0</v>
      </c>
      <c r="O805" s="2"/>
      <c r="P805" s="2"/>
      <c r="Q805" s="2">
        <v>0</v>
      </c>
      <c r="R805" s="6"/>
    </row>
    <row r="806" spans="1:18" x14ac:dyDescent="0.25">
      <c r="A806" s="2">
        <f t="shared" si="36"/>
        <v>805</v>
      </c>
      <c r="B806" s="2"/>
      <c r="C806" s="2"/>
      <c r="D806" s="2"/>
      <c r="E806" s="2"/>
      <c r="F806" s="2"/>
      <c r="G806" s="2"/>
      <c r="H806" s="2" t="str">
        <f t="shared" si="35"/>
        <v>0 г. 0 мес. 0 дн.</v>
      </c>
      <c r="I806" s="2"/>
      <c r="J806" s="2"/>
      <c r="K806" s="2"/>
      <c r="L806" s="2"/>
      <c r="M806" s="2"/>
      <c r="N806" s="1">
        <v>0</v>
      </c>
      <c r="O806" s="2"/>
      <c r="P806" s="2"/>
      <c r="Q806" s="2">
        <v>0</v>
      </c>
      <c r="R806" s="6"/>
    </row>
    <row r="807" spans="1:18" x14ac:dyDescent="0.25">
      <c r="A807" s="2">
        <f t="shared" si="36"/>
        <v>806</v>
      </c>
      <c r="B807" s="2"/>
      <c r="C807" s="2"/>
      <c r="D807" s="2"/>
      <c r="E807" s="2"/>
      <c r="F807" s="2"/>
      <c r="G807" s="2"/>
      <c r="H807" s="2" t="str">
        <f t="shared" si="35"/>
        <v>0 г. 0 мес. 0 дн.</v>
      </c>
      <c r="I807" s="2"/>
      <c r="J807" s="2"/>
      <c r="K807" s="2"/>
      <c r="L807" s="2"/>
      <c r="M807" s="2"/>
      <c r="N807" s="1">
        <v>0</v>
      </c>
      <c r="O807" s="2"/>
      <c r="P807" s="2"/>
      <c r="Q807" s="2">
        <v>0</v>
      </c>
      <c r="R807" s="6"/>
    </row>
    <row r="808" spans="1:18" x14ac:dyDescent="0.25">
      <c r="A808" s="2">
        <f t="shared" si="36"/>
        <v>807</v>
      </c>
      <c r="B808" s="2"/>
      <c r="C808" s="2"/>
      <c r="D808" s="2"/>
      <c r="E808" s="2"/>
      <c r="F808" s="2"/>
      <c r="G808" s="2"/>
      <c r="H808" s="2" t="str">
        <f t="shared" si="35"/>
        <v>0 г. 0 мес. 0 дн.</v>
      </c>
      <c r="I808" s="2"/>
      <c r="J808" s="2"/>
      <c r="K808" s="2"/>
      <c r="L808" s="2"/>
      <c r="M808" s="2"/>
      <c r="N808" s="1">
        <v>0</v>
      </c>
      <c r="O808" s="2"/>
      <c r="P808" s="2"/>
      <c r="Q808" s="2">
        <v>0</v>
      </c>
      <c r="R808" s="6"/>
    </row>
    <row r="809" spans="1:18" x14ac:dyDescent="0.25">
      <c r="A809" s="2">
        <f t="shared" si="36"/>
        <v>808</v>
      </c>
      <c r="B809" s="2"/>
      <c r="C809" s="2"/>
      <c r="D809" s="2"/>
      <c r="E809" s="2"/>
      <c r="F809" s="2"/>
      <c r="G809" s="2"/>
      <c r="H809" s="2" t="str">
        <f t="shared" si="35"/>
        <v>0 г. 0 мес. 0 дн.</v>
      </c>
      <c r="I809" s="2"/>
      <c r="J809" s="2"/>
      <c r="K809" s="2"/>
      <c r="L809" s="2"/>
      <c r="M809" s="2"/>
      <c r="N809" s="1">
        <v>0</v>
      </c>
      <c r="O809" s="2"/>
      <c r="P809" s="2"/>
      <c r="Q809" s="2">
        <v>0</v>
      </c>
      <c r="R809" s="6"/>
    </row>
    <row r="810" spans="1:18" x14ac:dyDescent="0.25">
      <c r="A810" s="2">
        <f t="shared" si="36"/>
        <v>809</v>
      </c>
      <c r="B810" s="2"/>
      <c r="C810" s="2"/>
      <c r="D810" s="2"/>
      <c r="E810" s="2"/>
      <c r="F810" s="2"/>
      <c r="G810" s="2"/>
      <c r="H810" s="2" t="str">
        <f t="shared" si="35"/>
        <v>0 г. 0 мес. 0 дн.</v>
      </c>
      <c r="I810" s="2"/>
      <c r="J810" s="2"/>
      <c r="K810" s="2"/>
      <c r="L810" s="2"/>
      <c r="M810" s="2"/>
      <c r="N810" s="1">
        <v>0</v>
      </c>
      <c r="O810" s="2"/>
      <c r="P810" s="2"/>
      <c r="Q810" s="2">
        <v>0</v>
      </c>
      <c r="R810" s="6"/>
    </row>
    <row r="811" spans="1:18" x14ac:dyDescent="0.25">
      <c r="A811" s="2">
        <f t="shared" si="36"/>
        <v>810</v>
      </c>
      <c r="B811" s="2"/>
      <c r="C811" s="2"/>
      <c r="D811" s="2"/>
      <c r="E811" s="2"/>
      <c r="F811" s="2"/>
      <c r="G811" s="2"/>
      <c r="H811" s="2" t="str">
        <f t="shared" si="35"/>
        <v>0 г. 0 мес. 0 дн.</v>
      </c>
      <c r="I811" s="2"/>
      <c r="J811" s="2"/>
      <c r="K811" s="2"/>
      <c r="L811" s="2"/>
      <c r="M811" s="2"/>
      <c r="N811" s="1">
        <v>0</v>
      </c>
      <c r="O811" s="2"/>
      <c r="P811" s="2"/>
      <c r="Q811" s="2">
        <v>0</v>
      </c>
      <c r="R811" s="6"/>
    </row>
    <row r="812" spans="1:18" x14ac:dyDescent="0.25">
      <c r="A812" s="2">
        <f t="shared" si="36"/>
        <v>811</v>
      </c>
      <c r="B812" s="2"/>
      <c r="C812" s="2"/>
      <c r="D812" s="2"/>
      <c r="E812" s="2"/>
      <c r="F812" s="2"/>
      <c r="G812" s="2"/>
      <c r="H812" s="2" t="str">
        <f t="shared" si="35"/>
        <v>0 г. 0 мес. 0 дн.</v>
      </c>
      <c r="I812" s="2"/>
      <c r="J812" s="2"/>
      <c r="K812" s="2"/>
      <c r="L812" s="2"/>
      <c r="M812" s="2"/>
      <c r="N812" s="1">
        <v>0</v>
      </c>
      <c r="O812" s="2"/>
      <c r="P812" s="2"/>
      <c r="Q812" s="2">
        <v>0</v>
      </c>
      <c r="R812" s="6"/>
    </row>
    <row r="813" spans="1:18" x14ac:dyDescent="0.25">
      <c r="A813" s="2">
        <f t="shared" si="36"/>
        <v>812</v>
      </c>
      <c r="B813" s="2"/>
      <c r="C813" s="2"/>
      <c r="D813" s="2"/>
      <c r="E813" s="2"/>
      <c r="F813" s="2"/>
      <c r="G813" s="2"/>
      <c r="H813" s="2" t="str">
        <f t="shared" si="35"/>
        <v>0 г. 0 мес. 0 дн.</v>
      </c>
      <c r="I813" s="2"/>
      <c r="J813" s="2"/>
      <c r="K813" s="2"/>
      <c r="L813" s="2"/>
      <c r="M813" s="2"/>
      <c r="N813" s="1">
        <v>0</v>
      </c>
      <c r="O813" s="2"/>
      <c r="P813" s="2"/>
      <c r="Q813" s="2">
        <v>0</v>
      </c>
      <c r="R813" s="6"/>
    </row>
    <row r="814" spans="1:18" x14ac:dyDescent="0.25">
      <c r="A814" s="2">
        <f t="shared" si="36"/>
        <v>813</v>
      </c>
      <c r="B814" s="2"/>
      <c r="C814" s="2"/>
      <c r="D814" s="2"/>
      <c r="E814" s="2"/>
      <c r="F814" s="2"/>
      <c r="G814" s="2"/>
      <c r="H814" s="2" t="str">
        <f t="shared" si="35"/>
        <v>0 г. 0 мес. 0 дн.</v>
      </c>
      <c r="I814" s="2"/>
      <c r="J814" s="2"/>
      <c r="K814" s="2"/>
      <c r="L814" s="2"/>
      <c r="M814" s="2"/>
      <c r="N814" s="1">
        <v>0</v>
      </c>
      <c r="O814" s="2"/>
      <c r="P814" s="2"/>
      <c r="Q814" s="2">
        <v>0</v>
      </c>
      <c r="R814" s="6"/>
    </row>
    <row r="815" spans="1:18" x14ac:dyDescent="0.25">
      <c r="A815" s="2">
        <f t="shared" si="36"/>
        <v>814</v>
      </c>
      <c r="B815" s="2"/>
      <c r="C815" s="2"/>
      <c r="D815" s="2"/>
      <c r="E815" s="2"/>
      <c r="F815" s="2"/>
      <c r="G815" s="2"/>
      <c r="H815" s="2" t="str">
        <f t="shared" si="35"/>
        <v>0 г. 0 мес. 0 дн.</v>
      </c>
      <c r="I815" s="2"/>
      <c r="J815" s="2"/>
      <c r="K815" s="2"/>
      <c r="L815" s="2"/>
      <c r="M815" s="2"/>
      <c r="N815" s="1">
        <v>0</v>
      </c>
      <c r="O815" s="2"/>
      <c r="P815" s="2"/>
      <c r="Q815" s="2">
        <v>0</v>
      </c>
      <c r="R815" s="6"/>
    </row>
    <row r="816" spans="1:18" x14ac:dyDescent="0.25">
      <c r="A816" s="2">
        <f t="shared" si="36"/>
        <v>815</v>
      </c>
      <c r="B816" s="2"/>
      <c r="C816" s="2"/>
      <c r="D816" s="2"/>
      <c r="E816" s="2"/>
      <c r="F816" s="2"/>
      <c r="G816" s="2"/>
      <c r="H816" s="2" t="str">
        <f t="shared" si="35"/>
        <v>0 г. 0 мес. 0 дн.</v>
      </c>
      <c r="I816" s="2"/>
      <c r="J816" s="2"/>
      <c r="K816" s="2"/>
      <c r="L816" s="2"/>
      <c r="M816" s="2"/>
      <c r="N816" s="1">
        <v>0</v>
      </c>
      <c r="O816" s="2"/>
      <c r="P816" s="2"/>
      <c r="Q816" s="2">
        <v>0</v>
      </c>
      <c r="R816" s="6"/>
    </row>
    <row r="817" spans="1:18" x14ac:dyDescent="0.25">
      <c r="A817" s="2">
        <f t="shared" si="36"/>
        <v>816</v>
      </c>
      <c r="B817" s="2"/>
      <c r="C817" s="2"/>
      <c r="D817" s="2"/>
      <c r="E817" s="2"/>
      <c r="F817" s="2"/>
      <c r="G817" s="2"/>
      <c r="H817" s="2" t="str">
        <f t="shared" si="35"/>
        <v>0 г. 0 мес. 0 дн.</v>
      </c>
      <c r="I817" s="2"/>
      <c r="J817" s="2"/>
      <c r="K817" s="2"/>
      <c r="L817" s="2"/>
      <c r="M817" s="2"/>
      <c r="N817" s="1">
        <v>0</v>
      </c>
      <c r="O817" s="2"/>
      <c r="P817" s="2"/>
      <c r="Q817" s="2">
        <v>0</v>
      </c>
      <c r="R817" s="6"/>
    </row>
    <row r="818" spans="1:18" x14ac:dyDescent="0.25">
      <c r="A818" s="2">
        <f t="shared" si="36"/>
        <v>817</v>
      </c>
      <c r="B818" s="2"/>
      <c r="C818" s="2"/>
      <c r="D818" s="2"/>
      <c r="E818" s="2"/>
      <c r="F818" s="2"/>
      <c r="G818" s="2"/>
      <c r="H818" s="2" t="str">
        <f t="shared" si="35"/>
        <v>0 г. 0 мес. 0 дн.</v>
      </c>
      <c r="I818" s="2"/>
      <c r="J818" s="2"/>
      <c r="K818" s="2"/>
      <c r="L818" s="2"/>
      <c r="M818" s="2"/>
      <c r="N818" s="1">
        <v>0</v>
      </c>
      <c r="O818" s="2"/>
      <c r="P818" s="2"/>
      <c r="Q818" s="2">
        <v>0</v>
      </c>
      <c r="R818" s="6"/>
    </row>
    <row r="819" spans="1:18" x14ac:dyDescent="0.25">
      <c r="A819" s="2">
        <f t="shared" si="36"/>
        <v>818</v>
      </c>
      <c r="B819" s="2"/>
      <c r="C819" s="2"/>
      <c r="D819" s="2"/>
      <c r="E819" s="2"/>
      <c r="F819" s="2"/>
      <c r="G819" s="2"/>
      <c r="H819" s="2" t="str">
        <f t="shared" si="35"/>
        <v>0 г. 0 мес. 0 дн.</v>
      </c>
      <c r="I819" s="2"/>
      <c r="J819" s="2"/>
      <c r="K819" s="2"/>
      <c r="L819" s="2"/>
      <c r="M819" s="2"/>
      <c r="N819" s="1">
        <v>0</v>
      </c>
      <c r="O819" s="2"/>
      <c r="P819" s="2"/>
      <c r="Q819" s="2">
        <v>0</v>
      </c>
      <c r="R819" s="6"/>
    </row>
    <row r="820" spans="1:18" x14ac:dyDescent="0.25">
      <c r="A820" s="2">
        <f t="shared" si="36"/>
        <v>819</v>
      </c>
      <c r="B820" s="2"/>
      <c r="C820" s="2"/>
      <c r="D820" s="2"/>
      <c r="E820" s="2"/>
      <c r="F820" s="2"/>
      <c r="G820" s="2"/>
      <c r="H820" s="2" t="str">
        <f t="shared" si="35"/>
        <v>0 г. 0 мес. 0 дн.</v>
      </c>
      <c r="I820" s="2"/>
      <c r="J820" s="2"/>
      <c r="K820" s="2"/>
      <c r="L820" s="2"/>
      <c r="M820" s="2"/>
      <c r="N820" s="1">
        <v>0</v>
      </c>
      <c r="O820" s="2"/>
      <c r="P820" s="2"/>
      <c r="Q820" s="2">
        <v>0</v>
      </c>
      <c r="R820" s="6"/>
    </row>
    <row r="821" spans="1:18" x14ac:dyDescent="0.25">
      <c r="A821" s="2">
        <f t="shared" si="36"/>
        <v>820</v>
      </c>
      <c r="B821" s="2"/>
      <c r="C821" s="2"/>
      <c r="D821" s="2"/>
      <c r="E821" s="2"/>
      <c r="F821" s="2"/>
      <c r="G821" s="2"/>
      <c r="H821" s="2" t="str">
        <f t="shared" si="35"/>
        <v>0 г. 0 мес. 0 дн.</v>
      </c>
      <c r="I821" s="2"/>
      <c r="J821" s="2"/>
      <c r="K821" s="2"/>
      <c r="L821" s="2"/>
      <c r="M821" s="2"/>
      <c r="N821" s="1">
        <v>0</v>
      </c>
      <c r="O821" s="2"/>
      <c r="P821" s="2"/>
      <c r="Q821" s="2">
        <v>0</v>
      </c>
      <c r="R821" s="6"/>
    </row>
    <row r="822" spans="1:18" x14ac:dyDescent="0.25">
      <c r="A822" s="2">
        <f t="shared" si="36"/>
        <v>821</v>
      </c>
      <c r="B822" s="2"/>
      <c r="C822" s="2"/>
      <c r="D822" s="2"/>
      <c r="E822" s="2"/>
      <c r="F822" s="2"/>
      <c r="G822" s="2"/>
      <c r="H822" s="2" t="str">
        <f t="shared" si="35"/>
        <v>0 г. 0 мес. 0 дн.</v>
      </c>
      <c r="I822" s="2"/>
      <c r="J822" s="2"/>
      <c r="K822" s="2"/>
      <c r="L822" s="2"/>
      <c r="M822" s="2"/>
      <c r="N822" s="1">
        <v>0</v>
      </c>
      <c r="O822" s="2"/>
      <c r="P822" s="2"/>
      <c r="Q822" s="2">
        <v>0</v>
      </c>
      <c r="R822" s="6"/>
    </row>
    <row r="823" spans="1:18" x14ac:dyDescent="0.25">
      <c r="A823" s="2">
        <f t="shared" si="36"/>
        <v>822</v>
      </c>
      <c r="B823" s="2"/>
      <c r="C823" s="2"/>
      <c r="D823" s="2"/>
      <c r="E823" s="2"/>
      <c r="F823" s="2"/>
      <c r="G823" s="2"/>
      <c r="H823" s="2" t="str">
        <f t="shared" si="35"/>
        <v>0 г. 0 мес. 0 дн.</v>
      </c>
      <c r="I823" s="2"/>
      <c r="J823" s="2"/>
      <c r="K823" s="2"/>
      <c r="L823" s="2"/>
      <c r="M823" s="2"/>
      <c r="N823" s="1">
        <v>0</v>
      </c>
      <c r="O823" s="2"/>
      <c r="P823" s="2"/>
      <c r="Q823" s="2">
        <v>0</v>
      </c>
      <c r="R823" s="6"/>
    </row>
    <row r="824" spans="1:18" x14ac:dyDescent="0.25">
      <c r="A824" s="2">
        <f t="shared" si="36"/>
        <v>823</v>
      </c>
      <c r="B824" s="2"/>
      <c r="C824" s="2"/>
      <c r="D824" s="2"/>
      <c r="E824" s="2"/>
      <c r="F824" s="2"/>
      <c r="G824" s="2"/>
      <c r="H824" s="2" t="str">
        <f t="shared" si="35"/>
        <v>0 г. 0 мес. 0 дн.</v>
      </c>
      <c r="I824" s="2"/>
      <c r="J824" s="2"/>
      <c r="K824" s="2"/>
      <c r="L824" s="2"/>
      <c r="M824" s="2"/>
      <c r="N824" s="1">
        <v>0</v>
      </c>
      <c r="O824" s="2"/>
      <c r="P824" s="2"/>
      <c r="Q824" s="2">
        <v>0</v>
      </c>
      <c r="R824" s="6"/>
    </row>
    <row r="825" spans="1:18" x14ac:dyDescent="0.25">
      <c r="A825" s="2">
        <f t="shared" si="36"/>
        <v>824</v>
      </c>
      <c r="B825" s="2"/>
      <c r="C825" s="2"/>
      <c r="D825" s="2"/>
      <c r="E825" s="2"/>
      <c r="F825" s="2"/>
      <c r="G825" s="2"/>
      <c r="H825" s="2" t="str">
        <f t="shared" si="35"/>
        <v>0 г. 0 мес. 0 дн.</v>
      </c>
      <c r="I825" s="2"/>
      <c r="J825" s="2"/>
      <c r="K825" s="2"/>
      <c r="L825" s="2"/>
      <c r="M825" s="2"/>
      <c r="N825" s="1">
        <v>0</v>
      </c>
      <c r="O825" s="2"/>
      <c r="P825" s="2"/>
      <c r="Q825" s="2">
        <v>0</v>
      </c>
      <c r="R825" s="6"/>
    </row>
    <row r="826" spans="1:18" x14ac:dyDescent="0.25">
      <c r="A826" s="2">
        <f t="shared" si="36"/>
        <v>825</v>
      </c>
      <c r="B826" s="2"/>
      <c r="C826" s="2"/>
      <c r="D826" s="2"/>
      <c r="E826" s="2"/>
      <c r="F826" s="2"/>
      <c r="G826" s="2"/>
      <c r="H826" s="2" t="str">
        <f t="shared" si="35"/>
        <v>0 г. 0 мес. 0 дн.</v>
      </c>
      <c r="I826" s="2"/>
      <c r="J826" s="2"/>
      <c r="K826" s="2"/>
      <c r="L826" s="2"/>
      <c r="M826" s="2"/>
      <c r="N826" s="1">
        <v>0</v>
      </c>
      <c r="O826" s="2"/>
      <c r="P826" s="2"/>
      <c r="Q826" s="2">
        <v>0</v>
      </c>
      <c r="R826" s="6"/>
    </row>
    <row r="827" spans="1:18" x14ac:dyDescent="0.25">
      <c r="A827" s="2">
        <f t="shared" si="36"/>
        <v>826</v>
      </c>
      <c r="B827" s="2"/>
      <c r="C827" s="2"/>
      <c r="D827" s="2"/>
      <c r="E827" s="2"/>
      <c r="F827" s="2"/>
      <c r="G827" s="2"/>
      <c r="H827" s="2" t="str">
        <f t="shared" si="35"/>
        <v>0 г. 0 мес. 0 дн.</v>
      </c>
      <c r="I827" s="2"/>
      <c r="J827" s="2"/>
      <c r="K827" s="2"/>
      <c r="L827" s="2"/>
      <c r="M827" s="2"/>
      <c r="N827" s="1">
        <v>0</v>
      </c>
      <c r="O827" s="2"/>
      <c r="P827" s="2"/>
      <c r="Q827" s="2">
        <v>0</v>
      </c>
      <c r="R827" s="6"/>
    </row>
    <row r="828" spans="1:18" x14ac:dyDescent="0.25">
      <c r="A828" s="2">
        <f t="shared" si="36"/>
        <v>827</v>
      </c>
      <c r="B828" s="2"/>
      <c r="C828" s="2"/>
      <c r="D828" s="2"/>
      <c r="E828" s="2"/>
      <c r="F828" s="2"/>
      <c r="G828" s="2"/>
      <c r="H828" s="2" t="str">
        <f t="shared" si="35"/>
        <v>0 г. 0 мес. 0 дн.</v>
      </c>
      <c r="I828" s="2"/>
      <c r="J828" s="2"/>
      <c r="K828" s="2"/>
      <c r="L828" s="2"/>
      <c r="M828" s="2"/>
      <c r="N828" s="1">
        <v>0</v>
      </c>
      <c r="O828" s="2"/>
      <c r="P828" s="2"/>
      <c r="Q828" s="2">
        <v>0</v>
      </c>
      <c r="R828" s="6"/>
    </row>
    <row r="829" spans="1:18" x14ac:dyDescent="0.25">
      <c r="A829" s="2">
        <f t="shared" si="36"/>
        <v>828</v>
      </c>
      <c r="B829" s="2"/>
      <c r="C829" s="2"/>
      <c r="D829" s="2"/>
      <c r="E829" s="2"/>
      <c r="F829" s="2"/>
      <c r="G829" s="2"/>
      <c r="H829" s="2" t="str">
        <f t="shared" si="35"/>
        <v>0 г. 0 мес. 0 дн.</v>
      </c>
      <c r="I829" s="2"/>
      <c r="J829" s="2"/>
      <c r="K829" s="2"/>
      <c r="L829" s="2"/>
      <c r="M829" s="2"/>
      <c r="N829" s="1">
        <v>0</v>
      </c>
      <c r="O829" s="2"/>
      <c r="P829" s="2"/>
      <c r="Q829" s="2">
        <v>0</v>
      </c>
      <c r="R829" s="6"/>
    </row>
    <row r="830" spans="1:18" x14ac:dyDescent="0.25">
      <c r="A830" s="2">
        <f t="shared" si="36"/>
        <v>829</v>
      </c>
      <c r="B830" s="2"/>
      <c r="C830" s="2"/>
      <c r="D830" s="2"/>
      <c r="E830" s="2"/>
      <c r="F830" s="2"/>
      <c r="G830" s="2"/>
      <c r="H830" s="2" t="str">
        <f t="shared" si="35"/>
        <v>0 г. 0 мес. 0 дн.</v>
      </c>
      <c r="I830" s="2"/>
      <c r="J830" s="2"/>
      <c r="K830" s="2"/>
      <c r="L830" s="2"/>
      <c r="M830" s="2"/>
      <c r="N830" s="1">
        <v>0</v>
      </c>
      <c r="O830" s="2"/>
      <c r="P830" s="2"/>
      <c r="Q830" s="2">
        <v>0</v>
      </c>
      <c r="R830" s="6"/>
    </row>
    <row r="831" spans="1:18" x14ac:dyDescent="0.25">
      <c r="A831" s="2">
        <f t="shared" si="36"/>
        <v>830</v>
      </c>
      <c r="B831" s="2"/>
      <c r="C831" s="2"/>
      <c r="D831" s="2"/>
      <c r="E831" s="2"/>
      <c r="F831" s="2"/>
      <c r="G831" s="2"/>
      <c r="H831" s="2" t="str">
        <f t="shared" si="35"/>
        <v>0 г. 0 мес. 0 дн.</v>
      </c>
      <c r="I831" s="2"/>
      <c r="J831" s="2"/>
      <c r="K831" s="2"/>
      <c r="L831" s="2"/>
      <c r="M831" s="2"/>
      <c r="N831" s="1">
        <v>0</v>
      </c>
      <c r="O831" s="2"/>
      <c r="P831" s="2"/>
      <c r="Q831" s="2">
        <v>0</v>
      </c>
      <c r="R831" s="6"/>
    </row>
    <row r="832" spans="1:18" x14ac:dyDescent="0.25">
      <c r="A832" s="2">
        <f t="shared" si="36"/>
        <v>831</v>
      </c>
      <c r="B832" s="2"/>
      <c r="C832" s="2"/>
      <c r="D832" s="2"/>
      <c r="E832" s="2"/>
      <c r="F832" s="2"/>
      <c r="G832" s="2"/>
      <c r="H832" s="2" t="str">
        <f t="shared" si="35"/>
        <v>0 г. 0 мес. 0 дн.</v>
      </c>
      <c r="I832" s="2"/>
      <c r="J832" s="2"/>
      <c r="K832" s="2"/>
      <c r="L832" s="2"/>
      <c r="M832" s="2"/>
      <c r="N832" s="1">
        <v>0</v>
      </c>
      <c r="O832" s="2"/>
      <c r="P832" s="2"/>
      <c r="Q832" s="2">
        <v>0</v>
      </c>
      <c r="R832" s="6"/>
    </row>
    <row r="833" spans="1:18" x14ac:dyDescent="0.25">
      <c r="A833" s="2">
        <f t="shared" si="36"/>
        <v>832</v>
      </c>
      <c r="B833" s="2"/>
      <c r="C833" s="2"/>
      <c r="D833" s="2"/>
      <c r="E833" s="2"/>
      <c r="F833" s="2"/>
      <c r="G833" s="2"/>
      <c r="H833" s="2" t="str">
        <f t="shared" si="35"/>
        <v>0 г. 0 мес. 0 дн.</v>
      </c>
      <c r="I833" s="2"/>
      <c r="J833" s="2"/>
      <c r="K833" s="2"/>
      <c r="L833" s="2"/>
      <c r="M833" s="2"/>
      <c r="N833" s="1">
        <v>0</v>
      </c>
      <c r="O833" s="2"/>
      <c r="P833" s="2"/>
      <c r="Q833" s="2">
        <v>0</v>
      </c>
      <c r="R833" s="6"/>
    </row>
    <row r="834" spans="1:18" x14ac:dyDescent="0.25">
      <c r="A834" s="2">
        <f t="shared" si="36"/>
        <v>833</v>
      </c>
      <c r="B834" s="2"/>
      <c r="C834" s="2"/>
      <c r="D834" s="2"/>
      <c r="E834" s="2"/>
      <c r="F834" s="2"/>
      <c r="G834" s="2"/>
      <c r="H834" s="2" t="str">
        <f t="shared" si="35"/>
        <v>0 г. 0 мес. 0 дн.</v>
      </c>
      <c r="I834" s="2"/>
      <c r="J834" s="2"/>
      <c r="K834" s="2"/>
      <c r="L834" s="2"/>
      <c r="M834" s="2"/>
      <c r="N834" s="1">
        <v>0</v>
      </c>
      <c r="O834" s="2"/>
      <c r="P834" s="2"/>
      <c r="Q834" s="2">
        <v>0</v>
      </c>
      <c r="R834" s="6"/>
    </row>
    <row r="835" spans="1:18" x14ac:dyDescent="0.25">
      <c r="A835" s="2">
        <f t="shared" si="36"/>
        <v>834</v>
      </c>
      <c r="B835" s="2"/>
      <c r="C835" s="2"/>
      <c r="D835" s="2"/>
      <c r="E835" s="2"/>
      <c r="F835" s="2"/>
      <c r="G835" s="2"/>
      <c r="H835" s="2" t="str">
        <f t="shared" si="35"/>
        <v>0 г. 0 мес. 0 дн.</v>
      </c>
      <c r="I835" s="2"/>
      <c r="J835" s="2"/>
      <c r="K835" s="2"/>
      <c r="L835" s="2"/>
      <c r="M835" s="2"/>
      <c r="N835" s="1">
        <v>0</v>
      </c>
      <c r="O835" s="2"/>
      <c r="P835" s="2"/>
      <c r="Q835" s="2">
        <v>0</v>
      </c>
      <c r="R835" s="6"/>
    </row>
    <row r="836" spans="1:18" x14ac:dyDescent="0.25">
      <c r="A836" s="2">
        <f t="shared" si="36"/>
        <v>835</v>
      </c>
      <c r="B836" s="2"/>
      <c r="C836" s="2"/>
      <c r="D836" s="2"/>
      <c r="E836" s="2"/>
      <c r="F836" s="2"/>
      <c r="G836" s="2"/>
      <c r="H836" s="2" t="str">
        <f t="shared" ref="H836:H899" si="37">DATEDIF(G836,D836,"y") &amp; " г. " &amp; DATEDIF(G836,D836,"ym") &amp; " мес. " &amp; DATEDIF(G836,D836,"md") &amp; " дн."</f>
        <v>0 г. 0 мес. 0 дн.</v>
      </c>
      <c r="I836" s="2"/>
      <c r="J836" s="2"/>
      <c r="K836" s="2"/>
      <c r="L836" s="2"/>
      <c r="M836" s="2"/>
      <c r="N836" s="1">
        <v>0</v>
      </c>
      <c r="O836" s="2"/>
      <c r="P836" s="2"/>
      <c r="Q836" s="2">
        <v>0</v>
      </c>
      <c r="R836" s="6"/>
    </row>
    <row r="837" spans="1:18" x14ac:dyDescent="0.25">
      <c r="A837" s="2">
        <f t="shared" si="36"/>
        <v>836</v>
      </c>
      <c r="B837" s="2"/>
      <c r="C837" s="2"/>
      <c r="D837" s="2"/>
      <c r="E837" s="2"/>
      <c r="F837" s="2"/>
      <c r="G837" s="2"/>
      <c r="H837" s="2" t="str">
        <f t="shared" si="37"/>
        <v>0 г. 0 мес. 0 дн.</v>
      </c>
      <c r="I837" s="2"/>
      <c r="J837" s="2"/>
      <c r="K837" s="2"/>
      <c r="L837" s="2"/>
      <c r="M837" s="2"/>
      <c r="N837" s="1">
        <v>0</v>
      </c>
      <c r="O837" s="2"/>
      <c r="P837" s="2"/>
      <c r="Q837" s="2">
        <v>0</v>
      </c>
      <c r="R837" s="6"/>
    </row>
    <row r="838" spans="1:18" x14ac:dyDescent="0.25">
      <c r="A838" s="2">
        <f t="shared" si="36"/>
        <v>837</v>
      </c>
      <c r="B838" s="2"/>
      <c r="C838" s="2"/>
      <c r="D838" s="2"/>
      <c r="E838" s="2"/>
      <c r="F838" s="2"/>
      <c r="G838" s="2"/>
      <c r="H838" s="2" t="str">
        <f t="shared" si="37"/>
        <v>0 г. 0 мес. 0 дн.</v>
      </c>
      <c r="I838" s="2"/>
      <c r="J838" s="2"/>
      <c r="K838" s="2"/>
      <c r="L838" s="2"/>
      <c r="M838" s="2"/>
      <c r="N838" s="1">
        <v>0</v>
      </c>
      <c r="O838" s="2"/>
      <c r="P838" s="2"/>
      <c r="Q838" s="2">
        <v>0</v>
      </c>
      <c r="R838" s="6"/>
    </row>
    <row r="839" spans="1:18" x14ac:dyDescent="0.25">
      <c r="A839" s="2">
        <f t="shared" si="36"/>
        <v>838</v>
      </c>
      <c r="B839" s="2"/>
      <c r="C839" s="2"/>
      <c r="D839" s="2"/>
      <c r="E839" s="2"/>
      <c r="F839" s="2"/>
      <c r="G839" s="2"/>
      <c r="H839" s="2" t="str">
        <f t="shared" si="37"/>
        <v>0 г. 0 мес. 0 дн.</v>
      </c>
      <c r="I839" s="2"/>
      <c r="J839" s="2"/>
      <c r="K839" s="2"/>
      <c r="L839" s="2"/>
      <c r="M839" s="2"/>
      <c r="N839" s="1">
        <v>0</v>
      </c>
      <c r="O839" s="2"/>
      <c r="P839" s="2"/>
      <c r="Q839" s="2">
        <v>0</v>
      </c>
      <c r="R839" s="6"/>
    </row>
    <row r="840" spans="1:18" x14ac:dyDescent="0.25">
      <c r="A840" s="2">
        <f t="shared" si="36"/>
        <v>839</v>
      </c>
      <c r="B840" s="2"/>
      <c r="C840" s="2"/>
      <c r="D840" s="2"/>
      <c r="E840" s="2"/>
      <c r="F840" s="2"/>
      <c r="G840" s="2"/>
      <c r="H840" s="2" t="str">
        <f t="shared" si="37"/>
        <v>0 г. 0 мес. 0 дн.</v>
      </c>
      <c r="I840" s="2"/>
      <c r="J840" s="2"/>
      <c r="K840" s="2"/>
      <c r="L840" s="2"/>
      <c r="M840" s="2"/>
      <c r="N840" s="1">
        <v>0</v>
      </c>
      <c r="O840" s="2"/>
      <c r="P840" s="2"/>
      <c r="Q840" s="2">
        <v>0</v>
      </c>
      <c r="R840" s="6"/>
    </row>
    <row r="841" spans="1:18" x14ac:dyDescent="0.25">
      <c r="A841" s="2">
        <f t="shared" si="36"/>
        <v>840</v>
      </c>
      <c r="B841" s="2"/>
      <c r="C841" s="2"/>
      <c r="D841" s="2"/>
      <c r="E841" s="2"/>
      <c r="F841" s="2"/>
      <c r="G841" s="2"/>
      <c r="H841" s="2" t="str">
        <f t="shared" si="37"/>
        <v>0 г. 0 мес. 0 дн.</v>
      </c>
      <c r="I841" s="2"/>
      <c r="J841" s="2"/>
      <c r="K841" s="2"/>
      <c r="L841" s="2"/>
      <c r="M841" s="2"/>
      <c r="N841" s="1">
        <v>0</v>
      </c>
      <c r="O841" s="2"/>
      <c r="P841" s="2"/>
      <c r="Q841" s="2">
        <v>0</v>
      </c>
      <c r="R841" s="6"/>
    </row>
    <row r="842" spans="1:18" x14ac:dyDescent="0.25">
      <c r="A842" s="2">
        <f t="shared" si="36"/>
        <v>841</v>
      </c>
      <c r="B842" s="2"/>
      <c r="C842" s="2"/>
      <c r="D842" s="2"/>
      <c r="E842" s="2"/>
      <c r="F842" s="2"/>
      <c r="G842" s="2"/>
      <c r="H842" s="2" t="str">
        <f t="shared" si="37"/>
        <v>0 г. 0 мес. 0 дн.</v>
      </c>
      <c r="I842" s="2"/>
      <c r="J842" s="2"/>
      <c r="K842" s="2"/>
      <c r="L842" s="2"/>
      <c r="M842" s="2"/>
      <c r="N842" s="1">
        <v>0</v>
      </c>
      <c r="O842" s="2"/>
      <c r="P842" s="2"/>
      <c r="Q842" s="2">
        <v>0</v>
      </c>
      <c r="R842" s="6"/>
    </row>
    <row r="843" spans="1:18" x14ac:dyDescent="0.25">
      <c r="A843" s="2">
        <f t="shared" si="36"/>
        <v>842</v>
      </c>
      <c r="B843" s="2"/>
      <c r="C843" s="2"/>
      <c r="D843" s="2"/>
      <c r="E843" s="2"/>
      <c r="F843" s="2"/>
      <c r="G843" s="2"/>
      <c r="H843" s="2" t="str">
        <f t="shared" si="37"/>
        <v>0 г. 0 мес. 0 дн.</v>
      </c>
      <c r="I843" s="2"/>
      <c r="J843" s="2"/>
      <c r="K843" s="2"/>
      <c r="L843" s="2"/>
      <c r="M843" s="2"/>
      <c r="N843" s="1">
        <v>0</v>
      </c>
      <c r="O843" s="2"/>
      <c r="P843" s="2"/>
      <c r="Q843" s="2">
        <v>0</v>
      </c>
      <c r="R843" s="6"/>
    </row>
    <row r="844" spans="1:18" x14ac:dyDescent="0.25">
      <c r="A844" s="2">
        <f t="shared" si="36"/>
        <v>843</v>
      </c>
      <c r="B844" s="2"/>
      <c r="C844" s="2"/>
      <c r="D844" s="2"/>
      <c r="E844" s="2"/>
      <c r="F844" s="2"/>
      <c r="G844" s="2"/>
      <c r="H844" s="2" t="str">
        <f t="shared" si="37"/>
        <v>0 г. 0 мес. 0 дн.</v>
      </c>
      <c r="I844" s="2"/>
      <c r="J844" s="2"/>
      <c r="K844" s="2"/>
      <c r="L844" s="2"/>
      <c r="M844" s="2"/>
      <c r="N844" s="1">
        <v>0</v>
      </c>
      <c r="O844" s="2"/>
      <c r="P844" s="2"/>
      <c r="Q844" s="2">
        <v>0</v>
      </c>
      <c r="R844" s="6"/>
    </row>
    <row r="845" spans="1:18" x14ac:dyDescent="0.25">
      <c r="A845" s="2">
        <f t="shared" si="36"/>
        <v>844</v>
      </c>
      <c r="B845" s="2"/>
      <c r="C845" s="2"/>
      <c r="D845" s="2"/>
      <c r="E845" s="2"/>
      <c r="F845" s="2"/>
      <c r="G845" s="2"/>
      <c r="H845" s="2" t="str">
        <f t="shared" si="37"/>
        <v>0 г. 0 мес. 0 дн.</v>
      </c>
      <c r="I845" s="2"/>
      <c r="J845" s="2"/>
      <c r="K845" s="2"/>
      <c r="L845" s="2"/>
      <c r="M845" s="2"/>
      <c r="N845" s="1">
        <v>0</v>
      </c>
      <c r="O845" s="2"/>
      <c r="P845" s="2"/>
      <c r="Q845" s="2">
        <v>0</v>
      </c>
      <c r="R845" s="6"/>
    </row>
    <row r="846" spans="1:18" x14ac:dyDescent="0.25">
      <c r="A846" s="2">
        <f t="shared" si="36"/>
        <v>845</v>
      </c>
      <c r="B846" s="2"/>
      <c r="C846" s="2"/>
      <c r="D846" s="2"/>
      <c r="E846" s="2"/>
      <c r="F846" s="2"/>
      <c r="G846" s="2"/>
      <c r="H846" s="2" t="str">
        <f t="shared" si="37"/>
        <v>0 г. 0 мес. 0 дн.</v>
      </c>
      <c r="I846" s="2"/>
      <c r="J846" s="2"/>
      <c r="K846" s="2"/>
      <c r="L846" s="2"/>
      <c r="M846" s="2"/>
      <c r="N846" s="1">
        <v>0</v>
      </c>
      <c r="O846" s="2"/>
      <c r="P846" s="2"/>
      <c r="Q846" s="2">
        <v>0</v>
      </c>
      <c r="R846" s="6"/>
    </row>
    <row r="847" spans="1:18" x14ac:dyDescent="0.25">
      <c r="A847" s="2">
        <f t="shared" si="36"/>
        <v>846</v>
      </c>
      <c r="B847" s="2"/>
      <c r="C847" s="2"/>
      <c r="D847" s="2"/>
      <c r="E847" s="2"/>
      <c r="F847" s="2"/>
      <c r="G847" s="2"/>
      <c r="H847" s="2" t="str">
        <f t="shared" si="37"/>
        <v>0 г. 0 мес. 0 дн.</v>
      </c>
      <c r="I847" s="2"/>
      <c r="J847" s="2"/>
      <c r="K847" s="2"/>
      <c r="L847" s="2"/>
      <c r="M847" s="2"/>
      <c r="N847" s="1">
        <v>0</v>
      </c>
      <c r="O847" s="2"/>
      <c r="P847" s="2"/>
      <c r="Q847" s="2">
        <v>0</v>
      </c>
      <c r="R847" s="6"/>
    </row>
    <row r="848" spans="1:18" x14ac:dyDescent="0.25">
      <c r="A848" s="2">
        <f t="shared" si="36"/>
        <v>847</v>
      </c>
      <c r="B848" s="2"/>
      <c r="C848" s="2"/>
      <c r="D848" s="2"/>
      <c r="E848" s="2"/>
      <c r="F848" s="2"/>
      <c r="G848" s="2"/>
      <c r="H848" s="2" t="str">
        <f t="shared" si="37"/>
        <v>0 г. 0 мес. 0 дн.</v>
      </c>
      <c r="I848" s="2"/>
      <c r="J848" s="2"/>
      <c r="K848" s="2"/>
      <c r="L848" s="2"/>
      <c r="M848" s="2"/>
      <c r="N848" s="1">
        <v>0</v>
      </c>
      <c r="O848" s="2"/>
      <c r="P848" s="2"/>
      <c r="Q848" s="2">
        <v>0</v>
      </c>
      <c r="R848" s="6"/>
    </row>
    <row r="849" spans="1:18" x14ac:dyDescent="0.25">
      <c r="A849" s="2">
        <f t="shared" si="36"/>
        <v>848</v>
      </c>
      <c r="B849" s="2"/>
      <c r="C849" s="2"/>
      <c r="D849" s="2"/>
      <c r="E849" s="2"/>
      <c r="F849" s="2"/>
      <c r="G849" s="2"/>
      <c r="H849" s="2" t="str">
        <f t="shared" si="37"/>
        <v>0 г. 0 мес. 0 дн.</v>
      </c>
      <c r="I849" s="2"/>
      <c r="J849" s="2"/>
      <c r="K849" s="2"/>
      <c r="L849" s="2"/>
      <c r="M849" s="2"/>
      <c r="N849" s="1">
        <v>0</v>
      </c>
      <c r="O849" s="2"/>
      <c r="P849" s="2"/>
      <c r="Q849" s="2">
        <v>0</v>
      </c>
      <c r="R849" s="6"/>
    </row>
    <row r="850" spans="1:18" x14ac:dyDescent="0.25">
      <c r="A850" s="2">
        <f t="shared" si="36"/>
        <v>849</v>
      </c>
      <c r="B850" s="2"/>
      <c r="C850" s="2"/>
      <c r="D850" s="2"/>
      <c r="E850" s="2"/>
      <c r="F850" s="2"/>
      <c r="G850" s="2"/>
      <c r="H850" s="2" t="str">
        <f t="shared" si="37"/>
        <v>0 г. 0 мес. 0 дн.</v>
      </c>
      <c r="I850" s="2"/>
      <c r="J850" s="2"/>
      <c r="K850" s="2"/>
      <c r="L850" s="2"/>
      <c r="M850" s="2"/>
      <c r="N850" s="1">
        <v>0</v>
      </c>
      <c r="O850" s="2"/>
      <c r="P850" s="2"/>
      <c r="Q850" s="2">
        <v>0</v>
      </c>
      <c r="R850" s="6"/>
    </row>
    <row r="851" spans="1:18" x14ac:dyDescent="0.25">
      <c r="A851" s="2">
        <f t="shared" si="36"/>
        <v>850</v>
      </c>
      <c r="B851" s="2"/>
      <c r="C851" s="2"/>
      <c r="D851" s="2"/>
      <c r="E851" s="2"/>
      <c r="F851" s="2"/>
      <c r="G851" s="2"/>
      <c r="H851" s="2" t="str">
        <f t="shared" si="37"/>
        <v>0 г. 0 мес. 0 дн.</v>
      </c>
      <c r="I851" s="2"/>
      <c r="J851" s="2"/>
      <c r="K851" s="2"/>
      <c r="L851" s="2"/>
      <c r="M851" s="2"/>
      <c r="N851" s="1">
        <v>0</v>
      </c>
      <c r="O851" s="2"/>
      <c r="P851" s="2"/>
      <c r="Q851" s="2">
        <v>0</v>
      </c>
      <c r="R851" s="6"/>
    </row>
    <row r="852" spans="1:18" x14ac:dyDescent="0.25">
      <c r="A852" s="2">
        <f t="shared" si="36"/>
        <v>851</v>
      </c>
      <c r="B852" s="2"/>
      <c r="C852" s="2"/>
      <c r="D852" s="2"/>
      <c r="E852" s="2"/>
      <c r="F852" s="2"/>
      <c r="G852" s="2"/>
      <c r="H852" s="2" t="str">
        <f t="shared" si="37"/>
        <v>0 г. 0 мес. 0 дн.</v>
      </c>
      <c r="I852" s="2"/>
      <c r="J852" s="2"/>
      <c r="K852" s="2"/>
      <c r="L852" s="2"/>
      <c r="M852" s="2"/>
      <c r="N852" s="1">
        <v>0</v>
      </c>
      <c r="O852" s="2"/>
      <c r="P852" s="2"/>
      <c r="Q852" s="2">
        <v>0</v>
      </c>
      <c r="R852" s="6"/>
    </row>
    <row r="853" spans="1:18" x14ac:dyDescent="0.25">
      <c r="A853" s="2">
        <f t="shared" si="36"/>
        <v>852</v>
      </c>
      <c r="B853" s="2"/>
      <c r="C853" s="2"/>
      <c r="D853" s="2"/>
      <c r="E853" s="2"/>
      <c r="F853" s="2"/>
      <c r="G853" s="2"/>
      <c r="H853" s="2" t="str">
        <f t="shared" si="37"/>
        <v>0 г. 0 мес. 0 дн.</v>
      </c>
      <c r="I853" s="2"/>
      <c r="J853" s="2"/>
      <c r="K853" s="2"/>
      <c r="L853" s="2"/>
      <c r="M853" s="2"/>
      <c r="N853" s="1">
        <v>0</v>
      </c>
      <c r="O853" s="2"/>
      <c r="P853" s="2"/>
      <c r="Q853" s="2">
        <v>0</v>
      </c>
      <c r="R853" s="6"/>
    </row>
    <row r="854" spans="1:18" x14ac:dyDescent="0.25">
      <c r="A854" s="2">
        <f t="shared" si="36"/>
        <v>853</v>
      </c>
      <c r="B854" s="2"/>
      <c r="C854" s="2"/>
      <c r="D854" s="2"/>
      <c r="E854" s="2"/>
      <c r="F854" s="2"/>
      <c r="G854" s="2"/>
      <c r="H854" s="2" t="str">
        <f t="shared" si="37"/>
        <v>0 г. 0 мес. 0 дн.</v>
      </c>
      <c r="I854" s="2"/>
      <c r="J854" s="2"/>
      <c r="K854" s="2"/>
      <c r="L854" s="2"/>
      <c r="M854" s="2"/>
      <c r="N854" s="1">
        <v>0</v>
      </c>
      <c r="O854" s="2"/>
      <c r="P854" s="2"/>
      <c r="Q854" s="2">
        <v>0</v>
      </c>
      <c r="R854" s="6"/>
    </row>
    <row r="855" spans="1:18" x14ac:dyDescent="0.25">
      <c r="A855" s="2">
        <f t="shared" si="36"/>
        <v>854</v>
      </c>
      <c r="B855" s="2"/>
      <c r="C855" s="2"/>
      <c r="D855" s="2"/>
      <c r="E855" s="2"/>
      <c r="F855" s="2"/>
      <c r="G855" s="2"/>
      <c r="H855" s="2" t="str">
        <f t="shared" si="37"/>
        <v>0 г. 0 мес. 0 дн.</v>
      </c>
      <c r="I855" s="2"/>
      <c r="J855" s="2"/>
      <c r="K855" s="2"/>
      <c r="L855" s="2"/>
      <c r="M855" s="2"/>
      <c r="N855" s="1">
        <v>0</v>
      </c>
      <c r="O855" s="2"/>
      <c r="P855" s="2"/>
      <c r="Q855" s="2">
        <v>0</v>
      </c>
      <c r="R855" s="6"/>
    </row>
    <row r="856" spans="1:18" x14ac:dyDescent="0.25">
      <c r="A856" s="2">
        <f t="shared" si="36"/>
        <v>855</v>
      </c>
      <c r="B856" s="2"/>
      <c r="C856" s="2"/>
      <c r="D856" s="2"/>
      <c r="E856" s="2"/>
      <c r="F856" s="2"/>
      <c r="G856" s="2"/>
      <c r="H856" s="2" t="str">
        <f t="shared" si="37"/>
        <v>0 г. 0 мес. 0 дн.</v>
      </c>
      <c r="I856" s="2"/>
      <c r="J856" s="2"/>
      <c r="K856" s="2"/>
      <c r="L856" s="2"/>
      <c r="M856" s="2"/>
      <c r="N856" s="1">
        <v>0</v>
      </c>
      <c r="O856" s="2"/>
      <c r="P856" s="2"/>
      <c r="Q856" s="2">
        <v>0</v>
      </c>
      <c r="R856" s="6"/>
    </row>
    <row r="857" spans="1:18" x14ac:dyDescent="0.25">
      <c r="A857" s="2">
        <f t="shared" si="36"/>
        <v>856</v>
      </c>
      <c r="B857" s="2"/>
      <c r="C857" s="2"/>
      <c r="D857" s="2"/>
      <c r="E857" s="2"/>
      <c r="F857" s="2"/>
      <c r="G857" s="2"/>
      <c r="H857" s="2" t="str">
        <f t="shared" si="37"/>
        <v>0 г. 0 мес. 0 дн.</v>
      </c>
      <c r="I857" s="2"/>
      <c r="J857" s="2"/>
      <c r="K857" s="2"/>
      <c r="L857" s="2"/>
      <c r="M857" s="2"/>
      <c r="N857" s="1">
        <v>0</v>
      </c>
      <c r="O857" s="2"/>
      <c r="P857" s="2"/>
      <c r="Q857" s="2">
        <v>0</v>
      </c>
      <c r="R857" s="6"/>
    </row>
    <row r="858" spans="1:18" x14ac:dyDescent="0.25">
      <c r="A858" s="2">
        <f t="shared" si="36"/>
        <v>857</v>
      </c>
      <c r="B858" s="2"/>
      <c r="C858" s="2"/>
      <c r="D858" s="2"/>
      <c r="E858" s="2"/>
      <c r="F858" s="2"/>
      <c r="G858" s="2"/>
      <c r="H858" s="2" t="str">
        <f t="shared" si="37"/>
        <v>0 г. 0 мес. 0 дн.</v>
      </c>
      <c r="I858" s="2"/>
      <c r="J858" s="2"/>
      <c r="K858" s="2"/>
      <c r="L858" s="2"/>
      <c r="M858" s="2"/>
      <c r="N858" s="1">
        <v>0</v>
      </c>
      <c r="O858" s="2"/>
      <c r="P858" s="2"/>
      <c r="Q858" s="2">
        <v>0</v>
      </c>
      <c r="R858" s="6"/>
    </row>
    <row r="859" spans="1:18" x14ac:dyDescent="0.25">
      <c r="A859" s="2">
        <f t="shared" si="36"/>
        <v>858</v>
      </c>
      <c r="B859" s="2"/>
      <c r="C859" s="2"/>
      <c r="D859" s="2"/>
      <c r="E859" s="2"/>
      <c r="F859" s="2"/>
      <c r="G859" s="2"/>
      <c r="H859" s="2" t="str">
        <f t="shared" si="37"/>
        <v>0 г. 0 мес. 0 дн.</v>
      </c>
      <c r="I859" s="2"/>
      <c r="J859" s="2"/>
      <c r="K859" s="2"/>
      <c r="L859" s="2"/>
      <c r="M859" s="2"/>
      <c r="N859" s="1">
        <v>0</v>
      </c>
      <c r="O859" s="2"/>
      <c r="P859" s="2"/>
      <c r="Q859" s="2">
        <v>0</v>
      </c>
      <c r="R859" s="6"/>
    </row>
    <row r="860" spans="1:18" x14ac:dyDescent="0.25">
      <c r="A860" s="2">
        <f t="shared" si="36"/>
        <v>859</v>
      </c>
      <c r="B860" s="2"/>
      <c r="C860" s="2"/>
      <c r="D860" s="2"/>
      <c r="E860" s="2"/>
      <c r="F860" s="2"/>
      <c r="G860" s="2"/>
      <c r="H860" s="2" t="str">
        <f t="shared" si="37"/>
        <v>0 г. 0 мес. 0 дн.</v>
      </c>
      <c r="I860" s="2"/>
      <c r="J860" s="2"/>
      <c r="K860" s="2"/>
      <c r="L860" s="2"/>
      <c r="M860" s="2"/>
      <c r="N860" s="1">
        <v>0</v>
      </c>
      <c r="O860" s="2"/>
      <c r="P860" s="2"/>
      <c r="Q860" s="2">
        <v>0</v>
      </c>
      <c r="R860" s="6"/>
    </row>
    <row r="861" spans="1:18" x14ac:dyDescent="0.25">
      <c r="A861" s="2">
        <f t="shared" ref="A861:A924" si="38">ROW(A860)</f>
        <v>860</v>
      </c>
      <c r="B861" s="2"/>
      <c r="C861" s="2"/>
      <c r="D861" s="2"/>
      <c r="E861" s="2"/>
      <c r="F861" s="2"/>
      <c r="G861" s="2"/>
      <c r="H861" s="2" t="str">
        <f t="shared" si="37"/>
        <v>0 г. 0 мес. 0 дн.</v>
      </c>
      <c r="I861" s="2"/>
      <c r="J861" s="2"/>
      <c r="K861" s="2"/>
      <c r="L861" s="2"/>
      <c r="M861" s="2"/>
      <c r="N861" s="1">
        <v>0</v>
      </c>
      <c r="O861" s="2"/>
      <c r="P861" s="2"/>
      <c r="Q861" s="2">
        <v>0</v>
      </c>
      <c r="R861" s="6"/>
    </row>
    <row r="862" spans="1:18" x14ac:dyDescent="0.25">
      <c r="A862" s="2">
        <f t="shared" si="38"/>
        <v>861</v>
      </c>
      <c r="B862" s="2"/>
      <c r="C862" s="2"/>
      <c r="D862" s="2"/>
      <c r="E862" s="2"/>
      <c r="F862" s="2"/>
      <c r="G862" s="2"/>
      <c r="H862" s="2" t="str">
        <f t="shared" si="37"/>
        <v>0 г. 0 мес. 0 дн.</v>
      </c>
      <c r="I862" s="2"/>
      <c r="J862" s="2"/>
      <c r="K862" s="2"/>
      <c r="L862" s="2"/>
      <c r="M862" s="2"/>
      <c r="N862" s="1">
        <v>0</v>
      </c>
      <c r="O862" s="2"/>
      <c r="P862" s="2"/>
      <c r="Q862" s="2">
        <v>0</v>
      </c>
      <c r="R862" s="6"/>
    </row>
    <row r="863" spans="1:18" x14ac:dyDescent="0.25">
      <c r="A863" s="2">
        <f t="shared" si="38"/>
        <v>862</v>
      </c>
      <c r="B863" s="2"/>
      <c r="C863" s="2"/>
      <c r="D863" s="2"/>
      <c r="E863" s="2"/>
      <c r="F863" s="2"/>
      <c r="G863" s="2"/>
      <c r="H863" s="2" t="str">
        <f t="shared" si="37"/>
        <v>0 г. 0 мес. 0 дн.</v>
      </c>
      <c r="I863" s="2"/>
      <c r="J863" s="2"/>
      <c r="K863" s="2"/>
      <c r="L863" s="2"/>
      <c r="M863" s="2"/>
      <c r="N863" s="1">
        <v>0</v>
      </c>
      <c r="O863" s="2"/>
      <c r="P863" s="2"/>
      <c r="Q863" s="2">
        <v>0</v>
      </c>
      <c r="R863" s="6"/>
    </row>
    <row r="864" spans="1:18" x14ac:dyDescent="0.25">
      <c r="A864" s="2">
        <f t="shared" si="38"/>
        <v>863</v>
      </c>
      <c r="B864" s="2"/>
      <c r="C864" s="2"/>
      <c r="D864" s="2"/>
      <c r="E864" s="2"/>
      <c r="F864" s="2"/>
      <c r="G864" s="2"/>
      <c r="H864" s="2" t="str">
        <f t="shared" si="37"/>
        <v>0 г. 0 мес. 0 дн.</v>
      </c>
      <c r="I864" s="2"/>
      <c r="J864" s="2"/>
      <c r="K864" s="2"/>
      <c r="L864" s="2"/>
      <c r="M864" s="2"/>
      <c r="N864" s="1">
        <v>0</v>
      </c>
      <c r="O864" s="2"/>
      <c r="P864" s="2"/>
      <c r="Q864" s="2">
        <v>0</v>
      </c>
      <c r="R864" s="6"/>
    </row>
    <row r="865" spans="1:18" x14ac:dyDescent="0.25">
      <c r="A865" s="2">
        <f t="shared" si="38"/>
        <v>864</v>
      </c>
      <c r="B865" s="2"/>
      <c r="C865" s="2"/>
      <c r="D865" s="2"/>
      <c r="E865" s="2"/>
      <c r="F865" s="2"/>
      <c r="G865" s="2"/>
      <c r="H865" s="2" t="str">
        <f t="shared" si="37"/>
        <v>0 г. 0 мес. 0 дн.</v>
      </c>
      <c r="I865" s="2"/>
      <c r="J865" s="2"/>
      <c r="K865" s="2"/>
      <c r="L865" s="2"/>
      <c r="M865" s="2"/>
      <c r="N865" s="1">
        <v>0</v>
      </c>
      <c r="O865" s="2"/>
      <c r="P865" s="2"/>
      <c r="Q865" s="2">
        <v>0</v>
      </c>
      <c r="R865" s="6"/>
    </row>
    <row r="866" spans="1:18" x14ac:dyDescent="0.25">
      <c r="A866" s="2">
        <f t="shared" si="38"/>
        <v>865</v>
      </c>
      <c r="B866" s="2"/>
      <c r="C866" s="2"/>
      <c r="D866" s="2"/>
      <c r="E866" s="2"/>
      <c r="F866" s="2"/>
      <c r="G866" s="2"/>
      <c r="H866" s="2" t="str">
        <f t="shared" si="37"/>
        <v>0 г. 0 мес. 0 дн.</v>
      </c>
      <c r="I866" s="2"/>
      <c r="J866" s="2"/>
      <c r="K866" s="2"/>
      <c r="L866" s="2"/>
      <c r="M866" s="2"/>
      <c r="N866" s="1">
        <v>0</v>
      </c>
      <c r="O866" s="2"/>
      <c r="P866" s="2"/>
      <c r="Q866" s="2">
        <v>0</v>
      </c>
      <c r="R866" s="6"/>
    </row>
    <row r="867" spans="1:18" x14ac:dyDescent="0.25">
      <c r="A867" s="2">
        <f t="shared" si="38"/>
        <v>866</v>
      </c>
      <c r="B867" s="2"/>
      <c r="C867" s="2"/>
      <c r="D867" s="2"/>
      <c r="E867" s="2"/>
      <c r="F867" s="2"/>
      <c r="G867" s="2"/>
      <c r="H867" s="2" t="str">
        <f t="shared" si="37"/>
        <v>0 г. 0 мес. 0 дн.</v>
      </c>
      <c r="I867" s="2"/>
      <c r="J867" s="2"/>
      <c r="K867" s="2"/>
      <c r="L867" s="2"/>
      <c r="M867" s="2"/>
      <c r="N867" s="1">
        <v>0</v>
      </c>
      <c r="O867" s="2"/>
      <c r="P867" s="2"/>
      <c r="Q867" s="2">
        <v>0</v>
      </c>
      <c r="R867" s="6"/>
    </row>
    <row r="868" spans="1:18" x14ac:dyDescent="0.25">
      <c r="A868" s="2">
        <f t="shared" si="38"/>
        <v>867</v>
      </c>
      <c r="B868" s="2"/>
      <c r="C868" s="2"/>
      <c r="D868" s="2"/>
      <c r="E868" s="2"/>
      <c r="F868" s="2"/>
      <c r="G868" s="2"/>
      <c r="H868" s="2" t="str">
        <f t="shared" si="37"/>
        <v>0 г. 0 мес. 0 дн.</v>
      </c>
      <c r="I868" s="2"/>
      <c r="J868" s="2"/>
      <c r="K868" s="2"/>
      <c r="L868" s="2"/>
      <c r="M868" s="2"/>
      <c r="N868" s="1">
        <v>0</v>
      </c>
      <c r="O868" s="2"/>
      <c r="P868" s="2"/>
      <c r="Q868" s="2">
        <v>0</v>
      </c>
      <c r="R868" s="6"/>
    </row>
    <row r="869" spans="1:18" x14ac:dyDescent="0.25">
      <c r="A869" s="2">
        <f t="shared" si="38"/>
        <v>868</v>
      </c>
      <c r="B869" s="2"/>
      <c r="C869" s="2"/>
      <c r="D869" s="2"/>
      <c r="E869" s="2"/>
      <c r="F869" s="2"/>
      <c r="G869" s="2"/>
      <c r="H869" s="2" t="str">
        <f t="shared" si="37"/>
        <v>0 г. 0 мес. 0 дн.</v>
      </c>
      <c r="I869" s="2"/>
      <c r="J869" s="2"/>
      <c r="K869" s="2"/>
      <c r="L869" s="2"/>
      <c r="M869" s="2"/>
      <c r="N869" s="1">
        <v>0</v>
      </c>
      <c r="O869" s="2"/>
      <c r="P869" s="2"/>
      <c r="Q869" s="2">
        <v>0</v>
      </c>
      <c r="R869" s="6"/>
    </row>
    <row r="870" spans="1:18" x14ac:dyDescent="0.25">
      <c r="A870" s="2">
        <f t="shared" si="38"/>
        <v>869</v>
      </c>
      <c r="B870" s="2"/>
      <c r="C870" s="2"/>
      <c r="D870" s="2"/>
      <c r="E870" s="2"/>
      <c r="F870" s="2"/>
      <c r="G870" s="2"/>
      <c r="H870" s="2" t="str">
        <f t="shared" si="37"/>
        <v>0 г. 0 мес. 0 дн.</v>
      </c>
      <c r="I870" s="2"/>
      <c r="J870" s="2"/>
      <c r="K870" s="2"/>
      <c r="L870" s="2"/>
      <c r="M870" s="2"/>
      <c r="N870" s="1">
        <v>0</v>
      </c>
      <c r="O870" s="2"/>
      <c r="P870" s="2"/>
      <c r="Q870" s="2">
        <v>0</v>
      </c>
      <c r="R870" s="6"/>
    </row>
    <row r="871" spans="1:18" x14ac:dyDescent="0.25">
      <c r="A871" s="2">
        <f t="shared" si="38"/>
        <v>870</v>
      </c>
      <c r="B871" s="2"/>
      <c r="C871" s="2"/>
      <c r="D871" s="2"/>
      <c r="E871" s="2"/>
      <c r="F871" s="2"/>
      <c r="G871" s="2"/>
      <c r="H871" s="2" t="str">
        <f t="shared" si="37"/>
        <v>0 г. 0 мес. 0 дн.</v>
      </c>
      <c r="I871" s="2"/>
      <c r="J871" s="2"/>
      <c r="K871" s="2"/>
      <c r="L871" s="2"/>
      <c r="M871" s="2"/>
      <c r="N871" s="1">
        <v>0</v>
      </c>
      <c r="O871" s="2"/>
      <c r="P871" s="2"/>
      <c r="Q871" s="2">
        <v>0</v>
      </c>
      <c r="R871" s="6"/>
    </row>
    <row r="872" spans="1:18" x14ac:dyDescent="0.25">
      <c r="A872" s="2">
        <f t="shared" si="38"/>
        <v>871</v>
      </c>
      <c r="B872" s="2"/>
      <c r="C872" s="2"/>
      <c r="D872" s="2"/>
      <c r="E872" s="2"/>
      <c r="F872" s="2"/>
      <c r="G872" s="2"/>
      <c r="H872" s="2" t="str">
        <f t="shared" si="37"/>
        <v>0 г. 0 мес. 0 дн.</v>
      </c>
      <c r="I872" s="2"/>
      <c r="J872" s="2"/>
      <c r="K872" s="2"/>
      <c r="L872" s="2"/>
      <c r="M872" s="2"/>
      <c r="N872" s="1">
        <v>0</v>
      </c>
      <c r="O872" s="2"/>
      <c r="P872" s="2"/>
      <c r="Q872" s="2">
        <v>0</v>
      </c>
      <c r="R872" s="6"/>
    </row>
    <row r="873" spans="1:18" x14ac:dyDescent="0.25">
      <c r="A873" s="2">
        <f t="shared" si="38"/>
        <v>872</v>
      </c>
      <c r="B873" s="2"/>
      <c r="C873" s="2"/>
      <c r="D873" s="2"/>
      <c r="E873" s="2"/>
      <c r="F873" s="2"/>
      <c r="G873" s="2"/>
      <c r="H873" s="2" t="str">
        <f t="shared" si="37"/>
        <v>0 г. 0 мес. 0 дн.</v>
      </c>
      <c r="I873" s="2"/>
      <c r="J873" s="2"/>
      <c r="K873" s="2"/>
      <c r="L873" s="2"/>
      <c r="M873" s="2"/>
      <c r="N873" s="1">
        <v>0</v>
      </c>
      <c r="O873" s="2"/>
      <c r="P873" s="2"/>
      <c r="Q873" s="2">
        <v>0</v>
      </c>
      <c r="R873" s="6"/>
    </row>
    <row r="874" spans="1:18" x14ac:dyDescent="0.25">
      <c r="A874" s="2">
        <f t="shared" si="38"/>
        <v>873</v>
      </c>
      <c r="B874" s="2"/>
      <c r="C874" s="2"/>
      <c r="D874" s="2"/>
      <c r="E874" s="2"/>
      <c r="F874" s="2"/>
      <c r="G874" s="2"/>
      <c r="H874" s="2" t="str">
        <f t="shared" si="37"/>
        <v>0 г. 0 мес. 0 дн.</v>
      </c>
      <c r="I874" s="2"/>
      <c r="J874" s="2"/>
      <c r="K874" s="2"/>
      <c r="L874" s="2"/>
      <c r="M874" s="2"/>
      <c r="N874" s="1">
        <v>0</v>
      </c>
      <c r="O874" s="2"/>
      <c r="P874" s="2"/>
      <c r="Q874" s="2">
        <v>0</v>
      </c>
      <c r="R874" s="6"/>
    </row>
    <row r="875" spans="1:18" x14ac:dyDescent="0.25">
      <c r="A875" s="2">
        <f t="shared" si="38"/>
        <v>874</v>
      </c>
      <c r="B875" s="2"/>
      <c r="C875" s="2"/>
      <c r="D875" s="2"/>
      <c r="E875" s="2"/>
      <c r="F875" s="2"/>
      <c r="G875" s="2"/>
      <c r="H875" s="2" t="str">
        <f t="shared" si="37"/>
        <v>0 г. 0 мес. 0 дн.</v>
      </c>
      <c r="I875" s="2"/>
      <c r="J875" s="2"/>
      <c r="K875" s="2"/>
      <c r="L875" s="2"/>
      <c r="M875" s="2"/>
      <c r="N875" s="1">
        <v>0</v>
      </c>
      <c r="O875" s="2"/>
      <c r="P875" s="2"/>
      <c r="Q875" s="2">
        <v>0</v>
      </c>
      <c r="R875" s="6"/>
    </row>
    <row r="876" spans="1:18" x14ac:dyDescent="0.25">
      <c r="A876" s="2">
        <f t="shared" si="38"/>
        <v>875</v>
      </c>
      <c r="B876" s="2"/>
      <c r="C876" s="2"/>
      <c r="D876" s="2"/>
      <c r="E876" s="2"/>
      <c r="F876" s="2"/>
      <c r="G876" s="2"/>
      <c r="H876" s="2" t="str">
        <f t="shared" si="37"/>
        <v>0 г. 0 мес. 0 дн.</v>
      </c>
      <c r="I876" s="2"/>
      <c r="J876" s="2"/>
      <c r="K876" s="2"/>
      <c r="L876" s="2"/>
      <c r="M876" s="2"/>
      <c r="N876" s="1">
        <v>0</v>
      </c>
      <c r="O876" s="2"/>
      <c r="P876" s="2"/>
      <c r="Q876" s="2">
        <v>0</v>
      </c>
      <c r="R876" s="6"/>
    </row>
    <row r="877" spans="1:18" x14ac:dyDescent="0.25">
      <c r="A877" s="2">
        <f t="shared" si="38"/>
        <v>876</v>
      </c>
      <c r="B877" s="2"/>
      <c r="C877" s="2"/>
      <c r="D877" s="2"/>
      <c r="E877" s="2"/>
      <c r="F877" s="2"/>
      <c r="G877" s="2"/>
      <c r="H877" s="2" t="str">
        <f t="shared" si="37"/>
        <v>0 г. 0 мес. 0 дн.</v>
      </c>
      <c r="I877" s="2"/>
      <c r="J877" s="2"/>
      <c r="K877" s="2"/>
      <c r="L877" s="2"/>
      <c r="M877" s="2"/>
      <c r="N877" s="1">
        <v>0</v>
      </c>
      <c r="O877" s="2"/>
      <c r="P877" s="2"/>
      <c r="Q877" s="2">
        <v>0</v>
      </c>
      <c r="R877" s="6"/>
    </row>
    <row r="878" spans="1:18" x14ac:dyDescent="0.25">
      <c r="A878" s="2">
        <f t="shared" si="38"/>
        <v>877</v>
      </c>
      <c r="B878" s="2"/>
      <c r="C878" s="2"/>
      <c r="D878" s="2"/>
      <c r="E878" s="2"/>
      <c r="F878" s="2"/>
      <c r="G878" s="2"/>
      <c r="H878" s="2" t="str">
        <f t="shared" si="37"/>
        <v>0 г. 0 мес. 0 дн.</v>
      </c>
      <c r="I878" s="2"/>
      <c r="J878" s="2"/>
      <c r="K878" s="2"/>
      <c r="L878" s="2"/>
      <c r="M878" s="2"/>
      <c r="N878" s="1">
        <v>0</v>
      </c>
      <c r="O878" s="2"/>
      <c r="P878" s="2"/>
      <c r="Q878" s="2">
        <v>0</v>
      </c>
      <c r="R878" s="6"/>
    </row>
    <row r="879" spans="1:18" x14ac:dyDescent="0.25">
      <c r="A879" s="2">
        <f t="shared" si="38"/>
        <v>878</v>
      </c>
      <c r="B879" s="2"/>
      <c r="C879" s="2"/>
      <c r="D879" s="2"/>
      <c r="E879" s="2"/>
      <c r="F879" s="2"/>
      <c r="G879" s="2"/>
      <c r="H879" s="2" t="str">
        <f t="shared" si="37"/>
        <v>0 г. 0 мес. 0 дн.</v>
      </c>
      <c r="I879" s="2"/>
      <c r="J879" s="2"/>
      <c r="K879" s="2"/>
      <c r="L879" s="2"/>
      <c r="M879" s="2"/>
      <c r="N879" s="1">
        <v>0</v>
      </c>
      <c r="O879" s="2"/>
      <c r="P879" s="2"/>
      <c r="Q879" s="2">
        <v>0</v>
      </c>
      <c r="R879" s="6"/>
    </row>
    <row r="880" spans="1:18" x14ac:dyDescent="0.25">
      <c r="A880" s="2">
        <f t="shared" si="38"/>
        <v>879</v>
      </c>
      <c r="B880" s="2"/>
      <c r="C880" s="2"/>
      <c r="D880" s="2"/>
      <c r="E880" s="2"/>
      <c r="F880" s="2"/>
      <c r="G880" s="2"/>
      <c r="H880" s="2" t="str">
        <f t="shared" si="37"/>
        <v>0 г. 0 мес. 0 дн.</v>
      </c>
      <c r="I880" s="2"/>
      <c r="J880" s="2"/>
      <c r="K880" s="2"/>
      <c r="L880" s="2"/>
      <c r="M880" s="2"/>
      <c r="N880" s="1">
        <v>0</v>
      </c>
      <c r="O880" s="2"/>
      <c r="P880" s="2"/>
      <c r="Q880" s="2">
        <v>0</v>
      </c>
      <c r="R880" s="6"/>
    </row>
    <row r="881" spans="1:18" x14ac:dyDescent="0.25">
      <c r="A881" s="2">
        <f t="shared" si="38"/>
        <v>880</v>
      </c>
      <c r="B881" s="2"/>
      <c r="C881" s="2"/>
      <c r="D881" s="2"/>
      <c r="E881" s="2"/>
      <c r="F881" s="2"/>
      <c r="G881" s="2"/>
      <c r="H881" s="2" t="str">
        <f t="shared" si="37"/>
        <v>0 г. 0 мес. 0 дн.</v>
      </c>
      <c r="I881" s="2"/>
      <c r="J881" s="2"/>
      <c r="K881" s="2"/>
      <c r="L881" s="2"/>
      <c r="M881" s="2"/>
      <c r="N881" s="1">
        <v>0</v>
      </c>
      <c r="O881" s="2"/>
      <c r="P881" s="2"/>
      <c r="Q881" s="2">
        <v>0</v>
      </c>
      <c r="R881" s="6"/>
    </row>
    <row r="882" spans="1:18" x14ac:dyDescent="0.25">
      <c r="A882" s="2">
        <f t="shared" si="38"/>
        <v>881</v>
      </c>
      <c r="B882" s="2"/>
      <c r="C882" s="2"/>
      <c r="D882" s="2"/>
      <c r="E882" s="2"/>
      <c r="F882" s="2"/>
      <c r="G882" s="2"/>
      <c r="H882" s="2" t="str">
        <f t="shared" si="37"/>
        <v>0 г. 0 мес. 0 дн.</v>
      </c>
      <c r="I882" s="2"/>
      <c r="J882" s="2"/>
      <c r="K882" s="2"/>
      <c r="L882" s="2"/>
      <c r="M882" s="2"/>
      <c r="N882" s="1">
        <v>0</v>
      </c>
      <c r="O882" s="2"/>
      <c r="P882" s="2"/>
      <c r="Q882" s="2">
        <v>0</v>
      </c>
      <c r="R882" s="6"/>
    </row>
    <row r="883" spans="1:18" x14ac:dyDescent="0.25">
      <c r="A883" s="2">
        <f t="shared" si="38"/>
        <v>882</v>
      </c>
      <c r="B883" s="2"/>
      <c r="C883" s="2"/>
      <c r="D883" s="2"/>
      <c r="E883" s="2"/>
      <c r="F883" s="2"/>
      <c r="G883" s="2"/>
      <c r="H883" s="2" t="str">
        <f t="shared" si="37"/>
        <v>0 г. 0 мес. 0 дн.</v>
      </c>
      <c r="I883" s="2"/>
      <c r="J883" s="2"/>
      <c r="K883" s="2"/>
      <c r="L883" s="2"/>
      <c r="M883" s="2"/>
      <c r="N883" s="1">
        <v>0</v>
      </c>
      <c r="O883" s="2"/>
      <c r="P883" s="2"/>
      <c r="Q883" s="2">
        <v>0</v>
      </c>
      <c r="R883" s="6"/>
    </row>
    <row r="884" spans="1:18" x14ac:dyDescent="0.25">
      <c r="A884" s="2">
        <f t="shared" si="38"/>
        <v>883</v>
      </c>
      <c r="B884" s="2"/>
      <c r="C884" s="2"/>
      <c r="D884" s="2"/>
      <c r="E884" s="2"/>
      <c r="F884" s="2"/>
      <c r="G884" s="2"/>
      <c r="H884" s="2" t="str">
        <f t="shared" si="37"/>
        <v>0 г. 0 мес. 0 дн.</v>
      </c>
      <c r="I884" s="2"/>
      <c r="J884" s="2"/>
      <c r="K884" s="2"/>
      <c r="L884" s="2"/>
      <c r="M884" s="2"/>
      <c r="N884" s="1">
        <v>0</v>
      </c>
      <c r="O884" s="2"/>
      <c r="P884" s="2"/>
      <c r="Q884" s="2">
        <v>0</v>
      </c>
      <c r="R884" s="6"/>
    </row>
    <row r="885" spans="1:18" x14ac:dyDescent="0.25">
      <c r="A885" s="2">
        <f t="shared" si="38"/>
        <v>884</v>
      </c>
      <c r="B885" s="2"/>
      <c r="C885" s="2"/>
      <c r="D885" s="2"/>
      <c r="E885" s="2"/>
      <c r="F885" s="2"/>
      <c r="G885" s="2"/>
      <c r="H885" s="2" t="str">
        <f t="shared" si="37"/>
        <v>0 г. 0 мес. 0 дн.</v>
      </c>
      <c r="I885" s="2"/>
      <c r="J885" s="2"/>
      <c r="K885" s="2"/>
      <c r="L885" s="2"/>
      <c r="M885" s="2"/>
      <c r="N885" s="1">
        <v>0</v>
      </c>
      <c r="O885" s="2"/>
      <c r="P885" s="2"/>
      <c r="Q885" s="2">
        <v>0</v>
      </c>
      <c r="R885" s="6"/>
    </row>
    <row r="886" spans="1:18" x14ac:dyDescent="0.25">
      <c r="A886" s="2">
        <f t="shared" si="38"/>
        <v>885</v>
      </c>
      <c r="B886" s="2"/>
      <c r="C886" s="2"/>
      <c r="D886" s="2"/>
      <c r="E886" s="2"/>
      <c r="F886" s="2"/>
      <c r="G886" s="2"/>
      <c r="H886" s="2" t="str">
        <f t="shared" si="37"/>
        <v>0 г. 0 мес. 0 дн.</v>
      </c>
      <c r="I886" s="2"/>
      <c r="J886" s="2"/>
      <c r="K886" s="2"/>
      <c r="L886" s="2"/>
      <c r="M886" s="2"/>
      <c r="N886" s="1">
        <v>0</v>
      </c>
      <c r="O886" s="2"/>
      <c r="P886" s="2"/>
      <c r="Q886" s="2">
        <v>0</v>
      </c>
      <c r="R886" s="6"/>
    </row>
    <row r="887" spans="1:18" x14ac:dyDescent="0.25">
      <c r="A887" s="2">
        <f t="shared" si="38"/>
        <v>886</v>
      </c>
      <c r="B887" s="2"/>
      <c r="C887" s="2"/>
      <c r="D887" s="2"/>
      <c r="E887" s="2"/>
      <c r="F887" s="2"/>
      <c r="G887" s="2"/>
      <c r="H887" s="2" t="str">
        <f t="shared" si="37"/>
        <v>0 г. 0 мес. 0 дн.</v>
      </c>
      <c r="I887" s="2"/>
      <c r="J887" s="2"/>
      <c r="K887" s="2"/>
      <c r="L887" s="2"/>
      <c r="M887" s="2"/>
      <c r="N887" s="1">
        <v>0</v>
      </c>
      <c r="O887" s="2"/>
      <c r="P887" s="2"/>
      <c r="Q887" s="2">
        <v>0</v>
      </c>
      <c r="R887" s="6"/>
    </row>
    <row r="888" spans="1:18" x14ac:dyDescent="0.25">
      <c r="A888" s="2">
        <f t="shared" si="38"/>
        <v>887</v>
      </c>
      <c r="B888" s="2"/>
      <c r="C888" s="2"/>
      <c r="D888" s="2"/>
      <c r="E888" s="2"/>
      <c r="F888" s="2"/>
      <c r="G888" s="2"/>
      <c r="H888" s="2" t="str">
        <f t="shared" si="37"/>
        <v>0 г. 0 мес. 0 дн.</v>
      </c>
      <c r="I888" s="2"/>
      <c r="J888" s="2"/>
      <c r="K888" s="2"/>
      <c r="L888" s="2"/>
      <c r="M888" s="2"/>
      <c r="N888" s="1">
        <v>0</v>
      </c>
      <c r="O888" s="2"/>
      <c r="P888" s="2"/>
      <c r="Q888" s="2">
        <v>0</v>
      </c>
      <c r="R888" s="6"/>
    </row>
    <row r="889" spans="1:18" x14ac:dyDescent="0.25">
      <c r="A889" s="2">
        <f t="shared" si="38"/>
        <v>888</v>
      </c>
      <c r="B889" s="2"/>
      <c r="C889" s="2"/>
      <c r="D889" s="2"/>
      <c r="E889" s="2"/>
      <c r="F889" s="2"/>
      <c r="G889" s="2"/>
      <c r="H889" s="2" t="str">
        <f t="shared" si="37"/>
        <v>0 г. 0 мес. 0 дн.</v>
      </c>
      <c r="I889" s="2"/>
      <c r="J889" s="2"/>
      <c r="K889" s="2"/>
      <c r="L889" s="2"/>
      <c r="M889" s="2"/>
      <c r="N889" s="1">
        <v>0</v>
      </c>
      <c r="O889" s="2"/>
      <c r="P889" s="2"/>
      <c r="Q889" s="2">
        <v>0</v>
      </c>
      <c r="R889" s="6"/>
    </row>
    <row r="890" spans="1:18" x14ac:dyDescent="0.25">
      <c r="A890" s="2">
        <f t="shared" si="38"/>
        <v>889</v>
      </c>
      <c r="B890" s="2"/>
      <c r="C890" s="2"/>
      <c r="D890" s="2"/>
      <c r="E890" s="2"/>
      <c r="F890" s="2"/>
      <c r="G890" s="2"/>
      <c r="H890" s="2" t="str">
        <f t="shared" si="37"/>
        <v>0 г. 0 мес. 0 дн.</v>
      </c>
      <c r="I890" s="2"/>
      <c r="J890" s="2"/>
      <c r="K890" s="2"/>
      <c r="L890" s="2"/>
      <c r="M890" s="2"/>
      <c r="N890" s="1">
        <v>0</v>
      </c>
      <c r="O890" s="2"/>
      <c r="P890" s="2"/>
      <c r="Q890" s="2">
        <v>0</v>
      </c>
      <c r="R890" s="6"/>
    </row>
    <row r="891" spans="1:18" x14ac:dyDescent="0.25">
      <c r="A891" s="2">
        <f t="shared" si="38"/>
        <v>890</v>
      </c>
      <c r="B891" s="2"/>
      <c r="C891" s="2"/>
      <c r="D891" s="2"/>
      <c r="E891" s="2"/>
      <c r="F891" s="2"/>
      <c r="G891" s="2"/>
      <c r="H891" s="2" t="str">
        <f t="shared" si="37"/>
        <v>0 г. 0 мес. 0 дн.</v>
      </c>
      <c r="I891" s="2"/>
      <c r="J891" s="2"/>
      <c r="K891" s="2"/>
      <c r="L891" s="2"/>
      <c r="M891" s="2"/>
      <c r="N891" s="1">
        <v>0</v>
      </c>
      <c r="O891" s="2"/>
      <c r="P891" s="2"/>
      <c r="Q891" s="2">
        <v>0</v>
      </c>
      <c r="R891" s="6"/>
    </row>
    <row r="892" spans="1:18" x14ac:dyDescent="0.25">
      <c r="A892" s="2">
        <f t="shared" si="38"/>
        <v>891</v>
      </c>
      <c r="B892" s="2"/>
      <c r="C892" s="2"/>
      <c r="D892" s="2"/>
      <c r="E892" s="2"/>
      <c r="F892" s="2"/>
      <c r="G892" s="2"/>
      <c r="H892" s="2" t="str">
        <f t="shared" si="37"/>
        <v>0 г. 0 мес. 0 дн.</v>
      </c>
      <c r="I892" s="2"/>
      <c r="J892" s="2"/>
      <c r="K892" s="2"/>
      <c r="L892" s="2"/>
      <c r="M892" s="2"/>
      <c r="N892" s="1">
        <v>0</v>
      </c>
      <c r="O892" s="2"/>
      <c r="P892" s="2"/>
      <c r="Q892" s="2">
        <v>0</v>
      </c>
      <c r="R892" s="6"/>
    </row>
    <row r="893" spans="1:18" x14ac:dyDescent="0.25">
      <c r="A893" s="2">
        <f t="shared" si="38"/>
        <v>892</v>
      </c>
      <c r="B893" s="2"/>
      <c r="C893" s="2"/>
      <c r="D893" s="2"/>
      <c r="E893" s="2"/>
      <c r="F893" s="2"/>
      <c r="G893" s="2"/>
      <c r="H893" s="2" t="str">
        <f t="shared" si="37"/>
        <v>0 г. 0 мес. 0 дн.</v>
      </c>
      <c r="I893" s="2"/>
      <c r="J893" s="2"/>
      <c r="K893" s="2"/>
      <c r="L893" s="2"/>
      <c r="M893" s="2"/>
      <c r="N893" s="1">
        <v>0</v>
      </c>
      <c r="O893" s="2"/>
      <c r="P893" s="2"/>
      <c r="Q893" s="2">
        <v>0</v>
      </c>
      <c r="R893" s="6"/>
    </row>
    <row r="894" spans="1:18" x14ac:dyDescent="0.25">
      <c r="A894" s="2">
        <f t="shared" si="38"/>
        <v>893</v>
      </c>
      <c r="B894" s="2"/>
      <c r="C894" s="2"/>
      <c r="D894" s="2"/>
      <c r="E894" s="2"/>
      <c r="F894" s="2"/>
      <c r="G894" s="2"/>
      <c r="H894" s="2" t="str">
        <f t="shared" si="37"/>
        <v>0 г. 0 мес. 0 дн.</v>
      </c>
      <c r="I894" s="2"/>
      <c r="J894" s="2"/>
      <c r="K894" s="2"/>
      <c r="L894" s="2"/>
      <c r="M894" s="2"/>
      <c r="N894" s="1">
        <v>0</v>
      </c>
      <c r="O894" s="2"/>
      <c r="P894" s="2"/>
      <c r="Q894" s="2">
        <v>0</v>
      </c>
      <c r="R894" s="6"/>
    </row>
    <row r="895" spans="1:18" x14ac:dyDescent="0.25">
      <c r="A895" s="2">
        <f t="shared" si="38"/>
        <v>894</v>
      </c>
      <c r="B895" s="2"/>
      <c r="C895" s="2"/>
      <c r="D895" s="2"/>
      <c r="E895" s="2"/>
      <c r="F895" s="2"/>
      <c r="G895" s="2"/>
      <c r="H895" s="2" t="str">
        <f t="shared" si="37"/>
        <v>0 г. 0 мес. 0 дн.</v>
      </c>
      <c r="I895" s="2"/>
      <c r="J895" s="2"/>
      <c r="K895" s="2"/>
      <c r="L895" s="2"/>
      <c r="M895" s="2"/>
      <c r="N895" s="1">
        <v>0</v>
      </c>
      <c r="O895" s="2"/>
      <c r="P895" s="2"/>
      <c r="Q895" s="2">
        <v>0</v>
      </c>
      <c r="R895" s="6"/>
    </row>
    <row r="896" spans="1:18" x14ac:dyDescent="0.25">
      <c r="A896" s="2">
        <f t="shared" si="38"/>
        <v>895</v>
      </c>
      <c r="B896" s="2"/>
      <c r="C896" s="2"/>
      <c r="D896" s="2"/>
      <c r="E896" s="2"/>
      <c r="F896" s="2"/>
      <c r="G896" s="2"/>
      <c r="H896" s="2" t="str">
        <f t="shared" si="37"/>
        <v>0 г. 0 мес. 0 дн.</v>
      </c>
      <c r="I896" s="2"/>
      <c r="J896" s="2"/>
      <c r="K896" s="2"/>
      <c r="L896" s="2"/>
      <c r="M896" s="2"/>
      <c r="N896" s="1">
        <v>0</v>
      </c>
      <c r="O896" s="2"/>
      <c r="P896" s="2"/>
      <c r="Q896" s="2">
        <v>0</v>
      </c>
      <c r="R896" s="6"/>
    </row>
    <row r="897" spans="1:18" x14ac:dyDescent="0.25">
      <c r="A897" s="2">
        <f t="shared" si="38"/>
        <v>896</v>
      </c>
      <c r="B897" s="2"/>
      <c r="C897" s="2"/>
      <c r="D897" s="2"/>
      <c r="E897" s="2"/>
      <c r="F897" s="2"/>
      <c r="G897" s="2"/>
      <c r="H897" s="2" t="str">
        <f t="shared" si="37"/>
        <v>0 г. 0 мес. 0 дн.</v>
      </c>
      <c r="I897" s="2"/>
      <c r="J897" s="2"/>
      <c r="K897" s="2"/>
      <c r="L897" s="2"/>
      <c r="M897" s="2"/>
      <c r="N897" s="1">
        <v>0</v>
      </c>
      <c r="O897" s="2"/>
      <c r="P897" s="2"/>
      <c r="Q897" s="2">
        <v>0</v>
      </c>
      <c r="R897" s="6"/>
    </row>
    <row r="898" spans="1:18" x14ac:dyDescent="0.25">
      <c r="A898" s="2">
        <f t="shared" si="38"/>
        <v>897</v>
      </c>
      <c r="B898" s="2"/>
      <c r="C898" s="2"/>
      <c r="D898" s="2"/>
      <c r="E898" s="2"/>
      <c r="F898" s="2"/>
      <c r="G898" s="2"/>
      <c r="H898" s="2" t="str">
        <f t="shared" si="37"/>
        <v>0 г. 0 мес. 0 дн.</v>
      </c>
      <c r="I898" s="2"/>
      <c r="J898" s="2"/>
      <c r="K898" s="2"/>
      <c r="L898" s="2"/>
      <c r="M898" s="2"/>
      <c r="N898" s="1">
        <v>0</v>
      </c>
      <c r="O898" s="2"/>
      <c r="P898" s="2"/>
      <c r="Q898" s="2">
        <v>0</v>
      </c>
      <c r="R898" s="6"/>
    </row>
    <row r="899" spans="1:18" x14ac:dyDescent="0.25">
      <c r="A899" s="2">
        <f t="shared" si="38"/>
        <v>898</v>
      </c>
      <c r="B899" s="2"/>
      <c r="C899" s="2"/>
      <c r="D899" s="2"/>
      <c r="E899" s="2"/>
      <c r="F899" s="2"/>
      <c r="G899" s="2"/>
      <c r="H899" s="2" t="str">
        <f t="shared" si="37"/>
        <v>0 г. 0 мес. 0 дн.</v>
      </c>
      <c r="I899" s="2"/>
      <c r="J899" s="2"/>
      <c r="K899" s="2"/>
      <c r="L899" s="2"/>
      <c r="M899" s="2"/>
      <c r="N899" s="1">
        <v>0</v>
      </c>
      <c r="O899" s="2"/>
      <c r="P899" s="2"/>
      <c r="Q899" s="2">
        <v>0</v>
      </c>
      <c r="R899" s="6"/>
    </row>
    <row r="900" spans="1:18" x14ac:dyDescent="0.25">
      <c r="A900" s="2">
        <f t="shared" si="38"/>
        <v>899</v>
      </c>
      <c r="B900" s="2"/>
      <c r="C900" s="2"/>
      <c r="D900" s="2"/>
      <c r="E900" s="2"/>
      <c r="F900" s="2"/>
      <c r="G900" s="2"/>
      <c r="H900" s="2" t="str">
        <f t="shared" ref="H900:H963" si="39">DATEDIF(G900,D900,"y") &amp; " г. " &amp; DATEDIF(G900,D900,"ym") &amp; " мес. " &amp; DATEDIF(G900,D900,"md") &amp; " дн."</f>
        <v>0 г. 0 мес. 0 дн.</v>
      </c>
      <c r="I900" s="2"/>
      <c r="J900" s="2"/>
      <c r="K900" s="2"/>
      <c r="L900" s="2"/>
      <c r="M900" s="2"/>
      <c r="N900" s="1">
        <v>0</v>
      </c>
      <c r="O900" s="2"/>
      <c r="P900" s="2"/>
      <c r="Q900" s="2">
        <v>0</v>
      </c>
      <c r="R900" s="6"/>
    </row>
    <row r="901" spans="1:18" x14ac:dyDescent="0.25">
      <c r="A901" s="2">
        <f t="shared" si="38"/>
        <v>900</v>
      </c>
      <c r="B901" s="2"/>
      <c r="C901" s="2"/>
      <c r="D901" s="2"/>
      <c r="E901" s="2"/>
      <c r="F901" s="2"/>
      <c r="G901" s="2"/>
      <c r="H901" s="2" t="str">
        <f t="shared" si="39"/>
        <v>0 г. 0 мес. 0 дн.</v>
      </c>
      <c r="I901" s="2"/>
      <c r="J901" s="2"/>
      <c r="K901" s="2"/>
      <c r="L901" s="2"/>
      <c r="M901" s="2"/>
      <c r="N901" s="1">
        <v>0</v>
      </c>
      <c r="O901" s="2"/>
      <c r="P901" s="2"/>
      <c r="Q901" s="2">
        <v>0</v>
      </c>
      <c r="R901" s="6"/>
    </row>
    <row r="902" spans="1:18" x14ac:dyDescent="0.25">
      <c r="A902" s="2">
        <f t="shared" si="38"/>
        <v>901</v>
      </c>
      <c r="B902" s="2"/>
      <c r="C902" s="2"/>
      <c r="D902" s="2"/>
      <c r="E902" s="2"/>
      <c r="F902" s="2"/>
      <c r="G902" s="2"/>
      <c r="H902" s="2" t="str">
        <f t="shared" si="39"/>
        <v>0 г. 0 мес. 0 дн.</v>
      </c>
      <c r="I902" s="2"/>
      <c r="J902" s="2"/>
      <c r="K902" s="2"/>
      <c r="L902" s="2"/>
      <c r="M902" s="2"/>
      <c r="N902" s="1">
        <v>0</v>
      </c>
      <c r="O902" s="2"/>
      <c r="P902" s="2"/>
      <c r="Q902" s="2">
        <v>0</v>
      </c>
      <c r="R902" s="6"/>
    </row>
    <row r="903" spans="1:18" x14ac:dyDescent="0.25">
      <c r="A903" s="2">
        <f t="shared" si="38"/>
        <v>902</v>
      </c>
      <c r="B903" s="2"/>
      <c r="C903" s="2"/>
      <c r="D903" s="2"/>
      <c r="E903" s="2"/>
      <c r="F903" s="2"/>
      <c r="G903" s="2"/>
      <c r="H903" s="2" t="str">
        <f t="shared" si="39"/>
        <v>0 г. 0 мес. 0 дн.</v>
      </c>
      <c r="I903" s="2"/>
      <c r="J903" s="2"/>
      <c r="K903" s="2"/>
      <c r="L903" s="2"/>
      <c r="M903" s="2"/>
      <c r="N903" s="1">
        <v>0</v>
      </c>
      <c r="O903" s="2"/>
      <c r="P903" s="2"/>
      <c r="Q903" s="2">
        <v>0</v>
      </c>
      <c r="R903" s="6"/>
    </row>
    <row r="904" spans="1:18" x14ac:dyDescent="0.25">
      <c r="A904" s="2">
        <f t="shared" si="38"/>
        <v>903</v>
      </c>
      <c r="B904" s="2"/>
      <c r="C904" s="2"/>
      <c r="D904" s="2"/>
      <c r="E904" s="2"/>
      <c r="F904" s="2"/>
      <c r="G904" s="2"/>
      <c r="H904" s="2" t="str">
        <f t="shared" si="39"/>
        <v>0 г. 0 мес. 0 дн.</v>
      </c>
      <c r="I904" s="2"/>
      <c r="J904" s="2"/>
      <c r="K904" s="2"/>
      <c r="L904" s="2"/>
      <c r="M904" s="2"/>
      <c r="N904" s="1">
        <v>0</v>
      </c>
      <c r="O904" s="2"/>
      <c r="P904" s="2"/>
      <c r="Q904" s="2">
        <v>0</v>
      </c>
      <c r="R904" s="6"/>
    </row>
    <row r="905" spans="1:18" x14ac:dyDescent="0.25">
      <c r="A905" s="2">
        <f t="shared" si="38"/>
        <v>904</v>
      </c>
      <c r="B905" s="2"/>
      <c r="C905" s="2"/>
      <c r="D905" s="2"/>
      <c r="E905" s="2"/>
      <c r="F905" s="2"/>
      <c r="G905" s="2"/>
      <c r="H905" s="2" t="str">
        <f t="shared" si="39"/>
        <v>0 г. 0 мес. 0 дн.</v>
      </c>
      <c r="I905" s="2"/>
      <c r="J905" s="2"/>
      <c r="K905" s="2"/>
      <c r="L905" s="2"/>
      <c r="M905" s="2"/>
      <c r="N905" s="1">
        <v>0</v>
      </c>
      <c r="O905" s="2"/>
      <c r="P905" s="2"/>
      <c r="Q905" s="2">
        <v>0</v>
      </c>
      <c r="R905" s="6"/>
    </row>
    <row r="906" spans="1:18" x14ac:dyDescent="0.25">
      <c r="A906" s="2">
        <f t="shared" si="38"/>
        <v>905</v>
      </c>
      <c r="B906" s="2"/>
      <c r="C906" s="2"/>
      <c r="D906" s="2"/>
      <c r="E906" s="2"/>
      <c r="F906" s="2"/>
      <c r="G906" s="2"/>
      <c r="H906" s="2" t="str">
        <f t="shared" si="39"/>
        <v>0 г. 0 мес. 0 дн.</v>
      </c>
      <c r="I906" s="2"/>
      <c r="J906" s="2"/>
      <c r="K906" s="2"/>
      <c r="L906" s="2"/>
      <c r="M906" s="2"/>
      <c r="N906" s="1">
        <v>0</v>
      </c>
      <c r="O906" s="2"/>
      <c r="P906" s="2"/>
      <c r="Q906" s="2">
        <v>0</v>
      </c>
      <c r="R906" s="6"/>
    </row>
    <row r="907" spans="1:18" x14ac:dyDescent="0.25">
      <c r="A907" s="2">
        <f t="shared" si="38"/>
        <v>906</v>
      </c>
      <c r="B907" s="2"/>
      <c r="C907" s="2"/>
      <c r="D907" s="2"/>
      <c r="E907" s="2"/>
      <c r="F907" s="2"/>
      <c r="G907" s="2"/>
      <c r="H907" s="2" t="str">
        <f t="shared" si="39"/>
        <v>0 г. 0 мес. 0 дн.</v>
      </c>
      <c r="I907" s="2"/>
      <c r="J907" s="2"/>
      <c r="K907" s="2"/>
      <c r="L907" s="2"/>
      <c r="M907" s="2"/>
      <c r="N907" s="1">
        <v>0</v>
      </c>
      <c r="O907" s="2"/>
      <c r="P907" s="2"/>
      <c r="Q907" s="2">
        <v>0</v>
      </c>
      <c r="R907" s="6"/>
    </row>
    <row r="908" spans="1:18" x14ac:dyDescent="0.25">
      <c r="A908" s="2">
        <f t="shared" si="38"/>
        <v>907</v>
      </c>
      <c r="B908" s="2"/>
      <c r="C908" s="2"/>
      <c r="D908" s="2"/>
      <c r="E908" s="2"/>
      <c r="F908" s="2"/>
      <c r="G908" s="2"/>
      <c r="H908" s="2" t="str">
        <f t="shared" si="39"/>
        <v>0 г. 0 мес. 0 дн.</v>
      </c>
      <c r="I908" s="2"/>
      <c r="J908" s="2"/>
      <c r="K908" s="2"/>
      <c r="L908" s="2"/>
      <c r="M908" s="2"/>
      <c r="N908" s="1">
        <v>0</v>
      </c>
      <c r="O908" s="2"/>
      <c r="P908" s="2"/>
      <c r="Q908" s="2">
        <v>0</v>
      </c>
      <c r="R908" s="6"/>
    </row>
    <row r="909" spans="1:18" x14ac:dyDescent="0.25">
      <c r="A909" s="2">
        <f t="shared" si="38"/>
        <v>908</v>
      </c>
      <c r="B909" s="2"/>
      <c r="C909" s="2"/>
      <c r="D909" s="2"/>
      <c r="E909" s="2"/>
      <c r="F909" s="2"/>
      <c r="G909" s="2"/>
      <c r="H909" s="2" t="str">
        <f t="shared" si="39"/>
        <v>0 г. 0 мес. 0 дн.</v>
      </c>
      <c r="I909" s="2"/>
      <c r="J909" s="2"/>
      <c r="K909" s="2"/>
      <c r="L909" s="2"/>
      <c r="M909" s="2"/>
      <c r="N909" s="1">
        <v>0</v>
      </c>
      <c r="O909" s="2"/>
      <c r="P909" s="2"/>
      <c r="Q909" s="2">
        <v>0</v>
      </c>
      <c r="R909" s="6"/>
    </row>
    <row r="910" spans="1:18" x14ac:dyDescent="0.25">
      <c r="A910" s="2">
        <f t="shared" si="38"/>
        <v>909</v>
      </c>
      <c r="B910" s="2"/>
      <c r="C910" s="2"/>
      <c r="D910" s="2"/>
      <c r="E910" s="2"/>
      <c r="F910" s="2"/>
      <c r="G910" s="2"/>
      <c r="H910" s="2" t="str">
        <f t="shared" si="39"/>
        <v>0 г. 0 мес. 0 дн.</v>
      </c>
      <c r="I910" s="2"/>
      <c r="J910" s="2"/>
      <c r="K910" s="2"/>
      <c r="L910" s="2"/>
      <c r="M910" s="2"/>
      <c r="N910" s="1">
        <v>0</v>
      </c>
      <c r="O910" s="2"/>
      <c r="P910" s="2"/>
      <c r="Q910" s="2">
        <v>0</v>
      </c>
      <c r="R910" s="6"/>
    </row>
    <row r="911" spans="1:18" x14ac:dyDescent="0.25">
      <c r="A911" s="2">
        <f t="shared" si="38"/>
        <v>910</v>
      </c>
      <c r="B911" s="2"/>
      <c r="C911" s="2"/>
      <c r="D911" s="2"/>
      <c r="E911" s="2"/>
      <c r="F911" s="2"/>
      <c r="G911" s="2"/>
      <c r="H911" s="2" t="str">
        <f t="shared" si="39"/>
        <v>0 г. 0 мес. 0 дн.</v>
      </c>
      <c r="I911" s="2"/>
      <c r="J911" s="2"/>
      <c r="K911" s="2"/>
      <c r="L911" s="2"/>
      <c r="M911" s="2"/>
      <c r="N911" s="1">
        <v>0</v>
      </c>
      <c r="O911" s="2"/>
      <c r="P911" s="2"/>
      <c r="Q911" s="2">
        <v>0</v>
      </c>
      <c r="R911" s="6"/>
    </row>
    <row r="912" spans="1:18" x14ac:dyDescent="0.25">
      <c r="A912" s="2">
        <f t="shared" si="38"/>
        <v>911</v>
      </c>
      <c r="B912" s="2"/>
      <c r="C912" s="2"/>
      <c r="D912" s="2"/>
      <c r="E912" s="2"/>
      <c r="F912" s="2"/>
      <c r="G912" s="2"/>
      <c r="H912" s="2" t="str">
        <f t="shared" si="39"/>
        <v>0 г. 0 мес. 0 дн.</v>
      </c>
      <c r="I912" s="2"/>
      <c r="J912" s="2"/>
      <c r="K912" s="2"/>
      <c r="L912" s="2"/>
      <c r="M912" s="2"/>
      <c r="N912" s="1">
        <v>0</v>
      </c>
      <c r="O912" s="2"/>
      <c r="P912" s="2"/>
      <c r="Q912" s="2">
        <v>0</v>
      </c>
      <c r="R912" s="6"/>
    </row>
    <row r="913" spans="1:18" x14ac:dyDescent="0.25">
      <c r="A913" s="2">
        <f t="shared" si="38"/>
        <v>912</v>
      </c>
      <c r="B913" s="2"/>
      <c r="C913" s="2"/>
      <c r="D913" s="2"/>
      <c r="E913" s="2"/>
      <c r="F913" s="2"/>
      <c r="G913" s="2"/>
      <c r="H913" s="2" t="str">
        <f t="shared" si="39"/>
        <v>0 г. 0 мес. 0 дн.</v>
      </c>
      <c r="I913" s="2"/>
      <c r="J913" s="2"/>
      <c r="K913" s="2"/>
      <c r="L913" s="2"/>
      <c r="M913" s="2"/>
      <c r="N913" s="1">
        <v>0</v>
      </c>
      <c r="O913" s="2"/>
      <c r="P913" s="2"/>
      <c r="Q913" s="2">
        <v>0</v>
      </c>
      <c r="R913" s="6"/>
    </row>
    <row r="914" spans="1:18" x14ac:dyDescent="0.25">
      <c r="A914" s="2">
        <f t="shared" si="38"/>
        <v>913</v>
      </c>
      <c r="B914" s="2"/>
      <c r="C914" s="2"/>
      <c r="D914" s="2"/>
      <c r="E914" s="2"/>
      <c r="F914" s="2"/>
      <c r="G914" s="2"/>
      <c r="H914" s="2" t="str">
        <f t="shared" si="39"/>
        <v>0 г. 0 мес. 0 дн.</v>
      </c>
      <c r="I914" s="2"/>
      <c r="J914" s="2"/>
      <c r="K914" s="2"/>
      <c r="L914" s="2"/>
      <c r="M914" s="2"/>
      <c r="N914" s="1">
        <v>0</v>
      </c>
      <c r="O914" s="2"/>
      <c r="P914" s="2"/>
      <c r="Q914" s="2">
        <v>0</v>
      </c>
      <c r="R914" s="6"/>
    </row>
    <row r="915" spans="1:18" x14ac:dyDescent="0.25">
      <c r="A915" s="2">
        <f t="shared" si="38"/>
        <v>914</v>
      </c>
      <c r="B915" s="2"/>
      <c r="C915" s="2"/>
      <c r="D915" s="2"/>
      <c r="E915" s="2"/>
      <c r="F915" s="2"/>
      <c r="G915" s="2"/>
      <c r="H915" s="2" t="str">
        <f t="shared" si="39"/>
        <v>0 г. 0 мес. 0 дн.</v>
      </c>
      <c r="I915" s="2"/>
      <c r="J915" s="2"/>
      <c r="K915" s="2"/>
      <c r="L915" s="2"/>
      <c r="M915" s="2"/>
      <c r="N915" s="1">
        <v>0</v>
      </c>
      <c r="O915" s="2"/>
      <c r="P915" s="2"/>
      <c r="Q915" s="2">
        <v>0</v>
      </c>
      <c r="R915" s="6"/>
    </row>
    <row r="916" spans="1:18" x14ac:dyDescent="0.25">
      <c r="A916" s="2">
        <f t="shared" si="38"/>
        <v>915</v>
      </c>
      <c r="B916" s="2"/>
      <c r="C916" s="2"/>
      <c r="D916" s="2"/>
      <c r="E916" s="2"/>
      <c r="F916" s="2"/>
      <c r="G916" s="2"/>
      <c r="H916" s="2" t="str">
        <f t="shared" si="39"/>
        <v>0 г. 0 мес. 0 дн.</v>
      </c>
      <c r="I916" s="2"/>
      <c r="J916" s="2"/>
      <c r="K916" s="2"/>
      <c r="L916" s="2"/>
      <c r="M916" s="2"/>
      <c r="N916" s="1">
        <v>0</v>
      </c>
      <c r="O916" s="2"/>
      <c r="P916" s="2"/>
      <c r="Q916" s="2">
        <v>0</v>
      </c>
      <c r="R916" s="6"/>
    </row>
    <row r="917" spans="1:18" x14ac:dyDescent="0.25">
      <c r="A917" s="2">
        <f t="shared" si="38"/>
        <v>916</v>
      </c>
      <c r="B917" s="2"/>
      <c r="C917" s="2"/>
      <c r="D917" s="2"/>
      <c r="E917" s="2"/>
      <c r="F917" s="2"/>
      <c r="G917" s="2"/>
      <c r="H917" s="2" t="str">
        <f t="shared" si="39"/>
        <v>0 г. 0 мес. 0 дн.</v>
      </c>
      <c r="I917" s="2"/>
      <c r="J917" s="2"/>
      <c r="K917" s="2"/>
      <c r="L917" s="2"/>
      <c r="M917" s="2"/>
      <c r="N917" s="1">
        <v>0</v>
      </c>
      <c r="O917" s="2"/>
      <c r="P917" s="2"/>
      <c r="Q917" s="2">
        <v>0</v>
      </c>
      <c r="R917" s="6"/>
    </row>
    <row r="918" spans="1:18" x14ac:dyDescent="0.25">
      <c r="A918" s="2">
        <f t="shared" si="38"/>
        <v>917</v>
      </c>
      <c r="B918" s="2"/>
      <c r="C918" s="2"/>
      <c r="D918" s="2"/>
      <c r="E918" s="2"/>
      <c r="F918" s="2"/>
      <c r="G918" s="2"/>
      <c r="H918" s="2" t="str">
        <f t="shared" si="39"/>
        <v>0 г. 0 мес. 0 дн.</v>
      </c>
      <c r="I918" s="2"/>
      <c r="J918" s="2"/>
      <c r="K918" s="2"/>
      <c r="L918" s="2"/>
      <c r="M918" s="2"/>
      <c r="N918" s="1">
        <v>0</v>
      </c>
      <c r="O918" s="2"/>
      <c r="P918" s="2"/>
      <c r="Q918" s="2">
        <v>0</v>
      </c>
      <c r="R918" s="6"/>
    </row>
    <row r="919" spans="1:18" x14ac:dyDescent="0.25">
      <c r="A919" s="2">
        <f t="shared" si="38"/>
        <v>918</v>
      </c>
      <c r="B919" s="2"/>
      <c r="C919" s="2"/>
      <c r="D919" s="2"/>
      <c r="E919" s="2"/>
      <c r="F919" s="2"/>
      <c r="G919" s="2"/>
      <c r="H919" s="2" t="str">
        <f t="shared" si="39"/>
        <v>0 г. 0 мес. 0 дн.</v>
      </c>
      <c r="I919" s="2"/>
      <c r="J919" s="2"/>
      <c r="K919" s="2"/>
      <c r="L919" s="2"/>
      <c r="M919" s="2"/>
      <c r="N919" s="1">
        <v>0</v>
      </c>
      <c r="O919" s="2"/>
      <c r="P919" s="2"/>
      <c r="Q919" s="2">
        <v>0</v>
      </c>
      <c r="R919" s="6"/>
    </row>
    <row r="920" spans="1:18" x14ac:dyDescent="0.25">
      <c r="A920" s="2">
        <f t="shared" si="38"/>
        <v>919</v>
      </c>
      <c r="B920" s="2"/>
      <c r="C920" s="2"/>
      <c r="D920" s="2"/>
      <c r="E920" s="2"/>
      <c r="F920" s="2"/>
      <c r="G920" s="2"/>
      <c r="H920" s="2" t="str">
        <f t="shared" si="39"/>
        <v>0 г. 0 мес. 0 дн.</v>
      </c>
      <c r="I920" s="2"/>
      <c r="J920" s="2"/>
      <c r="K920" s="2"/>
      <c r="L920" s="2"/>
      <c r="M920" s="2"/>
      <c r="N920" s="1">
        <v>0</v>
      </c>
      <c r="O920" s="2"/>
      <c r="P920" s="2"/>
      <c r="Q920" s="2">
        <v>0</v>
      </c>
      <c r="R920" s="6"/>
    </row>
    <row r="921" spans="1:18" x14ac:dyDescent="0.25">
      <c r="A921" s="2">
        <f t="shared" si="38"/>
        <v>920</v>
      </c>
      <c r="B921" s="2"/>
      <c r="C921" s="2"/>
      <c r="D921" s="2"/>
      <c r="E921" s="2"/>
      <c r="F921" s="2"/>
      <c r="G921" s="2"/>
      <c r="H921" s="2" t="str">
        <f t="shared" si="39"/>
        <v>0 г. 0 мес. 0 дн.</v>
      </c>
      <c r="I921" s="2"/>
      <c r="J921" s="2"/>
      <c r="K921" s="2"/>
      <c r="L921" s="2"/>
      <c r="M921" s="2"/>
      <c r="N921" s="1">
        <v>0</v>
      </c>
      <c r="O921" s="2"/>
      <c r="P921" s="2"/>
      <c r="Q921" s="2">
        <v>0</v>
      </c>
      <c r="R921" s="6"/>
    </row>
    <row r="922" spans="1:18" x14ac:dyDescent="0.25">
      <c r="A922" s="2">
        <f t="shared" si="38"/>
        <v>921</v>
      </c>
      <c r="B922" s="2"/>
      <c r="C922" s="2"/>
      <c r="D922" s="2"/>
      <c r="E922" s="2"/>
      <c r="F922" s="2"/>
      <c r="G922" s="2"/>
      <c r="H922" s="2" t="str">
        <f t="shared" si="39"/>
        <v>0 г. 0 мес. 0 дн.</v>
      </c>
      <c r="I922" s="2"/>
      <c r="J922" s="2"/>
      <c r="K922" s="2"/>
      <c r="L922" s="2"/>
      <c r="M922" s="2"/>
      <c r="N922" s="1">
        <v>0</v>
      </c>
      <c r="O922" s="2"/>
      <c r="P922" s="2"/>
      <c r="Q922" s="2">
        <v>0</v>
      </c>
      <c r="R922" s="6"/>
    </row>
    <row r="923" spans="1:18" x14ac:dyDescent="0.25">
      <c r="A923" s="2">
        <f t="shared" si="38"/>
        <v>922</v>
      </c>
      <c r="B923" s="2"/>
      <c r="C923" s="2"/>
      <c r="D923" s="2"/>
      <c r="E923" s="2"/>
      <c r="F923" s="2"/>
      <c r="G923" s="2"/>
      <c r="H923" s="2" t="str">
        <f t="shared" si="39"/>
        <v>0 г. 0 мес. 0 дн.</v>
      </c>
      <c r="I923" s="2"/>
      <c r="J923" s="2"/>
      <c r="K923" s="2"/>
      <c r="L923" s="2"/>
      <c r="M923" s="2"/>
      <c r="N923" s="1">
        <v>0</v>
      </c>
      <c r="O923" s="2"/>
      <c r="P923" s="2"/>
      <c r="Q923" s="2">
        <v>0</v>
      </c>
      <c r="R923" s="6"/>
    </row>
    <row r="924" spans="1:18" x14ac:dyDescent="0.25">
      <c r="A924" s="2">
        <f t="shared" si="38"/>
        <v>923</v>
      </c>
      <c r="B924" s="2"/>
      <c r="C924" s="2"/>
      <c r="D924" s="2"/>
      <c r="E924" s="2"/>
      <c r="F924" s="2"/>
      <c r="G924" s="2"/>
      <c r="H924" s="2" t="str">
        <f t="shared" si="39"/>
        <v>0 г. 0 мес. 0 дн.</v>
      </c>
      <c r="I924" s="2"/>
      <c r="J924" s="2"/>
      <c r="K924" s="2"/>
      <c r="L924" s="2"/>
      <c r="M924" s="2"/>
      <c r="N924" s="1">
        <v>0</v>
      </c>
      <c r="O924" s="2"/>
      <c r="P924" s="2"/>
      <c r="Q924" s="2">
        <v>0</v>
      </c>
      <c r="R924" s="6"/>
    </row>
    <row r="925" spans="1:18" x14ac:dyDescent="0.25">
      <c r="A925" s="2">
        <f t="shared" ref="A925:A988" si="40">ROW(A924)</f>
        <v>924</v>
      </c>
      <c r="B925" s="2"/>
      <c r="C925" s="2"/>
      <c r="D925" s="2"/>
      <c r="E925" s="2"/>
      <c r="F925" s="2"/>
      <c r="G925" s="2"/>
      <c r="H925" s="2" t="str">
        <f t="shared" si="39"/>
        <v>0 г. 0 мес. 0 дн.</v>
      </c>
      <c r="I925" s="2"/>
      <c r="J925" s="2"/>
      <c r="K925" s="2"/>
      <c r="L925" s="2"/>
      <c r="M925" s="2"/>
      <c r="N925" s="1">
        <v>0</v>
      </c>
      <c r="O925" s="2"/>
      <c r="P925" s="2"/>
      <c r="Q925" s="2">
        <v>0</v>
      </c>
      <c r="R925" s="6"/>
    </row>
    <row r="926" spans="1:18" x14ac:dyDescent="0.25">
      <c r="A926" s="2">
        <f t="shared" si="40"/>
        <v>925</v>
      </c>
      <c r="B926" s="2"/>
      <c r="C926" s="2"/>
      <c r="D926" s="2"/>
      <c r="E926" s="2"/>
      <c r="F926" s="2"/>
      <c r="G926" s="2"/>
      <c r="H926" s="2" t="str">
        <f t="shared" si="39"/>
        <v>0 г. 0 мес. 0 дн.</v>
      </c>
      <c r="I926" s="2"/>
      <c r="J926" s="2"/>
      <c r="K926" s="2"/>
      <c r="L926" s="2"/>
      <c r="M926" s="2"/>
      <c r="N926" s="1">
        <v>0</v>
      </c>
      <c r="O926" s="2"/>
      <c r="P926" s="2"/>
      <c r="Q926" s="2">
        <v>0</v>
      </c>
      <c r="R926" s="6"/>
    </row>
    <row r="927" spans="1:18" x14ac:dyDescent="0.25">
      <c r="A927" s="2">
        <f t="shared" si="40"/>
        <v>926</v>
      </c>
      <c r="B927" s="2"/>
      <c r="C927" s="2"/>
      <c r="D927" s="2"/>
      <c r="E927" s="2"/>
      <c r="F927" s="2"/>
      <c r="G927" s="2"/>
      <c r="H927" s="2" t="str">
        <f t="shared" si="39"/>
        <v>0 г. 0 мес. 0 дн.</v>
      </c>
      <c r="I927" s="2"/>
      <c r="J927" s="2"/>
      <c r="K927" s="2"/>
      <c r="L927" s="2"/>
      <c r="M927" s="2"/>
      <c r="N927" s="1">
        <v>0</v>
      </c>
      <c r="O927" s="2"/>
      <c r="P927" s="2"/>
      <c r="Q927" s="2">
        <v>0</v>
      </c>
      <c r="R927" s="6"/>
    </row>
    <row r="928" spans="1:18" x14ac:dyDescent="0.25">
      <c r="A928" s="2">
        <f t="shared" si="40"/>
        <v>927</v>
      </c>
      <c r="B928" s="2"/>
      <c r="C928" s="2"/>
      <c r="D928" s="2"/>
      <c r="E928" s="2"/>
      <c r="F928" s="2"/>
      <c r="G928" s="2"/>
      <c r="H928" s="2" t="str">
        <f t="shared" si="39"/>
        <v>0 г. 0 мес. 0 дн.</v>
      </c>
      <c r="I928" s="2"/>
      <c r="J928" s="2"/>
      <c r="K928" s="2"/>
      <c r="L928" s="2"/>
      <c r="M928" s="2"/>
      <c r="N928" s="1">
        <v>0</v>
      </c>
      <c r="O928" s="2"/>
      <c r="P928" s="2"/>
      <c r="Q928" s="2">
        <v>0</v>
      </c>
      <c r="R928" s="6"/>
    </row>
    <row r="929" spans="1:18" x14ac:dyDescent="0.25">
      <c r="A929" s="2">
        <f t="shared" si="40"/>
        <v>928</v>
      </c>
      <c r="B929" s="2"/>
      <c r="C929" s="2"/>
      <c r="D929" s="2"/>
      <c r="E929" s="2"/>
      <c r="F929" s="2"/>
      <c r="G929" s="2"/>
      <c r="H929" s="2" t="str">
        <f t="shared" si="39"/>
        <v>0 г. 0 мес. 0 дн.</v>
      </c>
      <c r="I929" s="2"/>
      <c r="J929" s="2"/>
      <c r="K929" s="2"/>
      <c r="L929" s="2"/>
      <c r="M929" s="2"/>
      <c r="N929" s="1">
        <v>0</v>
      </c>
      <c r="O929" s="2"/>
      <c r="P929" s="2"/>
      <c r="Q929" s="2">
        <v>0</v>
      </c>
      <c r="R929" s="6"/>
    </row>
    <row r="930" spans="1:18" x14ac:dyDescent="0.25">
      <c r="A930" s="2">
        <f t="shared" si="40"/>
        <v>929</v>
      </c>
      <c r="B930" s="2"/>
      <c r="C930" s="2"/>
      <c r="D930" s="2"/>
      <c r="E930" s="2"/>
      <c r="F930" s="2"/>
      <c r="G930" s="2"/>
      <c r="H930" s="2" t="str">
        <f t="shared" si="39"/>
        <v>0 г. 0 мес. 0 дн.</v>
      </c>
      <c r="I930" s="2"/>
      <c r="J930" s="2"/>
      <c r="K930" s="2"/>
      <c r="L930" s="2"/>
      <c r="M930" s="2"/>
      <c r="N930" s="1">
        <v>0</v>
      </c>
      <c r="O930" s="2"/>
      <c r="P930" s="2"/>
      <c r="Q930" s="2">
        <v>0</v>
      </c>
      <c r="R930" s="6"/>
    </row>
    <row r="931" spans="1:18" x14ac:dyDescent="0.25">
      <c r="A931" s="2">
        <f t="shared" si="40"/>
        <v>930</v>
      </c>
      <c r="B931" s="2"/>
      <c r="C931" s="2"/>
      <c r="D931" s="2"/>
      <c r="E931" s="2"/>
      <c r="F931" s="2"/>
      <c r="G931" s="2"/>
      <c r="H931" s="2" t="str">
        <f t="shared" si="39"/>
        <v>0 г. 0 мес. 0 дн.</v>
      </c>
      <c r="I931" s="2"/>
      <c r="J931" s="2"/>
      <c r="K931" s="2"/>
      <c r="L931" s="2"/>
      <c r="M931" s="2"/>
      <c r="N931" s="1">
        <v>0</v>
      </c>
      <c r="O931" s="2"/>
      <c r="P931" s="2"/>
      <c r="Q931" s="2">
        <v>0</v>
      </c>
      <c r="R931" s="6"/>
    </row>
    <row r="932" spans="1:18" x14ac:dyDescent="0.25">
      <c r="A932" s="2">
        <f t="shared" si="40"/>
        <v>931</v>
      </c>
      <c r="B932" s="2"/>
      <c r="C932" s="2"/>
      <c r="D932" s="2"/>
      <c r="E932" s="2"/>
      <c r="F932" s="2"/>
      <c r="G932" s="2"/>
      <c r="H932" s="2" t="str">
        <f t="shared" si="39"/>
        <v>0 г. 0 мес. 0 дн.</v>
      </c>
      <c r="I932" s="2"/>
      <c r="J932" s="2"/>
      <c r="K932" s="2"/>
      <c r="L932" s="2"/>
      <c r="M932" s="2"/>
      <c r="N932" s="1">
        <v>0</v>
      </c>
      <c r="O932" s="2"/>
      <c r="P932" s="2"/>
      <c r="Q932" s="2">
        <v>0</v>
      </c>
      <c r="R932" s="6"/>
    </row>
    <row r="933" spans="1:18" x14ac:dyDescent="0.25">
      <c r="A933" s="2">
        <f t="shared" si="40"/>
        <v>932</v>
      </c>
      <c r="B933" s="2"/>
      <c r="C933" s="2"/>
      <c r="D933" s="2"/>
      <c r="E933" s="2"/>
      <c r="F933" s="2"/>
      <c r="G933" s="2"/>
      <c r="H933" s="2" t="str">
        <f t="shared" si="39"/>
        <v>0 г. 0 мес. 0 дн.</v>
      </c>
      <c r="I933" s="2"/>
      <c r="J933" s="2"/>
      <c r="K933" s="2"/>
      <c r="L933" s="2"/>
      <c r="M933" s="2"/>
      <c r="N933" s="1">
        <v>0</v>
      </c>
      <c r="O933" s="2"/>
      <c r="P933" s="2"/>
      <c r="Q933" s="2">
        <v>0</v>
      </c>
      <c r="R933" s="6"/>
    </row>
    <row r="934" spans="1:18" x14ac:dyDescent="0.25">
      <c r="A934" s="2">
        <f t="shared" si="40"/>
        <v>933</v>
      </c>
      <c r="B934" s="2"/>
      <c r="C934" s="2"/>
      <c r="D934" s="2"/>
      <c r="E934" s="2"/>
      <c r="F934" s="2"/>
      <c r="G934" s="2"/>
      <c r="H934" s="2" t="str">
        <f t="shared" si="39"/>
        <v>0 г. 0 мес. 0 дн.</v>
      </c>
      <c r="I934" s="2"/>
      <c r="J934" s="2"/>
      <c r="K934" s="2"/>
      <c r="L934" s="2"/>
      <c r="M934" s="2"/>
      <c r="N934" s="1">
        <v>0</v>
      </c>
      <c r="O934" s="2"/>
      <c r="P934" s="2"/>
      <c r="Q934" s="2">
        <v>0</v>
      </c>
      <c r="R934" s="6"/>
    </row>
    <row r="935" spans="1:18" x14ac:dyDescent="0.25">
      <c r="A935" s="2">
        <f t="shared" si="40"/>
        <v>934</v>
      </c>
      <c r="B935" s="2"/>
      <c r="C935" s="2"/>
      <c r="D935" s="2"/>
      <c r="E935" s="2"/>
      <c r="F935" s="2"/>
      <c r="G935" s="2"/>
      <c r="H935" s="2" t="str">
        <f t="shared" si="39"/>
        <v>0 г. 0 мес. 0 дн.</v>
      </c>
      <c r="I935" s="2"/>
      <c r="J935" s="2"/>
      <c r="K935" s="2"/>
      <c r="L935" s="2"/>
      <c r="M935" s="2"/>
      <c r="N935" s="1">
        <v>0</v>
      </c>
      <c r="O935" s="2"/>
      <c r="P935" s="2"/>
      <c r="Q935" s="2">
        <v>0</v>
      </c>
      <c r="R935" s="6"/>
    </row>
    <row r="936" spans="1:18" x14ac:dyDescent="0.25">
      <c r="A936" s="2">
        <f t="shared" si="40"/>
        <v>935</v>
      </c>
      <c r="B936" s="2"/>
      <c r="C936" s="2"/>
      <c r="D936" s="2"/>
      <c r="E936" s="2"/>
      <c r="F936" s="2"/>
      <c r="G936" s="2"/>
      <c r="H936" s="2" t="str">
        <f t="shared" si="39"/>
        <v>0 г. 0 мес. 0 дн.</v>
      </c>
      <c r="I936" s="2"/>
      <c r="J936" s="2"/>
      <c r="K936" s="2"/>
      <c r="L936" s="2"/>
      <c r="M936" s="2"/>
      <c r="N936" s="1">
        <v>0</v>
      </c>
      <c r="O936" s="2"/>
      <c r="P936" s="2"/>
      <c r="Q936" s="2">
        <v>0</v>
      </c>
      <c r="R936" s="6"/>
    </row>
    <row r="937" spans="1:18" x14ac:dyDescent="0.25">
      <c r="A937" s="2">
        <f t="shared" si="40"/>
        <v>936</v>
      </c>
      <c r="B937" s="2"/>
      <c r="C937" s="2"/>
      <c r="D937" s="2"/>
      <c r="E937" s="2"/>
      <c r="F937" s="2"/>
      <c r="G937" s="2"/>
      <c r="H937" s="2" t="str">
        <f t="shared" si="39"/>
        <v>0 г. 0 мес. 0 дн.</v>
      </c>
      <c r="I937" s="2"/>
      <c r="J937" s="2"/>
      <c r="K937" s="2"/>
      <c r="L937" s="2"/>
      <c r="M937" s="2"/>
      <c r="N937" s="1">
        <v>0</v>
      </c>
      <c r="O937" s="2"/>
      <c r="P937" s="2"/>
      <c r="Q937" s="2">
        <v>0</v>
      </c>
      <c r="R937" s="6"/>
    </row>
    <row r="938" spans="1:18" x14ac:dyDescent="0.25">
      <c r="A938" s="2">
        <f t="shared" si="40"/>
        <v>937</v>
      </c>
      <c r="B938" s="2"/>
      <c r="C938" s="2"/>
      <c r="D938" s="2"/>
      <c r="E938" s="2"/>
      <c r="F938" s="2"/>
      <c r="G938" s="2"/>
      <c r="H938" s="2" t="str">
        <f t="shared" si="39"/>
        <v>0 г. 0 мес. 0 дн.</v>
      </c>
      <c r="I938" s="2"/>
      <c r="J938" s="2"/>
      <c r="K938" s="2"/>
      <c r="L938" s="2"/>
      <c r="M938" s="2"/>
      <c r="N938" s="1">
        <v>0</v>
      </c>
      <c r="O938" s="2"/>
      <c r="P938" s="2"/>
      <c r="Q938" s="2">
        <v>0</v>
      </c>
      <c r="R938" s="6"/>
    </row>
    <row r="939" spans="1:18" x14ac:dyDescent="0.25">
      <c r="A939" s="2">
        <f t="shared" si="40"/>
        <v>938</v>
      </c>
      <c r="B939" s="2"/>
      <c r="C939" s="2"/>
      <c r="D939" s="2"/>
      <c r="E939" s="2"/>
      <c r="F939" s="2"/>
      <c r="G939" s="2"/>
      <c r="H939" s="2" t="str">
        <f t="shared" si="39"/>
        <v>0 г. 0 мес. 0 дн.</v>
      </c>
      <c r="I939" s="2"/>
      <c r="J939" s="2"/>
      <c r="K939" s="2"/>
      <c r="L939" s="2"/>
      <c r="M939" s="2"/>
      <c r="N939" s="1">
        <v>0</v>
      </c>
      <c r="O939" s="2"/>
      <c r="P939" s="2"/>
      <c r="Q939" s="2">
        <v>0</v>
      </c>
      <c r="R939" s="6"/>
    </row>
    <row r="940" spans="1:18" x14ac:dyDescent="0.25">
      <c r="A940" s="2">
        <f t="shared" si="40"/>
        <v>939</v>
      </c>
      <c r="B940" s="2"/>
      <c r="C940" s="2"/>
      <c r="D940" s="2"/>
      <c r="E940" s="2"/>
      <c r="F940" s="2"/>
      <c r="G940" s="2"/>
      <c r="H940" s="2" t="str">
        <f t="shared" si="39"/>
        <v>0 г. 0 мес. 0 дн.</v>
      </c>
      <c r="I940" s="2"/>
      <c r="J940" s="2"/>
      <c r="K940" s="2"/>
      <c r="L940" s="2"/>
      <c r="M940" s="2"/>
      <c r="N940" s="1">
        <v>0</v>
      </c>
      <c r="O940" s="2"/>
      <c r="P940" s="2"/>
      <c r="Q940" s="2">
        <v>0</v>
      </c>
      <c r="R940" s="6"/>
    </row>
    <row r="941" spans="1:18" x14ac:dyDescent="0.25">
      <c r="A941" s="2">
        <f t="shared" si="40"/>
        <v>940</v>
      </c>
      <c r="B941" s="2"/>
      <c r="C941" s="2"/>
      <c r="D941" s="2"/>
      <c r="E941" s="2"/>
      <c r="F941" s="2"/>
      <c r="G941" s="2"/>
      <c r="H941" s="2" t="str">
        <f t="shared" si="39"/>
        <v>0 г. 0 мес. 0 дн.</v>
      </c>
      <c r="I941" s="2"/>
      <c r="J941" s="2"/>
      <c r="K941" s="2"/>
      <c r="L941" s="2"/>
      <c r="M941" s="2"/>
      <c r="N941" s="1">
        <v>0</v>
      </c>
      <c r="O941" s="2"/>
      <c r="P941" s="2"/>
      <c r="Q941" s="2">
        <v>0</v>
      </c>
      <c r="R941" s="6"/>
    </row>
    <row r="942" spans="1:18" x14ac:dyDescent="0.25">
      <c r="A942" s="2">
        <f t="shared" si="40"/>
        <v>941</v>
      </c>
      <c r="B942" s="2"/>
      <c r="C942" s="2"/>
      <c r="D942" s="2"/>
      <c r="E942" s="2"/>
      <c r="F942" s="2"/>
      <c r="G942" s="2"/>
      <c r="H942" s="2" t="str">
        <f t="shared" si="39"/>
        <v>0 г. 0 мес. 0 дн.</v>
      </c>
      <c r="I942" s="2"/>
      <c r="J942" s="2"/>
      <c r="K942" s="2"/>
      <c r="L942" s="2"/>
      <c r="M942" s="2"/>
      <c r="N942" s="1">
        <v>0</v>
      </c>
      <c r="O942" s="2"/>
      <c r="P942" s="2"/>
      <c r="Q942" s="2">
        <v>0</v>
      </c>
      <c r="R942" s="6"/>
    </row>
    <row r="943" spans="1:18" x14ac:dyDescent="0.25">
      <c r="A943" s="2">
        <f t="shared" si="40"/>
        <v>942</v>
      </c>
      <c r="B943" s="2"/>
      <c r="C943" s="2"/>
      <c r="D943" s="2"/>
      <c r="E943" s="2"/>
      <c r="F943" s="2"/>
      <c r="G943" s="2"/>
      <c r="H943" s="2" t="str">
        <f t="shared" si="39"/>
        <v>0 г. 0 мес. 0 дн.</v>
      </c>
      <c r="I943" s="2"/>
      <c r="J943" s="2"/>
      <c r="K943" s="2"/>
      <c r="L943" s="2"/>
      <c r="M943" s="2"/>
      <c r="N943" s="1">
        <v>0</v>
      </c>
      <c r="O943" s="2"/>
      <c r="P943" s="2"/>
      <c r="Q943" s="2">
        <v>0</v>
      </c>
      <c r="R943" s="6"/>
    </row>
    <row r="944" spans="1:18" x14ac:dyDescent="0.25">
      <c r="A944" s="2">
        <f t="shared" si="40"/>
        <v>943</v>
      </c>
      <c r="B944" s="2"/>
      <c r="C944" s="2"/>
      <c r="D944" s="2"/>
      <c r="E944" s="2"/>
      <c r="F944" s="2"/>
      <c r="G944" s="2"/>
      <c r="H944" s="2" t="str">
        <f t="shared" si="39"/>
        <v>0 г. 0 мес. 0 дн.</v>
      </c>
      <c r="I944" s="2"/>
      <c r="J944" s="2"/>
      <c r="K944" s="2"/>
      <c r="L944" s="2"/>
      <c r="M944" s="2"/>
      <c r="N944" s="1">
        <v>0</v>
      </c>
      <c r="O944" s="2"/>
      <c r="P944" s="2"/>
      <c r="Q944" s="2">
        <v>0</v>
      </c>
      <c r="R944" s="6"/>
    </row>
    <row r="945" spans="1:18" x14ac:dyDescent="0.25">
      <c r="A945" s="2">
        <f t="shared" si="40"/>
        <v>944</v>
      </c>
      <c r="B945" s="2"/>
      <c r="C945" s="2"/>
      <c r="D945" s="2"/>
      <c r="E945" s="2"/>
      <c r="F945" s="2"/>
      <c r="G945" s="2"/>
      <c r="H945" s="2" t="str">
        <f t="shared" si="39"/>
        <v>0 г. 0 мес. 0 дн.</v>
      </c>
      <c r="I945" s="2"/>
      <c r="J945" s="2"/>
      <c r="K945" s="2"/>
      <c r="L945" s="2"/>
      <c r="M945" s="2"/>
      <c r="N945" s="1">
        <v>0</v>
      </c>
      <c r="O945" s="2"/>
      <c r="P945" s="2"/>
      <c r="Q945" s="2">
        <v>0</v>
      </c>
      <c r="R945" s="6"/>
    </row>
    <row r="946" spans="1:18" x14ac:dyDescent="0.25">
      <c r="A946" s="2">
        <f t="shared" si="40"/>
        <v>945</v>
      </c>
      <c r="B946" s="2"/>
      <c r="C946" s="2"/>
      <c r="D946" s="2"/>
      <c r="E946" s="2"/>
      <c r="F946" s="2"/>
      <c r="G946" s="2"/>
      <c r="H946" s="2" t="str">
        <f t="shared" si="39"/>
        <v>0 г. 0 мес. 0 дн.</v>
      </c>
      <c r="I946" s="2"/>
      <c r="J946" s="2"/>
      <c r="K946" s="2"/>
      <c r="L946" s="2"/>
      <c r="M946" s="2"/>
      <c r="N946" s="1">
        <v>0</v>
      </c>
      <c r="O946" s="2"/>
      <c r="P946" s="2"/>
      <c r="Q946" s="2">
        <v>0</v>
      </c>
      <c r="R946" s="6"/>
    </row>
    <row r="947" spans="1:18" x14ac:dyDescent="0.25">
      <c r="A947" s="2">
        <f t="shared" si="40"/>
        <v>946</v>
      </c>
      <c r="B947" s="2"/>
      <c r="C947" s="2"/>
      <c r="D947" s="2"/>
      <c r="E947" s="2"/>
      <c r="F947" s="2"/>
      <c r="G947" s="2"/>
      <c r="H947" s="2" t="str">
        <f t="shared" si="39"/>
        <v>0 г. 0 мес. 0 дн.</v>
      </c>
      <c r="I947" s="2"/>
      <c r="J947" s="2"/>
      <c r="K947" s="2"/>
      <c r="L947" s="2"/>
      <c r="M947" s="2"/>
      <c r="N947" s="1">
        <v>0</v>
      </c>
      <c r="O947" s="2"/>
      <c r="P947" s="2"/>
      <c r="Q947" s="2">
        <v>0</v>
      </c>
      <c r="R947" s="6"/>
    </row>
    <row r="948" spans="1:18" x14ac:dyDescent="0.25">
      <c r="A948" s="2">
        <f t="shared" si="40"/>
        <v>947</v>
      </c>
      <c r="B948" s="2"/>
      <c r="C948" s="2"/>
      <c r="D948" s="2"/>
      <c r="E948" s="2"/>
      <c r="F948" s="2"/>
      <c r="G948" s="2"/>
      <c r="H948" s="2" t="str">
        <f t="shared" si="39"/>
        <v>0 г. 0 мес. 0 дн.</v>
      </c>
      <c r="I948" s="2"/>
      <c r="J948" s="2"/>
      <c r="K948" s="2"/>
      <c r="L948" s="2"/>
      <c r="M948" s="2"/>
      <c r="N948" s="1">
        <v>0</v>
      </c>
      <c r="O948" s="2"/>
      <c r="P948" s="2"/>
      <c r="Q948" s="2">
        <v>0</v>
      </c>
      <c r="R948" s="6"/>
    </row>
    <row r="949" spans="1:18" x14ac:dyDescent="0.25">
      <c r="A949" s="2">
        <f t="shared" si="40"/>
        <v>948</v>
      </c>
      <c r="B949" s="2"/>
      <c r="C949" s="2"/>
      <c r="D949" s="2"/>
      <c r="E949" s="2"/>
      <c r="F949" s="2"/>
      <c r="G949" s="2"/>
      <c r="H949" s="2" t="str">
        <f t="shared" si="39"/>
        <v>0 г. 0 мес. 0 дн.</v>
      </c>
      <c r="I949" s="2"/>
      <c r="J949" s="2"/>
      <c r="K949" s="2"/>
      <c r="L949" s="2"/>
      <c r="M949" s="2"/>
      <c r="N949" s="1">
        <v>0</v>
      </c>
      <c r="O949" s="2"/>
      <c r="P949" s="2"/>
      <c r="Q949" s="2">
        <v>0</v>
      </c>
      <c r="R949" s="6"/>
    </row>
    <row r="950" spans="1:18" x14ac:dyDescent="0.25">
      <c r="A950" s="2">
        <f t="shared" si="40"/>
        <v>949</v>
      </c>
      <c r="B950" s="2"/>
      <c r="C950" s="2"/>
      <c r="D950" s="2"/>
      <c r="E950" s="2"/>
      <c r="F950" s="2"/>
      <c r="G950" s="2"/>
      <c r="H950" s="2" t="str">
        <f t="shared" si="39"/>
        <v>0 г. 0 мес. 0 дн.</v>
      </c>
      <c r="I950" s="2"/>
      <c r="J950" s="2"/>
      <c r="K950" s="2"/>
      <c r="L950" s="2"/>
      <c r="M950" s="2"/>
      <c r="N950" s="1">
        <v>0</v>
      </c>
      <c r="O950" s="2"/>
      <c r="P950" s="2"/>
      <c r="Q950" s="2">
        <v>0</v>
      </c>
      <c r="R950" s="6"/>
    </row>
    <row r="951" spans="1:18" x14ac:dyDescent="0.25">
      <c r="A951" s="2">
        <f t="shared" si="40"/>
        <v>950</v>
      </c>
      <c r="B951" s="2"/>
      <c r="C951" s="2"/>
      <c r="D951" s="2"/>
      <c r="E951" s="2"/>
      <c r="F951" s="2"/>
      <c r="G951" s="2"/>
      <c r="H951" s="2" t="str">
        <f t="shared" si="39"/>
        <v>0 г. 0 мес. 0 дн.</v>
      </c>
      <c r="I951" s="2"/>
      <c r="J951" s="2"/>
      <c r="K951" s="2"/>
      <c r="L951" s="2"/>
      <c r="M951" s="2"/>
      <c r="N951" s="1">
        <v>0</v>
      </c>
      <c r="O951" s="2"/>
      <c r="P951" s="2"/>
      <c r="Q951" s="2">
        <v>0</v>
      </c>
      <c r="R951" s="6"/>
    </row>
    <row r="952" spans="1:18" x14ac:dyDescent="0.25">
      <c r="A952" s="2">
        <f t="shared" si="40"/>
        <v>951</v>
      </c>
      <c r="B952" s="2"/>
      <c r="C952" s="2"/>
      <c r="D952" s="2"/>
      <c r="E952" s="2"/>
      <c r="F952" s="2"/>
      <c r="G952" s="2"/>
      <c r="H952" s="2" t="str">
        <f t="shared" si="39"/>
        <v>0 г. 0 мес. 0 дн.</v>
      </c>
      <c r="I952" s="2"/>
      <c r="J952" s="2"/>
      <c r="K952" s="2"/>
      <c r="L952" s="2"/>
      <c r="M952" s="2"/>
      <c r="N952" s="1">
        <v>0</v>
      </c>
      <c r="O952" s="2"/>
      <c r="P952" s="2"/>
      <c r="Q952" s="2">
        <v>0</v>
      </c>
      <c r="R952" s="6"/>
    </row>
    <row r="953" spans="1:18" x14ac:dyDescent="0.25">
      <c r="A953" s="2">
        <f t="shared" si="40"/>
        <v>952</v>
      </c>
      <c r="B953" s="2"/>
      <c r="C953" s="2"/>
      <c r="D953" s="2"/>
      <c r="E953" s="2"/>
      <c r="F953" s="2"/>
      <c r="G953" s="2"/>
      <c r="H953" s="2" t="str">
        <f t="shared" si="39"/>
        <v>0 г. 0 мес. 0 дн.</v>
      </c>
      <c r="I953" s="2"/>
      <c r="J953" s="2"/>
      <c r="K953" s="2"/>
      <c r="L953" s="2"/>
      <c r="M953" s="2"/>
      <c r="N953" s="1">
        <v>0</v>
      </c>
      <c r="O953" s="2"/>
      <c r="P953" s="2"/>
      <c r="Q953" s="2">
        <v>0</v>
      </c>
      <c r="R953" s="6"/>
    </row>
    <row r="954" spans="1:18" x14ac:dyDescent="0.25">
      <c r="A954" s="2">
        <f t="shared" si="40"/>
        <v>953</v>
      </c>
      <c r="B954" s="2"/>
      <c r="C954" s="2"/>
      <c r="D954" s="2"/>
      <c r="E954" s="2"/>
      <c r="F954" s="2"/>
      <c r="G954" s="2"/>
      <c r="H954" s="2" t="str">
        <f t="shared" si="39"/>
        <v>0 г. 0 мес. 0 дн.</v>
      </c>
      <c r="I954" s="2"/>
      <c r="J954" s="2"/>
      <c r="K954" s="2"/>
      <c r="L954" s="2"/>
      <c r="M954" s="2"/>
      <c r="N954" s="1">
        <v>0</v>
      </c>
      <c r="O954" s="2"/>
      <c r="P954" s="2"/>
      <c r="Q954" s="2">
        <v>0</v>
      </c>
      <c r="R954" s="6"/>
    </row>
    <row r="955" spans="1:18" x14ac:dyDescent="0.25">
      <c r="A955" s="2">
        <f t="shared" si="40"/>
        <v>954</v>
      </c>
      <c r="B955" s="2"/>
      <c r="C955" s="2"/>
      <c r="D955" s="2"/>
      <c r="E955" s="2"/>
      <c r="F955" s="2"/>
      <c r="G955" s="2"/>
      <c r="H955" s="2" t="str">
        <f t="shared" si="39"/>
        <v>0 г. 0 мес. 0 дн.</v>
      </c>
      <c r="I955" s="2"/>
      <c r="J955" s="2"/>
      <c r="K955" s="2"/>
      <c r="L955" s="2"/>
      <c r="M955" s="2"/>
      <c r="N955" s="1">
        <v>0</v>
      </c>
      <c r="O955" s="2"/>
      <c r="P955" s="2"/>
      <c r="Q955" s="2">
        <v>0</v>
      </c>
      <c r="R955" s="6"/>
    </row>
    <row r="956" spans="1:18" x14ac:dyDescent="0.25">
      <c r="A956" s="2">
        <f t="shared" si="40"/>
        <v>955</v>
      </c>
      <c r="B956" s="2"/>
      <c r="C956" s="2"/>
      <c r="D956" s="2"/>
      <c r="E956" s="2"/>
      <c r="F956" s="2"/>
      <c r="G956" s="2"/>
      <c r="H956" s="2" t="str">
        <f t="shared" si="39"/>
        <v>0 г. 0 мес. 0 дн.</v>
      </c>
      <c r="I956" s="2"/>
      <c r="J956" s="2"/>
      <c r="K956" s="2"/>
      <c r="L956" s="2"/>
      <c r="M956" s="2"/>
      <c r="N956" s="1">
        <v>0</v>
      </c>
      <c r="O956" s="2"/>
      <c r="P956" s="2"/>
      <c r="Q956" s="2">
        <v>0</v>
      </c>
      <c r="R956" s="6"/>
    </row>
    <row r="957" spans="1:18" x14ac:dyDescent="0.25">
      <c r="A957" s="2">
        <f t="shared" si="40"/>
        <v>956</v>
      </c>
      <c r="B957" s="2"/>
      <c r="C957" s="2"/>
      <c r="D957" s="2"/>
      <c r="E957" s="2"/>
      <c r="F957" s="2"/>
      <c r="G957" s="2"/>
      <c r="H957" s="2" t="str">
        <f t="shared" si="39"/>
        <v>0 г. 0 мес. 0 дн.</v>
      </c>
      <c r="I957" s="2"/>
      <c r="J957" s="2"/>
      <c r="K957" s="2"/>
      <c r="L957" s="2"/>
      <c r="M957" s="2"/>
      <c r="N957" s="1">
        <v>0</v>
      </c>
      <c r="O957" s="2"/>
      <c r="P957" s="2"/>
      <c r="Q957" s="2">
        <v>0</v>
      </c>
      <c r="R957" s="6"/>
    </row>
    <row r="958" spans="1:18" x14ac:dyDescent="0.25">
      <c r="A958" s="2">
        <f t="shared" si="40"/>
        <v>957</v>
      </c>
      <c r="B958" s="2"/>
      <c r="C958" s="2"/>
      <c r="D958" s="2"/>
      <c r="E958" s="2"/>
      <c r="F958" s="2"/>
      <c r="G958" s="2"/>
      <c r="H958" s="2" t="str">
        <f t="shared" si="39"/>
        <v>0 г. 0 мес. 0 дн.</v>
      </c>
      <c r="I958" s="2"/>
      <c r="J958" s="2"/>
      <c r="K958" s="2"/>
      <c r="L958" s="2"/>
      <c r="M958" s="2"/>
      <c r="N958" s="1">
        <v>0</v>
      </c>
      <c r="O958" s="2"/>
      <c r="P958" s="2"/>
      <c r="Q958" s="2">
        <v>0</v>
      </c>
      <c r="R958" s="6"/>
    </row>
    <row r="959" spans="1:18" x14ac:dyDescent="0.25">
      <c r="A959" s="2">
        <f t="shared" si="40"/>
        <v>958</v>
      </c>
      <c r="B959" s="2"/>
      <c r="C959" s="2"/>
      <c r="D959" s="2"/>
      <c r="E959" s="2"/>
      <c r="F959" s="2"/>
      <c r="G959" s="2"/>
      <c r="H959" s="2" t="str">
        <f t="shared" si="39"/>
        <v>0 г. 0 мес. 0 дн.</v>
      </c>
      <c r="I959" s="2"/>
      <c r="J959" s="2"/>
      <c r="K959" s="2"/>
      <c r="L959" s="2"/>
      <c r="M959" s="2"/>
      <c r="N959" s="1">
        <v>0</v>
      </c>
      <c r="O959" s="2"/>
      <c r="P959" s="2"/>
      <c r="Q959" s="2">
        <v>0</v>
      </c>
      <c r="R959" s="6"/>
    </row>
    <row r="960" spans="1:18" x14ac:dyDescent="0.25">
      <c r="A960" s="2">
        <f t="shared" si="40"/>
        <v>959</v>
      </c>
      <c r="B960" s="2"/>
      <c r="C960" s="2"/>
      <c r="D960" s="2"/>
      <c r="E960" s="2"/>
      <c r="F960" s="2"/>
      <c r="G960" s="2"/>
      <c r="H960" s="2" t="str">
        <f t="shared" si="39"/>
        <v>0 г. 0 мес. 0 дн.</v>
      </c>
      <c r="I960" s="2"/>
      <c r="J960" s="2"/>
      <c r="K960" s="2"/>
      <c r="L960" s="2"/>
      <c r="M960" s="2"/>
      <c r="N960" s="1">
        <v>0</v>
      </c>
      <c r="O960" s="2"/>
      <c r="P960" s="2"/>
      <c r="Q960" s="2">
        <v>0</v>
      </c>
      <c r="R960" s="6"/>
    </row>
    <row r="961" spans="1:18" x14ac:dyDescent="0.25">
      <c r="A961" s="2">
        <f t="shared" si="40"/>
        <v>960</v>
      </c>
      <c r="B961" s="2"/>
      <c r="C961" s="2"/>
      <c r="D961" s="2"/>
      <c r="E961" s="2"/>
      <c r="F961" s="2"/>
      <c r="G961" s="2"/>
      <c r="H961" s="2" t="str">
        <f t="shared" si="39"/>
        <v>0 г. 0 мес. 0 дн.</v>
      </c>
      <c r="I961" s="2"/>
      <c r="J961" s="2"/>
      <c r="K961" s="2"/>
      <c r="L961" s="2"/>
      <c r="M961" s="2"/>
      <c r="N961" s="1">
        <v>0</v>
      </c>
      <c r="O961" s="2"/>
      <c r="P961" s="2"/>
      <c r="Q961" s="2">
        <v>0</v>
      </c>
      <c r="R961" s="6"/>
    </row>
    <row r="962" spans="1:18" x14ac:dyDescent="0.25">
      <c r="A962" s="2">
        <f t="shared" si="40"/>
        <v>961</v>
      </c>
      <c r="B962" s="2"/>
      <c r="C962" s="2"/>
      <c r="D962" s="2"/>
      <c r="E962" s="2"/>
      <c r="F962" s="2"/>
      <c r="G962" s="2"/>
      <c r="H962" s="2" t="str">
        <f t="shared" si="39"/>
        <v>0 г. 0 мес. 0 дн.</v>
      </c>
      <c r="I962" s="2"/>
      <c r="J962" s="2"/>
      <c r="K962" s="2"/>
      <c r="L962" s="2"/>
      <c r="M962" s="2"/>
      <c r="N962" s="1">
        <v>0</v>
      </c>
      <c r="O962" s="2"/>
      <c r="P962" s="2"/>
      <c r="Q962" s="2">
        <v>0</v>
      </c>
      <c r="R962" s="6"/>
    </row>
    <row r="963" spans="1:18" x14ac:dyDescent="0.25">
      <c r="A963" s="2">
        <f t="shared" si="40"/>
        <v>962</v>
      </c>
      <c r="B963" s="2"/>
      <c r="C963" s="2"/>
      <c r="D963" s="2"/>
      <c r="E963" s="2"/>
      <c r="F963" s="2"/>
      <c r="G963" s="2"/>
      <c r="H963" s="2" t="str">
        <f t="shared" si="39"/>
        <v>0 г. 0 мес. 0 дн.</v>
      </c>
      <c r="I963" s="2"/>
      <c r="J963" s="2"/>
      <c r="K963" s="2"/>
      <c r="L963" s="2"/>
      <c r="M963" s="2"/>
      <c r="N963" s="1">
        <v>0</v>
      </c>
      <c r="O963" s="2"/>
      <c r="P963" s="2"/>
      <c r="Q963" s="2">
        <v>0</v>
      </c>
      <c r="R963" s="6"/>
    </row>
    <row r="964" spans="1:18" x14ac:dyDescent="0.25">
      <c r="A964" s="2">
        <f t="shared" si="40"/>
        <v>963</v>
      </c>
      <c r="B964" s="2"/>
      <c r="C964" s="2"/>
      <c r="D964" s="2"/>
      <c r="E964" s="2"/>
      <c r="F964" s="2"/>
      <c r="G964" s="2"/>
      <c r="H964" s="2" t="str">
        <f t="shared" ref="H964:H1027" si="41">DATEDIF(G964,D964,"y") &amp; " г. " &amp; DATEDIF(G964,D964,"ym") &amp; " мес. " &amp; DATEDIF(G964,D964,"md") &amp; " дн."</f>
        <v>0 г. 0 мес. 0 дн.</v>
      </c>
      <c r="I964" s="2"/>
      <c r="J964" s="2"/>
      <c r="K964" s="2"/>
      <c r="L964" s="2"/>
      <c r="M964" s="2"/>
      <c r="N964" s="1">
        <v>0</v>
      </c>
      <c r="O964" s="2"/>
      <c r="P964" s="2"/>
      <c r="Q964" s="2">
        <v>0</v>
      </c>
      <c r="R964" s="6"/>
    </row>
    <row r="965" spans="1:18" x14ac:dyDescent="0.25">
      <c r="A965" s="2">
        <f t="shared" si="40"/>
        <v>964</v>
      </c>
      <c r="B965" s="2"/>
      <c r="C965" s="2"/>
      <c r="D965" s="2"/>
      <c r="E965" s="2"/>
      <c r="F965" s="2"/>
      <c r="G965" s="2"/>
      <c r="H965" s="2" t="str">
        <f t="shared" si="41"/>
        <v>0 г. 0 мес. 0 дн.</v>
      </c>
      <c r="I965" s="2"/>
      <c r="J965" s="2"/>
      <c r="K965" s="2"/>
      <c r="L965" s="2"/>
      <c r="M965" s="2"/>
      <c r="N965" s="1">
        <v>0</v>
      </c>
      <c r="O965" s="2"/>
      <c r="P965" s="2"/>
      <c r="Q965" s="2">
        <v>0</v>
      </c>
      <c r="R965" s="6"/>
    </row>
    <row r="966" spans="1:18" x14ac:dyDescent="0.25">
      <c r="A966" s="2">
        <f t="shared" si="40"/>
        <v>965</v>
      </c>
      <c r="B966" s="2"/>
      <c r="C966" s="2"/>
      <c r="D966" s="2"/>
      <c r="E966" s="2"/>
      <c r="F966" s="2"/>
      <c r="G966" s="2"/>
      <c r="H966" s="2" t="str">
        <f t="shared" si="41"/>
        <v>0 г. 0 мес. 0 дн.</v>
      </c>
      <c r="I966" s="2"/>
      <c r="J966" s="2"/>
      <c r="K966" s="2"/>
      <c r="L966" s="2"/>
      <c r="M966" s="2"/>
      <c r="N966" s="1">
        <v>0</v>
      </c>
      <c r="O966" s="2"/>
      <c r="P966" s="2"/>
      <c r="Q966" s="2">
        <v>0</v>
      </c>
      <c r="R966" s="6"/>
    </row>
    <row r="967" spans="1:18" x14ac:dyDescent="0.25">
      <c r="A967" s="2">
        <f t="shared" si="40"/>
        <v>966</v>
      </c>
      <c r="B967" s="2"/>
      <c r="C967" s="2"/>
      <c r="D967" s="2"/>
      <c r="E967" s="2"/>
      <c r="F967" s="2"/>
      <c r="G967" s="2"/>
      <c r="H967" s="2" t="str">
        <f t="shared" si="41"/>
        <v>0 г. 0 мес. 0 дн.</v>
      </c>
      <c r="I967" s="2"/>
      <c r="J967" s="2"/>
      <c r="K967" s="2"/>
      <c r="L967" s="2"/>
      <c r="M967" s="2"/>
      <c r="N967" s="1">
        <v>0</v>
      </c>
      <c r="O967" s="2"/>
      <c r="P967" s="2"/>
      <c r="Q967" s="2">
        <v>0</v>
      </c>
      <c r="R967" s="6"/>
    </row>
    <row r="968" spans="1:18" x14ac:dyDescent="0.25">
      <c r="A968" s="2">
        <f t="shared" si="40"/>
        <v>967</v>
      </c>
      <c r="B968" s="2"/>
      <c r="C968" s="2"/>
      <c r="D968" s="2"/>
      <c r="E968" s="2"/>
      <c r="F968" s="2"/>
      <c r="G968" s="2"/>
      <c r="H968" s="2" t="str">
        <f t="shared" si="41"/>
        <v>0 г. 0 мес. 0 дн.</v>
      </c>
      <c r="I968" s="2"/>
      <c r="J968" s="2"/>
      <c r="K968" s="2"/>
      <c r="L968" s="2"/>
      <c r="M968" s="2"/>
      <c r="N968" s="1">
        <v>0</v>
      </c>
      <c r="O968" s="2"/>
      <c r="P968" s="2"/>
      <c r="Q968" s="2">
        <v>0</v>
      </c>
      <c r="R968" s="6"/>
    </row>
    <row r="969" spans="1:18" x14ac:dyDescent="0.25">
      <c r="A969" s="2">
        <f t="shared" si="40"/>
        <v>968</v>
      </c>
      <c r="B969" s="2"/>
      <c r="C969" s="2"/>
      <c r="D969" s="2"/>
      <c r="E969" s="2"/>
      <c r="F969" s="2"/>
      <c r="G969" s="2"/>
      <c r="H969" s="2" t="str">
        <f t="shared" si="41"/>
        <v>0 г. 0 мес. 0 дн.</v>
      </c>
      <c r="I969" s="2"/>
      <c r="J969" s="2"/>
      <c r="K969" s="2"/>
      <c r="L969" s="2"/>
      <c r="M969" s="2"/>
      <c r="N969" s="1">
        <v>0</v>
      </c>
      <c r="O969" s="2"/>
      <c r="P969" s="2"/>
      <c r="Q969" s="2">
        <v>0</v>
      </c>
      <c r="R969" s="6"/>
    </row>
    <row r="970" spans="1:18" x14ac:dyDescent="0.25">
      <c r="A970" s="2">
        <f t="shared" si="40"/>
        <v>969</v>
      </c>
      <c r="B970" s="2"/>
      <c r="C970" s="2"/>
      <c r="D970" s="2"/>
      <c r="E970" s="2"/>
      <c r="F970" s="2"/>
      <c r="G970" s="2"/>
      <c r="H970" s="2" t="str">
        <f t="shared" si="41"/>
        <v>0 г. 0 мес. 0 дн.</v>
      </c>
      <c r="I970" s="2"/>
      <c r="J970" s="2"/>
      <c r="K970" s="2"/>
      <c r="L970" s="2"/>
      <c r="M970" s="2"/>
      <c r="N970" s="1">
        <v>0</v>
      </c>
      <c r="O970" s="2"/>
      <c r="P970" s="2"/>
      <c r="Q970" s="2">
        <v>0</v>
      </c>
      <c r="R970" s="6"/>
    </row>
    <row r="971" spans="1:18" x14ac:dyDescent="0.25">
      <c r="A971" s="2">
        <f t="shared" si="40"/>
        <v>970</v>
      </c>
      <c r="B971" s="2"/>
      <c r="C971" s="2"/>
      <c r="D971" s="2"/>
      <c r="E971" s="2"/>
      <c r="F971" s="2"/>
      <c r="G971" s="2"/>
      <c r="H971" s="2" t="str">
        <f t="shared" si="41"/>
        <v>0 г. 0 мес. 0 дн.</v>
      </c>
      <c r="I971" s="2"/>
      <c r="J971" s="2"/>
      <c r="K971" s="2"/>
      <c r="L971" s="2"/>
      <c r="M971" s="2"/>
      <c r="N971" s="1">
        <v>0</v>
      </c>
      <c r="O971" s="2"/>
      <c r="P971" s="2"/>
      <c r="Q971" s="2">
        <v>0</v>
      </c>
      <c r="R971" s="6"/>
    </row>
    <row r="972" spans="1:18" x14ac:dyDescent="0.25">
      <c r="A972" s="2">
        <f t="shared" si="40"/>
        <v>971</v>
      </c>
      <c r="B972" s="2"/>
      <c r="C972" s="2"/>
      <c r="D972" s="2"/>
      <c r="E972" s="2"/>
      <c r="F972" s="2"/>
      <c r="G972" s="2"/>
      <c r="H972" s="2" t="str">
        <f t="shared" si="41"/>
        <v>0 г. 0 мес. 0 дн.</v>
      </c>
      <c r="I972" s="2"/>
      <c r="J972" s="2"/>
      <c r="K972" s="2"/>
      <c r="L972" s="2"/>
      <c r="M972" s="2"/>
      <c r="N972" s="1">
        <v>0</v>
      </c>
      <c r="O972" s="2"/>
      <c r="P972" s="2"/>
      <c r="Q972" s="2">
        <v>0</v>
      </c>
      <c r="R972" s="6"/>
    </row>
    <row r="973" spans="1:18" x14ac:dyDescent="0.25">
      <c r="A973" s="2">
        <f t="shared" si="40"/>
        <v>972</v>
      </c>
      <c r="B973" s="2"/>
      <c r="C973" s="2"/>
      <c r="D973" s="2"/>
      <c r="E973" s="2"/>
      <c r="F973" s="2"/>
      <c r="G973" s="2"/>
      <c r="H973" s="2" t="str">
        <f t="shared" si="41"/>
        <v>0 г. 0 мес. 0 дн.</v>
      </c>
      <c r="I973" s="2"/>
      <c r="J973" s="2"/>
      <c r="K973" s="2"/>
      <c r="L973" s="2"/>
      <c r="M973" s="2"/>
      <c r="N973" s="1">
        <v>0</v>
      </c>
      <c r="O973" s="2"/>
      <c r="P973" s="2"/>
      <c r="Q973" s="2">
        <v>0</v>
      </c>
      <c r="R973" s="6"/>
    </row>
    <row r="974" spans="1:18" x14ac:dyDescent="0.25">
      <c r="A974" s="2">
        <f t="shared" si="40"/>
        <v>973</v>
      </c>
      <c r="B974" s="2"/>
      <c r="C974" s="2"/>
      <c r="D974" s="2"/>
      <c r="E974" s="2"/>
      <c r="F974" s="2"/>
      <c r="G974" s="2"/>
      <c r="H974" s="2" t="str">
        <f t="shared" si="41"/>
        <v>0 г. 0 мес. 0 дн.</v>
      </c>
      <c r="I974" s="2"/>
      <c r="J974" s="2"/>
      <c r="K974" s="2"/>
      <c r="L974" s="2"/>
      <c r="M974" s="2"/>
      <c r="N974" s="1">
        <v>0</v>
      </c>
      <c r="O974" s="2"/>
      <c r="P974" s="2"/>
      <c r="Q974" s="2">
        <v>0</v>
      </c>
      <c r="R974" s="6"/>
    </row>
    <row r="975" spans="1:18" x14ac:dyDescent="0.25">
      <c r="A975" s="2">
        <f t="shared" si="40"/>
        <v>974</v>
      </c>
      <c r="B975" s="2"/>
      <c r="C975" s="2"/>
      <c r="D975" s="2"/>
      <c r="E975" s="2"/>
      <c r="F975" s="2"/>
      <c r="G975" s="2"/>
      <c r="H975" s="2" t="str">
        <f t="shared" si="41"/>
        <v>0 г. 0 мес. 0 дн.</v>
      </c>
      <c r="I975" s="2"/>
      <c r="J975" s="2"/>
      <c r="K975" s="2"/>
      <c r="L975" s="2"/>
      <c r="M975" s="2"/>
      <c r="N975" s="1">
        <v>0</v>
      </c>
      <c r="O975" s="2"/>
      <c r="P975" s="2"/>
      <c r="Q975" s="2">
        <v>0</v>
      </c>
      <c r="R975" s="6"/>
    </row>
    <row r="976" spans="1:18" x14ac:dyDescent="0.25">
      <c r="A976" s="2">
        <f t="shared" si="40"/>
        <v>975</v>
      </c>
      <c r="B976" s="2"/>
      <c r="C976" s="2"/>
      <c r="D976" s="2"/>
      <c r="E976" s="2"/>
      <c r="F976" s="2"/>
      <c r="G976" s="2"/>
      <c r="H976" s="2" t="str">
        <f t="shared" si="41"/>
        <v>0 г. 0 мес. 0 дн.</v>
      </c>
      <c r="I976" s="2"/>
      <c r="J976" s="2"/>
      <c r="K976" s="2"/>
      <c r="L976" s="2"/>
      <c r="M976" s="2"/>
      <c r="N976" s="1">
        <v>0</v>
      </c>
      <c r="O976" s="2"/>
      <c r="P976" s="2"/>
      <c r="Q976" s="2">
        <v>0</v>
      </c>
      <c r="R976" s="6"/>
    </row>
    <row r="977" spans="1:18" x14ac:dyDescent="0.25">
      <c r="A977" s="2">
        <f t="shared" si="40"/>
        <v>976</v>
      </c>
      <c r="B977" s="2"/>
      <c r="C977" s="2"/>
      <c r="D977" s="2"/>
      <c r="E977" s="2"/>
      <c r="F977" s="2"/>
      <c r="G977" s="2"/>
      <c r="H977" s="2" t="str">
        <f t="shared" si="41"/>
        <v>0 г. 0 мес. 0 дн.</v>
      </c>
      <c r="I977" s="2"/>
      <c r="J977" s="2"/>
      <c r="K977" s="2"/>
      <c r="L977" s="2"/>
      <c r="M977" s="2"/>
      <c r="N977" s="1">
        <v>0</v>
      </c>
      <c r="O977" s="2"/>
      <c r="P977" s="2"/>
      <c r="Q977" s="2">
        <v>0</v>
      </c>
      <c r="R977" s="6"/>
    </row>
    <row r="978" spans="1:18" x14ac:dyDescent="0.25">
      <c r="A978" s="2">
        <f t="shared" si="40"/>
        <v>977</v>
      </c>
      <c r="B978" s="2"/>
      <c r="C978" s="2"/>
      <c r="D978" s="2"/>
      <c r="E978" s="2"/>
      <c r="F978" s="2"/>
      <c r="G978" s="2"/>
      <c r="H978" s="2" t="str">
        <f t="shared" si="41"/>
        <v>0 г. 0 мес. 0 дн.</v>
      </c>
      <c r="I978" s="2"/>
      <c r="J978" s="2"/>
      <c r="K978" s="2"/>
      <c r="L978" s="2"/>
      <c r="M978" s="2"/>
      <c r="N978" s="1">
        <v>0</v>
      </c>
      <c r="O978" s="2"/>
      <c r="P978" s="2"/>
      <c r="Q978" s="2">
        <v>0</v>
      </c>
      <c r="R978" s="6"/>
    </row>
    <row r="979" spans="1:18" x14ac:dyDescent="0.25">
      <c r="A979" s="2">
        <f t="shared" si="40"/>
        <v>978</v>
      </c>
      <c r="B979" s="2"/>
      <c r="C979" s="2"/>
      <c r="D979" s="2"/>
      <c r="E979" s="2"/>
      <c r="F979" s="2"/>
      <c r="G979" s="2"/>
      <c r="H979" s="2" t="str">
        <f t="shared" si="41"/>
        <v>0 г. 0 мес. 0 дн.</v>
      </c>
      <c r="I979" s="2"/>
      <c r="J979" s="2"/>
      <c r="K979" s="2"/>
      <c r="L979" s="2"/>
      <c r="M979" s="2"/>
      <c r="N979" s="1">
        <v>0</v>
      </c>
      <c r="O979" s="2"/>
      <c r="P979" s="2"/>
      <c r="Q979" s="2">
        <v>0</v>
      </c>
      <c r="R979" s="6"/>
    </row>
    <row r="980" spans="1:18" x14ac:dyDescent="0.25">
      <c r="A980" s="2">
        <f t="shared" si="40"/>
        <v>979</v>
      </c>
      <c r="B980" s="2"/>
      <c r="C980" s="2"/>
      <c r="D980" s="2"/>
      <c r="E980" s="2"/>
      <c r="F980" s="2"/>
      <c r="G980" s="2"/>
      <c r="H980" s="2" t="str">
        <f t="shared" si="41"/>
        <v>0 г. 0 мес. 0 дн.</v>
      </c>
      <c r="I980" s="2"/>
      <c r="J980" s="2"/>
      <c r="K980" s="2"/>
      <c r="L980" s="2"/>
      <c r="M980" s="2"/>
      <c r="N980" s="1">
        <v>0</v>
      </c>
      <c r="O980" s="2"/>
      <c r="P980" s="2"/>
      <c r="Q980" s="2">
        <v>0</v>
      </c>
      <c r="R980" s="6"/>
    </row>
    <row r="981" spans="1:18" x14ac:dyDescent="0.25">
      <c r="A981" s="2">
        <f t="shared" si="40"/>
        <v>980</v>
      </c>
      <c r="B981" s="2"/>
      <c r="C981" s="2"/>
      <c r="D981" s="2"/>
      <c r="E981" s="2"/>
      <c r="F981" s="2"/>
      <c r="G981" s="2"/>
      <c r="H981" s="2" t="str">
        <f t="shared" si="41"/>
        <v>0 г. 0 мес. 0 дн.</v>
      </c>
      <c r="I981" s="2"/>
      <c r="J981" s="2"/>
      <c r="K981" s="2"/>
      <c r="L981" s="2"/>
      <c r="M981" s="2"/>
      <c r="N981" s="1">
        <v>0</v>
      </c>
      <c r="O981" s="2"/>
      <c r="P981" s="2"/>
      <c r="Q981" s="2">
        <v>0</v>
      </c>
      <c r="R981" s="6"/>
    </row>
    <row r="982" spans="1:18" x14ac:dyDescent="0.25">
      <c r="A982" s="2">
        <f t="shared" si="40"/>
        <v>981</v>
      </c>
      <c r="B982" s="2"/>
      <c r="C982" s="2"/>
      <c r="D982" s="2"/>
      <c r="E982" s="2"/>
      <c r="F982" s="2"/>
      <c r="G982" s="2"/>
      <c r="H982" s="2" t="str">
        <f t="shared" si="41"/>
        <v>0 г. 0 мес. 0 дн.</v>
      </c>
      <c r="I982" s="2"/>
      <c r="J982" s="2"/>
      <c r="K982" s="2"/>
      <c r="L982" s="2"/>
      <c r="M982" s="2"/>
      <c r="N982" s="1">
        <v>0</v>
      </c>
      <c r="O982" s="2"/>
      <c r="P982" s="2"/>
      <c r="Q982" s="2">
        <v>0</v>
      </c>
      <c r="R982" s="6"/>
    </row>
    <row r="983" spans="1:18" x14ac:dyDescent="0.25">
      <c r="A983" s="2">
        <f t="shared" si="40"/>
        <v>982</v>
      </c>
      <c r="B983" s="2"/>
      <c r="C983" s="2"/>
      <c r="D983" s="2"/>
      <c r="E983" s="2"/>
      <c r="F983" s="2"/>
      <c r="G983" s="2"/>
      <c r="H983" s="2" t="str">
        <f t="shared" si="41"/>
        <v>0 г. 0 мес. 0 дн.</v>
      </c>
      <c r="I983" s="2"/>
      <c r="J983" s="2"/>
      <c r="K983" s="2"/>
      <c r="L983" s="2"/>
      <c r="M983" s="2"/>
      <c r="N983" s="1">
        <v>0</v>
      </c>
      <c r="O983" s="2"/>
      <c r="P983" s="2"/>
      <c r="Q983" s="2">
        <v>0</v>
      </c>
      <c r="R983" s="6"/>
    </row>
    <row r="984" spans="1:18" x14ac:dyDescent="0.25">
      <c r="A984" s="2">
        <f t="shared" si="40"/>
        <v>983</v>
      </c>
      <c r="B984" s="2"/>
      <c r="C984" s="2"/>
      <c r="D984" s="2"/>
      <c r="E984" s="2"/>
      <c r="F984" s="2"/>
      <c r="G984" s="2"/>
      <c r="H984" s="2" t="str">
        <f t="shared" si="41"/>
        <v>0 г. 0 мес. 0 дн.</v>
      </c>
      <c r="I984" s="2"/>
      <c r="J984" s="2"/>
      <c r="K984" s="2"/>
      <c r="L984" s="2"/>
      <c r="M984" s="2"/>
      <c r="N984" s="1">
        <v>0</v>
      </c>
      <c r="O984" s="2"/>
      <c r="P984" s="2"/>
      <c r="Q984" s="2">
        <v>0</v>
      </c>
      <c r="R984" s="6"/>
    </row>
    <row r="985" spans="1:18" x14ac:dyDescent="0.25">
      <c r="A985" s="2">
        <f t="shared" si="40"/>
        <v>984</v>
      </c>
      <c r="B985" s="2"/>
      <c r="C985" s="2"/>
      <c r="D985" s="2"/>
      <c r="E985" s="2"/>
      <c r="F985" s="2"/>
      <c r="G985" s="2"/>
      <c r="H985" s="2" t="str">
        <f t="shared" si="41"/>
        <v>0 г. 0 мес. 0 дн.</v>
      </c>
      <c r="I985" s="2"/>
      <c r="J985" s="2"/>
      <c r="K985" s="2"/>
      <c r="L985" s="2"/>
      <c r="M985" s="2"/>
      <c r="N985" s="1">
        <v>0</v>
      </c>
      <c r="O985" s="2"/>
      <c r="P985" s="2"/>
      <c r="Q985" s="2">
        <v>0</v>
      </c>
      <c r="R985" s="6"/>
    </row>
    <row r="986" spans="1:18" x14ac:dyDescent="0.25">
      <c r="A986" s="2">
        <f t="shared" si="40"/>
        <v>985</v>
      </c>
      <c r="B986" s="2"/>
      <c r="C986" s="2"/>
      <c r="D986" s="2"/>
      <c r="E986" s="2"/>
      <c r="F986" s="2"/>
      <c r="G986" s="2"/>
      <c r="H986" s="2" t="str">
        <f t="shared" si="41"/>
        <v>0 г. 0 мес. 0 дн.</v>
      </c>
      <c r="I986" s="2"/>
      <c r="J986" s="2"/>
      <c r="K986" s="2"/>
      <c r="L986" s="2"/>
      <c r="M986" s="2"/>
      <c r="N986" s="1">
        <v>0</v>
      </c>
      <c r="O986" s="2"/>
      <c r="P986" s="2"/>
      <c r="Q986" s="2">
        <v>0</v>
      </c>
      <c r="R986" s="6"/>
    </row>
    <row r="987" spans="1:18" x14ac:dyDescent="0.25">
      <c r="A987" s="2">
        <f t="shared" si="40"/>
        <v>986</v>
      </c>
      <c r="B987" s="2"/>
      <c r="C987" s="2"/>
      <c r="D987" s="2"/>
      <c r="E987" s="2"/>
      <c r="F987" s="2"/>
      <c r="G987" s="2"/>
      <c r="H987" s="2" t="str">
        <f t="shared" si="41"/>
        <v>0 г. 0 мес. 0 дн.</v>
      </c>
      <c r="I987" s="2"/>
      <c r="J987" s="2"/>
      <c r="K987" s="2"/>
      <c r="L987" s="2"/>
      <c r="M987" s="2"/>
      <c r="N987" s="1">
        <v>0</v>
      </c>
      <c r="O987" s="2"/>
      <c r="P987" s="2"/>
      <c r="Q987" s="2">
        <v>0</v>
      </c>
      <c r="R987" s="6"/>
    </row>
    <row r="988" spans="1:18" x14ac:dyDescent="0.25">
      <c r="A988" s="2">
        <f t="shared" si="40"/>
        <v>987</v>
      </c>
      <c r="B988" s="2"/>
      <c r="C988" s="2"/>
      <c r="D988" s="2"/>
      <c r="E988" s="2"/>
      <c r="F988" s="2"/>
      <c r="G988" s="2"/>
      <c r="H988" s="2" t="str">
        <f t="shared" si="41"/>
        <v>0 г. 0 мес. 0 дн.</v>
      </c>
      <c r="I988" s="2"/>
      <c r="J988" s="2"/>
      <c r="K988" s="2"/>
      <c r="L988" s="2"/>
      <c r="M988" s="2"/>
      <c r="N988" s="1">
        <v>0</v>
      </c>
      <c r="O988" s="2"/>
      <c r="P988" s="2"/>
      <c r="Q988" s="2">
        <v>0</v>
      </c>
      <c r="R988" s="6"/>
    </row>
    <row r="989" spans="1:18" x14ac:dyDescent="0.25">
      <c r="A989" s="2">
        <f t="shared" ref="A989:A1052" si="42">ROW(A988)</f>
        <v>988</v>
      </c>
      <c r="B989" s="2"/>
      <c r="C989" s="2"/>
      <c r="D989" s="2"/>
      <c r="E989" s="2"/>
      <c r="F989" s="2"/>
      <c r="G989" s="2"/>
      <c r="H989" s="2" t="str">
        <f t="shared" si="41"/>
        <v>0 г. 0 мес. 0 дн.</v>
      </c>
      <c r="I989" s="2"/>
      <c r="J989" s="2"/>
      <c r="K989" s="2"/>
      <c r="L989" s="2"/>
      <c r="M989" s="2"/>
      <c r="N989" s="1">
        <v>0</v>
      </c>
      <c r="O989" s="2"/>
      <c r="P989" s="2"/>
      <c r="Q989" s="2">
        <v>0</v>
      </c>
      <c r="R989" s="6"/>
    </row>
    <row r="990" spans="1:18" x14ac:dyDescent="0.25">
      <c r="A990" s="2">
        <f t="shared" si="42"/>
        <v>989</v>
      </c>
      <c r="B990" s="2"/>
      <c r="C990" s="2"/>
      <c r="D990" s="2"/>
      <c r="E990" s="2"/>
      <c r="F990" s="2"/>
      <c r="G990" s="2"/>
      <c r="H990" s="2" t="str">
        <f t="shared" si="41"/>
        <v>0 г. 0 мес. 0 дн.</v>
      </c>
      <c r="I990" s="2"/>
      <c r="J990" s="2"/>
      <c r="K990" s="2"/>
      <c r="L990" s="2"/>
      <c r="M990" s="2"/>
      <c r="N990" s="1">
        <v>0</v>
      </c>
      <c r="O990" s="2"/>
      <c r="P990" s="2"/>
      <c r="Q990" s="2">
        <v>0</v>
      </c>
      <c r="R990" s="6"/>
    </row>
    <row r="991" spans="1:18" x14ac:dyDescent="0.25">
      <c r="A991" s="2">
        <f t="shared" si="42"/>
        <v>990</v>
      </c>
      <c r="B991" s="2"/>
      <c r="C991" s="2"/>
      <c r="D991" s="2"/>
      <c r="E991" s="2"/>
      <c r="F991" s="2"/>
      <c r="G991" s="2"/>
      <c r="H991" s="2" t="str">
        <f t="shared" si="41"/>
        <v>0 г. 0 мес. 0 дн.</v>
      </c>
      <c r="I991" s="2"/>
      <c r="J991" s="2"/>
      <c r="K991" s="2"/>
      <c r="L991" s="2"/>
      <c r="M991" s="2"/>
      <c r="N991" s="1">
        <v>0</v>
      </c>
      <c r="O991" s="2"/>
      <c r="P991" s="2"/>
      <c r="Q991" s="2">
        <v>0</v>
      </c>
      <c r="R991" s="6"/>
    </row>
    <row r="992" spans="1:18" x14ac:dyDescent="0.25">
      <c r="A992" s="2">
        <f t="shared" si="42"/>
        <v>991</v>
      </c>
      <c r="B992" s="2"/>
      <c r="C992" s="2"/>
      <c r="D992" s="2"/>
      <c r="E992" s="2"/>
      <c r="F992" s="2"/>
      <c r="G992" s="2"/>
      <c r="H992" s="2" t="str">
        <f t="shared" si="41"/>
        <v>0 г. 0 мес. 0 дн.</v>
      </c>
      <c r="I992" s="2"/>
      <c r="J992" s="2"/>
      <c r="K992" s="2"/>
      <c r="L992" s="2"/>
      <c r="M992" s="2"/>
      <c r="N992" s="1">
        <v>0</v>
      </c>
      <c r="O992" s="2"/>
      <c r="P992" s="2"/>
      <c r="Q992" s="2">
        <v>0</v>
      </c>
      <c r="R992" s="6"/>
    </row>
    <row r="993" spans="1:18" x14ac:dyDescent="0.25">
      <c r="A993" s="2">
        <f t="shared" si="42"/>
        <v>992</v>
      </c>
      <c r="B993" s="2"/>
      <c r="C993" s="2"/>
      <c r="D993" s="2"/>
      <c r="E993" s="2"/>
      <c r="F993" s="2"/>
      <c r="G993" s="2"/>
      <c r="H993" s="2" t="str">
        <f t="shared" si="41"/>
        <v>0 г. 0 мес. 0 дн.</v>
      </c>
      <c r="I993" s="2"/>
      <c r="J993" s="2"/>
      <c r="K993" s="2"/>
      <c r="L993" s="2"/>
      <c r="M993" s="2"/>
      <c r="N993" s="1">
        <v>0</v>
      </c>
      <c r="O993" s="2"/>
      <c r="P993" s="2"/>
      <c r="Q993" s="2">
        <v>0</v>
      </c>
      <c r="R993" s="6"/>
    </row>
    <row r="994" spans="1:18" x14ac:dyDescent="0.25">
      <c r="A994" s="2">
        <f t="shared" si="42"/>
        <v>993</v>
      </c>
      <c r="B994" s="2"/>
      <c r="C994" s="2"/>
      <c r="D994" s="2"/>
      <c r="E994" s="2"/>
      <c r="F994" s="2"/>
      <c r="G994" s="2"/>
      <c r="H994" s="2" t="str">
        <f t="shared" si="41"/>
        <v>0 г. 0 мес. 0 дн.</v>
      </c>
      <c r="I994" s="2"/>
      <c r="J994" s="2"/>
      <c r="K994" s="2"/>
      <c r="L994" s="2"/>
      <c r="M994" s="2"/>
      <c r="N994" s="1">
        <v>0</v>
      </c>
      <c r="O994" s="2"/>
      <c r="P994" s="2"/>
      <c r="Q994" s="2">
        <v>0</v>
      </c>
      <c r="R994" s="6"/>
    </row>
    <row r="995" spans="1:18" x14ac:dyDescent="0.25">
      <c r="A995" s="2">
        <f t="shared" si="42"/>
        <v>994</v>
      </c>
      <c r="B995" s="2"/>
      <c r="C995" s="2"/>
      <c r="D995" s="2"/>
      <c r="E995" s="2"/>
      <c r="F995" s="2"/>
      <c r="G995" s="2"/>
      <c r="H995" s="2" t="str">
        <f t="shared" si="41"/>
        <v>0 г. 0 мес. 0 дн.</v>
      </c>
      <c r="I995" s="2"/>
      <c r="J995" s="2"/>
      <c r="K995" s="2"/>
      <c r="L995" s="2"/>
      <c r="M995" s="2"/>
      <c r="N995" s="1">
        <v>0</v>
      </c>
      <c r="O995" s="2"/>
      <c r="P995" s="2"/>
      <c r="Q995" s="2">
        <v>0</v>
      </c>
      <c r="R995" s="6"/>
    </row>
    <row r="996" spans="1:18" x14ac:dyDescent="0.25">
      <c r="A996" s="2">
        <f t="shared" si="42"/>
        <v>995</v>
      </c>
      <c r="B996" s="2"/>
      <c r="C996" s="2"/>
      <c r="D996" s="2"/>
      <c r="E996" s="2"/>
      <c r="F996" s="2"/>
      <c r="G996" s="2"/>
      <c r="H996" s="2" t="str">
        <f t="shared" si="41"/>
        <v>0 г. 0 мес. 0 дн.</v>
      </c>
      <c r="I996" s="2"/>
      <c r="J996" s="2"/>
      <c r="K996" s="2"/>
      <c r="L996" s="2"/>
      <c r="M996" s="2"/>
      <c r="N996" s="1">
        <v>0</v>
      </c>
      <c r="O996" s="2"/>
      <c r="P996" s="2"/>
      <c r="Q996" s="2">
        <v>0</v>
      </c>
      <c r="R996" s="6"/>
    </row>
    <row r="997" spans="1:18" x14ac:dyDescent="0.25">
      <c r="A997" s="2">
        <f t="shared" si="42"/>
        <v>996</v>
      </c>
      <c r="B997" s="2"/>
      <c r="C997" s="2"/>
      <c r="D997" s="2"/>
      <c r="E997" s="2"/>
      <c r="F997" s="2"/>
      <c r="G997" s="2"/>
      <c r="H997" s="2" t="str">
        <f t="shared" si="41"/>
        <v>0 г. 0 мес. 0 дн.</v>
      </c>
      <c r="I997" s="2"/>
      <c r="J997" s="2"/>
      <c r="K997" s="2"/>
      <c r="L997" s="2"/>
      <c r="M997" s="2"/>
      <c r="N997" s="1">
        <v>0</v>
      </c>
      <c r="O997" s="2"/>
      <c r="P997" s="2"/>
      <c r="Q997" s="2">
        <v>0</v>
      </c>
      <c r="R997" s="6"/>
    </row>
    <row r="998" spans="1:18" x14ac:dyDescent="0.25">
      <c r="A998" s="2">
        <f t="shared" si="42"/>
        <v>997</v>
      </c>
      <c r="B998" s="2"/>
      <c r="C998" s="2"/>
      <c r="D998" s="2"/>
      <c r="E998" s="2"/>
      <c r="F998" s="2"/>
      <c r="G998" s="2"/>
      <c r="H998" s="2" t="str">
        <f t="shared" si="41"/>
        <v>0 г. 0 мес. 0 дн.</v>
      </c>
      <c r="I998" s="2"/>
      <c r="J998" s="2"/>
      <c r="K998" s="2"/>
      <c r="L998" s="2"/>
      <c r="M998" s="2"/>
      <c r="N998" s="1">
        <v>0</v>
      </c>
      <c r="O998" s="2"/>
      <c r="P998" s="2"/>
      <c r="Q998" s="2">
        <v>0</v>
      </c>
      <c r="R998" s="6"/>
    </row>
    <row r="999" spans="1:18" x14ac:dyDescent="0.25">
      <c r="A999" s="2">
        <f t="shared" si="42"/>
        <v>998</v>
      </c>
      <c r="B999" s="2"/>
      <c r="C999" s="2"/>
      <c r="D999" s="2"/>
      <c r="E999" s="2"/>
      <c r="F999" s="2"/>
      <c r="G999" s="2"/>
      <c r="H999" s="2" t="str">
        <f t="shared" si="41"/>
        <v>0 г. 0 мес. 0 дн.</v>
      </c>
      <c r="I999" s="2"/>
      <c r="J999" s="2"/>
      <c r="K999" s="2"/>
      <c r="L999" s="2"/>
      <c r="M999" s="2"/>
      <c r="N999" s="1">
        <v>0</v>
      </c>
      <c r="O999" s="2"/>
      <c r="P999" s="2"/>
      <c r="Q999" s="2">
        <v>0</v>
      </c>
      <c r="R999" s="6"/>
    </row>
    <row r="1000" spans="1:18" x14ac:dyDescent="0.25">
      <c r="A1000" s="2">
        <f t="shared" si="42"/>
        <v>999</v>
      </c>
      <c r="B1000" s="2"/>
      <c r="C1000" s="2"/>
      <c r="D1000" s="2"/>
      <c r="E1000" s="2"/>
      <c r="F1000" s="2"/>
      <c r="G1000" s="2"/>
      <c r="H1000" s="2" t="str">
        <f t="shared" si="41"/>
        <v>0 г. 0 мес. 0 дн.</v>
      </c>
      <c r="I1000" s="2"/>
      <c r="J1000" s="2"/>
      <c r="K1000" s="2"/>
      <c r="L1000" s="2"/>
      <c r="M1000" s="2"/>
      <c r="N1000" s="1">
        <v>0</v>
      </c>
      <c r="O1000" s="2"/>
      <c r="P1000" s="2"/>
      <c r="Q1000" s="2">
        <v>0</v>
      </c>
      <c r="R1000" s="6"/>
    </row>
    <row r="1001" spans="1:18" x14ac:dyDescent="0.25">
      <c r="A1001" s="2">
        <f t="shared" si="42"/>
        <v>1000</v>
      </c>
      <c r="B1001" s="2"/>
      <c r="C1001" s="2"/>
      <c r="D1001" s="2"/>
      <c r="E1001" s="2"/>
      <c r="F1001" s="2"/>
      <c r="G1001" s="2"/>
      <c r="H1001" s="2" t="str">
        <f t="shared" si="41"/>
        <v>0 г. 0 мес. 0 дн.</v>
      </c>
      <c r="I1001" s="2"/>
      <c r="J1001" s="2"/>
      <c r="K1001" s="2"/>
      <c r="L1001" s="2"/>
      <c r="M1001" s="2"/>
      <c r="N1001" s="1">
        <v>0</v>
      </c>
      <c r="O1001" s="2"/>
      <c r="P1001" s="2"/>
      <c r="Q1001" s="2">
        <v>0</v>
      </c>
      <c r="R1001" s="6"/>
    </row>
    <row r="1002" spans="1:18" x14ac:dyDescent="0.25">
      <c r="A1002" s="2">
        <f t="shared" si="42"/>
        <v>1001</v>
      </c>
      <c r="B1002" s="2"/>
      <c r="C1002" s="2"/>
      <c r="D1002" s="2"/>
      <c r="E1002" s="2"/>
      <c r="F1002" s="2"/>
      <c r="G1002" s="2"/>
      <c r="H1002" s="2" t="str">
        <f t="shared" si="41"/>
        <v>0 г. 0 мес. 0 дн.</v>
      </c>
      <c r="I1002" s="2"/>
      <c r="J1002" s="2"/>
      <c r="K1002" s="2"/>
      <c r="L1002" s="2"/>
      <c r="M1002" s="2"/>
      <c r="N1002" s="1">
        <v>0</v>
      </c>
      <c r="O1002" s="2"/>
      <c r="P1002" s="2"/>
      <c r="Q1002" s="2">
        <v>0</v>
      </c>
      <c r="R1002" s="6"/>
    </row>
    <row r="1003" spans="1:18" x14ac:dyDescent="0.25">
      <c r="A1003" s="2">
        <f t="shared" si="42"/>
        <v>1002</v>
      </c>
      <c r="B1003" s="2"/>
      <c r="C1003" s="2"/>
      <c r="D1003" s="2"/>
      <c r="E1003" s="2"/>
      <c r="F1003" s="2"/>
      <c r="G1003" s="2"/>
      <c r="H1003" s="2" t="str">
        <f t="shared" si="41"/>
        <v>0 г. 0 мес. 0 дн.</v>
      </c>
      <c r="I1003" s="2"/>
      <c r="J1003" s="2"/>
      <c r="K1003" s="2"/>
      <c r="L1003" s="2"/>
      <c r="M1003" s="2"/>
      <c r="N1003" s="1">
        <v>0</v>
      </c>
      <c r="O1003" s="2"/>
      <c r="P1003" s="2"/>
      <c r="Q1003" s="2">
        <v>0</v>
      </c>
      <c r="R1003" s="6"/>
    </row>
    <row r="1004" spans="1:18" x14ac:dyDescent="0.25">
      <c r="A1004" s="2">
        <f t="shared" si="42"/>
        <v>1003</v>
      </c>
      <c r="B1004" s="2"/>
      <c r="C1004" s="2"/>
      <c r="D1004" s="2"/>
      <c r="E1004" s="2"/>
      <c r="F1004" s="2"/>
      <c r="G1004" s="2"/>
      <c r="H1004" s="2" t="str">
        <f t="shared" si="41"/>
        <v>0 г. 0 мес. 0 дн.</v>
      </c>
      <c r="I1004" s="2"/>
      <c r="J1004" s="2"/>
      <c r="K1004" s="2"/>
      <c r="L1004" s="2"/>
      <c r="M1004" s="2"/>
      <c r="N1004" s="1">
        <v>0</v>
      </c>
      <c r="O1004" s="2"/>
      <c r="P1004" s="2"/>
      <c r="Q1004" s="2">
        <v>0</v>
      </c>
      <c r="R1004" s="6"/>
    </row>
    <row r="1005" spans="1:18" x14ac:dyDescent="0.25">
      <c r="A1005" s="2">
        <f t="shared" si="42"/>
        <v>1004</v>
      </c>
      <c r="B1005" s="2"/>
      <c r="C1005" s="2"/>
      <c r="D1005" s="2"/>
      <c r="E1005" s="2"/>
      <c r="F1005" s="2"/>
      <c r="G1005" s="2"/>
      <c r="H1005" s="2" t="str">
        <f t="shared" si="41"/>
        <v>0 г. 0 мес. 0 дн.</v>
      </c>
      <c r="I1005" s="2"/>
      <c r="J1005" s="2"/>
      <c r="K1005" s="2"/>
      <c r="L1005" s="2"/>
      <c r="M1005" s="2"/>
      <c r="N1005" s="1">
        <v>0</v>
      </c>
      <c r="O1005" s="2"/>
      <c r="P1005" s="2"/>
      <c r="Q1005" s="2">
        <v>0</v>
      </c>
      <c r="R1005" s="6"/>
    </row>
    <row r="1006" spans="1:18" x14ac:dyDescent="0.25">
      <c r="A1006" s="2">
        <f t="shared" si="42"/>
        <v>1005</v>
      </c>
      <c r="B1006" s="2"/>
      <c r="C1006" s="2"/>
      <c r="D1006" s="2"/>
      <c r="E1006" s="2"/>
      <c r="F1006" s="2"/>
      <c r="G1006" s="2"/>
      <c r="H1006" s="2" t="str">
        <f t="shared" si="41"/>
        <v>0 г. 0 мес. 0 дн.</v>
      </c>
      <c r="I1006" s="2"/>
      <c r="J1006" s="2"/>
      <c r="K1006" s="2"/>
      <c r="L1006" s="2"/>
      <c r="M1006" s="2"/>
      <c r="N1006" s="1">
        <v>0</v>
      </c>
      <c r="O1006" s="2"/>
      <c r="P1006" s="2"/>
      <c r="Q1006" s="2">
        <v>0</v>
      </c>
      <c r="R1006" s="6"/>
    </row>
    <row r="1007" spans="1:18" x14ac:dyDescent="0.25">
      <c r="A1007" s="2">
        <f t="shared" si="42"/>
        <v>1006</v>
      </c>
      <c r="B1007" s="2"/>
      <c r="C1007" s="2"/>
      <c r="D1007" s="2"/>
      <c r="E1007" s="2"/>
      <c r="F1007" s="2"/>
      <c r="G1007" s="2"/>
      <c r="H1007" s="2" t="str">
        <f t="shared" si="41"/>
        <v>0 г. 0 мес. 0 дн.</v>
      </c>
      <c r="I1007" s="2"/>
      <c r="J1007" s="2"/>
      <c r="K1007" s="2"/>
      <c r="L1007" s="2"/>
      <c r="M1007" s="2"/>
      <c r="N1007" s="1">
        <v>0</v>
      </c>
      <c r="O1007" s="2"/>
      <c r="P1007" s="2"/>
      <c r="Q1007" s="2">
        <v>0</v>
      </c>
      <c r="R1007" s="6"/>
    </row>
    <row r="1008" spans="1:18" x14ac:dyDescent="0.25">
      <c r="A1008" s="2">
        <f t="shared" si="42"/>
        <v>1007</v>
      </c>
      <c r="B1008" s="2"/>
      <c r="C1008" s="2"/>
      <c r="D1008" s="2"/>
      <c r="E1008" s="2"/>
      <c r="F1008" s="2"/>
      <c r="G1008" s="2"/>
      <c r="H1008" s="2" t="str">
        <f t="shared" si="41"/>
        <v>0 г. 0 мес. 0 дн.</v>
      </c>
      <c r="I1008" s="2"/>
      <c r="J1008" s="2"/>
      <c r="K1008" s="2"/>
      <c r="L1008" s="2"/>
      <c r="M1008" s="2"/>
      <c r="N1008" s="1">
        <v>0</v>
      </c>
      <c r="O1008" s="2"/>
      <c r="P1008" s="2"/>
      <c r="Q1008" s="2">
        <v>0</v>
      </c>
      <c r="R1008" s="6"/>
    </row>
    <row r="1009" spans="1:18" x14ac:dyDescent="0.25">
      <c r="A1009" s="2">
        <f t="shared" si="42"/>
        <v>1008</v>
      </c>
      <c r="B1009" s="2"/>
      <c r="C1009" s="2"/>
      <c r="D1009" s="2"/>
      <c r="E1009" s="2"/>
      <c r="F1009" s="2"/>
      <c r="G1009" s="2"/>
      <c r="H1009" s="2" t="str">
        <f t="shared" si="41"/>
        <v>0 г. 0 мес. 0 дн.</v>
      </c>
      <c r="I1009" s="2"/>
      <c r="J1009" s="2"/>
      <c r="K1009" s="2"/>
      <c r="L1009" s="2"/>
      <c r="M1009" s="2"/>
      <c r="N1009" s="1">
        <v>0</v>
      </c>
      <c r="O1009" s="2"/>
      <c r="P1009" s="2"/>
      <c r="Q1009" s="2">
        <v>0</v>
      </c>
      <c r="R1009" s="6"/>
    </row>
    <row r="1010" spans="1:18" x14ac:dyDescent="0.25">
      <c r="A1010" s="2">
        <f t="shared" si="42"/>
        <v>1009</v>
      </c>
      <c r="B1010" s="2"/>
      <c r="C1010" s="2"/>
      <c r="D1010" s="2"/>
      <c r="E1010" s="2"/>
      <c r="F1010" s="2"/>
      <c r="G1010" s="2"/>
      <c r="H1010" s="2" t="str">
        <f t="shared" si="41"/>
        <v>0 г. 0 мес. 0 дн.</v>
      </c>
      <c r="I1010" s="2"/>
      <c r="J1010" s="2"/>
      <c r="K1010" s="2"/>
      <c r="L1010" s="2"/>
      <c r="M1010" s="2"/>
      <c r="N1010" s="1">
        <v>0</v>
      </c>
      <c r="O1010" s="2"/>
      <c r="P1010" s="2"/>
      <c r="Q1010" s="2">
        <v>0</v>
      </c>
      <c r="R1010" s="6"/>
    </row>
    <row r="1011" spans="1:18" x14ac:dyDescent="0.25">
      <c r="A1011" s="2">
        <f t="shared" si="42"/>
        <v>1010</v>
      </c>
      <c r="B1011" s="2"/>
      <c r="C1011" s="2"/>
      <c r="D1011" s="2"/>
      <c r="E1011" s="2"/>
      <c r="F1011" s="2"/>
      <c r="G1011" s="2"/>
      <c r="H1011" s="2" t="str">
        <f t="shared" si="41"/>
        <v>0 г. 0 мес. 0 дн.</v>
      </c>
      <c r="I1011" s="2"/>
      <c r="J1011" s="2"/>
      <c r="K1011" s="2"/>
      <c r="L1011" s="2"/>
      <c r="M1011" s="2"/>
      <c r="N1011" s="1">
        <v>0</v>
      </c>
      <c r="O1011" s="2"/>
      <c r="P1011" s="2"/>
      <c r="Q1011" s="2">
        <v>0</v>
      </c>
      <c r="R1011" s="6"/>
    </row>
    <row r="1012" spans="1:18" x14ac:dyDescent="0.25">
      <c r="A1012" s="2">
        <f t="shared" si="42"/>
        <v>1011</v>
      </c>
      <c r="B1012" s="2"/>
      <c r="C1012" s="2"/>
      <c r="D1012" s="2"/>
      <c r="E1012" s="2"/>
      <c r="F1012" s="2"/>
      <c r="G1012" s="2"/>
      <c r="H1012" s="2" t="str">
        <f t="shared" si="41"/>
        <v>0 г. 0 мес. 0 дн.</v>
      </c>
      <c r="I1012" s="2"/>
      <c r="J1012" s="2"/>
      <c r="K1012" s="2"/>
      <c r="L1012" s="2"/>
      <c r="M1012" s="2"/>
      <c r="N1012" s="1">
        <v>0</v>
      </c>
      <c r="O1012" s="2"/>
      <c r="P1012" s="2"/>
      <c r="Q1012" s="2">
        <v>0</v>
      </c>
      <c r="R1012" s="6"/>
    </row>
    <row r="1013" spans="1:18" x14ac:dyDescent="0.25">
      <c r="A1013" s="2">
        <f t="shared" si="42"/>
        <v>1012</v>
      </c>
      <c r="B1013" s="2"/>
      <c r="C1013" s="2"/>
      <c r="D1013" s="2"/>
      <c r="E1013" s="2"/>
      <c r="F1013" s="2"/>
      <c r="G1013" s="2"/>
      <c r="H1013" s="2" t="str">
        <f t="shared" si="41"/>
        <v>0 г. 0 мес. 0 дн.</v>
      </c>
      <c r="I1013" s="2"/>
      <c r="J1013" s="2"/>
      <c r="K1013" s="2"/>
      <c r="L1013" s="2"/>
      <c r="M1013" s="2"/>
      <c r="N1013" s="1">
        <v>0</v>
      </c>
      <c r="O1013" s="2"/>
      <c r="P1013" s="2"/>
      <c r="Q1013" s="2">
        <v>0</v>
      </c>
      <c r="R1013" s="6"/>
    </row>
    <row r="1014" spans="1:18" x14ac:dyDescent="0.25">
      <c r="A1014" s="2">
        <f t="shared" si="42"/>
        <v>1013</v>
      </c>
      <c r="B1014" s="2"/>
      <c r="C1014" s="2"/>
      <c r="D1014" s="2"/>
      <c r="E1014" s="2"/>
      <c r="F1014" s="2"/>
      <c r="G1014" s="2"/>
      <c r="H1014" s="2" t="str">
        <f t="shared" si="41"/>
        <v>0 г. 0 мес. 0 дн.</v>
      </c>
      <c r="I1014" s="2"/>
      <c r="J1014" s="2"/>
      <c r="K1014" s="2"/>
      <c r="L1014" s="2"/>
      <c r="M1014" s="2"/>
      <c r="N1014" s="1">
        <v>0</v>
      </c>
      <c r="O1014" s="2"/>
      <c r="P1014" s="2"/>
      <c r="Q1014" s="2">
        <v>0</v>
      </c>
      <c r="R1014" s="6"/>
    </row>
    <row r="1015" spans="1:18" x14ac:dyDescent="0.25">
      <c r="A1015" s="2">
        <f t="shared" si="42"/>
        <v>1014</v>
      </c>
      <c r="B1015" s="2"/>
      <c r="C1015" s="2"/>
      <c r="D1015" s="2"/>
      <c r="E1015" s="2"/>
      <c r="F1015" s="2"/>
      <c r="G1015" s="2"/>
      <c r="H1015" s="2" t="str">
        <f t="shared" si="41"/>
        <v>0 г. 0 мес. 0 дн.</v>
      </c>
      <c r="I1015" s="2"/>
      <c r="J1015" s="2"/>
      <c r="K1015" s="2"/>
      <c r="L1015" s="2"/>
      <c r="M1015" s="2"/>
      <c r="N1015" s="1">
        <v>0</v>
      </c>
      <c r="O1015" s="2"/>
      <c r="P1015" s="2"/>
      <c r="Q1015" s="2">
        <v>0</v>
      </c>
      <c r="R1015" s="6"/>
    </row>
    <row r="1016" spans="1:18" x14ac:dyDescent="0.25">
      <c r="A1016" s="2">
        <f t="shared" si="42"/>
        <v>1015</v>
      </c>
      <c r="B1016" s="2"/>
      <c r="C1016" s="2"/>
      <c r="D1016" s="2"/>
      <c r="E1016" s="2"/>
      <c r="F1016" s="2"/>
      <c r="G1016" s="2"/>
      <c r="H1016" s="2" t="str">
        <f t="shared" si="41"/>
        <v>0 г. 0 мес. 0 дн.</v>
      </c>
      <c r="I1016" s="2"/>
      <c r="J1016" s="2"/>
      <c r="K1016" s="2"/>
      <c r="L1016" s="2"/>
      <c r="M1016" s="2"/>
      <c r="N1016" s="1">
        <v>0</v>
      </c>
      <c r="O1016" s="2"/>
      <c r="P1016" s="2"/>
      <c r="Q1016" s="2">
        <v>0</v>
      </c>
      <c r="R1016" s="6"/>
    </row>
    <row r="1017" spans="1:18" x14ac:dyDescent="0.25">
      <c r="A1017" s="2">
        <f t="shared" si="42"/>
        <v>1016</v>
      </c>
      <c r="B1017" s="2"/>
      <c r="C1017" s="2"/>
      <c r="D1017" s="2"/>
      <c r="E1017" s="2"/>
      <c r="F1017" s="2"/>
      <c r="G1017" s="2"/>
      <c r="H1017" s="2" t="str">
        <f t="shared" si="41"/>
        <v>0 г. 0 мес. 0 дн.</v>
      </c>
      <c r="I1017" s="2"/>
      <c r="J1017" s="2"/>
      <c r="K1017" s="2"/>
      <c r="L1017" s="2"/>
      <c r="M1017" s="2"/>
      <c r="N1017" s="1">
        <v>0</v>
      </c>
      <c r="O1017" s="2"/>
      <c r="P1017" s="2"/>
      <c r="Q1017" s="2">
        <v>0</v>
      </c>
      <c r="R1017" s="6"/>
    </row>
    <row r="1018" spans="1:18" x14ac:dyDescent="0.25">
      <c r="A1018" s="2">
        <f t="shared" si="42"/>
        <v>1017</v>
      </c>
      <c r="B1018" s="2"/>
      <c r="C1018" s="2"/>
      <c r="D1018" s="2"/>
      <c r="E1018" s="2"/>
      <c r="F1018" s="2"/>
      <c r="G1018" s="2"/>
      <c r="H1018" s="2" t="str">
        <f t="shared" si="41"/>
        <v>0 г. 0 мес. 0 дн.</v>
      </c>
      <c r="I1018" s="2"/>
      <c r="J1018" s="2"/>
      <c r="K1018" s="2"/>
      <c r="L1018" s="2"/>
      <c r="M1018" s="2"/>
      <c r="N1018" s="1">
        <v>0</v>
      </c>
      <c r="O1018" s="2"/>
      <c r="P1018" s="2"/>
      <c r="Q1018" s="2">
        <v>0</v>
      </c>
      <c r="R1018" s="6"/>
    </row>
    <row r="1019" spans="1:18" x14ac:dyDescent="0.25">
      <c r="A1019" s="2">
        <f t="shared" si="42"/>
        <v>1018</v>
      </c>
      <c r="B1019" s="2"/>
      <c r="C1019" s="2"/>
      <c r="D1019" s="2"/>
      <c r="E1019" s="2"/>
      <c r="F1019" s="2"/>
      <c r="G1019" s="2"/>
      <c r="H1019" s="2" t="str">
        <f t="shared" si="41"/>
        <v>0 г. 0 мес. 0 дн.</v>
      </c>
      <c r="I1019" s="2"/>
      <c r="J1019" s="2"/>
      <c r="K1019" s="2"/>
      <c r="L1019" s="2"/>
      <c r="M1019" s="2"/>
      <c r="N1019" s="1">
        <v>0</v>
      </c>
      <c r="O1019" s="2"/>
      <c r="P1019" s="2"/>
      <c r="Q1019" s="2">
        <v>0</v>
      </c>
      <c r="R1019" s="6"/>
    </row>
    <row r="1020" spans="1:18" x14ac:dyDescent="0.25">
      <c r="A1020" s="2">
        <f t="shared" si="42"/>
        <v>1019</v>
      </c>
      <c r="B1020" s="2"/>
      <c r="C1020" s="2"/>
      <c r="D1020" s="2"/>
      <c r="E1020" s="2"/>
      <c r="F1020" s="2"/>
      <c r="G1020" s="2"/>
      <c r="H1020" s="2" t="str">
        <f t="shared" si="41"/>
        <v>0 г. 0 мес. 0 дн.</v>
      </c>
      <c r="I1020" s="2"/>
      <c r="J1020" s="2"/>
      <c r="K1020" s="2"/>
      <c r="L1020" s="2"/>
      <c r="M1020" s="2"/>
      <c r="N1020" s="1">
        <v>0</v>
      </c>
      <c r="O1020" s="2"/>
      <c r="P1020" s="2"/>
      <c r="Q1020" s="2">
        <v>0</v>
      </c>
      <c r="R1020" s="6"/>
    </row>
    <row r="1021" spans="1:18" x14ac:dyDescent="0.25">
      <c r="A1021" s="2">
        <f t="shared" si="42"/>
        <v>1020</v>
      </c>
      <c r="B1021" s="2"/>
      <c r="C1021" s="2"/>
      <c r="D1021" s="2"/>
      <c r="E1021" s="2"/>
      <c r="F1021" s="2"/>
      <c r="G1021" s="2"/>
      <c r="H1021" s="2" t="str">
        <f t="shared" si="41"/>
        <v>0 г. 0 мес. 0 дн.</v>
      </c>
      <c r="I1021" s="2"/>
      <c r="J1021" s="2"/>
      <c r="K1021" s="2"/>
      <c r="L1021" s="2"/>
      <c r="M1021" s="2"/>
      <c r="N1021" s="1">
        <v>0</v>
      </c>
      <c r="O1021" s="2"/>
      <c r="P1021" s="2"/>
      <c r="Q1021" s="2">
        <v>0</v>
      </c>
      <c r="R1021" s="6"/>
    </row>
    <row r="1022" spans="1:18" x14ac:dyDescent="0.25">
      <c r="A1022" s="2">
        <f t="shared" si="42"/>
        <v>1021</v>
      </c>
      <c r="B1022" s="2"/>
      <c r="C1022" s="2"/>
      <c r="D1022" s="2"/>
      <c r="E1022" s="2"/>
      <c r="F1022" s="2"/>
      <c r="G1022" s="2"/>
      <c r="H1022" s="2" t="str">
        <f t="shared" si="41"/>
        <v>0 г. 0 мес. 0 дн.</v>
      </c>
      <c r="I1022" s="2"/>
      <c r="J1022" s="2"/>
      <c r="K1022" s="2"/>
      <c r="L1022" s="2"/>
      <c r="M1022" s="2"/>
      <c r="N1022" s="1">
        <v>0</v>
      </c>
      <c r="O1022" s="2"/>
      <c r="P1022" s="2"/>
      <c r="Q1022" s="2">
        <v>0</v>
      </c>
      <c r="R1022" s="6"/>
    </row>
    <row r="1023" spans="1:18" x14ac:dyDescent="0.25">
      <c r="A1023" s="2">
        <f t="shared" si="42"/>
        <v>1022</v>
      </c>
      <c r="B1023" s="2"/>
      <c r="C1023" s="2"/>
      <c r="D1023" s="2"/>
      <c r="E1023" s="2"/>
      <c r="F1023" s="2"/>
      <c r="G1023" s="2"/>
      <c r="H1023" s="2" t="str">
        <f t="shared" si="41"/>
        <v>0 г. 0 мес. 0 дн.</v>
      </c>
      <c r="I1023" s="2"/>
      <c r="J1023" s="2"/>
      <c r="K1023" s="2"/>
      <c r="L1023" s="2"/>
      <c r="M1023" s="2"/>
      <c r="N1023" s="1">
        <v>0</v>
      </c>
      <c r="O1023" s="2"/>
      <c r="P1023" s="2"/>
      <c r="Q1023" s="2">
        <v>0</v>
      </c>
      <c r="R1023" s="6"/>
    </row>
    <row r="1024" spans="1:18" x14ac:dyDescent="0.25">
      <c r="A1024" s="2">
        <f t="shared" si="42"/>
        <v>1023</v>
      </c>
      <c r="B1024" s="2"/>
      <c r="C1024" s="2"/>
      <c r="D1024" s="2"/>
      <c r="E1024" s="2"/>
      <c r="F1024" s="2"/>
      <c r="G1024" s="2"/>
      <c r="H1024" s="2" t="str">
        <f t="shared" si="41"/>
        <v>0 г. 0 мес. 0 дн.</v>
      </c>
      <c r="I1024" s="2"/>
      <c r="J1024" s="2"/>
      <c r="K1024" s="2"/>
      <c r="L1024" s="2"/>
      <c r="M1024" s="2"/>
      <c r="N1024" s="1">
        <v>0</v>
      </c>
      <c r="O1024" s="2"/>
      <c r="P1024" s="2"/>
      <c r="Q1024" s="2">
        <v>0</v>
      </c>
      <c r="R1024" s="6"/>
    </row>
    <row r="1025" spans="1:18" x14ac:dyDescent="0.25">
      <c r="A1025" s="2">
        <f t="shared" si="42"/>
        <v>1024</v>
      </c>
      <c r="B1025" s="2"/>
      <c r="C1025" s="2"/>
      <c r="D1025" s="2"/>
      <c r="E1025" s="2"/>
      <c r="F1025" s="2"/>
      <c r="G1025" s="2"/>
      <c r="H1025" s="2" t="str">
        <f t="shared" si="41"/>
        <v>0 г. 0 мес. 0 дн.</v>
      </c>
      <c r="I1025" s="2"/>
      <c r="J1025" s="2"/>
      <c r="K1025" s="2"/>
      <c r="L1025" s="2"/>
      <c r="M1025" s="2"/>
      <c r="N1025" s="1">
        <v>0</v>
      </c>
      <c r="O1025" s="2"/>
      <c r="P1025" s="2"/>
      <c r="Q1025" s="2">
        <v>0</v>
      </c>
      <c r="R1025" s="6"/>
    </row>
    <row r="1026" spans="1:18" x14ac:dyDescent="0.25">
      <c r="A1026" s="2">
        <f t="shared" si="42"/>
        <v>1025</v>
      </c>
      <c r="B1026" s="2"/>
      <c r="C1026" s="2"/>
      <c r="D1026" s="2"/>
      <c r="E1026" s="2"/>
      <c r="F1026" s="2"/>
      <c r="G1026" s="2"/>
      <c r="H1026" s="2" t="str">
        <f t="shared" si="41"/>
        <v>0 г. 0 мес. 0 дн.</v>
      </c>
      <c r="I1026" s="2"/>
      <c r="J1026" s="2"/>
      <c r="K1026" s="2"/>
      <c r="L1026" s="2"/>
      <c r="M1026" s="2"/>
      <c r="N1026" s="1">
        <v>0</v>
      </c>
      <c r="O1026" s="2"/>
      <c r="P1026" s="2"/>
      <c r="Q1026" s="2">
        <v>0</v>
      </c>
      <c r="R1026" s="6"/>
    </row>
    <row r="1027" spans="1:18" x14ac:dyDescent="0.25">
      <c r="A1027" s="2">
        <f t="shared" si="42"/>
        <v>1026</v>
      </c>
      <c r="B1027" s="2"/>
      <c r="C1027" s="2"/>
      <c r="D1027" s="2"/>
      <c r="E1027" s="2"/>
      <c r="F1027" s="2"/>
      <c r="G1027" s="2"/>
      <c r="H1027" s="2" t="str">
        <f t="shared" si="41"/>
        <v>0 г. 0 мес. 0 дн.</v>
      </c>
      <c r="I1027" s="2"/>
      <c r="J1027" s="2"/>
      <c r="K1027" s="2"/>
      <c r="L1027" s="2"/>
      <c r="M1027" s="2"/>
      <c r="N1027" s="1">
        <v>0</v>
      </c>
      <c r="O1027" s="2"/>
      <c r="P1027" s="2"/>
      <c r="Q1027" s="2">
        <v>0</v>
      </c>
      <c r="R1027" s="6"/>
    </row>
    <row r="1028" spans="1:18" x14ac:dyDescent="0.25">
      <c r="A1028" s="2">
        <f t="shared" si="42"/>
        <v>1027</v>
      </c>
      <c r="B1028" s="2"/>
      <c r="C1028" s="2"/>
      <c r="D1028" s="2"/>
      <c r="E1028" s="2"/>
      <c r="F1028" s="2"/>
      <c r="G1028" s="2"/>
      <c r="H1028" s="2" t="str">
        <f t="shared" ref="H1028:H1091" si="43">DATEDIF(G1028,D1028,"y") &amp; " г. " &amp; DATEDIF(G1028,D1028,"ym") &amp; " мес. " &amp; DATEDIF(G1028,D1028,"md") &amp; " дн."</f>
        <v>0 г. 0 мес. 0 дн.</v>
      </c>
      <c r="I1028" s="2"/>
      <c r="J1028" s="2"/>
      <c r="K1028" s="2"/>
      <c r="L1028" s="2"/>
      <c r="M1028" s="2"/>
      <c r="N1028" s="1">
        <v>0</v>
      </c>
      <c r="O1028" s="2"/>
      <c r="P1028" s="2"/>
      <c r="Q1028" s="2">
        <v>0</v>
      </c>
      <c r="R1028" s="6"/>
    </row>
    <row r="1029" spans="1:18" x14ac:dyDescent="0.25">
      <c r="A1029" s="2">
        <f t="shared" si="42"/>
        <v>1028</v>
      </c>
      <c r="B1029" s="2"/>
      <c r="C1029" s="2"/>
      <c r="D1029" s="2"/>
      <c r="E1029" s="2"/>
      <c r="F1029" s="2"/>
      <c r="G1029" s="2"/>
      <c r="H1029" s="2" t="str">
        <f t="shared" si="43"/>
        <v>0 г. 0 мес. 0 дн.</v>
      </c>
      <c r="I1029" s="2"/>
      <c r="J1029" s="2"/>
      <c r="K1029" s="2"/>
      <c r="L1029" s="2"/>
      <c r="M1029" s="2"/>
      <c r="N1029" s="1">
        <v>0</v>
      </c>
      <c r="O1029" s="2"/>
      <c r="P1029" s="2"/>
      <c r="Q1029" s="2">
        <v>0</v>
      </c>
      <c r="R1029" s="6"/>
    </row>
    <row r="1030" spans="1:18" x14ac:dyDescent="0.25">
      <c r="A1030" s="2">
        <f t="shared" si="42"/>
        <v>1029</v>
      </c>
      <c r="B1030" s="2"/>
      <c r="C1030" s="2"/>
      <c r="D1030" s="2"/>
      <c r="E1030" s="2"/>
      <c r="F1030" s="2"/>
      <c r="G1030" s="2"/>
      <c r="H1030" s="2" t="str">
        <f t="shared" si="43"/>
        <v>0 г. 0 мес. 0 дн.</v>
      </c>
      <c r="I1030" s="2"/>
      <c r="J1030" s="2"/>
      <c r="K1030" s="2"/>
      <c r="L1030" s="2"/>
      <c r="M1030" s="2"/>
      <c r="N1030" s="1">
        <v>0</v>
      </c>
      <c r="O1030" s="2"/>
      <c r="P1030" s="2"/>
      <c r="Q1030" s="2">
        <v>0</v>
      </c>
      <c r="R1030" s="6"/>
    </row>
    <row r="1031" spans="1:18" x14ac:dyDescent="0.25">
      <c r="A1031" s="2">
        <f t="shared" si="42"/>
        <v>1030</v>
      </c>
      <c r="B1031" s="2"/>
      <c r="C1031" s="2"/>
      <c r="D1031" s="2"/>
      <c r="E1031" s="2"/>
      <c r="F1031" s="2"/>
      <c r="G1031" s="2"/>
      <c r="H1031" s="2" t="str">
        <f t="shared" si="43"/>
        <v>0 г. 0 мес. 0 дн.</v>
      </c>
      <c r="I1031" s="2"/>
      <c r="J1031" s="2"/>
      <c r="K1031" s="2"/>
      <c r="L1031" s="2"/>
      <c r="M1031" s="2"/>
      <c r="N1031" s="1">
        <v>0</v>
      </c>
      <c r="O1031" s="2"/>
      <c r="P1031" s="2"/>
      <c r="Q1031" s="2">
        <v>0</v>
      </c>
      <c r="R1031" s="6"/>
    </row>
    <row r="1032" spans="1:18" x14ac:dyDescent="0.25">
      <c r="A1032" s="2">
        <f t="shared" si="42"/>
        <v>1031</v>
      </c>
      <c r="B1032" s="2"/>
      <c r="C1032" s="2"/>
      <c r="D1032" s="2"/>
      <c r="E1032" s="2"/>
      <c r="F1032" s="2"/>
      <c r="G1032" s="2"/>
      <c r="H1032" s="2" t="str">
        <f t="shared" si="43"/>
        <v>0 г. 0 мес. 0 дн.</v>
      </c>
      <c r="I1032" s="2"/>
      <c r="J1032" s="2"/>
      <c r="K1032" s="2"/>
      <c r="L1032" s="2"/>
      <c r="M1032" s="2"/>
      <c r="N1032" s="1">
        <v>0</v>
      </c>
      <c r="O1032" s="2"/>
      <c r="P1032" s="2"/>
      <c r="Q1032" s="2">
        <v>0</v>
      </c>
      <c r="R1032" s="6"/>
    </row>
    <row r="1033" spans="1:18" x14ac:dyDescent="0.25">
      <c r="A1033" s="2">
        <f t="shared" si="42"/>
        <v>1032</v>
      </c>
      <c r="B1033" s="2"/>
      <c r="C1033" s="2"/>
      <c r="D1033" s="2"/>
      <c r="E1033" s="2"/>
      <c r="F1033" s="2"/>
      <c r="G1033" s="2"/>
      <c r="H1033" s="2" t="str">
        <f t="shared" si="43"/>
        <v>0 г. 0 мес. 0 дн.</v>
      </c>
      <c r="I1033" s="2"/>
      <c r="J1033" s="2"/>
      <c r="K1033" s="2"/>
      <c r="L1033" s="2"/>
      <c r="M1033" s="2"/>
      <c r="N1033" s="1">
        <v>0</v>
      </c>
      <c r="O1033" s="2"/>
      <c r="P1033" s="2"/>
      <c r="Q1033" s="2">
        <v>0</v>
      </c>
      <c r="R1033" s="6"/>
    </row>
    <row r="1034" spans="1:18" x14ac:dyDescent="0.25">
      <c r="A1034" s="2">
        <f t="shared" si="42"/>
        <v>1033</v>
      </c>
      <c r="B1034" s="2"/>
      <c r="C1034" s="2"/>
      <c r="D1034" s="2"/>
      <c r="E1034" s="2"/>
      <c r="F1034" s="2"/>
      <c r="G1034" s="2"/>
      <c r="H1034" s="2" t="str">
        <f t="shared" si="43"/>
        <v>0 г. 0 мес. 0 дн.</v>
      </c>
      <c r="I1034" s="2"/>
      <c r="J1034" s="2"/>
      <c r="K1034" s="2"/>
      <c r="L1034" s="2"/>
      <c r="M1034" s="2"/>
      <c r="N1034" s="1">
        <v>0</v>
      </c>
      <c r="O1034" s="2"/>
      <c r="P1034" s="2"/>
      <c r="Q1034" s="2">
        <v>0</v>
      </c>
      <c r="R1034" s="6"/>
    </row>
    <row r="1035" spans="1:18" x14ac:dyDescent="0.25">
      <c r="A1035" s="2">
        <f t="shared" si="42"/>
        <v>1034</v>
      </c>
      <c r="B1035" s="2"/>
      <c r="C1035" s="2"/>
      <c r="D1035" s="2"/>
      <c r="E1035" s="2"/>
      <c r="F1035" s="2"/>
      <c r="G1035" s="2"/>
      <c r="H1035" s="2" t="str">
        <f t="shared" si="43"/>
        <v>0 г. 0 мес. 0 дн.</v>
      </c>
      <c r="I1035" s="2"/>
      <c r="J1035" s="2"/>
      <c r="K1035" s="2"/>
      <c r="L1035" s="2"/>
      <c r="M1035" s="2"/>
      <c r="N1035" s="1">
        <v>0</v>
      </c>
      <c r="O1035" s="2"/>
      <c r="P1035" s="2"/>
      <c r="Q1035" s="2">
        <v>0</v>
      </c>
      <c r="R1035" s="6"/>
    </row>
    <row r="1036" spans="1:18" x14ac:dyDescent="0.25">
      <c r="A1036" s="2">
        <f t="shared" si="42"/>
        <v>1035</v>
      </c>
      <c r="B1036" s="2"/>
      <c r="C1036" s="2"/>
      <c r="D1036" s="2"/>
      <c r="E1036" s="2"/>
      <c r="F1036" s="2"/>
      <c r="G1036" s="2"/>
      <c r="H1036" s="2" t="str">
        <f t="shared" si="43"/>
        <v>0 г. 0 мес. 0 дн.</v>
      </c>
      <c r="I1036" s="2"/>
      <c r="J1036" s="2"/>
      <c r="K1036" s="2"/>
      <c r="L1036" s="2"/>
      <c r="M1036" s="2"/>
      <c r="N1036" s="1">
        <v>0</v>
      </c>
      <c r="O1036" s="2"/>
      <c r="P1036" s="2"/>
      <c r="Q1036" s="2">
        <v>0</v>
      </c>
      <c r="R1036" s="6"/>
    </row>
    <row r="1037" spans="1:18" x14ac:dyDescent="0.25">
      <c r="A1037" s="2">
        <f t="shared" si="42"/>
        <v>1036</v>
      </c>
      <c r="B1037" s="2"/>
      <c r="C1037" s="2"/>
      <c r="D1037" s="2"/>
      <c r="E1037" s="2"/>
      <c r="F1037" s="2"/>
      <c r="G1037" s="2"/>
      <c r="H1037" s="2" t="str">
        <f t="shared" si="43"/>
        <v>0 г. 0 мес. 0 дн.</v>
      </c>
      <c r="I1037" s="2"/>
      <c r="J1037" s="2"/>
      <c r="K1037" s="2"/>
      <c r="L1037" s="2"/>
      <c r="M1037" s="2"/>
      <c r="N1037" s="1">
        <v>0</v>
      </c>
      <c r="O1037" s="2"/>
      <c r="P1037" s="2"/>
      <c r="Q1037" s="2">
        <v>0</v>
      </c>
      <c r="R1037" s="6"/>
    </row>
    <row r="1038" spans="1:18" x14ac:dyDescent="0.25">
      <c r="A1038" s="2">
        <f t="shared" si="42"/>
        <v>1037</v>
      </c>
      <c r="B1038" s="2"/>
      <c r="C1038" s="2"/>
      <c r="D1038" s="2"/>
      <c r="E1038" s="2"/>
      <c r="F1038" s="2"/>
      <c r="G1038" s="2"/>
      <c r="H1038" s="2" t="str">
        <f t="shared" si="43"/>
        <v>0 г. 0 мес. 0 дн.</v>
      </c>
      <c r="I1038" s="2"/>
      <c r="J1038" s="2"/>
      <c r="K1038" s="2"/>
      <c r="L1038" s="2"/>
      <c r="M1038" s="2"/>
      <c r="N1038" s="1">
        <v>0</v>
      </c>
      <c r="O1038" s="2"/>
      <c r="P1038" s="2"/>
      <c r="Q1038" s="2">
        <v>0</v>
      </c>
      <c r="R1038" s="6"/>
    </row>
    <row r="1039" spans="1:18" x14ac:dyDescent="0.25">
      <c r="A1039" s="2">
        <f t="shared" si="42"/>
        <v>1038</v>
      </c>
      <c r="B1039" s="2"/>
      <c r="C1039" s="2"/>
      <c r="D1039" s="2"/>
      <c r="E1039" s="2"/>
      <c r="F1039" s="2"/>
      <c r="G1039" s="2"/>
      <c r="H1039" s="2" t="str">
        <f t="shared" si="43"/>
        <v>0 г. 0 мес. 0 дн.</v>
      </c>
      <c r="I1039" s="2"/>
      <c r="J1039" s="2"/>
      <c r="K1039" s="2"/>
      <c r="L1039" s="2"/>
      <c r="M1039" s="2"/>
      <c r="N1039" s="1">
        <v>0</v>
      </c>
      <c r="O1039" s="2"/>
      <c r="P1039" s="2"/>
      <c r="Q1039" s="2">
        <v>0</v>
      </c>
      <c r="R1039" s="6"/>
    </row>
    <row r="1040" spans="1:18" x14ac:dyDescent="0.25">
      <c r="A1040" s="2">
        <f t="shared" si="42"/>
        <v>1039</v>
      </c>
      <c r="B1040" s="2"/>
      <c r="C1040" s="2"/>
      <c r="D1040" s="2"/>
      <c r="E1040" s="2"/>
      <c r="F1040" s="2"/>
      <c r="G1040" s="2"/>
      <c r="H1040" s="2" t="str">
        <f t="shared" si="43"/>
        <v>0 г. 0 мес. 0 дн.</v>
      </c>
      <c r="I1040" s="2"/>
      <c r="J1040" s="2"/>
      <c r="K1040" s="2"/>
      <c r="L1040" s="2"/>
      <c r="M1040" s="2"/>
      <c r="N1040" s="1">
        <v>0</v>
      </c>
      <c r="O1040" s="2"/>
      <c r="P1040" s="2"/>
      <c r="Q1040" s="2">
        <v>0</v>
      </c>
      <c r="R1040" s="6"/>
    </row>
    <row r="1041" spans="1:18" x14ac:dyDescent="0.25">
      <c r="A1041" s="2">
        <f t="shared" si="42"/>
        <v>1040</v>
      </c>
      <c r="B1041" s="2"/>
      <c r="C1041" s="2"/>
      <c r="D1041" s="2"/>
      <c r="E1041" s="2"/>
      <c r="F1041" s="2"/>
      <c r="G1041" s="2"/>
      <c r="H1041" s="2" t="str">
        <f t="shared" si="43"/>
        <v>0 г. 0 мес. 0 дн.</v>
      </c>
      <c r="I1041" s="2"/>
      <c r="J1041" s="2"/>
      <c r="K1041" s="2"/>
      <c r="L1041" s="2"/>
      <c r="M1041" s="2"/>
      <c r="N1041" s="1">
        <v>0</v>
      </c>
      <c r="O1041" s="2"/>
      <c r="P1041" s="2"/>
      <c r="Q1041" s="2">
        <v>0</v>
      </c>
      <c r="R1041" s="6"/>
    </row>
    <row r="1042" spans="1:18" x14ac:dyDescent="0.25">
      <c r="A1042" s="2">
        <f t="shared" si="42"/>
        <v>1041</v>
      </c>
      <c r="B1042" s="2"/>
      <c r="C1042" s="2"/>
      <c r="D1042" s="2"/>
      <c r="E1042" s="2"/>
      <c r="F1042" s="2"/>
      <c r="G1042" s="2"/>
      <c r="H1042" s="2" t="str">
        <f t="shared" si="43"/>
        <v>0 г. 0 мес. 0 дн.</v>
      </c>
      <c r="I1042" s="2"/>
      <c r="J1042" s="2"/>
      <c r="K1042" s="2"/>
      <c r="L1042" s="2"/>
      <c r="M1042" s="2"/>
      <c r="N1042" s="1">
        <v>0</v>
      </c>
      <c r="O1042" s="2"/>
      <c r="P1042" s="2"/>
      <c r="Q1042" s="2">
        <v>0</v>
      </c>
      <c r="R1042" s="6"/>
    </row>
    <row r="1043" spans="1:18" x14ac:dyDescent="0.25">
      <c r="A1043" s="2">
        <f t="shared" si="42"/>
        <v>1042</v>
      </c>
      <c r="B1043" s="2"/>
      <c r="C1043" s="2"/>
      <c r="D1043" s="2"/>
      <c r="E1043" s="2"/>
      <c r="F1043" s="2"/>
      <c r="G1043" s="2"/>
      <c r="H1043" s="2" t="str">
        <f t="shared" si="43"/>
        <v>0 г. 0 мес. 0 дн.</v>
      </c>
      <c r="I1043" s="2"/>
      <c r="J1043" s="2"/>
      <c r="K1043" s="2"/>
      <c r="L1043" s="2"/>
      <c r="M1043" s="2"/>
      <c r="N1043" s="1">
        <v>0</v>
      </c>
      <c r="O1043" s="2"/>
      <c r="P1043" s="2"/>
      <c r="Q1043" s="2">
        <v>0</v>
      </c>
      <c r="R1043" s="6"/>
    </row>
    <row r="1044" spans="1:18" x14ac:dyDescent="0.25">
      <c r="A1044" s="2">
        <f t="shared" si="42"/>
        <v>1043</v>
      </c>
      <c r="B1044" s="2"/>
      <c r="C1044" s="2"/>
      <c r="D1044" s="2"/>
      <c r="E1044" s="2"/>
      <c r="F1044" s="2"/>
      <c r="G1044" s="2"/>
      <c r="H1044" s="2" t="str">
        <f t="shared" si="43"/>
        <v>0 г. 0 мес. 0 дн.</v>
      </c>
      <c r="I1044" s="2"/>
      <c r="J1044" s="2"/>
      <c r="K1044" s="2"/>
      <c r="L1044" s="2"/>
      <c r="M1044" s="2"/>
      <c r="N1044" s="1">
        <v>0</v>
      </c>
      <c r="O1044" s="2"/>
      <c r="P1044" s="2"/>
      <c r="Q1044" s="2">
        <v>0</v>
      </c>
      <c r="R1044" s="6"/>
    </row>
    <row r="1045" spans="1:18" x14ac:dyDescent="0.25">
      <c r="A1045" s="2">
        <f t="shared" si="42"/>
        <v>1044</v>
      </c>
      <c r="B1045" s="2"/>
      <c r="C1045" s="2"/>
      <c r="D1045" s="2"/>
      <c r="E1045" s="2"/>
      <c r="F1045" s="2"/>
      <c r="G1045" s="2"/>
      <c r="H1045" s="2" t="str">
        <f t="shared" si="43"/>
        <v>0 г. 0 мес. 0 дн.</v>
      </c>
      <c r="I1045" s="2"/>
      <c r="J1045" s="2"/>
      <c r="K1045" s="2"/>
      <c r="L1045" s="2"/>
      <c r="M1045" s="2"/>
      <c r="N1045" s="1">
        <v>0</v>
      </c>
      <c r="O1045" s="2"/>
      <c r="P1045" s="2"/>
      <c r="Q1045" s="2">
        <v>0</v>
      </c>
      <c r="R1045" s="6"/>
    </row>
    <row r="1046" spans="1:18" x14ac:dyDescent="0.25">
      <c r="A1046" s="2">
        <f t="shared" si="42"/>
        <v>1045</v>
      </c>
      <c r="B1046" s="2"/>
      <c r="C1046" s="2"/>
      <c r="D1046" s="2"/>
      <c r="E1046" s="2"/>
      <c r="F1046" s="2"/>
      <c r="G1046" s="2"/>
      <c r="H1046" s="2" t="str">
        <f t="shared" si="43"/>
        <v>0 г. 0 мес. 0 дн.</v>
      </c>
      <c r="I1046" s="2"/>
      <c r="J1046" s="2"/>
      <c r="K1046" s="2"/>
      <c r="L1046" s="2"/>
      <c r="M1046" s="2"/>
      <c r="N1046" s="1">
        <v>0</v>
      </c>
      <c r="O1046" s="2"/>
      <c r="P1046" s="2"/>
      <c r="Q1046" s="2">
        <v>0</v>
      </c>
      <c r="R1046" s="6"/>
    </row>
    <row r="1047" spans="1:18" x14ac:dyDescent="0.25">
      <c r="A1047" s="2">
        <f t="shared" si="42"/>
        <v>1046</v>
      </c>
      <c r="B1047" s="2"/>
      <c r="C1047" s="2"/>
      <c r="D1047" s="2"/>
      <c r="E1047" s="2"/>
      <c r="F1047" s="2"/>
      <c r="G1047" s="2"/>
      <c r="H1047" s="2" t="str">
        <f t="shared" si="43"/>
        <v>0 г. 0 мес. 0 дн.</v>
      </c>
      <c r="I1047" s="2"/>
      <c r="J1047" s="2"/>
      <c r="K1047" s="2"/>
      <c r="L1047" s="2"/>
      <c r="M1047" s="2"/>
      <c r="N1047" s="1">
        <v>0</v>
      </c>
      <c r="O1047" s="2"/>
      <c r="P1047" s="2"/>
      <c r="Q1047" s="2">
        <v>0</v>
      </c>
      <c r="R1047" s="6"/>
    </row>
    <row r="1048" spans="1:18" x14ac:dyDescent="0.25">
      <c r="A1048" s="2">
        <f t="shared" si="42"/>
        <v>1047</v>
      </c>
      <c r="B1048" s="2"/>
      <c r="C1048" s="2"/>
      <c r="D1048" s="2"/>
      <c r="E1048" s="2"/>
      <c r="F1048" s="2"/>
      <c r="G1048" s="2"/>
      <c r="H1048" s="2" t="str">
        <f t="shared" si="43"/>
        <v>0 г. 0 мес. 0 дн.</v>
      </c>
      <c r="I1048" s="2"/>
      <c r="J1048" s="2"/>
      <c r="K1048" s="2"/>
      <c r="L1048" s="2"/>
      <c r="M1048" s="2"/>
      <c r="N1048" s="1">
        <v>0</v>
      </c>
      <c r="O1048" s="2"/>
      <c r="P1048" s="2"/>
      <c r="Q1048" s="2">
        <v>0</v>
      </c>
      <c r="R1048" s="6"/>
    </row>
    <row r="1049" spans="1:18" x14ac:dyDescent="0.25">
      <c r="A1049" s="2">
        <f t="shared" si="42"/>
        <v>1048</v>
      </c>
      <c r="B1049" s="2"/>
      <c r="C1049" s="2"/>
      <c r="D1049" s="2"/>
      <c r="E1049" s="2"/>
      <c r="F1049" s="2"/>
      <c r="G1049" s="2"/>
      <c r="H1049" s="2" t="str">
        <f t="shared" si="43"/>
        <v>0 г. 0 мес. 0 дн.</v>
      </c>
      <c r="I1049" s="2"/>
      <c r="J1049" s="2"/>
      <c r="K1049" s="2"/>
      <c r="L1049" s="2"/>
      <c r="M1049" s="2"/>
      <c r="N1049" s="1">
        <v>0</v>
      </c>
      <c r="O1049" s="2"/>
      <c r="P1049" s="2"/>
      <c r="Q1049" s="2">
        <v>0</v>
      </c>
      <c r="R1049" s="6"/>
    </row>
    <row r="1050" spans="1:18" x14ac:dyDescent="0.25">
      <c r="A1050" s="2">
        <f t="shared" si="42"/>
        <v>1049</v>
      </c>
      <c r="B1050" s="2"/>
      <c r="C1050" s="2"/>
      <c r="D1050" s="2"/>
      <c r="E1050" s="2"/>
      <c r="F1050" s="2"/>
      <c r="G1050" s="2"/>
      <c r="H1050" s="2" t="str">
        <f t="shared" si="43"/>
        <v>0 г. 0 мес. 0 дн.</v>
      </c>
      <c r="I1050" s="2"/>
      <c r="J1050" s="2"/>
      <c r="K1050" s="2"/>
      <c r="L1050" s="2"/>
      <c r="M1050" s="2"/>
      <c r="N1050" s="1">
        <v>0</v>
      </c>
      <c r="O1050" s="2"/>
      <c r="P1050" s="2"/>
      <c r="Q1050" s="2">
        <v>0</v>
      </c>
      <c r="R1050" s="6"/>
    </row>
    <row r="1051" spans="1:18" x14ac:dyDescent="0.25">
      <c r="A1051" s="2">
        <f t="shared" si="42"/>
        <v>1050</v>
      </c>
      <c r="B1051" s="2"/>
      <c r="C1051" s="2"/>
      <c r="D1051" s="2"/>
      <c r="E1051" s="2"/>
      <c r="F1051" s="2"/>
      <c r="G1051" s="2"/>
      <c r="H1051" s="2" t="str">
        <f t="shared" si="43"/>
        <v>0 г. 0 мес. 0 дн.</v>
      </c>
      <c r="I1051" s="2"/>
      <c r="J1051" s="2"/>
      <c r="K1051" s="2"/>
      <c r="L1051" s="2"/>
      <c r="M1051" s="2"/>
      <c r="N1051" s="1">
        <v>0</v>
      </c>
      <c r="O1051" s="2"/>
      <c r="P1051" s="2"/>
      <c r="Q1051" s="2">
        <v>0</v>
      </c>
      <c r="R1051" s="6"/>
    </row>
    <row r="1052" spans="1:18" x14ac:dyDescent="0.25">
      <c r="A1052" s="2">
        <f t="shared" si="42"/>
        <v>1051</v>
      </c>
      <c r="B1052" s="2"/>
      <c r="C1052" s="2"/>
      <c r="D1052" s="2"/>
      <c r="E1052" s="2"/>
      <c r="F1052" s="2"/>
      <c r="G1052" s="2"/>
      <c r="H1052" s="2" t="str">
        <f t="shared" si="43"/>
        <v>0 г. 0 мес. 0 дн.</v>
      </c>
      <c r="I1052" s="2"/>
      <c r="J1052" s="2"/>
      <c r="K1052" s="2"/>
      <c r="L1052" s="2"/>
      <c r="M1052" s="2"/>
      <c r="N1052" s="1">
        <v>0</v>
      </c>
      <c r="O1052" s="2"/>
      <c r="P1052" s="2"/>
      <c r="Q1052" s="2">
        <v>0</v>
      </c>
      <c r="R1052" s="6"/>
    </row>
    <row r="1053" spans="1:18" x14ac:dyDescent="0.25">
      <c r="A1053" s="2">
        <f t="shared" ref="A1053:A1116" si="44">ROW(A1052)</f>
        <v>1052</v>
      </c>
      <c r="B1053" s="2"/>
      <c r="C1053" s="2"/>
      <c r="D1053" s="2"/>
      <c r="E1053" s="2"/>
      <c r="F1053" s="2"/>
      <c r="G1053" s="2"/>
      <c r="H1053" s="2" t="str">
        <f t="shared" si="43"/>
        <v>0 г. 0 мес. 0 дн.</v>
      </c>
      <c r="I1053" s="2"/>
      <c r="J1053" s="2"/>
      <c r="K1053" s="2"/>
      <c r="L1053" s="2"/>
      <c r="M1053" s="2"/>
      <c r="N1053" s="1">
        <v>0</v>
      </c>
      <c r="O1053" s="2"/>
      <c r="P1053" s="2"/>
      <c r="Q1053" s="2">
        <v>0</v>
      </c>
      <c r="R1053" s="6"/>
    </row>
    <row r="1054" spans="1:18" x14ac:dyDescent="0.25">
      <c r="A1054" s="2">
        <f t="shared" si="44"/>
        <v>1053</v>
      </c>
      <c r="B1054" s="2"/>
      <c r="C1054" s="2"/>
      <c r="D1054" s="2"/>
      <c r="E1054" s="2"/>
      <c r="F1054" s="2"/>
      <c r="G1054" s="2"/>
      <c r="H1054" s="2" t="str">
        <f t="shared" si="43"/>
        <v>0 г. 0 мес. 0 дн.</v>
      </c>
      <c r="I1054" s="2"/>
      <c r="J1054" s="2"/>
      <c r="K1054" s="2"/>
      <c r="L1054" s="2"/>
      <c r="M1054" s="2"/>
      <c r="N1054" s="1">
        <v>0</v>
      </c>
      <c r="O1054" s="2"/>
      <c r="P1054" s="2"/>
      <c r="Q1054" s="2">
        <v>0</v>
      </c>
      <c r="R1054" s="6"/>
    </row>
    <row r="1055" spans="1:18" x14ac:dyDescent="0.25">
      <c r="A1055" s="2">
        <f t="shared" si="44"/>
        <v>1054</v>
      </c>
      <c r="B1055" s="2"/>
      <c r="C1055" s="2"/>
      <c r="D1055" s="2"/>
      <c r="E1055" s="2"/>
      <c r="F1055" s="2"/>
      <c r="G1055" s="2"/>
      <c r="H1055" s="2" t="str">
        <f t="shared" si="43"/>
        <v>0 г. 0 мес. 0 дн.</v>
      </c>
      <c r="I1055" s="2"/>
      <c r="J1055" s="2"/>
      <c r="K1055" s="2"/>
      <c r="L1055" s="2"/>
      <c r="M1055" s="2"/>
      <c r="N1055" s="1">
        <v>0</v>
      </c>
      <c r="O1055" s="2"/>
      <c r="P1055" s="2"/>
      <c r="Q1055" s="2">
        <v>0</v>
      </c>
      <c r="R1055" s="6"/>
    </row>
    <row r="1056" spans="1:18" x14ac:dyDescent="0.25">
      <c r="A1056" s="2">
        <f t="shared" si="44"/>
        <v>1055</v>
      </c>
      <c r="B1056" s="2"/>
      <c r="C1056" s="2"/>
      <c r="D1056" s="2"/>
      <c r="E1056" s="2"/>
      <c r="F1056" s="2"/>
      <c r="G1056" s="2"/>
      <c r="H1056" s="2" t="str">
        <f t="shared" si="43"/>
        <v>0 г. 0 мес. 0 дн.</v>
      </c>
      <c r="I1056" s="2"/>
      <c r="J1056" s="2"/>
      <c r="K1056" s="2"/>
      <c r="L1056" s="2"/>
      <c r="M1056" s="2"/>
      <c r="N1056" s="1">
        <v>0</v>
      </c>
      <c r="O1056" s="2"/>
      <c r="P1056" s="2"/>
      <c r="Q1056" s="2">
        <v>0</v>
      </c>
      <c r="R1056" s="6"/>
    </row>
    <row r="1057" spans="1:18" x14ac:dyDescent="0.25">
      <c r="A1057" s="2">
        <f t="shared" si="44"/>
        <v>1056</v>
      </c>
      <c r="B1057" s="2"/>
      <c r="C1057" s="2"/>
      <c r="D1057" s="2"/>
      <c r="E1057" s="2"/>
      <c r="F1057" s="2"/>
      <c r="G1057" s="2"/>
      <c r="H1057" s="2" t="str">
        <f t="shared" si="43"/>
        <v>0 г. 0 мес. 0 дн.</v>
      </c>
      <c r="I1057" s="2"/>
      <c r="J1057" s="2"/>
      <c r="K1057" s="2"/>
      <c r="L1057" s="2"/>
      <c r="M1057" s="2"/>
      <c r="N1057" s="1">
        <v>0</v>
      </c>
      <c r="O1057" s="2"/>
      <c r="P1057" s="2"/>
      <c r="Q1057" s="2">
        <v>0</v>
      </c>
      <c r="R1057" s="6"/>
    </row>
    <row r="1058" spans="1:18" x14ac:dyDescent="0.25">
      <c r="A1058" s="2">
        <f t="shared" si="44"/>
        <v>1057</v>
      </c>
      <c r="B1058" s="2"/>
      <c r="C1058" s="2"/>
      <c r="D1058" s="2"/>
      <c r="E1058" s="2"/>
      <c r="F1058" s="2"/>
      <c r="G1058" s="2"/>
      <c r="H1058" s="2" t="str">
        <f t="shared" si="43"/>
        <v>0 г. 0 мес. 0 дн.</v>
      </c>
      <c r="I1058" s="2"/>
      <c r="J1058" s="2"/>
      <c r="K1058" s="2"/>
      <c r="L1058" s="2"/>
      <c r="M1058" s="2"/>
      <c r="N1058" s="1">
        <v>0</v>
      </c>
      <c r="O1058" s="2"/>
      <c r="P1058" s="2"/>
      <c r="Q1058" s="2">
        <v>0</v>
      </c>
      <c r="R1058" s="6"/>
    </row>
    <row r="1059" spans="1:18" x14ac:dyDescent="0.25">
      <c r="A1059" s="2">
        <f t="shared" si="44"/>
        <v>1058</v>
      </c>
      <c r="B1059" s="2"/>
      <c r="C1059" s="2"/>
      <c r="D1059" s="2"/>
      <c r="E1059" s="2"/>
      <c r="F1059" s="2"/>
      <c r="G1059" s="2"/>
      <c r="H1059" s="2" t="str">
        <f t="shared" si="43"/>
        <v>0 г. 0 мес. 0 дн.</v>
      </c>
      <c r="I1059" s="2"/>
      <c r="J1059" s="2"/>
      <c r="K1059" s="2"/>
      <c r="L1059" s="2"/>
      <c r="M1059" s="2"/>
      <c r="N1059" s="1">
        <v>0</v>
      </c>
      <c r="O1059" s="2"/>
      <c r="P1059" s="2"/>
      <c r="Q1059" s="2">
        <v>0</v>
      </c>
      <c r="R1059" s="6"/>
    </row>
    <row r="1060" spans="1:18" x14ac:dyDescent="0.25">
      <c r="A1060" s="2">
        <f t="shared" si="44"/>
        <v>1059</v>
      </c>
      <c r="B1060" s="2"/>
      <c r="C1060" s="2"/>
      <c r="D1060" s="2"/>
      <c r="E1060" s="2"/>
      <c r="F1060" s="2"/>
      <c r="G1060" s="2"/>
      <c r="H1060" s="2" t="str">
        <f t="shared" si="43"/>
        <v>0 г. 0 мес. 0 дн.</v>
      </c>
      <c r="I1060" s="2"/>
      <c r="J1060" s="2"/>
      <c r="K1060" s="2"/>
      <c r="L1060" s="2"/>
      <c r="M1060" s="2"/>
      <c r="N1060" s="1">
        <v>0</v>
      </c>
      <c r="O1060" s="2"/>
      <c r="P1060" s="2"/>
      <c r="Q1060" s="2">
        <v>0</v>
      </c>
      <c r="R1060" s="6"/>
    </row>
    <row r="1061" spans="1:18" x14ac:dyDescent="0.25">
      <c r="A1061" s="2">
        <f t="shared" si="44"/>
        <v>1060</v>
      </c>
      <c r="B1061" s="2"/>
      <c r="C1061" s="2"/>
      <c r="D1061" s="2"/>
      <c r="E1061" s="2"/>
      <c r="F1061" s="2"/>
      <c r="G1061" s="2"/>
      <c r="H1061" s="2" t="str">
        <f t="shared" si="43"/>
        <v>0 г. 0 мес. 0 дн.</v>
      </c>
      <c r="I1061" s="2"/>
      <c r="J1061" s="2"/>
      <c r="K1061" s="2"/>
      <c r="L1061" s="2"/>
      <c r="M1061" s="2"/>
      <c r="N1061" s="1">
        <v>0</v>
      </c>
      <c r="O1061" s="2"/>
      <c r="P1061" s="2"/>
      <c r="Q1061" s="2">
        <v>0</v>
      </c>
      <c r="R1061" s="6"/>
    </row>
    <row r="1062" spans="1:18" x14ac:dyDescent="0.25">
      <c r="A1062" s="2">
        <f t="shared" si="44"/>
        <v>1061</v>
      </c>
      <c r="B1062" s="2"/>
      <c r="C1062" s="2"/>
      <c r="D1062" s="2"/>
      <c r="E1062" s="2"/>
      <c r="F1062" s="2"/>
      <c r="G1062" s="2"/>
      <c r="H1062" s="2" t="str">
        <f t="shared" si="43"/>
        <v>0 г. 0 мес. 0 дн.</v>
      </c>
      <c r="I1062" s="2"/>
      <c r="J1062" s="2"/>
      <c r="K1062" s="2"/>
      <c r="L1062" s="2"/>
      <c r="M1062" s="2"/>
      <c r="N1062" s="1">
        <v>0</v>
      </c>
      <c r="O1062" s="2"/>
      <c r="P1062" s="2"/>
      <c r="Q1062" s="2">
        <v>0</v>
      </c>
      <c r="R1062" s="6"/>
    </row>
    <row r="1063" spans="1:18" x14ac:dyDescent="0.25">
      <c r="A1063" s="2">
        <f t="shared" si="44"/>
        <v>1062</v>
      </c>
      <c r="B1063" s="2"/>
      <c r="C1063" s="2"/>
      <c r="D1063" s="2"/>
      <c r="E1063" s="2"/>
      <c r="F1063" s="2"/>
      <c r="G1063" s="2"/>
      <c r="H1063" s="2" t="str">
        <f t="shared" si="43"/>
        <v>0 г. 0 мес. 0 дн.</v>
      </c>
      <c r="I1063" s="2"/>
      <c r="J1063" s="2"/>
      <c r="K1063" s="2"/>
      <c r="L1063" s="2"/>
      <c r="M1063" s="2"/>
      <c r="N1063" s="1">
        <v>0</v>
      </c>
      <c r="O1063" s="2"/>
      <c r="P1063" s="2"/>
      <c r="Q1063" s="2">
        <v>0</v>
      </c>
      <c r="R1063" s="6"/>
    </row>
    <row r="1064" spans="1:18" x14ac:dyDescent="0.25">
      <c r="A1064" s="2">
        <f t="shared" si="44"/>
        <v>1063</v>
      </c>
      <c r="B1064" s="2"/>
      <c r="C1064" s="2"/>
      <c r="D1064" s="2"/>
      <c r="E1064" s="2"/>
      <c r="F1064" s="2"/>
      <c r="G1064" s="2"/>
      <c r="H1064" s="2" t="str">
        <f t="shared" si="43"/>
        <v>0 г. 0 мес. 0 дн.</v>
      </c>
      <c r="I1064" s="2"/>
      <c r="J1064" s="2"/>
      <c r="K1064" s="2"/>
      <c r="L1064" s="2"/>
      <c r="M1064" s="2"/>
      <c r="N1064" s="1">
        <v>0</v>
      </c>
      <c r="O1064" s="2"/>
      <c r="P1064" s="2"/>
      <c r="Q1064" s="2">
        <v>0</v>
      </c>
      <c r="R1064" s="6"/>
    </row>
    <row r="1065" spans="1:18" x14ac:dyDescent="0.25">
      <c r="A1065" s="2">
        <f t="shared" si="44"/>
        <v>1064</v>
      </c>
      <c r="B1065" s="2"/>
      <c r="C1065" s="2"/>
      <c r="D1065" s="2"/>
      <c r="E1065" s="2"/>
      <c r="F1065" s="2"/>
      <c r="G1065" s="2"/>
      <c r="H1065" s="2" t="str">
        <f t="shared" si="43"/>
        <v>0 г. 0 мес. 0 дн.</v>
      </c>
      <c r="I1065" s="2"/>
      <c r="J1065" s="2"/>
      <c r="K1065" s="2"/>
      <c r="L1065" s="2"/>
      <c r="M1065" s="2"/>
      <c r="N1065" s="1">
        <v>0</v>
      </c>
      <c r="O1065" s="2"/>
      <c r="P1065" s="2"/>
      <c r="Q1065" s="2">
        <v>0</v>
      </c>
      <c r="R1065" s="6"/>
    </row>
    <row r="1066" spans="1:18" x14ac:dyDescent="0.25">
      <c r="A1066" s="2">
        <f t="shared" si="44"/>
        <v>1065</v>
      </c>
      <c r="B1066" s="2"/>
      <c r="C1066" s="2"/>
      <c r="D1066" s="2"/>
      <c r="E1066" s="2"/>
      <c r="F1066" s="2"/>
      <c r="G1066" s="2"/>
      <c r="H1066" s="2" t="str">
        <f t="shared" si="43"/>
        <v>0 г. 0 мес. 0 дн.</v>
      </c>
      <c r="I1066" s="2"/>
      <c r="J1066" s="2"/>
      <c r="K1066" s="2"/>
      <c r="L1066" s="2"/>
      <c r="M1066" s="2"/>
      <c r="N1066" s="1">
        <v>0</v>
      </c>
      <c r="O1066" s="2"/>
      <c r="P1066" s="2"/>
      <c r="Q1066" s="2">
        <v>0</v>
      </c>
      <c r="R1066" s="6"/>
    </row>
    <row r="1067" spans="1:18" x14ac:dyDescent="0.25">
      <c r="A1067" s="2">
        <f t="shared" si="44"/>
        <v>1066</v>
      </c>
      <c r="B1067" s="2"/>
      <c r="C1067" s="2"/>
      <c r="D1067" s="2"/>
      <c r="E1067" s="2"/>
      <c r="F1067" s="2"/>
      <c r="G1067" s="2"/>
      <c r="H1067" s="2" t="str">
        <f t="shared" si="43"/>
        <v>0 г. 0 мес. 0 дн.</v>
      </c>
      <c r="I1067" s="2"/>
      <c r="J1067" s="2"/>
      <c r="K1067" s="2"/>
      <c r="L1067" s="2"/>
      <c r="M1067" s="2"/>
      <c r="N1067" s="1">
        <v>0</v>
      </c>
      <c r="O1067" s="2"/>
      <c r="P1067" s="2"/>
      <c r="Q1067" s="2">
        <v>0</v>
      </c>
      <c r="R1067" s="6"/>
    </row>
    <row r="1068" spans="1:18" x14ac:dyDescent="0.25">
      <c r="A1068" s="2">
        <f t="shared" si="44"/>
        <v>1067</v>
      </c>
      <c r="B1068" s="2"/>
      <c r="C1068" s="2"/>
      <c r="D1068" s="2"/>
      <c r="E1068" s="2"/>
      <c r="F1068" s="2"/>
      <c r="G1068" s="2"/>
      <c r="H1068" s="2" t="str">
        <f t="shared" si="43"/>
        <v>0 г. 0 мес. 0 дн.</v>
      </c>
      <c r="I1068" s="2"/>
      <c r="J1068" s="2"/>
      <c r="K1068" s="2"/>
      <c r="L1068" s="2"/>
      <c r="M1068" s="2"/>
      <c r="N1068" s="1">
        <v>0</v>
      </c>
      <c r="O1068" s="2"/>
      <c r="P1068" s="2"/>
      <c r="Q1068" s="2">
        <v>0</v>
      </c>
      <c r="R1068" s="6"/>
    </row>
    <row r="1069" spans="1:18" x14ac:dyDescent="0.25">
      <c r="A1069" s="2">
        <f t="shared" si="44"/>
        <v>1068</v>
      </c>
      <c r="B1069" s="2"/>
      <c r="C1069" s="2"/>
      <c r="D1069" s="2"/>
      <c r="E1069" s="2"/>
      <c r="F1069" s="2"/>
      <c r="G1069" s="2"/>
      <c r="H1069" s="2" t="str">
        <f t="shared" si="43"/>
        <v>0 г. 0 мес. 0 дн.</v>
      </c>
      <c r="I1069" s="2"/>
      <c r="J1069" s="2"/>
      <c r="K1069" s="2"/>
      <c r="L1069" s="2"/>
      <c r="M1069" s="2"/>
      <c r="N1069" s="1">
        <v>0</v>
      </c>
      <c r="O1069" s="2"/>
      <c r="P1069" s="2"/>
      <c r="Q1069" s="2">
        <v>0</v>
      </c>
      <c r="R1069" s="6"/>
    </row>
    <row r="1070" spans="1:18" x14ac:dyDescent="0.25">
      <c r="A1070" s="2">
        <f t="shared" si="44"/>
        <v>1069</v>
      </c>
      <c r="B1070" s="2"/>
      <c r="C1070" s="2"/>
      <c r="D1070" s="2"/>
      <c r="E1070" s="2"/>
      <c r="F1070" s="2"/>
      <c r="G1070" s="2"/>
      <c r="H1070" s="2" t="str">
        <f t="shared" si="43"/>
        <v>0 г. 0 мес. 0 дн.</v>
      </c>
      <c r="I1070" s="2"/>
      <c r="J1070" s="2"/>
      <c r="K1070" s="2"/>
      <c r="L1070" s="2"/>
      <c r="M1070" s="2"/>
      <c r="N1070" s="1">
        <v>0</v>
      </c>
      <c r="O1070" s="2"/>
      <c r="P1070" s="2"/>
      <c r="Q1070" s="2">
        <v>0</v>
      </c>
      <c r="R1070" s="6"/>
    </row>
    <row r="1071" spans="1:18" x14ac:dyDescent="0.25">
      <c r="A1071" s="2">
        <f t="shared" si="44"/>
        <v>1070</v>
      </c>
      <c r="B1071" s="2"/>
      <c r="C1071" s="2"/>
      <c r="D1071" s="2"/>
      <c r="E1071" s="2"/>
      <c r="F1071" s="2"/>
      <c r="G1071" s="2"/>
      <c r="H1071" s="2" t="str">
        <f t="shared" si="43"/>
        <v>0 г. 0 мес. 0 дн.</v>
      </c>
      <c r="I1071" s="2"/>
      <c r="J1071" s="2"/>
      <c r="K1071" s="2"/>
      <c r="L1071" s="2"/>
      <c r="M1071" s="2"/>
      <c r="N1071" s="1">
        <v>0</v>
      </c>
      <c r="O1071" s="2"/>
      <c r="P1071" s="2"/>
      <c r="Q1071" s="2">
        <v>0</v>
      </c>
      <c r="R1071" s="6"/>
    </row>
    <row r="1072" spans="1:18" x14ac:dyDescent="0.25">
      <c r="A1072" s="2">
        <f t="shared" si="44"/>
        <v>1071</v>
      </c>
      <c r="B1072" s="2"/>
      <c r="C1072" s="2"/>
      <c r="D1072" s="2"/>
      <c r="E1072" s="2"/>
      <c r="F1072" s="2"/>
      <c r="G1072" s="2"/>
      <c r="H1072" s="2" t="str">
        <f t="shared" si="43"/>
        <v>0 г. 0 мес. 0 дн.</v>
      </c>
      <c r="I1072" s="2"/>
      <c r="J1072" s="2"/>
      <c r="K1072" s="2"/>
      <c r="L1072" s="2"/>
      <c r="M1072" s="2"/>
      <c r="N1072" s="1">
        <v>0</v>
      </c>
      <c r="O1072" s="2"/>
      <c r="P1072" s="2"/>
      <c r="Q1072" s="2">
        <v>0</v>
      </c>
      <c r="R1072" s="6"/>
    </row>
    <row r="1073" spans="1:18" x14ac:dyDescent="0.25">
      <c r="A1073" s="2">
        <f t="shared" si="44"/>
        <v>1072</v>
      </c>
      <c r="B1073" s="2"/>
      <c r="C1073" s="2"/>
      <c r="D1073" s="2"/>
      <c r="E1073" s="2"/>
      <c r="F1073" s="2"/>
      <c r="G1073" s="2"/>
      <c r="H1073" s="2" t="str">
        <f t="shared" si="43"/>
        <v>0 г. 0 мес. 0 дн.</v>
      </c>
      <c r="I1073" s="2"/>
      <c r="J1073" s="2"/>
      <c r="K1073" s="2"/>
      <c r="L1073" s="2"/>
      <c r="M1073" s="2"/>
      <c r="N1073" s="1">
        <v>0</v>
      </c>
      <c r="O1073" s="2"/>
      <c r="P1073" s="2"/>
      <c r="Q1073" s="2">
        <v>0</v>
      </c>
      <c r="R1073" s="6"/>
    </row>
    <row r="1074" spans="1:18" x14ac:dyDescent="0.25">
      <c r="A1074" s="2">
        <f t="shared" si="44"/>
        <v>1073</v>
      </c>
      <c r="B1074" s="2"/>
      <c r="C1074" s="2"/>
      <c r="D1074" s="2"/>
      <c r="E1074" s="2"/>
      <c r="F1074" s="2"/>
      <c r="G1074" s="2"/>
      <c r="H1074" s="2" t="str">
        <f t="shared" si="43"/>
        <v>0 г. 0 мес. 0 дн.</v>
      </c>
      <c r="I1074" s="2"/>
      <c r="J1074" s="2"/>
      <c r="K1074" s="2"/>
      <c r="L1074" s="2"/>
      <c r="M1074" s="2"/>
      <c r="N1074" s="1">
        <v>0</v>
      </c>
      <c r="O1074" s="2"/>
      <c r="P1074" s="2"/>
      <c r="Q1074" s="2">
        <v>0</v>
      </c>
      <c r="R1074" s="6"/>
    </row>
    <row r="1075" spans="1:18" x14ac:dyDescent="0.25">
      <c r="A1075" s="2">
        <f t="shared" si="44"/>
        <v>1074</v>
      </c>
      <c r="B1075" s="2"/>
      <c r="C1075" s="2"/>
      <c r="D1075" s="2"/>
      <c r="E1075" s="2"/>
      <c r="F1075" s="2"/>
      <c r="G1075" s="2"/>
      <c r="H1075" s="2" t="str">
        <f t="shared" si="43"/>
        <v>0 г. 0 мес. 0 дн.</v>
      </c>
      <c r="I1075" s="2"/>
      <c r="J1075" s="2"/>
      <c r="K1075" s="2"/>
      <c r="L1075" s="2"/>
      <c r="M1075" s="2"/>
      <c r="N1075" s="1">
        <v>0</v>
      </c>
      <c r="O1075" s="2"/>
      <c r="P1075" s="2"/>
      <c r="Q1075" s="2">
        <v>0</v>
      </c>
      <c r="R1075" s="6"/>
    </row>
    <row r="1076" spans="1:18" x14ac:dyDescent="0.25">
      <c r="A1076" s="2">
        <f t="shared" si="44"/>
        <v>1075</v>
      </c>
      <c r="B1076" s="2"/>
      <c r="C1076" s="2"/>
      <c r="D1076" s="2"/>
      <c r="E1076" s="2"/>
      <c r="F1076" s="2"/>
      <c r="G1076" s="2"/>
      <c r="H1076" s="2" t="str">
        <f t="shared" si="43"/>
        <v>0 г. 0 мес. 0 дн.</v>
      </c>
      <c r="I1076" s="2"/>
      <c r="J1076" s="2"/>
      <c r="K1076" s="2"/>
      <c r="L1076" s="2"/>
      <c r="M1076" s="2"/>
      <c r="N1076" s="1">
        <v>0</v>
      </c>
      <c r="O1076" s="2"/>
      <c r="P1076" s="2"/>
      <c r="Q1076" s="2">
        <v>0</v>
      </c>
      <c r="R1076" s="6"/>
    </row>
    <row r="1077" spans="1:18" x14ac:dyDescent="0.25">
      <c r="A1077" s="2">
        <f t="shared" si="44"/>
        <v>1076</v>
      </c>
      <c r="B1077" s="2"/>
      <c r="C1077" s="2"/>
      <c r="D1077" s="2"/>
      <c r="E1077" s="2"/>
      <c r="F1077" s="2"/>
      <c r="G1077" s="2"/>
      <c r="H1077" s="2" t="str">
        <f t="shared" si="43"/>
        <v>0 г. 0 мес. 0 дн.</v>
      </c>
      <c r="I1077" s="2"/>
      <c r="J1077" s="2"/>
      <c r="K1077" s="2"/>
      <c r="L1077" s="2"/>
      <c r="M1077" s="2"/>
      <c r="N1077" s="1">
        <v>0</v>
      </c>
      <c r="O1077" s="2"/>
      <c r="P1077" s="2"/>
      <c r="Q1077" s="2">
        <v>0</v>
      </c>
      <c r="R1077" s="6"/>
    </row>
    <row r="1078" spans="1:18" x14ac:dyDescent="0.25">
      <c r="A1078" s="2">
        <f t="shared" si="44"/>
        <v>1077</v>
      </c>
      <c r="B1078" s="2"/>
      <c r="C1078" s="2"/>
      <c r="D1078" s="2"/>
      <c r="E1078" s="2"/>
      <c r="F1078" s="2"/>
      <c r="G1078" s="2"/>
      <c r="H1078" s="2" t="str">
        <f t="shared" si="43"/>
        <v>0 г. 0 мес. 0 дн.</v>
      </c>
      <c r="I1078" s="2"/>
      <c r="J1078" s="2"/>
      <c r="K1078" s="2"/>
      <c r="L1078" s="2"/>
      <c r="M1078" s="2"/>
      <c r="N1078" s="1">
        <v>0</v>
      </c>
      <c r="O1078" s="2"/>
      <c r="P1078" s="2"/>
      <c r="Q1078" s="2">
        <v>0</v>
      </c>
      <c r="R1078" s="6"/>
    </row>
    <row r="1079" spans="1:18" x14ac:dyDescent="0.25">
      <c r="A1079" s="2">
        <f t="shared" si="44"/>
        <v>1078</v>
      </c>
      <c r="B1079" s="2"/>
      <c r="C1079" s="2"/>
      <c r="D1079" s="2"/>
      <c r="E1079" s="2"/>
      <c r="F1079" s="2"/>
      <c r="G1079" s="2"/>
      <c r="H1079" s="2" t="str">
        <f t="shared" si="43"/>
        <v>0 г. 0 мес. 0 дн.</v>
      </c>
      <c r="I1079" s="2"/>
      <c r="J1079" s="2"/>
      <c r="K1079" s="2"/>
      <c r="L1079" s="2"/>
      <c r="M1079" s="2"/>
      <c r="N1079" s="1">
        <v>0</v>
      </c>
      <c r="O1079" s="2"/>
      <c r="P1079" s="2"/>
      <c r="Q1079" s="2">
        <v>0</v>
      </c>
      <c r="R1079" s="6"/>
    </row>
    <row r="1080" spans="1:18" x14ac:dyDescent="0.25">
      <c r="A1080" s="2">
        <f t="shared" si="44"/>
        <v>1079</v>
      </c>
      <c r="B1080" s="2"/>
      <c r="C1080" s="2"/>
      <c r="D1080" s="2"/>
      <c r="E1080" s="2"/>
      <c r="F1080" s="2"/>
      <c r="G1080" s="2"/>
      <c r="H1080" s="2" t="str">
        <f t="shared" si="43"/>
        <v>0 г. 0 мес. 0 дн.</v>
      </c>
      <c r="I1080" s="2"/>
      <c r="J1080" s="2"/>
      <c r="K1080" s="2"/>
      <c r="L1080" s="2"/>
      <c r="M1080" s="2"/>
      <c r="N1080" s="1">
        <v>0</v>
      </c>
      <c r="O1080" s="2"/>
      <c r="P1080" s="2"/>
      <c r="Q1080" s="2">
        <v>0</v>
      </c>
      <c r="R1080" s="6"/>
    </row>
    <row r="1081" spans="1:18" x14ac:dyDescent="0.25">
      <c r="A1081" s="2">
        <f t="shared" si="44"/>
        <v>1080</v>
      </c>
      <c r="B1081" s="2"/>
      <c r="C1081" s="2"/>
      <c r="D1081" s="2"/>
      <c r="E1081" s="2"/>
      <c r="F1081" s="2"/>
      <c r="G1081" s="2"/>
      <c r="H1081" s="2" t="str">
        <f t="shared" si="43"/>
        <v>0 г. 0 мес. 0 дн.</v>
      </c>
      <c r="I1081" s="2"/>
      <c r="J1081" s="2"/>
      <c r="K1081" s="2"/>
      <c r="L1081" s="2"/>
      <c r="M1081" s="2"/>
      <c r="N1081" s="1">
        <v>0</v>
      </c>
      <c r="O1081" s="2"/>
      <c r="P1081" s="2"/>
      <c r="Q1081" s="2">
        <v>0</v>
      </c>
      <c r="R1081" s="6"/>
    </row>
    <row r="1082" spans="1:18" x14ac:dyDescent="0.25">
      <c r="A1082" s="2">
        <f t="shared" si="44"/>
        <v>1081</v>
      </c>
      <c r="B1082" s="2"/>
      <c r="C1082" s="2"/>
      <c r="D1082" s="2"/>
      <c r="E1082" s="2"/>
      <c r="F1082" s="2"/>
      <c r="G1082" s="2"/>
      <c r="H1082" s="2" t="str">
        <f t="shared" si="43"/>
        <v>0 г. 0 мес. 0 дн.</v>
      </c>
      <c r="I1082" s="2"/>
      <c r="J1082" s="2"/>
      <c r="K1082" s="2"/>
      <c r="L1082" s="2"/>
      <c r="M1082" s="2"/>
      <c r="N1082" s="1">
        <v>0</v>
      </c>
      <c r="O1082" s="2"/>
      <c r="P1082" s="2"/>
      <c r="Q1082" s="2">
        <v>0</v>
      </c>
      <c r="R1082" s="6"/>
    </row>
    <row r="1083" spans="1:18" x14ac:dyDescent="0.25">
      <c r="A1083" s="2">
        <f t="shared" si="44"/>
        <v>1082</v>
      </c>
      <c r="B1083" s="2"/>
      <c r="C1083" s="2"/>
      <c r="D1083" s="2"/>
      <c r="E1083" s="2"/>
      <c r="F1083" s="2"/>
      <c r="G1083" s="2"/>
      <c r="H1083" s="2" t="str">
        <f t="shared" si="43"/>
        <v>0 г. 0 мес. 0 дн.</v>
      </c>
      <c r="I1083" s="2"/>
      <c r="J1083" s="2"/>
      <c r="K1083" s="2"/>
      <c r="L1083" s="2"/>
      <c r="M1083" s="2"/>
      <c r="N1083" s="1">
        <v>0</v>
      </c>
      <c r="O1083" s="2"/>
      <c r="P1083" s="2"/>
      <c r="Q1083" s="2">
        <v>0</v>
      </c>
      <c r="R1083" s="6"/>
    </row>
    <row r="1084" spans="1:18" x14ac:dyDescent="0.25">
      <c r="A1084" s="2">
        <f t="shared" si="44"/>
        <v>1083</v>
      </c>
      <c r="B1084" s="2"/>
      <c r="C1084" s="2"/>
      <c r="D1084" s="2"/>
      <c r="E1084" s="2"/>
      <c r="F1084" s="2"/>
      <c r="G1084" s="2"/>
      <c r="H1084" s="2" t="str">
        <f t="shared" si="43"/>
        <v>0 г. 0 мес. 0 дн.</v>
      </c>
      <c r="I1084" s="2"/>
      <c r="J1084" s="2"/>
      <c r="K1084" s="2"/>
      <c r="L1084" s="2"/>
      <c r="M1084" s="2"/>
      <c r="N1084" s="1">
        <v>0</v>
      </c>
      <c r="O1084" s="2"/>
      <c r="P1084" s="2"/>
      <c r="Q1084" s="2">
        <v>0</v>
      </c>
      <c r="R1084" s="6"/>
    </row>
    <row r="1085" spans="1:18" x14ac:dyDescent="0.25">
      <c r="A1085" s="2">
        <f t="shared" si="44"/>
        <v>1084</v>
      </c>
      <c r="B1085" s="2"/>
      <c r="C1085" s="2"/>
      <c r="D1085" s="2"/>
      <c r="E1085" s="2"/>
      <c r="F1085" s="2"/>
      <c r="G1085" s="2"/>
      <c r="H1085" s="2" t="str">
        <f t="shared" si="43"/>
        <v>0 г. 0 мес. 0 дн.</v>
      </c>
      <c r="I1085" s="2"/>
      <c r="J1085" s="2"/>
      <c r="K1085" s="2"/>
      <c r="L1085" s="2"/>
      <c r="M1085" s="2"/>
      <c r="N1085" s="1">
        <v>0</v>
      </c>
      <c r="O1085" s="2"/>
      <c r="P1085" s="2"/>
      <c r="Q1085" s="2">
        <v>0</v>
      </c>
      <c r="R1085" s="6"/>
    </row>
    <row r="1086" spans="1:18" x14ac:dyDescent="0.25">
      <c r="A1086" s="2">
        <f t="shared" si="44"/>
        <v>1085</v>
      </c>
      <c r="B1086" s="2"/>
      <c r="C1086" s="2"/>
      <c r="D1086" s="2"/>
      <c r="E1086" s="2"/>
      <c r="F1086" s="2"/>
      <c r="G1086" s="2"/>
      <c r="H1086" s="2" t="str">
        <f t="shared" si="43"/>
        <v>0 г. 0 мес. 0 дн.</v>
      </c>
      <c r="I1086" s="2"/>
      <c r="J1086" s="2"/>
      <c r="K1086" s="2"/>
      <c r="L1086" s="2"/>
      <c r="M1086" s="2"/>
      <c r="N1086" s="1">
        <v>0</v>
      </c>
      <c r="O1086" s="2"/>
      <c r="P1086" s="2"/>
      <c r="Q1086" s="2">
        <v>0</v>
      </c>
      <c r="R1086" s="6"/>
    </row>
    <row r="1087" spans="1:18" x14ac:dyDescent="0.25">
      <c r="A1087" s="2">
        <f t="shared" si="44"/>
        <v>1086</v>
      </c>
      <c r="B1087" s="2"/>
      <c r="C1087" s="2"/>
      <c r="D1087" s="2"/>
      <c r="E1087" s="2"/>
      <c r="F1087" s="2"/>
      <c r="G1087" s="2"/>
      <c r="H1087" s="2" t="str">
        <f t="shared" si="43"/>
        <v>0 г. 0 мес. 0 дн.</v>
      </c>
      <c r="I1087" s="2"/>
      <c r="J1087" s="2"/>
      <c r="K1087" s="2"/>
      <c r="L1087" s="2"/>
      <c r="M1087" s="2"/>
      <c r="N1087" s="1">
        <v>0</v>
      </c>
      <c r="O1087" s="2"/>
      <c r="P1087" s="2"/>
      <c r="Q1087" s="2">
        <v>0</v>
      </c>
      <c r="R1087" s="6"/>
    </row>
    <row r="1088" spans="1:18" x14ac:dyDescent="0.25">
      <c r="A1088" s="2">
        <f t="shared" si="44"/>
        <v>1087</v>
      </c>
      <c r="B1088" s="2"/>
      <c r="C1088" s="2"/>
      <c r="D1088" s="2"/>
      <c r="E1088" s="2"/>
      <c r="F1088" s="2"/>
      <c r="G1088" s="2"/>
      <c r="H1088" s="2" t="str">
        <f t="shared" si="43"/>
        <v>0 г. 0 мес. 0 дн.</v>
      </c>
      <c r="I1088" s="2"/>
      <c r="J1088" s="2"/>
      <c r="K1088" s="2"/>
      <c r="L1088" s="2"/>
      <c r="M1088" s="2"/>
      <c r="N1088" s="1">
        <v>0</v>
      </c>
      <c r="O1088" s="2"/>
      <c r="P1088" s="2"/>
      <c r="Q1088" s="2">
        <v>0</v>
      </c>
      <c r="R1088" s="6"/>
    </row>
    <row r="1089" spans="1:18" x14ac:dyDescent="0.25">
      <c r="A1089" s="2">
        <f t="shared" si="44"/>
        <v>1088</v>
      </c>
      <c r="B1089" s="2"/>
      <c r="C1089" s="2"/>
      <c r="D1089" s="2"/>
      <c r="E1089" s="2"/>
      <c r="F1089" s="2"/>
      <c r="G1089" s="2"/>
      <c r="H1089" s="2" t="str">
        <f t="shared" si="43"/>
        <v>0 г. 0 мес. 0 дн.</v>
      </c>
      <c r="I1089" s="2"/>
      <c r="J1089" s="2"/>
      <c r="K1089" s="2"/>
      <c r="L1089" s="2"/>
      <c r="M1089" s="2"/>
      <c r="N1089" s="1">
        <v>0</v>
      </c>
      <c r="O1089" s="2"/>
      <c r="P1089" s="2"/>
      <c r="Q1089" s="2">
        <v>0</v>
      </c>
      <c r="R1089" s="6"/>
    </row>
    <row r="1090" spans="1:18" x14ac:dyDescent="0.25">
      <c r="A1090" s="2">
        <f t="shared" si="44"/>
        <v>1089</v>
      </c>
      <c r="B1090" s="2"/>
      <c r="C1090" s="2"/>
      <c r="D1090" s="2"/>
      <c r="E1090" s="2"/>
      <c r="F1090" s="2"/>
      <c r="G1090" s="2"/>
      <c r="H1090" s="2" t="str">
        <f t="shared" si="43"/>
        <v>0 г. 0 мес. 0 дн.</v>
      </c>
      <c r="I1090" s="2"/>
      <c r="J1090" s="2"/>
      <c r="K1090" s="2"/>
      <c r="L1090" s="2"/>
      <c r="M1090" s="2"/>
      <c r="N1090" s="1">
        <v>0</v>
      </c>
      <c r="O1090" s="2"/>
      <c r="P1090" s="2"/>
      <c r="Q1090" s="2">
        <v>0</v>
      </c>
      <c r="R1090" s="6"/>
    </row>
    <row r="1091" spans="1:18" x14ac:dyDescent="0.25">
      <c r="A1091" s="2">
        <f t="shared" si="44"/>
        <v>1090</v>
      </c>
      <c r="B1091" s="2"/>
      <c r="C1091" s="2"/>
      <c r="D1091" s="2"/>
      <c r="E1091" s="2"/>
      <c r="F1091" s="2"/>
      <c r="G1091" s="2"/>
      <c r="H1091" s="2" t="str">
        <f t="shared" si="43"/>
        <v>0 г. 0 мес. 0 дн.</v>
      </c>
      <c r="I1091" s="2"/>
      <c r="J1091" s="2"/>
      <c r="K1091" s="2"/>
      <c r="L1091" s="2"/>
      <c r="M1091" s="2"/>
      <c r="N1091" s="1">
        <v>0</v>
      </c>
      <c r="O1091" s="2"/>
      <c r="P1091" s="2"/>
      <c r="Q1091" s="2">
        <v>0</v>
      </c>
      <c r="R1091" s="6"/>
    </row>
    <row r="1092" spans="1:18" x14ac:dyDescent="0.25">
      <c r="A1092" s="2">
        <f t="shared" si="44"/>
        <v>1091</v>
      </c>
      <c r="B1092" s="2"/>
      <c r="C1092" s="2"/>
      <c r="D1092" s="2"/>
      <c r="E1092" s="2"/>
      <c r="F1092" s="2"/>
      <c r="G1092" s="2"/>
      <c r="H1092" s="2" t="str">
        <f t="shared" ref="H1092:H1155" si="45">DATEDIF(G1092,D1092,"y") &amp; " г. " &amp; DATEDIF(G1092,D1092,"ym") &amp; " мес. " &amp; DATEDIF(G1092,D1092,"md") &amp; " дн."</f>
        <v>0 г. 0 мес. 0 дн.</v>
      </c>
      <c r="I1092" s="2"/>
      <c r="J1092" s="2"/>
      <c r="K1092" s="2"/>
      <c r="L1092" s="2"/>
      <c r="M1092" s="2"/>
      <c r="N1092" s="1">
        <v>0</v>
      </c>
      <c r="O1092" s="2"/>
      <c r="P1092" s="2"/>
      <c r="Q1092" s="2">
        <v>0</v>
      </c>
      <c r="R1092" s="6"/>
    </row>
    <row r="1093" spans="1:18" x14ac:dyDescent="0.25">
      <c r="A1093" s="2">
        <f t="shared" si="44"/>
        <v>1092</v>
      </c>
      <c r="B1093" s="2"/>
      <c r="C1093" s="2"/>
      <c r="D1093" s="2"/>
      <c r="E1093" s="2"/>
      <c r="F1093" s="2"/>
      <c r="G1093" s="2"/>
      <c r="H1093" s="2" t="str">
        <f t="shared" si="45"/>
        <v>0 г. 0 мес. 0 дн.</v>
      </c>
      <c r="I1093" s="2"/>
      <c r="J1093" s="2"/>
      <c r="K1093" s="2"/>
      <c r="L1093" s="2"/>
      <c r="M1093" s="2"/>
      <c r="N1093" s="1">
        <v>0</v>
      </c>
      <c r="O1093" s="2"/>
      <c r="P1093" s="2"/>
      <c r="Q1093" s="2">
        <v>0</v>
      </c>
      <c r="R1093" s="6"/>
    </row>
    <row r="1094" spans="1:18" x14ac:dyDescent="0.25">
      <c r="A1094" s="2">
        <f t="shared" si="44"/>
        <v>1093</v>
      </c>
      <c r="B1094" s="2"/>
      <c r="C1094" s="2"/>
      <c r="D1094" s="2"/>
      <c r="E1094" s="2"/>
      <c r="F1094" s="2"/>
      <c r="G1094" s="2"/>
      <c r="H1094" s="2" t="str">
        <f t="shared" si="45"/>
        <v>0 г. 0 мес. 0 дн.</v>
      </c>
      <c r="I1094" s="2"/>
      <c r="J1094" s="2"/>
      <c r="K1094" s="2"/>
      <c r="L1094" s="2"/>
      <c r="M1094" s="2"/>
      <c r="N1094" s="1">
        <v>0</v>
      </c>
      <c r="O1094" s="2"/>
      <c r="P1094" s="2"/>
      <c r="Q1094" s="2">
        <v>0</v>
      </c>
      <c r="R1094" s="6"/>
    </row>
    <row r="1095" spans="1:18" x14ac:dyDescent="0.25">
      <c r="A1095" s="2">
        <f t="shared" si="44"/>
        <v>1094</v>
      </c>
      <c r="B1095" s="2"/>
      <c r="C1095" s="2"/>
      <c r="D1095" s="2"/>
      <c r="E1095" s="2"/>
      <c r="F1095" s="2"/>
      <c r="G1095" s="2"/>
      <c r="H1095" s="2" t="str">
        <f t="shared" si="45"/>
        <v>0 г. 0 мес. 0 дн.</v>
      </c>
      <c r="I1095" s="2"/>
      <c r="J1095" s="2"/>
      <c r="K1095" s="2"/>
      <c r="L1095" s="2"/>
      <c r="M1095" s="2"/>
      <c r="N1095" s="1">
        <v>0</v>
      </c>
      <c r="O1095" s="2"/>
      <c r="P1095" s="2"/>
      <c r="Q1095" s="2">
        <v>0</v>
      </c>
      <c r="R1095" s="6"/>
    </row>
    <row r="1096" spans="1:18" x14ac:dyDescent="0.25">
      <c r="A1096" s="2">
        <f t="shared" si="44"/>
        <v>1095</v>
      </c>
      <c r="B1096" s="2"/>
      <c r="C1096" s="2"/>
      <c r="D1096" s="2"/>
      <c r="E1096" s="2"/>
      <c r="F1096" s="2"/>
      <c r="G1096" s="2"/>
      <c r="H1096" s="2" t="str">
        <f t="shared" si="45"/>
        <v>0 г. 0 мес. 0 дн.</v>
      </c>
      <c r="I1096" s="2"/>
      <c r="J1096" s="2"/>
      <c r="K1096" s="2"/>
      <c r="L1096" s="2"/>
      <c r="M1096" s="2"/>
      <c r="N1096" s="1">
        <v>0</v>
      </c>
      <c r="O1096" s="2"/>
      <c r="P1096" s="2"/>
      <c r="Q1096" s="2">
        <v>0</v>
      </c>
      <c r="R1096" s="6"/>
    </row>
    <row r="1097" spans="1:18" x14ac:dyDescent="0.25">
      <c r="A1097" s="2">
        <f t="shared" si="44"/>
        <v>1096</v>
      </c>
      <c r="B1097" s="2"/>
      <c r="C1097" s="2"/>
      <c r="D1097" s="2"/>
      <c r="E1097" s="2"/>
      <c r="F1097" s="2"/>
      <c r="G1097" s="2"/>
      <c r="H1097" s="2" t="str">
        <f t="shared" si="45"/>
        <v>0 г. 0 мес. 0 дн.</v>
      </c>
      <c r="I1097" s="2"/>
      <c r="J1097" s="2"/>
      <c r="K1097" s="2"/>
      <c r="L1097" s="2"/>
      <c r="M1097" s="2"/>
      <c r="N1097" s="1">
        <v>0</v>
      </c>
      <c r="O1097" s="2"/>
      <c r="P1097" s="2"/>
      <c r="Q1097" s="2">
        <v>0</v>
      </c>
      <c r="R1097" s="6"/>
    </row>
    <row r="1098" spans="1:18" x14ac:dyDescent="0.25">
      <c r="A1098" s="2">
        <f t="shared" si="44"/>
        <v>1097</v>
      </c>
      <c r="B1098" s="2"/>
      <c r="C1098" s="2"/>
      <c r="D1098" s="2"/>
      <c r="E1098" s="2"/>
      <c r="F1098" s="2"/>
      <c r="G1098" s="2"/>
      <c r="H1098" s="2" t="str">
        <f t="shared" si="45"/>
        <v>0 г. 0 мес. 0 дн.</v>
      </c>
      <c r="I1098" s="2"/>
      <c r="J1098" s="2"/>
      <c r="K1098" s="2"/>
      <c r="L1098" s="2"/>
      <c r="M1098" s="2"/>
      <c r="N1098" s="1">
        <v>0</v>
      </c>
      <c r="O1098" s="2"/>
      <c r="P1098" s="2"/>
      <c r="Q1098" s="2">
        <v>0</v>
      </c>
      <c r="R1098" s="6"/>
    </row>
    <row r="1099" spans="1:18" x14ac:dyDescent="0.25">
      <c r="A1099" s="2">
        <f t="shared" si="44"/>
        <v>1098</v>
      </c>
      <c r="B1099" s="2"/>
      <c r="C1099" s="2"/>
      <c r="D1099" s="2"/>
      <c r="E1099" s="2"/>
      <c r="F1099" s="2"/>
      <c r="G1099" s="2"/>
      <c r="H1099" s="2" t="str">
        <f t="shared" si="45"/>
        <v>0 г. 0 мес. 0 дн.</v>
      </c>
      <c r="I1099" s="2"/>
      <c r="J1099" s="2"/>
      <c r="K1099" s="2"/>
      <c r="L1099" s="2"/>
      <c r="M1099" s="2"/>
      <c r="N1099" s="1">
        <v>0</v>
      </c>
      <c r="O1099" s="2"/>
      <c r="P1099" s="2"/>
      <c r="Q1099" s="2">
        <v>0</v>
      </c>
      <c r="R1099" s="6"/>
    </row>
    <row r="1100" spans="1:18" x14ac:dyDescent="0.25">
      <c r="A1100" s="2">
        <f t="shared" si="44"/>
        <v>1099</v>
      </c>
      <c r="B1100" s="2"/>
      <c r="C1100" s="2"/>
      <c r="D1100" s="2"/>
      <c r="E1100" s="2"/>
      <c r="F1100" s="2"/>
      <c r="G1100" s="2"/>
      <c r="H1100" s="2" t="str">
        <f t="shared" si="45"/>
        <v>0 г. 0 мес. 0 дн.</v>
      </c>
      <c r="I1100" s="2"/>
      <c r="J1100" s="2"/>
      <c r="K1100" s="2"/>
      <c r="L1100" s="2"/>
      <c r="M1100" s="2"/>
      <c r="N1100" s="1">
        <v>0</v>
      </c>
      <c r="O1100" s="2"/>
      <c r="P1100" s="2"/>
      <c r="Q1100" s="2">
        <v>0</v>
      </c>
      <c r="R1100" s="6"/>
    </row>
    <row r="1101" spans="1:18" x14ac:dyDescent="0.25">
      <c r="A1101" s="2">
        <f t="shared" si="44"/>
        <v>1100</v>
      </c>
      <c r="B1101" s="2"/>
      <c r="C1101" s="2"/>
      <c r="D1101" s="2"/>
      <c r="E1101" s="2"/>
      <c r="F1101" s="2"/>
      <c r="G1101" s="2"/>
      <c r="H1101" s="2" t="str">
        <f t="shared" si="45"/>
        <v>0 г. 0 мес. 0 дн.</v>
      </c>
      <c r="I1101" s="2"/>
      <c r="J1101" s="2"/>
      <c r="K1101" s="2"/>
      <c r="L1101" s="2"/>
      <c r="M1101" s="2"/>
      <c r="N1101" s="1">
        <v>0</v>
      </c>
      <c r="O1101" s="2"/>
      <c r="P1101" s="2"/>
      <c r="Q1101" s="2">
        <v>0</v>
      </c>
      <c r="R1101" s="6"/>
    </row>
    <row r="1102" spans="1:18" x14ac:dyDescent="0.25">
      <c r="A1102" s="2">
        <f t="shared" si="44"/>
        <v>1101</v>
      </c>
      <c r="B1102" s="2"/>
      <c r="C1102" s="2"/>
      <c r="D1102" s="2"/>
      <c r="E1102" s="2"/>
      <c r="F1102" s="2"/>
      <c r="G1102" s="2"/>
      <c r="H1102" s="2" t="str">
        <f t="shared" si="45"/>
        <v>0 г. 0 мес. 0 дн.</v>
      </c>
      <c r="I1102" s="2"/>
      <c r="J1102" s="2"/>
      <c r="K1102" s="2"/>
      <c r="L1102" s="2"/>
      <c r="M1102" s="2"/>
      <c r="N1102" s="1">
        <v>0</v>
      </c>
      <c r="O1102" s="2"/>
      <c r="P1102" s="2"/>
      <c r="Q1102" s="2">
        <v>0</v>
      </c>
      <c r="R1102" s="6"/>
    </row>
    <row r="1103" spans="1:18" x14ac:dyDescent="0.25">
      <c r="A1103" s="2">
        <f t="shared" si="44"/>
        <v>1102</v>
      </c>
      <c r="B1103" s="2"/>
      <c r="C1103" s="2"/>
      <c r="D1103" s="2"/>
      <c r="E1103" s="2"/>
      <c r="F1103" s="2"/>
      <c r="G1103" s="2"/>
      <c r="H1103" s="2" t="str">
        <f t="shared" si="45"/>
        <v>0 г. 0 мес. 0 дн.</v>
      </c>
      <c r="I1103" s="2"/>
      <c r="J1103" s="2"/>
      <c r="K1103" s="2"/>
      <c r="L1103" s="2"/>
      <c r="M1103" s="2"/>
      <c r="N1103" s="1">
        <v>0</v>
      </c>
      <c r="O1103" s="2"/>
      <c r="P1103" s="2"/>
      <c r="Q1103" s="2">
        <v>0</v>
      </c>
      <c r="R1103" s="6"/>
    </row>
    <row r="1104" spans="1:18" x14ac:dyDescent="0.25">
      <c r="A1104" s="2">
        <f t="shared" si="44"/>
        <v>1103</v>
      </c>
      <c r="B1104" s="2"/>
      <c r="C1104" s="2"/>
      <c r="D1104" s="2"/>
      <c r="E1104" s="2"/>
      <c r="F1104" s="2"/>
      <c r="G1104" s="2"/>
      <c r="H1104" s="2" t="str">
        <f t="shared" si="45"/>
        <v>0 г. 0 мес. 0 дн.</v>
      </c>
      <c r="I1104" s="2"/>
      <c r="J1104" s="2"/>
      <c r="K1104" s="2"/>
      <c r="L1104" s="2"/>
      <c r="M1104" s="2"/>
      <c r="N1104" s="1">
        <v>0</v>
      </c>
      <c r="O1104" s="2"/>
      <c r="P1104" s="2"/>
      <c r="Q1104" s="2">
        <v>0</v>
      </c>
      <c r="R1104" s="6"/>
    </row>
    <row r="1105" spans="1:18" x14ac:dyDescent="0.25">
      <c r="A1105" s="2">
        <f t="shared" si="44"/>
        <v>1104</v>
      </c>
      <c r="B1105" s="2"/>
      <c r="C1105" s="2"/>
      <c r="D1105" s="2"/>
      <c r="E1105" s="2"/>
      <c r="F1105" s="2"/>
      <c r="G1105" s="2"/>
      <c r="H1105" s="2" t="str">
        <f t="shared" si="45"/>
        <v>0 г. 0 мес. 0 дн.</v>
      </c>
      <c r="I1105" s="2"/>
      <c r="J1105" s="2"/>
      <c r="K1105" s="2"/>
      <c r="L1105" s="2"/>
      <c r="M1105" s="2"/>
      <c r="N1105" s="1">
        <v>0</v>
      </c>
      <c r="O1105" s="2"/>
      <c r="P1105" s="2"/>
      <c r="Q1105" s="2">
        <v>0</v>
      </c>
      <c r="R1105" s="6"/>
    </row>
    <row r="1106" spans="1:18" x14ac:dyDescent="0.25">
      <c r="A1106" s="2">
        <f t="shared" si="44"/>
        <v>1105</v>
      </c>
      <c r="B1106" s="2"/>
      <c r="C1106" s="2"/>
      <c r="D1106" s="2"/>
      <c r="E1106" s="2"/>
      <c r="F1106" s="2"/>
      <c r="G1106" s="2"/>
      <c r="H1106" s="2" t="str">
        <f t="shared" si="45"/>
        <v>0 г. 0 мес. 0 дн.</v>
      </c>
      <c r="I1106" s="2"/>
      <c r="J1106" s="2"/>
      <c r="K1106" s="2"/>
      <c r="L1106" s="2"/>
      <c r="M1106" s="2"/>
      <c r="N1106" s="1">
        <v>0</v>
      </c>
      <c r="O1106" s="2"/>
      <c r="P1106" s="2"/>
      <c r="Q1106" s="2">
        <v>0</v>
      </c>
      <c r="R1106" s="6"/>
    </row>
    <row r="1107" spans="1:18" x14ac:dyDescent="0.25">
      <c r="A1107" s="2">
        <f t="shared" si="44"/>
        <v>1106</v>
      </c>
      <c r="B1107" s="2"/>
      <c r="C1107" s="2"/>
      <c r="D1107" s="2"/>
      <c r="E1107" s="2"/>
      <c r="F1107" s="2"/>
      <c r="G1107" s="2"/>
      <c r="H1107" s="2" t="str">
        <f t="shared" si="45"/>
        <v>0 г. 0 мес. 0 дн.</v>
      </c>
      <c r="I1107" s="2"/>
      <c r="J1107" s="2"/>
      <c r="K1107" s="2"/>
      <c r="L1107" s="2"/>
      <c r="M1107" s="2"/>
      <c r="N1107" s="1">
        <v>0</v>
      </c>
      <c r="O1107" s="2"/>
      <c r="P1107" s="2"/>
      <c r="Q1107" s="2">
        <v>0</v>
      </c>
      <c r="R1107" s="6"/>
    </row>
    <row r="1108" spans="1:18" x14ac:dyDescent="0.25">
      <c r="A1108" s="2">
        <f t="shared" si="44"/>
        <v>1107</v>
      </c>
      <c r="B1108" s="2"/>
      <c r="C1108" s="2"/>
      <c r="D1108" s="2"/>
      <c r="E1108" s="2"/>
      <c r="F1108" s="2"/>
      <c r="G1108" s="2"/>
      <c r="H1108" s="2" t="str">
        <f t="shared" si="45"/>
        <v>0 г. 0 мес. 0 дн.</v>
      </c>
      <c r="I1108" s="2"/>
      <c r="J1108" s="2"/>
      <c r="K1108" s="2"/>
      <c r="L1108" s="2"/>
      <c r="M1108" s="2"/>
      <c r="N1108" s="1">
        <v>0</v>
      </c>
      <c r="O1108" s="2"/>
      <c r="P1108" s="2"/>
      <c r="Q1108" s="2">
        <v>0</v>
      </c>
      <c r="R1108" s="6"/>
    </row>
    <row r="1109" spans="1:18" x14ac:dyDescent="0.25">
      <c r="A1109" s="2">
        <f t="shared" si="44"/>
        <v>1108</v>
      </c>
      <c r="B1109" s="2"/>
      <c r="C1109" s="2"/>
      <c r="D1109" s="2"/>
      <c r="E1109" s="2"/>
      <c r="F1109" s="2"/>
      <c r="G1109" s="2"/>
      <c r="H1109" s="2" t="str">
        <f t="shared" si="45"/>
        <v>0 г. 0 мес. 0 дн.</v>
      </c>
      <c r="I1109" s="2"/>
      <c r="J1109" s="2"/>
      <c r="K1109" s="2"/>
      <c r="L1109" s="2"/>
      <c r="M1109" s="2"/>
      <c r="N1109" s="1">
        <v>0</v>
      </c>
      <c r="O1109" s="2"/>
      <c r="P1109" s="2"/>
      <c r="Q1109" s="2">
        <v>0</v>
      </c>
      <c r="R1109" s="6"/>
    </row>
    <row r="1110" spans="1:18" x14ac:dyDescent="0.25">
      <c r="A1110" s="2">
        <f t="shared" si="44"/>
        <v>1109</v>
      </c>
      <c r="B1110" s="2"/>
      <c r="C1110" s="2"/>
      <c r="D1110" s="2"/>
      <c r="E1110" s="2"/>
      <c r="F1110" s="2"/>
      <c r="G1110" s="2"/>
      <c r="H1110" s="2" t="str">
        <f t="shared" si="45"/>
        <v>0 г. 0 мес. 0 дн.</v>
      </c>
      <c r="I1110" s="2"/>
      <c r="J1110" s="2"/>
      <c r="K1110" s="2"/>
      <c r="L1110" s="2"/>
      <c r="M1110" s="2"/>
      <c r="N1110" s="1">
        <v>0</v>
      </c>
      <c r="O1110" s="2"/>
      <c r="P1110" s="2"/>
      <c r="Q1110" s="2">
        <v>0</v>
      </c>
      <c r="R1110" s="6"/>
    </row>
    <row r="1111" spans="1:18" x14ac:dyDescent="0.25">
      <c r="A1111" s="2">
        <f t="shared" si="44"/>
        <v>1110</v>
      </c>
      <c r="B1111" s="2"/>
      <c r="C1111" s="2"/>
      <c r="D1111" s="2"/>
      <c r="E1111" s="2"/>
      <c r="F1111" s="2"/>
      <c r="G1111" s="2"/>
      <c r="H1111" s="2" t="str">
        <f t="shared" si="45"/>
        <v>0 г. 0 мес. 0 дн.</v>
      </c>
      <c r="I1111" s="2"/>
      <c r="J1111" s="2"/>
      <c r="K1111" s="2"/>
      <c r="L1111" s="2"/>
      <c r="M1111" s="2"/>
      <c r="N1111" s="1">
        <v>0</v>
      </c>
      <c r="O1111" s="2"/>
      <c r="P1111" s="2"/>
      <c r="Q1111" s="2">
        <v>0</v>
      </c>
      <c r="R1111" s="6"/>
    </row>
    <row r="1112" spans="1:18" x14ac:dyDescent="0.25">
      <c r="A1112" s="2">
        <f t="shared" si="44"/>
        <v>1111</v>
      </c>
      <c r="B1112" s="2"/>
      <c r="C1112" s="2"/>
      <c r="D1112" s="2"/>
      <c r="E1112" s="2"/>
      <c r="F1112" s="2"/>
      <c r="G1112" s="2"/>
      <c r="H1112" s="2" t="str">
        <f t="shared" si="45"/>
        <v>0 г. 0 мес. 0 дн.</v>
      </c>
      <c r="I1112" s="2"/>
      <c r="J1112" s="2"/>
      <c r="K1112" s="2"/>
      <c r="L1112" s="2"/>
      <c r="M1112" s="2"/>
      <c r="N1112" s="1">
        <v>0</v>
      </c>
      <c r="O1112" s="2"/>
      <c r="P1112" s="2"/>
      <c r="Q1112" s="2">
        <v>0</v>
      </c>
      <c r="R1112" s="6"/>
    </row>
    <row r="1113" spans="1:18" x14ac:dyDescent="0.25">
      <c r="A1113" s="2">
        <f t="shared" si="44"/>
        <v>1112</v>
      </c>
      <c r="B1113" s="2"/>
      <c r="C1113" s="2"/>
      <c r="D1113" s="2"/>
      <c r="E1113" s="2"/>
      <c r="F1113" s="2"/>
      <c r="G1113" s="2"/>
      <c r="H1113" s="2" t="str">
        <f t="shared" si="45"/>
        <v>0 г. 0 мес. 0 дн.</v>
      </c>
      <c r="I1113" s="2"/>
      <c r="J1113" s="2"/>
      <c r="K1113" s="2"/>
      <c r="L1113" s="2"/>
      <c r="M1113" s="2"/>
      <c r="N1113" s="1">
        <v>0</v>
      </c>
      <c r="O1113" s="2"/>
      <c r="P1113" s="2"/>
      <c r="Q1113" s="2">
        <v>0</v>
      </c>
      <c r="R1113" s="6"/>
    </row>
    <row r="1114" spans="1:18" x14ac:dyDescent="0.25">
      <c r="A1114" s="2">
        <f t="shared" si="44"/>
        <v>1113</v>
      </c>
      <c r="B1114" s="2"/>
      <c r="C1114" s="2"/>
      <c r="D1114" s="2"/>
      <c r="E1114" s="2"/>
      <c r="F1114" s="2"/>
      <c r="G1114" s="2"/>
      <c r="H1114" s="2" t="str">
        <f t="shared" si="45"/>
        <v>0 г. 0 мес. 0 дн.</v>
      </c>
      <c r="I1114" s="2"/>
      <c r="J1114" s="2"/>
      <c r="K1114" s="2"/>
      <c r="L1114" s="2"/>
      <c r="M1114" s="2"/>
      <c r="N1114" s="1">
        <v>0</v>
      </c>
      <c r="O1114" s="2"/>
      <c r="P1114" s="2"/>
      <c r="Q1114" s="2">
        <v>0</v>
      </c>
      <c r="R1114" s="6"/>
    </row>
    <row r="1115" spans="1:18" x14ac:dyDescent="0.25">
      <c r="A1115" s="2">
        <f t="shared" si="44"/>
        <v>1114</v>
      </c>
      <c r="B1115" s="2"/>
      <c r="C1115" s="2"/>
      <c r="D1115" s="2"/>
      <c r="E1115" s="2"/>
      <c r="F1115" s="2"/>
      <c r="G1115" s="2"/>
      <c r="H1115" s="2" t="str">
        <f t="shared" si="45"/>
        <v>0 г. 0 мес. 0 дн.</v>
      </c>
      <c r="I1115" s="2"/>
      <c r="J1115" s="2"/>
      <c r="K1115" s="2"/>
      <c r="L1115" s="2"/>
      <c r="M1115" s="2"/>
      <c r="N1115" s="1">
        <v>0</v>
      </c>
      <c r="O1115" s="2"/>
      <c r="P1115" s="2"/>
      <c r="Q1115" s="2">
        <v>0</v>
      </c>
      <c r="R1115" s="6"/>
    </row>
    <row r="1116" spans="1:18" x14ac:dyDescent="0.25">
      <c r="A1116" s="2">
        <f t="shared" si="44"/>
        <v>1115</v>
      </c>
      <c r="B1116" s="2"/>
      <c r="C1116" s="2"/>
      <c r="D1116" s="2"/>
      <c r="E1116" s="2"/>
      <c r="F1116" s="2"/>
      <c r="G1116" s="2"/>
      <c r="H1116" s="2" t="str">
        <f t="shared" si="45"/>
        <v>0 г. 0 мес. 0 дн.</v>
      </c>
      <c r="I1116" s="2"/>
      <c r="J1116" s="2"/>
      <c r="K1116" s="2"/>
      <c r="L1116" s="2"/>
      <c r="M1116" s="2"/>
      <c r="N1116" s="1">
        <v>0</v>
      </c>
      <c r="O1116" s="2"/>
      <c r="P1116" s="2"/>
      <c r="Q1116" s="2">
        <v>0</v>
      </c>
      <c r="R1116" s="6"/>
    </row>
    <row r="1117" spans="1:18" x14ac:dyDescent="0.25">
      <c r="A1117" s="2">
        <f t="shared" ref="A1117:A1180" si="46">ROW(A1116)</f>
        <v>1116</v>
      </c>
      <c r="B1117" s="2"/>
      <c r="C1117" s="2"/>
      <c r="D1117" s="2"/>
      <c r="E1117" s="2"/>
      <c r="F1117" s="2"/>
      <c r="G1117" s="2"/>
      <c r="H1117" s="2" t="str">
        <f t="shared" si="45"/>
        <v>0 г. 0 мес. 0 дн.</v>
      </c>
      <c r="I1117" s="2"/>
      <c r="J1117" s="2"/>
      <c r="K1117" s="2"/>
      <c r="L1117" s="2"/>
      <c r="M1117" s="2"/>
      <c r="N1117" s="1">
        <v>0</v>
      </c>
      <c r="O1117" s="2"/>
      <c r="P1117" s="2"/>
      <c r="Q1117" s="2">
        <v>0</v>
      </c>
      <c r="R1117" s="6"/>
    </row>
    <row r="1118" spans="1:18" x14ac:dyDescent="0.25">
      <c r="A1118" s="2">
        <f t="shared" si="46"/>
        <v>1117</v>
      </c>
      <c r="B1118" s="2"/>
      <c r="C1118" s="2"/>
      <c r="D1118" s="2"/>
      <c r="E1118" s="2"/>
      <c r="F1118" s="2"/>
      <c r="G1118" s="2"/>
      <c r="H1118" s="2" t="str">
        <f t="shared" si="45"/>
        <v>0 г. 0 мес. 0 дн.</v>
      </c>
      <c r="I1118" s="2"/>
      <c r="J1118" s="2"/>
      <c r="K1118" s="2"/>
      <c r="L1118" s="2"/>
      <c r="M1118" s="2"/>
      <c r="N1118" s="1">
        <v>0</v>
      </c>
      <c r="O1118" s="2"/>
      <c r="P1118" s="2"/>
      <c r="Q1118" s="2">
        <v>0</v>
      </c>
      <c r="R1118" s="6"/>
    </row>
    <row r="1119" spans="1:18" x14ac:dyDescent="0.25">
      <c r="A1119" s="2">
        <f t="shared" si="46"/>
        <v>1118</v>
      </c>
      <c r="B1119" s="2"/>
      <c r="C1119" s="2"/>
      <c r="D1119" s="2"/>
      <c r="E1119" s="2"/>
      <c r="F1119" s="2"/>
      <c r="G1119" s="2"/>
      <c r="H1119" s="2" t="str">
        <f t="shared" si="45"/>
        <v>0 г. 0 мес. 0 дн.</v>
      </c>
      <c r="I1119" s="2"/>
      <c r="J1119" s="2"/>
      <c r="K1119" s="2"/>
      <c r="L1119" s="2"/>
      <c r="M1119" s="2"/>
      <c r="N1119" s="1">
        <v>0</v>
      </c>
      <c r="O1119" s="2"/>
      <c r="P1119" s="2"/>
      <c r="Q1119" s="2">
        <v>0</v>
      </c>
      <c r="R1119" s="6"/>
    </row>
    <row r="1120" spans="1:18" x14ac:dyDescent="0.25">
      <c r="A1120" s="2">
        <f t="shared" si="46"/>
        <v>1119</v>
      </c>
      <c r="B1120" s="2"/>
      <c r="C1120" s="2"/>
      <c r="D1120" s="2"/>
      <c r="E1120" s="2"/>
      <c r="F1120" s="2"/>
      <c r="G1120" s="2"/>
      <c r="H1120" s="2" t="str">
        <f t="shared" si="45"/>
        <v>0 г. 0 мес. 0 дн.</v>
      </c>
      <c r="I1120" s="2"/>
      <c r="J1120" s="2"/>
      <c r="K1120" s="2"/>
      <c r="L1120" s="2"/>
      <c r="M1120" s="2"/>
      <c r="N1120" s="1">
        <v>0</v>
      </c>
      <c r="O1120" s="2"/>
      <c r="P1120" s="2"/>
      <c r="Q1120" s="2">
        <v>0</v>
      </c>
      <c r="R1120" s="6"/>
    </row>
    <row r="1121" spans="1:18" x14ac:dyDescent="0.25">
      <c r="A1121" s="2">
        <f t="shared" si="46"/>
        <v>1120</v>
      </c>
      <c r="B1121" s="2"/>
      <c r="C1121" s="2"/>
      <c r="D1121" s="2"/>
      <c r="E1121" s="2"/>
      <c r="F1121" s="2"/>
      <c r="G1121" s="2"/>
      <c r="H1121" s="2" t="str">
        <f t="shared" si="45"/>
        <v>0 г. 0 мес. 0 дн.</v>
      </c>
      <c r="I1121" s="2"/>
      <c r="J1121" s="2"/>
      <c r="K1121" s="2"/>
      <c r="L1121" s="2"/>
      <c r="M1121" s="2"/>
      <c r="N1121" s="1">
        <v>0</v>
      </c>
      <c r="O1121" s="2"/>
      <c r="P1121" s="2"/>
      <c r="Q1121" s="2">
        <v>0</v>
      </c>
      <c r="R1121" s="6"/>
    </row>
    <row r="1122" spans="1:18" x14ac:dyDescent="0.25">
      <c r="A1122" s="2">
        <f t="shared" si="46"/>
        <v>1121</v>
      </c>
      <c r="B1122" s="2"/>
      <c r="C1122" s="2"/>
      <c r="D1122" s="2"/>
      <c r="E1122" s="2"/>
      <c r="F1122" s="2"/>
      <c r="G1122" s="2"/>
      <c r="H1122" s="2" t="str">
        <f t="shared" si="45"/>
        <v>0 г. 0 мес. 0 дн.</v>
      </c>
      <c r="I1122" s="2"/>
      <c r="J1122" s="2"/>
      <c r="K1122" s="2"/>
      <c r="L1122" s="2"/>
      <c r="M1122" s="2"/>
      <c r="N1122" s="1">
        <v>0</v>
      </c>
      <c r="O1122" s="2"/>
      <c r="P1122" s="2"/>
      <c r="Q1122" s="2">
        <v>0</v>
      </c>
      <c r="R1122" s="6"/>
    </row>
    <row r="1123" spans="1:18" x14ac:dyDescent="0.25">
      <c r="A1123" s="2">
        <f t="shared" si="46"/>
        <v>1122</v>
      </c>
      <c r="B1123" s="2"/>
      <c r="C1123" s="2"/>
      <c r="D1123" s="2"/>
      <c r="E1123" s="2"/>
      <c r="F1123" s="2"/>
      <c r="G1123" s="2"/>
      <c r="H1123" s="2" t="str">
        <f t="shared" si="45"/>
        <v>0 г. 0 мес. 0 дн.</v>
      </c>
      <c r="I1123" s="2"/>
      <c r="J1123" s="2"/>
      <c r="K1123" s="2"/>
      <c r="L1123" s="2"/>
      <c r="M1123" s="2"/>
      <c r="N1123" s="1">
        <v>0</v>
      </c>
      <c r="O1123" s="2"/>
      <c r="P1123" s="2"/>
      <c r="Q1123" s="2">
        <v>0</v>
      </c>
      <c r="R1123" s="6"/>
    </row>
    <row r="1124" spans="1:18" x14ac:dyDescent="0.25">
      <c r="A1124" s="2">
        <f t="shared" si="46"/>
        <v>1123</v>
      </c>
      <c r="B1124" s="2"/>
      <c r="C1124" s="2"/>
      <c r="D1124" s="2"/>
      <c r="E1124" s="2"/>
      <c r="F1124" s="2"/>
      <c r="G1124" s="2"/>
      <c r="H1124" s="2" t="str">
        <f t="shared" si="45"/>
        <v>0 г. 0 мес. 0 дн.</v>
      </c>
      <c r="I1124" s="2"/>
      <c r="J1124" s="2"/>
      <c r="K1124" s="2"/>
      <c r="L1124" s="2"/>
      <c r="M1124" s="2"/>
      <c r="N1124" s="1">
        <v>0</v>
      </c>
      <c r="O1124" s="2"/>
      <c r="P1124" s="2"/>
      <c r="Q1124" s="2">
        <v>0</v>
      </c>
      <c r="R1124" s="6"/>
    </row>
    <row r="1125" spans="1:18" x14ac:dyDescent="0.25">
      <c r="A1125" s="2">
        <f t="shared" si="46"/>
        <v>1124</v>
      </c>
      <c r="B1125" s="2"/>
      <c r="C1125" s="2"/>
      <c r="D1125" s="2"/>
      <c r="E1125" s="2"/>
      <c r="F1125" s="2"/>
      <c r="G1125" s="2"/>
      <c r="H1125" s="2" t="str">
        <f t="shared" si="45"/>
        <v>0 г. 0 мес. 0 дн.</v>
      </c>
      <c r="I1125" s="2"/>
      <c r="J1125" s="2"/>
      <c r="K1125" s="2"/>
      <c r="L1125" s="2"/>
      <c r="M1125" s="2"/>
      <c r="N1125" s="1">
        <v>0</v>
      </c>
      <c r="O1125" s="2"/>
      <c r="P1125" s="2"/>
      <c r="Q1125" s="2">
        <v>0</v>
      </c>
      <c r="R1125" s="6"/>
    </row>
    <row r="1126" spans="1:18" x14ac:dyDescent="0.25">
      <c r="A1126" s="2">
        <f t="shared" si="46"/>
        <v>1125</v>
      </c>
      <c r="B1126" s="2"/>
      <c r="C1126" s="2"/>
      <c r="D1126" s="2"/>
      <c r="E1126" s="2"/>
      <c r="F1126" s="2"/>
      <c r="G1126" s="2"/>
      <c r="H1126" s="2" t="str">
        <f t="shared" si="45"/>
        <v>0 г. 0 мес. 0 дн.</v>
      </c>
      <c r="I1126" s="2"/>
      <c r="J1126" s="2"/>
      <c r="K1126" s="2"/>
      <c r="L1126" s="2"/>
      <c r="M1126" s="2"/>
      <c r="N1126" s="1">
        <v>0</v>
      </c>
      <c r="O1126" s="2"/>
      <c r="P1126" s="2"/>
      <c r="Q1126" s="2">
        <v>0</v>
      </c>
      <c r="R1126" s="6"/>
    </row>
    <row r="1127" spans="1:18" x14ac:dyDescent="0.25">
      <c r="A1127" s="2">
        <f t="shared" si="46"/>
        <v>1126</v>
      </c>
      <c r="B1127" s="2"/>
      <c r="C1127" s="2"/>
      <c r="D1127" s="2"/>
      <c r="E1127" s="2"/>
      <c r="F1127" s="2"/>
      <c r="G1127" s="2"/>
      <c r="H1127" s="2" t="str">
        <f t="shared" si="45"/>
        <v>0 г. 0 мес. 0 дн.</v>
      </c>
      <c r="I1127" s="2"/>
      <c r="J1127" s="2"/>
      <c r="K1127" s="2"/>
      <c r="L1127" s="2"/>
      <c r="M1127" s="2"/>
      <c r="N1127" s="1">
        <v>0</v>
      </c>
      <c r="O1127" s="2"/>
      <c r="P1127" s="2"/>
      <c r="Q1127" s="2">
        <v>0</v>
      </c>
      <c r="R1127" s="6"/>
    </row>
    <row r="1128" spans="1:18" x14ac:dyDescent="0.25">
      <c r="A1128" s="2">
        <f t="shared" si="46"/>
        <v>1127</v>
      </c>
      <c r="B1128" s="2"/>
      <c r="C1128" s="2"/>
      <c r="D1128" s="2"/>
      <c r="E1128" s="2"/>
      <c r="F1128" s="2"/>
      <c r="G1128" s="2"/>
      <c r="H1128" s="2" t="str">
        <f t="shared" si="45"/>
        <v>0 г. 0 мес. 0 дн.</v>
      </c>
      <c r="I1128" s="2"/>
      <c r="J1128" s="2"/>
      <c r="K1128" s="2"/>
      <c r="L1128" s="2"/>
      <c r="M1128" s="2"/>
      <c r="N1128" s="1">
        <v>0</v>
      </c>
      <c r="O1128" s="2"/>
      <c r="P1128" s="2"/>
      <c r="Q1128" s="2">
        <v>0</v>
      </c>
      <c r="R1128" s="6"/>
    </row>
    <row r="1129" spans="1:18" x14ac:dyDescent="0.25">
      <c r="A1129" s="2">
        <f t="shared" si="46"/>
        <v>1128</v>
      </c>
      <c r="B1129" s="2"/>
      <c r="C1129" s="2"/>
      <c r="D1129" s="2"/>
      <c r="E1129" s="2"/>
      <c r="F1129" s="2"/>
      <c r="G1129" s="2"/>
      <c r="H1129" s="2" t="str">
        <f t="shared" si="45"/>
        <v>0 г. 0 мес. 0 дн.</v>
      </c>
      <c r="I1129" s="2"/>
      <c r="J1129" s="2"/>
      <c r="K1129" s="2"/>
      <c r="L1129" s="2"/>
      <c r="M1129" s="2"/>
      <c r="N1129" s="1">
        <v>0</v>
      </c>
      <c r="O1129" s="2"/>
      <c r="P1129" s="2"/>
      <c r="Q1129" s="2">
        <v>0</v>
      </c>
      <c r="R1129" s="6"/>
    </row>
    <row r="1130" spans="1:18" x14ac:dyDescent="0.25">
      <c r="A1130" s="2">
        <f t="shared" si="46"/>
        <v>1129</v>
      </c>
      <c r="B1130" s="2"/>
      <c r="C1130" s="2"/>
      <c r="D1130" s="2"/>
      <c r="E1130" s="2"/>
      <c r="F1130" s="2"/>
      <c r="G1130" s="2"/>
      <c r="H1130" s="2" t="str">
        <f t="shared" si="45"/>
        <v>0 г. 0 мес. 0 дн.</v>
      </c>
      <c r="I1130" s="2"/>
      <c r="J1130" s="2"/>
      <c r="K1130" s="2"/>
      <c r="L1130" s="2"/>
      <c r="M1130" s="2"/>
      <c r="N1130" s="1">
        <v>0</v>
      </c>
      <c r="O1130" s="2"/>
      <c r="P1130" s="2"/>
      <c r="Q1130" s="2">
        <v>0</v>
      </c>
      <c r="R1130" s="6"/>
    </row>
    <row r="1131" spans="1:18" x14ac:dyDescent="0.25">
      <c r="A1131" s="2">
        <f t="shared" si="46"/>
        <v>1130</v>
      </c>
      <c r="B1131" s="2"/>
      <c r="C1131" s="2"/>
      <c r="D1131" s="2"/>
      <c r="E1131" s="2"/>
      <c r="F1131" s="2"/>
      <c r="G1131" s="2"/>
      <c r="H1131" s="2" t="str">
        <f t="shared" si="45"/>
        <v>0 г. 0 мес. 0 дн.</v>
      </c>
      <c r="I1131" s="2"/>
      <c r="J1131" s="2"/>
      <c r="K1131" s="2"/>
      <c r="L1131" s="2"/>
      <c r="M1131" s="2"/>
      <c r="N1131" s="1">
        <v>0</v>
      </c>
      <c r="O1131" s="2"/>
      <c r="P1131" s="2"/>
      <c r="Q1131" s="2">
        <v>0</v>
      </c>
      <c r="R1131" s="6"/>
    </row>
    <row r="1132" spans="1:18" x14ac:dyDescent="0.25">
      <c r="A1132" s="2">
        <f t="shared" si="46"/>
        <v>1131</v>
      </c>
      <c r="B1132" s="2"/>
      <c r="C1132" s="2"/>
      <c r="D1132" s="2"/>
      <c r="E1132" s="2"/>
      <c r="F1132" s="2"/>
      <c r="G1132" s="2"/>
      <c r="H1132" s="2" t="str">
        <f t="shared" si="45"/>
        <v>0 г. 0 мес. 0 дн.</v>
      </c>
      <c r="I1132" s="2"/>
      <c r="J1132" s="2"/>
      <c r="K1132" s="2"/>
      <c r="L1132" s="2"/>
      <c r="M1132" s="2"/>
      <c r="N1132" s="1">
        <v>0</v>
      </c>
      <c r="O1132" s="2"/>
      <c r="P1132" s="2"/>
      <c r="Q1132" s="2">
        <v>0</v>
      </c>
      <c r="R1132" s="6"/>
    </row>
    <row r="1133" spans="1:18" x14ac:dyDescent="0.25">
      <c r="A1133" s="2">
        <f t="shared" si="46"/>
        <v>1132</v>
      </c>
      <c r="B1133" s="2"/>
      <c r="C1133" s="2"/>
      <c r="D1133" s="2"/>
      <c r="E1133" s="2"/>
      <c r="F1133" s="2"/>
      <c r="G1133" s="2"/>
      <c r="H1133" s="2" t="str">
        <f t="shared" si="45"/>
        <v>0 г. 0 мес. 0 дн.</v>
      </c>
      <c r="I1133" s="2"/>
      <c r="J1133" s="2"/>
      <c r="K1133" s="2"/>
      <c r="L1133" s="2"/>
      <c r="M1133" s="2"/>
      <c r="N1133" s="1">
        <v>0</v>
      </c>
      <c r="O1133" s="2"/>
      <c r="P1133" s="2"/>
      <c r="Q1133" s="2">
        <v>0</v>
      </c>
      <c r="R1133" s="6"/>
    </row>
    <row r="1134" spans="1:18" x14ac:dyDescent="0.25">
      <c r="A1134" s="2">
        <f t="shared" si="46"/>
        <v>1133</v>
      </c>
      <c r="B1134" s="2"/>
      <c r="C1134" s="2"/>
      <c r="D1134" s="2"/>
      <c r="E1134" s="2"/>
      <c r="F1134" s="2"/>
      <c r="G1134" s="2"/>
      <c r="H1134" s="2" t="str">
        <f t="shared" si="45"/>
        <v>0 г. 0 мес. 0 дн.</v>
      </c>
      <c r="I1134" s="2"/>
      <c r="J1134" s="2"/>
      <c r="K1134" s="2"/>
      <c r="L1134" s="2"/>
      <c r="M1134" s="2"/>
      <c r="N1134" s="1">
        <v>0</v>
      </c>
      <c r="O1134" s="2"/>
      <c r="P1134" s="2"/>
      <c r="Q1134" s="2">
        <v>0</v>
      </c>
      <c r="R1134" s="6"/>
    </row>
    <row r="1135" spans="1:18" x14ac:dyDescent="0.25">
      <c r="A1135" s="2">
        <f t="shared" si="46"/>
        <v>1134</v>
      </c>
      <c r="B1135" s="2"/>
      <c r="C1135" s="2"/>
      <c r="D1135" s="2"/>
      <c r="E1135" s="2"/>
      <c r="F1135" s="2"/>
      <c r="G1135" s="2"/>
      <c r="H1135" s="2" t="str">
        <f t="shared" si="45"/>
        <v>0 г. 0 мес. 0 дн.</v>
      </c>
      <c r="I1135" s="2"/>
      <c r="J1135" s="2"/>
      <c r="K1135" s="2"/>
      <c r="L1135" s="2"/>
      <c r="M1135" s="2"/>
      <c r="N1135" s="1">
        <v>0</v>
      </c>
      <c r="O1135" s="2"/>
      <c r="P1135" s="2"/>
      <c r="Q1135" s="2">
        <v>0</v>
      </c>
      <c r="R1135" s="6"/>
    </row>
    <row r="1136" spans="1:18" x14ac:dyDescent="0.25">
      <c r="A1136" s="2">
        <f t="shared" si="46"/>
        <v>1135</v>
      </c>
      <c r="B1136" s="2"/>
      <c r="C1136" s="2"/>
      <c r="D1136" s="2"/>
      <c r="E1136" s="2"/>
      <c r="F1136" s="2"/>
      <c r="G1136" s="2"/>
      <c r="H1136" s="2" t="str">
        <f t="shared" si="45"/>
        <v>0 г. 0 мес. 0 дн.</v>
      </c>
      <c r="I1136" s="2"/>
      <c r="J1136" s="2"/>
      <c r="K1136" s="2"/>
      <c r="L1136" s="2"/>
      <c r="M1136" s="2"/>
      <c r="N1136" s="1">
        <v>0</v>
      </c>
      <c r="O1136" s="2"/>
      <c r="P1136" s="2"/>
      <c r="Q1136" s="2">
        <v>0</v>
      </c>
      <c r="R1136" s="6"/>
    </row>
    <row r="1137" spans="1:18" x14ac:dyDescent="0.25">
      <c r="A1137" s="2">
        <f t="shared" si="46"/>
        <v>1136</v>
      </c>
      <c r="B1137" s="2"/>
      <c r="C1137" s="2"/>
      <c r="D1137" s="2"/>
      <c r="E1137" s="2"/>
      <c r="F1137" s="2"/>
      <c r="G1137" s="2"/>
      <c r="H1137" s="2" t="str">
        <f t="shared" si="45"/>
        <v>0 г. 0 мес. 0 дн.</v>
      </c>
      <c r="I1137" s="2"/>
      <c r="J1137" s="2"/>
      <c r="K1137" s="2"/>
      <c r="L1137" s="2"/>
      <c r="M1137" s="2"/>
      <c r="N1137" s="1">
        <v>0</v>
      </c>
      <c r="O1137" s="2"/>
      <c r="P1137" s="2"/>
      <c r="Q1137" s="2">
        <v>0</v>
      </c>
      <c r="R1137" s="6"/>
    </row>
    <row r="1138" spans="1:18" x14ac:dyDescent="0.25">
      <c r="A1138" s="2">
        <f t="shared" si="46"/>
        <v>1137</v>
      </c>
      <c r="B1138" s="2"/>
      <c r="C1138" s="2"/>
      <c r="D1138" s="2"/>
      <c r="E1138" s="2"/>
      <c r="F1138" s="2"/>
      <c r="G1138" s="2"/>
      <c r="H1138" s="2" t="str">
        <f t="shared" si="45"/>
        <v>0 г. 0 мес. 0 дн.</v>
      </c>
      <c r="I1138" s="2"/>
      <c r="J1138" s="2"/>
      <c r="K1138" s="2"/>
      <c r="L1138" s="2"/>
      <c r="M1138" s="2"/>
      <c r="N1138" s="1">
        <v>0</v>
      </c>
      <c r="O1138" s="2"/>
      <c r="P1138" s="2"/>
      <c r="Q1138" s="2">
        <v>0</v>
      </c>
      <c r="R1138" s="6"/>
    </row>
    <row r="1139" spans="1:18" x14ac:dyDescent="0.25">
      <c r="A1139" s="2">
        <f t="shared" si="46"/>
        <v>1138</v>
      </c>
      <c r="B1139" s="2"/>
      <c r="C1139" s="2"/>
      <c r="D1139" s="2"/>
      <c r="E1139" s="2"/>
      <c r="F1139" s="2"/>
      <c r="G1139" s="2"/>
      <c r="H1139" s="2" t="str">
        <f t="shared" si="45"/>
        <v>0 г. 0 мес. 0 дн.</v>
      </c>
      <c r="I1139" s="2"/>
      <c r="J1139" s="2"/>
      <c r="K1139" s="2"/>
      <c r="L1139" s="2"/>
      <c r="M1139" s="2"/>
      <c r="N1139" s="1">
        <v>0</v>
      </c>
      <c r="O1139" s="2"/>
      <c r="P1139" s="2"/>
      <c r="Q1139" s="2">
        <v>0</v>
      </c>
      <c r="R1139" s="6"/>
    </row>
    <row r="1140" spans="1:18" x14ac:dyDescent="0.25">
      <c r="A1140" s="2">
        <f t="shared" si="46"/>
        <v>1139</v>
      </c>
      <c r="B1140" s="2"/>
      <c r="C1140" s="2"/>
      <c r="D1140" s="2"/>
      <c r="E1140" s="2"/>
      <c r="F1140" s="2"/>
      <c r="G1140" s="2"/>
      <c r="H1140" s="2" t="str">
        <f t="shared" si="45"/>
        <v>0 г. 0 мес. 0 дн.</v>
      </c>
      <c r="I1140" s="2"/>
      <c r="J1140" s="2"/>
      <c r="K1140" s="2"/>
      <c r="L1140" s="2"/>
      <c r="M1140" s="2"/>
      <c r="N1140" s="1">
        <v>0</v>
      </c>
      <c r="O1140" s="2"/>
      <c r="P1140" s="2"/>
      <c r="Q1140" s="2">
        <v>0</v>
      </c>
      <c r="R1140" s="6"/>
    </row>
    <row r="1141" spans="1:18" x14ac:dyDescent="0.25">
      <c r="A1141" s="2">
        <f t="shared" si="46"/>
        <v>1140</v>
      </c>
      <c r="B1141" s="2"/>
      <c r="C1141" s="2"/>
      <c r="D1141" s="2"/>
      <c r="E1141" s="2"/>
      <c r="F1141" s="2"/>
      <c r="G1141" s="2"/>
      <c r="H1141" s="2" t="str">
        <f t="shared" si="45"/>
        <v>0 г. 0 мес. 0 дн.</v>
      </c>
      <c r="I1141" s="2"/>
      <c r="J1141" s="2"/>
      <c r="K1141" s="2"/>
      <c r="L1141" s="2"/>
      <c r="M1141" s="2"/>
      <c r="N1141" s="1">
        <v>0</v>
      </c>
      <c r="O1141" s="2"/>
      <c r="P1141" s="2"/>
      <c r="Q1141" s="2">
        <v>0</v>
      </c>
      <c r="R1141" s="6"/>
    </row>
    <row r="1142" spans="1:18" x14ac:dyDescent="0.25">
      <c r="A1142" s="2">
        <f t="shared" si="46"/>
        <v>1141</v>
      </c>
      <c r="B1142" s="2"/>
      <c r="C1142" s="2"/>
      <c r="D1142" s="2"/>
      <c r="E1142" s="2"/>
      <c r="F1142" s="2"/>
      <c r="G1142" s="2"/>
      <c r="H1142" s="2" t="str">
        <f t="shared" si="45"/>
        <v>0 г. 0 мес. 0 дн.</v>
      </c>
      <c r="I1142" s="2"/>
      <c r="J1142" s="2"/>
      <c r="K1142" s="2"/>
      <c r="L1142" s="2"/>
      <c r="M1142" s="2"/>
      <c r="N1142" s="1">
        <v>0</v>
      </c>
      <c r="O1142" s="2"/>
      <c r="P1142" s="2"/>
      <c r="Q1142" s="2">
        <v>0</v>
      </c>
      <c r="R1142" s="6"/>
    </row>
    <row r="1143" spans="1:18" x14ac:dyDescent="0.25">
      <c r="A1143" s="2">
        <f t="shared" si="46"/>
        <v>1142</v>
      </c>
      <c r="B1143" s="2"/>
      <c r="C1143" s="2"/>
      <c r="D1143" s="2"/>
      <c r="E1143" s="2"/>
      <c r="F1143" s="2"/>
      <c r="G1143" s="2"/>
      <c r="H1143" s="2" t="str">
        <f t="shared" si="45"/>
        <v>0 г. 0 мес. 0 дн.</v>
      </c>
      <c r="I1143" s="2"/>
      <c r="J1143" s="2"/>
      <c r="K1143" s="2"/>
      <c r="L1143" s="2"/>
      <c r="M1143" s="2"/>
      <c r="N1143" s="1">
        <v>0</v>
      </c>
      <c r="O1143" s="2"/>
      <c r="P1143" s="2"/>
      <c r="Q1143" s="2">
        <v>0</v>
      </c>
      <c r="R1143" s="6"/>
    </row>
    <row r="1144" spans="1:18" x14ac:dyDescent="0.25">
      <c r="A1144" s="2">
        <f t="shared" si="46"/>
        <v>1143</v>
      </c>
      <c r="B1144" s="2"/>
      <c r="C1144" s="2"/>
      <c r="D1144" s="2"/>
      <c r="E1144" s="2"/>
      <c r="F1144" s="2"/>
      <c r="G1144" s="2"/>
      <c r="H1144" s="2" t="str">
        <f t="shared" si="45"/>
        <v>0 г. 0 мес. 0 дн.</v>
      </c>
      <c r="I1144" s="2"/>
      <c r="J1144" s="2"/>
      <c r="K1144" s="2"/>
      <c r="L1144" s="2"/>
      <c r="M1144" s="2"/>
      <c r="N1144" s="1">
        <v>0</v>
      </c>
      <c r="O1144" s="2"/>
      <c r="P1144" s="2"/>
      <c r="Q1144" s="2">
        <v>0</v>
      </c>
      <c r="R1144" s="6"/>
    </row>
    <row r="1145" spans="1:18" x14ac:dyDescent="0.25">
      <c r="A1145" s="2">
        <f t="shared" si="46"/>
        <v>1144</v>
      </c>
      <c r="B1145" s="2"/>
      <c r="C1145" s="2"/>
      <c r="D1145" s="2"/>
      <c r="E1145" s="2"/>
      <c r="F1145" s="2"/>
      <c r="G1145" s="2"/>
      <c r="H1145" s="2" t="str">
        <f t="shared" si="45"/>
        <v>0 г. 0 мес. 0 дн.</v>
      </c>
      <c r="I1145" s="2"/>
      <c r="J1145" s="2"/>
      <c r="K1145" s="2"/>
      <c r="L1145" s="2"/>
      <c r="M1145" s="2"/>
      <c r="N1145" s="1">
        <v>0</v>
      </c>
      <c r="O1145" s="2"/>
      <c r="P1145" s="2"/>
      <c r="Q1145" s="2">
        <v>0</v>
      </c>
      <c r="R1145" s="6"/>
    </row>
    <row r="1146" spans="1:18" x14ac:dyDescent="0.25">
      <c r="A1146" s="2">
        <f t="shared" si="46"/>
        <v>1145</v>
      </c>
      <c r="B1146" s="2"/>
      <c r="C1146" s="2"/>
      <c r="D1146" s="2"/>
      <c r="E1146" s="2"/>
      <c r="F1146" s="2"/>
      <c r="G1146" s="2"/>
      <c r="H1146" s="2" t="str">
        <f t="shared" si="45"/>
        <v>0 г. 0 мес. 0 дн.</v>
      </c>
      <c r="I1146" s="2"/>
      <c r="J1146" s="2"/>
      <c r="K1146" s="2"/>
      <c r="L1146" s="2"/>
      <c r="M1146" s="2"/>
      <c r="N1146" s="1">
        <v>0</v>
      </c>
      <c r="O1146" s="2"/>
      <c r="P1146" s="2"/>
      <c r="Q1146" s="2">
        <v>0</v>
      </c>
      <c r="R1146" s="6"/>
    </row>
    <row r="1147" spans="1:18" x14ac:dyDescent="0.25">
      <c r="A1147" s="2">
        <f t="shared" si="46"/>
        <v>1146</v>
      </c>
      <c r="B1147" s="2"/>
      <c r="C1147" s="2"/>
      <c r="D1147" s="2"/>
      <c r="E1147" s="2"/>
      <c r="F1147" s="2"/>
      <c r="G1147" s="2"/>
      <c r="H1147" s="2" t="str">
        <f t="shared" si="45"/>
        <v>0 г. 0 мес. 0 дн.</v>
      </c>
      <c r="I1147" s="2"/>
      <c r="J1147" s="2"/>
      <c r="K1147" s="2"/>
      <c r="L1147" s="2"/>
      <c r="M1147" s="2"/>
      <c r="N1147" s="1">
        <v>0</v>
      </c>
      <c r="O1147" s="2"/>
      <c r="P1147" s="2"/>
      <c r="Q1147" s="2">
        <v>0</v>
      </c>
      <c r="R1147" s="6"/>
    </row>
    <row r="1148" spans="1:18" x14ac:dyDescent="0.25">
      <c r="A1148" s="2">
        <f t="shared" si="46"/>
        <v>1147</v>
      </c>
      <c r="B1148" s="2"/>
      <c r="C1148" s="2"/>
      <c r="D1148" s="2"/>
      <c r="E1148" s="2"/>
      <c r="F1148" s="2"/>
      <c r="G1148" s="2"/>
      <c r="H1148" s="2" t="str">
        <f t="shared" si="45"/>
        <v>0 г. 0 мес. 0 дн.</v>
      </c>
      <c r="I1148" s="2"/>
      <c r="J1148" s="2"/>
      <c r="K1148" s="2"/>
      <c r="L1148" s="2"/>
      <c r="M1148" s="2"/>
      <c r="N1148" s="1">
        <v>0</v>
      </c>
      <c r="O1148" s="2"/>
      <c r="P1148" s="2"/>
      <c r="Q1148" s="2">
        <v>0</v>
      </c>
      <c r="R1148" s="6"/>
    </row>
    <row r="1149" spans="1:18" x14ac:dyDescent="0.25">
      <c r="A1149" s="2">
        <f t="shared" si="46"/>
        <v>1148</v>
      </c>
      <c r="B1149" s="2"/>
      <c r="C1149" s="2"/>
      <c r="D1149" s="2"/>
      <c r="E1149" s="2"/>
      <c r="F1149" s="2"/>
      <c r="G1149" s="2"/>
      <c r="H1149" s="2" t="str">
        <f t="shared" si="45"/>
        <v>0 г. 0 мес. 0 дн.</v>
      </c>
      <c r="I1149" s="2"/>
      <c r="J1149" s="2"/>
      <c r="K1149" s="2"/>
      <c r="L1149" s="2"/>
      <c r="M1149" s="2"/>
      <c r="N1149" s="1">
        <v>0</v>
      </c>
      <c r="O1149" s="2"/>
      <c r="P1149" s="2"/>
      <c r="Q1149" s="2">
        <v>0</v>
      </c>
      <c r="R1149" s="6"/>
    </row>
    <row r="1150" spans="1:18" x14ac:dyDescent="0.25">
      <c r="A1150" s="2">
        <f t="shared" si="46"/>
        <v>1149</v>
      </c>
      <c r="B1150" s="2"/>
      <c r="C1150" s="2"/>
      <c r="D1150" s="2"/>
      <c r="E1150" s="2"/>
      <c r="F1150" s="2"/>
      <c r="G1150" s="2"/>
      <c r="H1150" s="2" t="str">
        <f t="shared" si="45"/>
        <v>0 г. 0 мес. 0 дн.</v>
      </c>
      <c r="I1150" s="2"/>
      <c r="J1150" s="2"/>
      <c r="K1150" s="2"/>
      <c r="L1150" s="2"/>
      <c r="M1150" s="2"/>
      <c r="N1150" s="1">
        <v>0</v>
      </c>
      <c r="O1150" s="2"/>
      <c r="P1150" s="2"/>
      <c r="Q1150" s="2">
        <v>0</v>
      </c>
      <c r="R1150" s="6"/>
    </row>
    <row r="1151" spans="1:18" x14ac:dyDescent="0.25">
      <c r="A1151" s="2">
        <f t="shared" si="46"/>
        <v>1150</v>
      </c>
      <c r="B1151" s="2"/>
      <c r="C1151" s="2"/>
      <c r="D1151" s="2"/>
      <c r="E1151" s="2"/>
      <c r="F1151" s="2"/>
      <c r="G1151" s="2"/>
      <c r="H1151" s="2" t="str">
        <f t="shared" si="45"/>
        <v>0 г. 0 мес. 0 дн.</v>
      </c>
      <c r="I1151" s="2"/>
      <c r="J1151" s="2"/>
      <c r="K1151" s="2"/>
      <c r="L1151" s="2"/>
      <c r="M1151" s="2"/>
      <c r="N1151" s="1">
        <v>0</v>
      </c>
      <c r="O1151" s="2"/>
      <c r="P1151" s="2"/>
      <c r="Q1151" s="2">
        <v>0</v>
      </c>
      <c r="R1151" s="6"/>
    </row>
    <row r="1152" spans="1:18" x14ac:dyDescent="0.25">
      <c r="A1152" s="2">
        <f t="shared" si="46"/>
        <v>1151</v>
      </c>
      <c r="B1152" s="2"/>
      <c r="C1152" s="2"/>
      <c r="D1152" s="2"/>
      <c r="E1152" s="2"/>
      <c r="F1152" s="2"/>
      <c r="G1152" s="2"/>
      <c r="H1152" s="2" t="str">
        <f t="shared" si="45"/>
        <v>0 г. 0 мес. 0 дн.</v>
      </c>
      <c r="I1152" s="2"/>
      <c r="J1152" s="2"/>
      <c r="K1152" s="2"/>
      <c r="L1152" s="2"/>
      <c r="M1152" s="2"/>
      <c r="N1152" s="1">
        <v>0</v>
      </c>
      <c r="O1152" s="2"/>
      <c r="P1152" s="2"/>
      <c r="Q1152" s="2">
        <v>0</v>
      </c>
      <c r="R1152" s="6"/>
    </row>
    <row r="1153" spans="1:18" x14ac:dyDescent="0.25">
      <c r="A1153" s="2">
        <f t="shared" si="46"/>
        <v>1152</v>
      </c>
      <c r="B1153" s="2"/>
      <c r="C1153" s="2"/>
      <c r="D1153" s="2"/>
      <c r="E1153" s="2"/>
      <c r="F1153" s="2"/>
      <c r="G1153" s="2"/>
      <c r="H1153" s="2" t="str">
        <f t="shared" si="45"/>
        <v>0 г. 0 мес. 0 дн.</v>
      </c>
      <c r="I1153" s="2"/>
      <c r="J1153" s="2"/>
      <c r="K1153" s="2"/>
      <c r="L1153" s="2"/>
      <c r="M1153" s="2"/>
      <c r="N1153" s="1">
        <v>0</v>
      </c>
      <c r="O1153" s="2"/>
      <c r="P1153" s="2"/>
      <c r="Q1153" s="2">
        <v>0</v>
      </c>
      <c r="R1153" s="6"/>
    </row>
    <row r="1154" spans="1:18" x14ac:dyDescent="0.25">
      <c r="A1154" s="2">
        <f t="shared" si="46"/>
        <v>1153</v>
      </c>
      <c r="B1154" s="2"/>
      <c r="C1154" s="2"/>
      <c r="D1154" s="2"/>
      <c r="E1154" s="2"/>
      <c r="F1154" s="2"/>
      <c r="G1154" s="2"/>
      <c r="H1154" s="2" t="str">
        <f t="shared" si="45"/>
        <v>0 г. 0 мес. 0 дн.</v>
      </c>
      <c r="I1154" s="2"/>
      <c r="J1154" s="2"/>
      <c r="K1154" s="2"/>
      <c r="L1154" s="2"/>
      <c r="M1154" s="2"/>
      <c r="N1154" s="1">
        <v>0</v>
      </c>
      <c r="O1154" s="2"/>
      <c r="P1154" s="2"/>
      <c r="Q1154" s="2">
        <v>0</v>
      </c>
      <c r="R1154" s="6"/>
    </row>
    <row r="1155" spans="1:18" x14ac:dyDescent="0.25">
      <c r="A1155" s="2">
        <f t="shared" si="46"/>
        <v>1154</v>
      </c>
      <c r="B1155" s="2"/>
      <c r="C1155" s="2"/>
      <c r="D1155" s="2"/>
      <c r="E1155" s="2"/>
      <c r="F1155" s="2"/>
      <c r="G1155" s="2"/>
      <c r="H1155" s="2" t="str">
        <f t="shared" si="45"/>
        <v>0 г. 0 мес. 0 дн.</v>
      </c>
      <c r="I1155" s="2"/>
      <c r="J1155" s="2"/>
      <c r="K1155" s="2"/>
      <c r="L1155" s="2"/>
      <c r="M1155" s="2"/>
      <c r="N1155" s="1">
        <v>0</v>
      </c>
      <c r="O1155" s="2"/>
      <c r="P1155" s="2"/>
      <c r="Q1155" s="2">
        <v>0</v>
      </c>
      <c r="R1155" s="6"/>
    </row>
    <row r="1156" spans="1:18" x14ac:dyDescent="0.25">
      <c r="A1156" s="2">
        <f t="shared" si="46"/>
        <v>1155</v>
      </c>
      <c r="B1156" s="2"/>
      <c r="C1156" s="2"/>
      <c r="D1156" s="2"/>
      <c r="E1156" s="2"/>
      <c r="F1156" s="2"/>
      <c r="G1156" s="2"/>
      <c r="H1156" s="2" t="str">
        <f t="shared" ref="H1156:H1219" si="47">DATEDIF(G1156,D1156,"y") &amp; " г. " &amp; DATEDIF(G1156,D1156,"ym") &amp; " мес. " &amp; DATEDIF(G1156,D1156,"md") &amp; " дн."</f>
        <v>0 г. 0 мес. 0 дн.</v>
      </c>
      <c r="I1156" s="2"/>
      <c r="J1156" s="2"/>
      <c r="K1156" s="2"/>
      <c r="L1156" s="2"/>
      <c r="M1156" s="2"/>
      <c r="N1156" s="1">
        <v>0</v>
      </c>
      <c r="O1156" s="2"/>
      <c r="P1156" s="2"/>
      <c r="Q1156" s="2">
        <v>0</v>
      </c>
      <c r="R1156" s="6"/>
    </row>
    <row r="1157" spans="1:18" x14ac:dyDescent="0.25">
      <c r="A1157" s="2">
        <f t="shared" si="46"/>
        <v>1156</v>
      </c>
      <c r="B1157" s="2"/>
      <c r="C1157" s="2"/>
      <c r="D1157" s="2"/>
      <c r="E1157" s="2"/>
      <c r="F1157" s="2"/>
      <c r="G1157" s="2"/>
      <c r="H1157" s="2" t="str">
        <f t="shared" si="47"/>
        <v>0 г. 0 мес. 0 дн.</v>
      </c>
      <c r="I1157" s="2"/>
      <c r="J1157" s="2"/>
      <c r="K1157" s="2"/>
      <c r="L1157" s="2"/>
      <c r="M1157" s="2"/>
      <c r="N1157" s="1">
        <v>0</v>
      </c>
      <c r="O1157" s="2"/>
      <c r="P1157" s="2"/>
      <c r="Q1157" s="2">
        <v>0</v>
      </c>
      <c r="R1157" s="6"/>
    </row>
    <row r="1158" spans="1:18" x14ac:dyDescent="0.25">
      <c r="A1158" s="2">
        <f t="shared" si="46"/>
        <v>1157</v>
      </c>
      <c r="B1158" s="2"/>
      <c r="C1158" s="2"/>
      <c r="D1158" s="2"/>
      <c r="E1158" s="2"/>
      <c r="F1158" s="2"/>
      <c r="G1158" s="2"/>
      <c r="H1158" s="2" t="str">
        <f t="shared" si="47"/>
        <v>0 г. 0 мес. 0 дн.</v>
      </c>
      <c r="I1158" s="2"/>
      <c r="J1158" s="2"/>
      <c r="K1158" s="2"/>
      <c r="L1158" s="2"/>
      <c r="M1158" s="2"/>
      <c r="N1158" s="1">
        <v>0</v>
      </c>
      <c r="O1158" s="2"/>
      <c r="P1158" s="2"/>
      <c r="Q1158" s="2">
        <v>0</v>
      </c>
      <c r="R1158" s="6"/>
    </row>
    <row r="1159" spans="1:18" x14ac:dyDescent="0.25">
      <c r="A1159" s="2">
        <f t="shared" si="46"/>
        <v>1158</v>
      </c>
      <c r="B1159" s="2"/>
      <c r="C1159" s="2"/>
      <c r="D1159" s="2"/>
      <c r="E1159" s="2"/>
      <c r="F1159" s="2"/>
      <c r="G1159" s="2"/>
      <c r="H1159" s="2" t="str">
        <f t="shared" si="47"/>
        <v>0 г. 0 мес. 0 дн.</v>
      </c>
      <c r="I1159" s="2"/>
      <c r="J1159" s="2"/>
      <c r="K1159" s="2"/>
      <c r="L1159" s="2"/>
      <c r="M1159" s="2"/>
      <c r="N1159" s="1">
        <v>0</v>
      </c>
      <c r="O1159" s="2"/>
      <c r="P1159" s="2"/>
      <c r="Q1159" s="2">
        <v>0</v>
      </c>
      <c r="R1159" s="6"/>
    </row>
    <row r="1160" spans="1:18" x14ac:dyDescent="0.25">
      <c r="A1160" s="2">
        <f t="shared" si="46"/>
        <v>1159</v>
      </c>
      <c r="B1160" s="2"/>
      <c r="C1160" s="2"/>
      <c r="D1160" s="2"/>
      <c r="E1160" s="2"/>
      <c r="F1160" s="2"/>
      <c r="G1160" s="2"/>
      <c r="H1160" s="2" t="str">
        <f t="shared" si="47"/>
        <v>0 г. 0 мес. 0 дн.</v>
      </c>
      <c r="I1160" s="2"/>
      <c r="J1160" s="2"/>
      <c r="K1160" s="2"/>
      <c r="L1160" s="2"/>
      <c r="M1160" s="2"/>
      <c r="N1160" s="1">
        <v>0</v>
      </c>
      <c r="O1160" s="2"/>
      <c r="P1160" s="2"/>
      <c r="Q1160" s="2">
        <v>0</v>
      </c>
      <c r="R1160" s="6"/>
    </row>
    <row r="1161" spans="1:18" x14ac:dyDescent="0.25">
      <c r="A1161" s="2">
        <f t="shared" si="46"/>
        <v>1160</v>
      </c>
      <c r="B1161" s="2"/>
      <c r="C1161" s="2"/>
      <c r="D1161" s="2"/>
      <c r="E1161" s="2"/>
      <c r="F1161" s="2"/>
      <c r="G1161" s="2"/>
      <c r="H1161" s="2" t="str">
        <f t="shared" si="47"/>
        <v>0 г. 0 мес. 0 дн.</v>
      </c>
      <c r="I1161" s="2"/>
      <c r="J1161" s="2"/>
      <c r="K1161" s="2"/>
      <c r="L1161" s="2"/>
      <c r="M1161" s="2"/>
      <c r="N1161" s="1">
        <v>0</v>
      </c>
      <c r="O1161" s="2"/>
      <c r="P1161" s="2"/>
      <c r="Q1161" s="2">
        <v>0</v>
      </c>
      <c r="R1161" s="6"/>
    </row>
    <row r="1162" spans="1:18" x14ac:dyDescent="0.25">
      <c r="A1162" s="2">
        <f t="shared" si="46"/>
        <v>1161</v>
      </c>
      <c r="B1162" s="2"/>
      <c r="C1162" s="2"/>
      <c r="D1162" s="2"/>
      <c r="E1162" s="2"/>
      <c r="F1162" s="2"/>
      <c r="G1162" s="2"/>
      <c r="H1162" s="2" t="str">
        <f t="shared" si="47"/>
        <v>0 г. 0 мес. 0 дн.</v>
      </c>
      <c r="I1162" s="2"/>
      <c r="J1162" s="2"/>
      <c r="K1162" s="2"/>
      <c r="L1162" s="2"/>
      <c r="M1162" s="2"/>
      <c r="N1162" s="1">
        <v>0</v>
      </c>
      <c r="O1162" s="2"/>
      <c r="P1162" s="2"/>
      <c r="Q1162" s="2">
        <v>0</v>
      </c>
      <c r="R1162" s="6"/>
    </row>
    <row r="1163" spans="1:18" x14ac:dyDescent="0.25">
      <c r="A1163" s="2">
        <f t="shared" si="46"/>
        <v>1162</v>
      </c>
      <c r="B1163" s="2"/>
      <c r="C1163" s="2"/>
      <c r="D1163" s="2"/>
      <c r="E1163" s="2"/>
      <c r="F1163" s="2"/>
      <c r="G1163" s="2"/>
      <c r="H1163" s="2" t="str">
        <f t="shared" si="47"/>
        <v>0 г. 0 мес. 0 дн.</v>
      </c>
      <c r="I1163" s="2"/>
      <c r="J1163" s="2"/>
      <c r="K1163" s="2"/>
      <c r="L1163" s="2"/>
      <c r="M1163" s="2"/>
      <c r="N1163" s="1">
        <v>0</v>
      </c>
      <c r="O1163" s="2"/>
      <c r="P1163" s="2"/>
      <c r="Q1163" s="2">
        <v>0</v>
      </c>
      <c r="R1163" s="6"/>
    </row>
    <row r="1164" spans="1:18" x14ac:dyDescent="0.25">
      <c r="A1164" s="2">
        <f t="shared" si="46"/>
        <v>1163</v>
      </c>
      <c r="B1164" s="2"/>
      <c r="C1164" s="2"/>
      <c r="D1164" s="2"/>
      <c r="E1164" s="2"/>
      <c r="F1164" s="2"/>
      <c r="G1164" s="2"/>
      <c r="H1164" s="2" t="str">
        <f t="shared" si="47"/>
        <v>0 г. 0 мес. 0 дн.</v>
      </c>
      <c r="I1164" s="2"/>
      <c r="J1164" s="2"/>
      <c r="K1164" s="2"/>
      <c r="L1164" s="2"/>
      <c r="M1164" s="2"/>
      <c r="N1164" s="1">
        <v>0</v>
      </c>
      <c r="O1164" s="2"/>
      <c r="P1164" s="2"/>
      <c r="Q1164" s="2">
        <v>0</v>
      </c>
      <c r="R1164" s="6"/>
    </row>
    <row r="1165" spans="1:18" x14ac:dyDescent="0.25">
      <c r="A1165" s="2">
        <f t="shared" si="46"/>
        <v>1164</v>
      </c>
      <c r="B1165" s="2"/>
      <c r="C1165" s="2"/>
      <c r="D1165" s="2"/>
      <c r="E1165" s="2"/>
      <c r="F1165" s="2"/>
      <c r="G1165" s="2"/>
      <c r="H1165" s="2" t="str">
        <f t="shared" si="47"/>
        <v>0 г. 0 мес. 0 дн.</v>
      </c>
      <c r="I1165" s="2"/>
      <c r="J1165" s="2"/>
      <c r="K1165" s="2"/>
      <c r="L1165" s="2"/>
      <c r="M1165" s="2"/>
      <c r="N1165" s="1">
        <v>0</v>
      </c>
      <c r="O1165" s="2"/>
      <c r="P1165" s="2"/>
      <c r="Q1165" s="2">
        <v>0</v>
      </c>
      <c r="R1165" s="6"/>
    </row>
    <row r="1166" spans="1:18" x14ac:dyDescent="0.25">
      <c r="A1166" s="2">
        <f t="shared" si="46"/>
        <v>1165</v>
      </c>
      <c r="B1166" s="2"/>
      <c r="C1166" s="2"/>
      <c r="D1166" s="2"/>
      <c r="E1166" s="2"/>
      <c r="F1166" s="2"/>
      <c r="G1166" s="2"/>
      <c r="H1166" s="2" t="str">
        <f t="shared" si="47"/>
        <v>0 г. 0 мес. 0 дн.</v>
      </c>
      <c r="I1166" s="2"/>
      <c r="J1166" s="2"/>
      <c r="K1166" s="2"/>
      <c r="L1166" s="2"/>
      <c r="M1166" s="2"/>
      <c r="N1166" s="1">
        <v>0</v>
      </c>
      <c r="O1166" s="2"/>
      <c r="P1166" s="2"/>
      <c r="Q1166" s="2">
        <v>0</v>
      </c>
      <c r="R1166" s="6"/>
    </row>
    <row r="1167" spans="1:18" x14ac:dyDescent="0.25">
      <c r="A1167" s="2">
        <f t="shared" si="46"/>
        <v>1166</v>
      </c>
      <c r="B1167" s="2"/>
      <c r="C1167" s="2"/>
      <c r="D1167" s="2"/>
      <c r="E1167" s="2"/>
      <c r="F1167" s="2"/>
      <c r="G1167" s="2"/>
      <c r="H1167" s="2" t="str">
        <f t="shared" si="47"/>
        <v>0 г. 0 мес. 0 дн.</v>
      </c>
      <c r="I1167" s="2"/>
      <c r="J1167" s="2"/>
      <c r="K1167" s="2"/>
      <c r="L1167" s="2"/>
      <c r="M1167" s="2"/>
      <c r="N1167" s="1">
        <v>0</v>
      </c>
      <c r="O1167" s="2"/>
      <c r="P1167" s="2"/>
      <c r="Q1167" s="2">
        <v>0</v>
      </c>
      <c r="R1167" s="6"/>
    </row>
    <row r="1168" spans="1:18" x14ac:dyDescent="0.25">
      <c r="A1168" s="2">
        <f t="shared" si="46"/>
        <v>1167</v>
      </c>
      <c r="B1168" s="2"/>
      <c r="C1168" s="2"/>
      <c r="D1168" s="2"/>
      <c r="E1168" s="2"/>
      <c r="F1168" s="2"/>
      <c r="G1168" s="2"/>
      <c r="H1168" s="2" t="str">
        <f t="shared" si="47"/>
        <v>0 г. 0 мес. 0 дн.</v>
      </c>
      <c r="I1168" s="2"/>
      <c r="J1168" s="2"/>
      <c r="K1168" s="2"/>
      <c r="L1168" s="2"/>
      <c r="M1168" s="2"/>
      <c r="N1168" s="1">
        <v>0</v>
      </c>
      <c r="O1168" s="2"/>
      <c r="P1168" s="2"/>
      <c r="Q1168" s="2">
        <v>0</v>
      </c>
      <c r="R1168" s="6"/>
    </row>
    <row r="1169" spans="1:18" x14ac:dyDescent="0.25">
      <c r="A1169" s="2">
        <f t="shared" si="46"/>
        <v>1168</v>
      </c>
      <c r="B1169" s="2"/>
      <c r="C1169" s="2"/>
      <c r="D1169" s="2"/>
      <c r="E1169" s="2"/>
      <c r="F1169" s="2"/>
      <c r="G1169" s="2"/>
      <c r="H1169" s="2" t="str">
        <f t="shared" si="47"/>
        <v>0 г. 0 мес. 0 дн.</v>
      </c>
      <c r="I1169" s="2"/>
      <c r="J1169" s="2"/>
      <c r="K1169" s="2"/>
      <c r="L1169" s="2"/>
      <c r="M1169" s="2"/>
      <c r="N1169" s="1">
        <v>0</v>
      </c>
      <c r="O1169" s="2"/>
      <c r="P1169" s="2"/>
      <c r="Q1169" s="2">
        <v>0</v>
      </c>
      <c r="R1169" s="6"/>
    </row>
    <row r="1170" spans="1:18" x14ac:dyDescent="0.25">
      <c r="A1170" s="2">
        <f t="shared" si="46"/>
        <v>1169</v>
      </c>
      <c r="B1170" s="2"/>
      <c r="C1170" s="2"/>
      <c r="D1170" s="2"/>
      <c r="E1170" s="2"/>
      <c r="F1170" s="2"/>
      <c r="G1170" s="2"/>
      <c r="H1170" s="2" t="str">
        <f t="shared" si="47"/>
        <v>0 г. 0 мес. 0 дн.</v>
      </c>
      <c r="I1170" s="2"/>
      <c r="J1170" s="2"/>
      <c r="K1170" s="2"/>
      <c r="L1170" s="2"/>
      <c r="M1170" s="2"/>
      <c r="N1170" s="1">
        <v>0</v>
      </c>
      <c r="O1170" s="2"/>
      <c r="P1170" s="2"/>
      <c r="Q1170" s="2">
        <v>0</v>
      </c>
      <c r="R1170" s="6"/>
    </row>
    <row r="1171" spans="1:18" x14ac:dyDescent="0.25">
      <c r="A1171" s="2">
        <f t="shared" si="46"/>
        <v>1170</v>
      </c>
      <c r="B1171" s="2"/>
      <c r="C1171" s="2"/>
      <c r="D1171" s="2"/>
      <c r="E1171" s="2"/>
      <c r="F1171" s="2"/>
      <c r="G1171" s="2"/>
      <c r="H1171" s="2" t="str">
        <f t="shared" si="47"/>
        <v>0 г. 0 мес. 0 дн.</v>
      </c>
      <c r="I1171" s="2"/>
      <c r="J1171" s="2"/>
      <c r="K1171" s="2"/>
      <c r="L1171" s="2"/>
      <c r="M1171" s="2"/>
      <c r="N1171" s="1">
        <v>0</v>
      </c>
      <c r="O1171" s="2"/>
      <c r="P1171" s="2"/>
      <c r="Q1171" s="2">
        <v>0</v>
      </c>
      <c r="R1171" s="6"/>
    </row>
    <row r="1172" spans="1:18" x14ac:dyDescent="0.25">
      <c r="A1172" s="2">
        <f t="shared" si="46"/>
        <v>1171</v>
      </c>
      <c r="B1172" s="2"/>
      <c r="C1172" s="2"/>
      <c r="D1172" s="2"/>
      <c r="E1172" s="2"/>
      <c r="F1172" s="2"/>
      <c r="G1172" s="2"/>
      <c r="H1172" s="2" t="str">
        <f t="shared" si="47"/>
        <v>0 г. 0 мес. 0 дн.</v>
      </c>
      <c r="I1172" s="2"/>
      <c r="J1172" s="2"/>
      <c r="K1172" s="2"/>
      <c r="L1172" s="2"/>
      <c r="M1172" s="2"/>
      <c r="N1172" s="1">
        <v>0</v>
      </c>
      <c r="O1172" s="2"/>
      <c r="P1172" s="2"/>
      <c r="Q1172" s="2">
        <v>0</v>
      </c>
      <c r="R1172" s="6"/>
    </row>
    <row r="1173" spans="1:18" x14ac:dyDescent="0.25">
      <c r="A1173" s="2">
        <f t="shared" si="46"/>
        <v>1172</v>
      </c>
      <c r="B1173" s="2"/>
      <c r="C1173" s="2"/>
      <c r="D1173" s="2"/>
      <c r="E1173" s="2"/>
      <c r="F1173" s="2"/>
      <c r="G1173" s="2"/>
      <c r="H1173" s="2" t="str">
        <f t="shared" si="47"/>
        <v>0 г. 0 мес. 0 дн.</v>
      </c>
      <c r="I1173" s="2"/>
      <c r="J1173" s="2"/>
      <c r="K1173" s="2"/>
      <c r="L1173" s="2"/>
      <c r="M1173" s="2"/>
      <c r="N1173" s="1">
        <v>0</v>
      </c>
      <c r="O1173" s="2"/>
      <c r="P1173" s="2"/>
      <c r="Q1173" s="2">
        <v>0</v>
      </c>
      <c r="R1173" s="6"/>
    </row>
    <row r="1174" spans="1:18" x14ac:dyDescent="0.25">
      <c r="A1174" s="2">
        <f t="shared" si="46"/>
        <v>1173</v>
      </c>
      <c r="B1174" s="2"/>
      <c r="C1174" s="2"/>
      <c r="D1174" s="2"/>
      <c r="E1174" s="2"/>
      <c r="F1174" s="2"/>
      <c r="G1174" s="2"/>
      <c r="H1174" s="2" t="str">
        <f t="shared" si="47"/>
        <v>0 г. 0 мес. 0 дн.</v>
      </c>
      <c r="I1174" s="2"/>
      <c r="J1174" s="2"/>
      <c r="K1174" s="2"/>
      <c r="L1174" s="2"/>
      <c r="M1174" s="2"/>
      <c r="N1174" s="1">
        <v>0</v>
      </c>
      <c r="O1174" s="2"/>
      <c r="P1174" s="2"/>
      <c r="Q1174" s="2">
        <v>0</v>
      </c>
      <c r="R1174" s="6"/>
    </row>
    <row r="1175" spans="1:18" x14ac:dyDescent="0.25">
      <c r="A1175" s="2">
        <f t="shared" si="46"/>
        <v>1174</v>
      </c>
      <c r="B1175" s="2"/>
      <c r="C1175" s="2"/>
      <c r="D1175" s="2"/>
      <c r="E1175" s="2"/>
      <c r="F1175" s="2"/>
      <c r="G1175" s="2"/>
      <c r="H1175" s="2" t="str">
        <f t="shared" si="47"/>
        <v>0 г. 0 мес. 0 дн.</v>
      </c>
      <c r="I1175" s="2"/>
      <c r="J1175" s="2"/>
      <c r="K1175" s="2"/>
      <c r="L1175" s="2"/>
      <c r="M1175" s="2"/>
      <c r="N1175" s="1">
        <v>0</v>
      </c>
      <c r="O1175" s="2"/>
      <c r="P1175" s="2"/>
      <c r="Q1175" s="2">
        <v>0</v>
      </c>
      <c r="R1175" s="6"/>
    </row>
    <row r="1176" spans="1:18" x14ac:dyDescent="0.25">
      <c r="A1176" s="2">
        <f t="shared" si="46"/>
        <v>1175</v>
      </c>
      <c r="B1176" s="2"/>
      <c r="C1176" s="2"/>
      <c r="D1176" s="2"/>
      <c r="E1176" s="2"/>
      <c r="F1176" s="2"/>
      <c r="G1176" s="2"/>
      <c r="H1176" s="2" t="str">
        <f t="shared" si="47"/>
        <v>0 г. 0 мес. 0 дн.</v>
      </c>
      <c r="I1176" s="2"/>
      <c r="J1176" s="2"/>
      <c r="K1176" s="2"/>
      <c r="L1176" s="2"/>
      <c r="M1176" s="2"/>
      <c r="N1176" s="1">
        <v>0</v>
      </c>
      <c r="O1176" s="2"/>
      <c r="P1176" s="2"/>
      <c r="Q1176" s="2">
        <v>0</v>
      </c>
      <c r="R1176" s="6"/>
    </row>
    <row r="1177" spans="1:18" x14ac:dyDescent="0.25">
      <c r="A1177" s="2">
        <f t="shared" si="46"/>
        <v>1176</v>
      </c>
      <c r="B1177" s="2"/>
      <c r="C1177" s="2"/>
      <c r="D1177" s="2"/>
      <c r="E1177" s="2"/>
      <c r="F1177" s="2"/>
      <c r="G1177" s="2"/>
      <c r="H1177" s="2" t="str">
        <f t="shared" si="47"/>
        <v>0 г. 0 мес. 0 дн.</v>
      </c>
      <c r="I1177" s="2"/>
      <c r="J1177" s="2"/>
      <c r="K1177" s="2"/>
      <c r="L1177" s="2"/>
      <c r="M1177" s="2"/>
      <c r="N1177" s="1">
        <v>0</v>
      </c>
      <c r="O1177" s="2"/>
      <c r="P1177" s="2"/>
      <c r="Q1177" s="2">
        <v>0</v>
      </c>
      <c r="R1177" s="6"/>
    </row>
    <row r="1178" spans="1:18" x14ac:dyDescent="0.25">
      <c r="A1178" s="2">
        <f t="shared" si="46"/>
        <v>1177</v>
      </c>
      <c r="B1178" s="2"/>
      <c r="C1178" s="2"/>
      <c r="D1178" s="2"/>
      <c r="E1178" s="2"/>
      <c r="F1178" s="2"/>
      <c r="G1178" s="2"/>
      <c r="H1178" s="2" t="str">
        <f t="shared" si="47"/>
        <v>0 г. 0 мес. 0 дн.</v>
      </c>
      <c r="I1178" s="2"/>
      <c r="J1178" s="2"/>
      <c r="K1178" s="2"/>
      <c r="L1178" s="2"/>
      <c r="M1178" s="2"/>
      <c r="N1178" s="1">
        <v>0</v>
      </c>
      <c r="O1178" s="2"/>
      <c r="P1178" s="2"/>
      <c r="Q1178" s="2">
        <v>0</v>
      </c>
      <c r="R1178" s="6"/>
    </row>
    <row r="1179" spans="1:18" x14ac:dyDescent="0.25">
      <c r="A1179" s="2">
        <f t="shared" si="46"/>
        <v>1178</v>
      </c>
      <c r="B1179" s="2"/>
      <c r="C1179" s="2"/>
      <c r="D1179" s="2"/>
      <c r="E1179" s="2"/>
      <c r="F1179" s="2"/>
      <c r="G1179" s="2"/>
      <c r="H1179" s="2" t="str">
        <f t="shared" si="47"/>
        <v>0 г. 0 мес. 0 дн.</v>
      </c>
      <c r="I1179" s="2"/>
      <c r="J1179" s="2"/>
      <c r="K1179" s="2"/>
      <c r="L1179" s="2"/>
      <c r="M1179" s="2"/>
      <c r="N1179" s="1">
        <v>0</v>
      </c>
      <c r="O1179" s="2"/>
      <c r="P1179" s="2"/>
      <c r="Q1179" s="2">
        <v>0</v>
      </c>
      <c r="R1179" s="6"/>
    </row>
    <row r="1180" spans="1:18" x14ac:dyDescent="0.25">
      <c r="A1180" s="2">
        <f t="shared" si="46"/>
        <v>1179</v>
      </c>
      <c r="B1180" s="2"/>
      <c r="C1180" s="2"/>
      <c r="D1180" s="2"/>
      <c r="E1180" s="2"/>
      <c r="F1180" s="2"/>
      <c r="G1180" s="2"/>
      <c r="H1180" s="2" t="str">
        <f t="shared" si="47"/>
        <v>0 г. 0 мес. 0 дн.</v>
      </c>
      <c r="I1180" s="2"/>
      <c r="J1180" s="2"/>
      <c r="K1180" s="2"/>
      <c r="L1180" s="2"/>
      <c r="M1180" s="2"/>
      <c r="N1180" s="1">
        <v>0</v>
      </c>
      <c r="O1180" s="2"/>
      <c r="P1180" s="2"/>
      <c r="Q1180" s="2">
        <v>0</v>
      </c>
      <c r="R1180" s="6"/>
    </row>
    <row r="1181" spans="1:18" x14ac:dyDescent="0.25">
      <c r="A1181" s="2">
        <f t="shared" ref="A1181:A1244" si="48">ROW(A1180)</f>
        <v>1180</v>
      </c>
      <c r="B1181" s="2"/>
      <c r="C1181" s="2"/>
      <c r="D1181" s="2"/>
      <c r="E1181" s="2"/>
      <c r="F1181" s="2"/>
      <c r="G1181" s="2"/>
      <c r="H1181" s="2" t="str">
        <f t="shared" si="47"/>
        <v>0 г. 0 мес. 0 дн.</v>
      </c>
      <c r="I1181" s="2"/>
      <c r="J1181" s="2"/>
      <c r="K1181" s="2"/>
      <c r="L1181" s="2"/>
      <c r="M1181" s="2"/>
      <c r="N1181" s="1">
        <v>0</v>
      </c>
      <c r="O1181" s="2"/>
      <c r="P1181" s="2"/>
      <c r="Q1181" s="2">
        <v>0</v>
      </c>
      <c r="R1181" s="6"/>
    </row>
    <row r="1182" spans="1:18" x14ac:dyDescent="0.25">
      <c r="A1182" s="2">
        <f t="shared" si="48"/>
        <v>1181</v>
      </c>
      <c r="B1182" s="2"/>
      <c r="C1182" s="2"/>
      <c r="D1182" s="2"/>
      <c r="E1182" s="2"/>
      <c r="F1182" s="2"/>
      <c r="G1182" s="2"/>
      <c r="H1182" s="2" t="str">
        <f t="shared" si="47"/>
        <v>0 г. 0 мес. 0 дн.</v>
      </c>
      <c r="I1182" s="2"/>
      <c r="J1182" s="2"/>
      <c r="K1182" s="2"/>
      <c r="L1182" s="2"/>
      <c r="M1182" s="2"/>
      <c r="N1182" s="1">
        <v>0</v>
      </c>
      <c r="O1182" s="2"/>
      <c r="P1182" s="2"/>
      <c r="Q1182" s="2">
        <v>0</v>
      </c>
      <c r="R1182" s="6"/>
    </row>
    <row r="1183" spans="1:18" x14ac:dyDescent="0.25">
      <c r="A1183" s="2">
        <f t="shared" si="48"/>
        <v>1182</v>
      </c>
      <c r="B1183" s="2"/>
      <c r="C1183" s="2"/>
      <c r="D1183" s="2"/>
      <c r="E1183" s="2"/>
      <c r="F1183" s="2"/>
      <c r="G1183" s="2"/>
      <c r="H1183" s="2" t="str">
        <f t="shared" si="47"/>
        <v>0 г. 0 мес. 0 дн.</v>
      </c>
      <c r="I1183" s="2"/>
      <c r="J1183" s="2"/>
      <c r="K1183" s="2"/>
      <c r="L1183" s="2"/>
      <c r="M1183" s="2"/>
      <c r="N1183" s="1">
        <v>0</v>
      </c>
      <c r="O1183" s="2"/>
      <c r="P1183" s="2"/>
      <c r="Q1183" s="2">
        <v>0</v>
      </c>
      <c r="R1183" s="6"/>
    </row>
    <row r="1184" spans="1:18" x14ac:dyDescent="0.25">
      <c r="A1184" s="2">
        <f t="shared" si="48"/>
        <v>1183</v>
      </c>
      <c r="B1184" s="2"/>
      <c r="C1184" s="2"/>
      <c r="D1184" s="2"/>
      <c r="E1184" s="2"/>
      <c r="F1184" s="2"/>
      <c r="G1184" s="2"/>
      <c r="H1184" s="2" t="str">
        <f t="shared" si="47"/>
        <v>0 г. 0 мес. 0 дн.</v>
      </c>
      <c r="I1184" s="2"/>
      <c r="J1184" s="2"/>
      <c r="K1184" s="2"/>
      <c r="L1184" s="2"/>
      <c r="M1184" s="2"/>
      <c r="N1184" s="1">
        <v>0</v>
      </c>
      <c r="O1184" s="2"/>
      <c r="P1184" s="2"/>
      <c r="Q1184" s="2">
        <v>0</v>
      </c>
      <c r="R1184" s="6"/>
    </row>
    <row r="1185" spans="1:18" x14ac:dyDescent="0.25">
      <c r="A1185" s="2">
        <f t="shared" si="48"/>
        <v>1184</v>
      </c>
      <c r="B1185" s="2"/>
      <c r="C1185" s="2"/>
      <c r="D1185" s="2"/>
      <c r="E1185" s="2"/>
      <c r="F1185" s="2"/>
      <c r="G1185" s="2"/>
      <c r="H1185" s="2" t="str">
        <f t="shared" si="47"/>
        <v>0 г. 0 мес. 0 дн.</v>
      </c>
      <c r="I1185" s="2"/>
      <c r="J1185" s="2"/>
      <c r="K1185" s="2"/>
      <c r="L1185" s="2"/>
      <c r="M1185" s="2"/>
      <c r="N1185" s="1">
        <v>0</v>
      </c>
      <c r="O1185" s="2"/>
      <c r="P1185" s="2"/>
      <c r="Q1185" s="2">
        <v>0</v>
      </c>
      <c r="R1185" s="6"/>
    </row>
    <row r="1186" spans="1:18" x14ac:dyDescent="0.25">
      <c r="A1186" s="2">
        <f t="shared" si="48"/>
        <v>1185</v>
      </c>
      <c r="B1186" s="2"/>
      <c r="C1186" s="2"/>
      <c r="D1186" s="2"/>
      <c r="E1186" s="2"/>
      <c r="F1186" s="2"/>
      <c r="G1186" s="2"/>
      <c r="H1186" s="2" t="str">
        <f t="shared" si="47"/>
        <v>0 г. 0 мес. 0 дн.</v>
      </c>
      <c r="I1186" s="2"/>
      <c r="J1186" s="2"/>
      <c r="K1186" s="2"/>
      <c r="L1186" s="2"/>
      <c r="M1186" s="2"/>
      <c r="N1186" s="1">
        <v>0</v>
      </c>
      <c r="O1186" s="2"/>
      <c r="P1186" s="2"/>
      <c r="Q1186" s="2">
        <v>0</v>
      </c>
      <c r="R1186" s="6"/>
    </row>
    <row r="1187" spans="1:18" x14ac:dyDescent="0.25">
      <c r="A1187" s="2">
        <f t="shared" si="48"/>
        <v>1186</v>
      </c>
      <c r="B1187" s="2"/>
      <c r="C1187" s="2"/>
      <c r="D1187" s="2"/>
      <c r="E1187" s="2"/>
      <c r="F1187" s="2"/>
      <c r="G1187" s="2"/>
      <c r="H1187" s="2" t="str">
        <f t="shared" si="47"/>
        <v>0 г. 0 мес. 0 дн.</v>
      </c>
      <c r="I1187" s="2"/>
      <c r="J1187" s="2"/>
      <c r="K1187" s="2"/>
      <c r="L1187" s="2"/>
      <c r="M1187" s="2"/>
      <c r="N1187" s="1">
        <v>0</v>
      </c>
      <c r="O1187" s="2"/>
      <c r="P1187" s="2"/>
      <c r="Q1187" s="2">
        <v>0</v>
      </c>
      <c r="R1187" s="6"/>
    </row>
    <row r="1188" spans="1:18" x14ac:dyDescent="0.25">
      <c r="A1188" s="2">
        <f t="shared" si="48"/>
        <v>1187</v>
      </c>
      <c r="B1188" s="2"/>
      <c r="C1188" s="2"/>
      <c r="D1188" s="2"/>
      <c r="E1188" s="2"/>
      <c r="F1188" s="2"/>
      <c r="G1188" s="2"/>
      <c r="H1188" s="2" t="str">
        <f t="shared" si="47"/>
        <v>0 г. 0 мес. 0 дн.</v>
      </c>
      <c r="I1188" s="2"/>
      <c r="J1188" s="2"/>
      <c r="K1188" s="2"/>
      <c r="L1188" s="2"/>
      <c r="M1188" s="2"/>
      <c r="N1188" s="1">
        <v>0</v>
      </c>
      <c r="O1188" s="2"/>
      <c r="P1188" s="2"/>
      <c r="Q1188" s="2">
        <v>0</v>
      </c>
      <c r="R1188" s="6"/>
    </row>
    <row r="1189" spans="1:18" x14ac:dyDescent="0.25">
      <c r="A1189" s="2">
        <f t="shared" si="48"/>
        <v>1188</v>
      </c>
      <c r="B1189" s="2"/>
      <c r="C1189" s="2"/>
      <c r="D1189" s="2"/>
      <c r="E1189" s="2"/>
      <c r="F1189" s="2"/>
      <c r="G1189" s="2"/>
      <c r="H1189" s="2" t="str">
        <f t="shared" si="47"/>
        <v>0 г. 0 мес. 0 дн.</v>
      </c>
      <c r="I1189" s="2"/>
      <c r="J1189" s="2"/>
      <c r="K1189" s="2"/>
      <c r="L1189" s="2"/>
      <c r="M1189" s="2"/>
      <c r="N1189" s="1">
        <v>0</v>
      </c>
      <c r="O1189" s="2"/>
      <c r="P1189" s="2"/>
      <c r="Q1189" s="2">
        <v>0</v>
      </c>
      <c r="R1189" s="6"/>
    </row>
    <row r="1190" spans="1:18" x14ac:dyDescent="0.25">
      <c r="A1190" s="2">
        <f t="shared" si="48"/>
        <v>1189</v>
      </c>
      <c r="B1190" s="2"/>
      <c r="C1190" s="2"/>
      <c r="D1190" s="2"/>
      <c r="E1190" s="2"/>
      <c r="F1190" s="2"/>
      <c r="G1190" s="2"/>
      <c r="H1190" s="2" t="str">
        <f t="shared" si="47"/>
        <v>0 г. 0 мес. 0 дн.</v>
      </c>
      <c r="I1190" s="2"/>
      <c r="J1190" s="2"/>
      <c r="K1190" s="2"/>
      <c r="L1190" s="2"/>
      <c r="M1190" s="2"/>
      <c r="N1190" s="1">
        <v>0</v>
      </c>
      <c r="O1190" s="2"/>
      <c r="P1190" s="2"/>
      <c r="Q1190" s="2">
        <v>0</v>
      </c>
      <c r="R1190" s="6"/>
    </row>
    <row r="1191" spans="1:18" x14ac:dyDescent="0.25">
      <c r="A1191" s="2">
        <f t="shared" si="48"/>
        <v>1190</v>
      </c>
      <c r="B1191" s="2"/>
      <c r="C1191" s="2"/>
      <c r="D1191" s="2"/>
      <c r="E1191" s="2"/>
      <c r="F1191" s="2"/>
      <c r="G1191" s="2"/>
      <c r="H1191" s="2" t="str">
        <f t="shared" si="47"/>
        <v>0 г. 0 мес. 0 дн.</v>
      </c>
      <c r="I1191" s="2"/>
      <c r="J1191" s="2"/>
      <c r="K1191" s="2"/>
      <c r="L1191" s="2"/>
      <c r="M1191" s="2"/>
      <c r="N1191" s="1">
        <v>0</v>
      </c>
      <c r="O1191" s="2"/>
      <c r="P1191" s="2"/>
      <c r="Q1191" s="2">
        <v>0</v>
      </c>
      <c r="R1191" s="6"/>
    </row>
    <row r="1192" spans="1:18" x14ac:dyDescent="0.25">
      <c r="A1192" s="2">
        <f t="shared" si="48"/>
        <v>1191</v>
      </c>
      <c r="B1192" s="2"/>
      <c r="C1192" s="2"/>
      <c r="D1192" s="2"/>
      <c r="E1192" s="2"/>
      <c r="F1192" s="2"/>
      <c r="G1192" s="2"/>
      <c r="H1192" s="2" t="str">
        <f t="shared" si="47"/>
        <v>0 г. 0 мес. 0 дн.</v>
      </c>
      <c r="I1192" s="2"/>
      <c r="J1192" s="2"/>
      <c r="K1192" s="2"/>
      <c r="L1192" s="2"/>
      <c r="M1192" s="2"/>
      <c r="N1192" s="1">
        <v>0</v>
      </c>
      <c r="O1192" s="2"/>
      <c r="P1192" s="2"/>
      <c r="Q1192" s="2">
        <v>0</v>
      </c>
      <c r="R1192" s="6"/>
    </row>
    <row r="1193" spans="1:18" x14ac:dyDescent="0.25">
      <c r="A1193" s="2">
        <f t="shared" si="48"/>
        <v>1192</v>
      </c>
      <c r="B1193" s="2"/>
      <c r="C1193" s="2"/>
      <c r="D1193" s="2"/>
      <c r="E1193" s="2"/>
      <c r="F1193" s="2"/>
      <c r="G1193" s="2"/>
      <c r="H1193" s="2" t="str">
        <f t="shared" si="47"/>
        <v>0 г. 0 мес. 0 дн.</v>
      </c>
      <c r="I1193" s="2"/>
      <c r="J1193" s="2"/>
      <c r="K1193" s="2"/>
      <c r="L1193" s="2"/>
      <c r="M1193" s="2"/>
      <c r="N1193" s="1">
        <v>0</v>
      </c>
      <c r="O1193" s="2"/>
      <c r="P1193" s="2"/>
      <c r="Q1193" s="2">
        <v>0</v>
      </c>
      <c r="R1193" s="6"/>
    </row>
    <row r="1194" spans="1:18" x14ac:dyDescent="0.25">
      <c r="A1194" s="2">
        <f t="shared" si="48"/>
        <v>1193</v>
      </c>
      <c r="B1194" s="2"/>
      <c r="C1194" s="2"/>
      <c r="D1194" s="2"/>
      <c r="E1194" s="2"/>
      <c r="F1194" s="2"/>
      <c r="G1194" s="2"/>
      <c r="H1194" s="2" t="str">
        <f t="shared" si="47"/>
        <v>0 г. 0 мес. 0 дн.</v>
      </c>
      <c r="I1194" s="2"/>
      <c r="J1194" s="2"/>
      <c r="K1194" s="2"/>
      <c r="L1194" s="2"/>
      <c r="M1194" s="2"/>
      <c r="N1194" s="1">
        <v>0</v>
      </c>
      <c r="O1194" s="2"/>
      <c r="P1194" s="2"/>
      <c r="Q1194" s="2">
        <v>0</v>
      </c>
      <c r="R1194" s="6"/>
    </row>
    <row r="1195" spans="1:18" x14ac:dyDescent="0.25">
      <c r="A1195" s="2">
        <f t="shared" si="48"/>
        <v>1194</v>
      </c>
      <c r="B1195" s="2"/>
      <c r="C1195" s="2"/>
      <c r="D1195" s="2"/>
      <c r="E1195" s="2"/>
      <c r="F1195" s="2"/>
      <c r="G1195" s="2"/>
      <c r="H1195" s="2" t="str">
        <f t="shared" si="47"/>
        <v>0 г. 0 мес. 0 дн.</v>
      </c>
      <c r="I1195" s="2"/>
      <c r="J1195" s="2"/>
      <c r="K1195" s="2"/>
      <c r="L1195" s="2"/>
      <c r="M1195" s="2"/>
      <c r="N1195" s="1">
        <v>0</v>
      </c>
      <c r="O1195" s="2"/>
      <c r="P1195" s="2"/>
      <c r="Q1195" s="2">
        <v>0</v>
      </c>
      <c r="R1195" s="6"/>
    </row>
    <row r="1196" spans="1:18" x14ac:dyDescent="0.25">
      <c r="A1196" s="2">
        <f t="shared" si="48"/>
        <v>1195</v>
      </c>
      <c r="B1196" s="2"/>
      <c r="C1196" s="2"/>
      <c r="D1196" s="2"/>
      <c r="E1196" s="2"/>
      <c r="F1196" s="2"/>
      <c r="G1196" s="2"/>
      <c r="H1196" s="2" t="str">
        <f t="shared" si="47"/>
        <v>0 г. 0 мес. 0 дн.</v>
      </c>
      <c r="I1196" s="2"/>
      <c r="J1196" s="2"/>
      <c r="K1196" s="2"/>
      <c r="L1196" s="2"/>
      <c r="M1196" s="2"/>
      <c r="N1196" s="1">
        <v>0</v>
      </c>
      <c r="O1196" s="2"/>
      <c r="P1196" s="2"/>
      <c r="Q1196" s="2">
        <v>0</v>
      </c>
      <c r="R1196" s="6"/>
    </row>
    <row r="1197" spans="1:18" x14ac:dyDescent="0.25">
      <c r="A1197" s="2">
        <f t="shared" si="48"/>
        <v>1196</v>
      </c>
      <c r="B1197" s="2"/>
      <c r="C1197" s="2"/>
      <c r="D1197" s="2"/>
      <c r="E1197" s="2"/>
      <c r="F1197" s="2"/>
      <c r="G1197" s="2"/>
      <c r="H1197" s="2" t="str">
        <f t="shared" si="47"/>
        <v>0 г. 0 мес. 0 дн.</v>
      </c>
      <c r="I1197" s="2"/>
      <c r="J1197" s="2"/>
      <c r="K1197" s="2"/>
      <c r="L1197" s="2"/>
      <c r="M1197" s="2"/>
      <c r="N1197" s="1">
        <v>0</v>
      </c>
      <c r="O1197" s="2"/>
      <c r="P1197" s="2"/>
      <c r="Q1197" s="2">
        <v>0</v>
      </c>
      <c r="R1197" s="6"/>
    </row>
    <row r="1198" spans="1:18" x14ac:dyDescent="0.25">
      <c r="A1198" s="2">
        <f t="shared" si="48"/>
        <v>1197</v>
      </c>
      <c r="B1198" s="2"/>
      <c r="C1198" s="2"/>
      <c r="D1198" s="2"/>
      <c r="E1198" s="2"/>
      <c r="F1198" s="2"/>
      <c r="G1198" s="2"/>
      <c r="H1198" s="2" t="str">
        <f t="shared" si="47"/>
        <v>0 г. 0 мес. 0 дн.</v>
      </c>
      <c r="I1198" s="2"/>
      <c r="J1198" s="2"/>
      <c r="K1198" s="2"/>
      <c r="L1198" s="2"/>
      <c r="M1198" s="2"/>
      <c r="N1198" s="1">
        <v>0</v>
      </c>
      <c r="O1198" s="2"/>
      <c r="P1198" s="2"/>
      <c r="Q1198" s="2">
        <v>0</v>
      </c>
      <c r="R1198" s="6"/>
    </row>
    <row r="1199" spans="1:18" x14ac:dyDescent="0.25">
      <c r="A1199" s="2">
        <f t="shared" si="48"/>
        <v>1198</v>
      </c>
      <c r="B1199" s="2"/>
      <c r="C1199" s="2"/>
      <c r="D1199" s="2"/>
      <c r="E1199" s="2"/>
      <c r="F1199" s="2"/>
      <c r="G1199" s="2"/>
      <c r="H1199" s="2" t="str">
        <f t="shared" si="47"/>
        <v>0 г. 0 мес. 0 дн.</v>
      </c>
      <c r="I1199" s="2"/>
      <c r="J1199" s="2"/>
      <c r="K1199" s="2"/>
      <c r="L1199" s="2"/>
      <c r="M1199" s="2"/>
      <c r="N1199" s="1">
        <v>0</v>
      </c>
      <c r="O1199" s="2"/>
      <c r="P1199" s="2"/>
      <c r="Q1199" s="2">
        <v>0</v>
      </c>
      <c r="R1199" s="6"/>
    </row>
    <row r="1200" spans="1:18" x14ac:dyDescent="0.25">
      <c r="A1200" s="2">
        <f t="shared" si="48"/>
        <v>1199</v>
      </c>
      <c r="B1200" s="2"/>
      <c r="C1200" s="2"/>
      <c r="D1200" s="2"/>
      <c r="E1200" s="2"/>
      <c r="F1200" s="2"/>
      <c r="G1200" s="2"/>
      <c r="H1200" s="2" t="str">
        <f t="shared" si="47"/>
        <v>0 г. 0 мес. 0 дн.</v>
      </c>
      <c r="I1200" s="2"/>
      <c r="J1200" s="2"/>
      <c r="K1200" s="2"/>
      <c r="L1200" s="2"/>
      <c r="M1200" s="2"/>
      <c r="N1200" s="1">
        <v>0</v>
      </c>
      <c r="O1200" s="2"/>
      <c r="P1200" s="2"/>
      <c r="Q1200" s="2">
        <v>0</v>
      </c>
      <c r="R1200" s="6"/>
    </row>
    <row r="1201" spans="1:18" x14ac:dyDescent="0.25">
      <c r="A1201" s="2">
        <f t="shared" si="48"/>
        <v>1200</v>
      </c>
      <c r="B1201" s="2"/>
      <c r="C1201" s="2"/>
      <c r="D1201" s="2"/>
      <c r="E1201" s="2"/>
      <c r="F1201" s="2"/>
      <c r="G1201" s="2"/>
      <c r="H1201" s="2" t="str">
        <f t="shared" si="47"/>
        <v>0 г. 0 мес. 0 дн.</v>
      </c>
      <c r="I1201" s="2"/>
      <c r="J1201" s="2"/>
      <c r="K1201" s="2"/>
      <c r="L1201" s="2"/>
      <c r="M1201" s="2"/>
      <c r="N1201" s="1">
        <v>0</v>
      </c>
      <c r="O1201" s="2"/>
      <c r="P1201" s="2"/>
      <c r="Q1201" s="2">
        <v>0</v>
      </c>
      <c r="R1201" s="6"/>
    </row>
    <row r="1202" spans="1:18" x14ac:dyDescent="0.25">
      <c r="A1202" s="2">
        <f t="shared" si="48"/>
        <v>1201</v>
      </c>
      <c r="B1202" s="2"/>
      <c r="C1202" s="2"/>
      <c r="D1202" s="2"/>
      <c r="E1202" s="2"/>
      <c r="F1202" s="2"/>
      <c r="G1202" s="2"/>
      <c r="H1202" s="2" t="str">
        <f t="shared" si="47"/>
        <v>0 г. 0 мес. 0 дн.</v>
      </c>
      <c r="I1202" s="2"/>
      <c r="J1202" s="2"/>
      <c r="K1202" s="2"/>
      <c r="L1202" s="2"/>
      <c r="M1202" s="2"/>
      <c r="N1202" s="1">
        <v>0</v>
      </c>
      <c r="O1202" s="2"/>
      <c r="P1202" s="2"/>
      <c r="Q1202" s="2">
        <v>0</v>
      </c>
      <c r="R1202" s="6"/>
    </row>
    <row r="1203" spans="1:18" x14ac:dyDescent="0.25">
      <c r="A1203" s="2">
        <f t="shared" si="48"/>
        <v>1202</v>
      </c>
      <c r="B1203" s="2"/>
      <c r="C1203" s="2"/>
      <c r="D1203" s="2"/>
      <c r="E1203" s="2"/>
      <c r="F1203" s="2"/>
      <c r="G1203" s="2"/>
      <c r="H1203" s="2" t="str">
        <f t="shared" si="47"/>
        <v>0 г. 0 мес. 0 дн.</v>
      </c>
      <c r="I1203" s="2"/>
      <c r="J1203" s="2"/>
      <c r="K1203" s="2"/>
      <c r="L1203" s="2"/>
      <c r="M1203" s="2"/>
      <c r="N1203" s="1">
        <v>0</v>
      </c>
      <c r="O1203" s="2"/>
      <c r="P1203" s="2"/>
      <c r="Q1203" s="2">
        <v>0</v>
      </c>
      <c r="R1203" s="6"/>
    </row>
    <row r="1204" spans="1:18" x14ac:dyDescent="0.25">
      <c r="A1204" s="2">
        <f t="shared" si="48"/>
        <v>1203</v>
      </c>
      <c r="B1204" s="2"/>
      <c r="C1204" s="2"/>
      <c r="D1204" s="2"/>
      <c r="E1204" s="2"/>
      <c r="F1204" s="2"/>
      <c r="G1204" s="2"/>
      <c r="H1204" s="2" t="str">
        <f t="shared" si="47"/>
        <v>0 г. 0 мес. 0 дн.</v>
      </c>
      <c r="I1204" s="2"/>
      <c r="J1204" s="2"/>
      <c r="K1204" s="2"/>
      <c r="L1204" s="2"/>
      <c r="M1204" s="2"/>
      <c r="N1204" s="1">
        <v>0</v>
      </c>
      <c r="O1204" s="2"/>
      <c r="P1204" s="2"/>
      <c r="Q1204" s="2">
        <v>0</v>
      </c>
      <c r="R1204" s="6"/>
    </row>
    <row r="1205" spans="1:18" x14ac:dyDescent="0.25">
      <c r="A1205" s="2">
        <f t="shared" si="48"/>
        <v>1204</v>
      </c>
      <c r="B1205" s="2"/>
      <c r="C1205" s="2"/>
      <c r="D1205" s="2"/>
      <c r="E1205" s="2"/>
      <c r="F1205" s="2"/>
      <c r="G1205" s="2"/>
      <c r="H1205" s="2" t="str">
        <f t="shared" si="47"/>
        <v>0 г. 0 мес. 0 дн.</v>
      </c>
      <c r="I1205" s="2"/>
      <c r="J1205" s="2"/>
      <c r="K1205" s="2"/>
      <c r="L1205" s="2"/>
      <c r="M1205" s="2"/>
      <c r="N1205" s="1">
        <v>0</v>
      </c>
      <c r="O1205" s="2"/>
      <c r="P1205" s="2"/>
      <c r="Q1205" s="2">
        <v>0</v>
      </c>
      <c r="R1205" s="6"/>
    </row>
    <row r="1206" spans="1:18" x14ac:dyDescent="0.25">
      <c r="A1206" s="2">
        <f t="shared" si="48"/>
        <v>1205</v>
      </c>
      <c r="B1206" s="2"/>
      <c r="C1206" s="2"/>
      <c r="D1206" s="2"/>
      <c r="E1206" s="2"/>
      <c r="F1206" s="2"/>
      <c r="G1206" s="2"/>
      <c r="H1206" s="2" t="str">
        <f t="shared" si="47"/>
        <v>0 г. 0 мес. 0 дн.</v>
      </c>
      <c r="I1206" s="2"/>
      <c r="J1206" s="2"/>
      <c r="K1206" s="2"/>
      <c r="L1206" s="2"/>
      <c r="M1206" s="2"/>
      <c r="N1206" s="1">
        <v>0</v>
      </c>
      <c r="O1206" s="2"/>
      <c r="P1206" s="2"/>
      <c r="Q1206" s="2">
        <v>0</v>
      </c>
      <c r="R1206" s="6"/>
    </row>
    <row r="1207" spans="1:18" x14ac:dyDescent="0.25">
      <c r="A1207" s="2">
        <f t="shared" si="48"/>
        <v>1206</v>
      </c>
      <c r="B1207" s="2"/>
      <c r="C1207" s="2"/>
      <c r="D1207" s="2"/>
      <c r="E1207" s="2"/>
      <c r="F1207" s="2"/>
      <c r="G1207" s="2"/>
      <c r="H1207" s="2" t="str">
        <f t="shared" si="47"/>
        <v>0 г. 0 мес. 0 дн.</v>
      </c>
      <c r="I1207" s="2"/>
      <c r="J1207" s="2"/>
      <c r="K1207" s="2"/>
      <c r="L1207" s="2"/>
      <c r="M1207" s="2"/>
      <c r="N1207" s="1">
        <v>0</v>
      </c>
      <c r="O1207" s="2"/>
      <c r="P1207" s="2"/>
      <c r="Q1207" s="2">
        <v>0</v>
      </c>
      <c r="R1207" s="6"/>
    </row>
    <row r="1208" spans="1:18" x14ac:dyDescent="0.25">
      <c r="A1208" s="2">
        <f t="shared" si="48"/>
        <v>1207</v>
      </c>
      <c r="B1208" s="2"/>
      <c r="C1208" s="2"/>
      <c r="D1208" s="2"/>
      <c r="E1208" s="2"/>
      <c r="F1208" s="2"/>
      <c r="G1208" s="2"/>
      <c r="H1208" s="2" t="str">
        <f t="shared" si="47"/>
        <v>0 г. 0 мес. 0 дн.</v>
      </c>
      <c r="I1208" s="2"/>
      <c r="J1208" s="2"/>
      <c r="K1208" s="2"/>
      <c r="L1208" s="2"/>
      <c r="M1208" s="2"/>
      <c r="N1208" s="1">
        <v>0</v>
      </c>
      <c r="O1208" s="2"/>
      <c r="P1208" s="2"/>
      <c r="Q1208" s="2">
        <v>0</v>
      </c>
      <c r="R1208" s="6"/>
    </row>
    <row r="1209" spans="1:18" x14ac:dyDescent="0.25">
      <c r="A1209" s="2">
        <f t="shared" si="48"/>
        <v>1208</v>
      </c>
      <c r="B1209" s="2"/>
      <c r="C1209" s="2"/>
      <c r="D1209" s="2"/>
      <c r="E1209" s="2"/>
      <c r="F1209" s="2"/>
      <c r="G1209" s="2"/>
      <c r="H1209" s="2" t="str">
        <f t="shared" si="47"/>
        <v>0 г. 0 мес. 0 дн.</v>
      </c>
      <c r="I1209" s="2"/>
      <c r="J1209" s="2"/>
      <c r="K1209" s="2"/>
      <c r="L1209" s="2"/>
      <c r="M1209" s="2"/>
      <c r="N1209" s="1">
        <v>0</v>
      </c>
      <c r="O1209" s="2"/>
      <c r="P1209" s="2"/>
      <c r="Q1209" s="2">
        <v>0</v>
      </c>
      <c r="R1209" s="6"/>
    </row>
    <row r="1210" spans="1:18" x14ac:dyDescent="0.25">
      <c r="A1210" s="2">
        <f t="shared" si="48"/>
        <v>1209</v>
      </c>
      <c r="B1210" s="2"/>
      <c r="C1210" s="2"/>
      <c r="D1210" s="2"/>
      <c r="E1210" s="2"/>
      <c r="F1210" s="2"/>
      <c r="G1210" s="2"/>
      <c r="H1210" s="2" t="str">
        <f t="shared" si="47"/>
        <v>0 г. 0 мес. 0 дн.</v>
      </c>
      <c r="I1210" s="2"/>
      <c r="J1210" s="2"/>
      <c r="K1210" s="2"/>
      <c r="L1210" s="2"/>
      <c r="M1210" s="2"/>
      <c r="N1210" s="1">
        <v>0</v>
      </c>
      <c r="O1210" s="2"/>
      <c r="P1210" s="2"/>
      <c r="Q1210" s="2">
        <v>0</v>
      </c>
      <c r="R1210" s="6"/>
    </row>
    <row r="1211" spans="1:18" x14ac:dyDescent="0.25">
      <c r="A1211" s="2">
        <f t="shared" si="48"/>
        <v>1210</v>
      </c>
      <c r="B1211" s="2"/>
      <c r="C1211" s="2"/>
      <c r="D1211" s="2"/>
      <c r="E1211" s="2"/>
      <c r="F1211" s="2"/>
      <c r="G1211" s="2"/>
      <c r="H1211" s="2" t="str">
        <f t="shared" si="47"/>
        <v>0 г. 0 мес. 0 дн.</v>
      </c>
      <c r="I1211" s="2"/>
      <c r="J1211" s="2"/>
      <c r="K1211" s="2"/>
      <c r="L1211" s="2"/>
      <c r="M1211" s="2"/>
      <c r="N1211" s="1">
        <v>0</v>
      </c>
      <c r="O1211" s="2"/>
      <c r="P1211" s="2"/>
      <c r="Q1211" s="2">
        <v>0</v>
      </c>
      <c r="R1211" s="6"/>
    </row>
    <row r="1212" spans="1:18" x14ac:dyDescent="0.25">
      <c r="A1212" s="2">
        <f t="shared" si="48"/>
        <v>1211</v>
      </c>
      <c r="B1212" s="2"/>
      <c r="C1212" s="2"/>
      <c r="D1212" s="2"/>
      <c r="E1212" s="2"/>
      <c r="F1212" s="2"/>
      <c r="G1212" s="2"/>
      <c r="H1212" s="2" t="str">
        <f t="shared" si="47"/>
        <v>0 г. 0 мес. 0 дн.</v>
      </c>
      <c r="I1212" s="2"/>
      <c r="J1212" s="2"/>
      <c r="K1212" s="2"/>
      <c r="L1212" s="2"/>
      <c r="M1212" s="2"/>
      <c r="N1212" s="1">
        <v>0</v>
      </c>
      <c r="O1212" s="2"/>
      <c r="P1212" s="2"/>
      <c r="Q1212" s="2">
        <v>0</v>
      </c>
      <c r="R1212" s="6"/>
    </row>
    <row r="1213" spans="1:18" x14ac:dyDescent="0.25">
      <c r="A1213" s="2">
        <f t="shared" si="48"/>
        <v>1212</v>
      </c>
      <c r="B1213" s="2"/>
      <c r="C1213" s="2"/>
      <c r="D1213" s="2"/>
      <c r="E1213" s="2"/>
      <c r="F1213" s="2"/>
      <c r="G1213" s="2"/>
      <c r="H1213" s="2" t="str">
        <f t="shared" si="47"/>
        <v>0 г. 0 мес. 0 дн.</v>
      </c>
      <c r="I1213" s="2"/>
      <c r="J1213" s="2"/>
      <c r="K1213" s="2"/>
      <c r="L1213" s="2"/>
      <c r="M1213" s="2"/>
      <c r="N1213" s="1">
        <v>0</v>
      </c>
      <c r="O1213" s="2"/>
      <c r="P1213" s="2"/>
      <c r="Q1213" s="2">
        <v>0</v>
      </c>
      <c r="R1213" s="6"/>
    </row>
    <row r="1214" spans="1:18" x14ac:dyDescent="0.25">
      <c r="A1214" s="2">
        <f t="shared" si="48"/>
        <v>1213</v>
      </c>
      <c r="B1214" s="2"/>
      <c r="C1214" s="2"/>
      <c r="D1214" s="2"/>
      <c r="E1214" s="2"/>
      <c r="F1214" s="2"/>
      <c r="G1214" s="2"/>
      <c r="H1214" s="2" t="str">
        <f t="shared" si="47"/>
        <v>0 г. 0 мес. 0 дн.</v>
      </c>
      <c r="I1214" s="2"/>
      <c r="J1214" s="2"/>
      <c r="K1214" s="2"/>
      <c r="L1214" s="2"/>
      <c r="M1214" s="2"/>
      <c r="N1214" s="1">
        <v>0</v>
      </c>
      <c r="O1214" s="2"/>
      <c r="P1214" s="2"/>
      <c r="Q1214" s="2">
        <v>0</v>
      </c>
      <c r="R1214" s="6"/>
    </row>
    <row r="1215" spans="1:18" x14ac:dyDescent="0.25">
      <c r="A1215" s="2">
        <f t="shared" si="48"/>
        <v>1214</v>
      </c>
      <c r="B1215" s="2"/>
      <c r="C1215" s="2"/>
      <c r="D1215" s="2"/>
      <c r="E1215" s="2"/>
      <c r="F1215" s="2"/>
      <c r="G1215" s="2"/>
      <c r="H1215" s="2" t="str">
        <f t="shared" si="47"/>
        <v>0 г. 0 мес. 0 дн.</v>
      </c>
      <c r="I1215" s="2"/>
      <c r="J1215" s="2"/>
      <c r="K1215" s="2"/>
      <c r="L1215" s="2"/>
      <c r="M1215" s="2"/>
      <c r="N1215" s="1">
        <v>0</v>
      </c>
      <c r="O1215" s="2"/>
      <c r="P1215" s="2"/>
      <c r="Q1215" s="2">
        <v>0</v>
      </c>
      <c r="R1215" s="6"/>
    </row>
    <row r="1216" spans="1:18" x14ac:dyDescent="0.25">
      <c r="A1216" s="2">
        <f t="shared" si="48"/>
        <v>1215</v>
      </c>
      <c r="B1216" s="2"/>
      <c r="C1216" s="2"/>
      <c r="D1216" s="2"/>
      <c r="E1216" s="2"/>
      <c r="F1216" s="2"/>
      <c r="G1216" s="2"/>
      <c r="H1216" s="2" t="str">
        <f t="shared" si="47"/>
        <v>0 г. 0 мес. 0 дн.</v>
      </c>
      <c r="I1216" s="2"/>
      <c r="J1216" s="2"/>
      <c r="K1216" s="2"/>
      <c r="L1216" s="2"/>
      <c r="M1216" s="2"/>
      <c r="N1216" s="1">
        <v>0</v>
      </c>
      <c r="O1216" s="2"/>
      <c r="P1216" s="2"/>
      <c r="Q1216" s="2">
        <v>0</v>
      </c>
      <c r="R1216" s="6"/>
    </row>
    <row r="1217" spans="1:18" x14ac:dyDescent="0.25">
      <c r="A1217" s="2">
        <f t="shared" si="48"/>
        <v>1216</v>
      </c>
      <c r="B1217" s="2"/>
      <c r="C1217" s="2"/>
      <c r="D1217" s="2"/>
      <c r="E1217" s="2"/>
      <c r="F1217" s="2"/>
      <c r="G1217" s="2"/>
      <c r="H1217" s="2" t="str">
        <f t="shared" si="47"/>
        <v>0 г. 0 мес. 0 дн.</v>
      </c>
      <c r="I1217" s="2"/>
      <c r="J1217" s="2"/>
      <c r="K1217" s="2"/>
      <c r="L1217" s="2"/>
      <c r="M1217" s="2"/>
      <c r="N1217" s="1">
        <v>0</v>
      </c>
      <c r="O1217" s="2"/>
      <c r="P1217" s="2"/>
      <c r="Q1217" s="2">
        <v>0</v>
      </c>
      <c r="R1217" s="6"/>
    </row>
    <row r="1218" spans="1:18" x14ac:dyDescent="0.25">
      <c r="A1218" s="2">
        <f t="shared" si="48"/>
        <v>1217</v>
      </c>
      <c r="B1218" s="2"/>
      <c r="C1218" s="2"/>
      <c r="D1218" s="2"/>
      <c r="E1218" s="2"/>
      <c r="F1218" s="2"/>
      <c r="G1218" s="2"/>
      <c r="H1218" s="2" t="str">
        <f t="shared" si="47"/>
        <v>0 г. 0 мес. 0 дн.</v>
      </c>
      <c r="I1218" s="2"/>
      <c r="J1218" s="2"/>
      <c r="K1218" s="2"/>
      <c r="L1218" s="2"/>
      <c r="M1218" s="2"/>
      <c r="N1218" s="1">
        <v>0</v>
      </c>
      <c r="O1218" s="2"/>
      <c r="P1218" s="2"/>
      <c r="Q1218" s="2">
        <v>0</v>
      </c>
      <c r="R1218" s="6"/>
    </row>
    <row r="1219" spans="1:18" x14ac:dyDescent="0.25">
      <c r="A1219" s="2">
        <f t="shared" si="48"/>
        <v>1218</v>
      </c>
      <c r="B1219" s="2"/>
      <c r="C1219" s="2"/>
      <c r="D1219" s="2"/>
      <c r="E1219" s="2"/>
      <c r="F1219" s="2"/>
      <c r="G1219" s="2"/>
      <c r="H1219" s="2" t="str">
        <f t="shared" si="47"/>
        <v>0 г. 0 мес. 0 дн.</v>
      </c>
      <c r="I1219" s="2"/>
      <c r="J1219" s="2"/>
      <c r="K1219" s="2"/>
      <c r="L1219" s="2"/>
      <c r="M1219" s="2"/>
      <c r="N1219" s="1">
        <v>0</v>
      </c>
      <c r="O1219" s="2"/>
      <c r="P1219" s="2"/>
      <c r="Q1219" s="2">
        <v>0</v>
      </c>
      <c r="R1219" s="6"/>
    </row>
    <row r="1220" spans="1:18" x14ac:dyDescent="0.25">
      <c r="A1220" s="2">
        <f t="shared" si="48"/>
        <v>1219</v>
      </c>
      <c r="B1220" s="2"/>
      <c r="C1220" s="2"/>
      <c r="D1220" s="2"/>
      <c r="E1220" s="2"/>
      <c r="F1220" s="2"/>
      <c r="G1220" s="2"/>
      <c r="H1220" s="2" t="str">
        <f t="shared" ref="H1220:H1283" si="49">DATEDIF(G1220,D1220,"y") &amp; " г. " &amp; DATEDIF(G1220,D1220,"ym") &amp; " мес. " &amp; DATEDIF(G1220,D1220,"md") &amp; " дн."</f>
        <v>0 г. 0 мес. 0 дн.</v>
      </c>
      <c r="I1220" s="2"/>
      <c r="J1220" s="2"/>
      <c r="K1220" s="2"/>
      <c r="L1220" s="2"/>
      <c r="M1220" s="2"/>
      <c r="N1220" s="1">
        <v>0</v>
      </c>
      <c r="O1220" s="2"/>
      <c r="P1220" s="2"/>
      <c r="Q1220" s="2">
        <v>0</v>
      </c>
      <c r="R1220" s="6"/>
    </row>
    <row r="1221" spans="1:18" x14ac:dyDescent="0.25">
      <c r="A1221" s="2">
        <f t="shared" si="48"/>
        <v>1220</v>
      </c>
      <c r="B1221" s="2"/>
      <c r="C1221" s="2"/>
      <c r="D1221" s="2"/>
      <c r="E1221" s="2"/>
      <c r="F1221" s="2"/>
      <c r="G1221" s="2"/>
      <c r="H1221" s="2" t="str">
        <f t="shared" si="49"/>
        <v>0 г. 0 мес. 0 дн.</v>
      </c>
      <c r="I1221" s="2"/>
      <c r="J1221" s="2"/>
      <c r="K1221" s="2"/>
      <c r="L1221" s="2"/>
      <c r="M1221" s="2"/>
      <c r="N1221" s="1">
        <v>0</v>
      </c>
      <c r="O1221" s="2"/>
      <c r="P1221" s="2"/>
      <c r="Q1221" s="2">
        <v>0</v>
      </c>
      <c r="R1221" s="6"/>
    </row>
    <row r="1222" spans="1:18" x14ac:dyDescent="0.25">
      <c r="A1222" s="2">
        <f t="shared" si="48"/>
        <v>1221</v>
      </c>
      <c r="B1222" s="2"/>
      <c r="C1222" s="2"/>
      <c r="D1222" s="2"/>
      <c r="E1222" s="2"/>
      <c r="F1222" s="2"/>
      <c r="G1222" s="2"/>
      <c r="H1222" s="2" t="str">
        <f t="shared" si="49"/>
        <v>0 г. 0 мес. 0 дн.</v>
      </c>
      <c r="I1222" s="2"/>
      <c r="J1222" s="2"/>
      <c r="K1222" s="2"/>
      <c r="L1222" s="2"/>
      <c r="M1222" s="2"/>
      <c r="N1222" s="1">
        <v>0</v>
      </c>
      <c r="O1222" s="2"/>
      <c r="P1222" s="2"/>
      <c r="Q1222" s="2">
        <v>0</v>
      </c>
      <c r="R1222" s="6"/>
    </row>
    <row r="1223" spans="1:18" x14ac:dyDescent="0.25">
      <c r="A1223" s="2">
        <f t="shared" si="48"/>
        <v>1222</v>
      </c>
      <c r="B1223" s="2"/>
      <c r="C1223" s="2"/>
      <c r="D1223" s="2"/>
      <c r="E1223" s="2"/>
      <c r="F1223" s="2"/>
      <c r="G1223" s="2"/>
      <c r="H1223" s="2" t="str">
        <f t="shared" si="49"/>
        <v>0 г. 0 мес. 0 дн.</v>
      </c>
      <c r="I1223" s="2"/>
      <c r="J1223" s="2"/>
      <c r="K1223" s="2"/>
      <c r="L1223" s="2"/>
      <c r="M1223" s="2"/>
      <c r="N1223" s="1">
        <v>0</v>
      </c>
      <c r="O1223" s="2"/>
      <c r="P1223" s="2"/>
      <c r="Q1223" s="2">
        <v>0</v>
      </c>
      <c r="R1223" s="6"/>
    </row>
    <row r="1224" spans="1:18" x14ac:dyDescent="0.25">
      <c r="A1224" s="2">
        <f t="shared" si="48"/>
        <v>1223</v>
      </c>
      <c r="B1224" s="2"/>
      <c r="C1224" s="2"/>
      <c r="D1224" s="2"/>
      <c r="E1224" s="2"/>
      <c r="F1224" s="2"/>
      <c r="G1224" s="2"/>
      <c r="H1224" s="2" t="str">
        <f t="shared" si="49"/>
        <v>0 г. 0 мес. 0 дн.</v>
      </c>
      <c r="I1224" s="2"/>
      <c r="J1224" s="2"/>
      <c r="K1224" s="2"/>
      <c r="L1224" s="2"/>
      <c r="M1224" s="2"/>
      <c r="N1224" s="1">
        <v>0</v>
      </c>
      <c r="O1224" s="2"/>
      <c r="P1224" s="2"/>
      <c r="Q1224" s="2">
        <v>0</v>
      </c>
      <c r="R1224" s="6"/>
    </row>
    <row r="1225" spans="1:18" x14ac:dyDescent="0.25">
      <c r="A1225" s="2">
        <f t="shared" si="48"/>
        <v>1224</v>
      </c>
      <c r="B1225" s="2"/>
      <c r="C1225" s="2"/>
      <c r="D1225" s="2"/>
      <c r="E1225" s="2"/>
      <c r="F1225" s="2"/>
      <c r="G1225" s="2"/>
      <c r="H1225" s="2" t="str">
        <f t="shared" si="49"/>
        <v>0 г. 0 мес. 0 дн.</v>
      </c>
      <c r="I1225" s="2"/>
      <c r="J1225" s="2"/>
      <c r="K1225" s="2"/>
      <c r="L1225" s="2"/>
      <c r="M1225" s="2"/>
      <c r="N1225" s="1">
        <v>0</v>
      </c>
      <c r="O1225" s="2"/>
      <c r="P1225" s="2"/>
      <c r="Q1225" s="2">
        <v>0</v>
      </c>
      <c r="R1225" s="6"/>
    </row>
    <row r="1226" spans="1:18" x14ac:dyDescent="0.25">
      <c r="A1226" s="2">
        <f t="shared" si="48"/>
        <v>1225</v>
      </c>
      <c r="B1226" s="2"/>
      <c r="C1226" s="2"/>
      <c r="D1226" s="2"/>
      <c r="E1226" s="2"/>
      <c r="F1226" s="2"/>
      <c r="G1226" s="2"/>
      <c r="H1226" s="2" t="str">
        <f t="shared" si="49"/>
        <v>0 г. 0 мес. 0 дн.</v>
      </c>
      <c r="I1226" s="2"/>
      <c r="J1226" s="2"/>
      <c r="K1226" s="2"/>
      <c r="L1226" s="2"/>
      <c r="M1226" s="2"/>
      <c r="N1226" s="1">
        <v>0</v>
      </c>
      <c r="O1226" s="2"/>
      <c r="P1226" s="2"/>
      <c r="Q1226" s="2">
        <v>0</v>
      </c>
      <c r="R1226" s="6"/>
    </row>
    <row r="1227" spans="1:18" x14ac:dyDescent="0.25">
      <c r="A1227" s="2">
        <f t="shared" si="48"/>
        <v>1226</v>
      </c>
      <c r="B1227" s="2"/>
      <c r="C1227" s="2"/>
      <c r="D1227" s="2"/>
      <c r="E1227" s="2"/>
      <c r="F1227" s="2"/>
      <c r="G1227" s="2"/>
      <c r="H1227" s="2" t="str">
        <f t="shared" si="49"/>
        <v>0 г. 0 мес. 0 дн.</v>
      </c>
      <c r="I1227" s="2"/>
      <c r="J1227" s="2"/>
      <c r="K1227" s="2"/>
      <c r="L1227" s="2"/>
      <c r="M1227" s="2"/>
      <c r="N1227" s="1">
        <v>0</v>
      </c>
      <c r="O1227" s="2"/>
      <c r="P1227" s="2"/>
      <c r="Q1227" s="2">
        <v>0</v>
      </c>
      <c r="R1227" s="6"/>
    </row>
    <row r="1228" spans="1:18" x14ac:dyDescent="0.25">
      <c r="A1228" s="2">
        <f t="shared" si="48"/>
        <v>1227</v>
      </c>
      <c r="B1228" s="2"/>
      <c r="C1228" s="2"/>
      <c r="D1228" s="2"/>
      <c r="E1228" s="2"/>
      <c r="F1228" s="2"/>
      <c r="G1228" s="2"/>
      <c r="H1228" s="2" t="str">
        <f t="shared" si="49"/>
        <v>0 г. 0 мес. 0 дн.</v>
      </c>
      <c r="I1228" s="2"/>
      <c r="J1228" s="2"/>
      <c r="K1228" s="2"/>
      <c r="L1228" s="2"/>
      <c r="M1228" s="2"/>
      <c r="N1228" s="1">
        <v>0</v>
      </c>
      <c r="O1228" s="2"/>
      <c r="P1228" s="2"/>
      <c r="Q1228" s="2">
        <v>0</v>
      </c>
      <c r="R1228" s="6"/>
    </row>
    <row r="1229" spans="1:18" x14ac:dyDescent="0.25">
      <c r="A1229" s="2">
        <f t="shared" si="48"/>
        <v>1228</v>
      </c>
      <c r="B1229" s="2"/>
      <c r="C1229" s="2"/>
      <c r="D1229" s="2"/>
      <c r="E1229" s="2"/>
      <c r="F1229" s="2"/>
      <c r="G1229" s="2"/>
      <c r="H1229" s="2" t="str">
        <f t="shared" si="49"/>
        <v>0 г. 0 мес. 0 дн.</v>
      </c>
      <c r="I1229" s="2"/>
      <c r="J1229" s="2"/>
      <c r="K1229" s="2"/>
      <c r="L1229" s="2"/>
      <c r="M1229" s="2"/>
      <c r="N1229" s="1">
        <v>0</v>
      </c>
      <c r="O1229" s="2"/>
      <c r="P1229" s="2"/>
      <c r="Q1229" s="2">
        <v>0</v>
      </c>
      <c r="R1229" s="6"/>
    </row>
    <row r="1230" spans="1:18" x14ac:dyDescent="0.25">
      <c r="A1230" s="2">
        <f t="shared" si="48"/>
        <v>1229</v>
      </c>
      <c r="B1230" s="2"/>
      <c r="C1230" s="2"/>
      <c r="D1230" s="2"/>
      <c r="E1230" s="2"/>
      <c r="F1230" s="2"/>
      <c r="G1230" s="2"/>
      <c r="H1230" s="2" t="str">
        <f t="shared" si="49"/>
        <v>0 г. 0 мес. 0 дн.</v>
      </c>
      <c r="I1230" s="2"/>
      <c r="J1230" s="2"/>
      <c r="K1230" s="2"/>
      <c r="L1230" s="2"/>
      <c r="M1230" s="2"/>
      <c r="N1230" s="1">
        <v>0</v>
      </c>
      <c r="O1230" s="2"/>
      <c r="P1230" s="2"/>
      <c r="Q1230" s="2">
        <v>0</v>
      </c>
      <c r="R1230" s="6"/>
    </row>
    <row r="1231" spans="1:18" x14ac:dyDescent="0.25">
      <c r="A1231" s="2">
        <f t="shared" si="48"/>
        <v>1230</v>
      </c>
      <c r="B1231" s="2"/>
      <c r="C1231" s="2"/>
      <c r="D1231" s="2"/>
      <c r="E1231" s="2"/>
      <c r="F1231" s="2"/>
      <c r="G1231" s="2"/>
      <c r="H1231" s="2" t="str">
        <f t="shared" si="49"/>
        <v>0 г. 0 мес. 0 дн.</v>
      </c>
      <c r="I1231" s="2"/>
      <c r="J1231" s="2"/>
      <c r="K1231" s="2"/>
      <c r="L1231" s="2"/>
      <c r="M1231" s="2"/>
      <c r="N1231" s="1">
        <v>0</v>
      </c>
      <c r="O1231" s="2"/>
      <c r="P1231" s="2"/>
      <c r="Q1231" s="2">
        <v>0</v>
      </c>
      <c r="R1231" s="6"/>
    </row>
    <row r="1232" spans="1:18" x14ac:dyDescent="0.25">
      <c r="A1232" s="2">
        <f t="shared" si="48"/>
        <v>1231</v>
      </c>
      <c r="B1232" s="2"/>
      <c r="C1232" s="2"/>
      <c r="D1232" s="2"/>
      <c r="E1232" s="2"/>
      <c r="F1232" s="2"/>
      <c r="G1232" s="2"/>
      <c r="H1232" s="2" t="str">
        <f t="shared" si="49"/>
        <v>0 г. 0 мес. 0 дн.</v>
      </c>
      <c r="I1232" s="2"/>
      <c r="J1232" s="2"/>
      <c r="K1232" s="2"/>
      <c r="L1232" s="2"/>
      <c r="M1232" s="2"/>
      <c r="N1232" s="1">
        <v>0</v>
      </c>
      <c r="O1232" s="2"/>
      <c r="P1232" s="2"/>
      <c r="Q1232" s="2">
        <v>0</v>
      </c>
      <c r="R1232" s="6"/>
    </row>
    <row r="1233" spans="1:18" x14ac:dyDescent="0.25">
      <c r="A1233" s="2">
        <f t="shared" si="48"/>
        <v>1232</v>
      </c>
      <c r="B1233" s="2"/>
      <c r="C1233" s="2"/>
      <c r="D1233" s="2"/>
      <c r="E1233" s="2"/>
      <c r="F1233" s="2"/>
      <c r="G1233" s="2"/>
      <c r="H1233" s="2" t="str">
        <f t="shared" si="49"/>
        <v>0 г. 0 мес. 0 дн.</v>
      </c>
      <c r="I1233" s="2"/>
      <c r="J1233" s="2"/>
      <c r="K1233" s="2"/>
      <c r="L1233" s="2"/>
      <c r="M1233" s="2"/>
      <c r="N1233" s="1">
        <v>0</v>
      </c>
      <c r="O1233" s="2"/>
      <c r="P1233" s="2"/>
      <c r="Q1233" s="2">
        <v>0</v>
      </c>
      <c r="R1233" s="6"/>
    </row>
    <row r="1234" spans="1:18" x14ac:dyDescent="0.25">
      <c r="A1234" s="2">
        <f t="shared" si="48"/>
        <v>1233</v>
      </c>
      <c r="B1234" s="2"/>
      <c r="C1234" s="2"/>
      <c r="D1234" s="2"/>
      <c r="E1234" s="2"/>
      <c r="F1234" s="2"/>
      <c r="G1234" s="2"/>
      <c r="H1234" s="2" t="str">
        <f t="shared" si="49"/>
        <v>0 г. 0 мес. 0 дн.</v>
      </c>
      <c r="I1234" s="2"/>
      <c r="J1234" s="2"/>
      <c r="K1234" s="2"/>
      <c r="L1234" s="2"/>
      <c r="M1234" s="2"/>
      <c r="N1234" s="1">
        <v>0</v>
      </c>
      <c r="O1234" s="2"/>
      <c r="P1234" s="2"/>
      <c r="Q1234" s="2">
        <v>0</v>
      </c>
      <c r="R1234" s="6"/>
    </row>
    <row r="1235" spans="1:18" x14ac:dyDescent="0.25">
      <c r="A1235" s="2">
        <f t="shared" si="48"/>
        <v>1234</v>
      </c>
      <c r="B1235" s="2"/>
      <c r="C1235" s="2"/>
      <c r="D1235" s="2"/>
      <c r="E1235" s="2"/>
      <c r="F1235" s="2"/>
      <c r="G1235" s="2"/>
      <c r="H1235" s="2" t="str">
        <f t="shared" si="49"/>
        <v>0 г. 0 мес. 0 дн.</v>
      </c>
      <c r="I1235" s="2"/>
      <c r="J1235" s="2"/>
      <c r="K1235" s="2"/>
      <c r="L1235" s="2"/>
      <c r="M1235" s="2"/>
      <c r="N1235" s="1">
        <v>0</v>
      </c>
      <c r="O1235" s="2"/>
      <c r="P1235" s="2"/>
      <c r="Q1235" s="2">
        <v>0</v>
      </c>
      <c r="R1235" s="6"/>
    </row>
    <row r="1236" spans="1:18" x14ac:dyDescent="0.25">
      <c r="A1236" s="2">
        <f t="shared" si="48"/>
        <v>1235</v>
      </c>
      <c r="B1236" s="2"/>
      <c r="C1236" s="2"/>
      <c r="D1236" s="2"/>
      <c r="E1236" s="2"/>
      <c r="F1236" s="2"/>
      <c r="G1236" s="2"/>
      <c r="H1236" s="2" t="str">
        <f t="shared" si="49"/>
        <v>0 г. 0 мес. 0 дн.</v>
      </c>
      <c r="I1236" s="2"/>
      <c r="J1236" s="2"/>
      <c r="K1236" s="2"/>
      <c r="L1236" s="2"/>
      <c r="M1236" s="2"/>
      <c r="N1236" s="1">
        <v>0</v>
      </c>
      <c r="O1236" s="2"/>
      <c r="P1236" s="2"/>
      <c r="Q1236" s="2">
        <v>0</v>
      </c>
      <c r="R1236" s="6"/>
    </row>
    <row r="1237" spans="1:18" x14ac:dyDescent="0.25">
      <c r="A1237" s="2">
        <f t="shared" si="48"/>
        <v>1236</v>
      </c>
      <c r="B1237" s="2"/>
      <c r="C1237" s="2"/>
      <c r="D1237" s="2"/>
      <c r="E1237" s="2"/>
      <c r="F1237" s="2"/>
      <c r="G1237" s="2"/>
      <c r="H1237" s="2" t="str">
        <f t="shared" si="49"/>
        <v>0 г. 0 мес. 0 дн.</v>
      </c>
      <c r="I1237" s="2"/>
      <c r="J1237" s="2"/>
      <c r="K1237" s="2"/>
      <c r="L1237" s="2"/>
      <c r="M1237" s="2"/>
      <c r="N1237" s="1">
        <v>0</v>
      </c>
      <c r="O1237" s="2"/>
      <c r="P1237" s="2"/>
      <c r="Q1237" s="2">
        <v>0</v>
      </c>
      <c r="R1237" s="6"/>
    </row>
    <row r="1238" spans="1:18" x14ac:dyDescent="0.25">
      <c r="A1238" s="2">
        <f t="shared" si="48"/>
        <v>1237</v>
      </c>
      <c r="B1238" s="2"/>
      <c r="C1238" s="2"/>
      <c r="D1238" s="2"/>
      <c r="E1238" s="2"/>
      <c r="F1238" s="2"/>
      <c r="G1238" s="2"/>
      <c r="H1238" s="2" t="str">
        <f t="shared" si="49"/>
        <v>0 г. 0 мес. 0 дн.</v>
      </c>
      <c r="I1238" s="2"/>
      <c r="J1238" s="2"/>
      <c r="K1238" s="2"/>
      <c r="L1238" s="2"/>
      <c r="M1238" s="2"/>
      <c r="N1238" s="1">
        <v>0</v>
      </c>
      <c r="O1238" s="2"/>
      <c r="P1238" s="2"/>
      <c r="Q1238" s="2">
        <v>0</v>
      </c>
      <c r="R1238" s="6"/>
    </row>
    <row r="1239" spans="1:18" x14ac:dyDescent="0.25">
      <c r="A1239" s="2">
        <f t="shared" si="48"/>
        <v>1238</v>
      </c>
      <c r="B1239" s="2"/>
      <c r="C1239" s="2"/>
      <c r="D1239" s="2"/>
      <c r="E1239" s="2"/>
      <c r="F1239" s="2"/>
      <c r="G1239" s="2"/>
      <c r="H1239" s="2" t="str">
        <f t="shared" si="49"/>
        <v>0 г. 0 мес. 0 дн.</v>
      </c>
      <c r="I1239" s="2"/>
      <c r="J1239" s="2"/>
      <c r="K1239" s="2"/>
      <c r="L1239" s="2"/>
      <c r="M1239" s="2"/>
      <c r="N1239" s="1">
        <v>0</v>
      </c>
      <c r="O1239" s="2"/>
      <c r="P1239" s="2"/>
      <c r="Q1239" s="2">
        <v>0</v>
      </c>
      <c r="R1239" s="6"/>
    </row>
    <row r="1240" spans="1:18" x14ac:dyDescent="0.25">
      <c r="A1240" s="2">
        <f t="shared" si="48"/>
        <v>1239</v>
      </c>
      <c r="B1240" s="2"/>
      <c r="C1240" s="2"/>
      <c r="D1240" s="2"/>
      <c r="E1240" s="2"/>
      <c r="F1240" s="2"/>
      <c r="G1240" s="2"/>
      <c r="H1240" s="2" t="str">
        <f t="shared" si="49"/>
        <v>0 г. 0 мес. 0 дн.</v>
      </c>
      <c r="I1240" s="2"/>
      <c r="J1240" s="2"/>
      <c r="K1240" s="2"/>
      <c r="L1240" s="2"/>
      <c r="M1240" s="2"/>
      <c r="N1240" s="1">
        <v>0</v>
      </c>
      <c r="O1240" s="2"/>
      <c r="P1240" s="2"/>
      <c r="Q1240" s="2">
        <v>0</v>
      </c>
      <c r="R1240" s="6"/>
    </row>
    <row r="1241" spans="1:18" x14ac:dyDescent="0.25">
      <c r="A1241" s="2">
        <f t="shared" si="48"/>
        <v>1240</v>
      </c>
      <c r="B1241" s="2"/>
      <c r="C1241" s="2"/>
      <c r="D1241" s="2"/>
      <c r="E1241" s="2"/>
      <c r="F1241" s="2"/>
      <c r="G1241" s="2"/>
      <c r="H1241" s="2" t="str">
        <f t="shared" si="49"/>
        <v>0 г. 0 мес. 0 дн.</v>
      </c>
      <c r="I1241" s="2"/>
      <c r="J1241" s="2"/>
      <c r="K1241" s="2"/>
      <c r="L1241" s="2"/>
      <c r="M1241" s="2"/>
      <c r="N1241" s="1">
        <v>0</v>
      </c>
      <c r="O1241" s="2"/>
      <c r="P1241" s="2"/>
      <c r="Q1241" s="2">
        <v>0</v>
      </c>
      <c r="R1241" s="6"/>
    </row>
    <row r="1242" spans="1:18" x14ac:dyDescent="0.25">
      <c r="A1242" s="2">
        <f t="shared" si="48"/>
        <v>1241</v>
      </c>
      <c r="B1242" s="2"/>
      <c r="C1242" s="2"/>
      <c r="D1242" s="2"/>
      <c r="E1242" s="2"/>
      <c r="F1242" s="2"/>
      <c r="G1242" s="2"/>
      <c r="H1242" s="2" t="str">
        <f t="shared" si="49"/>
        <v>0 г. 0 мес. 0 дн.</v>
      </c>
      <c r="I1242" s="2"/>
      <c r="J1242" s="2"/>
      <c r="K1242" s="2"/>
      <c r="L1242" s="2"/>
      <c r="M1242" s="2"/>
      <c r="N1242" s="1">
        <v>0</v>
      </c>
      <c r="O1242" s="2"/>
      <c r="P1242" s="2"/>
      <c r="Q1242" s="2">
        <v>0</v>
      </c>
      <c r="R1242" s="6"/>
    </row>
    <row r="1243" spans="1:18" x14ac:dyDescent="0.25">
      <c r="A1243" s="2">
        <f t="shared" si="48"/>
        <v>1242</v>
      </c>
      <c r="B1243" s="2"/>
      <c r="C1243" s="2"/>
      <c r="D1243" s="2"/>
      <c r="E1243" s="2"/>
      <c r="F1243" s="2"/>
      <c r="G1243" s="2"/>
      <c r="H1243" s="2" t="str">
        <f t="shared" si="49"/>
        <v>0 г. 0 мес. 0 дн.</v>
      </c>
      <c r="I1243" s="2"/>
      <c r="J1243" s="2"/>
      <c r="K1243" s="2"/>
      <c r="L1243" s="2"/>
      <c r="M1243" s="2"/>
      <c r="N1243" s="1">
        <v>0</v>
      </c>
      <c r="O1243" s="2"/>
      <c r="P1243" s="2"/>
      <c r="Q1243" s="2">
        <v>0</v>
      </c>
      <c r="R1243" s="6"/>
    </row>
    <row r="1244" spans="1:18" x14ac:dyDescent="0.25">
      <c r="A1244" s="2">
        <f t="shared" si="48"/>
        <v>1243</v>
      </c>
      <c r="B1244" s="2"/>
      <c r="C1244" s="2"/>
      <c r="D1244" s="2"/>
      <c r="E1244" s="2"/>
      <c r="F1244" s="2"/>
      <c r="G1244" s="2"/>
      <c r="H1244" s="2" t="str">
        <f t="shared" si="49"/>
        <v>0 г. 0 мес. 0 дн.</v>
      </c>
      <c r="I1244" s="2"/>
      <c r="J1244" s="2"/>
      <c r="K1244" s="2"/>
      <c r="L1244" s="2"/>
      <c r="M1244" s="2"/>
      <c r="N1244" s="1">
        <v>0</v>
      </c>
      <c r="O1244" s="2"/>
      <c r="P1244" s="2"/>
      <c r="Q1244" s="2">
        <v>0</v>
      </c>
      <c r="R1244" s="6"/>
    </row>
    <row r="1245" spans="1:18" x14ac:dyDescent="0.25">
      <c r="A1245" s="2">
        <f t="shared" ref="A1245:A1308" si="50">ROW(A1244)</f>
        <v>1244</v>
      </c>
      <c r="B1245" s="2"/>
      <c r="C1245" s="2"/>
      <c r="D1245" s="2"/>
      <c r="E1245" s="2"/>
      <c r="F1245" s="2"/>
      <c r="G1245" s="2"/>
      <c r="H1245" s="2" t="str">
        <f t="shared" si="49"/>
        <v>0 г. 0 мес. 0 дн.</v>
      </c>
      <c r="I1245" s="2"/>
      <c r="J1245" s="2"/>
      <c r="K1245" s="2"/>
      <c r="L1245" s="2"/>
      <c r="M1245" s="2"/>
      <c r="N1245" s="1">
        <v>0</v>
      </c>
      <c r="O1245" s="2"/>
      <c r="P1245" s="2"/>
      <c r="Q1245" s="2">
        <v>0</v>
      </c>
      <c r="R1245" s="6"/>
    </row>
    <row r="1246" spans="1:18" x14ac:dyDescent="0.25">
      <c r="A1246" s="2">
        <f t="shared" si="50"/>
        <v>1245</v>
      </c>
      <c r="B1246" s="2"/>
      <c r="C1246" s="2"/>
      <c r="D1246" s="2"/>
      <c r="E1246" s="2"/>
      <c r="F1246" s="2"/>
      <c r="G1246" s="2"/>
      <c r="H1246" s="2" t="str">
        <f t="shared" si="49"/>
        <v>0 г. 0 мес. 0 дн.</v>
      </c>
      <c r="I1246" s="2"/>
      <c r="J1246" s="2"/>
      <c r="K1246" s="2"/>
      <c r="L1246" s="2"/>
      <c r="M1246" s="2"/>
      <c r="N1246" s="1">
        <v>0</v>
      </c>
      <c r="O1246" s="2"/>
      <c r="P1246" s="2"/>
      <c r="Q1246" s="2">
        <v>0</v>
      </c>
      <c r="R1246" s="6"/>
    </row>
    <row r="1247" spans="1:18" x14ac:dyDescent="0.25">
      <c r="A1247" s="2">
        <f t="shared" si="50"/>
        <v>1246</v>
      </c>
      <c r="B1247" s="2"/>
      <c r="C1247" s="2"/>
      <c r="D1247" s="2"/>
      <c r="E1247" s="2"/>
      <c r="F1247" s="2"/>
      <c r="G1247" s="2"/>
      <c r="H1247" s="2" t="str">
        <f t="shared" si="49"/>
        <v>0 г. 0 мес. 0 дн.</v>
      </c>
      <c r="I1247" s="2"/>
      <c r="J1247" s="2"/>
      <c r="K1247" s="2"/>
      <c r="L1247" s="2"/>
      <c r="M1247" s="2"/>
      <c r="N1247" s="1">
        <v>0</v>
      </c>
      <c r="O1247" s="2"/>
      <c r="P1247" s="2"/>
      <c r="Q1247" s="2">
        <v>0</v>
      </c>
      <c r="R1247" s="6"/>
    </row>
    <row r="1248" spans="1:18" x14ac:dyDescent="0.25">
      <c r="A1248" s="2">
        <f t="shared" si="50"/>
        <v>1247</v>
      </c>
      <c r="B1248" s="2"/>
      <c r="C1248" s="2"/>
      <c r="D1248" s="2"/>
      <c r="E1248" s="2"/>
      <c r="F1248" s="2"/>
      <c r="G1248" s="2"/>
      <c r="H1248" s="2" t="str">
        <f t="shared" si="49"/>
        <v>0 г. 0 мес. 0 дн.</v>
      </c>
      <c r="I1248" s="2"/>
      <c r="J1248" s="2"/>
      <c r="K1248" s="2"/>
      <c r="L1248" s="2"/>
      <c r="M1248" s="2"/>
      <c r="N1248" s="1">
        <v>0</v>
      </c>
      <c r="O1248" s="2"/>
      <c r="P1248" s="2"/>
      <c r="Q1248" s="2">
        <v>0</v>
      </c>
      <c r="R1248" s="6"/>
    </row>
    <row r="1249" spans="1:18" x14ac:dyDescent="0.25">
      <c r="A1249" s="2">
        <f t="shared" si="50"/>
        <v>1248</v>
      </c>
      <c r="B1249" s="2"/>
      <c r="C1249" s="2"/>
      <c r="D1249" s="2"/>
      <c r="E1249" s="2"/>
      <c r="F1249" s="2"/>
      <c r="G1249" s="2"/>
      <c r="H1249" s="2" t="str">
        <f t="shared" si="49"/>
        <v>0 г. 0 мес. 0 дн.</v>
      </c>
      <c r="I1249" s="2"/>
      <c r="J1249" s="2"/>
      <c r="K1249" s="2"/>
      <c r="L1249" s="2"/>
      <c r="M1249" s="2"/>
      <c r="N1249" s="1">
        <v>0</v>
      </c>
      <c r="O1249" s="2"/>
      <c r="P1249" s="2"/>
      <c r="Q1249" s="2">
        <v>0</v>
      </c>
      <c r="R1249" s="6"/>
    </row>
    <row r="1250" spans="1:18" x14ac:dyDescent="0.25">
      <c r="A1250" s="2">
        <f t="shared" si="50"/>
        <v>1249</v>
      </c>
      <c r="B1250" s="2"/>
      <c r="C1250" s="2"/>
      <c r="D1250" s="2"/>
      <c r="E1250" s="2"/>
      <c r="F1250" s="2"/>
      <c r="G1250" s="2"/>
      <c r="H1250" s="2" t="str">
        <f t="shared" si="49"/>
        <v>0 г. 0 мес. 0 дн.</v>
      </c>
      <c r="I1250" s="2"/>
      <c r="J1250" s="2"/>
      <c r="K1250" s="2"/>
      <c r="L1250" s="2"/>
      <c r="M1250" s="2"/>
      <c r="N1250" s="1">
        <v>0</v>
      </c>
      <c r="O1250" s="2"/>
      <c r="P1250" s="2"/>
      <c r="Q1250" s="2">
        <v>0</v>
      </c>
      <c r="R1250" s="6"/>
    </row>
    <row r="1251" spans="1:18" x14ac:dyDescent="0.25">
      <c r="A1251" s="2">
        <f t="shared" si="50"/>
        <v>1250</v>
      </c>
      <c r="B1251" s="2"/>
      <c r="C1251" s="2"/>
      <c r="D1251" s="2"/>
      <c r="E1251" s="2"/>
      <c r="F1251" s="2"/>
      <c r="G1251" s="2"/>
      <c r="H1251" s="2" t="str">
        <f t="shared" si="49"/>
        <v>0 г. 0 мес. 0 дн.</v>
      </c>
      <c r="I1251" s="2"/>
      <c r="J1251" s="2"/>
      <c r="K1251" s="2"/>
      <c r="L1251" s="2"/>
      <c r="M1251" s="2"/>
      <c r="N1251" s="1">
        <v>0</v>
      </c>
      <c r="O1251" s="2"/>
      <c r="P1251" s="2"/>
      <c r="Q1251" s="2">
        <v>0</v>
      </c>
      <c r="R1251" s="6"/>
    </row>
    <row r="1252" spans="1:18" x14ac:dyDescent="0.25">
      <c r="A1252" s="2">
        <f t="shared" si="50"/>
        <v>1251</v>
      </c>
      <c r="B1252" s="2"/>
      <c r="C1252" s="2"/>
      <c r="D1252" s="2"/>
      <c r="E1252" s="2"/>
      <c r="F1252" s="2"/>
      <c r="G1252" s="2"/>
      <c r="H1252" s="2" t="str">
        <f t="shared" si="49"/>
        <v>0 г. 0 мес. 0 дн.</v>
      </c>
      <c r="I1252" s="2"/>
      <c r="J1252" s="2"/>
      <c r="K1252" s="2"/>
      <c r="L1252" s="2"/>
      <c r="M1252" s="2"/>
      <c r="N1252" s="1">
        <v>0</v>
      </c>
      <c r="O1252" s="2"/>
      <c r="P1252" s="2"/>
      <c r="Q1252" s="2">
        <v>0</v>
      </c>
      <c r="R1252" s="6"/>
    </row>
    <row r="1253" spans="1:18" x14ac:dyDescent="0.25">
      <c r="A1253" s="2">
        <f t="shared" si="50"/>
        <v>1252</v>
      </c>
      <c r="B1253" s="2"/>
      <c r="C1253" s="2"/>
      <c r="D1253" s="2"/>
      <c r="E1253" s="2"/>
      <c r="F1253" s="2"/>
      <c r="G1253" s="2"/>
      <c r="H1253" s="2" t="str">
        <f t="shared" si="49"/>
        <v>0 г. 0 мес. 0 дн.</v>
      </c>
      <c r="I1253" s="2"/>
      <c r="J1253" s="2"/>
      <c r="K1253" s="2"/>
      <c r="L1253" s="2"/>
      <c r="M1253" s="2"/>
      <c r="N1253" s="1">
        <v>0</v>
      </c>
      <c r="O1253" s="2"/>
      <c r="P1253" s="2"/>
      <c r="Q1253" s="2">
        <v>0</v>
      </c>
      <c r="R1253" s="6"/>
    </row>
    <row r="1254" spans="1:18" x14ac:dyDescent="0.25">
      <c r="A1254" s="2">
        <f t="shared" si="50"/>
        <v>1253</v>
      </c>
      <c r="B1254" s="2"/>
      <c r="C1254" s="2"/>
      <c r="D1254" s="2"/>
      <c r="E1254" s="2"/>
      <c r="F1254" s="2"/>
      <c r="G1254" s="2"/>
      <c r="H1254" s="2" t="str">
        <f t="shared" si="49"/>
        <v>0 г. 0 мес. 0 дн.</v>
      </c>
      <c r="I1254" s="2"/>
      <c r="J1254" s="2"/>
      <c r="K1254" s="2"/>
      <c r="L1254" s="2"/>
      <c r="M1254" s="2"/>
      <c r="N1254" s="1">
        <v>0</v>
      </c>
      <c r="O1254" s="2"/>
      <c r="P1254" s="2"/>
      <c r="Q1254" s="2">
        <v>0</v>
      </c>
      <c r="R1254" s="6"/>
    </row>
    <row r="1255" spans="1:18" x14ac:dyDescent="0.25">
      <c r="A1255" s="2">
        <f t="shared" si="50"/>
        <v>1254</v>
      </c>
      <c r="B1255" s="2"/>
      <c r="C1255" s="2"/>
      <c r="D1255" s="2"/>
      <c r="E1255" s="2"/>
      <c r="F1255" s="2"/>
      <c r="G1255" s="2"/>
      <c r="H1255" s="2" t="str">
        <f t="shared" si="49"/>
        <v>0 г. 0 мес. 0 дн.</v>
      </c>
      <c r="I1255" s="2"/>
      <c r="J1255" s="2"/>
      <c r="K1255" s="2"/>
      <c r="L1255" s="2"/>
      <c r="M1255" s="2"/>
      <c r="N1255" s="1">
        <v>0</v>
      </c>
      <c r="O1255" s="2"/>
      <c r="P1255" s="2"/>
      <c r="Q1255" s="2">
        <v>0</v>
      </c>
      <c r="R1255" s="6"/>
    </row>
    <row r="1256" spans="1:18" x14ac:dyDescent="0.25">
      <c r="A1256" s="2">
        <f t="shared" si="50"/>
        <v>1255</v>
      </c>
      <c r="B1256" s="2"/>
      <c r="C1256" s="2"/>
      <c r="D1256" s="2"/>
      <c r="E1256" s="2"/>
      <c r="F1256" s="2"/>
      <c r="G1256" s="2"/>
      <c r="H1256" s="2" t="str">
        <f t="shared" si="49"/>
        <v>0 г. 0 мес. 0 дн.</v>
      </c>
      <c r="I1256" s="2"/>
      <c r="J1256" s="2"/>
      <c r="K1256" s="2"/>
      <c r="L1256" s="2"/>
      <c r="M1256" s="2"/>
      <c r="N1256" s="1">
        <v>0</v>
      </c>
      <c r="O1256" s="2"/>
      <c r="P1256" s="2"/>
      <c r="Q1256" s="2">
        <v>0</v>
      </c>
      <c r="R1256" s="6"/>
    </row>
    <row r="1257" spans="1:18" x14ac:dyDescent="0.25">
      <c r="A1257" s="2">
        <f t="shared" si="50"/>
        <v>1256</v>
      </c>
      <c r="B1257" s="2"/>
      <c r="C1257" s="2"/>
      <c r="D1257" s="2"/>
      <c r="E1257" s="2"/>
      <c r="F1257" s="2"/>
      <c r="G1257" s="2"/>
      <c r="H1257" s="2" t="str">
        <f t="shared" si="49"/>
        <v>0 г. 0 мес. 0 дн.</v>
      </c>
      <c r="I1257" s="2"/>
      <c r="J1257" s="2"/>
      <c r="K1257" s="2"/>
      <c r="L1257" s="2"/>
      <c r="M1257" s="2"/>
      <c r="N1257" s="1">
        <v>0</v>
      </c>
      <c r="O1257" s="2"/>
      <c r="P1257" s="2"/>
      <c r="Q1257" s="2">
        <v>0</v>
      </c>
      <c r="R1257" s="6"/>
    </row>
    <row r="1258" spans="1:18" x14ac:dyDescent="0.25">
      <c r="A1258" s="2">
        <f t="shared" si="50"/>
        <v>1257</v>
      </c>
      <c r="B1258" s="2"/>
      <c r="C1258" s="2"/>
      <c r="D1258" s="2"/>
      <c r="E1258" s="2"/>
      <c r="F1258" s="2"/>
      <c r="G1258" s="2"/>
      <c r="H1258" s="2" t="str">
        <f t="shared" si="49"/>
        <v>0 г. 0 мес. 0 дн.</v>
      </c>
      <c r="I1258" s="2"/>
      <c r="J1258" s="2"/>
      <c r="K1258" s="2"/>
      <c r="L1258" s="2"/>
      <c r="M1258" s="2"/>
      <c r="N1258" s="1">
        <v>0</v>
      </c>
      <c r="O1258" s="2"/>
      <c r="P1258" s="2"/>
      <c r="Q1258" s="2">
        <v>0</v>
      </c>
      <c r="R1258" s="6"/>
    </row>
    <row r="1259" spans="1:18" x14ac:dyDescent="0.25">
      <c r="A1259" s="2">
        <f t="shared" si="50"/>
        <v>1258</v>
      </c>
      <c r="B1259" s="2"/>
      <c r="C1259" s="2"/>
      <c r="D1259" s="2"/>
      <c r="E1259" s="2"/>
      <c r="F1259" s="2"/>
      <c r="G1259" s="2"/>
      <c r="H1259" s="2" t="str">
        <f t="shared" si="49"/>
        <v>0 г. 0 мес. 0 дн.</v>
      </c>
      <c r="I1259" s="2"/>
      <c r="J1259" s="2"/>
      <c r="K1259" s="2"/>
      <c r="L1259" s="2"/>
      <c r="M1259" s="2"/>
      <c r="N1259" s="1">
        <v>0</v>
      </c>
      <c r="O1259" s="2"/>
      <c r="P1259" s="2"/>
      <c r="Q1259" s="2">
        <v>0</v>
      </c>
      <c r="R1259" s="6"/>
    </row>
    <row r="1260" spans="1:18" x14ac:dyDescent="0.25">
      <c r="A1260" s="2">
        <f t="shared" si="50"/>
        <v>1259</v>
      </c>
      <c r="B1260" s="2"/>
      <c r="C1260" s="2"/>
      <c r="D1260" s="2"/>
      <c r="E1260" s="2"/>
      <c r="F1260" s="2"/>
      <c r="G1260" s="2"/>
      <c r="H1260" s="2" t="str">
        <f t="shared" si="49"/>
        <v>0 г. 0 мес. 0 дн.</v>
      </c>
      <c r="I1260" s="2"/>
      <c r="J1260" s="2"/>
      <c r="K1260" s="2"/>
      <c r="L1260" s="2"/>
      <c r="M1260" s="2"/>
      <c r="N1260" s="1">
        <v>0</v>
      </c>
      <c r="O1260" s="2"/>
      <c r="P1260" s="2"/>
      <c r="Q1260" s="2">
        <v>0</v>
      </c>
      <c r="R1260" s="6"/>
    </row>
    <row r="1261" spans="1:18" x14ac:dyDescent="0.25">
      <c r="A1261" s="2">
        <f t="shared" si="50"/>
        <v>1260</v>
      </c>
      <c r="B1261" s="2"/>
      <c r="C1261" s="2"/>
      <c r="D1261" s="2"/>
      <c r="E1261" s="2"/>
      <c r="F1261" s="2"/>
      <c r="G1261" s="2"/>
      <c r="H1261" s="2" t="str">
        <f t="shared" si="49"/>
        <v>0 г. 0 мес. 0 дн.</v>
      </c>
      <c r="I1261" s="2"/>
      <c r="J1261" s="2"/>
      <c r="K1261" s="2"/>
      <c r="L1261" s="2"/>
      <c r="M1261" s="2"/>
      <c r="N1261" s="1">
        <v>0</v>
      </c>
      <c r="O1261" s="2"/>
      <c r="P1261" s="2"/>
      <c r="Q1261" s="2">
        <v>0</v>
      </c>
      <c r="R1261" s="6"/>
    </row>
    <row r="1262" spans="1:18" x14ac:dyDescent="0.25">
      <c r="A1262" s="2">
        <f t="shared" si="50"/>
        <v>1261</v>
      </c>
      <c r="B1262" s="2"/>
      <c r="C1262" s="2"/>
      <c r="D1262" s="2"/>
      <c r="E1262" s="2"/>
      <c r="F1262" s="2"/>
      <c r="G1262" s="2"/>
      <c r="H1262" s="2" t="str">
        <f t="shared" si="49"/>
        <v>0 г. 0 мес. 0 дн.</v>
      </c>
      <c r="I1262" s="2"/>
      <c r="J1262" s="2"/>
      <c r="K1262" s="2"/>
      <c r="L1262" s="2"/>
      <c r="M1262" s="2"/>
      <c r="N1262" s="1">
        <v>0</v>
      </c>
      <c r="O1262" s="2"/>
      <c r="P1262" s="2"/>
      <c r="Q1262" s="2">
        <v>0</v>
      </c>
      <c r="R1262" s="6"/>
    </row>
    <row r="1263" spans="1:18" x14ac:dyDescent="0.25">
      <c r="A1263" s="2">
        <f t="shared" si="50"/>
        <v>1262</v>
      </c>
      <c r="B1263" s="2"/>
      <c r="C1263" s="2"/>
      <c r="D1263" s="2"/>
      <c r="E1263" s="2"/>
      <c r="F1263" s="2"/>
      <c r="G1263" s="2"/>
      <c r="H1263" s="2" t="str">
        <f t="shared" si="49"/>
        <v>0 г. 0 мес. 0 дн.</v>
      </c>
      <c r="I1263" s="2"/>
      <c r="J1263" s="2"/>
      <c r="K1263" s="2"/>
      <c r="L1263" s="2"/>
      <c r="M1263" s="2"/>
      <c r="N1263" s="1">
        <v>0</v>
      </c>
      <c r="O1263" s="2"/>
      <c r="P1263" s="2"/>
      <c r="Q1263" s="2">
        <v>0</v>
      </c>
      <c r="R1263" s="6"/>
    </row>
    <row r="1264" spans="1:18" x14ac:dyDescent="0.25">
      <c r="A1264" s="2">
        <f t="shared" si="50"/>
        <v>1263</v>
      </c>
      <c r="B1264" s="2"/>
      <c r="C1264" s="2"/>
      <c r="D1264" s="2"/>
      <c r="E1264" s="2"/>
      <c r="F1264" s="2"/>
      <c r="G1264" s="2"/>
      <c r="H1264" s="2" t="str">
        <f t="shared" si="49"/>
        <v>0 г. 0 мес. 0 дн.</v>
      </c>
      <c r="I1264" s="2"/>
      <c r="J1264" s="2"/>
      <c r="K1264" s="2"/>
      <c r="L1264" s="2"/>
      <c r="M1264" s="2"/>
      <c r="N1264" s="1">
        <v>0</v>
      </c>
      <c r="O1264" s="2"/>
      <c r="P1264" s="2"/>
      <c r="Q1264" s="2">
        <v>0</v>
      </c>
      <c r="R1264" s="6"/>
    </row>
    <row r="1265" spans="1:18" x14ac:dyDescent="0.25">
      <c r="A1265" s="2">
        <f t="shared" si="50"/>
        <v>1264</v>
      </c>
      <c r="B1265" s="2"/>
      <c r="C1265" s="2"/>
      <c r="D1265" s="2"/>
      <c r="E1265" s="2"/>
      <c r="F1265" s="2"/>
      <c r="G1265" s="2"/>
      <c r="H1265" s="2" t="str">
        <f t="shared" si="49"/>
        <v>0 г. 0 мес. 0 дн.</v>
      </c>
      <c r="I1265" s="2"/>
      <c r="J1265" s="2"/>
      <c r="K1265" s="2"/>
      <c r="L1265" s="2"/>
      <c r="M1265" s="2"/>
      <c r="N1265" s="1">
        <v>0</v>
      </c>
      <c r="O1265" s="2"/>
      <c r="P1265" s="2"/>
      <c r="Q1265" s="2">
        <v>0</v>
      </c>
      <c r="R1265" s="6"/>
    </row>
    <row r="1266" spans="1:18" x14ac:dyDescent="0.25">
      <c r="A1266" s="2">
        <f t="shared" si="50"/>
        <v>1265</v>
      </c>
      <c r="B1266" s="2"/>
      <c r="C1266" s="2"/>
      <c r="D1266" s="2"/>
      <c r="E1266" s="2"/>
      <c r="F1266" s="2"/>
      <c r="G1266" s="2"/>
      <c r="H1266" s="2" t="str">
        <f t="shared" si="49"/>
        <v>0 г. 0 мес. 0 дн.</v>
      </c>
      <c r="I1266" s="2"/>
      <c r="J1266" s="2"/>
      <c r="K1266" s="2"/>
      <c r="L1266" s="2"/>
      <c r="M1266" s="2"/>
      <c r="N1266" s="1">
        <v>0</v>
      </c>
      <c r="O1266" s="2"/>
      <c r="P1266" s="2"/>
      <c r="Q1266" s="2">
        <v>0</v>
      </c>
      <c r="R1266" s="6"/>
    </row>
    <row r="1267" spans="1:18" x14ac:dyDescent="0.25">
      <c r="A1267" s="2">
        <f t="shared" si="50"/>
        <v>1266</v>
      </c>
      <c r="B1267" s="2"/>
      <c r="C1267" s="2"/>
      <c r="D1267" s="2"/>
      <c r="E1267" s="2"/>
      <c r="F1267" s="2"/>
      <c r="G1267" s="2"/>
      <c r="H1267" s="2" t="str">
        <f t="shared" si="49"/>
        <v>0 г. 0 мес. 0 дн.</v>
      </c>
      <c r="I1267" s="2"/>
      <c r="J1267" s="2"/>
      <c r="K1267" s="2"/>
      <c r="L1267" s="2"/>
      <c r="M1267" s="2"/>
      <c r="N1267" s="1">
        <v>0</v>
      </c>
      <c r="O1267" s="2"/>
      <c r="P1267" s="2"/>
      <c r="Q1267" s="2">
        <v>0</v>
      </c>
      <c r="R1267" s="6"/>
    </row>
    <row r="1268" spans="1:18" x14ac:dyDescent="0.25">
      <c r="A1268" s="2">
        <f t="shared" si="50"/>
        <v>1267</v>
      </c>
      <c r="B1268" s="2"/>
      <c r="C1268" s="2"/>
      <c r="D1268" s="2"/>
      <c r="E1268" s="2"/>
      <c r="F1268" s="2"/>
      <c r="G1268" s="2"/>
      <c r="H1268" s="2" t="str">
        <f t="shared" si="49"/>
        <v>0 г. 0 мес. 0 дн.</v>
      </c>
      <c r="I1268" s="2"/>
      <c r="J1268" s="2"/>
      <c r="K1268" s="2"/>
      <c r="L1268" s="2"/>
      <c r="M1268" s="2"/>
      <c r="N1268" s="1">
        <v>0</v>
      </c>
      <c r="O1268" s="2"/>
      <c r="P1268" s="2"/>
      <c r="Q1268" s="2">
        <v>0</v>
      </c>
      <c r="R1268" s="6"/>
    </row>
    <row r="1269" spans="1:18" x14ac:dyDescent="0.25">
      <c r="A1269" s="2">
        <f t="shared" si="50"/>
        <v>1268</v>
      </c>
      <c r="B1269" s="2"/>
      <c r="C1269" s="2"/>
      <c r="D1269" s="2"/>
      <c r="E1269" s="2"/>
      <c r="F1269" s="2"/>
      <c r="G1269" s="2"/>
      <c r="H1269" s="2" t="str">
        <f t="shared" si="49"/>
        <v>0 г. 0 мес. 0 дн.</v>
      </c>
      <c r="I1269" s="2"/>
      <c r="J1269" s="2"/>
      <c r="K1269" s="2"/>
      <c r="L1269" s="2"/>
      <c r="M1269" s="2"/>
      <c r="N1269" s="1">
        <v>0</v>
      </c>
      <c r="O1269" s="2"/>
      <c r="P1269" s="2"/>
      <c r="Q1269" s="2">
        <v>0</v>
      </c>
      <c r="R1269" s="6"/>
    </row>
    <row r="1270" spans="1:18" x14ac:dyDescent="0.25">
      <c r="A1270" s="2">
        <f t="shared" si="50"/>
        <v>1269</v>
      </c>
      <c r="B1270" s="2"/>
      <c r="C1270" s="2"/>
      <c r="D1270" s="2"/>
      <c r="E1270" s="2"/>
      <c r="F1270" s="2"/>
      <c r="G1270" s="2"/>
      <c r="H1270" s="2" t="str">
        <f t="shared" si="49"/>
        <v>0 г. 0 мес. 0 дн.</v>
      </c>
      <c r="I1270" s="2"/>
      <c r="J1270" s="2"/>
      <c r="K1270" s="2"/>
      <c r="L1270" s="2"/>
      <c r="M1270" s="2"/>
      <c r="N1270" s="1">
        <v>0</v>
      </c>
      <c r="O1270" s="2"/>
      <c r="P1270" s="2"/>
      <c r="Q1270" s="2">
        <v>0</v>
      </c>
      <c r="R1270" s="6"/>
    </row>
    <row r="1271" spans="1:18" x14ac:dyDescent="0.25">
      <c r="A1271" s="2">
        <f t="shared" si="50"/>
        <v>1270</v>
      </c>
      <c r="B1271" s="2"/>
      <c r="C1271" s="2"/>
      <c r="D1271" s="2"/>
      <c r="E1271" s="2"/>
      <c r="F1271" s="2"/>
      <c r="G1271" s="2"/>
      <c r="H1271" s="2" t="str">
        <f t="shared" si="49"/>
        <v>0 г. 0 мес. 0 дн.</v>
      </c>
      <c r="I1271" s="2"/>
      <c r="J1271" s="2"/>
      <c r="K1271" s="2"/>
      <c r="L1271" s="2"/>
      <c r="M1271" s="2"/>
      <c r="N1271" s="1">
        <v>0</v>
      </c>
      <c r="O1271" s="2"/>
      <c r="P1271" s="2"/>
      <c r="Q1271" s="2">
        <v>0</v>
      </c>
      <c r="R1271" s="6"/>
    </row>
    <row r="1272" spans="1:18" x14ac:dyDescent="0.25">
      <c r="A1272" s="2">
        <f t="shared" si="50"/>
        <v>1271</v>
      </c>
      <c r="B1272" s="2"/>
      <c r="C1272" s="2"/>
      <c r="D1272" s="2"/>
      <c r="E1272" s="2"/>
      <c r="F1272" s="2"/>
      <c r="G1272" s="2"/>
      <c r="H1272" s="2" t="str">
        <f t="shared" si="49"/>
        <v>0 г. 0 мес. 0 дн.</v>
      </c>
      <c r="I1272" s="2"/>
      <c r="J1272" s="2"/>
      <c r="K1272" s="2"/>
      <c r="L1272" s="2"/>
      <c r="M1272" s="2"/>
      <c r="N1272" s="1">
        <v>0</v>
      </c>
      <c r="O1272" s="2"/>
      <c r="P1272" s="2"/>
      <c r="Q1272" s="2">
        <v>0</v>
      </c>
      <c r="R1272" s="6"/>
    </row>
    <row r="1273" spans="1:18" x14ac:dyDescent="0.25">
      <c r="A1273" s="2">
        <f t="shared" si="50"/>
        <v>1272</v>
      </c>
      <c r="B1273" s="2"/>
      <c r="C1273" s="2"/>
      <c r="D1273" s="2"/>
      <c r="E1273" s="2"/>
      <c r="F1273" s="2"/>
      <c r="G1273" s="2"/>
      <c r="H1273" s="2" t="str">
        <f t="shared" si="49"/>
        <v>0 г. 0 мес. 0 дн.</v>
      </c>
      <c r="I1273" s="2"/>
      <c r="J1273" s="2"/>
      <c r="K1273" s="2"/>
      <c r="L1273" s="2"/>
      <c r="M1273" s="2"/>
      <c r="N1273" s="1">
        <v>0</v>
      </c>
      <c r="O1273" s="2"/>
      <c r="P1273" s="2"/>
      <c r="Q1273" s="2">
        <v>0</v>
      </c>
      <c r="R1273" s="6"/>
    </row>
    <row r="1274" spans="1:18" x14ac:dyDescent="0.25">
      <c r="A1274" s="2">
        <f t="shared" si="50"/>
        <v>1273</v>
      </c>
      <c r="B1274" s="2"/>
      <c r="C1274" s="2"/>
      <c r="D1274" s="2"/>
      <c r="E1274" s="2"/>
      <c r="F1274" s="2"/>
      <c r="G1274" s="2"/>
      <c r="H1274" s="2" t="str">
        <f t="shared" si="49"/>
        <v>0 г. 0 мес. 0 дн.</v>
      </c>
      <c r="I1274" s="2"/>
      <c r="J1274" s="2"/>
      <c r="K1274" s="2"/>
      <c r="L1274" s="2"/>
      <c r="M1274" s="2"/>
      <c r="N1274" s="1">
        <v>0</v>
      </c>
      <c r="O1274" s="2"/>
      <c r="P1274" s="2"/>
      <c r="Q1274" s="2">
        <v>0</v>
      </c>
      <c r="R1274" s="6"/>
    </row>
    <row r="1275" spans="1:18" x14ac:dyDescent="0.25">
      <c r="A1275" s="2">
        <f t="shared" si="50"/>
        <v>1274</v>
      </c>
      <c r="B1275" s="2"/>
      <c r="C1275" s="2"/>
      <c r="D1275" s="2"/>
      <c r="E1275" s="2"/>
      <c r="F1275" s="2"/>
      <c r="G1275" s="2"/>
      <c r="H1275" s="2" t="str">
        <f t="shared" si="49"/>
        <v>0 г. 0 мес. 0 дн.</v>
      </c>
      <c r="I1275" s="2"/>
      <c r="J1275" s="2"/>
      <c r="K1275" s="2"/>
      <c r="L1275" s="2"/>
      <c r="M1275" s="2"/>
      <c r="N1275" s="1">
        <v>0</v>
      </c>
      <c r="O1275" s="2"/>
      <c r="P1275" s="2"/>
      <c r="Q1275" s="2">
        <v>0</v>
      </c>
      <c r="R1275" s="6"/>
    </row>
    <row r="1276" spans="1:18" x14ac:dyDescent="0.25">
      <c r="A1276" s="2">
        <f t="shared" si="50"/>
        <v>1275</v>
      </c>
      <c r="B1276" s="2"/>
      <c r="C1276" s="2"/>
      <c r="D1276" s="2"/>
      <c r="E1276" s="2"/>
      <c r="F1276" s="2"/>
      <c r="G1276" s="2"/>
      <c r="H1276" s="2" t="str">
        <f t="shared" si="49"/>
        <v>0 г. 0 мес. 0 дн.</v>
      </c>
      <c r="I1276" s="2"/>
      <c r="J1276" s="2"/>
      <c r="K1276" s="2"/>
      <c r="L1276" s="2"/>
      <c r="M1276" s="2"/>
      <c r="N1276" s="1">
        <v>0</v>
      </c>
      <c r="O1276" s="2"/>
      <c r="P1276" s="2"/>
      <c r="Q1276" s="2">
        <v>0</v>
      </c>
      <c r="R1276" s="6"/>
    </row>
    <row r="1277" spans="1:18" x14ac:dyDescent="0.25">
      <c r="A1277" s="2">
        <f t="shared" si="50"/>
        <v>1276</v>
      </c>
      <c r="B1277" s="2"/>
      <c r="C1277" s="2"/>
      <c r="D1277" s="2"/>
      <c r="E1277" s="2"/>
      <c r="F1277" s="2"/>
      <c r="G1277" s="2"/>
      <c r="H1277" s="2" t="str">
        <f t="shared" si="49"/>
        <v>0 г. 0 мес. 0 дн.</v>
      </c>
      <c r="I1277" s="2"/>
      <c r="J1277" s="2"/>
      <c r="K1277" s="2"/>
      <c r="L1277" s="2"/>
      <c r="M1277" s="2"/>
      <c r="N1277" s="1">
        <v>0</v>
      </c>
      <c r="O1277" s="2"/>
      <c r="P1277" s="2"/>
      <c r="Q1277" s="2">
        <v>0</v>
      </c>
      <c r="R1277" s="6"/>
    </row>
    <row r="1278" spans="1:18" x14ac:dyDescent="0.25">
      <c r="A1278" s="2">
        <f t="shared" si="50"/>
        <v>1277</v>
      </c>
      <c r="B1278" s="2"/>
      <c r="C1278" s="2"/>
      <c r="D1278" s="2"/>
      <c r="E1278" s="2"/>
      <c r="F1278" s="2"/>
      <c r="G1278" s="2"/>
      <c r="H1278" s="2" t="str">
        <f t="shared" si="49"/>
        <v>0 г. 0 мес. 0 дн.</v>
      </c>
      <c r="I1278" s="2"/>
      <c r="J1278" s="2"/>
      <c r="K1278" s="2"/>
      <c r="L1278" s="2"/>
      <c r="M1278" s="2"/>
      <c r="N1278" s="1">
        <v>0</v>
      </c>
      <c r="O1278" s="2"/>
      <c r="P1278" s="2"/>
      <c r="Q1278" s="2">
        <v>0</v>
      </c>
      <c r="R1278" s="6"/>
    </row>
    <row r="1279" spans="1:18" x14ac:dyDescent="0.25">
      <c r="A1279" s="2">
        <f t="shared" si="50"/>
        <v>1278</v>
      </c>
      <c r="B1279" s="2"/>
      <c r="C1279" s="2"/>
      <c r="D1279" s="2"/>
      <c r="E1279" s="2"/>
      <c r="F1279" s="2"/>
      <c r="G1279" s="2"/>
      <c r="H1279" s="2" t="str">
        <f t="shared" si="49"/>
        <v>0 г. 0 мес. 0 дн.</v>
      </c>
      <c r="I1279" s="2"/>
      <c r="J1279" s="2"/>
      <c r="K1279" s="2"/>
      <c r="L1279" s="2"/>
      <c r="M1279" s="2"/>
      <c r="N1279" s="1">
        <v>0</v>
      </c>
      <c r="O1279" s="2"/>
      <c r="P1279" s="2"/>
      <c r="Q1279" s="2">
        <v>0</v>
      </c>
      <c r="R1279" s="6"/>
    </row>
    <row r="1280" spans="1:18" x14ac:dyDescent="0.25">
      <c r="A1280" s="2">
        <f t="shared" si="50"/>
        <v>1279</v>
      </c>
      <c r="B1280" s="2"/>
      <c r="C1280" s="2"/>
      <c r="D1280" s="2"/>
      <c r="E1280" s="2"/>
      <c r="F1280" s="2"/>
      <c r="G1280" s="2"/>
      <c r="H1280" s="2" t="str">
        <f t="shared" si="49"/>
        <v>0 г. 0 мес. 0 дн.</v>
      </c>
      <c r="I1280" s="2"/>
      <c r="J1280" s="2"/>
      <c r="K1280" s="2"/>
      <c r="L1280" s="2"/>
      <c r="M1280" s="2"/>
      <c r="N1280" s="1">
        <v>0</v>
      </c>
      <c r="O1280" s="2"/>
      <c r="P1280" s="2"/>
      <c r="Q1280" s="2">
        <v>0</v>
      </c>
      <c r="R1280" s="6"/>
    </row>
    <row r="1281" spans="1:18" x14ac:dyDescent="0.25">
      <c r="A1281" s="2">
        <f t="shared" si="50"/>
        <v>1280</v>
      </c>
      <c r="B1281" s="2"/>
      <c r="C1281" s="2"/>
      <c r="D1281" s="2"/>
      <c r="E1281" s="2"/>
      <c r="F1281" s="2"/>
      <c r="G1281" s="2"/>
      <c r="H1281" s="2" t="str">
        <f t="shared" si="49"/>
        <v>0 г. 0 мес. 0 дн.</v>
      </c>
      <c r="I1281" s="2"/>
      <c r="J1281" s="2"/>
      <c r="K1281" s="2"/>
      <c r="L1281" s="2"/>
      <c r="M1281" s="2"/>
      <c r="N1281" s="1">
        <v>0</v>
      </c>
      <c r="O1281" s="2"/>
      <c r="P1281" s="2"/>
      <c r="Q1281" s="2">
        <v>0</v>
      </c>
      <c r="R1281" s="6"/>
    </row>
    <row r="1282" spans="1:18" x14ac:dyDescent="0.25">
      <c r="A1282" s="2">
        <f t="shared" si="50"/>
        <v>1281</v>
      </c>
      <c r="B1282" s="2"/>
      <c r="C1282" s="2"/>
      <c r="D1282" s="2"/>
      <c r="E1282" s="2"/>
      <c r="F1282" s="2"/>
      <c r="G1282" s="2"/>
      <c r="H1282" s="2" t="str">
        <f t="shared" si="49"/>
        <v>0 г. 0 мес. 0 дн.</v>
      </c>
      <c r="I1282" s="2"/>
      <c r="J1282" s="2"/>
      <c r="K1282" s="2"/>
      <c r="L1282" s="2"/>
      <c r="M1282" s="2"/>
      <c r="N1282" s="1">
        <v>0</v>
      </c>
      <c r="O1282" s="2"/>
      <c r="P1282" s="2"/>
      <c r="Q1282" s="2">
        <v>0</v>
      </c>
      <c r="R1282" s="6"/>
    </row>
    <row r="1283" spans="1:18" x14ac:dyDescent="0.25">
      <c r="A1283" s="2">
        <f t="shared" si="50"/>
        <v>1282</v>
      </c>
      <c r="B1283" s="2"/>
      <c r="C1283" s="2"/>
      <c r="D1283" s="2"/>
      <c r="E1283" s="2"/>
      <c r="F1283" s="2"/>
      <c r="G1283" s="2"/>
      <c r="H1283" s="2" t="str">
        <f t="shared" si="49"/>
        <v>0 г. 0 мес. 0 дн.</v>
      </c>
      <c r="I1283" s="2"/>
      <c r="J1283" s="2"/>
      <c r="K1283" s="2"/>
      <c r="L1283" s="2"/>
      <c r="M1283" s="2"/>
      <c r="N1283" s="1">
        <v>0</v>
      </c>
      <c r="O1283" s="2"/>
      <c r="P1283" s="2"/>
      <c r="Q1283" s="2">
        <v>0</v>
      </c>
      <c r="R1283" s="6"/>
    </row>
    <row r="1284" spans="1:18" x14ac:dyDescent="0.25">
      <c r="A1284" s="2">
        <f t="shared" si="50"/>
        <v>1283</v>
      </c>
      <c r="B1284" s="2"/>
      <c r="C1284" s="2"/>
      <c r="D1284" s="2"/>
      <c r="E1284" s="2"/>
      <c r="F1284" s="2"/>
      <c r="G1284" s="2"/>
      <c r="H1284" s="2" t="str">
        <f t="shared" ref="H1284:H1347" si="51">DATEDIF(G1284,D1284,"y") &amp; " г. " &amp; DATEDIF(G1284,D1284,"ym") &amp; " мес. " &amp; DATEDIF(G1284,D1284,"md") &amp; " дн."</f>
        <v>0 г. 0 мес. 0 дн.</v>
      </c>
      <c r="I1284" s="2"/>
      <c r="J1284" s="2"/>
      <c r="K1284" s="2"/>
      <c r="L1284" s="2"/>
      <c r="M1284" s="2"/>
      <c r="N1284" s="1">
        <v>0</v>
      </c>
      <c r="O1284" s="2"/>
      <c r="P1284" s="2"/>
      <c r="Q1284" s="2">
        <v>0</v>
      </c>
      <c r="R1284" s="6"/>
    </row>
    <row r="1285" spans="1:18" x14ac:dyDescent="0.25">
      <c r="A1285" s="2">
        <f t="shared" si="50"/>
        <v>1284</v>
      </c>
      <c r="B1285" s="2"/>
      <c r="C1285" s="2"/>
      <c r="D1285" s="2"/>
      <c r="E1285" s="2"/>
      <c r="F1285" s="2"/>
      <c r="G1285" s="2"/>
      <c r="H1285" s="2" t="str">
        <f t="shared" si="51"/>
        <v>0 г. 0 мес. 0 дн.</v>
      </c>
      <c r="I1285" s="2"/>
      <c r="J1285" s="2"/>
      <c r="K1285" s="2"/>
      <c r="L1285" s="2"/>
      <c r="M1285" s="2"/>
      <c r="N1285" s="1">
        <v>0</v>
      </c>
      <c r="O1285" s="2"/>
      <c r="P1285" s="2"/>
      <c r="Q1285" s="2">
        <v>0</v>
      </c>
      <c r="R1285" s="6"/>
    </row>
    <row r="1286" spans="1:18" x14ac:dyDescent="0.25">
      <c r="A1286" s="2">
        <f t="shared" si="50"/>
        <v>1285</v>
      </c>
      <c r="B1286" s="2"/>
      <c r="C1286" s="2"/>
      <c r="D1286" s="2"/>
      <c r="E1286" s="2"/>
      <c r="F1286" s="2"/>
      <c r="G1286" s="2"/>
      <c r="H1286" s="2" t="str">
        <f t="shared" si="51"/>
        <v>0 г. 0 мес. 0 дн.</v>
      </c>
      <c r="I1286" s="2"/>
      <c r="J1286" s="2"/>
      <c r="K1286" s="2"/>
      <c r="L1286" s="2"/>
      <c r="M1286" s="2"/>
      <c r="N1286" s="1">
        <v>0</v>
      </c>
      <c r="O1286" s="2"/>
      <c r="P1286" s="2"/>
      <c r="Q1286" s="2">
        <v>0</v>
      </c>
      <c r="R1286" s="6"/>
    </row>
    <row r="1287" spans="1:18" x14ac:dyDescent="0.25">
      <c r="A1287" s="2">
        <f t="shared" si="50"/>
        <v>1286</v>
      </c>
      <c r="B1287" s="2"/>
      <c r="C1287" s="2"/>
      <c r="D1287" s="2"/>
      <c r="E1287" s="2"/>
      <c r="F1287" s="2"/>
      <c r="G1287" s="2"/>
      <c r="H1287" s="2" t="str">
        <f t="shared" si="51"/>
        <v>0 г. 0 мес. 0 дн.</v>
      </c>
      <c r="I1287" s="2"/>
      <c r="J1287" s="2"/>
      <c r="K1287" s="2"/>
      <c r="L1287" s="2"/>
      <c r="M1287" s="2"/>
      <c r="N1287" s="1">
        <v>0</v>
      </c>
      <c r="O1287" s="2"/>
      <c r="P1287" s="2"/>
      <c r="Q1287" s="2">
        <v>0</v>
      </c>
      <c r="R1287" s="6"/>
    </row>
    <row r="1288" spans="1:18" x14ac:dyDescent="0.25">
      <c r="A1288" s="2">
        <f t="shared" si="50"/>
        <v>1287</v>
      </c>
      <c r="B1288" s="2"/>
      <c r="C1288" s="2"/>
      <c r="D1288" s="2"/>
      <c r="E1288" s="2"/>
      <c r="F1288" s="2"/>
      <c r="G1288" s="2"/>
      <c r="H1288" s="2" t="str">
        <f t="shared" si="51"/>
        <v>0 г. 0 мес. 0 дн.</v>
      </c>
      <c r="I1288" s="2"/>
      <c r="J1288" s="2"/>
      <c r="K1288" s="2"/>
      <c r="L1288" s="2"/>
      <c r="M1288" s="2"/>
      <c r="N1288" s="1">
        <v>0</v>
      </c>
      <c r="O1288" s="2"/>
      <c r="P1288" s="2"/>
      <c r="Q1288" s="2">
        <v>0</v>
      </c>
      <c r="R1288" s="6"/>
    </row>
    <row r="1289" spans="1:18" x14ac:dyDescent="0.25">
      <c r="A1289" s="2">
        <f t="shared" si="50"/>
        <v>1288</v>
      </c>
      <c r="B1289" s="2"/>
      <c r="C1289" s="2"/>
      <c r="D1289" s="2"/>
      <c r="E1289" s="2"/>
      <c r="F1289" s="2"/>
      <c r="G1289" s="2"/>
      <c r="H1289" s="2" t="str">
        <f t="shared" si="51"/>
        <v>0 г. 0 мес. 0 дн.</v>
      </c>
      <c r="I1289" s="2"/>
      <c r="J1289" s="2"/>
      <c r="K1289" s="2"/>
      <c r="L1289" s="2"/>
      <c r="M1289" s="2"/>
      <c r="N1289" s="1">
        <v>0</v>
      </c>
      <c r="O1289" s="2"/>
      <c r="P1289" s="2"/>
      <c r="Q1289" s="2">
        <v>0</v>
      </c>
      <c r="R1289" s="6"/>
    </row>
    <row r="1290" spans="1:18" x14ac:dyDescent="0.25">
      <c r="A1290" s="2">
        <f t="shared" si="50"/>
        <v>1289</v>
      </c>
      <c r="B1290" s="2"/>
      <c r="C1290" s="2"/>
      <c r="D1290" s="2"/>
      <c r="E1290" s="2"/>
      <c r="F1290" s="2"/>
      <c r="G1290" s="2"/>
      <c r="H1290" s="2" t="str">
        <f t="shared" si="51"/>
        <v>0 г. 0 мес. 0 дн.</v>
      </c>
      <c r="I1290" s="2"/>
      <c r="J1290" s="2"/>
      <c r="K1290" s="2"/>
      <c r="L1290" s="2"/>
      <c r="M1290" s="2"/>
      <c r="N1290" s="1">
        <v>0</v>
      </c>
      <c r="O1290" s="2"/>
      <c r="P1290" s="2"/>
      <c r="Q1290" s="2">
        <v>0</v>
      </c>
      <c r="R1290" s="6"/>
    </row>
    <row r="1291" spans="1:18" x14ac:dyDescent="0.25">
      <c r="A1291" s="2">
        <f t="shared" si="50"/>
        <v>1290</v>
      </c>
      <c r="B1291" s="2"/>
      <c r="C1291" s="2"/>
      <c r="D1291" s="2"/>
      <c r="E1291" s="2"/>
      <c r="F1291" s="2"/>
      <c r="G1291" s="2"/>
      <c r="H1291" s="2" t="str">
        <f t="shared" si="51"/>
        <v>0 г. 0 мес. 0 дн.</v>
      </c>
      <c r="I1291" s="2"/>
      <c r="J1291" s="2"/>
      <c r="K1291" s="2"/>
      <c r="L1291" s="2"/>
      <c r="M1291" s="2"/>
      <c r="N1291" s="1">
        <v>0</v>
      </c>
      <c r="O1291" s="2"/>
      <c r="P1291" s="2"/>
      <c r="Q1291" s="2">
        <v>0</v>
      </c>
      <c r="R1291" s="6"/>
    </row>
    <row r="1292" spans="1:18" x14ac:dyDescent="0.25">
      <c r="A1292" s="2">
        <f t="shared" si="50"/>
        <v>1291</v>
      </c>
      <c r="B1292" s="2"/>
      <c r="C1292" s="2"/>
      <c r="D1292" s="2"/>
      <c r="E1292" s="2"/>
      <c r="F1292" s="2"/>
      <c r="G1292" s="2"/>
      <c r="H1292" s="2" t="str">
        <f t="shared" si="51"/>
        <v>0 г. 0 мес. 0 дн.</v>
      </c>
      <c r="I1292" s="2"/>
      <c r="J1292" s="2"/>
      <c r="K1292" s="2"/>
      <c r="L1292" s="2"/>
      <c r="M1292" s="2"/>
      <c r="N1292" s="1">
        <v>0</v>
      </c>
      <c r="O1292" s="2"/>
      <c r="P1292" s="2"/>
      <c r="Q1292" s="2">
        <v>0</v>
      </c>
      <c r="R1292" s="6"/>
    </row>
    <row r="1293" spans="1:18" x14ac:dyDescent="0.25">
      <c r="A1293" s="2">
        <f t="shared" si="50"/>
        <v>1292</v>
      </c>
      <c r="B1293" s="2"/>
      <c r="C1293" s="2"/>
      <c r="D1293" s="2"/>
      <c r="E1293" s="2"/>
      <c r="F1293" s="2"/>
      <c r="G1293" s="2"/>
      <c r="H1293" s="2" t="str">
        <f t="shared" si="51"/>
        <v>0 г. 0 мес. 0 дн.</v>
      </c>
      <c r="I1293" s="2"/>
      <c r="J1293" s="2"/>
      <c r="K1293" s="2"/>
      <c r="L1293" s="2"/>
      <c r="M1293" s="2"/>
      <c r="N1293" s="1">
        <v>0</v>
      </c>
      <c r="O1293" s="2"/>
      <c r="P1293" s="2"/>
      <c r="Q1293" s="2">
        <v>0</v>
      </c>
      <c r="R1293" s="6"/>
    </row>
    <row r="1294" spans="1:18" x14ac:dyDescent="0.25">
      <c r="A1294" s="2">
        <f t="shared" si="50"/>
        <v>1293</v>
      </c>
      <c r="B1294" s="2"/>
      <c r="C1294" s="2"/>
      <c r="D1294" s="2"/>
      <c r="E1294" s="2"/>
      <c r="F1294" s="2"/>
      <c r="G1294" s="2"/>
      <c r="H1294" s="2" t="str">
        <f t="shared" si="51"/>
        <v>0 г. 0 мес. 0 дн.</v>
      </c>
      <c r="I1294" s="2"/>
      <c r="J1294" s="2"/>
      <c r="K1294" s="2"/>
      <c r="L1294" s="2"/>
      <c r="M1294" s="2"/>
      <c r="N1294" s="1">
        <v>0</v>
      </c>
      <c r="O1294" s="2"/>
      <c r="P1294" s="2"/>
      <c r="Q1294" s="2">
        <v>0</v>
      </c>
      <c r="R1294" s="6"/>
    </row>
    <row r="1295" spans="1:18" x14ac:dyDescent="0.25">
      <c r="A1295" s="2">
        <f t="shared" si="50"/>
        <v>1294</v>
      </c>
      <c r="B1295" s="2"/>
      <c r="C1295" s="2"/>
      <c r="D1295" s="2"/>
      <c r="E1295" s="2"/>
      <c r="F1295" s="2"/>
      <c r="G1295" s="2"/>
      <c r="H1295" s="2" t="str">
        <f t="shared" si="51"/>
        <v>0 г. 0 мес. 0 дн.</v>
      </c>
      <c r="I1295" s="2"/>
      <c r="J1295" s="2"/>
      <c r="K1295" s="2"/>
      <c r="L1295" s="2"/>
      <c r="M1295" s="2"/>
      <c r="N1295" s="1">
        <v>0</v>
      </c>
      <c r="O1295" s="2"/>
      <c r="P1295" s="2"/>
      <c r="Q1295" s="2">
        <v>0</v>
      </c>
      <c r="R1295" s="6"/>
    </row>
    <row r="1296" spans="1:18" x14ac:dyDescent="0.25">
      <c r="A1296" s="2">
        <f t="shared" si="50"/>
        <v>1295</v>
      </c>
      <c r="B1296" s="2"/>
      <c r="C1296" s="2"/>
      <c r="D1296" s="2"/>
      <c r="E1296" s="2"/>
      <c r="F1296" s="2"/>
      <c r="G1296" s="2"/>
      <c r="H1296" s="2" t="str">
        <f t="shared" si="51"/>
        <v>0 г. 0 мес. 0 дн.</v>
      </c>
      <c r="I1296" s="2"/>
      <c r="J1296" s="2"/>
      <c r="K1296" s="2"/>
      <c r="L1296" s="2"/>
      <c r="M1296" s="2"/>
      <c r="N1296" s="1">
        <v>0</v>
      </c>
      <c r="O1296" s="2"/>
      <c r="P1296" s="2"/>
      <c r="Q1296" s="2">
        <v>0</v>
      </c>
      <c r="R1296" s="6"/>
    </row>
    <row r="1297" spans="1:18" x14ac:dyDescent="0.25">
      <c r="A1297" s="2">
        <f t="shared" si="50"/>
        <v>1296</v>
      </c>
      <c r="B1297" s="2"/>
      <c r="C1297" s="2"/>
      <c r="D1297" s="2"/>
      <c r="E1297" s="2"/>
      <c r="F1297" s="2"/>
      <c r="G1297" s="2"/>
      <c r="H1297" s="2" t="str">
        <f t="shared" si="51"/>
        <v>0 г. 0 мес. 0 дн.</v>
      </c>
      <c r="I1297" s="2"/>
      <c r="J1297" s="2"/>
      <c r="K1297" s="2"/>
      <c r="L1297" s="2"/>
      <c r="M1297" s="2"/>
      <c r="N1297" s="1">
        <v>0</v>
      </c>
      <c r="O1297" s="2"/>
      <c r="P1297" s="2"/>
      <c r="Q1297" s="2">
        <v>0</v>
      </c>
      <c r="R1297" s="6"/>
    </row>
    <row r="1298" spans="1:18" x14ac:dyDescent="0.25">
      <c r="A1298" s="2">
        <f t="shared" si="50"/>
        <v>1297</v>
      </c>
      <c r="B1298" s="2"/>
      <c r="C1298" s="2"/>
      <c r="D1298" s="2"/>
      <c r="E1298" s="2"/>
      <c r="F1298" s="2"/>
      <c r="G1298" s="2"/>
      <c r="H1298" s="2" t="str">
        <f t="shared" si="51"/>
        <v>0 г. 0 мес. 0 дн.</v>
      </c>
      <c r="I1298" s="2"/>
      <c r="J1298" s="2"/>
      <c r="K1298" s="2"/>
      <c r="L1298" s="2"/>
      <c r="M1298" s="2"/>
      <c r="N1298" s="1">
        <v>0</v>
      </c>
      <c r="O1298" s="2"/>
      <c r="P1298" s="2"/>
      <c r="Q1298" s="2">
        <v>0</v>
      </c>
      <c r="R1298" s="6"/>
    </row>
    <row r="1299" spans="1:18" x14ac:dyDescent="0.25">
      <c r="A1299" s="2">
        <f t="shared" si="50"/>
        <v>1298</v>
      </c>
      <c r="B1299" s="2"/>
      <c r="C1299" s="2"/>
      <c r="D1299" s="2"/>
      <c r="E1299" s="2"/>
      <c r="F1299" s="2"/>
      <c r="G1299" s="2"/>
      <c r="H1299" s="2" t="str">
        <f t="shared" si="51"/>
        <v>0 г. 0 мес. 0 дн.</v>
      </c>
      <c r="I1299" s="2"/>
      <c r="J1299" s="2"/>
      <c r="K1299" s="2"/>
      <c r="L1299" s="2"/>
      <c r="M1299" s="2"/>
      <c r="N1299" s="1">
        <v>0</v>
      </c>
      <c r="O1299" s="2"/>
      <c r="P1299" s="2"/>
      <c r="Q1299" s="2">
        <v>0</v>
      </c>
      <c r="R1299" s="6"/>
    </row>
    <row r="1300" spans="1:18" x14ac:dyDescent="0.25">
      <c r="A1300" s="2">
        <f t="shared" si="50"/>
        <v>1299</v>
      </c>
      <c r="B1300" s="2"/>
      <c r="C1300" s="2"/>
      <c r="D1300" s="2"/>
      <c r="E1300" s="2"/>
      <c r="F1300" s="2"/>
      <c r="G1300" s="2"/>
      <c r="H1300" s="2" t="str">
        <f t="shared" si="51"/>
        <v>0 г. 0 мес. 0 дн.</v>
      </c>
      <c r="I1300" s="2"/>
      <c r="J1300" s="2"/>
      <c r="K1300" s="2"/>
      <c r="L1300" s="2"/>
      <c r="M1300" s="2"/>
      <c r="N1300" s="1">
        <v>0</v>
      </c>
      <c r="O1300" s="2"/>
      <c r="P1300" s="2"/>
      <c r="Q1300" s="2">
        <v>0</v>
      </c>
      <c r="R1300" s="6"/>
    </row>
    <row r="1301" spans="1:18" x14ac:dyDescent="0.25">
      <c r="A1301" s="2">
        <f t="shared" si="50"/>
        <v>1300</v>
      </c>
      <c r="B1301" s="2"/>
      <c r="C1301" s="2"/>
      <c r="D1301" s="2"/>
      <c r="E1301" s="2"/>
      <c r="F1301" s="2"/>
      <c r="G1301" s="2"/>
      <c r="H1301" s="2" t="str">
        <f t="shared" si="51"/>
        <v>0 г. 0 мес. 0 дн.</v>
      </c>
      <c r="I1301" s="2"/>
      <c r="J1301" s="2"/>
      <c r="K1301" s="2"/>
      <c r="L1301" s="2"/>
      <c r="M1301" s="2"/>
      <c r="N1301" s="1">
        <v>0</v>
      </c>
      <c r="O1301" s="2"/>
      <c r="P1301" s="2"/>
      <c r="Q1301" s="2">
        <v>0</v>
      </c>
      <c r="R1301" s="6"/>
    </row>
    <row r="1302" spans="1:18" x14ac:dyDescent="0.25">
      <c r="A1302" s="2">
        <f t="shared" si="50"/>
        <v>1301</v>
      </c>
      <c r="B1302" s="2"/>
      <c r="C1302" s="2"/>
      <c r="D1302" s="2"/>
      <c r="E1302" s="2"/>
      <c r="F1302" s="2"/>
      <c r="G1302" s="2"/>
      <c r="H1302" s="2" t="str">
        <f t="shared" si="51"/>
        <v>0 г. 0 мес. 0 дн.</v>
      </c>
      <c r="I1302" s="2"/>
      <c r="J1302" s="2"/>
      <c r="K1302" s="2"/>
      <c r="L1302" s="2"/>
      <c r="M1302" s="2"/>
      <c r="N1302" s="1">
        <v>0</v>
      </c>
      <c r="O1302" s="2"/>
      <c r="P1302" s="2"/>
      <c r="Q1302" s="2">
        <v>0</v>
      </c>
      <c r="R1302" s="6"/>
    </row>
    <row r="1303" spans="1:18" x14ac:dyDescent="0.25">
      <c r="A1303" s="2">
        <f t="shared" si="50"/>
        <v>1302</v>
      </c>
      <c r="B1303" s="2"/>
      <c r="C1303" s="2"/>
      <c r="D1303" s="2"/>
      <c r="E1303" s="2"/>
      <c r="F1303" s="2"/>
      <c r="G1303" s="2"/>
      <c r="H1303" s="2" t="str">
        <f t="shared" si="51"/>
        <v>0 г. 0 мес. 0 дн.</v>
      </c>
      <c r="I1303" s="2"/>
      <c r="J1303" s="2"/>
      <c r="K1303" s="2"/>
      <c r="L1303" s="2"/>
      <c r="M1303" s="2"/>
      <c r="N1303" s="1">
        <v>0</v>
      </c>
      <c r="O1303" s="2"/>
      <c r="P1303" s="2"/>
      <c r="Q1303" s="2">
        <v>0</v>
      </c>
      <c r="R1303" s="6"/>
    </row>
    <row r="1304" spans="1:18" x14ac:dyDescent="0.25">
      <c r="A1304" s="2">
        <f t="shared" si="50"/>
        <v>1303</v>
      </c>
      <c r="B1304" s="2"/>
      <c r="C1304" s="2"/>
      <c r="D1304" s="2"/>
      <c r="E1304" s="2"/>
      <c r="F1304" s="2"/>
      <c r="G1304" s="2"/>
      <c r="H1304" s="2" t="str">
        <f t="shared" si="51"/>
        <v>0 г. 0 мес. 0 дн.</v>
      </c>
      <c r="I1304" s="2"/>
      <c r="J1304" s="2"/>
      <c r="K1304" s="2"/>
      <c r="L1304" s="2"/>
      <c r="M1304" s="2"/>
      <c r="N1304" s="1">
        <v>0</v>
      </c>
      <c r="O1304" s="2"/>
      <c r="P1304" s="2"/>
      <c r="Q1304" s="2">
        <v>0</v>
      </c>
      <c r="R1304" s="6"/>
    </row>
    <row r="1305" spans="1:18" x14ac:dyDescent="0.25">
      <c r="A1305" s="2">
        <f t="shared" si="50"/>
        <v>1304</v>
      </c>
      <c r="B1305" s="2"/>
      <c r="C1305" s="2"/>
      <c r="D1305" s="2"/>
      <c r="E1305" s="2"/>
      <c r="F1305" s="2"/>
      <c r="G1305" s="2"/>
      <c r="H1305" s="2" t="str">
        <f t="shared" si="51"/>
        <v>0 г. 0 мес. 0 дн.</v>
      </c>
      <c r="I1305" s="2"/>
      <c r="J1305" s="2"/>
      <c r="K1305" s="2"/>
      <c r="L1305" s="2"/>
      <c r="M1305" s="2"/>
      <c r="N1305" s="1">
        <v>0</v>
      </c>
      <c r="O1305" s="2"/>
      <c r="P1305" s="2"/>
      <c r="Q1305" s="2">
        <v>0</v>
      </c>
      <c r="R1305" s="6"/>
    </row>
    <row r="1306" spans="1:18" x14ac:dyDescent="0.25">
      <c r="A1306" s="2">
        <f t="shared" si="50"/>
        <v>1305</v>
      </c>
      <c r="B1306" s="2"/>
      <c r="C1306" s="2"/>
      <c r="D1306" s="2"/>
      <c r="E1306" s="2"/>
      <c r="F1306" s="2"/>
      <c r="G1306" s="2"/>
      <c r="H1306" s="2" t="str">
        <f t="shared" si="51"/>
        <v>0 г. 0 мес. 0 дн.</v>
      </c>
      <c r="I1306" s="2"/>
      <c r="J1306" s="2"/>
      <c r="K1306" s="2"/>
      <c r="L1306" s="2"/>
      <c r="M1306" s="2"/>
      <c r="N1306" s="1">
        <v>0</v>
      </c>
      <c r="O1306" s="2"/>
      <c r="P1306" s="2"/>
      <c r="Q1306" s="2">
        <v>0</v>
      </c>
      <c r="R1306" s="6"/>
    </row>
    <row r="1307" spans="1:18" x14ac:dyDescent="0.25">
      <c r="A1307" s="2">
        <f t="shared" si="50"/>
        <v>1306</v>
      </c>
      <c r="B1307" s="2"/>
      <c r="C1307" s="2"/>
      <c r="D1307" s="2"/>
      <c r="E1307" s="2"/>
      <c r="F1307" s="2"/>
      <c r="G1307" s="2"/>
      <c r="H1307" s="2" t="str">
        <f t="shared" si="51"/>
        <v>0 г. 0 мес. 0 дн.</v>
      </c>
      <c r="I1307" s="2"/>
      <c r="J1307" s="2"/>
      <c r="K1307" s="2"/>
      <c r="L1307" s="2"/>
      <c r="M1307" s="2"/>
      <c r="N1307" s="1">
        <v>0</v>
      </c>
      <c r="O1307" s="2"/>
      <c r="P1307" s="2"/>
      <c r="Q1307" s="2">
        <v>0</v>
      </c>
      <c r="R1307" s="6"/>
    </row>
    <row r="1308" spans="1:18" x14ac:dyDescent="0.25">
      <c r="A1308" s="2">
        <f t="shared" si="50"/>
        <v>1307</v>
      </c>
      <c r="B1308" s="2"/>
      <c r="C1308" s="2"/>
      <c r="D1308" s="2"/>
      <c r="E1308" s="2"/>
      <c r="F1308" s="2"/>
      <c r="G1308" s="2"/>
      <c r="H1308" s="2" t="str">
        <f t="shared" si="51"/>
        <v>0 г. 0 мес. 0 дн.</v>
      </c>
      <c r="I1308" s="2"/>
      <c r="J1308" s="2"/>
      <c r="K1308" s="2"/>
      <c r="L1308" s="2"/>
      <c r="M1308" s="2"/>
      <c r="N1308" s="1">
        <v>0</v>
      </c>
      <c r="O1308" s="2"/>
      <c r="P1308" s="2"/>
      <c r="Q1308" s="2">
        <v>0</v>
      </c>
      <c r="R1308" s="6"/>
    </row>
    <row r="1309" spans="1:18" x14ac:dyDescent="0.25">
      <c r="A1309" s="2">
        <f t="shared" ref="A1309:A1372" si="52">ROW(A1308)</f>
        <v>1308</v>
      </c>
      <c r="B1309" s="2"/>
      <c r="C1309" s="2"/>
      <c r="D1309" s="2"/>
      <c r="E1309" s="2"/>
      <c r="F1309" s="2"/>
      <c r="G1309" s="2"/>
      <c r="H1309" s="2" t="str">
        <f t="shared" si="51"/>
        <v>0 г. 0 мес. 0 дн.</v>
      </c>
      <c r="I1309" s="2"/>
      <c r="J1309" s="2"/>
      <c r="K1309" s="2"/>
      <c r="L1309" s="2"/>
      <c r="M1309" s="2"/>
      <c r="N1309" s="1">
        <v>0</v>
      </c>
      <c r="O1309" s="2"/>
      <c r="P1309" s="2"/>
      <c r="Q1309" s="2">
        <v>0</v>
      </c>
      <c r="R1309" s="6"/>
    </row>
    <row r="1310" spans="1:18" x14ac:dyDescent="0.25">
      <c r="A1310" s="2">
        <f t="shared" si="52"/>
        <v>1309</v>
      </c>
      <c r="B1310" s="2"/>
      <c r="C1310" s="2"/>
      <c r="D1310" s="2"/>
      <c r="E1310" s="2"/>
      <c r="F1310" s="2"/>
      <c r="G1310" s="2"/>
      <c r="H1310" s="2" t="str">
        <f t="shared" si="51"/>
        <v>0 г. 0 мес. 0 дн.</v>
      </c>
      <c r="I1310" s="2"/>
      <c r="J1310" s="2"/>
      <c r="K1310" s="2"/>
      <c r="L1310" s="2"/>
      <c r="M1310" s="2"/>
      <c r="N1310" s="1">
        <v>0</v>
      </c>
      <c r="O1310" s="2"/>
      <c r="P1310" s="2"/>
      <c r="Q1310" s="2">
        <v>0</v>
      </c>
      <c r="R1310" s="6"/>
    </row>
    <row r="1311" spans="1:18" x14ac:dyDescent="0.25">
      <c r="A1311" s="2">
        <f t="shared" si="52"/>
        <v>1310</v>
      </c>
      <c r="B1311" s="2"/>
      <c r="C1311" s="2"/>
      <c r="D1311" s="2"/>
      <c r="E1311" s="2"/>
      <c r="F1311" s="2"/>
      <c r="G1311" s="2"/>
      <c r="H1311" s="2" t="str">
        <f t="shared" si="51"/>
        <v>0 г. 0 мес. 0 дн.</v>
      </c>
      <c r="I1311" s="2"/>
      <c r="J1311" s="2"/>
      <c r="K1311" s="2"/>
      <c r="L1311" s="2"/>
      <c r="M1311" s="2"/>
      <c r="N1311" s="1">
        <v>0</v>
      </c>
      <c r="O1311" s="2"/>
      <c r="P1311" s="2"/>
      <c r="Q1311" s="2">
        <v>0</v>
      </c>
      <c r="R1311" s="6"/>
    </row>
    <row r="1312" spans="1:18" x14ac:dyDescent="0.25">
      <c r="A1312" s="2">
        <f t="shared" si="52"/>
        <v>1311</v>
      </c>
      <c r="B1312" s="2"/>
      <c r="C1312" s="2"/>
      <c r="D1312" s="2"/>
      <c r="E1312" s="2"/>
      <c r="F1312" s="2"/>
      <c r="G1312" s="2"/>
      <c r="H1312" s="2" t="str">
        <f t="shared" si="51"/>
        <v>0 г. 0 мес. 0 дн.</v>
      </c>
      <c r="I1312" s="2"/>
      <c r="J1312" s="2"/>
      <c r="K1312" s="2"/>
      <c r="L1312" s="2"/>
      <c r="M1312" s="2"/>
      <c r="N1312" s="1">
        <v>0</v>
      </c>
      <c r="O1312" s="2"/>
      <c r="P1312" s="2"/>
      <c r="Q1312" s="2">
        <v>0</v>
      </c>
      <c r="R1312" s="6"/>
    </row>
    <row r="1313" spans="1:18" x14ac:dyDescent="0.25">
      <c r="A1313" s="2">
        <f t="shared" si="52"/>
        <v>1312</v>
      </c>
      <c r="B1313" s="2"/>
      <c r="C1313" s="2"/>
      <c r="D1313" s="2"/>
      <c r="E1313" s="2"/>
      <c r="F1313" s="2"/>
      <c r="G1313" s="2"/>
      <c r="H1313" s="2" t="str">
        <f t="shared" si="51"/>
        <v>0 г. 0 мес. 0 дн.</v>
      </c>
      <c r="I1313" s="2"/>
      <c r="J1313" s="2"/>
      <c r="K1313" s="2"/>
      <c r="L1313" s="2"/>
      <c r="M1313" s="2"/>
      <c r="N1313" s="1">
        <v>0</v>
      </c>
      <c r="O1313" s="2"/>
      <c r="P1313" s="2"/>
      <c r="Q1313" s="2">
        <v>0</v>
      </c>
      <c r="R1313" s="6"/>
    </row>
    <row r="1314" spans="1:18" x14ac:dyDescent="0.25">
      <c r="A1314" s="2">
        <f t="shared" si="52"/>
        <v>1313</v>
      </c>
      <c r="B1314" s="2"/>
      <c r="C1314" s="2"/>
      <c r="D1314" s="2"/>
      <c r="E1314" s="2"/>
      <c r="F1314" s="2"/>
      <c r="G1314" s="2"/>
      <c r="H1314" s="2" t="str">
        <f t="shared" si="51"/>
        <v>0 г. 0 мес. 0 дн.</v>
      </c>
      <c r="I1314" s="2"/>
      <c r="J1314" s="2"/>
      <c r="K1314" s="2"/>
      <c r="L1314" s="2"/>
      <c r="M1314" s="2"/>
      <c r="N1314" s="1">
        <v>0</v>
      </c>
      <c r="O1314" s="2"/>
      <c r="P1314" s="2"/>
      <c r="Q1314" s="2">
        <v>0</v>
      </c>
      <c r="R1314" s="6"/>
    </row>
    <row r="1315" spans="1:18" x14ac:dyDescent="0.25">
      <c r="A1315" s="2">
        <f t="shared" si="52"/>
        <v>1314</v>
      </c>
      <c r="B1315" s="2"/>
      <c r="C1315" s="2"/>
      <c r="D1315" s="2"/>
      <c r="E1315" s="2"/>
      <c r="F1315" s="2"/>
      <c r="G1315" s="2"/>
      <c r="H1315" s="2" t="str">
        <f t="shared" si="51"/>
        <v>0 г. 0 мес. 0 дн.</v>
      </c>
      <c r="I1315" s="2"/>
      <c r="J1315" s="2"/>
      <c r="K1315" s="2"/>
      <c r="L1315" s="2"/>
      <c r="M1315" s="2"/>
      <c r="N1315" s="1">
        <v>0</v>
      </c>
      <c r="O1315" s="2"/>
      <c r="P1315" s="2"/>
      <c r="Q1315" s="2">
        <v>0</v>
      </c>
      <c r="R1315" s="6"/>
    </row>
    <row r="1316" spans="1:18" x14ac:dyDescent="0.25">
      <c r="A1316" s="2">
        <f t="shared" si="52"/>
        <v>1315</v>
      </c>
      <c r="B1316" s="2"/>
      <c r="C1316" s="2"/>
      <c r="D1316" s="2"/>
      <c r="E1316" s="2"/>
      <c r="F1316" s="2"/>
      <c r="G1316" s="2"/>
      <c r="H1316" s="2" t="str">
        <f t="shared" si="51"/>
        <v>0 г. 0 мес. 0 дн.</v>
      </c>
      <c r="I1316" s="2"/>
      <c r="J1316" s="2"/>
      <c r="K1316" s="2"/>
      <c r="L1316" s="2"/>
      <c r="M1316" s="2"/>
      <c r="N1316" s="1">
        <v>0</v>
      </c>
      <c r="O1316" s="2"/>
      <c r="P1316" s="2"/>
      <c r="Q1316" s="2">
        <v>0</v>
      </c>
      <c r="R1316" s="6"/>
    </row>
    <row r="1317" spans="1:18" x14ac:dyDescent="0.25">
      <c r="A1317" s="2">
        <f t="shared" si="52"/>
        <v>1316</v>
      </c>
      <c r="B1317" s="2"/>
      <c r="C1317" s="2"/>
      <c r="D1317" s="2"/>
      <c r="E1317" s="2"/>
      <c r="F1317" s="2"/>
      <c r="G1317" s="2"/>
      <c r="H1317" s="2" t="str">
        <f t="shared" si="51"/>
        <v>0 г. 0 мес. 0 дн.</v>
      </c>
      <c r="I1317" s="2"/>
      <c r="J1317" s="2"/>
      <c r="K1317" s="2"/>
      <c r="L1317" s="2"/>
      <c r="M1317" s="2"/>
      <c r="N1317" s="1">
        <v>0</v>
      </c>
      <c r="O1317" s="2"/>
      <c r="P1317" s="2"/>
      <c r="Q1317" s="2">
        <v>0</v>
      </c>
      <c r="R1317" s="6"/>
    </row>
    <row r="1318" spans="1:18" x14ac:dyDescent="0.25">
      <c r="A1318" s="2">
        <f t="shared" si="52"/>
        <v>1317</v>
      </c>
      <c r="B1318" s="2"/>
      <c r="C1318" s="2"/>
      <c r="D1318" s="2"/>
      <c r="E1318" s="2"/>
      <c r="F1318" s="2"/>
      <c r="G1318" s="2"/>
      <c r="H1318" s="2" t="str">
        <f t="shared" si="51"/>
        <v>0 г. 0 мес. 0 дн.</v>
      </c>
      <c r="I1318" s="2"/>
      <c r="J1318" s="2"/>
      <c r="K1318" s="2"/>
      <c r="L1318" s="2"/>
      <c r="M1318" s="2"/>
      <c r="N1318" s="1">
        <v>0</v>
      </c>
      <c r="O1318" s="2"/>
      <c r="P1318" s="2"/>
      <c r="Q1318" s="2">
        <v>0</v>
      </c>
      <c r="R1318" s="6"/>
    </row>
    <row r="1319" spans="1:18" x14ac:dyDescent="0.25">
      <c r="A1319" s="2">
        <f t="shared" si="52"/>
        <v>1318</v>
      </c>
      <c r="B1319" s="2"/>
      <c r="C1319" s="2"/>
      <c r="D1319" s="2"/>
      <c r="E1319" s="2"/>
      <c r="F1319" s="2"/>
      <c r="G1319" s="2"/>
      <c r="H1319" s="2" t="str">
        <f t="shared" si="51"/>
        <v>0 г. 0 мес. 0 дн.</v>
      </c>
      <c r="I1319" s="2"/>
      <c r="J1319" s="2"/>
      <c r="K1319" s="2"/>
      <c r="L1319" s="2"/>
      <c r="M1319" s="2"/>
      <c r="N1319" s="1">
        <v>0</v>
      </c>
      <c r="O1319" s="2"/>
      <c r="P1319" s="2"/>
      <c r="Q1319" s="2">
        <v>0</v>
      </c>
      <c r="R1319" s="6"/>
    </row>
    <row r="1320" spans="1:18" x14ac:dyDescent="0.25">
      <c r="A1320" s="2">
        <f t="shared" si="52"/>
        <v>1319</v>
      </c>
      <c r="B1320" s="2"/>
      <c r="C1320" s="2"/>
      <c r="D1320" s="2"/>
      <c r="E1320" s="2"/>
      <c r="F1320" s="2"/>
      <c r="G1320" s="2"/>
      <c r="H1320" s="2" t="str">
        <f t="shared" si="51"/>
        <v>0 г. 0 мес. 0 дн.</v>
      </c>
      <c r="I1320" s="2"/>
      <c r="J1320" s="2"/>
      <c r="K1320" s="2"/>
      <c r="L1320" s="2"/>
      <c r="M1320" s="2"/>
      <c r="N1320" s="1">
        <v>0</v>
      </c>
      <c r="O1320" s="2"/>
      <c r="P1320" s="2"/>
      <c r="Q1320" s="2">
        <v>0</v>
      </c>
      <c r="R1320" s="6"/>
    </row>
    <row r="1321" spans="1:18" x14ac:dyDescent="0.25">
      <c r="A1321" s="2">
        <f t="shared" si="52"/>
        <v>1320</v>
      </c>
      <c r="B1321" s="2"/>
      <c r="C1321" s="2"/>
      <c r="D1321" s="2"/>
      <c r="E1321" s="2"/>
      <c r="F1321" s="2"/>
      <c r="G1321" s="2"/>
      <c r="H1321" s="2" t="str">
        <f t="shared" si="51"/>
        <v>0 г. 0 мес. 0 дн.</v>
      </c>
      <c r="I1321" s="2"/>
      <c r="J1321" s="2"/>
      <c r="K1321" s="2"/>
      <c r="L1321" s="2"/>
      <c r="M1321" s="2"/>
      <c r="N1321" s="1">
        <v>0</v>
      </c>
      <c r="O1321" s="2"/>
      <c r="P1321" s="2"/>
      <c r="Q1321" s="2">
        <v>0</v>
      </c>
      <c r="R1321" s="6"/>
    </row>
    <row r="1322" spans="1:18" x14ac:dyDescent="0.25">
      <c r="A1322" s="2">
        <f t="shared" si="52"/>
        <v>1321</v>
      </c>
      <c r="B1322" s="2"/>
      <c r="C1322" s="2"/>
      <c r="D1322" s="2"/>
      <c r="E1322" s="2"/>
      <c r="F1322" s="2"/>
      <c r="G1322" s="2"/>
      <c r="H1322" s="2" t="str">
        <f t="shared" si="51"/>
        <v>0 г. 0 мес. 0 дн.</v>
      </c>
      <c r="I1322" s="2"/>
      <c r="J1322" s="2"/>
      <c r="K1322" s="2"/>
      <c r="L1322" s="2"/>
      <c r="M1322" s="2"/>
      <c r="N1322" s="1">
        <v>0</v>
      </c>
      <c r="O1322" s="2"/>
      <c r="P1322" s="2"/>
      <c r="Q1322" s="2">
        <v>0</v>
      </c>
      <c r="R1322" s="6"/>
    </row>
    <row r="1323" spans="1:18" x14ac:dyDescent="0.25">
      <c r="A1323" s="2">
        <f t="shared" si="52"/>
        <v>1322</v>
      </c>
      <c r="B1323" s="2"/>
      <c r="C1323" s="2"/>
      <c r="D1323" s="2"/>
      <c r="E1323" s="2"/>
      <c r="F1323" s="2"/>
      <c r="G1323" s="2"/>
      <c r="H1323" s="2" t="str">
        <f t="shared" si="51"/>
        <v>0 г. 0 мес. 0 дн.</v>
      </c>
      <c r="I1323" s="2"/>
      <c r="J1323" s="2"/>
      <c r="K1323" s="2"/>
      <c r="L1323" s="2"/>
      <c r="M1323" s="2"/>
      <c r="N1323" s="1">
        <v>0</v>
      </c>
      <c r="O1323" s="2"/>
      <c r="P1323" s="2"/>
      <c r="Q1323" s="2">
        <v>0</v>
      </c>
      <c r="R1323" s="6"/>
    </row>
    <row r="1324" spans="1:18" x14ac:dyDescent="0.25">
      <c r="A1324" s="2">
        <f t="shared" si="52"/>
        <v>1323</v>
      </c>
      <c r="B1324" s="2"/>
      <c r="C1324" s="2"/>
      <c r="D1324" s="2"/>
      <c r="E1324" s="2"/>
      <c r="F1324" s="2"/>
      <c r="G1324" s="2"/>
      <c r="H1324" s="2" t="str">
        <f t="shared" si="51"/>
        <v>0 г. 0 мес. 0 дн.</v>
      </c>
      <c r="I1324" s="2"/>
      <c r="J1324" s="2"/>
      <c r="K1324" s="2"/>
      <c r="L1324" s="2"/>
      <c r="M1324" s="2"/>
      <c r="N1324" s="1">
        <v>0</v>
      </c>
      <c r="O1324" s="2"/>
      <c r="P1324" s="2"/>
      <c r="Q1324" s="2">
        <v>0</v>
      </c>
      <c r="R1324" s="6"/>
    </row>
    <row r="1325" spans="1:18" x14ac:dyDescent="0.25">
      <c r="A1325" s="2">
        <f t="shared" si="52"/>
        <v>1324</v>
      </c>
      <c r="B1325" s="2"/>
      <c r="C1325" s="2"/>
      <c r="D1325" s="2"/>
      <c r="E1325" s="2"/>
      <c r="F1325" s="2"/>
      <c r="G1325" s="2"/>
      <c r="H1325" s="2" t="str">
        <f t="shared" si="51"/>
        <v>0 г. 0 мес. 0 дн.</v>
      </c>
      <c r="I1325" s="2"/>
      <c r="J1325" s="2"/>
      <c r="K1325" s="2"/>
      <c r="L1325" s="2"/>
      <c r="M1325" s="2"/>
      <c r="N1325" s="1">
        <v>0</v>
      </c>
      <c r="O1325" s="2"/>
      <c r="P1325" s="2"/>
      <c r="Q1325" s="2">
        <v>0</v>
      </c>
      <c r="R1325" s="6"/>
    </row>
    <row r="1326" spans="1:18" x14ac:dyDescent="0.25">
      <c r="A1326" s="2">
        <f t="shared" si="52"/>
        <v>1325</v>
      </c>
      <c r="B1326" s="2"/>
      <c r="C1326" s="2"/>
      <c r="D1326" s="2"/>
      <c r="E1326" s="2"/>
      <c r="F1326" s="2"/>
      <c r="G1326" s="2"/>
      <c r="H1326" s="2" t="str">
        <f t="shared" si="51"/>
        <v>0 г. 0 мес. 0 дн.</v>
      </c>
      <c r="I1326" s="2"/>
      <c r="J1326" s="2"/>
      <c r="K1326" s="2"/>
      <c r="L1326" s="2"/>
      <c r="M1326" s="2"/>
      <c r="N1326" s="1">
        <v>0</v>
      </c>
      <c r="O1326" s="2"/>
      <c r="P1326" s="2"/>
      <c r="Q1326" s="2">
        <v>0</v>
      </c>
      <c r="R1326" s="6"/>
    </row>
    <row r="1327" spans="1:18" x14ac:dyDescent="0.25">
      <c r="A1327" s="2">
        <f t="shared" si="52"/>
        <v>1326</v>
      </c>
      <c r="B1327" s="2"/>
      <c r="C1327" s="2"/>
      <c r="D1327" s="2"/>
      <c r="E1327" s="2"/>
      <c r="F1327" s="2"/>
      <c r="G1327" s="2"/>
      <c r="H1327" s="2" t="str">
        <f t="shared" si="51"/>
        <v>0 г. 0 мес. 0 дн.</v>
      </c>
      <c r="I1327" s="2"/>
      <c r="J1327" s="2"/>
      <c r="K1327" s="2"/>
      <c r="L1327" s="2"/>
      <c r="M1327" s="2"/>
      <c r="N1327" s="1">
        <v>0</v>
      </c>
      <c r="O1327" s="2"/>
      <c r="P1327" s="2"/>
      <c r="Q1327" s="2">
        <v>0</v>
      </c>
      <c r="R1327" s="6"/>
    </row>
    <row r="1328" spans="1:18" x14ac:dyDescent="0.25">
      <c r="A1328" s="2">
        <f t="shared" si="52"/>
        <v>1327</v>
      </c>
      <c r="B1328" s="2"/>
      <c r="C1328" s="2"/>
      <c r="D1328" s="2"/>
      <c r="E1328" s="2"/>
      <c r="F1328" s="2"/>
      <c r="G1328" s="2"/>
      <c r="H1328" s="2" t="str">
        <f t="shared" si="51"/>
        <v>0 г. 0 мес. 0 дн.</v>
      </c>
      <c r="I1328" s="2"/>
      <c r="J1328" s="2"/>
      <c r="K1328" s="2"/>
      <c r="L1328" s="2"/>
      <c r="M1328" s="2"/>
      <c r="N1328" s="1">
        <v>0</v>
      </c>
      <c r="O1328" s="2"/>
      <c r="P1328" s="2"/>
      <c r="Q1328" s="2">
        <v>0</v>
      </c>
      <c r="R1328" s="6"/>
    </row>
    <row r="1329" spans="1:18" x14ac:dyDescent="0.25">
      <c r="A1329" s="2">
        <f t="shared" si="52"/>
        <v>1328</v>
      </c>
      <c r="B1329" s="2"/>
      <c r="C1329" s="2"/>
      <c r="D1329" s="2"/>
      <c r="E1329" s="2"/>
      <c r="F1329" s="2"/>
      <c r="G1329" s="2"/>
      <c r="H1329" s="2" t="str">
        <f t="shared" si="51"/>
        <v>0 г. 0 мес. 0 дн.</v>
      </c>
      <c r="I1329" s="2"/>
      <c r="J1329" s="2"/>
      <c r="K1329" s="2"/>
      <c r="L1329" s="2"/>
      <c r="M1329" s="2"/>
      <c r="N1329" s="1">
        <v>0</v>
      </c>
      <c r="O1329" s="2"/>
      <c r="P1329" s="2"/>
      <c r="Q1329" s="2">
        <v>0</v>
      </c>
      <c r="R1329" s="6"/>
    </row>
    <row r="1330" spans="1:18" x14ac:dyDescent="0.25">
      <c r="A1330" s="2">
        <f t="shared" si="52"/>
        <v>1329</v>
      </c>
      <c r="B1330" s="2"/>
      <c r="C1330" s="2"/>
      <c r="D1330" s="2"/>
      <c r="E1330" s="2"/>
      <c r="F1330" s="2"/>
      <c r="G1330" s="2"/>
      <c r="H1330" s="2" t="str">
        <f t="shared" si="51"/>
        <v>0 г. 0 мес. 0 дн.</v>
      </c>
      <c r="I1330" s="2"/>
      <c r="J1330" s="2"/>
      <c r="K1330" s="2"/>
      <c r="L1330" s="2"/>
      <c r="M1330" s="2"/>
      <c r="N1330" s="1">
        <v>0</v>
      </c>
      <c r="O1330" s="2"/>
      <c r="P1330" s="2"/>
      <c r="Q1330" s="2">
        <v>0</v>
      </c>
      <c r="R1330" s="6"/>
    </row>
    <row r="1331" spans="1:18" x14ac:dyDescent="0.25">
      <c r="A1331" s="2">
        <f t="shared" si="52"/>
        <v>1330</v>
      </c>
      <c r="B1331" s="2"/>
      <c r="C1331" s="2"/>
      <c r="D1331" s="2"/>
      <c r="E1331" s="2"/>
      <c r="F1331" s="2"/>
      <c r="G1331" s="2"/>
      <c r="H1331" s="2" t="str">
        <f t="shared" si="51"/>
        <v>0 г. 0 мес. 0 дн.</v>
      </c>
      <c r="I1331" s="2"/>
      <c r="J1331" s="2"/>
      <c r="K1331" s="2"/>
      <c r="L1331" s="2"/>
      <c r="M1331" s="2"/>
      <c r="N1331" s="1">
        <v>0</v>
      </c>
      <c r="O1331" s="2"/>
      <c r="P1331" s="2"/>
      <c r="Q1331" s="2">
        <v>0</v>
      </c>
      <c r="R1331" s="6"/>
    </row>
    <row r="1332" spans="1:18" x14ac:dyDescent="0.25">
      <c r="A1332" s="2">
        <f t="shared" si="52"/>
        <v>1331</v>
      </c>
      <c r="B1332" s="2"/>
      <c r="C1332" s="2"/>
      <c r="D1332" s="2"/>
      <c r="E1332" s="2"/>
      <c r="F1332" s="2"/>
      <c r="G1332" s="2"/>
      <c r="H1332" s="2" t="str">
        <f t="shared" si="51"/>
        <v>0 г. 0 мес. 0 дн.</v>
      </c>
      <c r="I1332" s="2"/>
      <c r="J1332" s="2"/>
      <c r="K1332" s="2"/>
      <c r="L1332" s="2"/>
      <c r="M1332" s="2"/>
      <c r="N1332" s="1">
        <v>0</v>
      </c>
      <c r="O1332" s="2"/>
      <c r="P1332" s="2"/>
      <c r="Q1332" s="2">
        <v>0</v>
      </c>
      <c r="R1332" s="6"/>
    </row>
    <row r="1333" spans="1:18" x14ac:dyDescent="0.25">
      <c r="A1333" s="2">
        <f t="shared" si="52"/>
        <v>1332</v>
      </c>
      <c r="B1333" s="2"/>
      <c r="C1333" s="2"/>
      <c r="D1333" s="2"/>
      <c r="E1333" s="2"/>
      <c r="F1333" s="2"/>
      <c r="G1333" s="2"/>
      <c r="H1333" s="2" t="str">
        <f t="shared" si="51"/>
        <v>0 г. 0 мес. 0 дн.</v>
      </c>
      <c r="I1333" s="2"/>
      <c r="J1333" s="2"/>
      <c r="K1333" s="2"/>
      <c r="L1333" s="2"/>
      <c r="M1333" s="2"/>
      <c r="N1333" s="1">
        <v>0</v>
      </c>
      <c r="O1333" s="2"/>
      <c r="P1333" s="2"/>
      <c r="Q1333" s="2">
        <v>0</v>
      </c>
      <c r="R1333" s="6"/>
    </row>
    <row r="1334" spans="1:18" x14ac:dyDescent="0.25">
      <c r="A1334" s="2">
        <f t="shared" si="52"/>
        <v>1333</v>
      </c>
      <c r="B1334" s="2"/>
      <c r="C1334" s="2"/>
      <c r="D1334" s="2"/>
      <c r="E1334" s="2"/>
      <c r="F1334" s="2"/>
      <c r="G1334" s="2"/>
      <c r="H1334" s="2" t="str">
        <f t="shared" si="51"/>
        <v>0 г. 0 мес. 0 дн.</v>
      </c>
      <c r="I1334" s="2"/>
      <c r="J1334" s="2"/>
      <c r="K1334" s="2"/>
      <c r="L1334" s="2"/>
      <c r="M1334" s="2"/>
      <c r="N1334" s="1">
        <v>0</v>
      </c>
      <c r="O1334" s="2"/>
      <c r="P1334" s="2"/>
      <c r="Q1334" s="2">
        <v>0</v>
      </c>
      <c r="R1334" s="6"/>
    </row>
    <row r="1335" spans="1:18" x14ac:dyDescent="0.25">
      <c r="A1335" s="2">
        <f t="shared" si="52"/>
        <v>1334</v>
      </c>
      <c r="B1335" s="2"/>
      <c r="C1335" s="2"/>
      <c r="D1335" s="2"/>
      <c r="E1335" s="2"/>
      <c r="F1335" s="2"/>
      <c r="G1335" s="2"/>
      <c r="H1335" s="2" t="str">
        <f t="shared" si="51"/>
        <v>0 г. 0 мес. 0 дн.</v>
      </c>
      <c r="I1335" s="2"/>
      <c r="J1335" s="2"/>
      <c r="K1335" s="2"/>
      <c r="L1335" s="2"/>
      <c r="M1335" s="2"/>
      <c r="N1335" s="1">
        <v>0</v>
      </c>
      <c r="O1335" s="2"/>
      <c r="P1335" s="2"/>
      <c r="Q1335" s="2">
        <v>0</v>
      </c>
      <c r="R1335" s="6"/>
    </row>
    <row r="1336" spans="1:18" x14ac:dyDescent="0.25">
      <c r="A1336" s="2">
        <f t="shared" si="52"/>
        <v>1335</v>
      </c>
      <c r="B1336" s="2"/>
      <c r="C1336" s="2"/>
      <c r="D1336" s="2"/>
      <c r="E1336" s="2"/>
      <c r="F1336" s="2"/>
      <c r="G1336" s="2"/>
      <c r="H1336" s="2" t="str">
        <f t="shared" si="51"/>
        <v>0 г. 0 мес. 0 дн.</v>
      </c>
      <c r="I1336" s="2"/>
      <c r="J1336" s="2"/>
      <c r="K1336" s="2"/>
      <c r="L1336" s="2"/>
      <c r="M1336" s="2"/>
      <c r="N1336" s="1">
        <v>0</v>
      </c>
      <c r="O1336" s="2"/>
      <c r="P1336" s="2"/>
      <c r="Q1336" s="2">
        <v>0</v>
      </c>
      <c r="R1336" s="6"/>
    </row>
    <row r="1337" spans="1:18" x14ac:dyDescent="0.25">
      <c r="A1337" s="2">
        <f t="shared" si="52"/>
        <v>1336</v>
      </c>
      <c r="B1337" s="2"/>
      <c r="C1337" s="2"/>
      <c r="D1337" s="2"/>
      <c r="E1337" s="2"/>
      <c r="F1337" s="2"/>
      <c r="G1337" s="2"/>
      <c r="H1337" s="2" t="str">
        <f t="shared" si="51"/>
        <v>0 г. 0 мес. 0 дн.</v>
      </c>
      <c r="I1337" s="2"/>
      <c r="J1337" s="2"/>
      <c r="K1337" s="2"/>
      <c r="L1337" s="2"/>
      <c r="M1337" s="2"/>
      <c r="N1337" s="1">
        <v>0</v>
      </c>
      <c r="O1337" s="2"/>
      <c r="P1337" s="2"/>
      <c r="Q1337" s="2">
        <v>0</v>
      </c>
      <c r="R1337" s="6"/>
    </row>
    <row r="1338" spans="1:18" x14ac:dyDescent="0.25">
      <c r="A1338" s="2">
        <f t="shared" si="52"/>
        <v>1337</v>
      </c>
      <c r="B1338" s="2"/>
      <c r="C1338" s="2"/>
      <c r="D1338" s="2"/>
      <c r="E1338" s="2"/>
      <c r="F1338" s="2"/>
      <c r="G1338" s="2"/>
      <c r="H1338" s="2" t="str">
        <f t="shared" si="51"/>
        <v>0 г. 0 мес. 0 дн.</v>
      </c>
      <c r="I1338" s="2"/>
      <c r="J1338" s="2"/>
      <c r="K1338" s="2"/>
      <c r="L1338" s="2"/>
      <c r="M1338" s="2"/>
      <c r="N1338" s="1">
        <v>0</v>
      </c>
      <c r="O1338" s="2"/>
      <c r="P1338" s="2"/>
      <c r="Q1338" s="2">
        <v>0</v>
      </c>
      <c r="R1338" s="6"/>
    </row>
    <row r="1339" spans="1:18" x14ac:dyDescent="0.25">
      <c r="A1339" s="2">
        <f t="shared" si="52"/>
        <v>1338</v>
      </c>
      <c r="B1339" s="2"/>
      <c r="C1339" s="2"/>
      <c r="D1339" s="2"/>
      <c r="E1339" s="2"/>
      <c r="F1339" s="2"/>
      <c r="G1339" s="2"/>
      <c r="H1339" s="2" t="str">
        <f t="shared" si="51"/>
        <v>0 г. 0 мес. 0 дн.</v>
      </c>
      <c r="I1339" s="2"/>
      <c r="J1339" s="2"/>
      <c r="K1339" s="2"/>
      <c r="L1339" s="2"/>
      <c r="M1339" s="2"/>
      <c r="N1339" s="1">
        <v>0</v>
      </c>
      <c r="O1339" s="2"/>
      <c r="P1339" s="2"/>
      <c r="Q1339" s="2">
        <v>0</v>
      </c>
      <c r="R1339" s="6"/>
    </row>
    <row r="1340" spans="1:18" x14ac:dyDescent="0.25">
      <c r="A1340" s="2">
        <f t="shared" si="52"/>
        <v>1339</v>
      </c>
      <c r="B1340" s="2"/>
      <c r="C1340" s="2"/>
      <c r="D1340" s="2"/>
      <c r="E1340" s="2"/>
      <c r="F1340" s="2"/>
      <c r="G1340" s="2"/>
      <c r="H1340" s="2" t="str">
        <f t="shared" si="51"/>
        <v>0 г. 0 мес. 0 дн.</v>
      </c>
      <c r="I1340" s="2"/>
      <c r="J1340" s="2"/>
      <c r="K1340" s="2"/>
      <c r="L1340" s="2"/>
      <c r="M1340" s="2"/>
      <c r="N1340" s="1">
        <v>0</v>
      </c>
      <c r="O1340" s="2"/>
      <c r="P1340" s="2"/>
      <c r="Q1340" s="2">
        <v>0</v>
      </c>
      <c r="R1340" s="6"/>
    </row>
    <row r="1341" spans="1:18" x14ac:dyDescent="0.25">
      <c r="A1341" s="2">
        <f t="shared" si="52"/>
        <v>1340</v>
      </c>
      <c r="B1341" s="2"/>
      <c r="C1341" s="2"/>
      <c r="D1341" s="2"/>
      <c r="E1341" s="2"/>
      <c r="F1341" s="2"/>
      <c r="G1341" s="2"/>
      <c r="H1341" s="2" t="str">
        <f t="shared" si="51"/>
        <v>0 г. 0 мес. 0 дн.</v>
      </c>
      <c r="I1341" s="2"/>
      <c r="J1341" s="2"/>
      <c r="K1341" s="2"/>
      <c r="L1341" s="2"/>
      <c r="M1341" s="2"/>
      <c r="N1341" s="1">
        <v>0</v>
      </c>
      <c r="O1341" s="2"/>
      <c r="P1341" s="2"/>
      <c r="Q1341" s="2">
        <v>0</v>
      </c>
      <c r="R1341" s="6"/>
    </row>
    <row r="1342" spans="1:18" x14ac:dyDescent="0.25">
      <c r="A1342" s="2">
        <f t="shared" si="52"/>
        <v>1341</v>
      </c>
      <c r="B1342" s="2"/>
      <c r="C1342" s="2"/>
      <c r="D1342" s="2"/>
      <c r="E1342" s="2"/>
      <c r="F1342" s="2"/>
      <c r="G1342" s="2"/>
      <c r="H1342" s="2" t="str">
        <f t="shared" si="51"/>
        <v>0 г. 0 мес. 0 дн.</v>
      </c>
      <c r="I1342" s="2"/>
      <c r="J1342" s="2"/>
      <c r="K1342" s="2"/>
      <c r="L1342" s="2"/>
      <c r="M1342" s="2"/>
      <c r="N1342" s="1">
        <v>0</v>
      </c>
      <c r="O1342" s="2"/>
      <c r="P1342" s="2"/>
      <c r="Q1342" s="2">
        <v>0</v>
      </c>
      <c r="R1342" s="6"/>
    </row>
    <row r="1343" spans="1:18" x14ac:dyDescent="0.25">
      <c r="A1343" s="2">
        <f t="shared" si="52"/>
        <v>1342</v>
      </c>
      <c r="B1343" s="2"/>
      <c r="C1343" s="2"/>
      <c r="D1343" s="2"/>
      <c r="E1343" s="2"/>
      <c r="F1343" s="2"/>
      <c r="G1343" s="2"/>
      <c r="H1343" s="2" t="str">
        <f t="shared" si="51"/>
        <v>0 г. 0 мес. 0 дн.</v>
      </c>
      <c r="I1343" s="2"/>
      <c r="J1343" s="2"/>
      <c r="K1343" s="2"/>
      <c r="L1343" s="2"/>
      <c r="M1343" s="2"/>
      <c r="N1343" s="1">
        <v>0</v>
      </c>
      <c r="O1343" s="2"/>
      <c r="P1343" s="2"/>
      <c r="Q1343" s="2">
        <v>0</v>
      </c>
      <c r="R1343" s="6"/>
    </row>
    <row r="1344" spans="1:18" x14ac:dyDescent="0.25">
      <c r="A1344" s="2">
        <f t="shared" si="52"/>
        <v>1343</v>
      </c>
      <c r="B1344" s="2"/>
      <c r="C1344" s="2"/>
      <c r="D1344" s="2"/>
      <c r="E1344" s="2"/>
      <c r="F1344" s="2"/>
      <c r="G1344" s="2"/>
      <c r="H1344" s="2" t="str">
        <f t="shared" si="51"/>
        <v>0 г. 0 мес. 0 дн.</v>
      </c>
      <c r="I1344" s="2"/>
      <c r="J1344" s="2"/>
      <c r="K1344" s="2"/>
      <c r="L1344" s="2"/>
      <c r="M1344" s="2"/>
      <c r="N1344" s="1">
        <v>0</v>
      </c>
      <c r="O1344" s="2"/>
      <c r="P1344" s="2"/>
      <c r="Q1344" s="2">
        <v>0</v>
      </c>
      <c r="R1344" s="6"/>
    </row>
    <row r="1345" spans="1:18" x14ac:dyDescent="0.25">
      <c r="A1345" s="2">
        <f t="shared" si="52"/>
        <v>1344</v>
      </c>
      <c r="B1345" s="2"/>
      <c r="C1345" s="2"/>
      <c r="D1345" s="2"/>
      <c r="E1345" s="2"/>
      <c r="F1345" s="2"/>
      <c r="G1345" s="2"/>
      <c r="H1345" s="2" t="str">
        <f t="shared" si="51"/>
        <v>0 г. 0 мес. 0 дн.</v>
      </c>
      <c r="I1345" s="2"/>
      <c r="J1345" s="2"/>
      <c r="K1345" s="2"/>
      <c r="L1345" s="2"/>
      <c r="M1345" s="2"/>
      <c r="N1345" s="1">
        <v>0</v>
      </c>
      <c r="O1345" s="2"/>
      <c r="P1345" s="2"/>
      <c r="Q1345" s="2">
        <v>0</v>
      </c>
      <c r="R1345" s="6"/>
    </row>
    <row r="1346" spans="1:18" x14ac:dyDescent="0.25">
      <c r="A1346" s="2">
        <f t="shared" si="52"/>
        <v>1345</v>
      </c>
      <c r="B1346" s="2"/>
      <c r="C1346" s="2"/>
      <c r="D1346" s="2"/>
      <c r="E1346" s="2"/>
      <c r="F1346" s="2"/>
      <c r="G1346" s="2"/>
      <c r="H1346" s="2" t="str">
        <f t="shared" si="51"/>
        <v>0 г. 0 мес. 0 дн.</v>
      </c>
      <c r="I1346" s="2"/>
      <c r="J1346" s="2"/>
      <c r="K1346" s="2"/>
      <c r="L1346" s="2"/>
      <c r="M1346" s="2"/>
      <c r="N1346" s="1">
        <v>0</v>
      </c>
      <c r="O1346" s="2"/>
      <c r="P1346" s="2"/>
      <c r="Q1346" s="2">
        <v>0</v>
      </c>
      <c r="R1346" s="6"/>
    </row>
    <row r="1347" spans="1:18" x14ac:dyDescent="0.25">
      <c r="A1347" s="2">
        <f t="shared" si="52"/>
        <v>1346</v>
      </c>
      <c r="B1347" s="2"/>
      <c r="C1347" s="2"/>
      <c r="D1347" s="2"/>
      <c r="E1347" s="2"/>
      <c r="F1347" s="2"/>
      <c r="G1347" s="2"/>
      <c r="H1347" s="2" t="str">
        <f t="shared" si="51"/>
        <v>0 г. 0 мес. 0 дн.</v>
      </c>
      <c r="I1347" s="2"/>
      <c r="J1347" s="2"/>
      <c r="K1347" s="2"/>
      <c r="L1347" s="2"/>
      <c r="M1347" s="2"/>
      <c r="N1347" s="1">
        <v>0</v>
      </c>
      <c r="O1347" s="2"/>
      <c r="P1347" s="2"/>
      <c r="Q1347" s="2">
        <v>0</v>
      </c>
      <c r="R1347" s="6"/>
    </row>
    <row r="1348" spans="1:18" x14ac:dyDescent="0.25">
      <c r="A1348" s="2">
        <f t="shared" si="52"/>
        <v>1347</v>
      </c>
      <c r="B1348" s="2"/>
      <c r="C1348" s="2"/>
      <c r="D1348" s="2"/>
      <c r="E1348" s="2"/>
      <c r="F1348" s="2"/>
      <c r="G1348" s="2"/>
      <c r="H1348" s="2" t="str">
        <f t="shared" ref="H1348:H1411" si="53">DATEDIF(G1348,D1348,"y") &amp; " г. " &amp; DATEDIF(G1348,D1348,"ym") &amp; " мес. " &amp; DATEDIF(G1348,D1348,"md") &amp; " дн."</f>
        <v>0 г. 0 мес. 0 дн.</v>
      </c>
      <c r="I1348" s="2"/>
      <c r="J1348" s="2"/>
      <c r="K1348" s="2"/>
      <c r="L1348" s="2"/>
      <c r="M1348" s="2"/>
      <c r="N1348" s="1">
        <v>0</v>
      </c>
      <c r="O1348" s="2"/>
      <c r="P1348" s="2"/>
      <c r="Q1348" s="2">
        <v>0</v>
      </c>
      <c r="R1348" s="6"/>
    </row>
    <row r="1349" spans="1:18" x14ac:dyDescent="0.25">
      <c r="A1349" s="2">
        <f t="shared" si="52"/>
        <v>1348</v>
      </c>
      <c r="B1349" s="2"/>
      <c r="C1349" s="2"/>
      <c r="D1349" s="2"/>
      <c r="E1349" s="2"/>
      <c r="F1349" s="2"/>
      <c r="G1349" s="2"/>
      <c r="H1349" s="2" t="str">
        <f t="shared" si="53"/>
        <v>0 г. 0 мес. 0 дн.</v>
      </c>
      <c r="I1349" s="2"/>
      <c r="J1349" s="2"/>
      <c r="K1349" s="2"/>
      <c r="L1349" s="2"/>
      <c r="M1349" s="2"/>
      <c r="N1349" s="1">
        <v>0</v>
      </c>
      <c r="O1349" s="2"/>
      <c r="P1349" s="2"/>
      <c r="Q1349" s="2">
        <v>0</v>
      </c>
      <c r="R1349" s="6"/>
    </row>
    <row r="1350" spans="1:18" x14ac:dyDescent="0.25">
      <c r="A1350" s="2">
        <f t="shared" si="52"/>
        <v>1349</v>
      </c>
      <c r="B1350" s="2"/>
      <c r="C1350" s="2"/>
      <c r="D1350" s="2"/>
      <c r="E1350" s="2"/>
      <c r="F1350" s="2"/>
      <c r="G1350" s="2"/>
      <c r="H1350" s="2" t="str">
        <f t="shared" si="53"/>
        <v>0 г. 0 мес. 0 дн.</v>
      </c>
      <c r="I1350" s="2"/>
      <c r="J1350" s="2"/>
      <c r="K1350" s="2"/>
      <c r="L1350" s="2"/>
      <c r="M1350" s="2"/>
      <c r="N1350" s="1">
        <v>0</v>
      </c>
      <c r="O1350" s="2"/>
      <c r="P1350" s="2"/>
      <c r="Q1350" s="2">
        <v>0</v>
      </c>
      <c r="R1350" s="6"/>
    </row>
    <row r="1351" spans="1:18" x14ac:dyDescent="0.25">
      <c r="A1351" s="2">
        <f t="shared" si="52"/>
        <v>1350</v>
      </c>
      <c r="B1351" s="2"/>
      <c r="C1351" s="2"/>
      <c r="D1351" s="2"/>
      <c r="E1351" s="2"/>
      <c r="F1351" s="2"/>
      <c r="G1351" s="2"/>
      <c r="H1351" s="2" t="str">
        <f t="shared" si="53"/>
        <v>0 г. 0 мес. 0 дн.</v>
      </c>
      <c r="I1351" s="2"/>
      <c r="J1351" s="2"/>
      <c r="K1351" s="2"/>
      <c r="L1351" s="2"/>
      <c r="M1351" s="2"/>
      <c r="N1351" s="1">
        <v>0</v>
      </c>
      <c r="O1351" s="2"/>
      <c r="P1351" s="2"/>
      <c r="Q1351" s="2">
        <v>0</v>
      </c>
      <c r="R1351" s="6"/>
    </row>
    <row r="1352" spans="1:18" x14ac:dyDescent="0.25">
      <c r="A1352" s="2">
        <f t="shared" si="52"/>
        <v>1351</v>
      </c>
      <c r="B1352" s="2"/>
      <c r="C1352" s="2"/>
      <c r="D1352" s="2"/>
      <c r="E1352" s="2"/>
      <c r="F1352" s="2"/>
      <c r="G1352" s="2"/>
      <c r="H1352" s="2" t="str">
        <f t="shared" si="53"/>
        <v>0 г. 0 мес. 0 дн.</v>
      </c>
      <c r="I1352" s="2"/>
      <c r="J1352" s="2"/>
      <c r="K1352" s="2"/>
      <c r="L1352" s="2"/>
      <c r="M1352" s="2"/>
      <c r="N1352" s="1">
        <v>0</v>
      </c>
      <c r="O1352" s="2"/>
      <c r="P1352" s="2"/>
      <c r="Q1352" s="2">
        <v>0</v>
      </c>
      <c r="R1352" s="6"/>
    </row>
    <row r="1353" spans="1:18" x14ac:dyDescent="0.25">
      <c r="A1353" s="2">
        <f t="shared" si="52"/>
        <v>1352</v>
      </c>
      <c r="B1353" s="2"/>
      <c r="C1353" s="2"/>
      <c r="D1353" s="2"/>
      <c r="E1353" s="2"/>
      <c r="F1353" s="2"/>
      <c r="G1353" s="2"/>
      <c r="H1353" s="2" t="str">
        <f t="shared" si="53"/>
        <v>0 г. 0 мес. 0 дн.</v>
      </c>
      <c r="I1353" s="2"/>
      <c r="J1353" s="2"/>
      <c r="K1353" s="2"/>
      <c r="L1353" s="2"/>
      <c r="M1353" s="2"/>
      <c r="N1353" s="1">
        <v>0</v>
      </c>
      <c r="O1353" s="2"/>
      <c r="P1353" s="2"/>
      <c r="Q1353" s="2">
        <v>0</v>
      </c>
      <c r="R1353" s="6"/>
    </row>
    <row r="1354" spans="1:18" x14ac:dyDescent="0.25">
      <c r="A1354" s="2">
        <f t="shared" si="52"/>
        <v>1353</v>
      </c>
      <c r="B1354" s="2"/>
      <c r="C1354" s="2"/>
      <c r="D1354" s="2"/>
      <c r="E1354" s="2"/>
      <c r="F1354" s="2"/>
      <c r="G1354" s="2"/>
      <c r="H1354" s="2" t="str">
        <f t="shared" si="53"/>
        <v>0 г. 0 мес. 0 дн.</v>
      </c>
      <c r="I1354" s="2"/>
      <c r="J1354" s="2"/>
      <c r="K1354" s="2"/>
      <c r="L1354" s="2"/>
      <c r="M1354" s="2"/>
      <c r="N1354" s="1">
        <v>0</v>
      </c>
      <c r="O1354" s="2"/>
      <c r="P1354" s="2"/>
      <c r="Q1354" s="2">
        <v>0</v>
      </c>
      <c r="R1354" s="6"/>
    </row>
    <row r="1355" spans="1:18" x14ac:dyDescent="0.25">
      <c r="A1355" s="2">
        <f t="shared" si="52"/>
        <v>1354</v>
      </c>
      <c r="B1355" s="2"/>
      <c r="C1355" s="2"/>
      <c r="D1355" s="2"/>
      <c r="E1355" s="2"/>
      <c r="F1355" s="2"/>
      <c r="G1355" s="2"/>
      <c r="H1355" s="2" t="str">
        <f t="shared" si="53"/>
        <v>0 г. 0 мес. 0 дн.</v>
      </c>
      <c r="I1355" s="2"/>
      <c r="J1355" s="2"/>
      <c r="K1355" s="2"/>
      <c r="L1355" s="2"/>
      <c r="M1355" s="2"/>
      <c r="N1355" s="1">
        <v>0</v>
      </c>
      <c r="O1355" s="2"/>
      <c r="P1355" s="2"/>
      <c r="Q1355" s="2">
        <v>0</v>
      </c>
      <c r="R1355" s="6"/>
    </row>
    <row r="1356" spans="1:18" x14ac:dyDescent="0.25">
      <c r="A1356" s="2">
        <f t="shared" si="52"/>
        <v>1355</v>
      </c>
      <c r="B1356" s="2"/>
      <c r="C1356" s="2"/>
      <c r="D1356" s="2"/>
      <c r="E1356" s="2"/>
      <c r="F1356" s="2"/>
      <c r="G1356" s="2"/>
      <c r="H1356" s="2" t="str">
        <f t="shared" si="53"/>
        <v>0 г. 0 мес. 0 дн.</v>
      </c>
      <c r="I1356" s="2"/>
      <c r="J1356" s="2"/>
      <c r="K1356" s="2"/>
      <c r="L1356" s="2"/>
      <c r="M1356" s="2"/>
      <c r="N1356" s="1">
        <v>0</v>
      </c>
      <c r="O1356" s="2"/>
      <c r="P1356" s="2"/>
      <c r="Q1356" s="2">
        <v>0</v>
      </c>
      <c r="R1356" s="6"/>
    </row>
    <row r="1357" spans="1:18" x14ac:dyDescent="0.25">
      <c r="A1357" s="2">
        <f t="shared" si="52"/>
        <v>1356</v>
      </c>
      <c r="B1357" s="2"/>
      <c r="C1357" s="2"/>
      <c r="D1357" s="2"/>
      <c r="E1357" s="2"/>
      <c r="F1357" s="2"/>
      <c r="G1357" s="2"/>
      <c r="H1357" s="2" t="str">
        <f t="shared" si="53"/>
        <v>0 г. 0 мес. 0 дн.</v>
      </c>
      <c r="I1357" s="2"/>
      <c r="J1357" s="2"/>
      <c r="K1357" s="2"/>
      <c r="L1357" s="2"/>
      <c r="M1357" s="2"/>
      <c r="N1357" s="1">
        <v>0</v>
      </c>
      <c r="O1357" s="2"/>
      <c r="P1357" s="2"/>
      <c r="Q1357" s="2">
        <v>0</v>
      </c>
      <c r="R1357" s="6"/>
    </row>
    <row r="1358" spans="1:18" x14ac:dyDescent="0.25">
      <c r="A1358" s="2">
        <f t="shared" si="52"/>
        <v>1357</v>
      </c>
      <c r="B1358" s="2"/>
      <c r="C1358" s="2"/>
      <c r="D1358" s="2"/>
      <c r="E1358" s="2"/>
      <c r="F1358" s="2"/>
      <c r="G1358" s="2"/>
      <c r="H1358" s="2" t="str">
        <f t="shared" si="53"/>
        <v>0 г. 0 мес. 0 дн.</v>
      </c>
      <c r="I1358" s="2"/>
      <c r="J1358" s="2"/>
      <c r="K1358" s="2"/>
      <c r="L1358" s="2"/>
      <c r="M1358" s="2"/>
      <c r="N1358" s="1">
        <v>0</v>
      </c>
      <c r="O1358" s="2"/>
      <c r="P1358" s="2"/>
      <c r="Q1358" s="2">
        <v>0</v>
      </c>
      <c r="R1358" s="6"/>
    </row>
    <row r="1359" spans="1:18" x14ac:dyDescent="0.25">
      <c r="A1359" s="2">
        <f t="shared" si="52"/>
        <v>1358</v>
      </c>
      <c r="B1359" s="2"/>
      <c r="C1359" s="2"/>
      <c r="D1359" s="2"/>
      <c r="E1359" s="2"/>
      <c r="F1359" s="2"/>
      <c r="G1359" s="2"/>
      <c r="H1359" s="2" t="str">
        <f t="shared" si="53"/>
        <v>0 г. 0 мес. 0 дн.</v>
      </c>
      <c r="I1359" s="2"/>
      <c r="J1359" s="2"/>
      <c r="K1359" s="2"/>
      <c r="L1359" s="2"/>
      <c r="M1359" s="2"/>
      <c r="N1359" s="1">
        <v>0</v>
      </c>
      <c r="O1359" s="2"/>
      <c r="P1359" s="2"/>
      <c r="Q1359" s="2">
        <v>0</v>
      </c>
      <c r="R1359" s="6"/>
    </row>
    <row r="1360" spans="1:18" x14ac:dyDescent="0.25">
      <c r="A1360" s="2">
        <f t="shared" si="52"/>
        <v>1359</v>
      </c>
      <c r="B1360" s="2"/>
      <c r="C1360" s="2"/>
      <c r="D1360" s="2"/>
      <c r="E1360" s="2"/>
      <c r="F1360" s="2"/>
      <c r="G1360" s="2"/>
      <c r="H1360" s="2" t="str">
        <f t="shared" si="53"/>
        <v>0 г. 0 мес. 0 дн.</v>
      </c>
      <c r="I1360" s="2"/>
      <c r="J1360" s="2"/>
      <c r="K1360" s="2"/>
      <c r="L1360" s="2"/>
      <c r="M1360" s="2"/>
      <c r="N1360" s="1">
        <v>0</v>
      </c>
      <c r="O1360" s="2"/>
      <c r="P1360" s="2"/>
      <c r="Q1360" s="2">
        <v>0</v>
      </c>
      <c r="R1360" s="6"/>
    </row>
    <row r="1361" spans="1:18" x14ac:dyDescent="0.25">
      <c r="A1361" s="2">
        <f t="shared" si="52"/>
        <v>1360</v>
      </c>
      <c r="B1361" s="2"/>
      <c r="C1361" s="2"/>
      <c r="D1361" s="2"/>
      <c r="E1361" s="2"/>
      <c r="F1361" s="2"/>
      <c r="G1361" s="2"/>
      <c r="H1361" s="2" t="str">
        <f t="shared" si="53"/>
        <v>0 г. 0 мес. 0 дн.</v>
      </c>
      <c r="I1361" s="2"/>
      <c r="J1361" s="2"/>
      <c r="K1361" s="2"/>
      <c r="L1361" s="2"/>
      <c r="M1361" s="2"/>
      <c r="N1361" s="1">
        <v>0</v>
      </c>
      <c r="O1361" s="2"/>
      <c r="P1361" s="2"/>
      <c r="Q1361" s="2">
        <v>0</v>
      </c>
      <c r="R1361" s="6"/>
    </row>
    <row r="1362" spans="1:18" x14ac:dyDescent="0.25">
      <c r="A1362" s="2">
        <f t="shared" si="52"/>
        <v>1361</v>
      </c>
      <c r="B1362" s="2"/>
      <c r="C1362" s="2"/>
      <c r="D1362" s="2"/>
      <c r="E1362" s="2"/>
      <c r="F1362" s="2"/>
      <c r="G1362" s="2"/>
      <c r="H1362" s="2" t="str">
        <f t="shared" si="53"/>
        <v>0 г. 0 мес. 0 дн.</v>
      </c>
      <c r="I1362" s="2"/>
      <c r="J1362" s="2"/>
      <c r="K1362" s="2"/>
      <c r="L1362" s="2"/>
      <c r="M1362" s="2"/>
      <c r="N1362" s="1">
        <v>0</v>
      </c>
      <c r="O1362" s="2"/>
      <c r="P1362" s="2"/>
      <c r="Q1362" s="2">
        <v>0</v>
      </c>
      <c r="R1362" s="6"/>
    </row>
    <row r="1363" spans="1:18" x14ac:dyDescent="0.25">
      <c r="A1363" s="2">
        <f t="shared" si="52"/>
        <v>1362</v>
      </c>
      <c r="B1363" s="2"/>
      <c r="C1363" s="2"/>
      <c r="D1363" s="2"/>
      <c r="E1363" s="2"/>
      <c r="F1363" s="2"/>
      <c r="G1363" s="2"/>
      <c r="H1363" s="2" t="str">
        <f t="shared" si="53"/>
        <v>0 г. 0 мес. 0 дн.</v>
      </c>
      <c r="I1363" s="2"/>
      <c r="J1363" s="2"/>
      <c r="K1363" s="2"/>
      <c r="L1363" s="2"/>
      <c r="M1363" s="2"/>
      <c r="N1363" s="1">
        <v>0</v>
      </c>
      <c r="O1363" s="2"/>
      <c r="P1363" s="2"/>
      <c r="Q1363" s="2">
        <v>0</v>
      </c>
      <c r="R1363" s="6"/>
    </row>
    <row r="1364" spans="1:18" x14ac:dyDescent="0.25">
      <c r="A1364" s="2">
        <f t="shared" si="52"/>
        <v>1363</v>
      </c>
      <c r="B1364" s="2"/>
      <c r="C1364" s="2"/>
      <c r="D1364" s="2"/>
      <c r="E1364" s="2"/>
      <c r="F1364" s="2"/>
      <c r="G1364" s="2"/>
      <c r="H1364" s="2" t="str">
        <f t="shared" si="53"/>
        <v>0 г. 0 мес. 0 дн.</v>
      </c>
      <c r="I1364" s="2"/>
      <c r="J1364" s="2"/>
      <c r="K1364" s="2"/>
      <c r="L1364" s="2"/>
      <c r="M1364" s="2"/>
      <c r="N1364" s="1">
        <v>0</v>
      </c>
      <c r="O1364" s="2"/>
      <c r="P1364" s="2"/>
      <c r="Q1364" s="2">
        <v>0</v>
      </c>
      <c r="R1364" s="6"/>
    </row>
    <row r="1365" spans="1:18" x14ac:dyDescent="0.25">
      <c r="A1365" s="2">
        <f t="shared" si="52"/>
        <v>1364</v>
      </c>
      <c r="B1365" s="2"/>
      <c r="C1365" s="2"/>
      <c r="D1365" s="2"/>
      <c r="E1365" s="2"/>
      <c r="F1365" s="2"/>
      <c r="G1365" s="2"/>
      <c r="H1365" s="2" t="str">
        <f t="shared" si="53"/>
        <v>0 г. 0 мес. 0 дн.</v>
      </c>
      <c r="I1365" s="2"/>
      <c r="J1365" s="2"/>
      <c r="K1365" s="2"/>
      <c r="L1365" s="2"/>
      <c r="M1365" s="2"/>
      <c r="N1365" s="1">
        <v>0</v>
      </c>
      <c r="O1365" s="2"/>
      <c r="P1365" s="2"/>
      <c r="Q1365" s="2">
        <v>0</v>
      </c>
      <c r="R1365" s="6"/>
    </row>
    <row r="1366" spans="1:18" x14ac:dyDescent="0.25">
      <c r="A1366" s="2">
        <f t="shared" si="52"/>
        <v>1365</v>
      </c>
      <c r="B1366" s="2"/>
      <c r="C1366" s="2"/>
      <c r="D1366" s="2"/>
      <c r="E1366" s="2"/>
      <c r="F1366" s="2"/>
      <c r="G1366" s="2"/>
      <c r="H1366" s="2" t="str">
        <f t="shared" si="53"/>
        <v>0 г. 0 мес. 0 дн.</v>
      </c>
      <c r="I1366" s="2"/>
      <c r="J1366" s="2"/>
      <c r="K1366" s="2"/>
      <c r="L1366" s="2"/>
      <c r="M1366" s="2"/>
      <c r="N1366" s="1">
        <v>0</v>
      </c>
      <c r="O1366" s="2"/>
      <c r="P1366" s="2"/>
      <c r="Q1366" s="2">
        <v>0</v>
      </c>
      <c r="R1366" s="6"/>
    </row>
    <row r="1367" spans="1:18" x14ac:dyDescent="0.25">
      <c r="A1367" s="2">
        <f t="shared" si="52"/>
        <v>1366</v>
      </c>
      <c r="B1367" s="2"/>
      <c r="C1367" s="2"/>
      <c r="D1367" s="2"/>
      <c r="E1367" s="2"/>
      <c r="F1367" s="2"/>
      <c r="G1367" s="2"/>
      <c r="H1367" s="2" t="str">
        <f t="shared" si="53"/>
        <v>0 г. 0 мес. 0 дн.</v>
      </c>
      <c r="I1367" s="2"/>
      <c r="J1367" s="2"/>
      <c r="K1367" s="2"/>
      <c r="L1367" s="2"/>
      <c r="M1367" s="2"/>
      <c r="N1367" s="1">
        <v>0</v>
      </c>
      <c r="O1367" s="2"/>
      <c r="P1367" s="2"/>
      <c r="Q1367" s="2">
        <v>0</v>
      </c>
      <c r="R1367" s="6"/>
    </row>
    <row r="1368" spans="1:18" x14ac:dyDescent="0.25">
      <c r="A1368" s="2">
        <f t="shared" si="52"/>
        <v>1367</v>
      </c>
      <c r="B1368" s="2"/>
      <c r="C1368" s="2"/>
      <c r="D1368" s="2"/>
      <c r="E1368" s="2"/>
      <c r="F1368" s="2"/>
      <c r="G1368" s="2"/>
      <c r="H1368" s="2" t="str">
        <f t="shared" si="53"/>
        <v>0 г. 0 мес. 0 дн.</v>
      </c>
      <c r="I1368" s="2"/>
      <c r="J1368" s="2"/>
      <c r="K1368" s="2"/>
      <c r="L1368" s="2"/>
      <c r="M1368" s="2"/>
      <c r="N1368" s="1">
        <v>0</v>
      </c>
      <c r="O1368" s="2"/>
      <c r="P1368" s="2"/>
      <c r="Q1368" s="2">
        <v>0</v>
      </c>
      <c r="R1368" s="6"/>
    </row>
    <row r="1369" spans="1:18" x14ac:dyDescent="0.25">
      <c r="A1369" s="2">
        <f t="shared" si="52"/>
        <v>1368</v>
      </c>
      <c r="B1369" s="2"/>
      <c r="C1369" s="2"/>
      <c r="D1369" s="2"/>
      <c r="E1369" s="2"/>
      <c r="F1369" s="2"/>
      <c r="G1369" s="2"/>
      <c r="H1369" s="2" t="str">
        <f t="shared" si="53"/>
        <v>0 г. 0 мес. 0 дн.</v>
      </c>
      <c r="I1369" s="2"/>
      <c r="J1369" s="2"/>
      <c r="K1369" s="2"/>
      <c r="L1369" s="2"/>
      <c r="M1369" s="2"/>
      <c r="N1369" s="1">
        <v>0</v>
      </c>
      <c r="O1369" s="2"/>
      <c r="P1369" s="2"/>
      <c r="Q1369" s="2">
        <v>0</v>
      </c>
      <c r="R1369" s="6"/>
    </row>
    <row r="1370" spans="1:18" x14ac:dyDescent="0.25">
      <c r="A1370" s="2">
        <f t="shared" si="52"/>
        <v>1369</v>
      </c>
      <c r="B1370" s="2"/>
      <c r="C1370" s="2"/>
      <c r="D1370" s="2"/>
      <c r="E1370" s="2"/>
      <c r="F1370" s="2"/>
      <c r="G1370" s="2"/>
      <c r="H1370" s="2" t="str">
        <f t="shared" si="53"/>
        <v>0 г. 0 мес. 0 дн.</v>
      </c>
      <c r="I1370" s="2"/>
      <c r="J1370" s="2"/>
      <c r="K1370" s="2"/>
      <c r="L1370" s="2"/>
      <c r="M1370" s="2"/>
      <c r="N1370" s="1">
        <v>0</v>
      </c>
      <c r="O1370" s="2"/>
      <c r="P1370" s="2"/>
      <c r="Q1370" s="2">
        <v>0</v>
      </c>
      <c r="R1370" s="6"/>
    </row>
    <row r="1371" spans="1:18" x14ac:dyDescent="0.25">
      <c r="A1371" s="2">
        <f t="shared" si="52"/>
        <v>1370</v>
      </c>
      <c r="B1371" s="2"/>
      <c r="C1371" s="2"/>
      <c r="D1371" s="2"/>
      <c r="E1371" s="2"/>
      <c r="F1371" s="2"/>
      <c r="G1371" s="2"/>
      <c r="H1371" s="2" t="str">
        <f t="shared" si="53"/>
        <v>0 г. 0 мес. 0 дн.</v>
      </c>
      <c r="I1371" s="2"/>
      <c r="J1371" s="2"/>
      <c r="K1371" s="2"/>
      <c r="L1371" s="2"/>
      <c r="M1371" s="2"/>
      <c r="N1371" s="1">
        <v>0</v>
      </c>
      <c r="O1371" s="2"/>
      <c r="P1371" s="2"/>
      <c r="Q1371" s="2">
        <v>0</v>
      </c>
      <c r="R1371" s="6"/>
    </row>
    <row r="1372" spans="1:18" x14ac:dyDescent="0.25">
      <c r="A1372" s="2">
        <f t="shared" si="52"/>
        <v>1371</v>
      </c>
      <c r="B1372" s="2"/>
      <c r="C1372" s="2"/>
      <c r="D1372" s="2"/>
      <c r="E1372" s="2"/>
      <c r="F1372" s="2"/>
      <c r="G1372" s="2"/>
      <c r="H1372" s="2" t="str">
        <f t="shared" si="53"/>
        <v>0 г. 0 мес. 0 дн.</v>
      </c>
      <c r="I1372" s="2"/>
      <c r="J1372" s="2"/>
      <c r="K1372" s="2"/>
      <c r="L1372" s="2"/>
      <c r="M1372" s="2"/>
      <c r="N1372" s="1">
        <v>0</v>
      </c>
      <c r="O1372" s="2"/>
      <c r="P1372" s="2"/>
      <c r="Q1372" s="2">
        <v>0</v>
      </c>
      <c r="R1372" s="6"/>
    </row>
    <row r="1373" spans="1:18" x14ac:dyDescent="0.25">
      <c r="A1373" s="2">
        <f t="shared" ref="A1373:A1436" si="54">ROW(A1372)</f>
        <v>1372</v>
      </c>
      <c r="B1373" s="2"/>
      <c r="C1373" s="2"/>
      <c r="D1373" s="2"/>
      <c r="E1373" s="2"/>
      <c r="F1373" s="2"/>
      <c r="G1373" s="2"/>
      <c r="H1373" s="2" t="str">
        <f t="shared" si="53"/>
        <v>0 г. 0 мес. 0 дн.</v>
      </c>
      <c r="I1373" s="2"/>
      <c r="J1373" s="2"/>
      <c r="K1373" s="2"/>
      <c r="L1373" s="2"/>
      <c r="M1373" s="2"/>
      <c r="N1373" s="1">
        <v>0</v>
      </c>
      <c r="O1373" s="2"/>
      <c r="P1373" s="2"/>
      <c r="Q1373" s="2">
        <v>0</v>
      </c>
      <c r="R1373" s="6"/>
    </row>
    <row r="1374" spans="1:18" x14ac:dyDescent="0.25">
      <c r="A1374" s="2">
        <f t="shared" si="54"/>
        <v>1373</v>
      </c>
      <c r="B1374" s="2"/>
      <c r="C1374" s="2"/>
      <c r="D1374" s="2"/>
      <c r="E1374" s="2"/>
      <c r="F1374" s="2"/>
      <c r="G1374" s="2"/>
      <c r="H1374" s="2" t="str">
        <f t="shared" si="53"/>
        <v>0 г. 0 мес. 0 дн.</v>
      </c>
      <c r="I1374" s="2"/>
      <c r="J1374" s="2"/>
      <c r="K1374" s="2"/>
      <c r="L1374" s="2"/>
      <c r="M1374" s="2"/>
      <c r="N1374" s="1">
        <v>0</v>
      </c>
      <c r="O1374" s="2"/>
      <c r="P1374" s="2"/>
      <c r="Q1374" s="2">
        <v>0</v>
      </c>
      <c r="R1374" s="6"/>
    </row>
    <row r="1375" spans="1:18" x14ac:dyDescent="0.25">
      <c r="A1375" s="2">
        <f t="shared" si="54"/>
        <v>1374</v>
      </c>
      <c r="B1375" s="2"/>
      <c r="C1375" s="2"/>
      <c r="D1375" s="2"/>
      <c r="E1375" s="2"/>
      <c r="F1375" s="2"/>
      <c r="G1375" s="2"/>
      <c r="H1375" s="2" t="str">
        <f t="shared" si="53"/>
        <v>0 г. 0 мес. 0 дн.</v>
      </c>
      <c r="I1375" s="2"/>
      <c r="J1375" s="2"/>
      <c r="K1375" s="2"/>
      <c r="L1375" s="2"/>
      <c r="M1375" s="2"/>
      <c r="N1375" s="1">
        <v>0</v>
      </c>
      <c r="O1375" s="2"/>
      <c r="P1375" s="2"/>
      <c r="Q1375" s="2">
        <v>0</v>
      </c>
      <c r="R1375" s="6"/>
    </row>
    <row r="1376" spans="1:18" x14ac:dyDescent="0.25">
      <c r="A1376" s="2">
        <f t="shared" si="54"/>
        <v>1375</v>
      </c>
      <c r="B1376" s="2"/>
      <c r="C1376" s="2"/>
      <c r="D1376" s="2"/>
      <c r="E1376" s="2"/>
      <c r="F1376" s="2"/>
      <c r="G1376" s="2"/>
      <c r="H1376" s="2" t="str">
        <f t="shared" si="53"/>
        <v>0 г. 0 мес. 0 дн.</v>
      </c>
      <c r="I1376" s="2"/>
      <c r="J1376" s="2"/>
      <c r="K1376" s="2"/>
      <c r="L1376" s="2"/>
      <c r="M1376" s="2"/>
      <c r="N1376" s="1">
        <v>0</v>
      </c>
      <c r="O1376" s="2"/>
      <c r="P1376" s="2"/>
      <c r="Q1376" s="2">
        <v>0</v>
      </c>
      <c r="R1376" s="6"/>
    </row>
    <row r="1377" spans="1:18" x14ac:dyDescent="0.25">
      <c r="A1377" s="2">
        <f t="shared" si="54"/>
        <v>1376</v>
      </c>
      <c r="B1377" s="2"/>
      <c r="C1377" s="2"/>
      <c r="D1377" s="2"/>
      <c r="E1377" s="2"/>
      <c r="F1377" s="2"/>
      <c r="G1377" s="2"/>
      <c r="H1377" s="2" t="str">
        <f t="shared" si="53"/>
        <v>0 г. 0 мес. 0 дн.</v>
      </c>
      <c r="I1377" s="2"/>
      <c r="J1377" s="2"/>
      <c r="K1377" s="2"/>
      <c r="L1377" s="2"/>
      <c r="M1377" s="2"/>
      <c r="N1377" s="1">
        <v>0</v>
      </c>
      <c r="O1377" s="2"/>
      <c r="P1377" s="2"/>
      <c r="Q1377" s="2">
        <v>0</v>
      </c>
      <c r="R1377" s="6"/>
    </row>
    <row r="1378" spans="1:18" x14ac:dyDescent="0.25">
      <c r="A1378" s="2">
        <f t="shared" si="54"/>
        <v>1377</v>
      </c>
      <c r="B1378" s="2"/>
      <c r="C1378" s="2"/>
      <c r="D1378" s="2"/>
      <c r="E1378" s="2"/>
      <c r="F1378" s="2"/>
      <c r="G1378" s="2"/>
      <c r="H1378" s="2" t="str">
        <f t="shared" si="53"/>
        <v>0 г. 0 мес. 0 дн.</v>
      </c>
      <c r="I1378" s="2"/>
      <c r="J1378" s="2"/>
      <c r="K1378" s="2"/>
      <c r="L1378" s="2"/>
      <c r="M1378" s="2"/>
      <c r="N1378" s="1">
        <v>0</v>
      </c>
      <c r="O1378" s="2"/>
      <c r="P1378" s="2"/>
      <c r="Q1378" s="2">
        <v>0</v>
      </c>
      <c r="R1378" s="6"/>
    </row>
    <row r="1379" spans="1:18" x14ac:dyDescent="0.25">
      <c r="A1379" s="2">
        <f t="shared" si="54"/>
        <v>1378</v>
      </c>
      <c r="B1379" s="2"/>
      <c r="C1379" s="2"/>
      <c r="D1379" s="2"/>
      <c r="E1379" s="2"/>
      <c r="F1379" s="2"/>
      <c r="G1379" s="2"/>
      <c r="H1379" s="2" t="str">
        <f t="shared" si="53"/>
        <v>0 г. 0 мес. 0 дн.</v>
      </c>
      <c r="I1379" s="2"/>
      <c r="J1379" s="2"/>
      <c r="K1379" s="2"/>
      <c r="L1379" s="2"/>
      <c r="M1379" s="2"/>
      <c r="N1379" s="1">
        <v>0</v>
      </c>
      <c r="O1379" s="2"/>
      <c r="P1379" s="2"/>
      <c r="Q1379" s="2">
        <v>0</v>
      </c>
      <c r="R1379" s="6"/>
    </row>
    <row r="1380" spans="1:18" x14ac:dyDescent="0.25">
      <c r="A1380" s="2">
        <f t="shared" si="54"/>
        <v>1379</v>
      </c>
      <c r="B1380" s="2"/>
      <c r="C1380" s="2"/>
      <c r="D1380" s="2"/>
      <c r="E1380" s="2"/>
      <c r="F1380" s="2"/>
      <c r="G1380" s="2"/>
      <c r="H1380" s="2" t="str">
        <f t="shared" si="53"/>
        <v>0 г. 0 мес. 0 дн.</v>
      </c>
      <c r="I1380" s="2"/>
      <c r="J1380" s="2"/>
      <c r="K1380" s="2"/>
      <c r="L1380" s="2"/>
      <c r="M1380" s="2"/>
      <c r="N1380" s="1">
        <v>0</v>
      </c>
      <c r="O1380" s="2"/>
      <c r="P1380" s="2"/>
      <c r="Q1380" s="2">
        <v>0</v>
      </c>
      <c r="R1380" s="6"/>
    </row>
    <row r="1381" spans="1:18" x14ac:dyDescent="0.25">
      <c r="A1381" s="2">
        <f t="shared" si="54"/>
        <v>1380</v>
      </c>
      <c r="B1381" s="2"/>
      <c r="C1381" s="2"/>
      <c r="D1381" s="2"/>
      <c r="E1381" s="2"/>
      <c r="F1381" s="2"/>
      <c r="G1381" s="2"/>
      <c r="H1381" s="2" t="str">
        <f t="shared" si="53"/>
        <v>0 г. 0 мес. 0 дн.</v>
      </c>
      <c r="I1381" s="2"/>
      <c r="J1381" s="2"/>
      <c r="K1381" s="2"/>
      <c r="L1381" s="2"/>
      <c r="M1381" s="2"/>
      <c r="N1381" s="1">
        <v>0</v>
      </c>
      <c r="O1381" s="2"/>
      <c r="P1381" s="2"/>
      <c r="Q1381" s="2">
        <v>0</v>
      </c>
      <c r="R1381" s="6"/>
    </row>
    <row r="1382" spans="1:18" x14ac:dyDescent="0.25">
      <c r="A1382" s="2">
        <f t="shared" si="54"/>
        <v>1381</v>
      </c>
      <c r="B1382" s="2"/>
      <c r="C1382" s="2"/>
      <c r="D1382" s="2"/>
      <c r="E1382" s="2"/>
      <c r="F1382" s="2"/>
      <c r="G1382" s="2"/>
      <c r="H1382" s="2" t="str">
        <f t="shared" si="53"/>
        <v>0 г. 0 мес. 0 дн.</v>
      </c>
      <c r="I1382" s="2"/>
      <c r="J1382" s="2"/>
      <c r="K1382" s="2"/>
      <c r="L1382" s="2"/>
      <c r="M1382" s="2"/>
      <c r="N1382" s="1">
        <v>0</v>
      </c>
      <c r="O1382" s="2"/>
      <c r="P1382" s="2"/>
      <c r="Q1382" s="2">
        <v>0</v>
      </c>
      <c r="R1382" s="6"/>
    </row>
    <row r="1383" spans="1:18" x14ac:dyDescent="0.25">
      <c r="A1383" s="2">
        <f t="shared" si="54"/>
        <v>1382</v>
      </c>
      <c r="B1383" s="2"/>
      <c r="C1383" s="2"/>
      <c r="D1383" s="2"/>
      <c r="E1383" s="2"/>
      <c r="F1383" s="2"/>
      <c r="G1383" s="2"/>
      <c r="H1383" s="2" t="str">
        <f t="shared" si="53"/>
        <v>0 г. 0 мес. 0 дн.</v>
      </c>
      <c r="I1383" s="2"/>
      <c r="J1383" s="2"/>
      <c r="K1383" s="2"/>
      <c r="L1383" s="2"/>
      <c r="M1383" s="2"/>
      <c r="N1383" s="1">
        <v>0</v>
      </c>
      <c r="O1383" s="2"/>
      <c r="P1383" s="2"/>
      <c r="Q1383" s="2">
        <v>0</v>
      </c>
      <c r="R1383" s="6"/>
    </row>
    <row r="1384" spans="1:18" x14ac:dyDescent="0.25">
      <c r="A1384" s="2">
        <f t="shared" si="54"/>
        <v>1383</v>
      </c>
      <c r="B1384" s="2"/>
      <c r="C1384" s="2"/>
      <c r="D1384" s="2"/>
      <c r="E1384" s="2"/>
      <c r="F1384" s="2"/>
      <c r="G1384" s="2"/>
      <c r="H1384" s="2" t="str">
        <f t="shared" si="53"/>
        <v>0 г. 0 мес. 0 дн.</v>
      </c>
      <c r="I1384" s="2"/>
      <c r="J1384" s="2"/>
      <c r="K1384" s="2"/>
      <c r="L1384" s="2"/>
      <c r="M1384" s="2"/>
      <c r="N1384" s="1">
        <v>0</v>
      </c>
      <c r="O1384" s="2"/>
      <c r="P1384" s="2"/>
      <c r="Q1384" s="2">
        <v>0</v>
      </c>
      <c r="R1384" s="6"/>
    </row>
    <row r="1385" spans="1:18" x14ac:dyDescent="0.25">
      <c r="A1385" s="2">
        <f t="shared" si="54"/>
        <v>1384</v>
      </c>
      <c r="B1385" s="2"/>
      <c r="C1385" s="2"/>
      <c r="D1385" s="2"/>
      <c r="E1385" s="2"/>
      <c r="F1385" s="2"/>
      <c r="G1385" s="2"/>
      <c r="H1385" s="2" t="str">
        <f t="shared" si="53"/>
        <v>0 г. 0 мес. 0 дн.</v>
      </c>
      <c r="I1385" s="2"/>
      <c r="J1385" s="2"/>
      <c r="K1385" s="2"/>
      <c r="L1385" s="2"/>
      <c r="M1385" s="2"/>
      <c r="N1385" s="1">
        <v>0</v>
      </c>
      <c r="O1385" s="2"/>
      <c r="P1385" s="2"/>
      <c r="Q1385" s="2">
        <v>0</v>
      </c>
      <c r="R1385" s="6"/>
    </row>
    <row r="1386" spans="1:18" x14ac:dyDescent="0.25">
      <c r="A1386" s="2">
        <f t="shared" si="54"/>
        <v>1385</v>
      </c>
      <c r="B1386" s="2"/>
      <c r="C1386" s="2"/>
      <c r="D1386" s="2"/>
      <c r="E1386" s="2"/>
      <c r="F1386" s="2"/>
      <c r="G1386" s="2"/>
      <c r="H1386" s="2" t="str">
        <f t="shared" si="53"/>
        <v>0 г. 0 мес. 0 дн.</v>
      </c>
      <c r="I1386" s="2"/>
      <c r="J1386" s="2"/>
      <c r="K1386" s="2"/>
      <c r="L1386" s="2"/>
      <c r="M1386" s="2"/>
      <c r="N1386" s="1">
        <v>0</v>
      </c>
      <c r="O1386" s="2"/>
      <c r="P1386" s="2"/>
      <c r="Q1386" s="2">
        <v>0</v>
      </c>
      <c r="R1386" s="6"/>
    </row>
    <row r="1387" spans="1:18" x14ac:dyDescent="0.25">
      <c r="A1387" s="2">
        <f t="shared" si="54"/>
        <v>1386</v>
      </c>
      <c r="B1387" s="2"/>
      <c r="C1387" s="2"/>
      <c r="D1387" s="2"/>
      <c r="E1387" s="2"/>
      <c r="F1387" s="2"/>
      <c r="G1387" s="2"/>
      <c r="H1387" s="2" t="str">
        <f t="shared" si="53"/>
        <v>0 г. 0 мес. 0 дн.</v>
      </c>
      <c r="I1387" s="2"/>
      <c r="J1387" s="2"/>
      <c r="K1387" s="2"/>
      <c r="L1387" s="2"/>
      <c r="M1387" s="2"/>
      <c r="N1387" s="1">
        <v>0</v>
      </c>
      <c r="O1387" s="2"/>
      <c r="P1387" s="2"/>
      <c r="Q1387" s="2">
        <v>0</v>
      </c>
      <c r="R1387" s="6"/>
    </row>
    <row r="1388" spans="1:18" x14ac:dyDescent="0.25">
      <c r="A1388" s="2">
        <f t="shared" si="54"/>
        <v>1387</v>
      </c>
      <c r="B1388" s="2"/>
      <c r="C1388" s="2"/>
      <c r="D1388" s="2"/>
      <c r="E1388" s="2"/>
      <c r="F1388" s="2"/>
      <c r="G1388" s="2"/>
      <c r="H1388" s="2" t="str">
        <f t="shared" si="53"/>
        <v>0 г. 0 мес. 0 дн.</v>
      </c>
      <c r="I1388" s="2"/>
      <c r="J1388" s="2"/>
      <c r="K1388" s="2"/>
      <c r="L1388" s="2"/>
      <c r="M1388" s="2"/>
      <c r="N1388" s="1">
        <v>0</v>
      </c>
      <c r="O1388" s="2"/>
      <c r="P1388" s="2"/>
      <c r="Q1388" s="2">
        <v>0</v>
      </c>
      <c r="R1388" s="6"/>
    </row>
    <row r="1389" spans="1:18" x14ac:dyDescent="0.25">
      <c r="A1389" s="2">
        <f t="shared" si="54"/>
        <v>1388</v>
      </c>
      <c r="B1389" s="2"/>
      <c r="C1389" s="2"/>
      <c r="D1389" s="2"/>
      <c r="E1389" s="2"/>
      <c r="F1389" s="2"/>
      <c r="G1389" s="2"/>
      <c r="H1389" s="2" t="str">
        <f t="shared" si="53"/>
        <v>0 г. 0 мес. 0 дн.</v>
      </c>
      <c r="I1389" s="2"/>
      <c r="J1389" s="2"/>
      <c r="K1389" s="2"/>
      <c r="L1389" s="2"/>
      <c r="M1389" s="2"/>
      <c r="N1389" s="1">
        <v>0</v>
      </c>
      <c r="O1389" s="2"/>
      <c r="P1389" s="2"/>
      <c r="Q1389" s="2">
        <v>0</v>
      </c>
      <c r="R1389" s="6"/>
    </row>
    <row r="1390" spans="1:18" x14ac:dyDescent="0.25">
      <c r="A1390" s="2">
        <f t="shared" si="54"/>
        <v>1389</v>
      </c>
      <c r="B1390" s="2"/>
      <c r="C1390" s="2"/>
      <c r="D1390" s="2"/>
      <c r="E1390" s="2"/>
      <c r="F1390" s="2"/>
      <c r="G1390" s="2"/>
      <c r="H1390" s="2" t="str">
        <f t="shared" si="53"/>
        <v>0 г. 0 мес. 0 дн.</v>
      </c>
      <c r="I1390" s="2"/>
      <c r="J1390" s="2"/>
      <c r="K1390" s="2"/>
      <c r="L1390" s="2"/>
      <c r="M1390" s="2"/>
      <c r="N1390" s="1">
        <v>0</v>
      </c>
      <c r="O1390" s="2"/>
      <c r="P1390" s="2"/>
      <c r="Q1390" s="2">
        <v>0</v>
      </c>
      <c r="R1390" s="6"/>
    </row>
    <row r="1391" spans="1:18" x14ac:dyDescent="0.25">
      <c r="A1391" s="2">
        <f t="shared" si="54"/>
        <v>1390</v>
      </c>
      <c r="B1391" s="2"/>
      <c r="C1391" s="2"/>
      <c r="D1391" s="2"/>
      <c r="E1391" s="2"/>
      <c r="F1391" s="2"/>
      <c r="G1391" s="2"/>
      <c r="H1391" s="2" t="str">
        <f t="shared" si="53"/>
        <v>0 г. 0 мес. 0 дн.</v>
      </c>
      <c r="I1391" s="2"/>
      <c r="J1391" s="2"/>
      <c r="K1391" s="2"/>
      <c r="L1391" s="2"/>
      <c r="M1391" s="2"/>
      <c r="N1391" s="1">
        <v>0</v>
      </c>
      <c r="O1391" s="2"/>
      <c r="P1391" s="2"/>
      <c r="Q1391" s="2">
        <v>0</v>
      </c>
      <c r="R1391" s="6"/>
    </row>
    <row r="1392" spans="1:18" x14ac:dyDescent="0.25">
      <c r="A1392" s="2">
        <f t="shared" si="54"/>
        <v>1391</v>
      </c>
      <c r="B1392" s="2"/>
      <c r="C1392" s="2"/>
      <c r="D1392" s="2"/>
      <c r="E1392" s="2"/>
      <c r="F1392" s="2"/>
      <c r="G1392" s="2"/>
      <c r="H1392" s="2" t="str">
        <f t="shared" si="53"/>
        <v>0 г. 0 мес. 0 дн.</v>
      </c>
      <c r="I1392" s="2"/>
      <c r="J1392" s="2"/>
      <c r="K1392" s="2"/>
      <c r="L1392" s="2"/>
      <c r="M1392" s="2"/>
      <c r="N1392" s="1">
        <v>0</v>
      </c>
      <c r="O1392" s="2"/>
      <c r="P1392" s="2"/>
      <c r="Q1392" s="2">
        <v>0</v>
      </c>
      <c r="R1392" s="6"/>
    </row>
    <row r="1393" spans="1:18" x14ac:dyDescent="0.25">
      <c r="A1393" s="2">
        <f t="shared" si="54"/>
        <v>1392</v>
      </c>
      <c r="B1393" s="2"/>
      <c r="C1393" s="2"/>
      <c r="D1393" s="2"/>
      <c r="E1393" s="2"/>
      <c r="F1393" s="2"/>
      <c r="G1393" s="2"/>
      <c r="H1393" s="2" t="str">
        <f t="shared" si="53"/>
        <v>0 г. 0 мес. 0 дн.</v>
      </c>
      <c r="I1393" s="2"/>
      <c r="J1393" s="2"/>
      <c r="K1393" s="2"/>
      <c r="L1393" s="2"/>
      <c r="M1393" s="2"/>
      <c r="N1393" s="1">
        <v>0</v>
      </c>
      <c r="O1393" s="2"/>
      <c r="P1393" s="2"/>
      <c r="Q1393" s="2">
        <v>0</v>
      </c>
      <c r="R1393" s="6"/>
    </row>
    <row r="1394" spans="1:18" x14ac:dyDescent="0.25">
      <c r="A1394" s="2">
        <f t="shared" si="54"/>
        <v>1393</v>
      </c>
      <c r="B1394" s="2"/>
      <c r="C1394" s="2"/>
      <c r="D1394" s="2"/>
      <c r="E1394" s="2"/>
      <c r="F1394" s="2"/>
      <c r="G1394" s="2"/>
      <c r="H1394" s="2" t="str">
        <f t="shared" si="53"/>
        <v>0 г. 0 мес. 0 дн.</v>
      </c>
      <c r="I1394" s="2"/>
      <c r="J1394" s="2"/>
      <c r="K1394" s="2"/>
      <c r="L1394" s="2"/>
      <c r="M1394" s="2"/>
      <c r="N1394" s="1">
        <v>0</v>
      </c>
      <c r="O1394" s="2"/>
      <c r="P1394" s="2"/>
      <c r="Q1394" s="2">
        <v>0</v>
      </c>
      <c r="R1394" s="6"/>
    </row>
    <row r="1395" spans="1:18" x14ac:dyDescent="0.25">
      <c r="A1395" s="2">
        <f t="shared" si="54"/>
        <v>1394</v>
      </c>
      <c r="B1395" s="2"/>
      <c r="C1395" s="2"/>
      <c r="D1395" s="2"/>
      <c r="E1395" s="2"/>
      <c r="F1395" s="2"/>
      <c r="G1395" s="2"/>
      <c r="H1395" s="2" t="str">
        <f t="shared" si="53"/>
        <v>0 г. 0 мес. 0 дн.</v>
      </c>
      <c r="I1395" s="2"/>
      <c r="J1395" s="2"/>
      <c r="K1395" s="2"/>
      <c r="L1395" s="2"/>
      <c r="M1395" s="2"/>
      <c r="N1395" s="1">
        <v>0</v>
      </c>
      <c r="O1395" s="2"/>
      <c r="P1395" s="2"/>
      <c r="Q1395" s="2">
        <v>0</v>
      </c>
      <c r="R1395" s="6"/>
    </row>
    <row r="1396" spans="1:18" x14ac:dyDescent="0.25">
      <c r="A1396" s="2">
        <f t="shared" si="54"/>
        <v>1395</v>
      </c>
      <c r="B1396" s="2"/>
      <c r="C1396" s="2"/>
      <c r="D1396" s="2"/>
      <c r="E1396" s="2"/>
      <c r="F1396" s="2"/>
      <c r="G1396" s="2"/>
      <c r="H1396" s="2" t="str">
        <f t="shared" si="53"/>
        <v>0 г. 0 мес. 0 дн.</v>
      </c>
      <c r="I1396" s="2"/>
      <c r="J1396" s="2"/>
      <c r="K1396" s="2"/>
      <c r="L1396" s="2"/>
      <c r="M1396" s="2"/>
      <c r="N1396" s="1">
        <v>0</v>
      </c>
      <c r="O1396" s="2"/>
      <c r="P1396" s="2"/>
      <c r="Q1396" s="2">
        <v>0</v>
      </c>
      <c r="R1396" s="6"/>
    </row>
    <row r="1397" spans="1:18" x14ac:dyDescent="0.25">
      <c r="A1397" s="2">
        <f t="shared" si="54"/>
        <v>1396</v>
      </c>
      <c r="B1397" s="2"/>
      <c r="C1397" s="2"/>
      <c r="D1397" s="2"/>
      <c r="E1397" s="2"/>
      <c r="F1397" s="2"/>
      <c r="G1397" s="2"/>
      <c r="H1397" s="2" t="str">
        <f t="shared" si="53"/>
        <v>0 г. 0 мес. 0 дн.</v>
      </c>
      <c r="I1397" s="2"/>
      <c r="J1397" s="2"/>
      <c r="K1397" s="2"/>
      <c r="L1397" s="2"/>
      <c r="M1397" s="2"/>
      <c r="N1397" s="1">
        <v>0</v>
      </c>
      <c r="O1397" s="2"/>
      <c r="P1397" s="2"/>
      <c r="Q1397" s="2">
        <v>0</v>
      </c>
      <c r="R1397" s="6"/>
    </row>
    <row r="1398" spans="1:18" x14ac:dyDescent="0.25">
      <c r="A1398" s="2">
        <f t="shared" si="54"/>
        <v>1397</v>
      </c>
      <c r="B1398" s="2"/>
      <c r="C1398" s="2"/>
      <c r="D1398" s="2"/>
      <c r="E1398" s="2"/>
      <c r="F1398" s="2"/>
      <c r="G1398" s="2"/>
      <c r="H1398" s="2" t="str">
        <f t="shared" si="53"/>
        <v>0 г. 0 мес. 0 дн.</v>
      </c>
      <c r="I1398" s="2"/>
      <c r="J1398" s="2"/>
      <c r="K1398" s="2"/>
      <c r="L1398" s="2"/>
      <c r="M1398" s="2"/>
      <c r="N1398" s="1">
        <v>0</v>
      </c>
      <c r="O1398" s="2"/>
      <c r="P1398" s="2"/>
      <c r="Q1398" s="2">
        <v>0</v>
      </c>
      <c r="R1398" s="6"/>
    </row>
    <row r="1399" spans="1:18" x14ac:dyDescent="0.25">
      <c r="A1399" s="2">
        <f t="shared" si="54"/>
        <v>1398</v>
      </c>
      <c r="B1399" s="2"/>
      <c r="C1399" s="2"/>
      <c r="D1399" s="2"/>
      <c r="E1399" s="2"/>
      <c r="F1399" s="2"/>
      <c r="G1399" s="2"/>
      <c r="H1399" s="2" t="str">
        <f t="shared" si="53"/>
        <v>0 г. 0 мес. 0 дн.</v>
      </c>
      <c r="I1399" s="2"/>
      <c r="J1399" s="2"/>
      <c r="K1399" s="2"/>
      <c r="L1399" s="2"/>
      <c r="M1399" s="2"/>
      <c r="N1399" s="1">
        <v>0</v>
      </c>
      <c r="O1399" s="2"/>
      <c r="P1399" s="2"/>
      <c r="Q1399" s="2">
        <v>0</v>
      </c>
      <c r="R1399" s="6"/>
    </row>
    <row r="1400" spans="1:18" x14ac:dyDescent="0.25">
      <c r="A1400" s="2">
        <f t="shared" si="54"/>
        <v>1399</v>
      </c>
      <c r="B1400" s="2"/>
      <c r="C1400" s="2"/>
      <c r="D1400" s="2"/>
      <c r="E1400" s="2"/>
      <c r="F1400" s="2"/>
      <c r="G1400" s="2"/>
      <c r="H1400" s="2" t="str">
        <f t="shared" si="53"/>
        <v>0 г. 0 мес. 0 дн.</v>
      </c>
      <c r="I1400" s="2"/>
      <c r="J1400" s="2"/>
      <c r="K1400" s="2"/>
      <c r="L1400" s="2"/>
      <c r="M1400" s="2"/>
      <c r="N1400" s="1">
        <v>0</v>
      </c>
      <c r="O1400" s="2"/>
      <c r="P1400" s="2"/>
      <c r="Q1400" s="2">
        <v>0</v>
      </c>
      <c r="R1400" s="6"/>
    </row>
    <row r="1401" spans="1:18" x14ac:dyDescent="0.25">
      <c r="A1401" s="2">
        <f t="shared" si="54"/>
        <v>1400</v>
      </c>
      <c r="B1401" s="2"/>
      <c r="C1401" s="2"/>
      <c r="D1401" s="2"/>
      <c r="E1401" s="2"/>
      <c r="F1401" s="2"/>
      <c r="G1401" s="2"/>
      <c r="H1401" s="2" t="str">
        <f t="shared" si="53"/>
        <v>0 г. 0 мес. 0 дн.</v>
      </c>
      <c r="I1401" s="2"/>
      <c r="J1401" s="2"/>
      <c r="K1401" s="2"/>
      <c r="L1401" s="2"/>
      <c r="M1401" s="2"/>
      <c r="N1401" s="1">
        <v>0</v>
      </c>
      <c r="O1401" s="2"/>
      <c r="P1401" s="2"/>
      <c r="Q1401" s="2">
        <v>0</v>
      </c>
      <c r="R1401" s="6"/>
    </row>
    <row r="1402" spans="1:18" x14ac:dyDescent="0.25">
      <c r="A1402" s="2">
        <f t="shared" si="54"/>
        <v>1401</v>
      </c>
      <c r="B1402" s="2"/>
      <c r="C1402" s="2"/>
      <c r="D1402" s="2"/>
      <c r="E1402" s="2"/>
      <c r="F1402" s="2"/>
      <c r="G1402" s="2"/>
      <c r="H1402" s="2" t="str">
        <f t="shared" si="53"/>
        <v>0 г. 0 мес. 0 дн.</v>
      </c>
      <c r="I1402" s="2"/>
      <c r="J1402" s="2"/>
      <c r="K1402" s="2"/>
      <c r="L1402" s="2"/>
      <c r="M1402" s="2"/>
      <c r="N1402" s="1">
        <v>0</v>
      </c>
      <c r="O1402" s="2"/>
      <c r="P1402" s="2"/>
      <c r="Q1402" s="2">
        <v>0</v>
      </c>
      <c r="R1402" s="6"/>
    </row>
    <row r="1403" spans="1:18" x14ac:dyDescent="0.25">
      <c r="A1403" s="2">
        <f t="shared" si="54"/>
        <v>1402</v>
      </c>
      <c r="B1403" s="2"/>
      <c r="C1403" s="2"/>
      <c r="D1403" s="2"/>
      <c r="E1403" s="2"/>
      <c r="F1403" s="2"/>
      <c r="G1403" s="2"/>
      <c r="H1403" s="2" t="str">
        <f t="shared" si="53"/>
        <v>0 г. 0 мес. 0 дн.</v>
      </c>
      <c r="I1403" s="2"/>
      <c r="J1403" s="2"/>
      <c r="K1403" s="2"/>
      <c r="L1403" s="2"/>
      <c r="M1403" s="2"/>
      <c r="N1403" s="1">
        <v>0</v>
      </c>
      <c r="O1403" s="2"/>
      <c r="P1403" s="2"/>
      <c r="Q1403" s="2">
        <v>0</v>
      </c>
      <c r="R1403" s="6"/>
    </row>
    <row r="1404" spans="1:18" x14ac:dyDescent="0.25">
      <c r="A1404" s="2">
        <f t="shared" si="54"/>
        <v>1403</v>
      </c>
      <c r="B1404" s="2"/>
      <c r="C1404" s="2"/>
      <c r="D1404" s="2"/>
      <c r="E1404" s="2"/>
      <c r="F1404" s="2"/>
      <c r="G1404" s="2"/>
      <c r="H1404" s="2" t="str">
        <f t="shared" si="53"/>
        <v>0 г. 0 мес. 0 дн.</v>
      </c>
      <c r="I1404" s="2"/>
      <c r="J1404" s="2"/>
      <c r="K1404" s="2"/>
      <c r="L1404" s="2"/>
      <c r="M1404" s="2"/>
      <c r="N1404" s="1">
        <v>0</v>
      </c>
      <c r="O1404" s="2"/>
      <c r="P1404" s="2"/>
      <c r="Q1404" s="2">
        <v>0</v>
      </c>
      <c r="R1404" s="6"/>
    </row>
    <row r="1405" spans="1:18" x14ac:dyDescent="0.25">
      <c r="A1405" s="2">
        <f t="shared" si="54"/>
        <v>1404</v>
      </c>
      <c r="B1405" s="2"/>
      <c r="C1405" s="2"/>
      <c r="D1405" s="2"/>
      <c r="E1405" s="2"/>
      <c r="F1405" s="2"/>
      <c r="G1405" s="2"/>
      <c r="H1405" s="2" t="str">
        <f t="shared" si="53"/>
        <v>0 г. 0 мес. 0 дн.</v>
      </c>
      <c r="I1405" s="2"/>
      <c r="J1405" s="2"/>
      <c r="K1405" s="2"/>
      <c r="L1405" s="2"/>
      <c r="M1405" s="2"/>
      <c r="N1405" s="1">
        <v>0</v>
      </c>
      <c r="O1405" s="2"/>
      <c r="P1405" s="2"/>
      <c r="Q1405" s="2">
        <v>0</v>
      </c>
      <c r="R1405" s="6"/>
    </row>
    <row r="1406" spans="1:18" x14ac:dyDescent="0.25">
      <c r="A1406" s="2">
        <f t="shared" si="54"/>
        <v>1405</v>
      </c>
      <c r="B1406" s="2"/>
      <c r="C1406" s="2"/>
      <c r="D1406" s="2"/>
      <c r="E1406" s="2"/>
      <c r="F1406" s="2"/>
      <c r="G1406" s="2"/>
      <c r="H1406" s="2" t="str">
        <f t="shared" si="53"/>
        <v>0 г. 0 мес. 0 дн.</v>
      </c>
      <c r="I1406" s="2"/>
      <c r="J1406" s="2"/>
      <c r="K1406" s="2"/>
      <c r="L1406" s="2"/>
      <c r="M1406" s="2"/>
      <c r="N1406" s="1">
        <v>0</v>
      </c>
      <c r="O1406" s="2"/>
      <c r="P1406" s="2"/>
      <c r="Q1406" s="2">
        <v>0</v>
      </c>
      <c r="R1406" s="6"/>
    </row>
    <row r="1407" spans="1:18" x14ac:dyDescent="0.25">
      <c r="A1407" s="2">
        <f t="shared" si="54"/>
        <v>1406</v>
      </c>
      <c r="B1407" s="2"/>
      <c r="C1407" s="2"/>
      <c r="D1407" s="2"/>
      <c r="E1407" s="2"/>
      <c r="F1407" s="2"/>
      <c r="G1407" s="2"/>
      <c r="H1407" s="2" t="str">
        <f t="shared" si="53"/>
        <v>0 г. 0 мес. 0 дн.</v>
      </c>
      <c r="I1407" s="2"/>
      <c r="J1407" s="2"/>
      <c r="K1407" s="2"/>
      <c r="L1407" s="2"/>
      <c r="M1407" s="2"/>
      <c r="N1407" s="1">
        <v>0</v>
      </c>
      <c r="O1407" s="2"/>
      <c r="P1407" s="2"/>
      <c r="Q1407" s="2">
        <v>0</v>
      </c>
      <c r="R1407" s="6"/>
    </row>
    <row r="1408" spans="1:18" x14ac:dyDescent="0.25">
      <c r="A1408" s="2">
        <f t="shared" si="54"/>
        <v>1407</v>
      </c>
      <c r="B1408" s="2"/>
      <c r="C1408" s="2"/>
      <c r="D1408" s="2"/>
      <c r="E1408" s="2"/>
      <c r="F1408" s="2"/>
      <c r="G1408" s="2"/>
      <c r="H1408" s="2" t="str">
        <f t="shared" si="53"/>
        <v>0 г. 0 мес. 0 дн.</v>
      </c>
      <c r="I1408" s="2"/>
      <c r="J1408" s="2"/>
      <c r="K1408" s="2"/>
      <c r="L1408" s="2"/>
      <c r="M1408" s="2"/>
      <c r="N1408" s="1">
        <v>0</v>
      </c>
      <c r="O1408" s="2"/>
      <c r="P1408" s="2"/>
      <c r="Q1408" s="2">
        <v>0</v>
      </c>
      <c r="R1408" s="6"/>
    </row>
    <row r="1409" spans="1:18" x14ac:dyDescent="0.25">
      <c r="A1409" s="2">
        <f t="shared" si="54"/>
        <v>1408</v>
      </c>
      <c r="B1409" s="2"/>
      <c r="C1409" s="2"/>
      <c r="D1409" s="2"/>
      <c r="E1409" s="2"/>
      <c r="F1409" s="2"/>
      <c r="G1409" s="2"/>
      <c r="H1409" s="2" t="str">
        <f t="shared" si="53"/>
        <v>0 г. 0 мес. 0 дн.</v>
      </c>
      <c r="I1409" s="2"/>
      <c r="J1409" s="2"/>
      <c r="K1409" s="2"/>
      <c r="L1409" s="2"/>
      <c r="M1409" s="2"/>
      <c r="N1409" s="1">
        <v>0</v>
      </c>
      <c r="O1409" s="2"/>
      <c r="P1409" s="2"/>
      <c r="Q1409" s="2">
        <v>0</v>
      </c>
      <c r="R1409" s="6"/>
    </row>
    <row r="1410" spans="1:18" x14ac:dyDescent="0.25">
      <c r="A1410" s="2">
        <f t="shared" si="54"/>
        <v>1409</v>
      </c>
      <c r="B1410" s="2"/>
      <c r="C1410" s="2"/>
      <c r="D1410" s="2"/>
      <c r="E1410" s="2"/>
      <c r="F1410" s="2"/>
      <c r="G1410" s="2"/>
      <c r="H1410" s="2" t="str">
        <f t="shared" si="53"/>
        <v>0 г. 0 мес. 0 дн.</v>
      </c>
      <c r="I1410" s="2"/>
      <c r="J1410" s="2"/>
      <c r="K1410" s="2"/>
      <c r="L1410" s="2"/>
      <c r="M1410" s="2"/>
      <c r="N1410" s="1">
        <v>0</v>
      </c>
      <c r="O1410" s="2"/>
      <c r="P1410" s="2"/>
      <c r="Q1410" s="2">
        <v>0</v>
      </c>
      <c r="R1410" s="6"/>
    </row>
    <row r="1411" spans="1:18" x14ac:dyDescent="0.25">
      <c r="A1411" s="2">
        <f t="shared" si="54"/>
        <v>1410</v>
      </c>
      <c r="B1411" s="2"/>
      <c r="C1411" s="2"/>
      <c r="D1411" s="2"/>
      <c r="E1411" s="2"/>
      <c r="F1411" s="2"/>
      <c r="G1411" s="2"/>
      <c r="H1411" s="2" t="str">
        <f t="shared" si="53"/>
        <v>0 г. 0 мес. 0 дн.</v>
      </c>
      <c r="I1411" s="2"/>
      <c r="J1411" s="2"/>
      <c r="K1411" s="2"/>
      <c r="L1411" s="2"/>
      <c r="M1411" s="2"/>
      <c r="N1411" s="1">
        <v>0</v>
      </c>
      <c r="O1411" s="2"/>
      <c r="P1411" s="2"/>
      <c r="Q1411" s="2">
        <v>0</v>
      </c>
      <c r="R1411" s="6"/>
    </row>
    <row r="1412" spans="1:18" x14ac:dyDescent="0.25">
      <c r="A1412" s="2">
        <f t="shared" si="54"/>
        <v>1411</v>
      </c>
      <c r="B1412" s="2"/>
      <c r="C1412" s="2"/>
      <c r="D1412" s="2"/>
      <c r="E1412" s="2"/>
      <c r="F1412" s="2"/>
      <c r="G1412" s="2"/>
      <c r="H1412" s="2" t="str">
        <f t="shared" ref="H1412:H1475" si="55">DATEDIF(G1412,D1412,"y") &amp; " г. " &amp; DATEDIF(G1412,D1412,"ym") &amp; " мес. " &amp; DATEDIF(G1412,D1412,"md") &amp; " дн."</f>
        <v>0 г. 0 мес. 0 дн.</v>
      </c>
      <c r="I1412" s="2"/>
      <c r="J1412" s="2"/>
      <c r="K1412" s="2"/>
      <c r="L1412" s="2"/>
      <c r="M1412" s="2"/>
      <c r="N1412" s="1">
        <v>0</v>
      </c>
      <c r="O1412" s="2"/>
      <c r="P1412" s="2"/>
      <c r="Q1412" s="2">
        <v>0</v>
      </c>
      <c r="R1412" s="6"/>
    </row>
    <row r="1413" spans="1:18" x14ac:dyDescent="0.25">
      <c r="A1413" s="2">
        <f t="shared" si="54"/>
        <v>1412</v>
      </c>
      <c r="B1413" s="2"/>
      <c r="C1413" s="2"/>
      <c r="D1413" s="2"/>
      <c r="E1413" s="2"/>
      <c r="F1413" s="2"/>
      <c r="G1413" s="2"/>
      <c r="H1413" s="2" t="str">
        <f t="shared" si="55"/>
        <v>0 г. 0 мес. 0 дн.</v>
      </c>
      <c r="I1413" s="2"/>
      <c r="J1413" s="2"/>
      <c r="K1413" s="2"/>
      <c r="L1413" s="2"/>
      <c r="M1413" s="2"/>
      <c r="N1413" s="1">
        <v>0</v>
      </c>
      <c r="O1413" s="2"/>
      <c r="P1413" s="2"/>
      <c r="Q1413" s="2">
        <v>0</v>
      </c>
      <c r="R1413" s="6"/>
    </row>
    <row r="1414" spans="1:18" x14ac:dyDescent="0.25">
      <c r="A1414" s="2">
        <f t="shared" si="54"/>
        <v>1413</v>
      </c>
      <c r="B1414" s="2"/>
      <c r="C1414" s="2"/>
      <c r="D1414" s="2"/>
      <c r="E1414" s="2"/>
      <c r="F1414" s="2"/>
      <c r="G1414" s="2"/>
      <c r="H1414" s="2" t="str">
        <f t="shared" si="55"/>
        <v>0 г. 0 мес. 0 дн.</v>
      </c>
      <c r="I1414" s="2"/>
      <c r="J1414" s="2"/>
      <c r="K1414" s="2"/>
      <c r="L1414" s="2"/>
      <c r="M1414" s="2"/>
      <c r="N1414" s="1">
        <v>0</v>
      </c>
      <c r="O1414" s="2"/>
      <c r="P1414" s="2"/>
      <c r="Q1414" s="2">
        <v>0</v>
      </c>
      <c r="R1414" s="6"/>
    </row>
    <row r="1415" spans="1:18" x14ac:dyDescent="0.25">
      <c r="A1415" s="2">
        <f t="shared" si="54"/>
        <v>1414</v>
      </c>
      <c r="B1415" s="2"/>
      <c r="C1415" s="2"/>
      <c r="D1415" s="2"/>
      <c r="E1415" s="2"/>
      <c r="F1415" s="2"/>
      <c r="G1415" s="2"/>
      <c r="H1415" s="2" t="str">
        <f t="shared" si="55"/>
        <v>0 г. 0 мес. 0 дн.</v>
      </c>
      <c r="I1415" s="2"/>
      <c r="J1415" s="2"/>
      <c r="K1415" s="2"/>
      <c r="L1415" s="2"/>
      <c r="M1415" s="2"/>
      <c r="N1415" s="1">
        <v>0</v>
      </c>
      <c r="O1415" s="2"/>
      <c r="P1415" s="2"/>
      <c r="Q1415" s="2">
        <v>0</v>
      </c>
      <c r="R1415" s="6"/>
    </row>
    <row r="1416" spans="1:18" x14ac:dyDescent="0.25">
      <c r="A1416" s="2">
        <f t="shared" si="54"/>
        <v>1415</v>
      </c>
      <c r="B1416" s="2"/>
      <c r="C1416" s="2"/>
      <c r="D1416" s="2"/>
      <c r="E1416" s="2"/>
      <c r="F1416" s="2"/>
      <c r="G1416" s="2"/>
      <c r="H1416" s="2" t="str">
        <f t="shared" si="55"/>
        <v>0 г. 0 мес. 0 дн.</v>
      </c>
      <c r="I1416" s="2"/>
      <c r="J1416" s="2"/>
      <c r="K1416" s="2"/>
      <c r="L1416" s="2"/>
      <c r="M1416" s="2"/>
      <c r="N1416" s="1">
        <v>0</v>
      </c>
      <c r="O1416" s="2"/>
      <c r="P1416" s="2"/>
      <c r="Q1416" s="2">
        <v>0</v>
      </c>
      <c r="R1416" s="6"/>
    </row>
    <row r="1417" spans="1:18" x14ac:dyDescent="0.25">
      <c r="A1417" s="2">
        <f t="shared" si="54"/>
        <v>1416</v>
      </c>
      <c r="B1417" s="2"/>
      <c r="C1417" s="2"/>
      <c r="D1417" s="2"/>
      <c r="E1417" s="2"/>
      <c r="F1417" s="2"/>
      <c r="G1417" s="2"/>
      <c r="H1417" s="2" t="str">
        <f t="shared" si="55"/>
        <v>0 г. 0 мес. 0 дн.</v>
      </c>
      <c r="I1417" s="2"/>
      <c r="J1417" s="2"/>
      <c r="K1417" s="2"/>
      <c r="L1417" s="2"/>
      <c r="M1417" s="2"/>
      <c r="N1417" s="1">
        <v>0</v>
      </c>
      <c r="O1417" s="2"/>
      <c r="P1417" s="2"/>
      <c r="Q1417" s="2">
        <v>0</v>
      </c>
      <c r="R1417" s="6"/>
    </row>
    <row r="1418" spans="1:18" x14ac:dyDescent="0.25">
      <c r="A1418" s="2">
        <f t="shared" si="54"/>
        <v>1417</v>
      </c>
      <c r="B1418" s="2"/>
      <c r="C1418" s="2"/>
      <c r="D1418" s="2"/>
      <c r="E1418" s="2"/>
      <c r="F1418" s="2"/>
      <c r="G1418" s="2"/>
      <c r="H1418" s="2" t="str">
        <f t="shared" si="55"/>
        <v>0 г. 0 мес. 0 дн.</v>
      </c>
      <c r="I1418" s="2"/>
      <c r="J1418" s="2"/>
      <c r="K1418" s="2"/>
      <c r="L1418" s="2"/>
      <c r="M1418" s="2"/>
      <c r="N1418" s="1">
        <v>0</v>
      </c>
      <c r="O1418" s="2"/>
      <c r="P1418" s="2"/>
      <c r="Q1418" s="2">
        <v>0</v>
      </c>
      <c r="R1418" s="6"/>
    </row>
    <row r="1419" spans="1:18" x14ac:dyDescent="0.25">
      <c r="A1419" s="2">
        <f t="shared" si="54"/>
        <v>1418</v>
      </c>
      <c r="B1419" s="2"/>
      <c r="C1419" s="2"/>
      <c r="D1419" s="2"/>
      <c r="E1419" s="2"/>
      <c r="F1419" s="2"/>
      <c r="G1419" s="2"/>
      <c r="H1419" s="2" t="str">
        <f t="shared" si="55"/>
        <v>0 г. 0 мес. 0 дн.</v>
      </c>
      <c r="I1419" s="2"/>
      <c r="J1419" s="2"/>
      <c r="K1419" s="2"/>
      <c r="L1419" s="2"/>
      <c r="M1419" s="2"/>
      <c r="N1419" s="1">
        <v>0</v>
      </c>
      <c r="O1419" s="2"/>
      <c r="P1419" s="2"/>
      <c r="Q1419" s="2">
        <v>0</v>
      </c>
      <c r="R1419" s="6"/>
    </row>
    <row r="1420" spans="1:18" x14ac:dyDescent="0.25">
      <c r="A1420" s="2">
        <f t="shared" si="54"/>
        <v>1419</v>
      </c>
      <c r="B1420" s="2"/>
      <c r="C1420" s="2"/>
      <c r="D1420" s="2"/>
      <c r="E1420" s="2"/>
      <c r="F1420" s="2"/>
      <c r="G1420" s="2"/>
      <c r="H1420" s="2" t="str">
        <f t="shared" si="55"/>
        <v>0 г. 0 мес. 0 дн.</v>
      </c>
      <c r="I1420" s="2"/>
      <c r="J1420" s="2"/>
      <c r="K1420" s="2"/>
      <c r="L1420" s="2"/>
      <c r="M1420" s="2"/>
      <c r="N1420" s="1">
        <v>0</v>
      </c>
      <c r="O1420" s="2"/>
      <c r="P1420" s="2"/>
      <c r="Q1420" s="2">
        <v>0</v>
      </c>
      <c r="R1420" s="6"/>
    </row>
    <row r="1421" spans="1:18" x14ac:dyDescent="0.25">
      <c r="A1421" s="2">
        <f t="shared" si="54"/>
        <v>1420</v>
      </c>
      <c r="B1421" s="2"/>
      <c r="C1421" s="2"/>
      <c r="D1421" s="2"/>
      <c r="E1421" s="2"/>
      <c r="F1421" s="2"/>
      <c r="G1421" s="2"/>
      <c r="H1421" s="2" t="str">
        <f t="shared" si="55"/>
        <v>0 г. 0 мес. 0 дн.</v>
      </c>
      <c r="I1421" s="2"/>
      <c r="J1421" s="2"/>
      <c r="K1421" s="2"/>
      <c r="L1421" s="2"/>
      <c r="M1421" s="2"/>
      <c r="N1421" s="1">
        <v>0</v>
      </c>
      <c r="O1421" s="2"/>
      <c r="P1421" s="2"/>
      <c r="Q1421" s="2">
        <v>0</v>
      </c>
      <c r="R1421" s="6"/>
    </row>
    <row r="1422" spans="1:18" x14ac:dyDescent="0.25">
      <c r="A1422" s="2">
        <f t="shared" si="54"/>
        <v>1421</v>
      </c>
      <c r="B1422" s="2"/>
      <c r="C1422" s="2"/>
      <c r="D1422" s="2"/>
      <c r="E1422" s="2"/>
      <c r="F1422" s="2"/>
      <c r="G1422" s="2"/>
      <c r="H1422" s="2" t="str">
        <f t="shared" si="55"/>
        <v>0 г. 0 мес. 0 дн.</v>
      </c>
      <c r="I1422" s="2"/>
      <c r="J1422" s="2"/>
      <c r="K1422" s="2"/>
      <c r="L1422" s="2"/>
      <c r="M1422" s="2"/>
      <c r="N1422" s="1">
        <v>0</v>
      </c>
      <c r="O1422" s="2"/>
      <c r="P1422" s="2"/>
      <c r="Q1422" s="2">
        <v>0</v>
      </c>
      <c r="R1422" s="6"/>
    </row>
    <row r="1423" spans="1:18" x14ac:dyDescent="0.25">
      <c r="A1423" s="2">
        <f t="shared" si="54"/>
        <v>1422</v>
      </c>
      <c r="B1423" s="2"/>
      <c r="C1423" s="2"/>
      <c r="D1423" s="2"/>
      <c r="E1423" s="2"/>
      <c r="F1423" s="2"/>
      <c r="G1423" s="2"/>
      <c r="H1423" s="2" t="str">
        <f t="shared" si="55"/>
        <v>0 г. 0 мес. 0 дн.</v>
      </c>
      <c r="I1423" s="2"/>
      <c r="J1423" s="2"/>
      <c r="K1423" s="2"/>
      <c r="L1423" s="2"/>
      <c r="M1423" s="2"/>
      <c r="N1423" s="1">
        <v>0</v>
      </c>
      <c r="O1423" s="2"/>
      <c r="P1423" s="2"/>
      <c r="Q1423" s="2">
        <v>0</v>
      </c>
      <c r="R1423" s="6"/>
    </row>
    <row r="1424" spans="1:18" x14ac:dyDescent="0.25">
      <c r="A1424" s="2">
        <f t="shared" si="54"/>
        <v>1423</v>
      </c>
      <c r="B1424" s="2"/>
      <c r="C1424" s="2"/>
      <c r="D1424" s="2"/>
      <c r="E1424" s="2"/>
      <c r="F1424" s="2"/>
      <c r="G1424" s="2"/>
      <c r="H1424" s="2" t="str">
        <f t="shared" si="55"/>
        <v>0 г. 0 мес. 0 дн.</v>
      </c>
      <c r="I1424" s="2"/>
      <c r="J1424" s="2"/>
      <c r="K1424" s="2"/>
      <c r="L1424" s="2"/>
      <c r="M1424" s="2"/>
      <c r="N1424" s="1">
        <v>0</v>
      </c>
      <c r="O1424" s="2"/>
      <c r="P1424" s="2"/>
      <c r="Q1424" s="2">
        <v>0</v>
      </c>
      <c r="R1424" s="6"/>
    </row>
    <row r="1425" spans="1:18" x14ac:dyDescent="0.25">
      <c r="A1425" s="2">
        <f t="shared" si="54"/>
        <v>1424</v>
      </c>
      <c r="B1425" s="2"/>
      <c r="C1425" s="2"/>
      <c r="D1425" s="2"/>
      <c r="E1425" s="2"/>
      <c r="F1425" s="2"/>
      <c r="G1425" s="2"/>
      <c r="H1425" s="2" t="str">
        <f t="shared" si="55"/>
        <v>0 г. 0 мес. 0 дн.</v>
      </c>
      <c r="I1425" s="2"/>
      <c r="J1425" s="2"/>
      <c r="K1425" s="2"/>
      <c r="L1425" s="2"/>
      <c r="M1425" s="2"/>
      <c r="N1425" s="1">
        <v>0</v>
      </c>
      <c r="O1425" s="2"/>
      <c r="P1425" s="2"/>
      <c r="Q1425" s="2">
        <v>0</v>
      </c>
      <c r="R1425" s="6"/>
    </row>
    <row r="1426" spans="1:18" x14ac:dyDescent="0.25">
      <c r="A1426" s="2">
        <f t="shared" si="54"/>
        <v>1425</v>
      </c>
      <c r="B1426" s="2"/>
      <c r="C1426" s="2"/>
      <c r="D1426" s="2"/>
      <c r="E1426" s="2"/>
      <c r="F1426" s="2"/>
      <c r="G1426" s="2"/>
      <c r="H1426" s="2" t="str">
        <f t="shared" si="55"/>
        <v>0 г. 0 мес. 0 дн.</v>
      </c>
      <c r="I1426" s="2"/>
      <c r="J1426" s="2"/>
      <c r="K1426" s="2"/>
      <c r="L1426" s="2"/>
      <c r="M1426" s="2"/>
      <c r="N1426" s="1">
        <v>0</v>
      </c>
      <c r="O1426" s="2"/>
      <c r="P1426" s="2"/>
      <c r="Q1426" s="2">
        <v>0</v>
      </c>
      <c r="R1426" s="6"/>
    </row>
    <row r="1427" spans="1:18" x14ac:dyDescent="0.25">
      <c r="A1427" s="2">
        <f t="shared" si="54"/>
        <v>1426</v>
      </c>
      <c r="B1427" s="2"/>
      <c r="C1427" s="2"/>
      <c r="D1427" s="2"/>
      <c r="E1427" s="2"/>
      <c r="F1427" s="2"/>
      <c r="G1427" s="2"/>
      <c r="H1427" s="2" t="str">
        <f t="shared" si="55"/>
        <v>0 г. 0 мес. 0 дн.</v>
      </c>
      <c r="I1427" s="2"/>
      <c r="J1427" s="2"/>
      <c r="K1427" s="2"/>
      <c r="L1427" s="2"/>
      <c r="M1427" s="2"/>
      <c r="N1427" s="1">
        <v>0</v>
      </c>
      <c r="O1427" s="2"/>
      <c r="P1427" s="2"/>
      <c r="Q1427" s="2">
        <v>0</v>
      </c>
      <c r="R1427" s="6"/>
    </row>
    <row r="1428" spans="1:18" x14ac:dyDescent="0.25">
      <c r="A1428" s="2">
        <f t="shared" si="54"/>
        <v>1427</v>
      </c>
      <c r="B1428" s="2"/>
      <c r="C1428" s="2"/>
      <c r="D1428" s="2"/>
      <c r="E1428" s="2"/>
      <c r="F1428" s="2"/>
      <c r="G1428" s="2"/>
      <c r="H1428" s="2" t="str">
        <f t="shared" si="55"/>
        <v>0 г. 0 мес. 0 дн.</v>
      </c>
      <c r="I1428" s="2"/>
      <c r="J1428" s="2"/>
      <c r="K1428" s="2"/>
      <c r="L1428" s="2"/>
      <c r="M1428" s="2"/>
      <c r="N1428" s="1">
        <v>0</v>
      </c>
      <c r="O1428" s="2"/>
      <c r="P1428" s="2"/>
      <c r="Q1428" s="2">
        <v>0</v>
      </c>
      <c r="R1428" s="6"/>
    </row>
    <row r="1429" spans="1:18" x14ac:dyDescent="0.25">
      <c r="A1429" s="2">
        <f t="shared" si="54"/>
        <v>1428</v>
      </c>
      <c r="B1429" s="2"/>
      <c r="C1429" s="2"/>
      <c r="D1429" s="2"/>
      <c r="E1429" s="2"/>
      <c r="F1429" s="2"/>
      <c r="G1429" s="2"/>
      <c r="H1429" s="2" t="str">
        <f t="shared" si="55"/>
        <v>0 г. 0 мес. 0 дн.</v>
      </c>
      <c r="I1429" s="2"/>
      <c r="J1429" s="2"/>
      <c r="K1429" s="2"/>
      <c r="L1429" s="2"/>
      <c r="M1429" s="2"/>
      <c r="N1429" s="1">
        <v>0</v>
      </c>
      <c r="O1429" s="2"/>
      <c r="P1429" s="2"/>
      <c r="Q1429" s="2">
        <v>0</v>
      </c>
      <c r="R1429" s="6"/>
    </row>
    <row r="1430" spans="1:18" x14ac:dyDescent="0.25">
      <c r="A1430" s="2">
        <f t="shared" si="54"/>
        <v>1429</v>
      </c>
      <c r="B1430" s="2"/>
      <c r="C1430" s="2"/>
      <c r="D1430" s="2"/>
      <c r="E1430" s="2"/>
      <c r="F1430" s="2"/>
      <c r="G1430" s="2"/>
      <c r="H1430" s="2" t="str">
        <f t="shared" si="55"/>
        <v>0 г. 0 мес. 0 дн.</v>
      </c>
      <c r="I1430" s="2"/>
      <c r="J1430" s="2"/>
      <c r="K1430" s="2"/>
      <c r="L1430" s="2"/>
      <c r="M1430" s="2"/>
      <c r="N1430" s="1">
        <v>0</v>
      </c>
      <c r="O1430" s="2"/>
      <c r="P1430" s="2"/>
      <c r="Q1430" s="2">
        <v>0</v>
      </c>
      <c r="R1430" s="6"/>
    </row>
    <row r="1431" spans="1:18" x14ac:dyDescent="0.25">
      <c r="A1431" s="2">
        <f t="shared" si="54"/>
        <v>1430</v>
      </c>
      <c r="B1431" s="2"/>
      <c r="C1431" s="2"/>
      <c r="D1431" s="2"/>
      <c r="E1431" s="2"/>
      <c r="F1431" s="2"/>
      <c r="G1431" s="2"/>
      <c r="H1431" s="2" t="str">
        <f t="shared" si="55"/>
        <v>0 г. 0 мес. 0 дн.</v>
      </c>
      <c r="I1431" s="2"/>
      <c r="J1431" s="2"/>
      <c r="K1431" s="2"/>
      <c r="L1431" s="2"/>
      <c r="M1431" s="2"/>
      <c r="N1431" s="1">
        <v>0</v>
      </c>
      <c r="O1431" s="2"/>
      <c r="P1431" s="2"/>
      <c r="Q1431" s="2">
        <v>0</v>
      </c>
      <c r="R1431" s="6"/>
    </row>
    <row r="1432" spans="1:18" x14ac:dyDescent="0.25">
      <c r="A1432" s="2">
        <f t="shared" si="54"/>
        <v>1431</v>
      </c>
      <c r="B1432" s="2"/>
      <c r="C1432" s="2"/>
      <c r="D1432" s="2"/>
      <c r="E1432" s="2"/>
      <c r="F1432" s="2"/>
      <c r="G1432" s="2"/>
      <c r="H1432" s="2" t="str">
        <f t="shared" si="55"/>
        <v>0 г. 0 мес. 0 дн.</v>
      </c>
      <c r="I1432" s="2"/>
      <c r="J1432" s="2"/>
      <c r="K1432" s="2"/>
      <c r="L1432" s="2"/>
      <c r="M1432" s="2"/>
      <c r="N1432" s="1">
        <v>0</v>
      </c>
      <c r="O1432" s="2"/>
      <c r="P1432" s="2"/>
      <c r="Q1432" s="2">
        <v>0</v>
      </c>
      <c r="R1432" s="6"/>
    </row>
    <row r="1433" spans="1:18" x14ac:dyDescent="0.25">
      <c r="A1433" s="2">
        <f t="shared" si="54"/>
        <v>1432</v>
      </c>
      <c r="B1433" s="2"/>
      <c r="C1433" s="2"/>
      <c r="D1433" s="2"/>
      <c r="E1433" s="2"/>
      <c r="F1433" s="2"/>
      <c r="G1433" s="2"/>
      <c r="H1433" s="2" t="str">
        <f t="shared" si="55"/>
        <v>0 г. 0 мес. 0 дн.</v>
      </c>
      <c r="I1433" s="2"/>
      <c r="J1433" s="2"/>
      <c r="K1433" s="2"/>
      <c r="L1433" s="2"/>
      <c r="M1433" s="2"/>
      <c r="N1433" s="1">
        <v>0</v>
      </c>
      <c r="O1433" s="2"/>
      <c r="P1433" s="2"/>
      <c r="Q1433" s="2">
        <v>0</v>
      </c>
      <c r="R1433" s="6"/>
    </row>
    <row r="1434" spans="1:18" x14ac:dyDescent="0.25">
      <c r="A1434" s="2">
        <f t="shared" si="54"/>
        <v>1433</v>
      </c>
      <c r="B1434" s="2"/>
      <c r="C1434" s="2"/>
      <c r="D1434" s="2"/>
      <c r="E1434" s="2"/>
      <c r="F1434" s="2"/>
      <c r="G1434" s="2"/>
      <c r="H1434" s="2" t="str">
        <f t="shared" si="55"/>
        <v>0 г. 0 мес. 0 дн.</v>
      </c>
      <c r="I1434" s="2"/>
      <c r="J1434" s="2"/>
      <c r="K1434" s="2"/>
      <c r="L1434" s="2"/>
      <c r="M1434" s="2"/>
      <c r="N1434" s="1">
        <v>0</v>
      </c>
      <c r="O1434" s="2"/>
      <c r="P1434" s="2"/>
      <c r="Q1434" s="2">
        <v>0</v>
      </c>
      <c r="R1434" s="6"/>
    </row>
    <row r="1435" spans="1:18" x14ac:dyDescent="0.25">
      <c r="A1435" s="2">
        <f t="shared" si="54"/>
        <v>1434</v>
      </c>
      <c r="B1435" s="2"/>
      <c r="C1435" s="2"/>
      <c r="D1435" s="2"/>
      <c r="E1435" s="2"/>
      <c r="F1435" s="2"/>
      <c r="G1435" s="2"/>
      <c r="H1435" s="2" t="str">
        <f t="shared" si="55"/>
        <v>0 г. 0 мес. 0 дн.</v>
      </c>
      <c r="I1435" s="2"/>
      <c r="J1435" s="2"/>
      <c r="K1435" s="2"/>
      <c r="L1435" s="2"/>
      <c r="M1435" s="2"/>
      <c r="N1435" s="1">
        <v>0</v>
      </c>
      <c r="O1435" s="2"/>
      <c r="P1435" s="2"/>
      <c r="Q1435" s="2">
        <v>0</v>
      </c>
      <c r="R1435" s="6"/>
    </row>
    <row r="1436" spans="1:18" x14ac:dyDescent="0.25">
      <c r="A1436" s="2">
        <f t="shared" si="54"/>
        <v>1435</v>
      </c>
      <c r="B1436" s="2"/>
      <c r="C1436" s="2"/>
      <c r="D1436" s="2"/>
      <c r="E1436" s="2"/>
      <c r="F1436" s="2"/>
      <c r="G1436" s="2"/>
      <c r="H1436" s="2" t="str">
        <f t="shared" si="55"/>
        <v>0 г. 0 мес. 0 дн.</v>
      </c>
      <c r="I1436" s="2"/>
      <c r="J1436" s="2"/>
      <c r="K1436" s="2"/>
      <c r="L1436" s="2"/>
      <c r="M1436" s="2"/>
      <c r="N1436" s="1">
        <v>0</v>
      </c>
      <c r="O1436" s="2"/>
      <c r="P1436" s="2"/>
      <c r="Q1436" s="2">
        <v>0</v>
      </c>
      <c r="R1436" s="6"/>
    </row>
    <row r="1437" spans="1:18" x14ac:dyDescent="0.25">
      <c r="A1437" s="2">
        <f t="shared" ref="A1437:A1500" si="56">ROW(A1436)</f>
        <v>1436</v>
      </c>
      <c r="B1437" s="2"/>
      <c r="C1437" s="2"/>
      <c r="D1437" s="2"/>
      <c r="E1437" s="2"/>
      <c r="F1437" s="2"/>
      <c r="G1437" s="2"/>
      <c r="H1437" s="2" t="str">
        <f t="shared" si="55"/>
        <v>0 г. 0 мес. 0 дн.</v>
      </c>
      <c r="I1437" s="2"/>
      <c r="J1437" s="2"/>
      <c r="K1437" s="2"/>
      <c r="L1437" s="2"/>
      <c r="M1437" s="2"/>
      <c r="N1437" s="1">
        <v>0</v>
      </c>
      <c r="O1437" s="2"/>
      <c r="P1437" s="2"/>
      <c r="Q1437" s="2">
        <v>0</v>
      </c>
      <c r="R1437" s="6"/>
    </row>
    <row r="1438" spans="1:18" x14ac:dyDescent="0.25">
      <c r="A1438" s="2">
        <f t="shared" si="56"/>
        <v>1437</v>
      </c>
      <c r="B1438" s="2"/>
      <c r="C1438" s="2"/>
      <c r="D1438" s="2"/>
      <c r="E1438" s="2"/>
      <c r="F1438" s="2"/>
      <c r="G1438" s="2"/>
      <c r="H1438" s="2" t="str">
        <f t="shared" si="55"/>
        <v>0 г. 0 мес. 0 дн.</v>
      </c>
      <c r="I1438" s="2"/>
      <c r="J1438" s="2"/>
      <c r="K1438" s="2"/>
      <c r="L1438" s="2"/>
      <c r="M1438" s="2"/>
      <c r="N1438" s="1">
        <v>0</v>
      </c>
      <c r="O1438" s="2"/>
      <c r="P1438" s="2"/>
      <c r="Q1438" s="2">
        <v>0</v>
      </c>
      <c r="R1438" s="6"/>
    </row>
    <row r="1439" spans="1:18" x14ac:dyDescent="0.25">
      <c r="A1439" s="2">
        <f t="shared" si="56"/>
        <v>1438</v>
      </c>
      <c r="B1439" s="2"/>
      <c r="C1439" s="2"/>
      <c r="D1439" s="2"/>
      <c r="E1439" s="2"/>
      <c r="F1439" s="2"/>
      <c r="G1439" s="2"/>
      <c r="H1439" s="2" t="str">
        <f t="shared" si="55"/>
        <v>0 г. 0 мес. 0 дн.</v>
      </c>
      <c r="I1439" s="2"/>
      <c r="J1439" s="2"/>
      <c r="K1439" s="2"/>
      <c r="L1439" s="2"/>
      <c r="M1439" s="2"/>
      <c r="N1439" s="1">
        <v>0</v>
      </c>
      <c r="O1439" s="2"/>
      <c r="P1439" s="2"/>
      <c r="Q1439" s="2">
        <v>0</v>
      </c>
      <c r="R1439" s="6"/>
    </row>
    <row r="1440" spans="1:18" x14ac:dyDescent="0.25">
      <c r="A1440" s="2">
        <f t="shared" si="56"/>
        <v>1439</v>
      </c>
      <c r="B1440" s="2"/>
      <c r="C1440" s="2"/>
      <c r="D1440" s="2"/>
      <c r="E1440" s="2"/>
      <c r="F1440" s="2"/>
      <c r="G1440" s="2"/>
      <c r="H1440" s="2" t="str">
        <f t="shared" si="55"/>
        <v>0 г. 0 мес. 0 дн.</v>
      </c>
      <c r="I1440" s="2"/>
      <c r="J1440" s="2"/>
      <c r="K1440" s="2"/>
      <c r="L1440" s="2"/>
      <c r="M1440" s="2"/>
      <c r="N1440" s="1">
        <v>0</v>
      </c>
      <c r="O1440" s="2"/>
      <c r="P1440" s="2"/>
      <c r="Q1440" s="2">
        <v>0</v>
      </c>
      <c r="R1440" s="6"/>
    </row>
    <row r="1441" spans="1:18" x14ac:dyDescent="0.25">
      <c r="A1441" s="2">
        <f t="shared" si="56"/>
        <v>1440</v>
      </c>
      <c r="B1441" s="2"/>
      <c r="C1441" s="2"/>
      <c r="D1441" s="2"/>
      <c r="E1441" s="2"/>
      <c r="F1441" s="2"/>
      <c r="G1441" s="2"/>
      <c r="H1441" s="2" t="str">
        <f t="shared" si="55"/>
        <v>0 г. 0 мес. 0 дн.</v>
      </c>
      <c r="I1441" s="2"/>
      <c r="J1441" s="2"/>
      <c r="K1441" s="2"/>
      <c r="L1441" s="2"/>
      <c r="M1441" s="2"/>
      <c r="N1441" s="1">
        <v>0</v>
      </c>
      <c r="O1441" s="2"/>
      <c r="P1441" s="2"/>
      <c r="Q1441" s="2">
        <v>0</v>
      </c>
      <c r="R1441" s="6"/>
    </row>
    <row r="1442" spans="1:18" x14ac:dyDescent="0.25">
      <c r="A1442" s="2">
        <f t="shared" si="56"/>
        <v>1441</v>
      </c>
      <c r="B1442" s="2"/>
      <c r="C1442" s="2"/>
      <c r="D1442" s="2"/>
      <c r="E1442" s="2"/>
      <c r="F1442" s="2"/>
      <c r="G1442" s="2"/>
      <c r="H1442" s="2" t="str">
        <f t="shared" si="55"/>
        <v>0 г. 0 мес. 0 дн.</v>
      </c>
      <c r="I1442" s="2"/>
      <c r="J1442" s="2"/>
      <c r="K1442" s="2"/>
      <c r="L1442" s="2"/>
      <c r="M1442" s="2"/>
      <c r="N1442" s="1">
        <v>0</v>
      </c>
      <c r="O1442" s="2"/>
      <c r="P1442" s="2"/>
      <c r="Q1442" s="2">
        <v>0</v>
      </c>
      <c r="R1442" s="6"/>
    </row>
    <row r="1443" spans="1:18" x14ac:dyDescent="0.25">
      <c r="A1443" s="2">
        <f t="shared" si="56"/>
        <v>1442</v>
      </c>
      <c r="B1443" s="2"/>
      <c r="C1443" s="2"/>
      <c r="D1443" s="2"/>
      <c r="E1443" s="2"/>
      <c r="F1443" s="2"/>
      <c r="G1443" s="2"/>
      <c r="H1443" s="2" t="str">
        <f t="shared" si="55"/>
        <v>0 г. 0 мес. 0 дн.</v>
      </c>
      <c r="I1443" s="2"/>
      <c r="J1443" s="2"/>
      <c r="K1443" s="2"/>
      <c r="L1443" s="2"/>
      <c r="M1443" s="2"/>
      <c r="N1443" s="1">
        <v>0</v>
      </c>
      <c r="O1443" s="2"/>
      <c r="P1443" s="2"/>
      <c r="Q1443" s="2">
        <v>0</v>
      </c>
      <c r="R1443" s="6"/>
    </row>
    <row r="1444" spans="1:18" x14ac:dyDescent="0.25">
      <c r="A1444" s="2">
        <f t="shared" si="56"/>
        <v>1443</v>
      </c>
      <c r="B1444" s="2"/>
      <c r="C1444" s="2"/>
      <c r="D1444" s="2"/>
      <c r="E1444" s="2"/>
      <c r="F1444" s="2"/>
      <c r="G1444" s="2"/>
      <c r="H1444" s="2" t="str">
        <f t="shared" si="55"/>
        <v>0 г. 0 мес. 0 дн.</v>
      </c>
      <c r="I1444" s="2"/>
      <c r="J1444" s="2"/>
      <c r="K1444" s="2"/>
      <c r="L1444" s="2"/>
      <c r="M1444" s="2"/>
      <c r="N1444" s="1">
        <v>0</v>
      </c>
      <c r="O1444" s="2"/>
      <c r="P1444" s="2"/>
      <c r="Q1444" s="2">
        <v>0</v>
      </c>
      <c r="R1444" s="6"/>
    </row>
    <row r="1445" spans="1:18" x14ac:dyDescent="0.25">
      <c r="A1445" s="2">
        <f t="shared" si="56"/>
        <v>1444</v>
      </c>
      <c r="B1445" s="2"/>
      <c r="C1445" s="2"/>
      <c r="D1445" s="2"/>
      <c r="E1445" s="2"/>
      <c r="F1445" s="2"/>
      <c r="G1445" s="2"/>
      <c r="H1445" s="2" t="str">
        <f t="shared" si="55"/>
        <v>0 г. 0 мес. 0 дн.</v>
      </c>
      <c r="I1445" s="2"/>
      <c r="J1445" s="2"/>
      <c r="K1445" s="2"/>
      <c r="L1445" s="2"/>
      <c r="M1445" s="2"/>
      <c r="N1445" s="1">
        <v>0</v>
      </c>
      <c r="O1445" s="2"/>
      <c r="P1445" s="2"/>
      <c r="Q1445" s="2">
        <v>0</v>
      </c>
      <c r="R1445" s="6"/>
    </row>
    <row r="1446" spans="1:18" x14ac:dyDescent="0.25">
      <c r="A1446" s="2">
        <f t="shared" si="56"/>
        <v>1445</v>
      </c>
      <c r="B1446" s="2"/>
      <c r="C1446" s="2"/>
      <c r="D1446" s="2"/>
      <c r="E1446" s="2"/>
      <c r="F1446" s="2"/>
      <c r="G1446" s="2"/>
      <c r="H1446" s="2" t="str">
        <f t="shared" si="55"/>
        <v>0 г. 0 мес. 0 дн.</v>
      </c>
      <c r="I1446" s="2"/>
      <c r="J1446" s="2"/>
      <c r="K1446" s="2"/>
      <c r="L1446" s="2"/>
      <c r="M1446" s="2"/>
      <c r="N1446" s="1">
        <v>0</v>
      </c>
      <c r="O1446" s="2"/>
      <c r="P1446" s="2"/>
      <c r="Q1446" s="2">
        <v>0</v>
      </c>
      <c r="R1446" s="6"/>
    </row>
    <row r="1447" spans="1:18" x14ac:dyDescent="0.25">
      <c r="A1447" s="2">
        <f t="shared" si="56"/>
        <v>1446</v>
      </c>
      <c r="B1447" s="2"/>
      <c r="C1447" s="2"/>
      <c r="D1447" s="2"/>
      <c r="E1447" s="2"/>
      <c r="F1447" s="2"/>
      <c r="G1447" s="2"/>
      <c r="H1447" s="2" t="str">
        <f t="shared" si="55"/>
        <v>0 г. 0 мес. 0 дн.</v>
      </c>
      <c r="I1447" s="2"/>
      <c r="J1447" s="2"/>
      <c r="K1447" s="2"/>
      <c r="L1447" s="2"/>
      <c r="M1447" s="2"/>
      <c r="N1447" s="1">
        <v>0</v>
      </c>
      <c r="O1447" s="2"/>
      <c r="P1447" s="2"/>
      <c r="Q1447" s="2">
        <v>0</v>
      </c>
      <c r="R1447" s="6"/>
    </row>
    <row r="1448" spans="1:18" x14ac:dyDescent="0.25">
      <c r="A1448" s="2">
        <f t="shared" si="56"/>
        <v>1447</v>
      </c>
      <c r="B1448" s="2"/>
      <c r="C1448" s="2"/>
      <c r="D1448" s="2"/>
      <c r="E1448" s="2"/>
      <c r="F1448" s="2"/>
      <c r="G1448" s="2"/>
      <c r="H1448" s="2" t="str">
        <f t="shared" si="55"/>
        <v>0 г. 0 мес. 0 дн.</v>
      </c>
      <c r="I1448" s="2"/>
      <c r="J1448" s="2"/>
      <c r="K1448" s="2"/>
      <c r="L1448" s="2"/>
      <c r="M1448" s="2"/>
      <c r="N1448" s="1">
        <v>0</v>
      </c>
      <c r="O1448" s="2"/>
      <c r="P1448" s="2"/>
      <c r="Q1448" s="2">
        <v>0</v>
      </c>
      <c r="R1448" s="6"/>
    </row>
    <row r="1449" spans="1:18" x14ac:dyDescent="0.25">
      <c r="A1449" s="2">
        <f t="shared" si="56"/>
        <v>1448</v>
      </c>
      <c r="B1449" s="2"/>
      <c r="C1449" s="2"/>
      <c r="D1449" s="2"/>
      <c r="E1449" s="2"/>
      <c r="F1449" s="2"/>
      <c r="G1449" s="2"/>
      <c r="H1449" s="2" t="str">
        <f t="shared" si="55"/>
        <v>0 г. 0 мес. 0 дн.</v>
      </c>
      <c r="I1449" s="2"/>
      <c r="J1449" s="2"/>
      <c r="K1449" s="2"/>
      <c r="L1449" s="2"/>
      <c r="M1449" s="2"/>
      <c r="N1449" s="1">
        <v>0</v>
      </c>
      <c r="O1449" s="2"/>
      <c r="P1449" s="2"/>
      <c r="Q1449" s="2">
        <v>0</v>
      </c>
      <c r="R1449" s="6"/>
    </row>
    <row r="1450" spans="1:18" x14ac:dyDescent="0.25">
      <c r="A1450" s="2">
        <f t="shared" si="56"/>
        <v>1449</v>
      </c>
      <c r="B1450" s="2"/>
      <c r="C1450" s="2"/>
      <c r="D1450" s="2"/>
      <c r="E1450" s="2"/>
      <c r="F1450" s="2"/>
      <c r="G1450" s="2"/>
      <c r="H1450" s="2" t="str">
        <f t="shared" si="55"/>
        <v>0 г. 0 мес. 0 дн.</v>
      </c>
      <c r="I1450" s="2"/>
      <c r="J1450" s="2"/>
      <c r="K1450" s="2"/>
      <c r="L1450" s="2"/>
      <c r="M1450" s="2"/>
      <c r="N1450" s="1">
        <v>0</v>
      </c>
      <c r="O1450" s="2"/>
      <c r="P1450" s="2"/>
      <c r="Q1450" s="2">
        <v>0</v>
      </c>
      <c r="R1450" s="6"/>
    </row>
    <row r="1451" spans="1:18" x14ac:dyDescent="0.25">
      <c r="A1451" s="2">
        <f t="shared" si="56"/>
        <v>1450</v>
      </c>
      <c r="B1451" s="2"/>
      <c r="C1451" s="2"/>
      <c r="D1451" s="2"/>
      <c r="E1451" s="2"/>
      <c r="F1451" s="2"/>
      <c r="G1451" s="2"/>
      <c r="H1451" s="2" t="str">
        <f t="shared" si="55"/>
        <v>0 г. 0 мес. 0 дн.</v>
      </c>
      <c r="I1451" s="2"/>
      <c r="J1451" s="2"/>
      <c r="K1451" s="2"/>
      <c r="L1451" s="2"/>
      <c r="M1451" s="2"/>
      <c r="N1451" s="1">
        <v>0</v>
      </c>
      <c r="O1451" s="2"/>
      <c r="P1451" s="2"/>
      <c r="Q1451" s="2">
        <v>0</v>
      </c>
      <c r="R1451" s="6"/>
    </row>
    <row r="1452" spans="1:18" x14ac:dyDescent="0.25">
      <c r="A1452" s="2">
        <f t="shared" si="56"/>
        <v>1451</v>
      </c>
      <c r="B1452" s="2"/>
      <c r="C1452" s="2"/>
      <c r="D1452" s="2"/>
      <c r="E1452" s="2"/>
      <c r="F1452" s="2"/>
      <c r="G1452" s="2"/>
      <c r="H1452" s="2" t="str">
        <f t="shared" si="55"/>
        <v>0 г. 0 мес. 0 дн.</v>
      </c>
      <c r="I1452" s="2"/>
      <c r="J1452" s="2"/>
      <c r="K1452" s="2"/>
      <c r="L1452" s="2"/>
      <c r="M1452" s="2"/>
      <c r="N1452" s="1">
        <v>0</v>
      </c>
      <c r="O1452" s="2"/>
      <c r="P1452" s="2"/>
      <c r="Q1452" s="2">
        <v>0</v>
      </c>
      <c r="R1452" s="6"/>
    </row>
    <row r="1453" spans="1:18" x14ac:dyDescent="0.25">
      <c r="A1453" s="2">
        <f t="shared" si="56"/>
        <v>1452</v>
      </c>
      <c r="B1453" s="2"/>
      <c r="C1453" s="2"/>
      <c r="D1453" s="2"/>
      <c r="E1453" s="2"/>
      <c r="F1453" s="2"/>
      <c r="G1453" s="2"/>
      <c r="H1453" s="2" t="str">
        <f t="shared" si="55"/>
        <v>0 г. 0 мес. 0 дн.</v>
      </c>
      <c r="I1453" s="2"/>
      <c r="J1453" s="2"/>
      <c r="K1453" s="2"/>
      <c r="L1453" s="2"/>
      <c r="M1453" s="2"/>
      <c r="N1453" s="1">
        <v>0</v>
      </c>
      <c r="O1453" s="2"/>
      <c r="P1453" s="2"/>
      <c r="Q1453" s="2">
        <v>0</v>
      </c>
      <c r="R1453" s="6"/>
    </row>
    <row r="1454" spans="1:18" x14ac:dyDescent="0.25">
      <c r="A1454" s="2">
        <f t="shared" si="56"/>
        <v>1453</v>
      </c>
      <c r="B1454" s="2"/>
      <c r="C1454" s="2"/>
      <c r="D1454" s="2"/>
      <c r="E1454" s="2"/>
      <c r="F1454" s="2"/>
      <c r="G1454" s="2"/>
      <c r="H1454" s="2" t="str">
        <f t="shared" si="55"/>
        <v>0 г. 0 мес. 0 дн.</v>
      </c>
      <c r="I1454" s="2"/>
      <c r="J1454" s="2"/>
      <c r="K1454" s="2"/>
      <c r="L1454" s="2"/>
      <c r="M1454" s="2"/>
      <c r="N1454" s="1">
        <v>0</v>
      </c>
      <c r="O1454" s="2"/>
      <c r="P1454" s="2"/>
      <c r="Q1454" s="2">
        <v>0</v>
      </c>
      <c r="R1454" s="6"/>
    </row>
    <row r="1455" spans="1:18" x14ac:dyDescent="0.25">
      <c r="A1455" s="2">
        <f t="shared" si="56"/>
        <v>1454</v>
      </c>
      <c r="B1455" s="2"/>
      <c r="C1455" s="2"/>
      <c r="D1455" s="2"/>
      <c r="E1455" s="2"/>
      <c r="F1455" s="2"/>
      <c r="G1455" s="2"/>
      <c r="H1455" s="2" t="str">
        <f t="shared" si="55"/>
        <v>0 г. 0 мес. 0 дн.</v>
      </c>
      <c r="I1455" s="2"/>
      <c r="J1455" s="2"/>
      <c r="K1455" s="2"/>
      <c r="L1455" s="2"/>
      <c r="M1455" s="2"/>
      <c r="N1455" s="1">
        <v>0</v>
      </c>
      <c r="O1455" s="2"/>
      <c r="P1455" s="2"/>
      <c r="Q1455" s="2">
        <v>0</v>
      </c>
      <c r="R1455" s="6"/>
    </row>
    <row r="1456" spans="1:18" x14ac:dyDescent="0.25">
      <c r="A1456" s="2">
        <f t="shared" si="56"/>
        <v>1455</v>
      </c>
      <c r="B1456" s="2"/>
      <c r="C1456" s="2"/>
      <c r="D1456" s="2"/>
      <c r="E1456" s="2"/>
      <c r="F1456" s="2"/>
      <c r="G1456" s="2"/>
      <c r="H1456" s="2" t="str">
        <f t="shared" si="55"/>
        <v>0 г. 0 мес. 0 дн.</v>
      </c>
      <c r="I1456" s="2"/>
      <c r="J1456" s="2"/>
      <c r="K1456" s="2"/>
      <c r="L1456" s="2"/>
      <c r="M1456" s="2"/>
      <c r="N1456" s="1">
        <v>0</v>
      </c>
      <c r="O1456" s="2"/>
      <c r="P1456" s="2"/>
      <c r="Q1456" s="2">
        <v>0</v>
      </c>
      <c r="R1456" s="6"/>
    </row>
    <row r="1457" spans="1:18" x14ac:dyDescent="0.25">
      <c r="A1457" s="2">
        <f t="shared" si="56"/>
        <v>1456</v>
      </c>
      <c r="B1457" s="2"/>
      <c r="C1457" s="2"/>
      <c r="D1457" s="2"/>
      <c r="E1457" s="2"/>
      <c r="F1457" s="2"/>
      <c r="G1457" s="2"/>
      <c r="H1457" s="2" t="str">
        <f t="shared" si="55"/>
        <v>0 г. 0 мес. 0 дн.</v>
      </c>
      <c r="I1457" s="2"/>
      <c r="J1457" s="2"/>
      <c r="K1457" s="2"/>
      <c r="L1457" s="2"/>
      <c r="M1457" s="2"/>
      <c r="N1457" s="1">
        <v>0</v>
      </c>
      <c r="O1457" s="2"/>
      <c r="P1457" s="2"/>
      <c r="Q1457" s="2">
        <v>0</v>
      </c>
      <c r="R1457" s="6"/>
    </row>
    <row r="1458" spans="1:18" x14ac:dyDescent="0.25">
      <c r="A1458" s="2">
        <f t="shared" si="56"/>
        <v>1457</v>
      </c>
      <c r="B1458" s="2"/>
      <c r="C1458" s="2"/>
      <c r="D1458" s="2"/>
      <c r="E1458" s="2"/>
      <c r="F1458" s="2"/>
      <c r="G1458" s="2"/>
      <c r="H1458" s="2" t="str">
        <f t="shared" si="55"/>
        <v>0 г. 0 мес. 0 дн.</v>
      </c>
      <c r="I1458" s="2"/>
      <c r="J1458" s="2"/>
      <c r="K1458" s="2"/>
      <c r="L1458" s="2"/>
      <c r="M1458" s="2"/>
      <c r="N1458" s="1">
        <v>0</v>
      </c>
      <c r="O1458" s="2"/>
      <c r="P1458" s="2"/>
      <c r="Q1458" s="2">
        <v>0</v>
      </c>
      <c r="R1458" s="6"/>
    </row>
    <row r="1459" spans="1:18" x14ac:dyDescent="0.25">
      <c r="A1459" s="2">
        <f t="shared" si="56"/>
        <v>1458</v>
      </c>
      <c r="B1459" s="2"/>
      <c r="C1459" s="2"/>
      <c r="D1459" s="2"/>
      <c r="E1459" s="2"/>
      <c r="F1459" s="2"/>
      <c r="G1459" s="2"/>
      <c r="H1459" s="2" t="str">
        <f t="shared" si="55"/>
        <v>0 г. 0 мес. 0 дн.</v>
      </c>
      <c r="I1459" s="2"/>
      <c r="J1459" s="2"/>
      <c r="K1459" s="2"/>
      <c r="L1459" s="2"/>
      <c r="M1459" s="2"/>
      <c r="N1459" s="1">
        <v>0</v>
      </c>
      <c r="O1459" s="2"/>
      <c r="P1459" s="2"/>
      <c r="Q1459" s="2">
        <v>0</v>
      </c>
      <c r="R1459" s="6"/>
    </row>
    <row r="1460" spans="1:18" x14ac:dyDescent="0.25">
      <c r="A1460" s="2">
        <f t="shared" si="56"/>
        <v>1459</v>
      </c>
      <c r="B1460" s="2"/>
      <c r="C1460" s="2"/>
      <c r="D1460" s="2"/>
      <c r="E1460" s="2"/>
      <c r="F1460" s="2"/>
      <c r="G1460" s="2"/>
      <c r="H1460" s="2" t="str">
        <f t="shared" si="55"/>
        <v>0 г. 0 мес. 0 дн.</v>
      </c>
      <c r="I1460" s="2"/>
      <c r="J1460" s="2"/>
      <c r="K1460" s="2"/>
      <c r="L1460" s="2"/>
      <c r="M1460" s="2"/>
      <c r="N1460" s="1">
        <v>0</v>
      </c>
      <c r="O1460" s="2"/>
      <c r="P1460" s="2"/>
      <c r="Q1460" s="2">
        <v>0</v>
      </c>
      <c r="R1460" s="6"/>
    </row>
    <row r="1461" spans="1:18" x14ac:dyDescent="0.25">
      <c r="A1461" s="2">
        <f t="shared" si="56"/>
        <v>1460</v>
      </c>
      <c r="B1461" s="2"/>
      <c r="C1461" s="2"/>
      <c r="D1461" s="2"/>
      <c r="E1461" s="2"/>
      <c r="F1461" s="2"/>
      <c r="G1461" s="2"/>
      <c r="H1461" s="2" t="str">
        <f t="shared" si="55"/>
        <v>0 г. 0 мес. 0 дн.</v>
      </c>
      <c r="I1461" s="2"/>
      <c r="J1461" s="2"/>
      <c r="K1461" s="2"/>
      <c r="L1461" s="2"/>
      <c r="M1461" s="2"/>
      <c r="N1461" s="1">
        <v>0</v>
      </c>
      <c r="O1461" s="2"/>
      <c r="P1461" s="2"/>
      <c r="Q1461" s="2">
        <v>0</v>
      </c>
      <c r="R1461" s="6"/>
    </row>
    <row r="1462" spans="1:18" x14ac:dyDescent="0.25">
      <c r="A1462" s="2">
        <f t="shared" si="56"/>
        <v>1461</v>
      </c>
      <c r="B1462" s="2"/>
      <c r="C1462" s="2"/>
      <c r="D1462" s="2"/>
      <c r="E1462" s="2"/>
      <c r="F1462" s="2"/>
      <c r="G1462" s="2"/>
      <c r="H1462" s="2" t="str">
        <f t="shared" si="55"/>
        <v>0 г. 0 мес. 0 дн.</v>
      </c>
      <c r="I1462" s="2"/>
      <c r="J1462" s="2"/>
      <c r="K1462" s="2"/>
      <c r="L1462" s="2"/>
      <c r="M1462" s="2"/>
      <c r="N1462" s="1">
        <v>0</v>
      </c>
      <c r="O1462" s="2"/>
      <c r="P1462" s="2"/>
      <c r="Q1462" s="2">
        <v>0</v>
      </c>
      <c r="R1462" s="6"/>
    </row>
    <row r="1463" spans="1:18" x14ac:dyDescent="0.25">
      <c r="A1463" s="2">
        <f t="shared" si="56"/>
        <v>1462</v>
      </c>
      <c r="B1463" s="2"/>
      <c r="C1463" s="2"/>
      <c r="D1463" s="2"/>
      <c r="E1463" s="2"/>
      <c r="F1463" s="2"/>
      <c r="G1463" s="2"/>
      <c r="H1463" s="2" t="str">
        <f t="shared" si="55"/>
        <v>0 г. 0 мес. 0 дн.</v>
      </c>
      <c r="I1463" s="2"/>
      <c r="J1463" s="2"/>
      <c r="K1463" s="2"/>
      <c r="L1463" s="2"/>
      <c r="M1463" s="2"/>
      <c r="N1463" s="1">
        <v>0</v>
      </c>
      <c r="O1463" s="2"/>
      <c r="P1463" s="2"/>
      <c r="Q1463" s="2">
        <v>0</v>
      </c>
      <c r="R1463" s="6"/>
    </row>
    <row r="1464" spans="1:18" x14ac:dyDescent="0.25">
      <c r="A1464" s="2">
        <f t="shared" si="56"/>
        <v>1463</v>
      </c>
      <c r="B1464" s="2"/>
      <c r="C1464" s="2"/>
      <c r="D1464" s="2"/>
      <c r="E1464" s="2"/>
      <c r="F1464" s="2"/>
      <c r="G1464" s="2"/>
      <c r="H1464" s="2" t="str">
        <f t="shared" si="55"/>
        <v>0 г. 0 мес. 0 дн.</v>
      </c>
      <c r="I1464" s="2"/>
      <c r="J1464" s="2"/>
      <c r="K1464" s="2"/>
      <c r="L1464" s="2"/>
      <c r="M1464" s="2"/>
      <c r="N1464" s="1">
        <v>0</v>
      </c>
      <c r="O1464" s="2"/>
      <c r="P1464" s="2"/>
      <c r="Q1464" s="2">
        <v>0</v>
      </c>
      <c r="R1464" s="6"/>
    </row>
    <row r="1465" spans="1:18" x14ac:dyDescent="0.25">
      <c r="A1465" s="2">
        <f t="shared" si="56"/>
        <v>1464</v>
      </c>
      <c r="B1465" s="2"/>
      <c r="C1465" s="2"/>
      <c r="D1465" s="2"/>
      <c r="E1465" s="2"/>
      <c r="F1465" s="2"/>
      <c r="G1465" s="2"/>
      <c r="H1465" s="2" t="str">
        <f t="shared" si="55"/>
        <v>0 г. 0 мес. 0 дн.</v>
      </c>
      <c r="I1465" s="2"/>
      <c r="J1465" s="2"/>
      <c r="K1465" s="2"/>
      <c r="L1465" s="2"/>
      <c r="M1465" s="2"/>
      <c r="N1465" s="1">
        <v>0</v>
      </c>
      <c r="O1465" s="2"/>
      <c r="P1465" s="2"/>
      <c r="Q1465" s="2">
        <v>0</v>
      </c>
      <c r="R1465" s="6"/>
    </row>
    <row r="1466" spans="1:18" x14ac:dyDescent="0.25">
      <c r="A1466" s="2">
        <f t="shared" si="56"/>
        <v>1465</v>
      </c>
      <c r="B1466" s="2"/>
      <c r="C1466" s="2"/>
      <c r="D1466" s="2"/>
      <c r="E1466" s="2"/>
      <c r="F1466" s="2"/>
      <c r="G1466" s="2"/>
      <c r="H1466" s="2" t="str">
        <f t="shared" si="55"/>
        <v>0 г. 0 мес. 0 дн.</v>
      </c>
      <c r="I1466" s="2"/>
      <c r="J1466" s="2"/>
      <c r="K1466" s="2"/>
      <c r="L1466" s="2"/>
      <c r="M1466" s="2"/>
      <c r="N1466" s="1">
        <v>0</v>
      </c>
      <c r="O1466" s="2"/>
      <c r="P1466" s="2"/>
      <c r="Q1466" s="2">
        <v>0</v>
      </c>
      <c r="R1466" s="6"/>
    </row>
    <row r="1467" spans="1:18" x14ac:dyDescent="0.25">
      <c r="A1467" s="2">
        <f t="shared" si="56"/>
        <v>1466</v>
      </c>
      <c r="B1467" s="2"/>
      <c r="C1467" s="2"/>
      <c r="D1467" s="2"/>
      <c r="E1467" s="2"/>
      <c r="F1467" s="2"/>
      <c r="G1467" s="2"/>
      <c r="H1467" s="2" t="str">
        <f t="shared" si="55"/>
        <v>0 г. 0 мес. 0 дн.</v>
      </c>
      <c r="I1467" s="2"/>
      <c r="J1467" s="2"/>
      <c r="K1467" s="2"/>
      <c r="L1467" s="2"/>
      <c r="M1467" s="2"/>
      <c r="N1467" s="1">
        <v>0</v>
      </c>
      <c r="O1467" s="2"/>
      <c r="P1467" s="2"/>
      <c r="Q1467" s="2">
        <v>0</v>
      </c>
      <c r="R1467" s="6"/>
    </row>
    <row r="1468" spans="1:18" x14ac:dyDescent="0.25">
      <c r="A1468" s="2">
        <f t="shared" si="56"/>
        <v>1467</v>
      </c>
      <c r="B1468" s="2"/>
      <c r="C1468" s="2"/>
      <c r="D1468" s="2"/>
      <c r="E1468" s="2"/>
      <c r="F1468" s="2"/>
      <c r="G1468" s="2"/>
      <c r="H1468" s="2" t="str">
        <f t="shared" si="55"/>
        <v>0 г. 0 мес. 0 дн.</v>
      </c>
      <c r="I1468" s="2"/>
      <c r="J1468" s="2"/>
      <c r="K1468" s="2"/>
      <c r="L1468" s="2"/>
      <c r="M1468" s="2"/>
      <c r="N1468" s="1">
        <v>0</v>
      </c>
      <c r="O1468" s="2"/>
      <c r="P1468" s="2"/>
      <c r="Q1468" s="2">
        <v>0</v>
      </c>
      <c r="R1468" s="6"/>
    </row>
    <row r="1469" spans="1:18" x14ac:dyDescent="0.25">
      <c r="A1469" s="2">
        <f t="shared" si="56"/>
        <v>1468</v>
      </c>
      <c r="B1469" s="2"/>
      <c r="C1469" s="2"/>
      <c r="D1469" s="2"/>
      <c r="E1469" s="2"/>
      <c r="F1469" s="2"/>
      <c r="G1469" s="2"/>
      <c r="H1469" s="2" t="str">
        <f t="shared" si="55"/>
        <v>0 г. 0 мес. 0 дн.</v>
      </c>
      <c r="I1469" s="2"/>
      <c r="J1469" s="2"/>
      <c r="K1469" s="2"/>
      <c r="L1469" s="2"/>
      <c r="M1469" s="2"/>
      <c r="N1469" s="1">
        <v>0</v>
      </c>
      <c r="O1469" s="2"/>
      <c r="P1469" s="2"/>
      <c r="Q1469" s="2">
        <v>0</v>
      </c>
      <c r="R1469" s="6"/>
    </row>
    <row r="1470" spans="1:18" x14ac:dyDescent="0.25">
      <c r="A1470" s="2">
        <f t="shared" si="56"/>
        <v>1469</v>
      </c>
      <c r="B1470" s="2"/>
      <c r="C1470" s="2"/>
      <c r="D1470" s="2"/>
      <c r="E1470" s="2"/>
      <c r="F1470" s="2"/>
      <c r="G1470" s="2"/>
      <c r="H1470" s="2" t="str">
        <f t="shared" si="55"/>
        <v>0 г. 0 мес. 0 дн.</v>
      </c>
      <c r="I1470" s="2"/>
      <c r="J1470" s="2"/>
      <c r="K1470" s="2"/>
      <c r="L1470" s="2"/>
      <c r="M1470" s="2"/>
      <c r="N1470" s="1">
        <v>0</v>
      </c>
      <c r="O1470" s="2"/>
      <c r="P1470" s="2"/>
      <c r="Q1470" s="2">
        <v>0</v>
      </c>
      <c r="R1470" s="6"/>
    </row>
    <row r="1471" spans="1:18" x14ac:dyDescent="0.25">
      <c r="A1471" s="2">
        <f t="shared" si="56"/>
        <v>1470</v>
      </c>
      <c r="B1471" s="2"/>
      <c r="C1471" s="2"/>
      <c r="D1471" s="2"/>
      <c r="E1471" s="2"/>
      <c r="F1471" s="2"/>
      <c r="G1471" s="2"/>
      <c r="H1471" s="2" t="str">
        <f t="shared" si="55"/>
        <v>0 г. 0 мес. 0 дн.</v>
      </c>
      <c r="I1471" s="2"/>
      <c r="J1471" s="2"/>
      <c r="K1471" s="2"/>
      <c r="L1471" s="2"/>
      <c r="M1471" s="2"/>
      <c r="N1471" s="1">
        <v>0</v>
      </c>
      <c r="O1471" s="2"/>
      <c r="P1471" s="2"/>
      <c r="Q1471" s="2">
        <v>0</v>
      </c>
      <c r="R1471" s="6"/>
    </row>
    <row r="1472" spans="1:18" x14ac:dyDescent="0.25">
      <c r="A1472" s="2">
        <f t="shared" si="56"/>
        <v>1471</v>
      </c>
      <c r="B1472" s="2"/>
      <c r="C1472" s="2"/>
      <c r="D1472" s="2"/>
      <c r="E1472" s="2"/>
      <c r="F1472" s="2"/>
      <c r="G1472" s="2"/>
      <c r="H1472" s="2" t="str">
        <f t="shared" si="55"/>
        <v>0 г. 0 мес. 0 дн.</v>
      </c>
      <c r="I1472" s="2"/>
      <c r="J1472" s="2"/>
      <c r="K1472" s="2"/>
      <c r="L1472" s="2"/>
      <c r="M1472" s="2"/>
      <c r="N1472" s="1">
        <v>0</v>
      </c>
      <c r="O1472" s="2"/>
      <c r="P1472" s="2"/>
      <c r="Q1472" s="2">
        <v>0</v>
      </c>
      <c r="R1472" s="6"/>
    </row>
    <row r="1473" spans="1:18" x14ac:dyDescent="0.25">
      <c r="A1473" s="2">
        <f t="shared" si="56"/>
        <v>1472</v>
      </c>
      <c r="B1473" s="2"/>
      <c r="C1473" s="2"/>
      <c r="D1473" s="2"/>
      <c r="E1473" s="2"/>
      <c r="F1473" s="2"/>
      <c r="G1473" s="2"/>
      <c r="H1473" s="2" t="str">
        <f t="shared" si="55"/>
        <v>0 г. 0 мес. 0 дн.</v>
      </c>
      <c r="I1473" s="2"/>
      <c r="J1473" s="2"/>
      <c r="K1473" s="2"/>
      <c r="L1473" s="2"/>
      <c r="M1473" s="2"/>
      <c r="N1473" s="1">
        <v>0</v>
      </c>
      <c r="O1473" s="2"/>
      <c r="P1473" s="2"/>
      <c r="Q1473" s="2">
        <v>0</v>
      </c>
      <c r="R1473" s="6"/>
    </row>
    <row r="1474" spans="1:18" x14ac:dyDescent="0.25">
      <c r="A1474" s="2">
        <f t="shared" si="56"/>
        <v>1473</v>
      </c>
      <c r="B1474" s="2"/>
      <c r="C1474" s="2"/>
      <c r="D1474" s="2"/>
      <c r="E1474" s="2"/>
      <c r="F1474" s="2"/>
      <c r="G1474" s="2"/>
      <c r="H1474" s="2" t="str">
        <f t="shared" si="55"/>
        <v>0 г. 0 мес. 0 дн.</v>
      </c>
      <c r="I1474" s="2"/>
      <c r="J1474" s="2"/>
      <c r="K1474" s="2"/>
      <c r="L1474" s="2"/>
      <c r="M1474" s="2"/>
      <c r="N1474" s="1">
        <v>0</v>
      </c>
      <c r="O1474" s="2"/>
      <c r="P1474" s="2"/>
      <c r="Q1474" s="2">
        <v>0</v>
      </c>
      <c r="R1474" s="6"/>
    </row>
    <row r="1475" spans="1:18" x14ac:dyDescent="0.25">
      <c r="A1475" s="2">
        <f t="shared" si="56"/>
        <v>1474</v>
      </c>
      <c r="B1475" s="2"/>
      <c r="C1475" s="2"/>
      <c r="D1475" s="2"/>
      <c r="E1475" s="2"/>
      <c r="F1475" s="2"/>
      <c r="G1475" s="2"/>
      <c r="H1475" s="2" t="str">
        <f t="shared" si="55"/>
        <v>0 г. 0 мес. 0 дн.</v>
      </c>
      <c r="I1475" s="2"/>
      <c r="J1475" s="2"/>
      <c r="K1475" s="2"/>
      <c r="L1475" s="2"/>
      <c r="M1475" s="2"/>
      <c r="N1475" s="1">
        <v>0</v>
      </c>
      <c r="O1475" s="2"/>
      <c r="P1475" s="2"/>
      <c r="Q1475" s="2">
        <v>0</v>
      </c>
      <c r="R1475" s="6"/>
    </row>
    <row r="1476" spans="1:18" x14ac:dyDescent="0.25">
      <c r="A1476" s="2">
        <f t="shared" si="56"/>
        <v>1475</v>
      </c>
      <c r="B1476" s="2"/>
      <c r="C1476" s="2"/>
      <c r="D1476" s="2"/>
      <c r="E1476" s="2"/>
      <c r="F1476" s="2"/>
      <c r="G1476" s="2"/>
      <c r="H1476" s="2" t="str">
        <f t="shared" ref="H1476:H1539" si="57">DATEDIF(G1476,D1476,"y") &amp; " г. " &amp; DATEDIF(G1476,D1476,"ym") &amp; " мес. " &amp; DATEDIF(G1476,D1476,"md") &amp; " дн."</f>
        <v>0 г. 0 мес. 0 дн.</v>
      </c>
      <c r="I1476" s="2"/>
      <c r="J1476" s="2"/>
      <c r="K1476" s="2"/>
      <c r="L1476" s="2"/>
      <c r="M1476" s="2"/>
      <c r="N1476" s="1">
        <v>0</v>
      </c>
      <c r="O1476" s="2"/>
      <c r="P1476" s="2"/>
      <c r="Q1476" s="2">
        <v>0</v>
      </c>
      <c r="R1476" s="6"/>
    </row>
    <row r="1477" spans="1:18" x14ac:dyDescent="0.25">
      <c r="A1477" s="2">
        <f t="shared" si="56"/>
        <v>1476</v>
      </c>
      <c r="B1477" s="2"/>
      <c r="C1477" s="2"/>
      <c r="D1477" s="2"/>
      <c r="E1477" s="2"/>
      <c r="F1477" s="2"/>
      <c r="G1477" s="2"/>
      <c r="H1477" s="2" t="str">
        <f t="shared" si="57"/>
        <v>0 г. 0 мес. 0 дн.</v>
      </c>
      <c r="I1477" s="2"/>
      <c r="J1477" s="2"/>
      <c r="K1477" s="2"/>
      <c r="L1477" s="2"/>
      <c r="M1477" s="2"/>
      <c r="N1477" s="1">
        <v>0</v>
      </c>
      <c r="O1477" s="2"/>
      <c r="P1477" s="2"/>
      <c r="Q1477" s="2">
        <v>0</v>
      </c>
      <c r="R1477" s="6"/>
    </row>
    <row r="1478" spans="1:18" x14ac:dyDescent="0.25">
      <c r="A1478" s="2">
        <f t="shared" si="56"/>
        <v>1477</v>
      </c>
      <c r="B1478" s="2"/>
      <c r="C1478" s="2"/>
      <c r="D1478" s="2"/>
      <c r="E1478" s="2"/>
      <c r="F1478" s="2"/>
      <c r="G1478" s="2"/>
      <c r="H1478" s="2" t="str">
        <f t="shared" si="57"/>
        <v>0 г. 0 мес. 0 дн.</v>
      </c>
      <c r="I1478" s="2"/>
      <c r="J1478" s="2"/>
      <c r="K1478" s="2"/>
      <c r="L1478" s="2"/>
      <c r="M1478" s="2"/>
      <c r="N1478" s="1">
        <v>0</v>
      </c>
      <c r="O1478" s="2"/>
      <c r="P1478" s="2"/>
      <c r="Q1478" s="2">
        <v>0</v>
      </c>
      <c r="R1478" s="6"/>
    </row>
    <row r="1479" spans="1:18" x14ac:dyDescent="0.25">
      <c r="A1479" s="2">
        <f t="shared" si="56"/>
        <v>1478</v>
      </c>
      <c r="B1479" s="2"/>
      <c r="C1479" s="2"/>
      <c r="D1479" s="2"/>
      <c r="E1479" s="2"/>
      <c r="F1479" s="2"/>
      <c r="G1479" s="2"/>
      <c r="H1479" s="2" t="str">
        <f t="shared" si="57"/>
        <v>0 г. 0 мес. 0 дн.</v>
      </c>
      <c r="I1479" s="2"/>
      <c r="J1479" s="2"/>
      <c r="K1479" s="2"/>
      <c r="L1479" s="2"/>
      <c r="M1479" s="2"/>
      <c r="N1479" s="1">
        <v>0</v>
      </c>
      <c r="O1479" s="2"/>
      <c r="P1479" s="2"/>
      <c r="Q1479" s="2">
        <v>0</v>
      </c>
      <c r="R1479" s="6"/>
    </row>
    <row r="1480" spans="1:18" x14ac:dyDescent="0.25">
      <c r="A1480" s="2">
        <f t="shared" si="56"/>
        <v>1479</v>
      </c>
      <c r="B1480" s="2"/>
      <c r="C1480" s="2"/>
      <c r="D1480" s="2"/>
      <c r="E1480" s="2"/>
      <c r="F1480" s="2"/>
      <c r="G1480" s="2"/>
      <c r="H1480" s="2" t="str">
        <f t="shared" si="57"/>
        <v>0 г. 0 мес. 0 дн.</v>
      </c>
      <c r="I1480" s="2"/>
      <c r="J1480" s="2"/>
      <c r="K1480" s="2"/>
      <c r="L1480" s="2"/>
      <c r="M1480" s="2"/>
      <c r="N1480" s="1">
        <v>0</v>
      </c>
      <c r="O1480" s="2"/>
      <c r="P1480" s="2"/>
      <c r="Q1480" s="2">
        <v>0</v>
      </c>
      <c r="R1480" s="6"/>
    </row>
    <row r="1481" spans="1:18" x14ac:dyDescent="0.25">
      <c r="A1481" s="2">
        <f t="shared" si="56"/>
        <v>1480</v>
      </c>
      <c r="B1481" s="2"/>
      <c r="C1481" s="2"/>
      <c r="D1481" s="2"/>
      <c r="E1481" s="2"/>
      <c r="F1481" s="2"/>
      <c r="G1481" s="2"/>
      <c r="H1481" s="2" t="str">
        <f t="shared" si="57"/>
        <v>0 г. 0 мес. 0 дн.</v>
      </c>
      <c r="I1481" s="2"/>
      <c r="J1481" s="2"/>
      <c r="K1481" s="2"/>
      <c r="L1481" s="2"/>
      <c r="M1481" s="2"/>
      <c r="N1481" s="1">
        <v>0</v>
      </c>
      <c r="O1481" s="2"/>
      <c r="P1481" s="2"/>
      <c r="Q1481" s="2">
        <v>0</v>
      </c>
      <c r="R1481" s="6"/>
    </row>
    <row r="1482" spans="1:18" x14ac:dyDescent="0.25">
      <c r="A1482" s="2">
        <f t="shared" si="56"/>
        <v>1481</v>
      </c>
      <c r="B1482" s="2"/>
      <c r="C1482" s="2"/>
      <c r="D1482" s="2"/>
      <c r="E1482" s="2"/>
      <c r="F1482" s="2"/>
      <c r="G1482" s="2"/>
      <c r="H1482" s="2" t="str">
        <f t="shared" si="57"/>
        <v>0 г. 0 мес. 0 дн.</v>
      </c>
      <c r="I1482" s="2"/>
      <c r="J1482" s="2"/>
      <c r="K1482" s="2"/>
      <c r="L1482" s="2"/>
      <c r="M1482" s="2"/>
      <c r="N1482" s="1">
        <v>0</v>
      </c>
      <c r="O1482" s="2"/>
      <c r="P1482" s="2"/>
      <c r="Q1482" s="2">
        <v>0</v>
      </c>
      <c r="R1482" s="6"/>
    </row>
    <row r="1483" spans="1:18" x14ac:dyDescent="0.25">
      <c r="A1483" s="2">
        <f t="shared" si="56"/>
        <v>1482</v>
      </c>
      <c r="B1483" s="2"/>
      <c r="C1483" s="2"/>
      <c r="D1483" s="2"/>
      <c r="E1483" s="2"/>
      <c r="F1483" s="2"/>
      <c r="G1483" s="2"/>
      <c r="H1483" s="2" t="str">
        <f t="shared" si="57"/>
        <v>0 г. 0 мес. 0 дн.</v>
      </c>
      <c r="I1483" s="2"/>
      <c r="J1483" s="2"/>
      <c r="K1483" s="2"/>
      <c r="L1483" s="2"/>
      <c r="M1483" s="2"/>
      <c r="N1483" s="1">
        <v>0</v>
      </c>
      <c r="O1483" s="2"/>
      <c r="P1483" s="2"/>
      <c r="Q1483" s="2">
        <v>0</v>
      </c>
      <c r="R1483" s="6"/>
    </row>
    <row r="1484" spans="1:18" x14ac:dyDescent="0.25">
      <c r="A1484" s="2">
        <f t="shared" si="56"/>
        <v>1483</v>
      </c>
      <c r="B1484" s="2"/>
      <c r="C1484" s="2"/>
      <c r="D1484" s="2"/>
      <c r="E1484" s="2"/>
      <c r="F1484" s="2"/>
      <c r="G1484" s="2"/>
      <c r="H1484" s="2" t="str">
        <f t="shared" si="57"/>
        <v>0 г. 0 мес. 0 дн.</v>
      </c>
      <c r="I1484" s="2"/>
      <c r="J1484" s="2"/>
      <c r="K1484" s="2"/>
      <c r="L1484" s="2"/>
      <c r="M1484" s="2"/>
      <c r="N1484" s="1">
        <v>0</v>
      </c>
      <c r="O1484" s="2"/>
      <c r="P1484" s="2"/>
      <c r="Q1484" s="2">
        <v>0</v>
      </c>
      <c r="R1484" s="6"/>
    </row>
    <row r="1485" spans="1:18" x14ac:dyDescent="0.25">
      <c r="A1485" s="2">
        <f t="shared" si="56"/>
        <v>1484</v>
      </c>
      <c r="B1485" s="2"/>
      <c r="C1485" s="2"/>
      <c r="D1485" s="2"/>
      <c r="E1485" s="2"/>
      <c r="F1485" s="2"/>
      <c r="G1485" s="2"/>
      <c r="H1485" s="2" t="str">
        <f t="shared" si="57"/>
        <v>0 г. 0 мес. 0 дн.</v>
      </c>
      <c r="I1485" s="2"/>
      <c r="J1485" s="2"/>
      <c r="K1485" s="2"/>
      <c r="L1485" s="2"/>
      <c r="M1485" s="2"/>
      <c r="N1485" s="1">
        <v>0</v>
      </c>
      <c r="O1485" s="2"/>
      <c r="P1485" s="2"/>
      <c r="Q1485" s="2">
        <v>0</v>
      </c>
      <c r="R1485" s="6"/>
    </row>
    <row r="1486" spans="1:18" x14ac:dyDescent="0.25">
      <c r="A1486" s="2">
        <f t="shared" si="56"/>
        <v>1485</v>
      </c>
      <c r="B1486" s="2"/>
      <c r="C1486" s="2"/>
      <c r="D1486" s="2"/>
      <c r="E1486" s="2"/>
      <c r="F1486" s="2"/>
      <c r="G1486" s="2"/>
      <c r="H1486" s="2" t="str">
        <f t="shared" si="57"/>
        <v>0 г. 0 мес. 0 дн.</v>
      </c>
      <c r="I1486" s="2"/>
      <c r="J1486" s="2"/>
      <c r="K1486" s="2"/>
      <c r="L1486" s="2"/>
      <c r="M1486" s="2"/>
      <c r="N1486" s="1">
        <v>0</v>
      </c>
      <c r="O1486" s="2"/>
      <c r="P1486" s="2"/>
      <c r="Q1486" s="2">
        <v>0</v>
      </c>
      <c r="R1486" s="6"/>
    </row>
    <row r="1487" spans="1:18" x14ac:dyDescent="0.25">
      <c r="A1487" s="2">
        <f t="shared" si="56"/>
        <v>1486</v>
      </c>
      <c r="B1487" s="2"/>
      <c r="C1487" s="2"/>
      <c r="D1487" s="2"/>
      <c r="E1487" s="2"/>
      <c r="F1487" s="2"/>
      <c r="G1487" s="2"/>
      <c r="H1487" s="2" t="str">
        <f t="shared" si="57"/>
        <v>0 г. 0 мес. 0 дн.</v>
      </c>
      <c r="I1487" s="2"/>
      <c r="J1487" s="2"/>
      <c r="K1487" s="2"/>
      <c r="L1487" s="2"/>
      <c r="M1487" s="2"/>
      <c r="N1487" s="1">
        <v>0</v>
      </c>
      <c r="O1487" s="2"/>
      <c r="P1487" s="2"/>
      <c r="Q1487" s="2">
        <v>0</v>
      </c>
      <c r="R1487" s="6"/>
    </row>
    <row r="1488" spans="1:18" x14ac:dyDescent="0.25">
      <c r="A1488" s="2">
        <f t="shared" si="56"/>
        <v>1487</v>
      </c>
      <c r="B1488" s="2"/>
      <c r="C1488" s="2"/>
      <c r="D1488" s="2"/>
      <c r="E1488" s="2"/>
      <c r="F1488" s="2"/>
      <c r="G1488" s="2"/>
      <c r="H1488" s="2" t="str">
        <f t="shared" si="57"/>
        <v>0 г. 0 мес. 0 дн.</v>
      </c>
      <c r="I1488" s="2"/>
      <c r="J1488" s="2"/>
      <c r="K1488" s="2"/>
      <c r="L1488" s="2"/>
      <c r="M1488" s="2"/>
      <c r="N1488" s="1">
        <v>0</v>
      </c>
      <c r="O1488" s="2"/>
      <c r="P1488" s="2"/>
      <c r="Q1488" s="2">
        <v>0</v>
      </c>
      <c r="R1488" s="6"/>
    </row>
    <row r="1489" spans="1:18" x14ac:dyDescent="0.25">
      <c r="A1489" s="2">
        <f t="shared" si="56"/>
        <v>1488</v>
      </c>
      <c r="B1489" s="2"/>
      <c r="C1489" s="2"/>
      <c r="D1489" s="2"/>
      <c r="E1489" s="2"/>
      <c r="F1489" s="2"/>
      <c r="G1489" s="2"/>
      <c r="H1489" s="2" t="str">
        <f t="shared" si="57"/>
        <v>0 г. 0 мес. 0 дн.</v>
      </c>
      <c r="I1489" s="2"/>
      <c r="J1489" s="2"/>
      <c r="K1489" s="2"/>
      <c r="L1489" s="2"/>
      <c r="M1489" s="2"/>
      <c r="N1489" s="1">
        <v>0</v>
      </c>
      <c r="O1489" s="2"/>
      <c r="P1489" s="2"/>
      <c r="Q1489" s="2">
        <v>0</v>
      </c>
      <c r="R1489" s="6"/>
    </row>
    <row r="1490" spans="1:18" x14ac:dyDescent="0.25">
      <c r="A1490" s="2">
        <f t="shared" si="56"/>
        <v>1489</v>
      </c>
      <c r="B1490" s="2"/>
      <c r="C1490" s="2"/>
      <c r="D1490" s="2"/>
      <c r="E1490" s="2"/>
      <c r="F1490" s="2"/>
      <c r="G1490" s="2"/>
      <c r="H1490" s="2" t="str">
        <f t="shared" si="57"/>
        <v>0 г. 0 мес. 0 дн.</v>
      </c>
      <c r="I1490" s="2"/>
      <c r="J1490" s="2"/>
      <c r="K1490" s="2"/>
      <c r="L1490" s="2"/>
      <c r="M1490" s="2"/>
      <c r="N1490" s="1">
        <v>0</v>
      </c>
      <c r="O1490" s="2"/>
      <c r="P1490" s="2"/>
      <c r="Q1490" s="2">
        <v>0</v>
      </c>
      <c r="R1490" s="6"/>
    </row>
    <row r="1491" spans="1:18" x14ac:dyDescent="0.25">
      <c r="A1491" s="2">
        <f t="shared" si="56"/>
        <v>1490</v>
      </c>
      <c r="B1491" s="2"/>
      <c r="C1491" s="2"/>
      <c r="D1491" s="2"/>
      <c r="E1491" s="2"/>
      <c r="F1491" s="2"/>
      <c r="G1491" s="2"/>
      <c r="H1491" s="2" t="str">
        <f t="shared" si="57"/>
        <v>0 г. 0 мес. 0 дн.</v>
      </c>
      <c r="I1491" s="2"/>
      <c r="J1491" s="2"/>
      <c r="K1491" s="2"/>
      <c r="L1491" s="2"/>
      <c r="M1491" s="2"/>
      <c r="N1491" s="1">
        <v>0</v>
      </c>
      <c r="O1491" s="2"/>
      <c r="P1491" s="2"/>
      <c r="Q1491" s="2">
        <v>0</v>
      </c>
      <c r="R1491" s="6"/>
    </row>
    <row r="1492" spans="1:18" x14ac:dyDescent="0.25">
      <c r="A1492" s="2">
        <f t="shared" si="56"/>
        <v>1491</v>
      </c>
      <c r="B1492" s="2"/>
      <c r="C1492" s="2"/>
      <c r="D1492" s="2"/>
      <c r="E1492" s="2"/>
      <c r="F1492" s="2"/>
      <c r="G1492" s="2"/>
      <c r="H1492" s="2" t="str">
        <f t="shared" si="57"/>
        <v>0 г. 0 мес. 0 дн.</v>
      </c>
      <c r="I1492" s="2"/>
      <c r="J1492" s="2"/>
      <c r="K1492" s="2"/>
      <c r="L1492" s="2"/>
      <c r="M1492" s="2"/>
      <c r="N1492" s="1">
        <v>0</v>
      </c>
      <c r="O1492" s="2"/>
      <c r="P1492" s="2"/>
      <c r="Q1492" s="2">
        <v>0</v>
      </c>
      <c r="R1492" s="6"/>
    </row>
    <row r="1493" spans="1:18" x14ac:dyDescent="0.25">
      <c r="A1493" s="2">
        <f t="shared" si="56"/>
        <v>1492</v>
      </c>
      <c r="B1493" s="2"/>
      <c r="C1493" s="2"/>
      <c r="D1493" s="2"/>
      <c r="E1493" s="2"/>
      <c r="F1493" s="2"/>
      <c r="G1493" s="2"/>
      <c r="H1493" s="2" t="str">
        <f t="shared" si="57"/>
        <v>0 г. 0 мес. 0 дн.</v>
      </c>
      <c r="I1493" s="2"/>
      <c r="J1493" s="2"/>
      <c r="K1493" s="2"/>
      <c r="L1493" s="2"/>
      <c r="M1493" s="2"/>
      <c r="N1493" s="1">
        <v>0</v>
      </c>
      <c r="O1493" s="2"/>
      <c r="P1493" s="2"/>
      <c r="Q1493" s="2">
        <v>0</v>
      </c>
      <c r="R1493" s="6"/>
    </row>
    <row r="1494" spans="1:18" x14ac:dyDescent="0.25">
      <c r="A1494" s="2">
        <f t="shared" si="56"/>
        <v>1493</v>
      </c>
      <c r="B1494" s="2"/>
      <c r="C1494" s="2"/>
      <c r="D1494" s="2"/>
      <c r="E1494" s="2"/>
      <c r="F1494" s="2"/>
      <c r="G1494" s="2"/>
      <c r="H1494" s="2" t="str">
        <f t="shared" si="57"/>
        <v>0 г. 0 мес. 0 дн.</v>
      </c>
      <c r="I1494" s="2"/>
      <c r="J1494" s="2"/>
      <c r="K1494" s="2"/>
      <c r="L1494" s="2"/>
      <c r="M1494" s="2"/>
      <c r="N1494" s="1">
        <v>0</v>
      </c>
      <c r="O1494" s="2"/>
      <c r="P1494" s="2"/>
      <c r="Q1494" s="2">
        <v>0</v>
      </c>
      <c r="R1494" s="6"/>
    </row>
    <row r="1495" spans="1:18" x14ac:dyDescent="0.25">
      <c r="A1495" s="2">
        <f t="shared" si="56"/>
        <v>1494</v>
      </c>
      <c r="B1495" s="2"/>
      <c r="C1495" s="2"/>
      <c r="D1495" s="2"/>
      <c r="E1495" s="2"/>
      <c r="F1495" s="2"/>
      <c r="G1495" s="2"/>
      <c r="H1495" s="2" t="str">
        <f t="shared" si="57"/>
        <v>0 г. 0 мес. 0 дн.</v>
      </c>
      <c r="I1495" s="2"/>
      <c r="J1495" s="2"/>
      <c r="K1495" s="2"/>
      <c r="L1495" s="2"/>
      <c r="M1495" s="2"/>
      <c r="N1495" s="1">
        <v>0</v>
      </c>
      <c r="O1495" s="2"/>
      <c r="P1495" s="2"/>
      <c r="Q1495" s="2">
        <v>0</v>
      </c>
      <c r="R1495" s="6"/>
    </row>
    <row r="1496" spans="1:18" x14ac:dyDescent="0.25">
      <c r="A1496" s="2">
        <f t="shared" si="56"/>
        <v>1495</v>
      </c>
      <c r="B1496" s="2"/>
      <c r="C1496" s="2"/>
      <c r="D1496" s="2"/>
      <c r="E1496" s="2"/>
      <c r="F1496" s="2"/>
      <c r="G1496" s="2"/>
      <c r="H1496" s="2" t="str">
        <f t="shared" si="57"/>
        <v>0 г. 0 мес. 0 дн.</v>
      </c>
      <c r="I1496" s="2"/>
      <c r="J1496" s="2"/>
      <c r="K1496" s="2"/>
      <c r="L1496" s="2"/>
      <c r="M1496" s="2"/>
      <c r="N1496" s="1">
        <v>0</v>
      </c>
      <c r="O1496" s="2"/>
      <c r="P1496" s="2"/>
      <c r="Q1496" s="2">
        <v>0</v>
      </c>
      <c r="R1496" s="6"/>
    </row>
    <row r="1497" spans="1:18" x14ac:dyDescent="0.25">
      <c r="A1497" s="2">
        <f t="shared" si="56"/>
        <v>1496</v>
      </c>
      <c r="B1497" s="2"/>
      <c r="C1497" s="2"/>
      <c r="D1497" s="2"/>
      <c r="E1497" s="2"/>
      <c r="F1497" s="2"/>
      <c r="G1497" s="2"/>
      <c r="H1497" s="2" t="str">
        <f t="shared" si="57"/>
        <v>0 г. 0 мес. 0 дн.</v>
      </c>
      <c r="I1497" s="2"/>
      <c r="J1497" s="2"/>
      <c r="K1497" s="2"/>
      <c r="L1497" s="2"/>
      <c r="M1497" s="2"/>
      <c r="N1497" s="1">
        <v>0</v>
      </c>
      <c r="O1497" s="2"/>
      <c r="P1497" s="2"/>
      <c r="Q1497" s="2">
        <v>0</v>
      </c>
      <c r="R1497" s="6"/>
    </row>
    <row r="1498" spans="1:18" x14ac:dyDescent="0.25">
      <c r="A1498" s="2">
        <f t="shared" si="56"/>
        <v>1497</v>
      </c>
      <c r="B1498" s="2"/>
      <c r="C1498" s="2"/>
      <c r="D1498" s="2"/>
      <c r="E1498" s="2"/>
      <c r="F1498" s="2"/>
      <c r="G1498" s="2"/>
      <c r="H1498" s="2" t="str">
        <f t="shared" si="57"/>
        <v>0 г. 0 мес. 0 дн.</v>
      </c>
      <c r="I1498" s="2"/>
      <c r="J1498" s="2"/>
      <c r="K1498" s="2"/>
      <c r="L1498" s="2"/>
      <c r="M1498" s="2"/>
      <c r="N1498" s="1">
        <v>0</v>
      </c>
      <c r="O1498" s="2"/>
      <c r="P1498" s="2"/>
      <c r="Q1498" s="2">
        <v>0</v>
      </c>
      <c r="R1498" s="6"/>
    </row>
    <row r="1499" spans="1:18" x14ac:dyDescent="0.25">
      <c r="A1499" s="2">
        <f t="shared" si="56"/>
        <v>1498</v>
      </c>
      <c r="B1499" s="2"/>
      <c r="C1499" s="2"/>
      <c r="D1499" s="2"/>
      <c r="E1499" s="2"/>
      <c r="F1499" s="2"/>
      <c r="G1499" s="2"/>
      <c r="H1499" s="2" t="str">
        <f t="shared" si="57"/>
        <v>0 г. 0 мес. 0 дн.</v>
      </c>
      <c r="I1499" s="2"/>
      <c r="J1499" s="2"/>
      <c r="K1499" s="2"/>
      <c r="L1499" s="2"/>
      <c r="M1499" s="2"/>
      <c r="N1499" s="1">
        <v>0</v>
      </c>
      <c r="O1499" s="2"/>
      <c r="P1499" s="2"/>
      <c r="Q1499" s="2">
        <v>0</v>
      </c>
      <c r="R1499" s="6"/>
    </row>
    <row r="1500" spans="1:18" x14ac:dyDescent="0.25">
      <c r="A1500" s="2">
        <f t="shared" si="56"/>
        <v>1499</v>
      </c>
      <c r="B1500" s="2"/>
      <c r="C1500" s="2"/>
      <c r="D1500" s="2"/>
      <c r="E1500" s="2"/>
      <c r="F1500" s="2"/>
      <c r="G1500" s="2"/>
      <c r="H1500" s="2" t="str">
        <f t="shared" si="57"/>
        <v>0 г. 0 мес. 0 дн.</v>
      </c>
      <c r="I1500" s="2"/>
      <c r="J1500" s="2"/>
      <c r="K1500" s="2"/>
      <c r="L1500" s="2"/>
      <c r="M1500" s="2"/>
      <c r="N1500" s="1">
        <v>0</v>
      </c>
      <c r="O1500" s="2"/>
      <c r="P1500" s="2"/>
      <c r="Q1500" s="2">
        <v>0</v>
      </c>
      <c r="R1500" s="6"/>
    </row>
    <row r="1501" spans="1:18" x14ac:dyDescent="0.25">
      <c r="A1501" s="2">
        <f t="shared" ref="A1501:A1564" si="58">ROW(A1500)</f>
        <v>1500</v>
      </c>
      <c r="B1501" s="2"/>
      <c r="C1501" s="2"/>
      <c r="D1501" s="2"/>
      <c r="E1501" s="2"/>
      <c r="F1501" s="2"/>
      <c r="G1501" s="2"/>
      <c r="H1501" s="2" t="str">
        <f t="shared" si="57"/>
        <v>0 г. 0 мес. 0 дн.</v>
      </c>
      <c r="I1501" s="2"/>
      <c r="J1501" s="2"/>
      <c r="K1501" s="2"/>
      <c r="L1501" s="2"/>
      <c r="M1501" s="2"/>
      <c r="N1501" s="1">
        <v>0</v>
      </c>
      <c r="O1501" s="2"/>
      <c r="P1501" s="2"/>
      <c r="Q1501" s="2">
        <v>0</v>
      </c>
      <c r="R1501" s="6"/>
    </row>
    <row r="1502" spans="1:18" x14ac:dyDescent="0.25">
      <c r="A1502" s="2">
        <f t="shared" si="58"/>
        <v>1501</v>
      </c>
      <c r="B1502" s="2"/>
      <c r="C1502" s="2"/>
      <c r="D1502" s="2"/>
      <c r="E1502" s="2"/>
      <c r="F1502" s="2"/>
      <c r="G1502" s="2"/>
      <c r="H1502" s="2" t="str">
        <f t="shared" si="57"/>
        <v>0 г. 0 мес. 0 дн.</v>
      </c>
      <c r="I1502" s="2"/>
      <c r="J1502" s="2"/>
      <c r="K1502" s="2"/>
      <c r="L1502" s="2"/>
      <c r="M1502" s="2"/>
      <c r="N1502" s="1">
        <v>0</v>
      </c>
      <c r="O1502" s="2"/>
      <c r="P1502" s="2"/>
      <c r="Q1502" s="2">
        <v>0</v>
      </c>
      <c r="R1502" s="6"/>
    </row>
    <row r="1503" spans="1:18" x14ac:dyDescent="0.25">
      <c r="A1503" s="2">
        <f t="shared" si="58"/>
        <v>1502</v>
      </c>
      <c r="B1503" s="2"/>
      <c r="C1503" s="2"/>
      <c r="D1503" s="2"/>
      <c r="E1503" s="2"/>
      <c r="F1503" s="2"/>
      <c r="G1503" s="2"/>
      <c r="H1503" s="2" t="str">
        <f t="shared" si="57"/>
        <v>0 г. 0 мес. 0 дн.</v>
      </c>
      <c r="I1503" s="2"/>
      <c r="J1503" s="2"/>
      <c r="K1503" s="2"/>
      <c r="L1503" s="2"/>
      <c r="M1503" s="2"/>
      <c r="N1503" s="1">
        <v>0</v>
      </c>
      <c r="O1503" s="2"/>
      <c r="P1503" s="2"/>
      <c r="Q1503" s="2">
        <v>0</v>
      </c>
      <c r="R1503" s="6"/>
    </row>
    <row r="1504" spans="1:18" x14ac:dyDescent="0.25">
      <c r="A1504" s="2">
        <f t="shared" si="58"/>
        <v>1503</v>
      </c>
      <c r="B1504" s="2"/>
      <c r="C1504" s="2"/>
      <c r="D1504" s="2"/>
      <c r="E1504" s="2"/>
      <c r="F1504" s="2"/>
      <c r="G1504" s="2"/>
      <c r="H1504" s="2" t="str">
        <f t="shared" si="57"/>
        <v>0 г. 0 мес. 0 дн.</v>
      </c>
      <c r="I1504" s="2"/>
      <c r="J1504" s="2"/>
      <c r="K1504" s="2"/>
      <c r="L1504" s="2"/>
      <c r="M1504" s="2"/>
      <c r="N1504" s="1">
        <v>0</v>
      </c>
      <c r="O1504" s="2"/>
      <c r="P1504" s="2"/>
      <c r="Q1504" s="2">
        <v>0</v>
      </c>
      <c r="R1504" s="6"/>
    </row>
    <row r="1505" spans="1:18" x14ac:dyDescent="0.25">
      <c r="A1505" s="2">
        <f t="shared" si="58"/>
        <v>1504</v>
      </c>
      <c r="B1505" s="2"/>
      <c r="C1505" s="2"/>
      <c r="D1505" s="2"/>
      <c r="E1505" s="2"/>
      <c r="F1505" s="2"/>
      <c r="G1505" s="2"/>
      <c r="H1505" s="2" t="str">
        <f t="shared" si="57"/>
        <v>0 г. 0 мес. 0 дн.</v>
      </c>
      <c r="I1505" s="2"/>
      <c r="J1505" s="2"/>
      <c r="K1505" s="2"/>
      <c r="L1505" s="2"/>
      <c r="M1505" s="2"/>
      <c r="N1505" s="1">
        <v>0</v>
      </c>
      <c r="O1505" s="2"/>
      <c r="P1505" s="2"/>
      <c r="Q1505" s="2">
        <v>0</v>
      </c>
      <c r="R1505" s="6"/>
    </row>
    <row r="1506" spans="1:18" x14ac:dyDescent="0.25">
      <c r="A1506" s="2">
        <f t="shared" si="58"/>
        <v>1505</v>
      </c>
      <c r="B1506" s="2"/>
      <c r="C1506" s="2"/>
      <c r="D1506" s="2"/>
      <c r="E1506" s="2"/>
      <c r="F1506" s="2"/>
      <c r="G1506" s="2"/>
      <c r="H1506" s="2" t="str">
        <f t="shared" si="57"/>
        <v>0 г. 0 мес. 0 дн.</v>
      </c>
      <c r="I1506" s="2"/>
      <c r="J1506" s="2"/>
      <c r="K1506" s="2"/>
      <c r="L1506" s="2"/>
      <c r="M1506" s="2"/>
      <c r="N1506" s="1">
        <v>0</v>
      </c>
      <c r="O1506" s="2"/>
      <c r="P1506" s="2"/>
      <c r="Q1506" s="2">
        <v>0</v>
      </c>
      <c r="R1506" s="6"/>
    </row>
    <row r="1507" spans="1:18" x14ac:dyDescent="0.25">
      <c r="A1507" s="2">
        <f t="shared" si="58"/>
        <v>1506</v>
      </c>
      <c r="B1507" s="2"/>
      <c r="C1507" s="2"/>
      <c r="D1507" s="2"/>
      <c r="E1507" s="2"/>
      <c r="F1507" s="2"/>
      <c r="G1507" s="2"/>
      <c r="H1507" s="2" t="str">
        <f t="shared" si="57"/>
        <v>0 г. 0 мес. 0 дн.</v>
      </c>
      <c r="I1507" s="2"/>
      <c r="J1507" s="2"/>
      <c r="K1507" s="2"/>
      <c r="L1507" s="2"/>
      <c r="M1507" s="2"/>
      <c r="N1507" s="1">
        <v>0</v>
      </c>
      <c r="O1507" s="2"/>
      <c r="P1507" s="2"/>
      <c r="Q1507" s="2">
        <v>0</v>
      </c>
      <c r="R1507" s="6"/>
    </row>
    <row r="1508" spans="1:18" x14ac:dyDescent="0.25">
      <c r="A1508" s="2">
        <f t="shared" si="58"/>
        <v>1507</v>
      </c>
      <c r="B1508" s="2"/>
      <c r="C1508" s="2"/>
      <c r="D1508" s="2"/>
      <c r="E1508" s="2"/>
      <c r="F1508" s="2"/>
      <c r="G1508" s="2"/>
      <c r="H1508" s="2" t="str">
        <f t="shared" si="57"/>
        <v>0 г. 0 мес. 0 дн.</v>
      </c>
      <c r="I1508" s="2"/>
      <c r="J1508" s="2"/>
      <c r="K1508" s="2"/>
      <c r="L1508" s="2"/>
      <c r="M1508" s="2"/>
      <c r="N1508" s="1">
        <v>0</v>
      </c>
      <c r="O1508" s="2"/>
      <c r="P1508" s="2"/>
      <c r="Q1508" s="2">
        <v>0</v>
      </c>
      <c r="R1508" s="6"/>
    </row>
    <row r="1509" spans="1:18" x14ac:dyDescent="0.25">
      <c r="A1509" s="2">
        <f t="shared" si="58"/>
        <v>1508</v>
      </c>
      <c r="B1509" s="2"/>
      <c r="C1509" s="2"/>
      <c r="D1509" s="2"/>
      <c r="E1509" s="2"/>
      <c r="F1509" s="2"/>
      <c r="G1509" s="2"/>
      <c r="H1509" s="2" t="str">
        <f t="shared" si="57"/>
        <v>0 г. 0 мес. 0 дн.</v>
      </c>
      <c r="I1509" s="2"/>
      <c r="J1509" s="2"/>
      <c r="K1509" s="2"/>
      <c r="L1509" s="2"/>
      <c r="M1509" s="2"/>
      <c r="N1509" s="1">
        <v>0</v>
      </c>
      <c r="O1509" s="2"/>
      <c r="P1509" s="2"/>
      <c r="Q1509" s="2">
        <v>0</v>
      </c>
      <c r="R1509" s="6"/>
    </row>
    <row r="1510" spans="1:18" x14ac:dyDescent="0.25">
      <c r="A1510" s="2">
        <f t="shared" si="58"/>
        <v>1509</v>
      </c>
      <c r="B1510" s="2"/>
      <c r="C1510" s="2"/>
      <c r="D1510" s="2"/>
      <c r="E1510" s="2"/>
      <c r="F1510" s="2"/>
      <c r="G1510" s="2"/>
      <c r="H1510" s="2" t="str">
        <f t="shared" si="57"/>
        <v>0 г. 0 мес. 0 дн.</v>
      </c>
      <c r="I1510" s="2"/>
      <c r="J1510" s="2"/>
      <c r="K1510" s="2"/>
      <c r="L1510" s="2"/>
      <c r="M1510" s="2"/>
      <c r="N1510" s="1">
        <v>0</v>
      </c>
      <c r="O1510" s="2"/>
      <c r="P1510" s="2"/>
      <c r="Q1510" s="2">
        <v>0</v>
      </c>
      <c r="R1510" s="6"/>
    </row>
    <row r="1511" spans="1:18" x14ac:dyDescent="0.25">
      <c r="A1511" s="2">
        <f t="shared" si="58"/>
        <v>1510</v>
      </c>
      <c r="B1511" s="2"/>
      <c r="C1511" s="2"/>
      <c r="D1511" s="2"/>
      <c r="E1511" s="2"/>
      <c r="F1511" s="2"/>
      <c r="G1511" s="2"/>
      <c r="H1511" s="2" t="str">
        <f t="shared" si="57"/>
        <v>0 г. 0 мес. 0 дн.</v>
      </c>
      <c r="I1511" s="2"/>
      <c r="J1511" s="2"/>
      <c r="K1511" s="2"/>
      <c r="L1511" s="2"/>
      <c r="M1511" s="2"/>
      <c r="N1511" s="1">
        <v>0</v>
      </c>
      <c r="O1511" s="2"/>
      <c r="P1511" s="2"/>
      <c r="Q1511" s="2">
        <v>0</v>
      </c>
      <c r="R1511" s="6"/>
    </row>
    <row r="1512" spans="1:18" x14ac:dyDescent="0.25">
      <c r="A1512" s="2">
        <f t="shared" si="58"/>
        <v>1511</v>
      </c>
      <c r="B1512" s="2"/>
      <c r="C1512" s="2"/>
      <c r="D1512" s="2"/>
      <c r="E1512" s="2"/>
      <c r="F1512" s="2"/>
      <c r="G1512" s="2"/>
      <c r="H1512" s="2" t="str">
        <f t="shared" si="57"/>
        <v>0 г. 0 мес. 0 дн.</v>
      </c>
      <c r="I1512" s="2"/>
      <c r="J1512" s="2"/>
      <c r="K1512" s="2"/>
      <c r="L1512" s="2"/>
      <c r="M1512" s="2"/>
      <c r="N1512" s="1">
        <v>0</v>
      </c>
      <c r="O1512" s="2"/>
      <c r="P1512" s="2"/>
      <c r="Q1512" s="2">
        <v>0</v>
      </c>
      <c r="R1512" s="6"/>
    </row>
    <row r="1513" spans="1:18" x14ac:dyDescent="0.25">
      <c r="A1513" s="2">
        <f t="shared" si="58"/>
        <v>1512</v>
      </c>
      <c r="B1513" s="2"/>
      <c r="C1513" s="2"/>
      <c r="D1513" s="2"/>
      <c r="E1513" s="2"/>
      <c r="F1513" s="2"/>
      <c r="G1513" s="2"/>
      <c r="H1513" s="2" t="str">
        <f t="shared" si="57"/>
        <v>0 г. 0 мес. 0 дн.</v>
      </c>
      <c r="I1513" s="2"/>
      <c r="J1513" s="2"/>
      <c r="K1513" s="2"/>
      <c r="L1513" s="2"/>
      <c r="M1513" s="2"/>
      <c r="N1513" s="1">
        <v>0</v>
      </c>
      <c r="O1513" s="2"/>
      <c r="P1513" s="2"/>
      <c r="Q1513" s="2">
        <v>0</v>
      </c>
      <c r="R1513" s="6"/>
    </row>
    <row r="1514" spans="1:18" x14ac:dyDescent="0.25">
      <c r="A1514" s="2">
        <f t="shared" si="58"/>
        <v>1513</v>
      </c>
      <c r="B1514" s="2"/>
      <c r="C1514" s="2"/>
      <c r="D1514" s="2"/>
      <c r="E1514" s="2"/>
      <c r="F1514" s="2"/>
      <c r="G1514" s="2"/>
      <c r="H1514" s="2" t="str">
        <f t="shared" si="57"/>
        <v>0 г. 0 мес. 0 дн.</v>
      </c>
      <c r="I1514" s="2"/>
      <c r="J1514" s="2"/>
      <c r="K1514" s="2"/>
      <c r="L1514" s="2"/>
      <c r="M1514" s="2"/>
      <c r="N1514" s="1">
        <v>0</v>
      </c>
      <c r="O1514" s="2"/>
      <c r="P1514" s="2"/>
      <c r="Q1514" s="2">
        <v>0</v>
      </c>
      <c r="R1514" s="6"/>
    </row>
    <row r="1515" spans="1:18" x14ac:dyDescent="0.25">
      <c r="A1515" s="2">
        <f t="shared" si="58"/>
        <v>1514</v>
      </c>
      <c r="B1515" s="2"/>
      <c r="C1515" s="2"/>
      <c r="D1515" s="2"/>
      <c r="E1515" s="2"/>
      <c r="F1515" s="2"/>
      <c r="G1515" s="2"/>
      <c r="H1515" s="2" t="str">
        <f t="shared" si="57"/>
        <v>0 г. 0 мес. 0 дн.</v>
      </c>
      <c r="I1515" s="2"/>
      <c r="J1515" s="2"/>
      <c r="K1515" s="2"/>
      <c r="L1515" s="2"/>
      <c r="M1515" s="2"/>
      <c r="N1515" s="1">
        <v>0</v>
      </c>
      <c r="O1515" s="2"/>
      <c r="P1515" s="2"/>
      <c r="Q1515" s="2">
        <v>0</v>
      </c>
      <c r="R1515" s="6"/>
    </row>
    <row r="1516" spans="1:18" x14ac:dyDescent="0.25">
      <c r="A1516" s="2">
        <f t="shared" si="58"/>
        <v>1515</v>
      </c>
      <c r="B1516" s="2"/>
      <c r="C1516" s="2"/>
      <c r="D1516" s="2"/>
      <c r="E1516" s="2"/>
      <c r="F1516" s="2"/>
      <c r="G1516" s="2"/>
      <c r="H1516" s="2" t="str">
        <f t="shared" si="57"/>
        <v>0 г. 0 мес. 0 дн.</v>
      </c>
      <c r="I1516" s="2"/>
      <c r="J1516" s="2"/>
      <c r="K1516" s="2"/>
      <c r="L1516" s="2"/>
      <c r="M1516" s="2"/>
      <c r="N1516" s="1">
        <v>0</v>
      </c>
      <c r="O1516" s="2"/>
      <c r="P1516" s="2"/>
      <c r="Q1516" s="2">
        <v>0</v>
      </c>
      <c r="R1516" s="6"/>
    </row>
    <row r="1517" spans="1:18" x14ac:dyDescent="0.25">
      <c r="A1517" s="2">
        <f t="shared" si="58"/>
        <v>1516</v>
      </c>
      <c r="B1517" s="2"/>
      <c r="C1517" s="2"/>
      <c r="D1517" s="2"/>
      <c r="E1517" s="2"/>
      <c r="F1517" s="2"/>
      <c r="G1517" s="2"/>
      <c r="H1517" s="2" t="str">
        <f t="shared" si="57"/>
        <v>0 г. 0 мес. 0 дн.</v>
      </c>
      <c r="I1517" s="2"/>
      <c r="J1517" s="2"/>
      <c r="K1517" s="2"/>
      <c r="L1517" s="2"/>
      <c r="M1517" s="2"/>
      <c r="N1517" s="1">
        <v>0</v>
      </c>
      <c r="O1517" s="2"/>
      <c r="P1517" s="2"/>
      <c r="Q1517" s="2">
        <v>0</v>
      </c>
      <c r="R1517" s="6"/>
    </row>
    <row r="1518" spans="1:18" x14ac:dyDescent="0.25">
      <c r="A1518" s="2">
        <f t="shared" si="58"/>
        <v>1517</v>
      </c>
      <c r="B1518" s="2"/>
      <c r="C1518" s="2"/>
      <c r="D1518" s="2"/>
      <c r="E1518" s="2"/>
      <c r="F1518" s="2"/>
      <c r="G1518" s="2"/>
      <c r="H1518" s="2" t="str">
        <f t="shared" si="57"/>
        <v>0 г. 0 мес. 0 дн.</v>
      </c>
      <c r="I1518" s="2"/>
      <c r="J1518" s="2"/>
      <c r="K1518" s="2"/>
      <c r="L1518" s="2"/>
      <c r="M1518" s="2"/>
      <c r="N1518" s="1">
        <v>0</v>
      </c>
      <c r="O1518" s="2"/>
      <c r="P1518" s="2"/>
      <c r="Q1518" s="2">
        <v>0</v>
      </c>
      <c r="R1518" s="6"/>
    </row>
    <row r="1519" spans="1:18" x14ac:dyDescent="0.25">
      <c r="A1519" s="2">
        <f t="shared" si="58"/>
        <v>1518</v>
      </c>
      <c r="B1519" s="2"/>
      <c r="C1519" s="2"/>
      <c r="D1519" s="2"/>
      <c r="E1519" s="2"/>
      <c r="F1519" s="2"/>
      <c r="G1519" s="2"/>
      <c r="H1519" s="2" t="str">
        <f t="shared" si="57"/>
        <v>0 г. 0 мес. 0 дн.</v>
      </c>
      <c r="I1519" s="2"/>
      <c r="J1519" s="2"/>
      <c r="K1519" s="2"/>
      <c r="L1519" s="2"/>
      <c r="M1519" s="2"/>
      <c r="N1519" s="1">
        <v>0</v>
      </c>
      <c r="O1519" s="2"/>
      <c r="P1519" s="2"/>
      <c r="Q1519" s="2">
        <v>0</v>
      </c>
      <c r="R1519" s="6"/>
    </row>
    <row r="1520" spans="1:18" x14ac:dyDescent="0.25">
      <c r="A1520" s="2">
        <f t="shared" si="58"/>
        <v>1519</v>
      </c>
      <c r="B1520" s="2"/>
      <c r="C1520" s="2"/>
      <c r="D1520" s="2"/>
      <c r="E1520" s="2"/>
      <c r="F1520" s="2"/>
      <c r="G1520" s="2"/>
      <c r="H1520" s="2" t="str">
        <f t="shared" si="57"/>
        <v>0 г. 0 мес. 0 дн.</v>
      </c>
      <c r="I1520" s="2"/>
      <c r="J1520" s="2"/>
      <c r="K1520" s="2"/>
      <c r="L1520" s="2"/>
      <c r="M1520" s="2"/>
      <c r="N1520" s="1">
        <v>0</v>
      </c>
      <c r="O1520" s="2"/>
      <c r="P1520" s="2"/>
      <c r="Q1520" s="2">
        <v>0</v>
      </c>
      <c r="R1520" s="6"/>
    </row>
    <row r="1521" spans="1:18" x14ac:dyDescent="0.25">
      <c r="A1521" s="2">
        <f t="shared" si="58"/>
        <v>1520</v>
      </c>
      <c r="B1521" s="2"/>
      <c r="C1521" s="2"/>
      <c r="D1521" s="2"/>
      <c r="E1521" s="2"/>
      <c r="F1521" s="2"/>
      <c r="G1521" s="2"/>
      <c r="H1521" s="2" t="str">
        <f t="shared" si="57"/>
        <v>0 г. 0 мес. 0 дн.</v>
      </c>
      <c r="I1521" s="2"/>
      <c r="J1521" s="2"/>
      <c r="K1521" s="2"/>
      <c r="L1521" s="2"/>
      <c r="M1521" s="2"/>
      <c r="N1521" s="1">
        <v>0</v>
      </c>
      <c r="O1521" s="2"/>
      <c r="P1521" s="2"/>
      <c r="Q1521" s="2">
        <v>0</v>
      </c>
      <c r="R1521" s="6"/>
    </row>
    <row r="1522" spans="1:18" x14ac:dyDescent="0.25">
      <c r="A1522" s="2">
        <f t="shared" si="58"/>
        <v>1521</v>
      </c>
      <c r="B1522" s="2"/>
      <c r="C1522" s="2"/>
      <c r="D1522" s="2"/>
      <c r="E1522" s="2"/>
      <c r="F1522" s="2"/>
      <c r="G1522" s="2"/>
      <c r="H1522" s="2" t="str">
        <f t="shared" si="57"/>
        <v>0 г. 0 мес. 0 дн.</v>
      </c>
      <c r="I1522" s="2"/>
      <c r="J1522" s="2"/>
      <c r="K1522" s="2"/>
      <c r="L1522" s="2"/>
      <c r="M1522" s="2"/>
      <c r="N1522" s="1">
        <v>0</v>
      </c>
      <c r="O1522" s="2"/>
      <c r="P1522" s="2"/>
      <c r="Q1522" s="2">
        <v>0</v>
      </c>
      <c r="R1522" s="6"/>
    </row>
    <row r="1523" spans="1:18" x14ac:dyDescent="0.25">
      <c r="A1523" s="2">
        <f t="shared" si="58"/>
        <v>1522</v>
      </c>
      <c r="B1523" s="2"/>
      <c r="C1523" s="2"/>
      <c r="D1523" s="2"/>
      <c r="E1523" s="2"/>
      <c r="F1523" s="2"/>
      <c r="G1523" s="2"/>
      <c r="H1523" s="2" t="str">
        <f t="shared" si="57"/>
        <v>0 г. 0 мес. 0 дн.</v>
      </c>
      <c r="I1523" s="2"/>
      <c r="J1523" s="2"/>
      <c r="K1523" s="2"/>
      <c r="L1523" s="2"/>
      <c r="M1523" s="2"/>
      <c r="N1523" s="1">
        <v>0</v>
      </c>
      <c r="O1523" s="2"/>
      <c r="P1523" s="2"/>
      <c r="Q1523" s="2">
        <v>0</v>
      </c>
      <c r="R1523" s="6"/>
    </row>
    <row r="1524" spans="1:18" x14ac:dyDescent="0.25">
      <c r="A1524" s="2">
        <f t="shared" si="58"/>
        <v>1523</v>
      </c>
      <c r="B1524" s="2"/>
      <c r="C1524" s="2"/>
      <c r="D1524" s="2"/>
      <c r="E1524" s="2"/>
      <c r="F1524" s="2"/>
      <c r="G1524" s="2"/>
      <c r="H1524" s="2" t="str">
        <f t="shared" si="57"/>
        <v>0 г. 0 мес. 0 дн.</v>
      </c>
      <c r="I1524" s="2"/>
      <c r="J1524" s="2"/>
      <c r="K1524" s="2"/>
      <c r="L1524" s="2"/>
      <c r="M1524" s="2"/>
      <c r="N1524" s="1">
        <v>0</v>
      </c>
      <c r="O1524" s="2"/>
      <c r="P1524" s="2"/>
      <c r="Q1524" s="2">
        <v>0</v>
      </c>
      <c r="R1524" s="6"/>
    </row>
    <row r="1525" spans="1:18" x14ac:dyDescent="0.25">
      <c r="A1525" s="2">
        <f t="shared" si="58"/>
        <v>1524</v>
      </c>
      <c r="B1525" s="2"/>
      <c r="C1525" s="2"/>
      <c r="D1525" s="2"/>
      <c r="E1525" s="2"/>
      <c r="F1525" s="2"/>
      <c r="G1525" s="2"/>
      <c r="H1525" s="2" t="str">
        <f t="shared" si="57"/>
        <v>0 г. 0 мес. 0 дн.</v>
      </c>
      <c r="I1525" s="2"/>
      <c r="J1525" s="2"/>
      <c r="K1525" s="2"/>
      <c r="L1525" s="2"/>
      <c r="M1525" s="2"/>
      <c r="N1525" s="1">
        <v>0</v>
      </c>
      <c r="O1525" s="2"/>
      <c r="P1525" s="2"/>
      <c r="Q1525" s="2">
        <v>0</v>
      </c>
      <c r="R1525" s="6"/>
    </row>
    <row r="1526" spans="1:18" x14ac:dyDescent="0.25">
      <c r="A1526" s="2">
        <f t="shared" si="58"/>
        <v>1525</v>
      </c>
      <c r="B1526" s="2"/>
      <c r="C1526" s="2"/>
      <c r="D1526" s="2"/>
      <c r="E1526" s="2"/>
      <c r="F1526" s="2"/>
      <c r="G1526" s="2"/>
      <c r="H1526" s="2" t="str">
        <f t="shared" si="57"/>
        <v>0 г. 0 мес. 0 дн.</v>
      </c>
      <c r="I1526" s="2"/>
      <c r="J1526" s="2"/>
      <c r="K1526" s="2"/>
      <c r="L1526" s="2"/>
      <c r="M1526" s="2"/>
      <c r="N1526" s="1">
        <v>0</v>
      </c>
      <c r="O1526" s="2"/>
      <c r="P1526" s="2"/>
      <c r="Q1526" s="2">
        <v>0</v>
      </c>
      <c r="R1526" s="6"/>
    </row>
    <row r="1527" spans="1:18" x14ac:dyDescent="0.25">
      <c r="A1527" s="2">
        <f t="shared" si="58"/>
        <v>1526</v>
      </c>
      <c r="B1527" s="2"/>
      <c r="C1527" s="2"/>
      <c r="D1527" s="2"/>
      <c r="E1527" s="2"/>
      <c r="F1527" s="2"/>
      <c r="G1527" s="2"/>
      <c r="H1527" s="2" t="str">
        <f t="shared" si="57"/>
        <v>0 г. 0 мес. 0 дн.</v>
      </c>
      <c r="I1527" s="2"/>
      <c r="J1527" s="2"/>
      <c r="K1527" s="2"/>
      <c r="L1527" s="2"/>
      <c r="M1527" s="2"/>
      <c r="N1527" s="1">
        <v>0</v>
      </c>
      <c r="O1527" s="2"/>
      <c r="P1527" s="2"/>
      <c r="Q1527" s="2">
        <v>0</v>
      </c>
      <c r="R1527" s="6"/>
    </row>
    <row r="1528" spans="1:18" x14ac:dyDescent="0.25">
      <c r="A1528" s="2">
        <f t="shared" si="58"/>
        <v>1527</v>
      </c>
      <c r="B1528" s="2"/>
      <c r="C1528" s="2"/>
      <c r="D1528" s="2"/>
      <c r="E1528" s="2"/>
      <c r="F1528" s="2"/>
      <c r="G1528" s="2"/>
      <c r="H1528" s="2" t="str">
        <f t="shared" si="57"/>
        <v>0 г. 0 мес. 0 дн.</v>
      </c>
      <c r="I1528" s="2"/>
      <c r="J1528" s="2"/>
      <c r="K1528" s="2"/>
      <c r="L1528" s="2"/>
      <c r="M1528" s="2"/>
      <c r="N1528" s="1">
        <v>0</v>
      </c>
      <c r="O1528" s="2"/>
      <c r="P1528" s="2"/>
      <c r="Q1528" s="2">
        <v>0</v>
      </c>
      <c r="R1528" s="6"/>
    </row>
    <row r="1529" spans="1:18" x14ac:dyDescent="0.25">
      <c r="A1529" s="2">
        <f t="shared" si="58"/>
        <v>1528</v>
      </c>
      <c r="B1529" s="2"/>
      <c r="C1529" s="2"/>
      <c r="D1529" s="2"/>
      <c r="E1529" s="2"/>
      <c r="F1529" s="2"/>
      <c r="G1529" s="2"/>
      <c r="H1529" s="2" t="str">
        <f t="shared" si="57"/>
        <v>0 г. 0 мес. 0 дн.</v>
      </c>
      <c r="I1529" s="2"/>
      <c r="J1529" s="2"/>
      <c r="K1529" s="2"/>
      <c r="L1529" s="2"/>
      <c r="M1529" s="2"/>
      <c r="N1529" s="1">
        <v>0</v>
      </c>
      <c r="O1529" s="2"/>
      <c r="P1529" s="2"/>
      <c r="Q1529" s="2">
        <v>0</v>
      </c>
      <c r="R1529" s="6"/>
    </row>
    <row r="1530" spans="1:18" x14ac:dyDescent="0.25">
      <c r="A1530" s="2">
        <f t="shared" si="58"/>
        <v>1529</v>
      </c>
      <c r="B1530" s="2"/>
      <c r="C1530" s="2"/>
      <c r="D1530" s="2"/>
      <c r="E1530" s="2"/>
      <c r="F1530" s="2"/>
      <c r="G1530" s="2"/>
      <c r="H1530" s="2" t="str">
        <f t="shared" si="57"/>
        <v>0 г. 0 мес. 0 дн.</v>
      </c>
      <c r="I1530" s="2"/>
      <c r="J1530" s="2"/>
      <c r="K1530" s="2"/>
      <c r="L1530" s="2"/>
      <c r="M1530" s="2"/>
      <c r="N1530" s="1">
        <v>0</v>
      </c>
      <c r="O1530" s="2"/>
      <c r="P1530" s="2"/>
      <c r="Q1530" s="2">
        <v>0</v>
      </c>
      <c r="R1530" s="6"/>
    </row>
    <row r="1531" spans="1:18" x14ac:dyDescent="0.25">
      <c r="A1531" s="2">
        <f t="shared" si="58"/>
        <v>1530</v>
      </c>
      <c r="B1531" s="2"/>
      <c r="C1531" s="2"/>
      <c r="D1531" s="2"/>
      <c r="E1531" s="2"/>
      <c r="F1531" s="2"/>
      <c r="G1531" s="2"/>
      <c r="H1531" s="2" t="str">
        <f t="shared" si="57"/>
        <v>0 г. 0 мес. 0 дн.</v>
      </c>
      <c r="I1531" s="2"/>
      <c r="J1531" s="2"/>
      <c r="K1531" s="2"/>
      <c r="L1531" s="2"/>
      <c r="M1531" s="2"/>
      <c r="N1531" s="1">
        <v>0</v>
      </c>
      <c r="O1531" s="2"/>
      <c r="P1531" s="2"/>
      <c r="Q1531" s="2">
        <v>0</v>
      </c>
      <c r="R1531" s="6"/>
    </row>
    <row r="1532" spans="1:18" x14ac:dyDescent="0.25">
      <c r="A1532" s="2">
        <f t="shared" si="58"/>
        <v>1531</v>
      </c>
      <c r="B1532" s="2"/>
      <c r="C1532" s="2"/>
      <c r="D1532" s="2"/>
      <c r="E1532" s="2"/>
      <c r="F1532" s="2"/>
      <c r="G1532" s="2"/>
      <c r="H1532" s="2" t="str">
        <f t="shared" si="57"/>
        <v>0 г. 0 мес. 0 дн.</v>
      </c>
      <c r="I1532" s="2"/>
      <c r="J1532" s="2"/>
      <c r="K1532" s="2"/>
      <c r="L1532" s="2"/>
      <c r="M1532" s="2"/>
      <c r="N1532" s="1">
        <v>0</v>
      </c>
      <c r="O1532" s="2"/>
      <c r="P1532" s="2"/>
      <c r="Q1532" s="2">
        <v>0</v>
      </c>
      <c r="R1532" s="6"/>
    </row>
    <row r="1533" spans="1:18" x14ac:dyDescent="0.25">
      <c r="A1533" s="2">
        <f t="shared" si="58"/>
        <v>1532</v>
      </c>
      <c r="B1533" s="2"/>
      <c r="C1533" s="2"/>
      <c r="D1533" s="2"/>
      <c r="E1533" s="2"/>
      <c r="F1533" s="2"/>
      <c r="G1533" s="2"/>
      <c r="H1533" s="2" t="str">
        <f t="shared" si="57"/>
        <v>0 г. 0 мес. 0 дн.</v>
      </c>
      <c r="I1533" s="2"/>
      <c r="J1533" s="2"/>
      <c r="K1533" s="2"/>
      <c r="L1533" s="2"/>
      <c r="M1533" s="2"/>
      <c r="N1533" s="1">
        <v>0</v>
      </c>
      <c r="O1533" s="2"/>
      <c r="P1533" s="2"/>
      <c r="Q1533" s="2">
        <v>0</v>
      </c>
      <c r="R1533" s="6"/>
    </row>
    <row r="1534" spans="1:18" x14ac:dyDescent="0.25">
      <c r="A1534" s="2">
        <f t="shared" si="58"/>
        <v>1533</v>
      </c>
      <c r="B1534" s="2"/>
      <c r="C1534" s="2"/>
      <c r="D1534" s="2"/>
      <c r="E1534" s="2"/>
      <c r="F1534" s="2"/>
      <c r="G1534" s="2"/>
      <c r="H1534" s="2" t="str">
        <f t="shared" si="57"/>
        <v>0 г. 0 мес. 0 дн.</v>
      </c>
      <c r="I1534" s="2"/>
      <c r="J1534" s="2"/>
      <c r="K1534" s="2"/>
      <c r="L1534" s="2"/>
      <c r="M1534" s="2"/>
      <c r="N1534" s="1">
        <v>0</v>
      </c>
      <c r="O1534" s="2"/>
      <c r="P1534" s="2"/>
      <c r="Q1534" s="2">
        <v>0</v>
      </c>
      <c r="R1534" s="6"/>
    </row>
    <row r="1535" spans="1:18" x14ac:dyDescent="0.25">
      <c r="A1535" s="2">
        <f t="shared" si="58"/>
        <v>1534</v>
      </c>
      <c r="B1535" s="2"/>
      <c r="C1535" s="2"/>
      <c r="D1535" s="2"/>
      <c r="E1535" s="2"/>
      <c r="F1535" s="2"/>
      <c r="G1535" s="2"/>
      <c r="H1535" s="2" t="str">
        <f t="shared" si="57"/>
        <v>0 г. 0 мес. 0 дн.</v>
      </c>
      <c r="I1535" s="2"/>
      <c r="J1535" s="2"/>
      <c r="K1535" s="2"/>
      <c r="L1535" s="2"/>
      <c r="M1535" s="2"/>
      <c r="N1535" s="1">
        <v>0</v>
      </c>
      <c r="O1535" s="2"/>
      <c r="P1535" s="2"/>
      <c r="Q1535" s="2">
        <v>0</v>
      </c>
      <c r="R1535" s="6"/>
    </row>
    <row r="1536" spans="1:18" x14ac:dyDescent="0.25">
      <c r="A1536" s="2">
        <f t="shared" si="58"/>
        <v>1535</v>
      </c>
      <c r="B1536" s="2"/>
      <c r="C1536" s="2"/>
      <c r="D1536" s="2"/>
      <c r="E1536" s="2"/>
      <c r="F1536" s="2"/>
      <c r="G1536" s="2"/>
      <c r="H1536" s="2" t="str">
        <f t="shared" si="57"/>
        <v>0 г. 0 мес. 0 дн.</v>
      </c>
      <c r="I1536" s="2"/>
      <c r="J1536" s="2"/>
      <c r="K1536" s="2"/>
      <c r="L1536" s="2"/>
      <c r="M1536" s="2"/>
      <c r="N1536" s="1">
        <v>0</v>
      </c>
      <c r="O1536" s="2"/>
      <c r="P1536" s="2"/>
      <c r="Q1536" s="2">
        <v>0</v>
      </c>
      <c r="R1536" s="6"/>
    </row>
    <row r="1537" spans="1:18" x14ac:dyDescent="0.25">
      <c r="A1537" s="2">
        <f t="shared" si="58"/>
        <v>1536</v>
      </c>
      <c r="B1537" s="2"/>
      <c r="C1537" s="2"/>
      <c r="D1537" s="2"/>
      <c r="E1537" s="2"/>
      <c r="F1537" s="2"/>
      <c r="G1537" s="2"/>
      <c r="H1537" s="2" t="str">
        <f t="shared" si="57"/>
        <v>0 г. 0 мес. 0 дн.</v>
      </c>
      <c r="I1537" s="2"/>
      <c r="J1537" s="2"/>
      <c r="K1537" s="2"/>
      <c r="L1537" s="2"/>
      <c r="M1537" s="2"/>
      <c r="N1537" s="1">
        <v>0</v>
      </c>
      <c r="O1537" s="2"/>
      <c r="P1537" s="2"/>
      <c r="Q1537" s="2">
        <v>0</v>
      </c>
      <c r="R1537" s="6"/>
    </row>
    <row r="1538" spans="1:18" x14ac:dyDescent="0.25">
      <c r="A1538" s="2">
        <f t="shared" si="58"/>
        <v>1537</v>
      </c>
      <c r="B1538" s="2"/>
      <c r="C1538" s="2"/>
      <c r="D1538" s="2"/>
      <c r="E1538" s="2"/>
      <c r="F1538" s="2"/>
      <c r="G1538" s="2"/>
      <c r="H1538" s="2" t="str">
        <f t="shared" si="57"/>
        <v>0 г. 0 мес. 0 дн.</v>
      </c>
      <c r="I1538" s="2"/>
      <c r="J1538" s="2"/>
      <c r="K1538" s="2"/>
      <c r="L1538" s="2"/>
      <c r="M1538" s="2"/>
      <c r="N1538" s="1">
        <v>0</v>
      </c>
      <c r="O1538" s="2"/>
      <c r="P1538" s="2"/>
      <c r="Q1538" s="2">
        <v>0</v>
      </c>
      <c r="R1538" s="6"/>
    </row>
    <row r="1539" spans="1:18" x14ac:dyDescent="0.25">
      <c r="A1539" s="2">
        <f t="shared" si="58"/>
        <v>1538</v>
      </c>
      <c r="B1539" s="2"/>
      <c r="C1539" s="2"/>
      <c r="D1539" s="2"/>
      <c r="E1539" s="2"/>
      <c r="F1539" s="2"/>
      <c r="G1539" s="2"/>
      <c r="H1539" s="2" t="str">
        <f t="shared" si="57"/>
        <v>0 г. 0 мес. 0 дн.</v>
      </c>
      <c r="I1539" s="2"/>
      <c r="J1539" s="2"/>
      <c r="K1539" s="2"/>
      <c r="L1539" s="2"/>
      <c r="M1539" s="2"/>
      <c r="N1539" s="1">
        <v>0</v>
      </c>
      <c r="O1539" s="2"/>
      <c r="P1539" s="2"/>
      <c r="Q1539" s="2">
        <v>0</v>
      </c>
      <c r="R1539" s="6"/>
    </row>
    <row r="1540" spans="1:18" x14ac:dyDescent="0.25">
      <c r="A1540" s="2">
        <f t="shared" si="58"/>
        <v>1539</v>
      </c>
      <c r="B1540" s="2"/>
      <c r="C1540" s="2"/>
      <c r="D1540" s="2"/>
      <c r="E1540" s="2"/>
      <c r="F1540" s="2"/>
      <c r="G1540" s="2"/>
      <c r="H1540" s="2" t="str">
        <f t="shared" ref="H1540:H1603" si="59">DATEDIF(G1540,D1540,"y") &amp; " г. " &amp; DATEDIF(G1540,D1540,"ym") &amp; " мес. " &amp; DATEDIF(G1540,D1540,"md") &amp; " дн."</f>
        <v>0 г. 0 мес. 0 дн.</v>
      </c>
      <c r="I1540" s="2"/>
      <c r="J1540" s="2"/>
      <c r="K1540" s="2"/>
      <c r="L1540" s="2"/>
      <c r="M1540" s="2"/>
      <c r="N1540" s="1">
        <v>0</v>
      </c>
      <c r="O1540" s="2"/>
      <c r="P1540" s="2"/>
      <c r="Q1540" s="2">
        <v>0</v>
      </c>
      <c r="R1540" s="6"/>
    </row>
    <row r="1541" spans="1:18" x14ac:dyDescent="0.25">
      <c r="A1541" s="2">
        <f t="shared" si="58"/>
        <v>1540</v>
      </c>
      <c r="B1541" s="2"/>
      <c r="C1541" s="2"/>
      <c r="D1541" s="2"/>
      <c r="E1541" s="2"/>
      <c r="F1541" s="2"/>
      <c r="G1541" s="2"/>
      <c r="H1541" s="2" t="str">
        <f t="shared" si="59"/>
        <v>0 г. 0 мес. 0 дн.</v>
      </c>
      <c r="I1541" s="2"/>
      <c r="J1541" s="2"/>
      <c r="K1541" s="2"/>
      <c r="L1541" s="2"/>
      <c r="M1541" s="2"/>
      <c r="N1541" s="1">
        <v>0</v>
      </c>
      <c r="O1541" s="2"/>
      <c r="P1541" s="2"/>
      <c r="Q1541" s="2">
        <v>0</v>
      </c>
      <c r="R1541" s="6"/>
    </row>
    <row r="1542" spans="1:18" x14ac:dyDescent="0.25">
      <c r="A1542" s="2">
        <f t="shared" si="58"/>
        <v>1541</v>
      </c>
      <c r="B1542" s="2"/>
      <c r="C1542" s="2"/>
      <c r="D1542" s="2"/>
      <c r="E1542" s="2"/>
      <c r="F1542" s="2"/>
      <c r="G1542" s="2"/>
      <c r="H1542" s="2" t="str">
        <f t="shared" si="59"/>
        <v>0 г. 0 мес. 0 дн.</v>
      </c>
      <c r="I1542" s="2"/>
      <c r="J1542" s="2"/>
      <c r="K1542" s="2"/>
      <c r="L1542" s="2"/>
      <c r="M1542" s="2"/>
      <c r="N1542" s="1">
        <v>0</v>
      </c>
      <c r="O1542" s="2"/>
      <c r="P1542" s="2"/>
      <c r="Q1542" s="2">
        <v>0</v>
      </c>
      <c r="R1542" s="6"/>
    </row>
    <row r="1543" spans="1:18" x14ac:dyDescent="0.25">
      <c r="A1543" s="2">
        <f t="shared" si="58"/>
        <v>1542</v>
      </c>
      <c r="B1543" s="2"/>
      <c r="C1543" s="2"/>
      <c r="D1543" s="2"/>
      <c r="E1543" s="2"/>
      <c r="F1543" s="2"/>
      <c r="G1543" s="2"/>
      <c r="H1543" s="2" t="str">
        <f t="shared" si="59"/>
        <v>0 г. 0 мес. 0 дн.</v>
      </c>
      <c r="I1543" s="2"/>
      <c r="J1543" s="2"/>
      <c r="K1543" s="2"/>
      <c r="L1543" s="2"/>
      <c r="M1543" s="2"/>
      <c r="N1543" s="1">
        <v>0</v>
      </c>
      <c r="O1543" s="2"/>
      <c r="P1543" s="2"/>
      <c r="Q1543" s="2">
        <v>0</v>
      </c>
      <c r="R1543" s="6"/>
    </row>
    <row r="1544" spans="1:18" x14ac:dyDescent="0.25">
      <c r="A1544" s="2">
        <f t="shared" si="58"/>
        <v>1543</v>
      </c>
      <c r="B1544" s="2"/>
      <c r="C1544" s="2"/>
      <c r="D1544" s="2"/>
      <c r="E1544" s="2"/>
      <c r="F1544" s="2"/>
      <c r="G1544" s="2"/>
      <c r="H1544" s="2" t="str">
        <f t="shared" si="59"/>
        <v>0 г. 0 мес. 0 дн.</v>
      </c>
      <c r="I1544" s="2"/>
      <c r="J1544" s="2"/>
      <c r="K1544" s="2"/>
      <c r="L1544" s="2"/>
      <c r="M1544" s="2"/>
      <c r="N1544" s="1">
        <v>0</v>
      </c>
      <c r="O1544" s="2"/>
      <c r="P1544" s="2"/>
      <c r="Q1544" s="2">
        <v>0</v>
      </c>
      <c r="R1544" s="6"/>
    </row>
    <row r="1545" spans="1:18" x14ac:dyDescent="0.25">
      <c r="A1545" s="2">
        <f t="shared" si="58"/>
        <v>1544</v>
      </c>
      <c r="B1545" s="2"/>
      <c r="C1545" s="2"/>
      <c r="D1545" s="2"/>
      <c r="E1545" s="2"/>
      <c r="F1545" s="2"/>
      <c r="G1545" s="2"/>
      <c r="H1545" s="2" t="str">
        <f t="shared" si="59"/>
        <v>0 г. 0 мес. 0 дн.</v>
      </c>
      <c r="I1545" s="2"/>
      <c r="J1545" s="2"/>
      <c r="K1545" s="2"/>
      <c r="L1545" s="2"/>
      <c r="M1545" s="2"/>
      <c r="N1545" s="1">
        <v>0</v>
      </c>
      <c r="O1545" s="2"/>
      <c r="P1545" s="2"/>
      <c r="Q1545" s="2">
        <v>0</v>
      </c>
      <c r="R1545" s="6"/>
    </row>
    <row r="1546" spans="1:18" x14ac:dyDescent="0.25">
      <c r="A1546" s="2">
        <f t="shared" si="58"/>
        <v>1545</v>
      </c>
      <c r="B1546" s="2"/>
      <c r="C1546" s="2"/>
      <c r="D1546" s="2"/>
      <c r="E1546" s="2"/>
      <c r="F1546" s="2"/>
      <c r="G1546" s="2"/>
      <c r="H1546" s="2" t="str">
        <f t="shared" si="59"/>
        <v>0 г. 0 мес. 0 дн.</v>
      </c>
      <c r="I1546" s="2"/>
      <c r="J1546" s="2"/>
      <c r="K1546" s="2"/>
      <c r="L1546" s="2"/>
      <c r="M1546" s="2"/>
      <c r="N1546" s="1">
        <v>0</v>
      </c>
      <c r="O1546" s="2"/>
      <c r="P1546" s="2"/>
      <c r="Q1546" s="2">
        <v>0</v>
      </c>
      <c r="R1546" s="6"/>
    </row>
    <row r="1547" spans="1:18" x14ac:dyDescent="0.25">
      <c r="A1547" s="2">
        <f t="shared" si="58"/>
        <v>1546</v>
      </c>
      <c r="B1547" s="2"/>
      <c r="C1547" s="2"/>
      <c r="D1547" s="2"/>
      <c r="E1547" s="2"/>
      <c r="F1547" s="2"/>
      <c r="G1547" s="2"/>
      <c r="H1547" s="2" t="str">
        <f t="shared" si="59"/>
        <v>0 г. 0 мес. 0 дн.</v>
      </c>
      <c r="I1547" s="2"/>
      <c r="J1547" s="2"/>
      <c r="K1547" s="2"/>
      <c r="L1547" s="2"/>
      <c r="M1547" s="2"/>
      <c r="N1547" s="1">
        <v>0</v>
      </c>
      <c r="O1547" s="2"/>
      <c r="P1547" s="2"/>
      <c r="Q1547" s="2">
        <v>0</v>
      </c>
      <c r="R1547" s="6"/>
    </row>
    <row r="1548" spans="1:18" x14ac:dyDescent="0.25">
      <c r="A1548" s="2">
        <f t="shared" si="58"/>
        <v>1547</v>
      </c>
      <c r="B1548" s="2"/>
      <c r="C1548" s="2"/>
      <c r="D1548" s="2"/>
      <c r="E1548" s="2"/>
      <c r="F1548" s="2"/>
      <c r="G1548" s="2"/>
      <c r="H1548" s="2" t="str">
        <f t="shared" si="59"/>
        <v>0 г. 0 мес. 0 дн.</v>
      </c>
      <c r="I1548" s="2"/>
      <c r="J1548" s="2"/>
      <c r="K1548" s="2"/>
      <c r="L1548" s="2"/>
      <c r="M1548" s="2"/>
      <c r="N1548" s="1">
        <v>0</v>
      </c>
      <c r="O1548" s="2"/>
      <c r="P1548" s="2"/>
      <c r="Q1548" s="2">
        <v>0</v>
      </c>
      <c r="R1548" s="6"/>
    </row>
    <row r="1549" spans="1:18" x14ac:dyDescent="0.25">
      <c r="A1549" s="2">
        <f t="shared" si="58"/>
        <v>1548</v>
      </c>
      <c r="B1549" s="2"/>
      <c r="C1549" s="2"/>
      <c r="D1549" s="2"/>
      <c r="E1549" s="2"/>
      <c r="F1549" s="2"/>
      <c r="G1549" s="2"/>
      <c r="H1549" s="2" t="str">
        <f t="shared" si="59"/>
        <v>0 г. 0 мес. 0 дн.</v>
      </c>
      <c r="I1549" s="2"/>
      <c r="J1549" s="2"/>
      <c r="K1549" s="2"/>
      <c r="L1549" s="2"/>
      <c r="M1549" s="2"/>
      <c r="N1549" s="1">
        <v>0</v>
      </c>
      <c r="O1549" s="2"/>
      <c r="P1549" s="2"/>
      <c r="Q1549" s="2">
        <v>0</v>
      </c>
      <c r="R1549" s="6"/>
    </row>
    <row r="1550" spans="1:18" x14ac:dyDescent="0.25">
      <c r="A1550" s="2">
        <f t="shared" si="58"/>
        <v>1549</v>
      </c>
      <c r="B1550" s="2"/>
      <c r="C1550" s="2"/>
      <c r="D1550" s="2"/>
      <c r="E1550" s="2"/>
      <c r="F1550" s="2"/>
      <c r="G1550" s="2"/>
      <c r="H1550" s="2" t="str">
        <f t="shared" si="59"/>
        <v>0 г. 0 мес. 0 дн.</v>
      </c>
      <c r="I1550" s="2"/>
      <c r="J1550" s="2"/>
      <c r="K1550" s="2"/>
      <c r="L1550" s="2"/>
      <c r="M1550" s="2"/>
      <c r="N1550" s="1">
        <v>0</v>
      </c>
      <c r="O1550" s="2"/>
      <c r="P1550" s="2"/>
      <c r="Q1550" s="2">
        <v>0</v>
      </c>
      <c r="R1550" s="6"/>
    </row>
    <row r="1551" spans="1:18" x14ac:dyDescent="0.25">
      <c r="A1551" s="2">
        <f t="shared" si="58"/>
        <v>1550</v>
      </c>
      <c r="B1551" s="2"/>
      <c r="C1551" s="2"/>
      <c r="D1551" s="2"/>
      <c r="E1551" s="2"/>
      <c r="F1551" s="2"/>
      <c r="G1551" s="2"/>
      <c r="H1551" s="2" t="str">
        <f t="shared" si="59"/>
        <v>0 г. 0 мес. 0 дн.</v>
      </c>
      <c r="I1551" s="2"/>
      <c r="J1551" s="2"/>
      <c r="K1551" s="2"/>
      <c r="L1551" s="2"/>
      <c r="M1551" s="2"/>
      <c r="N1551" s="1">
        <v>0</v>
      </c>
      <c r="O1551" s="2"/>
      <c r="P1551" s="2"/>
      <c r="Q1551" s="2">
        <v>0</v>
      </c>
      <c r="R1551" s="6"/>
    </row>
    <row r="1552" spans="1:18" x14ac:dyDescent="0.25">
      <c r="A1552" s="2">
        <f t="shared" si="58"/>
        <v>1551</v>
      </c>
      <c r="B1552" s="2"/>
      <c r="C1552" s="2"/>
      <c r="D1552" s="2"/>
      <c r="E1552" s="2"/>
      <c r="F1552" s="2"/>
      <c r="G1552" s="2"/>
      <c r="H1552" s="2" t="str">
        <f t="shared" si="59"/>
        <v>0 г. 0 мес. 0 дн.</v>
      </c>
      <c r="I1552" s="2"/>
      <c r="J1552" s="2"/>
      <c r="K1552" s="2"/>
      <c r="L1552" s="2"/>
      <c r="M1552" s="2"/>
      <c r="N1552" s="1">
        <v>0</v>
      </c>
      <c r="O1552" s="2"/>
      <c r="P1552" s="2"/>
      <c r="Q1552" s="2">
        <v>0</v>
      </c>
      <c r="R1552" s="6"/>
    </row>
    <row r="1553" spans="1:18" x14ac:dyDescent="0.25">
      <c r="A1553" s="2">
        <f t="shared" si="58"/>
        <v>1552</v>
      </c>
      <c r="B1553" s="2"/>
      <c r="C1553" s="2"/>
      <c r="D1553" s="2"/>
      <c r="E1553" s="2"/>
      <c r="F1553" s="2"/>
      <c r="G1553" s="2"/>
      <c r="H1553" s="2" t="str">
        <f t="shared" si="59"/>
        <v>0 г. 0 мес. 0 дн.</v>
      </c>
      <c r="I1553" s="2"/>
      <c r="J1553" s="2"/>
      <c r="K1553" s="2"/>
      <c r="L1553" s="2"/>
      <c r="M1553" s="2"/>
      <c r="N1553" s="1">
        <v>0</v>
      </c>
      <c r="O1553" s="2"/>
      <c r="P1553" s="2"/>
      <c r="Q1553" s="2">
        <v>0</v>
      </c>
      <c r="R1553" s="6"/>
    </row>
    <row r="1554" spans="1:18" x14ac:dyDescent="0.25">
      <c r="A1554" s="2">
        <f t="shared" si="58"/>
        <v>1553</v>
      </c>
      <c r="B1554" s="2"/>
      <c r="C1554" s="2"/>
      <c r="D1554" s="2"/>
      <c r="E1554" s="2"/>
      <c r="F1554" s="2"/>
      <c r="G1554" s="2"/>
      <c r="H1554" s="2" t="str">
        <f t="shared" si="59"/>
        <v>0 г. 0 мес. 0 дн.</v>
      </c>
      <c r="I1554" s="2"/>
      <c r="J1554" s="2"/>
      <c r="K1554" s="2"/>
      <c r="L1554" s="2"/>
      <c r="M1554" s="2"/>
      <c r="N1554" s="1">
        <v>0</v>
      </c>
      <c r="O1554" s="2"/>
      <c r="P1554" s="2"/>
      <c r="Q1554" s="2">
        <v>0</v>
      </c>
      <c r="R1554" s="6"/>
    </row>
    <row r="1555" spans="1:18" x14ac:dyDescent="0.25">
      <c r="A1555" s="2">
        <f t="shared" si="58"/>
        <v>1554</v>
      </c>
      <c r="B1555" s="2"/>
      <c r="C1555" s="2"/>
      <c r="D1555" s="2"/>
      <c r="E1555" s="2"/>
      <c r="F1555" s="2"/>
      <c r="G1555" s="2"/>
      <c r="H1555" s="2" t="str">
        <f t="shared" si="59"/>
        <v>0 г. 0 мес. 0 дн.</v>
      </c>
      <c r="I1555" s="2"/>
      <c r="J1555" s="2"/>
      <c r="K1555" s="2"/>
      <c r="L1555" s="2"/>
      <c r="M1555" s="2"/>
      <c r="N1555" s="1">
        <v>0</v>
      </c>
      <c r="O1555" s="2"/>
      <c r="P1555" s="2"/>
      <c r="Q1555" s="2">
        <v>0</v>
      </c>
      <c r="R1555" s="6"/>
    </row>
    <row r="1556" spans="1:18" x14ac:dyDescent="0.25">
      <c r="A1556" s="2">
        <f t="shared" si="58"/>
        <v>1555</v>
      </c>
      <c r="B1556" s="2"/>
      <c r="C1556" s="2"/>
      <c r="D1556" s="2"/>
      <c r="E1556" s="2"/>
      <c r="F1556" s="2"/>
      <c r="G1556" s="2"/>
      <c r="H1556" s="2" t="str">
        <f t="shared" si="59"/>
        <v>0 г. 0 мес. 0 дн.</v>
      </c>
      <c r="I1556" s="2"/>
      <c r="J1556" s="2"/>
      <c r="K1556" s="2"/>
      <c r="L1556" s="2"/>
      <c r="M1556" s="2"/>
      <c r="N1556" s="1">
        <v>0</v>
      </c>
      <c r="O1556" s="2"/>
      <c r="P1556" s="2"/>
      <c r="Q1556" s="2">
        <v>0</v>
      </c>
      <c r="R1556" s="6"/>
    </row>
    <row r="1557" spans="1:18" x14ac:dyDescent="0.25">
      <c r="A1557" s="2">
        <f t="shared" si="58"/>
        <v>1556</v>
      </c>
      <c r="B1557" s="2"/>
      <c r="C1557" s="2"/>
      <c r="D1557" s="2"/>
      <c r="E1557" s="2"/>
      <c r="F1557" s="2"/>
      <c r="G1557" s="2"/>
      <c r="H1557" s="2" t="str">
        <f t="shared" si="59"/>
        <v>0 г. 0 мес. 0 дн.</v>
      </c>
      <c r="I1557" s="2"/>
      <c r="J1557" s="2"/>
      <c r="K1557" s="2"/>
      <c r="L1557" s="2"/>
      <c r="M1557" s="2"/>
      <c r="N1557" s="1">
        <v>0</v>
      </c>
      <c r="O1557" s="2"/>
      <c r="P1557" s="2"/>
      <c r="Q1557" s="2">
        <v>0</v>
      </c>
      <c r="R1557" s="6"/>
    </row>
    <row r="1558" spans="1:18" x14ac:dyDescent="0.25">
      <c r="A1558" s="2">
        <f t="shared" si="58"/>
        <v>1557</v>
      </c>
      <c r="B1558" s="2"/>
      <c r="C1558" s="2"/>
      <c r="D1558" s="2"/>
      <c r="E1558" s="2"/>
      <c r="F1558" s="2"/>
      <c r="G1558" s="2"/>
      <c r="H1558" s="2" t="str">
        <f t="shared" si="59"/>
        <v>0 г. 0 мес. 0 дн.</v>
      </c>
      <c r="I1558" s="2"/>
      <c r="J1558" s="2"/>
      <c r="K1558" s="2"/>
      <c r="L1558" s="2"/>
      <c r="M1558" s="2"/>
      <c r="N1558" s="1">
        <v>0</v>
      </c>
      <c r="O1558" s="2"/>
      <c r="P1558" s="2"/>
      <c r="Q1558" s="2">
        <v>0</v>
      </c>
      <c r="R1558" s="6"/>
    </row>
    <row r="1559" spans="1:18" x14ac:dyDescent="0.25">
      <c r="A1559" s="2">
        <f t="shared" si="58"/>
        <v>1558</v>
      </c>
      <c r="B1559" s="2"/>
      <c r="C1559" s="2"/>
      <c r="D1559" s="2"/>
      <c r="E1559" s="2"/>
      <c r="F1559" s="2"/>
      <c r="G1559" s="2"/>
      <c r="H1559" s="2" t="str">
        <f t="shared" si="59"/>
        <v>0 г. 0 мес. 0 дн.</v>
      </c>
      <c r="I1559" s="2"/>
      <c r="J1559" s="2"/>
      <c r="K1559" s="2"/>
      <c r="L1559" s="2"/>
      <c r="M1559" s="2"/>
      <c r="N1559" s="1">
        <v>0</v>
      </c>
      <c r="O1559" s="2"/>
      <c r="P1559" s="2"/>
      <c r="Q1559" s="2">
        <v>0</v>
      </c>
      <c r="R1559" s="6"/>
    </row>
    <row r="1560" spans="1:18" x14ac:dyDescent="0.25">
      <c r="A1560" s="2">
        <f t="shared" si="58"/>
        <v>1559</v>
      </c>
      <c r="B1560" s="2"/>
      <c r="C1560" s="2"/>
      <c r="D1560" s="2"/>
      <c r="E1560" s="2"/>
      <c r="F1560" s="2"/>
      <c r="G1560" s="2"/>
      <c r="H1560" s="2" t="str">
        <f t="shared" si="59"/>
        <v>0 г. 0 мес. 0 дн.</v>
      </c>
      <c r="I1560" s="2"/>
      <c r="J1560" s="2"/>
      <c r="K1560" s="2"/>
      <c r="L1560" s="2"/>
      <c r="M1560" s="2"/>
      <c r="N1560" s="1">
        <v>0</v>
      </c>
      <c r="O1560" s="2"/>
      <c r="P1560" s="2"/>
      <c r="Q1560" s="2">
        <v>0</v>
      </c>
      <c r="R1560" s="6"/>
    </row>
    <row r="1561" spans="1:18" x14ac:dyDescent="0.25">
      <c r="A1561" s="2">
        <f t="shared" si="58"/>
        <v>1560</v>
      </c>
      <c r="B1561" s="2"/>
      <c r="C1561" s="2"/>
      <c r="D1561" s="2"/>
      <c r="E1561" s="2"/>
      <c r="F1561" s="2"/>
      <c r="G1561" s="2"/>
      <c r="H1561" s="2" t="str">
        <f t="shared" si="59"/>
        <v>0 г. 0 мес. 0 дн.</v>
      </c>
      <c r="I1561" s="2"/>
      <c r="J1561" s="2"/>
      <c r="K1561" s="2"/>
      <c r="L1561" s="2"/>
      <c r="M1561" s="2"/>
      <c r="N1561" s="1">
        <v>0</v>
      </c>
      <c r="O1561" s="2"/>
      <c r="P1561" s="2"/>
      <c r="Q1561" s="2">
        <v>0</v>
      </c>
      <c r="R1561" s="6"/>
    </row>
    <row r="1562" spans="1:18" x14ac:dyDescent="0.25">
      <c r="A1562" s="2">
        <f t="shared" si="58"/>
        <v>1561</v>
      </c>
      <c r="B1562" s="2"/>
      <c r="C1562" s="2"/>
      <c r="D1562" s="2"/>
      <c r="E1562" s="2"/>
      <c r="F1562" s="2"/>
      <c r="G1562" s="2"/>
      <c r="H1562" s="2" t="str">
        <f t="shared" si="59"/>
        <v>0 г. 0 мес. 0 дн.</v>
      </c>
      <c r="I1562" s="2"/>
      <c r="J1562" s="2"/>
      <c r="K1562" s="2"/>
      <c r="L1562" s="2"/>
      <c r="M1562" s="2"/>
      <c r="N1562" s="1">
        <v>0</v>
      </c>
      <c r="O1562" s="2"/>
      <c r="P1562" s="2"/>
      <c r="Q1562" s="2">
        <v>0</v>
      </c>
      <c r="R1562" s="6"/>
    </row>
    <row r="1563" spans="1:18" x14ac:dyDescent="0.25">
      <c r="A1563" s="2">
        <f t="shared" si="58"/>
        <v>1562</v>
      </c>
      <c r="B1563" s="2"/>
      <c r="C1563" s="2"/>
      <c r="D1563" s="2"/>
      <c r="E1563" s="2"/>
      <c r="F1563" s="2"/>
      <c r="G1563" s="2"/>
      <c r="H1563" s="2" t="str">
        <f t="shared" si="59"/>
        <v>0 г. 0 мес. 0 дн.</v>
      </c>
      <c r="I1563" s="2"/>
      <c r="J1563" s="2"/>
      <c r="K1563" s="2"/>
      <c r="L1563" s="2"/>
      <c r="M1563" s="2"/>
      <c r="N1563" s="1">
        <v>0</v>
      </c>
      <c r="O1563" s="2"/>
      <c r="P1563" s="2"/>
      <c r="Q1563" s="2">
        <v>0</v>
      </c>
      <c r="R1563" s="6"/>
    </row>
    <row r="1564" spans="1:18" x14ac:dyDescent="0.25">
      <c r="A1564" s="2">
        <f t="shared" si="58"/>
        <v>1563</v>
      </c>
      <c r="B1564" s="2"/>
      <c r="C1564" s="2"/>
      <c r="D1564" s="2"/>
      <c r="E1564" s="2"/>
      <c r="F1564" s="2"/>
      <c r="G1564" s="2"/>
      <c r="H1564" s="2" t="str">
        <f t="shared" si="59"/>
        <v>0 г. 0 мес. 0 дн.</v>
      </c>
      <c r="I1564" s="2"/>
      <c r="J1564" s="2"/>
      <c r="K1564" s="2"/>
      <c r="L1564" s="2"/>
      <c r="M1564" s="2"/>
      <c r="N1564" s="1">
        <v>0</v>
      </c>
      <c r="O1564" s="2"/>
      <c r="P1564" s="2"/>
      <c r="Q1564" s="2">
        <v>0</v>
      </c>
      <c r="R1564" s="6"/>
    </row>
    <row r="1565" spans="1:18" x14ac:dyDescent="0.25">
      <c r="A1565" s="2">
        <f t="shared" ref="A1565:A1628" si="60">ROW(A1564)</f>
        <v>1564</v>
      </c>
      <c r="B1565" s="2"/>
      <c r="C1565" s="2"/>
      <c r="D1565" s="2"/>
      <c r="E1565" s="2"/>
      <c r="F1565" s="2"/>
      <c r="G1565" s="2"/>
      <c r="H1565" s="2" t="str">
        <f t="shared" si="59"/>
        <v>0 г. 0 мес. 0 дн.</v>
      </c>
      <c r="I1565" s="2"/>
      <c r="J1565" s="2"/>
      <c r="K1565" s="2"/>
      <c r="L1565" s="2"/>
      <c r="M1565" s="2"/>
      <c r="N1565" s="1">
        <v>0</v>
      </c>
      <c r="O1565" s="2"/>
      <c r="P1565" s="2"/>
      <c r="Q1565" s="2">
        <v>0</v>
      </c>
      <c r="R1565" s="6"/>
    </row>
    <row r="1566" spans="1:18" x14ac:dyDescent="0.25">
      <c r="A1566" s="2">
        <f t="shared" si="60"/>
        <v>1565</v>
      </c>
      <c r="B1566" s="2"/>
      <c r="C1566" s="2"/>
      <c r="D1566" s="2"/>
      <c r="E1566" s="2"/>
      <c r="F1566" s="2"/>
      <c r="G1566" s="2"/>
      <c r="H1566" s="2" t="str">
        <f t="shared" si="59"/>
        <v>0 г. 0 мес. 0 дн.</v>
      </c>
      <c r="I1566" s="2"/>
      <c r="J1566" s="2"/>
      <c r="K1566" s="2"/>
      <c r="L1566" s="2"/>
      <c r="M1566" s="2"/>
      <c r="N1566" s="1">
        <v>0</v>
      </c>
      <c r="O1566" s="2"/>
      <c r="P1566" s="2"/>
      <c r="Q1566" s="2">
        <v>0</v>
      </c>
      <c r="R1566" s="6"/>
    </row>
    <row r="1567" spans="1:18" x14ac:dyDescent="0.25">
      <c r="A1567" s="2">
        <f t="shared" si="60"/>
        <v>1566</v>
      </c>
      <c r="B1567" s="2"/>
      <c r="C1567" s="2"/>
      <c r="D1567" s="2"/>
      <c r="E1567" s="2"/>
      <c r="F1567" s="2"/>
      <c r="G1567" s="2"/>
      <c r="H1567" s="2" t="str">
        <f t="shared" si="59"/>
        <v>0 г. 0 мес. 0 дн.</v>
      </c>
      <c r="I1567" s="2"/>
      <c r="J1567" s="2"/>
      <c r="K1567" s="2"/>
      <c r="L1567" s="2"/>
      <c r="M1567" s="2"/>
      <c r="N1567" s="1">
        <v>0</v>
      </c>
      <c r="O1567" s="2"/>
      <c r="P1567" s="2"/>
      <c r="Q1567" s="2">
        <v>0</v>
      </c>
      <c r="R1567" s="6"/>
    </row>
    <row r="1568" spans="1:18" x14ac:dyDescent="0.25">
      <c r="A1568" s="2">
        <f t="shared" si="60"/>
        <v>1567</v>
      </c>
      <c r="B1568" s="2"/>
      <c r="C1568" s="2"/>
      <c r="D1568" s="2"/>
      <c r="E1568" s="2"/>
      <c r="F1568" s="2"/>
      <c r="G1568" s="2"/>
      <c r="H1568" s="2" t="str">
        <f t="shared" si="59"/>
        <v>0 г. 0 мес. 0 дн.</v>
      </c>
      <c r="I1568" s="2"/>
      <c r="J1568" s="2"/>
      <c r="K1568" s="2"/>
      <c r="L1568" s="2"/>
      <c r="M1568" s="2"/>
      <c r="N1568" s="1">
        <v>0</v>
      </c>
      <c r="O1568" s="2"/>
      <c r="P1568" s="2"/>
      <c r="Q1568" s="2">
        <v>0</v>
      </c>
      <c r="R1568" s="6"/>
    </row>
    <row r="1569" spans="1:18" x14ac:dyDescent="0.25">
      <c r="A1569" s="2">
        <f t="shared" si="60"/>
        <v>1568</v>
      </c>
      <c r="B1569" s="2"/>
      <c r="C1569" s="2"/>
      <c r="D1569" s="2"/>
      <c r="E1569" s="2"/>
      <c r="F1569" s="2"/>
      <c r="G1569" s="2"/>
      <c r="H1569" s="2" t="str">
        <f t="shared" si="59"/>
        <v>0 г. 0 мес. 0 дн.</v>
      </c>
      <c r="I1569" s="2"/>
      <c r="J1569" s="2"/>
      <c r="K1569" s="2"/>
      <c r="L1569" s="2"/>
      <c r="M1569" s="2"/>
      <c r="N1569" s="1">
        <v>0</v>
      </c>
      <c r="O1569" s="2"/>
      <c r="P1569" s="2"/>
      <c r="Q1569" s="2">
        <v>0</v>
      </c>
      <c r="R1569" s="6"/>
    </row>
    <row r="1570" spans="1:18" x14ac:dyDescent="0.25">
      <c r="A1570" s="2">
        <f t="shared" si="60"/>
        <v>1569</v>
      </c>
      <c r="B1570" s="2"/>
      <c r="C1570" s="2"/>
      <c r="D1570" s="2"/>
      <c r="E1570" s="2"/>
      <c r="F1570" s="2"/>
      <c r="G1570" s="2"/>
      <c r="H1570" s="2" t="str">
        <f t="shared" si="59"/>
        <v>0 г. 0 мес. 0 дн.</v>
      </c>
      <c r="I1570" s="2"/>
      <c r="J1570" s="2"/>
      <c r="K1570" s="2"/>
      <c r="L1570" s="2"/>
      <c r="M1570" s="2"/>
      <c r="N1570" s="1">
        <v>0</v>
      </c>
      <c r="O1570" s="2"/>
      <c r="P1570" s="2"/>
      <c r="Q1570" s="2">
        <v>0</v>
      </c>
      <c r="R1570" s="6"/>
    </row>
    <row r="1571" spans="1:18" x14ac:dyDescent="0.25">
      <c r="A1571" s="2">
        <f t="shared" si="60"/>
        <v>1570</v>
      </c>
      <c r="B1571" s="2"/>
      <c r="C1571" s="2"/>
      <c r="D1571" s="2"/>
      <c r="E1571" s="2"/>
      <c r="F1571" s="2"/>
      <c r="G1571" s="2"/>
      <c r="H1571" s="2" t="str">
        <f t="shared" si="59"/>
        <v>0 г. 0 мес. 0 дн.</v>
      </c>
      <c r="I1571" s="2"/>
      <c r="J1571" s="2"/>
      <c r="K1571" s="2"/>
      <c r="L1571" s="2"/>
      <c r="M1571" s="2"/>
      <c r="N1571" s="1">
        <v>0</v>
      </c>
      <c r="O1571" s="2"/>
      <c r="P1571" s="2"/>
      <c r="Q1571" s="2">
        <v>0</v>
      </c>
      <c r="R1571" s="6"/>
    </row>
    <row r="1572" spans="1:18" x14ac:dyDescent="0.25">
      <c r="A1572" s="2">
        <f t="shared" si="60"/>
        <v>1571</v>
      </c>
      <c r="B1572" s="2"/>
      <c r="C1572" s="2"/>
      <c r="D1572" s="2"/>
      <c r="E1572" s="2"/>
      <c r="F1572" s="2"/>
      <c r="G1572" s="2"/>
      <c r="H1572" s="2" t="str">
        <f t="shared" si="59"/>
        <v>0 г. 0 мес. 0 дн.</v>
      </c>
      <c r="I1572" s="2"/>
      <c r="J1572" s="2"/>
      <c r="K1572" s="2"/>
      <c r="L1572" s="2"/>
      <c r="M1572" s="2"/>
      <c r="N1572" s="1">
        <v>0</v>
      </c>
      <c r="O1572" s="2"/>
      <c r="P1572" s="2"/>
      <c r="Q1572" s="2">
        <v>0</v>
      </c>
      <c r="R1572" s="6"/>
    </row>
    <row r="1573" spans="1:18" x14ac:dyDescent="0.25">
      <c r="A1573" s="2">
        <f t="shared" si="60"/>
        <v>1572</v>
      </c>
      <c r="B1573" s="2"/>
      <c r="C1573" s="2"/>
      <c r="D1573" s="2"/>
      <c r="E1573" s="2"/>
      <c r="F1573" s="2"/>
      <c r="G1573" s="2"/>
      <c r="H1573" s="2" t="str">
        <f t="shared" si="59"/>
        <v>0 г. 0 мес. 0 дн.</v>
      </c>
      <c r="I1573" s="2"/>
      <c r="J1573" s="2"/>
      <c r="K1573" s="2"/>
      <c r="L1573" s="2"/>
      <c r="M1573" s="2"/>
      <c r="N1573" s="1">
        <v>0</v>
      </c>
      <c r="O1573" s="2"/>
      <c r="P1573" s="2"/>
      <c r="Q1573" s="2">
        <v>0</v>
      </c>
      <c r="R1573" s="6"/>
    </row>
    <row r="1574" spans="1:18" x14ac:dyDescent="0.25">
      <c r="A1574" s="2">
        <f t="shared" si="60"/>
        <v>1573</v>
      </c>
      <c r="B1574" s="2"/>
      <c r="C1574" s="2"/>
      <c r="D1574" s="2"/>
      <c r="E1574" s="2"/>
      <c r="F1574" s="2"/>
      <c r="G1574" s="2"/>
      <c r="H1574" s="2" t="str">
        <f t="shared" si="59"/>
        <v>0 г. 0 мес. 0 дн.</v>
      </c>
      <c r="I1574" s="2"/>
      <c r="J1574" s="2"/>
      <c r="K1574" s="2"/>
      <c r="L1574" s="2"/>
      <c r="M1574" s="2"/>
      <c r="N1574" s="1">
        <v>0</v>
      </c>
      <c r="O1574" s="2"/>
      <c r="P1574" s="2"/>
      <c r="Q1574" s="2">
        <v>0</v>
      </c>
      <c r="R1574" s="6"/>
    </row>
    <row r="1575" spans="1:18" x14ac:dyDescent="0.25">
      <c r="A1575" s="2">
        <f t="shared" si="60"/>
        <v>1574</v>
      </c>
      <c r="B1575" s="2"/>
      <c r="C1575" s="2"/>
      <c r="D1575" s="2"/>
      <c r="E1575" s="2"/>
      <c r="F1575" s="2"/>
      <c r="G1575" s="2"/>
      <c r="H1575" s="2" t="str">
        <f t="shared" si="59"/>
        <v>0 г. 0 мес. 0 дн.</v>
      </c>
      <c r="I1575" s="2"/>
      <c r="J1575" s="2"/>
      <c r="K1575" s="2"/>
      <c r="L1575" s="2"/>
      <c r="M1575" s="2"/>
      <c r="N1575" s="1">
        <v>0</v>
      </c>
      <c r="O1575" s="2"/>
      <c r="P1575" s="2"/>
      <c r="Q1575" s="2">
        <v>0</v>
      </c>
      <c r="R1575" s="6"/>
    </row>
    <row r="1576" spans="1:18" x14ac:dyDescent="0.25">
      <c r="A1576" s="2">
        <f t="shared" si="60"/>
        <v>1575</v>
      </c>
      <c r="B1576" s="2"/>
      <c r="C1576" s="2"/>
      <c r="D1576" s="2"/>
      <c r="E1576" s="2"/>
      <c r="F1576" s="2"/>
      <c r="G1576" s="2"/>
      <c r="H1576" s="2" t="str">
        <f t="shared" si="59"/>
        <v>0 г. 0 мес. 0 дн.</v>
      </c>
      <c r="I1576" s="2"/>
      <c r="J1576" s="2"/>
      <c r="K1576" s="2"/>
      <c r="L1576" s="2"/>
      <c r="M1576" s="2"/>
      <c r="N1576" s="1">
        <v>0</v>
      </c>
      <c r="O1576" s="2"/>
      <c r="P1576" s="2"/>
      <c r="Q1576" s="2">
        <v>0</v>
      </c>
      <c r="R1576" s="6"/>
    </row>
    <row r="1577" spans="1:18" x14ac:dyDescent="0.25">
      <c r="A1577" s="2">
        <f t="shared" si="60"/>
        <v>1576</v>
      </c>
      <c r="B1577" s="2"/>
      <c r="C1577" s="2"/>
      <c r="D1577" s="2"/>
      <c r="E1577" s="2"/>
      <c r="F1577" s="2"/>
      <c r="G1577" s="2"/>
      <c r="H1577" s="2" t="str">
        <f t="shared" si="59"/>
        <v>0 г. 0 мес. 0 дн.</v>
      </c>
      <c r="I1577" s="2"/>
      <c r="J1577" s="2"/>
      <c r="K1577" s="2"/>
      <c r="L1577" s="2"/>
      <c r="M1577" s="2"/>
      <c r="N1577" s="1">
        <v>0</v>
      </c>
      <c r="O1577" s="2"/>
      <c r="P1577" s="2"/>
      <c r="Q1577" s="2">
        <v>0</v>
      </c>
      <c r="R1577" s="6"/>
    </row>
    <row r="1578" spans="1:18" x14ac:dyDescent="0.25">
      <c r="A1578" s="2">
        <f t="shared" si="60"/>
        <v>1577</v>
      </c>
      <c r="B1578" s="2"/>
      <c r="C1578" s="2"/>
      <c r="D1578" s="2"/>
      <c r="E1578" s="2"/>
      <c r="F1578" s="2"/>
      <c r="G1578" s="2"/>
      <c r="H1578" s="2" t="str">
        <f t="shared" si="59"/>
        <v>0 г. 0 мес. 0 дн.</v>
      </c>
      <c r="I1578" s="2"/>
      <c r="J1578" s="2"/>
      <c r="K1578" s="2"/>
      <c r="L1578" s="2"/>
      <c r="M1578" s="2"/>
      <c r="N1578" s="1">
        <v>0</v>
      </c>
      <c r="O1578" s="2"/>
      <c r="P1578" s="2"/>
      <c r="Q1578" s="2">
        <v>0</v>
      </c>
      <c r="R1578" s="6"/>
    </row>
    <row r="1579" spans="1:18" x14ac:dyDescent="0.25">
      <c r="A1579" s="2">
        <f t="shared" si="60"/>
        <v>1578</v>
      </c>
      <c r="B1579" s="2"/>
      <c r="C1579" s="2"/>
      <c r="D1579" s="2"/>
      <c r="E1579" s="2"/>
      <c r="F1579" s="2"/>
      <c r="G1579" s="2"/>
      <c r="H1579" s="2" t="str">
        <f t="shared" si="59"/>
        <v>0 г. 0 мес. 0 дн.</v>
      </c>
      <c r="I1579" s="2"/>
      <c r="J1579" s="2"/>
      <c r="K1579" s="2"/>
      <c r="L1579" s="2"/>
      <c r="M1579" s="2"/>
      <c r="N1579" s="1">
        <v>0</v>
      </c>
      <c r="O1579" s="2"/>
      <c r="P1579" s="2"/>
      <c r="Q1579" s="2">
        <v>0</v>
      </c>
      <c r="R1579" s="6"/>
    </row>
    <row r="1580" spans="1:18" x14ac:dyDescent="0.25">
      <c r="A1580" s="2">
        <f t="shared" si="60"/>
        <v>1579</v>
      </c>
      <c r="B1580" s="2"/>
      <c r="C1580" s="2"/>
      <c r="D1580" s="2"/>
      <c r="E1580" s="2"/>
      <c r="F1580" s="2"/>
      <c r="G1580" s="2"/>
      <c r="H1580" s="2" t="str">
        <f t="shared" si="59"/>
        <v>0 г. 0 мес. 0 дн.</v>
      </c>
      <c r="I1580" s="2"/>
      <c r="J1580" s="2"/>
      <c r="K1580" s="2"/>
      <c r="L1580" s="2"/>
      <c r="M1580" s="2"/>
      <c r="N1580" s="1">
        <v>0</v>
      </c>
      <c r="O1580" s="2"/>
      <c r="P1580" s="2"/>
      <c r="Q1580" s="2">
        <v>0</v>
      </c>
      <c r="R1580" s="6"/>
    </row>
    <row r="1581" spans="1:18" x14ac:dyDescent="0.25">
      <c r="A1581" s="2">
        <f t="shared" si="60"/>
        <v>1580</v>
      </c>
      <c r="B1581" s="2"/>
      <c r="C1581" s="2"/>
      <c r="D1581" s="2"/>
      <c r="E1581" s="2"/>
      <c r="F1581" s="2"/>
      <c r="G1581" s="2"/>
      <c r="H1581" s="2" t="str">
        <f t="shared" si="59"/>
        <v>0 г. 0 мес. 0 дн.</v>
      </c>
      <c r="I1581" s="2"/>
      <c r="J1581" s="2"/>
      <c r="K1581" s="2"/>
      <c r="L1581" s="2"/>
      <c r="M1581" s="2"/>
      <c r="N1581" s="1">
        <v>0</v>
      </c>
      <c r="O1581" s="2"/>
      <c r="P1581" s="2"/>
      <c r="Q1581" s="2">
        <v>0</v>
      </c>
      <c r="R1581" s="6"/>
    </row>
    <row r="1582" spans="1:18" x14ac:dyDescent="0.25">
      <c r="A1582" s="2">
        <f t="shared" si="60"/>
        <v>1581</v>
      </c>
      <c r="B1582" s="2"/>
      <c r="C1582" s="2"/>
      <c r="D1582" s="2"/>
      <c r="E1582" s="2"/>
      <c r="F1582" s="2"/>
      <c r="G1582" s="2"/>
      <c r="H1582" s="2" t="str">
        <f t="shared" si="59"/>
        <v>0 г. 0 мес. 0 дн.</v>
      </c>
      <c r="I1582" s="2"/>
      <c r="J1582" s="2"/>
      <c r="K1582" s="2"/>
      <c r="L1582" s="2"/>
      <c r="M1582" s="2"/>
      <c r="N1582" s="1">
        <v>0</v>
      </c>
      <c r="O1582" s="2"/>
      <c r="P1582" s="2"/>
      <c r="Q1582" s="2">
        <v>0</v>
      </c>
      <c r="R1582" s="6"/>
    </row>
    <row r="1583" spans="1:18" x14ac:dyDescent="0.25">
      <c r="A1583" s="2">
        <f t="shared" si="60"/>
        <v>1582</v>
      </c>
      <c r="B1583" s="2"/>
      <c r="C1583" s="2"/>
      <c r="D1583" s="2"/>
      <c r="E1583" s="2"/>
      <c r="F1583" s="2"/>
      <c r="G1583" s="2"/>
      <c r="H1583" s="2" t="str">
        <f t="shared" si="59"/>
        <v>0 г. 0 мес. 0 дн.</v>
      </c>
      <c r="I1583" s="2"/>
      <c r="J1583" s="2"/>
      <c r="K1583" s="2"/>
      <c r="L1583" s="2"/>
      <c r="M1583" s="2"/>
      <c r="N1583" s="1">
        <v>0</v>
      </c>
      <c r="O1583" s="2"/>
      <c r="P1583" s="2"/>
      <c r="Q1583" s="2">
        <v>0</v>
      </c>
      <c r="R1583" s="6"/>
    </row>
    <row r="1584" spans="1:18" x14ac:dyDescent="0.25">
      <c r="A1584" s="2">
        <f t="shared" si="60"/>
        <v>1583</v>
      </c>
      <c r="B1584" s="2"/>
      <c r="C1584" s="2"/>
      <c r="D1584" s="2"/>
      <c r="E1584" s="2"/>
      <c r="F1584" s="2"/>
      <c r="G1584" s="2"/>
      <c r="H1584" s="2" t="str">
        <f t="shared" si="59"/>
        <v>0 г. 0 мес. 0 дн.</v>
      </c>
      <c r="I1584" s="2"/>
      <c r="J1584" s="2"/>
      <c r="K1584" s="2"/>
      <c r="L1584" s="2"/>
      <c r="M1584" s="2"/>
      <c r="N1584" s="1">
        <v>0</v>
      </c>
      <c r="O1584" s="2"/>
      <c r="P1584" s="2"/>
      <c r="Q1584" s="2">
        <v>0</v>
      </c>
      <c r="R1584" s="6"/>
    </row>
    <row r="1585" spans="1:18" x14ac:dyDescent="0.25">
      <c r="A1585" s="2">
        <f t="shared" si="60"/>
        <v>1584</v>
      </c>
      <c r="B1585" s="2"/>
      <c r="C1585" s="2"/>
      <c r="D1585" s="2"/>
      <c r="E1585" s="2"/>
      <c r="F1585" s="2"/>
      <c r="G1585" s="2"/>
      <c r="H1585" s="2" t="str">
        <f t="shared" si="59"/>
        <v>0 г. 0 мес. 0 дн.</v>
      </c>
      <c r="I1585" s="2"/>
      <c r="J1585" s="2"/>
      <c r="K1585" s="2"/>
      <c r="L1585" s="2"/>
      <c r="M1585" s="2"/>
      <c r="N1585" s="1">
        <v>0</v>
      </c>
      <c r="O1585" s="2"/>
      <c r="P1585" s="2"/>
      <c r="Q1585" s="2">
        <v>0</v>
      </c>
      <c r="R1585" s="6"/>
    </row>
    <row r="1586" spans="1:18" x14ac:dyDescent="0.25">
      <c r="A1586" s="2">
        <f t="shared" si="60"/>
        <v>1585</v>
      </c>
      <c r="B1586" s="2"/>
      <c r="C1586" s="2"/>
      <c r="D1586" s="2"/>
      <c r="E1586" s="2"/>
      <c r="F1586" s="2"/>
      <c r="G1586" s="2"/>
      <c r="H1586" s="2" t="str">
        <f t="shared" si="59"/>
        <v>0 г. 0 мес. 0 дн.</v>
      </c>
      <c r="I1586" s="2"/>
      <c r="J1586" s="2"/>
      <c r="K1586" s="2"/>
      <c r="L1586" s="2"/>
      <c r="M1586" s="2"/>
      <c r="N1586" s="1">
        <v>0</v>
      </c>
      <c r="O1586" s="2"/>
      <c r="P1586" s="2"/>
      <c r="Q1586" s="2">
        <v>0</v>
      </c>
      <c r="R1586" s="6"/>
    </row>
    <row r="1587" spans="1:18" x14ac:dyDescent="0.25">
      <c r="A1587" s="2">
        <f t="shared" si="60"/>
        <v>1586</v>
      </c>
      <c r="B1587" s="2"/>
      <c r="C1587" s="2"/>
      <c r="D1587" s="2"/>
      <c r="E1587" s="2"/>
      <c r="F1587" s="2"/>
      <c r="G1587" s="2"/>
      <c r="H1587" s="2" t="str">
        <f t="shared" si="59"/>
        <v>0 г. 0 мес. 0 дн.</v>
      </c>
      <c r="I1587" s="2"/>
      <c r="J1587" s="2"/>
      <c r="K1587" s="2"/>
      <c r="L1587" s="2"/>
      <c r="M1587" s="2"/>
      <c r="N1587" s="1">
        <v>0</v>
      </c>
      <c r="O1587" s="2"/>
      <c r="P1587" s="2"/>
      <c r="Q1587" s="2">
        <v>0</v>
      </c>
      <c r="R1587" s="6"/>
    </row>
    <row r="1588" spans="1:18" x14ac:dyDescent="0.25">
      <c r="A1588" s="2">
        <f t="shared" si="60"/>
        <v>1587</v>
      </c>
      <c r="B1588" s="2"/>
      <c r="C1588" s="2"/>
      <c r="D1588" s="2"/>
      <c r="E1588" s="2"/>
      <c r="F1588" s="2"/>
      <c r="G1588" s="2"/>
      <c r="H1588" s="2" t="str">
        <f t="shared" si="59"/>
        <v>0 г. 0 мес. 0 дн.</v>
      </c>
      <c r="I1588" s="2"/>
      <c r="J1588" s="2"/>
      <c r="K1588" s="2"/>
      <c r="L1588" s="2"/>
      <c r="M1588" s="2"/>
      <c r="N1588" s="1">
        <v>0</v>
      </c>
      <c r="O1588" s="2"/>
      <c r="P1588" s="2"/>
      <c r="Q1588" s="2">
        <v>0</v>
      </c>
      <c r="R1588" s="6"/>
    </row>
    <row r="1589" spans="1:18" x14ac:dyDescent="0.25">
      <c r="A1589" s="2">
        <f t="shared" si="60"/>
        <v>1588</v>
      </c>
      <c r="B1589" s="2"/>
      <c r="C1589" s="2"/>
      <c r="D1589" s="2"/>
      <c r="E1589" s="2"/>
      <c r="F1589" s="2"/>
      <c r="G1589" s="2"/>
      <c r="H1589" s="2" t="str">
        <f t="shared" si="59"/>
        <v>0 г. 0 мес. 0 дн.</v>
      </c>
      <c r="I1589" s="2"/>
      <c r="J1589" s="2"/>
      <c r="K1589" s="2"/>
      <c r="L1589" s="2"/>
      <c r="M1589" s="2"/>
      <c r="N1589" s="1">
        <v>0</v>
      </c>
      <c r="O1589" s="2"/>
      <c r="P1589" s="2"/>
      <c r="Q1589" s="2">
        <v>0</v>
      </c>
      <c r="R1589" s="6"/>
    </row>
    <row r="1590" spans="1:18" x14ac:dyDescent="0.25">
      <c r="A1590" s="2">
        <f t="shared" si="60"/>
        <v>1589</v>
      </c>
      <c r="B1590" s="2"/>
      <c r="C1590" s="2"/>
      <c r="D1590" s="2"/>
      <c r="E1590" s="2"/>
      <c r="F1590" s="2"/>
      <c r="G1590" s="2"/>
      <c r="H1590" s="2" t="str">
        <f t="shared" si="59"/>
        <v>0 г. 0 мес. 0 дн.</v>
      </c>
      <c r="I1590" s="2"/>
      <c r="J1590" s="2"/>
      <c r="K1590" s="2"/>
      <c r="L1590" s="2"/>
      <c r="M1590" s="2"/>
      <c r="N1590" s="1">
        <v>0</v>
      </c>
      <c r="O1590" s="2"/>
      <c r="P1590" s="2"/>
      <c r="Q1590" s="2">
        <v>0</v>
      </c>
      <c r="R1590" s="6"/>
    </row>
    <row r="1591" spans="1:18" x14ac:dyDescent="0.25">
      <c r="A1591" s="2">
        <f t="shared" si="60"/>
        <v>1590</v>
      </c>
      <c r="B1591" s="2"/>
      <c r="C1591" s="2"/>
      <c r="D1591" s="2"/>
      <c r="E1591" s="2"/>
      <c r="F1591" s="2"/>
      <c r="G1591" s="2"/>
      <c r="H1591" s="2" t="str">
        <f t="shared" si="59"/>
        <v>0 г. 0 мес. 0 дн.</v>
      </c>
      <c r="I1591" s="2"/>
      <c r="J1591" s="2"/>
      <c r="K1591" s="2"/>
      <c r="L1591" s="2"/>
      <c r="M1591" s="2"/>
      <c r="N1591" s="1">
        <v>0</v>
      </c>
      <c r="O1591" s="2"/>
      <c r="P1591" s="2"/>
      <c r="Q1591" s="2">
        <v>0</v>
      </c>
      <c r="R1591" s="6"/>
    </row>
    <row r="1592" spans="1:18" x14ac:dyDescent="0.25">
      <c r="A1592" s="2">
        <f t="shared" si="60"/>
        <v>1591</v>
      </c>
      <c r="B1592" s="2"/>
      <c r="C1592" s="2"/>
      <c r="D1592" s="2"/>
      <c r="E1592" s="2"/>
      <c r="F1592" s="2"/>
      <c r="G1592" s="2"/>
      <c r="H1592" s="2" t="str">
        <f t="shared" si="59"/>
        <v>0 г. 0 мес. 0 дн.</v>
      </c>
      <c r="I1592" s="2"/>
      <c r="J1592" s="2"/>
      <c r="K1592" s="2"/>
      <c r="L1592" s="2"/>
      <c r="M1592" s="2"/>
      <c r="N1592" s="1">
        <v>0</v>
      </c>
      <c r="O1592" s="2"/>
      <c r="P1592" s="2"/>
      <c r="Q1592" s="2">
        <v>0</v>
      </c>
      <c r="R1592" s="6"/>
    </row>
    <row r="1593" spans="1:18" x14ac:dyDescent="0.25">
      <c r="A1593" s="2">
        <f t="shared" si="60"/>
        <v>1592</v>
      </c>
      <c r="B1593" s="2"/>
      <c r="C1593" s="2"/>
      <c r="D1593" s="2"/>
      <c r="E1593" s="2"/>
      <c r="F1593" s="2"/>
      <c r="G1593" s="2"/>
      <c r="H1593" s="2" t="str">
        <f t="shared" si="59"/>
        <v>0 г. 0 мес. 0 дн.</v>
      </c>
      <c r="I1593" s="2"/>
      <c r="J1593" s="2"/>
      <c r="K1593" s="2"/>
      <c r="L1593" s="2"/>
      <c r="M1593" s="2"/>
      <c r="N1593" s="1">
        <v>0</v>
      </c>
      <c r="O1593" s="2"/>
      <c r="P1593" s="2"/>
      <c r="Q1593" s="2">
        <v>0</v>
      </c>
      <c r="R1593" s="6"/>
    </row>
    <row r="1594" spans="1:18" x14ac:dyDescent="0.25">
      <c r="A1594" s="2">
        <f t="shared" si="60"/>
        <v>1593</v>
      </c>
      <c r="B1594" s="2"/>
      <c r="C1594" s="2"/>
      <c r="D1594" s="2"/>
      <c r="E1594" s="2"/>
      <c r="F1594" s="2"/>
      <c r="G1594" s="2"/>
      <c r="H1594" s="2" t="str">
        <f t="shared" si="59"/>
        <v>0 г. 0 мес. 0 дн.</v>
      </c>
      <c r="I1594" s="2"/>
      <c r="J1594" s="2"/>
      <c r="K1594" s="2"/>
      <c r="L1594" s="2"/>
      <c r="M1594" s="2"/>
      <c r="N1594" s="1">
        <v>0</v>
      </c>
      <c r="O1594" s="2"/>
      <c r="P1594" s="2"/>
      <c r="Q1594" s="2">
        <v>0</v>
      </c>
      <c r="R1594" s="6"/>
    </row>
    <row r="1595" spans="1:18" x14ac:dyDescent="0.25">
      <c r="A1595" s="2">
        <f t="shared" si="60"/>
        <v>1594</v>
      </c>
      <c r="B1595" s="2"/>
      <c r="C1595" s="2"/>
      <c r="D1595" s="2"/>
      <c r="E1595" s="2"/>
      <c r="F1595" s="2"/>
      <c r="G1595" s="2"/>
      <c r="H1595" s="2" t="str">
        <f t="shared" si="59"/>
        <v>0 г. 0 мес. 0 дн.</v>
      </c>
      <c r="I1595" s="2"/>
      <c r="J1595" s="2"/>
      <c r="K1595" s="2"/>
      <c r="L1595" s="2"/>
      <c r="M1595" s="2"/>
      <c r="N1595" s="1">
        <v>0</v>
      </c>
      <c r="O1595" s="2"/>
      <c r="P1595" s="2"/>
      <c r="Q1595" s="2">
        <v>0</v>
      </c>
      <c r="R1595" s="6"/>
    </row>
    <row r="1596" spans="1:18" x14ac:dyDescent="0.25">
      <c r="A1596" s="2">
        <f t="shared" si="60"/>
        <v>1595</v>
      </c>
      <c r="B1596" s="2"/>
      <c r="C1596" s="2"/>
      <c r="D1596" s="2"/>
      <c r="E1596" s="2"/>
      <c r="F1596" s="2"/>
      <c r="G1596" s="2"/>
      <c r="H1596" s="2" t="str">
        <f t="shared" si="59"/>
        <v>0 г. 0 мес. 0 дн.</v>
      </c>
      <c r="I1596" s="2"/>
      <c r="J1596" s="2"/>
      <c r="K1596" s="2"/>
      <c r="L1596" s="2"/>
      <c r="M1596" s="2"/>
      <c r="N1596" s="1">
        <v>0</v>
      </c>
      <c r="O1596" s="2"/>
      <c r="P1596" s="2"/>
      <c r="Q1596" s="2">
        <v>0</v>
      </c>
      <c r="R1596" s="6"/>
    </row>
    <row r="1597" spans="1:18" x14ac:dyDescent="0.25">
      <c r="A1597" s="2">
        <f t="shared" si="60"/>
        <v>1596</v>
      </c>
      <c r="B1597" s="2"/>
      <c r="C1597" s="2"/>
      <c r="D1597" s="2"/>
      <c r="E1597" s="2"/>
      <c r="F1597" s="2"/>
      <c r="G1597" s="2"/>
      <c r="H1597" s="2" t="str">
        <f t="shared" si="59"/>
        <v>0 г. 0 мес. 0 дн.</v>
      </c>
      <c r="I1597" s="2"/>
      <c r="J1597" s="2"/>
      <c r="K1597" s="2"/>
      <c r="L1597" s="2"/>
      <c r="M1597" s="2"/>
      <c r="N1597" s="1">
        <v>0</v>
      </c>
      <c r="O1597" s="2"/>
      <c r="P1597" s="2"/>
      <c r="Q1597" s="2">
        <v>0</v>
      </c>
      <c r="R1597" s="6"/>
    </row>
    <row r="1598" spans="1:18" x14ac:dyDescent="0.25">
      <c r="A1598" s="2">
        <f t="shared" si="60"/>
        <v>1597</v>
      </c>
      <c r="B1598" s="2"/>
      <c r="C1598" s="2"/>
      <c r="D1598" s="2"/>
      <c r="E1598" s="2"/>
      <c r="F1598" s="2"/>
      <c r="G1598" s="2"/>
      <c r="H1598" s="2" t="str">
        <f t="shared" si="59"/>
        <v>0 г. 0 мес. 0 дн.</v>
      </c>
      <c r="I1598" s="2"/>
      <c r="J1598" s="2"/>
      <c r="K1598" s="2"/>
      <c r="L1598" s="2"/>
      <c r="M1598" s="2"/>
      <c r="N1598" s="1">
        <v>0</v>
      </c>
      <c r="O1598" s="2"/>
      <c r="P1598" s="2"/>
      <c r="Q1598" s="2">
        <v>0</v>
      </c>
      <c r="R1598" s="6"/>
    </row>
    <row r="1599" spans="1:18" x14ac:dyDescent="0.25">
      <c r="A1599" s="2">
        <f t="shared" si="60"/>
        <v>1598</v>
      </c>
      <c r="B1599" s="2"/>
      <c r="C1599" s="2"/>
      <c r="D1599" s="2"/>
      <c r="E1599" s="2"/>
      <c r="F1599" s="2"/>
      <c r="G1599" s="2"/>
      <c r="H1599" s="2" t="str">
        <f t="shared" si="59"/>
        <v>0 г. 0 мес. 0 дн.</v>
      </c>
      <c r="I1599" s="2"/>
      <c r="J1599" s="2"/>
      <c r="K1599" s="2"/>
      <c r="L1599" s="2"/>
      <c r="M1599" s="2"/>
      <c r="N1599" s="1">
        <v>0</v>
      </c>
      <c r="O1599" s="2"/>
      <c r="P1599" s="2"/>
      <c r="Q1599" s="2">
        <v>0</v>
      </c>
      <c r="R1599" s="6"/>
    </row>
    <row r="1600" spans="1:18" x14ac:dyDescent="0.25">
      <c r="A1600" s="2">
        <f t="shared" si="60"/>
        <v>1599</v>
      </c>
      <c r="B1600" s="2"/>
      <c r="C1600" s="2"/>
      <c r="D1600" s="2"/>
      <c r="E1600" s="2"/>
      <c r="F1600" s="2"/>
      <c r="G1600" s="2"/>
      <c r="H1600" s="2" t="str">
        <f t="shared" si="59"/>
        <v>0 г. 0 мес. 0 дн.</v>
      </c>
      <c r="I1600" s="2"/>
      <c r="J1600" s="2"/>
      <c r="K1600" s="2"/>
      <c r="L1600" s="2"/>
      <c r="M1600" s="2"/>
      <c r="N1600" s="1">
        <v>0</v>
      </c>
      <c r="O1600" s="2"/>
      <c r="P1600" s="2"/>
      <c r="Q1600" s="2">
        <v>0</v>
      </c>
      <c r="R1600" s="6"/>
    </row>
    <row r="1601" spans="1:18" x14ac:dyDescent="0.25">
      <c r="A1601" s="2">
        <f t="shared" si="60"/>
        <v>1600</v>
      </c>
      <c r="B1601" s="2"/>
      <c r="C1601" s="2"/>
      <c r="D1601" s="2"/>
      <c r="E1601" s="2"/>
      <c r="F1601" s="2"/>
      <c r="G1601" s="2"/>
      <c r="H1601" s="2" t="str">
        <f t="shared" si="59"/>
        <v>0 г. 0 мес. 0 дн.</v>
      </c>
      <c r="I1601" s="2"/>
      <c r="J1601" s="2"/>
      <c r="K1601" s="2"/>
      <c r="L1601" s="2"/>
      <c r="M1601" s="2"/>
      <c r="N1601" s="1">
        <v>0</v>
      </c>
      <c r="O1601" s="2"/>
      <c r="P1601" s="2"/>
      <c r="Q1601" s="2">
        <v>0</v>
      </c>
      <c r="R1601" s="6"/>
    </row>
    <row r="1602" spans="1:18" x14ac:dyDescent="0.25">
      <c r="A1602" s="2">
        <f t="shared" si="60"/>
        <v>1601</v>
      </c>
      <c r="B1602" s="2"/>
      <c r="C1602" s="2"/>
      <c r="D1602" s="2"/>
      <c r="E1602" s="2"/>
      <c r="F1602" s="2"/>
      <c r="G1602" s="2"/>
      <c r="H1602" s="2" t="str">
        <f t="shared" si="59"/>
        <v>0 г. 0 мес. 0 дн.</v>
      </c>
      <c r="I1602" s="2"/>
      <c r="J1602" s="2"/>
      <c r="K1602" s="2"/>
      <c r="L1602" s="2"/>
      <c r="M1602" s="2"/>
      <c r="N1602" s="1">
        <v>0</v>
      </c>
      <c r="O1602" s="2"/>
      <c r="P1602" s="2"/>
      <c r="Q1602" s="2">
        <v>0</v>
      </c>
      <c r="R1602" s="6"/>
    </row>
    <row r="1603" spans="1:18" x14ac:dyDescent="0.25">
      <c r="A1603" s="2">
        <f t="shared" si="60"/>
        <v>1602</v>
      </c>
      <c r="B1603" s="2"/>
      <c r="C1603" s="2"/>
      <c r="D1603" s="2"/>
      <c r="E1603" s="2"/>
      <c r="F1603" s="2"/>
      <c r="G1603" s="2"/>
      <c r="H1603" s="2" t="str">
        <f t="shared" si="59"/>
        <v>0 г. 0 мес. 0 дн.</v>
      </c>
      <c r="I1603" s="2"/>
      <c r="J1603" s="2"/>
      <c r="K1603" s="2"/>
      <c r="L1603" s="2"/>
      <c r="M1603" s="2"/>
      <c r="N1603" s="1">
        <v>0</v>
      </c>
      <c r="O1603" s="2"/>
      <c r="P1603" s="2"/>
      <c r="Q1603" s="2">
        <v>0</v>
      </c>
      <c r="R1603" s="6"/>
    </row>
    <row r="1604" spans="1:18" x14ac:dyDescent="0.25">
      <c r="A1604" s="2">
        <f t="shared" si="60"/>
        <v>1603</v>
      </c>
      <c r="B1604" s="2"/>
      <c r="C1604" s="2"/>
      <c r="D1604" s="2"/>
      <c r="E1604" s="2"/>
      <c r="F1604" s="2"/>
      <c r="G1604" s="2"/>
      <c r="H1604" s="2" t="str">
        <f t="shared" ref="H1604:H1667" si="61">DATEDIF(G1604,D1604,"y") &amp; " г. " &amp; DATEDIF(G1604,D1604,"ym") &amp; " мес. " &amp; DATEDIF(G1604,D1604,"md") &amp; " дн."</f>
        <v>0 г. 0 мес. 0 дн.</v>
      </c>
      <c r="I1604" s="2"/>
      <c r="J1604" s="2"/>
      <c r="K1604" s="2"/>
      <c r="L1604" s="2"/>
      <c r="M1604" s="2"/>
      <c r="N1604" s="1">
        <v>0</v>
      </c>
      <c r="O1604" s="2"/>
      <c r="P1604" s="2"/>
      <c r="Q1604" s="2">
        <v>0</v>
      </c>
      <c r="R1604" s="6"/>
    </row>
    <row r="1605" spans="1:18" x14ac:dyDescent="0.25">
      <c r="A1605" s="2">
        <f t="shared" si="60"/>
        <v>1604</v>
      </c>
      <c r="B1605" s="2"/>
      <c r="C1605" s="2"/>
      <c r="D1605" s="2"/>
      <c r="E1605" s="2"/>
      <c r="F1605" s="2"/>
      <c r="G1605" s="2"/>
      <c r="H1605" s="2" t="str">
        <f t="shared" si="61"/>
        <v>0 г. 0 мес. 0 дн.</v>
      </c>
      <c r="I1605" s="2"/>
      <c r="J1605" s="2"/>
      <c r="K1605" s="2"/>
      <c r="L1605" s="2"/>
      <c r="M1605" s="2"/>
      <c r="N1605" s="1">
        <v>0</v>
      </c>
      <c r="O1605" s="2"/>
      <c r="P1605" s="2"/>
      <c r="Q1605" s="2">
        <v>0</v>
      </c>
      <c r="R1605" s="6"/>
    </row>
    <row r="1606" spans="1:18" x14ac:dyDescent="0.25">
      <c r="A1606" s="2">
        <f t="shared" si="60"/>
        <v>1605</v>
      </c>
      <c r="B1606" s="2"/>
      <c r="C1606" s="2"/>
      <c r="D1606" s="2"/>
      <c r="E1606" s="2"/>
      <c r="F1606" s="2"/>
      <c r="G1606" s="2"/>
      <c r="H1606" s="2" t="str">
        <f t="shared" si="61"/>
        <v>0 г. 0 мес. 0 дн.</v>
      </c>
      <c r="I1606" s="2"/>
      <c r="J1606" s="2"/>
      <c r="K1606" s="2"/>
      <c r="L1606" s="2"/>
      <c r="M1606" s="2"/>
      <c r="N1606" s="1">
        <v>0</v>
      </c>
      <c r="O1606" s="2"/>
      <c r="P1606" s="2"/>
      <c r="Q1606" s="2">
        <v>0</v>
      </c>
      <c r="R1606" s="6"/>
    </row>
    <row r="1607" spans="1:18" x14ac:dyDescent="0.25">
      <c r="A1607" s="2">
        <f t="shared" si="60"/>
        <v>1606</v>
      </c>
      <c r="B1607" s="2"/>
      <c r="C1607" s="2"/>
      <c r="D1607" s="2"/>
      <c r="E1607" s="2"/>
      <c r="F1607" s="2"/>
      <c r="G1607" s="2"/>
      <c r="H1607" s="2" t="str">
        <f t="shared" si="61"/>
        <v>0 г. 0 мес. 0 дн.</v>
      </c>
      <c r="I1607" s="2"/>
      <c r="J1607" s="2"/>
      <c r="K1607" s="2"/>
      <c r="L1607" s="2"/>
      <c r="M1607" s="2"/>
      <c r="N1607" s="1">
        <v>0</v>
      </c>
      <c r="O1607" s="2"/>
      <c r="P1607" s="2"/>
      <c r="Q1607" s="2">
        <v>0</v>
      </c>
      <c r="R1607" s="6"/>
    </row>
    <row r="1608" spans="1:18" x14ac:dyDescent="0.25">
      <c r="A1608" s="2">
        <f t="shared" si="60"/>
        <v>1607</v>
      </c>
      <c r="B1608" s="2"/>
      <c r="C1608" s="2"/>
      <c r="D1608" s="2"/>
      <c r="E1608" s="2"/>
      <c r="F1608" s="2"/>
      <c r="G1608" s="2"/>
      <c r="H1608" s="2" t="str">
        <f t="shared" si="61"/>
        <v>0 г. 0 мес. 0 дн.</v>
      </c>
      <c r="I1608" s="2"/>
      <c r="J1608" s="2"/>
      <c r="K1608" s="2"/>
      <c r="L1608" s="2"/>
      <c r="M1608" s="2"/>
      <c r="N1608" s="1">
        <v>0</v>
      </c>
      <c r="O1608" s="2"/>
      <c r="P1608" s="2"/>
      <c r="Q1608" s="2">
        <v>0</v>
      </c>
      <c r="R1608" s="6"/>
    </row>
    <row r="1609" spans="1:18" x14ac:dyDescent="0.25">
      <c r="A1609" s="2">
        <f t="shared" si="60"/>
        <v>1608</v>
      </c>
      <c r="B1609" s="2"/>
      <c r="C1609" s="2"/>
      <c r="D1609" s="2"/>
      <c r="E1609" s="2"/>
      <c r="F1609" s="2"/>
      <c r="G1609" s="2"/>
      <c r="H1609" s="2" t="str">
        <f t="shared" si="61"/>
        <v>0 г. 0 мес. 0 дн.</v>
      </c>
      <c r="I1609" s="2"/>
      <c r="J1609" s="2"/>
      <c r="K1609" s="2"/>
      <c r="L1609" s="2"/>
      <c r="M1609" s="2"/>
      <c r="N1609" s="1">
        <v>0</v>
      </c>
      <c r="O1609" s="2"/>
      <c r="P1609" s="2"/>
      <c r="Q1609" s="2">
        <v>0</v>
      </c>
      <c r="R1609" s="6"/>
    </row>
    <row r="1610" spans="1:18" x14ac:dyDescent="0.25">
      <c r="A1610" s="2">
        <f t="shared" si="60"/>
        <v>1609</v>
      </c>
      <c r="B1610" s="2"/>
      <c r="C1610" s="2"/>
      <c r="D1610" s="2"/>
      <c r="E1610" s="2"/>
      <c r="F1610" s="2"/>
      <c r="G1610" s="2"/>
      <c r="H1610" s="2" t="str">
        <f t="shared" si="61"/>
        <v>0 г. 0 мес. 0 дн.</v>
      </c>
      <c r="I1610" s="2"/>
      <c r="J1610" s="2"/>
      <c r="K1610" s="2"/>
      <c r="L1610" s="2"/>
      <c r="M1610" s="2"/>
      <c r="N1610" s="1">
        <v>0</v>
      </c>
      <c r="O1610" s="2"/>
      <c r="P1610" s="2"/>
      <c r="Q1610" s="2">
        <v>0</v>
      </c>
      <c r="R1610" s="6"/>
    </row>
    <row r="1611" spans="1:18" x14ac:dyDescent="0.25">
      <c r="A1611" s="2">
        <f t="shared" si="60"/>
        <v>1610</v>
      </c>
      <c r="B1611" s="2"/>
      <c r="C1611" s="2"/>
      <c r="D1611" s="2"/>
      <c r="E1611" s="2"/>
      <c r="F1611" s="2"/>
      <c r="G1611" s="2"/>
      <c r="H1611" s="2" t="str">
        <f t="shared" si="61"/>
        <v>0 г. 0 мес. 0 дн.</v>
      </c>
      <c r="I1611" s="2"/>
      <c r="J1611" s="2"/>
      <c r="K1611" s="2"/>
      <c r="L1611" s="2"/>
      <c r="M1611" s="2"/>
      <c r="N1611" s="1">
        <v>0</v>
      </c>
      <c r="O1611" s="2"/>
      <c r="P1611" s="2"/>
      <c r="Q1611" s="2">
        <v>0</v>
      </c>
      <c r="R1611" s="6"/>
    </row>
    <row r="1612" spans="1:18" x14ac:dyDescent="0.25">
      <c r="A1612" s="2">
        <f t="shared" si="60"/>
        <v>1611</v>
      </c>
      <c r="B1612" s="2"/>
      <c r="C1612" s="2"/>
      <c r="D1612" s="2"/>
      <c r="E1612" s="2"/>
      <c r="F1612" s="2"/>
      <c r="G1612" s="2"/>
      <c r="H1612" s="2" t="str">
        <f t="shared" si="61"/>
        <v>0 г. 0 мес. 0 дн.</v>
      </c>
      <c r="I1612" s="2"/>
      <c r="J1612" s="2"/>
      <c r="K1612" s="2"/>
      <c r="L1612" s="2"/>
      <c r="M1612" s="2"/>
      <c r="N1612" s="1">
        <v>0</v>
      </c>
      <c r="O1612" s="2"/>
      <c r="P1612" s="2"/>
      <c r="Q1612" s="2">
        <v>0</v>
      </c>
      <c r="R1612" s="6"/>
    </row>
    <row r="1613" spans="1:18" x14ac:dyDescent="0.25">
      <c r="A1613" s="2">
        <f t="shared" si="60"/>
        <v>1612</v>
      </c>
      <c r="B1613" s="2"/>
      <c r="C1613" s="2"/>
      <c r="D1613" s="2"/>
      <c r="E1613" s="2"/>
      <c r="F1613" s="2"/>
      <c r="G1613" s="2"/>
      <c r="H1613" s="2" t="str">
        <f t="shared" si="61"/>
        <v>0 г. 0 мес. 0 дн.</v>
      </c>
      <c r="I1613" s="2"/>
      <c r="J1613" s="2"/>
      <c r="K1613" s="2"/>
      <c r="L1613" s="2"/>
      <c r="M1613" s="2"/>
      <c r="N1613" s="1">
        <v>0</v>
      </c>
      <c r="O1613" s="2"/>
      <c r="P1613" s="2"/>
      <c r="Q1613" s="2">
        <v>0</v>
      </c>
      <c r="R1613" s="6"/>
    </row>
    <row r="1614" spans="1:18" x14ac:dyDescent="0.25">
      <c r="A1614" s="2">
        <f t="shared" si="60"/>
        <v>1613</v>
      </c>
      <c r="B1614" s="2"/>
      <c r="C1614" s="2"/>
      <c r="D1614" s="2"/>
      <c r="E1614" s="2"/>
      <c r="F1614" s="2"/>
      <c r="G1614" s="2"/>
      <c r="H1614" s="2" t="str">
        <f t="shared" si="61"/>
        <v>0 г. 0 мес. 0 дн.</v>
      </c>
      <c r="I1614" s="2"/>
      <c r="J1614" s="2"/>
      <c r="K1614" s="2"/>
      <c r="L1614" s="2"/>
      <c r="M1614" s="2"/>
      <c r="N1614" s="1">
        <v>0</v>
      </c>
      <c r="O1614" s="2"/>
      <c r="P1614" s="2"/>
      <c r="Q1614" s="2">
        <v>0</v>
      </c>
      <c r="R1614" s="6"/>
    </row>
    <row r="1615" spans="1:18" x14ac:dyDescent="0.25">
      <c r="A1615" s="2">
        <f t="shared" si="60"/>
        <v>1614</v>
      </c>
      <c r="B1615" s="2"/>
      <c r="C1615" s="2"/>
      <c r="D1615" s="2"/>
      <c r="E1615" s="2"/>
      <c r="F1615" s="2"/>
      <c r="G1615" s="2"/>
      <c r="H1615" s="2" t="str">
        <f t="shared" si="61"/>
        <v>0 г. 0 мес. 0 дн.</v>
      </c>
      <c r="I1615" s="2"/>
      <c r="J1615" s="2"/>
      <c r="K1615" s="2"/>
      <c r="L1615" s="2"/>
      <c r="M1615" s="2"/>
      <c r="N1615" s="1">
        <v>0</v>
      </c>
      <c r="O1615" s="2"/>
      <c r="P1615" s="2"/>
      <c r="Q1615" s="2">
        <v>0</v>
      </c>
      <c r="R1615" s="6"/>
    </row>
    <row r="1616" spans="1:18" x14ac:dyDescent="0.25">
      <c r="A1616" s="2">
        <f t="shared" si="60"/>
        <v>1615</v>
      </c>
      <c r="B1616" s="2"/>
      <c r="C1616" s="2"/>
      <c r="D1616" s="2"/>
      <c r="E1616" s="2"/>
      <c r="F1616" s="2"/>
      <c r="G1616" s="2"/>
      <c r="H1616" s="2" t="str">
        <f t="shared" si="61"/>
        <v>0 г. 0 мес. 0 дн.</v>
      </c>
      <c r="I1616" s="2"/>
      <c r="J1616" s="2"/>
      <c r="K1616" s="2"/>
      <c r="L1616" s="2"/>
      <c r="M1616" s="2"/>
      <c r="N1616" s="1">
        <v>0</v>
      </c>
      <c r="O1616" s="2"/>
      <c r="P1616" s="2"/>
      <c r="Q1616" s="2">
        <v>0</v>
      </c>
      <c r="R1616" s="6"/>
    </row>
    <row r="1617" spans="1:18" x14ac:dyDescent="0.25">
      <c r="A1617" s="2">
        <f t="shared" si="60"/>
        <v>1616</v>
      </c>
      <c r="B1617" s="2"/>
      <c r="C1617" s="2"/>
      <c r="D1617" s="2"/>
      <c r="E1617" s="2"/>
      <c r="F1617" s="2"/>
      <c r="G1617" s="2"/>
      <c r="H1617" s="2" t="str">
        <f t="shared" si="61"/>
        <v>0 г. 0 мес. 0 дн.</v>
      </c>
      <c r="I1617" s="2"/>
      <c r="J1617" s="2"/>
      <c r="K1617" s="2"/>
      <c r="L1617" s="2"/>
      <c r="M1617" s="2"/>
      <c r="N1617" s="1">
        <v>0</v>
      </c>
      <c r="O1617" s="2"/>
      <c r="P1617" s="2"/>
      <c r="Q1617" s="2">
        <v>0</v>
      </c>
      <c r="R1617" s="6"/>
    </row>
    <row r="1618" spans="1:18" x14ac:dyDescent="0.25">
      <c r="A1618" s="2">
        <f t="shared" si="60"/>
        <v>1617</v>
      </c>
      <c r="B1618" s="2"/>
      <c r="C1618" s="2"/>
      <c r="D1618" s="2"/>
      <c r="E1618" s="2"/>
      <c r="F1618" s="2"/>
      <c r="G1618" s="2"/>
      <c r="H1618" s="2" t="str">
        <f t="shared" si="61"/>
        <v>0 г. 0 мес. 0 дн.</v>
      </c>
      <c r="I1618" s="2"/>
      <c r="J1618" s="2"/>
      <c r="K1618" s="2"/>
      <c r="L1618" s="2"/>
      <c r="M1618" s="2"/>
      <c r="N1618" s="1">
        <v>0</v>
      </c>
      <c r="O1618" s="2"/>
      <c r="P1618" s="2"/>
      <c r="Q1618" s="2">
        <v>0</v>
      </c>
      <c r="R1618" s="6"/>
    </row>
    <row r="1619" spans="1:18" x14ac:dyDescent="0.25">
      <c r="A1619" s="2">
        <f t="shared" si="60"/>
        <v>1618</v>
      </c>
      <c r="B1619" s="2"/>
      <c r="C1619" s="2"/>
      <c r="D1619" s="2"/>
      <c r="E1619" s="2"/>
      <c r="F1619" s="2"/>
      <c r="G1619" s="2"/>
      <c r="H1619" s="2" t="str">
        <f t="shared" si="61"/>
        <v>0 г. 0 мес. 0 дн.</v>
      </c>
      <c r="I1619" s="2"/>
      <c r="J1619" s="2"/>
      <c r="K1619" s="2"/>
      <c r="L1619" s="2"/>
      <c r="M1619" s="2"/>
      <c r="N1619" s="1">
        <v>0</v>
      </c>
      <c r="O1619" s="2"/>
      <c r="P1619" s="2"/>
      <c r="Q1619" s="2">
        <v>0</v>
      </c>
      <c r="R1619" s="6"/>
    </row>
    <row r="1620" spans="1:18" x14ac:dyDescent="0.25">
      <c r="A1620" s="2">
        <f t="shared" si="60"/>
        <v>1619</v>
      </c>
      <c r="B1620" s="2"/>
      <c r="C1620" s="2"/>
      <c r="D1620" s="2"/>
      <c r="E1620" s="2"/>
      <c r="F1620" s="2"/>
      <c r="G1620" s="2"/>
      <c r="H1620" s="2" t="str">
        <f t="shared" si="61"/>
        <v>0 г. 0 мес. 0 дн.</v>
      </c>
      <c r="I1620" s="2"/>
      <c r="J1620" s="2"/>
      <c r="K1620" s="2"/>
      <c r="L1620" s="2"/>
      <c r="M1620" s="2"/>
      <c r="N1620" s="1">
        <v>0</v>
      </c>
      <c r="O1620" s="2"/>
      <c r="P1620" s="2"/>
      <c r="Q1620" s="2">
        <v>0</v>
      </c>
      <c r="R1620" s="6"/>
    </row>
    <row r="1621" spans="1:18" x14ac:dyDescent="0.25">
      <c r="A1621" s="2">
        <f t="shared" si="60"/>
        <v>1620</v>
      </c>
      <c r="B1621" s="2"/>
      <c r="C1621" s="2"/>
      <c r="D1621" s="2"/>
      <c r="E1621" s="2"/>
      <c r="F1621" s="2"/>
      <c r="G1621" s="2"/>
      <c r="H1621" s="2" t="str">
        <f t="shared" si="61"/>
        <v>0 г. 0 мес. 0 дн.</v>
      </c>
      <c r="I1621" s="2"/>
      <c r="J1621" s="2"/>
      <c r="K1621" s="2"/>
      <c r="L1621" s="2"/>
      <c r="M1621" s="2"/>
      <c r="N1621" s="1">
        <v>0</v>
      </c>
      <c r="O1621" s="2"/>
      <c r="P1621" s="2"/>
      <c r="Q1621" s="2">
        <v>0</v>
      </c>
      <c r="R1621" s="6"/>
    </row>
    <row r="1622" spans="1:18" x14ac:dyDescent="0.25">
      <c r="A1622" s="2">
        <f t="shared" si="60"/>
        <v>1621</v>
      </c>
      <c r="B1622" s="2"/>
      <c r="C1622" s="2"/>
      <c r="D1622" s="2"/>
      <c r="E1622" s="2"/>
      <c r="F1622" s="2"/>
      <c r="G1622" s="2"/>
      <c r="H1622" s="2" t="str">
        <f t="shared" si="61"/>
        <v>0 г. 0 мес. 0 дн.</v>
      </c>
      <c r="I1622" s="2"/>
      <c r="J1622" s="2"/>
      <c r="K1622" s="2"/>
      <c r="L1622" s="2"/>
      <c r="M1622" s="2"/>
      <c r="N1622" s="1">
        <v>0</v>
      </c>
      <c r="O1622" s="2"/>
      <c r="P1622" s="2"/>
      <c r="Q1622" s="2">
        <v>0</v>
      </c>
      <c r="R1622" s="6"/>
    </row>
    <row r="1623" spans="1:18" x14ac:dyDescent="0.25">
      <c r="A1623" s="2">
        <f t="shared" si="60"/>
        <v>1622</v>
      </c>
      <c r="B1623" s="2"/>
      <c r="C1623" s="2"/>
      <c r="D1623" s="2"/>
      <c r="E1623" s="2"/>
      <c r="F1623" s="2"/>
      <c r="G1623" s="2"/>
      <c r="H1623" s="2" t="str">
        <f t="shared" si="61"/>
        <v>0 г. 0 мес. 0 дн.</v>
      </c>
      <c r="I1623" s="2"/>
      <c r="J1623" s="2"/>
      <c r="K1623" s="2"/>
      <c r="L1623" s="2"/>
      <c r="M1623" s="2"/>
      <c r="N1623" s="1">
        <v>0</v>
      </c>
      <c r="O1623" s="2"/>
      <c r="P1623" s="2"/>
      <c r="Q1623" s="2">
        <v>0</v>
      </c>
      <c r="R1623" s="6"/>
    </row>
    <row r="1624" spans="1:18" x14ac:dyDescent="0.25">
      <c r="A1624" s="2">
        <f t="shared" si="60"/>
        <v>1623</v>
      </c>
      <c r="B1624" s="2"/>
      <c r="C1624" s="2"/>
      <c r="D1624" s="2"/>
      <c r="E1624" s="2"/>
      <c r="F1624" s="2"/>
      <c r="G1624" s="2"/>
      <c r="H1624" s="2" t="str">
        <f t="shared" si="61"/>
        <v>0 г. 0 мес. 0 дн.</v>
      </c>
      <c r="I1624" s="2"/>
      <c r="J1624" s="2"/>
      <c r="K1624" s="2"/>
      <c r="L1624" s="2"/>
      <c r="M1624" s="2"/>
      <c r="N1624" s="1">
        <v>0</v>
      </c>
      <c r="O1624" s="2"/>
      <c r="P1624" s="2"/>
      <c r="Q1624" s="2">
        <v>0</v>
      </c>
      <c r="R1624" s="6"/>
    </row>
    <row r="1625" spans="1:18" x14ac:dyDescent="0.25">
      <c r="A1625" s="2">
        <f t="shared" si="60"/>
        <v>1624</v>
      </c>
      <c r="B1625" s="2"/>
      <c r="C1625" s="2"/>
      <c r="D1625" s="2"/>
      <c r="E1625" s="2"/>
      <c r="F1625" s="2"/>
      <c r="G1625" s="2"/>
      <c r="H1625" s="2" t="str">
        <f t="shared" si="61"/>
        <v>0 г. 0 мес. 0 дн.</v>
      </c>
      <c r="I1625" s="2"/>
      <c r="J1625" s="2"/>
      <c r="K1625" s="2"/>
      <c r="L1625" s="2"/>
      <c r="M1625" s="2"/>
      <c r="N1625" s="1">
        <v>0</v>
      </c>
      <c r="O1625" s="2"/>
      <c r="P1625" s="2"/>
      <c r="Q1625" s="2">
        <v>0</v>
      </c>
      <c r="R1625" s="6"/>
    </row>
    <row r="1626" spans="1:18" x14ac:dyDescent="0.25">
      <c r="A1626" s="2">
        <f t="shared" si="60"/>
        <v>1625</v>
      </c>
      <c r="B1626" s="2"/>
      <c r="C1626" s="2"/>
      <c r="D1626" s="2"/>
      <c r="E1626" s="2"/>
      <c r="F1626" s="2"/>
      <c r="G1626" s="2"/>
      <c r="H1626" s="2" t="str">
        <f t="shared" si="61"/>
        <v>0 г. 0 мес. 0 дн.</v>
      </c>
      <c r="I1626" s="2"/>
      <c r="J1626" s="2"/>
      <c r="K1626" s="2"/>
      <c r="L1626" s="2"/>
      <c r="M1626" s="2"/>
      <c r="N1626" s="1">
        <v>0</v>
      </c>
      <c r="O1626" s="2"/>
      <c r="P1626" s="2"/>
      <c r="Q1626" s="2">
        <v>0</v>
      </c>
      <c r="R1626" s="6"/>
    </row>
    <row r="1627" spans="1:18" x14ac:dyDescent="0.25">
      <c r="A1627" s="2">
        <f t="shared" si="60"/>
        <v>1626</v>
      </c>
      <c r="B1627" s="2"/>
      <c r="C1627" s="2"/>
      <c r="D1627" s="2"/>
      <c r="E1627" s="2"/>
      <c r="F1627" s="2"/>
      <c r="G1627" s="2"/>
      <c r="H1627" s="2" t="str">
        <f t="shared" si="61"/>
        <v>0 г. 0 мес. 0 дн.</v>
      </c>
      <c r="I1627" s="2"/>
      <c r="J1627" s="2"/>
      <c r="K1627" s="2"/>
      <c r="L1627" s="2"/>
      <c r="M1627" s="2"/>
      <c r="N1627" s="1">
        <v>0</v>
      </c>
      <c r="O1627" s="2"/>
      <c r="P1627" s="2"/>
      <c r="Q1627" s="2">
        <v>0</v>
      </c>
      <c r="R1627" s="6"/>
    </row>
    <row r="1628" spans="1:18" x14ac:dyDescent="0.25">
      <c r="A1628" s="2">
        <f t="shared" si="60"/>
        <v>1627</v>
      </c>
      <c r="B1628" s="2"/>
      <c r="C1628" s="2"/>
      <c r="D1628" s="2"/>
      <c r="E1628" s="2"/>
      <c r="F1628" s="2"/>
      <c r="G1628" s="2"/>
      <c r="H1628" s="2" t="str">
        <f t="shared" si="61"/>
        <v>0 г. 0 мес. 0 дн.</v>
      </c>
      <c r="I1628" s="2"/>
      <c r="J1628" s="2"/>
      <c r="K1628" s="2"/>
      <c r="L1628" s="2"/>
      <c r="M1628" s="2"/>
      <c r="N1628" s="1">
        <v>0</v>
      </c>
      <c r="O1628" s="2"/>
      <c r="P1628" s="2"/>
      <c r="Q1628" s="2">
        <v>0</v>
      </c>
      <c r="R1628" s="6"/>
    </row>
    <row r="1629" spans="1:18" x14ac:dyDescent="0.25">
      <c r="A1629" s="2">
        <f t="shared" ref="A1629:A1692" si="62">ROW(A1628)</f>
        <v>1628</v>
      </c>
      <c r="B1629" s="2"/>
      <c r="C1629" s="2"/>
      <c r="D1629" s="2"/>
      <c r="E1629" s="2"/>
      <c r="F1629" s="2"/>
      <c r="G1629" s="2"/>
      <c r="H1629" s="2" t="str">
        <f t="shared" si="61"/>
        <v>0 г. 0 мес. 0 дн.</v>
      </c>
      <c r="I1629" s="2"/>
      <c r="J1629" s="2"/>
      <c r="K1629" s="2"/>
      <c r="L1629" s="2"/>
      <c r="M1629" s="2"/>
      <c r="N1629" s="1">
        <v>0</v>
      </c>
      <c r="O1629" s="2"/>
      <c r="P1629" s="2"/>
      <c r="Q1629" s="2">
        <v>0</v>
      </c>
      <c r="R1629" s="6"/>
    </row>
    <row r="1630" spans="1:18" x14ac:dyDescent="0.25">
      <c r="A1630" s="2">
        <f t="shared" si="62"/>
        <v>1629</v>
      </c>
      <c r="B1630" s="2"/>
      <c r="C1630" s="2"/>
      <c r="D1630" s="2"/>
      <c r="E1630" s="2"/>
      <c r="F1630" s="2"/>
      <c r="G1630" s="2"/>
      <c r="H1630" s="2" t="str">
        <f t="shared" si="61"/>
        <v>0 г. 0 мес. 0 дн.</v>
      </c>
      <c r="I1630" s="2"/>
      <c r="J1630" s="2"/>
      <c r="K1630" s="2"/>
      <c r="L1630" s="2"/>
      <c r="M1630" s="2"/>
      <c r="N1630" s="1">
        <v>0</v>
      </c>
      <c r="O1630" s="2"/>
      <c r="P1630" s="2"/>
      <c r="Q1630" s="2">
        <v>0</v>
      </c>
      <c r="R1630" s="6"/>
    </row>
    <row r="1631" spans="1:18" x14ac:dyDescent="0.25">
      <c r="A1631" s="2">
        <f t="shared" si="62"/>
        <v>1630</v>
      </c>
      <c r="B1631" s="2"/>
      <c r="C1631" s="2"/>
      <c r="D1631" s="2"/>
      <c r="E1631" s="2"/>
      <c r="F1631" s="2"/>
      <c r="G1631" s="2"/>
      <c r="H1631" s="2" t="str">
        <f t="shared" si="61"/>
        <v>0 г. 0 мес. 0 дн.</v>
      </c>
      <c r="I1631" s="2"/>
      <c r="J1631" s="2"/>
      <c r="K1631" s="2"/>
      <c r="L1631" s="2"/>
      <c r="M1631" s="2"/>
      <c r="N1631" s="1">
        <v>0</v>
      </c>
      <c r="O1631" s="2"/>
      <c r="P1631" s="2"/>
      <c r="Q1631" s="2">
        <v>0</v>
      </c>
      <c r="R1631" s="6"/>
    </row>
    <row r="1632" spans="1:18" x14ac:dyDescent="0.25">
      <c r="A1632" s="2">
        <f t="shared" si="62"/>
        <v>1631</v>
      </c>
      <c r="B1632" s="2"/>
      <c r="C1632" s="2"/>
      <c r="D1632" s="2"/>
      <c r="E1632" s="2"/>
      <c r="F1632" s="2"/>
      <c r="G1632" s="2"/>
      <c r="H1632" s="2" t="str">
        <f t="shared" si="61"/>
        <v>0 г. 0 мес. 0 дн.</v>
      </c>
      <c r="I1632" s="2"/>
      <c r="J1632" s="2"/>
      <c r="K1632" s="2"/>
      <c r="L1632" s="2"/>
      <c r="M1632" s="2"/>
      <c r="N1632" s="1">
        <v>0</v>
      </c>
      <c r="O1632" s="2"/>
      <c r="P1632" s="2"/>
      <c r="Q1632" s="2">
        <v>0</v>
      </c>
      <c r="R1632" s="6"/>
    </row>
    <row r="1633" spans="1:18" x14ac:dyDescent="0.25">
      <c r="A1633" s="2">
        <f t="shared" si="62"/>
        <v>1632</v>
      </c>
      <c r="B1633" s="2"/>
      <c r="C1633" s="2"/>
      <c r="D1633" s="2"/>
      <c r="E1633" s="2"/>
      <c r="F1633" s="2"/>
      <c r="G1633" s="2"/>
      <c r="H1633" s="2" t="str">
        <f t="shared" si="61"/>
        <v>0 г. 0 мес. 0 дн.</v>
      </c>
      <c r="I1633" s="2"/>
      <c r="J1633" s="2"/>
      <c r="K1633" s="2"/>
      <c r="L1633" s="2"/>
      <c r="M1633" s="2"/>
      <c r="N1633" s="1">
        <v>0</v>
      </c>
      <c r="O1633" s="2"/>
      <c r="P1633" s="2"/>
      <c r="Q1633" s="2">
        <v>0</v>
      </c>
      <c r="R1633" s="6"/>
    </row>
    <row r="1634" spans="1:18" x14ac:dyDescent="0.25">
      <c r="A1634" s="2">
        <f t="shared" si="62"/>
        <v>1633</v>
      </c>
      <c r="B1634" s="2"/>
      <c r="C1634" s="2"/>
      <c r="D1634" s="2"/>
      <c r="E1634" s="2"/>
      <c r="F1634" s="2"/>
      <c r="G1634" s="2"/>
      <c r="H1634" s="2" t="str">
        <f t="shared" si="61"/>
        <v>0 г. 0 мес. 0 дн.</v>
      </c>
      <c r="I1634" s="2"/>
      <c r="J1634" s="2"/>
      <c r="K1634" s="2"/>
      <c r="L1634" s="2"/>
      <c r="M1634" s="2"/>
      <c r="N1634" s="1">
        <v>0</v>
      </c>
      <c r="O1634" s="2"/>
      <c r="P1634" s="2"/>
      <c r="Q1634" s="2">
        <v>0</v>
      </c>
      <c r="R1634" s="6"/>
    </row>
    <row r="1635" spans="1:18" x14ac:dyDescent="0.25">
      <c r="A1635" s="2">
        <f t="shared" si="62"/>
        <v>1634</v>
      </c>
      <c r="B1635" s="2"/>
      <c r="C1635" s="2"/>
      <c r="D1635" s="2"/>
      <c r="E1635" s="2"/>
      <c r="F1635" s="2"/>
      <c r="G1635" s="2"/>
      <c r="H1635" s="2" t="str">
        <f t="shared" si="61"/>
        <v>0 г. 0 мес. 0 дн.</v>
      </c>
      <c r="I1635" s="2"/>
      <c r="J1635" s="2"/>
      <c r="K1635" s="2"/>
      <c r="L1635" s="2"/>
      <c r="M1635" s="2"/>
      <c r="N1635" s="1">
        <v>0</v>
      </c>
      <c r="O1635" s="2"/>
      <c r="P1635" s="2"/>
      <c r="Q1635" s="2">
        <v>0</v>
      </c>
      <c r="R1635" s="6"/>
    </row>
    <row r="1636" spans="1:18" x14ac:dyDescent="0.25">
      <c r="A1636" s="2">
        <f t="shared" si="62"/>
        <v>1635</v>
      </c>
      <c r="B1636" s="2"/>
      <c r="C1636" s="2"/>
      <c r="D1636" s="2"/>
      <c r="E1636" s="2"/>
      <c r="F1636" s="2"/>
      <c r="G1636" s="2"/>
      <c r="H1636" s="2" t="str">
        <f t="shared" si="61"/>
        <v>0 г. 0 мес. 0 дн.</v>
      </c>
      <c r="I1636" s="2"/>
      <c r="J1636" s="2"/>
      <c r="K1636" s="2"/>
      <c r="L1636" s="2"/>
      <c r="M1636" s="2"/>
      <c r="N1636" s="1">
        <v>0</v>
      </c>
      <c r="O1636" s="2"/>
      <c r="P1636" s="2"/>
      <c r="Q1636" s="2">
        <v>0</v>
      </c>
      <c r="R1636" s="6"/>
    </row>
    <row r="1637" spans="1:18" x14ac:dyDescent="0.25">
      <c r="A1637" s="2">
        <f t="shared" si="62"/>
        <v>1636</v>
      </c>
      <c r="B1637" s="2"/>
      <c r="C1637" s="2"/>
      <c r="D1637" s="2"/>
      <c r="E1637" s="2"/>
      <c r="F1637" s="2"/>
      <c r="G1637" s="2"/>
      <c r="H1637" s="2" t="str">
        <f t="shared" si="61"/>
        <v>0 г. 0 мес. 0 дн.</v>
      </c>
      <c r="I1637" s="2"/>
      <c r="J1637" s="2"/>
      <c r="K1637" s="2"/>
      <c r="L1637" s="2"/>
      <c r="M1637" s="2"/>
      <c r="N1637" s="1">
        <v>0</v>
      </c>
      <c r="O1637" s="2"/>
      <c r="P1637" s="2"/>
      <c r="Q1637" s="2">
        <v>0</v>
      </c>
      <c r="R1637" s="6"/>
    </row>
    <row r="1638" spans="1:18" x14ac:dyDescent="0.25">
      <c r="A1638" s="2">
        <f t="shared" si="62"/>
        <v>1637</v>
      </c>
      <c r="B1638" s="2"/>
      <c r="C1638" s="2"/>
      <c r="D1638" s="2"/>
      <c r="E1638" s="2"/>
      <c r="F1638" s="2"/>
      <c r="G1638" s="2"/>
      <c r="H1638" s="2" t="str">
        <f t="shared" si="61"/>
        <v>0 г. 0 мес. 0 дн.</v>
      </c>
      <c r="I1638" s="2"/>
      <c r="J1638" s="2"/>
      <c r="K1638" s="2"/>
      <c r="L1638" s="2"/>
      <c r="M1638" s="2"/>
      <c r="N1638" s="1">
        <v>0</v>
      </c>
      <c r="O1638" s="2"/>
      <c r="P1638" s="2"/>
      <c r="Q1638" s="2">
        <v>0</v>
      </c>
      <c r="R1638" s="6"/>
    </row>
    <row r="1639" spans="1:18" x14ac:dyDescent="0.25">
      <c r="A1639" s="2">
        <f t="shared" si="62"/>
        <v>1638</v>
      </c>
      <c r="B1639" s="2"/>
      <c r="C1639" s="2"/>
      <c r="D1639" s="2"/>
      <c r="E1639" s="2"/>
      <c r="F1639" s="2"/>
      <c r="G1639" s="2"/>
      <c r="H1639" s="2" t="str">
        <f t="shared" si="61"/>
        <v>0 г. 0 мес. 0 дн.</v>
      </c>
      <c r="I1639" s="2"/>
      <c r="J1639" s="2"/>
      <c r="K1639" s="2"/>
      <c r="L1639" s="2"/>
      <c r="M1639" s="2"/>
      <c r="N1639" s="1">
        <v>0</v>
      </c>
      <c r="O1639" s="2"/>
      <c r="P1639" s="2"/>
      <c r="Q1639" s="2">
        <v>0</v>
      </c>
      <c r="R1639" s="6"/>
    </row>
    <row r="1640" spans="1:18" x14ac:dyDescent="0.25">
      <c r="A1640" s="2">
        <f t="shared" si="62"/>
        <v>1639</v>
      </c>
      <c r="B1640" s="2"/>
      <c r="C1640" s="2"/>
      <c r="D1640" s="2"/>
      <c r="E1640" s="2"/>
      <c r="F1640" s="2"/>
      <c r="G1640" s="2"/>
      <c r="H1640" s="2" t="str">
        <f t="shared" si="61"/>
        <v>0 г. 0 мес. 0 дн.</v>
      </c>
      <c r="I1640" s="2"/>
      <c r="J1640" s="2"/>
      <c r="K1640" s="2"/>
      <c r="L1640" s="2"/>
      <c r="M1640" s="2"/>
      <c r="N1640" s="1">
        <v>0</v>
      </c>
      <c r="O1640" s="2"/>
      <c r="P1640" s="2"/>
      <c r="Q1640" s="2">
        <v>0</v>
      </c>
      <c r="R1640" s="6"/>
    </row>
    <row r="1641" spans="1:18" x14ac:dyDescent="0.25">
      <c r="A1641" s="2">
        <f t="shared" si="62"/>
        <v>1640</v>
      </c>
      <c r="B1641" s="2"/>
      <c r="C1641" s="2"/>
      <c r="D1641" s="2"/>
      <c r="E1641" s="2"/>
      <c r="F1641" s="2"/>
      <c r="G1641" s="2"/>
      <c r="H1641" s="2" t="str">
        <f t="shared" si="61"/>
        <v>0 г. 0 мес. 0 дн.</v>
      </c>
      <c r="I1641" s="2"/>
      <c r="J1641" s="2"/>
      <c r="K1641" s="2"/>
      <c r="L1641" s="2"/>
      <c r="M1641" s="2"/>
      <c r="N1641" s="1">
        <v>0</v>
      </c>
      <c r="O1641" s="2"/>
      <c r="P1641" s="2"/>
      <c r="Q1641" s="2">
        <v>0</v>
      </c>
      <c r="R1641" s="6"/>
    </row>
    <row r="1642" spans="1:18" x14ac:dyDescent="0.25">
      <c r="A1642" s="2">
        <f t="shared" si="62"/>
        <v>1641</v>
      </c>
      <c r="B1642" s="2"/>
      <c r="C1642" s="2"/>
      <c r="D1642" s="2"/>
      <c r="E1642" s="2"/>
      <c r="F1642" s="2"/>
      <c r="G1642" s="2"/>
      <c r="H1642" s="2" t="str">
        <f t="shared" si="61"/>
        <v>0 г. 0 мес. 0 дн.</v>
      </c>
      <c r="I1642" s="2"/>
      <c r="J1642" s="2"/>
      <c r="K1642" s="2"/>
      <c r="L1642" s="2"/>
      <c r="M1642" s="2"/>
      <c r="N1642" s="1">
        <v>0</v>
      </c>
      <c r="O1642" s="2"/>
      <c r="P1642" s="2"/>
      <c r="Q1642" s="2">
        <v>0</v>
      </c>
      <c r="R1642" s="6"/>
    </row>
    <row r="1643" spans="1:18" x14ac:dyDescent="0.25">
      <c r="A1643" s="2">
        <f t="shared" si="62"/>
        <v>1642</v>
      </c>
      <c r="B1643" s="2"/>
      <c r="C1643" s="2"/>
      <c r="D1643" s="2"/>
      <c r="E1643" s="2"/>
      <c r="F1643" s="2"/>
      <c r="G1643" s="2"/>
      <c r="H1643" s="2" t="str">
        <f t="shared" si="61"/>
        <v>0 г. 0 мес. 0 дн.</v>
      </c>
      <c r="I1643" s="2"/>
      <c r="J1643" s="2"/>
      <c r="K1643" s="2"/>
      <c r="L1643" s="2"/>
      <c r="M1643" s="2"/>
      <c r="N1643" s="1">
        <v>0</v>
      </c>
      <c r="O1643" s="2"/>
      <c r="P1643" s="2"/>
      <c r="Q1643" s="2">
        <v>0</v>
      </c>
      <c r="R1643" s="6"/>
    </row>
    <row r="1644" spans="1:18" x14ac:dyDescent="0.25">
      <c r="A1644" s="2">
        <f t="shared" si="62"/>
        <v>1643</v>
      </c>
      <c r="B1644" s="2"/>
      <c r="C1644" s="2"/>
      <c r="D1644" s="2"/>
      <c r="E1644" s="2"/>
      <c r="F1644" s="2"/>
      <c r="G1644" s="2"/>
      <c r="H1644" s="2" t="str">
        <f t="shared" si="61"/>
        <v>0 г. 0 мес. 0 дн.</v>
      </c>
      <c r="I1644" s="2"/>
      <c r="J1644" s="2"/>
      <c r="K1644" s="2"/>
      <c r="L1644" s="2"/>
      <c r="M1644" s="2"/>
      <c r="N1644" s="1">
        <v>0</v>
      </c>
      <c r="O1644" s="2"/>
      <c r="P1644" s="2"/>
      <c r="Q1644" s="2">
        <v>0</v>
      </c>
      <c r="R1644" s="6"/>
    </row>
    <row r="1645" spans="1:18" x14ac:dyDescent="0.25">
      <c r="A1645" s="2">
        <f t="shared" si="62"/>
        <v>1644</v>
      </c>
      <c r="B1645" s="2"/>
      <c r="C1645" s="2"/>
      <c r="D1645" s="2"/>
      <c r="E1645" s="2"/>
      <c r="F1645" s="2"/>
      <c r="G1645" s="2"/>
      <c r="H1645" s="2" t="str">
        <f t="shared" si="61"/>
        <v>0 г. 0 мес. 0 дн.</v>
      </c>
      <c r="I1645" s="2"/>
      <c r="J1645" s="2"/>
      <c r="K1645" s="2"/>
      <c r="L1645" s="2"/>
      <c r="M1645" s="2"/>
      <c r="N1645" s="1">
        <v>0</v>
      </c>
      <c r="O1645" s="2"/>
      <c r="P1645" s="2"/>
      <c r="Q1645" s="2">
        <v>0</v>
      </c>
      <c r="R1645" s="6"/>
    </row>
    <row r="1646" spans="1:18" x14ac:dyDescent="0.25">
      <c r="A1646" s="2">
        <f t="shared" si="62"/>
        <v>1645</v>
      </c>
      <c r="B1646" s="2"/>
      <c r="C1646" s="2"/>
      <c r="D1646" s="2"/>
      <c r="E1646" s="2"/>
      <c r="F1646" s="2"/>
      <c r="G1646" s="2"/>
      <c r="H1646" s="2" t="str">
        <f t="shared" si="61"/>
        <v>0 г. 0 мес. 0 дн.</v>
      </c>
      <c r="I1646" s="2"/>
      <c r="J1646" s="2"/>
      <c r="K1646" s="2"/>
      <c r="L1646" s="2"/>
      <c r="M1646" s="2"/>
      <c r="N1646" s="1">
        <v>0</v>
      </c>
      <c r="O1646" s="2"/>
      <c r="P1646" s="2"/>
      <c r="Q1646" s="2">
        <v>0</v>
      </c>
      <c r="R1646" s="6"/>
    </row>
    <row r="1647" spans="1:18" x14ac:dyDescent="0.25">
      <c r="A1647" s="2">
        <f t="shared" si="62"/>
        <v>1646</v>
      </c>
      <c r="B1647" s="2"/>
      <c r="C1647" s="2"/>
      <c r="D1647" s="2"/>
      <c r="E1647" s="2"/>
      <c r="F1647" s="2"/>
      <c r="G1647" s="2"/>
      <c r="H1647" s="2" t="str">
        <f t="shared" si="61"/>
        <v>0 г. 0 мес. 0 дн.</v>
      </c>
      <c r="I1647" s="2"/>
      <c r="J1647" s="2"/>
      <c r="K1647" s="2"/>
      <c r="L1647" s="2"/>
      <c r="M1647" s="2"/>
      <c r="N1647" s="1">
        <v>0</v>
      </c>
      <c r="O1647" s="2"/>
      <c r="P1647" s="2"/>
      <c r="Q1647" s="2">
        <v>0</v>
      </c>
      <c r="R1647" s="6"/>
    </row>
    <row r="1648" spans="1:18" x14ac:dyDescent="0.25">
      <c r="A1648" s="2">
        <f t="shared" si="62"/>
        <v>1647</v>
      </c>
      <c r="B1648" s="2"/>
      <c r="C1648" s="2"/>
      <c r="D1648" s="2"/>
      <c r="E1648" s="2"/>
      <c r="F1648" s="2"/>
      <c r="G1648" s="2"/>
      <c r="H1648" s="2" t="str">
        <f t="shared" si="61"/>
        <v>0 г. 0 мес. 0 дн.</v>
      </c>
      <c r="I1648" s="2"/>
      <c r="J1648" s="2"/>
      <c r="K1648" s="2"/>
      <c r="L1648" s="2"/>
      <c r="M1648" s="2"/>
      <c r="N1648" s="1">
        <v>0</v>
      </c>
      <c r="O1648" s="2"/>
      <c r="P1648" s="2"/>
      <c r="Q1648" s="2">
        <v>0</v>
      </c>
      <c r="R1648" s="6"/>
    </row>
    <row r="1649" spans="1:18" x14ac:dyDescent="0.25">
      <c r="A1649" s="2">
        <f t="shared" si="62"/>
        <v>1648</v>
      </c>
      <c r="B1649" s="2"/>
      <c r="C1649" s="2"/>
      <c r="D1649" s="2"/>
      <c r="E1649" s="2"/>
      <c r="F1649" s="2"/>
      <c r="G1649" s="2"/>
      <c r="H1649" s="2" t="str">
        <f t="shared" si="61"/>
        <v>0 г. 0 мес. 0 дн.</v>
      </c>
      <c r="I1649" s="2"/>
      <c r="J1649" s="2"/>
      <c r="K1649" s="2"/>
      <c r="L1649" s="2"/>
      <c r="M1649" s="2"/>
      <c r="N1649" s="1">
        <v>0</v>
      </c>
      <c r="O1649" s="2"/>
      <c r="P1649" s="2"/>
      <c r="Q1649" s="2">
        <v>0</v>
      </c>
      <c r="R1649" s="6"/>
    </row>
    <row r="1650" spans="1:18" x14ac:dyDescent="0.25">
      <c r="A1650" s="2">
        <f t="shared" si="62"/>
        <v>1649</v>
      </c>
      <c r="B1650" s="2"/>
      <c r="C1650" s="2"/>
      <c r="D1650" s="2"/>
      <c r="E1650" s="2"/>
      <c r="F1650" s="2"/>
      <c r="G1650" s="2"/>
      <c r="H1650" s="2" t="str">
        <f t="shared" si="61"/>
        <v>0 г. 0 мес. 0 дн.</v>
      </c>
      <c r="I1650" s="2"/>
      <c r="J1650" s="2"/>
      <c r="K1650" s="2"/>
      <c r="L1650" s="2"/>
      <c r="M1650" s="2"/>
      <c r="N1650" s="1">
        <v>0</v>
      </c>
      <c r="O1650" s="2"/>
      <c r="P1650" s="2"/>
      <c r="Q1650" s="2">
        <v>0</v>
      </c>
      <c r="R1650" s="6"/>
    </row>
    <row r="1651" spans="1:18" x14ac:dyDescent="0.25">
      <c r="A1651" s="2">
        <f t="shared" si="62"/>
        <v>1650</v>
      </c>
      <c r="B1651" s="2"/>
      <c r="C1651" s="2"/>
      <c r="D1651" s="2"/>
      <c r="E1651" s="2"/>
      <c r="F1651" s="2"/>
      <c r="G1651" s="2"/>
      <c r="H1651" s="2" t="str">
        <f t="shared" si="61"/>
        <v>0 г. 0 мес. 0 дн.</v>
      </c>
      <c r="I1651" s="2"/>
      <c r="J1651" s="2"/>
      <c r="K1651" s="2"/>
      <c r="L1651" s="2"/>
      <c r="M1651" s="2"/>
      <c r="N1651" s="1">
        <v>0</v>
      </c>
      <c r="O1651" s="2"/>
      <c r="P1651" s="2"/>
      <c r="Q1651" s="2">
        <v>0</v>
      </c>
      <c r="R1651" s="6"/>
    </row>
    <row r="1652" spans="1:18" x14ac:dyDescent="0.25">
      <c r="A1652" s="2">
        <f t="shared" si="62"/>
        <v>1651</v>
      </c>
      <c r="B1652" s="2"/>
      <c r="C1652" s="2"/>
      <c r="D1652" s="2"/>
      <c r="E1652" s="2"/>
      <c r="F1652" s="2"/>
      <c r="G1652" s="2"/>
      <c r="H1652" s="2" t="str">
        <f t="shared" si="61"/>
        <v>0 г. 0 мес. 0 дн.</v>
      </c>
      <c r="I1652" s="2"/>
      <c r="J1652" s="2"/>
      <c r="K1652" s="2"/>
      <c r="L1652" s="2"/>
      <c r="M1652" s="2"/>
      <c r="N1652" s="1">
        <v>0</v>
      </c>
      <c r="O1652" s="2"/>
      <c r="P1652" s="2"/>
      <c r="Q1652" s="2">
        <v>0</v>
      </c>
      <c r="R1652" s="6"/>
    </row>
    <row r="1653" spans="1:18" x14ac:dyDescent="0.25">
      <c r="A1653" s="2">
        <f t="shared" si="62"/>
        <v>1652</v>
      </c>
      <c r="B1653" s="2"/>
      <c r="C1653" s="2"/>
      <c r="D1653" s="2"/>
      <c r="E1653" s="2"/>
      <c r="F1653" s="2"/>
      <c r="G1653" s="2"/>
      <c r="H1653" s="2" t="str">
        <f t="shared" si="61"/>
        <v>0 г. 0 мес. 0 дн.</v>
      </c>
      <c r="I1653" s="2"/>
      <c r="J1653" s="2"/>
      <c r="K1653" s="2"/>
      <c r="L1653" s="2"/>
      <c r="M1653" s="2"/>
      <c r="N1653" s="1">
        <v>0</v>
      </c>
      <c r="O1653" s="2"/>
      <c r="P1653" s="2"/>
      <c r="Q1653" s="2">
        <v>0</v>
      </c>
      <c r="R1653" s="6"/>
    </row>
    <row r="1654" spans="1:18" x14ac:dyDescent="0.25">
      <c r="A1654" s="2">
        <f t="shared" si="62"/>
        <v>1653</v>
      </c>
      <c r="B1654" s="2"/>
      <c r="C1654" s="2"/>
      <c r="D1654" s="2"/>
      <c r="E1654" s="2"/>
      <c r="F1654" s="2"/>
      <c r="G1654" s="2"/>
      <c r="H1654" s="2" t="str">
        <f t="shared" si="61"/>
        <v>0 г. 0 мес. 0 дн.</v>
      </c>
      <c r="I1654" s="2"/>
      <c r="J1654" s="2"/>
      <c r="K1654" s="2"/>
      <c r="L1654" s="2"/>
      <c r="M1654" s="2"/>
      <c r="N1654" s="1">
        <v>0</v>
      </c>
      <c r="O1654" s="2"/>
      <c r="P1654" s="2"/>
      <c r="Q1654" s="2">
        <v>0</v>
      </c>
      <c r="R1654" s="6"/>
    </row>
    <row r="1655" spans="1:18" x14ac:dyDescent="0.25">
      <c r="A1655" s="2">
        <f t="shared" si="62"/>
        <v>1654</v>
      </c>
      <c r="B1655" s="2"/>
      <c r="C1655" s="2"/>
      <c r="D1655" s="2"/>
      <c r="E1655" s="2"/>
      <c r="F1655" s="2"/>
      <c r="G1655" s="2"/>
      <c r="H1655" s="2" t="str">
        <f t="shared" si="61"/>
        <v>0 г. 0 мес. 0 дн.</v>
      </c>
      <c r="I1655" s="2"/>
      <c r="J1655" s="2"/>
      <c r="K1655" s="2"/>
      <c r="L1655" s="2"/>
      <c r="M1655" s="2"/>
      <c r="N1655" s="1">
        <v>0</v>
      </c>
      <c r="O1655" s="2"/>
      <c r="P1655" s="2"/>
      <c r="Q1655" s="2">
        <v>0</v>
      </c>
      <c r="R1655" s="6"/>
    </row>
    <row r="1656" spans="1:18" x14ac:dyDescent="0.25">
      <c r="A1656" s="2">
        <f t="shared" si="62"/>
        <v>1655</v>
      </c>
      <c r="B1656" s="2"/>
      <c r="C1656" s="2"/>
      <c r="D1656" s="2"/>
      <c r="E1656" s="2"/>
      <c r="F1656" s="2"/>
      <c r="G1656" s="2"/>
      <c r="H1656" s="2" t="str">
        <f t="shared" si="61"/>
        <v>0 г. 0 мес. 0 дн.</v>
      </c>
      <c r="I1656" s="2"/>
      <c r="J1656" s="2"/>
      <c r="K1656" s="2"/>
      <c r="L1656" s="2"/>
      <c r="M1656" s="2"/>
      <c r="N1656" s="1">
        <v>0</v>
      </c>
      <c r="O1656" s="2"/>
      <c r="P1656" s="2"/>
      <c r="Q1656" s="2">
        <v>0</v>
      </c>
      <c r="R1656" s="6"/>
    </row>
    <row r="1657" spans="1:18" x14ac:dyDescent="0.25">
      <c r="A1657" s="2">
        <f t="shared" si="62"/>
        <v>1656</v>
      </c>
      <c r="B1657" s="2"/>
      <c r="C1657" s="2"/>
      <c r="D1657" s="2"/>
      <c r="E1657" s="2"/>
      <c r="F1657" s="2"/>
      <c r="G1657" s="2"/>
      <c r="H1657" s="2" t="str">
        <f t="shared" si="61"/>
        <v>0 г. 0 мес. 0 дн.</v>
      </c>
      <c r="I1657" s="2"/>
      <c r="J1657" s="2"/>
      <c r="K1657" s="2"/>
      <c r="L1657" s="2"/>
      <c r="M1657" s="2"/>
      <c r="N1657" s="1">
        <v>0</v>
      </c>
      <c r="O1657" s="2"/>
      <c r="P1657" s="2"/>
      <c r="Q1657" s="2">
        <v>0</v>
      </c>
      <c r="R1657" s="6"/>
    </row>
    <row r="1658" spans="1:18" x14ac:dyDescent="0.25">
      <c r="A1658" s="2">
        <f t="shared" si="62"/>
        <v>1657</v>
      </c>
      <c r="B1658" s="2"/>
      <c r="C1658" s="2"/>
      <c r="D1658" s="2"/>
      <c r="E1658" s="2"/>
      <c r="F1658" s="2"/>
      <c r="G1658" s="2"/>
      <c r="H1658" s="2" t="str">
        <f t="shared" si="61"/>
        <v>0 г. 0 мес. 0 дн.</v>
      </c>
      <c r="I1658" s="2"/>
      <c r="J1658" s="2"/>
      <c r="K1658" s="2"/>
      <c r="L1658" s="2"/>
      <c r="M1658" s="2"/>
      <c r="N1658" s="1">
        <v>0</v>
      </c>
      <c r="O1658" s="2"/>
      <c r="P1658" s="2"/>
      <c r="Q1658" s="2">
        <v>0</v>
      </c>
      <c r="R1658" s="6"/>
    </row>
    <row r="1659" spans="1:18" x14ac:dyDescent="0.25">
      <c r="A1659" s="2">
        <f t="shared" si="62"/>
        <v>1658</v>
      </c>
      <c r="B1659" s="2"/>
      <c r="C1659" s="2"/>
      <c r="D1659" s="2"/>
      <c r="E1659" s="2"/>
      <c r="F1659" s="2"/>
      <c r="G1659" s="2"/>
      <c r="H1659" s="2" t="str">
        <f t="shared" si="61"/>
        <v>0 г. 0 мес. 0 дн.</v>
      </c>
      <c r="I1659" s="2"/>
      <c r="J1659" s="2"/>
      <c r="K1659" s="2"/>
      <c r="L1659" s="2"/>
      <c r="M1659" s="2"/>
      <c r="N1659" s="1">
        <v>0</v>
      </c>
      <c r="O1659" s="2"/>
      <c r="P1659" s="2"/>
      <c r="Q1659" s="2">
        <v>0</v>
      </c>
      <c r="R1659" s="6"/>
    </row>
    <row r="1660" spans="1:18" x14ac:dyDescent="0.25">
      <c r="A1660" s="2">
        <f t="shared" si="62"/>
        <v>1659</v>
      </c>
      <c r="B1660" s="2"/>
      <c r="C1660" s="2"/>
      <c r="D1660" s="2"/>
      <c r="E1660" s="2"/>
      <c r="F1660" s="2"/>
      <c r="G1660" s="2"/>
      <c r="H1660" s="2" t="str">
        <f t="shared" si="61"/>
        <v>0 г. 0 мес. 0 дн.</v>
      </c>
      <c r="I1660" s="2"/>
      <c r="J1660" s="2"/>
      <c r="K1660" s="2"/>
      <c r="L1660" s="2"/>
      <c r="M1660" s="2"/>
      <c r="N1660" s="1">
        <v>0</v>
      </c>
      <c r="O1660" s="2"/>
      <c r="P1660" s="2"/>
      <c r="Q1660" s="2">
        <v>0</v>
      </c>
      <c r="R1660" s="6"/>
    </row>
    <row r="1661" spans="1:18" x14ac:dyDescent="0.25">
      <c r="A1661" s="2">
        <f t="shared" si="62"/>
        <v>1660</v>
      </c>
      <c r="B1661" s="2"/>
      <c r="C1661" s="2"/>
      <c r="D1661" s="2"/>
      <c r="E1661" s="2"/>
      <c r="F1661" s="2"/>
      <c r="G1661" s="2"/>
      <c r="H1661" s="2" t="str">
        <f t="shared" si="61"/>
        <v>0 г. 0 мес. 0 дн.</v>
      </c>
      <c r="I1661" s="2"/>
      <c r="J1661" s="2"/>
      <c r="K1661" s="2"/>
      <c r="L1661" s="2"/>
      <c r="M1661" s="2"/>
      <c r="N1661" s="1">
        <v>0</v>
      </c>
      <c r="O1661" s="2"/>
      <c r="P1661" s="2"/>
      <c r="Q1661" s="2">
        <v>0</v>
      </c>
      <c r="R1661" s="6"/>
    </row>
    <row r="1662" spans="1:18" x14ac:dyDescent="0.25">
      <c r="A1662" s="2">
        <f t="shared" si="62"/>
        <v>1661</v>
      </c>
      <c r="B1662" s="2"/>
      <c r="C1662" s="2"/>
      <c r="D1662" s="2"/>
      <c r="E1662" s="2"/>
      <c r="F1662" s="2"/>
      <c r="G1662" s="2"/>
      <c r="H1662" s="2" t="str">
        <f t="shared" si="61"/>
        <v>0 г. 0 мес. 0 дн.</v>
      </c>
      <c r="I1662" s="2"/>
      <c r="J1662" s="2"/>
      <c r="K1662" s="2"/>
      <c r="L1662" s="2"/>
      <c r="M1662" s="2"/>
      <c r="N1662" s="1">
        <v>0</v>
      </c>
      <c r="O1662" s="2"/>
      <c r="P1662" s="2"/>
      <c r="Q1662" s="2">
        <v>0</v>
      </c>
      <c r="R1662" s="6"/>
    </row>
    <row r="1663" spans="1:18" x14ac:dyDescent="0.25">
      <c r="A1663" s="2">
        <f t="shared" si="62"/>
        <v>1662</v>
      </c>
      <c r="B1663" s="2"/>
      <c r="C1663" s="2"/>
      <c r="D1663" s="2"/>
      <c r="E1663" s="2"/>
      <c r="F1663" s="2"/>
      <c r="G1663" s="2"/>
      <c r="H1663" s="2" t="str">
        <f t="shared" si="61"/>
        <v>0 г. 0 мес. 0 дн.</v>
      </c>
      <c r="I1663" s="2"/>
      <c r="J1663" s="2"/>
      <c r="K1663" s="2"/>
      <c r="L1663" s="2"/>
      <c r="M1663" s="2"/>
      <c r="N1663" s="1">
        <v>0</v>
      </c>
      <c r="O1663" s="2"/>
      <c r="P1663" s="2"/>
      <c r="Q1663" s="2">
        <v>0</v>
      </c>
      <c r="R1663" s="6"/>
    </row>
    <row r="1664" spans="1:18" x14ac:dyDescent="0.25">
      <c r="A1664" s="2">
        <f t="shared" si="62"/>
        <v>1663</v>
      </c>
      <c r="B1664" s="2"/>
      <c r="C1664" s="2"/>
      <c r="D1664" s="2"/>
      <c r="E1664" s="2"/>
      <c r="F1664" s="2"/>
      <c r="G1664" s="2"/>
      <c r="H1664" s="2" t="str">
        <f t="shared" si="61"/>
        <v>0 г. 0 мес. 0 дн.</v>
      </c>
      <c r="I1664" s="2"/>
      <c r="J1664" s="2"/>
      <c r="K1664" s="2"/>
      <c r="L1664" s="2"/>
      <c r="M1664" s="2"/>
      <c r="N1664" s="1">
        <v>0</v>
      </c>
      <c r="O1664" s="2"/>
      <c r="P1664" s="2"/>
      <c r="Q1664" s="2">
        <v>0</v>
      </c>
      <c r="R1664" s="6"/>
    </row>
    <row r="1665" spans="1:18" x14ac:dyDescent="0.25">
      <c r="A1665" s="2">
        <f t="shared" si="62"/>
        <v>1664</v>
      </c>
      <c r="B1665" s="2"/>
      <c r="C1665" s="2"/>
      <c r="D1665" s="2"/>
      <c r="E1665" s="2"/>
      <c r="F1665" s="2"/>
      <c r="G1665" s="2"/>
      <c r="H1665" s="2" t="str">
        <f t="shared" si="61"/>
        <v>0 г. 0 мес. 0 дн.</v>
      </c>
      <c r="I1665" s="2"/>
      <c r="J1665" s="2"/>
      <c r="K1665" s="2"/>
      <c r="L1665" s="2"/>
      <c r="M1665" s="2"/>
      <c r="N1665" s="1">
        <v>0</v>
      </c>
      <c r="O1665" s="2"/>
      <c r="P1665" s="2"/>
      <c r="Q1665" s="2">
        <v>0</v>
      </c>
      <c r="R1665" s="6"/>
    </row>
    <row r="1666" spans="1:18" x14ac:dyDescent="0.25">
      <c r="A1666" s="2">
        <f t="shared" si="62"/>
        <v>1665</v>
      </c>
      <c r="B1666" s="2"/>
      <c r="C1666" s="2"/>
      <c r="D1666" s="2"/>
      <c r="E1666" s="2"/>
      <c r="F1666" s="2"/>
      <c r="G1666" s="2"/>
      <c r="H1666" s="2" t="str">
        <f t="shared" si="61"/>
        <v>0 г. 0 мес. 0 дн.</v>
      </c>
      <c r="I1666" s="2"/>
      <c r="J1666" s="2"/>
      <c r="K1666" s="2"/>
      <c r="L1666" s="2"/>
      <c r="M1666" s="2"/>
      <c r="N1666" s="1">
        <v>0</v>
      </c>
      <c r="O1666" s="2"/>
      <c r="P1666" s="2"/>
      <c r="Q1666" s="2">
        <v>0</v>
      </c>
      <c r="R1666" s="6"/>
    </row>
    <row r="1667" spans="1:18" x14ac:dyDescent="0.25">
      <c r="A1667" s="2">
        <f t="shared" si="62"/>
        <v>1666</v>
      </c>
      <c r="B1667" s="2"/>
      <c r="C1667" s="2"/>
      <c r="D1667" s="2"/>
      <c r="E1667" s="2"/>
      <c r="F1667" s="2"/>
      <c r="G1667" s="2"/>
      <c r="H1667" s="2" t="str">
        <f t="shared" si="61"/>
        <v>0 г. 0 мес. 0 дн.</v>
      </c>
      <c r="I1667" s="2"/>
      <c r="J1667" s="2"/>
      <c r="K1667" s="2"/>
      <c r="L1667" s="2"/>
      <c r="M1667" s="2"/>
      <c r="N1667" s="1">
        <v>0</v>
      </c>
      <c r="O1667" s="2"/>
      <c r="P1667" s="2"/>
      <c r="Q1667" s="2">
        <v>0</v>
      </c>
      <c r="R1667" s="6"/>
    </row>
    <row r="1668" spans="1:18" x14ac:dyDescent="0.25">
      <c r="A1668" s="2">
        <f t="shared" si="62"/>
        <v>1667</v>
      </c>
      <c r="B1668" s="2"/>
      <c r="C1668" s="2"/>
      <c r="D1668" s="2"/>
      <c r="E1668" s="2"/>
      <c r="F1668" s="2"/>
      <c r="G1668" s="2"/>
      <c r="H1668" s="2" t="str">
        <f t="shared" ref="H1668:H1731" si="63">DATEDIF(G1668,D1668,"y") &amp; " г. " &amp; DATEDIF(G1668,D1668,"ym") &amp; " мес. " &amp; DATEDIF(G1668,D1668,"md") &amp; " дн."</f>
        <v>0 г. 0 мес. 0 дн.</v>
      </c>
      <c r="I1668" s="2"/>
      <c r="J1668" s="2"/>
      <c r="K1668" s="2"/>
      <c r="L1668" s="2"/>
      <c r="M1668" s="2"/>
      <c r="N1668" s="1">
        <v>0</v>
      </c>
      <c r="O1668" s="2"/>
      <c r="P1668" s="2"/>
      <c r="Q1668" s="2">
        <v>0</v>
      </c>
      <c r="R1668" s="6"/>
    </row>
    <row r="1669" spans="1:18" x14ac:dyDescent="0.25">
      <c r="A1669" s="2">
        <f t="shared" si="62"/>
        <v>1668</v>
      </c>
      <c r="B1669" s="2"/>
      <c r="C1669" s="2"/>
      <c r="D1669" s="2"/>
      <c r="E1669" s="2"/>
      <c r="F1669" s="2"/>
      <c r="G1669" s="2"/>
      <c r="H1669" s="2" t="str">
        <f t="shared" si="63"/>
        <v>0 г. 0 мес. 0 дн.</v>
      </c>
      <c r="I1669" s="2"/>
      <c r="J1669" s="2"/>
      <c r="K1669" s="2"/>
      <c r="L1669" s="2"/>
      <c r="M1669" s="2"/>
      <c r="N1669" s="1">
        <v>0</v>
      </c>
      <c r="O1669" s="2"/>
      <c r="P1669" s="2"/>
      <c r="Q1669" s="2">
        <v>0</v>
      </c>
      <c r="R1669" s="6"/>
    </row>
    <row r="1670" spans="1:18" x14ac:dyDescent="0.25">
      <c r="A1670" s="2">
        <f t="shared" si="62"/>
        <v>1669</v>
      </c>
      <c r="B1670" s="2"/>
      <c r="C1670" s="2"/>
      <c r="D1670" s="2"/>
      <c r="E1670" s="2"/>
      <c r="F1670" s="2"/>
      <c r="G1670" s="2"/>
      <c r="H1670" s="2" t="str">
        <f t="shared" si="63"/>
        <v>0 г. 0 мес. 0 дн.</v>
      </c>
      <c r="I1670" s="2"/>
      <c r="J1670" s="2"/>
      <c r="K1670" s="2"/>
      <c r="L1670" s="2"/>
      <c r="M1670" s="2"/>
      <c r="N1670" s="1">
        <v>0</v>
      </c>
      <c r="O1670" s="2"/>
      <c r="P1670" s="2"/>
      <c r="Q1670" s="2">
        <v>0</v>
      </c>
      <c r="R1670" s="6"/>
    </row>
    <row r="1671" spans="1:18" x14ac:dyDescent="0.25">
      <c r="A1671" s="2">
        <f t="shared" si="62"/>
        <v>1670</v>
      </c>
      <c r="B1671" s="2"/>
      <c r="C1671" s="2"/>
      <c r="D1671" s="2"/>
      <c r="E1671" s="2"/>
      <c r="F1671" s="2"/>
      <c r="G1671" s="2"/>
      <c r="H1671" s="2" t="str">
        <f t="shared" si="63"/>
        <v>0 г. 0 мес. 0 дн.</v>
      </c>
      <c r="I1671" s="2"/>
      <c r="J1671" s="2"/>
      <c r="K1671" s="2"/>
      <c r="L1671" s="2"/>
      <c r="M1671" s="2"/>
      <c r="N1671" s="1">
        <v>0</v>
      </c>
      <c r="O1671" s="2"/>
      <c r="P1671" s="2"/>
      <c r="Q1671" s="2">
        <v>0</v>
      </c>
      <c r="R1671" s="6"/>
    </row>
    <row r="1672" spans="1:18" x14ac:dyDescent="0.25">
      <c r="A1672" s="2">
        <f t="shared" si="62"/>
        <v>1671</v>
      </c>
      <c r="B1672" s="2"/>
      <c r="C1672" s="2"/>
      <c r="D1672" s="2"/>
      <c r="E1672" s="2"/>
      <c r="F1672" s="2"/>
      <c r="G1672" s="2"/>
      <c r="H1672" s="2" t="str">
        <f t="shared" si="63"/>
        <v>0 г. 0 мес. 0 дн.</v>
      </c>
      <c r="I1672" s="2"/>
      <c r="J1672" s="2"/>
      <c r="K1672" s="2"/>
      <c r="L1672" s="2"/>
      <c r="M1672" s="2"/>
      <c r="N1672" s="1">
        <v>0</v>
      </c>
      <c r="O1672" s="2"/>
      <c r="P1672" s="2"/>
      <c r="Q1672" s="2">
        <v>0</v>
      </c>
      <c r="R1672" s="6"/>
    </row>
    <row r="1673" spans="1:18" x14ac:dyDescent="0.25">
      <c r="A1673" s="2">
        <f t="shared" si="62"/>
        <v>1672</v>
      </c>
      <c r="B1673" s="2"/>
      <c r="C1673" s="2"/>
      <c r="D1673" s="2"/>
      <c r="E1673" s="2"/>
      <c r="F1673" s="2"/>
      <c r="G1673" s="2"/>
      <c r="H1673" s="2" t="str">
        <f t="shared" si="63"/>
        <v>0 г. 0 мес. 0 дн.</v>
      </c>
      <c r="I1673" s="2"/>
      <c r="J1673" s="2"/>
      <c r="K1673" s="2"/>
      <c r="L1673" s="2"/>
      <c r="M1673" s="2"/>
      <c r="N1673" s="1">
        <v>0</v>
      </c>
      <c r="O1673" s="2"/>
      <c r="P1673" s="2"/>
      <c r="Q1673" s="2">
        <v>0</v>
      </c>
      <c r="R1673" s="6"/>
    </row>
    <row r="1674" spans="1:18" x14ac:dyDescent="0.25">
      <c r="A1674" s="2">
        <f t="shared" si="62"/>
        <v>1673</v>
      </c>
      <c r="B1674" s="2"/>
      <c r="C1674" s="2"/>
      <c r="D1674" s="2"/>
      <c r="E1674" s="2"/>
      <c r="F1674" s="2"/>
      <c r="G1674" s="2"/>
      <c r="H1674" s="2" t="str">
        <f t="shared" si="63"/>
        <v>0 г. 0 мес. 0 дн.</v>
      </c>
      <c r="I1674" s="2"/>
      <c r="J1674" s="2"/>
      <c r="K1674" s="2"/>
      <c r="L1674" s="2"/>
      <c r="M1674" s="2"/>
      <c r="N1674" s="1">
        <v>0</v>
      </c>
      <c r="O1674" s="2"/>
      <c r="P1674" s="2"/>
      <c r="Q1674" s="2">
        <v>0</v>
      </c>
      <c r="R1674" s="6"/>
    </row>
    <row r="1675" spans="1:18" x14ac:dyDescent="0.25">
      <c r="A1675" s="2">
        <f t="shared" si="62"/>
        <v>1674</v>
      </c>
      <c r="B1675" s="2"/>
      <c r="C1675" s="2"/>
      <c r="D1675" s="2"/>
      <c r="E1675" s="2"/>
      <c r="F1675" s="2"/>
      <c r="G1675" s="2"/>
      <c r="H1675" s="2" t="str">
        <f t="shared" si="63"/>
        <v>0 г. 0 мес. 0 дн.</v>
      </c>
      <c r="I1675" s="2"/>
      <c r="J1675" s="2"/>
      <c r="K1675" s="2"/>
      <c r="L1675" s="2"/>
      <c r="M1675" s="2"/>
      <c r="N1675" s="1">
        <v>0</v>
      </c>
      <c r="O1675" s="2"/>
      <c r="P1675" s="2"/>
      <c r="Q1675" s="2">
        <v>0</v>
      </c>
      <c r="R1675" s="6"/>
    </row>
    <row r="1676" spans="1:18" x14ac:dyDescent="0.25">
      <c r="A1676" s="2">
        <f t="shared" si="62"/>
        <v>1675</v>
      </c>
      <c r="B1676" s="2"/>
      <c r="C1676" s="2"/>
      <c r="D1676" s="2"/>
      <c r="E1676" s="2"/>
      <c r="F1676" s="2"/>
      <c r="G1676" s="2"/>
      <c r="H1676" s="2" t="str">
        <f t="shared" si="63"/>
        <v>0 г. 0 мес. 0 дн.</v>
      </c>
      <c r="I1676" s="2"/>
      <c r="J1676" s="2"/>
      <c r="K1676" s="2"/>
      <c r="L1676" s="2"/>
      <c r="M1676" s="2"/>
      <c r="N1676" s="1">
        <v>0</v>
      </c>
      <c r="O1676" s="2"/>
      <c r="P1676" s="2"/>
      <c r="Q1676" s="2">
        <v>0</v>
      </c>
      <c r="R1676" s="6"/>
    </row>
    <row r="1677" spans="1:18" x14ac:dyDescent="0.25">
      <c r="A1677" s="2">
        <f t="shared" si="62"/>
        <v>1676</v>
      </c>
      <c r="B1677" s="2"/>
      <c r="C1677" s="2"/>
      <c r="D1677" s="2"/>
      <c r="E1677" s="2"/>
      <c r="F1677" s="2"/>
      <c r="G1677" s="2"/>
      <c r="H1677" s="2" t="str">
        <f t="shared" si="63"/>
        <v>0 г. 0 мес. 0 дн.</v>
      </c>
      <c r="I1677" s="2"/>
      <c r="J1677" s="2"/>
      <c r="K1677" s="2"/>
      <c r="L1677" s="2"/>
      <c r="M1677" s="2"/>
      <c r="N1677" s="1">
        <v>0</v>
      </c>
      <c r="O1677" s="2"/>
      <c r="P1677" s="2"/>
      <c r="Q1677" s="2">
        <v>0</v>
      </c>
      <c r="R1677" s="6"/>
    </row>
    <row r="1678" spans="1:18" x14ac:dyDescent="0.25">
      <c r="A1678" s="2">
        <f t="shared" si="62"/>
        <v>1677</v>
      </c>
      <c r="B1678" s="2"/>
      <c r="C1678" s="2"/>
      <c r="D1678" s="2"/>
      <c r="E1678" s="2"/>
      <c r="F1678" s="2"/>
      <c r="G1678" s="2"/>
      <c r="H1678" s="2" t="str">
        <f t="shared" si="63"/>
        <v>0 г. 0 мес. 0 дн.</v>
      </c>
      <c r="I1678" s="2"/>
      <c r="J1678" s="2"/>
      <c r="K1678" s="2"/>
      <c r="L1678" s="2"/>
      <c r="M1678" s="2"/>
      <c r="N1678" s="1">
        <v>0</v>
      </c>
      <c r="O1678" s="2"/>
      <c r="P1678" s="2"/>
      <c r="Q1678" s="2">
        <v>0</v>
      </c>
      <c r="R1678" s="6"/>
    </row>
    <row r="1679" spans="1:18" x14ac:dyDescent="0.25">
      <c r="A1679" s="2">
        <f t="shared" si="62"/>
        <v>1678</v>
      </c>
      <c r="B1679" s="2"/>
      <c r="C1679" s="2"/>
      <c r="D1679" s="2"/>
      <c r="E1679" s="2"/>
      <c r="F1679" s="2"/>
      <c r="G1679" s="2"/>
      <c r="H1679" s="2" t="str">
        <f t="shared" si="63"/>
        <v>0 г. 0 мес. 0 дн.</v>
      </c>
      <c r="I1679" s="2"/>
      <c r="J1679" s="2"/>
      <c r="K1679" s="2"/>
      <c r="L1679" s="2"/>
      <c r="M1679" s="2"/>
      <c r="N1679" s="1">
        <v>0</v>
      </c>
      <c r="O1679" s="2"/>
      <c r="P1679" s="2"/>
      <c r="Q1679" s="2">
        <v>0</v>
      </c>
      <c r="R1679" s="6"/>
    </row>
    <row r="1680" spans="1:18" x14ac:dyDescent="0.25">
      <c r="A1680" s="2">
        <f t="shared" si="62"/>
        <v>1679</v>
      </c>
      <c r="B1680" s="2"/>
      <c r="C1680" s="2"/>
      <c r="D1680" s="2"/>
      <c r="E1680" s="2"/>
      <c r="F1680" s="2"/>
      <c r="G1680" s="2"/>
      <c r="H1680" s="2" t="str">
        <f t="shared" si="63"/>
        <v>0 г. 0 мес. 0 дн.</v>
      </c>
      <c r="I1680" s="2"/>
      <c r="J1680" s="2"/>
      <c r="K1680" s="2"/>
      <c r="L1680" s="2"/>
      <c r="M1680" s="2"/>
      <c r="N1680" s="1">
        <v>0</v>
      </c>
      <c r="O1680" s="2"/>
      <c r="P1680" s="2"/>
      <c r="Q1680" s="2">
        <v>0</v>
      </c>
      <c r="R1680" s="6"/>
    </row>
    <row r="1681" spans="1:18" x14ac:dyDescent="0.25">
      <c r="A1681" s="2">
        <f t="shared" si="62"/>
        <v>1680</v>
      </c>
      <c r="B1681" s="2"/>
      <c r="C1681" s="2"/>
      <c r="D1681" s="2"/>
      <c r="E1681" s="2"/>
      <c r="F1681" s="2"/>
      <c r="G1681" s="2"/>
      <c r="H1681" s="2" t="str">
        <f t="shared" si="63"/>
        <v>0 г. 0 мес. 0 дн.</v>
      </c>
      <c r="I1681" s="2"/>
      <c r="J1681" s="2"/>
      <c r="K1681" s="2"/>
      <c r="L1681" s="2"/>
      <c r="M1681" s="2"/>
      <c r="N1681" s="1">
        <v>0</v>
      </c>
      <c r="O1681" s="2"/>
      <c r="P1681" s="2"/>
      <c r="Q1681" s="2">
        <v>0</v>
      </c>
      <c r="R1681" s="6"/>
    </row>
    <row r="1682" spans="1:18" x14ac:dyDescent="0.25">
      <c r="A1682" s="2">
        <f t="shared" si="62"/>
        <v>1681</v>
      </c>
      <c r="B1682" s="2"/>
      <c r="C1682" s="2"/>
      <c r="D1682" s="2"/>
      <c r="E1682" s="2"/>
      <c r="F1682" s="2"/>
      <c r="G1682" s="2"/>
      <c r="H1682" s="2" t="str">
        <f t="shared" si="63"/>
        <v>0 г. 0 мес. 0 дн.</v>
      </c>
      <c r="I1682" s="2"/>
      <c r="J1682" s="2"/>
      <c r="K1682" s="2"/>
      <c r="L1682" s="2"/>
      <c r="M1682" s="2"/>
      <c r="N1682" s="1">
        <v>0</v>
      </c>
      <c r="O1682" s="2"/>
      <c r="P1682" s="2"/>
      <c r="Q1682" s="2">
        <v>0</v>
      </c>
      <c r="R1682" s="6"/>
    </row>
    <row r="1683" spans="1:18" x14ac:dyDescent="0.25">
      <c r="A1683" s="2">
        <f t="shared" si="62"/>
        <v>1682</v>
      </c>
      <c r="B1683" s="2"/>
      <c r="C1683" s="2"/>
      <c r="D1683" s="2"/>
      <c r="E1683" s="2"/>
      <c r="F1683" s="2"/>
      <c r="G1683" s="2"/>
      <c r="H1683" s="2" t="str">
        <f t="shared" si="63"/>
        <v>0 г. 0 мес. 0 дн.</v>
      </c>
      <c r="I1683" s="2"/>
      <c r="J1683" s="2"/>
      <c r="K1683" s="2"/>
      <c r="L1683" s="2"/>
      <c r="M1683" s="2"/>
      <c r="N1683" s="1">
        <v>0</v>
      </c>
      <c r="O1683" s="2"/>
      <c r="P1683" s="2"/>
      <c r="Q1683" s="2">
        <v>0</v>
      </c>
      <c r="R1683" s="6"/>
    </row>
    <row r="1684" spans="1:18" x14ac:dyDescent="0.25">
      <c r="A1684" s="2">
        <f t="shared" si="62"/>
        <v>1683</v>
      </c>
      <c r="B1684" s="2"/>
      <c r="C1684" s="2"/>
      <c r="D1684" s="2"/>
      <c r="E1684" s="2"/>
      <c r="F1684" s="2"/>
      <c r="G1684" s="2"/>
      <c r="H1684" s="2" t="str">
        <f t="shared" si="63"/>
        <v>0 г. 0 мес. 0 дн.</v>
      </c>
      <c r="I1684" s="2"/>
      <c r="J1684" s="2"/>
      <c r="K1684" s="2"/>
      <c r="L1684" s="2"/>
      <c r="M1684" s="2"/>
      <c r="N1684" s="1">
        <v>0</v>
      </c>
      <c r="O1684" s="2"/>
      <c r="P1684" s="2"/>
      <c r="Q1684" s="2">
        <v>0</v>
      </c>
      <c r="R1684" s="6"/>
    </row>
    <row r="1685" spans="1:18" x14ac:dyDescent="0.25">
      <c r="A1685" s="2">
        <f t="shared" si="62"/>
        <v>1684</v>
      </c>
      <c r="B1685" s="2"/>
      <c r="C1685" s="2"/>
      <c r="D1685" s="2"/>
      <c r="E1685" s="2"/>
      <c r="F1685" s="2"/>
      <c r="G1685" s="2"/>
      <c r="H1685" s="2" t="str">
        <f t="shared" si="63"/>
        <v>0 г. 0 мес. 0 дн.</v>
      </c>
      <c r="I1685" s="2"/>
      <c r="J1685" s="2"/>
      <c r="K1685" s="2"/>
      <c r="L1685" s="2"/>
      <c r="M1685" s="2"/>
      <c r="N1685" s="1">
        <v>0</v>
      </c>
      <c r="O1685" s="2"/>
      <c r="P1685" s="2"/>
      <c r="Q1685" s="2">
        <v>0</v>
      </c>
      <c r="R1685" s="6"/>
    </row>
    <row r="1686" spans="1:18" x14ac:dyDescent="0.25">
      <c r="A1686" s="2">
        <f t="shared" si="62"/>
        <v>1685</v>
      </c>
      <c r="B1686" s="2"/>
      <c r="C1686" s="2"/>
      <c r="D1686" s="2"/>
      <c r="E1686" s="2"/>
      <c r="F1686" s="2"/>
      <c r="G1686" s="2"/>
      <c r="H1686" s="2" t="str">
        <f t="shared" si="63"/>
        <v>0 г. 0 мес. 0 дн.</v>
      </c>
      <c r="I1686" s="2"/>
      <c r="J1686" s="2"/>
      <c r="K1686" s="2"/>
      <c r="L1686" s="2"/>
      <c r="M1686" s="2"/>
      <c r="N1686" s="1">
        <v>0</v>
      </c>
      <c r="O1686" s="2"/>
      <c r="P1686" s="2"/>
      <c r="Q1686" s="2">
        <v>0</v>
      </c>
      <c r="R1686" s="6"/>
    </row>
    <row r="1687" spans="1:18" x14ac:dyDescent="0.25">
      <c r="A1687" s="2">
        <f t="shared" si="62"/>
        <v>1686</v>
      </c>
      <c r="B1687" s="2"/>
      <c r="C1687" s="2"/>
      <c r="D1687" s="2"/>
      <c r="E1687" s="2"/>
      <c r="F1687" s="2"/>
      <c r="G1687" s="2"/>
      <c r="H1687" s="2" t="str">
        <f t="shared" si="63"/>
        <v>0 г. 0 мес. 0 дн.</v>
      </c>
      <c r="I1687" s="2"/>
      <c r="J1687" s="2"/>
      <c r="K1687" s="2"/>
      <c r="L1687" s="2"/>
      <c r="M1687" s="2"/>
      <c r="N1687" s="1">
        <v>0</v>
      </c>
      <c r="O1687" s="2"/>
      <c r="P1687" s="2"/>
      <c r="Q1687" s="2">
        <v>0</v>
      </c>
      <c r="R1687" s="6"/>
    </row>
    <row r="1688" spans="1:18" x14ac:dyDescent="0.25">
      <c r="A1688" s="2">
        <f t="shared" si="62"/>
        <v>1687</v>
      </c>
      <c r="B1688" s="2"/>
      <c r="C1688" s="2"/>
      <c r="D1688" s="2"/>
      <c r="E1688" s="2"/>
      <c r="F1688" s="2"/>
      <c r="G1688" s="2"/>
      <c r="H1688" s="2" t="str">
        <f t="shared" si="63"/>
        <v>0 г. 0 мес. 0 дн.</v>
      </c>
      <c r="I1688" s="2"/>
      <c r="J1688" s="2"/>
      <c r="K1688" s="2"/>
      <c r="L1688" s="2"/>
      <c r="M1688" s="2"/>
      <c r="N1688" s="1">
        <v>0</v>
      </c>
      <c r="O1688" s="2"/>
      <c r="P1688" s="2"/>
      <c r="Q1688" s="2">
        <v>0</v>
      </c>
      <c r="R1688" s="6"/>
    </row>
    <row r="1689" spans="1:18" x14ac:dyDescent="0.25">
      <c r="A1689" s="2">
        <f t="shared" si="62"/>
        <v>1688</v>
      </c>
      <c r="B1689" s="2"/>
      <c r="C1689" s="2"/>
      <c r="D1689" s="2"/>
      <c r="E1689" s="2"/>
      <c r="F1689" s="2"/>
      <c r="G1689" s="2"/>
      <c r="H1689" s="2" t="str">
        <f t="shared" si="63"/>
        <v>0 г. 0 мес. 0 дн.</v>
      </c>
      <c r="I1689" s="2"/>
      <c r="J1689" s="2"/>
      <c r="K1689" s="2"/>
      <c r="L1689" s="2"/>
      <c r="M1689" s="2"/>
      <c r="N1689" s="1">
        <v>0</v>
      </c>
      <c r="O1689" s="2"/>
      <c r="P1689" s="2"/>
      <c r="Q1689" s="2">
        <v>0</v>
      </c>
      <c r="R1689" s="6"/>
    </row>
    <row r="1690" spans="1:18" x14ac:dyDescent="0.25">
      <c r="A1690" s="2">
        <f t="shared" si="62"/>
        <v>1689</v>
      </c>
      <c r="B1690" s="2"/>
      <c r="C1690" s="2"/>
      <c r="D1690" s="2"/>
      <c r="E1690" s="2"/>
      <c r="F1690" s="2"/>
      <c r="G1690" s="2"/>
      <c r="H1690" s="2" t="str">
        <f t="shared" si="63"/>
        <v>0 г. 0 мес. 0 дн.</v>
      </c>
      <c r="I1690" s="2"/>
      <c r="J1690" s="2"/>
      <c r="K1690" s="2"/>
      <c r="L1690" s="2"/>
      <c r="M1690" s="2"/>
      <c r="N1690" s="1">
        <v>0</v>
      </c>
      <c r="O1690" s="2"/>
      <c r="P1690" s="2"/>
      <c r="Q1690" s="2">
        <v>0</v>
      </c>
      <c r="R1690" s="6"/>
    </row>
    <row r="1691" spans="1:18" x14ac:dyDescent="0.25">
      <c r="A1691" s="2">
        <f t="shared" si="62"/>
        <v>1690</v>
      </c>
      <c r="B1691" s="2"/>
      <c r="C1691" s="2"/>
      <c r="D1691" s="2"/>
      <c r="E1691" s="2"/>
      <c r="F1691" s="2"/>
      <c r="G1691" s="2"/>
      <c r="H1691" s="2" t="str">
        <f t="shared" si="63"/>
        <v>0 г. 0 мес. 0 дн.</v>
      </c>
      <c r="I1691" s="2"/>
      <c r="J1691" s="2"/>
      <c r="K1691" s="2"/>
      <c r="L1691" s="2"/>
      <c r="M1691" s="2"/>
      <c r="N1691" s="1">
        <v>0</v>
      </c>
      <c r="O1691" s="2"/>
      <c r="P1691" s="2"/>
      <c r="Q1691" s="2">
        <v>0</v>
      </c>
      <c r="R1691" s="6"/>
    </row>
    <row r="1692" spans="1:18" x14ac:dyDescent="0.25">
      <c r="A1692" s="2">
        <f t="shared" si="62"/>
        <v>1691</v>
      </c>
      <c r="B1692" s="2"/>
      <c r="C1692" s="2"/>
      <c r="D1692" s="2"/>
      <c r="E1692" s="2"/>
      <c r="F1692" s="2"/>
      <c r="G1692" s="2"/>
      <c r="H1692" s="2" t="str">
        <f t="shared" si="63"/>
        <v>0 г. 0 мес. 0 дн.</v>
      </c>
      <c r="I1692" s="2"/>
      <c r="J1692" s="2"/>
      <c r="K1692" s="2"/>
      <c r="L1692" s="2"/>
      <c r="M1692" s="2"/>
      <c r="N1692" s="1">
        <v>0</v>
      </c>
      <c r="O1692" s="2"/>
      <c r="P1692" s="2"/>
      <c r="Q1692" s="2">
        <v>0</v>
      </c>
      <c r="R1692" s="6"/>
    </row>
    <row r="1693" spans="1:18" x14ac:dyDescent="0.25">
      <c r="A1693" s="2">
        <f t="shared" ref="A1693:A1756" si="64">ROW(A1692)</f>
        <v>1692</v>
      </c>
      <c r="B1693" s="2"/>
      <c r="C1693" s="2"/>
      <c r="D1693" s="2"/>
      <c r="E1693" s="2"/>
      <c r="F1693" s="2"/>
      <c r="G1693" s="2"/>
      <c r="H1693" s="2" t="str">
        <f t="shared" si="63"/>
        <v>0 г. 0 мес. 0 дн.</v>
      </c>
      <c r="I1693" s="2"/>
      <c r="J1693" s="2"/>
      <c r="K1693" s="2"/>
      <c r="L1693" s="2"/>
      <c r="M1693" s="2"/>
      <c r="N1693" s="1">
        <v>0</v>
      </c>
      <c r="O1693" s="2"/>
      <c r="P1693" s="2"/>
      <c r="Q1693" s="2">
        <v>0</v>
      </c>
      <c r="R1693" s="6"/>
    </row>
    <row r="1694" spans="1:18" x14ac:dyDescent="0.25">
      <c r="A1694" s="2">
        <f t="shared" si="64"/>
        <v>1693</v>
      </c>
      <c r="B1694" s="2"/>
      <c r="C1694" s="2"/>
      <c r="D1694" s="2"/>
      <c r="E1694" s="2"/>
      <c r="F1694" s="2"/>
      <c r="G1694" s="2"/>
      <c r="H1694" s="2" t="str">
        <f t="shared" si="63"/>
        <v>0 г. 0 мес. 0 дн.</v>
      </c>
      <c r="I1694" s="2"/>
      <c r="J1694" s="2"/>
      <c r="K1694" s="2"/>
      <c r="L1694" s="2"/>
      <c r="M1694" s="2"/>
      <c r="N1694" s="1">
        <v>0</v>
      </c>
      <c r="O1694" s="2"/>
      <c r="P1694" s="2"/>
      <c r="Q1694" s="2">
        <v>0</v>
      </c>
      <c r="R1694" s="6"/>
    </row>
    <row r="1695" spans="1:18" x14ac:dyDescent="0.25">
      <c r="A1695" s="2">
        <f t="shared" si="64"/>
        <v>1694</v>
      </c>
      <c r="B1695" s="2"/>
      <c r="C1695" s="2"/>
      <c r="D1695" s="2"/>
      <c r="E1695" s="2"/>
      <c r="F1695" s="2"/>
      <c r="G1695" s="2"/>
      <c r="H1695" s="2" t="str">
        <f t="shared" si="63"/>
        <v>0 г. 0 мес. 0 дн.</v>
      </c>
      <c r="I1695" s="2"/>
      <c r="J1695" s="2"/>
      <c r="K1695" s="2"/>
      <c r="L1695" s="2"/>
      <c r="M1695" s="2"/>
      <c r="N1695" s="1">
        <v>0</v>
      </c>
      <c r="O1695" s="2"/>
      <c r="P1695" s="2"/>
      <c r="Q1695" s="2">
        <v>0</v>
      </c>
      <c r="R1695" s="6"/>
    </row>
    <row r="1696" spans="1:18" x14ac:dyDescent="0.25">
      <c r="A1696" s="2">
        <f t="shared" si="64"/>
        <v>1695</v>
      </c>
      <c r="B1696" s="2"/>
      <c r="C1696" s="2"/>
      <c r="D1696" s="2"/>
      <c r="E1696" s="2"/>
      <c r="F1696" s="2"/>
      <c r="G1696" s="2"/>
      <c r="H1696" s="2" t="str">
        <f t="shared" si="63"/>
        <v>0 г. 0 мес. 0 дн.</v>
      </c>
      <c r="I1696" s="2"/>
      <c r="J1696" s="2"/>
      <c r="K1696" s="2"/>
      <c r="L1696" s="2"/>
      <c r="M1696" s="2"/>
      <c r="N1696" s="1">
        <v>0</v>
      </c>
      <c r="O1696" s="2"/>
      <c r="P1696" s="2"/>
      <c r="Q1696" s="2">
        <v>0</v>
      </c>
      <c r="R1696" s="6"/>
    </row>
    <row r="1697" spans="1:18" x14ac:dyDescent="0.25">
      <c r="A1697" s="2">
        <f t="shared" si="64"/>
        <v>1696</v>
      </c>
      <c r="B1697" s="2"/>
      <c r="C1697" s="2"/>
      <c r="D1697" s="2"/>
      <c r="E1697" s="2"/>
      <c r="F1697" s="2"/>
      <c r="G1697" s="2"/>
      <c r="H1697" s="2" t="str">
        <f t="shared" si="63"/>
        <v>0 г. 0 мес. 0 дн.</v>
      </c>
      <c r="I1697" s="2"/>
      <c r="J1697" s="2"/>
      <c r="K1697" s="2"/>
      <c r="L1697" s="2"/>
      <c r="M1697" s="2"/>
      <c r="N1697" s="1">
        <v>0</v>
      </c>
      <c r="O1697" s="2"/>
      <c r="P1697" s="2"/>
      <c r="Q1697" s="2">
        <v>0</v>
      </c>
      <c r="R1697" s="6"/>
    </row>
    <row r="1698" spans="1:18" x14ac:dyDescent="0.25">
      <c r="A1698" s="2">
        <f t="shared" si="64"/>
        <v>1697</v>
      </c>
      <c r="B1698" s="2"/>
      <c r="C1698" s="2"/>
      <c r="D1698" s="2"/>
      <c r="E1698" s="2"/>
      <c r="F1698" s="2"/>
      <c r="G1698" s="2"/>
      <c r="H1698" s="2" t="str">
        <f t="shared" si="63"/>
        <v>0 г. 0 мес. 0 дн.</v>
      </c>
      <c r="I1698" s="2"/>
      <c r="J1698" s="2"/>
      <c r="K1698" s="2"/>
      <c r="L1698" s="2"/>
      <c r="M1698" s="2"/>
      <c r="N1698" s="1">
        <v>0</v>
      </c>
      <c r="O1698" s="2"/>
      <c r="P1698" s="2"/>
      <c r="Q1698" s="2">
        <v>0</v>
      </c>
      <c r="R1698" s="6"/>
    </row>
    <row r="1699" spans="1:18" x14ac:dyDescent="0.25">
      <c r="A1699" s="2">
        <f t="shared" si="64"/>
        <v>1698</v>
      </c>
      <c r="B1699" s="2"/>
      <c r="C1699" s="2"/>
      <c r="D1699" s="2"/>
      <c r="E1699" s="2"/>
      <c r="F1699" s="2"/>
      <c r="G1699" s="2"/>
      <c r="H1699" s="2" t="str">
        <f t="shared" si="63"/>
        <v>0 г. 0 мес. 0 дн.</v>
      </c>
      <c r="I1699" s="2"/>
      <c r="J1699" s="2"/>
      <c r="K1699" s="2"/>
      <c r="L1699" s="2"/>
      <c r="M1699" s="2"/>
      <c r="N1699" s="1">
        <v>0</v>
      </c>
      <c r="O1699" s="2"/>
      <c r="P1699" s="2"/>
      <c r="Q1699" s="2">
        <v>0</v>
      </c>
      <c r="R1699" s="6"/>
    </row>
    <row r="1700" spans="1:18" x14ac:dyDescent="0.25">
      <c r="A1700" s="2">
        <f t="shared" si="64"/>
        <v>1699</v>
      </c>
      <c r="B1700" s="2"/>
      <c r="C1700" s="2"/>
      <c r="D1700" s="2"/>
      <c r="E1700" s="2"/>
      <c r="F1700" s="2"/>
      <c r="G1700" s="2"/>
      <c r="H1700" s="2" t="str">
        <f t="shared" si="63"/>
        <v>0 г. 0 мес. 0 дн.</v>
      </c>
      <c r="I1700" s="2"/>
      <c r="J1700" s="2"/>
      <c r="K1700" s="2"/>
      <c r="L1700" s="2"/>
      <c r="M1700" s="2"/>
      <c r="N1700" s="1">
        <v>0</v>
      </c>
      <c r="O1700" s="2"/>
      <c r="P1700" s="2"/>
      <c r="Q1700" s="2">
        <v>0</v>
      </c>
      <c r="R1700" s="6"/>
    </row>
    <row r="1701" spans="1:18" x14ac:dyDescent="0.25">
      <c r="A1701" s="2">
        <f t="shared" si="64"/>
        <v>1700</v>
      </c>
      <c r="B1701" s="2"/>
      <c r="C1701" s="2"/>
      <c r="D1701" s="2"/>
      <c r="E1701" s="2"/>
      <c r="F1701" s="2"/>
      <c r="G1701" s="2"/>
      <c r="H1701" s="2" t="str">
        <f t="shared" si="63"/>
        <v>0 г. 0 мес. 0 дн.</v>
      </c>
      <c r="I1701" s="2"/>
      <c r="J1701" s="2"/>
      <c r="K1701" s="2"/>
      <c r="L1701" s="2"/>
      <c r="M1701" s="2"/>
      <c r="N1701" s="1">
        <v>0</v>
      </c>
      <c r="O1701" s="2"/>
      <c r="P1701" s="2"/>
      <c r="Q1701" s="2">
        <v>0</v>
      </c>
      <c r="R1701" s="6"/>
    </row>
    <row r="1702" spans="1:18" x14ac:dyDescent="0.25">
      <c r="A1702" s="2">
        <f t="shared" si="64"/>
        <v>1701</v>
      </c>
      <c r="B1702" s="2"/>
      <c r="C1702" s="2"/>
      <c r="D1702" s="2"/>
      <c r="E1702" s="2"/>
      <c r="F1702" s="2"/>
      <c r="G1702" s="2"/>
      <c r="H1702" s="2" t="str">
        <f t="shared" si="63"/>
        <v>0 г. 0 мес. 0 дн.</v>
      </c>
      <c r="I1702" s="2"/>
      <c r="J1702" s="2"/>
      <c r="K1702" s="2"/>
      <c r="L1702" s="2"/>
      <c r="M1702" s="2"/>
      <c r="N1702" s="1">
        <v>0</v>
      </c>
      <c r="O1702" s="2"/>
      <c r="P1702" s="2"/>
      <c r="Q1702" s="2">
        <v>0</v>
      </c>
      <c r="R1702" s="6"/>
    </row>
    <row r="1703" spans="1:18" x14ac:dyDescent="0.25">
      <c r="A1703" s="2">
        <f t="shared" si="64"/>
        <v>1702</v>
      </c>
      <c r="B1703" s="2"/>
      <c r="C1703" s="2"/>
      <c r="D1703" s="2"/>
      <c r="E1703" s="2"/>
      <c r="F1703" s="2"/>
      <c r="G1703" s="2"/>
      <c r="H1703" s="2" t="str">
        <f t="shared" si="63"/>
        <v>0 г. 0 мес. 0 дн.</v>
      </c>
      <c r="I1703" s="2"/>
      <c r="J1703" s="2"/>
      <c r="K1703" s="2"/>
      <c r="L1703" s="2"/>
      <c r="M1703" s="2"/>
      <c r="N1703" s="1">
        <v>0</v>
      </c>
      <c r="O1703" s="2"/>
      <c r="P1703" s="2"/>
      <c r="Q1703" s="2">
        <v>0</v>
      </c>
      <c r="R1703" s="6"/>
    </row>
    <row r="1704" spans="1:18" x14ac:dyDescent="0.25">
      <c r="A1704" s="2">
        <f t="shared" si="64"/>
        <v>1703</v>
      </c>
      <c r="B1704" s="2"/>
      <c r="C1704" s="2"/>
      <c r="D1704" s="2"/>
      <c r="E1704" s="2"/>
      <c r="F1704" s="2"/>
      <c r="G1704" s="2"/>
      <c r="H1704" s="2" t="str">
        <f t="shared" si="63"/>
        <v>0 г. 0 мес. 0 дн.</v>
      </c>
      <c r="I1704" s="2"/>
      <c r="J1704" s="2"/>
      <c r="K1704" s="2"/>
      <c r="L1704" s="2"/>
      <c r="M1704" s="2"/>
      <c r="N1704" s="1">
        <v>0</v>
      </c>
      <c r="O1704" s="2"/>
      <c r="P1704" s="2"/>
      <c r="Q1704" s="2">
        <v>0</v>
      </c>
      <c r="R1704" s="6"/>
    </row>
    <row r="1705" spans="1:18" x14ac:dyDescent="0.25">
      <c r="A1705" s="2">
        <f t="shared" si="64"/>
        <v>1704</v>
      </c>
      <c r="B1705" s="2"/>
      <c r="C1705" s="2"/>
      <c r="D1705" s="2"/>
      <c r="E1705" s="2"/>
      <c r="F1705" s="2"/>
      <c r="G1705" s="2"/>
      <c r="H1705" s="2" t="str">
        <f t="shared" si="63"/>
        <v>0 г. 0 мес. 0 дн.</v>
      </c>
      <c r="I1705" s="2"/>
      <c r="J1705" s="2"/>
      <c r="K1705" s="2"/>
      <c r="L1705" s="2"/>
      <c r="M1705" s="2"/>
      <c r="N1705" s="1">
        <v>0</v>
      </c>
      <c r="O1705" s="2"/>
      <c r="P1705" s="2"/>
      <c r="Q1705" s="2">
        <v>0</v>
      </c>
      <c r="R1705" s="6"/>
    </row>
    <row r="1706" spans="1:18" x14ac:dyDescent="0.25">
      <c r="A1706" s="2">
        <f t="shared" si="64"/>
        <v>1705</v>
      </c>
      <c r="B1706" s="2"/>
      <c r="C1706" s="2"/>
      <c r="D1706" s="2"/>
      <c r="E1706" s="2"/>
      <c r="F1706" s="2"/>
      <c r="G1706" s="2"/>
      <c r="H1706" s="2" t="str">
        <f t="shared" si="63"/>
        <v>0 г. 0 мес. 0 дн.</v>
      </c>
      <c r="I1706" s="2"/>
      <c r="J1706" s="2"/>
      <c r="K1706" s="2"/>
      <c r="L1706" s="2"/>
      <c r="M1706" s="2"/>
      <c r="N1706" s="1">
        <v>0</v>
      </c>
      <c r="O1706" s="2"/>
      <c r="P1706" s="2"/>
      <c r="Q1706" s="2">
        <v>0</v>
      </c>
      <c r="R1706" s="6"/>
    </row>
    <row r="1707" spans="1:18" x14ac:dyDescent="0.25">
      <c r="A1707" s="2">
        <f t="shared" si="64"/>
        <v>1706</v>
      </c>
      <c r="B1707" s="2"/>
      <c r="C1707" s="2"/>
      <c r="D1707" s="2"/>
      <c r="E1707" s="2"/>
      <c r="F1707" s="2"/>
      <c r="G1707" s="2"/>
      <c r="H1707" s="2" t="str">
        <f t="shared" si="63"/>
        <v>0 г. 0 мес. 0 дн.</v>
      </c>
      <c r="I1707" s="2"/>
      <c r="J1707" s="2"/>
      <c r="K1707" s="2"/>
      <c r="L1707" s="2"/>
      <c r="M1707" s="2"/>
      <c r="N1707" s="1">
        <v>0</v>
      </c>
      <c r="O1707" s="2"/>
      <c r="P1707" s="2"/>
      <c r="Q1707" s="2">
        <v>0</v>
      </c>
      <c r="R1707" s="6"/>
    </row>
    <row r="1708" spans="1:18" x14ac:dyDescent="0.25">
      <c r="A1708" s="2">
        <f t="shared" si="64"/>
        <v>1707</v>
      </c>
      <c r="B1708" s="2"/>
      <c r="C1708" s="2"/>
      <c r="D1708" s="2"/>
      <c r="E1708" s="2"/>
      <c r="F1708" s="2"/>
      <c r="G1708" s="2"/>
      <c r="H1708" s="2" t="str">
        <f t="shared" si="63"/>
        <v>0 г. 0 мес. 0 дн.</v>
      </c>
      <c r="I1708" s="2"/>
      <c r="J1708" s="2"/>
      <c r="K1708" s="2"/>
      <c r="L1708" s="2"/>
      <c r="M1708" s="2"/>
      <c r="N1708" s="1">
        <v>0</v>
      </c>
      <c r="O1708" s="2"/>
      <c r="P1708" s="2"/>
      <c r="Q1708" s="2">
        <v>0</v>
      </c>
      <c r="R1708" s="6"/>
    </row>
    <row r="1709" spans="1:18" x14ac:dyDescent="0.25">
      <c r="A1709" s="2">
        <f t="shared" si="64"/>
        <v>1708</v>
      </c>
      <c r="B1709" s="2"/>
      <c r="C1709" s="2"/>
      <c r="D1709" s="2"/>
      <c r="E1709" s="2"/>
      <c r="F1709" s="2"/>
      <c r="G1709" s="2"/>
      <c r="H1709" s="2" t="str">
        <f t="shared" si="63"/>
        <v>0 г. 0 мес. 0 дн.</v>
      </c>
      <c r="I1709" s="2"/>
      <c r="J1709" s="2"/>
      <c r="K1709" s="2"/>
      <c r="L1709" s="2"/>
      <c r="M1709" s="2"/>
      <c r="N1709" s="1">
        <v>0</v>
      </c>
      <c r="O1709" s="2"/>
      <c r="P1709" s="2"/>
      <c r="Q1709" s="2">
        <v>0</v>
      </c>
      <c r="R1709" s="6"/>
    </row>
    <row r="1710" spans="1:18" x14ac:dyDescent="0.25">
      <c r="A1710" s="2">
        <f t="shared" si="64"/>
        <v>1709</v>
      </c>
      <c r="B1710" s="2"/>
      <c r="C1710" s="2"/>
      <c r="D1710" s="2"/>
      <c r="E1710" s="2"/>
      <c r="F1710" s="2"/>
      <c r="G1710" s="2"/>
      <c r="H1710" s="2" t="str">
        <f t="shared" si="63"/>
        <v>0 г. 0 мес. 0 дн.</v>
      </c>
      <c r="I1710" s="2"/>
      <c r="J1710" s="2"/>
      <c r="K1710" s="2"/>
      <c r="L1710" s="2"/>
      <c r="M1710" s="2"/>
      <c r="N1710" s="1">
        <v>0</v>
      </c>
      <c r="O1710" s="2"/>
      <c r="P1710" s="2"/>
      <c r="Q1710" s="2">
        <v>0</v>
      </c>
      <c r="R1710" s="6"/>
    </row>
    <row r="1711" spans="1:18" x14ac:dyDescent="0.25">
      <c r="A1711" s="2">
        <f t="shared" si="64"/>
        <v>1710</v>
      </c>
      <c r="B1711" s="2"/>
      <c r="C1711" s="2"/>
      <c r="D1711" s="2"/>
      <c r="E1711" s="2"/>
      <c r="F1711" s="2"/>
      <c r="G1711" s="2"/>
      <c r="H1711" s="2" t="str">
        <f t="shared" si="63"/>
        <v>0 г. 0 мес. 0 дн.</v>
      </c>
      <c r="I1711" s="2"/>
      <c r="J1711" s="2"/>
      <c r="K1711" s="2"/>
      <c r="L1711" s="2"/>
      <c r="M1711" s="2"/>
      <c r="N1711" s="1">
        <v>0</v>
      </c>
      <c r="O1711" s="2"/>
      <c r="P1711" s="2"/>
      <c r="Q1711" s="2">
        <v>0</v>
      </c>
      <c r="R1711" s="6"/>
    </row>
    <row r="1712" spans="1:18" x14ac:dyDescent="0.25">
      <c r="A1712" s="2">
        <f t="shared" si="64"/>
        <v>1711</v>
      </c>
      <c r="B1712" s="2"/>
      <c r="C1712" s="2"/>
      <c r="D1712" s="2"/>
      <c r="E1712" s="2"/>
      <c r="F1712" s="2"/>
      <c r="G1712" s="2"/>
      <c r="H1712" s="2" t="str">
        <f t="shared" si="63"/>
        <v>0 г. 0 мес. 0 дн.</v>
      </c>
      <c r="I1712" s="2"/>
      <c r="J1712" s="2"/>
      <c r="K1712" s="2"/>
      <c r="L1712" s="2"/>
      <c r="M1712" s="2"/>
      <c r="N1712" s="1">
        <v>0</v>
      </c>
      <c r="O1712" s="2"/>
      <c r="P1712" s="2"/>
      <c r="Q1712" s="2">
        <v>0</v>
      </c>
      <c r="R1712" s="6"/>
    </row>
    <row r="1713" spans="1:18" x14ac:dyDescent="0.25">
      <c r="A1713" s="2">
        <f t="shared" si="64"/>
        <v>1712</v>
      </c>
      <c r="B1713" s="2"/>
      <c r="C1713" s="2"/>
      <c r="D1713" s="2"/>
      <c r="E1713" s="2"/>
      <c r="F1713" s="2"/>
      <c r="G1713" s="2"/>
      <c r="H1713" s="2" t="str">
        <f t="shared" si="63"/>
        <v>0 г. 0 мес. 0 дн.</v>
      </c>
      <c r="I1713" s="2"/>
      <c r="J1713" s="2"/>
      <c r="K1713" s="2"/>
      <c r="L1713" s="2"/>
      <c r="M1713" s="2"/>
      <c r="N1713" s="1">
        <v>0</v>
      </c>
      <c r="O1713" s="2"/>
      <c r="P1713" s="2"/>
      <c r="Q1713" s="2">
        <v>0</v>
      </c>
      <c r="R1713" s="6"/>
    </row>
    <row r="1714" spans="1:18" x14ac:dyDescent="0.25">
      <c r="A1714" s="2">
        <f t="shared" si="64"/>
        <v>1713</v>
      </c>
      <c r="B1714" s="2"/>
      <c r="C1714" s="2"/>
      <c r="D1714" s="2"/>
      <c r="E1714" s="2"/>
      <c r="F1714" s="2"/>
      <c r="G1714" s="2"/>
      <c r="H1714" s="2" t="str">
        <f t="shared" si="63"/>
        <v>0 г. 0 мес. 0 дн.</v>
      </c>
      <c r="I1714" s="2"/>
      <c r="J1714" s="2"/>
      <c r="K1714" s="2"/>
      <c r="L1714" s="2"/>
      <c r="M1714" s="2"/>
      <c r="N1714" s="1">
        <v>0</v>
      </c>
      <c r="O1714" s="2"/>
      <c r="P1714" s="2"/>
      <c r="Q1714" s="2">
        <v>0</v>
      </c>
      <c r="R1714" s="6"/>
    </row>
    <row r="1715" spans="1:18" x14ac:dyDescent="0.25">
      <c r="A1715" s="2">
        <f t="shared" si="64"/>
        <v>1714</v>
      </c>
      <c r="B1715" s="2"/>
      <c r="C1715" s="2"/>
      <c r="D1715" s="2"/>
      <c r="E1715" s="2"/>
      <c r="F1715" s="2"/>
      <c r="G1715" s="2"/>
      <c r="H1715" s="2" t="str">
        <f t="shared" si="63"/>
        <v>0 г. 0 мес. 0 дн.</v>
      </c>
      <c r="I1715" s="2"/>
      <c r="J1715" s="2"/>
      <c r="K1715" s="2"/>
      <c r="L1715" s="2"/>
      <c r="M1715" s="2"/>
      <c r="N1715" s="1">
        <v>0</v>
      </c>
      <c r="O1715" s="2"/>
      <c r="P1715" s="2"/>
      <c r="Q1715" s="2">
        <v>0</v>
      </c>
      <c r="R1715" s="6"/>
    </row>
    <row r="1716" spans="1:18" x14ac:dyDescent="0.25">
      <c r="A1716" s="2">
        <f t="shared" si="64"/>
        <v>1715</v>
      </c>
      <c r="B1716" s="2"/>
      <c r="C1716" s="2"/>
      <c r="D1716" s="2"/>
      <c r="E1716" s="2"/>
      <c r="F1716" s="2"/>
      <c r="G1716" s="2"/>
      <c r="H1716" s="2" t="str">
        <f t="shared" si="63"/>
        <v>0 г. 0 мес. 0 дн.</v>
      </c>
      <c r="I1716" s="2"/>
      <c r="J1716" s="2"/>
      <c r="K1716" s="2"/>
      <c r="L1716" s="2"/>
      <c r="M1716" s="2"/>
      <c r="N1716" s="1">
        <v>0</v>
      </c>
      <c r="O1716" s="2"/>
      <c r="P1716" s="2"/>
      <c r="Q1716" s="2">
        <v>0</v>
      </c>
      <c r="R1716" s="6"/>
    </row>
    <row r="1717" spans="1:18" x14ac:dyDescent="0.25">
      <c r="A1717" s="2">
        <f t="shared" si="64"/>
        <v>1716</v>
      </c>
      <c r="B1717" s="2"/>
      <c r="C1717" s="2"/>
      <c r="D1717" s="2"/>
      <c r="E1717" s="2"/>
      <c r="F1717" s="2"/>
      <c r="G1717" s="2"/>
      <c r="H1717" s="2" t="str">
        <f t="shared" si="63"/>
        <v>0 г. 0 мес. 0 дн.</v>
      </c>
      <c r="I1717" s="2"/>
      <c r="J1717" s="2"/>
      <c r="K1717" s="2"/>
      <c r="L1717" s="2"/>
      <c r="M1717" s="2"/>
      <c r="N1717" s="1">
        <v>0</v>
      </c>
      <c r="O1717" s="2"/>
      <c r="P1717" s="2"/>
      <c r="Q1717" s="2">
        <v>0</v>
      </c>
      <c r="R1717" s="6"/>
    </row>
    <row r="1718" spans="1:18" x14ac:dyDescent="0.25">
      <c r="A1718" s="2">
        <f t="shared" si="64"/>
        <v>1717</v>
      </c>
      <c r="B1718" s="2"/>
      <c r="C1718" s="2"/>
      <c r="D1718" s="2"/>
      <c r="E1718" s="2"/>
      <c r="F1718" s="2"/>
      <c r="G1718" s="2"/>
      <c r="H1718" s="2" t="str">
        <f t="shared" si="63"/>
        <v>0 г. 0 мес. 0 дн.</v>
      </c>
      <c r="I1718" s="2"/>
      <c r="J1718" s="2"/>
      <c r="K1718" s="2"/>
      <c r="L1718" s="2"/>
      <c r="M1718" s="2"/>
      <c r="N1718" s="1">
        <v>0</v>
      </c>
      <c r="O1718" s="2"/>
      <c r="P1718" s="2"/>
      <c r="Q1718" s="2">
        <v>0</v>
      </c>
      <c r="R1718" s="6"/>
    </row>
    <row r="1719" spans="1:18" x14ac:dyDescent="0.25">
      <c r="A1719" s="2">
        <f t="shared" si="64"/>
        <v>1718</v>
      </c>
      <c r="B1719" s="2"/>
      <c r="C1719" s="2"/>
      <c r="D1719" s="2"/>
      <c r="E1719" s="2"/>
      <c r="F1719" s="2"/>
      <c r="G1719" s="2"/>
      <c r="H1719" s="2" t="str">
        <f t="shared" si="63"/>
        <v>0 г. 0 мес. 0 дн.</v>
      </c>
      <c r="I1719" s="2"/>
      <c r="J1719" s="2"/>
      <c r="K1719" s="2"/>
      <c r="L1719" s="2"/>
      <c r="M1719" s="2"/>
      <c r="N1719" s="1">
        <v>0</v>
      </c>
      <c r="O1719" s="2"/>
      <c r="P1719" s="2"/>
      <c r="Q1719" s="2">
        <v>0</v>
      </c>
      <c r="R1719" s="6"/>
    </row>
    <row r="1720" spans="1:18" x14ac:dyDescent="0.25">
      <c r="A1720" s="2">
        <f t="shared" si="64"/>
        <v>1719</v>
      </c>
      <c r="B1720" s="2"/>
      <c r="C1720" s="2"/>
      <c r="D1720" s="2"/>
      <c r="E1720" s="2"/>
      <c r="F1720" s="2"/>
      <c r="G1720" s="2"/>
      <c r="H1720" s="2" t="str">
        <f t="shared" si="63"/>
        <v>0 г. 0 мес. 0 дн.</v>
      </c>
      <c r="I1720" s="2"/>
      <c r="J1720" s="2"/>
      <c r="K1720" s="2"/>
      <c r="L1720" s="2"/>
      <c r="M1720" s="2"/>
      <c r="N1720" s="1">
        <v>0</v>
      </c>
      <c r="O1720" s="2"/>
      <c r="P1720" s="2"/>
      <c r="Q1720" s="2">
        <v>0</v>
      </c>
      <c r="R1720" s="6"/>
    </row>
    <row r="1721" spans="1:18" x14ac:dyDescent="0.25">
      <c r="A1721" s="2">
        <f t="shared" si="64"/>
        <v>1720</v>
      </c>
      <c r="B1721" s="2"/>
      <c r="C1721" s="2"/>
      <c r="D1721" s="2"/>
      <c r="E1721" s="2"/>
      <c r="F1721" s="2"/>
      <c r="G1721" s="2"/>
      <c r="H1721" s="2" t="str">
        <f t="shared" si="63"/>
        <v>0 г. 0 мес. 0 дн.</v>
      </c>
      <c r="I1721" s="2"/>
      <c r="J1721" s="2"/>
      <c r="K1721" s="2"/>
      <c r="L1721" s="2"/>
      <c r="M1721" s="2"/>
      <c r="N1721" s="1">
        <v>0</v>
      </c>
      <c r="O1721" s="2"/>
      <c r="P1721" s="2"/>
      <c r="Q1721" s="2">
        <v>0</v>
      </c>
      <c r="R1721" s="6"/>
    </row>
    <row r="1722" spans="1:18" x14ac:dyDescent="0.25">
      <c r="A1722" s="2">
        <f t="shared" si="64"/>
        <v>1721</v>
      </c>
      <c r="B1722" s="2"/>
      <c r="C1722" s="2"/>
      <c r="D1722" s="2"/>
      <c r="E1722" s="2"/>
      <c r="F1722" s="2"/>
      <c r="G1722" s="2"/>
      <c r="H1722" s="2" t="str">
        <f t="shared" si="63"/>
        <v>0 г. 0 мес. 0 дн.</v>
      </c>
      <c r="I1722" s="2"/>
      <c r="J1722" s="2"/>
      <c r="K1722" s="2"/>
      <c r="L1722" s="2"/>
      <c r="M1722" s="2"/>
      <c r="N1722" s="1">
        <v>0</v>
      </c>
      <c r="O1722" s="2"/>
      <c r="P1722" s="2"/>
      <c r="Q1722" s="2">
        <v>0</v>
      </c>
      <c r="R1722" s="6"/>
    </row>
    <row r="1723" spans="1:18" x14ac:dyDescent="0.25">
      <c r="A1723" s="2">
        <f t="shared" si="64"/>
        <v>1722</v>
      </c>
      <c r="B1723" s="2"/>
      <c r="C1723" s="2"/>
      <c r="D1723" s="2"/>
      <c r="E1723" s="2"/>
      <c r="F1723" s="2"/>
      <c r="G1723" s="2"/>
      <c r="H1723" s="2" t="str">
        <f t="shared" si="63"/>
        <v>0 г. 0 мес. 0 дн.</v>
      </c>
      <c r="I1723" s="2"/>
      <c r="J1723" s="2"/>
      <c r="K1723" s="2"/>
      <c r="L1723" s="2"/>
      <c r="M1723" s="2"/>
      <c r="N1723" s="1">
        <v>0</v>
      </c>
      <c r="O1723" s="2"/>
      <c r="P1723" s="2"/>
      <c r="Q1723" s="2">
        <v>0</v>
      </c>
      <c r="R1723" s="6"/>
    </row>
    <row r="1724" spans="1:18" x14ac:dyDescent="0.25">
      <c r="A1724" s="2">
        <f t="shared" si="64"/>
        <v>1723</v>
      </c>
      <c r="B1724" s="2"/>
      <c r="C1724" s="2"/>
      <c r="D1724" s="2"/>
      <c r="E1724" s="2"/>
      <c r="F1724" s="2"/>
      <c r="G1724" s="2"/>
      <c r="H1724" s="2" t="str">
        <f t="shared" si="63"/>
        <v>0 г. 0 мес. 0 дн.</v>
      </c>
      <c r="I1724" s="2"/>
      <c r="J1724" s="2"/>
      <c r="K1724" s="2"/>
      <c r="L1724" s="2"/>
      <c r="M1724" s="2"/>
      <c r="N1724" s="1">
        <v>0</v>
      </c>
      <c r="O1724" s="2"/>
      <c r="P1724" s="2"/>
      <c r="Q1724" s="2">
        <v>0</v>
      </c>
      <c r="R1724" s="6"/>
    </row>
    <row r="1725" spans="1:18" x14ac:dyDescent="0.25">
      <c r="A1725" s="2">
        <f t="shared" si="64"/>
        <v>1724</v>
      </c>
      <c r="B1725" s="2"/>
      <c r="C1725" s="2"/>
      <c r="D1725" s="2"/>
      <c r="E1725" s="2"/>
      <c r="F1725" s="2"/>
      <c r="G1725" s="2"/>
      <c r="H1725" s="2" t="str">
        <f t="shared" si="63"/>
        <v>0 г. 0 мес. 0 дн.</v>
      </c>
      <c r="I1725" s="2"/>
      <c r="J1725" s="2"/>
      <c r="K1725" s="2"/>
      <c r="L1725" s="2"/>
      <c r="M1725" s="2"/>
      <c r="N1725" s="1">
        <v>0</v>
      </c>
      <c r="O1725" s="2"/>
      <c r="P1725" s="2"/>
      <c r="Q1725" s="2">
        <v>0</v>
      </c>
      <c r="R1725" s="6"/>
    </row>
    <row r="1726" spans="1:18" x14ac:dyDescent="0.25">
      <c r="A1726" s="2">
        <f t="shared" si="64"/>
        <v>1725</v>
      </c>
      <c r="B1726" s="2"/>
      <c r="C1726" s="2"/>
      <c r="D1726" s="2"/>
      <c r="E1726" s="2"/>
      <c r="F1726" s="2"/>
      <c r="G1726" s="2"/>
      <c r="H1726" s="2" t="str">
        <f t="shared" si="63"/>
        <v>0 г. 0 мес. 0 дн.</v>
      </c>
      <c r="I1726" s="2"/>
      <c r="J1726" s="2"/>
      <c r="K1726" s="2"/>
      <c r="L1726" s="2"/>
      <c r="M1726" s="2"/>
      <c r="N1726" s="1">
        <v>0</v>
      </c>
      <c r="O1726" s="2"/>
      <c r="P1726" s="2"/>
      <c r="Q1726" s="2">
        <v>0</v>
      </c>
      <c r="R1726" s="6"/>
    </row>
    <row r="1727" spans="1:18" x14ac:dyDescent="0.25">
      <c r="A1727" s="2">
        <f t="shared" si="64"/>
        <v>1726</v>
      </c>
      <c r="B1727" s="2"/>
      <c r="C1727" s="2"/>
      <c r="D1727" s="2"/>
      <c r="E1727" s="2"/>
      <c r="F1727" s="2"/>
      <c r="G1727" s="2"/>
      <c r="H1727" s="2" t="str">
        <f t="shared" si="63"/>
        <v>0 г. 0 мес. 0 дн.</v>
      </c>
      <c r="I1727" s="2"/>
      <c r="J1727" s="2"/>
      <c r="K1727" s="2"/>
      <c r="L1727" s="2"/>
      <c r="M1727" s="2"/>
      <c r="N1727" s="1">
        <v>0</v>
      </c>
      <c r="O1727" s="2"/>
      <c r="P1727" s="2"/>
      <c r="Q1727" s="2">
        <v>0</v>
      </c>
      <c r="R1727" s="6"/>
    </row>
    <row r="1728" spans="1:18" x14ac:dyDescent="0.25">
      <c r="A1728" s="2">
        <f t="shared" si="64"/>
        <v>1727</v>
      </c>
      <c r="B1728" s="2"/>
      <c r="C1728" s="2"/>
      <c r="D1728" s="2"/>
      <c r="E1728" s="2"/>
      <c r="F1728" s="2"/>
      <c r="G1728" s="2"/>
      <c r="H1728" s="2" t="str">
        <f t="shared" si="63"/>
        <v>0 г. 0 мес. 0 дн.</v>
      </c>
      <c r="I1728" s="2"/>
      <c r="J1728" s="2"/>
      <c r="K1728" s="2"/>
      <c r="L1728" s="2"/>
      <c r="M1728" s="2"/>
      <c r="N1728" s="1">
        <v>0</v>
      </c>
      <c r="O1728" s="2"/>
      <c r="P1728" s="2"/>
      <c r="Q1728" s="2">
        <v>0</v>
      </c>
      <c r="R1728" s="6"/>
    </row>
    <row r="1729" spans="1:18" x14ac:dyDescent="0.25">
      <c r="A1729" s="2">
        <f t="shared" si="64"/>
        <v>1728</v>
      </c>
      <c r="B1729" s="2"/>
      <c r="C1729" s="2"/>
      <c r="D1729" s="2"/>
      <c r="E1729" s="2"/>
      <c r="F1729" s="2"/>
      <c r="G1729" s="2"/>
      <c r="H1729" s="2" t="str">
        <f t="shared" si="63"/>
        <v>0 г. 0 мес. 0 дн.</v>
      </c>
      <c r="I1729" s="2"/>
      <c r="J1729" s="2"/>
      <c r="K1729" s="2"/>
      <c r="L1729" s="2"/>
      <c r="M1729" s="2"/>
      <c r="N1729" s="1">
        <v>0</v>
      </c>
      <c r="O1729" s="2"/>
      <c r="P1729" s="2"/>
      <c r="Q1729" s="2">
        <v>0</v>
      </c>
      <c r="R1729" s="6"/>
    </row>
    <row r="1730" spans="1:18" x14ac:dyDescent="0.25">
      <c r="A1730" s="2">
        <f t="shared" si="64"/>
        <v>1729</v>
      </c>
      <c r="B1730" s="2"/>
      <c r="C1730" s="2"/>
      <c r="D1730" s="2"/>
      <c r="E1730" s="2"/>
      <c r="F1730" s="2"/>
      <c r="G1730" s="2"/>
      <c r="H1730" s="2" t="str">
        <f t="shared" si="63"/>
        <v>0 г. 0 мес. 0 дн.</v>
      </c>
      <c r="I1730" s="2"/>
      <c r="J1730" s="2"/>
      <c r="K1730" s="2"/>
      <c r="L1730" s="2"/>
      <c r="M1730" s="2"/>
      <c r="N1730" s="1">
        <v>0</v>
      </c>
      <c r="O1730" s="2"/>
      <c r="P1730" s="2"/>
      <c r="Q1730" s="2">
        <v>0</v>
      </c>
      <c r="R1730" s="6"/>
    </row>
    <row r="1731" spans="1:18" x14ac:dyDescent="0.25">
      <c r="A1731" s="2">
        <f t="shared" si="64"/>
        <v>1730</v>
      </c>
      <c r="B1731" s="2"/>
      <c r="C1731" s="2"/>
      <c r="D1731" s="2"/>
      <c r="E1731" s="2"/>
      <c r="F1731" s="2"/>
      <c r="G1731" s="2"/>
      <c r="H1731" s="2" t="str">
        <f t="shared" si="63"/>
        <v>0 г. 0 мес. 0 дн.</v>
      </c>
      <c r="I1731" s="2"/>
      <c r="J1731" s="2"/>
      <c r="K1731" s="2"/>
      <c r="L1731" s="2"/>
      <c r="M1731" s="2"/>
      <c r="N1731" s="1">
        <v>0</v>
      </c>
      <c r="O1731" s="2"/>
      <c r="P1731" s="2"/>
      <c r="Q1731" s="2">
        <v>0</v>
      </c>
      <c r="R1731" s="6"/>
    </row>
    <row r="1732" spans="1:18" x14ac:dyDescent="0.25">
      <c r="A1732" s="2">
        <f t="shared" si="64"/>
        <v>1731</v>
      </c>
      <c r="B1732" s="2"/>
      <c r="C1732" s="2"/>
      <c r="D1732" s="2"/>
      <c r="E1732" s="2"/>
      <c r="F1732" s="2"/>
      <c r="G1732" s="2"/>
      <c r="H1732" s="2" t="str">
        <f t="shared" ref="H1732:H1795" si="65">DATEDIF(G1732,D1732,"y") &amp; " г. " &amp; DATEDIF(G1732,D1732,"ym") &amp; " мес. " &amp; DATEDIF(G1732,D1732,"md") &amp; " дн."</f>
        <v>0 г. 0 мес. 0 дн.</v>
      </c>
      <c r="I1732" s="2"/>
      <c r="J1732" s="2"/>
      <c r="K1732" s="2"/>
      <c r="L1732" s="2"/>
      <c r="M1732" s="2"/>
      <c r="N1732" s="1">
        <v>0</v>
      </c>
      <c r="O1732" s="2"/>
      <c r="P1732" s="2"/>
      <c r="Q1732" s="2">
        <v>0</v>
      </c>
      <c r="R1732" s="6"/>
    </row>
    <row r="1733" spans="1:18" x14ac:dyDescent="0.25">
      <c r="A1733" s="2">
        <f t="shared" si="64"/>
        <v>1732</v>
      </c>
      <c r="B1733" s="2"/>
      <c r="C1733" s="2"/>
      <c r="D1733" s="2"/>
      <c r="E1733" s="2"/>
      <c r="F1733" s="2"/>
      <c r="G1733" s="2"/>
      <c r="H1733" s="2" t="str">
        <f t="shared" si="65"/>
        <v>0 г. 0 мес. 0 дн.</v>
      </c>
      <c r="I1733" s="2"/>
      <c r="J1733" s="2"/>
      <c r="K1733" s="2"/>
      <c r="L1733" s="2"/>
      <c r="M1733" s="2"/>
      <c r="N1733" s="1">
        <v>0</v>
      </c>
      <c r="O1733" s="2"/>
      <c r="P1733" s="2"/>
      <c r="Q1733" s="2">
        <v>0</v>
      </c>
      <c r="R1733" s="6"/>
    </row>
    <row r="1734" spans="1:18" x14ac:dyDescent="0.25">
      <c r="A1734" s="2">
        <f t="shared" si="64"/>
        <v>1733</v>
      </c>
      <c r="B1734" s="2"/>
      <c r="C1734" s="2"/>
      <c r="D1734" s="2"/>
      <c r="E1734" s="2"/>
      <c r="F1734" s="2"/>
      <c r="G1734" s="2"/>
      <c r="H1734" s="2" t="str">
        <f t="shared" si="65"/>
        <v>0 г. 0 мес. 0 дн.</v>
      </c>
      <c r="I1734" s="2"/>
      <c r="J1734" s="2"/>
      <c r="K1734" s="2"/>
      <c r="L1734" s="2"/>
      <c r="M1734" s="2"/>
      <c r="N1734" s="1">
        <v>0</v>
      </c>
      <c r="O1734" s="2"/>
      <c r="P1734" s="2"/>
      <c r="Q1734" s="2">
        <v>0</v>
      </c>
      <c r="R1734" s="6"/>
    </row>
    <row r="1735" spans="1:18" x14ac:dyDescent="0.25">
      <c r="A1735" s="2">
        <f t="shared" si="64"/>
        <v>1734</v>
      </c>
      <c r="B1735" s="2"/>
      <c r="C1735" s="2"/>
      <c r="D1735" s="2"/>
      <c r="E1735" s="2"/>
      <c r="F1735" s="2"/>
      <c r="G1735" s="2"/>
      <c r="H1735" s="2" t="str">
        <f t="shared" si="65"/>
        <v>0 г. 0 мес. 0 дн.</v>
      </c>
      <c r="I1735" s="2"/>
      <c r="J1735" s="2"/>
      <c r="K1735" s="2"/>
      <c r="L1735" s="2"/>
      <c r="M1735" s="2"/>
      <c r="N1735" s="1">
        <v>0</v>
      </c>
      <c r="O1735" s="2"/>
      <c r="P1735" s="2"/>
      <c r="Q1735" s="2">
        <v>0</v>
      </c>
      <c r="R1735" s="6"/>
    </row>
    <row r="1736" spans="1:18" x14ac:dyDescent="0.25">
      <c r="A1736" s="2">
        <f t="shared" si="64"/>
        <v>1735</v>
      </c>
      <c r="B1736" s="2"/>
      <c r="C1736" s="2"/>
      <c r="D1736" s="2"/>
      <c r="E1736" s="2"/>
      <c r="F1736" s="2"/>
      <c r="G1736" s="2"/>
      <c r="H1736" s="2" t="str">
        <f t="shared" si="65"/>
        <v>0 г. 0 мес. 0 дн.</v>
      </c>
      <c r="I1736" s="2"/>
      <c r="J1736" s="2"/>
      <c r="K1736" s="2"/>
      <c r="L1736" s="2"/>
      <c r="M1736" s="2"/>
      <c r="N1736" s="1">
        <v>0</v>
      </c>
      <c r="O1736" s="2"/>
      <c r="P1736" s="2"/>
      <c r="Q1736" s="2">
        <v>0</v>
      </c>
      <c r="R1736" s="6"/>
    </row>
    <row r="1737" spans="1:18" x14ac:dyDescent="0.25">
      <c r="A1737" s="2">
        <f t="shared" si="64"/>
        <v>1736</v>
      </c>
      <c r="B1737" s="2"/>
      <c r="C1737" s="2"/>
      <c r="D1737" s="2"/>
      <c r="E1737" s="2"/>
      <c r="F1737" s="2"/>
      <c r="G1737" s="2"/>
      <c r="H1737" s="2" t="str">
        <f t="shared" si="65"/>
        <v>0 г. 0 мес. 0 дн.</v>
      </c>
      <c r="I1737" s="2"/>
      <c r="J1737" s="2"/>
      <c r="K1737" s="2"/>
      <c r="L1737" s="2"/>
      <c r="M1737" s="2"/>
      <c r="N1737" s="1">
        <v>0</v>
      </c>
      <c r="O1737" s="2"/>
      <c r="P1737" s="2"/>
      <c r="Q1737" s="2">
        <v>0</v>
      </c>
      <c r="R1737" s="6"/>
    </row>
    <row r="1738" spans="1:18" x14ac:dyDescent="0.25">
      <c r="A1738" s="2">
        <f t="shared" si="64"/>
        <v>1737</v>
      </c>
      <c r="B1738" s="2"/>
      <c r="C1738" s="2"/>
      <c r="D1738" s="2"/>
      <c r="E1738" s="2"/>
      <c r="F1738" s="2"/>
      <c r="G1738" s="2"/>
      <c r="H1738" s="2" t="str">
        <f t="shared" si="65"/>
        <v>0 г. 0 мес. 0 дн.</v>
      </c>
      <c r="I1738" s="2"/>
      <c r="J1738" s="2"/>
      <c r="K1738" s="2"/>
      <c r="L1738" s="2"/>
      <c r="M1738" s="2"/>
      <c r="N1738" s="1">
        <v>0</v>
      </c>
      <c r="O1738" s="2"/>
      <c r="P1738" s="2"/>
      <c r="Q1738" s="2">
        <v>0</v>
      </c>
      <c r="R1738" s="6"/>
    </row>
    <row r="1739" spans="1:18" x14ac:dyDescent="0.25">
      <c r="A1739" s="2">
        <f t="shared" si="64"/>
        <v>1738</v>
      </c>
      <c r="B1739" s="2"/>
      <c r="C1739" s="2"/>
      <c r="D1739" s="2"/>
      <c r="E1739" s="2"/>
      <c r="F1739" s="2"/>
      <c r="G1739" s="2"/>
      <c r="H1739" s="2" t="str">
        <f t="shared" si="65"/>
        <v>0 г. 0 мес. 0 дн.</v>
      </c>
      <c r="I1739" s="2"/>
      <c r="J1739" s="2"/>
      <c r="K1739" s="2"/>
      <c r="L1739" s="2"/>
      <c r="M1739" s="2"/>
      <c r="N1739" s="1">
        <v>0</v>
      </c>
      <c r="O1739" s="2"/>
      <c r="P1739" s="2"/>
      <c r="Q1739" s="2">
        <v>0</v>
      </c>
      <c r="R1739" s="6"/>
    </row>
    <row r="1740" spans="1:18" x14ac:dyDescent="0.25">
      <c r="A1740" s="2">
        <f t="shared" si="64"/>
        <v>1739</v>
      </c>
      <c r="B1740" s="2"/>
      <c r="C1740" s="2"/>
      <c r="D1740" s="2"/>
      <c r="E1740" s="2"/>
      <c r="F1740" s="2"/>
      <c r="G1740" s="2"/>
      <c r="H1740" s="2" t="str">
        <f t="shared" si="65"/>
        <v>0 г. 0 мес. 0 дн.</v>
      </c>
      <c r="I1740" s="2"/>
      <c r="J1740" s="2"/>
      <c r="K1740" s="2"/>
      <c r="L1740" s="2"/>
      <c r="M1740" s="2"/>
      <c r="N1740" s="1">
        <v>0</v>
      </c>
      <c r="O1740" s="2"/>
      <c r="P1740" s="2"/>
      <c r="Q1740" s="2">
        <v>0</v>
      </c>
      <c r="R1740" s="6"/>
    </row>
    <row r="1741" spans="1:18" x14ac:dyDescent="0.25">
      <c r="A1741" s="2">
        <f t="shared" si="64"/>
        <v>1740</v>
      </c>
      <c r="B1741" s="2"/>
      <c r="C1741" s="2"/>
      <c r="D1741" s="2"/>
      <c r="E1741" s="2"/>
      <c r="F1741" s="2"/>
      <c r="G1741" s="2"/>
      <c r="H1741" s="2" t="str">
        <f t="shared" si="65"/>
        <v>0 г. 0 мес. 0 дн.</v>
      </c>
      <c r="I1741" s="2"/>
      <c r="J1741" s="2"/>
      <c r="K1741" s="2"/>
      <c r="L1741" s="2"/>
      <c r="M1741" s="2"/>
      <c r="N1741" s="1">
        <v>0</v>
      </c>
      <c r="O1741" s="2"/>
      <c r="P1741" s="2"/>
      <c r="Q1741" s="2">
        <v>0</v>
      </c>
      <c r="R1741" s="6"/>
    </row>
    <row r="1742" spans="1:18" x14ac:dyDescent="0.25">
      <c r="A1742" s="2">
        <f t="shared" si="64"/>
        <v>1741</v>
      </c>
      <c r="B1742" s="2"/>
      <c r="C1742" s="2"/>
      <c r="D1742" s="2"/>
      <c r="E1742" s="2"/>
      <c r="F1742" s="2"/>
      <c r="G1742" s="2"/>
      <c r="H1742" s="2" t="str">
        <f t="shared" si="65"/>
        <v>0 г. 0 мес. 0 дн.</v>
      </c>
      <c r="I1742" s="2"/>
      <c r="J1742" s="2"/>
      <c r="K1742" s="2"/>
      <c r="L1742" s="2"/>
      <c r="M1742" s="2"/>
      <c r="N1742" s="1">
        <v>0</v>
      </c>
      <c r="O1742" s="2"/>
      <c r="P1742" s="2"/>
      <c r="Q1742" s="2">
        <v>0</v>
      </c>
      <c r="R1742" s="6"/>
    </row>
    <row r="1743" spans="1:18" x14ac:dyDescent="0.25">
      <c r="A1743" s="2">
        <f t="shared" si="64"/>
        <v>1742</v>
      </c>
      <c r="B1743" s="2"/>
      <c r="C1743" s="2"/>
      <c r="D1743" s="2"/>
      <c r="E1743" s="2"/>
      <c r="F1743" s="2"/>
      <c r="G1743" s="2"/>
      <c r="H1743" s="2" t="str">
        <f t="shared" si="65"/>
        <v>0 г. 0 мес. 0 дн.</v>
      </c>
      <c r="I1743" s="2"/>
      <c r="J1743" s="2"/>
      <c r="K1743" s="2"/>
      <c r="L1743" s="2"/>
      <c r="M1743" s="2"/>
      <c r="N1743" s="1">
        <v>0</v>
      </c>
      <c r="O1743" s="2"/>
      <c r="P1743" s="2"/>
      <c r="Q1743" s="2">
        <v>0</v>
      </c>
      <c r="R1743" s="6"/>
    </row>
    <row r="1744" spans="1:18" x14ac:dyDescent="0.25">
      <c r="A1744" s="2">
        <f t="shared" si="64"/>
        <v>1743</v>
      </c>
      <c r="B1744" s="2"/>
      <c r="C1744" s="2"/>
      <c r="D1744" s="2"/>
      <c r="E1744" s="2"/>
      <c r="F1744" s="2"/>
      <c r="G1744" s="2"/>
      <c r="H1744" s="2" t="str">
        <f t="shared" si="65"/>
        <v>0 г. 0 мес. 0 дн.</v>
      </c>
      <c r="I1744" s="2"/>
      <c r="J1744" s="2"/>
      <c r="K1744" s="2"/>
      <c r="L1744" s="2"/>
      <c r="M1744" s="2"/>
      <c r="N1744" s="1">
        <v>0</v>
      </c>
      <c r="O1744" s="2"/>
      <c r="P1744" s="2"/>
      <c r="Q1744" s="2">
        <v>0</v>
      </c>
      <c r="R1744" s="6"/>
    </row>
    <row r="1745" spans="1:18" x14ac:dyDescent="0.25">
      <c r="A1745" s="2">
        <f t="shared" si="64"/>
        <v>1744</v>
      </c>
      <c r="B1745" s="2"/>
      <c r="C1745" s="2"/>
      <c r="D1745" s="2"/>
      <c r="E1745" s="2"/>
      <c r="F1745" s="2"/>
      <c r="G1745" s="2"/>
      <c r="H1745" s="2" t="str">
        <f t="shared" si="65"/>
        <v>0 г. 0 мес. 0 дн.</v>
      </c>
      <c r="I1745" s="2"/>
      <c r="J1745" s="2"/>
      <c r="K1745" s="2"/>
      <c r="L1745" s="2"/>
      <c r="M1745" s="2"/>
      <c r="N1745" s="1">
        <v>0</v>
      </c>
      <c r="O1745" s="2"/>
      <c r="P1745" s="2"/>
      <c r="Q1745" s="2">
        <v>0</v>
      </c>
      <c r="R1745" s="6"/>
    </row>
    <row r="1746" spans="1:18" x14ac:dyDescent="0.25">
      <c r="A1746" s="2">
        <f t="shared" si="64"/>
        <v>1745</v>
      </c>
      <c r="B1746" s="2"/>
      <c r="C1746" s="2"/>
      <c r="D1746" s="2"/>
      <c r="E1746" s="2"/>
      <c r="F1746" s="2"/>
      <c r="G1746" s="2"/>
      <c r="H1746" s="2" t="str">
        <f t="shared" si="65"/>
        <v>0 г. 0 мес. 0 дн.</v>
      </c>
      <c r="I1746" s="2"/>
      <c r="J1746" s="2"/>
      <c r="K1746" s="2"/>
      <c r="L1746" s="2"/>
      <c r="M1746" s="2"/>
      <c r="N1746" s="1">
        <v>0</v>
      </c>
      <c r="O1746" s="2"/>
      <c r="P1746" s="2"/>
      <c r="Q1746" s="2">
        <v>0</v>
      </c>
      <c r="R1746" s="6"/>
    </row>
    <row r="1747" spans="1:18" x14ac:dyDescent="0.25">
      <c r="A1747" s="2">
        <f t="shared" si="64"/>
        <v>1746</v>
      </c>
      <c r="B1747" s="2"/>
      <c r="C1747" s="2"/>
      <c r="D1747" s="2"/>
      <c r="E1747" s="2"/>
      <c r="F1747" s="2"/>
      <c r="G1747" s="2"/>
      <c r="H1747" s="2" t="str">
        <f t="shared" si="65"/>
        <v>0 г. 0 мес. 0 дн.</v>
      </c>
      <c r="I1747" s="2"/>
      <c r="J1747" s="2"/>
      <c r="K1747" s="2"/>
      <c r="L1747" s="2"/>
      <c r="M1747" s="2"/>
      <c r="N1747" s="1">
        <v>0</v>
      </c>
      <c r="O1747" s="2"/>
      <c r="P1747" s="2"/>
      <c r="Q1747" s="2">
        <v>0</v>
      </c>
      <c r="R1747" s="6"/>
    </row>
    <row r="1748" spans="1:18" x14ac:dyDescent="0.25">
      <c r="A1748" s="2">
        <f t="shared" si="64"/>
        <v>1747</v>
      </c>
      <c r="B1748" s="2"/>
      <c r="C1748" s="2"/>
      <c r="D1748" s="2"/>
      <c r="E1748" s="2"/>
      <c r="F1748" s="2"/>
      <c r="G1748" s="2"/>
      <c r="H1748" s="2" t="str">
        <f t="shared" si="65"/>
        <v>0 г. 0 мес. 0 дн.</v>
      </c>
      <c r="I1748" s="2"/>
      <c r="J1748" s="2"/>
      <c r="K1748" s="2"/>
      <c r="L1748" s="2"/>
      <c r="M1748" s="2"/>
      <c r="N1748" s="1">
        <v>0</v>
      </c>
      <c r="O1748" s="2"/>
      <c r="P1748" s="2"/>
      <c r="Q1748" s="2">
        <v>0</v>
      </c>
      <c r="R1748" s="6"/>
    </row>
    <row r="1749" spans="1:18" x14ac:dyDescent="0.25">
      <c r="A1749" s="2">
        <f t="shared" si="64"/>
        <v>1748</v>
      </c>
      <c r="B1749" s="2"/>
      <c r="C1749" s="2"/>
      <c r="D1749" s="2"/>
      <c r="E1749" s="2"/>
      <c r="F1749" s="2"/>
      <c r="G1749" s="2"/>
      <c r="H1749" s="2" t="str">
        <f t="shared" si="65"/>
        <v>0 г. 0 мес. 0 дн.</v>
      </c>
      <c r="I1749" s="2"/>
      <c r="J1749" s="2"/>
      <c r="K1749" s="2"/>
      <c r="L1749" s="2"/>
      <c r="M1749" s="2"/>
      <c r="N1749" s="1">
        <v>0</v>
      </c>
      <c r="O1749" s="2"/>
      <c r="P1749" s="2"/>
      <c r="Q1749" s="2">
        <v>0</v>
      </c>
      <c r="R1749" s="6"/>
    </row>
    <row r="1750" spans="1:18" x14ac:dyDescent="0.25">
      <c r="A1750" s="2">
        <f t="shared" si="64"/>
        <v>1749</v>
      </c>
      <c r="B1750" s="2"/>
      <c r="C1750" s="2"/>
      <c r="D1750" s="2"/>
      <c r="E1750" s="2"/>
      <c r="F1750" s="2"/>
      <c r="G1750" s="2"/>
      <c r="H1750" s="2" t="str">
        <f t="shared" si="65"/>
        <v>0 г. 0 мес. 0 дн.</v>
      </c>
      <c r="I1750" s="2"/>
      <c r="J1750" s="2"/>
      <c r="K1750" s="2"/>
      <c r="L1750" s="2"/>
      <c r="M1750" s="2"/>
      <c r="N1750" s="1">
        <v>0</v>
      </c>
      <c r="O1750" s="2"/>
      <c r="P1750" s="2"/>
      <c r="Q1750" s="2">
        <v>0</v>
      </c>
      <c r="R1750" s="6"/>
    </row>
    <row r="1751" spans="1:18" x14ac:dyDescent="0.25">
      <c r="A1751" s="2">
        <f t="shared" si="64"/>
        <v>1750</v>
      </c>
      <c r="B1751" s="2"/>
      <c r="C1751" s="2"/>
      <c r="D1751" s="2"/>
      <c r="E1751" s="2"/>
      <c r="F1751" s="2"/>
      <c r="G1751" s="2"/>
      <c r="H1751" s="2" t="str">
        <f t="shared" si="65"/>
        <v>0 г. 0 мес. 0 дн.</v>
      </c>
      <c r="I1751" s="2"/>
      <c r="J1751" s="2"/>
      <c r="K1751" s="2"/>
      <c r="L1751" s="2"/>
      <c r="M1751" s="2"/>
      <c r="N1751" s="1">
        <v>0</v>
      </c>
      <c r="O1751" s="2"/>
      <c r="P1751" s="2"/>
      <c r="Q1751" s="2">
        <v>0</v>
      </c>
      <c r="R1751" s="6"/>
    </row>
    <row r="1752" spans="1:18" x14ac:dyDescent="0.25">
      <c r="A1752" s="2">
        <f t="shared" si="64"/>
        <v>1751</v>
      </c>
      <c r="B1752" s="2"/>
      <c r="C1752" s="2"/>
      <c r="D1752" s="2"/>
      <c r="E1752" s="2"/>
      <c r="F1752" s="2"/>
      <c r="G1752" s="2"/>
      <c r="H1752" s="2" t="str">
        <f t="shared" si="65"/>
        <v>0 г. 0 мес. 0 дн.</v>
      </c>
      <c r="I1752" s="2"/>
      <c r="J1752" s="2"/>
      <c r="K1752" s="2"/>
      <c r="L1752" s="2"/>
      <c r="M1752" s="2"/>
      <c r="N1752" s="1">
        <v>0</v>
      </c>
      <c r="O1752" s="2"/>
      <c r="P1752" s="2"/>
      <c r="Q1752" s="2">
        <v>0</v>
      </c>
      <c r="R1752" s="6"/>
    </row>
    <row r="1753" spans="1:18" x14ac:dyDescent="0.25">
      <c r="A1753" s="2">
        <f t="shared" si="64"/>
        <v>1752</v>
      </c>
      <c r="B1753" s="2"/>
      <c r="C1753" s="2"/>
      <c r="D1753" s="2"/>
      <c r="E1753" s="2"/>
      <c r="F1753" s="2"/>
      <c r="G1753" s="2"/>
      <c r="H1753" s="2" t="str">
        <f t="shared" si="65"/>
        <v>0 г. 0 мес. 0 дн.</v>
      </c>
      <c r="I1753" s="2"/>
      <c r="J1753" s="2"/>
      <c r="K1753" s="2"/>
      <c r="L1753" s="2"/>
      <c r="M1753" s="2"/>
      <c r="N1753" s="1">
        <v>0</v>
      </c>
      <c r="O1753" s="2"/>
      <c r="P1753" s="2"/>
      <c r="Q1753" s="2">
        <v>0</v>
      </c>
      <c r="R1753" s="6"/>
    </row>
    <row r="1754" spans="1:18" x14ac:dyDescent="0.25">
      <c r="A1754" s="2">
        <f t="shared" si="64"/>
        <v>1753</v>
      </c>
      <c r="B1754" s="2"/>
      <c r="C1754" s="2"/>
      <c r="D1754" s="2"/>
      <c r="E1754" s="2"/>
      <c r="F1754" s="2"/>
      <c r="G1754" s="2"/>
      <c r="H1754" s="2" t="str">
        <f t="shared" si="65"/>
        <v>0 г. 0 мес. 0 дн.</v>
      </c>
      <c r="I1754" s="2"/>
      <c r="J1754" s="2"/>
      <c r="K1754" s="2"/>
      <c r="L1754" s="2"/>
      <c r="M1754" s="2"/>
      <c r="N1754" s="1">
        <v>0</v>
      </c>
      <c r="O1754" s="2"/>
      <c r="P1754" s="2"/>
      <c r="Q1754" s="2">
        <v>0</v>
      </c>
      <c r="R1754" s="6"/>
    </row>
    <row r="1755" spans="1:18" x14ac:dyDescent="0.25">
      <c r="A1755" s="2">
        <f t="shared" si="64"/>
        <v>1754</v>
      </c>
      <c r="B1755" s="2"/>
      <c r="C1755" s="2"/>
      <c r="D1755" s="2"/>
      <c r="E1755" s="2"/>
      <c r="F1755" s="2"/>
      <c r="G1755" s="2"/>
      <c r="H1755" s="2" t="str">
        <f t="shared" si="65"/>
        <v>0 г. 0 мес. 0 дн.</v>
      </c>
      <c r="I1755" s="2"/>
      <c r="J1755" s="2"/>
      <c r="K1755" s="2"/>
      <c r="L1755" s="2"/>
      <c r="M1755" s="2"/>
      <c r="N1755" s="1">
        <v>0</v>
      </c>
      <c r="O1755" s="2"/>
      <c r="P1755" s="2"/>
      <c r="Q1755" s="2">
        <v>0</v>
      </c>
      <c r="R1755" s="6"/>
    </row>
    <row r="1756" spans="1:18" x14ac:dyDescent="0.25">
      <c r="A1756" s="2">
        <f t="shared" si="64"/>
        <v>1755</v>
      </c>
      <c r="B1756" s="2"/>
      <c r="C1756" s="2"/>
      <c r="D1756" s="2"/>
      <c r="E1756" s="2"/>
      <c r="F1756" s="2"/>
      <c r="G1756" s="2"/>
      <c r="H1756" s="2" t="str">
        <f t="shared" si="65"/>
        <v>0 г. 0 мес. 0 дн.</v>
      </c>
      <c r="I1756" s="2"/>
      <c r="J1756" s="2"/>
      <c r="K1756" s="2"/>
      <c r="L1756" s="2"/>
      <c r="M1756" s="2"/>
      <c r="N1756" s="1">
        <v>0</v>
      </c>
      <c r="O1756" s="2"/>
      <c r="P1756" s="2"/>
      <c r="Q1756" s="2">
        <v>0</v>
      </c>
      <c r="R1756" s="6"/>
    </row>
    <row r="1757" spans="1:18" x14ac:dyDescent="0.25">
      <c r="A1757" s="2">
        <f t="shared" ref="A1757:A1820" si="66">ROW(A1756)</f>
        <v>1756</v>
      </c>
      <c r="B1757" s="2"/>
      <c r="C1757" s="2"/>
      <c r="D1757" s="2"/>
      <c r="E1757" s="2"/>
      <c r="F1757" s="2"/>
      <c r="G1757" s="2"/>
      <c r="H1757" s="2" t="str">
        <f t="shared" si="65"/>
        <v>0 г. 0 мес. 0 дн.</v>
      </c>
      <c r="I1757" s="2"/>
      <c r="J1757" s="2"/>
      <c r="K1757" s="2"/>
      <c r="L1757" s="2"/>
      <c r="M1757" s="2"/>
      <c r="N1757" s="1">
        <v>0</v>
      </c>
      <c r="O1757" s="2"/>
      <c r="P1757" s="2"/>
      <c r="Q1757" s="2">
        <v>0</v>
      </c>
      <c r="R1757" s="6"/>
    </row>
    <row r="1758" spans="1:18" x14ac:dyDescent="0.25">
      <c r="A1758" s="2">
        <f t="shared" si="66"/>
        <v>1757</v>
      </c>
      <c r="B1758" s="2"/>
      <c r="C1758" s="2"/>
      <c r="D1758" s="2"/>
      <c r="E1758" s="2"/>
      <c r="F1758" s="2"/>
      <c r="G1758" s="2"/>
      <c r="H1758" s="2" t="str">
        <f t="shared" si="65"/>
        <v>0 г. 0 мес. 0 дн.</v>
      </c>
      <c r="I1758" s="2"/>
      <c r="J1758" s="2"/>
      <c r="K1758" s="2"/>
      <c r="L1758" s="2"/>
      <c r="M1758" s="2"/>
      <c r="N1758" s="1">
        <v>0</v>
      </c>
      <c r="O1758" s="2"/>
      <c r="P1758" s="2"/>
      <c r="Q1758" s="2">
        <v>0</v>
      </c>
      <c r="R1758" s="6"/>
    </row>
    <row r="1759" spans="1:18" x14ac:dyDescent="0.25">
      <c r="A1759" s="2">
        <f t="shared" si="66"/>
        <v>1758</v>
      </c>
      <c r="B1759" s="2"/>
      <c r="C1759" s="2"/>
      <c r="D1759" s="2"/>
      <c r="E1759" s="2"/>
      <c r="F1759" s="2"/>
      <c r="G1759" s="2"/>
      <c r="H1759" s="2" t="str">
        <f t="shared" si="65"/>
        <v>0 г. 0 мес. 0 дн.</v>
      </c>
      <c r="I1759" s="2"/>
      <c r="J1759" s="2"/>
      <c r="K1759" s="2"/>
      <c r="L1759" s="2"/>
      <c r="M1759" s="2"/>
      <c r="N1759" s="1">
        <v>0</v>
      </c>
      <c r="O1759" s="2"/>
      <c r="P1759" s="2"/>
      <c r="Q1759" s="2">
        <v>0</v>
      </c>
      <c r="R1759" s="6"/>
    </row>
    <row r="1760" spans="1:18" x14ac:dyDescent="0.25">
      <c r="A1760" s="2">
        <f t="shared" si="66"/>
        <v>1759</v>
      </c>
      <c r="B1760" s="2"/>
      <c r="C1760" s="2"/>
      <c r="D1760" s="2"/>
      <c r="E1760" s="2"/>
      <c r="F1760" s="2"/>
      <c r="G1760" s="2"/>
      <c r="H1760" s="2" t="str">
        <f t="shared" si="65"/>
        <v>0 г. 0 мес. 0 дн.</v>
      </c>
      <c r="I1760" s="2"/>
      <c r="J1760" s="2"/>
      <c r="K1760" s="2"/>
      <c r="L1760" s="2"/>
      <c r="M1760" s="2"/>
      <c r="N1760" s="1">
        <v>0</v>
      </c>
      <c r="O1760" s="2"/>
      <c r="P1760" s="2"/>
      <c r="Q1760" s="2">
        <v>0</v>
      </c>
      <c r="R1760" s="6"/>
    </row>
    <row r="1761" spans="1:18" x14ac:dyDescent="0.25">
      <c r="A1761" s="2">
        <f t="shared" si="66"/>
        <v>1760</v>
      </c>
      <c r="B1761" s="2"/>
      <c r="C1761" s="2"/>
      <c r="D1761" s="2"/>
      <c r="E1761" s="2"/>
      <c r="F1761" s="2"/>
      <c r="G1761" s="2"/>
      <c r="H1761" s="2" t="str">
        <f t="shared" si="65"/>
        <v>0 г. 0 мес. 0 дн.</v>
      </c>
      <c r="I1761" s="2"/>
      <c r="J1761" s="2"/>
      <c r="K1761" s="2"/>
      <c r="L1761" s="2"/>
      <c r="M1761" s="2"/>
      <c r="N1761" s="1">
        <v>0</v>
      </c>
      <c r="O1761" s="2"/>
      <c r="P1761" s="2"/>
      <c r="Q1761" s="2">
        <v>0</v>
      </c>
      <c r="R1761" s="6"/>
    </row>
    <row r="1762" spans="1:18" x14ac:dyDescent="0.25">
      <c r="A1762" s="2">
        <f t="shared" si="66"/>
        <v>1761</v>
      </c>
      <c r="B1762" s="2"/>
      <c r="C1762" s="2"/>
      <c r="D1762" s="2"/>
      <c r="E1762" s="2"/>
      <c r="F1762" s="2"/>
      <c r="G1762" s="2"/>
      <c r="H1762" s="2" t="str">
        <f t="shared" si="65"/>
        <v>0 г. 0 мес. 0 дн.</v>
      </c>
      <c r="I1762" s="2"/>
      <c r="J1762" s="2"/>
      <c r="K1762" s="2"/>
      <c r="L1762" s="2"/>
      <c r="M1762" s="2"/>
      <c r="N1762" s="1">
        <v>0</v>
      </c>
      <c r="O1762" s="2"/>
      <c r="P1762" s="2"/>
      <c r="Q1762" s="2">
        <v>0</v>
      </c>
      <c r="R1762" s="6"/>
    </row>
    <row r="1763" spans="1:18" x14ac:dyDescent="0.25">
      <c r="A1763" s="2">
        <f t="shared" si="66"/>
        <v>1762</v>
      </c>
      <c r="B1763" s="2"/>
      <c r="C1763" s="2"/>
      <c r="D1763" s="2"/>
      <c r="E1763" s="2"/>
      <c r="F1763" s="2"/>
      <c r="G1763" s="2"/>
      <c r="H1763" s="2" t="str">
        <f t="shared" si="65"/>
        <v>0 г. 0 мес. 0 дн.</v>
      </c>
      <c r="I1763" s="2"/>
      <c r="J1763" s="2"/>
      <c r="K1763" s="2"/>
      <c r="L1763" s="2"/>
      <c r="M1763" s="2"/>
      <c r="N1763" s="1">
        <v>0</v>
      </c>
      <c r="O1763" s="2"/>
      <c r="P1763" s="2"/>
      <c r="Q1763" s="2">
        <v>0</v>
      </c>
      <c r="R1763" s="6"/>
    </row>
    <row r="1764" spans="1:18" x14ac:dyDescent="0.25">
      <c r="A1764" s="2">
        <f t="shared" si="66"/>
        <v>1763</v>
      </c>
      <c r="B1764" s="2"/>
      <c r="C1764" s="2"/>
      <c r="D1764" s="2"/>
      <c r="E1764" s="2"/>
      <c r="F1764" s="2"/>
      <c r="G1764" s="2"/>
      <c r="H1764" s="2" t="str">
        <f t="shared" si="65"/>
        <v>0 г. 0 мес. 0 дн.</v>
      </c>
      <c r="I1764" s="2"/>
      <c r="J1764" s="2"/>
      <c r="K1764" s="2"/>
      <c r="L1764" s="2"/>
      <c r="M1764" s="2"/>
      <c r="N1764" s="1">
        <v>0</v>
      </c>
      <c r="O1764" s="2"/>
      <c r="P1764" s="2"/>
      <c r="Q1764" s="2">
        <v>0</v>
      </c>
      <c r="R1764" s="6"/>
    </row>
    <row r="1765" spans="1:18" x14ac:dyDescent="0.25">
      <c r="A1765" s="2">
        <f t="shared" si="66"/>
        <v>1764</v>
      </c>
      <c r="B1765" s="2"/>
      <c r="C1765" s="2"/>
      <c r="D1765" s="2"/>
      <c r="E1765" s="2"/>
      <c r="F1765" s="2"/>
      <c r="G1765" s="2"/>
      <c r="H1765" s="2" t="str">
        <f t="shared" si="65"/>
        <v>0 г. 0 мес. 0 дн.</v>
      </c>
      <c r="I1765" s="2"/>
      <c r="J1765" s="2"/>
      <c r="K1765" s="2"/>
      <c r="L1765" s="2"/>
      <c r="M1765" s="2"/>
      <c r="N1765" s="1">
        <v>0</v>
      </c>
      <c r="O1765" s="2"/>
      <c r="P1765" s="2"/>
      <c r="Q1765" s="2">
        <v>0</v>
      </c>
      <c r="R1765" s="6"/>
    </row>
    <row r="1766" spans="1:18" x14ac:dyDescent="0.25">
      <c r="A1766" s="2">
        <f t="shared" si="66"/>
        <v>1765</v>
      </c>
      <c r="B1766" s="2"/>
      <c r="C1766" s="2"/>
      <c r="D1766" s="2"/>
      <c r="E1766" s="2"/>
      <c r="F1766" s="2"/>
      <c r="G1766" s="2"/>
      <c r="H1766" s="2" t="str">
        <f t="shared" si="65"/>
        <v>0 г. 0 мес. 0 дн.</v>
      </c>
      <c r="I1766" s="2"/>
      <c r="J1766" s="2"/>
      <c r="K1766" s="2"/>
      <c r="L1766" s="2"/>
      <c r="M1766" s="2"/>
      <c r="N1766" s="1">
        <v>0</v>
      </c>
      <c r="O1766" s="2"/>
      <c r="P1766" s="2"/>
      <c r="Q1766" s="2">
        <v>0</v>
      </c>
      <c r="R1766" s="6"/>
    </row>
    <row r="1767" spans="1:18" x14ac:dyDescent="0.25">
      <c r="A1767" s="2">
        <f t="shared" si="66"/>
        <v>1766</v>
      </c>
      <c r="B1767" s="2"/>
      <c r="C1767" s="2"/>
      <c r="D1767" s="2"/>
      <c r="E1767" s="2"/>
      <c r="F1767" s="2"/>
      <c r="G1767" s="2"/>
      <c r="H1767" s="2" t="str">
        <f t="shared" si="65"/>
        <v>0 г. 0 мес. 0 дн.</v>
      </c>
      <c r="I1767" s="2"/>
      <c r="J1767" s="2"/>
      <c r="K1767" s="2"/>
      <c r="L1767" s="2"/>
      <c r="M1767" s="2"/>
      <c r="N1767" s="1">
        <v>0</v>
      </c>
      <c r="O1767" s="2"/>
      <c r="P1767" s="2"/>
      <c r="Q1767" s="2">
        <v>0</v>
      </c>
      <c r="R1767" s="6"/>
    </row>
    <row r="1768" spans="1:18" x14ac:dyDescent="0.25">
      <c r="A1768" s="2">
        <f t="shared" si="66"/>
        <v>1767</v>
      </c>
      <c r="B1768" s="2"/>
      <c r="C1768" s="2"/>
      <c r="D1768" s="2"/>
      <c r="E1768" s="2"/>
      <c r="F1768" s="2"/>
      <c r="G1768" s="2"/>
      <c r="H1768" s="2" t="str">
        <f t="shared" si="65"/>
        <v>0 г. 0 мес. 0 дн.</v>
      </c>
      <c r="I1768" s="2"/>
      <c r="J1768" s="2"/>
      <c r="K1768" s="2"/>
      <c r="L1768" s="2"/>
      <c r="M1768" s="2"/>
      <c r="N1768" s="1">
        <v>0</v>
      </c>
      <c r="O1768" s="2"/>
      <c r="P1768" s="2"/>
      <c r="Q1768" s="2">
        <v>0</v>
      </c>
      <c r="R1768" s="6"/>
    </row>
    <row r="1769" spans="1:18" x14ac:dyDescent="0.25">
      <c r="A1769" s="2">
        <f t="shared" si="66"/>
        <v>1768</v>
      </c>
      <c r="B1769" s="2"/>
      <c r="C1769" s="2"/>
      <c r="D1769" s="2"/>
      <c r="E1769" s="2"/>
      <c r="F1769" s="2"/>
      <c r="G1769" s="2"/>
      <c r="H1769" s="2" t="str">
        <f t="shared" si="65"/>
        <v>0 г. 0 мес. 0 дн.</v>
      </c>
      <c r="I1769" s="2"/>
      <c r="J1769" s="2"/>
      <c r="K1769" s="2"/>
      <c r="L1769" s="2"/>
      <c r="M1769" s="2"/>
      <c r="N1769" s="1">
        <v>0</v>
      </c>
      <c r="O1769" s="2"/>
      <c r="P1769" s="2"/>
      <c r="Q1769" s="2">
        <v>0</v>
      </c>
      <c r="R1769" s="6"/>
    </row>
    <row r="1770" spans="1:18" x14ac:dyDescent="0.25">
      <c r="A1770" s="2">
        <f t="shared" si="66"/>
        <v>1769</v>
      </c>
      <c r="B1770" s="2"/>
      <c r="C1770" s="2"/>
      <c r="D1770" s="2"/>
      <c r="E1770" s="2"/>
      <c r="F1770" s="2"/>
      <c r="G1770" s="2"/>
      <c r="H1770" s="2" t="str">
        <f t="shared" si="65"/>
        <v>0 г. 0 мес. 0 дн.</v>
      </c>
      <c r="I1770" s="2"/>
      <c r="J1770" s="2"/>
      <c r="K1770" s="2"/>
      <c r="L1770" s="2"/>
      <c r="M1770" s="2"/>
      <c r="N1770" s="1">
        <v>0</v>
      </c>
      <c r="O1770" s="2"/>
      <c r="P1770" s="2"/>
      <c r="Q1770" s="2">
        <v>0</v>
      </c>
      <c r="R1770" s="6"/>
    </row>
    <row r="1771" spans="1:18" x14ac:dyDescent="0.25">
      <c r="A1771" s="2">
        <f t="shared" si="66"/>
        <v>1770</v>
      </c>
      <c r="B1771" s="2"/>
      <c r="C1771" s="2"/>
      <c r="D1771" s="2"/>
      <c r="E1771" s="2"/>
      <c r="F1771" s="2"/>
      <c r="G1771" s="2"/>
      <c r="H1771" s="2" t="str">
        <f t="shared" si="65"/>
        <v>0 г. 0 мес. 0 дн.</v>
      </c>
      <c r="I1771" s="2"/>
      <c r="J1771" s="2"/>
      <c r="K1771" s="2"/>
      <c r="L1771" s="2"/>
      <c r="M1771" s="2"/>
      <c r="N1771" s="1">
        <v>0</v>
      </c>
      <c r="O1771" s="2"/>
      <c r="P1771" s="2"/>
      <c r="Q1771" s="2">
        <v>0</v>
      </c>
      <c r="R1771" s="6"/>
    </row>
    <row r="1772" spans="1:18" x14ac:dyDescent="0.25">
      <c r="A1772" s="2">
        <f t="shared" si="66"/>
        <v>1771</v>
      </c>
      <c r="B1772" s="2"/>
      <c r="C1772" s="2"/>
      <c r="D1772" s="2"/>
      <c r="E1772" s="2"/>
      <c r="F1772" s="2"/>
      <c r="G1772" s="2"/>
      <c r="H1772" s="2" t="str">
        <f t="shared" si="65"/>
        <v>0 г. 0 мес. 0 дн.</v>
      </c>
      <c r="I1772" s="2"/>
      <c r="J1772" s="2"/>
      <c r="K1772" s="2"/>
      <c r="L1772" s="2"/>
      <c r="M1772" s="2"/>
      <c r="N1772" s="1">
        <v>0</v>
      </c>
      <c r="O1772" s="2"/>
      <c r="P1772" s="2"/>
      <c r="Q1772" s="2">
        <v>0</v>
      </c>
      <c r="R1772" s="6"/>
    </row>
    <row r="1773" spans="1:18" x14ac:dyDescent="0.25">
      <c r="A1773" s="2">
        <f t="shared" si="66"/>
        <v>1772</v>
      </c>
      <c r="B1773" s="2"/>
      <c r="C1773" s="2"/>
      <c r="D1773" s="2"/>
      <c r="E1773" s="2"/>
      <c r="F1773" s="2"/>
      <c r="G1773" s="2"/>
      <c r="H1773" s="2" t="str">
        <f t="shared" si="65"/>
        <v>0 г. 0 мес. 0 дн.</v>
      </c>
      <c r="I1773" s="2"/>
      <c r="J1773" s="2"/>
      <c r="K1773" s="2"/>
      <c r="L1773" s="2"/>
      <c r="M1773" s="2"/>
      <c r="N1773" s="1">
        <v>0</v>
      </c>
      <c r="O1773" s="2"/>
      <c r="P1773" s="2"/>
      <c r="Q1773" s="2">
        <v>0</v>
      </c>
      <c r="R1773" s="6"/>
    </row>
    <row r="1774" spans="1:18" x14ac:dyDescent="0.25">
      <c r="A1774" s="2">
        <f t="shared" si="66"/>
        <v>1773</v>
      </c>
      <c r="B1774" s="2"/>
      <c r="C1774" s="2"/>
      <c r="D1774" s="2"/>
      <c r="E1774" s="2"/>
      <c r="F1774" s="2"/>
      <c r="G1774" s="2"/>
      <c r="H1774" s="2" t="str">
        <f t="shared" si="65"/>
        <v>0 г. 0 мес. 0 дн.</v>
      </c>
      <c r="I1774" s="2"/>
      <c r="J1774" s="2"/>
      <c r="K1774" s="2"/>
      <c r="L1774" s="2"/>
      <c r="M1774" s="2"/>
      <c r="N1774" s="1">
        <v>0</v>
      </c>
      <c r="O1774" s="2"/>
      <c r="P1774" s="2"/>
      <c r="Q1774" s="2">
        <v>0</v>
      </c>
      <c r="R1774" s="6"/>
    </row>
    <row r="1775" spans="1:18" x14ac:dyDescent="0.25">
      <c r="A1775" s="2">
        <f t="shared" si="66"/>
        <v>1774</v>
      </c>
      <c r="B1775" s="2"/>
      <c r="C1775" s="2"/>
      <c r="D1775" s="2"/>
      <c r="E1775" s="2"/>
      <c r="F1775" s="2"/>
      <c r="G1775" s="2"/>
      <c r="H1775" s="2" t="str">
        <f t="shared" si="65"/>
        <v>0 г. 0 мес. 0 дн.</v>
      </c>
      <c r="I1775" s="2"/>
      <c r="J1775" s="2"/>
      <c r="K1775" s="2"/>
      <c r="L1775" s="2"/>
      <c r="M1775" s="2"/>
      <c r="N1775" s="1">
        <v>0</v>
      </c>
      <c r="O1775" s="2"/>
      <c r="P1775" s="2"/>
      <c r="Q1775" s="2">
        <v>0</v>
      </c>
      <c r="R1775" s="6"/>
    </row>
    <row r="1776" spans="1:18" x14ac:dyDescent="0.25">
      <c r="A1776" s="2">
        <f t="shared" si="66"/>
        <v>1775</v>
      </c>
      <c r="B1776" s="2"/>
      <c r="C1776" s="2"/>
      <c r="D1776" s="2"/>
      <c r="E1776" s="2"/>
      <c r="F1776" s="2"/>
      <c r="G1776" s="2"/>
      <c r="H1776" s="2" t="str">
        <f t="shared" si="65"/>
        <v>0 г. 0 мес. 0 дн.</v>
      </c>
      <c r="I1776" s="2"/>
      <c r="J1776" s="2"/>
      <c r="K1776" s="2"/>
      <c r="L1776" s="2"/>
      <c r="M1776" s="2"/>
      <c r="N1776" s="1">
        <v>0</v>
      </c>
      <c r="O1776" s="2"/>
      <c r="P1776" s="2"/>
      <c r="Q1776" s="2">
        <v>0</v>
      </c>
      <c r="R1776" s="6"/>
    </row>
    <row r="1777" spans="1:18" x14ac:dyDescent="0.25">
      <c r="A1777" s="2">
        <f t="shared" si="66"/>
        <v>1776</v>
      </c>
      <c r="B1777" s="2"/>
      <c r="C1777" s="2"/>
      <c r="D1777" s="2"/>
      <c r="E1777" s="2"/>
      <c r="F1777" s="2"/>
      <c r="G1777" s="2"/>
      <c r="H1777" s="2" t="str">
        <f t="shared" si="65"/>
        <v>0 г. 0 мес. 0 дн.</v>
      </c>
      <c r="I1777" s="2"/>
      <c r="J1777" s="2"/>
      <c r="K1777" s="2"/>
      <c r="L1777" s="2"/>
      <c r="M1777" s="2"/>
      <c r="N1777" s="1">
        <v>0</v>
      </c>
      <c r="O1777" s="2"/>
      <c r="P1777" s="2"/>
      <c r="Q1777" s="2">
        <v>0</v>
      </c>
      <c r="R1777" s="6"/>
    </row>
    <row r="1778" spans="1:18" x14ac:dyDescent="0.25">
      <c r="A1778" s="2">
        <f t="shared" si="66"/>
        <v>1777</v>
      </c>
      <c r="B1778" s="2"/>
      <c r="C1778" s="2"/>
      <c r="D1778" s="2"/>
      <c r="E1778" s="2"/>
      <c r="F1778" s="2"/>
      <c r="G1778" s="2"/>
      <c r="H1778" s="2" t="str">
        <f t="shared" si="65"/>
        <v>0 г. 0 мес. 0 дн.</v>
      </c>
      <c r="I1778" s="2"/>
      <c r="J1778" s="2"/>
      <c r="K1778" s="2"/>
      <c r="L1778" s="2"/>
      <c r="M1778" s="2"/>
      <c r="N1778" s="1">
        <v>0</v>
      </c>
      <c r="O1778" s="2"/>
      <c r="P1778" s="2"/>
      <c r="Q1778" s="2">
        <v>0</v>
      </c>
      <c r="R1778" s="6"/>
    </row>
    <row r="1779" spans="1:18" x14ac:dyDescent="0.25">
      <c r="A1779" s="2">
        <f t="shared" si="66"/>
        <v>1778</v>
      </c>
      <c r="B1779" s="2"/>
      <c r="C1779" s="2"/>
      <c r="D1779" s="2"/>
      <c r="E1779" s="2"/>
      <c r="F1779" s="2"/>
      <c r="G1779" s="2"/>
      <c r="H1779" s="2" t="str">
        <f t="shared" si="65"/>
        <v>0 г. 0 мес. 0 дн.</v>
      </c>
      <c r="I1779" s="2"/>
      <c r="J1779" s="2"/>
      <c r="K1779" s="2"/>
      <c r="L1779" s="2"/>
      <c r="M1779" s="2"/>
      <c r="N1779" s="1">
        <v>0</v>
      </c>
      <c r="O1779" s="2"/>
      <c r="P1779" s="2"/>
      <c r="Q1779" s="2">
        <v>0</v>
      </c>
      <c r="R1779" s="6"/>
    </row>
    <row r="1780" spans="1:18" x14ac:dyDescent="0.25">
      <c r="A1780" s="2">
        <f t="shared" si="66"/>
        <v>1779</v>
      </c>
      <c r="B1780" s="2"/>
      <c r="C1780" s="2"/>
      <c r="D1780" s="2"/>
      <c r="E1780" s="2"/>
      <c r="F1780" s="2"/>
      <c r="G1780" s="2"/>
      <c r="H1780" s="2" t="str">
        <f t="shared" si="65"/>
        <v>0 г. 0 мес. 0 дн.</v>
      </c>
      <c r="I1780" s="2"/>
      <c r="J1780" s="2"/>
      <c r="K1780" s="2"/>
      <c r="L1780" s="2"/>
      <c r="M1780" s="2"/>
      <c r="N1780" s="1">
        <v>0</v>
      </c>
      <c r="O1780" s="2"/>
      <c r="P1780" s="2"/>
      <c r="Q1780" s="2">
        <v>0</v>
      </c>
      <c r="R1780" s="6"/>
    </row>
    <row r="1781" spans="1:18" x14ac:dyDescent="0.25">
      <c r="A1781" s="2">
        <f t="shared" si="66"/>
        <v>1780</v>
      </c>
      <c r="B1781" s="2"/>
      <c r="C1781" s="2"/>
      <c r="D1781" s="2"/>
      <c r="E1781" s="2"/>
      <c r="F1781" s="2"/>
      <c r="G1781" s="2"/>
      <c r="H1781" s="2" t="str">
        <f t="shared" si="65"/>
        <v>0 г. 0 мес. 0 дн.</v>
      </c>
      <c r="I1781" s="2"/>
      <c r="J1781" s="2"/>
      <c r="K1781" s="2"/>
      <c r="L1781" s="2"/>
      <c r="M1781" s="2"/>
      <c r="N1781" s="1">
        <v>0</v>
      </c>
      <c r="O1781" s="2"/>
      <c r="P1781" s="2"/>
      <c r="Q1781" s="2">
        <v>0</v>
      </c>
      <c r="R1781" s="6"/>
    </row>
    <row r="1782" spans="1:18" x14ac:dyDescent="0.25">
      <c r="A1782" s="2">
        <f t="shared" si="66"/>
        <v>1781</v>
      </c>
      <c r="B1782" s="2"/>
      <c r="C1782" s="2"/>
      <c r="D1782" s="2"/>
      <c r="E1782" s="2"/>
      <c r="F1782" s="2"/>
      <c r="G1782" s="2"/>
      <c r="H1782" s="2" t="str">
        <f t="shared" si="65"/>
        <v>0 г. 0 мес. 0 дн.</v>
      </c>
      <c r="I1782" s="2"/>
      <c r="J1782" s="2"/>
      <c r="K1782" s="2"/>
      <c r="L1782" s="2"/>
      <c r="M1782" s="2"/>
      <c r="N1782" s="1">
        <v>0</v>
      </c>
      <c r="O1782" s="2"/>
      <c r="P1782" s="2"/>
      <c r="Q1782" s="2">
        <v>0</v>
      </c>
      <c r="R1782" s="6"/>
    </row>
    <row r="1783" spans="1:18" x14ac:dyDescent="0.25">
      <c r="A1783" s="2">
        <f t="shared" si="66"/>
        <v>1782</v>
      </c>
      <c r="B1783" s="2"/>
      <c r="C1783" s="2"/>
      <c r="D1783" s="2"/>
      <c r="E1783" s="2"/>
      <c r="F1783" s="2"/>
      <c r="G1783" s="2"/>
      <c r="H1783" s="2" t="str">
        <f t="shared" si="65"/>
        <v>0 г. 0 мес. 0 дн.</v>
      </c>
      <c r="I1783" s="2"/>
      <c r="J1783" s="2"/>
      <c r="K1783" s="2"/>
      <c r="L1783" s="2"/>
      <c r="M1783" s="2"/>
      <c r="N1783" s="1">
        <v>0</v>
      </c>
      <c r="O1783" s="2"/>
      <c r="P1783" s="2"/>
      <c r="Q1783" s="2">
        <v>0</v>
      </c>
      <c r="R1783" s="6"/>
    </row>
    <row r="1784" spans="1:18" x14ac:dyDescent="0.25">
      <c r="A1784" s="2">
        <f t="shared" si="66"/>
        <v>1783</v>
      </c>
      <c r="B1784" s="2"/>
      <c r="C1784" s="2"/>
      <c r="D1784" s="2"/>
      <c r="E1784" s="2"/>
      <c r="F1784" s="2"/>
      <c r="G1784" s="2"/>
      <c r="H1784" s="2" t="str">
        <f t="shared" si="65"/>
        <v>0 г. 0 мес. 0 дн.</v>
      </c>
      <c r="I1784" s="2"/>
      <c r="J1784" s="2"/>
      <c r="K1784" s="2"/>
      <c r="L1784" s="2"/>
      <c r="M1784" s="2"/>
      <c r="N1784" s="1">
        <v>0</v>
      </c>
      <c r="O1784" s="2"/>
      <c r="P1784" s="2"/>
      <c r="Q1784" s="2">
        <v>0</v>
      </c>
      <c r="R1784" s="6"/>
    </row>
    <row r="1785" spans="1:18" x14ac:dyDescent="0.25">
      <c r="A1785" s="2">
        <f t="shared" si="66"/>
        <v>1784</v>
      </c>
      <c r="B1785" s="2"/>
      <c r="C1785" s="2"/>
      <c r="D1785" s="2"/>
      <c r="E1785" s="2"/>
      <c r="F1785" s="2"/>
      <c r="G1785" s="2"/>
      <c r="H1785" s="2" t="str">
        <f t="shared" si="65"/>
        <v>0 г. 0 мес. 0 дн.</v>
      </c>
      <c r="I1785" s="2"/>
      <c r="J1785" s="2"/>
      <c r="K1785" s="2"/>
      <c r="L1785" s="2"/>
      <c r="M1785" s="2"/>
      <c r="N1785" s="1">
        <v>0</v>
      </c>
      <c r="O1785" s="2"/>
      <c r="P1785" s="2"/>
      <c r="Q1785" s="2">
        <v>0</v>
      </c>
      <c r="R1785" s="6"/>
    </row>
    <row r="1786" spans="1:18" x14ac:dyDescent="0.25">
      <c r="A1786" s="2">
        <f t="shared" si="66"/>
        <v>1785</v>
      </c>
      <c r="B1786" s="2"/>
      <c r="C1786" s="2"/>
      <c r="D1786" s="2"/>
      <c r="E1786" s="2"/>
      <c r="F1786" s="2"/>
      <c r="G1786" s="2"/>
      <c r="H1786" s="2" t="str">
        <f t="shared" si="65"/>
        <v>0 г. 0 мес. 0 дн.</v>
      </c>
      <c r="I1786" s="2"/>
      <c r="J1786" s="2"/>
      <c r="K1786" s="2"/>
      <c r="L1786" s="2"/>
      <c r="M1786" s="2"/>
      <c r="N1786" s="1">
        <v>0</v>
      </c>
      <c r="O1786" s="2"/>
      <c r="P1786" s="2"/>
      <c r="Q1786" s="2">
        <v>0</v>
      </c>
      <c r="R1786" s="6"/>
    </row>
    <row r="1787" spans="1:18" x14ac:dyDescent="0.25">
      <c r="A1787" s="2">
        <f t="shared" si="66"/>
        <v>1786</v>
      </c>
      <c r="B1787" s="2"/>
      <c r="C1787" s="2"/>
      <c r="D1787" s="2"/>
      <c r="E1787" s="2"/>
      <c r="F1787" s="2"/>
      <c r="G1787" s="2"/>
      <c r="H1787" s="2" t="str">
        <f t="shared" si="65"/>
        <v>0 г. 0 мес. 0 дн.</v>
      </c>
      <c r="I1787" s="2"/>
      <c r="J1787" s="2"/>
      <c r="K1787" s="2"/>
      <c r="L1787" s="2"/>
      <c r="M1787" s="2"/>
      <c r="N1787" s="1">
        <v>0</v>
      </c>
      <c r="O1787" s="2"/>
      <c r="P1787" s="2"/>
      <c r="Q1787" s="2">
        <v>0</v>
      </c>
      <c r="R1787" s="6"/>
    </row>
    <row r="1788" spans="1:18" x14ac:dyDescent="0.25">
      <c r="A1788" s="2">
        <f t="shared" si="66"/>
        <v>1787</v>
      </c>
      <c r="B1788" s="2"/>
      <c r="C1788" s="2"/>
      <c r="D1788" s="2"/>
      <c r="E1788" s="2"/>
      <c r="F1788" s="2"/>
      <c r="G1788" s="2"/>
      <c r="H1788" s="2" t="str">
        <f t="shared" si="65"/>
        <v>0 г. 0 мес. 0 дн.</v>
      </c>
      <c r="I1788" s="2"/>
      <c r="J1788" s="2"/>
      <c r="K1788" s="2"/>
      <c r="L1788" s="2"/>
      <c r="M1788" s="2"/>
      <c r="N1788" s="1">
        <v>0</v>
      </c>
      <c r="O1788" s="2"/>
      <c r="P1788" s="2"/>
      <c r="Q1788" s="2">
        <v>0</v>
      </c>
      <c r="R1788" s="6"/>
    </row>
    <row r="1789" spans="1:18" x14ac:dyDescent="0.25">
      <c r="A1789" s="2">
        <f t="shared" si="66"/>
        <v>1788</v>
      </c>
      <c r="B1789" s="2"/>
      <c r="C1789" s="2"/>
      <c r="D1789" s="2"/>
      <c r="E1789" s="2"/>
      <c r="F1789" s="2"/>
      <c r="G1789" s="2"/>
      <c r="H1789" s="2" t="str">
        <f t="shared" si="65"/>
        <v>0 г. 0 мес. 0 дн.</v>
      </c>
      <c r="I1789" s="2"/>
      <c r="J1789" s="2"/>
      <c r="K1789" s="2"/>
      <c r="L1789" s="2"/>
      <c r="M1789" s="2"/>
      <c r="N1789" s="1">
        <v>0</v>
      </c>
      <c r="O1789" s="2"/>
      <c r="P1789" s="2"/>
      <c r="Q1789" s="2">
        <v>0</v>
      </c>
      <c r="R1789" s="6"/>
    </row>
    <row r="1790" spans="1:18" x14ac:dyDescent="0.25">
      <c r="A1790" s="2">
        <f t="shared" si="66"/>
        <v>1789</v>
      </c>
      <c r="B1790" s="2"/>
      <c r="C1790" s="2"/>
      <c r="D1790" s="2"/>
      <c r="E1790" s="2"/>
      <c r="F1790" s="2"/>
      <c r="G1790" s="2"/>
      <c r="H1790" s="2" t="str">
        <f t="shared" si="65"/>
        <v>0 г. 0 мес. 0 дн.</v>
      </c>
      <c r="I1790" s="2"/>
      <c r="J1790" s="2"/>
      <c r="K1790" s="2"/>
      <c r="L1790" s="2"/>
      <c r="M1790" s="2"/>
      <c r="N1790" s="1">
        <v>0</v>
      </c>
      <c r="O1790" s="2"/>
      <c r="P1790" s="2"/>
      <c r="Q1790" s="2">
        <v>0</v>
      </c>
      <c r="R1790" s="6"/>
    </row>
    <row r="1791" spans="1:18" x14ac:dyDescent="0.25">
      <c r="A1791" s="2">
        <f t="shared" si="66"/>
        <v>1790</v>
      </c>
      <c r="B1791" s="2"/>
      <c r="C1791" s="2"/>
      <c r="D1791" s="2"/>
      <c r="E1791" s="2"/>
      <c r="F1791" s="2"/>
      <c r="G1791" s="2"/>
      <c r="H1791" s="2" t="str">
        <f t="shared" si="65"/>
        <v>0 г. 0 мес. 0 дн.</v>
      </c>
      <c r="I1791" s="2"/>
      <c r="J1791" s="2"/>
      <c r="K1791" s="2"/>
      <c r="L1791" s="2"/>
      <c r="M1791" s="2"/>
      <c r="N1791" s="1">
        <v>0</v>
      </c>
      <c r="O1791" s="2"/>
      <c r="P1791" s="2"/>
      <c r="Q1791" s="2">
        <v>0</v>
      </c>
      <c r="R1791" s="6"/>
    </row>
    <row r="1792" spans="1:18" x14ac:dyDescent="0.25">
      <c r="A1792" s="2">
        <f t="shared" si="66"/>
        <v>1791</v>
      </c>
      <c r="B1792" s="2"/>
      <c r="C1792" s="2"/>
      <c r="D1792" s="2"/>
      <c r="E1792" s="2"/>
      <c r="F1792" s="2"/>
      <c r="G1792" s="2"/>
      <c r="H1792" s="2" t="str">
        <f t="shared" si="65"/>
        <v>0 г. 0 мес. 0 дн.</v>
      </c>
      <c r="I1792" s="2"/>
      <c r="J1792" s="2"/>
      <c r="K1792" s="2"/>
      <c r="L1792" s="2"/>
      <c r="M1792" s="2"/>
      <c r="N1792" s="1">
        <v>0</v>
      </c>
      <c r="O1792" s="2"/>
      <c r="P1792" s="2"/>
      <c r="Q1792" s="2">
        <v>0</v>
      </c>
      <c r="R1792" s="6"/>
    </row>
    <row r="1793" spans="1:18" x14ac:dyDescent="0.25">
      <c r="A1793" s="2">
        <f t="shared" si="66"/>
        <v>1792</v>
      </c>
      <c r="B1793" s="2"/>
      <c r="C1793" s="2"/>
      <c r="D1793" s="2"/>
      <c r="E1793" s="2"/>
      <c r="F1793" s="2"/>
      <c r="G1793" s="2"/>
      <c r="H1793" s="2" t="str">
        <f t="shared" si="65"/>
        <v>0 г. 0 мес. 0 дн.</v>
      </c>
      <c r="I1793" s="2"/>
      <c r="J1793" s="2"/>
      <c r="K1793" s="2"/>
      <c r="L1793" s="2"/>
      <c r="M1793" s="2"/>
      <c r="N1793" s="1">
        <v>0</v>
      </c>
      <c r="O1793" s="2"/>
      <c r="P1793" s="2"/>
      <c r="Q1793" s="2">
        <v>0</v>
      </c>
      <c r="R1793" s="6"/>
    </row>
    <row r="1794" spans="1:18" x14ac:dyDescent="0.25">
      <c r="A1794" s="2">
        <f t="shared" si="66"/>
        <v>1793</v>
      </c>
      <c r="B1794" s="2"/>
      <c r="C1794" s="2"/>
      <c r="D1794" s="2"/>
      <c r="E1794" s="2"/>
      <c r="F1794" s="2"/>
      <c r="G1794" s="2"/>
      <c r="H1794" s="2" t="str">
        <f t="shared" si="65"/>
        <v>0 г. 0 мес. 0 дн.</v>
      </c>
      <c r="I1794" s="2"/>
      <c r="J1794" s="2"/>
      <c r="K1794" s="2"/>
      <c r="L1794" s="2"/>
      <c r="M1794" s="2"/>
      <c r="N1794" s="1">
        <v>0</v>
      </c>
      <c r="O1794" s="2"/>
      <c r="P1794" s="2"/>
      <c r="Q1794" s="2">
        <v>0</v>
      </c>
      <c r="R1794" s="6"/>
    </row>
    <row r="1795" spans="1:18" x14ac:dyDescent="0.25">
      <c r="A1795" s="2">
        <f t="shared" si="66"/>
        <v>1794</v>
      </c>
      <c r="B1795" s="2"/>
      <c r="C1795" s="2"/>
      <c r="D1795" s="2"/>
      <c r="E1795" s="2"/>
      <c r="F1795" s="2"/>
      <c r="G1795" s="2"/>
      <c r="H1795" s="2" t="str">
        <f t="shared" si="65"/>
        <v>0 г. 0 мес. 0 дн.</v>
      </c>
      <c r="I1795" s="2"/>
      <c r="J1795" s="2"/>
      <c r="K1795" s="2"/>
      <c r="L1795" s="2"/>
      <c r="M1795" s="2"/>
      <c r="N1795" s="1">
        <v>0</v>
      </c>
      <c r="O1795" s="2"/>
      <c r="P1795" s="2"/>
      <c r="Q1795" s="2">
        <v>0</v>
      </c>
      <c r="R1795" s="6"/>
    </row>
    <row r="1796" spans="1:18" x14ac:dyDescent="0.25">
      <c r="A1796" s="2">
        <f t="shared" si="66"/>
        <v>1795</v>
      </c>
      <c r="B1796" s="2"/>
      <c r="C1796" s="2"/>
      <c r="D1796" s="2"/>
      <c r="E1796" s="2"/>
      <c r="F1796" s="2"/>
      <c r="G1796" s="2"/>
      <c r="H1796" s="2" t="str">
        <f t="shared" ref="H1796:H1859" si="67">DATEDIF(G1796,D1796,"y") &amp; " г. " &amp; DATEDIF(G1796,D1796,"ym") &amp; " мес. " &amp; DATEDIF(G1796,D1796,"md") &amp; " дн."</f>
        <v>0 г. 0 мес. 0 дн.</v>
      </c>
      <c r="I1796" s="2"/>
      <c r="J1796" s="2"/>
      <c r="K1796" s="2"/>
      <c r="L1796" s="2"/>
      <c r="M1796" s="2"/>
      <c r="N1796" s="1">
        <v>0</v>
      </c>
      <c r="O1796" s="2"/>
      <c r="P1796" s="2"/>
      <c r="Q1796" s="2">
        <v>0</v>
      </c>
      <c r="R1796" s="6"/>
    </row>
    <row r="1797" spans="1:18" x14ac:dyDescent="0.25">
      <c r="A1797" s="2">
        <f t="shared" si="66"/>
        <v>1796</v>
      </c>
      <c r="B1797" s="2"/>
      <c r="C1797" s="2"/>
      <c r="D1797" s="2"/>
      <c r="E1797" s="2"/>
      <c r="F1797" s="2"/>
      <c r="G1797" s="2"/>
      <c r="H1797" s="2" t="str">
        <f t="shared" si="67"/>
        <v>0 г. 0 мес. 0 дн.</v>
      </c>
      <c r="I1797" s="2"/>
      <c r="J1797" s="2"/>
      <c r="K1797" s="2"/>
      <c r="L1797" s="2"/>
      <c r="M1797" s="2"/>
      <c r="N1797" s="1">
        <v>0</v>
      </c>
      <c r="O1797" s="2"/>
      <c r="P1797" s="2"/>
      <c r="Q1797" s="2">
        <v>0</v>
      </c>
      <c r="R1797" s="6"/>
    </row>
    <row r="1798" spans="1:18" x14ac:dyDescent="0.25">
      <c r="A1798" s="2">
        <f t="shared" si="66"/>
        <v>1797</v>
      </c>
      <c r="B1798" s="2"/>
      <c r="C1798" s="2"/>
      <c r="D1798" s="2"/>
      <c r="E1798" s="2"/>
      <c r="F1798" s="2"/>
      <c r="G1798" s="2"/>
      <c r="H1798" s="2" t="str">
        <f t="shared" si="67"/>
        <v>0 г. 0 мес. 0 дн.</v>
      </c>
      <c r="I1798" s="2"/>
      <c r="J1798" s="2"/>
      <c r="K1798" s="2"/>
      <c r="L1798" s="2"/>
      <c r="M1798" s="2"/>
      <c r="N1798" s="1">
        <v>0</v>
      </c>
      <c r="O1798" s="2"/>
      <c r="P1798" s="2"/>
      <c r="Q1798" s="2">
        <v>0</v>
      </c>
      <c r="R1798" s="6"/>
    </row>
    <row r="1799" spans="1:18" x14ac:dyDescent="0.25">
      <c r="A1799" s="2">
        <f t="shared" si="66"/>
        <v>1798</v>
      </c>
      <c r="B1799" s="2"/>
      <c r="C1799" s="2"/>
      <c r="D1799" s="2"/>
      <c r="E1799" s="2"/>
      <c r="F1799" s="2"/>
      <c r="G1799" s="2"/>
      <c r="H1799" s="2" t="str">
        <f t="shared" si="67"/>
        <v>0 г. 0 мес. 0 дн.</v>
      </c>
      <c r="I1799" s="2"/>
      <c r="J1799" s="2"/>
      <c r="K1799" s="2"/>
      <c r="L1799" s="2"/>
      <c r="M1799" s="2"/>
      <c r="N1799" s="1">
        <v>0</v>
      </c>
      <c r="O1799" s="2"/>
      <c r="P1799" s="2"/>
      <c r="Q1799" s="2">
        <v>0</v>
      </c>
      <c r="R1799" s="6"/>
    </row>
    <row r="1800" spans="1:18" x14ac:dyDescent="0.25">
      <c r="A1800" s="2">
        <f t="shared" si="66"/>
        <v>1799</v>
      </c>
      <c r="B1800" s="2"/>
      <c r="C1800" s="2"/>
      <c r="D1800" s="2"/>
      <c r="E1800" s="2"/>
      <c r="F1800" s="2"/>
      <c r="G1800" s="2"/>
      <c r="H1800" s="2" t="str">
        <f t="shared" si="67"/>
        <v>0 г. 0 мес. 0 дн.</v>
      </c>
      <c r="I1800" s="2"/>
      <c r="J1800" s="2"/>
      <c r="K1800" s="2"/>
      <c r="L1800" s="2"/>
      <c r="M1800" s="2"/>
      <c r="N1800" s="1">
        <v>0</v>
      </c>
      <c r="O1800" s="2"/>
      <c r="P1800" s="2"/>
      <c r="Q1800" s="2">
        <v>0</v>
      </c>
      <c r="R1800" s="6"/>
    </row>
    <row r="1801" spans="1:18" x14ac:dyDescent="0.25">
      <c r="A1801" s="2">
        <f t="shared" si="66"/>
        <v>1800</v>
      </c>
      <c r="B1801" s="2"/>
      <c r="C1801" s="2"/>
      <c r="D1801" s="2"/>
      <c r="E1801" s="2"/>
      <c r="F1801" s="2"/>
      <c r="G1801" s="2"/>
      <c r="H1801" s="2" t="str">
        <f t="shared" si="67"/>
        <v>0 г. 0 мес. 0 дн.</v>
      </c>
      <c r="I1801" s="2"/>
      <c r="J1801" s="2"/>
      <c r="K1801" s="2"/>
      <c r="L1801" s="2"/>
      <c r="M1801" s="2"/>
      <c r="N1801" s="1">
        <v>0</v>
      </c>
      <c r="O1801" s="2"/>
      <c r="P1801" s="2"/>
      <c r="Q1801" s="2">
        <v>0</v>
      </c>
      <c r="R1801" s="6"/>
    </row>
    <row r="1802" spans="1:18" x14ac:dyDescent="0.25">
      <c r="A1802" s="2">
        <f t="shared" si="66"/>
        <v>1801</v>
      </c>
      <c r="B1802" s="2"/>
      <c r="C1802" s="2"/>
      <c r="D1802" s="2"/>
      <c r="E1802" s="2"/>
      <c r="F1802" s="2"/>
      <c r="G1802" s="2"/>
      <c r="H1802" s="2" t="str">
        <f t="shared" si="67"/>
        <v>0 г. 0 мес. 0 дн.</v>
      </c>
      <c r="I1802" s="2"/>
      <c r="J1802" s="2"/>
      <c r="K1802" s="2"/>
      <c r="L1802" s="2"/>
      <c r="M1802" s="2"/>
      <c r="N1802" s="1">
        <v>0</v>
      </c>
      <c r="O1802" s="2"/>
      <c r="P1802" s="2"/>
      <c r="Q1802" s="2">
        <v>0</v>
      </c>
      <c r="R1802" s="6"/>
    </row>
    <row r="1803" spans="1:18" x14ac:dyDescent="0.25">
      <c r="A1803" s="2">
        <f t="shared" si="66"/>
        <v>1802</v>
      </c>
      <c r="B1803" s="2"/>
      <c r="C1803" s="2"/>
      <c r="D1803" s="2"/>
      <c r="E1803" s="2"/>
      <c r="F1803" s="2"/>
      <c r="G1803" s="2"/>
      <c r="H1803" s="2" t="str">
        <f t="shared" si="67"/>
        <v>0 г. 0 мес. 0 дн.</v>
      </c>
      <c r="I1803" s="2"/>
      <c r="J1803" s="2"/>
      <c r="K1803" s="2"/>
      <c r="L1803" s="2"/>
      <c r="M1803" s="2"/>
      <c r="N1803" s="1">
        <v>0</v>
      </c>
      <c r="O1803" s="2"/>
      <c r="P1803" s="2"/>
      <c r="Q1803" s="2">
        <v>0</v>
      </c>
      <c r="R1803" s="6"/>
    </row>
    <row r="1804" spans="1:18" x14ac:dyDescent="0.25">
      <c r="A1804" s="2">
        <f t="shared" si="66"/>
        <v>1803</v>
      </c>
      <c r="B1804" s="2"/>
      <c r="C1804" s="2"/>
      <c r="D1804" s="2"/>
      <c r="E1804" s="2"/>
      <c r="F1804" s="2"/>
      <c r="G1804" s="2"/>
      <c r="H1804" s="2" t="str">
        <f t="shared" si="67"/>
        <v>0 г. 0 мес. 0 дн.</v>
      </c>
      <c r="I1804" s="2"/>
      <c r="J1804" s="2"/>
      <c r="K1804" s="2"/>
      <c r="L1804" s="2"/>
      <c r="M1804" s="2"/>
      <c r="N1804" s="1">
        <v>0</v>
      </c>
      <c r="O1804" s="2"/>
      <c r="P1804" s="2"/>
      <c r="Q1804" s="2">
        <v>0</v>
      </c>
      <c r="R1804" s="6"/>
    </row>
    <row r="1805" spans="1:18" x14ac:dyDescent="0.25">
      <c r="A1805" s="2">
        <f t="shared" si="66"/>
        <v>1804</v>
      </c>
      <c r="B1805" s="2"/>
      <c r="C1805" s="2"/>
      <c r="D1805" s="2"/>
      <c r="E1805" s="2"/>
      <c r="F1805" s="2"/>
      <c r="G1805" s="2"/>
      <c r="H1805" s="2" t="str">
        <f t="shared" si="67"/>
        <v>0 г. 0 мес. 0 дн.</v>
      </c>
      <c r="I1805" s="2"/>
      <c r="J1805" s="2"/>
      <c r="K1805" s="2"/>
      <c r="L1805" s="2"/>
      <c r="M1805" s="2"/>
      <c r="N1805" s="1">
        <v>0</v>
      </c>
      <c r="O1805" s="2"/>
      <c r="P1805" s="2"/>
      <c r="Q1805" s="2">
        <v>0</v>
      </c>
      <c r="R1805" s="6"/>
    </row>
    <row r="1806" spans="1:18" x14ac:dyDescent="0.25">
      <c r="A1806" s="2">
        <f t="shared" si="66"/>
        <v>1805</v>
      </c>
      <c r="B1806" s="2"/>
      <c r="C1806" s="2"/>
      <c r="D1806" s="2"/>
      <c r="E1806" s="2"/>
      <c r="F1806" s="2"/>
      <c r="G1806" s="2"/>
      <c r="H1806" s="2" t="str">
        <f t="shared" si="67"/>
        <v>0 г. 0 мес. 0 дн.</v>
      </c>
      <c r="I1806" s="2"/>
      <c r="J1806" s="2"/>
      <c r="K1806" s="2"/>
      <c r="L1806" s="2"/>
      <c r="M1806" s="2"/>
      <c r="N1806" s="1">
        <v>0</v>
      </c>
      <c r="O1806" s="2"/>
      <c r="P1806" s="2"/>
      <c r="Q1806" s="2">
        <v>0</v>
      </c>
      <c r="R1806" s="6"/>
    </row>
    <row r="1807" spans="1:18" x14ac:dyDescent="0.25">
      <c r="A1807" s="2">
        <f t="shared" si="66"/>
        <v>1806</v>
      </c>
      <c r="B1807" s="2"/>
      <c r="C1807" s="2"/>
      <c r="D1807" s="2"/>
      <c r="E1807" s="2"/>
      <c r="F1807" s="2"/>
      <c r="G1807" s="2"/>
      <c r="H1807" s="2" t="str">
        <f t="shared" si="67"/>
        <v>0 г. 0 мес. 0 дн.</v>
      </c>
      <c r="I1807" s="2"/>
      <c r="J1807" s="2"/>
      <c r="K1807" s="2"/>
      <c r="L1807" s="2"/>
      <c r="M1807" s="2"/>
      <c r="N1807" s="1">
        <v>0</v>
      </c>
      <c r="O1807" s="2"/>
      <c r="P1807" s="2"/>
      <c r="Q1807" s="2">
        <v>0</v>
      </c>
      <c r="R1807" s="6"/>
    </row>
    <row r="1808" spans="1:18" x14ac:dyDescent="0.25">
      <c r="A1808" s="2">
        <f t="shared" si="66"/>
        <v>1807</v>
      </c>
      <c r="B1808" s="2"/>
      <c r="C1808" s="2"/>
      <c r="D1808" s="2"/>
      <c r="E1808" s="2"/>
      <c r="F1808" s="2"/>
      <c r="G1808" s="2"/>
      <c r="H1808" s="2" t="str">
        <f t="shared" si="67"/>
        <v>0 г. 0 мес. 0 дн.</v>
      </c>
      <c r="I1808" s="2"/>
      <c r="J1808" s="2"/>
      <c r="K1808" s="2"/>
      <c r="L1808" s="2"/>
      <c r="M1808" s="2"/>
      <c r="N1808" s="1">
        <v>0</v>
      </c>
      <c r="O1808" s="2"/>
      <c r="P1808" s="2"/>
      <c r="Q1808" s="2">
        <v>0</v>
      </c>
      <c r="R1808" s="6"/>
    </row>
    <row r="1809" spans="1:18" x14ac:dyDescent="0.25">
      <c r="A1809" s="2">
        <f t="shared" si="66"/>
        <v>1808</v>
      </c>
      <c r="B1809" s="2"/>
      <c r="C1809" s="2"/>
      <c r="D1809" s="2"/>
      <c r="E1809" s="2"/>
      <c r="F1809" s="2"/>
      <c r="G1809" s="2"/>
      <c r="H1809" s="2" t="str">
        <f t="shared" si="67"/>
        <v>0 г. 0 мес. 0 дн.</v>
      </c>
      <c r="I1809" s="2"/>
      <c r="J1809" s="2"/>
      <c r="K1809" s="2"/>
      <c r="L1809" s="2"/>
      <c r="M1809" s="2"/>
      <c r="N1809" s="1">
        <v>0</v>
      </c>
      <c r="O1809" s="2"/>
      <c r="P1809" s="2"/>
      <c r="Q1809" s="2">
        <v>0</v>
      </c>
      <c r="R1809" s="6"/>
    </row>
    <row r="1810" spans="1:18" x14ac:dyDescent="0.25">
      <c r="A1810" s="2">
        <f t="shared" si="66"/>
        <v>1809</v>
      </c>
      <c r="B1810" s="2"/>
      <c r="C1810" s="2"/>
      <c r="D1810" s="2"/>
      <c r="E1810" s="2"/>
      <c r="F1810" s="2"/>
      <c r="G1810" s="2"/>
      <c r="H1810" s="2" t="str">
        <f t="shared" si="67"/>
        <v>0 г. 0 мес. 0 дн.</v>
      </c>
      <c r="I1810" s="2"/>
      <c r="J1810" s="2"/>
      <c r="K1810" s="2"/>
      <c r="L1810" s="2"/>
      <c r="M1810" s="2"/>
      <c r="N1810" s="1">
        <v>0</v>
      </c>
      <c r="O1810" s="2"/>
      <c r="P1810" s="2"/>
      <c r="Q1810" s="2">
        <v>0</v>
      </c>
      <c r="R1810" s="6"/>
    </row>
    <row r="1811" spans="1:18" x14ac:dyDescent="0.25">
      <c r="A1811" s="2">
        <f t="shared" si="66"/>
        <v>1810</v>
      </c>
      <c r="B1811" s="2"/>
      <c r="C1811" s="2"/>
      <c r="D1811" s="2"/>
      <c r="E1811" s="2"/>
      <c r="F1811" s="2"/>
      <c r="G1811" s="2"/>
      <c r="H1811" s="2" t="str">
        <f t="shared" si="67"/>
        <v>0 г. 0 мес. 0 дн.</v>
      </c>
      <c r="I1811" s="2"/>
      <c r="J1811" s="2"/>
      <c r="K1811" s="2"/>
      <c r="L1811" s="2"/>
      <c r="M1811" s="2"/>
      <c r="N1811" s="1">
        <v>0</v>
      </c>
      <c r="O1811" s="2"/>
      <c r="P1811" s="2"/>
      <c r="Q1811" s="2">
        <v>0</v>
      </c>
      <c r="R1811" s="6"/>
    </row>
    <row r="1812" spans="1:18" x14ac:dyDescent="0.25">
      <c r="A1812" s="2">
        <f t="shared" si="66"/>
        <v>1811</v>
      </c>
      <c r="B1812" s="2"/>
      <c r="C1812" s="2"/>
      <c r="D1812" s="2"/>
      <c r="E1812" s="2"/>
      <c r="F1812" s="2"/>
      <c r="G1812" s="2"/>
      <c r="H1812" s="2" t="str">
        <f t="shared" si="67"/>
        <v>0 г. 0 мес. 0 дн.</v>
      </c>
      <c r="I1812" s="2"/>
      <c r="J1812" s="2"/>
      <c r="K1812" s="2"/>
      <c r="L1812" s="2"/>
      <c r="M1812" s="2"/>
      <c r="N1812" s="1">
        <v>0</v>
      </c>
      <c r="O1812" s="2"/>
      <c r="P1812" s="2"/>
      <c r="Q1812" s="2">
        <v>0</v>
      </c>
      <c r="R1812" s="6"/>
    </row>
    <row r="1813" spans="1:18" x14ac:dyDescent="0.25">
      <c r="A1813" s="2">
        <f t="shared" si="66"/>
        <v>1812</v>
      </c>
      <c r="B1813" s="2"/>
      <c r="C1813" s="2"/>
      <c r="D1813" s="2"/>
      <c r="E1813" s="2"/>
      <c r="F1813" s="2"/>
      <c r="G1813" s="2"/>
      <c r="H1813" s="2" t="str">
        <f t="shared" si="67"/>
        <v>0 г. 0 мес. 0 дн.</v>
      </c>
      <c r="I1813" s="2"/>
      <c r="J1813" s="2"/>
      <c r="K1813" s="2"/>
      <c r="L1813" s="2"/>
      <c r="M1813" s="2"/>
      <c r="N1813" s="1">
        <v>0</v>
      </c>
      <c r="O1813" s="2"/>
      <c r="P1813" s="2"/>
      <c r="Q1813" s="2">
        <v>0</v>
      </c>
      <c r="R1813" s="6"/>
    </row>
    <row r="1814" spans="1:18" x14ac:dyDescent="0.25">
      <c r="A1814" s="2">
        <f t="shared" si="66"/>
        <v>1813</v>
      </c>
      <c r="B1814" s="2"/>
      <c r="C1814" s="2"/>
      <c r="D1814" s="2"/>
      <c r="E1814" s="2"/>
      <c r="F1814" s="2"/>
      <c r="G1814" s="2"/>
      <c r="H1814" s="2" t="str">
        <f t="shared" si="67"/>
        <v>0 г. 0 мес. 0 дн.</v>
      </c>
      <c r="I1814" s="2"/>
      <c r="J1814" s="2"/>
      <c r="K1814" s="2"/>
      <c r="L1814" s="2"/>
      <c r="M1814" s="2"/>
      <c r="N1814" s="1">
        <v>0</v>
      </c>
      <c r="O1814" s="2"/>
      <c r="P1814" s="2"/>
      <c r="Q1814" s="2">
        <v>0</v>
      </c>
      <c r="R1814" s="6"/>
    </row>
    <row r="1815" spans="1:18" x14ac:dyDescent="0.25">
      <c r="A1815" s="2">
        <f t="shared" si="66"/>
        <v>1814</v>
      </c>
      <c r="B1815" s="2"/>
      <c r="C1815" s="2"/>
      <c r="D1815" s="2"/>
      <c r="E1815" s="2"/>
      <c r="F1815" s="2"/>
      <c r="G1815" s="2"/>
      <c r="H1815" s="2" t="str">
        <f t="shared" si="67"/>
        <v>0 г. 0 мес. 0 дн.</v>
      </c>
      <c r="I1815" s="2"/>
      <c r="J1815" s="2"/>
      <c r="K1815" s="2"/>
      <c r="L1815" s="2"/>
      <c r="M1815" s="2"/>
      <c r="N1815" s="1">
        <v>0</v>
      </c>
      <c r="O1815" s="2"/>
      <c r="P1815" s="2"/>
      <c r="Q1815" s="2">
        <v>0</v>
      </c>
      <c r="R1815" s="6"/>
    </row>
    <row r="1816" spans="1:18" x14ac:dyDescent="0.25">
      <c r="A1816" s="2">
        <f t="shared" si="66"/>
        <v>1815</v>
      </c>
      <c r="B1816" s="2"/>
      <c r="C1816" s="2"/>
      <c r="D1816" s="2"/>
      <c r="E1816" s="2"/>
      <c r="F1816" s="2"/>
      <c r="G1816" s="2"/>
      <c r="H1816" s="2" t="str">
        <f t="shared" si="67"/>
        <v>0 г. 0 мес. 0 дн.</v>
      </c>
      <c r="I1816" s="2"/>
      <c r="J1816" s="2"/>
      <c r="K1816" s="2"/>
      <c r="L1816" s="2"/>
      <c r="M1816" s="2"/>
      <c r="N1816" s="1">
        <v>0</v>
      </c>
      <c r="O1816" s="2"/>
      <c r="P1816" s="2"/>
      <c r="Q1816" s="2">
        <v>0</v>
      </c>
      <c r="R1816" s="6"/>
    </row>
    <row r="1817" spans="1:18" x14ac:dyDescent="0.25">
      <c r="A1817" s="2">
        <f t="shared" si="66"/>
        <v>1816</v>
      </c>
      <c r="B1817" s="2"/>
      <c r="C1817" s="2"/>
      <c r="D1817" s="2"/>
      <c r="E1817" s="2"/>
      <c r="F1817" s="2"/>
      <c r="G1817" s="2"/>
      <c r="H1817" s="2" t="str">
        <f t="shared" si="67"/>
        <v>0 г. 0 мес. 0 дн.</v>
      </c>
      <c r="I1817" s="2"/>
      <c r="J1817" s="2"/>
      <c r="K1817" s="2"/>
      <c r="L1817" s="2"/>
      <c r="M1817" s="2"/>
      <c r="N1817" s="1">
        <v>0</v>
      </c>
      <c r="O1817" s="2"/>
      <c r="P1817" s="2"/>
      <c r="Q1817" s="2">
        <v>0</v>
      </c>
      <c r="R1817" s="6"/>
    </row>
    <row r="1818" spans="1:18" x14ac:dyDescent="0.25">
      <c r="A1818" s="2">
        <f t="shared" si="66"/>
        <v>1817</v>
      </c>
      <c r="B1818" s="2"/>
      <c r="C1818" s="2"/>
      <c r="D1818" s="2"/>
      <c r="E1818" s="2"/>
      <c r="F1818" s="2"/>
      <c r="G1818" s="2"/>
      <c r="H1818" s="2" t="str">
        <f t="shared" si="67"/>
        <v>0 г. 0 мес. 0 дн.</v>
      </c>
      <c r="I1818" s="2"/>
      <c r="J1818" s="2"/>
      <c r="K1818" s="2"/>
      <c r="L1818" s="2"/>
      <c r="M1818" s="2"/>
      <c r="N1818" s="1">
        <v>0</v>
      </c>
      <c r="O1818" s="2"/>
      <c r="P1818" s="2"/>
      <c r="Q1818" s="2">
        <v>0</v>
      </c>
      <c r="R1818" s="6"/>
    </row>
    <row r="1819" spans="1:18" x14ac:dyDescent="0.25">
      <c r="A1819" s="2">
        <f t="shared" si="66"/>
        <v>1818</v>
      </c>
      <c r="B1819" s="2"/>
      <c r="C1819" s="2"/>
      <c r="D1819" s="2"/>
      <c r="E1819" s="2"/>
      <c r="F1819" s="2"/>
      <c r="G1819" s="2"/>
      <c r="H1819" s="2" t="str">
        <f t="shared" si="67"/>
        <v>0 г. 0 мес. 0 дн.</v>
      </c>
      <c r="I1819" s="2"/>
      <c r="J1819" s="2"/>
      <c r="K1819" s="2"/>
      <c r="L1819" s="2"/>
      <c r="M1819" s="2"/>
      <c r="N1819" s="1">
        <v>0</v>
      </c>
      <c r="O1819" s="2"/>
      <c r="P1819" s="2"/>
      <c r="Q1819" s="2">
        <v>0</v>
      </c>
      <c r="R1819" s="6"/>
    </row>
    <row r="1820" spans="1:18" x14ac:dyDescent="0.25">
      <c r="A1820" s="2">
        <f t="shared" si="66"/>
        <v>1819</v>
      </c>
      <c r="B1820" s="2"/>
      <c r="C1820" s="2"/>
      <c r="D1820" s="2"/>
      <c r="E1820" s="2"/>
      <c r="F1820" s="2"/>
      <c r="G1820" s="2"/>
      <c r="H1820" s="2" t="str">
        <f t="shared" si="67"/>
        <v>0 г. 0 мес. 0 дн.</v>
      </c>
      <c r="I1820" s="2"/>
      <c r="J1820" s="2"/>
      <c r="K1820" s="2"/>
      <c r="L1820" s="2"/>
      <c r="M1820" s="2"/>
      <c r="N1820" s="1">
        <v>0</v>
      </c>
      <c r="O1820" s="2"/>
      <c r="P1820" s="2"/>
      <c r="Q1820" s="2">
        <v>0</v>
      </c>
      <c r="R1820" s="6"/>
    </row>
    <row r="1821" spans="1:18" x14ac:dyDescent="0.25">
      <c r="A1821" s="2">
        <f t="shared" ref="A1821:A1884" si="68">ROW(A1820)</f>
        <v>1820</v>
      </c>
      <c r="B1821" s="2"/>
      <c r="C1821" s="2"/>
      <c r="D1821" s="2"/>
      <c r="E1821" s="2"/>
      <c r="F1821" s="2"/>
      <c r="G1821" s="2"/>
      <c r="H1821" s="2" t="str">
        <f t="shared" si="67"/>
        <v>0 г. 0 мес. 0 дн.</v>
      </c>
      <c r="I1821" s="2"/>
      <c r="J1821" s="2"/>
      <c r="K1821" s="2"/>
      <c r="L1821" s="2"/>
      <c r="M1821" s="2"/>
      <c r="N1821" s="1">
        <v>0</v>
      </c>
      <c r="O1821" s="2"/>
      <c r="P1821" s="2"/>
      <c r="Q1821" s="2">
        <v>0</v>
      </c>
      <c r="R1821" s="6"/>
    </row>
    <row r="1822" spans="1:18" x14ac:dyDescent="0.25">
      <c r="A1822" s="2">
        <f t="shared" si="68"/>
        <v>1821</v>
      </c>
      <c r="B1822" s="2"/>
      <c r="C1822" s="2"/>
      <c r="D1822" s="2"/>
      <c r="E1822" s="2"/>
      <c r="F1822" s="2"/>
      <c r="G1822" s="2"/>
      <c r="H1822" s="2" t="str">
        <f t="shared" si="67"/>
        <v>0 г. 0 мес. 0 дн.</v>
      </c>
      <c r="I1822" s="2"/>
      <c r="J1822" s="2"/>
      <c r="K1822" s="2"/>
      <c r="L1822" s="2"/>
      <c r="M1822" s="2"/>
      <c r="N1822" s="1">
        <v>0</v>
      </c>
      <c r="O1822" s="2"/>
      <c r="P1822" s="2"/>
      <c r="Q1822" s="2">
        <v>0</v>
      </c>
      <c r="R1822" s="6"/>
    </row>
    <row r="1823" spans="1:18" x14ac:dyDescent="0.25">
      <c r="A1823" s="2">
        <f t="shared" si="68"/>
        <v>1822</v>
      </c>
      <c r="B1823" s="2"/>
      <c r="C1823" s="2"/>
      <c r="D1823" s="2"/>
      <c r="E1823" s="2"/>
      <c r="F1823" s="2"/>
      <c r="G1823" s="2"/>
      <c r="H1823" s="2" t="str">
        <f t="shared" si="67"/>
        <v>0 г. 0 мес. 0 дн.</v>
      </c>
      <c r="I1823" s="2"/>
      <c r="J1823" s="2"/>
      <c r="K1823" s="2"/>
      <c r="L1823" s="2"/>
      <c r="M1823" s="2"/>
      <c r="N1823" s="1">
        <v>0</v>
      </c>
      <c r="O1823" s="2"/>
      <c r="P1823" s="2"/>
      <c r="Q1823" s="2">
        <v>0</v>
      </c>
      <c r="R1823" s="6"/>
    </row>
    <row r="1824" spans="1:18" x14ac:dyDescent="0.25">
      <c r="A1824" s="2">
        <f t="shared" si="68"/>
        <v>1823</v>
      </c>
      <c r="B1824" s="2"/>
      <c r="C1824" s="2"/>
      <c r="D1824" s="2"/>
      <c r="E1824" s="2"/>
      <c r="F1824" s="2"/>
      <c r="G1824" s="2"/>
      <c r="H1824" s="2" t="str">
        <f t="shared" si="67"/>
        <v>0 г. 0 мес. 0 дн.</v>
      </c>
      <c r="I1824" s="2"/>
      <c r="J1824" s="2"/>
      <c r="K1824" s="2"/>
      <c r="L1824" s="2"/>
      <c r="M1824" s="2"/>
      <c r="N1824" s="1">
        <v>0</v>
      </c>
      <c r="O1824" s="2"/>
      <c r="P1824" s="2"/>
      <c r="Q1824" s="2">
        <v>0</v>
      </c>
      <c r="R1824" s="6"/>
    </row>
    <row r="1825" spans="1:18" x14ac:dyDescent="0.25">
      <c r="A1825" s="2">
        <f t="shared" si="68"/>
        <v>1824</v>
      </c>
      <c r="B1825" s="2"/>
      <c r="C1825" s="2"/>
      <c r="D1825" s="2"/>
      <c r="E1825" s="2"/>
      <c r="F1825" s="2"/>
      <c r="G1825" s="2"/>
      <c r="H1825" s="2" t="str">
        <f t="shared" si="67"/>
        <v>0 г. 0 мес. 0 дн.</v>
      </c>
      <c r="I1825" s="2"/>
      <c r="J1825" s="2"/>
      <c r="K1825" s="2"/>
      <c r="L1825" s="2"/>
      <c r="M1825" s="2"/>
      <c r="N1825" s="1">
        <v>0</v>
      </c>
      <c r="O1825" s="2"/>
      <c r="P1825" s="2"/>
      <c r="Q1825" s="2">
        <v>0</v>
      </c>
      <c r="R1825" s="6"/>
    </row>
    <row r="1826" spans="1:18" x14ac:dyDescent="0.25">
      <c r="A1826" s="2">
        <f t="shared" si="68"/>
        <v>1825</v>
      </c>
      <c r="B1826" s="2"/>
      <c r="C1826" s="2"/>
      <c r="D1826" s="2"/>
      <c r="E1826" s="2"/>
      <c r="F1826" s="2"/>
      <c r="G1826" s="2"/>
      <c r="H1826" s="2" t="str">
        <f t="shared" si="67"/>
        <v>0 г. 0 мес. 0 дн.</v>
      </c>
      <c r="I1826" s="2"/>
      <c r="J1826" s="2"/>
      <c r="K1826" s="2"/>
      <c r="L1826" s="2"/>
      <c r="M1826" s="2"/>
      <c r="N1826" s="1">
        <v>0</v>
      </c>
      <c r="O1826" s="2"/>
      <c r="P1826" s="2"/>
      <c r="Q1826" s="2">
        <v>0</v>
      </c>
      <c r="R1826" s="6"/>
    </row>
    <row r="1827" spans="1:18" x14ac:dyDescent="0.25">
      <c r="A1827" s="2">
        <f t="shared" si="68"/>
        <v>1826</v>
      </c>
      <c r="B1827" s="2"/>
      <c r="C1827" s="2"/>
      <c r="D1827" s="2"/>
      <c r="E1827" s="2"/>
      <c r="F1827" s="2"/>
      <c r="G1827" s="2"/>
      <c r="H1827" s="2" t="str">
        <f t="shared" si="67"/>
        <v>0 г. 0 мес. 0 дн.</v>
      </c>
      <c r="I1827" s="2"/>
      <c r="J1827" s="2"/>
      <c r="K1827" s="2"/>
      <c r="L1827" s="2"/>
      <c r="M1827" s="2"/>
      <c r="N1827" s="1">
        <v>0</v>
      </c>
      <c r="O1827" s="2"/>
      <c r="P1827" s="2"/>
      <c r="Q1827" s="2">
        <v>0</v>
      </c>
      <c r="R1827" s="6"/>
    </row>
    <row r="1828" spans="1:18" x14ac:dyDescent="0.25">
      <c r="A1828" s="2">
        <f t="shared" si="68"/>
        <v>1827</v>
      </c>
      <c r="B1828" s="2"/>
      <c r="C1828" s="2"/>
      <c r="D1828" s="2"/>
      <c r="E1828" s="2"/>
      <c r="F1828" s="2"/>
      <c r="G1828" s="2"/>
      <c r="H1828" s="2" t="str">
        <f t="shared" si="67"/>
        <v>0 г. 0 мес. 0 дн.</v>
      </c>
      <c r="I1828" s="2"/>
      <c r="J1828" s="2"/>
      <c r="K1828" s="2"/>
      <c r="L1828" s="2"/>
      <c r="M1828" s="2"/>
      <c r="N1828" s="1">
        <v>0</v>
      </c>
      <c r="O1828" s="2"/>
      <c r="P1828" s="2"/>
      <c r="Q1828" s="2">
        <v>0</v>
      </c>
      <c r="R1828" s="6"/>
    </row>
    <row r="1829" spans="1:18" x14ac:dyDescent="0.25">
      <c r="A1829" s="2">
        <f t="shared" si="68"/>
        <v>1828</v>
      </c>
      <c r="B1829" s="2"/>
      <c r="C1829" s="2"/>
      <c r="D1829" s="2"/>
      <c r="E1829" s="2"/>
      <c r="F1829" s="2"/>
      <c r="G1829" s="2"/>
      <c r="H1829" s="2" t="str">
        <f t="shared" si="67"/>
        <v>0 г. 0 мес. 0 дн.</v>
      </c>
      <c r="I1829" s="2"/>
      <c r="J1829" s="2"/>
      <c r="K1829" s="2"/>
      <c r="L1829" s="2"/>
      <c r="M1829" s="2"/>
      <c r="N1829" s="1">
        <v>0</v>
      </c>
      <c r="O1829" s="2"/>
      <c r="P1829" s="2"/>
      <c r="Q1829" s="2">
        <v>0</v>
      </c>
      <c r="R1829" s="6"/>
    </row>
    <row r="1830" spans="1:18" x14ac:dyDescent="0.25">
      <c r="A1830" s="2">
        <f t="shared" si="68"/>
        <v>1829</v>
      </c>
      <c r="B1830" s="2"/>
      <c r="C1830" s="2"/>
      <c r="D1830" s="2"/>
      <c r="E1830" s="2"/>
      <c r="F1830" s="2"/>
      <c r="G1830" s="2"/>
      <c r="H1830" s="2" t="str">
        <f t="shared" si="67"/>
        <v>0 г. 0 мес. 0 дн.</v>
      </c>
      <c r="I1830" s="2"/>
      <c r="J1830" s="2"/>
      <c r="K1830" s="2"/>
      <c r="L1830" s="2"/>
      <c r="M1830" s="2"/>
      <c r="N1830" s="1">
        <v>0</v>
      </c>
      <c r="O1830" s="2"/>
      <c r="P1830" s="2"/>
      <c r="Q1830" s="2">
        <v>0</v>
      </c>
      <c r="R1830" s="6"/>
    </row>
    <row r="1831" spans="1:18" x14ac:dyDescent="0.25">
      <c r="A1831" s="2">
        <f t="shared" si="68"/>
        <v>1830</v>
      </c>
      <c r="B1831" s="2"/>
      <c r="C1831" s="2"/>
      <c r="D1831" s="2"/>
      <c r="E1831" s="2"/>
      <c r="F1831" s="2"/>
      <c r="G1831" s="2"/>
      <c r="H1831" s="2" t="str">
        <f t="shared" si="67"/>
        <v>0 г. 0 мес. 0 дн.</v>
      </c>
      <c r="I1831" s="2"/>
      <c r="J1831" s="2"/>
      <c r="K1831" s="2"/>
      <c r="L1831" s="2"/>
      <c r="M1831" s="2"/>
      <c r="N1831" s="1">
        <v>0</v>
      </c>
      <c r="O1831" s="2"/>
      <c r="P1831" s="2"/>
      <c r="Q1831" s="2">
        <v>0</v>
      </c>
      <c r="R1831" s="6"/>
    </row>
    <row r="1832" spans="1:18" x14ac:dyDescent="0.25">
      <c r="A1832" s="2">
        <f t="shared" si="68"/>
        <v>1831</v>
      </c>
      <c r="B1832" s="2"/>
      <c r="C1832" s="2"/>
      <c r="D1832" s="2"/>
      <c r="E1832" s="2"/>
      <c r="F1832" s="2"/>
      <c r="G1832" s="2"/>
      <c r="H1832" s="2" t="str">
        <f t="shared" si="67"/>
        <v>0 г. 0 мес. 0 дн.</v>
      </c>
      <c r="I1832" s="2"/>
      <c r="J1832" s="2"/>
      <c r="K1832" s="2"/>
      <c r="L1832" s="2"/>
      <c r="M1832" s="2"/>
      <c r="N1832" s="1">
        <v>0</v>
      </c>
      <c r="O1832" s="2"/>
      <c r="P1832" s="2"/>
      <c r="Q1832" s="2">
        <v>0</v>
      </c>
      <c r="R1832" s="6"/>
    </row>
    <row r="1833" spans="1:18" x14ac:dyDescent="0.25">
      <c r="A1833" s="2">
        <f t="shared" si="68"/>
        <v>1832</v>
      </c>
      <c r="B1833" s="2"/>
      <c r="C1833" s="2"/>
      <c r="D1833" s="2"/>
      <c r="E1833" s="2"/>
      <c r="F1833" s="2"/>
      <c r="G1833" s="2"/>
      <c r="H1833" s="2" t="str">
        <f t="shared" si="67"/>
        <v>0 г. 0 мес. 0 дн.</v>
      </c>
      <c r="I1833" s="2"/>
      <c r="J1833" s="2"/>
      <c r="K1833" s="2"/>
      <c r="L1833" s="2"/>
      <c r="M1833" s="2"/>
      <c r="N1833" s="1">
        <v>0</v>
      </c>
      <c r="O1833" s="2"/>
      <c r="P1833" s="2"/>
      <c r="Q1833" s="2">
        <v>0</v>
      </c>
      <c r="R1833" s="6"/>
    </row>
    <row r="1834" spans="1:18" x14ac:dyDescent="0.25">
      <c r="A1834" s="2">
        <f t="shared" si="68"/>
        <v>1833</v>
      </c>
      <c r="B1834" s="2"/>
      <c r="C1834" s="2"/>
      <c r="D1834" s="2"/>
      <c r="E1834" s="2"/>
      <c r="F1834" s="2"/>
      <c r="G1834" s="2"/>
      <c r="H1834" s="2" t="str">
        <f t="shared" si="67"/>
        <v>0 г. 0 мес. 0 дн.</v>
      </c>
      <c r="I1834" s="2"/>
      <c r="J1834" s="2"/>
      <c r="K1834" s="2"/>
      <c r="L1834" s="2"/>
      <c r="M1834" s="2"/>
      <c r="N1834" s="1">
        <v>0</v>
      </c>
      <c r="O1834" s="2"/>
      <c r="P1834" s="2"/>
      <c r="Q1834" s="2">
        <v>0</v>
      </c>
      <c r="R1834" s="6"/>
    </row>
    <row r="1835" spans="1:18" x14ac:dyDescent="0.25">
      <c r="A1835" s="2">
        <f t="shared" si="68"/>
        <v>1834</v>
      </c>
      <c r="B1835" s="2"/>
      <c r="C1835" s="2"/>
      <c r="D1835" s="2"/>
      <c r="E1835" s="2"/>
      <c r="F1835" s="2"/>
      <c r="G1835" s="2"/>
      <c r="H1835" s="2" t="str">
        <f t="shared" si="67"/>
        <v>0 г. 0 мес. 0 дн.</v>
      </c>
      <c r="I1835" s="2"/>
      <c r="J1835" s="2"/>
      <c r="K1835" s="2"/>
      <c r="L1835" s="2"/>
      <c r="M1835" s="2"/>
      <c r="N1835" s="1">
        <v>0</v>
      </c>
      <c r="O1835" s="2"/>
      <c r="P1835" s="2"/>
      <c r="Q1835" s="2">
        <v>0</v>
      </c>
      <c r="R1835" s="6"/>
    </row>
    <row r="1836" spans="1:18" x14ac:dyDescent="0.25">
      <c r="A1836" s="2">
        <f t="shared" si="68"/>
        <v>1835</v>
      </c>
      <c r="B1836" s="2"/>
      <c r="C1836" s="2"/>
      <c r="D1836" s="2"/>
      <c r="E1836" s="2"/>
      <c r="F1836" s="2"/>
      <c r="G1836" s="2"/>
      <c r="H1836" s="2" t="str">
        <f t="shared" si="67"/>
        <v>0 г. 0 мес. 0 дн.</v>
      </c>
      <c r="I1836" s="2"/>
      <c r="J1836" s="2"/>
      <c r="K1836" s="2"/>
      <c r="L1836" s="2"/>
      <c r="M1836" s="2"/>
      <c r="N1836" s="1">
        <v>0</v>
      </c>
      <c r="O1836" s="2"/>
      <c r="P1836" s="2"/>
      <c r="Q1836" s="2">
        <v>0</v>
      </c>
      <c r="R1836" s="6"/>
    </row>
    <row r="1837" spans="1:18" x14ac:dyDescent="0.25">
      <c r="A1837" s="2">
        <f t="shared" si="68"/>
        <v>1836</v>
      </c>
      <c r="B1837" s="2"/>
      <c r="C1837" s="2"/>
      <c r="D1837" s="2"/>
      <c r="E1837" s="2"/>
      <c r="F1837" s="2"/>
      <c r="G1837" s="2"/>
      <c r="H1837" s="2" t="str">
        <f t="shared" si="67"/>
        <v>0 г. 0 мес. 0 дн.</v>
      </c>
      <c r="I1837" s="2"/>
      <c r="J1837" s="2"/>
      <c r="K1837" s="2"/>
      <c r="L1837" s="2"/>
      <c r="M1837" s="2"/>
      <c r="N1837" s="1">
        <v>0</v>
      </c>
      <c r="O1837" s="2"/>
      <c r="P1837" s="2"/>
      <c r="Q1837" s="2">
        <v>0</v>
      </c>
      <c r="R1837" s="6"/>
    </row>
    <row r="1838" spans="1:18" x14ac:dyDescent="0.25">
      <c r="A1838" s="2">
        <f t="shared" si="68"/>
        <v>1837</v>
      </c>
      <c r="B1838" s="2"/>
      <c r="C1838" s="2"/>
      <c r="D1838" s="2"/>
      <c r="E1838" s="2"/>
      <c r="F1838" s="2"/>
      <c r="G1838" s="2"/>
      <c r="H1838" s="2" t="str">
        <f t="shared" si="67"/>
        <v>0 г. 0 мес. 0 дн.</v>
      </c>
      <c r="I1838" s="2"/>
      <c r="J1838" s="2"/>
      <c r="K1838" s="2"/>
      <c r="L1838" s="2"/>
      <c r="M1838" s="2"/>
      <c r="N1838" s="1">
        <v>0</v>
      </c>
      <c r="O1838" s="2"/>
      <c r="P1838" s="2"/>
      <c r="Q1838" s="2">
        <v>0</v>
      </c>
      <c r="R1838" s="6"/>
    </row>
    <row r="1839" spans="1:18" x14ac:dyDescent="0.25">
      <c r="A1839" s="2">
        <f t="shared" si="68"/>
        <v>1838</v>
      </c>
      <c r="B1839" s="2"/>
      <c r="C1839" s="2"/>
      <c r="D1839" s="2"/>
      <c r="E1839" s="2"/>
      <c r="F1839" s="2"/>
      <c r="G1839" s="2"/>
      <c r="H1839" s="2" t="str">
        <f t="shared" si="67"/>
        <v>0 г. 0 мес. 0 дн.</v>
      </c>
      <c r="I1839" s="2"/>
      <c r="J1839" s="2"/>
      <c r="K1839" s="2"/>
      <c r="L1839" s="2"/>
      <c r="M1839" s="2"/>
      <c r="N1839" s="1">
        <v>0</v>
      </c>
      <c r="O1839" s="2"/>
      <c r="P1839" s="2"/>
      <c r="Q1839" s="2">
        <v>0</v>
      </c>
      <c r="R1839" s="6"/>
    </row>
    <row r="1840" spans="1:18" x14ac:dyDescent="0.25">
      <c r="A1840" s="2">
        <f t="shared" si="68"/>
        <v>1839</v>
      </c>
      <c r="B1840" s="2"/>
      <c r="C1840" s="2"/>
      <c r="D1840" s="2"/>
      <c r="E1840" s="2"/>
      <c r="F1840" s="2"/>
      <c r="G1840" s="2"/>
      <c r="H1840" s="2" t="str">
        <f t="shared" si="67"/>
        <v>0 г. 0 мес. 0 дн.</v>
      </c>
      <c r="I1840" s="2"/>
      <c r="J1840" s="2"/>
      <c r="K1840" s="2"/>
      <c r="L1840" s="2"/>
      <c r="M1840" s="2"/>
      <c r="N1840" s="1">
        <v>0</v>
      </c>
      <c r="O1840" s="2"/>
      <c r="P1840" s="2"/>
      <c r="Q1840" s="2">
        <v>0</v>
      </c>
      <c r="R1840" s="6"/>
    </row>
    <row r="1841" spans="1:18" x14ac:dyDescent="0.25">
      <c r="A1841" s="2">
        <f t="shared" si="68"/>
        <v>1840</v>
      </c>
      <c r="B1841" s="2"/>
      <c r="C1841" s="2"/>
      <c r="D1841" s="2"/>
      <c r="E1841" s="2"/>
      <c r="F1841" s="2"/>
      <c r="G1841" s="2"/>
      <c r="H1841" s="2" t="str">
        <f t="shared" si="67"/>
        <v>0 г. 0 мес. 0 дн.</v>
      </c>
      <c r="I1841" s="2"/>
      <c r="J1841" s="2"/>
      <c r="K1841" s="2"/>
      <c r="L1841" s="2"/>
      <c r="M1841" s="2"/>
      <c r="N1841" s="1">
        <v>0</v>
      </c>
      <c r="O1841" s="2"/>
      <c r="P1841" s="2"/>
      <c r="Q1841" s="2">
        <v>0</v>
      </c>
      <c r="R1841" s="6"/>
    </row>
    <row r="1842" spans="1:18" x14ac:dyDescent="0.25">
      <c r="A1842" s="2">
        <f t="shared" si="68"/>
        <v>1841</v>
      </c>
      <c r="B1842" s="2"/>
      <c r="C1842" s="2"/>
      <c r="D1842" s="2"/>
      <c r="E1842" s="2"/>
      <c r="F1842" s="2"/>
      <c r="G1842" s="2"/>
      <c r="H1842" s="2" t="str">
        <f t="shared" si="67"/>
        <v>0 г. 0 мес. 0 дн.</v>
      </c>
      <c r="I1842" s="2"/>
      <c r="J1842" s="2"/>
      <c r="K1842" s="2"/>
      <c r="L1842" s="2"/>
      <c r="M1842" s="2"/>
      <c r="N1842" s="1">
        <v>0</v>
      </c>
      <c r="O1842" s="2"/>
      <c r="P1842" s="2"/>
      <c r="Q1842" s="2">
        <v>0</v>
      </c>
      <c r="R1842" s="6"/>
    </row>
    <row r="1843" spans="1:18" x14ac:dyDescent="0.25">
      <c r="A1843" s="2">
        <f t="shared" si="68"/>
        <v>1842</v>
      </c>
      <c r="B1843" s="2"/>
      <c r="C1843" s="2"/>
      <c r="D1843" s="2"/>
      <c r="E1843" s="2"/>
      <c r="F1843" s="2"/>
      <c r="G1843" s="2"/>
      <c r="H1843" s="2" t="str">
        <f t="shared" si="67"/>
        <v>0 г. 0 мес. 0 дн.</v>
      </c>
      <c r="I1843" s="2"/>
      <c r="J1843" s="2"/>
      <c r="K1843" s="2"/>
      <c r="L1843" s="2"/>
      <c r="M1843" s="2"/>
      <c r="N1843" s="1">
        <v>0</v>
      </c>
      <c r="O1843" s="2"/>
      <c r="P1843" s="2"/>
      <c r="Q1843" s="2">
        <v>0</v>
      </c>
      <c r="R1843" s="6"/>
    </row>
    <row r="1844" spans="1:18" x14ac:dyDescent="0.25">
      <c r="A1844" s="2">
        <f t="shared" si="68"/>
        <v>1843</v>
      </c>
      <c r="B1844" s="2"/>
      <c r="C1844" s="2"/>
      <c r="D1844" s="2"/>
      <c r="E1844" s="2"/>
      <c r="F1844" s="2"/>
      <c r="G1844" s="2"/>
      <c r="H1844" s="2" t="str">
        <f t="shared" si="67"/>
        <v>0 г. 0 мес. 0 дн.</v>
      </c>
      <c r="I1844" s="2"/>
      <c r="J1844" s="2"/>
      <c r="K1844" s="2"/>
      <c r="L1844" s="2"/>
      <c r="M1844" s="2"/>
      <c r="N1844" s="1">
        <v>0</v>
      </c>
      <c r="O1844" s="2"/>
      <c r="P1844" s="2"/>
      <c r="Q1844" s="2">
        <v>0</v>
      </c>
      <c r="R1844" s="6"/>
    </row>
    <row r="1845" spans="1:18" x14ac:dyDescent="0.25">
      <c r="A1845" s="2">
        <f t="shared" si="68"/>
        <v>1844</v>
      </c>
      <c r="B1845" s="2"/>
      <c r="C1845" s="2"/>
      <c r="D1845" s="2"/>
      <c r="E1845" s="2"/>
      <c r="F1845" s="2"/>
      <c r="G1845" s="2"/>
      <c r="H1845" s="2" t="str">
        <f t="shared" si="67"/>
        <v>0 г. 0 мес. 0 дн.</v>
      </c>
      <c r="I1845" s="2"/>
      <c r="J1845" s="2"/>
      <c r="K1845" s="2"/>
      <c r="L1845" s="2"/>
      <c r="M1845" s="2"/>
      <c r="N1845" s="1">
        <v>0</v>
      </c>
      <c r="O1845" s="2"/>
      <c r="P1845" s="2"/>
      <c r="Q1845" s="2">
        <v>0</v>
      </c>
      <c r="R1845" s="6"/>
    </row>
    <row r="1846" spans="1:18" x14ac:dyDescent="0.25">
      <c r="A1846" s="2">
        <f t="shared" si="68"/>
        <v>1845</v>
      </c>
      <c r="B1846" s="2"/>
      <c r="C1846" s="2"/>
      <c r="D1846" s="2"/>
      <c r="E1846" s="2"/>
      <c r="F1846" s="2"/>
      <c r="G1846" s="2"/>
      <c r="H1846" s="2" t="str">
        <f t="shared" si="67"/>
        <v>0 г. 0 мес. 0 дн.</v>
      </c>
      <c r="I1846" s="2"/>
      <c r="J1846" s="2"/>
      <c r="K1846" s="2"/>
      <c r="L1846" s="2"/>
      <c r="M1846" s="2"/>
      <c r="N1846" s="1">
        <v>0</v>
      </c>
      <c r="O1846" s="2"/>
      <c r="P1846" s="2"/>
      <c r="Q1846" s="2">
        <v>0</v>
      </c>
      <c r="R1846" s="6"/>
    </row>
    <row r="1847" spans="1:18" x14ac:dyDescent="0.25">
      <c r="A1847" s="2">
        <f t="shared" si="68"/>
        <v>1846</v>
      </c>
      <c r="B1847" s="2"/>
      <c r="C1847" s="2"/>
      <c r="D1847" s="2"/>
      <c r="E1847" s="2"/>
      <c r="F1847" s="2"/>
      <c r="G1847" s="2"/>
      <c r="H1847" s="2" t="str">
        <f t="shared" si="67"/>
        <v>0 г. 0 мес. 0 дн.</v>
      </c>
      <c r="I1847" s="2"/>
      <c r="J1847" s="2"/>
      <c r="K1847" s="2"/>
      <c r="L1847" s="2"/>
      <c r="M1847" s="2"/>
      <c r="N1847" s="1">
        <v>0</v>
      </c>
      <c r="O1847" s="2"/>
      <c r="P1847" s="2"/>
      <c r="Q1847" s="2">
        <v>0</v>
      </c>
      <c r="R1847" s="6"/>
    </row>
    <row r="1848" spans="1:18" x14ac:dyDescent="0.25">
      <c r="A1848" s="2">
        <f t="shared" si="68"/>
        <v>1847</v>
      </c>
      <c r="B1848" s="2"/>
      <c r="C1848" s="2"/>
      <c r="D1848" s="2"/>
      <c r="E1848" s="2"/>
      <c r="F1848" s="2"/>
      <c r="G1848" s="2"/>
      <c r="H1848" s="2" t="str">
        <f t="shared" si="67"/>
        <v>0 г. 0 мес. 0 дн.</v>
      </c>
      <c r="I1848" s="2"/>
      <c r="J1848" s="2"/>
      <c r="K1848" s="2"/>
      <c r="L1848" s="2"/>
      <c r="M1848" s="2"/>
      <c r="N1848" s="1">
        <v>0</v>
      </c>
      <c r="O1848" s="2"/>
      <c r="P1848" s="2"/>
      <c r="Q1848" s="2">
        <v>0</v>
      </c>
      <c r="R1848" s="6"/>
    </row>
    <row r="1849" spans="1:18" x14ac:dyDescent="0.25">
      <c r="A1849" s="2">
        <f t="shared" si="68"/>
        <v>1848</v>
      </c>
      <c r="B1849" s="2"/>
      <c r="C1849" s="2"/>
      <c r="D1849" s="2"/>
      <c r="E1849" s="2"/>
      <c r="F1849" s="2"/>
      <c r="G1849" s="2"/>
      <c r="H1849" s="2" t="str">
        <f t="shared" si="67"/>
        <v>0 г. 0 мес. 0 дн.</v>
      </c>
      <c r="I1849" s="2"/>
      <c r="J1849" s="2"/>
      <c r="K1849" s="2"/>
      <c r="L1849" s="2"/>
      <c r="M1849" s="2"/>
      <c r="N1849" s="1">
        <v>0</v>
      </c>
      <c r="O1849" s="2"/>
      <c r="P1849" s="2"/>
      <c r="Q1849" s="2">
        <v>0</v>
      </c>
      <c r="R1849" s="6"/>
    </row>
    <row r="1850" spans="1:18" x14ac:dyDescent="0.25">
      <c r="A1850" s="2">
        <f t="shared" si="68"/>
        <v>1849</v>
      </c>
      <c r="B1850" s="2"/>
      <c r="C1850" s="2"/>
      <c r="D1850" s="2"/>
      <c r="E1850" s="2"/>
      <c r="F1850" s="2"/>
      <c r="G1850" s="2"/>
      <c r="H1850" s="2" t="str">
        <f t="shared" si="67"/>
        <v>0 г. 0 мес. 0 дн.</v>
      </c>
      <c r="I1850" s="2"/>
      <c r="J1850" s="2"/>
      <c r="K1850" s="2"/>
      <c r="L1850" s="2"/>
      <c r="M1850" s="2"/>
      <c r="N1850" s="1">
        <v>0</v>
      </c>
      <c r="O1850" s="2"/>
      <c r="P1850" s="2"/>
      <c r="Q1850" s="2">
        <v>0</v>
      </c>
      <c r="R1850" s="6"/>
    </row>
    <row r="1851" spans="1:18" x14ac:dyDescent="0.25">
      <c r="A1851" s="2">
        <f t="shared" si="68"/>
        <v>1850</v>
      </c>
      <c r="B1851" s="2"/>
      <c r="C1851" s="2"/>
      <c r="D1851" s="2"/>
      <c r="E1851" s="2"/>
      <c r="F1851" s="2"/>
      <c r="G1851" s="2"/>
      <c r="H1851" s="2" t="str">
        <f t="shared" si="67"/>
        <v>0 г. 0 мес. 0 дн.</v>
      </c>
      <c r="I1851" s="2"/>
      <c r="J1851" s="2"/>
      <c r="K1851" s="2"/>
      <c r="L1851" s="2"/>
      <c r="M1851" s="2"/>
      <c r="N1851" s="1">
        <v>0</v>
      </c>
      <c r="O1851" s="2"/>
      <c r="P1851" s="2"/>
      <c r="Q1851" s="2">
        <v>0</v>
      </c>
      <c r="R1851" s="6"/>
    </row>
    <row r="1852" spans="1:18" x14ac:dyDescent="0.25">
      <c r="A1852" s="2">
        <f t="shared" si="68"/>
        <v>1851</v>
      </c>
      <c r="B1852" s="2"/>
      <c r="C1852" s="2"/>
      <c r="D1852" s="2"/>
      <c r="E1852" s="2"/>
      <c r="F1852" s="2"/>
      <c r="G1852" s="2"/>
      <c r="H1852" s="2" t="str">
        <f t="shared" si="67"/>
        <v>0 г. 0 мес. 0 дн.</v>
      </c>
      <c r="I1852" s="2"/>
      <c r="J1852" s="2"/>
      <c r="K1852" s="2"/>
      <c r="L1852" s="2"/>
      <c r="M1852" s="2"/>
      <c r="N1852" s="1">
        <v>0</v>
      </c>
      <c r="O1852" s="2"/>
      <c r="P1852" s="2"/>
      <c r="Q1852" s="2">
        <v>0</v>
      </c>
      <c r="R1852" s="6"/>
    </row>
    <row r="1853" spans="1:18" x14ac:dyDescent="0.25">
      <c r="A1853" s="2">
        <f t="shared" si="68"/>
        <v>1852</v>
      </c>
      <c r="B1853" s="2"/>
      <c r="C1853" s="2"/>
      <c r="D1853" s="2"/>
      <c r="E1853" s="2"/>
      <c r="F1853" s="2"/>
      <c r="G1853" s="2"/>
      <c r="H1853" s="2" t="str">
        <f t="shared" si="67"/>
        <v>0 г. 0 мес. 0 дн.</v>
      </c>
      <c r="I1853" s="2"/>
      <c r="J1853" s="2"/>
      <c r="K1853" s="2"/>
      <c r="L1853" s="2"/>
      <c r="M1853" s="2"/>
      <c r="N1853" s="1">
        <v>0</v>
      </c>
      <c r="O1853" s="2"/>
      <c r="P1853" s="2"/>
      <c r="Q1853" s="2">
        <v>0</v>
      </c>
      <c r="R1853" s="6"/>
    </row>
    <row r="1854" spans="1:18" x14ac:dyDescent="0.25">
      <c r="A1854" s="2">
        <f t="shared" si="68"/>
        <v>1853</v>
      </c>
      <c r="B1854" s="2"/>
      <c r="C1854" s="2"/>
      <c r="D1854" s="2"/>
      <c r="E1854" s="2"/>
      <c r="F1854" s="2"/>
      <c r="G1854" s="2"/>
      <c r="H1854" s="2" t="str">
        <f t="shared" si="67"/>
        <v>0 г. 0 мес. 0 дн.</v>
      </c>
      <c r="I1854" s="2"/>
      <c r="J1854" s="2"/>
      <c r="K1854" s="2"/>
      <c r="L1854" s="2"/>
      <c r="M1854" s="2"/>
      <c r="N1854" s="1">
        <v>0</v>
      </c>
      <c r="O1854" s="2"/>
      <c r="P1854" s="2"/>
      <c r="Q1854" s="2">
        <v>0</v>
      </c>
      <c r="R1854" s="6"/>
    </row>
    <row r="1855" spans="1:18" x14ac:dyDescent="0.25">
      <c r="A1855" s="2">
        <f t="shared" si="68"/>
        <v>1854</v>
      </c>
      <c r="B1855" s="2"/>
      <c r="C1855" s="2"/>
      <c r="D1855" s="2"/>
      <c r="E1855" s="2"/>
      <c r="F1855" s="2"/>
      <c r="G1855" s="2"/>
      <c r="H1855" s="2" t="str">
        <f t="shared" si="67"/>
        <v>0 г. 0 мес. 0 дн.</v>
      </c>
      <c r="I1855" s="2"/>
      <c r="J1855" s="2"/>
      <c r="K1855" s="2"/>
      <c r="L1855" s="2"/>
      <c r="M1855" s="2"/>
      <c r="N1855" s="1">
        <v>0</v>
      </c>
      <c r="O1855" s="2"/>
      <c r="P1855" s="2"/>
      <c r="Q1855" s="2">
        <v>0</v>
      </c>
      <c r="R1855" s="6"/>
    </row>
    <row r="1856" spans="1:18" x14ac:dyDescent="0.25">
      <c r="A1856" s="2">
        <f t="shared" si="68"/>
        <v>1855</v>
      </c>
      <c r="B1856" s="2"/>
      <c r="C1856" s="2"/>
      <c r="D1856" s="2"/>
      <c r="E1856" s="2"/>
      <c r="F1856" s="2"/>
      <c r="G1856" s="2"/>
      <c r="H1856" s="2" t="str">
        <f t="shared" si="67"/>
        <v>0 г. 0 мес. 0 дн.</v>
      </c>
      <c r="I1856" s="2"/>
      <c r="J1856" s="2"/>
      <c r="K1856" s="2"/>
      <c r="L1856" s="2"/>
      <c r="M1856" s="2"/>
      <c r="N1856" s="1">
        <v>0</v>
      </c>
      <c r="O1856" s="2"/>
      <c r="P1856" s="2"/>
      <c r="Q1856" s="2">
        <v>0</v>
      </c>
      <c r="R1856" s="6"/>
    </row>
    <row r="1857" spans="1:18" x14ac:dyDescent="0.25">
      <c r="A1857" s="2">
        <f t="shared" si="68"/>
        <v>1856</v>
      </c>
      <c r="B1857" s="2"/>
      <c r="C1857" s="2"/>
      <c r="D1857" s="2"/>
      <c r="E1857" s="2"/>
      <c r="F1857" s="2"/>
      <c r="G1857" s="2"/>
      <c r="H1857" s="2" t="str">
        <f t="shared" si="67"/>
        <v>0 г. 0 мес. 0 дн.</v>
      </c>
      <c r="I1857" s="2"/>
      <c r="J1857" s="2"/>
      <c r="K1857" s="2"/>
      <c r="L1857" s="2"/>
      <c r="M1857" s="2"/>
      <c r="N1857" s="1">
        <v>0</v>
      </c>
      <c r="O1857" s="2"/>
      <c r="P1857" s="2"/>
      <c r="Q1857" s="2">
        <v>0</v>
      </c>
      <c r="R1857" s="6"/>
    </row>
    <row r="1858" spans="1:18" x14ac:dyDescent="0.25">
      <c r="A1858" s="2">
        <f t="shared" si="68"/>
        <v>1857</v>
      </c>
      <c r="B1858" s="2"/>
      <c r="C1858" s="2"/>
      <c r="D1858" s="2"/>
      <c r="E1858" s="2"/>
      <c r="F1858" s="2"/>
      <c r="G1858" s="2"/>
      <c r="H1858" s="2" t="str">
        <f t="shared" si="67"/>
        <v>0 г. 0 мес. 0 дн.</v>
      </c>
      <c r="I1858" s="2"/>
      <c r="J1858" s="2"/>
      <c r="K1858" s="2"/>
      <c r="L1858" s="2"/>
      <c r="M1858" s="2"/>
      <c r="N1858" s="1">
        <v>0</v>
      </c>
      <c r="O1858" s="2"/>
      <c r="P1858" s="2"/>
      <c r="Q1858" s="2">
        <v>0</v>
      </c>
      <c r="R1858" s="6"/>
    </row>
    <row r="1859" spans="1:18" x14ac:dyDescent="0.25">
      <c r="A1859" s="2">
        <f t="shared" si="68"/>
        <v>1858</v>
      </c>
      <c r="B1859" s="2"/>
      <c r="C1859" s="2"/>
      <c r="D1859" s="2"/>
      <c r="E1859" s="2"/>
      <c r="F1859" s="2"/>
      <c r="G1859" s="2"/>
      <c r="H1859" s="2" t="str">
        <f t="shared" si="67"/>
        <v>0 г. 0 мес. 0 дн.</v>
      </c>
      <c r="I1859" s="2"/>
      <c r="J1859" s="2"/>
      <c r="K1859" s="2"/>
      <c r="L1859" s="2"/>
      <c r="M1859" s="2"/>
      <c r="N1859" s="1">
        <v>0</v>
      </c>
      <c r="O1859" s="2"/>
      <c r="P1859" s="2"/>
      <c r="Q1859" s="2">
        <v>0</v>
      </c>
      <c r="R1859" s="6"/>
    </row>
    <row r="1860" spans="1:18" x14ac:dyDescent="0.25">
      <c r="A1860" s="2">
        <f t="shared" si="68"/>
        <v>1859</v>
      </c>
      <c r="B1860" s="2"/>
      <c r="C1860" s="2"/>
      <c r="D1860" s="2"/>
      <c r="E1860" s="2"/>
      <c r="F1860" s="2"/>
      <c r="G1860" s="2"/>
      <c r="H1860" s="2" t="str">
        <f t="shared" ref="H1860:H1923" si="69">DATEDIF(G1860,D1860,"y") &amp; " г. " &amp; DATEDIF(G1860,D1860,"ym") &amp; " мес. " &amp; DATEDIF(G1860,D1860,"md") &amp; " дн."</f>
        <v>0 г. 0 мес. 0 дн.</v>
      </c>
      <c r="I1860" s="2"/>
      <c r="J1860" s="2"/>
      <c r="K1860" s="2"/>
      <c r="L1860" s="2"/>
      <c r="M1860" s="2"/>
      <c r="N1860" s="1">
        <v>0</v>
      </c>
      <c r="O1860" s="2"/>
      <c r="P1860" s="2"/>
      <c r="Q1860" s="2">
        <v>0</v>
      </c>
      <c r="R1860" s="6"/>
    </row>
    <row r="1861" spans="1:18" x14ac:dyDescent="0.25">
      <c r="A1861" s="2">
        <f t="shared" si="68"/>
        <v>1860</v>
      </c>
      <c r="B1861" s="2"/>
      <c r="C1861" s="2"/>
      <c r="D1861" s="2"/>
      <c r="E1861" s="2"/>
      <c r="F1861" s="2"/>
      <c r="G1861" s="2"/>
      <c r="H1861" s="2" t="str">
        <f t="shared" si="69"/>
        <v>0 г. 0 мес. 0 дн.</v>
      </c>
      <c r="I1861" s="2"/>
      <c r="J1861" s="2"/>
      <c r="K1861" s="2"/>
      <c r="L1861" s="2"/>
      <c r="M1861" s="2"/>
      <c r="N1861" s="1">
        <v>0</v>
      </c>
      <c r="O1861" s="2"/>
      <c r="P1861" s="2"/>
      <c r="Q1861" s="2">
        <v>0</v>
      </c>
      <c r="R1861" s="6"/>
    </row>
    <row r="1862" spans="1:18" x14ac:dyDescent="0.25">
      <c r="A1862" s="2">
        <f t="shared" si="68"/>
        <v>1861</v>
      </c>
      <c r="B1862" s="2"/>
      <c r="C1862" s="2"/>
      <c r="D1862" s="2"/>
      <c r="E1862" s="2"/>
      <c r="F1862" s="2"/>
      <c r="G1862" s="2"/>
      <c r="H1862" s="2" t="str">
        <f t="shared" si="69"/>
        <v>0 г. 0 мес. 0 дн.</v>
      </c>
      <c r="I1862" s="2"/>
      <c r="J1862" s="2"/>
      <c r="K1862" s="2"/>
      <c r="L1862" s="2"/>
      <c r="M1862" s="2"/>
      <c r="N1862" s="1">
        <v>0</v>
      </c>
      <c r="O1862" s="2"/>
      <c r="P1862" s="2"/>
      <c r="Q1862" s="2">
        <v>0</v>
      </c>
      <c r="R1862" s="6"/>
    </row>
    <row r="1863" spans="1:18" x14ac:dyDescent="0.25">
      <c r="A1863" s="2">
        <f t="shared" si="68"/>
        <v>1862</v>
      </c>
      <c r="B1863" s="2"/>
      <c r="C1863" s="2"/>
      <c r="D1863" s="2"/>
      <c r="E1863" s="2"/>
      <c r="F1863" s="2"/>
      <c r="G1863" s="2"/>
      <c r="H1863" s="2" t="str">
        <f t="shared" si="69"/>
        <v>0 г. 0 мес. 0 дн.</v>
      </c>
      <c r="I1863" s="2"/>
      <c r="J1863" s="2"/>
      <c r="K1863" s="2"/>
      <c r="L1863" s="2"/>
      <c r="M1863" s="2"/>
      <c r="N1863" s="1">
        <v>0</v>
      </c>
      <c r="O1863" s="2"/>
      <c r="P1863" s="2"/>
      <c r="Q1863" s="2">
        <v>0</v>
      </c>
      <c r="R1863" s="6"/>
    </row>
    <row r="1864" spans="1:18" x14ac:dyDescent="0.25">
      <c r="A1864" s="2">
        <f t="shared" si="68"/>
        <v>1863</v>
      </c>
      <c r="B1864" s="2"/>
      <c r="C1864" s="2"/>
      <c r="D1864" s="2"/>
      <c r="E1864" s="2"/>
      <c r="F1864" s="2"/>
      <c r="G1864" s="2"/>
      <c r="H1864" s="2" t="str">
        <f t="shared" si="69"/>
        <v>0 г. 0 мес. 0 дн.</v>
      </c>
      <c r="I1864" s="2"/>
      <c r="J1864" s="2"/>
      <c r="K1864" s="2"/>
      <c r="L1864" s="2"/>
      <c r="M1864" s="2"/>
      <c r="N1864" s="1">
        <v>0</v>
      </c>
      <c r="O1864" s="2"/>
      <c r="P1864" s="2"/>
      <c r="Q1864" s="2">
        <v>0</v>
      </c>
      <c r="R1864" s="6"/>
    </row>
    <row r="1865" spans="1:18" x14ac:dyDescent="0.25">
      <c r="A1865" s="2">
        <f t="shared" si="68"/>
        <v>1864</v>
      </c>
      <c r="B1865" s="2"/>
      <c r="C1865" s="2"/>
      <c r="D1865" s="2"/>
      <c r="E1865" s="2"/>
      <c r="F1865" s="2"/>
      <c r="G1865" s="2"/>
      <c r="H1865" s="2" t="str">
        <f t="shared" si="69"/>
        <v>0 г. 0 мес. 0 дн.</v>
      </c>
      <c r="I1865" s="2"/>
      <c r="J1865" s="2"/>
      <c r="K1865" s="2"/>
      <c r="L1865" s="2"/>
      <c r="M1865" s="2"/>
      <c r="N1865" s="1">
        <v>0</v>
      </c>
      <c r="O1865" s="2"/>
      <c r="P1865" s="2"/>
      <c r="Q1865" s="2">
        <v>0</v>
      </c>
      <c r="R1865" s="6"/>
    </row>
    <row r="1866" spans="1:18" x14ac:dyDescent="0.25">
      <c r="A1866" s="2">
        <f t="shared" si="68"/>
        <v>1865</v>
      </c>
      <c r="B1866" s="2"/>
      <c r="C1866" s="2"/>
      <c r="D1866" s="2"/>
      <c r="E1866" s="2"/>
      <c r="F1866" s="2"/>
      <c r="G1866" s="2"/>
      <c r="H1866" s="2" t="str">
        <f t="shared" si="69"/>
        <v>0 г. 0 мес. 0 дн.</v>
      </c>
      <c r="I1866" s="2"/>
      <c r="J1866" s="2"/>
      <c r="K1866" s="2"/>
      <c r="L1866" s="2"/>
      <c r="M1866" s="2"/>
      <c r="N1866" s="1">
        <v>0</v>
      </c>
      <c r="O1866" s="2"/>
      <c r="P1866" s="2"/>
      <c r="Q1866" s="2">
        <v>0</v>
      </c>
      <c r="R1866" s="6"/>
    </row>
    <row r="1867" spans="1:18" x14ac:dyDescent="0.25">
      <c r="A1867" s="2">
        <f t="shared" si="68"/>
        <v>1866</v>
      </c>
      <c r="B1867" s="2"/>
      <c r="C1867" s="2"/>
      <c r="D1867" s="2"/>
      <c r="E1867" s="2"/>
      <c r="F1867" s="2"/>
      <c r="G1867" s="2"/>
      <c r="H1867" s="2" t="str">
        <f t="shared" si="69"/>
        <v>0 г. 0 мес. 0 дн.</v>
      </c>
      <c r="I1867" s="2"/>
      <c r="J1867" s="2"/>
      <c r="K1867" s="2"/>
      <c r="L1867" s="2"/>
      <c r="M1867" s="2"/>
      <c r="N1867" s="1">
        <v>0</v>
      </c>
      <c r="O1867" s="2"/>
      <c r="P1867" s="2"/>
      <c r="Q1867" s="2">
        <v>0</v>
      </c>
      <c r="R1867" s="6"/>
    </row>
    <row r="1868" spans="1:18" x14ac:dyDescent="0.25">
      <c r="A1868" s="2">
        <f t="shared" si="68"/>
        <v>1867</v>
      </c>
      <c r="B1868" s="2"/>
      <c r="C1868" s="2"/>
      <c r="D1868" s="2"/>
      <c r="E1868" s="2"/>
      <c r="F1868" s="2"/>
      <c r="G1868" s="2"/>
      <c r="H1868" s="2" t="str">
        <f t="shared" si="69"/>
        <v>0 г. 0 мес. 0 дн.</v>
      </c>
      <c r="I1868" s="2"/>
      <c r="J1868" s="2"/>
      <c r="K1868" s="2"/>
      <c r="L1868" s="2"/>
      <c r="M1868" s="2"/>
      <c r="N1868" s="1">
        <v>0</v>
      </c>
      <c r="O1868" s="2"/>
      <c r="P1868" s="2"/>
      <c r="Q1868" s="2">
        <v>0</v>
      </c>
      <c r="R1868" s="6"/>
    </row>
    <row r="1869" spans="1:18" x14ac:dyDescent="0.25">
      <c r="A1869" s="2">
        <f t="shared" si="68"/>
        <v>1868</v>
      </c>
      <c r="B1869" s="2"/>
      <c r="C1869" s="2"/>
      <c r="D1869" s="2"/>
      <c r="E1869" s="2"/>
      <c r="F1869" s="2"/>
      <c r="G1869" s="2"/>
      <c r="H1869" s="2" t="str">
        <f t="shared" si="69"/>
        <v>0 г. 0 мес. 0 дн.</v>
      </c>
      <c r="I1869" s="2"/>
      <c r="J1869" s="2"/>
      <c r="K1869" s="2"/>
      <c r="L1869" s="2"/>
      <c r="M1869" s="2"/>
      <c r="N1869" s="1">
        <v>0</v>
      </c>
      <c r="O1869" s="2"/>
      <c r="P1869" s="2"/>
      <c r="Q1869" s="2">
        <v>0</v>
      </c>
      <c r="R1869" s="6"/>
    </row>
    <row r="1870" spans="1:18" x14ac:dyDescent="0.25">
      <c r="A1870" s="2">
        <f t="shared" si="68"/>
        <v>1869</v>
      </c>
      <c r="B1870" s="2"/>
      <c r="C1870" s="2"/>
      <c r="D1870" s="2"/>
      <c r="E1870" s="2"/>
      <c r="F1870" s="2"/>
      <c r="G1870" s="2"/>
      <c r="H1870" s="2" t="str">
        <f t="shared" si="69"/>
        <v>0 г. 0 мес. 0 дн.</v>
      </c>
      <c r="I1870" s="2"/>
      <c r="J1870" s="2"/>
      <c r="K1870" s="2"/>
      <c r="L1870" s="2"/>
      <c r="M1870" s="2"/>
      <c r="N1870" s="1">
        <v>0</v>
      </c>
      <c r="O1870" s="2"/>
      <c r="P1870" s="2"/>
      <c r="Q1870" s="2">
        <v>0</v>
      </c>
      <c r="R1870" s="6"/>
    </row>
    <row r="1871" spans="1:18" x14ac:dyDescent="0.25">
      <c r="A1871" s="2">
        <f t="shared" si="68"/>
        <v>1870</v>
      </c>
      <c r="B1871" s="2"/>
      <c r="C1871" s="2"/>
      <c r="D1871" s="2"/>
      <c r="E1871" s="2"/>
      <c r="F1871" s="2"/>
      <c r="G1871" s="2"/>
      <c r="H1871" s="2" t="str">
        <f t="shared" si="69"/>
        <v>0 г. 0 мес. 0 дн.</v>
      </c>
      <c r="I1871" s="2"/>
      <c r="J1871" s="2"/>
      <c r="K1871" s="2"/>
      <c r="L1871" s="2"/>
      <c r="M1871" s="2"/>
      <c r="N1871" s="1">
        <v>0</v>
      </c>
      <c r="O1871" s="2"/>
      <c r="P1871" s="2"/>
      <c r="Q1871" s="2">
        <v>0</v>
      </c>
      <c r="R1871" s="6"/>
    </row>
    <row r="1872" spans="1:18" x14ac:dyDescent="0.25">
      <c r="A1872" s="2">
        <f t="shared" si="68"/>
        <v>1871</v>
      </c>
      <c r="B1872" s="2"/>
      <c r="C1872" s="2"/>
      <c r="D1872" s="2"/>
      <c r="E1872" s="2"/>
      <c r="F1872" s="2"/>
      <c r="G1872" s="2"/>
      <c r="H1872" s="2" t="str">
        <f t="shared" si="69"/>
        <v>0 г. 0 мес. 0 дн.</v>
      </c>
      <c r="I1872" s="2"/>
      <c r="J1872" s="2"/>
      <c r="K1872" s="2"/>
      <c r="L1872" s="2"/>
      <c r="M1872" s="2"/>
      <c r="N1872" s="1">
        <v>0</v>
      </c>
      <c r="O1872" s="2"/>
      <c r="P1872" s="2"/>
      <c r="Q1872" s="2">
        <v>0</v>
      </c>
      <c r="R1872" s="6"/>
    </row>
    <row r="1873" spans="1:18" x14ac:dyDescent="0.25">
      <c r="A1873" s="2">
        <f t="shared" si="68"/>
        <v>1872</v>
      </c>
      <c r="B1873" s="2"/>
      <c r="C1873" s="2"/>
      <c r="D1873" s="2"/>
      <c r="E1873" s="2"/>
      <c r="F1873" s="2"/>
      <c r="G1873" s="2"/>
      <c r="H1873" s="2" t="str">
        <f t="shared" si="69"/>
        <v>0 г. 0 мес. 0 дн.</v>
      </c>
      <c r="I1873" s="2"/>
      <c r="J1873" s="2"/>
      <c r="K1873" s="2"/>
      <c r="L1873" s="2"/>
      <c r="M1873" s="2"/>
      <c r="N1873" s="1">
        <v>0</v>
      </c>
      <c r="O1873" s="2"/>
      <c r="P1873" s="2"/>
      <c r="Q1873" s="2">
        <v>0</v>
      </c>
      <c r="R1873" s="6"/>
    </row>
    <row r="1874" spans="1:18" x14ac:dyDescent="0.25">
      <c r="A1874" s="2">
        <f t="shared" si="68"/>
        <v>1873</v>
      </c>
      <c r="B1874" s="2"/>
      <c r="C1874" s="2"/>
      <c r="D1874" s="2"/>
      <c r="E1874" s="2"/>
      <c r="F1874" s="2"/>
      <c r="G1874" s="2"/>
      <c r="H1874" s="2" t="str">
        <f t="shared" si="69"/>
        <v>0 г. 0 мес. 0 дн.</v>
      </c>
      <c r="I1874" s="2"/>
      <c r="J1874" s="2"/>
      <c r="K1874" s="2"/>
      <c r="L1874" s="2"/>
      <c r="M1874" s="2"/>
      <c r="N1874" s="1">
        <v>0</v>
      </c>
      <c r="O1874" s="2"/>
      <c r="P1874" s="2"/>
      <c r="Q1874" s="2">
        <v>0</v>
      </c>
      <c r="R1874" s="6"/>
    </row>
    <row r="1875" spans="1:18" x14ac:dyDescent="0.25">
      <c r="A1875" s="2">
        <f t="shared" si="68"/>
        <v>1874</v>
      </c>
      <c r="B1875" s="2"/>
      <c r="C1875" s="2"/>
      <c r="D1875" s="2"/>
      <c r="E1875" s="2"/>
      <c r="F1875" s="2"/>
      <c r="G1875" s="2"/>
      <c r="H1875" s="2" t="str">
        <f t="shared" si="69"/>
        <v>0 г. 0 мес. 0 дн.</v>
      </c>
      <c r="I1875" s="2"/>
      <c r="J1875" s="2"/>
      <c r="K1875" s="2"/>
      <c r="L1875" s="2"/>
      <c r="M1875" s="2"/>
      <c r="N1875" s="1">
        <v>0</v>
      </c>
      <c r="O1875" s="2"/>
      <c r="P1875" s="2"/>
      <c r="Q1875" s="2">
        <v>0</v>
      </c>
      <c r="R1875" s="6"/>
    </row>
    <row r="1876" spans="1:18" x14ac:dyDescent="0.25">
      <c r="A1876" s="2">
        <f t="shared" si="68"/>
        <v>1875</v>
      </c>
      <c r="B1876" s="2"/>
      <c r="C1876" s="2"/>
      <c r="D1876" s="2"/>
      <c r="E1876" s="2"/>
      <c r="F1876" s="2"/>
      <c r="G1876" s="2"/>
      <c r="H1876" s="2" t="str">
        <f t="shared" si="69"/>
        <v>0 г. 0 мес. 0 дн.</v>
      </c>
      <c r="I1876" s="2"/>
      <c r="J1876" s="2"/>
      <c r="K1876" s="2"/>
      <c r="L1876" s="2"/>
      <c r="M1876" s="2"/>
      <c r="N1876" s="1">
        <v>0</v>
      </c>
      <c r="O1876" s="2"/>
      <c r="P1876" s="2"/>
      <c r="Q1876" s="2">
        <v>0</v>
      </c>
      <c r="R1876" s="6"/>
    </row>
    <row r="1877" spans="1:18" x14ac:dyDescent="0.25">
      <c r="A1877" s="2">
        <f t="shared" si="68"/>
        <v>1876</v>
      </c>
      <c r="B1877" s="2"/>
      <c r="C1877" s="2"/>
      <c r="D1877" s="2"/>
      <c r="E1877" s="2"/>
      <c r="F1877" s="2"/>
      <c r="G1877" s="2"/>
      <c r="H1877" s="2" t="str">
        <f t="shared" si="69"/>
        <v>0 г. 0 мес. 0 дн.</v>
      </c>
      <c r="I1877" s="2"/>
      <c r="J1877" s="2"/>
      <c r="K1877" s="2"/>
      <c r="L1877" s="2"/>
      <c r="M1877" s="2"/>
      <c r="N1877" s="1">
        <v>0</v>
      </c>
      <c r="O1877" s="2"/>
      <c r="P1877" s="2"/>
      <c r="Q1877" s="2">
        <v>0</v>
      </c>
      <c r="R1877" s="6"/>
    </row>
    <row r="1878" spans="1:18" x14ac:dyDescent="0.25">
      <c r="A1878" s="2">
        <f t="shared" si="68"/>
        <v>1877</v>
      </c>
      <c r="B1878" s="2"/>
      <c r="C1878" s="2"/>
      <c r="D1878" s="2"/>
      <c r="E1878" s="2"/>
      <c r="F1878" s="2"/>
      <c r="G1878" s="2"/>
      <c r="H1878" s="2" t="str">
        <f t="shared" si="69"/>
        <v>0 г. 0 мес. 0 дн.</v>
      </c>
      <c r="I1878" s="2"/>
      <c r="J1878" s="2"/>
      <c r="K1878" s="2"/>
      <c r="L1878" s="2"/>
      <c r="M1878" s="2"/>
      <c r="N1878" s="1">
        <v>0</v>
      </c>
      <c r="O1878" s="2"/>
      <c r="P1878" s="2"/>
      <c r="Q1878" s="2">
        <v>0</v>
      </c>
      <c r="R1878" s="6"/>
    </row>
    <row r="1879" spans="1:18" x14ac:dyDescent="0.25">
      <c r="A1879" s="2">
        <f t="shared" si="68"/>
        <v>1878</v>
      </c>
      <c r="B1879" s="2"/>
      <c r="C1879" s="2"/>
      <c r="D1879" s="2"/>
      <c r="E1879" s="2"/>
      <c r="F1879" s="2"/>
      <c r="G1879" s="2"/>
      <c r="H1879" s="2" t="str">
        <f t="shared" si="69"/>
        <v>0 г. 0 мес. 0 дн.</v>
      </c>
      <c r="I1879" s="2"/>
      <c r="J1879" s="2"/>
      <c r="K1879" s="2"/>
      <c r="L1879" s="2"/>
      <c r="M1879" s="2"/>
      <c r="N1879" s="1">
        <v>0</v>
      </c>
      <c r="O1879" s="2"/>
      <c r="P1879" s="2"/>
      <c r="Q1879" s="2">
        <v>0</v>
      </c>
      <c r="R1879" s="6"/>
    </row>
    <row r="1880" spans="1:18" x14ac:dyDescent="0.25">
      <c r="A1880" s="2">
        <f t="shared" si="68"/>
        <v>1879</v>
      </c>
      <c r="B1880" s="2"/>
      <c r="C1880" s="2"/>
      <c r="D1880" s="2"/>
      <c r="E1880" s="2"/>
      <c r="F1880" s="2"/>
      <c r="G1880" s="2"/>
      <c r="H1880" s="2" t="str">
        <f t="shared" si="69"/>
        <v>0 г. 0 мес. 0 дн.</v>
      </c>
      <c r="I1880" s="2"/>
      <c r="J1880" s="2"/>
      <c r="K1880" s="2"/>
      <c r="L1880" s="2"/>
      <c r="M1880" s="2"/>
      <c r="N1880" s="1">
        <v>0</v>
      </c>
      <c r="O1880" s="2"/>
      <c r="P1880" s="2"/>
      <c r="Q1880" s="2">
        <v>0</v>
      </c>
      <c r="R1880" s="6"/>
    </row>
    <row r="1881" spans="1:18" x14ac:dyDescent="0.25">
      <c r="A1881" s="2">
        <f t="shared" si="68"/>
        <v>1880</v>
      </c>
      <c r="B1881" s="2"/>
      <c r="C1881" s="2"/>
      <c r="D1881" s="2"/>
      <c r="E1881" s="2"/>
      <c r="F1881" s="2"/>
      <c r="G1881" s="2"/>
      <c r="H1881" s="2" t="str">
        <f t="shared" si="69"/>
        <v>0 г. 0 мес. 0 дн.</v>
      </c>
      <c r="I1881" s="2"/>
      <c r="J1881" s="2"/>
      <c r="K1881" s="2"/>
      <c r="L1881" s="2"/>
      <c r="M1881" s="2"/>
      <c r="N1881" s="1">
        <v>0</v>
      </c>
      <c r="O1881" s="2"/>
      <c r="P1881" s="2"/>
      <c r="Q1881" s="2">
        <v>0</v>
      </c>
      <c r="R1881" s="6"/>
    </row>
    <row r="1882" spans="1:18" x14ac:dyDescent="0.25">
      <c r="A1882" s="2">
        <f t="shared" si="68"/>
        <v>1881</v>
      </c>
      <c r="B1882" s="2"/>
      <c r="C1882" s="2"/>
      <c r="D1882" s="2"/>
      <c r="E1882" s="2"/>
      <c r="F1882" s="2"/>
      <c r="G1882" s="2"/>
      <c r="H1882" s="2" t="str">
        <f t="shared" si="69"/>
        <v>0 г. 0 мес. 0 дн.</v>
      </c>
      <c r="I1882" s="2"/>
      <c r="J1882" s="2"/>
      <c r="K1882" s="2"/>
      <c r="L1882" s="2"/>
      <c r="M1882" s="2"/>
      <c r="N1882" s="1">
        <v>0</v>
      </c>
      <c r="O1882" s="2"/>
      <c r="P1882" s="2"/>
      <c r="Q1882" s="2">
        <v>0</v>
      </c>
      <c r="R1882" s="6"/>
    </row>
    <row r="1883" spans="1:18" x14ac:dyDescent="0.25">
      <c r="A1883" s="2">
        <f t="shared" si="68"/>
        <v>1882</v>
      </c>
      <c r="B1883" s="2"/>
      <c r="C1883" s="2"/>
      <c r="D1883" s="2"/>
      <c r="E1883" s="2"/>
      <c r="F1883" s="2"/>
      <c r="G1883" s="2"/>
      <c r="H1883" s="2" t="str">
        <f t="shared" si="69"/>
        <v>0 г. 0 мес. 0 дн.</v>
      </c>
      <c r="I1883" s="2"/>
      <c r="J1883" s="2"/>
      <c r="K1883" s="2"/>
      <c r="L1883" s="2"/>
      <c r="M1883" s="2"/>
      <c r="N1883" s="1">
        <v>0</v>
      </c>
      <c r="O1883" s="2"/>
      <c r="P1883" s="2"/>
      <c r="Q1883" s="2">
        <v>0</v>
      </c>
      <c r="R1883" s="6"/>
    </row>
    <row r="1884" spans="1:18" x14ac:dyDescent="0.25">
      <c r="A1884" s="2">
        <f t="shared" si="68"/>
        <v>1883</v>
      </c>
      <c r="B1884" s="2"/>
      <c r="C1884" s="2"/>
      <c r="D1884" s="2"/>
      <c r="E1884" s="2"/>
      <c r="F1884" s="2"/>
      <c r="G1884" s="2"/>
      <c r="H1884" s="2" t="str">
        <f t="shared" si="69"/>
        <v>0 г. 0 мес. 0 дн.</v>
      </c>
      <c r="I1884" s="2"/>
      <c r="J1884" s="2"/>
      <c r="K1884" s="2"/>
      <c r="L1884" s="2"/>
      <c r="M1884" s="2"/>
      <c r="N1884" s="1">
        <v>0</v>
      </c>
      <c r="O1884" s="2"/>
      <c r="P1884" s="2"/>
      <c r="Q1884" s="2">
        <v>0</v>
      </c>
      <c r="R1884" s="6"/>
    </row>
    <row r="1885" spans="1:18" x14ac:dyDescent="0.25">
      <c r="A1885" s="2">
        <f t="shared" ref="A1885:A1948" si="70">ROW(A1884)</f>
        <v>1884</v>
      </c>
      <c r="B1885" s="2"/>
      <c r="C1885" s="2"/>
      <c r="D1885" s="2"/>
      <c r="E1885" s="2"/>
      <c r="F1885" s="2"/>
      <c r="G1885" s="2"/>
      <c r="H1885" s="2" t="str">
        <f t="shared" si="69"/>
        <v>0 г. 0 мес. 0 дн.</v>
      </c>
      <c r="I1885" s="2"/>
      <c r="J1885" s="2"/>
      <c r="K1885" s="2"/>
      <c r="L1885" s="2"/>
      <c r="M1885" s="2"/>
      <c r="N1885" s="1">
        <v>0</v>
      </c>
      <c r="O1885" s="2"/>
      <c r="P1885" s="2"/>
      <c r="Q1885" s="2">
        <v>0</v>
      </c>
      <c r="R1885" s="6"/>
    </row>
    <row r="1886" spans="1:18" x14ac:dyDescent="0.25">
      <c r="A1886" s="2">
        <f t="shared" si="70"/>
        <v>1885</v>
      </c>
      <c r="B1886" s="2"/>
      <c r="C1886" s="2"/>
      <c r="D1886" s="2"/>
      <c r="E1886" s="2"/>
      <c r="F1886" s="2"/>
      <c r="G1886" s="2"/>
      <c r="H1886" s="2" t="str">
        <f t="shared" si="69"/>
        <v>0 г. 0 мес. 0 дн.</v>
      </c>
      <c r="I1886" s="2"/>
      <c r="J1886" s="2"/>
      <c r="K1886" s="2"/>
      <c r="L1886" s="2"/>
      <c r="M1886" s="2"/>
      <c r="N1886" s="1">
        <v>0</v>
      </c>
      <c r="O1886" s="2"/>
      <c r="P1886" s="2"/>
      <c r="Q1886" s="2">
        <v>0</v>
      </c>
      <c r="R1886" s="6"/>
    </row>
    <row r="1887" spans="1:18" x14ac:dyDescent="0.25">
      <c r="A1887" s="2">
        <f t="shared" si="70"/>
        <v>1886</v>
      </c>
      <c r="B1887" s="2"/>
      <c r="C1887" s="2"/>
      <c r="D1887" s="2"/>
      <c r="E1887" s="2"/>
      <c r="F1887" s="2"/>
      <c r="G1887" s="2"/>
      <c r="H1887" s="2" t="str">
        <f t="shared" si="69"/>
        <v>0 г. 0 мес. 0 дн.</v>
      </c>
      <c r="I1887" s="2"/>
      <c r="J1887" s="2"/>
      <c r="K1887" s="2"/>
      <c r="L1887" s="2"/>
      <c r="M1887" s="2"/>
      <c r="N1887" s="1">
        <v>0</v>
      </c>
      <c r="O1887" s="2"/>
      <c r="P1887" s="2"/>
      <c r="Q1887" s="2">
        <v>0</v>
      </c>
      <c r="R1887" s="6"/>
    </row>
    <row r="1888" spans="1:18" x14ac:dyDescent="0.25">
      <c r="A1888" s="2">
        <f t="shared" si="70"/>
        <v>1887</v>
      </c>
      <c r="B1888" s="2"/>
      <c r="C1888" s="2"/>
      <c r="D1888" s="2"/>
      <c r="E1888" s="2"/>
      <c r="F1888" s="2"/>
      <c r="G1888" s="2"/>
      <c r="H1888" s="2" t="str">
        <f t="shared" si="69"/>
        <v>0 г. 0 мес. 0 дн.</v>
      </c>
      <c r="I1888" s="2"/>
      <c r="J1888" s="2"/>
      <c r="K1888" s="2"/>
      <c r="L1888" s="2"/>
      <c r="M1888" s="2"/>
      <c r="N1888" s="1">
        <v>0</v>
      </c>
      <c r="O1888" s="2"/>
      <c r="P1888" s="2"/>
      <c r="Q1888" s="2">
        <v>0</v>
      </c>
      <c r="R1888" s="6"/>
    </row>
    <row r="1889" spans="1:18" x14ac:dyDescent="0.25">
      <c r="A1889" s="2">
        <f t="shared" si="70"/>
        <v>1888</v>
      </c>
      <c r="B1889" s="2"/>
      <c r="C1889" s="2"/>
      <c r="D1889" s="2"/>
      <c r="E1889" s="2"/>
      <c r="F1889" s="2"/>
      <c r="G1889" s="2"/>
      <c r="H1889" s="2" t="str">
        <f t="shared" si="69"/>
        <v>0 г. 0 мес. 0 дн.</v>
      </c>
      <c r="I1889" s="2"/>
      <c r="J1889" s="2"/>
      <c r="K1889" s="2"/>
      <c r="L1889" s="2"/>
      <c r="M1889" s="2"/>
      <c r="N1889" s="1">
        <v>0</v>
      </c>
      <c r="O1889" s="2"/>
      <c r="P1889" s="2"/>
      <c r="Q1889" s="2">
        <v>0</v>
      </c>
      <c r="R1889" s="6"/>
    </row>
    <row r="1890" spans="1:18" x14ac:dyDescent="0.25">
      <c r="A1890" s="2">
        <f t="shared" si="70"/>
        <v>1889</v>
      </c>
      <c r="B1890" s="2"/>
      <c r="C1890" s="2"/>
      <c r="D1890" s="2"/>
      <c r="E1890" s="2"/>
      <c r="F1890" s="2"/>
      <c r="G1890" s="2"/>
      <c r="H1890" s="2" t="str">
        <f t="shared" si="69"/>
        <v>0 г. 0 мес. 0 дн.</v>
      </c>
      <c r="I1890" s="2"/>
      <c r="J1890" s="2"/>
      <c r="K1890" s="2"/>
      <c r="L1890" s="2"/>
      <c r="M1890" s="2"/>
      <c r="N1890" s="1">
        <v>0</v>
      </c>
      <c r="O1890" s="2"/>
      <c r="P1890" s="2"/>
      <c r="Q1890" s="2">
        <v>0</v>
      </c>
      <c r="R1890" s="6"/>
    </row>
    <row r="1891" spans="1:18" x14ac:dyDescent="0.25">
      <c r="A1891" s="2">
        <f t="shared" si="70"/>
        <v>1890</v>
      </c>
      <c r="B1891" s="2"/>
      <c r="C1891" s="2"/>
      <c r="D1891" s="2"/>
      <c r="E1891" s="2"/>
      <c r="F1891" s="2"/>
      <c r="G1891" s="2"/>
      <c r="H1891" s="2" t="str">
        <f t="shared" si="69"/>
        <v>0 г. 0 мес. 0 дн.</v>
      </c>
      <c r="I1891" s="2"/>
      <c r="J1891" s="2"/>
      <c r="K1891" s="2"/>
      <c r="L1891" s="2"/>
      <c r="M1891" s="2"/>
      <c r="N1891" s="1">
        <v>0</v>
      </c>
      <c r="O1891" s="2"/>
      <c r="P1891" s="2"/>
      <c r="Q1891" s="2">
        <v>0</v>
      </c>
      <c r="R1891" s="6"/>
    </row>
    <row r="1892" spans="1:18" x14ac:dyDescent="0.25">
      <c r="A1892" s="2">
        <f t="shared" si="70"/>
        <v>1891</v>
      </c>
      <c r="B1892" s="2"/>
      <c r="C1892" s="2"/>
      <c r="D1892" s="2"/>
      <c r="E1892" s="2"/>
      <c r="F1892" s="2"/>
      <c r="G1892" s="2"/>
      <c r="H1892" s="2" t="str">
        <f t="shared" si="69"/>
        <v>0 г. 0 мес. 0 дн.</v>
      </c>
      <c r="I1892" s="2"/>
      <c r="J1892" s="2"/>
      <c r="K1892" s="2"/>
      <c r="L1892" s="2"/>
      <c r="M1892" s="2"/>
      <c r="N1892" s="1">
        <v>0</v>
      </c>
      <c r="O1892" s="2"/>
      <c r="P1892" s="2"/>
      <c r="Q1892" s="2">
        <v>0</v>
      </c>
      <c r="R1892" s="6"/>
    </row>
    <row r="1893" spans="1:18" x14ac:dyDescent="0.25">
      <c r="A1893" s="2">
        <f t="shared" si="70"/>
        <v>1892</v>
      </c>
      <c r="B1893" s="2"/>
      <c r="C1893" s="2"/>
      <c r="D1893" s="2"/>
      <c r="E1893" s="2"/>
      <c r="F1893" s="2"/>
      <c r="G1893" s="2"/>
      <c r="H1893" s="2" t="str">
        <f t="shared" si="69"/>
        <v>0 г. 0 мес. 0 дн.</v>
      </c>
      <c r="I1893" s="2"/>
      <c r="J1893" s="2"/>
      <c r="K1893" s="2"/>
      <c r="L1893" s="2"/>
      <c r="M1893" s="2"/>
      <c r="N1893" s="1">
        <v>0</v>
      </c>
      <c r="O1893" s="2"/>
      <c r="P1893" s="2"/>
      <c r="Q1893" s="2">
        <v>0</v>
      </c>
      <c r="R1893" s="6"/>
    </row>
    <row r="1894" spans="1:18" x14ac:dyDescent="0.25">
      <c r="A1894" s="2">
        <f t="shared" si="70"/>
        <v>1893</v>
      </c>
      <c r="B1894" s="2"/>
      <c r="C1894" s="2"/>
      <c r="D1894" s="2"/>
      <c r="E1894" s="2"/>
      <c r="F1894" s="2"/>
      <c r="G1894" s="2"/>
      <c r="H1894" s="2" t="str">
        <f t="shared" si="69"/>
        <v>0 г. 0 мес. 0 дн.</v>
      </c>
      <c r="I1894" s="2"/>
      <c r="J1894" s="2"/>
      <c r="K1894" s="2"/>
      <c r="L1894" s="2"/>
      <c r="M1894" s="2"/>
      <c r="N1894" s="1">
        <v>0</v>
      </c>
      <c r="O1894" s="2"/>
      <c r="P1894" s="2"/>
      <c r="Q1894" s="2">
        <v>0</v>
      </c>
      <c r="R1894" s="6"/>
    </row>
    <row r="1895" spans="1:18" x14ac:dyDescent="0.25">
      <c r="A1895" s="2">
        <f t="shared" si="70"/>
        <v>1894</v>
      </c>
      <c r="B1895" s="2"/>
      <c r="C1895" s="2"/>
      <c r="D1895" s="2"/>
      <c r="E1895" s="2"/>
      <c r="F1895" s="2"/>
      <c r="G1895" s="2"/>
      <c r="H1895" s="2" t="str">
        <f t="shared" si="69"/>
        <v>0 г. 0 мес. 0 дн.</v>
      </c>
      <c r="I1895" s="2"/>
      <c r="J1895" s="2"/>
      <c r="K1895" s="2"/>
      <c r="L1895" s="2"/>
      <c r="M1895" s="2"/>
      <c r="N1895" s="1">
        <v>0</v>
      </c>
      <c r="O1895" s="2"/>
      <c r="P1895" s="2"/>
      <c r="Q1895" s="2">
        <v>0</v>
      </c>
      <c r="R1895" s="6"/>
    </row>
    <row r="1896" spans="1:18" x14ac:dyDescent="0.25">
      <c r="A1896" s="2">
        <f t="shared" si="70"/>
        <v>1895</v>
      </c>
      <c r="B1896" s="2"/>
      <c r="C1896" s="2"/>
      <c r="D1896" s="2"/>
      <c r="E1896" s="2"/>
      <c r="F1896" s="2"/>
      <c r="G1896" s="2"/>
      <c r="H1896" s="2" t="str">
        <f t="shared" si="69"/>
        <v>0 г. 0 мес. 0 дн.</v>
      </c>
      <c r="I1896" s="2"/>
      <c r="J1896" s="2"/>
      <c r="K1896" s="2"/>
      <c r="L1896" s="2"/>
      <c r="M1896" s="2"/>
      <c r="N1896" s="1">
        <v>0</v>
      </c>
      <c r="O1896" s="2"/>
      <c r="P1896" s="2"/>
      <c r="Q1896" s="2">
        <v>0</v>
      </c>
      <c r="R1896" s="6"/>
    </row>
    <row r="1897" spans="1:18" x14ac:dyDescent="0.25">
      <c r="A1897" s="2">
        <f t="shared" si="70"/>
        <v>1896</v>
      </c>
      <c r="B1897" s="2"/>
      <c r="C1897" s="2"/>
      <c r="D1897" s="2"/>
      <c r="E1897" s="2"/>
      <c r="F1897" s="2"/>
      <c r="G1897" s="2"/>
      <c r="H1897" s="2" t="str">
        <f t="shared" si="69"/>
        <v>0 г. 0 мес. 0 дн.</v>
      </c>
      <c r="I1897" s="2"/>
      <c r="J1897" s="2"/>
      <c r="K1897" s="2"/>
      <c r="L1897" s="2"/>
      <c r="M1897" s="2"/>
      <c r="N1897" s="1">
        <v>0</v>
      </c>
      <c r="O1897" s="2"/>
      <c r="P1897" s="2"/>
      <c r="Q1897" s="2">
        <v>0</v>
      </c>
      <c r="R1897" s="6"/>
    </row>
    <row r="1898" spans="1:18" x14ac:dyDescent="0.25">
      <c r="A1898" s="2">
        <f t="shared" si="70"/>
        <v>1897</v>
      </c>
      <c r="B1898" s="2"/>
      <c r="C1898" s="2"/>
      <c r="D1898" s="2"/>
      <c r="E1898" s="2"/>
      <c r="F1898" s="2"/>
      <c r="G1898" s="2"/>
      <c r="H1898" s="2" t="str">
        <f t="shared" si="69"/>
        <v>0 г. 0 мес. 0 дн.</v>
      </c>
      <c r="I1898" s="2"/>
      <c r="J1898" s="2"/>
      <c r="K1898" s="2"/>
      <c r="L1898" s="2"/>
      <c r="M1898" s="2"/>
      <c r="N1898" s="1">
        <v>0</v>
      </c>
      <c r="O1898" s="2"/>
      <c r="P1898" s="2"/>
      <c r="Q1898" s="2">
        <v>0</v>
      </c>
      <c r="R1898" s="6"/>
    </row>
    <row r="1899" spans="1:18" x14ac:dyDescent="0.25">
      <c r="A1899" s="2">
        <f t="shared" si="70"/>
        <v>1898</v>
      </c>
      <c r="B1899" s="2"/>
      <c r="C1899" s="2"/>
      <c r="D1899" s="2"/>
      <c r="E1899" s="2"/>
      <c r="F1899" s="2"/>
      <c r="G1899" s="2"/>
      <c r="H1899" s="2" t="str">
        <f t="shared" si="69"/>
        <v>0 г. 0 мес. 0 дн.</v>
      </c>
      <c r="I1899" s="2"/>
      <c r="J1899" s="2"/>
      <c r="K1899" s="2"/>
      <c r="L1899" s="2"/>
      <c r="M1899" s="2"/>
      <c r="N1899" s="1">
        <v>0</v>
      </c>
      <c r="O1899" s="2"/>
      <c r="P1899" s="2"/>
      <c r="Q1899" s="2">
        <v>0</v>
      </c>
      <c r="R1899" s="6"/>
    </row>
    <row r="1900" spans="1:18" x14ac:dyDescent="0.25">
      <c r="A1900" s="2">
        <f t="shared" si="70"/>
        <v>1899</v>
      </c>
      <c r="B1900" s="2"/>
      <c r="C1900" s="2"/>
      <c r="D1900" s="2"/>
      <c r="E1900" s="2"/>
      <c r="F1900" s="2"/>
      <c r="G1900" s="2"/>
      <c r="H1900" s="2" t="str">
        <f t="shared" si="69"/>
        <v>0 г. 0 мес. 0 дн.</v>
      </c>
      <c r="I1900" s="2"/>
      <c r="J1900" s="2"/>
      <c r="K1900" s="2"/>
      <c r="L1900" s="2"/>
      <c r="M1900" s="2"/>
      <c r="N1900" s="1">
        <v>0</v>
      </c>
      <c r="O1900" s="2"/>
      <c r="P1900" s="2"/>
      <c r="Q1900" s="2">
        <v>0</v>
      </c>
      <c r="R1900" s="6"/>
    </row>
    <row r="1901" spans="1:18" x14ac:dyDescent="0.25">
      <c r="A1901" s="2">
        <f t="shared" si="70"/>
        <v>1900</v>
      </c>
      <c r="B1901" s="2"/>
      <c r="C1901" s="2"/>
      <c r="D1901" s="2"/>
      <c r="E1901" s="2"/>
      <c r="F1901" s="2"/>
      <c r="G1901" s="2"/>
      <c r="H1901" s="2" t="str">
        <f t="shared" si="69"/>
        <v>0 г. 0 мес. 0 дн.</v>
      </c>
      <c r="I1901" s="2"/>
      <c r="J1901" s="2"/>
      <c r="K1901" s="2"/>
      <c r="L1901" s="2"/>
      <c r="M1901" s="2"/>
      <c r="N1901" s="1">
        <v>0</v>
      </c>
      <c r="O1901" s="2"/>
      <c r="P1901" s="2"/>
      <c r="Q1901" s="2">
        <v>0</v>
      </c>
      <c r="R1901" s="6"/>
    </row>
    <row r="1902" spans="1:18" x14ac:dyDescent="0.25">
      <c r="A1902" s="2">
        <f t="shared" si="70"/>
        <v>1901</v>
      </c>
      <c r="B1902" s="2"/>
      <c r="C1902" s="2"/>
      <c r="D1902" s="2"/>
      <c r="E1902" s="2"/>
      <c r="F1902" s="2"/>
      <c r="G1902" s="2"/>
      <c r="H1902" s="2" t="str">
        <f t="shared" si="69"/>
        <v>0 г. 0 мес. 0 дн.</v>
      </c>
      <c r="I1902" s="2"/>
      <c r="J1902" s="2"/>
      <c r="K1902" s="2"/>
      <c r="L1902" s="2"/>
      <c r="M1902" s="2"/>
      <c r="N1902" s="1">
        <v>0</v>
      </c>
      <c r="O1902" s="2"/>
      <c r="P1902" s="2"/>
      <c r="Q1902" s="2">
        <v>0</v>
      </c>
      <c r="R1902" s="6"/>
    </row>
    <row r="1903" spans="1:18" x14ac:dyDescent="0.25">
      <c r="A1903" s="2">
        <f t="shared" si="70"/>
        <v>1902</v>
      </c>
      <c r="B1903" s="2"/>
      <c r="C1903" s="2"/>
      <c r="D1903" s="2"/>
      <c r="E1903" s="2"/>
      <c r="F1903" s="2"/>
      <c r="G1903" s="2"/>
      <c r="H1903" s="2" t="str">
        <f t="shared" si="69"/>
        <v>0 г. 0 мес. 0 дн.</v>
      </c>
      <c r="I1903" s="2"/>
      <c r="J1903" s="2"/>
      <c r="K1903" s="2"/>
      <c r="L1903" s="2"/>
      <c r="M1903" s="2"/>
      <c r="N1903" s="1">
        <v>0</v>
      </c>
      <c r="O1903" s="2"/>
      <c r="P1903" s="2"/>
      <c r="Q1903" s="2">
        <v>0</v>
      </c>
      <c r="R1903" s="6"/>
    </row>
    <row r="1904" spans="1:18" x14ac:dyDescent="0.25">
      <c r="A1904" s="2">
        <f t="shared" si="70"/>
        <v>1903</v>
      </c>
      <c r="B1904" s="2"/>
      <c r="C1904" s="2"/>
      <c r="D1904" s="2"/>
      <c r="E1904" s="2"/>
      <c r="F1904" s="2"/>
      <c r="G1904" s="2"/>
      <c r="H1904" s="2" t="str">
        <f t="shared" si="69"/>
        <v>0 г. 0 мес. 0 дн.</v>
      </c>
      <c r="I1904" s="2"/>
      <c r="J1904" s="2"/>
      <c r="K1904" s="2"/>
      <c r="L1904" s="2"/>
      <c r="M1904" s="2"/>
      <c r="N1904" s="1">
        <v>0</v>
      </c>
      <c r="O1904" s="2"/>
      <c r="P1904" s="2"/>
      <c r="Q1904" s="2">
        <v>0</v>
      </c>
      <c r="R1904" s="6"/>
    </row>
    <row r="1905" spans="1:18" x14ac:dyDescent="0.25">
      <c r="A1905" s="2">
        <f t="shared" si="70"/>
        <v>1904</v>
      </c>
      <c r="B1905" s="2"/>
      <c r="C1905" s="2"/>
      <c r="D1905" s="2"/>
      <c r="E1905" s="2"/>
      <c r="F1905" s="2"/>
      <c r="G1905" s="2"/>
      <c r="H1905" s="2" t="str">
        <f t="shared" si="69"/>
        <v>0 г. 0 мес. 0 дн.</v>
      </c>
      <c r="I1905" s="2"/>
      <c r="J1905" s="2"/>
      <c r="K1905" s="2"/>
      <c r="L1905" s="2"/>
      <c r="M1905" s="2"/>
      <c r="N1905" s="1">
        <v>0</v>
      </c>
      <c r="O1905" s="2"/>
      <c r="P1905" s="2"/>
      <c r="Q1905" s="2">
        <v>0</v>
      </c>
      <c r="R1905" s="6"/>
    </row>
    <row r="1906" spans="1:18" x14ac:dyDescent="0.25">
      <c r="A1906" s="2">
        <f t="shared" si="70"/>
        <v>1905</v>
      </c>
      <c r="B1906" s="2"/>
      <c r="C1906" s="2"/>
      <c r="D1906" s="2"/>
      <c r="E1906" s="2"/>
      <c r="F1906" s="2"/>
      <c r="G1906" s="2"/>
      <c r="H1906" s="2" t="str">
        <f t="shared" si="69"/>
        <v>0 г. 0 мес. 0 дн.</v>
      </c>
      <c r="I1906" s="2"/>
      <c r="J1906" s="2"/>
      <c r="K1906" s="2"/>
      <c r="L1906" s="2"/>
      <c r="M1906" s="2"/>
      <c r="N1906" s="1">
        <v>0</v>
      </c>
      <c r="O1906" s="2"/>
      <c r="P1906" s="2"/>
      <c r="Q1906" s="2">
        <v>0</v>
      </c>
      <c r="R1906" s="6"/>
    </row>
    <row r="1907" spans="1:18" x14ac:dyDescent="0.25">
      <c r="A1907" s="2">
        <f t="shared" si="70"/>
        <v>1906</v>
      </c>
      <c r="B1907" s="2"/>
      <c r="C1907" s="2"/>
      <c r="D1907" s="2"/>
      <c r="E1907" s="2"/>
      <c r="F1907" s="2"/>
      <c r="G1907" s="2"/>
      <c r="H1907" s="2" t="str">
        <f t="shared" si="69"/>
        <v>0 г. 0 мес. 0 дн.</v>
      </c>
      <c r="I1907" s="2"/>
      <c r="J1907" s="2"/>
      <c r="K1907" s="2"/>
      <c r="L1907" s="2"/>
      <c r="M1907" s="2"/>
      <c r="N1907" s="1">
        <v>0</v>
      </c>
      <c r="O1907" s="2"/>
      <c r="P1907" s="2"/>
      <c r="Q1907" s="2">
        <v>0</v>
      </c>
      <c r="R1907" s="6"/>
    </row>
    <row r="1908" spans="1:18" x14ac:dyDescent="0.25">
      <c r="A1908" s="2">
        <f t="shared" si="70"/>
        <v>1907</v>
      </c>
      <c r="B1908" s="2"/>
      <c r="C1908" s="2"/>
      <c r="D1908" s="2"/>
      <c r="E1908" s="2"/>
      <c r="F1908" s="2"/>
      <c r="G1908" s="2"/>
      <c r="H1908" s="2" t="str">
        <f t="shared" si="69"/>
        <v>0 г. 0 мес. 0 дн.</v>
      </c>
      <c r="I1908" s="2"/>
      <c r="J1908" s="2"/>
      <c r="K1908" s="2"/>
      <c r="L1908" s="2"/>
      <c r="M1908" s="2"/>
      <c r="N1908" s="1">
        <v>0</v>
      </c>
      <c r="O1908" s="2"/>
      <c r="P1908" s="2"/>
      <c r="Q1908" s="2">
        <v>0</v>
      </c>
      <c r="R1908" s="6"/>
    </row>
    <row r="1909" spans="1:18" x14ac:dyDescent="0.25">
      <c r="A1909" s="2">
        <f t="shared" si="70"/>
        <v>1908</v>
      </c>
      <c r="B1909" s="2"/>
      <c r="C1909" s="2"/>
      <c r="D1909" s="2"/>
      <c r="E1909" s="2"/>
      <c r="F1909" s="2"/>
      <c r="G1909" s="2"/>
      <c r="H1909" s="2" t="str">
        <f t="shared" si="69"/>
        <v>0 г. 0 мес. 0 дн.</v>
      </c>
      <c r="I1909" s="2"/>
      <c r="J1909" s="2"/>
      <c r="K1909" s="2"/>
      <c r="L1909" s="2"/>
      <c r="M1909" s="2"/>
      <c r="N1909" s="1">
        <v>0</v>
      </c>
      <c r="O1909" s="2"/>
      <c r="P1909" s="2"/>
      <c r="Q1909" s="2">
        <v>0</v>
      </c>
      <c r="R1909" s="6"/>
    </row>
    <row r="1910" spans="1:18" x14ac:dyDescent="0.25">
      <c r="A1910" s="2">
        <f t="shared" si="70"/>
        <v>1909</v>
      </c>
      <c r="B1910" s="2"/>
      <c r="C1910" s="2"/>
      <c r="D1910" s="2"/>
      <c r="E1910" s="2"/>
      <c r="F1910" s="2"/>
      <c r="G1910" s="2"/>
      <c r="H1910" s="2" t="str">
        <f t="shared" si="69"/>
        <v>0 г. 0 мес. 0 дн.</v>
      </c>
      <c r="I1910" s="2"/>
      <c r="J1910" s="2"/>
      <c r="K1910" s="2"/>
      <c r="L1910" s="2"/>
      <c r="M1910" s="2"/>
      <c r="N1910" s="1">
        <v>0</v>
      </c>
      <c r="O1910" s="2"/>
      <c r="P1910" s="2"/>
      <c r="Q1910" s="2">
        <v>0</v>
      </c>
      <c r="R1910" s="6"/>
    </row>
    <row r="1911" spans="1:18" x14ac:dyDescent="0.25">
      <c r="A1911" s="2">
        <f t="shared" si="70"/>
        <v>1910</v>
      </c>
      <c r="B1911" s="2"/>
      <c r="C1911" s="2"/>
      <c r="D1911" s="2"/>
      <c r="E1911" s="2"/>
      <c r="F1911" s="2"/>
      <c r="G1911" s="2"/>
      <c r="H1911" s="2" t="str">
        <f t="shared" si="69"/>
        <v>0 г. 0 мес. 0 дн.</v>
      </c>
      <c r="I1911" s="2"/>
      <c r="J1911" s="2"/>
      <c r="K1911" s="2"/>
      <c r="L1911" s="2"/>
      <c r="M1911" s="2"/>
      <c r="N1911" s="1">
        <v>0</v>
      </c>
      <c r="O1911" s="2"/>
      <c r="P1911" s="2"/>
      <c r="Q1911" s="2">
        <v>0</v>
      </c>
      <c r="R1911" s="6"/>
    </row>
    <row r="1912" spans="1:18" x14ac:dyDescent="0.25">
      <c r="A1912" s="2">
        <f t="shared" si="70"/>
        <v>1911</v>
      </c>
      <c r="B1912" s="2"/>
      <c r="C1912" s="2"/>
      <c r="D1912" s="2"/>
      <c r="E1912" s="2"/>
      <c r="F1912" s="2"/>
      <c r="G1912" s="2"/>
      <c r="H1912" s="2" t="str">
        <f t="shared" si="69"/>
        <v>0 г. 0 мес. 0 дн.</v>
      </c>
      <c r="I1912" s="2"/>
      <c r="J1912" s="2"/>
      <c r="K1912" s="2"/>
      <c r="L1912" s="2"/>
      <c r="M1912" s="2"/>
      <c r="N1912" s="1">
        <v>0</v>
      </c>
      <c r="O1912" s="2"/>
      <c r="P1912" s="2"/>
      <c r="Q1912" s="2">
        <v>0</v>
      </c>
      <c r="R1912" s="6"/>
    </row>
    <row r="1913" spans="1:18" x14ac:dyDescent="0.25">
      <c r="A1913" s="2">
        <f t="shared" si="70"/>
        <v>1912</v>
      </c>
      <c r="B1913" s="2"/>
      <c r="C1913" s="2"/>
      <c r="D1913" s="2"/>
      <c r="E1913" s="2"/>
      <c r="F1913" s="2"/>
      <c r="G1913" s="2"/>
      <c r="H1913" s="2" t="str">
        <f t="shared" si="69"/>
        <v>0 г. 0 мес. 0 дн.</v>
      </c>
      <c r="I1913" s="2"/>
      <c r="J1913" s="2"/>
      <c r="K1913" s="2"/>
      <c r="L1913" s="2"/>
      <c r="M1913" s="2"/>
      <c r="N1913" s="1">
        <v>0</v>
      </c>
      <c r="O1913" s="2"/>
      <c r="P1913" s="2"/>
      <c r="Q1913" s="2">
        <v>0</v>
      </c>
      <c r="R1913" s="6"/>
    </row>
    <row r="1914" spans="1:18" x14ac:dyDescent="0.25">
      <c r="A1914" s="2">
        <f t="shared" si="70"/>
        <v>1913</v>
      </c>
      <c r="B1914" s="2"/>
      <c r="C1914" s="2"/>
      <c r="D1914" s="2"/>
      <c r="E1914" s="2"/>
      <c r="F1914" s="2"/>
      <c r="G1914" s="2"/>
      <c r="H1914" s="2" t="str">
        <f t="shared" si="69"/>
        <v>0 г. 0 мес. 0 дн.</v>
      </c>
      <c r="I1914" s="2"/>
      <c r="J1914" s="2"/>
      <c r="K1914" s="2"/>
      <c r="L1914" s="2"/>
      <c r="M1914" s="2"/>
      <c r="N1914" s="1">
        <v>0</v>
      </c>
      <c r="O1914" s="2"/>
      <c r="P1914" s="2"/>
      <c r="Q1914" s="2">
        <v>0</v>
      </c>
      <c r="R1914" s="6"/>
    </row>
    <row r="1915" spans="1:18" x14ac:dyDescent="0.25">
      <c r="A1915" s="2">
        <f t="shared" si="70"/>
        <v>1914</v>
      </c>
      <c r="B1915" s="2"/>
      <c r="C1915" s="2"/>
      <c r="D1915" s="2"/>
      <c r="E1915" s="2"/>
      <c r="F1915" s="2"/>
      <c r="G1915" s="2"/>
      <c r="H1915" s="2" t="str">
        <f t="shared" si="69"/>
        <v>0 г. 0 мес. 0 дн.</v>
      </c>
      <c r="I1915" s="2"/>
      <c r="J1915" s="2"/>
      <c r="K1915" s="2"/>
      <c r="L1915" s="2"/>
      <c r="M1915" s="2"/>
      <c r="N1915" s="1">
        <v>0</v>
      </c>
      <c r="O1915" s="2"/>
      <c r="P1915" s="2"/>
      <c r="Q1915" s="2">
        <v>0</v>
      </c>
      <c r="R1915" s="6"/>
    </row>
    <row r="1916" spans="1:18" x14ac:dyDescent="0.25">
      <c r="A1916" s="2">
        <f t="shared" si="70"/>
        <v>1915</v>
      </c>
      <c r="B1916" s="2"/>
      <c r="C1916" s="2"/>
      <c r="D1916" s="2"/>
      <c r="E1916" s="2"/>
      <c r="F1916" s="2"/>
      <c r="G1916" s="2"/>
      <c r="H1916" s="2" t="str">
        <f t="shared" si="69"/>
        <v>0 г. 0 мес. 0 дн.</v>
      </c>
      <c r="I1916" s="2"/>
      <c r="J1916" s="2"/>
      <c r="K1916" s="2"/>
      <c r="L1916" s="2"/>
      <c r="M1916" s="2"/>
      <c r="N1916" s="1">
        <v>0</v>
      </c>
      <c r="O1916" s="2"/>
      <c r="P1916" s="2"/>
      <c r="Q1916" s="2">
        <v>0</v>
      </c>
      <c r="R1916" s="6"/>
    </row>
    <row r="1917" spans="1:18" x14ac:dyDescent="0.25">
      <c r="A1917" s="2">
        <f t="shared" si="70"/>
        <v>1916</v>
      </c>
      <c r="B1917" s="2"/>
      <c r="C1917" s="2"/>
      <c r="D1917" s="2"/>
      <c r="E1917" s="2"/>
      <c r="F1917" s="2"/>
      <c r="G1917" s="2"/>
      <c r="H1917" s="2" t="str">
        <f t="shared" si="69"/>
        <v>0 г. 0 мес. 0 дн.</v>
      </c>
      <c r="I1917" s="2"/>
      <c r="J1917" s="2"/>
      <c r="K1917" s="2"/>
      <c r="L1917" s="2"/>
      <c r="M1917" s="2"/>
      <c r="N1917" s="1">
        <v>0</v>
      </c>
      <c r="O1917" s="2"/>
      <c r="P1917" s="2"/>
      <c r="Q1917" s="2">
        <v>0</v>
      </c>
      <c r="R1917" s="6"/>
    </row>
    <row r="1918" spans="1:18" x14ac:dyDescent="0.25">
      <c r="A1918" s="2">
        <f t="shared" si="70"/>
        <v>1917</v>
      </c>
      <c r="B1918" s="2"/>
      <c r="C1918" s="2"/>
      <c r="D1918" s="2"/>
      <c r="E1918" s="2"/>
      <c r="F1918" s="2"/>
      <c r="G1918" s="2"/>
      <c r="H1918" s="2" t="str">
        <f t="shared" si="69"/>
        <v>0 г. 0 мес. 0 дн.</v>
      </c>
      <c r="I1918" s="2"/>
      <c r="J1918" s="2"/>
      <c r="K1918" s="2"/>
      <c r="L1918" s="2"/>
      <c r="M1918" s="2"/>
      <c r="N1918" s="1">
        <v>0</v>
      </c>
      <c r="O1918" s="2"/>
      <c r="P1918" s="2"/>
      <c r="Q1918" s="2">
        <v>0</v>
      </c>
      <c r="R1918" s="6"/>
    </row>
    <row r="1919" spans="1:18" x14ac:dyDescent="0.25">
      <c r="A1919" s="2">
        <f t="shared" si="70"/>
        <v>1918</v>
      </c>
      <c r="B1919" s="2"/>
      <c r="C1919" s="2"/>
      <c r="D1919" s="2"/>
      <c r="E1919" s="2"/>
      <c r="F1919" s="2"/>
      <c r="G1919" s="2"/>
      <c r="H1919" s="2" t="str">
        <f t="shared" si="69"/>
        <v>0 г. 0 мес. 0 дн.</v>
      </c>
      <c r="I1919" s="2"/>
      <c r="J1919" s="2"/>
      <c r="K1919" s="2"/>
      <c r="L1919" s="2"/>
      <c r="M1919" s="2"/>
      <c r="N1919" s="1">
        <v>0</v>
      </c>
      <c r="O1919" s="2"/>
      <c r="P1919" s="2"/>
      <c r="Q1919" s="2">
        <v>0</v>
      </c>
      <c r="R1919" s="6"/>
    </row>
    <row r="1920" spans="1:18" x14ac:dyDescent="0.25">
      <c r="A1920" s="2">
        <f t="shared" si="70"/>
        <v>1919</v>
      </c>
      <c r="B1920" s="2"/>
      <c r="C1920" s="2"/>
      <c r="D1920" s="2"/>
      <c r="E1920" s="2"/>
      <c r="F1920" s="2"/>
      <c r="G1920" s="2"/>
      <c r="H1920" s="2" t="str">
        <f t="shared" si="69"/>
        <v>0 г. 0 мес. 0 дн.</v>
      </c>
      <c r="I1920" s="2"/>
      <c r="J1920" s="2"/>
      <c r="K1920" s="2"/>
      <c r="L1920" s="2"/>
      <c r="M1920" s="2"/>
      <c r="N1920" s="1">
        <v>0</v>
      </c>
      <c r="O1920" s="2"/>
      <c r="P1920" s="2"/>
      <c r="Q1920" s="2">
        <v>0</v>
      </c>
      <c r="R1920" s="6"/>
    </row>
    <row r="1921" spans="1:18" x14ac:dyDescent="0.25">
      <c r="A1921" s="2">
        <f t="shared" si="70"/>
        <v>1920</v>
      </c>
      <c r="B1921" s="2"/>
      <c r="C1921" s="2"/>
      <c r="D1921" s="2"/>
      <c r="E1921" s="2"/>
      <c r="F1921" s="2"/>
      <c r="G1921" s="2"/>
      <c r="H1921" s="2" t="str">
        <f t="shared" si="69"/>
        <v>0 г. 0 мес. 0 дн.</v>
      </c>
      <c r="I1921" s="2"/>
      <c r="J1921" s="2"/>
      <c r="K1921" s="2"/>
      <c r="L1921" s="2"/>
      <c r="M1921" s="2"/>
      <c r="N1921" s="1">
        <v>0</v>
      </c>
      <c r="O1921" s="2"/>
      <c r="P1921" s="2"/>
      <c r="Q1921" s="2">
        <v>0</v>
      </c>
      <c r="R1921" s="6"/>
    </row>
    <row r="1922" spans="1:18" x14ac:dyDescent="0.25">
      <c r="A1922" s="2">
        <f t="shared" si="70"/>
        <v>1921</v>
      </c>
      <c r="B1922" s="2"/>
      <c r="C1922" s="2"/>
      <c r="D1922" s="2"/>
      <c r="E1922" s="2"/>
      <c r="F1922" s="2"/>
      <c r="G1922" s="2"/>
      <c r="H1922" s="2" t="str">
        <f t="shared" si="69"/>
        <v>0 г. 0 мес. 0 дн.</v>
      </c>
      <c r="I1922" s="2"/>
      <c r="J1922" s="2"/>
      <c r="K1922" s="2"/>
      <c r="L1922" s="2"/>
      <c r="M1922" s="2"/>
      <c r="N1922" s="1">
        <v>0</v>
      </c>
      <c r="O1922" s="2"/>
      <c r="P1922" s="2"/>
      <c r="Q1922" s="2">
        <v>0</v>
      </c>
      <c r="R1922" s="6"/>
    </row>
    <row r="1923" spans="1:18" x14ac:dyDescent="0.25">
      <c r="A1923" s="2">
        <f t="shared" si="70"/>
        <v>1922</v>
      </c>
      <c r="B1923" s="2"/>
      <c r="C1923" s="2"/>
      <c r="D1923" s="2"/>
      <c r="E1923" s="2"/>
      <c r="F1923" s="2"/>
      <c r="G1923" s="2"/>
      <c r="H1923" s="2" t="str">
        <f t="shared" si="69"/>
        <v>0 г. 0 мес. 0 дн.</v>
      </c>
      <c r="I1923" s="2"/>
      <c r="J1923" s="2"/>
      <c r="K1923" s="2"/>
      <c r="L1923" s="2"/>
      <c r="M1923" s="2"/>
      <c r="N1923" s="1">
        <v>0</v>
      </c>
      <c r="O1923" s="2"/>
      <c r="P1923" s="2"/>
      <c r="Q1923" s="2">
        <v>0</v>
      </c>
      <c r="R1923" s="6"/>
    </row>
    <row r="1924" spans="1:18" x14ac:dyDescent="0.25">
      <c r="A1924" s="2">
        <f t="shared" si="70"/>
        <v>1923</v>
      </c>
      <c r="B1924" s="2"/>
      <c r="C1924" s="2"/>
      <c r="D1924" s="2"/>
      <c r="E1924" s="2"/>
      <c r="F1924" s="2"/>
      <c r="G1924" s="2"/>
      <c r="H1924" s="2" t="str">
        <f t="shared" ref="H1924:H1987" si="71">DATEDIF(G1924,D1924,"y") &amp; " г. " &amp; DATEDIF(G1924,D1924,"ym") &amp; " мес. " &amp; DATEDIF(G1924,D1924,"md") &amp; " дн."</f>
        <v>0 г. 0 мес. 0 дн.</v>
      </c>
      <c r="I1924" s="2"/>
      <c r="J1924" s="2"/>
      <c r="K1924" s="2"/>
      <c r="L1924" s="2"/>
      <c r="M1924" s="2"/>
      <c r="N1924" s="1">
        <v>0</v>
      </c>
      <c r="O1924" s="2"/>
      <c r="P1924" s="2"/>
      <c r="Q1924" s="2">
        <v>0</v>
      </c>
      <c r="R1924" s="6"/>
    </row>
    <row r="1925" spans="1:18" x14ac:dyDescent="0.25">
      <c r="A1925" s="2">
        <f t="shared" si="70"/>
        <v>1924</v>
      </c>
      <c r="B1925" s="2"/>
      <c r="C1925" s="2"/>
      <c r="D1925" s="2"/>
      <c r="E1925" s="2"/>
      <c r="F1925" s="2"/>
      <c r="G1925" s="2"/>
      <c r="H1925" s="2" t="str">
        <f t="shared" si="71"/>
        <v>0 г. 0 мес. 0 дн.</v>
      </c>
      <c r="I1925" s="2"/>
      <c r="J1925" s="2"/>
      <c r="K1925" s="2"/>
      <c r="L1925" s="2"/>
      <c r="M1925" s="2"/>
      <c r="N1925" s="1">
        <v>0</v>
      </c>
      <c r="O1925" s="2"/>
      <c r="P1925" s="2"/>
      <c r="Q1925" s="2">
        <v>0</v>
      </c>
      <c r="R1925" s="6"/>
    </row>
    <row r="1926" spans="1:18" x14ac:dyDescent="0.25">
      <c r="A1926" s="2">
        <f t="shared" si="70"/>
        <v>1925</v>
      </c>
      <c r="B1926" s="2"/>
      <c r="C1926" s="2"/>
      <c r="D1926" s="2"/>
      <c r="E1926" s="2"/>
      <c r="F1926" s="2"/>
      <c r="G1926" s="2"/>
      <c r="H1926" s="2" t="str">
        <f t="shared" si="71"/>
        <v>0 г. 0 мес. 0 дн.</v>
      </c>
      <c r="I1926" s="2"/>
      <c r="J1926" s="2"/>
      <c r="K1926" s="2"/>
      <c r="L1926" s="2"/>
      <c r="M1926" s="2"/>
      <c r="N1926" s="1">
        <v>0</v>
      </c>
      <c r="O1926" s="2"/>
      <c r="P1926" s="2"/>
      <c r="Q1926" s="2">
        <v>0</v>
      </c>
      <c r="R1926" s="6"/>
    </row>
    <row r="1927" spans="1:18" x14ac:dyDescent="0.25">
      <c r="A1927" s="2">
        <f t="shared" si="70"/>
        <v>1926</v>
      </c>
      <c r="B1927" s="2"/>
      <c r="C1927" s="2"/>
      <c r="D1927" s="2"/>
      <c r="E1927" s="2"/>
      <c r="F1927" s="2"/>
      <c r="G1927" s="2"/>
      <c r="H1927" s="2" t="str">
        <f t="shared" si="71"/>
        <v>0 г. 0 мес. 0 дн.</v>
      </c>
      <c r="I1927" s="2"/>
      <c r="J1927" s="2"/>
      <c r="K1927" s="2"/>
      <c r="L1927" s="2"/>
      <c r="M1927" s="2"/>
      <c r="N1927" s="1">
        <v>0</v>
      </c>
      <c r="O1927" s="2"/>
      <c r="P1927" s="2"/>
      <c r="Q1927" s="2">
        <v>0</v>
      </c>
      <c r="R1927" s="6"/>
    </row>
    <row r="1928" spans="1:18" x14ac:dyDescent="0.25">
      <c r="A1928" s="2">
        <f t="shared" si="70"/>
        <v>1927</v>
      </c>
      <c r="B1928" s="2"/>
      <c r="C1928" s="2"/>
      <c r="D1928" s="2"/>
      <c r="E1928" s="2"/>
      <c r="F1928" s="2"/>
      <c r="G1928" s="2"/>
      <c r="H1928" s="2" t="str">
        <f t="shared" si="71"/>
        <v>0 г. 0 мес. 0 дн.</v>
      </c>
      <c r="I1928" s="2"/>
      <c r="J1928" s="2"/>
      <c r="K1928" s="2"/>
      <c r="L1928" s="2"/>
      <c r="M1928" s="2"/>
      <c r="N1928" s="1">
        <v>0</v>
      </c>
      <c r="O1928" s="2"/>
      <c r="P1928" s="2"/>
      <c r="Q1928" s="2">
        <v>0</v>
      </c>
      <c r="R1928" s="6"/>
    </row>
    <row r="1929" spans="1:18" x14ac:dyDescent="0.25">
      <c r="A1929" s="2">
        <f t="shared" si="70"/>
        <v>1928</v>
      </c>
      <c r="B1929" s="2"/>
      <c r="C1929" s="2"/>
      <c r="D1929" s="2"/>
      <c r="E1929" s="2"/>
      <c r="F1929" s="2"/>
      <c r="G1929" s="2"/>
      <c r="H1929" s="2" t="str">
        <f t="shared" si="71"/>
        <v>0 г. 0 мес. 0 дн.</v>
      </c>
      <c r="I1929" s="2"/>
      <c r="J1929" s="2"/>
      <c r="K1929" s="2"/>
      <c r="L1929" s="2"/>
      <c r="M1929" s="2"/>
      <c r="N1929" s="1">
        <v>0</v>
      </c>
      <c r="O1929" s="2"/>
      <c r="P1929" s="2"/>
      <c r="Q1929" s="2">
        <v>0</v>
      </c>
      <c r="R1929" s="6"/>
    </row>
    <row r="1930" spans="1:18" x14ac:dyDescent="0.25">
      <c r="A1930" s="2">
        <f t="shared" si="70"/>
        <v>1929</v>
      </c>
      <c r="B1930" s="2"/>
      <c r="C1930" s="2"/>
      <c r="D1930" s="2"/>
      <c r="E1930" s="2"/>
      <c r="F1930" s="2"/>
      <c r="G1930" s="2"/>
      <c r="H1930" s="2" t="str">
        <f t="shared" si="71"/>
        <v>0 г. 0 мес. 0 дн.</v>
      </c>
      <c r="I1930" s="2"/>
      <c r="J1930" s="2"/>
      <c r="K1930" s="2"/>
      <c r="L1930" s="2"/>
      <c r="M1930" s="2"/>
      <c r="N1930" s="1">
        <v>0</v>
      </c>
      <c r="O1930" s="2"/>
      <c r="P1930" s="2"/>
      <c r="Q1930" s="2">
        <v>0</v>
      </c>
      <c r="R1930" s="6"/>
    </row>
    <row r="1931" spans="1:18" x14ac:dyDescent="0.25">
      <c r="A1931" s="2">
        <f t="shared" si="70"/>
        <v>1930</v>
      </c>
      <c r="B1931" s="2"/>
      <c r="C1931" s="2"/>
      <c r="D1931" s="2"/>
      <c r="E1931" s="2"/>
      <c r="F1931" s="2"/>
      <c r="G1931" s="2"/>
      <c r="H1931" s="2" t="str">
        <f t="shared" si="71"/>
        <v>0 г. 0 мес. 0 дн.</v>
      </c>
      <c r="I1931" s="2"/>
      <c r="J1931" s="2"/>
      <c r="K1931" s="2"/>
      <c r="L1931" s="2"/>
      <c r="M1931" s="2"/>
      <c r="N1931" s="1">
        <v>0</v>
      </c>
      <c r="O1931" s="2"/>
      <c r="P1931" s="2"/>
      <c r="Q1931" s="2">
        <v>0</v>
      </c>
      <c r="R1931" s="6"/>
    </row>
    <row r="1932" spans="1:18" x14ac:dyDescent="0.25">
      <c r="A1932" s="2">
        <f t="shared" si="70"/>
        <v>1931</v>
      </c>
      <c r="B1932" s="2"/>
      <c r="C1932" s="2"/>
      <c r="D1932" s="2"/>
      <c r="E1932" s="2"/>
      <c r="F1932" s="2"/>
      <c r="G1932" s="2"/>
      <c r="H1932" s="2" t="str">
        <f t="shared" si="71"/>
        <v>0 г. 0 мес. 0 дн.</v>
      </c>
      <c r="I1932" s="2"/>
      <c r="J1932" s="2"/>
      <c r="K1932" s="2"/>
      <c r="L1932" s="2"/>
      <c r="M1932" s="2"/>
      <c r="N1932" s="1">
        <v>0</v>
      </c>
      <c r="O1932" s="2"/>
      <c r="P1932" s="2"/>
      <c r="Q1932" s="2">
        <v>0</v>
      </c>
      <c r="R1932" s="6"/>
    </row>
    <row r="1933" spans="1:18" x14ac:dyDescent="0.25">
      <c r="A1933" s="2">
        <f t="shared" si="70"/>
        <v>1932</v>
      </c>
      <c r="B1933" s="2"/>
      <c r="C1933" s="2"/>
      <c r="D1933" s="2"/>
      <c r="E1933" s="2"/>
      <c r="F1933" s="2"/>
      <c r="G1933" s="2"/>
      <c r="H1933" s="2" t="str">
        <f t="shared" si="71"/>
        <v>0 г. 0 мес. 0 дн.</v>
      </c>
      <c r="I1933" s="2"/>
      <c r="J1933" s="2"/>
      <c r="K1933" s="2"/>
      <c r="L1933" s="2"/>
      <c r="M1933" s="2"/>
      <c r="N1933" s="1">
        <v>0</v>
      </c>
      <c r="O1933" s="2"/>
      <c r="P1933" s="2"/>
      <c r="Q1933" s="2">
        <v>0</v>
      </c>
      <c r="R1933" s="6"/>
    </row>
    <row r="1934" spans="1:18" x14ac:dyDescent="0.25">
      <c r="A1934" s="2">
        <f t="shared" si="70"/>
        <v>1933</v>
      </c>
      <c r="B1934" s="2"/>
      <c r="C1934" s="2"/>
      <c r="D1934" s="2"/>
      <c r="E1934" s="2"/>
      <c r="F1934" s="2"/>
      <c r="G1934" s="2"/>
      <c r="H1934" s="2" t="str">
        <f t="shared" si="71"/>
        <v>0 г. 0 мес. 0 дн.</v>
      </c>
      <c r="I1934" s="2"/>
      <c r="J1934" s="2"/>
      <c r="K1934" s="2"/>
      <c r="L1934" s="2"/>
      <c r="M1934" s="2"/>
      <c r="N1934" s="1">
        <v>0</v>
      </c>
      <c r="O1934" s="2"/>
      <c r="P1934" s="2"/>
      <c r="Q1934" s="2">
        <v>0</v>
      </c>
      <c r="R1934" s="6"/>
    </row>
    <row r="1935" spans="1:18" x14ac:dyDescent="0.25">
      <c r="A1935" s="2">
        <f t="shared" si="70"/>
        <v>1934</v>
      </c>
      <c r="B1935" s="2"/>
      <c r="C1935" s="2"/>
      <c r="D1935" s="2"/>
      <c r="E1935" s="2"/>
      <c r="F1935" s="2"/>
      <c r="G1935" s="2"/>
      <c r="H1935" s="2" t="str">
        <f t="shared" si="71"/>
        <v>0 г. 0 мес. 0 дн.</v>
      </c>
      <c r="I1935" s="2"/>
      <c r="J1935" s="2"/>
      <c r="K1935" s="2"/>
      <c r="L1935" s="2"/>
      <c r="M1935" s="2"/>
      <c r="N1935" s="1">
        <v>0</v>
      </c>
      <c r="O1935" s="2"/>
      <c r="P1935" s="2"/>
      <c r="Q1935" s="2">
        <v>0</v>
      </c>
      <c r="R1935" s="6"/>
    </row>
    <row r="1936" spans="1:18" x14ac:dyDescent="0.25">
      <c r="A1936" s="2">
        <f t="shared" si="70"/>
        <v>1935</v>
      </c>
      <c r="B1936" s="2"/>
      <c r="C1936" s="2"/>
      <c r="D1936" s="2"/>
      <c r="E1936" s="2"/>
      <c r="F1936" s="2"/>
      <c r="G1936" s="2"/>
      <c r="H1936" s="2" t="str">
        <f t="shared" si="71"/>
        <v>0 г. 0 мес. 0 дн.</v>
      </c>
      <c r="I1936" s="2"/>
      <c r="J1936" s="2"/>
      <c r="K1936" s="2"/>
      <c r="L1936" s="2"/>
      <c r="M1936" s="2"/>
      <c r="N1936" s="1">
        <v>0</v>
      </c>
      <c r="O1936" s="2"/>
      <c r="P1936" s="2"/>
      <c r="Q1936" s="2">
        <v>0</v>
      </c>
      <c r="R1936" s="6"/>
    </row>
    <row r="1937" spans="1:18" x14ac:dyDescent="0.25">
      <c r="A1937" s="2">
        <f t="shared" si="70"/>
        <v>1936</v>
      </c>
      <c r="B1937" s="2"/>
      <c r="C1937" s="2"/>
      <c r="D1937" s="2"/>
      <c r="E1937" s="2"/>
      <c r="F1937" s="2"/>
      <c r="G1937" s="2"/>
      <c r="H1937" s="2" t="str">
        <f t="shared" si="71"/>
        <v>0 г. 0 мес. 0 дн.</v>
      </c>
      <c r="I1937" s="2"/>
      <c r="J1937" s="2"/>
      <c r="K1937" s="2"/>
      <c r="L1937" s="2"/>
      <c r="M1937" s="2"/>
      <c r="N1937" s="1">
        <v>0</v>
      </c>
      <c r="O1937" s="2"/>
      <c r="P1937" s="2"/>
      <c r="Q1937" s="2">
        <v>0</v>
      </c>
      <c r="R1937" s="6"/>
    </row>
    <row r="1938" spans="1:18" x14ac:dyDescent="0.25">
      <c r="A1938" s="2">
        <f t="shared" si="70"/>
        <v>1937</v>
      </c>
      <c r="B1938" s="2"/>
      <c r="C1938" s="2"/>
      <c r="D1938" s="2"/>
      <c r="E1938" s="2"/>
      <c r="F1938" s="2"/>
      <c r="G1938" s="2"/>
      <c r="H1938" s="2" t="str">
        <f t="shared" si="71"/>
        <v>0 г. 0 мес. 0 дн.</v>
      </c>
      <c r="I1938" s="2"/>
      <c r="J1938" s="2"/>
      <c r="K1938" s="2"/>
      <c r="L1938" s="2"/>
      <c r="M1938" s="2"/>
      <c r="N1938" s="1">
        <v>0</v>
      </c>
      <c r="O1938" s="2"/>
      <c r="P1938" s="2"/>
      <c r="Q1938" s="2">
        <v>0</v>
      </c>
      <c r="R1938" s="6"/>
    </row>
    <row r="1939" spans="1:18" x14ac:dyDescent="0.25">
      <c r="A1939" s="2">
        <f t="shared" si="70"/>
        <v>1938</v>
      </c>
      <c r="B1939" s="2"/>
      <c r="C1939" s="2"/>
      <c r="D1939" s="2"/>
      <c r="E1939" s="2"/>
      <c r="F1939" s="2"/>
      <c r="G1939" s="2"/>
      <c r="H1939" s="2" t="str">
        <f t="shared" si="71"/>
        <v>0 г. 0 мес. 0 дн.</v>
      </c>
      <c r="I1939" s="2"/>
      <c r="J1939" s="2"/>
      <c r="K1939" s="2"/>
      <c r="L1939" s="2"/>
      <c r="M1939" s="2"/>
      <c r="N1939" s="1">
        <v>0</v>
      </c>
      <c r="O1939" s="2"/>
      <c r="P1939" s="2"/>
      <c r="Q1939" s="2">
        <v>0</v>
      </c>
      <c r="R1939" s="6"/>
    </row>
    <row r="1940" spans="1:18" x14ac:dyDescent="0.25">
      <c r="A1940" s="2">
        <f t="shared" si="70"/>
        <v>1939</v>
      </c>
      <c r="B1940" s="2"/>
      <c r="C1940" s="2"/>
      <c r="D1940" s="2"/>
      <c r="E1940" s="2"/>
      <c r="F1940" s="2"/>
      <c r="G1940" s="2"/>
      <c r="H1940" s="2" t="str">
        <f t="shared" si="71"/>
        <v>0 г. 0 мес. 0 дн.</v>
      </c>
      <c r="I1940" s="2"/>
      <c r="J1940" s="2"/>
      <c r="K1940" s="2"/>
      <c r="L1940" s="2"/>
      <c r="M1940" s="2"/>
      <c r="N1940" s="1">
        <v>0</v>
      </c>
      <c r="O1940" s="2"/>
      <c r="P1940" s="2"/>
      <c r="Q1940" s="2">
        <v>0</v>
      </c>
      <c r="R1940" s="6"/>
    </row>
    <row r="1941" spans="1:18" x14ac:dyDescent="0.25">
      <c r="A1941" s="2">
        <f t="shared" si="70"/>
        <v>1940</v>
      </c>
      <c r="B1941" s="2"/>
      <c r="C1941" s="2"/>
      <c r="D1941" s="2"/>
      <c r="E1941" s="2"/>
      <c r="F1941" s="2"/>
      <c r="G1941" s="2"/>
      <c r="H1941" s="2" t="str">
        <f t="shared" si="71"/>
        <v>0 г. 0 мес. 0 дн.</v>
      </c>
      <c r="I1941" s="2"/>
      <c r="J1941" s="2"/>
      <c r="K1941" s="2"/>
      <c r="L1941" s="2"/>
      <c r="M1941" s="2"/>
      <c r="N1941" s="1">
        <v>0</v>
      </c>
      <c r="O1941" s="2"/>
      <c r="P1941" s="2"/>
      <c r="Q1941" s="2">
        <v>0</v>
      </c>
      <c r="R1941" s="6"/>
    </row>
    <row r="1942" spans="1:18" x14ac:dyDescent="0.25">
      <c r="A1942" s="2">
        <f t="shared" si="70"/>
        <v>1941</v>
      </c>
      <c r="B1942" s="2"/>
      <c r="C1942" s="2"/>
      <c r="D1942" s="2"/>
      <c r="E1942" s="2"/>
      <c r="F1942" s="2"/>
      <c r="G1942" s="2"/>
      <c r="H1942" s="2" t="str">
        <f t="shared" si="71"/>
        <v>0 г. 0 мес. 0 дн.</v>
      </c>
      <c r="I1942" s="2"/>
      <c r="J1942" s="2"/>
      <c r="K1942" s="2"/>
      <c r="L1942" s="2"/>
      <c r="M1942" s="2"/>
      <c r="N1942" s="1">
        <v>0</v>
      </c>
      <c r="O1942" s="2"/>
      <c r="P1942" s="2"/>
      <c r="Q1942" s="2">
        <v>0</v>
      </c>
      <c r="R1942" s="6"/>
    </row>
    <row r="1943" spans="1:18" x14ac:dyDescent="0.25">
      <c r="A1943" s="2">
        <f t="shared" si="70"/>
        <v>1942</v>
      </c>
      <c r="B1943" s="2"/>
      <c r="C1943" s="2"/>
      <c r="D1943" s="2"/>
      <c r="E1943" s="2"/>
      <c r="F1943" s="2"/>
      <c r="G1943" s="2"/>
      <c r="H1943" s="2" t="str">
        <f t="shared" si="71"/>
        <v>0 г. 0 мес. 0 дн.</v>
      </c>
      <c r="I1943" s="2"/>
      <c r="J1943" s="2"/>
      <c r="K1943" s="2"/>
      <c r="L1943" s="2"/>
      <c r="M1943" s="2"/>
      <c r="N1943" s="1">
        <v>0</v>
      </c>
      <c r="O1943" s="2"/>
      <c r="P1943" s="2"/>
      <c r="Q1943" s="2">
        <v>0</v>
      </c>
      <c r="R1943" s="6"/>
    </row>
    <row r="1944" spans="1:18" x14ac:dyDescent="0.25">
      <c r="A1944" s="2">
        <f t="shared" si="70"/>
        <v>1943</v>
      </c>
      <c r="B1944" s="2"/>
      <c r="C1944" s="2"/>
      <c r="D1944" s="2"/>
      <c r="E1944" s="2"/>
      <c r="F1944" s="2"/>
      <c r="G1944" s="2"/>
      <c r="H1944" s="2" t="str">
        <f t="shared" si="71"/>
        <v>0 г. 0 мес. 0 дн.</v>
      </c>
      <c r="I1944" s="2"/>
      <c r="J1944" s="2"/>
      <c r="K1944" s="2"/>
      <c r="L1944" s="2"/>
      <c r="M1944" s="2"/>
      <c r="N1944" s="1">
        <v>0</v>
      </c>
      <c r="O1944" s="2"/>
      <c r="P1944" s="2"/>
      <c r="Q1944" s="2">
        <v>0</v>
      </c>
      <c r="R1944" s="6"/>
    </row>
    <row r="1945" spans="1:18" x14ac:dyDescent="0.25">
      <c r="A1945" s="2">
        <f t="shared" si="70"/>
        <v>1944</v>
      </c>
      <c r="B1945" s="2"/>
      <c r="C1945" s="2"/>
      <c r="D1945" s="2"/>
      <c r="E1945" s="2"/>
      <c r="F1945" s="2"/>
      <c r="G1945" s="2"/>
      <c r="H1945" s="2" t="str">
        <f t="shared" si="71"/>
        <v>0 г. 0 мес. 0 дн.</v>
      </c>
      <c r="I1945" s="2"/>
      <c r="J1945" s="2"/>
      <c r="K1945" s="2"/>
      <c r="L1945" s="2"/>
      <c r="M1945" s="2"/>
      <c r="N1945" s="1">
        <v>0</v>
      </c>
      <c r="O1945" s="2"/>
      <c r="P1945" s="2"/>
      <c r="Q1945" s="2">
        <v>0</v>
      </c>
      <c r="R1945" s="6"/>
    </row>
    <row r="1946" spans="1:18" x14ac:dyDescent="0.25">
      <c r="A1946" s="2">
        <f t="shared" si="70"/>
        <v>1945</v>
      </c>
      <c r="B1946" s="2"/>
      <c r="C1946" s="2"/>
      <c r="D1946" s="2"/>
      <c r="E1946" s="2"/>
      <c r="F1946" s="2"/>
      <c r="G1946" s="2"/>
      <c r="H1946" s="2" t="str">
        <f t="shared" si="71"/>
        <v>0 г. 0 мес. 0 дн.</v>
      </c>
      <c r="I1946" s="2"/>
      <c r="J1946" s="2"/>
      <c r="K1946" s="2"/>
      <c r="L1946" s="2"/>
      <c r="M1946" s="2"/>
      <c r="N1946" s="1">
        <v>0</v>
      </c>
      <c r="O1946" s="2"/>
      <c r="P1946" s="2"/>
      <c r="Q1946" s="2">
        <v>0</v>
      </c>
      <c r="R1946" s="6"/>
    </row>
    <row r="1947" spans="1:18" x14ac:dyDescent="0.25">
      <c r="A1947" s="2">
        <f t="shared" si="70"/>
        <v>1946</v>
      </c>
      <c r="B1947" s="2"/>
      <c r="C1947" s="2"/>
      <c r="D1947" s="2"/>
      <c r="E1947" s="2"/>
      <c r="F1947" s="2"/>
      <c r="G1947" s="2"/>
      <c r="H1947" s="2" t="str">
        <f t="shared" si="71"/>
        <v>0 г. 0 мес. 0 дн.</v>
      </c>
      <c r="I1947" s="2"/>
      <c r="J1947" s="2"/>
      <c r="K1947" s="2"/>
      <c r="L1947" s="2"/>
      <c r="M1947" s="2"/>
      <c r="N1947" s="1">
        <v>0</v>
      </c>
      <c r="O1947" s="2"/>
      <c r="P1947" s="2"/>
      <c r="Q1947" s="2">
        <v>0</v>
      </c>
      <c r="R1947" s="6"/>
    </row>
    <row r="1948" spans="1:18" x14ac:dyDescent="0.25">
      <c r="A1948" s="2">
        <f t="shared" si="70"/>
        <v>1947</v>
      </c>
      <c r="B1948" s="2"/>
      <c r="C1948" s="2"/>
      <c r="D1948" s="2"/>
      <c r="E1948" s="2"/>
      <c r="F1948" s="2"/>
      <c r="G1948" s="2"/>
      <c r="H1948" s="2" t="str">
        <f t="shared" si="71"/>
        <v>0 г. 0 мес. 0 дн.</v>
      </c>
      <c r="I1948" s="2"/>
      <c r="J1948" s="2"/>
      <c r="K1948" s="2"/>
      <c r="L1948" s="2"/>
      <c r="M1948" s="2"/>
      <c r="N1948" s="1">
        <v>0</v>
      </c>
      <c r="O1948" s="2"/>
      <c r="P1948" s="2"/>
      <c r="Q1948" s="2">
        <v>0</v>
      </c>
      <c r="R1948" s="6"/>
    </row>
    <row r="1949" spans="1:18" x14ac:dyDescent="0.25">
      <c r="A1949" s="2">
        <f t="shared" ref="A1949:A2012" si="72">ROW(A1948)</f>
        <v>1948</v>
      </c>
      <c r="B1949" s="2"/>
      <c r="C1949" s="2"/>
      <c r="D1949" s="2"/>
      <c r="E1949" s="2"/>
      <c r="F1949" s="2"/>
      <c r="G1949" s="2"/>
      <c r="H1949" s="2" t="str">
        <f t="shared" si="71"/>
        <v>0 г. 0 мес. 0 дн.</v>
      </c>
      <c r="I1949" s="2"/>
      <c r="J1949" s="2"/>
      <c r="K1949" s="2"/>
      <c r="L1949" s="2"/>
      <c r="M1949" s="2"/>
      <c r="N1949" s="1">
        <v>0</v>
      </c>
      <c r="O1949" s="2"/>
      <c r="P1949" s="2"/>
      <c r="Q1949" s="2">
        <v>0</v>
      </c>
      <c r="R1949" s="6"/>
    </row>
    <row r="1950" spans="1:18" x14ac:dyDescent="0.25">
      <c r="A1950" s="2">
        <f t="shared" si="72"/>
        <v>1949</v>
      </c>
      <c r="B1950" s="2"/>
      <c r="C1950" s="2"/>
      <c r="D1950" s="2"/>
      <c r="E1950" s="2"/>
      <c r="F1950" s="2"/>
      <c r="G1950" s="2"/>
      <c r="H1950" s="2" t="str">
        <f t="shared" si="71"/>
        <v>0 г. 0 мес. 0 дн.</v>
      </c>
      <c r="I1950" s="2"/>
      <c r="J1950" s="2"/>
      <c r="K1950" s="2"/>
      <c r="L1950" s="2"/>
      <c r="M1950" s="2"/>
      <c r="N1950" s="1">
        <v>0</v>
      </c>
      <c r="O1950" s="2"/>
      <c r="P1950" s="2"/>
      <c r="Q1950" s="2">
        <v>0</v>
      </c>
      <c r="R1950" s="6"/>
    </row>
    <row r="1951" spans="1:18" x14ac:dyDescent="0.25">
      <c r="A1951" s="2">
        <f t="shared" si="72"/>
        <v>1950</v>
      </c>
      <c r="B1951" s="2"/>
      <c r="C1951" s="2"/>
      <c r="D1951" s="2"/>
      <c r="E1951" s="2"/>
      <c r="F1951" s="2"/>
      <c r="G1951" s="2"/>
      <c r="H1951" s="2" t="str">
        <f t="shared" si="71"/>
        <v>0 г. 0 мес. 0 дн.</v>
      </c>
      <c r="I1951" s="2"/>
      <c r="J1951" s="2"/>
      <c r="K1951" s="2"/>
      <c r="L1951" s="2"/>
      <c r="M1951" s="2"/>
      <c r="N1951" s="1">
        <v>0</v>
      </c>
      <c r="O1951" s="2"/>
      <c r="P1951" s="2"/>
      <c r="Q1951" s="2">
        <v>0</v>
      </c>
      <c r="R1951" s="6"/>
    </row>
    <row r="1952" spans="1:18" x14ac:dyDescent="0.25">
      <c r="A1952" s="2">
        <f t="shared" si="72"/>
        <v>1951</v>
      </c>
      <c r="B1952" s="2"/>
      <c r="C1952" s="2"/>
      <c r="D1952" s="2"/>
      <c r="E1952" s="2"/>
      <c r="F1952" s="2"/>
      <c r="G1952" s="2"/>
      <c r="H1952" s="2" t="str">
        <f t="shared" si="71"/>
        <v>0 г. 0 мес. 0 дн.</v>
      </c>
      <c r="I1952" s="2"/>
      <c r="J1952" s="2"/>
      <c r="K1952" s="2"/>
      <c r="L1952" s="2"/>
      <c r="M1952" s="2"/>
      <c r="N1952" s="1">
        <v>0</v>
      </c>
      <c r="O1952" s="2"/>
      <c r="P1952" s="2"/>
      <c r="Q1952" s="2">
        <v>0</v>
      </c>
      <c r="R1952" s="6"/>
    </row>
    <row r="1953" spans="1:18" x14ac:dyDescent="0.25">
      <c r="A1953" s="2">
        <f t="shared" si="72"/>
        <v>1952</v>
      </c>
      <c r="B1953" s="2"/>
      <c r="C1953" s="2"/>
      <c r="D1953" s="2"/>
      <c r="E1953" s="2"/>
      <c r="F1953" s="2"/>
      <c r="G1953" s="2"/>
      <c r="H1953" s="2" t="str">
        <f t="shared" si="71"/>
        <v>0 г. 0 мес. 0 дн.</v>
      </c>
      <c r="I1953" s="2"/>
      <c r="J1953" s="2"/>
      <c r="K1953" s="2"/>
      <c r="L1953" s="2"/>
      <c r="M1953" s="2"/>
      <c r="N1953" s="1">
        <v>0</v>
      </c>
      <c r="O1953" s="2"/>
      <c r="P1953" s="2"/>
      <c r="Q1953" s="2">
        <v>0</v>
      </c>
      <c r="R1953" s="6"/>
    </row>
    <row r="1954" spans="1:18" x14ac:dyDescent="0.25">
      <c r="A1954" s="2">
        <f t="shared" si="72"/>
        <v>1953</v>
      </c>
      <c r="B1954" s="2"/>
      <c r="C1954" s="2"/>
      <c r="D1954" s="2"/>
      <c r="E1954" s="2"/>
      <c r="F1954" s="2"/>
      <c r="G1954" s="2"/>
      <c r="H1954" s="2" t="str">
        <f t="shared" si="71"/>
        <v>0 г. 0 мес. 0 дн.</v>
      </c>
      <c r="I1954" s="2"/>
      <c r="J1954" s="2"/>
      <c r="K1954" s="2"/>
      <c r="L1954" s="2"/>
      <c r="M1954" s="2"/>
      <c r="N1954" s="1">
        <v>0</v>
      </c>
      <c r="O1954" s="2"/>
      <c r="P1954" s="2"/>
      <c r="Q1954" s="2">
        <v>0</v>
      </c>
      <c r="R1954" s="6"/>
    </row>
    <row r="1955" spans="1:18" x14ac:dyDescent="0.25">
      <c r="A1955" s="2">
        <f t="shared" si="72"/>
        <v>1954</v>
      </c>
      <c r="B1955" s="2"/>
      <c r="C1955" s="2"/>
      <c r="D1955" s="2"/>
      <c r="E1955" s="2"/>
      <c r="F1955" s="2"/>
      <c r="G1955" s="2"/>
      <c r="H1955" s="2" t="str">
        <f t="shared" si="71"/>
        <v>0 г. 0 мес. 0 дн.</v>
      </c>
      <c r="I1955" s="2"/>
      <c r="J1955" s="2"/>
      <c r="K1955" s="2"/>
      <c r="L1955" s="2"/>
      <c r="M1955" s="2"/>
      <c r="N1955" s="1">
        <v>0</v>
      </c>
      <c r="O1955" s="2"/>
      <c r="P1955" s="2"/>
      <c r="Q1955" s="2">
        <v>0</v>
      </c>
      <c r="R1955" s="6"/>
    </row>
    <row r="1956" spans="1:18" x14ac:dyDescent="0.25">
      <c r="A1956" s="2">
        <f t="shared" si="72"/>
        <v>1955</v>
      </c>
      <c r="B1956" s="2"/>
      <c r="C1956" s="2"/>
      <c r="D1956" s="2"/>
      <c r="E1956" s="2"/>
      <c r="F1956" s="2"/>
      <c r="G1956" s="2"/>
      <c r="H1956" s="2" t="str">
        <f t="shared" si="71"/>
        <v>0 г. 0 мес. 0 дн.</v>
      </c>
      <c r="I1956" s="2"/>
      <c r="J1956" s="2"/>
      <c r="K1956" s="2"/>
      <c r="L1956" s="2"/>
      <c r="M1956" s="2"/>
      <c r="N1956" s="1">
        <v>0</v>
      </c>
      <c r="O1956" s="2"/>
      <c r="P1956" s="2"/>
      <c r="Q1956" s="2">
        <v>0</v>
      </c>
      <c r="R1956" s="6"/>
    </row>
    <row r="1957" spans="1:18" x14ac:dyDescent="0.25">
      <c r="A1957" s="2">
        <f t="shared" si="72"/>
        <v>1956</v>
      </c>
      <c r="B1957" s="2"/>
      <c r="C1957" s="2"/>
      <c r="D1957" s="2"/>
      <c r="E1957" s="2"/>
      <c r="F1957" s="2"/>
      <c r="G1957" s="2"/>
      <c r="H1957" s="2" t="str">
        <f t="shared" si="71"/>
        <v>0 г. 0 мес. 0 дн.</v>
      </c>
      <c r="I1957" s="2"/>
      <c r="J1957" s="2"/>
      <c r="K1957" s="2"/>
      <c r="L1957" s="2"/>
      <c r="M1957" s="2"/>
      <c r="N1957" s="1">
        <v>0</v>
      </c>
      <c r="O1957" s="2"/>
      <c r="P1957" s="2"/>
      <c r="Q1957" s="2">
        <v>0</v>
      </c>
      <c r="R1957" s="6"/>
    </row>
    <row r="1958" spans="1:18" x14ac:dyDescent="0.25">
      <c r="A1958" s="2">
        <f t="shared" si="72"/>
        <v>1957</v>
      </c>
      <c r="B1958" s="2"/>
      <c r="C1958" s="2"/>
      <c r="D1958" s="2"/>
      <c r="E1958" s="2"/>
      <c r="F1958" s="2"/>
      <c r="G1958" s="2"/>
      <c r="H1958" s="2" t="str">
        <f t="shared" si="71"/>
        <v>0 г. 0 мес. 0 дн.</v>
      </c>
      <c r="I1958" s="2"/>
      <c r="J1958" s="2"/>
      <c r="K1958" s="2"/>
      <c r="L1958" s="2"/>
      <c r="M1958" s="2"/>
      <c r="N1958" s="1">
        <v>0</v>
      </c>
      <c r="O1958" s="2"/>
      <c r="P1958" s="2"/>
      <c r="Q1958" s="2">
        <v>0</v>
      </c>
      <c r="R1958" s="6"/>
    </row>
    <row r="1959" spans="1:18" x14ac:dyDescent="0.25">
      <c r="A1959" s="2">
        <f t="shared" si="72"/>
        <v>1958</v>
      </c>
      <c r="B1959" s="2"/>
      <c r="C1959" s="2"/>
      <c r="D1959" s="2"/>
      <c r="E1959" s="2"/>
      <c r="F1959" s="2"/>
      <c r="G1959" s="2"/>
      <c r="H1959" s="2" t="str">
        <f t="shared" si="71"/>
        <v>0 г. 0 мес. 0 дн.</v>
      </c>
      <c r="I1959" s="2"/>
      <c r="J1959" s="2"/>
      <c r="K1959" s="2"/>
      <c r="L1959" s="2"/>
      <c r="M1959" s="2"/>
      <c r="N1959" s="1">
        <v>0</v>
      </c>
      <c r="O1959" s="2"/>
      <c r="P1959" s="2"/>
      <c r="Q1959" s="2">
        <v>0</v>
      </c>
      <c r="R1959" s="6"/>
    </row>
    <row r="1960" spans="1:18" x14ac:dyDescent="0.25">
      <c r="A1960" s="2">
        <f t="shared" si="72"/>
        <v>1959</v>
      </c>
      <c r="B1960" s="2"/>
      <c r="C1960" s="2"/>
      <c r="D1960" s="2"/>
      <c r="E1960" s="2"/>
      <c r="F1960" s="2"/>
      <c r="G1960" s="2"/>
      <c r="H1960" s="2" t="str">
        <f t="shared" si="71"/>
        <v>0 г. 0 мес. 0 дн.</v>
      </c>
      <c r="I1960" s="2"/>
      <c r="J1960" s="2"/>
      <c r="K1960" s="2"/>
      <c r="L1960" s="2"/>
      <c r="M1960" s="2"/>
      <c r="N1960" s="1">
        <v>0</v>
      </c>
      <c r="O1960" s="2"/>
      <c r="P1960" s="2"/>
      <c r="Q1960" s="2">
        <v>0</v>
      </c>
      <c r="R1960" s="6"/>
    </row>
    <row r="1961" spans="1:18" x14ac:dyDescent="0.25">
      <c r="A1961" s="2">
        <f t="shared" si="72"/>
        <v>1960</v>
      </c>
      <c r="B1961" s="2"/>
      <c r="C1961" s="2"/>
      <c r="D1961" s="2"/>
      <c r="E1961" s="2"/>
      <c r="F1961" s="2"/>
      <c r="G1961" s="2"/>
      <c r="H1961" s="2" t="str">
        <f t="shared" si="71"/>
        <v>0 г. 0 мес. 0 дн.</v>
      </c>
      <c r="I1961" s="2"/>
      <c r="J1961" s="2"/>
      <c r="K1961" s="2"/>
      <c r="L1961" s="2"/>
      <c r="M1961" s="2"/>
      <c r="N1961" s="1">
        <v>0</v>
      </c>
      <c r="O1961" s="2"/>
      <c r="P1961" s="2"/>
      <c r="Q1961" s="2">
        <v>0</v>
      </c>
      <c r="R1961" s="6"/>
    </row>
    <row r="1962" spans="1:18" x14ac:dyDescent="0.25">
      <c r="A1962" s="2">
        <f t="shared" si="72"/>
        <v>1961</v>
      </c>
      <c r="B1962" s="2"/>
      <c r="C1962" s="2"/>
      <c r="D1962" s="2"/>
      <c r="E1962" s="2"/>
      <c r="F1962" s="2"/>
      <c r="G1962" s="2"/>
      <c r="H1962" s="2" t="str">
        <f t="shared" si="71"/>
        <v>0 г. 0 мес. 0 дн.</v>
      </c>
      <c r="I1962" s="2"/>
      <c r="J1962" s="2"/>
      <c r="K1962" s="2"/>
      <c r="L1962" s="2"/>
      <c r="M1962" s="2"/>
      <c r="N1962" s="1">
        <v>0</v>
      </c>
      <c r="O1962" s="2"/>
      <c r="P1962" s="2"/>
      <c r="Q1962" s="2">
        <v>0</v>
      </c>
      <c r="R1962" s="6"/>
    </row>
    <row r="1963" spans="1:18" x14ac:dyDescent="0.25">
      <c r="A1963" s="2">
        <f t="shared" si="72"/>
        <v>1962</v>
      </c>
      <c r="B1963" s="2"/>
      <c r="C1963" s="2"/>
      <c r="D1963" s="2"/>
      <c r="E1963" s="2"/>
      <c r="F1963" s="2"/>
      <c r="G1963" s="2"/>
      <c r="H1963" s="2" t="str">
        <f t="shared" si="71"/>
        <v>0 г. 0 мес. 0 дн.</v>
      </c>
      <c r="I1963" s="2"/>
      <c r="J1963" s="2"/>
      <c r="K1963" s="2"/>
      <c r="L1963" s="2"/>
      <c r="M1963" s="2"/>
      <c r="N1963" s="1">
        <v>0</v>
      </c>
      <c r="O1963" s="2"/>
      <c r="P1963" s="2"/>
      <c r="Q1963" s="2">
        <v>0</v>
      </c>
      <c r="R1963" s="6"/>
    </row>
    <row r="1964" spans="1:18" x14ac:dyDescent="0.25">
      <c r="A1964" s="2">
        <f t="shared" si="72"/>
        <v>1963</v>
      </c>
      <c r="B1964" s="2"/>
      <c r="C1964" s="2"/>
      <c r="D1964" s="2"/>
      <c r="E1964" s="2"/>
      <c r="F1964" s="2"/>
      <c r="G1964" s="2"/>
      <c r="H1964" s="2" t="str">
        <f t="shared" si="71"/>
        <v>0 г. 0 мес. 0 дн.</v>
      </c>
      <c r="I1964" s="2"/>
      <c r="J1964" s="2"/>
      <c r="K1964" s="2"/>
      <c r="L1964" s="2"/>
      <c r="M1964" s="2"/>
      <c r="N1964" s="1">
        <v>0</v>
      </c>
      <c r="O1964" s="2"/>
      <c r="P1964" s="2"/>
      <c r="Q1964" s="2">
        <v>0</v>
      </c>
      <c r="R1964" s="6"/>
    </row>
    <row r="1965" spans="1:18" x14ac:dyDescent="0.25">
      <c r="A1965" s="2">
        <f t="shared" si="72"/>
        <v>1964</v>
      </c>
      <c r="B1965" s="2"/>
      <c r="C1965" s="2"/>
      <c r="D1965" s="2"/>
      <c r="E1965" s="2"/>
      <c r="F1965" s="2"/>
      <c r="G1965" s="2"/>
      <c r="H1965" s="2" t="str">
        <f t="shared" si="71"/>
        <v>0 г. 0 мес. 0 дн.</v>
      </c>
      <c r="I1965" s="2"/>
      <c r="J1965" s="2"/>
      <c r="K1965" s="2"/>
      <c r="L1965" s="2"/>
      <c r="M1965" s="2"/>
      <c r="N1965" s="1">
        <v>0</v>
      </c>
      <c r="O1965" s="2"/>
      <c r="P1965" s="2"/>
      <c r="Q1965" s="2">
        <v>0</v>
      </c>
      <c r="R1965" s="6"/>
    </row>
    <row r="1966" spans="1:18" x14ac:dyDescent="0.25">
      <c r="A1966" s="2">
        <f t="shared" si="72"/>
        <v>1965</v>
      </c>
      <c r="B1966" s="2"/>
      <c r="C1966" s="2"/>
      <c r="D1966" s="2"/>
      <c r="E1966" s="2"/>
      <c r="F1966" s="2"/>
      <c r="G1966" s="2"/>
      <c r="H1966" s="2" t="str">
        <f t="shared" si="71"/>
        <v>0 г. 0 мес. 0 дн.</v>
      </c>
      <c r="I1966" s="2"/>
      <c r="J1966" s="2"/>
      <c r="K1966" s="2"/>
      <c r="L1966" s="2"/>
      <c r="M1966" s="2"/>
      <c r="N1966" s="1">
        <v>0</v>
      </c>
      <c r="O1966" s="2"/>
      <c r="P1966" s="2"/>
      <c r="Q1966" s="2">
        <v>0</v>
      </c>
      <c r="R1966" s="6"/>
    </row>
    <row r="1967" spans="1:18" x14ac:dyDescent="0.25">
      <c r="A1967" s="2">
        <f t="shared" si="72"/>
        <v>1966</v>
      </c>
      <c r="B1967" s="2"/>
      <c r="C1967" s="2"/>
      <c r="D1967" s="2"/>
      <c r="E1967" s="2"/>
      <c r="F1967" s="2"/>
      <c r="G1967" s="2"/>
      <c r="H1967" s="2" t="str">
        <f t="shared" si="71"/>
        <v>0 г. 0 мес. 0 дн.</v>
      </c>
      <c r="I1967" s="2"/>
      <c r="J1967" s="2"/>
      <c r="K1967" s="2"/>
      <c r="L1967" s="2"/>
      <c r="M1967" s="2"/>
      <c r="N1967" s="1">
        <v>0</v>
      </c>
      <c r="O1967" s="2"/>
      <c r="P1967" s="2"/>
      <c r="Q1967" s="2">
        <v>0</v>
      </c>
      <c r="R1967" s="6"/>
    </row>
    <row r="1968" spans="1:18" x14ac:dyDescent="0.25">
      <c r="A1968" s="2">
        <f t="shared" si="72"/>
        <v>1967</v>
      </c>
      <c r="B1968" s="2"/>
      <c r="C1968" s="2"/>
      <c r="D1968" s="2"/>
      <c r="E1968" s="2"/>
      <c r="F1968" s="2"/>
      <c r="G1968" s="2"/>
      <c r="H1968" s="2" t="str">
        <f t="shared" si="71"/>
        <v>0 г. 0 мес. 0 дн.</v>
      </c>
      <c r="I1968" s="2"/>
      <c r="J1968" s="2"/>
      <c r="K1968" s="2"/>
      <c r="L1968" s="2"/>
      <c r="M1968" s="2"/>
      <c r="N1968" s="1">
        <v>0</v>
      </c>
      <c r="O1968" s="2"/>
      <c r="P1968" s="2"/>
      <c r="Q1968" s="2">
        <v>0</v>
      </c>
      <c r="R1968" s="6"/>
    </row>
    <row r="1969" spans="1:18" x14ac:dyDescent="0.25">
      <c r="A1969" s="2">
        <f t="shared" si="72"/>
        <v>1968</v>
      </c>
      <c r="B1969" s="2"/>
      <c r="C1969" s="2"/>
      <c r="D1969" s="2"/>
      <c r="E1969" s="2"/>
      <c r="F1969" s="2"/>
      <c r="G1969" s="2"/>
      <c r="H1969" s="2" t="str">
        <f t="shared" si="71"/>
        <v>0 г. 0 мес. 0 дн.</v>
      </c>
      <c r="I1969" s="2"/>
      <c r="J1969" s="2"/>
      <c r="K1969" s="2"/>
      <c r="L1969" s="2"/>
      <c r="M1969" s="2"/>
      <c r="N1969" s="1">
        <v>0</v>
      </c>
      <c r="O1969" s="2"/>
      <c r="P1969" s="2"/>
      <c r="Q1969" s="2">
        <v>0</v>
      </c>
      <c r="R1969" s="6"/>
    </row>
    <row r="1970" spans="1:18" x14ac:dyDescent="0.25">
      <c r="A1970" s="2">
        <f t="shared" si="72"/>
        <v>1969</v>
      </c>
      <c r="B1970" s="2"/>
      <c r="C1970" s="2"/>
      <c r="D1970" s="2"/>
      <c r="E1970" s="2"/>
      <c r="F1970" s="2"/>
      <c r="G1970" s="2"/>
      <c r="H1970" s="2" t="str">
        <f t="shared" si="71"/>
        <v>0 г. 0 мес. 0 дн.</v>
      </c>
      <c r="I1970" s="2"/>
      <c r="J1970" s="2"/>
      <c r="K1970" s="2"/>
      <c r="L1970" s="2"/>
      <c r="M1970" s="2"/>
      <c r="N1970" s="1">
        <v>0</v>
      </c>
      <c r="O1970" s="2"/>
      <c r="P1970" s="2"/>
      <c r="Q1970" s="2">
        <v>0</v>
      </c>
      <c r="R1970" s="6"/>
    </row>
    <row r="1971" spans="1:18" x14ac:dyDescent="0.25">
      <c r="A1971" s="2">
        <f t="shared" si="72"/>
        <v>1970</v>
      </c>
      <c r="B1971" s="2"/>
      <c r="C1971" s="2"/>
      <c r="D1971" s="2"/>
      <c r="E1971" s="2"/>
      <c r="F1971" s="2"/>
      <c r="G1971" s="2"/>
      <c r="H1971" s="2" t="str">
        <f t="shared" si="71"/>
        <v>0 г. 0 мес. 0 дн.</v>
      </c>
      <c r="I1971" s="2"/>
      <c r="J1971" s="2"/>
      <c r="K1971" s="2"/>
      <c r="L1971" s="2"/>
      <c r="M1971" s="2"/>
      <c r="N1971" s="1">
        <v>0</v>
      </c>
      <c r="O1971" s="2"/>
      <c r="P1971" s="2"/>
      <c r="Q1971" s="2">
        <v>0</v>
      </c>
      <c r="R1971" s="6"/>
    </row>
    <row r="1972" spans="1:18" x14ac:dyDescent="0.25">
      <c r="A1972" s="2">
        <f t="shared" si="72"/>
        <v>1971</v>
      </c>
      <c r="B1972" s="2"/>
      <c r="C1972" s="2"/>
      <c r="D1972" s="2"/>
      <c r="E1972" s="2"/>
      <c r="F1972" s="2"/>
      <c r="G1972" s="2"/>
      <c r="H1972" s="2" t="str">
        <f t="shared" si="71"/>
        <v>0 г. 0 мес. 0 дн.</v>
      </c>
      <c r="I1972" s="2"/>
      <c r="J1972" s="2"/>
      <c r="K1972" s="2"/>
      <c r="L1972" s="2"/>
      <c r="M1972" s="2"/>
      <c r="N1972" s="1">
        <v>0</v>
      </c>
      <c r="O1972" s="2"/>
      <c r="P1972" s="2"/>
      <c r="Q1972" s="2">
        <v>0</v>
      </c>
      <c r="R1972" s="6"/>
    </row>
    <row r="1973" spans="1:18" x14ac:dyDescent="0.25">
      <c r="A1973" s="2">
        <f t="shared" si="72"/>
        <v>1972</v>
      </c>
      <c r="B1973" s="2"/>
      <c r="C1973" s="2"/>
      <c r="D1973" s="2"/>
      <c r="E1973" s="2"/>
      <c r="F1973" s="2"/>
      <c r="G1973" s="2"/>
      <c r="H1973" s="2" t="str">
        <f t="shared" si="71"/>
        <v>0 г. 0 мес. 0 дн.</v>
      </c>
      <c r="I1973" s="2"/>
      <c r="J1973" s="2"/>
      <c r="K1973" s="2"/>
      <c r="L1973" s="2"/>
      <c r="M1973" s="2"/>
      <c r="N1973" s="1">
        <v>0</v>
      </c>
      <c r="O1973" s="2"/>
      <c r="P1973" s="2"/>
      <c r="Q1973" s="2">
        <v>0</v>
      </c>
      <c r="R1973" s="6"/>
    </row>
    <row r="1974" spans="1:18" x14ac:dyDescent="0.25">
      <c r="A1974" s="2">
        <f t="shared" si="72"/>
        <v>1973</v>
      </c>
      <c r="B1974" s="2"/>
      <c r="C1974" s="2"/>
      <c r="D1974" s="2"/>
      <c r="E1974" s="2"/>
      <c r="F1974" s="2"/>
      <c r="G1974" s="2"/>
      <c r="H1974" s="2" t="str">
        <f t="shared" si="71"/>
        <v>0 г. 0 мес. 0 дн.</v>
      </c>
      <c r="I1974" s="2"/>
      <c r="J1974" s="2"/>
      <c r="K1974" s="2"/>
      <c r="L1974" s="2"/>
      <c r="M1974" s="2"/>
      <c r="N1974" s="1">
        <v>0</v>
      </c>
      <c r="O1974" s="2"/>
      <c r="P1974" s="2"/>
      <c r="Q1974" s="2">
        <v>0</v>
      </c>
      <c r="R1974" s="6"/>
    </row>
    <row r="1975" spans="1:18" x14ac:dyDescent="0.25">
      <c r="A1975" s="2">
        <f t="shared" si="72"/>
        <v>1974</v>
      </c>
      <c r="B1975" s="2"/>
      <c r="C1975" s="2"/>
      <c r="D1975" s="2"/>
      <c r="E1975" s="2"/>
      <c r="F1975" s="2"/>
      <c r="G1975" s="2"/>
      <c r="H1975" s="2" t="str">
        <f t="shared" si="71"/>
        <v>0 г. 0 мес. 0 дн.</v>
      </c>
      <c r="I1975" s="2"/>
      <c r="J1975" s="2"/>
      <c r="K1975" s="2"/>
      <c r="L1975" s="2"/>
      <c r="M1975" s="2"/>
      <c r="N1975" s="1">
        <v>0</v>
      </c>
      <c r="O1975" s="2"/>
      <c r="P1975" s="2"/>
      <c r="Q1975" s="2">
        <v>0</v>
      </c>
      <c r="R1975" s="6"/>
    </row>
    <row r="1976" spans="1:18" x14ac:dyDescent="0.25">
      <c r="A1976" s="2">
        <f t="shared" si="72"/>
        <v>1975</v>
      </c>
      <c r="B1976" s="2"/>
      <c r="C1976" s="2"/>
      <c r="D1976" s="2"/>
      <c r="E1976" s="2"/>
      <c r="F1976" s="2"/>
      <c r="G1976" s="2"/>
      <c r="H1976" s="2" t="str">
        <f t="shared" si="71"/>
        <v>0 г. 0 мес. 0 дн.</v>
      </c>
      <c r="I1976" s="2"/>
      <c r="J1976" s="2"/>
      <c r="K1976" s="2"/>
      <c r="L1976" s="2"/>
      <c r="M1976" s="2"/>
      <c r="N1976" s="1">
        <v>0</v>
      </c>
      <c r="O1976" s="2"/>
      <c r="P1976" s="2"/>
      <c r="Q1976" s="2">
        <v>0</v>
      </c>
      <c r="R1976" s="6"/>
    </row>
    <row r="1977" spans="1:18" x14ac:dyDescent="0.25">
      <c r="A1977" s="2">
        <f t="shared" si="72"/>
        <v>1976</v>
      </c>
      <c r="B1977" s="2"/>
      <c r="C1977" s="2"/>
      <c r="D1977" s="2"/>
      <c r="E1977" s="2"/>
      <c r="F1977" s="2"/>
      <c r="G1977" s="2"/>
      <c r="H1977" s="2" t="str">
        <f t="shared" si="71"/>
        <v>0 г. 0 мес. 0 дн.</v>
      </c>
      <c r="I1977" s="2"/>
      <c r="J1977" s="2"/>
      <c r="K1977" s="2"/>
      <c r="L1977" s="2"/>
      <c r="M1977" s="2"/>
      <c r="N1977" s="1">
        <v>0</v>
      </c>
      <c r="O1977" s="2"/>
      <c r="P1977" s="2"/>
      <c r="Q1977" s="2">
        <v>0</v>
      </c>
      <c r="R1977" s="6"/>
    </row>
    <row r="1978" spans="1:18" x14ac:dyDescent="0.25">
      <c r="A1978" s="2">
        <f t="shared" si="72"/>
        <v>1977</v>
      </c>
      <c r="B1978" s="2"/>
      <c r="C1978" s="2"/>
      <c r="D1978" s="2"/>
      <c r="E1978" s="2"/>
      <c r="F1978" s="2"/>
      <c r="G1978" s="2"/>
      <c r="H1978" s="2" t="str">
        <f t="shared" si="71"/>
        <v>0 г. 0 мес. 0 дн.</v>
      </c>
      <c r="I1978" s="2"/>
      <c r="J1978" s="2"/>
      <c r="K1978" s="2"/>
      <c r="L1978" s="2"/>
      <c r="M1978" s="2"/>
      <c r="N1978" s="1">
        <v>0</v>
      </c>
      <c r="O1978" s="2"/>
      <c r="P1978" s="2"/>
      <c r="Q1978" s="2">
        <v>0</v>
      </c>
      <c r="R1978" s="6"/>
    </row>
    <row r="1979" spans="1:18" x14ac:dyDescent="0.25">
      <c r="A1979" s="2">
        <f t="shared" si="72"/>
        <v>1978</v>
      </c>
      <c r="B1979" s="2"/>
      <c r="C1979" s="2"/>
      <c r="D1979" s="2"/>
      <c r="E1979" s="2"/>
      <c r="F1979" s="2"/>
      <c r="G1979" s="2"/>
      <c r="H1979" s="2" t="str">
        <f t="shared" si="71"/>
        <v>0 г. 0 мес. 0 дн.</v>
      </c>
      <c r="I1979" s="2"/>
      <c r="J1979" s="2"/>
      <c r="K1979" s="2"/>
      <c r="L1979" s="2"/>
      <c r="M1979" s="2"/>
      <c r="N1979" s="1">
        <v>0</v>
      </c>
      <c r="O1979" s="2"/>
      <c r="P1979" s="2"/>
      <c r="Q1979" s="2">
        <v>0</v>
      </c>
      <c r="R1979" s="6"/>
    </row>
    <row r="1980" spans="1:18" x14ac:dyDescent="0.25">
      <c r="A1980" s="2">
        <f t="shared" si="72"/>
        <v>1979</v>
      </c>
      <c r="B1980" s="2"/>
      <c r="C1980" s="2"/>
      <c r="D1980" s="2"/>
      <c r="E1980" s="2"/>
      <c r="F1980" s="2"/>
      <c r="G1980" s="2"/>
      <c r="H1980" s="2" t="str">
        <f t="shared" si="71"/>
        <v>0 г. 0 мес. 0 дн.</v>
      </c>
      <c r="I1980" s="2"/>
      <c r="J1980" s="2"/>
      <c r="K1980" s="2"/>
      <c r="L1980" s="2"/>
      <c r="M1980" s="2"/>
      <c r="N1980" s="1">
        <v>0</v>
      </c>
      <c r="O1980" s="2"/>
      <c r="P1980" s="2"/>
      <c r="Q1980" s="2">
        <v>0</v>
      </c>
      <c r="R1980" s="6"/>
    </row>
    <row r="1981" spans="1:18" x14ac:dyDescent="0.25">
      <c r="A1981" s="2">
        <f t="shared" si="72"/>
        <v>1980</v>
      </c>
      <c r="B1981" s="2"/>
      <c r="C1981" s="2"/>
      <c r="D1981" s="2"/>
      <c r="E1981" s="2"/>
      <c r="F1981" s="2"/>
      <c r="G1981" s="2"/>
      <c r="H1981" s="2" t="str">
        <f t="shared" si="71"/>
        <v>0 г. 0 мес. 0 дн.</v>
      </c>
      <c r="I1981" s="2"/>
      <c r="J1981" s="2"/>
      <c r="K1981" s="2"/>
      <c r="L1981" s="2"/>
      <c r="M1981" s="2"/>
      <c r="N1981" s="1">
        <v>0</v>
      </c>
      <c r="O1981" s="2"/>
      <c r="P1981" s="2"/>
      <c r="Q1981" s="2">
        <v>0</v>
      </c>
      <c r="R1981" s="6"/>
    </row>
    <row r="1982" spans="1:18" x14ac:dyDescent="0.25">
      <c r="A1982" s="2">
        <f t="shared" si="72"/>
        <v>1981</v>
      </c>
      <c r="B1982" s="2"/>
      <c r="C1982" s="2"/>
      <c r="D1982" s="2"/>
      <c r="E1982" s="2"/>
      <c r="F1982" s="2"/>
      <c r="G1982" s="2"/>
      <c r="H1982" s="2" t="str">
        <f t="shared" si="71"/>
        <v>0 г. 0 мес. 0 дн.</v>
      </c>
      <c r="I1982" s="2"/>
      <c r="J1982" s="2"/>
      <c r="K1982" s="2"/>
      <c r="L1982" s="2"/>
      <c r="M1982" s="2"/>
      <c r="N1982" s="1">
        <v>0</v>
      </c>
      <c r="O1982" s="2"/>
      <c r="P1982" s="2"/>
      <c r="Q1982" s="2">
        <v>0</v>
      </c>
      <c r="R1982" s="6"/>
    </row>
    <row r="1983" spans="1:18" x14ac:dyDescent="0.25">
      <c r="A1983" s="2">
        <f t="shared" si="72"/>
        <v>1982</v>
      </c>
      <c r="B1983" s="2"/>
      <c r="C1983" s="2"/>
      <c r="D1983" s="2"/>
      <c r="E1983" s="2"/>
      <c r="F1983" s="2"/>
      <c r="G1983" s="2"/>
      <c r="H1983" s="2" t="str">
        <f t="shared" si="71"/>
        <v>0 г. 0 мес. 0 дн.</v>
      </c>
      <c r="I1983" s="2"/>
      <c r="J1983" s="2"/>
      <c r="K1983" s="2"/>
      <c r="L1983" s="2"/>
      <c r="M1983" s="2"/>
      <c r="N1983" s="1">
        <v>0</v>
      </c>
      <c r="O1983" s="2"/>
      <c r="P1983" s="2"/>
      <c r="Q1983" s="2">
        <v>0</v>
      </c>
      <c r="R1983" s="6"/>
    </row>
    <row r="1984" spans="1:18" x14ac:dyDescent="0.25">
      <c r="A1984" s="2">
        <f t="shared" si="72"/>
        <v>1983</v>
      </c>
      <c r="B1984" s="2"/>
      <c r="C1984" s="2"/>
      <c r="D1984" s="2"/>
      <c r="E1984" s="2"/>
      <c r="F1984" s="2"/>
      <c r="G1984" s="2"/>
      <c r="H1984" s="2" t="str">
        <f t="shared" si="71"/>
        <v>0 г. 0 мес. 0 дн.</v>
      </c>
      <c r="I1984" s="2"/>
      <c r="J1984" s="2"/>
      <c r="K1984" s="2"/>
      <c r="L1984" s="2"/>
      <c r="M1984" s="2"/>
      <c r="N1984" s="1">
        <v>0</v>
      </c>
      <c r="O1984" s="2"/>
      <c r="P1984" s="2"/>
      <c r="Q1984" s="2">
        <v>0</v>
      </c>
      <c r="R1984" s="6"/>
    </row>
    <row r="1985" spans="1:18" x14ac:dyDescent="0.25">
      <c r="A1985" s="2">
        <f t="shared" si="72"/>
        <v>1984</v>
      </c>
      <c r="B1985" s="2"/>
      <c r="C1985" s="2"/>
      <c r="D1985" s="2"/>
      <c r="E1985" s="2"/>
      <c r="F1985" s="2"/>
      <c r="G1985" s="2"/>
      <c r="H1985" s="2" t="str">
        <f t="shared" si="71"/>
        <v>0 г. 0 мес. 0 дн.</v>
      </c>
      <c r="I1985" s="2"/>
      <c r="J1985" s="2"/>
      <c r="K1985" s="2"/>
      <c r="L1985" s="2"/>
      <c r="M1985" s="2"/>
      <c r="N1985" s="1">
        <v>0</v>
      </c>
      <c r="O1985" s="2"/>
      <c r="P1985" s="2"/>
      <c r="Q1985" s="2">
        <v>0</v>
      </c>
      <c r="R1985" s="6"/>
    </row>
    <row r="1986" spans="1:18" x14ac:dyDescent="0.25">
      <c r="A1986" s="2">
        <f t="shared" si="72"/>
        <v>1985</v>
      </c>
      <c r="B1986" s="2"/>
      <c r="C1986" s="2"/>
      <c r="D1986" s="2"/>
      <c r="E1986" s="2"/>
      <c r="F1986" s="2"/>
      <c r="G1986" s="2"/>
      <c r="H1986" s="2" t="str">
        <f t="shared" si="71"/>
        <v>0 г. 0 мес. 0 дн.</v>
      </c>
      <c r="I1986" s="2"/>
      <c r="J1986" s="2"/>
      <c r="K1986" s="2"/>
      <c r="L1986" s="2"/>
      <c r="M1986" s="2"/>
      <c r="N1986" s="1">
        <v>0</v>
      </c>
      <c r="O1986" s="2"/>
      <c r="P1986" s="2"/>
      <c r="Q1986" s="2">
        <v>0</v>
      </c>
      <c r="R1986" s="6"/>
    </row>
    <row r="1987" spans="1:18" x14ac:dyDescent="0.25">
      <c r="A1987" s="2">
        <f t="shared" si="72"/>
        <v>1986</v>
      </c>
      <c r="B1987" s="2"/>
      <c r="C1987" s="2"/>
      <c r="D1987" s="2"/>
      <c r="E1987" s="2"/>
      <c r="F1987" s="2"/>
      <c r="G1987" s="2"/>
      <c r="H1987" s="2" t="str">
        <f t="shared" si="71"/>
        <v>0 г. 0 мес. 0 дн.</v>
      </c>
      <c r="I1987" s="2"/>
      <c r="J1987" s="2"/>
      <c r="K1987" s="2"/>
      <c r="L1987" s="2"/>
      <c r="M1987" s="2"/>
      <c r="N1987" s="1">
        <v>0</v>
      </c>
      <c r="O1987" s="2"/>
      <c r="P1987" s="2"/>
      <c r="Q1987" s="2">
        <v>0</v>
      </c>
      <c r="R1987" s="6"/>
    </row>
    <row r="1988" spans="1:18" x14ac:dyDescent="0.25">
      <c r="A1988" s="2">
        <f t="shared" si="72"/>
        <v>1987</v>
      </c>
      <c r="B1988" s="2"/>
      <c r="C1988" s="2"/>
      <c r="D1988" s="2"/>
      <c r="E1988" s="2"/>
      <c r="F1988" s="2"/>
      <c r="G1988" s="2"/>
      <c r="H1988" s="2" t="str">
        <f t="shared" ref="H1988:H2051" si="73">DATEDIF(G1988,D1988,"y") &amp; " г. " &amp; DATEDIF(G1988,D1988,"ym") &amp; " мес. " &amp; DATEDIF(G1988,D1988,"md") &amp; " дн."</f>
        <v>0 г. 0 мес. 0 дн.</v>
      </c>
      <c r="I1988" s="2"/>
      <c r="J1988" s="2"/>
      <c r="K1988" s="2"/>
      <c r="L1988" s="2"/>
      <c r="M1988" s="2"/>
      <c r="N1988" s="1">
        <v>0</v>
      </c>
      <c r="O1988" s="2"/>
      <c r="P1988" s="2"/>
      <c r="Q1988" s="2">
        <v>0</v>
      </c>
      <c r="R1988" s="6"/>
    </row>
    <row r="1989" spans="1:18" x14ac:dyDescent="0.25">
      <c r="A1989" s="2">
        <f t="shared" si="72"/>
        <v>1988</v>
      </c>
      <c r="B1989" s="2"/>
      <c r="C1989" s="2"/>
      <c r="D1989" s="2"/>
      <c r="E1989" s="2"/>
      <c r="F1989" s="2"/>
      <c r="G1989" s="2"/>
      <c r="H1989" s="2" t="str">
        <f t="shared" si="73"/>
        <v>0 г. 0 мес. 0 дн.</v>
      </c>
      <c r="I1989" s="2"/>
      <c r="J1989" s="2"/>
      <c r="K1989" s="2"/>
      <c r="L1989" s="2"/>
      <c r="M1989" s="2"/>
      <c r="N1989" s="1">
        <v>0</v>
      </c>
      <c r="O1989" s="2"/>
      <c r="P1989" s="2"/>
      <c r="Q1989" s="2">
        <v>0</v>
      </c>
      <c r="R1989" s="6"/>
    </row>
    <row r="1990" spans="1:18" x14ac:dyDescent="0.25">
      <c r="A1990" s="2">
        <f t="shared" si="72"/>
        <v>1989</v>
      </c>
      <c r="B1990" s="2"/>
      <c r="C1990" s="2"/>
      <c r="D1990" s="2"/>
      <c r="E1990" s="2"/>
      <c r="F1990" s="2"/>
      <c r="G1990" s="2"/>
      <c r="H1990" s="2" t="str">
        <f t="shared" si="73"/>
        <v>0 г. 0 мес. 0 дн.</v>
      </c>
      <c r="I1990" s="2"/>
      <c r="J1990" s="2"/>
      <c r="K1990" s="2"/>
      <c r="L1990" s="2"/>
      <c r="M1990" s="2"/>
      <c r="N1990" s="1">
        <v>0</v>
      </c>
      <c r="O1990" s="2"/>
      <c r="P1990" s="2"/>
      <c r="Q1990" s="2">
        <v>0</v>
      </c>
      <c r="R1990" s="6"/>
    </row>
    <row r="1991" spans="1:18" x14ac:dyDescent="0.25">
      <c r="A1991" s="2">
        <f t="shared" si="72"/>
        <v>1990</v>
      </c>
      <c r="B1991" s="2"/>
      <c r="C1991" s="2"/>
      <c r="D1991" s="2"/>
      <c r="E1991" s="2"/>
      <c r="F1991" s="2"/>
      <c r="G1991" s="2"/>
      <c r="H1991" s="2" t="str">
        <f t="shared" si="73"/>
        <v>0 г. 0 мес. 0 дн.</v>
      </c>
      <c r="I1991" s="2"/>
      <c r="J1991" s="2"/>
      <c r="K1991" s="2"/>
      <c r="L1991" s="2"/>
      <c r="M1991" s="2"/>
      <c r="N1991" s="1">
        <v>0</v>
      </c>
      <c r="O1991" s="2"/>
      <c r="P1991" s="2"/>
      <c r="Q1991" s="2">
        <v>0</v>
      </c>
      <c r="R1991" s="6"/>
    </row>
    <row r="1992" spans="1:18" x14ac:dyDescent="0.25">
      <c r="A1992" s="2">
        <f t="shared" si="72"/>
        <v>1991</v>
      </c>
      <c r="B1992" s="2"/>
      <c r="C1992" s="2"/>
      <c r="D1992" s="2"/>
      <c r="E1992" s="2"/>
      <c r="F1992" s="2"/>
      <c r="G1992" s="2"/>
      <c r="H1992" s="2" t="str">
        <f t="shared" si="73"/>
        <v>0 г. 0 мес. 0 дн.</v>
      </c>
      <c r="I1992" s="2"/>
      <c r="J1992" s="2"/>
      <c r="K1992" s="2"/>
      <c r="L1992" s="2"/>
      <c r="M1992" s="2"/>
      <c r="N1992" s="1">
        <v>0</v>
      </c>
      <c r="O1992" s="2"/>
      <c r="P1992" s="2"/>
      <c r="Q1992" s="2">
        <v>0</v>
      </c>
      <c r="R1992" s="6"/>
    </row>
    <row r="1993" spans="1:18" x14ac:dyDescent="0.25">
      <c r="A1993" s="2">
        <f t="shared" si="72"/>
        <v>1992</v>
      </c>
      <c r="B1993" s="2"/>
      <c r="C1993" s="2"/>
      <c r="D1993" s="2"/>
      <c r="E1993" s="2"/>
      <c r="F1993" s="2"/>
      <c r="G1993" s="2"/>
      <c r="H1993" s="2" t="str">
        <f t="shared" si="73"/>
        <v>0 г. 0 мес. 0 дн.</v>
      </c>
      <c r="I1993" s="2"/>
      <c r="J1993" s="2"/>
      <c r="K1993" s="2"/>
      <c r="L1993" s="2"/>
      <c r="M1993" s="2"/>
      <c r="N1993" s="1">
        <v>0</v>
      </c>
      <c r="O1993" s="2"/>
      <c r="P1993" s="2"/>
      <c r="Q1993" s="2">
        <v>0</v>
      </c>
      <c r="R1993" s="6"/>
    </row>
    <row r="1994" spans="1:18" x14ac:dyDescent="0.25">
      <c r="A1994" s="2">
        <f t="shared" si="72"/>
        <v>1993</v>
      </c>
      <c r="B1994" s="2"/>
      <c r="C1994" s="2"/>
      <c r="D1994" s="2"/>
      <c r="E1994" s="2"/>
      <c r="F1994" s="2"/>
      <c r="G1994" s="2"/>
      <c r="H1994" s="2" t="str">
        <f t="shared" si="73"/>
        <v>0 г. 0 мес. 0 дн.</v>
      </c>
      <c r="I1994" s="2"/>
      <c r="J1994" s="2"/>
      <c r="K1994" s="2"/>
      <c r="L1994" s="2"/>
      <c r="M1994" s="2"/>
      <c r="N1994" s="1">
        <v>0</v>
      </c>
      <c r="O1994" s="2"/>
      <c r="P1994" s="2"/>
      <c r="Q1994" s="2">
        <v>0</v>
      </c>
      <c r="R1994" s="6"/>
    </row>
    <row r="1995" spans="1:18" x14ac:dyDescent="0.25">
      <c r="A1995" s="2">
        <f t="shared" si="72"/>
        <v>1994</v>
      </c>
      <c r="B1995" s="2"/>
      <c r="C1995" s="2"/>
      <c r="D1995" s="2"/>
      <c r="E1995" s="2"/>
      <c r="F1995" s="2"/>
      <c r="G1995" s="2"/>
      <c r="H1995" s="2" t="str">
        <f t="shared" si="73"/>
        <v>0 г. 0 мес. 0 дн.</v>
      </c>
      <c r="I1995" s="2"/>
      <c r="J1995" s="2"/>
      <c r="K1995" s="2"/>
      <c r="L1995" s="2"/>
      <c r="M1995" s="2"/>
      <c r="N1995" s="1">
        <v>0</v>
      </c>
      <c r="O1995" s="2"/>
      <c r="P1995" s="2"/>
      <c r="Q1995" s="2">
        <v>0</v>
      </c>
      <c r="R1995" s="6"/>
    </row>
    <row r="1996" spans="1:18" x14ac:dyDescent="0.25">
      <c r="A1996" s="2">
        <f t="shared" si="72"/>
        <v>1995</v>
      </c>
      <c r="B1996" s="2"/>
      <c r="C1996" s="2"/>
      <c r="D1996" s="2"/>
      <c r="E1996" s="2"/>
      <c r="F1996" s="2"/>
      <c r="G1996" s="2"/>
      <c r="H1996" s="2" t="str">
        <f t="shared" si="73"/>
        <v>0 г. 0 мес. 0 дн.</v>
      </c>
      <c r="I1996" s="2"/>
      <c r="J1996" s="2"/>
      <c r="K1996" s="2"/>
      <c r="L1996" s="2"/>
      <c r="M1996" s="2"/>
      <c r="N1996" s="1">
        <v>0</v>
      </c>
      <c r="O1996" s="2"/>
      <c r="P1996" s="2"/>
      <c r="Q1996" s="2">
        <v>0</v>
      </c>
      <c r="R1996" s="6"/>
    </row>
    <row r="1997" spans="1:18" x14ac:dyDescent="0.25">
      <c r="A1997" s="2">
        <f t="shared" si="72"/>
        <v>1996</v>
      </c>
      <c r="B1997" s="2"/>
      <c r="C1997" s="2"/>
      <c r="D1997" s="2"/>
      <c r="E1997" s="2"/>
      <c r="F1997" s="2"/>
      <c r="G1997" s="2"/>
      <c r="H1997" s="2" t="str">
        <f t="shared" si="73"/>
        <v>0 г. 0 мес. 0 дн.</v>
      </c>
      <c r="I1997" s="2"/>
      <c r="J1997" s="2"/>
      <c r="K1997" s="2"/>
      <c r="L1997" s="2"/>
      <c r="M1997" s="2"/>
      <c r="N1997" s="1">
        <v>0</v>
      </c>
      <c r="O1997" s="2"/>
      <c r="P1997" s="2"/>
      <c r="Q1997" s="2">
        <v>0</v>
      </c>
      <c r="R1997" s="6"/>
    </row>
    <row r="1998" spans="1:18" x14ac:dyDescent="0.25">
      <c r="A1998" s="2">
        <f t="shared" si="72"/>
        <v>1997</v>
      </c>
      <c r="B1998" s="2"/>
      <c r="C1998" s="2"/>
      <c r="D1998" s="2"/>
      <c r="E1998" s="2"/>
      <c r="F1998" s="2"/>
      <c r="G1998" s="2"/>
      <c r="H1998" s="2" t="str">
        <f t="shared" si="73"/>
        <v>0 г. 0 мес. 0 дн.</v>
      </c>
      <c r="I1998" s="2"/>
      <c r="J1998" s="2"/>
      <c r="K1998" s="2"/>
      <c r="L1998" s="2"/>
      <c r="M1998" s="2"/>
      <c r="N1998" s="1">
        <v>0</v>
      </c>
      <c r="O1998" s="2"/>
      <c r="P1998" s="2"/>
      <c r="Q1998" s="2">
        <v>0</v>
      </c>
      <c r="R1998" s="6"/>
    </row>
    <row r="1999" spans="1:18" x14ac:dyDescent="0.25">
      <c r="A1999" s="2">
        <f t="shared" si="72"/>
        <v>1998</v>
      </c>
      <c r="B1999" s="2"/>
      <c r="C1999" s="2"/>
      <c r="D1999" s="2"/>
      <c r="E1999" s="2"/>
      <c r="F1999" s="2"/>
      <c r="G1999" s="2"/>
      <c r="H1999" s="2" t="str">
        <f t="shared" si="73"/>
        <v>0 г. 0 мес. 0 дн.</v>
      </c>
      <c r="I1999" s="2"/>
      <c r="J1999" s="2"/>
      <c r="K1999" s="2"/>
      <c r="L1999" s="2"/>
      <c r="M1999" s="2"/>
      <c r="N1999" s="1">
        <v>0</v>
      </c>
      <c r="O1999" s="2"/>
      <c r="P1999" s="2"/>
      <c r="Q1999" s="2">
        <v>0</v>
      </c>
      <c r="R1999" s="6"/>
    </row>
    <row r="2000" spans="1:18" x14ac:dyDescent="0.25">
      <c r="A2000" s="2">
        <f t="shared" si="72"/>
        <v>1999</v>
      </c>
      <c r="B2000" s="2"/>
      <c r="C2000" s="2"/>
      <c r="D2000" s="2"/>
      <c r="E2000" s="2"/>
      <c r="F2000" s="2"/>
      <c r="G2000" s="2"/>
      <c r="H2000" s="2" t="str">
        <f t="shared" si="73"/>
        <v>0 г. 0 мес. 0 дн.</v>
      </c>
      <c r="I2000" s="2"/>
      <c r="J2000" s="2"/>
      <c r="K2000" s="2"/>
      <c r="L2000" s="2"/>
      <c r="M2000" s="2"/>
      <c r="N2000" s="1">
        <v>0</v>
      </c>
      <c r="O2000" s="2"/>
      <c r="P2000" s="2"/>
      <c r="Q2000" s="2">
        <v>0</v>
      </c>
      <c r="R2000" s="6"/>
    </row>
    <row r="2001" spans="1:18" x14ac:dyDescent="0.25">
      <c r="A2001" s="2">
        <f t="shared" si="72"/>
        <v>2000</v>
      </c>
      <c r="B2001" s="2"/>
      <c r="C2001" s="2"/>
      <c r="D2001" s="2"/>
      <c r="E2001" s="2"/>
      <c r="F2001" s="2"/>
      <c r="G2001" s="2"/>
      <c r="H2001" s="2" t="str">
        <f t="shared" si="73"/>
        <v>0 г. 0 мес. 0 дн.</v>
      </c>
      <c r="I2001" s="2"/>
      <c r="J2001" s="2"/>
      <c r="K2001" s="2"/>
      <c r="L2001" s="2"/>
      <c r="M2001" s="2"/>
      <c r="N2001" s="1">
        <v>0</v>
      </c>
      <c r="O2001" s="2"/>
      <c r="P2001" s="2"/>
      <c r="Q2001" s="2">
        <v>0</v>
      </c>
      <c r="R2001" s="6"/>
    </row>
    <row r="2002" spans="1:18" x14ac:dyDescent="0.25">
      <c r="A2002" s="2">
        <f t="shared" si="72"/>
        <v>2001</v>
      </c>
      <c r="B2002" s="2"/>
      <c r="C2002" s="2"/>
      <c r="D2002" s="2"/>
      <c r="E2002" s="2"/>
      <c r="F2002" s="2"/>
      <c r="G2002" s="2"/>
      <c r="H2002" s="2" t="str">
        <f t="shared" si="73"/>
        <v>0 г. 0 мес. 0 дн.</v>
      </c>
      <c r="I2002" s="2"/>
      <c r="J2002" s="2"/>
      <c r="K2002" s="2"/>
      <c r="L2002" s="2"/>
      <c r="M2002" s="2"/>
      <c r="N2002" s="1">
        <v>0</v>
      </c>
      <c r="O2002" s="2"/>
      <c r="P2002" s="2"/>
      <c r="Q2002" s="2">
        <v>0</v>
      </c>
      <c r="R2002" s="6"/>
    </row>
    <row r="2003" spans="1:18" x14ac:dyDescent="0.25">
      <c r="A2003" s="2">
        <f t="shared" si="72"/>
        <v>2002</v>
      </c>
      <c r="B2003" s="2"/>
      <c r="C2003" s="2"/>
      <c r="D2003" s="2"/>
      <c r="E2003" s="2"/>
      <c r="F2003" s="2"/>
      <c r="G2003" s="2"/>
      <c r="H2003" s="2" t="str">
        <f t="shared" si="73"/>
        <v>0 г. 0 мес. 0 дн.</v>
      </c>
      <c r="I2003" s="2"/>
      <c r="J2003" s="2"/>
      <c r="K2003" s="2"/>
      <c r="L2003" s="2"/>
      <c r="M2003" s="2"/>
      <c r="N2003" s="1">
        <v>0</v>
      </c>
      <c r="O2003" s="2"/>
      <c r="P2003" s="2"/>
      <c r="Q2003" s="2">
        <v>0</v>
      </c>
      <c r="R2003" s="6"/>
    </row>
    <row r="2004" spans="1:18" x14ac:dyDescent="0.25">
      <c r="A2004" s="2">
        <f t="shared" si="72"/>
        <v>2003</v>
      </c>
      <c r="B2004" s="2"/>
      <c r="C2004" s="2"/>
      <c r="D2004" s="2"/>
      <c r="E2004" s="2"/>
      <c r="F2004" s="2"/>
      <c r="G2004" s="2"/>
      <c r="H2004" s="2" t="str">
        <f t="shared" si="73"/>
        <v>0 г. 0 мес. 0 дн.</v>
      </c>
      <c r="I2004" s="2"/>
      <c r="J2004" s="2"/>
      <c r="K2004" s="2"/>
      <c r="L2004" s="2"/>
      <c r="M2004" s="2"/>
      <c r="N2004" s="1">
        <v>0</v>
      </c>
      <c r="O2004" s="2"/>
      <c r="P2004" s="2"/>
      <c r="Q2004" s="2">
        <v>0</v>
      </c>
      <c r="R2004" s="6"/>
    </row>
    <row r="2005" spans="1:18" x14ac:dyDescent="0.25">
      <c r="A2005" s="2">
        <f t="shared" si="72"/>
        <v>2004</v>
      </c>
      <c r="B2005" s="2"/>
      <c r="C2005" s="2"/>
      <c r="D2005" s="2"/>
      <c r="E2005" s="2"/>
      <c r="F2005" s="2"/>
      <c r="G2005" s="2"/>
      <c r="H2005" s="2" t="str">
        <f t="shared" si="73"/>
        <v>0 г. 0 мес. 0 дн.</v>
      </c>
      <c r="I2005" s="2"/>
      <c r="J2005" s="2"/>
      <c r="K2005" s="2"/>
      <c r="L2005" s="2"/>
      <c r="M2005" s="2"/>
      <c r="N2005" s="1">
        <v>0</v>
      </c>
      <c r="O2005" s="2"/>
      <c r="P2005" s="2"/>
      <c r="Q2005" s="2">
        <v>0</v>
      </c>
      <c r="R2005" s="6"/>
    </row>
    <row r="2006" spans="1:18" x14ac:dyDescent="0.25">
      <c r="A2006" s="2">
        <f t="shared" si="72"/>
        <v>2005</v>
      </c>
      <c r="B2006" s="2"/>
      <c r="C2006" s="2"/>
      <c r="D2006" s="2"/>
      <c r="E2006" s="2"/>
      <c r="F2006" s="2"/>
      <c r="G2006" s="2"/>
      <c r="H2006" s="2" t="str">
        <f t="shared" si="73"/>
        <v>0 г. 0 мес. 0 дн.</v>
      </c>
      <c r="I2006" s="2"/>
      <c r="J2006" s="2"/>
      <c r="K2006" s="2"/>
      <c r="L2006" s="2"/>
      <c r="M2006" s="2"/>
      <c r="N2006" s="1">
        <v>0</v>
      </c>
      <c r="O2006" s="2"/>
      <c r="P2006" s="2"/>
      <c r="Q2006" s="2">
        <v>0</v>
      </c>
      <c r="R2006" s="6"/>
    </row>
    <row r="2007" spans="1:18" x14ac:dyDescent="0.25">
      <c r="A2007" s="2">
        <f t="shared" si="72"/>
        <v>2006</v>
      </c>
      <c r="B2007" s="2"/>
      <c r="C2007" s="2"/>
      <c r="D2007" s="2"/>
      <c r="E2007" s="2"/>
      <c r="F2007" s="2"/>
      <c r="G2007" s="2"/>
      <c r="H2007" s="2" t="str">
        <f t="shared" si="73"/>
        <v>0 г. 0 мес. 0 дн.</v>
      </c>
      <c r="I2007" s="2"/>
      <c r="J2007" s="2"/>
      <c r="K2007" s="2"/>
      <c r="L2007" s="2"/>
      <c r="M2007" s="2"/>
      <c r="N2007" s="1">
        <v>0</v>
      </c>
      <c r="O2007" s="2"/>
      <c r="P2007" s="2"/>
      <c r="Q2007" s="2">
        <v>0</v>
      </c>
      <c r="R2007" s="6"/>
    </row>
    <row r="2008" spans="1:18" x14ac:dyDescent="0.25">
      <c r="A2008" s="2">
        <f t="shared" si="72"/>
        <v>2007</v>
      </c>
      <c r="B2008" s="2"/>
      <c r="C2008" s="2"/>
      <c r="D2008" s="2"/>
      <c r="E2008" s="2"/>
      <c r="F2008" s="2"/>
      <c r="G2008" s="2"/>
      <c r="H2008" s="2" t="str">
        <f t="shared" si="73"/>
        <v>0 г. 0 мес. 0 дн.</v>
      </c>
      <c r="I2008" s="2"/>
      <c r="J2008" s="2"/>
      <c r="K2008" s="2"/>
      <c r="L2008" s="2"/>
      <c r="M2008" s="2"/>
      <c r="N2008" s="1">
        <v>0</v>
      </c>
      <c r="O2008" s="2"/>
      <c r="P2008" s="2"/>
      <c r="Q2008" s="2">
        <v>0</v>
      </c>
      <c r="R2008" s="6"/>
    </row>
    <row r="2009" spans="1:18" x14ac:dyDescent="0.25">
      <c r="A2009" s="2">
        <f t="shared" si="72"/>
        <v>2008</v>
      </c>
      <c r="B2009" s="2"/>
      <c r="C2009" s="2"/>
      <c r="D2009" s="2"/>
      <c r="E2009" s="2"/>
      <c r="F2009" s="2"/>
      <c r="G2009" s="2"/>
      <c r="H2009" s="2" t="str">
        <f t="shared" si="73"/>
        <v>0 г. 0 мес. 0 дн.</v>
      </c>
      <c r="I2009" s="2"/>
      <c r="J2009" s="2"/>
      <c r="K2009" s="2"/>
      <c r="L2009" s="2"/>
      <c r="M2009" s="2"/>
      <c r="N2009" s="1">
        <v>0</v>
      </c>
      <c r="O2009" s="2"/>
      <c r="P2009" s="2"/>
      <c r="Q2009" s="2">
        <v>0</v>
      </c>
      <c r="R2009" s="6"/>
    </row>
    <row r="2010" spans="1:18" x14ac:dyDescent="0.25">
      <c r="A2010" s="2">
        <f t="shared" si="72"/>
        <v>2009</v>
      </c>
      <c r="B2010" s="2"/>
      <c r="C2010" s="2"/>
      <c r="D2010" s="2"/>
      <c r="E2010" s="2"/>
      <c r="F2010" s="2"/>
      <c r="G2010" s="2"/>
      <c r="H2010" s="2" t="str">
        <f t="shared" si="73"/>
        <v>0 г. 0 мес. 0 дн.</v>
      </c>
      <c r="I2010" s="2"/>
      <c r="J2010" s="2"/>
      <c r="K2010" s="2"/>
      <c r="L2010" s="2"/>
      <c r="M2010" s="2"/>
      <c r="N2010" s="1">
        <v>0</v>
      </c>
      <c r="O2010" s="2"/>
      <c r="P2010" s="2"/>
      <c r="Q2010" s="2">
        <v>0</v>
      </c>
      <c r="R2010" s="6"/>
    </row>
    <row r="2011" spans="1:18" x14ac:dyDescent="0.25">
      <c r="A2011" s="2">
        <f t="shared" si="72"/>
        <v>2010</v>
      </c>
      <c r="B2011" s="2"/>
      <c r="C2011" s="2"/>
      <c r="D2011" s="2"/>
      <c r="E2011" s="2"/>
      <c r="F2011" s="2"/>
      <c r="G2011" s="2"/>
      <c r="H2011" s="2" t="str">
        <f t="shared" si="73"/>
        <v>0 г. 0 мес. 0 дн.</v>
      </c>
      <c r="I2011" s="2"/>
      <c r="J2011" s="2"/>
      <c r="K2011" s="2"/>
      <c r="L2011" s="2"/>
      <c r="M2011" s="2"/>
      <c r="N2011" s="1">
        <v>0</v>
      </c>
      <c r="O2011" s="2"/>
      <c r="P2011" s="2"/>
      <c r="Q2011" s="2">
        <v>0</v>
      </c>
      <c r="R2011" s="6"/>
    </row>
    <row r="2012" spans="1:18" x14ac:dyDescent="0.25">
      <c r="A2012" s="2">
        <f t="shared" si="72"/>
        <v>2011</v>
      </c>
      <c r="B2012" s="2"/>
      <c r="C2012" s="2"/>
      <c r="D2012" s="2"/>
      <c r="E2012" s="2"/>
      <c r="F2012" s="2"/>
      <c r="G2012" s="2"/>
      <c r="H2012" s="2" t="str">
        <f t="shared" si="73"/>
        <v>0 г. 0 мес. 0 дн.</v>
      </c>
      <c r="I2012" s="2"/>
      <c r="J2012" s="2"/>
      <c r="K2012" s="2"/>
      <c r="L2012" s="2"/>
      <c r="M2012" s="2"/>
      <c r="N2012" s="1">
        <v>0</v>
      </c>
      <c r="O2012" s="2"/>
      <c r="P2012" s="2"/>
      <c r="Q2012" s="2">
        <v>0</v>
      </c>
      <c r="R2012" s="6"/>
    </row>
    <row r="2013" spans="1:18" x14ac:dyDescent="0.25">
      <c r="A2013" s="2">
        <f t="shared" ref="A2013:A2076" si="74">ROW(A2012)</f>
        <v>2012</v>
      </c>
      <c r="B2013" s="2"/>
      <c r="C2013" s="2"/>
      <c r="D2013" s="2"/>
      <c r="E2013" s="2"/>
      <c r="F2013" s="2"/>
      <c r="G2013" s="2"/>
      <c r="H2013" s="2" t="str">
        <f t="shared" si="73"/>
        <v>0 г. 0 мес. 0 дн.</v>
      </c>
      <c r="I2013" s="2"/>
      <c r="J2013" s="2"/>
      <c r="K2013" s="2"/>
      <c r="L2013" s="2"/>
      <c r="M2013" s="2"/>
      <c r="N2013" s="1">
        <v>0</v>
      </c>
      <c r="O2013" s="2"/>
      <c r="P2013" s="2"/>
      <c r="Q2013" s="2">
        <v>0</v>
      </c>
      <c r="R2013" s="6"/>
    </row>
    <row r="2014" spans="1:18" x14ac:dyDescent="0.25">
      <c r="A2014" s="2">
        <f t="shared" si="74"/>
        <v>2013</v>
      </c>
      <c r="B2014" s="2"/>
      <c r="C2014" s="2"/>
      <c r="D2014" s="2"/>
      <c r="E2014" s="2"/>
      <c r="F2014" s="2"/>
      <c r="G2014" s="2"/>
      <c r="H2014" s="2" t="str">
        <f t="shared" si="73"/>
        <v>0 г. 0 мес. 0 дн.</v>
      </c>
      <c r="I2014" s="2"/>
      <c r="J2014" s="2"/>
      <c r="K2014" s="2"/>
      <c r="L2014" s="2"/>
      <c r="M2014" s="2"/>
      <c r="N2014" s="1">
        <v>0</v>
      </c>
      <c r="O2014" s="2"/>
      <c r="P2014" s="2"/>
      <c r="Q2014" s="2">
        <v>0</v>
      </c>
      <c r="R2014" s="6"/>
    </row>
    <row r="2015" spans="1:18" x14ac:dyDescent="0.25">
      <c r="A2015" s="2">
        <f t="shared" si="74"/>
        <v>2014</v>
      </c>
      <c r="B2015" s="2"/>
      <c r="C2015" s="2"/>
      <c r="D2015" s="2"/>
      <c r="E2015" s="2"/>
      <c r="F2015" s="2"/>
      <c r="G2015" s="2"/>
      <c r="H2015" s="2" t="str">
        <f t="shared" si="73"/>
        <v>0 г. 0 мес. 0 дн.</v>
      </c>
      <c r="I2015" s="2"/>
      <c r="J2015" s="2"/>
      <c r="K2015" s="2"/>
      <c r="L2015" s="2"/>
      <c r="M2015" s="2"/>
      <c r="N2015" s="1">
        <v>0</v>
      </c>
      <c r="O2015" s="2"/>
      <c r="P2015" s="2"/>
      <c r="Q2015" s="2">
        <v>0</v>
      </c>
      <c r="R2015" s="6"/>
    </row>
    <row r="2016" spans="1:18" x14ac:dyDescent="0.25">
      <c r="A2016" s="2">
        <f t="shared" si="74"/>
        <v>2015</v>
      </c>
      <c r="B2016" s="2"/>
      <c r="C2016" s="2"/>
      <c r="D2016" s="2"/>
      <c r="E2016" s="2"/>
      <c r="F2016" s="2"/>
      <c r="G2016" s="2"/>
      <c r="H2016" s="2" t="str">
        <f t="shared" si="73"/>
        <v>0 г. 0 мес. 0 дн.</v>
      </c>
      <c r="I2016" s="2"/>
      <c r="J2016" s="2"/>
      <c r="K2016" s="2"/>
      <c r="L2016" s="2"/>
      <c r="M2016" s="2"/>
      <c r="N2016" s="1">
        <v>0</v>
      </c>
      <c r="O2016" s="2"/>
      <c r="P2016" s="2"/>
      <c r="Q2016" s="2">
        <v>0</v>
      </c>
      <c r="R2016" s="6"/>
    </row>
    <row r="2017" spans="1:18" x14ac:dyDescent="0.25">
      <c r="A2017" s="2">
        <f t="shared" si="74"/>
        <v>2016</v>
      </c>
      <c r="B2017" s="2"/>
      <c r="C2017" s="2"/>
      <c r="D2017" s="2"/>
      <c r="E2017" s="2"/>
      <c r="F2017" s="2"/>
      <c r="G2017" s="2"/>
      <c r="H2017" s="2" t="str">
        <f t="shared" si="73"/>
        <v>0 г. 0 мес. 0 дн.</v>
      </c>
      <c r="I2017" s="2"/>
      <c r="J2017" s="2"/>
      <c r="K2017" s="2"/>
      <c r="L2017" s="2"/>
      <c r="M2017" s="2"/>
      <c r="N2017" s="1">
        <v>0</v>
      </c>
      <c r="O2017" s="2"/>
      <c r="P2017" s="2"/>
      <c r="Q2017" s="2">
        <v>0</v>
      </c>
      <c r="R2017" s="6"/>
    </row>
    <row r="2018" spans="1:18" x14ac:dyDescent="0.25">
      <c r="A2018" s="2">
        <f t="shared" si="74"/>
        <v>2017</v>
      </c>
      <c r="B2018" s="2"/>
      <c r="C2018" s="2"/>
      <c r="D2018" s="2"/>
      <c r="E2018" s="2"/>
      <c r="F2018" s="2"/>
      <c r="G2018" s="2"/>
      <c r="H2018" s="2" t="str">
        <f t="shared" si="73"/>
        <v>0 г. 0 мес. 0 дн.</v>
      </c>
      <c r="I2018" s="2"/>
      <c r="J2018" s="2"/>
      <c r="K2018" s="2"/>
      <c r="L2018" s="2"/>
      <c r="M2018" s="2"/>
      <c r="N2018" s="1">
        <v>0</v>
      </c>
      <c r="O2018" s="2"/>
      <c r="P2018" s="2"/>
      <c r="Q2018" s="2">
        <v>0</v>
      </c>
      <c r="R2018" s="6"/>
    </row>
    <row r="2019" spans="1:18" x14ac:dyDescent="0.25">
      <c r="A2019" s="2">
        <f t="shared" si="74"/>
        <v>2018</v>
      </c>
      <c r="B2019" s="2"/>
      <c r="C2019" s="2"/>
      <c r="D2019" s="2"/>
      <c r="E2019" s="2"/>
      <c r="F2019" s="2"/>
      <c r="G2019" s="2"/>
      <c r="H2019" s="2" t="str">
        <f t="shared" si="73"/>
        <v>0 г. 0 мес. 0 дн.</v>
      </c>
      <c r="I2019" s="2"/>
      <c r="J2019" s="2"/>
      <c r="K2019" s="2"/>
      <c r="L2019" s="2"/>
      <c r="M2019" s="2"/>
      <c r="N2019" s="1">
        <v>0</v>
      </c>
      <c r="O2019" s="2"/>
      <c r="P2019" s="2"/>
      <c r="Q2019" s="2">
        <v>0</v>
      </c>
      <c r="R2019" s="6"/>
    </row>
    <row r="2020" spans="1:18" x14ac:dyDescent="0.25">
      <c r="A2020" s="2">
        <f t="shared" si="74"/>
        <v>2019</v>
      </c>
      <c r="B2020" s="2"/>
      <c r="C2020" s="2"/>
      <c r="D2020" s="2"/>
      <c r="E2020" s="2"/>
      <c r="F2020" s="2"/>
      <c r="G2020" s="2"/>
      <c r="H2020" s="2" t="str">
        <f t="shared" si="73"/>
        <v>0 г. 0 мес. 0 дн.</v>
      </c>
      <c r="I2020" s="2"/>
      <c r="J2020" s="2"/>
      <c r="K2020" s="2"/>
      <c r="L2020" s="2"/>
      <c r="M2020" s="2"/>
      <c r="N2020" s="1">
        <v>0</v>
      </c>
      <c r="O2020" s="2"/>
      <c r="P2020" s="2"/>
      <c r="Q2020" s="2">
        <v>0</v>
      </c>
      <c r="R2020" s="6"/>
    </row>
    <row r="2021" spans="1:18" x14ac:dyDescent="0.25">
      <c r="A2021" s="2">
        <f t="shared" si="74"/>
        <v>2020</v>
      </c>
      <c r="B2021" s="2"/>
      <c r="C2021" s="2"/>
      <c r="D2021" s="2"/>
      <c r="E2021" s="2"/>
      <c r="F2021" s="2"/>
      <c r="G2021" s="2"/>
      <c r="H2021" s="2" t="str">
        <f t="shared" si="73"/>
        <v>0 г. 0 мес. 0 дн.</v>
      </c>
      <c r="I2021" s="2"/>
      <c r="J2021" s="2"/>
      <c r="K2021" s="2"/>
      <c r="L2021" s="2"/>
      <c r="M2021" s="2"/>
      <c r="N2021" s="1">
        <v>0</v>
      </c>
      <c r="O2021" s="2"/>
      <c r="P2021" s="2"/>
      <c r="Q2021" s="2">
        <v>0</v>
      </c>
      <c r="R2021" s="6"/>
    </row>
    <row r="2022" spans="1:18" x14ac:dyDescent="0.25">
      <c r="A2022" s="2">
        <f t="shared" si="74"/>
        <v>2021</v>
      </c>
      <c r="B2022" s="2"/>
      <c r="C2022" s="2"/>
      <c r="D2022" s="2"/>
      <c r="E2022" s="2"/>
      <c r="F2022" s="2"/>
      <c r="G2022" s="2"/>
      <c r="H2022" s="2" t="str">
        <f t="shared" si="73"/>
        <v>0 г. 0 мес. 0 дн.</v>
      </c>
      <c r="I2022" s="2"/>
      <c r="J2022" s="2"/>
      <c r="K2022" s="2"/>
      <c r="L2022" s="2"/>
      <c r="M2022" s="2"/>
      <c r="N2022" s="1">
        <v>0</v>
      </c>
      <c r="O2022" s="2"/>
      <c r="P2022" s="2"/>
      <c r="Q2022" s="2">
        <v>0</v>
      </c>
      <c r="R2022" s="6"/>
    </row>
    <row r="2023" spans="1:18" x14ac:dyDescent="0.25">
      <c r="A2023" s="2">
        <f t="shared" si="74"/>
        <v>2022</v>
      </c>
      <c r="B2023" s="2"/>
      <c r="C2023" s="2"/>
      <c r="D2023" s="2"/>
      <c r="E2023" s="2"/>
      <c r="F2023" s="2"/>
      <c r="G2023" s="2"/>
      <c r="H2023" s="2" t="str">
        <f t="shared" si="73"/>
        <v>0 г. 0 мес. 0 дн.</v>
      </c>
      <c r="I2023" s="2"/>
      <c r="J2023" s="2"/>
      <c r="K2023" s="2"/>
      <c r="L2023" s="2"/>
      <c r="M2023" s="2"/>
      <c r="N2023" s="1">
        <v>0</v>
      </c>
      <c r="O2023" s="2"/>
      <c r="P2023" s="2"/>
      <c r="Q2023" s="2">
        <v>0</v>
      </c>
      <c r="R2023" s="6"/>
    </row>
    <row r="2024" spans="1:18" x14ac:dyDescent="0.25">
      <c r="A2024" s="2">
        <f t="shared" si="74"/>
        <v>2023</v>
      </c>
      <c r="B2024" s="2"/>
      <c r="C2024" s="2"/>
      <c r="D2024" s="2"/>
      <c r="E2024" s="2"/>
      <c r="F2024" s="2"/>
      <c r="G2024" s="2"/>
      <c r="H2024" s="2" t="str">
        <f t="shared" si="73"/>
        <v>0 г. 0 мес. 0 дн.</v>
      </c>
      <c r="I2024" s="2"/>
      <c r="J2024" s="2"/>
      <c r="K2024" s="2"/>
      <c r="L2024" s="2"/>
      <c r="M2024" s="2"/>
      <c r="N2024" s="1">
        <v>0</v>
      </c>
      <c r="O2024" s="2"/>
      <c r="P2024" s="2"/>
      <c r="Q2024" s="2">
        <v>0</v>
      </c>
      <c r="R2024" s="6"/>
    </row>
    <row r="2025" spans="1:18" x14ac:dyDescent="0.25">
      <c r="A2025" s="2">
        <f t="shared" si="74"/>
        <v>2024</v>
      </c>
      <c r="B2025" s="2"/>
      <c r="C2025" s="2"/>
      <c r="D2025" s="2"/>
      <c r="E2025" s="2"/>
      <c r="F2025" s="2"/>
      <c r="G2025" s="2"/>
      <c r="H2025" s="2" t="str">
        <f t="shared" si="73"/>
        <v>0 г. 0 мес. 0 дн.</v>
      </c>
      <c r="I2025" s="2"/>
      <c r="J2025" s="2"/>
      <c r="K2025" s="2"/>
      <c r="L2025" s="2"/>
      <c r="M2025" s="2"/>
      <c r="N2025" s="1">
        <v>0</v>
      </c>
      <c r="O2025" s="2"/>
      <c r="P2025" s="2"/>
      <c r="Q2025" s="2">
        <v>0</v>
      </c>
      <c r="R2025" s="6"/>
    </row>
    <row r="2026" spans="1:18" x14ac:dyDescent="0.25">
      <c r="A2026" s="2">
        <f t="shared" si="74"/>
        <v>2025</v>
      </c>
      <c r="B2026" s="2"/>
      <c r="C2026" s="2"/>
      <c r="D2026" s="2"/>
      <c r="E2026" s="2"/>
      <c r="F2026" s="2"/>
      <c r="G2026" s="2"/>
      <c r="H2026" s="2" t="str">
        <f t="shared" si="73"/>
        <v>0 г. 0 мес. 0 дн.</v>
      </c>
      <c r="I2026" s="2"/>
      <c r="J2026" s="2"/>
      <c r="K2026" s="2"/>
      <c r="L2026" s="2"/>
      <c r="M2026" s="2"/>
      <c r="N2026" s="1">
        <v>0</v>
      </c>
      <c r="O2026" s="2"/>
      <c r="P2026" s="2"/>
      <c r="Q2026" s="2">
        <v>0</v>
      </c>
      <c r="R2026" s="6"/>
    </row>
    <row r="2027" spans="1:18" x14ac:dyDescent="0.25">
      <c r="A2027" s="2">
        <f t="shared" si="74"/>
        <v>2026</v>
      </c>
      <c r="B2027" s="2"/>
      <c r="C2027" s="2"/>
      <c r="D2027" s="2"/>
      <c r="E2027" s="2"/>
      <c r="F2027" s="2"/>
      <c r="G2027" s="2"/>
      <c r="H2027" s="2" t="str">
        <f t="shared" si="73"/>
        <v>0 г. 0 мес. 0 дн.</v>
      </c>
      <c r="I2027" s="2"/>
      <c r="J2027" s="2"/>
      <c r="K2027" s="2"/>
      <c r="L2027" s="2"/>
      <c r="M2027" s="2"/>
      <c r="N2027" s="1">
        <v>0</v>
      </c>
      <c r="O2027" s="2"/>
      <c r="P2027" s="2"/>
      <c r="Q2027" s="2">
        <v>0</v>
      </c>
      <c r="R2027" s="6"/>
    </row>
    <row r="2028" spans="1:18" x14ac:dyDescent="0.25">
      <c r="A2028" s="2">
        <f t="shared" si="74"/>
        <v>2027</v>
      </c>
      <c r="B2028" s="2"/>
      <c r="C2028" s="2"/>
      <c r="D2028" s="2"/>
      <c r="E2028" s="2"/>
      <c r="F2028" s="2"/>
      <c r="G2028" s="2"/>
      <c r="H2028" s="2" t="str">
        <f t="shared" si="73"/>
        <v>0 г. 0 мес. 0 дн.</v>
      </c>
      <c r="I2028" s="2"/>
      <c r="J2028" s="2"/>
      <c r="K2028" s="2"/>
      <c r="L2028" s="2"/>
      <c r="M2028" s="2"/>
      <c r="N2028" s="1">
        <v>0</v>
      </c>
      <c r="O2028" s="2"/>
      <c r="P2028" s="2"/>
      <c r="Q2028" s="2">
        <v>0</v>
      </c>
      <c r="R2028" s="6"/>
    </row>
    <row r="2029" spans="1:18" x14ac:dyDescent="0.25">
      <c r="A2029" s="2">
        <f t="shared" si="74"/>
        <v>2028</v>
      </c>
      <c r="B2029" s="2"/>
      <c r="C2029" s="2"/>
      <c r="D2029" s="2"/>
      <c r="E2029" s="2"/>
      <c r="F2029" s="2"/>
      <c r="G2029" s="2"/>
      <c r="H2029" s="2" t="str">
        <f t="shared" si="73"/>
        <v>0 г. 0 мес. 0 дн.</v>
      </c>
      <c r="I2029" s="2"/>
      <c r="J2029" s="2"/>
      <c r="K2029" s="2"/>
      <c r="L2029" s="2"/>
      <c r="M2029" s="2"/>
      <c r="N2029" s="1">
        <v>0</v>
      </c>
      <c r="O2029" s="2"/>
      <c r="P2029" s="2"/>
      <c r="Q2029" s="2">
        <v>0</v>
      </c>
      <c r="R2029" s="6"/>
    </row>
    <row r="2030" spans="1:18" x14ac:dyDescent="0.25">
      <c r="A2030" s="2">
        <f t="shared" si="74"/>
        <v>2029</v>
      </c>
      <c r="B2030" s="2"/>
      <c r="C2030" s="2"/>
      <c r="D2030" s="2"/>
      <c r="E2030" s="2"/>
      <c r="F2030" s="2"/>
      <c r="G2030" s="2"/>
      <c r="H2030" s="2" t="str">
        <f t="shared" si="73"/>
        <v>0 г. 0 мес. 0 дн.</v>
      </c>
      <c r="I2030" s="2"/>
      <c r="J2030" s="2"/>
      <c r="K2030" s="2"/>
      <c r="L2030" s="2"/>
      <c r="M2030" s="2"/>
      <c r="N2030" s="1">
        <v>0</v>
      </c>
      <c r="O2030" s="2"/>
      <c r="P2030" s="2"/>
      <c r="Q2030" s="2">
        <v>0</v>
      </c>
      <c r="R2030" s="6"/>
    </row>
    <row r="2031" spans="1:18" x14ac:dyDescent="0.25">
      <c r="A2031" s="2">
        <f t="shared" si="74"/>
        <v>2030</v>
      </c>
      <c r="B2031" s="2"/>
      <c r="C2031" s="2"/>
      <c r="D2031" s="2"/>
      <c r="E2031" s="2"/>
      <c r="F2031" s="2"/>
      <c r="G2031" s="2"/>
      <c r="H2031" s="2" t="str">
        <f t="shared" si="73"/>
        <v>0 г. 0 мес. 0 дн.</v>
      </c>
      <c r="I2031" s="2"/>
      <c r="J2031" s="2"/>
      <c r="K2031" s="2"/>
      <c r="L2031" s="2"/>
      <c r="M2031" s="2"/>
      <c r="N2031" s="1">
        <v>0</v>
      </c>
      <c r="O2031" s="2"/>
      <c r="P2031" s="2"/>
      <c r="Q2031" s="2">
        <v>0</v>
      </c>
      <c r="R2031" s="6"/>
    </row>
    <row r="2032" spans="1:18" x14ac:dyDescent="0.25">
      <c r="A2032" s="2">
        <f t="shared" si="74"/>
        <v>2031</v>
      </c>
      <c r="B2032" s="2"/>
      <c r="C2032" s="2"/>
      <c r="D2032" s="2"/>
      <c r="E2032" s="2"/>
      <c r="F2032" s="2"/>
      <c r="G2032" s="2"/>
      <c r="H2032" s="2" t="str">
        <f t="shared" si="73"/>
        <v>0 г. 0 мес. 0 дн.</v>
      </c>
      <c r="I2032" s="2"/>
      <c r="J2032" s="2"/>
      <c r="K2032" s="2"/>
      <c r="L2032" s="2"/>
      <c r="M2032" s="2"/>
      <c r="N2032" s="1">
        <v>0</v>
      </c>
      <c r="O2032" s="2"/>
      <c r="P2032" s="2"/>
      <c r="Q2032" s="2">
        <v>0</v>
      </c>
      <c r="R2032" s="6"/>
    </row>
    <row r="2033" spans="1:18" x14ac:dyDescent="0.25">
      <c r="A2033" s="2">
        <f t="shared" si="74"/>
        <v>2032</v>
      </c>
      <c r="B2033" s="2"/>
      <c r="C2033" s="2"/>
      <c r="D2033" s="2"/>
      <c r="E2033" s="2"/>
      <c r="F2033" s="2"/>
      <c r="G2033" s="2"/>
      <c r="H2033" s="2" t="str">
        <f t="shared" si="73"/>
        <v>0 г. 0 мес. 0 дн.</v>
      </c>
      <c r="I2033" s="2"/>
      <c r="J2033" s="2"/>
      <c r="K2033" s="2"/>
      <c r="L2033" s="2"/>
      <c r="M2033" s="2"/>
      <c r="N2033" s="1">
        <v>0</v>
      </c>
      <c r="O2033" s="2"/>
      <c r="P2033" s="2"/>
      <c r="Q2033" s="2">
        <v>0</v>
      </c>
      <c r="R2033" s="6"/>
    </row>
    <row r="2034" spans="1:18" x14ac:dyDescent="0.25">
      <c r="A2034" s="2">
        <f t="shared" si="74"/>
        <v>2033</v>
      </c>
      <c r="B2034" s="2"/>
      <c r="C2034" s="2"/>
      <c r="D2034" s="2"/>
      <c r="E2034" s="2"/>
      <c r="F2034" s="2"/>
      <c r="G2034" s="2"/>
      <c r="H2034" s="2" t="str">
        <f t="shared" si="73"/>
        <v>0 г. 0 мес. 0 дн.</v>
      </c>
      <c r="I2034" s="2"/>
      <c r="J2034" s="2"/>
      <c r="K2034" s="2"/>
      <c r="L2034" s="2"/>
      <c r="M2034" s="2"/>
      <c r="N2034" s="1">
        <v>0</v>
      </c>
      <c r="O2034" s="2"/>
      <c r="P2034" s="2"/>
      <c r="Q2034" s="2">
        <v>0</v>
      </c>
      <c r="R2034" s="6"/>
    </row>
    <row r="2035" spans="1:18" x14ac:dyDescent="0.25">
      <c r="A2035" s="2">
        <f t="shared" si="74"/>
        <v>2034</v>
      </c>
      <c r="B2035" s="2"/>
      <c r="C2035" s="2"/>
      <c r="D2035" s="2"/>
      <c r="E2035" s="2"/>
      <c r="F2035" s="2"/>
      <c r="G2035" s="2"/>
      <c r="H2035" s="2" t="str">
        <f t="shared" si="73"/>
        <v>0 г. 0 мес. 0 дн.</v>
      </c>
      <c r="I2035" s="2"/>
      <c r="J2035" s="2"/>
      <c r="K2035" s="2"/>
      <c r="L2035" s="2"/>
      <c r="M2035" s="2"/>
      <c r="N2035" s="1">
        <v>0</v>
      </c>
      <c r="O2035" s="2"/>
      <c r="P2035" s="2"/>
      <c r="Q2035" s="2">
        <v>0</v>
      </c>
      <c r="R2035" s="6"/>
    </row>
    <row r="2036" spans="1:18" x14ac:dyDescent="0.25">
      <c r="A2036" s="2">
        <f t="shared" si="74"/>
        <v>2035</v>
      </c>
      <c r="B2036" s="2"/>
      <c r="C2036" s="2"/>
      <c r="D2036" s="2"/>
      <c r="E2036" s="2"/>
      <c r="F2036" s="2"/>
      <c r="G2036" s="2"/>
      <c r="H2036" s="2" t="str">
        <f t="shared" si="73"/>
        <v>0 г. 0 мес. 0 дн.</v>
      </c>
      <c r="I2036" s="2"/>
      <c r="J2036" s="2"/>
      <c r="K2036" s="2"/>
      <c r="L2036" s="2"/>
      <c r="M2036" s="2"/>
      <c r="N2036" s="1">
        <v>0</v>
      </c>
      <c r="O2036" s="2"/>
      <c r="P2036" s="2"/>
      <c r="Q2036" s="2">
        <v>0</v>
      </c>
      <c r="R2036" s="6"/>
    </row>
    <row r="2037" spans="1:18" x14ac:dyDescent="0.25">
      <c r="A2037" s="2">
        <f t="shared" si="74"/>
        <v>2036</v>
      </c>
      <c r="B2037" s="2"/>
      <c r="C2037" s="2"/>
      <c r="D2037" s="2"/>
      <c r="E2037" s="2"/>
      <c r="F2037" s="2"/>
      <c r="G2037" s="2"/>
      <c r="H2037" s="2" t="str">
        <f t="shared" si="73"/>
        <v>0 г. 0 мес. 0 дн.</v>
      </c>
      <c r="I2037" s="2"/>
      <c r="J2037" s="2"/>
      <c r="K2037" s="2"/>
      <c r="L2037" s="2"/>
      <c r="M2037" s="2"/>
      <c r="N2037" s="1">
        <v>0</v>
      </c>
      <c r="O2037" s="2"/>
      <c r="P2037" s="2"/>
      <c r="Q2037" s="2">
        <v>0</v>
      </c>
      <c r="R2037" s="6"/>
    </row>
    <row r="2038" spans="1:18" x14ac:dyDescent="0.25">
      <c r="A2038" s="2">
        <f t="shared" si="74"/>
        <v>2037</v>
      </c>
      <c r="B2038" s="2"/>
      <c r="C2038" s="2"/>
      <c r="D2038" s="2"/>
      <c r="E2038" s="2"/>
      <c r="F2038" s="2"/>
      <c r="G2038" s="2"/>
      <c r="H2038" s="2" t="str">
        <f t="shared" si="73"/>
        <v>0 г. 0 мес. 0 дн.</v>
      </c>
      <c r="I2038" s="2"/>
      <c r="J2038" s="2"/>
      <c r="K2038" s="2"/>
      <c r="L2038" s="2"/>
      <c r="M2038" s="2"/>
      <c r="N2038" s="1">
        <v>0</v>
      </c>
      <c r="O2038" s="2"/>
      <c r="P2038" s="2"/>
      <c r="Q2038" s="2">
        <v>0</v>
      </c>
      <c r="R2038" s="6"/>
    </row>
    <row r="2039" spans="1:18" x14ac:dyDescent="0.25">
      <c r="A2039" s="2">
        <f t="shared" si="74"/>
        <v>2038</v>
      </c>
      <c r="B2039" s="2"/>
      <c r="C2039" s="2"/>
      <c r="D2039" s="2"/>
      <c r="E2039" s="2"/>
      <c r="F2039" s="2"/>
      <c r="G2039" s="2"/>
      <c r="H2039" s="2" t="str">
        <f t="shared" si="73"/>
        <v>0 г. 0 мес. 0 дн.</v>
      </c>
      <c r="I2039" s="2"/>
      <c r="J2039" s="2"/>
      <c r="K2039" s="2"/>
      <c r="L2039" s="2"/>
      <c r="M2039" s="2"/>
      <c r="N2039" s="1">
        <v>0</v>
      </c>
      <c r="O2039" s="2"/>
      <c r="P2039" s="2"/>
      <c r="Q2039" s="2">
        <v>0</v>
      </c>
      <c r="R2039" s="6"/>
    </row>
    <row r="2040" spans="1:18" x14ac:dyDescent="0.25">
      <c r="A2040" s="2">
        <f t="shared" si="74"/>
        <v>2039</v>
      </c>
      <c r="B2040" s="2"/>
      <c r="C2040" s="2"/>
      <c r="D2040" s="2"/>
      <c r="E2040" s="2"/>
      <c r="F2040" s="2"/>
      <c r="G2040" s="2"/>
      <c r="H2040" s="2" t="str">
        <f t="shared" si="73"/>
        <v>0 г. 0 мес. 0 дн.</v>
      </c>
      <c r="I2040" s="2"/>
      <c r="J2040" s="2"/>
      <c r="K2040" s="2"/>
      <c r="L2040" s="2"/>
      <c r="M2040" s="2"/>
      <c r="N2040" s="1">
        <v>0</v>
      </c>
      <c r="O2040" s="2"/>
      <c r="P2040" s="2"/>
      <c r="Q2040" s="2">
        <v>0</v>
      </c>
      <c r="R2040" s="6"/>
    </row>
    <row r="2041" spans="1:18" x14ac:dyDescent="0.25">
      <c r="A2041" s="2">
        <f t="shared" si="74"/>
        <v>2040</v>
      </c>
      <c r="B2041" s="2"/>
      <c r="C2041" s="2"/>
      <c r="D2041" s="2"/>
      <c r="E2041" s="2"/>
      <c r="F2041" s="2"/>
      <c r="G2041" s="2"/>
      <c r="H2041" s="2" t="str">
        <f t="shared" si="73"/>
        <v>0 г. 0 мес. 0 дн.</v>
      </c>
      <c r="I2041" s="2"/>
      <c r="J2041" s="2"/>
      <c r="K2041" s="2"/>
      <c r="L2041" s="2"/>
      <c r="M2041" s="2"/>
      <c r="N2041" s="1">
        <v>0</v>
      </c>
      <c r="O2041" s="2"/>
      <c r="P2041" s="2"/>
      <c r="Q2041" s="2">
        <v>0</v>
      </c>
      <c r="R2041" s="6"/>
    </row>
    <row r="2042" spans="1:18" x14ac:dyDescent="0.25">
      <c r="A2042" s="2">
        <f t="shared" si="74"/>
        <v>2041</v>
      </c>
      <c r="B2042" s="2"/>
      <c r="C2042" s="2"/>
      <c r="D2042" s="2"/>
      <c r="E2042" s="2"/>
      <c r="F2042" s="2"/>
      <c r="G2042" s="2"/>
      <c r="H2042" s="2" t="str">
        <f t="shared" si="73"/>
        <v>0 г. 0 мес. 0 дн.</v>
      </c>
      <c r="I2042" s="2"/>
      <c r="J2042" s="2"/>
      <c r="K2042" s="2"/>
      <c r="L2042" s="2"/>
      <c r="M2042" s="2"/>
      <c r="N2042" s="1">
        <v>0</v>
      </c>
      <c r="O2042" s="2"/>
      <c r="P2042" s="2"/>
      <c r="Q2042" s="2">
        <v>0</v>
      </c>
      <c r="R2042" s="6"/>
    </row>
    <row r="2043" spans="1:18" x14ac:dyDescent="0.25">
      <c r="A2043" s="2">
        <f t="shared" si="74"/>
        <v>2042</v>
      </c>
      <c r="B2043" s="2"/>
      <c r="C2043" s="2"/>
      <c r="D2043" s="2"/>
      <c r="E2043" s="2"/>
      <c r="F2043" s="2"/>
      <c r="G2043" s="2"/>
      <c r="H2043" s="2" t="str">
        <f t="shared" si="73"/>
        <v>0 г. 0 мес. 0 дн.</v>
      </c>
      <c r="I2043" s="2"/>
      <c r="J2043" s="2"/>
      <c r="K2043" s="2"/>
      <c r="L2043" s="2"/>
      <c r="M2043" s="2"/>
      <c r="N2043" s="1">
        <v>0</v>
      </c>
      <c r="O2043" s="2"/>
      <c r="P2043" s="2"/>
      <c r="Q2043" s="2">
        <v>0</v>
      </c>
      <c r="R2043" s="6"/>
    </row>
    <row r="2044" spans="1:18" x14ac:dyDescent="0.25">
      <c r="A2044" s="2">
        <f t="shared" si="74"/>
        <v>2043</v>
      </c>
      <c r="B2044" s="2"/>
      <c r="C2044" s="2"/>
      <c r="D2044" s="2"/>
      <c r="E2044" s="2"/>
      <c r="F2044" s="2"/>
      <c r="G2044" s="2"/>
      <c r="H2044" s="2" t="str">
        <f t="shared" si="73"/>
        <v>0 г. 0 мес. 0 дн.</v>
      </c>
      <c r="I2044" s="2"/>
      <c r="J2044" s="2"/>
      <c r="K2044" s="2"/>
      <c r="L2044" s="2"/>
      <c r="M2044" s="2"/>
      <c r="N2044" s="1">
        <v>0</v>
      </c>
      <c r="O2044" s="2"/>
      <c r="P2044" s="2"/>
      <c r="Q2044" s="2">
        <v>0</v>
      </c>
      <c r="R2044" s="6"/>
    </row>
    <row r="2045" spans="1:18" x14ac:dyDescent="0.25">
      <c r="A2045" s="2">
        <f t="shared" si="74"/>
        <v>2044</v>
      </c>
      <c r="B2045" s="2"/>
      <c r="C2045" s="2"/>
      <c r="D2045" s="2"/>
      <c r="E2045" s="2"/>
      <c r="F2045" s="2"/>
      <c r="G2045" s="2"/>
      <c r="H2045" s="2" t="str">
        <f t="shared" si="73"/>
        <v>0 г. 0 мес. 0 дн.</v>
      </c>
      <c r="I2045" s="2"/>
      <c r="J2045" s="2"/>
      <c r="K2045" s="2"/>
      <c r="L2045" s="2"/>
      <c r="M2045" s="2"/>
      <c r="N2045" s="1">
        <v>0</v>
      </c>
      <c r="O2045" s="2"/>
      <c r="P2045" s="2"/>
      <c r="Q2045" s="2">
        <v>0</v>
      </c>
      <c r="R2045" s="6"/>
    </row>
    <row r="2046" spans="1:18" x14ac:dyDescent="0.25">
      <c r="A2046" s="2">
        <f t="shared" si="74"/>
        <v>2045</v>
      </c>
      <c r="B2046" s="2"/>
      <c r="C2046" s="2"/>
      <c r="D2046" s="2"/>
      <c r="E2046" s="2"/>
      <c r="F2046" s="2"/>
      <c r="G2046" s="2"/>
      <c r="H2046" s="2" t="str">
        <f t="shared" si="73"/>
        <v>0 г. 0 мес. 0 дн.</v>
      </c>
      <c r="I2046" s="2"/>
      <c r="J2046" s="2"/>
      <c r="K2046" s="2"/>
      <c r="L2046" s="2"/>
      <c r="M2046" s="2"/>
      <c r="N2046" s="1">
        <v>0</v>
      </c>
      <c r="O2046" s="2"/>
      <c r="P2046" s="2"/>
      <c r="Q2046" s="2">
        <v>0</v>
      </c>
      <c r="R2046" s="6"/>
    </row>
    <row r="2047" spans="1:18" x14ac:dyDescent="0.25">
      <c r="A2047" s="2">
        <f t="shared" si="74"/>
        <v>2046</v>
      </c>
      <c r="B2047" s="2"/>
      <c r="C2047" s="2"/>
      <c r="D2047" s="2"/>
      <c r="E2047" s="2"/>
      <c r="F2047" s="2"/>
      <c r="G2047" s="2"/>
      <c r="H2047" s="2" t="str">
        <f t="shared" si="73"/>
        <v>0 г. 0 мес. 0 дн.</v>
      </c>
      <c r="I2047" s="2"/>
      <c r="J2047" s="2"/>
      <c r="K2047" s="2"/>
      <c r="L2047" s="2"/>
      <c r="M2047" s="2"/>
      <c r="N2047" s="1">
        <v>0</v>
      </c>
      <c r="O2047" s="2"/>
      <c r="P2047" s="2"/>
      <c r="Q2047" s="2">
        <v>0</v>
      </c>
      <c r="R2047" s="6"/>
    </row>
    <row r="2048" spans="1:18" x14ac:dyDescent="0.25">
      <c r="A2048" s="2">
        <f t="shared" si="74"/>
        <v>2047</v>
      </c>
      <c r="B2048" s="2"/>
      <c r="C2048" s="2"/>
      <c r="D2048" s="2"/>
      <c r="E2048" s="2"/>
      <c r="F2048" s="2"/>
      <c r="G2048" s="2"/>
      <c r="H2048" s="2" t="str">
        <f t="shared" si="73"/>
        <v>0 г. 0 мес. 0 дн.</v>
      </c>
      <c r="I2048" s="2"/>
      <c r="J2048" s="2"/>
      <c r="K2048" s="2"/>
      <c r="L2048" s="2"/>
      <c r="M2048" s="2"/>
      <c r="N2048" s="1">
        <v>0</v>
      </c>
      <c r="O2048" s="2"/>
      <c r="P2048" s="2"/>
      <c r="Q2048" s="2">
        <v>0</v>
      </c>
      <c r="R2048" s="6"/>
    </row>
    <row r="2049" spans="1:18" x14ac:dyDescent="0.25">
      <c r="A2049" s="2">
        <f t="shared" si="74"/>
        <v>2048</v>
      </c>
      <c r="B2049" s="2"/>
      <c r="C2049" s="2"/>
      <c r="D2049" s="2"/>
      <c r="E2049" s="2"/>
      <c r="F2049" s="2"/>
      <c r="G2049" s="2"/>
      <c r="H2049" s="2" t="str">
        <f t="shared" si="73"/>
        <v>0 г. 0 мес. 0 дн.</v>
      </c>
      <c r="I2049" s="2"/>
      <c r="J2049" s="2"/>
      <c r="K2049" s="2"/>
      <c r="L2049" s="2"/>
      <c r="M2049" s="2"/>
      <c r="N2049" s="1">
        <v>0</v>
      </c>
      <c r="O2049" s="2"/>
      <c r="P2049" s="2"/>
      <c r="Q2049" s="2">
        <v>0</v>
      </c>
      <c r="R2049" s="6"/>
    </row>
    <row r="2050" spans="1:18" x14ac:dyDescent="0.25">
      <c r="A2050" s="2">
        <f t="shared" si="74"/>
        <v>2049</v>
      </c>
      <c r="B2050" s="2"/>
      <c r="C2050" s="2"/>
      <c r="D2050" s="2"/>
      <c r="E2050" s="2"/>
      <c r="F2050" s="2"/>
      <c r="G2050" s="2"/>
      <c r="H2050" s="2" t="str">
        <f t="shared" si="73"/>
        <v>0 г. 0 мес. 0 дн.</v>
      </c>
      <c r="I2050" s="2"/>
      <c r="J2050" s="2"/>
      <c r="K2050" s="2"/>
      <c r="L2050" s="2"/>
      <c r="M2050" s="2"/>
      <c r="N2050" s="1">
        <v>0</v>
      </c>
      <c r="O2050" s="2"/>
      <c r="P2050" s="2"/>
      <c r="Q2050" s="2">
        <v>0</v>
      </c>
      <c r="R2050" s="6"/>
    </row>
    <row r="2051" spans="1:18" x14ac:dyDescent="0.25">
      <c r="A2051" s="2">
        <f t="shared" si="74"/>
        <v>2050</v>
      </c>
      <c r="B2051" s="2"/>
      <c r="C2051" s="2"/>
      <c r="D2051" s="2"/>
      <c r="E2051" s="2"/>
      <c r="F2051" s="2"/>
      <c r="G2051" s="2"/>
      <c r="H2051" s="2" t="str">
        <f t="shared" si="73"/>
        <v>0 г. 0 мес. 0 дн.</v>
      </c>
      <c r="I2051" s="2"/>
      <c r="J2051" s="2"/>
      <c r="K2051" s="2"/>
      <c r="L2051" s="2"/>
      <c r="M2051" s="2"/>
      <c r="N2051" s="1">
        <v>0</v>
      </c>
      <c r="O2051" s="2"/>
      <c r="P2051" s="2"/>
      <c r="Q2051" s="2">
        <v>0</v>
      </c>
      <c r="R2051" s="6"/>
    </row>
    <row r="2052" spans="1:18" x14ac:dyDescent="0.25">
      <c r="A2052" s="2">
        <f t="shared" si="74"/>
        <v>2051</v>
      </c>
      <c r="B2052" s="2"/>
      <c r="C2052" s="2"/>
      <c r="D2052" s="2"/>
      <c r="E2052" s="2"/>
      <c r="F2052" s="2"/>
      <c r="G2052" s="2"/>
      <c r="H2052" s="2" t="str">
        <f t="shared" ref="H2052:H2115" si="75">DATEDIF(G2052,D2052,"y") &amp; " г. " &amp; DATEDIF(G2052,D2052,"ym") &amp; " мес. " &amp; DATEDIF(G2052,D2052,"md") &amp; " дн."</f>
        <v>0 г. 0 мес. 0 дн.</v>
      </c>
      <c r="I2052" s="2"/>
      <c r="J2052" s="2"/>
      <c r="K2052" s="2"/>
      <c r="L2052" s="2"/>
      <c r="M2052" s="2"/>
      <c r="N2052" s="1">
        <v>0</v>
      </c>
      <c r="O2052" s="2"/>
      <c r="P2052" s="2"/>
      <c r="Q2052" s="2">
        <v>0</v>
      </c>
      <c r="R2052" s="6"/>
    </row>
    <row r="2053" spans="1:18" x14ac:dyDescent="0.25">
      <c r="A2053" s="2">
        <f t="shared" si="74"/>
        <v>2052</v>
      </c>
      <c r="B2053" s="2"/>
      <c r="C2053" s="2"/>
      <c r="D2053" s="2"/>
      <c r="E2053" s="2"/>
      <c r="F2053" s="2"/>
      <c r="G2053" s="2"/>
      <c r="H2053" s="2" t="str">
        <f t="shared" si="75"/>
        <v>0 г. 0 мес. 0 дн.</v>
      </c>
      <c r="I2053" s="2"/>
      <c r="J2053" s="2"/>
      <c r="K2053" s="2"/>
      <c r="L2053" s="2"/>
      <c r="M2053" s="2"/>
      <c r="N2053" s="1">
        <v>0</v>
      </c>
      <c r="O2053" s="2"/>
      <c r="P2053" s="2"/>
      <c r="Q2053" s="2">
        <v>0</v>
      </c>
      <c r="R2053" s="6"/>
    </row>
    <row r="2054" spans="1:18" x14ac:dyDescent="0.25">
      <c r="A2054" s="2">
        <f t="shared" si="74"/>
        <v>2053</v>
      </c>
      <c r="B2054" s="2"/>
      <c r="C2054" s="2"/>
      <c r="D2054" s="2"/>
      <c r="E2054" s="2"/>
      <c r="F2054" s="2"/>
      <c r="G2054" s="2"/>
      <c r="H2054" s="2" t="str">
        <f t="shared" si="75"/>
        <v>0 г. 0 мес. 0 дн.</v>
      </c>
      <c r="I2054" s="2"/>
      <c r="J2054" s="2"/>
      <c r="K2054" s="2"/>
      <c r="L2054" s="2"/>
      <c r="M2054" s="2"/>
      <c r="N2054" s="1">
        <v>0</v>
      </c>
      <c r="O2054" s="2"/>
      <c r="P2054" s="2"/>
      <c r="Q2054" s="2">
        <v>0</v>
      </c>
      <c r="R2054" s="6"/>
    </row>
    <row r="2055" spans="1:18" x14ac:dyDescent="0.25">
      <c r="A2055" s="2">
        <f t="shared" si="74"/>
        <v>2054</v>
      </c>
      <c r="B2055" s="2"/>
      <c r="C2055" s="2"/>
      <c r="D2055" s="2"/>
      <c r="E2055" s="2"/>
      <c r="F2055" s="2"/>
      <c r="G2055" s="2"/>
      <c r="H2055" s="2" t="str">
        <f t="shared" si="75"/>
        <v>0 г. 0 мес. 0 дн.</v>
      </c>
      <c r="I2055" s="2"/>
      <c r="J2055" s="2"/>
      <c r="K2055" s="2"/>
      <c r="L2055" s="2"/>
      <c r="M2055" s="2"/>
      <c r="N2055" s="1">
        <v>0</v>
      </c>
      <c r="O2055" s="2"/>
      <c r="P2055" s="2"/>
      <c r="Q2055" s="2">
        <v>0</v>
      </c>
      <c r="R2055" s="6"/>
    </row>
    <row r="2056" spans="1:18" x14ac:dyDescent="0.25">
      <c r="A2056" s="2">
        <f t="shared" si="74"/>
        <v>2055</v>
      </c>
      <c r="B2056" s="2"/>
      <c r="C2056" s="2"/>
      <c r="D2056" s="2"/>
      <c r="E2056" s="2"/>
      <c r="F2056" s="2"/>
      <c r="G2056" s="2"/>
      <c r="H2056" s="2" t="str">
        <f t="shared" si="75"/>
        <v>0 г. 0 мес. 0 дн.</v>
      </c>
      <c r="I2056" s="2"/>
      <c r="J2056" s="2"/>
      <c r="K2056" s="2"/>
      <c r="L2056" s="2"/>
      <c r="M2056" s="2"/>
      <c r="N2056" s="1">
        <v>0</v>
      </c>
      <c r="O2056" s="2"/>
      <c r="P2056" s="2"/>
      <c r="Q2056" s="2">
        <v>0</v>
      </c>
      <c r="R2056" s="6"/>
    </row>
    <row r="2057" spans="1:18" x14ac:dyDescent="0.25">
      <c r="A2057" s="2">
        <f t="shared" si="74"/>
        <v>2056</v>
      </c>
      <c r="B2057" s="2"/>
      <c r="C2057" s="2"/>
      <c r="D2057" s="2"/>
      <c r="E2057" s="2"/>
      <c r="F2057" s="2"/>
      <c r="G2057" s="2"/>
      <c r="H2057" s="2" t="str">
        <f t="shared" si="75"/>
        <v>0 г. 0 мес. 0 дн.</v>
      </c>
      <c r="I2057" s="2"/>
      <c r="J2057" s="2"/>
      <c r="K2057" s="2"/>
      <c r="L2057" s="2"/>
      <c r="M2057" s="2"/>
      <c r="N2057" s="1">
        <v>0</v>
      </c>
      <c r="O2057" s="2"/>
      <c r="P2057" s="2"/>
      <c r="Q2057" s="2">
        <v>0</v>
      </c>
      <c r="R2057" s="6"/>
    </row>
    <row r="2058" spans="1:18" x14ac:dyDescent="0.25">
      <c r="A2058" s="2">
        <f t="shared" si="74"/>
        <v>2057</v>
      </c>
      <c r="B2058" s="2"/>
      <c r="C2058" s="2"/>
      <c r="D2058" s="2"/>
      <c r="E2058" s="2"/>
      <c r="F2058" s="2"/>
      <c r="G2058" s="2"/>
      <c r="H2058" s="2" t="str">
        <f t="shared" si="75"/>
        <v>0 г. 0 мес. 0 дн.</v>
      </c>
      <c r="I2058" s="2"/>
      <c r="J2058" s="2"/>
      <c r="K2058" s="2"/>
      <c r="L2058" s="2"/>
      <c r="M2058" s="2"/>
      <c r="N2058" s="1">
        <v>0</v>
      </c>
      <c r="O2058" s="2"/>
      <c r="P2058" s="2"/>
      <c r="Q2058" s="2">
        <v>0</v>
      </c>
      <c r="R2058" s="6"/>
    </row>
    <row r="2059" spans="1:18" x14ac:dyDescent="0.25">
      <c r="A2059" s="2">
        <f t="shared" si="74"/>
        <v>2058</v>
      </c>
      <c r="B2059" s="2"/>
      <c r="C2059" s="2"/>
      <c r="D2059" s="2"/>
      <c r="E2059" s="2"/>
      <c r="F2059" s="2"/>
      <c r="G2059" s="2"/>
      <c r="H2059" s="2" t="str">
        <f t="shared" si="75"/>
        <v>0 г. 0 мес. 0 дн.</v>
      </c>
      <c r="I2059" s="2"/>
      <c r="J2059" s="2"/>
      <c r="K2059" s="2"/>
      <c r="L2059" s="2"/>
      <c r="M2059" s="2"/>
      <c r="N2059" s="1">
        <v>0</v>
      </c>
      <c r="O2059" s="2"/>
      <c r="P2059" s="2"/>
      <c r="Q2059" s="2">
        <v>0</v>
      </c>
      <c r="R2059" s="6"/>
    </row>
    <row r="2060" spans="1:18" x14ac:dyDescent="0.25">
      <c r="A2060" s="2">
        <f t="shared" si="74"/>
        <v>2059</v>
      </c>
      <c r="B2060" s="2"/>
      <c r="C2060" s="2"/>
      <c r="D2060" s="2"/>
      <c r="E2060" s="2"/>
      <c r="F2060" s="2"/>
      <c r="G2060" s="2"/>
      <c r="H2060" s="2" t="str">
        <f t="shared" si="75"/>
        <v>0 г. 0 мес. 0 дн.</v>
      </c>
      <c r="I2060" s="2"/>
      <c r="J2060" s="2"/>
      <c r="K2060" s="2"/>
      <c r="L2060" s="2"/>
      <c r="M2060" s="2"/>
      <c r="N2060" s="1">
        <v>0</v>
      </c>
      <c r="O2060" s="2"/>
      <c r="P2060" s="2"/>
      <c r="Q2060" s="2">
        <v>0</v>
      </c>
      <c r="R2060" s="6"/>
    </row>
    <row r="2061" spans="1:18" x14ac:dyDescent="0.25">
      <c r="A2061" s="2">
        <f t="shared" si="74"/>
        <v>2060</v>
      </c>
      <c r="B2061" s="2"/>
      <c r="C2061" s="2"/>
      <c r="D2061" s="2"/>
      <c r="E2061" s="2"/>
      <c r="F2061" s="2"/>
      <c r="G2061" s="2"/>
      <c r="H2061" s="2" t="str">
        <f t="shared" si="75"/>
        <v>0 г. 0 мес. 0 дн.</v>
      </c>
      <c r="I2061" s="2"/>
      <c r="J2061" s="2"/>
      <c r="K2061" s="2"/>
      <c r="L2061" s="2"/>
      <c r="M2061" s="2"/>
      <c r="N2061" s="1">
        <v>0</v>
      </c>
      <c r="O2061" s="2"/>
      <c r="P2061" s="2"/>
      <c r="Q2061" s="2">
        <v>0</v>
      </c>
      <c r="R2061" s="6"/>
    </row>
    <row r="2062" spans="1:18" x14ac:dyDescent="0.25">
      <c r="A2062" s="2">
        <f t="shared" si="74"/>
        <v>2061</v>
      </c>
      <c r="B2062" s="2"/>
      <c r="C2062" s="2"/>
      <c r="D2062" s="2"/>
      <c r="E2062" s="2"/>
      <c r="F2062" s="2"/>
      <c r="G2062" s="2"/>
      <c r="H2062" s="2" t="str">
        <f t="shared" si="75"/>
        <v>0 г. 0 мес. 0 дн.</v>
      </c>
      <c r="I2062" s="2"/>
      <c r="J2062" s="2"/>
      <c r="K2062" s="2"/>
      <c r="L2062" s="2"/>
      <c r="M2062" s="2"/>
      <c r="N2062" s="1">
        <v>0</v>
      </c>
      <c r="O2062" s="2"/>
      <c r="P2062" s="2"/>
      <c r="Q2062" s="2">
        <v>0</v>
      </c>
      <c r="R2062" s="6"/>
    </row>
    <row r="2063" spans="1:18" x14ac:dyDescent="0.25">
      <c r="A2063" s="2">
        <f t="shared" si="74"/>
        <v>2062</v>
      </c>
      <c r="B2063" s="2"/>
      <c r="C2063" s="2"/>
      <c r="D2063" s="2"/>
      <c r="E2063" s="2"/>
      <c r="F2063" s="2"/>
      <c r="G2063" s="2"/>
      <c r="H2063" s="2" t="str">
        <f t="shared" si="75"/>
        <v>0 г. 0 мес. 0 дн.</v>
      </c>
      <c r="I2063" s="2"/>
      <c r="J2063" s="2"/>
      <c r="K2063" s="2"/>
      <c r="L2063" s="2"/>
      <c r="M2063" s="2"/>
      <c r="N2063" s="1">
        <v>0</v>
      </c>
      <c r="O2063" s="2"/>
      <c r="P2063" s="2"/>
      <c r="Q2063" s="2">
        <v>0</v>
      </c>
      <c r="R2063" s="6"/>
    </row>
    <row r="2064" spans="1:18" x14ac:dyDescent="0.25">
      <c r="A2064" s="2">
        <f t="shared" si="74"/>
        <v>2063</v>
      </c>
      <c r="B2064" s="2"/>
      <c r="C2064" s="2"/>
      <c r="D2064" s="2"/>
      <c r="E2064" s="2"/>
      <c r="F2064" s="2"/>
      <c r="G2064" s="2"/>
      <c r="H2064" s="2" t="str">
        <f t="shared" si="75"/>
        <v>0 г. 0 мес. 0 дн.</v>
      </c>
      <c r="I2064" s="2"/>
      <c r="J2064" s="2"/>
      <c r="K2064" s="2"/>
      <c r="L2064" s="2"/>
      <c r="M2064" s="2"/>
      <c r="N2064" s="1">
        <v>0</v>
      </c>
      <c r="O2064" s="2"/>
      <c r="P2064" s="2"/>
      <c r="Q2064" s="2">
        <v>0</v>
      </c>
      <c r="R2064" s="6"/>
    </row>
    <row r="2065" spans="1:18" x14ac:dyDescent="0.25">
      <c r="A2065" s="2">
        <f t="shared" si="74"/>
        <v>2064</v>
      </c>
      <c r="B2065" s="2"/>
      <c r="C2065" s="2"/>
      <c r="D2065" s="2"/>
      <c r="E2065" s="2"/>
      <c r="F2065" s="2"/>
      <c r="G2065" s="2"/>
      <c r="H2065" s="2" t="str">
        <f t="shared" si="75"/>
        <v>0 г. 0 мес. 0 дн.</v>
      </c>
      <c r="I2065" s="2"/>
      <c r="J2065" s="2"/>
      <c r="K2065" s="2"/>
      <c r="L2065" s="2"/>
      <c r="M2065" s="2"/>
      <c r="N2065" s="1">
        <v>0</v>
      </c>
      <c r="O2065" s="2"/>
      <c r="P2065" s="2"/>
      <c r="Q2065" s="2">
        <v>0</v>
      </c>
      <c r="R2065" s="6"/>
    </row>
    <row r="2066" spans="1:18" x14ac:dyDescent="0.25">
      <c r="A2066" s="2">
        <f t="shared" si="74"/>
        <v>2065</v>
      </c>
      <c r="B2066" s="2"/>
      <c r="C2066" s="2"/>
      <c r="D2066" s="2"/>
      <c r="E2066" s="2"/>
      <c r="F2066" s="2"/>
      <c r="G2066" s="2"/>
      <c r="H2066" s="2" t="str">
        <f t="shared" si="75"/>
        <v>0 г. 0 мес. 0 дн.</v>
      </c>
      <c r="I2066" s="2"/>
      <c r="J2066" s="2"/>
      <c r="K2066" s="2"/>
      <c r="L2066" s="2"/>
      <c r="M2066" s="2"/>
      <c r="N2066" s="1">
        <v>0</v>
      </c>
      <c r="O2066" s="2"/>
      <c r="P2066" s="2"/>
      <c r="Q2066" s="2">
        <v>0</v>
      </c>
      <c r="R2066" s="6"/>
    </row>
    <row r="2067" spans="1:18" x14ac:dyDescent="0.25">
      <c r="A2067" s="2">
        <f t="shared" si="74"/>
        <v>2066</v>
      </c>
      <c r="B2067" s="2"/>
      <c r="C2067" s="2"/>
      <c r="D2067" s="2"/>
      <c r="E2067" s="2"/>
      <c r="F2067" s="2"/>
      <c r="G2067" s="2"/>
      <c r="H2067" s="2" t="str">
        <f t="shared" si="75"/>
        <v>0 г. 0 мес. 0 дн.</v>
      </c>
      <c r="I2067" s="2"/>
      <c r="J2067" s="2"/>
      <c r="K2067" s="2"/>
      <c r="L2067" s="2"/>
      <c r="M2067" s="2"/>
      <c r="N2067" s="1">
        <v>0</v>
      </c>
      <c r="O2067" s="2"/>
      <c r="P2067" s="2"/>
      <c r="Q2067" s="2">
        <v>0</v>
      </c>
      <c r="R2067" s="6"/>
    </row>
    <row r="2068" spans="1:18" x14ac:dyDescent="0.25">
      <c r="A2068" s="2">
        <f t="shared" si="74"/>
        <v>2067</v>
      </c>
      <c r="B2068" s="2"/>
      <c r="C2068" s="2"/>
      <c r="D2068" s="2"/>
      <c r="E2068" s="2"/>
      <c r="F2068" s="2"/>
      <c r="G2068" s="2"/>
      <c r="H2068" s="2" t="str">
        <f t="shared" si="75"/>
        <v>0 г. 0 мес. 0 дн.</v>
      </c>
      <c r="I2068" s="2"/>
      <c r="J2068" s="2"/>
      <c r="K2068" s="2"/>
      <c r="L2068" s="2"/>
      <c r="M2068" s="2"/>
      <c r="N2068" s="1">
        <v>0</v>
      </c>
      <c r="O2068" s="2"/>
      <c r="P2068" s="2"/>
      <c r="Q2068" s="2">
        <v>0</v>
      </c>
      <c r="R2068" s="6"/>
    </row>
    <row r="2069" spans="1:18" x14ac:dyDescent="0.25">
      <c r="A2069" s="2">
        <f t="shared" si="74"/>
        <v>2068</v>
      </c>
      <c r="B2069" s="2"/>
      <c r="C2069" s="2"/>
      <c r="D2069" s="2"/>
      <c r="E2069" s="2"/>
      <c r="F2069" s="2"/>
      <c r="G2069" s="2"/>
      <c r="H2069" s="2" t="str">
        <f t="shared" si="75"/>
        <v>0 г. 0 мес. 0 дн.</v>
      </c>
      <c r="I2069" s="2"/>
      <c r="J2069" s="2"/>
      <c r="K2069" s="2"/>
      <c r="L2069" s="2"/>
      <c r="M2069" s="2"/>
      <c r="N2069" s="1">
        <v>0</v>
      </c>
      <c r="O2069" s="2"/>
      <c r="P2069" s="2"/>
      <c r="Q2069" s="2">
        <v>0</v>
      </c>
      <c r="R2069" s="6"/>
    </row>
    <row r="2070" spans="1:18" x14ac:dyDescent="0.25">
      <c r="A2070" s="2">
        <f t="shared" si="74"/>
        <v>2069</v>
      </c>
      <c r="B2070" s="2"/>
      <c r="C2070" s="2"/>
      <c r="D2070" s="2"/>
      <c r="E2070" s="2"/>
      <c r="F2070" s="2"/>
      <c r="G2070" s="2"/>
      <c r="H2070" s="2" t="str">
        <f t="shared" si="75"/>
        <v>0 г. 0 мес. 0 дн.</v>
      </c>
      <c r="I2070" s="2"/>
      <c r="J2070" s="2"/>
      <c r="K2070" s="2"/>
      <c r="L2070" s="2"/>
      <c r="M2070" s="2"/>
      <c r="N2070" s="1">
        <v>0</v>
      </c>
      <c r="O2070" s="2"/>
      <c r="P2070" s="2"/>
      <c r="Q2070" s="2">
        <v>0</v>
      </c>
      <c r="R2070" s="6"/>
    </row>
    <row r="2071" spans="1:18" x14ac:dyDescent="0.25">
      <c r="A2071" s="2">
        <f t="shared" si="74"/>
        <v>2070</v>
      </c>
      <c r="B2071" s="2"/>
      <c r="C2071" s="2"/>
      <c r="D2071" s="2"/>
      <c r="E2071" s="2"/>
      <c r="F2071" s="2"/>
      <c r="G2071" s="2"/>
      <c r="H2071" s="2" t="str">
        <f t="shared" si="75"/>
        <v>0 г. 0 мес. 0 дн.</v>
      </c>
      <c r="I2071" s="2"/>
      <c r="J2071" s="2"/>
      <c r="K2071" s="2"/>
      <c r="L2071" s="2"/>
      <c r="M2071" s="2"/>
      <c r="N2071" s="1">
        <v>0</v>
      </c>
      <c r="O2071" s="2"/>
      <c r="P2071" s="2"/>
      <c r="Q2071" s="2">
        <v>0</v>
      </c>
      <c r="R2071" s="6"/>
    </row>
    <row r="2072" spans="1:18" x14ac:dyDescent="0.25">
      <c r="A2072" s="2">
        <f t="shared" si="74"/>
        <v>2071</v>
      </c>
      <c r="B2072" s="2"/>
      <c r="C2072" s="2"/>
      <c r="D2072" s="2"/>
      <c r="E2072" s="2"/>
      <c r="F2072" s="2"/>
      <c r="G2072" s="2"/>
      <c r="H2072" s="2" t="str">
        <f t="shared" si="75"/>
        <v>0 г. 0 мес. 0 дн.</v>
      </c>
      <c r="I2072" s="2"/>
      <c r="J2072" s="2"/>
      <c r="K2072" s="2"/>
      <c r="L2072" s="2"/>
      <c r="M2072" s="2"/>
      <c r="N2072" s="1">
        <v>0</v>
      </c>
      <c r="O2072" s="2"/>
      <c r="P2072" s="2"/>
      <c r="Q2072" s="2">
        <v>0</v>
      </c>
      <c r="R2072" s="6"/>
    </row>
    <row r="2073" spans="1:18" x14ac:dyDescent="0.25">
      <c r="A2073" s="2">
        <f t="shared" si="74"/>
        <v>2072</v>
      </c>
      <c r="B2073" s="2"/>
      <c r="C2073" s="2"/>
      <c r="D2073" s="2"/>
      <c r="E2073" s="2"/>
      <c r="F2073" s="2"/>
      <c r="G2073" s="2"/>
      <c r="H2073" s="2" t="str">
        <f t="shared" si="75"/>
        <v>0 г. 0 мес. 0 дн.</v>
      </c>
      <c r="I2073" s="2"/>
      <c r="J2073" s="2"/>
      <c r="K2073" s="2"/>
      <c r="L2073" s="2"/>
      <c r="M2073" s="2"/>
      <c r="N2073" s="1">
        <v>0</v>
      </c>
      <c r="O2073" s="2"/>
      <c r="P2073" s="2"/>
      <c r="Q2073" s="2">
        <v>0</v>
      </c>
      <c r="R2073" s="6"/>
    </row>
    <row r="2074" spans="1:18" x14ac:dyDescent="0.25">
      <c r="A2074" s="2">
        <f t="shared" si="74"/>
        <v>2073</v>
      </c>
      <c r="B2074" s="2"/>
      <c r="C2074" s="2"/>
      <c r="D2074" s="2"/>
      <c r="E2074" s="2"/>
      <c r="F2074" s="2"/>
      <c r="G2074" s="2"/>
      <c r="H2074" s="2" t="str">
        <f t="shared" si="75"/>
        <v>0 г. 0 мес. 0 дн.</v>
      </c>
      <c r="I2074" s="2"/>
      <c r="J2074" s="2"/>
      <c r="K2074" s="2"/>
      <c r="L2074" s="2"/>
      <c r="M2074" s="2"/>
      <c r="N2074" s="1">
        <v>0</v>
      </c>
      <c r="O2074" s="2"/>
      <c r="P2074" s="2"/>
      <c r="Q2074" s="2">
        <v>0</v>
      </c>
      <c r="R2074" s="6"/>
    </row>
    <row r="2075" spans="1:18" x14ac:dyDescent="0.25">
      <c r="A2075" s="2">
        <f t="shared" si="74"/>
        <v>2074</v>
      </c>
      <c r="B2075" s="2"/>
      <c r="C2075" s="2"/>
      <c r="D2075" s="2"/>
      <c r="E2075" s="2"/>
      <c r="F2075" s="2"/>
      <c r="G2075" s="2"/>
      <c r="H2075" s="2" t="str">
        <f t="shared" si="75"/>
        <v>0 г. 0 мес. 0 дн.</v>
      </c>
      <c r="I2075" s="2"/>
      <c r="J2075" s="2"/>
      <c r="K2075" s="2"/>
      <c r="L2075" s="2"/>
      <c r="M2075" s="2"/>
      <c r="N2075" s="1">
        <v>0</v>
      </c>
      <c r="O2075" s="2"/>
      <c r="P2075" s="2"/>
      <c r="Q2075" s="2">
        <v>0</v>
      </c>
      <c r="R2075" s="6"/>
    </row>
    <row r="2076" spans="1:18" x14ac:dyDescent="0.25">
      <c r="A2076" s="2">
        <f t="shared" si="74"/>
        <v>2075</v>
      </c>
      <c r="B2076" s="2"/>
      <c r="C2076" s="2"/>
      <c r="D2076" s="2"/>
      <c r="E2076" s="2"/>
      <c r="F2076" s="2"/>
      <c r="G2076" s="2"/>
      <c r="H2076" s="2" t="str">
        <f t="shared" si="75"/>
        <v>0 г. 0 мес. 0 дн.</v>
      </c>
      <c r="I2076" s="2"/>
      <c r="J2076" s="2"/>
      <c r="K2076" s="2"/>
      <c r="L2076" s="2"/>
      <c r="M2076" s="2"/>
      <c r="N2076" s="1">
        <v>0</v>
      </c>
      <c r="O2076" s="2"/>
      <c r="P2076" s="2"/>
      <c r="Q2076" s="2">
        <v>0</v>
      </c>
      <c r="R2076" s="6"/>
    </row>
    <row r="2077" spans="1:18" x14ac:dyDescent="0.25">
      <c r="A2077" s="2">
        <f t="shared" ref="A2077:A2140" si="76">ROW(A2076)</f>
        <v>2076</v>
      </c>
      <c r="B2077" s="2"/>
      <c r="C2077" s="2"/>
      <c r="D2077" s="2"/>
      <c r="E2077" s="2"/>
      <c r="F2077" s="2"/>
      <c r="G2077" s="2"/>
      <c r="H2077" s="2" t="str">
        <f t="shared" si="75"/>
        <v>0 г. 0 мес. 0 дн.</v>
      </c>
      <c r="I2077" s="2"/>
      <c r="J2077" s="2"/>
      <c r="K2077" s="2"/>
      <c r="L2077" s="2"/>
      <c r="M2077" s="2"/>
      <c r="N2077" s="1">
        <v>0</v>
      </c>
      <c r="O2077" s="2"/>
      <c r="P2077" s="2"/>
      <c r="Q2077" s="2">
        <v>0</v>
      </c>
      <c r="R2077" s="6"/>
    </row>
    <row r="2078" spans="1:18" x14ac:dyDescent="0.25">
      <c r="A2078" s="2">
        <f t="shared" si="76"/>
        <v>2077</v>
      </c>
      <c r="B2078" s="2"/>
      <c r="C2078" s="2"/>
      <c r="D2078" s="2"/>
      <c r="E2078" s="2"/>
      <c r="F2078" s="2"/>
      <c r="G2078" s="2"/>
      <c r="H2078" s="2" t="str">
        <f t="shared" si="75"/>
        <v>0 г. 0 мес. 0 дн.</v>
      </c>
      <c r="I2078" s="2"/>
      <c r="J2078" s="2"/>
      <c r="K2078" s="2"/>
      <c r="L2078" s="2"/>
      <c r="M2078" s="2"/>
      <c r="N2078" s="1">
        <v>0</v>
      </c>
      <c r="O2078" s="2"/>
      <c r="P2078" s="2"/>
      <c r="Q2078" s="2">
        <v>0</v>
      </c>
      <c r="R2078" s="6"/>
    </row>
    <row r="2079" spans="1:18" x14ac:dyDescent="0.25">
      <c r="A2079" s="2">
        <f t="shared" si="76"/>
        <v>2078</v>
      </c>
      <c r="B2079" s="2"/>
      <c r="C2079" s="2"/>
      <c r="D2079" s="2"/>
      <c r="E2079" s="2"/>
      <c r="F2079" s="2"/>
      <c r="G2079" s="2"/>
      <c r="H2079" s="2" t="str">
        <f t="shared" si="75"/>
        <v>0 г. 0 мес. 0 дн.</v>
      </c>
      <c r="I2079" s="2"/>
      <c r="J2079" s="2"/>
      <c r="K2079" s="2"/>
      <c r="L2079" s="2"/>
      <c r="M2079" s="2"/>
      <c r="N2079" s="1">
        <v>0</v>
      </c>
      <c r="O2079" s="2"/>
      <c r="P2079" s="2"/>
      <c r="Q2079" s="2">
        <v>0</v>
      </c>
      <c r="R2079" s="6"/>
    </row>
    <row r="2080" spans="1:18" x14ac:dyDescent="0.25">
      <c r="A2080" s="2">
        <f t="shared" si="76"/>
        <v>2079</v>
      </c>
      <c r="B2080" s="2"/>
      <c r="C2080" s="2"/>
      <c r="D2080" s="2"/>
      <c r="E2080" s="2"/>
      <c r="F2080" s="2"/>
      <c r="G2080" s="2"/>
      <c r="H2080" s="2" t="str">
        <f t="shared" si="75"/>
        <v>0 г. 0 мес. 0 дн.</v>
      </c>
      <c r="I2080" s="2"/>
      <c r="J2080" s="2"/>
      <c r="K2080" s="2"/>
      <c r="L2080" s="2"/>
      <c r="M2080" s="2"/>
      <c r="N2080" s="1">
        <v>0</v>
      </c>
      <c r="O2080" s="2"/>
      <c r="P2080" s="2"/>
      <c r="Q2080" s="2">
        <v>0</v>
      </c>
      <c r="R2080" s="6"/>
    </row>
    <row r="2081" spans="1:18" x14ac:dyDescent="0.25">
      <c r="A2081" s="2">
        <f t="shared" si="76"/>
        <v>2080</v>
      </c>
      <c r="B2081" s="2"/>
      <c r="C2081" s="2"/>
      <c r="D2081" s="2"/>
      <c r="E2081" s="2"/>
      <c r="F2081" s="2"/>
      <c r="G2081" s="2"/>
      <c r="H2081" s="2" t="str">
        <f t="shared" si="75"/>
        <v>0 г. 0 мес. 0 дн.</v>
      </c>
      <c r="I2081" s="2"/>
      <c r="J2081" s="2"/>
      <c r="K2081" s="2"/>
      <c r="L2081" s="2"/>
      <c r="M2081" s="2"/>
      <c r="N2081" s="1">
        <v>0</v>
      </c>
      <c r="O2081" s="2"/>
      <c r="P2081" s="2"/>
      <c r="Q2081" s="2">
        <v>0</v>
      </c>
      <c r="R2081" s="6"/>
    </row>
    <row r="2082" spans="1:18" x14ac:dyDescent="0.25">
      <c r="A2082" s="2">
        <f t="shared" si="76"/>
        <v>2081</v>
      </c>
      <c r="B2082" s="2"/>
      <c r="C2082" s="2"/>
      <c r="D2082" s="2"/>
      <c r="E2082" s="2"/>
      <c r="F2082" s="2"/>
      <c r="G2082" s="2"/>
      <c r="H2082" s="2" t="str">
        <f t="shared" si="75"/>
        <v>0 г. 0 мес. 0 дн.</v>
      </c>
      <c r="I2082" s="2"/>
      <c r="J2082" s="2"/>
      <c r="K2082" s="2"/>
      <c r="L2082" s="2"/>
      <c r="M2082" s="2"/>
      <c r="N2082" s="1">
        <v>0</v>
      </c>
      <c r="O2082" s="2"/>
      <c r="P2082" s="2"/>
      <c r="Q2082" s="2">
        <v>0</v>
      </c>
      <c r="R2082" s="6"/>
    </row>
    <row r="2083" spans="1:18" x14ac:dyDescent="0.25">
      <c r="A2083" s="2">
        <f t="shared" si="76"/>
        <v>2082</v>
      </c>
      <c r="B2083" s="2"/>
      <c r="C2083" s="2"/>
      <c r="D2083" s="2"/>
      <c r="E2083" s="2"/>
      <c r="F2083" s="2"/>
      <c r="G2083" s="2"/>
      <c r="H2083" s="2" t="str">
        <f t="shared" si="75"/>
        <v>0 г. 0 мес. 0 дн.</v>
      </c>
      <c r="I2083" s="2"/>
      <c r="J2083" s="2"/>
      <c r="K2083" s="2"/>
      <c r="L2083" s="2"/>
      <c r="M2083" s="2"/>
      <c r="N2083" s="1">
        <v>0</v>
      </c>
      <c r="O2083" s="2"/>
      <c r="P2083" s="2"/>
      <c r="Q2083" s="2">
        <v>0</v>
      </c>
      <c r="R2083" s="6"/>
    </row>
    <row r="2084" spans="1:18" x14ac:dyDescent="0.25">
      <c r="A2084" s="2">
        <f t="shared" si="76"/>
        <v>2083</v>
      </c>
      <c r="B2084" s="2"/>
      <c r="C2084" s="2"/>
      <c r="D2084" s="2"/>
      <c r="E2084" s="2"/>
      <c r="F2084" s="2"/>
      <c r="G2084" s="2"/>
      <c r="H2084" s="2" t="str">
        <f t="shared" si="75"/>
        <v>0 г. 0 мес. 0 дн.</v>
      </c>
      <c r="I2084" s="2"/>
      <c r="J2084" s="2"/>
      <c r="K2084" s="2"/>
      <c r="L2084" s="2"/>
      <c r="M2084" s="2"/>
      <c r="N2084" s="1">
        <v>0</v>
      </c>
      <c r="O2084" s="2"/>
      <c r="P2084" s="2"/>
      <c r="Q2084" s="2">
        <v>0</v>
      </c>
      <c r="R2084" s="6"/>
    </row>
    <row r="2085" spans="1:18" x14ac:dyDescent="0.25">
      <c r="A2085" s="2">
        <f t="shared" si="76"/>
        <v>2084</v>
      </c>
      <c r="B2085" s="2"/>
      <c r="C2085" s="2"/>
      <c r="D2085" s="2"/>
      <c r="E2085" s="2"/>
      <c r="F2085" s="2"/>
      <c r="G2085" s="2"/>
      <c r="H2085" s="2" t="str">
        <f t="shared" si="75"/>
        <v>0 г. 0 мес. 0 дн.</v>
      </c>
      <c r="I2085" s="2"/>
      <c r="J2085" s="2"/>
      <c r="K2085" s="2"/>
      <c r="L2085" s="2"/>
      <c r="M2085" s="2"/>
      <c r="N2085" s="1">
        <v>0</v>
      </c>
      <c r="O2085" s="2"/>
      <c r="P2085" s="2"/>
      <c r="Q2085" s="2">
        <v>0</v>
      </c>
      <c r="R2085" s="6"/>
    </row>
    <row r="2086" spans="1:18" x14ac:dyDescent="0.25">
      <c r="A2086" s="2">
        <f t="shared" si="76"/>
        <v>2085</v>
      </c>
      <c r="B2086" s="2"/>
      <c r="C2086" s="2"/>
      <c r="D2086" s="2"/>
      <c r="E2086" s="2"/>
      <c r="F2086" s="2"/>
      <c r="G2086" s="2"/>
      <c r="H2086" s="2" t="str">
        <f t="shared" si="75"/>
        <v>0 г. 0 мес. 0 дн.</v>
      </c>
      <c r="I2086" s="2"/>
      <c r="J2086" s="2"/>
      <c r="K2086" s="2"/>
      <c r="L2086" s="2"/>
      <c r="M2086" s="2"/>
      <c r="N2086" s="1">
        <v>0</v>
      </c>
      <c r="O2086" s="2"/>
      <c r="P2086" s="2"/>
      <c r="Q2086" s="2">
        <v>0</v>
      </c>
      <c r="R2086" s="6"/>
    </row>
    <row r="2087" spans="1:18" x14ac:dyDescent="0.25">
      <c r="A2087" s="2">
        <f t="shared" si="76"/>
        <v>2086</v>
      </c>
      <c r="B2087" s="2"/>
      <c r="C2087" s="2"/>
      <c r="D2087" s="2"/>
      <c r="E2087" s="2"/>
      <c r="F2087" s="2"/>
      <c r="G2087" s="2"/>
      <c r="H2087" s="2" t="str">
        <f t="shared" si="75"/>
        <v>0 г. 0 мес. 0 дн.</v>
      </c>
      <c r="I2087" s="2"/>
      <c r="J2087" s="2"/>
      <c r="K2087" s="2"/>
      <c r="L2087" s="2"/>
      <c r="M2087" s="2"/>
      <c r="N2087" s="1">
        <v>0</v>
      </c>
      <c r="O2087" s="2"/>
      <c r="P2087" s="2"/>
      <c r="Q2087" s="2">
        <v>0</v>
      </c>
      <c r="R2087" s="6"/>
    </row>
    <row r="2088" spans="1:18" x14ac:dyDescent="0.25">
      <c r="A2088" s="2">
        <f t="shared" si="76"/>
        <v>2087</v>
      </c>
      <c r="B2088" s="2"/>
      <c r="C2088" s="2"/>
      <c r="D2088" s="2"/>
      <c r="E2088" s="2"/>
      <c r="F2088" s="2"/>
      <c r="G2088" s="2"/>
      <c r="H2088" s="2" t="str">
        <f t="shared" si="75"/>
        <v>0 г. 0 мес. 0 дн.</v>
      </c>
      <c r="I2088" s="2"/>
      <c r="J2088" s="2"/>
      <c r="K2088" s="2"/>
      <c r="L2088" s="2"/>
      <c r="M2088" s="2"/>
      <c r="N2088" s="1">
        <v>0</v>
      </c>
      <c r="O2088" s="2"/>
      <c r="P2088" s="2"/>
      <c r="Q2088" s="2">
        <v>0</v>
      </c>
      <c r="R2088" s="6"/>
    </row>
    <row r="2089" spans="1:18" x14ac:dyDescent="0.25">
      <c r="A2089" s="2">
        <f t="shared" si="76"/>
        <v>2088</v>
      </c>
      <c r="B2089" s="2"/>
      <c r="C2089" s="2"/>
      <c r="D2089" s="2"/>
      <c r="E2089" s="2"/>
      <c r="F2089" s="2"/>
      <c r="G2089" s="2"/>
      <c r="H2089" s="2" t="str">
        <f t="shared" si="75"/>
        <v>0 г. 0 мес. 0 дн.</v>
      </c>
      <c r="I2089" s="2"/>
      <c r="J2089" s="2"/>
      <c r="K2089" s="2"/>
      <c r="L2089" s="2"/>
      <c r="M2089" s="2"/>
      <c r="N2089" s="1">
        <v>0</v>
      </c>
      <c r="O2089" s="2"/>
      <c r="P2089" s="2"/>
      <c r="Q2089" s="2">
        <v>0</v>
      </c>
      <c r="R2089" s="6"/>
    </row>
    <row r="2090" spans="1:18" x14ac:dyDescent="0.25">
      <c r="A2090" s="2">
        <f t="shared" si="76"/>
        <v>2089</v>
      </c>
      <c r="B2090" s="2"/>
      <c r="C2090" s="2"/>
      <c r="D2090" s="2"/>
      <c r="E2090" s="2"/>
      <c r="F2090" s="2"/>
      <c r="G2090" s="2"/>
      <c r="H2090" s="2" t="str">
        <f t="shared" si="75"/>
        <v>0 г. 0 мес. 0 дн.</v>
      </c>
      <c r="I2090" s="2"/>
      <c r="J2090" s="2"/>
      <c r="K2090" s="2"/>
      <c r="L2090" s="2"/>
      <c r="M2090" s="2"/>
      <c r="N2090" s="1">
        <v>0</v>
      </c>
      <c r="O2090" s="2"/>
      <c r="P2090" s="2"/>
      <c r="Q2090" s="2">
        <v>0</v>
      </c>
      <c r="R2090" s="6"/>
    </row>
    <row r="2091" spans="1:18" x14ac:dyDescent="0.25">
      <c r="A2091" s="2">
        <f t="shared" si="76"/>
        <v>2090</v>
      </c>
      <c r="B2091" s="2"/>
      <c r="C2091" s="2"/>
      <c r="D2091" s="2"/>
      <c r="E2091" s="2"/>
      <c r="F2091" s="2"/>
      <c r="G2091" s="2"/>
      <c r="H2091" s="2" t="str">
        <f t="shared" si="75"/>
        <v>0 г. 0 мес. 0 дн.</v>
      </c>
      <c r="I2091" s="2"/>
      <c r="J2091" s="2"/>
      <c r="K2091" s="2"/>
      <c r="L2091" s="2"/>
      <c r="M2091" s="2"/>
      <c r="N2091" s="1">
        <v>0</v>
      </c>
      <c r="O2091" s="2"/>
      <c r="P2091" s="2"/>
      <c r="Q2091" s="2">
        <v>0</v>
      </c>
      <c r="R2091" s="6"/>
    </row>
    <row r="2092" spans="1:18" x14ac:dyDescent="0.25">
      <c r="A2092" s="2">
        <f t="shared" si="76"/>
        <v>2091</v>
      </c>
      <c r="B2092" s="2"/>
      <c r="C2092" s="2"/>
      <c r="D2092" s="2"/>
      <c r="E2092" s="2"/>
      <c r="F2092" s="2"/>
      <c r="G2092" s="2"/>
      <c r="H2092" s="2" t="str">
        <f t="shared" si="75"/>
        <v>0 г. 0 мес. 0 дн.</v>
      </c>
      <c r="I2092" s="2"/>
      <c r="J2092" s="2"/>
      <c r="K2092" s="2"/>
      <c r="L2092" s="2"/>
      <c r="M2092" s="2"/>
      <c r="N2092" s="1">
        <v>0</v>
      </c>
      <c r="O2092" s="2"/>
      <c r="P2092" s="2"/>
      <c r="Q2092" s="2">
        <v>0</v>
      </c>
      <c r="R2092" s="6"/>
    </row>
    <row r="2093" spans="1:18" x14ac:dyDescent="0.25">
      <c r="A2093" s="2">
        <f t="shared" si="76"/>
        <v>2092</v>
      </c>
      <c r="B2093" s="2"/>
      <c r="C2093" s="2"/>
      <c r="D2093" s="2"/>
      <c r="E2093" s="2"/>
      <c r="F2093" s="2"/>
      <c r="G2093" s="2"/>
      <c r="H2093" s="2" t="str">
        <f t="shared" si="75"/>
        <v>0 г. 0 мес. 0 дн.</v>
      </c>
      <c r="I2093" s="2"/>
      <c r="J2093" s="2"/>
      <c r="K2093" s="2"/>
      <c r="L2093" s="2"/>
      <c r="M2093" s="2"/>
      <c r="N2093" s="1">
        <v>0</v>
      </c>
      <c r="O2093" s="2"/>
      <c r="P2093" s="2"/>
      <c r="Q2093" s="2">
        <v>0</v>
      </c>
      <c r="R2093" s="6"/>
    </row>
    <row r="2094" spans="1:18" x14ac:dyDescent="0.25">
      <c r="A2094" s="2">
        <f t="shared" si="76"/>
        <v>2093</v>
      </c>
      <c r="B2094" s="2"/>
      <c r="C2094" s="2"/>
      <c r="D2094" s="2"/>
      <c r="E2094" s="2"/>
      <c r="F2094" s="2"/>
      <c r="G2094" s="2"/>
      <c r="H2094" s="2" t="str">
        <f t="shared" si="75"/>
        <v>0 г. 0 мес. 0 дн.</v>
      </c>
      <c r="I2094" s="2"/>
      <c r="J2094" s="2"/>
      <c r="K2094" s="2"/>
      <c r="L2094" s="2"/>
      <c r="M2094" s="2"/>
      <c r="N2094" s="1">
        <v>0</v>
      </c>
      <c r="O2094" s="2"/>
      <c r="P2094" s="2"/>
      <c r="Q2094" s="2">
        <v>0</v>
      </c>
      <c r="R2094" s="6"/>
    </row>
    <row r="2095" spans="1:18" x14ac:dyDescent="0.25">
      <c r="A2095" s="2">
        <f t="shared" si="76"/>
        <v>2094</v>
      </c>
      <c r="B2095" s="2"/>
      <c r="C2095" s="2"/>
      <c r="D2095" s="2"/>
      <c r="E2095" s="2"/>
      <c r="F2095" s="2"/>
      <c r="G2095" s="2"/>
      <c r="H2095" s="2" t="str">
        <f t="shared" si="75"/>
        <v>0 г. 0 мес. 0 дн.</v>
      </c>
      <c r="I2095" s="2"/>
      <c r="J2095" s="2"/>
      <c r="K2095" s="2"/>
      <c r="L2095" s="2"/>
      <c r="M2095" s="2"/>
      <c r="N2095" s="1">
        <v>0</v>
      </c>
      <c r="O2095" s="2"/>
      <c r="P2095" s="2"/>
      <c r="Q2095" s="2">
        <v>0</v>
      </c>
      <c r="R2095" s="6"/>
    </row>
    <row r="2096" spans="1:18" x14ac:dyDescent="0.25">
      <c r="A2096" s="2">
        <f t="shared" si="76"/>
        <v>2095</v>
      </c>
      <c r="B2096" s="2"/>
      <c r="C2096" s="2"/>
      <c r="D2096" s="2"/>
      <c r="E2096" s="2"/>
      <c r="F2096" s="2"/>
      <c r="G2096" s="2"/>
      <c r="H2096" s="2" t="str">
        <f t="shared" si="75"/>
        <v>0 г. 0 мес. 0 дн.</v>
      </c>
      <c r="I2096" s="2"/>
      <c r="J2096" s="2"/>
      <c r="K2096" s="2"/>
      <c r="L2096" s="2"/>
      <c r="M2096" s="2"/>
      <c r="N2096" s="1">
        <v>0</v>
      </c>
      <c r="O2096" s="2"/>
      <c r="P2096" s="2"/>
      <c r="Q2096" s="2">
        <v>0</v>
      </c>
      <c r="R2096" s="6"/>
    </row>
    <row r="2097" spans="1:18" x14ac:dyDescent="0.25">
      <c r="A2097" s="2">
        <f t="shared" si="76"/>
        <v>2096</v>
      </c>
      <c r="B2097" s="2"/>
      <c r="C2097" s="2"/>
      <c r="D2097" s="2"/>
      <c r="E2097" s="2"/>
      <c r="F2097" s="2"/>
      <c r="G2097" s="2"/>
      <c r="H2097" s="2" t="str">
        <f t="shared" si="75"/>
        <v>0 г. 0 мес. 0 дн.</v>
      </c>
      <c r="I2097" s="2"/>
      <c r="J2097" s="2"/>
      <c r="K2097" s="2"/>
      <c r="L2097" s="2"/>
      <c r="M2097" s="2"/>
      <c r="N2097" s="1">
        <v>0</v>
      </c>
      <c r="O2097" s="2"/>
      <c r="P2097" s="2"/>
      <c r="Q2097" s="2">
        <v>0</v>
      </c>
      <c r="R2097" s="6"/>
    </row>
    <row r="2098" spans="1:18" x14ac:dyDescent="0.25">
      <c r="A2098" s="2">
        <f t="shared" si="76"/>
        <v>2097</v>
      </c>
      <c r="B2098" s="2"/>
      <c r="C2098" s="2"/>
      <c r="D2098" s="2"/>
      <c r="E2098" s="2"/>
      <c r="F2098" s="2"/>
      <c r="G2098" s="2"/>
      <c r="H2098" s="2" t="str">
        <f t="shared" si="75"/>
        <v>0 г. 0 мес. 0 дн.</v>
      </c>
      <c r="I2098" s="2"/>
      <c r="J2098" s="2"/>
      <c r="K2098" s="2"/>
      <c r="L2098" s="2"/>
      <c r="M2098" s="2"/>
      <c r="N2098" s="1">
        <v>0</v>
      </c>
      <c r="O2098" s="2"/>
      <c r="P2098" s="2"/>
      <c r="Q2098" s="2">
        <v>0</v>
      </c>
      <c r="R2098" s="6"/>
    </row>
    <row r="2099" spans="1:18" x14ac:dyDescent="0.25">
      <c r="A2099" s="2">
        <f t="shared" si="76"/>
        <v>2098</v>
      </c>
      <c r="B2099" s="2"/>
      <c r="C2099" s="2"/>
      <c r="D2099" s="2"/>
      <c r="E2099" s="2"/>
      <c r="F2099" s="2"/>
      <c r="G2099" s="2"/>
      <c r="H2099" s="2" t="str">
        <f t="shared" si="75"/>
        <v>0 г. 0 мес. 0 дн.</v>
      </c>
      <c r="I2099" s="2"/>
      <c r="J2099" s="2"/>
      <c r="K2099" s="2"/>
      <c r="L2099" s="2"/>
      <c r="M2099" s="2"/>
      <c r="N2099" s="1">
        <v>0</v>
      </c>
      <c r="O2099" s="2"/>
      <c r="P2099" s="2"/>
      <c r="Q2099" s="2">
        <v>0</v>
      </c>
      <c r="R2099" s="6"/>
    </row>
    <row r="2100" spans="1:18" x14ac:dyDescent="0.25">
      <c r="A2100" s="2">
        <f t="shared" si="76"/>
        <v>2099</v>
      </c>
      <c r="B2100" s="2"/>
      <c r="C2100" s="2"/>
      <c r="D2100" s="2"/>
      <c r="E2100" s="2"/>
      <c r="F2100" s="2"/>
      <c r="G2100" s="2"/>
      <c r="H2100" s="2" t="str">
        <f t="shared" si="75"/>
        <v>0 г. 0 мес. 0 дн.</v>
      </c>
      <c r="I2100" s="2"/>
      <c r="J2100" s="2"/>
      <c r="K2100" s="2"/>
      <c r="L2100" s="2"/>
      <c r="M2100" s="2"/>
      <c r="N2100" s="1">
        <v>0</v>
      </c>
      <c r="O2100" s="2"/>
      <c r="P2100" s="2"/>
      <c r="Q2100" s="2">
        <v>0</v>
      </c>
      <c r="R2100" s="6"/>
    </row>
    <row r="2101" spans="1:18" x14ac:dyDescent="0.25">
      <c r="A2101" s="2">
        <f t="shared" si="76"/>
        <v>2100</v>
      </c>
      <c r="B2101" s="2"/>
      <c r="C2101" s="2"/>
      <c r="D2101" s="2"/>
      <c r="E2101" s="2"/>
      <c r="F2101" s="2"/>
      <c r="G2101" s="2"/>
      <c r="H2101" s="2" t="str">
        <f t="shared" si="75"/>
        <v>0 г. 0 мес. 0 дн.</v>
      </c>
      <c r="I2101" s="2"/>
      <c r="J2101" s="2"/>
      <c r="K2101" s="2"/>
      <c r="L2101" s="2"/>
      <c r="M2101" s="2"/>
      <c r="N2101" s="1">
        <v>0</v>
      </c>
      <c r="O2101" s="2"/>
      <c r="P2101" s="2"/>
      <c r="Q2101" s="2">
        <v>0</v>
      </c>
      <c r="R2101" s="6"/>
    </row>
    <row r="2102" spans="1:18" x14ac:dyDescent="0.25">
      <c r="A2102" s="2">
        <f t="shared" si="76"/>
        <v>2101</v>
      </c>
      <c r="B2102" s="2"/>
      <c r="C2102" s="2"/>
      <c r="D2102" s="2"/>
      <c r="E2102" s="2"/>
      <c r="F2102" s="2"/>
      <c r="G2102" s="2"/>
      <c r="H2102" s="2" t="str">
        <f t="shared" si="75"/>
        <v>0 г. 0 мес. 0 дн.</v>
      </c>
      <c r="I2102" s="2"/>
      <c r="J2102" s="2"/>
      <c r="K2102" s="2"/>
      <c r="L2102" s="2"/>
      <c r="M2102" s="2"/>
      <c r="N2102" s="1">
        <v>0</v>
      </c>
      <c r="O2102" s="2"/>
      <c r="P2102" s="2"/>
      <c r="Q2102" s="2">
        <v>0</v>
      </c>
      <c r="R2102" s="6"/>
    </row>
    <row r="2103" spans="1:18" x14ac:dyDescent="0.25">
      <c r="A2103" s="2">
        <f t="shared" si="76"/>
        <v>2102</v>
      </c>
      <c r="B2103" s="2"/>
      <c r="C2103" s="2"/>
      <c r="D2103" s="2"/>
      <c r="E2103" s="2"/>
      <c r="F2103" s="2"/>
      <c r="G2103" s="2"/>
      <c r="H2103" s="2" t="str">
        <f t="shared" si="75"/>
        <v>0 г. 0 мес. 0 дн.</v>
      </c>
      <c r="I2103" s="2"/>
      <c r="J2103" s="2"/>
      <c r="K2103" s="2"/>
      <c r="L2103" s="2"/>
      <c r="M2103" s="2"/>
      <c r="N2103" s="1">
        <v>0</v>
      </c>
      <c r="O2103" s="2"/>
      <c r="P2103" s="2"/>
      <c r="Q2103" s="2">
        <v>0</v>
      </c>
      <c r="R2103" s="6"/>
    </row>
    <row r="2104" spans="1:18" x14ac:dyDescent="0.25">
      <c r="A2104" s="2">
        <f t="shared" si="76"/>
        <v>2103</v>
      </c>
      <c r="B2104" s="2"/>
      <c r="C2104" s="2"/>
      <c r="D2104" s="2"/>
      <c r="E2104" s="2"/>
      <c r="F2104" s="2"/>
      <c r="G2104" s="2"/>
      <c r="H2104" s="2" t="str">
        <f t="shared" si="75"/>
        <v>0 г. 0 мес. 0 дн.</v>
      </c>
      <c r="I2104" s="2"/>
      <c r="J2104" s="2"/>
      <c r="K2104" s="2"/>
      <c r="L2104" s="2"/>
      <c r="M2104" s="2"/>
      <c r="N2104" s="1">
        <v>0</v>
      </c>
      <c r="O2104" s="2"/>
      <c r="P2104" s="2"/>
      <c r="Q2104" s="2">
        <v>0</v>
      </c>
      <c r="R2104" s="6"/>
    </row>
    <row r="2105" spans="1:18" x14ac:dyDescent="0.25">
      <c r="A2105" s="2">
        <f t="shared" si="76"/>
        <v>2104</v>
      </c>
      <c r="B2105" s="2"/>
      <c r="C2105" s="2"/>
      <c r="D2105" s="2"/>
      <c r="E2105" s="2"/>
      <c r="F2105" s="2"/>
      <c r="G2105" s="2"/>
      <c r="H2105" s="2" t="str">
        <f t="shared" si="75"/>
        <v>0 г. 0 мес. 0 дн.</v>
      </c>
      <c r="I2105" s="2"/>
      <c r="J2105" s="2"/>
      <c r="K2105" s="2"/>
      <c r="L2105" s="2"/>
      <c r="M2105" s="2"/>
      <c r="N2105" s="1">
        <v>0</v>
      </c>
      <c r="O2105" s="2"/>
      <c r="P2105" s="2"/>
      <c r="Q2105" s="2">
        <v>0</v>
      </c>
      <c r="R2105" s="6"/>
    </row>
    <row r="2106" spans="1:18" x14ac:dyDescent="0.25">
      <c r="A2106" s="2">
        <f t="shared" si="76"/>
        <v>2105</v>
      </c>
      <c r="B2106" s="2"/>
      <c r="C2106" s="2"/>
      <c r="D2106" s="2"/>
      <c r="E2106" s="2"/>
      <c r="F2106" s="2"/>
      <c r="G2106" s="2"/>
      <c r="H2106" s="2" t="str">
        <f t="shared" si="75"/>
        <v>0 г. 0 мес. 0 дн.</v>
      </c>
      <c r="I2106" s="2"/>
      <c r="J2106" s="2"/>
      <c r="K2106" s="2"/>
      <c r="L2106" s="2"/>
      <c r="M2106" s="2"/>
      <c r="N2106" s="1">
        <v>0</v>
      </c>
      <c r="O2106" s="2"/>
      <c r="P2106" s="2"/>
      <c r="Q2106" s="2">
        <v>0</v>
      </c>
      <c r="R2106" s="6"/>
    </row>
    <row r="2107" spans="1:18" x14ac:dyDescent="0.25">
      <c r="A2107" s="2">
        <f t="shared" si="76"/>
        <v>2106</v>
      </c>
      <c r="B2107" s="2"/>
      <c r="C2107" s="2"/>
      <c r="D2107" s="2"/>
      <c r="E2107" s="2"/>
      <c r="F2107" s="2"/>
      <c r="G2107" s="2"/>
      <c r="H2107" s="2" t="str">
        <f t="shared" si="75"/>
        <v>0 г. 0 мес. 0 дн.</v>
      </c>
      <c r="I2107" s="2"/>
      <c r="J2107" s="2"/>
      <c r="K2107" s="2"/>
      <c r="L2107" s="2"/>
      <c r="M2107" s="2"/>
      <c r="N2107" s="1">
        <v>0</v>
      </c>
      <c r="O2107" s="2"/>
      <c r="P2107" s="2"/>
      <c r="Q2107" s="2">
        <v>0</v>
      </c>
      <c r="R2107" s="6"/>
    </row>
    <row r="2108" spans="1:18" x14ac:dyDescent="0.25">
      <c r="A2108" s="2">
        <f t="shared" si="76"/>
        <v>2107</v>
      </c>
      <c r="B2108" s="2"/>
      <c r="C2108" s="2"/>
      <c r="D2108" s="2"/>
      <c r="E2108" s="2"/>
      <c r="F2108" s="2"/>
      <c r="G2108" s="2"/>
      <c r="H2108" s="2" t="str">
        <f t="shared" si="75"/>
        <v>0 г. 0 мес. 0 дн.</v>
      </c>
      <c r="I2108" s="2"/>
      <c r="J2108" s="2"/>
      <c r="K2108" s="2"/>
      <c r="L2108" s="2"/>
      <c r="M2108" s="2"/>
      <c r="N2108" s="1">
        <v>0</v>
      </c>
      <c r="O2108" s="2"/>
      <c r="P2108" s="2"/>
      <c r="Q2108" s="2">
        <v>0</v>
      </c>
      <c r="R2108" s="6"/>
    </row>
    <row r="2109" spans="1:18" x14ac:dyDescent="0.25">
      <c r="A2109" s="2">
        <f t="shared" si="76"/>
        <v>2108</v>
      </c>
      <c r="B2109" s="2"/>
      <c r="C2109" s="2"/>
      <c r="D2109" s="2"/>
      <c r="E2109" s="2"/>
      <c r="F2109" s="2"/>
      <c r="G2109" s="2"/>
      <c r="H2109" s="2" t="str">
        <f t="shared" si="75"/>
        <v>0 г. 0 мес. 0 дн.</v>
      </c>
      <c r="I2109" s="2"/>
      <c r="J2109" s="2"/>
      <c r="K2109" s="2"/>
      <c r="L2109" s="2"/>
      <c r="M2109" s="2"/>
      <c r="N2109" s="1">
        <v>0</v>
      </c>
      <c r="O2109" s="2"/>
      <c r="P2109" s="2"/>
      <c r="Q2109" s="2">
        <v>0</v>
      </c>
      <c r="R2109" s="6"/>
    </row>
    <row r="2110" spans="1:18" x14ac:dyDescent="0.25">
      <c r="A2110" s="2">
        <f t="shared" si="76"/>
        <v>2109</v>
      </c>
      <c r="B2110" s="2"/>
      <c r="C2110" s="2"/>
      <c r="D2110" s="2"/>
      <c r="E2110" s="2"/>
      <c r="F2110" s="2"/>
      <c r="G2110" s="2"/>
      <c r="H2110" s="2" t="str">
        <f t="shared" si="75"/>
        <v>0 г. 0 мес. 0 дн.</v>
      </c>
      <c r="I2110" s="2"/>
      <c r="J2110" s="2"/>
      <c r="K2110" s="2"/>
      <c r="L2110" s="2"/>
      <c r="M2110" s="2"/>
      <c r="N2110" s="1">
        <v>0</v>
      </c>
      <c r="O2110" s="2"/>
      <c r="P2110" s="2"/>
      <c r="Q2110" s="2">
        <v>0</v>
      </c>
      <c r="R2110" s="6"/>
    </row>
    <row r="2111" spans="1:18" x14ac:dyDescent="0.25">
      <c r="A2111" s="2">
        <f t="shared" si="76"/>
        <v>2110</v>
      </c>
      <c r="B2111" s="2"/>
      <c r="C2111" s="2"/>
      <c r="D2111" s="2"/>
      <c r="E2111" s="2"/>
      <c r="F2111" s="2"/>
      <c r="G2111" s="2"/>
      <c r="H2111" s="2" t="str">
        <f t="shared" si="75"/>
        <v>0 г. 0 мес. 0 дн.</v>
      </c>
      <c r="I2111" s="2"/>
      <c r="J2111" s="2"/>
      <c r="K2111" s="2"/>
      <c r="L2111" s="2"/>
      <c r="M2111" s="2"/>
      <c r="N2111" s="1">
        <v>0</v>
      </c>
      <c r="O2111" s="2"/>
      <c r="P2111" s="2"/>
      <c r="Q2111" s="2">
        <v>0</v>
      </c>
      <c r="R2111" s="6"/>
    </row>
    <row r="2112" spans="1:18" x14ac:dyDescent="0.25">
      <c r="A2112" s="2">
        <f t="shared" si="76"/>
        <v>2111</v>
      </c>
      <c r="B2112" s="2"/>
      <c r="C2112" s="2"/>
      <c r="D2112" s="2"/>
      <c r="E2112" s="2"/>
      <c r="F2112" s="2"/>
      <c r="G2112" s="2"/>
      <c r="H2112" s="2" t="str">
        <f t="shared" si="75"/>
        <v>0 г. 0 мес. 0 дн.</v>
      </c>
      <c r="I2112" s="2"/>
      <c r="J2112" s="2"/>
      <c r="K2112" s="2"/>
      <c r="L2112" s="2"/>
      <c r="M2112" s="2"/>
      <c r="N2112" s="1">
        <v>0</v>
      </c>
      <c r="O2112" s="2"/>
      <c r="P2112" s="2"/>
      <c r="Q2112" s="2">
        <v>0</v>
      </c>
      <c r="R2112" s="6"/>
    </row>
    <row r="2113" spans="1:18" x14ac:dyDescent="0.25">
      <c r="A2113" s="2">
        <f t="shared" si="76"/>
        <v>2112</v>
      </c>
      <c r="B2113" s="2"/>
      <c r="C2113" s="2"/>
      <c r="D2113" s="2"/>
      <c r="E2113" s="2"/>
      <c r="F2113" s="2"/>
      <c r="G2113" s="2"/>
      <c r="H2113" s="2" t="str">
        <f t="shared" si="75"/>
        <v>0 г. 0 мес. 0 дн.</v>
      </c>
      <c r="I2113" s="2"/>
      <c r="J2113" s="2"/>
      <c r="K2113" s="2"/>
      <c r="L2113" s="2"/>
      <c r="M2113" s="2"/>
      <c r="N2113" s="1">
        <v>0</v>
      </c>
      <c r="O2113" s="2"/>
      <c r="P2113" s="2"/>
      <c r="Q2113" s="2">
        <v>0</v>
      </c>
      <c r="R2113" s="6"/>
    </row>
    <row r="2114" spans="1:18" x14ac:dyDescent="0.25">
      <c r="A2114" s="2">
        <f t="shared" si="76"/>
        <v>2113</v>
      </c>
      <c r="B2114" s="2"/>
      <c r="C2114" s="2"/>
      <c r="D2114" s="2"/>
      <c r="E2114" s="2"/>
      <c r="F2114" s="2"/>
      <c r="G2114" s="2"/>
      <c r="H2114" s="2" t="str">
        <f t="shared" si="75"/>
        <v>0 г. 0 мес. 0 дн.</v>
      </c>
      <c r="I2114" s="2"/>
      <c r="J2114" s="2"/>
      <c r="K2114" s="2"/>
      <c r="L2114" s="2"/>
      <c r="M2114" s="2"/>
      <c r="N2114" s="1">
        <v>0</v>
      </c>
      <c r="O2114" s="2"/>
      <c r="P2114" s="2"/>
      <c r="Q2114" s="2">
        <v>0</v>
      </c>
      <c r="R2114" s="6"/>
    </row>
    <row r="2115" spans="1:18" x14ac:dyDescent="0.25">
      <c r="A2115" s="2">
        <f t="shared" si="76"/>
        <v>2114</v>
      </c>
      <c r="B2115" s="2"/>
      <c r="C2115" s="2"/>
      <c r="D2115" s="2"/>
      <c r="E2115" s="2"/>
      <c r="F2115" s="2"/>
      <c r="G2115" s="2"/>
      <c r="H2115" s="2" t="str">
        <f t="shared" si="75"/>
        <v>0 г. 0 мес. 0 дн.</v>
      </c>
      <c r="I2115" s="2"/>
      <c r="J2115" s="2"/>
      <c r="K2115" s="2"/>
      <c r="L2115" s="2"/>
      <c r="M2115" s="2"/>
      <c r="N2115" s="1">
        <v>0</v>
      </c>
      <c r="O2115" s="2"/>
      <c r="P2115" s="2"/>
      <c r="Q2115" s="2">
        <v>0</v>
      </c>
      <c r="R2115" s="6"/>
    </row>
    <row r="2116" spans="1:18" x14ac:dyDescent="0.25">
      <c r="A2116" s="2">
        <f t="shared" si="76"/>
        <v>2115</v>
      </c>
      <c r="B2116" s="2"/>
      <c r="C2116" s="2"/>
      <c r="D2116" s="2"/>
      <c r="E2116" s="2"/>
      <c r="F2116" s="2"/>
      <c r="G2116" s="2"/>
      <c r="H2116" s="2" t="str">
        <f t="shared" ref="H2116:H2179" si="77">DATEDIF(G2116,D2116,"y") &amp; " г. " &amp; DATEDIF(G2116,D2116,"ym") &amp; " мес. " &amp; DATEDIF(G2116,D2116,"md") &amp; " дн."</f>
        <v>0 г. 0 мес. 0 дн.</v>
      </c>
      <c r="I2116" s="2"/>
      <c r="J2116" s="2"/>
      <c r="K2116" s="2"/>
      <c r="L2116" s="2"/>
      <c r="M2116" s="2"/>
      <c r="N2116" s="1">
        <v>0</v>
      </c>
      <c r="O2116" s="2"/>
      <c r="P2116" s="2"/>
      <c r="Q2116" s="2">
        <v>0</v>
      </c>
      <c r="R2116" s="6"/>
    </row>
    <row r="2117" spans="1:18" x14ac:dyDescent="0.25">
      <c r="A2117" s="2">
        <f t="shared" si="76"/>
        <v>2116</v>
      </c>
      <c r="B2117" s="2"/>
      <c r="C2117" s="2"/>
      <c r="D2117" s="2"/>
      <c r="E2117" s="2"/>
      <c r="F2117" s="2"/>
      <c r="G2117" s="2"/>
      <c r="H2117" s="2" t="str">
        <f t="shared" si="77"/>
        <v>0 г. 0 мес. 0 дн.</v>
      </c>
      <c r="I2117" s="2"/>
      <c r="J2117" s="2"/>
      <c r="K2117" s="2"/>
      <c r="L2117" s="2"/>
      <c r="M2117" s="2"/>
      <c r="N2117" s="1">
        <v>0</v>
      </c>
      <c r="O2117" s="2"/>
      <c r="P2117" s="2"/>
      <c r="Q2117" s="2">
        <v>0</v>
      </c>
      <c r="R2117" s="6"/>
    </row>
    <row r="2118" spans="1:18" x14ac:dyDescent="0.25">
      <c r="A2118" s="2">
        <f t="shared" si="76"/>
        <v>2117</v>
      </c>
      <c r="B2118" s="2"/>
      <c r="C2118" s="2"/>
      <c r="D2118" s="2"/>
      <c r="E2118" s="2"/>
      <c r="F2118" s="2"/>
      <c r="G2118" s="2"/>
      <c r="H2118" s="2" t="str">
        <f t="shared" si="77"/>
        <v>0 г. 0 мес. 0 дн.</v>
      </c>
      <c r="I2118" s="2"/>
      <c r="J2118" s="2"/>
      <c r="K2118" s="2"/>
      <c r="L2118" s="2"/>
      <c r="M2118" s="2"/>
      <c r="N2118" s="1">
        <v>0</v>
      </c>
      <c r="O2118" s="2"/>
      <c r="P2118" s="2"/>
      <c r="Q2118" s="2">
        <v>0</v>
      </c>
      <c r="R2118" s="6"/>
    </row>
    <row r="2119" spans="1:18" x14ac:dyDescent="0.25">
      <c r="A2119" s="2">
        <f t="shared" si="76"/>
        <v>2118</v>
      </c>
      <c r="B2119" s="2"/>
      <c r="C2119" s="2"/>
      <c r="D2119" s="2"/>
      <c r="E2119" s="2"/>
      <c r="F2119" s="2"/>
      <c r="G2119" s="2"/>
      <c r="H2119" s="2" t="str">
        <f t="shared" si="77"/>
        <v>0 г. 0 мес. 0 дн.</v>
      </c>
      <c r="I2119" s="2"/>
      <c r="J2119" s="2"/>
      <c r="K2119" s="2"/>
      <c r="L2119" s="2"/>
      <c r="M2119" s="2"/>
      <c r="N2119" s="1">
        <v>0</v>
      </c>
      <c r="O2119" s="2"/>
      <c r="P2119" s="2"/>
      <c r="Q2119" s="2">
        <v>0</v>
      </c>
      <c r="R2119" s="6"/>
    </row>
    <row r="2120" spans="1:18" x14ac:dyDescent="0.25">
      <c r="A2120" s="2">
        <f t="shared" si="76"/>
        <v>2119</v>
      </c>
      <c r="B2120" s="2"/>
      <c r="C2120" s="2"/>
      <c r="D2120" s="2"/>
      <c r="E2120" s="2"/>
      <c r="F2120" s="2"/>
      <c r="G2120" s="2"/>
      <c r="H2120" s="2" t="str">
        <f t="shared" si="77"/>
        <v>0 г. 0 мес. 0 дн.</v>
      </c>
      <c r="I2120" s="2"/>
      <c r="J2120" s="2"/>
      <c r="K2120" s="2"/>
      <c r="L2120" s="2"/>
      <c r="M2120" s="2"/>
      <c r="N2120" s="1">
        <v>0</v>
      </c>
      <c r="O2120" s="2"/>
      <c r="P2120" s="2"/>
      <c r="Q2120" s="2">
        <v>0</v>
      </c>
      <c r="R2120" s="6"/>
    </row>
    <row r="2121" spans="1:18" x14ac:dyDescent="0.25">
      <c r="A2121" s="2">
        <f t="shared" si="76"/>
        <v>2120</v>
      </c>
      <c r="B2121" s="2"/>
      <c r="C2121" s="2"/>
      <c r="D2121" s="2"/>
      <c r="E2121" s="2"/>
      <c r="F2121" s="2"/>
      <c r="G2121" s="2"/>
      <c r="H2121" s="2" t="str">
        <f t="shared" si="77"/>
        <v>0 г. 0 мес. 0 дн.</v>
      </c>
      <c r="I2121" s="2"/>
      <c r="J2121" s="2"/>
      <c r="K2121" s="2"/>
      <c r="L2121" s="2"/>
      <c r="M2121" s="2"/>
      <c r="N2121" s="1">
        <v>0</v>
      </c>
      <c r="O2121" s="2"/>
      <c r="P2121" s="2"/>
      <c r="Q2121" s="2">
        <v>0</v>
      </c>
      <c r="R2121" s="6"/>
    </row>
    <row r="2122" spans="1:18" x14ac:dyDescent="0.25">
      <c r="A2122" s="2">
        <f t="shared" si="76"/>
        <v>2121</v>
      </c>
      <c r="B2122" s="2"/>
      <c r="C2122" s="2"/>
      <c r="D2122" s="2"/>
      <c r="E2122" s="2"/>
      <c r="F2122" s="2"/>
      <c r="G2122" s="2"/>
      <c r="H2122" s="2" t="str">
        <f t="shared" si="77"/>
        <v>0 г. 0 мес. 0 дн.</v>
      </c>
      <c r="I2122" s="2"/>
      <c r="J2122" s="2"/>
      <c r="K2122" s="2"/>
      <c r="L2122" s="2"/>
      <c r="M2122" s="2"/>
      <c r="N2122" s="1">
        <v>0</v>
      </c>
      <c r="O2122" s="2"/>
      <c r="P2122" s="2"/>
      <c r="Q2122" s="2">
        <v>0</v>
      </c>
      <c r="R2122" s="6"/>
    </row>
    <row r="2123" spans="1:18" x14ac:dyDescent="0.25">
      <c r="A2123" s="2">
        <f t="shared" si="76"/>
        <v>2122</v>
      </c>
      <c r="B2123" s="2"/>
      <c r="C2123" s="2"/>
      <c r="D2123" s="2"/>
      <c r="E2123" s="2"/>
      <c r="F2123" s="2"/>
      <c r="G2123" s="2"/>
      <c r="H2123" s="2" t="str">
        <f t="shared" si="77"/>
        <v>0 г. 0 мес. 0 дн.</v>
      </c>
      <c r="I2123" s="2"/>
      <c r="J2123" s="2"/>
      <c r="K2123" s="2"/>
      <c r="L2123" s="2"/>
      <c r="M2123" s="2"/>
      <c r="N2123" s="1">
        <v>0</v>
      </c>
      <c r="O2123" s="2"/>
      <c r="P2123" s="2"/>
      <c r="Q2123" s="2">
        <v>0</v>
      </c>
      <c r="R2123" s="6"/>
    </row>
    <row r="2124" spans="1:18" x14ac:dyDescent="0.25">
      <c r="A2124" s="2">
        <f t="shared" si="76"/>
        <v>2123</v>
      </c>
      <c r="B2124" s="2"/>
      <c r="C2124" s="2"/>
      <c r="D2124" s="2"/>
      <c r="E2124" s="2"/>
      <c r="F2124" s="2"/>
      <c r="G2124" s="2"/>
      <c r="H2124" s="2" t="str">
        <f t="shared" si="77"/>
        <v>0 г. 0 мес. 0 дн.</v>
      </c>
      <c r="I2124" s="2"/>
      <c r="J2124" s="2"/>
      <c r="K2124" s="2"/>
      <c r="L2124" s="2"/>
      <c r="M2124" s="2"/>
      <c r="N2124" s="1">
        <v>0</v>
      </c>
      <c r="O2124" s="2"/>
      <c r="P2124" s="2"/>
      <c r="Q2124" s="2">
        <v>0</v>
      </c>
      <c r="R2124" s="6"/>
    </row>
    <row r="2125" spans="1:18" x14ac:dyDescent="0.25">
      <c r="A2125" s="2">
        <f t="shared" si="76"/>
        <v>2124</v>
      </c>
      <c r="B2125" s="2"/>
      <c r="C2125" s="2"/>
      <c r="D2125" s="2"/>
      <c r="E2125" s="2"/>
      <c r="F2125" s="2"/>
      <c r="G2125" s="2"/>
      <c r="H2125" s="2" t="str">
        <f t="shared" si="77"/>
        <v>0 г. 0 мес. 0 дн.</v>
      </c>
      <c r="I2125" s="2"/>
      <c r="J2125" s="2"/>
      <c r="K2125" s="2"/>
      <c r="L2125" s="2"/>
      <c r="M2125" s="2"/>
      <c r="N2125" s="1">
        <v>0</v>
      </c>
      <c r="O2125" s="2"/>
      <c r="P2125" s="2"/>
      <c r="Q2125" s="2">
        <v>0</v>
      </c>
      <c r="R2125" s="6"/>
    </row>
    <row r="2126" spans="1:18" x14ac:dyDescent="0.25">
      <c r="A2126" s="2">
        <f t="shared" si="76"/>
        <v>2125</v>
      </c>
      <c r="B2126" s="2"/>
      <c r="C2126" s="2"/>
      <c r="D2126" s="2"/>
      <c r="E2126" s="2"/>
      <c r="F2126" s="2"/>
      <c r="G2126" s="2"/>
      <c r="H2126" s="2" t="str">
        <f t="shared" si="77"/>
        <v>0 г. 0 мес. 0 дн.</v>
      </c>
      <c r="I2126" s="2"/>
      <c r="J2126" s="2"/>
      <c r="K2126" s="2"/>
      <c r="L2126" s="2"/>
      <c r="M2126" s="2"/>
      <c r="N2126" s="1">
        <v>0</v>
      </c>
      <c r="O2126" s="2"/>
      <c r="P2126" s="2"/>
      <c r="Q2126" s="2">
        <v>0</v>
      </c>
      <c r="R2126" s="6"/>
    </row>
    <row r="2127" spans="1:18" x14ac:dyDescent="0.25">
      <c r="A2127" s="2">
        <f t="shared" si="76"/>
        <v>2126</v>
      </c>
      <c r="B2127" s="2"/>
      <c r="C2127" s="2"/>
      <c r="D2127" s="2"/>
      <c r="E2127" s="2"/>
      <c r="F2127" s="2"/>
      <c r="G2127" s="2"/>
      <c r="H2127" s="2" t="str">
        <f t="shared" si="77"/>
        <v>0 г. 0 мес. 0 дн.</v>
      </c>
      <c r="I2127" s="2"/>
      <c r="J2127" s="2"/>
      <c r="K2127" s="2"/>
      <c r="L2127" s="2"/>
      <c r="M2127" s="2"/>
      <c r="N2127" s="1">
        <v>0</v>
      </c>
      <c r="O2127" s="2"/>
      <c r="P2127" s="2"/>
      <c r="Q2127" s="2">
        <v>0</v>
      </c>
      <c r="R2127" s="6"/>
    </row>
    <row r="2128" spans="1:18" x14ac:dyDescent="0.25">
      <c r="A2128" s="2">
        <f t="shared" si="76"/>
        <v>2127</v>
      </c>
      <c r="B2128" s="2"/>
      <c r="C2128" s="2"/>
      <c r="D2128" s="2"/>
      <c r="E2128" s="2"/>
      <c r="F2128" s="2"/>
      <c r="G2128" s="2"/>
      <c r="H2128" s="2" t="str">
        <f t="shared" si="77"/>
        <v>0 г. 0 мес. 0 дн.</v>
      </c>
      <c r="I2128" s="2"/>
      <c r="J2128" s="2"/>
      <c r="K2128" s="2"/>
      <c r="L2128" s="2"/>
      <c r="M2128" s="2"/>
      <c r="N2128" s="1">
        <v>0</v>
      </c>
      <c r="O2128" s="2"/>
      <c r="P2128" s="2"/>
      <c r="Q2128" s="2">
        <v>0</v>
      </c>
      <c r="R2128" s="6"/>
    </row>
    <row r="2129" spans="1:18" x14ac:dyDescent="0.25">
      <c r="A2129" s="2">
        <f t="shared" si="76"/>
        <v>2128</v>
      </c>
      <c r="B2129" s="2"/>
      <c r="C2129" s="2"/>
      <c r="D2129" s="2"/>
      <c r="E2129" s="2"/>
      <c r="F2129" s="2"/>
      <c r="G2129" s="2"/>
      <c r="H2129" s="2" t="str">
        <f t="shared" si="77"/>
        <v>0 г. 0 мес. 0 дн.</v>
      </c>
      <c r="I2129" s="2"/>
      <c r="J2129" s="2"/>
      <c r="K2129" s="2"/>
      <c r="L2129" s="2"/>
      <c r="M2129" s="2"/>
      <c r="N2129" s="1">
        <v>0</v>
      </c>
      <c r="O2129" s="2"/>
      <c r="P2129" s="2"/>
      <c r="Q2129" s="2">
        <v>0</v>
      </c>
      <c r="R2129" s="6"/>
    </row>
    <row r="2130" spans="1:18" x14ac:dyDescent="0.25">
      <c r="A2130" s="2">
        <f t="shared" si="76"/>
        <v>2129</v>
      </c>
      <c r="B2130" s="2"/>
      <c r="C2130" s="2"/>
      <c r="D2130" s="2"/>
      <c r="E2130" s="2"/>
      <c r="F2130" s="2"/>
      <c r="G2130" s="2"/>
      <c r="H2130" s="2" t="str">
        <f t="shared" si="77"/>
        <v>0 г. 0 мес. 0 дн.</v>
      </c>
      <c r="I2130" s="2"/>
      <c r="J2130" s="2"/>
      <c r="K2130" s="2"/>
      <c r="L2130" s="2"/>
      <c r="M2130" s="2"/>
      <c r="N2130" s="1">
        <v>0</v>
      </c>
      <c r="O2130" s="2"/>
      <c r="P2130" s="2"/>
      <c r="Q2130" s="2">
        <v>0</v>
      </c>
      <c r="R2130" s="6"/>
    </row>
    <row r="2131" spans="1:18" x14ac:dyDescent="0.25">
      <c r="A2131" s="2">
        <f t="shared" si="76"/>
        <v>2130</v>
      </c>
      <c r="B2131" s="2"/>
      <c r="C2131" s="2"/>
      <c r="D2131" s="2"/>
      <c r="E2131" s="2"/>
      <c r="F2131" s="2"/>
      <c r="G2131" s="2"/>
      <c r="H2131" s="2" t="str">
        <f t="shared" si="77"/>
        <v>0 г. 0 мес. 0 дн.</v>
      </c>
      <c r="I2131" s="2"/>
      <c r="J2131" s="2"/>
      <c r="K2131" s="2"/>
      <c r="L2131" s="2"/>
      <c r="M2131" s="2"/>
      <c r="N2131" s="1">
        <v>0</v>
      </c>
      <c r="O2131" s="2"/>
      <c r="P2131" s="2"/>
      <c r="Q2131" s="2">
        <v>0</v>
      </c>
      <c r="R2131" s="6"/>
    </row>
    <row r="2132" spans="1:18" x14ac:dyDescent="0.25">
      <c r="A2132" s="2">
        <f t="shared" si="76"/>
        <v>2131</v>
      </c>
      <c r="B2132" s="2"/>
      <c r="C2132" s="2"/>
      <c r="D2132" s="2"/>
      <c r="E2132" s="2"/>
      <c r="F2132" s="2"/>
      <c r="G2132" s="2"/>
      <c r="H2132" s="2" t="str">
        <f t="shared" si="77"/>
        <v>0 г. 0 мес. 0 дн.</v>
      </c>
      <c r="I2132" s="2"/>
      <c r="J2132" s="2"/>
      <c r="K2132" s="2"/>
      <c r="L2132" s="2"/>
      <c r="M2132" s="2"/>
      <c r="N2132" s="1">
        <v>0</v>
      </c>
      <c r="O2132" s="2"/>
      <c r="P2132" s="2"/>
      <c r="Q2132" s="2">
        <v>0</v>
      </c>
      <c r="R2132" s="6"/>
    </row>
    <row r="2133" spans="1:18" x14ac:dyDescent="0.25">
      <c r="A2133" s="2">
        <f t="shared" si="76"/>
        <v>2132</v>
      </c>
      <c r="B2133" s="2"/>
      <c r="C2133" s="2"/>
      <c r="D2133" s="2"/>
      <c r="E2133" s="2"/>
      <c r="F2133" s="2"/>
      <c r="G2133" s="2"/>
      <c r="H2133" s="2" t="str">
        <f t="shared" si="77"/>
        <v>0 г. 0 мес. 0 дн.</v>
      </c>
      <c r="I2133" s="2"/>
      <c r="J2133" s="2"/>
      <c r="K2133" s="2"/>
      <c r="L2133" s="2"/>
      <c r="M2133" s="2"/>
      <c r="N2133" s="1">
        <v>0</v>
      </c>
      <c r="O2133" s="2"/>
      <c r="P2133" s="2"/>
      <c r="Q2133" s="2">
        <v>0</v>
      </c>
      <c r="R2133" s="6"/>
    </row>
    <row r="2134" spans="1:18" x14ac:dyDescent="0.25">
      <c r="A2134" s="2">
        <f t="shared" si="76"/>
        <v>2133</v>
      </c>
      <c r="B2134" s="2"/>
      <c r="C2134" s="2"/>
      <c r="D2134" s="2"/>
      <c r="E2134" s="2"/>
      <c r="F2134" s="2"/>
      <c r="G2134" s="2"/>
      <c r="H2134" s="2" t="str">
        <f t="shared" si="77"/>
        <v>0 г. 0 мес. 0 дн.</v>
      </c>
      <c r="I2134" s="2"/>
      <c r="J2134" s="2"/>
      <c r="K2134" s="2"/>
      <c r="L2134" s="2"/>
      <c r="M2134" s="2"/>
      <c r="N2134" s="1">
        <v>0</v>
      </c>
      <c r="O2134" s="2"/>
      <c r="P2134" s="2"/>
      <c r="Q2134" s="2">
        <v>0</v>
      </c>
      <c r="R2134" s="6"/>
    </row>
    <row r="2135" spans="1:18" x14ac:dyDescent="0.25">
      <c r="A2135" s="2">
        <f t="shared" si="76"/>
        <v>2134</v>
      </c>
      <c r="B2135" s="2"/>
      <c r="C2135" s="2"/>
      <c r="D2135" s="2"/>
      <c r="E2135" s="2"/>
      <c r="F2135" s="2"/>
      <c r="G2135" s="2"/>
      <c r="H2135" s="2" t="str">
        <f t="shared" si="77"/>
        <v>0 г. 0 мес. 0 дн.</v>
      </c>
      <c r="I2135" s="2"/>
      <c r="J2135" s="2"/>
      <c r="K2135" s="2"/>
      <c r="L2135" s="2"/>
      <c r="M2135" s="2"/>
      <c r="N2135" s="1">
        <v>0</v>
      </c>
      <c r="O2135" s="2"/>
      <c r="P2135" s="2"/>
      <c r="Q2135" s="2">
        <v>0</v>
      </c>
      <c r="R2135" s="6"/>
    </row>
    <row r="2136" spans="1:18" x14ac:dyDescent="0.25">
      <c r="A2136" s="2">
        <f t="shared" si="76"/>
        <v>2135</v>
      </c>
      <c r="B2136" s="2"/>
      <c r="C2136" s="2"/>
      <c r="D2136" s="2"/>
      <c r="E2136" s="2"/>
      <c r="F2136" s="2"/>
      <c r="G2136" s="2"/>
      <c r="H2136" s="2" t="str">
        <f t="shared" si="77"/>
        <v>0 г. 0 мес. 0 дн.</v>
      </c>
      <c r="I2136" s="2"/>
      <c r="J2136" s="2"/>
      <c r="K2136" s="2"/>
      <c r="L2136" s="2"/>
      <c r="M2136" s="2"/>
      <c r="N2136" s="1">
        <v>0</v>
      </c>
      <c r="O2136" s="2"/>
      <c r="P2136" s="2"/>
      <c r="Q2136" s="2">
        <v>0</v>
      </c>
      <c r="R2136" s="6"/>
    </row>
    <row r="2137" spans="1:18" x14ac:dyDescent="0.25">
      <c r="A2137" s="2">
        <f t="shared" si="76"/>
        <v>2136</v>
      </c>
      <c r="B2137" s="2"/>
      <c r="C2137" s="2"/>
      <c r="D2137" s="2"/>
      <c r="E2137" s="2"/>
      <c r="F2137" s="2"/>
      <c r="G2137" s="2"/>
      <c r="H2137" s="2" t="str">
        <f t="shared" si="77"/>
        <v>0 г. 0 мес. 0 дн.</v>
      </c>
      <c r="I2137" s="2"/>
      <c r="J2137" s="2"/>
      <c r="K2137" s="2"/>
      <c r="L2137" s="2"/>
      <c r="M2137" s="2"/>
      <c r="N2137" s="1">
        <v>0</v>
      </c>
      <c r="O2137" s="2"/>
      <c r="P2137" s="2"/>
      <c r="Q2137" s="2">
        <v>0</v>
      </c>
      <c r="R2137" s="6"/>
    </row>
    <row r="2138" spans="1:18" x14ac:dyDescent="0.25">
      <c r="A2138" s="2">
        <f t="shared" si="76"/>
        <v>2137</v>
      </c>
      <c r="B2138" s="2"/>
      <c r="C2138" s="2"/>
      <c r="D2138" s="2"/>
      <c r="E2138" s="2"/>
      <c r="F2138" s="2"/>
      <c r="G2138" s="2"/>
      <c r="H2138" s="2" t="str">
        <f t="shared" si="77"/>
        <v>0 г. 0 мес. 0 дн.</v>
      </c>
      <c r="I2138" s="2"/>
      <c r="J2138" s="2"/>
      <c r="K2138" s="2"/>
      <c r="L2138" s="2"/>
      <c r="M2138" s="2"/>
      <c r="N2138" s="1">
        <v>0</v>
      </c>
      <c r="O2138" s="2"/>
      <c r="P2138" s="2"/>
      <c r="Q2138" s="2">
        <v>0</v>
      </c>
      <c r="R2138" s="6"/>
    </row>
    <row r="2139" spans="1:18" x14ac:dyDescent="0.25">
      <c r="A2139" s="2">
        <f t="shared" si="76"/>
        <v>2138</v>
      </c>
      <c r="B2139" s="2"/>
      <c r="C2139" s="2"/>
      <c r="D2139" s="2"/>
      <c r="E2139" s="2"/>
      <c r="F2139" s="2"/>
      <c r="G2139" s="2"/>
      <c r="H2139" s="2" t="str">
        <f t="shared" si="77"/>
        <v>0 г. 0 мес. 0 дн.</v>
      </c>
      <c r="I2139" s="2"/>
      <c r="J2139" s="2"/>
      <c r="K2139" s="2"/>
      <c r="L2139" s="2"/>
      <c r="M2139" s="2"/>
      <c r="N2139" s="1">
        <v>0</v>
      </c>
      <c r="O2139" s="2"/>
      <c r="P2139" s="2"/>
      <c r="Q2139" s="2">
        <v>0</v>
      </c>
      <c r="R2139" s="6"/>
    </row>
    <row r="2140" spans="1:18" x14ac:dyDescent="0.25">
      <c r="A2140" s="2">
        <f t="shared" si="76"/>
        <v>2139</v>
      </c>
      <c r="B2140" s="2"/>
      <c r="C2140" s="2"/>
      <c r="D2140" s="2"/>
      <c r="E2140" s="2"/>
      <c r="F2140" s="2"/>
      <c r="G2140" s="2"/>
      <c r="H2140" s="2" t="str">
        <f t="shared" si="77"/>
        <v>0 г. 0 мес. 0 дн.</v>
      </c>
      <c r="I2140" s="2"/>
      <c r="J2140" s="2"/>
      <c r="K2140" s="2"/>
      <c r="L2140" s="2"/>
      <c r="M2140" s="2"/>
      <c r="N2140" s="1">
        <v>0</v>
      </c>
      <c r="O2140" s="2"/>
      <c r="P2140" s="2"/>
      <c r="Q2140" s="2">
        <v>0</v>
      </c>
      <c r="R2140" s="6"/>
    </row>
    <row r="2141" spans="1:18" x14ac:dyDescent="0.25">
      <c r="A2141" s="2">
        <f t="shared" ref="A2141:A2204" si="78">ROW(A2140)</f>
        <v>2140</v>
      </c>
      <c r="B2141" s="2"/>
      <c r="C2141" s="2"/>
      <c r="D2141" s="2"/>
      <c r="E2141" s="2"/>
      <c r="F2141" s="2"/>
      <c r="G2141" s="2"/>
      <c r="H2141" s="2" t="str">
        <f t="shared" si="77"/>
        <v>0 г. 0 мес. 0 дн.</v>
      </c>
      <c r="I2141" s="2"/>
      <c r="J2141" s="2"/>
      <c r="K2141" s="2"/>
      <c r="L2141" s="2"/>
      <c r="M2141" s="2"/>
      <c r="N2141" s="1">
        <v>0</v>
      </c>
      <c r="O2141" s="2"/>
      <c r="P2141" s="2"/>
      <c r="Q2141" s="2">
        <v>0</v>
      </c>
      <c r="R2141" s="6"/>
    </row>
    <row r="2142" spans="1:18" x14ac:dyDescent="0.25">
      <c r="A2142" s="2">
        <f t="shared" si="78"/>
        <v>2141</v>
      </c>
      <c r="B2142" s="2"/>
      <c r="C2142" s="2"/>
      <c r="D2142" s="2"/>
      <c r="E2142" s="2"/>
      <c r="F2142" s="2"/>
      <c r="G2142" s="2"/>
      <c r="H2142" s="2" t="str">
        <f t="shared" si="77"/>
        <v>0 г. 0 мес. 0 дн.</v>
      </c>
      <c r="I2142" s="2"/>
      <c r="J2142" s="2"/>
      <c r="K2142" s="2"/>
      <c r="L2142" s="2"/>
      <c r="M2142" s="2"/>
      <c r="N2142" s="1">
        <v>0</v>
      </c>
      <c r="O2142" s="2"/>
      <c r="P2142" s="2"/>
      <c r="Q2142" s="2">
        <v>0</v>
      </c>
      <c r="R2142" s="6"/>
    </row>
    <row r="2143" spans="1:18" x14ac:dyDescent="0.25">
      <c r="A2143" s="2">
        <f t="shared" si="78"/>
        <v>2142</v>
      </c>
      <c r="B2143" s="2"/>
      <c r="C2143" s="2"/>
      <c r="D2143" s="2"/>
      <c r="E2143" s="2"/>
      <c r="F2143" s="2"/>
      <c r="G2143" s="2"/>
      <c r="H2143" s="2" t="str">
        <f t="shared" si="77"/>
        <v>0 г. 0 мес. 0 дн.</v>
      </c>
      <c r="I2143" s="2"/>
      <c r="J2143" s="2"/>
      <c r="K2143" s="2"/>
      <c r="L2143" s="2"/>
      <c r="M2143" s="2"/>
      <c r="N2143" s="1">
        <v>0</v>
      </c>
      <c r="O2143" s="2"/>
      <c r="P2143" s="2"/>
      <c r="Q2143" s="2">
        <v>0</v>
      </c>
      <c r="R2143" s="6"/>
    </row>
    <row r="2144" spans="1:18" x14ac:dyDescent="0.25">
      <c r="A2144" s="2">
        <f t="shared" si="78"/>
        <v>2143</v>
      </c>
      <c r="B2144" s="2"/>
      <c r="C2144" s="2"/>
      <c r="D2144" s="2"/>
      <c r="E2144" s="2"/>
      <c r="F2144" s="2"/>
      <c r="G2144" s="2"/>
      <c r="H2144" s="2" t="str">
        <f t="shared" si="77"/>
        <v>0 г. 0 мес. 0 дн.</v>
      </c>
      <c r="I2144" s="2"/>
      <c r="J2144" s="2"/>
      <c r="K2144" s="2"/>
      <c r="L2144" s="2"/>
      <c r="M2144" s="2"/>
      <c r="N2144" s="1">
        <v>0</v>
      </c>
      <c r="O2144" s="2"/>
      <c r="P2144" s="2"/>
      <c r="Q2144" s="2">
        <v>0</v>
      </c>
      <c r="R2144" s="6"/>
    </row>
    <row r="2145" spans="1:18" x14ac:dyDescent="0.25">
      <c r="A2145" s="2">
        <f t="shared" si="78"/>
        <v>2144</v>
      </c>
      <c r="B2145" s="2"/>
      <c r="C2145" s="2"/>
      <c r="D2145" s="2"/>
      <c r="E2145" s="2"/>
      <c r="F2145" s="2"/>
      <c r="G2145" s="2"/>
      <c r="H2145" s="2" t="str">
        <f t="shared" si="77"/>
        <v>0 г. 0 мес. 0 дн.</v>
      </c>
      <c r="I2145" s="2"/>
      <c r="J2145" s="2"/>
      <c r="K2145" s="2"/>
      <c r="L2145" s="2"/>
      <c r="M2145" s="2"/>
      <c r="N2145" s="1">
        <v>0</v>
      </c>
      <c r="O2145" s="2"/>
      <c r="P2145" s="2"/>
      <c r="Q2145" s="2">
        <v>0</v>
      </c>
      <c r="R2145" s="6"/>
    </row>
    <row r="2146" spans="1:18" x14ac:dyDescent="0.25">
      <c r="A2146" s="2">
        <f t="shared" si="78"/>
        <v>2145</v>
      </c>
      <c r="B2146" s="2"/>
      <c r="C2146" s="2"/>
      <c r="D2146" s="2"/>
      <c r="E2146" s="2"/>
      <c r="F2146" s="2"/>
      <c r="G2146" s="2"/>
      <c r="H2146" s="2" t="str">
        <f t="shared" si="77"/>
        <v>0 г. 0 мес. 0 дн.</v>
      </c>
      <c r="I2146" s="2"/>
      <c r="J2146" s="2"/>
      <c r="K2146" s="2"/>
      <c r="L2146" s="2"/>
      <c r="M2146" s="2"/>
      <c r="N2146" s="1">
        <v>0</v>
      </c>
      <c r="O2146" s="2"/>
      <c r="P2146" s="2"/>
      <c r="Q2146" s="2">
        <v>0</v>
      </c>
      <c r="R2146" s="6"/>
    </row>
    <row r="2147" spans="1:18" x14ac:dyDescent="0.25">
      <c r="A2147" s="2">
        <f t="shared" si="78"/>
        <v>2146</v>
      </c>
      <c r="B2147" s="2"/>
      <c r="C2147" s="2"/>
      <c r="D2147" s="2"/>
      <c r="E2147" s="2"/>
      <c r="F2147" s="2"/>
      <c r="G2147" s="2"/>
      <c r="H2147" s="2" t="str">
        <f t="shared" si="77"/>
        <v>0 г. 0 мес. 0 дн.</v>
      </c>
      <c r="I2147" s="2"/>
      <c r="J2147" s="2"/>
      <c r="K2147" s="2"/>
      <c r="L2147" s="2"/>
      <c r="M2147" s="2"/>
      <c r="N2147" s="1">
        <v>0</v>
      </c>
      <c r="O2147" s="2"/>
      <c r="P2147" s="2"/>
      <c r="Q2147" s="2">
        <v>0</v>
      </c>
      <c r="R2147" s="6"/>
    </row>
    <row r="2148" spans="1:18" x14ac:dyDescent="0.25">
      <c r="A2148" s="2">
        <f t="shared" si="78"/>
        <v>2147</v>
      </c>
      <c r="B2148" s="2"/>
      <c r="C2148" s="2"/>
      <c r="D2148" s="2"/>
      <c r="E2148" s="2"/>
      <c r="F2148" s="2"/>
      <c r="G2148" s="2"/>
      <c r="H2148" s="2" t="str">
        <f t="shared" si="77"/>
        <v>0 г. 0 мес. 0 дн.</v>
      </c>
      <c r="I2148" s="2"/>
      <c r="J2148" s="2"/>
      <c r="K2148" s="2"/>
      <c r="L2148" s="2"/>
      <c r="M2148" s="2"/>
      <c r="N2148" s="1">
        <v>0</v>
      </c>
      <c r="O2148" s="2"/>
      <c r="P2148" s="2"/>
      <c r="Q2148" s="2">
        <v>0</v>
      </c>
      <c r="R2148" s="6"/>
    </row>
    <row r="2149" spans="1:18" x14ac:dyDescent="0.25">
      <c r="A2149" s="2">
        <f t="shared" si="78"/>
        <v>2148</v>
      </c>
      <c r="B2149" s="2"/>
      <c r="C2149" s="2"/>
      <c r="D2149" s="2"/>
      <c r="E2149" s="2"/>
      <c r="F2149" s="2"/>
      <c r="G2149" s="2"/>
      <c r="H2149" s="2" t="str">
        <f t="shared" si="77"/>
        <v>0 г. 0 мес. 0 дн.</v>
      </c>
      <c r="I2149" s="2"/>
      <c r="J2149" s="2"/>
      <c r="K2149" s="2"/>
      <c r="L2149" s="2"/>
      <c r="M2149" s="2"/>
      <c r="N2149" s="1">
        <v>0</v>
      </c>
      <c r="O2149" s="2"/>
      <c r="P2149" s="2"/>
      <c r="Q2149" s="2">
        <v>0</v>
      </c>
      <c r="R2149" s="6"/>
    </row>
    <row r="2150" spans="1:18" x14ac:dyDescent="0.25">
      <c r="A2150" s="2">
        <f t="shared" si="78"/>
        <v>2149</v>
      </c>
      <c r="B2150" s="2"/>
      <c r="C2150" s="2"/>
      <c r="D2150" s="2"/>
      <c r="E2150" s="2"/>
      <c r="F2150" s="2"/>
      <c r="G2150" s="2"/>
      <c r="H2150" s="2" t="str">
        <f t="shared" si="77"/>
        <v>0 г. 0 мес. 0 дн.</v>
      </c>
      <c r="I2150" s="2"/>
      <c r="J2150" s="2"/>
      <c r="K2150" s="2"/>
      <c r="L2150" s="2"/>
      <c r="M2150" s="2"/>
      <c r="N2150" s="1">
        <v>0</v>
      </c>
      <c r="O2150" s="2"/>
      <c r="P2150" s="2"/>
      <c r="Q2150" s="2">
        <v>0</v>
      </c>
      <c r="R2150" s="6"/>
    </row>
    <row r="2151" spans="1:18" x14ac:dyDescent="0.25">
      <c r="A2151" s="2">
        <f t="shared" si="78"/>
        <v>2150</v>
      </c>
      <c r="B2151" s="2"/>
      <c r="C2151" s="2"/>
      <c r="D2151" s="2"/>
      <c r="E2151" s="2"/>
      <c r="F2151" s="2"/>
      <c r="G2151" s="2"/>
      <c r="H2151" s="2" t="str">
        <f t="shared" si="77"/>
        <v>0 г. 0 мес. 0 дн.</v>
      </c>
      <c r="I2151" s="2"/>
      <c r="J2151" s="2"/>
      <c r="K2151" s="2"/>
      <c r="L2151" s="2"/>
      <c r="M2151" s="2"/>
      <c r="N2151" s="1">
        <v>0</v>
      </c>
      <c r="O2151" s="2"/>
      <c r="P2151" s="2"/>
      <c r="Q2151" s="2">
        <v>0</v>
      </c>
      <c r="R2151" s="6"/>
    </row>
    <row r="2152" spans="1:18" x14ac:dyDescent="0.25">
      <c r="A2152" s="2">
        <f t="shared" si="78"/>
        <v>2151</v>
      </c>
      <c r="B2152" s="2"/>
      <c r="C2152" s="2"/>
      <c r="D2152" s="2"/>
      <c r="E2152" s="2"/>
      <c r="F2152" s="2"/>
      <c r="G2152" s="2"/>
      <c r="H2152" s="2" t="str">
        <f t="shared" si="77"/>
        <v>0 г. 0 мес. 0 дн.</v>
      </c>
      <c r="I2152" s="2"/>
      <c r="J2152" s="2"/>
      <c r="K2152" s="2"/>
      <c r="L2152" s="2"/>
      <c r="M2152" s="2"/>
      <c r="N2152" s="1">
        <v>0</v>
      </c>
      <c r="O2152" s="2"/>
      <c r="P2152" s="2"/>
      <c r="Q2152" s="2">
        <v>0</v>
      </c>
      <c r="R2152" s="6"/>
    </row>
    <row r="2153" spans="1:18" x14ac:dyDescent="0.25">
      <c r="A2153" s="2">
        <f t="shared" si="78"/>
        <v>2152</v>
      </c>
      <c r="B2153" s="2"/>
      <c r="C2153" s="2"/>
      <c r="D2153" s="2"/>
      <c r="E2153" s="2"/>
      <c r="F2153" s="2"/>
      <c r="G2153" s="2"/>
      <c r="H2153" s="2" t="str">
        <f t="shared" si="77"/>
        <v>0 г. 0 мес. 0 дн.</v>
      </c>
      <c r="I2153" s="2"/>
      <c r="J2153" s="2"/>
      <c r="K2153" s="2"/>
      <c r="L2153" s="2"/>
      <c r="M2153" s="2"/>
      <c r="N2153" s="1">
        <v>0</v>
      </c>
      <c r="O2153" s="2"/>
      <c r="P2153" s="2"/>
      <c r="Q2153" s="2">
        <v>0</v>
      </c>
      <c r="R2153" s="6"/>
    </row>
    <row r="2154" spans="1:18" x14ac:dyDescent="0.25">
      <c r="A2154" s="2">
        <f t="shared" si="78"/>
        <v>2153</v>
      </c>
      <c r="B2154" s="2"/>
      <c r="C2154" s="2"/>
      <c r="D2154" s="2"/>
      <c r="E2154" s="2"/>
      <c r="F2154" s="2"/>
      <c r="G2154" s="2"/>
      <c r="H2154" s="2" t="str">
        <f t="shared" si="77"/>
        <v>0 г. 0 мес. 0 дн.</v>
      </c>
      <c r="I2154" s="2"/>
      <c r="J2154" s="2"/>
      <c r="K2154" s="2"/>
      <c r="L2154" s="2"/>
      <c r="M2154" s="2"/>
      <c r="N2154" s="1">
        <v>0</v>
      </c>
      <c r="O2154" s="2"/>
      <c r="P2154" s="2"/>
      <c r="Q2154" s="2">
        <v>0</v>
      </c>
      <c r="R2154" s="6"/>
    </row>
    <row r="2155" spans="1:18" x14ac:dyDescent="0.25">
      <c r="A2155" s="2">
        <f t="shared" si="78"/>
        <v>2154</v>
      </c>
      <c r="B2155" s="2"/>
      <c r="C2155" s="2"/>
      <c r="D2155" s="2"/>
      <c r="E2155" s="2"/>
      <c r="F2155" s="2"/>
      <c r="G2155" s="2"/>
      <c r="H2155" s="2" t="str">
        <f t="shared" si="77"/>
        <v>0 г. 0 мес. 0 дн.</v>
      </c>
      <c r="I2155" s="2"/>
      <c r="J2155" s="2"/>
      <c r="K2155" s="2"/>
      <c r="L2155" s="2"/>
      <c r="M2155" s="2"/>
      <c r="N2155" s="1">
        <v>0</v>
      </c>
      <c r="O2155" s="2"/>
      <c r="P2155" s="2"/>
      <c r="Q2155" s="2">
        <v>0</v>
      </c>
      <c r="R2155" s="6"/>
    </row>
    <row r="2156" spans="1:18" x14ac:dyDescent="0.25">
      <c r="A2156" s="2">
        <f t="shared" si="78"/>
        <v>2155</v>
      </c>
      <c r="B2156" s="2"/>
      <c r="C2156" s="2"/>
      <c r="D2156" s="2"/>
      <c r="E2156" s="2"/>
      <c r="F2156" s="2"/>
      <c r="G2156" s="2"/>
      <c r="H2156" s="2" t="str">
        <f t="shared" si="77"/>
        <v>0 г. 0 мес. 0 дн.</v>
      </c>
      <c r="I2156" s="2"/>
      <c r="J2156" s="2"/>
      <c r="K2156" s="2"/>
      <c r="L2156" s="2"/>
      <c r="M2156" s="2"/>
      <c r="N2156" s="1">
        <v>0</v>
      </c>
      <c r="O2156" s="2"/>
      <c r="P2156" s="2"/>
      <c r="Q2156" s="2">
        <v>0</v>
      </c>
      <c r="R2156" s="6"/>
    </row>
    <row r="2157" spans="1:18" x14ac:dyDescent="0.25">
      <c r="A2157" s="2">
        <f t="shared" si="78"/>
        <v>2156</v>
      </c>
      <c r="B2157" s="2"/>
      <c r="C2157" s="2"/>
      <c r="D2157" s="2"/>
      <c r="E2157" s="2"/>
      <c r="F2157" s="2"/>
      <c r="G2157" s="2"/>
      <c r="H2157" s="2" t="str">
        <f t="shared" si="77"/>
        <v>0 г. 0 мес. 0 дн.</v>
      </c>
      <c r="I2157" s="2"/>
      <c r="J2157" s="2"/>
      <c r="K2157" s="2"/>
      <c r="L2157" s="2"/>
      <c r="M2157" s="2"/>
      <c r="N2157" s="1">
        <v>0</v>
      </c>
      <c r="O2157" s="2"/>
      <c r="P2157" s="2"/>
      <c r="Q2157" s="2">
        <v>0</v>
      </c>
      <c r="R2157" s="6"/>
    </row>
    <row r="2158" spans="1:18" x14ac:dyDescent="0.25">
      <c r="A2158" s="2">
        <f t="shared" si="78"/>
        <v>2157</v>
      </c>
      <c r="B2158" s="2"/>
      <c r="C2158" s="2"/>
      <c r="D2158" s="2"/>
      <c r="E2158" s="2"/>
      <c r="F2158" s="2"/>
      <c r="G2158" s="2"/>
      <c r="H2158" s="2" t="str">
        <f t="shared" si="77"/>
        <v>0 г. 0 мес. 0 дн.</v>
      </c>
      <c r="I2158" s="2"/>
      <c r="J2158" s="2"/>
      <c r="K2158" s="2"/>
      <c r="L2158" s="2"/>
      <c r="M2158" s="2"/>
      <c r="N2158" s="1">
        <v>0</v>
      </c>
      <c r="O2158" s="2"/>
      <c r="P2158" s="2"/>
      <c r="Q2158" s="2">
        <v>0</v>
      </c>
      <c r="R2158" s="6"/>
    </row>
    <row r="2159" spans="1:18" x14ac:dyDescent="0.25">
      <c r="A2159" s="2">
        <f t="shared" si="78"/>
        <v>2158</v>
      </c>
      <c r="B2159" s="2"/>
      <c r="C2159" s="2"/>
      <c r="D2159" s="2"/>
      <c r="E2159" s="2"/>
      <c r="F2159" s="2"/>
      <c r="G2159" s="2"/>
      <c r="H2159" s="2" t="str">
        <f t="shared" si="77"/>
        <v>0 г. 0 мес. 0 дн.</v>
      </c>
      <c r="I2159" s="2"/>
      <c r="J2159" s="2"/>
      <c r="K2159" s="2"/>
      <c r="L2159" s="2"/>
      <c r="M2159" s="2"/>
      <c r="N2159" s="1">
        <v>0</v>
      </c>
      <c r="O2159" s="2"/>
      <c r="P2159" s="2"/>
      <c r="Q2159" s="2">
        <v>0</v>
      </c>
      <c r="R2159" s="6"/>
    </row>
    <row r="2160" spans="1:18" x14ac:dyDescent="0.25">
      <c r="A2160" s="2">
        <f t="shared" si="78"/>
        <v>2159</v>
      </c>
      <c r="B2160" s="2"/>
      <c r="C2160" s="2"/>
      <c r="D2160" s="2"/>
      <c r="E2160" s="2"/>
      <c r="F2160" s="2"/>
      <c r="G2160" s="2"/>
      <c r="H2160" s="2" t="str">
        <f t="shared" si="77"/>
        <v>0 г. 0 мес. 0 дн.</v>
      </c>
      <c r="I2160" s="2"/>
      <c r="J2160" s="2"/>
      <c r="K2160" s="2"/>
      <c r="L2160" s="2"/>
      <c r="M2160" s="2"/>
      <c r="N2160" s="1">
        <v>0</v>
      </c>
      <c r="O2160" s="2"/>
      <c r="P2160" s="2"/>
      <c r="Q2160" s="2">
        <v>0</v>
      </c>
      <c r="R2160" s="6"/>
    </row>
    <row r="2161" spans="1:18" x14ac:dyDescent="0.25">
      <c r="A2161" s="2">
        <f t="shared" si="78"/>
        <v>2160</v>
      </c>
      <c r="B2161" s="2"/>
      <c r="C2161" s="2"/>
      <c r="D2161" s="2"/>
      <c r="E2161" s="2"/>
      <c r="F2161" s="2"/>
      <c r="G2161" s="2"/>
      <c r="H2161" s="2" t="str">
        <f t="shared" si="77"/>
        <v>0 г. 0 мес. 0 дн.</v>
      </c>
      <c r="I2161" s="2"/>
      <c r="J2161" s="2"/>
      <c r="K2161" s="2"/>
      <c r="L2161" s="2"/>
      <c r="M2161" s="2"/>
      <c r="N2161" s="1">
        <v>0</v>
      </c>
      <c r="O2161" s="2"/>
      <c r="P2161" s="2"/>
      <c r="Q2161" s="2">
        <v>0</v>
      </c>
      <c r="R2161" s="6"/>
    </row>
    <row r="2162" spans="1:18" x14ac:dyDescent="0.25">
      <c r="A2162" s="2">
        <f t="shared" si="78"/>
        <v>2161</v>
      </c>
      <c r="B2162" s="2"/>
      <c r="C2162" s="2"/>
      <c r="D2162" s="2"/>
      <c r="E2162" s="2"/>
      <c r="F2162" s="2"/>
      <c r="G2162" s="2"/>
      <c r="H2162" s="2" t="str">
        <f t="shared" si="77"/>
        <v>0 г. 0 мес. 0 дн.</v>
      </c>
      <c r="I2162" s="2"/>
      <c r="J2162" s="2"/>
      <c r="K2162" s="2"/>
      <c r="L2162" s="2"/>
      <c r="M2162" s="2"/>
      <c r="N2162" s="1">
        <v>0</v>
      </c>
      <c r="O2162" s="2"/>
      <c r="P2162" s="2"/>
      <c r="Q2162" s="2">
        <v>0</v>
      </c>
      <c r="R2162" s="6"/>
    </row>
    <row r="2163" spans="1:18" x14ac:dyDescent="0.25">
      <c r="A2163" s="2">
        <f t="shared" si="78"/>
        <v>2162</v>
      </c>
      <c r="B2163" s="2"/>
      <c r="C2163" s="2"/>
      <c r="D2163" s="2"/>
      <c r="E2163" s="2"/>
      <c r="F2163" s="2"/>
      <c r="G2163" s="2"/>
      <c r="H2163" s="2" t="str">
        <f t="shared" si="77"/>
        <v>0 г. 0 мес. 0 дн.</v>
      </c>
      <c r="I2163" s="2"/>
      <c r="J2163" s="2"/>
      <c r="K2163" s="2"/>
      <c r="L2163" s="2"/>
      <c r="M2163" s="2"/>
      <c r="N2163" s="1">
        <v>0</v>
      </c>
      <c r="O2163" s="2"/>
      <c r="P2163" s="2"/>
      <c r="Q2163" s="2">
        <v>0</v>
      </c>
      <c r="R2163" s="6"/>
    </row>
    <row r="2164" spans="1:18" x14ac:dyDescent="0.25">
      <c r="A2164" s="2">
        <f t="shared" si="78"/>
        <v>2163</v>
      </c>
      <c r="B2164" s="2"/>
      <c r="C2164" s="2"/>
      <c r="D2164" s="2"/>
      <c r="E2164" s="2"/>
      <c r="F2164" s="2"/>
      <c r="G2164" s="2"/>
      <c r="H2164" s="2" t="str">
        <f t="shared" si="77"/>
        <v>0 г. 0 мес. 0 дн.</v>
      </c>
      <c r="I2164" s="2"/>
      <c r="J2164" s="2"/>
      <c r="K2164" s="2"/>
      <c r="L2164" s="2"/>
      <c r="M2164" s="2"/>
      <c r="N2164" s="1">
        <v>0</v>
      </c>
      <c r="O2164" s="2"/>
      <c r="P2164" s="2"/>
      <c r="Q2164" s="2">
        <v>0</v>
      </c>
      <c r="R2164" s="6"/>
    </row>
    <row r="2165" spans="1:18" x14ac:dyDescent="0.25">
      <c r="A2165" s="2">
        <f t="shared" si="78"/>
        <v>2164</v>
      </c>
      <c r="B2165" s="2"/>
      <c r="C2165" s="2"/>
      <c r="D2165" s="2"/>
      <c r="E2165" s="2"/>
      <c r="F2165" s="2"/>
      <c r="G2165" s="2"/>
      <c r="H2165" s="2" t="str">
        <f t="shared" si="77"/>
        <v>0 г. 0 мес. 0 дн.</v>
      </c>
      <c r="I2165" s="2"/>
      <c r="J2165" s="2"/>
      <c r="K2165" s="2"/>
      <c r="L2165" s="2"/>
      <c r="M2165" s="2"/>
      <c r="N2165" s="1">
        <v>0</v>
      </c>
      <c r="O2165" s="2"/>
      <c r="P2165" s="2"/>
      <c r="Q2165" s="2">
        <v>0</v>
      </c>
      <c r="R2165" s="6"/>
    </row>
    <row r="2166" spans="1:18" x14ac:dyDescent="0.25">
      <c r="A2166" s="2">
        <f t="shared" si="78"/>
        <v>2165</v>
      </c>
      <c r="B2166" s="2"/>
      <c r="C2166" s="2"/>
      <c r="D2166" s="2"/>
      <c r="E2166" s="2"/>
      <c r="F2166" s="2"/>
      <c r="G2166" s="2"/>
      <c r="H2166" s="2" t="str">
        <f t="shared" si="77"/>
        <v>0 г. 0 мес. 0 дн.</v>
      </c>
      <c r="I2166" s="2"/>
      <c r="J2166" s="2"/>
      <c r="K2166" s="2"/>
      <c r="L2166" s="2"/>
      <c r="M2166" s="2"/>
      <c r="N2166" s="1">
        <v>0</v>
      </c>
      <c r="O2166" s="2"/>
      <c r="P2166" s="2"/>
      <c r="Q2166" s="2">
        <v>0</v>
      </c>
      <c r="R2166" s="6"/>
    </row>
    <row r="2167" spans="1:18" x14ac:dyDescent="0.25">
      <c r="A2167" s="2">
        <f t="shared" si="78"/>
        <v>2166</v>
      </c>
      <c r="B2167" s="2"/>
      <c r="C2167" s="2"/>
      <c r="D2167" s="2"/>
      <c r="E2167" s="2"/>
      <c r="F2167" s="2"/>
      <c r="G2167" s="2"/>
      <c r="H2167" s="2" t="str">
        <f t="shared" si="77"/>
        <v>0 г. 0 мес. 0 дн.</v>
      </c>
      <c r="I2167" s="2"/>
      <c r="J2167" s="2"/>
      <c r="K2167" s="2"/>
      <c r="L2167" s="2"/>
      <c r="M2167" s="2"/>
      <c r="N2167" s="1">
        <v>0</v>
      </c>
      <c r="O2167" s="2"/>
      <c r="P2167" s="2"/>
      <c r="Q2167" s="2">
        <v>0</v>
      </c>
      <c r="R2167" s="6"/>
    </row>
    <row r="2168" spans="1:18" x14ac:dyDescent="0.25">
      <c r="A2168" s="2">
        <f t="shared" si="78"/>
        <v>2167</v>
      </c>
      <c r="B2168" s="2"/>
      <c r="C2168" s="2"/>
      <c r="D2168" s="2"/>
      <c r="E2168" s="2"/>
      <c r="F2168" s="2"/>
      <c r="G2168" s="2"/>
      <c r="H2168" s="2" t="str">
        <f t="shared" si="77"/>
        <v>0 г. 0 мес. 0 дн.</v>
      </c>
      <c r="I2168" s="2"/>
      <c r="J2168" s="2"/>
      <c r="K2168" s="2"/>
      <c r="L2168" s="2"/>
      <c r="M2168" s="2"/>
      <c r="N2168" s="1">
        <v>0</v>
      </c>
      <c r="O2168" s="2"/>
      <c r="P2168" s="2"/>
      <c r="Q2168" s="2">
        <v>0</v>
      </c>
      <c r="R2168" s="6"/>
    </row>
    <row r="2169" spans="1:18" x14ac:dyDescent="0.25">
      <c r="A2169" s="2">
        <f t="shared" si="78"/>
        <v>2168</v>
      </c>
      <c r="B2169" s="2"/>
      <c r="C2169" s="2"/>
      <c r="D2169" s="2"/>
      <c r="E2169" s="2"/>
      <c r="F2169" s="2"/>
      <c r="G2169" s="2"/>
      <c r="H2169" s="2" t="str">
        <f t="shared" si="77"/>
        <v>0 г. 0 мес. 0 дн.</v>
      </c>
      <c r="I2169" s="2"/>
      <c r="J2169" s="2"/>
      <c r="K2169" s="2"/>
      <c r="L2169" s="2"/>
      <c r="M2169" s="2"/>
      <c r="N2169" s="1">
        <v>0</v>
      </c>
      <c r="O2169" s="2"/>
      <c r="P2169" s="2"/>
      <c r="Q2169" s="2">
        <v>0</v>
      </c>
      <c r="R2169" s="6"/>
    </row>
    <row r="2170" spans="1:18" x14ac:dyDescent="0.25">
      <c r="A2170" s="2">
        <f t="shared" si="78"/>
        <v>2169</v>
      </c>
      <c r="B2170" s="2"/>
      <c r="C2170" s="2"/>
      <c r="D2170" s="2"/>
      <c r="E2170" s="2"/>
      <c r="F2170" s="2"/>
      <c r="G2170" s="2"/>
      <c r="H2170" s="2" t="str">
        <f t="shared" si="77"/>
        <v>0 г. 0 мес. 0 дн.</v>
      </c>
      <c r="I2170" s="2"/>
      <c r="J2170" s="2"/>
      <c r="K2170" s="2"/>
      <c r="L2170" s="2"/>
      <c r="M2170" s="2"/>
      <c r="N2170" s="1">
        <v>0</v>
      </c>
      <c r="O2170" s="2"/>
      <c r="P2170" s="2"/>
      <c r="Q2170" s="2">
        <v>0</v>
      </c>
      <c r="R2170" s="6"/>
    </row>
    <row r="2171" spans="1:18" x14ac:dyDescent="0.25">
      <c r="A2171" s="2">
        <f t="shared" si="78"/>
        <v>2170</v>
      </c>
      <c r="B2171" s="2"/>
      <c r="C2171" s="2"/>
      <c r="D2171" s="2"/>
      <c r="E2171" s="2"/>
      <c r="F2171" s="2"/>
      <c r="G2171" s="2"/>
      <c r="H2171" s="2" t="str">
        <f t="shared" si="77"/>
        <v>0 г. 0 мес. 0 дн.</v>
      </c>
      <c r="I2171" s="2"/>
      <c r="J2171" s="2"/>
      <c r="K2171" s="2"/>
      <c r="L2171" s="2"/>
      <c r="M2171" s="2"/>
      <c r="N2171" s="1">
        <v>0</v>
      </c>
      <c r="O2171" s="2"/>
      <c r="P2171" s="2"/>
      <c r="Q2171" s="2">
        <v>0</v>
      </c>
      <c r="R2171" s="6"/>
    </row>
    <row r="2172" spans="1:18" x14ac:dyDescent="0.25">
      <c r="A2172" s="2">
        <f t="shared" si="78"/>
        <v>2171</v>
      </c>
      <c r="B2172" s="2"/>
      <c r="C2172" s="2"/>
      <c r="D2172" s="2"/>
      <c r="E2172" s="2"/>
      <c r="F2172" s="2"/>
      <c r="G2172" s="2"/>
      <c r="H2172" s="2" t="str">
        <f t="shared" si="77"/>
        <v>0 г. 0 мес. 0 дн.</v>
      </c>
      <c r="I2172" s="2"/>
      <c r="J2172" s="2"/>
      <c r="K2172" s="2"/>
      <c r="L2172" s="2"/>
      <c r="M2172" s="2"/>
      <c r="N2172" s="1">
        <v>0</v>
      </c>
      <c r="O2172" s="2"/>
      <c r="P2172" s="2"/>
      <c r="Q2172" s="2">
        <v>0</v>
      </c>
      <c r="R2172" s="6"/>
    </row>
    <row r="2173" spans="1:18" x14ac:dyDescent="0.25">
      <c r="A2173" s="2">
        <f t="shared" si="78"/>
        <v>2172</v>
      </c>
      <c r="B2173" s="2"/>
      <c r="C2173" s="2"/>
      <c r="D2173" s="2"/>
      <c r="E2173" s="2"/>
      <c r="F2173" s="2"/>
      <c r="G2173" s="2"/>
      <c r="H2173" s="2" t="str">
        <f t="shared" si="77"/>
        <v>0 г. 0 мес. 0 дн.</v>
      </c>
      <c r="I2173" s="2"/>
      <c r="J2173" s="2"/>
      <c r="K2173" s="2"/>
      <c r="L2173" s="2"/>
      <c r="M2173" s="2"/>
      <c r="N2173" s="1">
        <v>0</v>
      </c>
      <c r="O2173" s="2"/>
      <c r="P2173" s="2"/>
      <c r="Q2173" s="2">
        <v>0</v>
      </c>
      <c r="R2173" s="6"/>
    </row>
    <row r="2174" spans="1:18" x14ac:dyDescent="0.25">
      <c r="A2174" s="2">
        <f t="shared" si="78"/>
        <v>2173</v>
      </c>
      <c r="B2174" s="2"/>
      <c r="C2174" s="2"/>
      <c r="D2174" s="2"/>
      <c r="E2174" s="2"/>
      <c r="F2174" s="2"/>
      <c r="G2174" s="2"/>
      <c r="H2174" s="2" t="str">
        <f t="shared" si="77"/>
        <v>0 г. 0 мес. 0 дн.</v>
      </c>
      <c r="I2174" s="2"/>
      <c r="J2174" s="2"/>
      <c r="K2174" s="2"/>
      <c r="L2174" s="2"/>
      <c r="M2174" s="2"/>
      <c r="N2174" s="1">
        <v>0</v>
      </c>
      <c r="O2174" s="2"/>
      <c r="P2174" s="2"/>
      <c r="Q2174" s="2">
        <v>0</v>
      </c>
      <c r="R2174" s="6"/>
    </row>
    <row r="2175" spans="1:18" x14ac:dyDescent="0.25">
      <c r="A2175" s="2">
        <f t="shared" si="78"/>
        <v>2174</v>
      </c>
      <c r="B2175" s="2"/>
      <c r="C2175" s="2"/>
      <c r="D2175" s="2"/>
      <c r="E2175" s="2"/>
      <c r="F2175" s="2"/>
      <c r="G2175" s="2"/>
      <c r="H2175" s="2" t="str">
        <f t="shared" si="77"/>
        <v>0 г. 0 мес. 0 дн.</v>
      </c>
      <c r="I2175" s="2"/>
      <c r="J2175" s="2"/>
      <c r="K2175" s="2"/>
      <c r="L2175" s="2"/>
      <c r="M2175" s="2"/>
      <c r="N2175" s="1">
        <v>0</v>
      </c>
      <c r="O2175" s="2"/>
      <c r="P2175" s="2"/>
      <c r="Q2175" s="2">
        <v>0</v>
      </c>
      <c r="R2175" s="6"/>
    </row>
    <row r="2176" spans="1:18" x14ac:dyDescent="0.25">
      <c r="A2176" s="2">
        <f t="shared" si="78"/>
        <v>2175</v>
      </c>
      <c r="B2176" s="2"/>
      <c r="C2176" s="2"/>
      <c r="D2176" s="2"/>
      <c r="E2176" s="2"/>
      <c r="F2176" s="2"/>
      <c r="G2176" s="2"/>
      <c r="H2176" s="2" t="str">
        <f t="shared" si="77"/>
        <v>0 г. 0 мес. 0 дн.</v>
      </c>
      <c r="I2176" s="2"/>
      <c r="J2176" s="2"/>
      <c r="K2176" s="2"/>
      <c r="L2176" s="2"/>
      <c r="M2176" s="2"/>
      <c r="N2176" s="1">
        <v>0</v>
      </c>
      <c r="O2176" s="2"/>
      <c r="P2176" s="2"/>
      <c r="Q2176" s="2">
        <v>0</v>
      </c>
      <c r="R2176" s="6"/>
    </row>
    <row r="2177" spans="1:18" x14ac:dyDescent="0.25">
      <c r="A2177" s="2">
        <f t="shared" si="78"/>
        <v>2176</v>
      </c>
      <c r="B2177" s="2"/>
      <c r="C2177" s="2"/>
      <c r="D2177" s="2"/>
      <c r="E2177" s="2"/>
      <c r="F2177" s="2"/>
      <c r="G2177" s="2"/>
      <c r="H2177" s="2" t="str">
        <f t="shared" si="77"/>
        <v>0 г. 0 мес. 0 дн.</v>
      </c>
      <c r="I2177" s="2"/>
      <c r="J2177" s="2"/>
      <c r="K2177" s="2"/>
      <c r="L2177" s="2"/>
      <c r="M2177" s="2"/>
      <c r="N2177" s="1">
        <v>0</v>
      </c>
      <c r="O2177" s="2"/>
      <c r="P2177" s="2"/>
      <c r="Q2177" s="2">
        <v>0</v>
      </c>
      <c r="R2177" s="6"/>
    </row>
    <row r="2178" spans="1:18" x14ac:dyDescent="0.25">
      <c r="A2178" s="2">
        <f t="shared" si="78"/>
        <v>2177</v>
      </c>
      <c r="B2178" s="2"/>
      <c r="C2178" s="2"/>
      <c r="D2178" s="2"/>
      <c r="E2178" s="2"/>
      <c r="F2178" s="2"/>
      <c r="G2178" s="2"/>
      <c r="H2178" s="2" t="str">
        <f t="shared" si="77"/>
        <v>0 г. 0 мес. 0 дн.</v>
      </c>
      <c r="I2178" s="2"/>
      <c r="J2178" s="2"/>
      <c r="K2178" s="2"/>
      <c r="L2178" s="2"/>
      <c r="M2178" s="2"/>
      <c r="N2178" s="1">
        <v>0</v>
      </c>
      <c r="O2178" s="2"/>
      <c r="P2178" s="2"/>
      <c r="Q2178" s="2">
        <v>0</v>
      </c>
      <c r="R2178" s="6"/>
    </row>
    <row r="2179" spans="1:18" x14ac:dyDescent="0.25">
      <c r="A2179" s="2">
        <f t="shared" si="78"/>
        <v>2178</v>
      </c>
      <c r="B2179" s="2"/>
      <c r="C2179" s="2"/>
      <c r="D2179" s="2"/>
      <c r="E2179" s="2"/>
      <c r="F2179" s="2"/>
      <c r="G2179" s="2"/>
      <c r="H2179" s="2" t="str">
        <f t="shared" si="77"/>
        <v>0 г. 0 мес. 0 дн.</v>
      </c>
      <c r="I2179" s="2"/>
      <c r="J2179" s="2"/>
      <c r="K2179" s="2"/>
      <c r="L2179" s="2"/>
      <c r="M2179" s="2"/>
      <c r="N2179" s="1">
        <v>0</v>
      </c>
      <c r="O2179" s="2"/>
      <c r="P2179" s="2"/>
      <c r="Q2179" s="2">
        <v>0</v>
      </c>
      <c r="R2179" s="6"/>
    </row>
    <row r="2180" spans="1:18" x14ac:dyDescent="0.25">
      <c r="A2180" s="2">
        <f t="shared" si="78"/>
        <v>2179</v>
      </c>
      <c r="B2180" s="2"/>
      <c r="C2180" s="2"/>
      <c r="D2180" s="2"/>
      <c r="E2180" s="2"/>
      <c r="F2180" s="2"/>
      <c r="G2180" s="2"/>
      <c r="H2180" s="2" t="str">
        <f t="shared" ref="H2180:H2243" si="79">DATEDIF(G2180,D2180,"y") &amp; " г. " &amp; DATEDIF(G2180,D2180,"ym") &amp; " мес. " &amp; DATEDIF(G2180,D2180,"md") &amp; " дн."</f>
        <v>0 г. 0 мес. 0 дн.</v>
      </c>
      <c r="I2180" s="2"/>
      <c r="J2180" s="2"/>
      <c r="K2180" s="2"/>
      <c r="L2180" s="2"/>
      <c r="M2180" s="2"/>
      <c r="N2180" s="1">
        <v>0</v>
      </c>
      <c r="O2180" s="2"/>
      <c r="P2180" s="2"/>
      <c r="Q2180" s="2">
        <v>0</v>
      </c>
      <c r="R2180" s="6"/>
    </row>
    <row r="2181" spans="1:18" x14ac:dyDescent="0.25">
      <c r="A2181" s="2">
        <f t="shared" si="78"/>
        <v>2180</v>
      </c>
      <c r="B2181" s="2"/>
      <c r="C2181" s="2"/>
      <c r="D2181" s="2"/>
      <c r="E2181" s="2"/>
      <c r="F2181" s="2"/>
      <c r="G2181" s="2"/>
      <c r="H2181" s="2" t="str">
        <f t="shared" si="79"/>
        <v>0 г. 0 мес. 0 дн.</v>
      </c>
      <c r="I2181" s="2"/>
      <c r="J2181" s="2"/>
      <c r="K2181" s="2"/>
      <c r="L2181" s="2"/>
      <c r="M2181" s="2"/>
      <c r="N2181" s="1">
        <v>0</v>
      </c>
      <c r="O2181" s="2"/>
      <c r="P2181" s="2"/>
      <c r="Q2181" s="2">
        <v>0</v>
      </c>
      <c r="R2181" s="6"/>
    </row>
    <row r="2182" spans="1:18" x14ac:dyDescent="0.25">
      <c r="A2182" s="2">
        <f t="shared" si="78"/>
        <v>2181</v>
      </c>
      <c r="B2182" s="2"/>
      <c r="C2182" s="2"/>
      <c r="D2182" s="2"/>
      <c r="E2182" s="2"/>
      <c r="F2182" s="2"/>
      <c r="G2182" s="2"/>
      <c r="H2182" s="2" t="str">
        <f t="shared" si="79"/>
        <v>0 г. 0 мес. 0 дн.</v>
      </c>
      <c r="I2182" s="2"/>
      <c r="J2182" s="2"/>
      <c r="K2182" s="2"/>
      <c r="L2182" s="2"/>
      <c r="M2182" s="2"/>
      <c r="N2182" s="1">
        <v>0</v>
      </c>
      <c r="O2182" s="2"/>
      <c r="P2182" s="2"/>
      <c r="Q2182" s="2">
        <v>0</v>
      </c>
      <c r="R2182" s="6"/>
    </row>
    <row r="2183" spans="1:18" x14ac:dyDescent="0.25">
      <c r="A2183" s="2">
        <f t="shared" si="78"/>
        <v>2182</v>
      </c>
      <c r="B2183" s="2"/>
      <c r="C2183" s="2"/>
      <c r="D2183" s="2"/>
      <c r="E2183" s="2"/>
      <c r="F2183" s="2"/>
      <c r="G2183" s="2"/>
      <c r="H2183" s="2" t="str">
        <f t="shared" si="79"/>
        <v>0 г. 0 мес. 0 дн.</v>
      </c>
      <c r="I2183" s="2"/>
      <c r="J2183" s="2"/>
      <c r="K2183" s="2"/>
      <c r="L2183" s="2"/>
      <c r="M2183" s="2"/>
      <c r="N2183" s="1">
        <v>0</v>
      </c>
      <c r="O2183" s="2"/>
      <c r="P2183" s="2"/>
      <c r="Q2183" s="2">
        <v>0</v>
      </c>
      <c r="R2183" s="6"/>
    </row>
    <row r="2184" spans="1:18" x14ac:dyDescent="0.25">
      <c r="A2184" s="2">
        <f t="shared" si="78"/>
        <v>2183</v>
      </c>
      <c r="B2184" s="2"/>
      <c r="C2184" s="2"/>
      <c r="D2184" s="2"/>
      <c r="E2184" s="2"/>
      <c r="F2184" s="2"/>
      <c r="G2184" s="2"/>
      <c r="H2184" s="2" t="str">
        <f t="shared" si="79"/>
        <v>0 г. 0 мес. 0 дн.</v>
      </c>
      <c r="I2184" s="2"/>
      <c r="J2184" s="2"/>
      <c r="K2184" s="2"/>
      <c r="L2184" s="2"/>
      <c r="M2184" s="2"/>
      <c r="N2184" s="1">
        <v>0</v>
      </c>
      <c r="O2184" s="2"/>
      <c r="P2184" s="2"/>
      <c r="Q2184" s="2">
        <v>0</v>
      </c>
      <c r="R2184" s="6"/>
    </row>
    <row r="2185" spans="1:18" x14ac:dyDescent="0.25">
      <c r="A2185" s="2">
        <f t="shared" si="78"/>
        <v>2184</v>
      </c>
      <c r="B2185" s="2"/>
      <c r="C2185" s="2"/>
      <c r="D2185" s="2"/>
      <c r="E2185" s="2"/>
      <c r="F2185" s="2"/>
      <c r="G2185" s="2"/>
      <c r="H2185" s="2" t="str">
        <f t="shared" si="79"/>
        <v>0 г. 0 мес. 0 дн.</v>
      </c>
      <c r="I2185" s="2"/>
      <c r="J2185" s="2"/>
      <c r="K2185" s="2"/>
      <c r="L2185" s="2"/>
      <c r="M2185" s="2"/>
      <c r="N2185" s="1">
        <v>0</v>
      </c>
      <c r="O2185" s="2"/>
      <c r="P2185" s="2"/>
      <c r="Q2185" s="2">
        <v>0</v>
      </c>
      <c r="R2185" s="6"/>
    </row>
    <row r="2186" spans="1:18" x14ac:dyDescent="0.25">
      <c r="A2186" s="2">
        <f t="shared" si="78"/>
        <v>2185</v>
      </c>
      <c r="B2186" s="2"/>
      <c r="C2186" s="2"/>
      <c r="D2186" s="2"/>
      <c r="E2186" s="2"/>
      <c r="F2186" s="2"/>
      <c r="G2186" s="2"/>
      <c r="H2186" s="2" t="str">
        <f t="shared" si="79"/>
        <v>0 г. 0 мес. 0 дн.</v>
      </c>
      <c r="I2186" s="2"/>
      <c r="J2186" s="2"/>
      <c r="K2186" s="2"/>
      <c r="L2186" s="2"/>
      <c r="M2186" s="2"/>
      <c r="N2186" s="1">
        <v>0</v>
      </c>
      <c r="O2186" s="2"/>
      <c r="P2186" s="2"/>
      <c r="Q2186" s="2">
        <v>0</v>
      </c>
      <c r="R2186" s="6"/>
    </row>
    <row r="2187" spans="1:18" x14ac:dyDescent="0.25">
      <c r="A2187" s="2">
        <f t="shared" si="78"/>
        <v>2186</v>
      </c>
      <c r="B2187" s="2"/>
      <c r="C2187" s="2"/>
      <c r="D2187" s="2"/>
      <c r="E2187" s="2"/>
      <c r="F2187" s="2"/>
      <c r="G2187" s="2"/>
      <c r="H2187" s="2" t="str">
        <f t="shared" si="79"/>
        <v>0 г. 0 мес. 0 дн.</v>
      </c>
      <c r="I2187" s="2"/>
      <c r="J2187" s="2"/>
      <c r="K2187" s="2"/>
      <c r="L2187" s="2"/>
      <c r="M2187" s="2"/>
      <c r="N2187" s="1">
        <v>0</v>
      </c>
      <c r="O2187" s="2"/>
      <c r="P2187" s="2"/>
      <c r="Q2187" s="2">
        <v>0</v>
      </c>
      <c r="R2187" s="6"/>
    </row>
    <row r="2188" spans="1:18" x14ac:dyDescent="0.25">
      <c r="A2188" s="2">
        <f t="shared" si="78"/>
        <v>2187</v>
      </c>
      <c r="B2188" s="2"/>
      <c r="C2188" s="2"/>
      <c r="D2188" s="2"/>
      <c r="E2188" s="2"/>
      <c r="F2188" s="2"/>
      <c r="G2188" s="2"/>
      <c r="H2188" s="2" t="str">
        <f t="shared" si="79"/>
        <v>0 г. 0 мес. 0 дн.</v>
      </c>
      <c r="I2188" s="2"/>
      <c r="J2188" s="2"/>
      <c r="K2188" s="2"/>
      <c r="L2188" s="2"/>
      <c r="M2188" s="2"/>
      <c r="N2188" s="1">
        <v>0</v>
      </c>
      <c r="O2188" s="2"/>
      <c r="P2188" s="2"/>
      <c r="Q2188" s="2">
        <v>0</v>
      </c>
      <c r="R2188" s="6"/>
    </row>
    <row r="2189" spans="1:18" x14ac:dyDescent="0.25">
      <c r="A2189" s="2">
        <f t="shared" si="78"/>
        <v>2188</v>
      </c>
      <c r="B2189" s="2"/>
      <c r="C2189" s="2"/>
      <c r="D2189" s="2"/>
      <c r="E2189" s="2"/>
      <c r="F2189" s="2"/>
      <c r="G2189" s="2"/>
      <c r="H2189" s="2" t="str">
        <f t="shared" si="79"/>
        <v>0 г. 0 мес. 0 дн.</v>
      </c>
      <c r="I2189" s="2"/>
      <c r="J2189" s="2"/>
      <c r="K2189" s="2"/>
      <c r="L2189" s="2"/>
      <c r="M2189" s="2"/>
      <c r="N2189" s="1">
        <v>0</v>
      </c>
      <c r="O2189" s="2"/>
      <c r="P2189" s="2"/>
      <c r="Q2189" s="2">
        <v>0</v>
      </c>
      <c r="R2189" s="6"/>
    </row>
    <row r="2190" spans="1:18" x14ac:dyDescent="0.25">
      <c r="A2190" s="2">
        <f t="shared" si="78"/>
        <v>2189</v>
      </c>
      <c r="B2190" s="2"/>
      <c r="C2190" s="2"/>
      <c r="D2190" s="2"/>
      <c r="E2190" s="2"/>
      <c r="F2190" s="2"/>
      <c r="G2190" s="2"/>
      <c r="H2190" s="2" t="str">
        <f t="shared" si="79"/>
        <v>0 г. 0 мес. 0 дн.</v>
      </c>
      <c r="I2190" s="2"/>
      <c r="J2190" s="2"/>
      <c r="K2190" s="2"/>
      <c r="L2190" s="2"/>
      <c r="M2190" s="2"/>
      <c r="N2190" s="1">
        <v>0</v>
      </c>
      <c r="O2190" s="2"/>
      <c r="P2190" s="2"/>
      <c r="Q2190" s="2">
        <v>0</v>
      </c>
      <c r="R2190" s="6"/>
    </row>
    <row r="2191" spans="1:18" x14ac:dyDescent="0.25">
      <c r="A2191" s="2">
        <f t="shared" si="78"/>
        <v>2190</v>
      </c>
      <c r="B2191" s="2"/>
      <c r="C2191" s="2"/>
      <c r="D2191" s="2"/>
      <c r="E2191" s="2"/>
      <c r="F2191" s="2"/>
      <c r="G2191" s="2"/>
      <c r="H2191" s="2" t="str">
        <f t="shared" si="79"/>
        <v>0 г. 0 мес. 0 дн.</v>
      </c>
      <c r="I2191" s="2"/>
      <c r="J2191" s="2"/>
      <c r="K2191" s="2"/>
      <c r="L2191" s="2"/>
      <c r="M2191" s="2"/>
      <c r="N2191" s="1">
        <v>0</v>
      </c>
      <c r="O2191" s="2"/>
      <c r="P2191" s="2"/>
      <c r="Q2191" s="2">
        <v>0</v>
      </c>
      <c r="R2191" s="6"/>
    </row>
    <row r="2192" spans="1:18" x14ac:dyDescent="0.25">
      <c r="A2192" s="2">
        <f t="shared" si="78"/>
        <v>2191</v>
      </c>
      <c r="B2192" s="2"/>
      <c r="C2192" s="2"/>
      <c r="D2192" s="2"/>
      <c r="E2192" s="2"/>
      <c r="F2192" s="2"/>
      <c r="G2192" s="2"/>
      <c r="H2192" s="2" t="str">
        <f t="shared" si="79"/>
        <v>0 г. 0 мес. 0 дн.</v>
      </c>
      <c r="I2192" s="2"/>
      <c r="J2192" s="2"/>
      <c r="K2192" s="2"/>
      <c r="L2192" s="2"/>
      <c r="M2192" s="2"/>
      <c r="N2192" s="1">
        <v>0</v>
      </c>
      <c r="O2192" s="2"/>
      <c r="P2192" s="2"/>
      <c r="Q2192" s="2">
        <v>0</v>
      </c>
      <c r="R2192" s="6"/>
    </row>
    <row r="2193" spans="1:18" x14ac:dyDescent="0.25">
      <c r="A2193" s="2">
        <f t="shared" si="78"/>
        <v>2192</v>
      </c>
      <c r="B2193" s="2"/>
      <c r="C2193" s="2"/>
      <c r="D2193" s="2"/>
      <c r="E2193" s="2"/>
      <c r="F2193" s="2"/>
      <c r="G2193" s="2"/>
      <c r="H2193" s="2" t="str">
        <f t="shared" si="79"/>
        <v>0 г. 0 мес. 0 дн.</v>
      </c>
      <c r="I2193" s="2"/>
      <c r="J2193" s="2"/>
      <c r="K2193" s="2"/>
      <c r="L2193" s="2"/>
      <c r="M2193" s="2"/>
      <c r="N2193" s="1">
        <v>0</v>
      </c>
      <c r="O2193" s="2"/>
      <c r="P2193" s="2"/>
      <c r="Q2193" s="2">
        <v>0</v>
      </c>
      <c r="R2193" s="6"/>
    </row>
    <row r="2194" spans="1:18" x14ac:dyDescent="0.25">
      <c r="A2194" s="2">
        <f t="shared" si="78"/>
        <v>2193</v>
      </c>
      <c r="B2194" s="2"/>
      <c r="C2194" s="2"/>
      <c r="D2194" s="2"/>
      <c r="E2194" s="2"/>
      <c r="F2194" s="2"/>
      <c r="G2194" s="2"/>
      <c r="H2194" s="2" t="str">
        <f t="shared" si="79"/>
        <v>0 г. 0 мес. 0 дн.</v>
      </c>
      <c r="I2194" s="2"/>
      <c r="J2194" s="2"/>
      <c r="K2194" s="2"/>
      <c r="L2194" s="2"/>
      <c r="M2194" s="2"/>
      <c r="N2194" s="1">
        <v>0</v>
      </c>
      <c r="O2194" s="2"/>
      <c r="P2194" s="2"/>
      <c r="Q2194" s="2">
        <v>0</v>
      </c>
      <c r="R2194" s="6"/>
    </row>
    <row r="2195" spans="1:18" x14ac:dyDescent="0.25">
      <c r="A2195" s="2">
        <f t="shared" si="78"/>
        <v>2194</v>
      </c>
      <c r="B2195" s="2"/>
      <c r="C2195" s="2"/>
      <c r="D2195" s="2"/>
      <c r="E2195" s="2"/>
      <c r="F2195" s="2"/>
      <c r="G2195" s="2"/>
      <c r="H2195" s="2" t="str">
        <f t="shared" si="79"/>
        <v>0 г. 0 мес. 0 дн.</v>
      </c>
      <c r="I2195" s="2"/>
      <c r="J2195" s="2"/>
      <c r="K2195" s="2"/>
      <c r="L2195" s="2"/>
      <c r="M2195" s="2"/>
      <c r="N2195" s="1">
        <v>0</v>
      </c>
      <c r="O2195" s="2"/>
      <c r="P2195" s="2"/>
      <c r="Q2195" s="2">
        <v>0</v>
      </c>
      <c r="R2195" s="6"/>
    </row>
    <row r="2196" spans="1:18" x14ac:dyDescent="0.25">
      <c r="A2196" s="2">
        <f t="shared" si="78"/>
        <v>2195</v>
      </c>
      <c r="B2196" s="2"/>
      <c r="C2196" s="2"/>
      <c r="D2196" s="2"/>
      <c r="E2196" s="2"/>
      <c r="F2196" s="2"/>
      <c r="G2196" s="2"/>
      <c r="H2196" s="2" t="str">
        <f t="shared" si="79"/>
        <v>0 г. 0 мес. 0 дн.</v>
      </c>
      <c r="I2196" s="2"/>
      <c r="J2196" s="2"/>
      <c r="K2196" s="2"/>
      <c r="L2196" s="2"/>
      <c r="M2196" s="2"/>
      <c r="N2196" s="1">
        <v>0</v>
      </c>
      <c r="O2196" s="2"/>
      <c r="P2196" s="2"/>
      <c r="Q2196" s="2">
        <v>0</v>
      </c>
      <c r="R2196" s="6"/>
    </row>
    <row r="2197" spans="1:18" x14ac:dyDescent="0.25">
      <c r="A2197" s="2">
        <f t="shared" si="78"/>
        <v>2196</v>
      </c>
      <c r="B2197" s="2"/>
      <c r="C2197" s="2"/>
      <c r="D2197" s="2"/>
      <c r="E2197" s="2"/>
      <c r="F2197" s="2"/>
      <c r="G2197" s="2"/>
      <c r="H2197" s="2" t="str">
        <f t="shared" si="79"/>
        <v>0 г. 0 мес. 0 дн.</v>
      </c>
      <c r="I2197" s="2"/>
      <c r="J2197" s="2"/>
      <c r="K2197" s="2"/>
      <c r="L2197" s="2"/>
      <c r="M2197" s="2"/>
      <c r="N2197" s="1">
        <v>0</v>
      </c>
      <c r="O2197" s="2"/>
      <c r="P2197" s="2"/>
      <c r="Q2197" s="2">
        <v>0</v>
      </c>
      <c r="R2197" s="6"/>
    </row>
    <row r="2198" spans="1:18" x14ac:dyDescent="0.25">
      <c r="A2198" s="2">
        <f t="shared" si="78"/>
        <v>2197</v>
      </c>
      <c r="B2198" s="2"/>
      <c r="C2198" s="2"/>
      <c r="D2198" s="2"/>
      <c r="E2198" s="2"/>
      <c r="F2198" s="2"/>
      <c r="G2198" s="2"/>
      <c r="H2198" s="2" t="str">
        <f t="shared" si="79"/>
        <v>0 г. 0 мес. 0 дн.</v>
      </c>
      <c r="I2198" s="2"/>
      <c r="J2198" s="2"/>
      <c r="K2198" s="2"/>
      <c r="L2198" s="2"/>
      <c r="M2198" s="2"/>
      <c r="N2198" s="1">
        <v>0</v>
      </c>
      <c r="O2198" s="2"/>
      <c r="P2198" s="2"/>
      <c r="Q2198" s="2">
        <v>0</v>
      </c>
      <c r="R2198" s="6"/>
    </row>
    <row r="2199" spans="1:18" x14ac:dyDescent="0.25">
      <c r="A2199" s="2">
        <f t="shared" si="78"/>
        <v>2198</v>
      </c>
      <c r="B2199" s="2"/>
      <c r="C2199" s="2"/>
      <c r="D2199" s="2"/>
      <c r="E2199" s="2"/>
      <c r="F2199" s="2"/>
      <c r="G2199" s="2"/>
      <c r="H2199" s="2" t="str">
        <f t="shared" si="79"/>
        <v>0 г. 0 мес. 0 дн.</v>
      </c>
      <c r="I2199" s="2"/>
      <c r="J2199" s="2"/>
      <c r="K2199" s="2"/>
      <c r="L2199" s="2"/>
      <c r="M2199" s="2"/>
      <c r="N2199" s="1">
        <v>0</v>
      </c>
      <c r="O2199" s="2"/>
      <c r="P2199" s="2"/>
      <c r="Q2199" s="2">
        <v>0</v>
      </c>
      <c r="R2199" s="6"/>
    </row>
    <row r="2200" spans="1:18" x14ac:dyDescent="0.25">
      <c r="A2200" s="2">
        <f t="shared" si="78"/>
        <v>2199</v>
      </c>
      <c r="B2200" s="2"/>
      <c r="C2200" s="2"/>
      <c r="D2200" s="2"/>
      <c r="E2200" s="2"/>
      <c r="F2200" s="2"/>
      <c r="G2200" s="2"/>
      <c r="H2200" s="2" t="str">
        <f t="shared" si="79"/>
        <v>0 г. 0 мес. 0 дн.</v>
      </c>
      <c r="I2200" s="2"/>
      <c r="J2200" s="2"/>
      <c r="K2200" s="2"/>
      <c r="L2200" s="2"/>
      <c r="M2200" s="2"/>
      <c r="N2200" s="1">
        <v>0</v>
      </c>
      <c r="O2200" s="2"/>
      <c r="P2200" s="2"/>
      <c r="Q2200" s="2">
        <v>0</v>
      </c>
      <c r="R2200" s="6"/>
    </row>
    <row r="2201" spans="1:18" x14ac:dyDescent="0.25">
      <c r="A2201" s="2">
        <f t="shared" si="78"/>
        <v>2200</v>
      </c>
      <c r="B2201" s="2"/>
      <c r="C2201" s="2"/>
      <c r="D2201" s="2"/>
      <c r="E2201" s="2"/>
      <c r="F2201" s="2"/>
      <c r="G2201" s="2"/>
      <c r="H2201" s="2" t="str">
        <f t="shared" si="79"/>
        <v>0 г. 0 мес. 0 дн.</v>
      </c>
      <c r="I2201" s="2"/>
      <c r="J2201" s="2"/>
      <c r="K2201" s="2"/>
      <c r="L2201" s="2"/>
      <c r="M2201" s="2"/>
      <c r="N2201" s="1">
        <v>0</v>
      </c>
      <c r="O2201" s="2"/>
      <c r="P2201" s="2"/>
      <c r="Q2201" s="2">
        <v>0</v>
      </c>
      <c r="R2201" s="6"/>
    </row>
    <row r="2202" spans="1:18" x14ac:dyDescent="0.25">
      <c r="A2202" s="2">
        <f t="shared" si="78"/>
        <v>2201</v>
      </c>
      <c r="B2202" s="2"/>
      <c r="C2202" s="2"/>
      <c r="D2202" s="2"/>
      <c r="E2202" s="2"/>
      <c r="F2202" s="2"/>
      <c r="G2202" s="2"/>
      <c r="H2202" s="2" t="str">
        <f t="shared" si="79"/>
        <v>0 г. 0 мес. 0 дн.</v>
      </c>
      <c r="I2202" s="2"/>
      <c r="J2202" s="2"/>
      <c r="K2202" s="2"/>
      <c r="L2202" s="2"/>
      <c r="M2202" s="2"/>
      <c r="N2202" s="1">
        <v>0</v>
      </c>
      <c r="O2202" s="2"/>
      <c r="P2202" s="2"/>
      <c r="Q2202" s="2">
        <v>0</v>
      </c>
      <c r="R2202" s="6"/>
    </row>
    <row r="2203" spans="1:18" x14ac:dyDescent="0.25">
      <c r="A2203" s="2">
        <f t="shared" si="78"/>
        <v>2202</v>
      </c>
      <c r="B2203" s="2"/>
      <c r="C2203" s="2"/>
      <c r="D2203" s="2"/>
      <c r="E2203" s="2"/>
      <c r="F2203" s="2"/>
      <c r="G2203" s="2"/>
      <c r="H2203" s="2" t="str">
        <f t="shared" si="79"/>
        <v>0 г. 0 мес. 0 дн.</v>
      </c>
      <c r="I2203" s="2"/>
      <c r="J2203" s="2"/>
      <c r="K2203" s="2"/>
      <c r="L2203" s="2"/>
      <c r="M2203" s="2"/>
      <c r="N2203" s="1">
        <v>0</v>
      </c>
      <c r="O2203" s="2"/>
      <c r="P2203" s="2"/>
      <c r="Q2203" s="2">
        <v>0</v>
      </c>
      <c r="R2203" s="6"/>
    </row>
    <row r="2204" spans="1:18" x14ac:dyDescent="0.25">
      <c r="A2204" s="2">
        <f t="shared" si="78"/>
        <v>2203</v>
      </c>
      <c r="B2204" s="2"/>
      <c r="C2204" s="2"/>
      <c r="D2204" s="2"/>
      <c r="E2204" s="2"/>
      <c r="F2204" s="2"/>
      <c r="G2204" s="2"/>
      <c r="H2204" s="2" t="str">
        <f t="shared" si="79"/>
        <v>0 г. 0 мес. 0 дн.</v>
      </c>
      <c r="I2204" s="2"/>
      <c r="J2204" s="2"/>
      <c r="K2204" s="2"/>
      <c r="L2204" s="2"/>
      <c r="M2204" s="2"/>
      <c r="N2204" s="1">
        <v>0</v>
      </c>
      <c r="O2204" s="2"/>
      <c r="P2204" s="2"/>
      <c r="Q2204" s="2">
        <v>0</v>
      </c>
      <c r="R2204" s="6"/>
    </row>
    <row r="2205" spans="1:18" x14ac:dyDescent="0.25">
      <c r="A2205" s="2">
        <f t="shared" ref="A2205:A2268" si="80">ROW(A2204)</f>
        <v>2204</v>
      </c>
      <c r="B2205" s="2"/>
      <c r="C2205" s="2"/>
      <c r="D2205" s="2"/>
      <c r="E2205" s="2"/>
      <c r="F2205" s="2"/>
      <c r="G2205" s="2"/>
      <c r="H2205" s="2" t="str">
        <f t="shared" si="79"/>
        <v>0 г. 0 мес. 0 дн.</v>
      </c>
      <c r="I2205" s="2"/>
      <c r="J2205" s="2"/>
      <c r="K2205" s="2"/>
      <c r="L2205" s="2"/>
      <c r="M2205" s="2"/>
      <c r="N2205" s="1">
        <v>0</v>
      </c>
      <c r="O2205" s="2"/>
      <c r="P2205" s="2"/>
      <c r="Q2205" s="2">
        <v>0</v>
      </c>
      <c r="R2205" s="6"/>
    </row>
    <row r="2206" spans="1:18" x14ac:dyDescent="0.25">
      <c r="A2206" s="2">
        <f t="shared" si="80"/>
        <v>2205</v>
      </c>
      <c r="B2206" s="2"/>
      <c r="C2206" s="2"/>
      <c r="D2206" s="2"/>
      <c r="E2206" s="2"/>
      <c r="F2206" s="2"/>
      <c r="G2206" s="2"/>
      <c r="H2206" s="2" t="str">
        <f t="shared" si="79"/>
        <v>0 г. 0 мес. 0 дн.</v>
      </c>
      <c r="I2206" s="2"/>
      <c r="J2206" s="2"/>
      <c r="K2206" s="2"/>
      <c r="L2206" s="2"/>
      <c r="M2206" s="2"/>
      <c r="N2206" s="1">
        <v>0</v>
      </c>
      <c r="O2206" s="2"/>
      <c r="P2206" s="2"/>
      <c r="Q2206" s="2">
        <v>0</v>
      </c>
      <c r="R2206" s="6"/>
    </row>
    <row r="2207" spans="1:18" x14ac:dyDescent="0.25">
      <c r="A2207" s="2">
        <f t="shared" si="80"/>
        <v>2206</v>
      </c>
      <c r="B2207" s="2"/>
      <c r="C2207" s="2"/>
      <c r="D2207" s="2"/>
      <c r="E2207" s="2"/>
      <c r="F2207" s="2"/>
      <c r="G2207" s="2"/>
      <c r="H2207" s="2" t="str">
        <f t="shared" si="79"/>
        <v>0 г. 0 мес. 0 дн.</v>
      </c>
      <c r="I2207" s="2"/>
      <c r="J2207" s="2"/>
      <c r="K2207" s="2"/>
      <c r="L2207" s="2"/>
      <c r="M2207" s="2"/>
      <c r="N2207" s="1">
        <v>0</v>
      </c>
      <c r="O2207" s="2"/>
      <c r="P2207" s="2"/>
      <c r="Q2207" s="2">
        <v>0</v>
      </c>
      <c r="R2207" s="6"/>
    </row>
    <row r="2208" spans="1:18" x14ac:dyDescent="0.25">
      <c r="A2208" s="2">
        <f t="shared" si="80"/>
        <v>2207</v>
      </c>
      <c r="B2208" s="2"/>
      <c r="C2208" s="2"/>
      <c r="D2208" s="2"/>
      <c r="E2208" s="2"/>
      <c r="F2208" s="2"/>
      <c r="G2208" s="2"/>
      <c r="H2208" s="2" t="str">
        <f t="shared" si="79"/>
        <v>0 г. 0 мес. 0 дн.</v>
      </c>
      <c r="I2208" s="2"/>
      <c r="J2208" s="2"/>
      <c r="K2208" s="2"/>
      <c r="L2208" s="2"/>
      <c r="M2208" s="2"/>
      <c r="N2208" s="1">
        <v>0</v>
      </c>
      <c r="O2208" s="2"/>
      <c r="P2208" s="2"/>
      <c r="Q2208" s="2">
        <v>0</v>
      </c>
      <c r="R2208" s="6"/>
    </row>
    <row r="2209" spans="1:18" x14ac:dyDescent="0.25">
      <c r="A2209" s="2">
        <f t="shared" si="80"/>
        <v>2208</v>
      </c>
      <c r="B2209" s="2"/>
      <c r="C2209" s="2"/>
      <c r="D2209" s="2"/>
      <c r="E2209" s="2"/>
      <c r="F2209" s="2"/>
      <c r="G2209" s="2"/>
      <c r="H2209" s="2" t="str">
        <f t="shared" si="79"/>
        <v>0 г. 0 мес. 0 дн.</v>
      </c>
      <c r="I2209" s="2"/>
      <c r="J2209" s="2"/>
      <c r="K2209" s="2"/>
      <c r="L2209" s="2"/>
      <c r="M2209" s="2"/>
      <c r="N2209" s="1">
        <v>0</v>
      </c>
      <c r="O2209" s="2"/>
      <c r="P2209" s="2"/>
      <c r="Q2209" s="2">
        <v>0</v>
      </c>
      <c r="R2209" s="6"/>
    </row>
    <row r="2210" spans="1:18" x14ac:dyDescent="0.25">
      <c r="A2210" s="2">
        <f t="shared" si="80"/>
        <v>2209</v>
      </c>
      <c r="B2210" s="2"/>
      <c r="C2210" s="2"/>
      <c r="D2210" s="2"/>
      <c r="E2210" s="2"/>
      <c r="F2210" s="2"/>
      <c r="G2210" s="2"/>
      <c r="H2210" s="2" t="str">
        <f t="shared" si="79"/>
        <v>0 г. 0 мес. 0 дн.</v>
      </c>
      <c r="I2210" s="2"/>
      <c r="J2210" s="2"/>
      <c r="K2210" s="2"/>
      <c r="L2210" s="2"/>
      <c r="M2210" s="2"/>
      <c r="N2210" s="1">
        <v>0</v>
      </c>
      <c r="O2210" s="2"/>
      <c r="P2210" s="2"/>
      <c r="Q2210" s="2">
        <v>0</v>
      </c>
      <c r="R2210" s="6"/>
    </row>
    <row r="2211" spans="1:18" x14ac:dyDescent="0.25">
      <c r="A2211" s="2">
        <f t="shared" si="80"/>
        <v>2210</v>
      </c>
      <c r="B2211" s="2"/>
      <c r="C2211" s="2"/>
      <c r="D2211" s="2"/>
      <c r="E2211" s="2"/>
      <c r="F2211" s="2"/>
      <c r="G2211" s="2"/>
      <c r="H2211" s="2" t="str">
        <f t="shared" si="79"/>
        <v>0 г. 0 мес. 0 дн.</v>
      </c>
      <c r="I2211" s="2"/>
      <c r="J2211" s="2"/>
      <c r="K2211" s="2"/>
      <c r="L2211" s="2"/>
      <c r="M2211" s="2"/>
      <c r="N2211" s="1">
        <v>0</v>
      </c>
      <c r="O2211" s="2"/>
      <c r="P2211" s="2"/>
      <c r="Q2211" s="2">
        <v>0</v>
      </c>
      <c r="R2211" s="6"/>
    </row>
    <row r="2212" spans="1:18" x14ac:dyDescent="0.25">
      <c r="A2212" s="2">
        <f t="shared" si="80"/>
        <v>2211</v>
      </c>
      <c r="B2212" s="2"/>
      <c r="C2212" s="2"/>
      <c r="D2212" s="2"/>
      <c r="E2212" s="2"/>
      <c r="F2212" s="2"/>
      <c r="G2212" s="2"/>
      <c r="H2212" s="2" t="str">
        <f t="shared" si="79"/>
        <v>0 г. 0 мес. 0 дн.</v>
      </c>
      <c r="I2212" s="2"/>
      <c r="J2212" s="2"/>
      <c r="K2212" s="2"/>
      <c r="L2212" s="2"/>
      <c r="M2212" s="2"/>
      <c r="N2212" s="1">
        <v>0</v>
      </c>
      <c r="O2212" s="2"/>
      <c r="P2212" s="2"/>
      <c r="Q2212" s="2">
        <v>0</v>
      </c>
      <c r="R2212" s="6"/>
    </row>
    <row r="2213" spans="1:18" x14ac:dyDescent="0.25">
      <c r="A2213" s="2">
        <f t="shared" si="80"/>
        <v>2212</v>
      </c>
      <c r="B2213" s="2"/>
      <c r="C2213" s="2"/>
      <c r="D2213" s="2"/>
      <c r="E2213" s="2"/>
      <c r="F2213" s="2"/>
      <c r="G2213" s="2"/>
      <c r="H2213" s="2" t="str">
        <f t="shared" si="79"/>
        <v>0 г. 0 мес. 0 дн.</v>
      </c>
      <c r="I2213" s="2"/>
      <c r="J2213" s="2"/>
      <c r="K2213" s="2"/>
      <c r="L2213" s="2"/>
      <c r="M2213" s="2"/>
      <c r="N2213" s="1">
        <v>0</v>
      </c>
      <c r="O2213" s="2"/>
      <c r="P2213" s="2"/>
      <c r="Q2213" s="2">
        <v>0</v>
      </c>
      <c r="R2213" s="6"/>
    </row>
    <row r="2214" spans="1:18" x14ac:dyDescent="0.25">
      <c r="A2214" s="2">
        <f t="shared" si="80"/>
        <v>2213</v>
      </c>
      <c r="B2214" s="2"/>
      <c r="C2214" s="2"/>
      <c r="D2214" s="2"/>
      <c r="E2214" s="2"/>
      <c r="F2214" s="2"/>
      <c r="G2214" s="2"/>
      <c r="H2214" s="2" t="str">
        <f t="shared" si="79"/>
        <v>0 г. 0 мес. 0 дн.</v>
      </c>
      <c r="I2214" s="2"/>
      <c r="J2214" s="2"/>
      <c r="K2214" s="2"/>
      <c r="L2214" s="2"/>
      <c r="M2214" s="2"/>
      <c r="N2214" s="1">
        <v>0</v>
      </c>
      <c r="O2214" s="2"/>
      <c r="P2214" s="2"/>
      <c r="Q2214" s="2">
        <v>0</v>
      </c>
      <c r="R2214" s="6"/>
    </row>
    <row r="2215" spans="1:18" x14ac:dyDescent="0.25">
      <c r="A2215" s="2">
        <f t="shared" si="80"/>
        <v>2214</v>
      </c>
      <c r="B2215" s="2"/>
      <c r="C2215" s="2"/>
      <c r="D2215" s="2"/>
      <c r="E2215" s="2"/>
      <c r="F2215" s="2"/>
      <c r="G2215" s="2"/>
      <c r="H2215" s="2" t="str">
        <f t="shared" si="79"/>
        <v>0 г. 0 мес. 0 дн.</v>
      </c>
      <c r="I2215" s="2"/>
      <c r="J2215" s="2"/>
      <c r="K2215" s="2"/>
      <c r="L2215" s="2"/>
      <c r="M2215" s="2"/>
      <c r="N2215" s="1">
        <v>0</v>
      </c>
      <c r="O2215" s="2"/>
      <c r="P2215" s="2"/>
      <c r="Q2215" s="2">
        <v>0</v>
      </c>
      <c r="R2215" s="6"/>
    </row>
    <row r="2216" spans="1:18" x14ac:dyDescent="0.25">
      <c r="A2216" s="2">
        <f t="shared" si="80"/>
        <v>2215</v>
      </c>
      <c r="B2216" s="2"/>
      <c r="C2216" s="2"/>
      <c r="D2216" s="2"/>
      <c r="E2216" s="2"/>
      <c r="F2216" s="2"/>
      <c r="G2216" s="2"/>
      <c r="H2216" s="2" t="str">
        <f t="shared" si="79"/>
        <v>0 г. 0 мес. 0 дн.</v>
      </c>
      <c r="I2216" s="2"/>
      <c r="J2216" s="2"/>
      <c r="K2216" s="2"/>
      <c r="L2216" s="2"/>
      <c r="M2216" s="2"/>
      <c r="N2216" s="1">
        <v>0</v>
      </c>
      <c r="O2216" s="2"/>
      <c r="P2216" s="2"/>
      <c r="Q2216" s="2">
        <v>0</v>
      </c>
      <c r="R2216" s="6"/>
    </row>
    <row r="2217" spans="1:18" x14ac:dyDescent="0.25">
      <c r="A2217" s="2">
        <f t="shared" si="80"/>
        <v>2216</v>
      </c>
      <c r="B2217" s="2"/>
      <c r="C2217" s="2"/>
      <c r="D2217" s="2"/>
      <c r="E2217" s="2"/>
      <c r="F2217" s="2"/>
      <c r="G2217" s="2"/>
      <c r="H2217" s="2" t="str">
        <f t="shared" si="79"/>
        <v>0 г. 0 мес. 0 дн.</v>
      </c>
      <c r="I2217" s="2"/>
      <c r="J2217" s="2"/>
      <c r="K2217" s="2"/>
      <c r="L2217" s="2"/>
      <c r="M2217" s="2"/>
      <c r="N2217" s="1">
        <v>0</v>
      </c>
      <c r="O2217" s="2"/>
      <c r="P2217" s="2"/>
      <c r="Q2217" s="2">
        <v>0</v>
      </c>
      <c r="R2217" s="6"/>
    </row>
    <row r="2218" spans="1:18" x14ac:dyDescent="0.25">
      <c r="A2218" s="2">
        <f t="shared" si="80"/>
        <v>2217</v>
      </c>
      <c r="B2218" s="2"/>
      <c r="C2218" s="2"/>
      <c r="D2218" s="2"/>
      <c r="E2218" s="2"/>
      <c r="F2218" s="2"/>
      <c r="G2218" s="2"/>
      <c r="H2218" s="2" t="str">
        <f t="shared" si="79"/>
        <v>0 г. 0 мес. 0 дн.</v>
      </c>
      <c r="I2218" s="2"/>
      <c r="J2218" s="2"/>
      <c r="K2218" s="2"/>
      <c r="L2218" s="2"/>
      <c r="M2218" s="2"/>
      <c r="N2218" s="1">
        <v>0</v>
      </c>
      <c r="O2218" s="2"/>
      <c r="P2218" s="2"/>
      <c r="Q2218" s="2">
        <v>0</v>
      </c>
      <c r="R2218" s="6"/>
    </row>
    <row r="2219" spans="1:18" x14ac:dyDescent="0.25">
      <c r="A2219" s="2">
        <f t="shared" si="80"/>
        <v>2218</v>
      </c>
      <c r="B2219" s="2"/>
      <c r="C2219" s="2"/>
      <c r="D2219" s="2"/>
      <c r="E2219" s="2"/>
      <c r="F2219" s="2"/>
      <c r="G2219" s="2"/>
      <c r="H2219" s="2" t="str">
        <f t="shared" si="79"/>
        <v>0 г. 0 мес. 0 дн.</v>
      </c>
      <c r="I2219" s="2"/>
      <c r="J2219" s="2"/>
      <c r="K2219" s="2"/>
      <c r="L2219" s="2"/>
      <c r="M2219" s="2"/>
      <c r="N2219" s="1">
        <v>0</v>
      </c>
      <c r="O2219" s="2"/>
      <c r="P2219" s="2"/>
      <c r="Q2219" s="2">
        <v>0</v>
      </c>
      <c r="R2219" s="6"/>
    </row>
    <row r="2220" spans="1:18" x14ac:dyDescent="0.25">
      <c r="A2220" s="2">
        <f t="shared" si="80"/>
        <v>2219</v>
      </c>
      <c r="B2220" s="2"/>
      <c r="C2220" s="2"/>
      <c r="D2220" s="2"/>
      <c r="E2220" s="2"/>
      <c r="F2220" s="2"/>
      <c r="G2220" s="2"/>
      <c r="H2220" s="2" t="str">
        <f t="shared" si="79"/>
        <v>0 г. 0 мес. 0 дн.</v>
      </c>
      <c r="I2220" s="2"/>
      <c r="J2220" s="2"/>
      <c r="K2220" s="2"/>
      <c r="L2220" s="2"/>
      <c r="M2220" s="2"/>
      <c r="N2220" s="1">
        <v>0</v>
      </c>
      <c r="O2220" s="2"/>
      <c r="P2220" s="2"/>
      <c r="Q2220" s="2">
        <v>0</v>
      </c>
      <c r="R2220" s="6"/>
    </row>
    <row r="2221" spans="1:18" x14ac:dyDescent="0.25">
      <c r="A2221" s="2">
        <f t="shared" si="80"/>
        <v>2220</v>
      </c>
      <c r="B2221" s="2"/>
      <c r="C2221" s="2"/>
      <c r="D2221" s="2"/>
      <c r="E2221" s="2"/>
      <c r="F2221" s="2"/>
      <c r="G2221" s="2"/>
      <c r="H2221" s="2" t="str">
        <f t="shared" si="79"/>
        <v>0 г. 0 мес. 0 дн.</v>
      </c>
      <c r="I2221" s="2"/>
      <c r="J2221" s="2"/>
      <c r="K2221" s="2"/>
      <c r="L2221" s="2"/>
      <c r="M2221" s="2"/>
      <c r="N2221" s="1">
        <v>0</v>
      </c>
      <c r="O2221" s="2"/>
      <c r="P2221" s="2"/>
      <c r="Q2221" s="2">
        <v>0</v>
      </c>
      <c r="R2221" s="6"/>
    </row>
    <row r="2222" spans="1:18" x14ac:dyDescent="0.25">
      <c r="A2222" s="2">
        <f t="shared" si="80"/>
        <v>2221</v>
      </c>
      <c r="B2222" s="2"/>
      <c r="C2222" s="2"/>
      <c r="D2222" s="2"/>
      <c r="E2222" s="2"/>
      <c r="F2222" s="2"/>
      <c r="G2222" s="2"/>
      <c r="H2222" s="2" t="str">
        <f t="shared" si="79"/>
        <v>0 г. 0 мес. 0 дн.</v>
      </c>
      <c r="I2222" s="2"/>
      <c r="J2222" s="2"/>
      <c r="K2222" s="2"/>
      <c r="L2222" s="2"/>
      <c r="M2222" s="2"/>
      <c r="N2222" s="1">
        <v>0</v>
      </c>
      <c r="O2222" s="2"/>
      <c r="P2222" s="2"/>
      <c r="Q2222" s="2">
        <v>0</v>
      </c>
      <c r="R2222" s="6"/>
    </row>
    <row r="2223" spans="1:18" x14ac:dyDescent="0.25">
      <c r="A2223" s="2">
        <f t="shared" si="80"/>
        <v>2222</v>
      </c>
      <c r="B2223" s="2"/>
      <c r="C2223" s="2"/>
      <c r="D2223" s="2"/>
      <c r="E2223" s="2"/>
      <c r="F2223" s="2"/>
      <c r="G2223" s="2"/>
      <c r="H2223" s="2" t="str">
        <f t="shared" si="79"/>
        <v>0 г. 0 мес. 0 дн.</v>
      </c>
      <c r="I2223" s="2"/>
      <c r="J2223" s="2"/>
      <c r="K2223" s="2"/>
      <c r="L2223" s="2"/>
      <c r="M2223" s="2"/>
      <c r="N2223" s="1">
        <v>0</v>
      </c>
      <c r="O2223" s="2"/>
      <c r="P2223" s="2"/>
      <c r="Q2223" s="2">
        <v>0</v>
      </c>
      <c r="R2223" s="6"/>
    </row>
    <row r="2224" spans="1:18" x14ac:dyDescent="0.25">
      <c r="A2224" s="2">
        <f t="shared" si="80"/>
        <v>2223</v>
      </c>
      <c r="B2224" s="2"/>
      <c r="C2224" s="2"/>
      <c r="D2224" s="2"/>
      <c r="E2224" s="2"/>
      <c r="F2224" s="2"/>
      <c r="G2224" s="2"/>
      <c r="H2224" s="2" t="str">
        <f t="shared" si="79"/>
        <v>0 г. 0 мес. 0 дн.</v>
      </c>
      <c r="I2224" s="2"/>
      <c r="J2224" s="2"/>
      <c r="K2224" s="2"/>
      <c r="L2224" s="2"/>
      <c r="M2224" s="2"/>
      <c r="N2224" s="1">
        <v>0</v>
      </c>
      <c r="O2224" s="2"/>
      <c r="P2224" s="2"/>
      <c r="Q2224" s="2">
        <v>0</v>
      </c>
      <c r="R2224" s="6"/>
    </row>
    <row r="2225" spans="1:18" x14ac:dyDescent="0.25">
      <c r="A2225" s="2">
        <f t="shared" si="80"/>
        <v>2224</v>
      </c>
      <c r="B2225" s="2"/>
      <c r="C2225" s="2"/>
      <c r="D2225" s="2"/>
      <c r="E2225" s="2"/>
      <c r="F2225" s="2"/>
      <c r="G2225" s="2"/>
      <c r="H2225" s="2" t="str">
        <f t="shared" si="79"/>
        <v>0 г. 0 мес. 0 дн.</v>
      </c>
      <c r="I2225" s="2"/>
      <c r="J2225" s="2"/>
      <c r="K2225" s="2"/>
      <c r="L2225" s="2"/>
      <c r="M2225" s="2"/>
      <c r="N2225" s="1">
        <v>0</v>
      </c>
      <c r="O2225" s="2"/>
      <c r="P2225" s="2"/>
      <c r="Q2225" s="2">
        <v>0</v>
      </c>
      <c r="R2225" s="6"/>
    </row>
    <row r="2226" spans="1:18" x14ac:dyDescent="0.25">
      <c r="A2226" s="2">
        <f t="shared" si="80"/>
        <v>2225</v>
      </c>
      <c r="B2226" s="2"/>
      <c r="C2226" s="2"/>
      <c r="D2226" s="2"/>
      <c r="E2226" s="2"/>
      <c r="F2226" s="2"/>
      <c r="G2226" s="2"/>
      <c r="H2226" s="2" t="str">
        <f t="shared" si="79"/>
        <v>0 г. 0 мес. 0 дн.</v>
      </c>
      <c r="I2226" s="2"/>
      <c r="J2226" s="2"/>
      <c r="K2226" s="2"/>
      <c r="L2226" s="2"/>
      <c r="M2226" s="2"/>
      <c r="N2226" s="1">
        <v>0</v>
      </c>
      <c r="O2226" s="2"/>
      <c r="P2226" s="2"/>
      <c r="Q2226" s="2">
        <v>0</v>
      </c>
      <c r="R2226" s="6"/>
    </row>
    <row r="2227" spans="1:18" x14ac:dyDescent="0.25">
      <c r="A2227" s="2">
        <f t="shared" si="80"/>
        <v>2226</v>
      </c>
      <c r="B2227" s="2"/>
      <c r="C2227" s="2"/>
      <c r="D2227" s="2"/>
      <c r="E2227" s="2"/>
      <c r="F2227" s="2"/>
      <c r="G2227" s="2"/>
      <c r="H2227" s="2" t="str">
        <f t="shared" si="79"/>
        <v>0 г. 0 мес. 0 дн.</v>
      </c>
      <c r="I2227" s="2"/>
      <c r="J2227" s="2"/>
      <c r="K2227" s="2"/>
      <c r="L2227" s="2"/>
      <c r="M2227" s="2"/>
      <c r="N2227" s="1">
        <v>0</v>
      </c>
      <c r="O2227" s="2"/>
      <c r="P2227" s="2"/>
      <c r="Q2227" s="2">
        <v>0</v>
      </c>
      <c r="R2227" s="6"/>
    </row>
    <row r="2228" spans="1:18" x14ac:dyDescent="0.25">
      <c r="A2228" s="2">
        <f t="shared" si="80"/>
        <v>2227</v>
      </c>
      <c r="B2228" s="2"/>
      <c r="C2228" s="2"/>
      <c r="D2228" s="2"/>
      <c r="E2228" s="2"/>
      <c r="F2228" s="2"/>
      <c r="G2228" s="2"/>
      <c r="H2228" s="2" t="str">
        <f t="shared" si="79"/>
        <v>0 г. 0 мес. 0 дн.</v>
      </c>
      <c r="I2228" s="2"/>
      <c r="J2228" s="2"/>
      <c r="K2228" s="2"/>
      <c r="L2228" s="2"/>
      <c r="M2228" s="2"/>
      <c r="N2228" s="1">
        <v>0</v>
      </c>
      <c r="O2228" s="2"/>
      <c r="P2228" s="2"/>
      <c r="Q2228" s="2">
        <v>0</v>
      </c>
      <c r="R2228" s="6"/>
    </row>
    <row r="2229" spans="1:18" x14ac:dyDescent="0.25">
      <c r="A2229" s="2">
        <f t="shared" si="80"/>
        <v>2228</v>
      </c>
      <c r="B2229" s="2"/>
      <c r="C2229" s="2"/>
      <c r="D2229" s="2"/>
      <c r="E2229" s="2"/>
      <c r="F2229" s="2"/>
      <c r="G2229" s="2"/>
      <c r="H2229" s="2" t="str">
        <f t="shared" si="79"/>
        <v>0 г. 0 мес. 0 дн.</v>
      </c>
      <c r="I2229" s="2"/>
      <c r="J2229" s="2"/>
      <c r="K2229" s="2"/>
      <c r="L2229" s="2"/>
      <c r="M2229" s="2"/>
      <c r="N2229" s="1">
        <v>0</v>
      </c>
      <c r="O2229" s="2"/>
      <c r="P2229" s="2"/>
      <c r="Q2229" s="2">
        <v>0</v>
      </c>
      <c r="R2229" s="6"/>
    </row>
    <row r="2230" spans="1:18" x14ac:dyDescent="0.25">
      <c r="A2230" s="2">
        <f t="shared" si="80"/>
        <v>2229</v>
      </c>
      <c r="B2230" s="2"/>
      <c r="C2230" s="2"/>
      <c r="D2230" s="2"/>
      <c r="E2230" s="2"/>
      <c r="F2230" s="2"/>
      <c r="G2230" s="2"/>
      <c r="H2230" s="2" t="str">
        <f t="shared" si="79"/>
        <v>0 г. 0 мес. 0 дн.</v>
      </c>
      <c r="I2230" s="2"/>
      <c r="J2230" s="2"/>
      <c r="K2230" s="2"/>
      <c r="L2230" s="2"/>
      <c r="M2230" s="2"/>
      <c r="N2230" s="1">
        <v>0</v>
      </c>
      <c r="O2230" s="2"/>
      <c r="P2230" s="2"/>
      <c r="Q2230" s="2">
        <v>0</v>
      </c>
      <c r="R2230" s="6"/>
    </row>
    <row r="2231" spans="1:18" x14ac:dyDescent="0.25">
      <c r="A2231" s="2">
        <f t="shared" si="80"/>
        <v>2230</v>
      </c>
      <c r="B2231" s="2"/>
      <c r="C2231" s="2"/>
      <c r="D2231" s="2"/>
      <c r="E2231" s="2"/>
      <c r="F2231" s="2"/>
      <c r="G2231" s="2"/>
      <c r="H2231" s="2" t="str">
        <f t="shared" si="79"/>
        <v>0 г. 0 мес. 0 дн.</v>
      </c>
      <c r="I2231" s="2"/>
      <c r="J2231" s="2"/>
      <c r="K2231" s="2"/>
      <c r="L2231" s="2"/>
      <c r="M2231" s="2"/>
      <c r="N2231" s="1">
        <v>0</v>
      </c>
      <c r="O2231" s="2"/>
      <c r="P2231" s="2"/>
      <c r="Q2231" s="2">
        <v>0</v>
      </c>
      <c r="R2231" s="6"/>
    </row>
    <row r="2232" spans="1:18" x14ac:dyDescent="0.25">
      <c r="A2232" s="2">
        <f t="shared" si="80"/>
        <v>2231</v>
      </c>
      <c r="B2232" s="2"/>
      <c r="C2232" s="2"/>
      <c r="D2232" s="2"/>
      <c r="E2232" s="2"/>
      <c r="F2232" s="2"/>
      <c r="G2232" s="2"/>
      <c r="H2232" s="2" t="str">
        <f t="shared" si="79"/>
        <v>0 г. 0 мес. 0 дн.</v>
      </c>
      <c r="I2232" s="2"/>
      <c r="J2232" s="2"/>
      <c r="K2232" s="2"/>
      <c r="L2232" s="2"/>
      <c r="M2232" s="2"/>
      <c r="N2232" s="1">
        <v>0</v>
      </c>
      <c r="O2232" s="2"/>
      <c r="P2232" s="2"/>
      <c r="Q2232" s="2">
        <v>0</v>
      </c>
      <c r="R2232" s="6"/>
    </row>
    <row r="2233" spans="1:18" x14ac:dyDescent="0.25">
      <c r="A2233" s="2">
        <f t="shared" si="80"/>
        <v>2232</v>
      </c>
      <c r="B2233" s="2"/>
      <c r="C2233" s="2"/>
      <c r="D2233" s="2"/>
      <c r="E2233" s="2"/>
      <c r="F2233" s="2"/>
      <c r="G2233" s="2"/>
      <c r="H2233" s="2" t="str">
        <f t="shared" si="79"/>
        <v>0 г. 0 мес. 0 дн.</v>
      </c>
      <c r="I2233" s="2"/>
      <c r="J2233" s="2"/>
      <c r="K2233" s="2"/>
      <c r="L2233" s="2"/>
      <c r="M2233" s="2"/>
      <c r="N2233" s="1">
        <v>0</v>
      </c>
      <c r="O2233" s="2"/>
      <c r="P2233" s="2"/>
      <c r="Q2233" s="2">
        <v>0</v>
      </c>
      <c r="R2233" s="6"/>
    </row>
    <row r="2234" spans="1:18" x14ac:dyDescent="0.25">
      <c r="A2234" s="2">
        <f t="shared" si="80"/>
        <v>2233</v>
      </c>
      <c r="B2234" s="2"/>
      <c r="C2234" s="2"/>
      <c r="D2234" s="2"/>
      <c r="E2234" s="2"/>
      <c r="F2234" s="2"/>
      <c r="G2234" s="2"/>
      <c r="H2234" s="2" t="str">
        <f t="shared" si="79"/>
        <v>0 г. 0 мес. 0 дн.</v>
      </c>
      <c r="I2234" s="2"/>
      <c r="J2234" s="2"/>
      <c r="K2234" s="2"/>
      <c r="L2234" s="2"/>
      <c r="M2234" s="2"/>
      <c r="N2234" s="1">
        <v>0</v>
      </c>
      <c r="O2234" s="2"/>
      <c r="P2234" s="2"/>
      <c r="Q2234" s="2">
        <v>0</v>
      </c>
      <c r="R2234" s="6"/>
    </row>
    <row r="2235" spans="1:18" x14ac:dyDescent="0.25">
      <c r="A2235" s="2">
        <f t="shared" si="80"/>
        <v>2234</v>
      </c>
      <c r="B2235" s="2"/>
      <c r="C2235" s="2"/>
      <c r="D2235" s="2"/>
      <c r="E2235" s="2"/>
      <c r="F2235" s="2"/>
      <c r="G2235" s="2"/>
      <c r="H2235" s="2" t="str">
        <f t="shared" si="79"/>
        <v>0 г. 0 мес. 0 дн.</v>
      </c>
      <c r="I2235" s="2"/>
      <c r="J2235" s="2"/>
      <c r="K2235" s="2"/>
      <c r="L2235" s="2"/>
      <c r="M2235" s="2"/>
      <c r="N2235" s="1">
        <v>0</v>
      </c>
      <c r="O2235" s="2"/>
      <c r="P2235" s="2"/>
      <c r="Q2235" s="2">
        <v>0</v>
      </c>
      <c r="R2235" s="6"/>
    </row>
    <row r="2236" spans="1:18" x14ac:dyDescent="0.25">
      <c r="A2236" s="2">
        <f t="shared" si="80"/>
        <v>2235</v>
      </c>
      <c r="B2236" s="2"/>
      <c r="C2236" s="2"/>
      <c r="D2236" s="2"/>
      <c r="E2236" s="2"/>
      <c r="F2236" s="2"/>
      <c r="G2236" s="2"/>
      <c r="H2236" s="2" t="str">
        <f t="shared" si="79"/>
        <v>0 г. 0 мес. 0 дн.</v>
      </c>
      <c r="I2236" s="2"/>
      <c r="J2236" s="2"/>
      <c r="K2236" s="2"/>
      <c r="L2236" s="2"/>
      <c r="M2236" s="2"/>
      <c r="N2236" s="1">
        <v>0</v>
      </c>
      <c r="O2236" s="2"/>
      <c r="P2236" s="2"/>
      <c r="Q2236" s="2">
        <v>0</v>
      </c>
      <c r="R2236" s="6"/>
    </row>
    <row r="2237" spans="1:18" x14ac:dyDescent="0.25">
      <c r="A2237" s="2">
        <f t="shared" si="80"/>
        <v>2236</v>
      </c>
      <c r="B2237" s="2"/>
      <c r="C2237" s="2"/>
      <c r="D2237" s="2"/>
      <c r="E2237" s="2"/>
      <c r="F2237" s="2"/>
      <c r="G2237" s="2"/>
      <c r="H2237" s="2" t="str">
        <f t="shared" si="79"/>
        <v>0 г. 0 мес. 0 дн.</v>
      </c>
      <c r="I2237" s="2"/>
      <c r="J2237" s="2"/>
      <c r="K2237" s="2"/>
      <c r="L2237" s="2"/>
      <c r="M2237" s="2"/>
      <c r="N2237" s="1">
        <v>0</v>
      </c>
      <c r="O2237" s="2"/>
      <c r="P2237" s="2"/>
      <c r="Q2237" s="2">
        <v>0</v>
      </c>
      <c r="R2237" s="6"/>
    </row>
    <row r="2238" spans="1:18" x14ac:dyDescent="0.25">
      <c r="A2238" s="2">
        <f t="shared" si="80"/>
        <v>2237</v>
      </c>
      <c r="B2238" s="2"/>
      <c r="C2238" s="2"/>
      <c r="D2238" s="2"/>
      <c r="E2238" s="2"/>
      <c r="F2238" s="2"/>
      <c r="G2238" s="2"/>
      <c r="H2238" s="2" t="str">
        <f t="shared" si="79"/>
        <v>0 г. 0 мес. 0 дн.</v>
      </c>
      <c r="I2238" s="2"/>
      <c r="J2238" s="2"/>
      <c r="K2238" s="2"/>
      <c r="L2238" s="2"/>
      <c r="M2238" s="2"/>
      <c r="N2238" s="1">
        <v>0</v>
      </c>
      <c r="O2238" s="2"/>
      <c r="P2238" s="2"/>
      <c r="Q2238" s="2">
        <v>0</v>
      </c>
      <c r="R2238" s="6"/>
    </row>
    <row r="2239" spans="1:18" x14ac:dyDescent="0.25">
      <c r="A2239" s="2">
        <f t="shared" si="80"/>
        <v>2238</v>
      </c>
      <c r="B2239" s="2"/>
      <c r="C2239" s="2"/>
      <c r="D2239" s="2"/>
      <c r="E2239" s="2"/>
      <c r="F2239" s="2"/>
      <c r="G2239" s="2"/>
      <c r="H2239" s="2" t="str">
        <f t="shared" si="79"/>
        <v>0 г. 0 мес. 0 дн.</v>
      </c>
      <c r="I2239" s="2"/>
      <c r="J2239" s="2"/>
      <c r="K2239" s="2"/>
      <c r="L2239" s="2"/>
      <c r="M2239" s="2"/>
      <c r="N2239" s="1">
        <v>0</v>
      </c>
      <c r="O2239" s="2"/>
      <c r="P2239" s="2"/>
      <c r="Q2239" s="2">
        <v>0</v>
      </c>
      <c r="R2239" s="6"/>
    </row>
    <row r="2240" spans="1:18" x14ac:dyDescent="0.25">
      <c r="A2240" s="2">
        <f t="shared" si="80"/>
        <v>2239</v>
      </c>
      <c r="B2240" s="2"/>
      <c r="C2240" s="2"/>
      <c r="D2240" s="2"/>
      <c r="E2240" s="2"/>
      <c r="F2240" s="2"/>
      <c r="G2240" s="2"/>
      <c r="H2240" s="2" t="str">
        <f t="shared" si="79"/>
        <v>0 г. 0 мес. 0 дн.</v>
      </c>
      <c r="I2240" s="2"/>
      <c r="J2240" s="2"/>
      <c r="K2240" s="2"/>
      <c r="L2240" s="2"/>
      <c r="M2240" s="2"/>
      <c r="N2240" s="1">
        <v>0</v>
      </c>
      <c r="O2240" s="2"/>
      <c r="P2240" s="2"/>
      <c r="Q2240" s="2">
        <v>0</v>
      </c>
      <c r="R2240" s="6"/>
    </row>
    <row r="2241" spans="1:18" x14ac:dyDescent="0.25">
      <c r="A2241" s="2">
        <f t="shared" si="80"/>
        <v>2240</v>
      </c>
      <c r="B2241" s="2"/>
      <c r="C2241" s="2"/>
      <c r="D2241" s="2"/>
      <c r="E2241" s="2"/>
      <c r="F2241" s="2"/>
      <c r="G2241" s="2"/>
      <c r="H2241" s="2" t="str">
        <f t="shared" si="79"/>
        <v>0 г. 0 мес. 0 дн.</v>
      </c>
      <c r="I2241" s="2"/>
      <c r="J2241" s="2"/>
      <c r="K2241" s="2"/>
      <c r="L2241" s="2"/>
      <c r="M2241" s="2"/>
      <c r="N2241" s="1">
        <v>0</v>
      </c>
      <c r="O2241" s="2"/>
      <c r="P2241" s="2"/>
      <c r="Q2241" s="2">
        <v>0</v>
      </c>
      <c r="R2241" s="6"/>
    </row>
    <row r="2242" spans="1:18" x14ac:dyDescent="0.25">
      <c r="A2242" s="2">
        <f t="shared" si="80"/>
        <v>2241</v>
      </c>
      <c r="B2242" s="2"/>
      <c r="C2242" s="2"/>
      <c r="D2242" s="2"/>
      <c r="E2242" s="2"/>
      <c r="F2242" s="2"/>
      <c r="G2242" s="2"/>
      <c r="H2242" s="2" t="str">
        <f t="shared" si="79"/>
        <v>0 г. 0 мес. 0 дн.</v>
      </c>
      <c r="I2242" s="2"/>
      <c r="J2242" s="2"/>
      <c r="K2242" s="2"/>
      <c r="L2242" s="2"/>
      <c r="M2242" s="2"/>
      <c r="N2242" s="1">
        <v>0</v>
      </c>
      <c r="O2242" s="2"/>
      <c r="P2242" s="2"/>
      <c r="Q2242" s="2">
        <v>0</v>
      </c>
      <c r="R2242" s="6"/>
    </row>
    <row r="2243" spans="1:18" x14ac:dyDescent="0.25">
      <c r="A2243" s="2">
        <f t="shared" si="80"/>
        <v>2242</v>
      </c>
      <c r="B2243" s="2"/>
      <c r="C2243" s="2"/>
      <c r="D2243" s="2"/>
      <c r="E2243" s="2"/>
      <c r="F2243" s="2"/>
      <c r="G2243" s="2"/>
      <c r="H2243" s="2" t="str">
        <f t="shared" si="79"/>
        <v>0 г. 0 мес. 0 дн.</v>
      </c>
      <c r="I2243" s="2"/>
      <c r="J2243" s="2"/>
      <c r="K2243" s="2"/>
      <c r="L2243" s="2"/>
      <c r="M2243" s="2"/>
      <c r="N2243" s="1">
        <v>0</v>
      </c>
      <c r="O2243" s="2"/>
      <c r="P2243" s="2"/>
      <c r="Q2243" s="2">
        <v>0</v>
      </c>
      <c r="R2243" s="6"/>
    </row>
    <row r="2244" spans="1:18" x14ac:dyDescent="0.25">
      <c r="A2244" s="2">
        <f t="shared" si="80"/>
        <v>2243</v>
      </c>
      <c r="B2244" s="2"/>
      <c r="C2244" s="2"/>
      <c r="D2244" s="2"/>
      <c r="E2244" s="2"/>
      <c r="F2244" s="2"/>
      <c r="G2244" s="2"/>
      <c r="H2244" s="2" t="str">
        <f t="shared" ref="H2244:H2307" si="81">DATEDIF(G2244,D2244,"y") &amp; " г. " &amp; DATEDIF(G2244,D2244,"ym") &amp; " мес. " &amp; DATEDIF(G2244,D2244,"md") &amp; " дн."</f>
        <v>0 г. 0 мес. 0 дн.</v>
      </c>
      <c r="I2244" s="2"/>
      <c r="J2244" s="2"/>
      <c r="K2244" s="2"/>
      <c r="L2244" s="2"/>
      <c r="M2244" s="2"/>
      <c r="N2244" s="1">
        <v>0</v>
      </c>
      <c r="O2244" s="2"/>
      <c r="P2244" s="2"/>
      <c r="Q2244" s="2">
        <v>0</v>
      </c>
      <c r="R2244" s="6"/>
    </row>
    <row r="2245" spans="1:18" x14ac:dyDescent="0.25">
      <c r="A2245" s="2">
        <f t="shared" si="80"/>
        <v>2244</v>
      </c>
      <c r="B2245" s="2"/>
      <c r="C2245" s="2"/>
      <c r="D2245" s="2"/>
      <c r="E2245" s="2"/>
      <c r="F2245" s="2"/>
      <c r="G2245" s="2"/>
      <c r="H2245" s="2" t="str">
        <f t="shared" si="81"/>
        <v>0 г. 0 мес. 0 дн.</v>
      </c>
      <c r="I2245" s="2"/>
      <c r="J2245" s="2"/>
      <c r="K2245" s="2"/>
      <c r="L2245" s="2"/>
      <c r="M2245" s="2"/>
      <c r="N2245" s="1">
        <v>0</v>
      </c>
      <c r="O2245" s="2"/>
      <c r="P2245" s="2"/>
      <c r="Q2245" s="2">
        <v>0</v>
      </c>
      <c r="R2245" s="6"/>
    </row>
    <row r="2246" spans="1:18" x14ac:dyDescent="0.25">
      <c r="A2246" s="2">
        <f t="shared" si="80"/>
        <v>2245</v>
      </c>
      <c r="B2246" s="2"/>
      <c r="C2246" s="2"/>
      <c r="D2246" s="2"/>
      <c r="E2246" s="2"/>
      <c r="F2246" s="2"/>
      <c r="G2246" s="2"/>
      <c r="H2246" s="2" t="str">
        <f t="shared" si="81"/>
        <v>0 г. 0 мес. 0 дн.</v>
      </c>
      <c r="I2246" s="2"/>
      <c r="J2246" s="2"/>
      <c r="K2246" s="2"/>
      <c r="L2246" s="2"/>
      <c r="M2246" s="2"/>
      <c r="N2246" s="1">
        <v>0</v>
      </c>
      <c r="O2246" s="2"/>
      <c r="P2246" s="2"/>
      <c r="Q2246" s="2">
        <v>0</v>
      </c>
      <c r="R2246" s="6"/>
    </row>
    <row r="2247" spans="1:18" x14ac:dyDescent="0.25">
      <c r="A2247" s="2">
        <f t="shared" si="80"/>
        <v>2246</v>
      </c>
      <c r="B2247" s="2"/>
      <c r="C2247" s="2"/>
      <c r="D2247" s="2"/>
      <c r="E2247" s="2"/>
      <c r="F2247" s="2"/>
      <c r="G2247" s="2"/>
      <c r="H2247" s="2" t="str">
        <f t="shared" si="81"/>
        <v>0 г. 0 мес. 0 дн.</v>
      </c>
      <c r="I2247" s="2"/>
      <c r="J2247" s="2"/>
      <c r="K2247" s="2"/>
      <c r="L2247" s="2"/>
      <c r="M2247" s="2"/>
      <c r="N2247" s="1">
        <v>0</v>
      </c>
      <c r="O2247" s="2"/>
      <c r="P2247" s="2"/>
      <c r="Q2247" s="2">
        <v>0</v>
      </c>
      <c r="R2247" s="6"/>
    </row>
    <row r="2248" spans="1:18" x14ac:dyDescent="0.25">
      <c r="A2248" s="2">
        <f t="shared" si="80"/>
        <v>2247</v>
      </c>
      <c r="B2248" s="2"/>
      <c r="C2248" s="2"/>
      <c r="D2248" s="2"/>
      <c r="E2248" s="2"/>
      <c r="F2248" s="2"/>
      <c r="G2248" s="2"/>
      <c r="H2248" s="2" t="str">
        <f t="shared" si="81"/>
        <v>0 г. 0 мес. 0 дн.</v>
      </c>
      <c r="I2248" s="2"/>
      <c r="J2248" s="2"/>
      <c r="K2248" s="2"/>
      <c r="L2248" s="2"/>
      <c r="M2248" s="2"/>
      <c r="N2248" s="1">
        <v>0</v>
      </c>
      <c r="O2248" s="2"/>
      <c r="P2248" s="2"/>
      <c r="Q2248" s="2">
        <v>0</v>
      </c>
      <c r="R2248" s="6"/>
    </row>
    <row r="2249" spans="1:18" x14ac:dyDescent="0.25">
      <c r="A2249" s="2">
        <f t="shared" si="80"/>
        <v>2248</v>
      </c>
      <c r="B2249" s="2"/>
      <c r="C2249" s="2"/>
      <c r="D2249" s="2"/>
      <c r="E2249" s="2"/>
      <c r="F2249" s="2"/>
      <c r="G2249" s="2"/>
      <c r="H2249" s="2" t="str">
        <f t="shared" si="81"/>
        <v>0 г. 0 мес. 0 дн.</v>
      </c>
      <c r="I2249" s="2"/>
      <c r="J2249" s="2"/>
      <c r="K2249" s="2"/>
      <c r="L2249" s="2"/>
      <c r="M2249" s="2"/>
      <c r="N2249" s="1">
        <v>0</v>
      </c>
      <c r="O2249" s="2"/>
      <c r="P2249" s="2"/>
      <c r="Q2249" s="2">
        <v>0</v>
      </c>
      <c r="R2249" s="6"/>
    </row>
    <row r="2250" spans="1:18" x14ac:dyDescent="0.25">
      <c r="A2250" s="2">
        <f t="shared" si="80"/>
        <v>2249</v>
      </c>
      <c r="B2250" s="2"/>
      <c r="C2250" s="2"/>
      <c r="D2250" s="2"/>
      <c r="E2250" s="2"/>
      <c r="F2250" s="2"/>
      <c r="G2250" s="2"/>
      <c r="H2250" s="2" t="str">
        <f t="shared" si="81"/>
        <v>0 г. 0 мес. 0 дн.</v>
      </c>
      <c r="I2250" s="2"/>
      <c r="J2250" s="2"/>
      <c r="K2250" s="2"/>
      <c r="L2250" s="2"/>
      <c r="M2250" s="2"/>
      <c r="N2250" s="1">
        <v>0</v>
      </c>
      <c r="O2250" s="2"/>
      <c r="P2250" s="2"/>
      <c r="Q2250" s="2">
        <v>0</v>
      </c>
      <c r="R2250" s="6"/>
    </row>
    <row r="2251" spans="1:18" x14ac:dyDescent="0.25">
      <c r="A2251" s="2">
        <f t="shared" si="80"/>
        <v>2250</v>
      </c>
      <c r="B2251" s="2"/>
      <c r="C2251" s="2"/>
      <c r="D2251" s="2"/>
      <c r="E2251" s="2"/>
      <c r="F2251" s="2"/>
      <c r="G2251" s="2"/>
      <c r="H2251" s="2" t="str">
        <f t="shared" si="81"/>
        <v>0 г. 0 мес. 0 дн.</v>
      </c>
      <c r="I2251" s="2"/>
      <c r="J2251" s="2"/>
      <c r="K2251" s="2"/>
      <c r="L2251" s="2"/>
      <c r="M2251" s="2"/>
      <c r="N2251" s="1">
        <v>0</v>
      </c>
      <c r="O2251" s="2"/>
      <c r="P2251" s="2"/>
      <c r="Q2251" s="2">
        <v>0</v>
      </c>
      <c r="R2251" s="6"/>
    </row>
    <row r="2252" spans="1:18" x14ac:dyDescent="0.25">
      <c r="A2252" s="2">
        <f t="shared" si="80"/>
        <v>2251</v>
      </c>
      <c r="B2252" s="2"/>
      <c r="C2252" s="2"/>
      <c r="D2252" s="2"/>
      <c r="E2252" s="2"/>
      <c r="F2252" s="2"/>
      <c r="G2252" s="2"/>
      <c r="H2252" s="2" t="str">
        <f t="shared" si="81"/>
        <v>0 г. 0 мес. 0 дн.</v>
      </c>
      <c r="I2252" s="2"/>
      <c r="J2252" s="2"/>
      <c r="K2252" s="2"/>
      <c r="L2252" s="2"/>
      <c r="M2252" s="2"/>
      <c r="N2252" s="1">
        <v>0</v>
      </c>
      <c r="O2252" s="2"/>
      <c r="P2252" s="2"/>
      <c r="Q2252" s="2">
        <v>0</v>
      </c>
      <c r="R2252" s="6"/>
    </row>
    <row r="2253" spans="1:18" x14ac:dyDescent="0.25">
      <c r="A2253" s="2">
        <f t="shared" si="80"/>
        <v>2252</v>
      </c>
      <c r="B2253" s="2"/>
      <c r="C2253" s="2"/>
      <c r="D2253" s="2"/>
      <c r="E2253" s="2"/>
      <c r="F2253" s="2"/>
      <c r="G2253" s="2"/>
      <c r="H2253" s="2" t="str">
        <f t="shared" si="81"/>
        <v>0 г. 0 мес. 0 дн.</v>
      </c>
      <c r="I2253" s="2"/>
      <c r="J2253" s="2"/>
      <c r="K2253" s="2"/>
      <c r="L2253" s="2"/>
      <c r="M2253" s="2"/>
      <c r="N2253" s="1">
        <v>0</v>
      </c>
      <c r="O2253" s="2"/>
      <c r="P2253" s="2"/>
      <c r="Q2253" s="2">
        <v>0</v>
      </c>
      <c r="R2253" s="6"/>
    </row>
    <row r="2254" spans="1:18" x14ac:dyDescent="0.25">
      <c r="A2254" s="2">
        <f t="shared" si="80"/>
        <v>2253</v>
      </c>
      <c r="B2254" s="2"/>
      <c r="C2254" s="2"/>
      <c r="D2254" s="2"/>
      <c r="E2254" s="2"/>
      <c r="F2254" s="2"/>
      <c r="G2254" s="2"/>
      <c r="H2254" s="2" t="str">
        <f t="shared" si="81"/>
        <v>0 г. 0 мес. 0 дн.</v>
      </c>
      <c r="I2254" s="2"/>
      <c r="J2254" s="2"/>
      <c r="K2254" s="2"/>
      <c r="L2254" s="2"/>
      <c r="M2254" s="2"/>
      <c r="N2254" s="1">
        <v>0</v>
      </c>
      <c r="O2254" s="2"/>
      <c r="P2254" s="2"/>
      <c r="Q2254" s="2">
        <v>0</v>
      </c>
      <c r="R2254" s="6"/>
    </row>
    <row r="2255" spans="1:18" x14ac:dyDescent="0.25">
      <c r="A2255" s="2">
        <f t="shared" si="80"/>
        <v>2254</v>
      </c>
      <c r="B2255" s="2"/>
      <c r="C2255" s="2"/>
      <c r="D2255" s="2"/>
      <c r="E2255" s="2"/>
      <c r="F2255" s="2"/>
      <c r="G2255" s="2"/>
      <c r="H2255" s="2" t="str">
        <f t="shared" si="81"/>
        <v>0 г. 0 мес. 0 дн.</v>
      </c>
      <c r="I2255" s="2"/>
      <c r="J2255" s="2"/>
      <c r="K2255" s="2"/>
      <c r="L2255" s="2"/>
      <c r="M2255" s="2"/>
      <c r="N2255" s="1">
        <v>0</v>
      </c>
      <c r="O2255" s="2"/>
      <c r="P2255" s="2"/>
      <c r="Q2255" s="2">
        <v>0</v>
      </c>
      <c r="R2255" s="6"/>
    </row>
    <row r="2256" spans="1:18" x14ac:dyDescent="0.25">
      <c r="A2256" s="2">
        <f t="shared" si="80"/>
        <v>2255</v>
      </c>
      <c r="B2256" s="2"/>
      <c r="C2256" s="2"/>
      <c r="D2256" s="2"/>
      <c r="E2256" s="2"/>
      <c r="F2256" s="2"/>
      <c r="G2256" s="2"/>
      <c r="H2256" s="2" t="str">
        <f t="shared" si="81"/>
        <v>0 г. 0 мес. 0 дн.</v>
      </c>
      <c r="I2256" s="2"/>
      <c r="J2256" s="2"/>
      <c r="K2256" s="2"/>
      <c r="L2256" s="2"/>
      <c r="M2256" s="2"/>
      <c r="N2256" s="1">
        <v>0</v>
      </c>
      <c r="O2256" s="2"/>
      <c r="P2256" s="2"/>
      <c r="Q2256" s="2">
        <v>0</v>
      </c>
      <c r="R2256" s="6"/>
    </row>
    <row r="2257" spans="1:18" x14ac:dyDescent="0.25">
      <c r="A2257" s="2">
        <f t="shared" si="80"/>
        <v>2256</v>
      </c>
      <c r="B2257" s="2"/>
      <c r="C2257" s="2"/>
      <c r="D2257" s="2"/>
      <c r="E2257" s="2"/>
      <c r="F2257" s="2"/>
      <c r="G2257" s="2"/>
      <c r="H2257" s="2" t="str">
        <f t="shared" si="81"/>
        <v>0 г. 0 мес. 0 дн.</v>
      </c>
      <c r="I2257" s="2"/>
      <c r="J2257" s="2"/>
      <c r="K2257" s="2"/>
      <c r="L2257" s="2"/>
      <c r="M2257" s="2"/>
      <c r="N2257" s="1">
        <v>0</v>
      </c>
      <c r="O2257" s="2"/>
      <c r="P2257" s="2"/>
      <c r="Q2257" s="2">
        <v>0</v>
      </c>
      <c r="R2257" s="6"/>
    </row>
    <row r="2258" spans="1:18" x14ac:dyDescent="0.25">
      <c r="A2258" s="2">
        <f t="shared" si="80"/>
        <v>2257</v>
      </c>
      <c r="B2258" s="2"/>
      <c r="C2258" s="2"/>
      <c r="D2258" s="2"/>
      <c r="E2258" s="2"/>
      <c r="F2258" s="2"/>
      <c r="G2258" s="2"/>
      <c r="H2258" s="2" t="str">
        <f t="shared" si="81"/>
        <v>0 г. 0 мес. 0 дн.</v>
      </c>
      <c r="I2258" s="2"/>
      <c r="J2258" s="2"/>
      <c r="K2258" s="2"/>
      <c r="L2258" s="2"/>
      <c r="M2258" s="2"/>
      <c r="N2258" s="1">
        <v>0</v>
      </c>
      <c r="O2258" s="2"/>
      <c r="P2258" s="2"/>
      <c r="Q2258" s="2">
        <v>0</v>
      </c>
      <c r="R2258" s="6"/>
    </row>
    <row r="2259" spans="1:18" x14ac:dyDescent="0.25">
      <c r="A2259" s="2">
        <f t="shared" si="80"/>
        <v>2258</v>
      </c>
      <c r="B2259" s="2"/>
      <c r="C2259" s="2"/>
      <c r="D2259" s="2"/>
      <c r="E2259" s="2"/>
      <c r="F2259" s="2"/>
      <c r="G2259" s="2"/>
      <c r="H2259" s="2" t="str">
        <f t="shared" si="81"/>
        <v>0 г. 0 мес. 0 дн.</v>
      </c>
      <c r="I2259" s="2"/>
      <c r="J2259" s="2"/>
      <c r="K2259" s="2"/>
      <c r="L2259" s="2"/>
      <c r="M2259" s="2"/>
      <c r="N2259" s="1">
        <v>0</v>
      </c>
      <c r="O2259" s="2"/>
      <c r="P2259" s="2"/>
      <c r="Q2259" s="2">
        <v>0</v>
      </c>
      <c r="R2259" s="6"/>
    </row>
    <row r="2260" spans="1:18" x14ac:dyDescent="0.25">
      <c r="A2260" s="2">
        <f t="shared" si="80"/>
        <v>2259</v>
      </c>
      <c r="B2260" s="2"/>
      <c r="C2260" s="2"/>
      <c r="D2260" s="2"/>
      <c r="E2260" s="2"/>
      <c r="F2260" s="2"/>
      <c r="G2260" s="2"/>
      <c r="H2260" s="2" t="str">
        <f t="shared" si="81"/>
        <v>0 г. 0 мес. 0 дн.</v>
      </c>
      <c r="I2260" s="2"/>
      <c r="J2260" s="2"/>
      <c r="K2260" s="2"/>
      <c r="L2260" s="2"/>
      <c r="M2260" s="2"/>
      <c r="N2260" s="1">
        <v>0</v>
      </c>
      <c r="O2260" s="2"/>
      <c r="P2260" s="2"/>
      <c r="Q2260" s="2">
        <v>0</v>
      </c>
      <c r="R2260" s="6"/>
    </row>
    <row r="2261" spans="1:18" x14ac:dyDescent="0.25">
      <c r="A2261" s="2">
        <f t="shared" si="80"/>
        <v>2260</v>
      </c>
      <c r="B2261" s="2"/>
      <c r="C2261" s="2"/>
      <c r="D2261" s="2"/>
      <c r="E2261" s="2"/>
      <c r="F2261" s="2"/>
      <c r="G2261" s="2"/>
      <c r="H2261" s="2" t="str">
        <f t="shared" si="81"/>
        <v>0 г. 0 мес. 0 дн.</v>
      </c>
      <c r="I2261" s="2"/>
      <c r="J2261" s="2"/>
      <c r="K2261" s="2"/>
      <c r="L2261" s="2"/>
      <c r="M2261" s="2"/>
      <c r="N2261" s="1">
        <v>0</v>
      </c>
      <c r="O2261" s="2"/>
      <c r="P2261" s="2"/>
      <c r="Q2261" s="2">
        <v>0</v>
      </c>
      <c r="R2261" s="6"/>
    </row>
    <row r="2262" spans="1:18" x14ac:dyDescent="0.25">
      <c r="A2262" s="2">
        <f t="shared" si="80"/>
        <v>2261</v>
      </c>
      <c r="B2262" s="2"/>
      <c r="C2262" s="2"/>
      <c r="D2262" s="2"/>
      <c r="E2262" s="2"/>
      <c r="F2262" s="2"/>
      <c r="G2262" s="2"/>
      <c r="H2262" s="2" t="str">
        <f t="shared" si="81"/>
        <v>0 г. 0 мес. 0 дн.</v>
      </c>
      <c r="I2262" s="2"/>
      <c r="J2262" s="2"/>
      <c r="K2262" s="2"/>
      <c r="L2262" s="2"/>
      <c r="M2262" s="2"/>
      <c r="N2262" s="1">
        <v>0</v>
      </c>
      <c r="O2262" s="2"/>
      <c r="P2262" s="2"/>
      <c r="Q2262" s="2">
        <v>0</v>
      </c>
      <c r="R2262" s="6"/>
    </row>
    <row r="2263" spans="1:18" x14ac:dyDescent="0.25">
      <c r="A2263" s="2">
        <f t="shared" si="80"/>
        <v>2262</v>
      </c>
      <c r="B2263" s="2"/>
      <c r="C2263" s="2"/>
      <c r="D2263" s="2"/>
      <c r="E2263" s="2"/>
      <c r="F2263" s="2"/>
      <c r="G2263" s="2"/>
      <c r="H2263" s="2" t="str">
        <f t="shared" si="81"/>
        <v>0 г. 0 мес. 0 дн.</v>
      </c>
      <c r="I2263" s="2"/>
      <c r="J2263" s="2"/>
      <c r="K2263" s="2"/>
      <c r="L2263" s="2"/>
      <c r="M2263" s="2"/>
      <c r="N2263" s="1">
        <v>0</v>
      </c>
      <c r="O2263" s="2"/>
      <c r="P2263" s="2"/>
      <c r="Q2263" s="2">
        <v>0</v>
      </c>
      <c r="R2263" s="6"/>
    </row>
    <row r="2264" spans="1:18" x14ac:dyDescent="0.25">
      <c r="A2264" s="2">
        <f t="shared" si="80"/>
        <v>2263</v>
      </c>
      <c r="B2264" s="2"/>
      <c r="C2264" s="2"/>
      <c r="D2264" s="2"/>
      <c r="E2264" s="2"/>
      <c r="F2264" s="2"/>
      <c r="G2264" s="2"/>
      <c r="H2264" s="2" t="str">
        <f t="shared" si="81"/>
        <v>0 г. 0 мес. 0 дн.</v>
      </c>
      <c r="I2264" s="2"/>
      <c r="J2264" s="2"/>
      <c r="K2264" s="2"/>
      <c r="L2264" s="2"/>
      <c r="M2264" s="2"/>
      <c r="N2264" s="1">
        <v>0</v>
      </c>
      <c r="O2264" s="2"/>
      <c r="P2264" s="2"/>
      <c r="Q2264" s="2">
        <v>0</v>
      </c>
      <c r="R2264" s="6"/>
    </row>
    <row r="2265" spans="1:18" x14ac:dyDescent="0.25">
      <c r="A2265" s="2">
        <f t="shared" si="80"/>
        <v>2264</v>
      </c>
      <c r="B2265" s="2"/>
      <c r="C2265" s="2"/>
      <c r="D2265" s="2"/>
      <c r="E2265" s="2"/>
      <c r="F2265" s="2"/>
      <c r="G2265" s="2"/>
      <c r="H2265" s="2" t="str">
        <f t="shared" si="81"/>
        <v>0 г. 0 мес. 0 дн.</v>
      </c>
      <c r="I2265" s="2"/>
      <c r="J2265" s="2"/>
      <c r="K2265" s="2"/>
      <c r="L2265" s="2"/>
      <c r="M2265" s="2"/>
      <c r="N2265" s="1">
        <v>0</v>
      </c>
      <c r="O2265" s="2"/>
      <c r="P2265" s="2"/>
      <c r="Q2265" s="2">
        <v>0</v>
      </c>
      <c r="R2265" s="6"/>
    </row>
    <row r="2266" spans="1:18" x14ac:dyDescent="0.25">
      <c r="A2266" s="2">
        <f t="shared" si="80"/>
        <v>2265</v>
      </c>
      <c r="B2266" s="2"/>
      <c r="C2266" s="2"/>
      <c r="D2266" s="2"/>
      <c r="E2266" s="2"/>
      <c r="F2266" s="2"/>
      <c r="G2266" s="2"/>
      <c r="H2266" s="2" t="str">
        <f t="shared" si="81"/>
        <v>0 г. 0 мес. 0 дн.</v>
      </c>
      <c r="I2266" s="2"/>
      <c r="J2266" s="2"/>
      <c r="K2266" s="2"/>
      <c r="L2266" s="2"/>
      <c r="M2266" s="2"/>
      <c r="N2266" s="1">
        <v>0</v>
      </c>
      <c r="O2266" s="2"/>
      <c r="P2266" s="2"/>
      <c r="Q2266" s="2">
        <v>0</v>
      </c>
      <c r="R2266" s="6"/>
    </row>
    <row r="2267" spans="1:18" x14ac:dyDescent="0.25">
      <c r="A2267" s="2">
        <f t="shared" si="80"/>
        <v>2266</v>
      </c>
      <c r="B2267" s="2"/>
      <c r="C2267" s="2"/>
      <c r="D2267" s="2"/>
      <c r="E2267" s="2"/>
      <c r="F2267" s="2"/>
      <c r="G2267" s="2"/>
      <c r="H2267" s="2" t="str">
        <f t="shared" si="81"/>
        <v>0 г. 0 мес. 0 дн.</v>
      </c>
      <c r="I2267" s="2"/>
      <c r="J2267" s="2"/>
      <c r="K2267" s="2"/>
      <c r="L2267" s="2"/>
      <c r="M2267" s="2"/>
      <c r="N2267" s="1">
        <v>0</v>
      </c>
      <c r="O2267" s="2"/>
      <c r="P2267" s="2"/>
      <c r="Q2267" s="2">
        <v>0</v>
      </c>
      <c r="R2267" s="6"/>
    </row>
    <row r="2268" spans="1:18" x14ac:dyDescent="0.25">
      <c r="A2268" s="2">
        <f t="shared" si="80"/>
        <v>2267</v>
      </c>
      <c r="B2268" s="2"/>
      <c r="C2268" s="2"/>
      <c r="D2268" s="2"/>
      <c r="E2268" s="2"/>
      <c r="F2268" s="2"/>
      <c r="G2268" s="2"/>
      <c r="H2268" s="2" t="str">
        <f t="shared" si="81"/>
        <v>0 г. 0 мес. 0 дн.</v>
      </c>
      <c r="I2268" s="2"/>
      <c r="J2268" s="2"/>
      <c r="K2268" s="2"/>
      <c r="L2268" s="2"/>
      <c r="M2268" s="2"/>
      <c r="N2268" s="1">
        <v>0</v>
      </c>
      <c r="O2268" s="2"/>
      <c r="P2268" s="2"/>
      <c r="Q2268" s="2">
        <v>0</v>
      </c>
      <c r="R2268" s="6"/>
    </row>
    <row r="2269" spans="1:18" x14ac:dyDescent="0.25">
      <c r="A2269" s="2">
        <f t="shared" ref="A2269:A2332" si="82">ROW(A2268)</f>
        <v>2268</v>
      </c>
      <c r="B2269" s="2"/>
      <c r="C2269" s="2"/>
      <c r="D2269" s="2"/>
      <c r="E2269" s="2"/>
      <c r="F2269" s="2"/>
      <c r="G2269" s="2"/>
      <c r="H2269" s="2" t="str">
        <f t="shared" si="81"/>
        <v>0 г. 0 мес. 0 дн.</v>
      </c>
      <c r="I2269" s="2"/>
      <c r="J2269" s="2"/>
      <c r="K2269" s="2"/>
      <c r="L2269" s="2"/>
      <c r="M2269" s="2"/>
      <c r="N2269" s="1">
        <v>0</v>
      </c>
      <c r="O2269" s="2"/>
      <c r="P2269" s="2"/>
      <c r="Q2269" s="2">
        <v>0</v>
      </c>
      <c r="R2269" s="6"/>
    </row>
    <row r="2270" spans="1:18" x14ac:dyDescent="0.25">
      <c r="A2270" s="2">
        <f t="shared" si="82"/>
        <v>2269</v>
      </c>
      <c r="B2270" s="2"/>
      <c r="C2270" s="2"/>
      <c r="D2270" s="2"/>
      <c r="E2270" s="2"/>
      <c r="F2270" s="2"/>
      <c r="G2270" s="2"/>
      <c r="H2270" s="2" t="str">
        <f t="shared" si="81"/>
        <v>0 г. 0 мес. 0 дн.</v>
      </c>
      <c r="I2270" s="2"/>
      <c r="J2270" s="2"/>
      <c r="K2270" s="2"/>
      <c r="L2270" s="2"/>
      <c r="M2270" s="2"/>
      <c r="N2270" s="1">
        <v>0</v>
      </c>
      <c r="O2270" s="2"/>
      <c r="P2270" s="2"/>
      <c r="Q2270" s="2">
        <v>0</v>
      </c>
      <c r="R2270" s="6"/>
    </row>
    <row r="2271" spans="1:18" x14ac:dyDescent="0.25">
      <c r="A2271" s="2">
        <f t="shared" si="82"/>
        <v>2270</v>
      </c>
      <c r="B2271" s="2"/>
      <c r="C2271" s="2"/>
      <c r="D2271" s="2"/>
      <c r="E2271" s="2"/>
      <c r="F2271" s="2"/>
      <c r="G2271" s="2"/>
      <c r="H2271" s="2" t="str">
        <f t="shared" si="81"/>
        <v>0 г. 0 мес. 0 дн.</v>
      </c>
      <c r="I2271" s="2"/>
      <c r="J2271" s="2"/>
      <c r="K2271" s="2"/>
      <c r="L2271" s="2"/>
      <c r="M2271" s="2"/>
      <c r="N2271" s="1">
        <v>0</v>
      </c>
      <c r="O2271" s="2"/>
      <c r="P2271" s="2"/>
      <c r="Q2271" s="2">
        <v>0</v>
      </c>
      <c r="R2271" s="6"/>
    </row>
    <row r="2272" spans="1:18" x14ac:dyDescent="0.25">
      <c r="A2272" s="2">
        <f t="shared" si="82"/>
        <v>2271</v>
      </c>
      <c r="B2272" s="2"/>
      <c r="C2272" s="2"/>
      <c r="D2272" s="2"/>
      <c r="E2272" s="2"/>
      <c r="F2272" s="2"/>
      <c r="G2272" s="2"/>
      <c r="H2272" s="2" t="str">
        <f t="shared" si="81"/>
        <v>0 г. 0 мес. 0 дн.</v>
      </c>
      <c r="I2272" s="2"/>
      <c r="J2272" s="2"/>
      <c r="K2272" s="2"/>
      <c r="L2272" s="2"/>
      <c r="M2272" s="2"/>
      <c r="N2272" s="1">
        <v>0</v>
      </c>
      <c r="O2272" s="2"/>
      <c r="P2272" s="2"/>
      <c r="Q2272" s="2">
        <v>0</v>
      </c>
      <c r="R2272" s="6"/>
    </row>
    <row r="2273" spans="1:18" x14ac:dyDescent="0.25">
      <c r="A2273" s="2">
        <f t="shared" si="82"/>
        <v>2272</v>
      </c>
      <c r="B2273" s="2"/>
      <c r="C2273" s="2"/>
      <c r="D2273" s="2"/>
      <c r="E2273" s="2"/>
      <c r="F2273" s="2"/>
      <c r="G2273" s="2"/>
      <c r="H2273" s="2" t="str">
        <f t="shared" si="81"/>
        <v>0 г. 0 мес. 0 дн.</v>
      </c>
      <c r="I2273" s="2"/>
      <c r="J2273" s="2"/>
      <c r="K2273" s="2"/>
      <c r="L2273" s="2"/>
      <c r="M2273" s="2"/>
      <c r="N2273" s="1">
        <v>0</v>
      </c>
      <c r="O2273" s="2"/>
      <c r="P2273" s="2"/>
      <c r="Q2273" s="2">
        <v>0</v>
      </c>
      <c r="R2273" s="6"/>
    </row>
    <row r="2274" spans="1:18" x14ac:dyDescent="0.25">
      <c r="A2274" s="2">
        <f t="shared" si="82"/>
        <v>2273</v>
      </c>
      <c r="B2274" s="2"/>
      <c r="C2274" s="2"/>
      <c r="D2274" s="2"/>
      <c r="E2274" s="2"/>
      <c r="F2274" s="2"/>
      <c r="G2274" s="2"/>
      <c r="H2274" s="2" t="str">
        <f t="shared" si="81"/>
        <v>0 г. 0 мес. 0 дн.</v>
      </c>
      <c r="I2274" s="2"/>
      <c r="J2274" s="2"/>
      <c r="K2274" s="2"/>
      <c r="L2274" s="2"/>
      <c r="M2274" s="2"/>
      <c r="N2274" s="1">
        <v>0</v>
      </c>
      <c r="O2274" s="2"/>
      <c r="P2274" s="2"/>
      <c r="Q2274" s="2">
        <v>0</v>
      </c>
      <c r="R2274" s="6"/>
    </row>
    <row r="2275" spans="1:18" x14ac:dyDescent="0.25">
      <c r="A2275" s="2">
        <f t="shared" si="82"/>
        <v>2274</v>
      </c>
      <c r="B2275" s="2"/>
      <c r="C2275" s="2"/>
      <c r="D2275" s="2"/>
      <c r="E2275" s="2"/>
      <c r="F2275" s="2"/>
      <c r="G2275" s="2"/>
      <c r="H2275" s="2" t="str">
        <f t="shared" si="81"/>
        <v>0 г. 0 мес. 0 дн.</v>
      </c>
      <c r="I2275" s="2"/>
      <c r="J2275" s="2"/>
      <c r="K2275" s="2"/>
      <c r="L2275" s="2"/>
      <c r="M2275" s="2"/>
      <c r="N2275" s="1">
        <v>0</v>
      </c>
      <c r="O2275" s="2"/>
      <c r="P2275" s="2"/>
      <c r="Q2275" s="2">
        <v>0</v>
      </c>
      <c r="R2275" s="6"/>
    </row>
    <row r="2276" spans="1:18" x14ac:dyDescent="0.25">
      <c r="A2276" s="2">
        <f t="shared" si="82"/>
        <v>2275</v>
      </c>
      <c r="B2276" s="2"/>
      <c r="C2276" s="2"/>
      <c r="D2276" s="2"/>
      <c r="E2276" s="2"/>
      <c r="F2276" s="2"/>
      <c r="G2276" s="2"/>
      <c r="H2276" s="2" t="str">
        <f t="shared" si="81"/>
        <v>0 г. 0 мес. 0 дн.</v>
      </c>
      <c r="I2276" s="2"/>
      <c r="J2276" s="2"/>
      <c r="K2276" s="2"/>
      <c r="L2276" s="2"/>
      <c r="M2276" s="2"/>
      <c r="N2276" s="1">
        <v>0</v>
      </c>
      <c r="O2276" s="2"/>
      <c r="P2276" s="2"/>
      <c r="Q2276" s="2">
        <v>0</v>
      </c>
      <c r="R2276" s="6"/>
    </row>
    <row r="2277" spans="1:18" x14ac:dyDescent="0.25">
      <c r="A2277" s="2">
        <f t="shared" si="82"/>
        <v>2276</v>
      </c>
      <c r="B2277" s="2"/>
      <c r="C2277" s="2"/>
      <c r="D2277" s="2"/>
      <c r="E2277" s="2"/>
      <c r="F2277" s="2"/>
      <c r="G2277" s="2"/>
      <c r="H2277" s="2" t="str">
        <f t="shared" si="81"/>
        <v>0 г. 0 мес. 0 дн.</v>
      </c>
      <c r="I2277" s="2"/>
      <c r="J2277" s="2"/>
      <c r="K2277" s="2"/>
      <c r="L2277" s="2"/>
      <c r="M2277" s="2"/>
      <c r="N2277" s="1">
        <v>0</v>
      </c>
      <c r="O2277" s="2"/>
      <c r="P2277" s="2"/>
      <c r="Q2277" s="2">
        <v>0</v>
      </c>
      <c r="R2277" s="6"/>
    </row>
    <row r="2278" spans="1:18" x14ac:dyDescent="0.25">
      <c r="A2278" s="2">
        <f t="shared" si="82"/>
        <v>2277</v>
      </c>
      <c r="B2278" s="2"/>
      <c r="C2278" s="2"/>
      <c r="D2278" s="2"/>
      <c r="E2278" s="2"/>
      <c r="F2278" s="2"/>
      <c r="G2278" s="2"/>
      <c r="H2278" s="2" t="str">
        <f t="shared" si="81"/>
        <v>0 г. 0 мес. 0 дн.</v>
      </c>
      <c r="I2278" s="2"/>
      <c r="J2278" s="2"/>
      <c r="K2278" s="2"/>
      <c r="L2278" s="2"/>
      <c r="M2278" s="2"/>
      <c r="N2278" s="1">
        <v>0</v>
      </c>
      <c r="O2278" s="2"/>
      <c r="P2278" s="2"/>
      <c r="Q2278" s="2">
        <v>0</v>
      </c>
      <c r="R2278" s="6"/>
    </row>
    <row r="2279" spans="1:18" x14ac:dyDescent="0.25">
      <c r="A2279" s="2">
        <f t="shared" si="82"/>
        <v>2278</v>
      </c>
      <c r="B2279" s="2"/>
      <c r="C2279" s="2"/>
      <c r="D2279" s="2"/>
      <c r="E2279" s="2"/>
      <c r="F2279" s="2"/>
      <c r="G2279" s="2"/>
      <c r="H2279" s="2" t="str">
        <f t="shared" si="81"/>
        <v>0 г. 0 мес. 0 дн.</v>
      </c>
      <c r="I2279" s="2"/>
      <c r="J2279" s="2"/>
      <c r="K2279" s="2"/>
      <c r="L2279" s="2"/>
      <c r="M2279" s="2"/>
      <c r="N2279" s="1">
        <v>0</v>
      </c>
      <c r="O2279" s="2"/>
      <c r="P2279" s="2"/>
      <c r="Q2279" s="2">
        <v>0</v>
      </c>
      <c r="R2279" s="6"/>
    </row>
    <row r="2280" spans="1:18" x14ac:dyDescent="0.25">
      <c r="A2280" s="2">
        <f t="shared" si="82"/>
        <v>2279</v>
      </c>
      <c r="B2280" s="2"/>
      <c r="C2280" s="2"/>
      <c r="D2280" s="2"/>
      <c r="E2280" s="2"/>
      <c r="F2280" s="2"/>
      <c r="G2280" s="2"/>
      <c r="H2280" s="2" t="str">
        <f t="shared" si="81"/>
        <v>0 г. 0 мес. 0 дн.</v>
      </c>
      <c r="I2280" s="2"/>
      <c r="J2280" s="2"/>
      <c r="K2280" s="2"/>
      <c r="L2280" s="2"/>
      <c r="M2280" s="2"/>
      <c r="N2280" s="1">
        <v>0</v>
      </c>
      <c r="O2280" s="2"/>
      <c r="P2280" s="2"/>
      <c r="Q2280" s="2">
        <v>0</v>
      </c>
      <c r="R2280" s="6"/>
    </row>
    <row r="2281" spans="1:18" x14ac:dyDescent="0.25">
      <c r="A2281" s="2">
        <f t="shared" si="82"/>
        <v>2280</v>
      </c>
      <c r="B2281" s="2"/>
      <c r="C2281" s="2"/>
      <c r="D2281" s="2"/>
      <c r="E2281" s="2"/>
      <c r="F2281" s="2"/>
      <c r="G2281" s="2"/>
      <c r="H2281" s="2" t="str">
        <f t="shared" si="81"/>
        <v>0 г. 0 мес. 0 дн.</v>
      </c>
      <c r="I2281" s="2"/>
      <c r="J2281" s="2"/>
      <c r="K2281" s="2"/>
      <c r="L2281" s="2"/>
      <c r="M2281" s="2"/>
      <c r="N2281" s="1">
        <v>0</v>
      </c>
      <c r="O2281" s="2"/>
      <c r="P2281" s="2"/>
      <c r="Q2281" s="2">
        <v>0</v>
      </c>
      <c r="R2281" s="6"/>
    </row>
    <row r="2282" spans="1:18" x14ac:dyDescent="0.25">
      <c r="A2282" s="2">
        <f t="shared" si="82"/>
        <v>2281</v>
      </c>
      <c r="B2282" s="2"/>
      <c r="C2282" s="2"/>
      <c r="D2282" s="2"/>
      <c r="E2282" s="2"/>
      <c r="F2282" s="2"/>
      <c r="G2282" s="2"/>
      <c r="H2282" s="2" t="str">
        <f t="shared" si="81"/>
        <v>0 г. 0 мес. 0 дн.</v>
      </c>
      <c r="I2282" s="2"/>
      <c r="J2282" s="2"/>
      <c r="K2282" s="2"/>
      <c r="L2282" s="2"/>
      <c r="M2282" s="2"/>
      <c r="N2282" s="1">
        <v>0</v>
      </c>
      <c r="O2282" s="2"/>
      <c r="P2282" s="2"/>
      <c r="Q2282" s="2">
        <v>0</v>
      </c>
      <c r="R2282" s="6"/>
    </row>
    <row r="2283" spans="1:18" x14ac:dyDescent="0.25">
      <c r="A2283" s="2">
        <f t="shared" si="82"/>
        <v>2282</v>
      </c>
      <c r="B2283" s="2"/>
      <c r="C2283" s="2"/>
      <c r="D2283" s="2"/>
      <c r="E2283" s="2"/>
      <c r="F2283" s="2"/>
      <c r="G2283" s="2"/>
      <c r="H2283" s="2" t="str">
        <f t="shared" si="81"/>
        <v>0 г. 0 мес. 0 дн.</v>
      </c>
      <c r="I2283" s="2"/>
      <c r="J2283" s="2"/>
      <c r="K2283" s="2"/>
      <c r="L2283" s="2"/>
      <c r="M2283" s="2"/>
      <c r="N2283" s="1">
        <v>0</v>
      </c>
      <c r="O2283" s="2"/>
      <c r="P2283" s="2"/>
      <c r="Q2283" s="2">
        <v>0</v>
      </c>
      <c r="R2283" s="6"/>
    </row>
    <row r="2284" spans="1:18" x14ac:dyDescent="0.25">
      <c r="A2284" s="2">
        <f t="shared" si="82"/>
        <v>2283</v>
      </c>
      <c r="B2284" s="2"/>
      <c r="C2284" s="2"/>
      <c r="D2284" s="2"/>
      <c r="E2284" s="2"/>
      <c r="F2284" s="2"/>
      <c r="G2284" s="2"/>
      <c r="H2284" s="2" t="str">
        <f t="shared" si="81"/>
        <v>0 г. 0 мес. 0 дн.</v>
      </c>
      <c r="I2284" s="2"/>
      <c r="J2284" s="2"/>
      <c r="K2284" s="2"/>
      <c r="L2284" s="2"/>
      <c r="M2284" s="2"/>
      <c r="N2284" s="1">
        <v>0</v>
      </c>
      <c r="O2284" s="2"/>
      <c r="P2284" s="2"/>
      <c r="Q2284" s="2">
        <v>0</v>
      </c>
      <c r="R2284" s="6"/>
    </row>
    <row r="2285" spans="1:18" x14ac:dyDescent="0.25">
      <c r="A2285" s="2">
        <f t="shared" si="82"/>
        <v>2284</v>
      </c>
      <c r="B2285" s="2"/>
      <c r="C2285" s="2"/>
      <c r="D2285" s="2"/>
      <c r="E2285" s="2"/>
      <c r="F2285" s="2"/>
      <c r="G2285" s="2"/>
      <c r="H2285" s="2" t="str">
        <f t="shared" si="81"/>
        <v>0 г. 0 мес. 0 дн.</v>
      </c>
      <c r="I2285" s="2"/>
      <c r="J2285" s="2"/>
      <c r="K2285" s="2"/>
      <c r="L2285" s="2"/>
      <c r="M2285" s="2"/>
      <c r="N2285" s="1">
        <v>0</v>
      </c>
      <c r="O2285" s="2"/>
      <c r="P2285" s="2"/>
      <c r="Q2285" s="2">
        <v>0</v>
      </c>
      <c r="R2285" s="6"/>
    </row>
    <row r="2286" spans="1:18" x14ac:dyDescent="0.25">
      <c r="A2286" s="2">
        <f t="shared" si="82"/>
        <v>2285</v>
      </c>
      <c r="B2286" s="2"/>
      <c r="C2286" s="2"/>
      <c r="D2286" s="2"/>
      <c r="E2286" s="2"/>
      <c r="F2286" s="2"/>
      <c r="G2286" s="2"/>
      <c r="H2286" s="2" t="str">
        <f t="shared" si="81"/>
        <v>0 г. 0 мес. 0 дн.</v>
      </c>
      <c r="I2286" s="2"/>
      <c r="J2286" s="2"/>
      <c r="K2286" s="2"/>
      <c r="L2286" s="2"/>
      <c r="M2286" s="2"/>
      <c r="N2286" s="1">
        <v>0</v>
      </c>
      <c r="O2286" s="2"/>
      <c r="P2286" s="2"/>
      <c r="Q2286" s="2">
        <v>0</v>
      </c>
      <c r="R2286" s="6"/>
    </row>
    <row r="2287" spans="1:18" x14ac:dyDescent="0.25">
      <c r="A2287" s="2">
        <f t="shared" si="82"/>
        <v>2286</v>
      </c>
      <c r="B2287" s="2"/>
      <c r="C2287" s="2"/>
      <c r="D2287" s="2"/>
      <c r="E2287" s="2"/>
      <c r="F2287" s="2"/>
      <c r="G2287" s="2"/>
      <c r="H2287" s="2" t="str">
        <f t="shared" si="81"/>
        <v>0 г. 0 мес. 0 дн.</v>
      </c>
      <c r="I2287" s="2"/>
      <c r="J2287" s="2"/>
      <c r="K2287" s="2"/>
      <c r="L2287" s="2"/>
      <c r="M2287" s="2"/>
      <c r="N2287" s="1">
        <v>0</v>
      </c>
      <c r="O2287" s="2"/>
      <c r="P2287" s="2"/>
      <c r="Q2287" s="2">
        <v>0</v>
      </c>
      <c r="R2287" s="6"/>
    </row>
    <row r="2288" spans="1:18" x14ac:dyDescent="0.25">
      <c r="A2288" s="2">
        <f t="shared" si="82"/>
        <v>2287</v>
      </c>
      <c r="B2288" s="2"/>
      <c r="C2288" s="2"/>
      <c r="D2288" s="2"/>
      <c r="E2288" s="2"/>
      <c r="F2288" s="2"/>
      <c r="G2288" s="2"/>
      <c r="H2288" s="2" t="str">
        <f t="shared" si="81"/>
        <v>0 г. 0 мес. 0 дн.</v>
      </c>
      <c r="I2288" s="2"/>
      <c r="J2288" s="2"/>
      <c r="K2288" s="2"/>
      <c r="L2288" s="2"/>
      <c r="M2288" s="2"/>
      <c r="N2288" s="1">
        <v>0</v>
      </c>
      <c r="O2288" s="2"/>
      <c r="P2288" s="2"/>
      <c r="Q2288" s="2">
        <v>0</v>
      </c>
      <c r="R2288" s="6"/>
    </row>
    <row r="2289" spans="1:18" x14ac:dyDescent="0.25">
      <c r="A2289" s="2">
        <f t="shared" si="82"/>
        <v>2288</v>
      </c>
      <c r="B2289" s="2"/>
      <c r="C2289" s="2"/>
      <c r="D2289" s="2"/>
      <c r="E2289" s="2"/>
      <c r="F2289" s="2"/>
      <c r="G2289" s="2"/>
      <c r="H2289" s="2" t="str">
        <f t="shared" si="81"/>
        <v>0 г. 0 мес. 0 дн.</v>
      </c>
      <c r="I2289" s="2"/>
      <c r="J2289" s="2"/>
      <c r="K2289" s="2"/>
      <c r="L2289" s="2"/>
      <c r="M2289" s="2"/>
      <c r="N2289" s="1">
        <v>0</v>
      </c>
      <c r="O2289" s="2"/>
      <c r="P2289" s="2"/>
      <c r="Q2289" s="2">
        <v>0</v>
      </c>
      <c r="R2289" s="6"/>
    </row>
    <row r="2290" spans="1:18" x14ac:dyDescent="0.25">
      <c r="A2290" s="2">
        <f t="shared" si="82"/>
        <v>2289</v>
      </c>
      <c r="B2290" s="2"/>
      <c r="C2290" s="2"/>
      <c r="D2290" s="2"/>
      <c r="E2290" s="2"/>
      <c r="F2290" s="2"/>
      <c r="G2290" s="2"/>
      <c r="H2290" s="2" t="str">
        <f t="shared" si="81"/>
        <v>0 г. 0 мес. 0 дн.</v>
      </c>
      <c r="I2290" s="2"/>
      <c r="J2290" s="2"/>
      <c r="K2290" s="2"/>
      <c r="L2290" s="2"/>
      <c r="M2290" s="2"/>
      <c r="N2290" s="1">
        <v>0</v>
      </c>
      <c r="O2290" s="2"/>
      <c r="P2290" s="2"/>
      <c r="Q2290" s="2">
        <v>0</v>
      </c>
      <c r="R2290" s="6"/>
    </row>
    <row r="2291" spans="1:18" x14ac:dyDescent="0.25">
      <c r="A2291" s="2">
        <f t="shared" si="82"/>
        <v>2290</v>
      </c>
      <c r="B2291" s="2"/>
      <c r="C2291" s="2"/>
      <c r="D2291" s="2"/>
      <c r="E2291" s="2"/>
      <c r="F2291" s="2"/>
      <c r="G2291" s="2"/>
      <c r="H2291" s="2" t="str">
        <f t="shared" si="81"/>
        <v>0 г. 0 мес. 0 дн.</v>
      </c>
      <c r="I2291" s="2"/>
      <c r="J2291" s="2"/>
      <c r="K2291" s="2"/>
      <c r="L2291" s="2"/>
      <c r="M2291" s="2"/>
      <c r="N2291" s="1">
        <v>0</v>
      </c>
      <c r="O2291" s="2"/>
      <c r="P2291" s="2"/>
      <c r="Q2291" s="2">
        <v>0</v>
      </c>
      <c r="R2291" s="6"/>
    </row>
    <row r="2292" spans="1:18" x14ac:dyDescent="0.25">
      <c r="A2292" s="2">
        <f t="shared" si="82"/>
        <v>2291</v>
      </c>
      <c r="B2292" s="2"/>
      <c r="C2292" s="2"/>
      <c r="D2292" s="2"/>
      <c r="E2292" s="2"/>
      <c r="F2292" s="2"/>
      <c r="G2292" s="2"/>
      <c r="H2292" s="2" t="str">
        <f t="shared" si="81"/>
        <v>0 г. 0 мес. 0 дн.</v>
      </c>
      <c r="I2292" s="2"/>
      <c r="J2292" s="2"/>
      <c r="K2292" s="2"/>
      <c r="L2292" s="2"/>
      <c r="M2292" s="2"/>
      <c r="N2292" s="1">
        <v>0</v>
      </c>
      <c r="O2292" s="2"/>
      <c r="P2292" s="2"/>
      <c r="Q2292" s="2">
        <v>0</v>
      </c>
      <c r="R2292" s="6"/>
    </row>
    <row r="2293" spans="1:18" x14ac:dyDescent="0.25">
      <c r="A2293" s="2">
        <f t="shared" si="82"/>
        <v>2292</v>
      </c>
      <c r="B2293" s="2"/>
      <c r="C2293" s="2"/>
      <c r="D2293" s="2"/>
      <c r="E2293" s="2"/>
      <c r="F2293" s="2"/>
      <c r="G2293" s="2"/>
      <c r="H2293" s="2" t="str">
        <f t="shared" si="81"/>
        <v>0 г. 0 мес. 0 дн.</v>
      </c>
      <c r="I2293" s="2"/>
      <c r="J2293" s="2"/>
      <c r="K2293" s="2"/>
      <c r="L2293" s="2"/>
      <c r="M2293" s="2"/>
      <c r="N2293" s="1">
        <v>0</v>
      </c>
      <c r="O2293" s="2"/>
      <c r="P2293" s="2"/>
      <c r="Q2293" s="2">
        <v>0</v>
      </c>
      <c r="R2293" s="6"/>
    </row>
    <row r="2294" spans="1:18" x14ac:dyDescent="0.25">
      <c r="A2294" s="2">
        <f t="shared" si="82"/>
        <v>2293</v>
      </c>
      <c r="B2294" s="2"/>
      <c r="C2294" s="2"/>
      <c r="D2294" s="2"/>
      <c r="E2294" s="2"/>
      <c r="F2294" s="2"/>
      <c r="G2294" s="2"/>
      <c r="H2294" s="2" t="str">
        <f t="shared" si="81"/>
        <v>0 г. 0 мес. 0 дн.</v>
      </c>
      <c r="I2294" s="2"/>
      <c r="J2294" s="2"/>
      <c r="K2294" s="2"/>
      <c r="L2294" s="2"/>
      <c r="M2294" s="2"/>
      <c r="N2294" s="1">
        <v>0</v>
      </c>
      <c r="O2294" s="2"/>
      <c r="P2294" s="2"/>
      <c r="Q2294" s="2">
        <v>0</v>
      </c>
      <c r="R2294" s="6"/>
    </row>
    <row r="2295" spans="1:18" x14ac:dyDescent="0.25">
      <c r="A2295" s="2">
        <f t="shared" si="82"/>
        <v>2294</v>
      </c>
      <c r="B2295" s="2"/>
      <c r="C2295" s="2"/>
      <c r="D2295" s="2"/>
      <c r="E2295" s="2"/>
      <c r="F2295" s="2"/>
      <c r="G2295" s="2"/>
      <c r="H2295" s="2" t="str">
        <f t="shared" si="81"/>
        <v>0 г. 0 мес. 0 дн.</v>
      </c>
      <c r="I2295" s="2"/>
      <c r="J2295" s="2"/>
      <c r="K2295" s="2"/>
      <c r="L2295" s="2"/>
      <c r="M2295" s="2"/>
      <c r="N2295" s="1">
        <v>0</v>
      </c>
      <c r="O2295" s="2"/>
      <c r="P2295" s="2"/>
      <c r="Q2295" s="2">
        <v>0</v>
      </c>
      <c r="R2295" s="6"/>
    </row>
    <row r="2296" spans="1:18" x14ac:dyDescent="0.25">
      <c r="A2296" s="2">
        <f t="shared" si="82"/>
        <v>2295</v>
      </c>
      <c r="B2296" s="2"/>
      <c r="C2296" s="2"/>
      <c r="D2296" s="2"/>
      <c r="E2296" s="2"/>
      <c r="F2296" s="2"/>
      <c r="G2296" s="2"/>
      <c r="H2296" s="2" t="str">
        <f t="shared" si="81"/>
        <v>0 г. 0 мес. 0 дн.</v>
      </c>
      <c r="I2296" s="2"/>
      <c r="J2296" s="2"/>
      <c r="K2296" s="2"/>
      <c r="L2296" s="2"/>
      <c r="M2296" s="2"/>
      <c r="N2296" s="1">
        <v>0</v>
      </c>
      <c r="O2296" s="2"/>
      <c r="P2296" s="2"/>
      <c r="Q2296" s="2">
        <v>0</v>
      </c>
      <c r="R2296" s="6"/>
    </row>
    <row r="2297" spans="1:18" x14ac:dyDescent="0.25">
      <c r="A2297" s="2">
        <f t="shared" si="82"/>
        <v>2296</v>
      </c>
      <c r="B2297" s="2"/>
      <c r="C2297" s="2"/>
      <c r="D2297" s="2"/>
      <c r="E2297" s="2"/>
      <c r="F2297" s="2"/>
      <c r="G2297" s="2"/>
      <c r="H2297" s="2" t="str">
        <f t="shared" si="81"/>
        <v>0 г. 0 мес. 0 дн.</v>
      </c>
      <c r="I2297" s="2"/>
      <c r="J2297" s="2"/>
      <c r="K2297" s="2"/>
      <c r="L2297" s="2"/>
      <c r="M2297" s="2"/>
      <c r="N2297" s="1">
        <v>0</v>
      </c>
      <c r="O2297" s="2"/>
      <c r="P2297" s="2"/>
      <c r="Q2297" s="2">
        <v>0</v>
      </c>
      <c r="R2297" s="6"/>
    </row>
    <row r="2298" spans="1:18" x14ac:dyDescent="0.25">
      <c r="A2298" s="2">
        <f t="shared" si="82"/>
        <v>2297</v>
      </c>
      <c r="B2298" s="2"/>
      <c r="C2298" s="2"/>
      <c r="D2298" s="2"/>
      <c r="E2298" s="2"/>
      <c r="F2298" s="2"/>
      <c r="G2298" s="2"/>
      <c r="H2298" s="2" t="str">
        <f t="shared" si="81"/>
        <v>0 г. 0 мес. 0 дн.</v>
      </c>
      <c r="I2298" s="2"/>
      <c r="J2298" s="2"/>
      <c r="K2298" s="2"/>
      <c r="L2298" s="2"/>
      <c r="M2298" s="2"/>
      <c r="N2298" s="1">
        <v>0</v>
      </c>
      <c r="O2298" s="2"/>
      <c r="P2298" s="2"/>
      <c r="Q2298" s="2">
        <v>0</v>
      </c>
      <c r="R2298" s="6"/>
    </row>
    <row r="2299" spans="1:18" x14ac:dyDescent="0.25">
      <c r="A2299" s="2">
        <f t="shared" si="82"/>
        <v>2298</v>
      </c>
      <c r="B2299" s="2"/>
      <c r="C2299" s="2"/>
      <c r="D2299" s="2"/>
      <c r="E2299" s="2"/>
      <c r="F2299" s="2"/>
      <c r="G2299" s="2"/>
      <c r="H2299" s="2" t="str">
        <f t="shared" si="81"/>
        <v>0 г. 0 мес. 0 дн.</v>
      </c>
      <c r="I2299" s="2"/>
      <c r="J2299" s="2"/>
      <c r="K2299" s="2"/>
      <c r="L2299" s="2"/>
      <c r="M2299" s="2"/>
      <c r="N2299" s="1">
        <v>0</v>
      </c>
      <c r="O2299" s="2"/>
      <c r="P2299" s="2"/>
      <c r="Q2299" s="2">
        <v>0</v>
      </c>
      <c r="R2299" s="6"/>
    </row>
    <row r="2300" spans="1:18" x14ac:dyDescent="0.25">
      <c r="A2300" s="2">
        <f t="shared" si="82"/>
        <v>2299</v>
      </c>
      <c r="B2300" s="2"/>
      <c r="C2300" s="2"/>
      <c r="D2300" s="2"/>
      <c r="E2300" s="2"/>
      <c r="F2300" s="2"/>
      <c r="G2300" s="2"/>
      <c r="H2300" s="2" t="str">
        <f t="shared" si="81"/>
        <v>0 г. 0 мес. 0 дн.</v>
      </c>
      <c r="I2300" s="2"/>
      <c r="J2300" s="2"/>
      <c r="K2300" s="2"/>
      <c r="L2300" s="2"/>
      <c r="M2300" s="2"/>
      <c r="N2300" s="1">
        <v>0</v>
      </c>
      <c r="O2300" s="2"/>
      <c r="P2300" s="2"/>
      <c r="Q2300" s="2">
        <v>0</v>
      </c>
      <c r="R2300" s="6"/>
    </row>
    <row r="2301" spans="1:18" x14ac:dyDescent="0.25">
      <c r="A2301" s="2">
        <f t="shared" si="82"/>
        <v>2300</v>
      </c>
      <c r="B2301" s="2"/>
      <c r="C2301" s="2"/>
      <c r="D2301" s="2"/>
      <c r="E2301" s="2"/>
      <c r="F2301" s="2"/>
      <c r="G2301" s="2"/>
      <c r="H2301" s="2" t="str">
        <f t="shared" si="81"/>
        <v>0 г. 0 мес. 0 дн.</v>
      </c>
      <c r="I2301" s="2"/>
      <c r="J2301" s="2"/>
      <c r="K2301" s="2"/>
      <c r="L2301" s="2"/>
      <c r="M2301" s="2"/>
      <c r="N2301" s="1">
        <v>0</v>
      </c>
      <c r="O2301" s="2"/>
      <c r="P2301" s="2"/>
      <c r="Q2301" s="2">
        <v>0</v>
      </c>
      <c r="R2301" s="6"/>
    </row>
    <row r="2302" spans="1:18" x14ac:dyDescent="0.25">
      <c r="A2302" s="2">
        <f t="shared" si="82"/>
        <v>2301</v>
      </c>
      <c r="B2302" s="2"/>
      <c r="C2302" s="2"/>
      <c r="D2302" s="2"/>
      <c r="E2302" s="2"/>
      <c r="F2302" s="2"/>
      <c r="G2302" s="2"/>
      <c r="H2302" s="2" t="str">
        <f t="shared" si="81"/>
        <v>0 г. 0 мес. 0 дн.</v>
      </c>
      <c r="I2302" s="2"/>
      <c r="J2302" s="2"/>
      <c r="K2302" s="2"/>
      <c r="L2302" s="2"/>
      <c r="M2302" s="2"/>
      <c r="N2302" s="1">
        <v>0</v>
      </c>
      <c r="O2302" s="2"/>
      <c r="P2302" s="2"/>
      <c r="Q2302" s="2">
        <v>0</v>
      </c>
      <c r="R2302" s="6"/>
    </row>
    <row r="2303" spans="1:18" x14ac:dyDescent="0.25">
      <c r="A2303" s="2">
        <f t="shared" si="82"/>
        <v>2302</v>
      </c>
      <c r="B2303" s="2"/>
      <c r="C2303" s="2"/>
      <c r="D2303" s="2"/>
      <c r="E2303" s="2"/>
      <c r="F2303" s="2"/>
      <c r="G2303" s="2"/>
      <c r="H2303" s="2" t="str">
        <f t="shared" si="81"/>
        <v>0 г. 0 мес. 0 дн.</v>
      </c>
      <c r="I2303" s="2"/>
      <c r="J2303" s="2"/>
      <c r="K2303" s="2"/>
      <c r="L2303" s="2"/>
      <c r="M2303" s="2"/>
      <c r="N2303" s="1">
        <v>0</v>
      </c>
      <c r="O2303" s="2"/>
      <c r="P2303" s="2"/>
      <c r="Q2303" s="2">
        <v>0</v>
      </c>
      <c r="R2303" s="6"/>
    </row>
    <row r="2304" spans="1:18" x14ac:dyDescent="0.25">
      <c r="A2304" s="2">
        <f t="shared" si="82"/>
        <v>2303</v>
      </c>
      <c r="B2304" s="2"/>
      <c r="C2304" s="2"/>
      <c r="D2304" s="2"/>
      <c r="E2304" s="2"/>
      <c r="F2304" s="2"/>
      <c r="G2304" s="2"/>
      <c r="H2304" s="2" t="str">
        <f t="shared" si="81"/>
        <v>0 г. 0 мес. 0 дн.</v>
      </c>
      <c r="I2304" s="2"/>
      <c r="J2304" s="2"/>
      <c r="K2304" s="2"/>
      <c r="L2304" s="2"/>
      <c r="M2304" s="2"/>
      <c r="N2304" s="1">
        <v>0</v>
      </c>
      <c r="O2304" s="2"/>
      <c r="P2304" s="2"/>
      <c r="Q2304" s="2">
        <v>0</v>
      </c>
      <c r="R2304" s="6"/>
    </row>
    <row r="2305" spans="1:18" x14ac:dyDescent="0.25">
      <c r="A2305" s="2">
        <f t="shared" si="82"/>
        <v>2304</v>
      </c>
      <c r="B2305" s="2"/>
      <c r="C2305" s="2"/>
      <c r="D2305" s="2"/>
      <c r="E2305" s="2"/>
      <c r="F2305" s="2"/>
      <c r="G2305" s="2"/>
      <c r="H2305" s="2" t="str">
        <f t="shared" si="81"/>
        <v>0 г. 0 мес. 0 дн.</v>
      </c>
      <c r="I2305" s="2"/>
      <c r="J2305" s="2"/>
      <c r="K2305" s="2"/>
      <c r="L2305" s="2"/>
      <c r="M2305" s="2"/>
      <c r="N2305" s="1">
        <v>0</v>
      </c>
      <c r="O2305" s="2"/>
      <c r="P2305" s="2"/>
      <c r="Q2305" s="2">
        <v>0</v>
      </c>
      <c r="R2305" s="6"/>
    </row>
    <row r="2306" spans="1:18" x14ac:dyDescent="0.25">
      <c r="A2306" s="2">
        <f t="shared" si="82"/>
        <v>2305</v>
      </c>
      <c r="B2306" s="2"/>
      <c r="C2306" s="2"/>
      <c r="D2306" s="2"/>
      <c r="E2306" s="2"/>
      <c r="F2306" s="2"/>
      <c r="G2306" s="2"/>
      <c r="H2306" s="2" t="str">
        <f t="shared" si="81"/>
        <v>0 г. 0 мес. 0 дн.</v>
      </c>
      <c r="I2306" s="2"/>
      <c r="J2306" s="2"/>
      <c r="K2306" s="2"/>
      <c r="L2306" s="2"/>
      <c r="M2306" s="2"/>
      <c r="N2306" s="1">
        <v>0</v>
      </c>
      <c r="O2306" s="2"/>
      <c r="P2306" s="2"/>
      <c r="Q2306" s="2">
        <v>0</v>
      </c>
      <c r="R2306" s="6"/>
    </row>
    <row r="2307" spans="1:18" x14ac:dyDescent="0.25">
      <c r="A2307" s="2">
        <f t="shared" si="82"/>
        <v>2306</v>
      </c>
      <c r="B2307" s="2"/>
      <c r="C2307" s="2"/>
      <c r="D2307" s="2"/>
      <c r="E2307" s="2"/>
      <c r="F2307" s="2"/>
      <c r="G2307" s="2"/>
      <c r="H2307" s="2" t="str">
        <f t="shared" si="81"/>
        <v>0 г. 0 мес. 0 дн.</v>
      </c>
      <c r="I2307" s="2"/>
      <c r="J2307" s="2"/>
      <c r="K2307" s="2"/>
      <c r="L2307" s="2"/>
      <c r="M2307" s="2"/>
      <c r="N2307" s="1">
        <v>0</v>
      </c>
      <c r="O2307" s="2"/>
      <c r="P2307" s="2"/>
      <c r="Q2307" s="2">
        <v>0</v>
      </c>
      <c r="R2307" s="6"/>
    </row>
    <row r="2308" spans="1:18" x14ac:dyDescent="0.25">
      <c r="A2308" s="2">
        <f t="shared" si="82"/>
        <v>2307</v>
      </c>
      <c r="B2308" s="2"/>
      <c r="C2308" s="2"/>
      <c r="D2308" s="2"/>
      <c r="E2308" s="2"/>
      <c r="F2308" s="2"/>
      <c r="G2308" s="2"/>
      <c r="H2308" s="2" t="str">
        <f t="shared" ref="H2308:H2371" si="83">DATEDIF(G2308,D2308,"y") &amp; " г. " &amp; DATEDIF(G2308,D2308,"ym") &amp; " мес. " &amp; DATEDIF(G2308,D2308,"md") &amp; " дн."</f>
        <v>0 г. 0 мес. 0 дн.</v>
      </c>
      <c r="I2308" s="2"/>
      <c r="J2308" s="2"/>
      <c r="K2308" s="2"/>
      <c r="L2308" s="2"/>
      <c r="M2308" s="2"/>
      <c r="N2308" s="1">
        <v>0</v>
      </c>
      <c r="O2308" s="2"/>
      <c r="P2308" s="2"/>
      <c r="Q2308" s="2">
        <v>0</v>
      </c>
      <c r="R2308" s="6"/>
    </row>
    <row r="2309" spans="1:18" x14ac:dyDescent="0.25">
      <c r="A2309" s="2">
        <f t="shared" si="82"/>
        <v>2308</v>
      </c>
      <c r="B2309" s="2"/>
      <c r="C2309" s="2"/>
      <c r="D2309" s="2"/>
      <c r="E2309" s="2"/>
      <c r="F2309" s="2"/>
      <c r="G2309" s="2"/>
      <c r="H2309" s="2" t="str">
        <f t="shared" si="83"/>
        <v>0 г. 0 мес. 0 дн.</v>
      </c>
      <c r="I2309" s="2"/>
      <c r="J2309" s="2"/>
      <c r="K2309" s="2"/>
      <c r="L2309" s="2"/>
      <c r="M2309" s="2"/>
      <c r="N2309" s="1">
        <v>0</v>
      </c>
      <c r="O2309" s="2"/>
      <c r="P2309" s="2"/>
      <c r="Q2309" s="2">
        <v>0</v>
      </c>
      <c r="R2309" s="6"/>
    </row>
    <row r="2310" spans="1:18" x14ac:dyDescent="0.25">
      <c r="A2310" s="2">
        <f t="shared" si="82"/>
        <v>2309</v>
      </c>
      <c r="B2310" s="2"/>
      <c r="C2310" s="2"/>
      <c r="D2310" s="2"/>
      <c r="E2310" s="2"/>
      <c r="F2310" s="2"/>
      <c r="G2310" s="2"/>
      <c r="H2310" s="2" t="str">
        <f t="shared" si="83"/>
        <v>0 г. 0 мес. 0 дн.</v>
      </c>
      <c r="I2310" s="2"/>
      <c r="J2310" s="2"/>
      <c r="K2310" s="2"/>
      <c r="L2310" s="2"/>
      <c r="M2310" s="2"/>
      <c r="N2310" s="1">
        <v>0</v>
      </c>
      <c r="O2310" s="2"/>
      <c r="P2310" s="2"/>
      <c r="Q2310" s="2">
        <v>0</v>
      </c>
      <c r="R2310" s="6"/>
    </row>
    <row r="2311" spans="1:18" x14ac:dyDescent="0.25">
      <c r="A2311" s="2">
        <f t="shared" si="82"/>
        <v>2310</v>
      </c>
      <c r="B2311" s="2"/>
      <c r="C2311" s="2"/>
      <c r="D2311" s="2"/>
      <c r="E2311" s="2"/>
      <c r="F2311" s="2"/>
      <c r="G2311" s="2"/>
      <c r="H2311" s="2" t="str">
        <f t="shared" si="83"/>
        <v>0 г. 0 мес. 0 дн.</v>
      </c>
      <c r="I2311" s="2"/>
      <c r="J2311" s="2"/>
      <c r="K2311" s="2"/>
      <c r="L2311" s="2"/>
      <c r="M2311" s="2"/>
      <c r="N2311" s="1">
        <v>0</v>
      </c>
      <c r="O2311" s="2"/>
      <c r="P2311" s="2"/>
      <c r="Q2311" s="2">
        <v>0</v>
      </c>
      <c r="R2311" s="6"/>
    </row>
    <row r="2312" spans="1:18" x14ac:dyDescent="0.25">
      <c r="A2312" s="2">
        <f t="shared" si="82"/>
        <v>2311</v>
      </c>
      <c r="B2312" s="2"/>
      <c r="C2312" s="2"/>
      <c r="D2312" s="2"/>
      <c r="E2312" s="2"/>
      <c r="F2312" s="2"/>
      <c r="G2312" s="2"/>
      <c r="H2312" s="2" t="str">
        <f t="shared" si="83"/>
        <v>0 г. 0 мес. 0 дн.</v>
      </c>
      <c r="I2312" s="2"/>
      <c r="J2312" s="2"/>
      <c r="K2312" s="2"/>
      <c r="L2312" s="2"/>
      <c r="M2312" s="2"/>
      <c r="N2312" s="1">
        <v>0</v>
      </c>
      <c r="O2312" s="2"/>
      <c r="P2312" s="2"/>
      <c r="Q2312" s="2">
        <v>0</v>
      </c>
      <c r="R2312" s="6"/>
    </row>
    <row r="2313" spans="1:18" x14ac:dyDescent="0.25">
      <c r="A2313" s="2">
        <f t="shared" si="82"/>
        <v>2312</v>
      </c>
      <c r="B2313" s="2"/>
      <c r="C2313" s="2"/>
      <c r="D2313" s="2"/>
      <c r="E2313" s="2"/>
      <c r="F2313" s="2"/>
      <c r="G2313" s="2"/>
      <c r="H2313" s="2" t="str">
        <f t="shared" si="83"/>
        <v>0 г. 0 мес. 0 дн.</v>
      </c>
      <c r="I2313" s="2"/>
      <c r="J2313" s="2"/>
      <c r="K2313" s="2"/>
      <c r="L2313" s="2"/>
      <c r="M2313" s="2"/>
      <c r="N2313" s="1">
        <v>0</v>
      </c>
      <c r="O2313" s="2"/>
      <c r="P2313" s="2"/>
      <c r="Q2313" s="2">
        <v>0</v>
      </c>
      <c r="R2313" s="6"/>
    </row>
    <row r="2314" spans="1:18" x14ac:dyDescent="0.25">
      <c r="A2314" s="2">
        <f t="shared" si="82"/>
        <v>2313</v>
      </c>
      <c r="B2314" s="2"/>
      <c r="C2314" s="2"/>
      <c r="D2314" s="2"/>
      <c r="E2314" s="2"/>
      <c r="F2314" s="2"/>
      <c r="G2314" s="2"/>
      <c r="H2314" s="2" t="str">
        <f t="shared" si="83"/>
        <v>0 г. 0 мес. 0 дн.</v>
      </c>
      <c r="I2314" s="2"/>
      <c r="J2314" s="2"/>
      <c r="K2314" s="2"/>
      <c r="L2314" s="2"/>
      <c r="M2314" s="2"/>
      <c r="N2314" s="1">
        <v>0</v>
      </c>
      <c r="O2314" s="2"/>
      <c r="P2314" s="2"/>
      <c r="Q2314" s="2">
        <v>0</v>
      </c>
      <c r="R2314" s="6"/>
    </row>
    <row r="2315" spans="1:18" x14ac:dyDescent="0.25">
      <c r="A2315" s="2">
        <f t="shared" si="82"/>
        <v>2314</v>
      </c>
      <c r="B2315" s="2"/>
      <c r="C2315" s="2"/>
      <c r="D2315" s="2"/>
      <c r="E2315" s="2"/>
      <c r="F2315" s="2"/>
      <c r="G2315" s="2"/>
      <c r="H2315" s="2" t="str">
        <f t="shared" si="83"/>
        <v>0 г. 0 мес. 0 дн.</v>
      </c>
      <c r="I2315" s="2"/>
      <c r="J2315" s="2"/>
      <c r="K2315" s="2"/>
      <c r="L2315" s="2"/>
      <c r="M2315" s="2"/>
      <c r="N2315" s="1">
        <v>0</v>
      </c>
      <c r="O2315" s="2"/>
      <c r="P2315" s="2"/>
      <c r="Q2315" s="2">
        <v>0</v>
      </c>
      <c r="R2315" s="6"/>
    </row>
    <row r="2316" spans="1:18" x14ac:dyDescent="0.25">
      <c r="A2316" s="2">
        <f t="shared" si="82"/>
        <v>2315</v>
      </c>
      <c r="B2316" s="2"/>
      <c r="C2316" s="2"/>
      <c r="D2316" s="2"/>
      <c r="E2316" s="2"/>
      <c r="F2316" s="2"/>
      <c r="G2316" s="2"/>
      <c r="H2316" s="2" t="str">
        <f t="shared" si="83"/>
        <v>0 г. 0 мес. 0 дн.</v>
      </c>
      <c r="I2316" s="2"/>
      <c r="J2316" s="2"/>
      <c r="K2316" s="2"/>
      <c r="L2316" s="2"/>
      <c r="M2316" s="2"/>
      <c r="N2316" s="1">
        <v>0</v>
      </c>
      <c r="O2316" s="2"/>
      <c r="P2316" s="2"/>
      <c r="Q2316" s="2">
        <v>0</v>
      </c>
      <c r="R2316" s="6"/>
    </row>
    <row r="2317" spans="1:18" x14ac:dyDescent="0.25">
      <c r="A2317" s="2">
        <f t="shared" si="82"/>
        <v>2316</v>
      </c>
      <c r="B2317" s="2"/>
      <c r="C2317" s="2"/>
      <c r="D2317" s="2"/>
      <c r="E2317" s="2"/>
      <c r="F2317" s="2"/>
      <c r="G2317" s="2"/>
      <c r="H2317" s="2" t="str">
        <f t="shared" si="83"/>
        <v>0 г. 0 мес. 0 дн.</v>
      </c>
      <c r="I2317" s="2"/>
      <c r="J2317" s="2"/>
      <c r="K2317" s="2"/>
      <c r="L2317" s="2"/>
      <c r="M2317" s="2"/>
      <c r="N2317" s="1">
        <v>0</v>
      </c>
      <c r="O2317" s="2"/>
      <c r="P2317" s="2"/>
      <c r="Q2317" s="2">
        <v>0</v>
      </c>
      <c r="R2317" s="6"/>
    </row>
    <row r="2318" spans="1:18" x14ac:dyDescent="0.25">
      <c r="A2318" s="2">
        <f t="shared" si="82"/>
        <v>2317</v>
      </c>
      <c r="B2318" s="2"/>
      <c r="C2318" s="2"/>
      <c r="D2318" s="2"/>
      <c r="E2318" s="2"/>
      <c r="F2318" s="2"/>
      <c r="G2318" s="2"/>
      <c r="H2318" s="2" t="str">
        <f t="shared" si="83"/>
        <v>0 г. 0 мес. 0 дн.</v>
      </c>
      <c r="I2318" s="2"/>
      <c r="J2318" s="2"/>
      <c r="K2318" s="2"/>
      <c r="L2318" s="2"/>
      <c r="M2318" s="2"/>
      <c r="N2318" s="1">
        <v>0</v>
      </c>
      <c r="O2318" s="2"/>
      <c r="P2318" s="2"/>
      <c r="Q2318" s="2">
        <v>0</v>
      </c>
      <c r="R2318" s="6"/>
    </row>
    <row r="2319" spans="1:18" x14ac:dyDescent="0.25">
      <c r="A2319" s="2">
        <f t="shared" si="82"/>
        <v>2318</v>
      </c>
      <c r="B2319" s="2"/>
      <c r="C2319" s="2"/>
      <c r="D2319" s="2"/>
      <c r="E2319" s="2"/>
      <c r="F2319" s="2"/>
      <c r="G2319" s="2"/>
      <c r="H2319" s="2" t="str">
        <f t="shared" si="83"/>
        <v>0 г. 0 мес. 0 дн.</v>
      </c>
      <c r="I2319" s="2"/>
      <c r="J2319" s="2"/>
      <c r="K2319" s="2"/>
      <c r="L2319" s="2"/>
      <c r="M2319" s="2"/>
      <c r="N2319" s="1">
        <v>0</v>
      </c>
      <c r="O2319" s="2"/>
      <c r="P2319" s="2"/>
      <c r="Q2319" s="2">
        <v>0</v>
      </c>
      <c r="R2319" s="6"/>
    </row>
    <row r="2320" spans="1:18" x14ac:dyDescent="0.25">
      <c r="A2320" s="2">
        <f t="shared" si="82"/>
        <v>2319</v>
      </c>
      <c r="B2320" s="2"/>
      <c r="C2320" s="2"/>
      <c r="D2320" s="2"/>
      <c r="E2320" s="2"/>
      <c r="F2320" s="2"/>
      <c r="G2320" s="2"/>
      <c r="H2320" s="2" t="str">
        <f t="shared" si="83"/>
        <v>0 г. 0 мес. 0 дн.</v>
      </c>
      <c r="I2320" s="2"/>
      <c r="J2320" s="2"/>
      <c r="K2320" s="2"/>
      <c r="L2320" s="2"/>
      <c r="M2320" s="2"/>
      <c r="N2320" s="1">
        <v>0</v>
      </c>
      <c r="O2320" s="2"/>
      <c r="P2320" s="2"/>
      <c r="Q2320" s="2">
        <v>0</v>
      </c>
      <c r="R2320" s="6"/>
    </row>
    <row r="2321" spans="1:18" x14ac:dyDescent="0.25">
      <c r="A2321" s="2">
        <f t="shared" si="82"/>
        <v>2320</v>
      </c>
      <c r="B2321" s="2"/>
      <c r="C2321" s="2"/>
      <c r="D2321" s="2"/>
      <c r="E2321" s="2"/>
      <c r="F2321" s="2"/>
      <c r="G2321" s="2"/>
      <c r="H2321" s="2" t="str">
        <f t="shared" si="83"/>
        <v>0 г. 0 мес. 0 дн.</v>
      </c>
      <c r="I2321" s="2"/>
      <c r="J2321" s="2"/>
      <c r="K2321" s="2"/>
      <c r="L2321" s="2"/>
      <c r="M2321" s="2"/>
      <c r="N2321" s="1">
        <v>0</v>
      </c>
      <c r="O2321" s="2"/>
      <c r="P2321" s="2"/>
      <c r="Q2321" s="2">
        <v>0</v>
      </c>
      <c r="R2321" s="6"/>
    </row>
    <row r="2322" spans="1:18" x14ac:dyDescent="0.25">
      <c r="A2322" s="2">
        <f t="shared" si="82"/>
        <v>2321</v>
      </c>
      <c r="B2322" s="2"/>
      <c r="C2322" s="2"/>
      <c r="D2322" s="2"/>
      <c r="E2322" s="2"/>
      <c r="F2322" s="2"/>
      <c r="G2322" s="2"/>
      <c r="H2322" s="2" t="str">
        <f t="shared" si="83"/>
        <v>0 г. 0 мес. 0 дн.</v>
      </c>
      <c r="I2322" s="2"/>
      <c r="J2322" s="2"/>
      <c r="K2322" s="2"/>
      <c r="L2322" s="2"/>
      <c r="M2322" s="2"/>
      <c r="N2322" s="1">
        <v>0</v>
      </c>
      <c r="O2322" s="2"/>
      <c r="P2322" s="2"/>
      <c r="Q2322" s="2">
        <v>0</v>
      </c>
      <c r="R2322" s="6"/>
    </row>
    <row r="2323" spans="1:18" x14ac:dyDescent="0.25">
      <c r="A2323" s="2">
        <f t="shared" si="82"/>
        <v>2322</v>
      </c>
      <c r="B2323" s="2"/>
      <c r="C2323" s="2"/>
      <c r="D2323" s="2"/>
      <c r="E2323" s="2"/>
      <c r="F2323" s="2"/>
      <c r="G2323" s="2"/>
      <c r="H2323" s="2" t="str">
        <f t="shared" si="83"/>
        <v>0 г. 0 мес. 0 дн.</v>
      </c>
      <c r="I2323" s="2"/>
      <c r="J2323" s="2"/>
      <c r="K2323" s="2"/>
      <c r="L2323" s="2"/>
      <c r="M2323" s="2"/>
      <c r="N2323" s="1">
        <v>0</v>
      </c>
      <c r="O2323" s="2"/>
      <c r="P2323" s="2"/>
      <c r="Q2323" s="2">
        <v>0</v>
      </c>
      <c r="R2323" s="6"/>
    </row>
    <row r="2324" spans="1:18" x14ac:dyDescent="0.25">
      <c r="A2324" s="2">
        <f t="shared" si="82"/>
        <v>2323</v>
      </c>
      <c r="B2324" s="2"/>
      <c r="C2324" s="2"/>
      <c r="D2324" s="2"/>
      <c r="E2324" s="2"/>
      <c r="F2324" s="2"/>
      <c r="G2324" s="2"/>
      <c r="H2324" s="2" t="str">
        <f t="shared" si="83"/>
        <v>0 г. 0 мес. 0 дн.</v>
      </c>
      <c r="I2324" s="2"/>
      <c r="J2324" s="2"/>
      <c r="K2324" s="2"/>
      <c r="L2324" s="2"/>
      <c r="M2324" s="2"/>
      <c r="N2324" s="1">
        <v>0</v>
      </c>
      <c r="O2324" s="2"/>
      <c r="P2324" s="2"/>
      <c r="Q2324" s="2">
        <v>0</v>
      </c>
      <c r="R2324" s="6"/>
    </row>
    <row r="2325" spans="1:18" x14ac:dyDescent="0.25">
      <c r="A2325" s="2">
        <f t="shared" si="82"/>
        <v>2324</v>
      </c>
      <c r="B2325" s="2"/>
      <c r="C2325" s="2"/>
      <c r="D2325" s="2"/>
      <c r="E2325" s="2"/>
      <c r="F2325" s="2"/>
      <c r="G2325" s="2"/>
      <c r="H2325" s="2" t="str">
        <f t="shared" si="83"/>
        <v>0 г. 0 мес. 0 дн.</v>
      </c>
      <c r="I2325" s="2"/>
      <c r="J2325" s="2"/>
      <c r="K2325" s="2"/>
      <c r="L2325" s="2"/>
      <c r="M2325" s="2"/>
      <c r="N2325" s="1">
        <v>0</v>
      </c>
      <c r="O2325" s="2"/>
      <c r="P2325" s="2"/>
      <c r="Q2325" s="2">
        <v>0</v>
      </c>
      <c r="R2325" s="6"/>
    </row>
    <row r="2326" spans="1:18" x14ac:dyDescent="0.25">
      <c r="A2326" s="2">
        <f t="shared" si="82"/>
        <v>2325</v>
      </c>
      <c r="B2326" s="2"/>
      <c r="C2326" s="2"/>
      <c r="D2326" s="2"/>
      <c r="E2326" s="2"/>
      <c r="F2326" s="2"/>
      <c r="G2326" s="2"/>
      <c r="H2326" s="2" t="str">
        <f t="shared" si="83"/>
        <v>0 г. 0 мес. 0 дн.</v>
      </c>
      <c r="I2326" s="2"/>
      <c r="J2326" s="2"/>
      <c r="K2326" s="2"/>
      <c r="L2326" s="2"/>
      <c r="M2326" s="2"/>
      <c r="N2326" s="1">
        <v>0</v>
      </c>
      <c r="O2326" s="2"/>
      <c r="P2326" s="2"/>
      <c r="Q2326" s="2">
        <v>0</v>
      </c>
      <c r="R2326" s="6"/>
    </row>
    <row r="2327" spans="1:18" x14ac:dyDescent="0.25">
      <c r="A2327" s="2">
        <f t="shared" si="82"/>
        <v>2326</v>
      </c>
      <c r="B2327" s="2"/>
      <c r="C2327" s="2"/>
      <c r="D2327" s="2"/>
      <c r="E2327" s="2"/>
      <c r="F2327" s="2"/>
      <c r="G2327" s="2"/>
      <c r="H2327" s="2" t="str">
        <f t="shared" si="83"/>
        <v>0 г. 0 мес. 0 дн.</v>
      </c>
      <c r="I2327" s="2"/>
      <c r="J2327" s="2"/>
      <c r="K2327" s="2"/>
      <c r="L2327" s="2"/>
      <c r="M2327" s="2"/>
      <c r="N2327" s="1">
        <v>0</v>
      </c>
      <c r="O2327" s="2"/>
      <c r="P2327" s="2"/>
      <c r="Q2327" s="2">
        <v>0</v>
      </c>
      <c r="R2327" s="6"/>
    </row>
    <row r="2328" spans="1:18" x14ac:dyDescent="0.25">
      <c r="A2328" s="2">
        <f t="shared" si="82"/>
        <v>2327</v>
      </c>
      <c r="B2328" s="2"/>
      <c r="C2328" s="2"/>
      <c r="D2328" s="2"/>
      <c r="E2328" s="2"/>
      <c r="F2328" s="2"/>
      <c r="G2328" s="2"/>
      <c r="H2328" s="2" t="str">
        <f t="shared" si="83"/>
        <v>0 г. 0 мес. 0 дн.</v>
      </c>
      <c r="I2328" s="2"/>
      <c r="J2328" s="2"/>
      <c r="K2328" s="2"/>
      <c r="L2328" s="2"/>
      <c r="M2328" s="2"/>
      <c r="N2328" s="1">
        <v>0</v>
      </c>
      <c r="O2328" s="2"/>
      <c r="P2328" s="2"/>
      <c r="Q2328" s="2">
        <v>0</v>
      </c>
      <c r="R2328" s="6"/>
    </row>
    <row r="2329" spans="1:18" x14ac:dyDescent="0.25">
      <c r="A2329" s="2">
        <f t="shared" si="82"/>
        <v>2328</v>
      </c>
      <c r="B2329" s="2"/>
      <c r="C2329" s="2"/>
      <c r="D2329" s="2"/>
      <c r="E2329" s="2"/>
      <c r="F2329" s="2"/>
      <c r="G2329" s="2"/>
      <c r="H2329" s="2" t="str">
        <f t="shared" si="83"/>
        <v>0 г. 0 мес. 0 дн.</v>
      </c>
      <c r="I2329" s="2"/>
      <c r="J2329" s="2"/>
      <c r="K2329" s="2"/>
      <c r="L2329" s="2"/>
      <c r="M2329" s="2"/>
      <c r="N2329" s="1">
        <v>0</v>
      </c>
      <c r="O2329" s="2"/>
      <c r="P2329" s="2"/>
      <c r="Q2329" s="2">
        <v>0</v>
      </c>
      <c r="R2329" s="6"/>
    </row>
    <row r="2330" spans="1:18" x14ac:dyDescent="0.25">
      <c r="A2330" s="2">
        <f t="shared" si="82"/>
        <v>2329</v>
      </c>
      <c r="B2330" s="2"/>
      <c r="C2330" s="2"/>
      <c r="D2330" s="2"/>
      <c r="E2330" s="2"/>
      <c r="F2330" s="2"/>
      <c r="G2330" s="2"/>
      <c r="H2330" s="2" t="str">
        <f t="shared" si="83"/>
        <v>0 г. 0 мес. 0 дн.</v>
      </c>
      <c r="I2330" s="2"/>
      <c r="J2330" s="2"/>
      <c r="K2330" s="2"/>
      <c r="L2330" s="2"/>
      <c r="M2330" s="2"/>
      <c r="N2330" s="1">
        <v>0</v>
      </c>
      <c r="O2330" s="2"/>
      <c r="P2330" s="2"/>
      <c r="Q2330" s="2">
        <v>0</v>
      </c>
      <c r="R2330" s="6"/>
    </row>
    <row r="2331" spans="1:18" x14ac:dyDescent="0.25">
      <c r="A2331" s="2">
        <f t="shared" si="82"/>
        <v>2330</v>
      </c>
      <c r="B2331" s="2"/>
      <c r="C2331" s="2"/>
      <c r="D2331" s="2"/>
      <c r="E2331" s="2"/>
      <c r="F2331" s="2"/>
      <c r="G2331" s="2"/>
      <c r="H2331" s="2" t="str">
        <f t="shared" si="83"/>
        <v>0 г. 0 мес. 0 дн.</v>
      </c>
      <c r="I2331" s="2"/>
      <c r="J2331" s="2"/>
      <c r="K2331" s="2"/>
      <c r="L2331" s="2"/>
      <c r="M2331" s="2"/>
      <c r="N2331" s="1">
        <v>0</v>
      </c>
      <c r="O2331" s="2"/>
      <c r="P2331" s="2"/>
      <c r="Q2331" s="2">
        <v>0</v>
      </c>
      <c r="R2331" s="6"/>
    </row>
    <row r="2332" spans="1:18" x14ac:dyDescent="0.25">
      <c r="A2332" s="2">
        <f t="shared" si="82"/>
        <v>2331</v>
      </c>
      <c r="B2332" s="2"/>
      <c r="C2332" s="2"/>
      <c r="D2332" s="2"/>
      <c r="E2332" s="2"/>
      <c r="F2332" s="2"/>
      <c r="G2332" s="2"/>
      <c r="H2332" s="2" t="str">
        <f t="shared" si="83"/>
        <v>0 г. 0 мес. 0 дн.</v>
      </c>
      <c r="I2332" s="2"/>
      <c r="J2332" s="2"/>
      <c r="K2332" s="2"/>
      <c r="L2332" s="2"/>
      <c r="M2332" s="2"/>
      <c r="N2332" s="1">
        <v>0</v>
      </c>
      <c r="O2332" s="2"/>
      <c r="P2332" s="2"/>
      <c r="Q2332" s="2">
        <v>0</v>
      </c>
      <c r="R2332" s="6"/>
    </row>
    <row r="2333" spans="1:18" x14ac:dyDescent="0.25">
      <c r="A2333" s="2">
        <f t="shared" ref="A2333:A2396" si="84">ROW(A2332)</f>
        <v>2332</v>
      </c>
      <c r="B2333" s="2"/>
      <c r="C2333" s="2"/>
      <c r="D2333" s="2"/>
      <c r="E2333" s="2"/>
      <c r="F2333" s="2"/>
      <c r="G2333" s="2"/>
      <c r="H2333" s="2" t="str">
        <f t="shared" si="83"/>
        <v>0 г. 0 мес. 0 дн.</v>
      </c>
      <c r="I2333" s="2"/>
      <c r="J2333" s="2"/>
      <c r="K2333" s="2"/>
      <c r="L2333" s="2"/>
      <c r="M2333" s="2"/>
      <c r="N2333" s="1">
        <v>0</v>
      </c>
      <c r="O2333" s="2"/>
      <c r="P2333" s="2"/>
      <c r="Q2333" s="2">
        <v>0</v>
      </c>
      <c r="R2333" s="6"/>
    </row>
    <row r="2334" spans="1:18" x14ac:dyDescent="0.25">
      <c r="A2334" s="2">
        <f t="shared" si="84"/>
        <v>2333</v>
      </c>
      <c r="B2334" s="2"/>
      <c r="C2334" s="2"/>
      <c r="D2334" s="2"/>
      <c r="E2334" s="2"/>
      <c r="F2334" s="2"/>
      <c r="G2334" s="2"/>
      <c r="H2334" s="2" t="str">
        <f t="shared" si="83"/>
        <v>0 г. 0 мес. 0 дн.</v>
      </c>
      <c r="I2334" s="2"/>
      <c r="J2334" s="2"/>
      <c r="K2334" s="2"/>
      <c r="L2334" s="2"/>
      <c r="M2334" s="2"/>
      <c r="N2334" s="1">
        <v>0</v>
      </c>
      <c r="O2334" s="2"/>
      <c r="P2334" s="2"/>
      <c r="Q2334" s="2">
        <v>0</v>
      </c>
      <c r="R2334" s="6"/>
    </row>
    <row r="2335" spans="1:18" x14ac:dyDescent="0.25">
      <c r="A2335" s="2">
        <f t="shared" si="84"/>
        <v>2334</v>
      </c>
      <c r="B2335" s="2"/>
      <c r="C2335" s="2"/>
      <c r="D2335" s="2"/>
      <c r="E2335" s="2"/>
      <c r="F2335" s="2"/>
      <c r="G2335" s="2"/>
      <c r="H2335" s="2" t="str">
        <f t="shared" si="83"/>
        <v>0 г. 0 мес. 0 дн.</v>
      </c>
      <c r="I2335" s="2"/>
      <c r="J2335" s="2"/>
      <c r="K2335" s="2"/>
      <c r="L2335" s="2"/>
      <c r="M2335" s="2"/>
      <c r="N2335" s="1">
        <v>0</v>
      </c>
      <c r="O2335" s="2"/>
      <c r="P2335" s="2"/>
      <c r="Q2335" s="2">
        <v>0</v>
      </c>
      <c r="R2335" s="6"/>
    </row>
    <row r="2336" spans="1:18" x14ac:dyDescent="0.25">
      <c r="A2336" s="2">
        <f t="shared" si="84"/>
        <v>2335</v>
      </c>
      <c r="B2336" s="2"/>
      <c r="C2336" s="2"/>
      <c r="D2336" s="2"/>
      <c r="E2336" s="2"/>
      <c r="F2336" s="2"/>
      <c r="G2336" s="2"/>
      <c r="H2336" s="2" t="str">
        <f t="shared" si="83"/>
        <v>0 г. 0 мес. 0 дн.</v>
      </c>
      <c r="I2336" s="2"/>
      <c r="J2336" s="2"/>
      <c r="K2336" s="2"/>
      <c r="L2336" s="2"/>
      <c r="M2336" s="2"/>
      <c r="N2336" s="1">
        <v>0</v>
      </c>
      <c r="O2336" s="2"/>
      <c r="P2336" s="2"/>
      <c r="Q2336" s="2">
        <v>0</v>
      </c>
      <c r="R2336" s="6"/>
    </row>
    <row r="2337" spans="1:18" x14ac:dyDescent="0.25">
      <c r="A2337" s="2">
        <f t="shared" si="84"/>
        <v>2336</v>
      </c>
      <c r="B2337" s="2"/>
      <c r="C2337" s="2"/>
      <c r="D2337" s="2"/>
      <c r="E2337" s="2"/>
      <c r="F2337" s="2"/>
      <c r="G2337" s="2"/>
      <c r="H2337" s="2" t="str">
        <f t="shared" si="83"/>
        <v>0 г. 0 мес. 0 дн.</v>
      </c>
      <c r="I2337" s="2"/>
      <c r="J2337" s="2"/>
      <c r="K2337" s="2"/>
      <c r="L2337" s="2"/>
      <c r="M2337" s="2"/>
      <c r="N2337" s="1">
        <v>0</v>
      </c>
      <c r="O2337" s="2"/>
      <c r="P2337" s="2"/>
      <c r="Q2337" s="2">
        <v>0</v>
      </c>
      <c r="R2337" s="6"/>
    </row>
    <row r="2338" spans="1:18" x14ac:dyDescent="0.25">
      <c r="A2338" s="2">
        <f t="shared" si="84"/>
        <v>2337</v>
      </c>
      <c r="B2338" s="2"/>
      <c r="C2338" s="2"/>
      <c r="D2338" s="2"/>
      <c r="E2338" s="2"/>
      <c r="F2338" s="2"/>
      <c r="G2338" s="2"/>
      <c r="H2338" s="2" t="str">
        <f t="shared" si="83"/>
        <v>0 г. 0 мес. 0 дн.</v>
      </c>
      <c r="I2338" s="2"/>
      <c r="J2338" s="2"/>
      <c r="K2338" s="2"/>
      <c r="L2338" s="2"/>
      <c r="M2338" s="2"/>
      <c r="N2338" s="1">
        <v>0</v>
      </c>
      <c r="O2338" s="2"/>
      <c r="P2338" s="2"/>
      <c r="Q2338" s="2">
        <v>0</v>
      </c>
      <c r="R2338" s="6"/>
    </row>
    <row r="2339" spans="1:18" x14ac:dyDescent="0.25">
      <c r="A2339" s="2">
        <f t="shared" si="84"/>
        <v>2338</v>
      </c>
      <c r="B2339" s="2"/>
      <c r="C2339" s="2"/>
      <c r="D2339" s="2"/>
      <c r="E2339" s="2"/>
      <c r="F2339" s="2"/>
      <c r="G2339" s="2"/>
      <c r="H2339" s="2" t="str">
        <f t="shared" si="83"/>
        <v>0 г. 0 мес. 0 дн.</v>
      </c>
      <c r="I2339" s="2"/>
      <c r="J2339" s="2"/>
      <c r="K2339" s="2"/>
      <c r="L2339" s="2"/>
      <c r="M2339" s="2"/>
      <c r="N2339" s="1">
        <v>0</v>
      </c>
      <c r="O2339" s="2"/>
      <c r="P2339" s="2"/>
      <c r="Q2339" s="2">
        <v>0</v>
      </c>
      <c r="R2339" s="6"/>
    </row>
    <row r="2340" spans="1:18" x14ac:dyDescent="0.25">
      <c r="A2340" s="2">
        <f t="shared" si="84"/>
        <v>2339</v>
      </c>
      <c r="B2340" s="2"/>
      <c r="C2340" s="2"/>
      <c r="D2340" s="2"/>
      <c r="E2340" s="2"/>
      <c r="F2340" s="2"/>
      <c r="G2340" s="2"/>
      <c r="H2340" s="2" t="str">
        <f t="shared" si="83"/>
        <v>0 г. 0 мес. 0 дн.</v>
      </c>
      <c r="I2340" s="2"/>
      <c r="J2340" s="2"/>
      <c r="K2340" s="2"/>
      <c r="L2340" s="2"/>
      <c r="M2340" s="2"/>
      <c r="N2340" s="1">
        <v>0</v>
      </c>
      <c r="O2340" s="2"/>
      <c r="P2340" s="2"/>
      <c r="Q2340" s="2">
        <v>0</v>
      </c>
      <c r="R2340" s="6"/>
    </row>
    <row r="2341" spans="1:18" x14ac:dyDescent="0.25">
      <c r="A2341" s="2">
        <f t="shared" si="84"/>
        <v>2340</v>
      </c>
      <c r="B2341" s="2"/>
      <c r="C2341" s="2"/>
      <c r="D2341" s="2"/>
      <c r="E2341" s="2"/>
      <c r="F2341" s="2"/>
      <c r="G2341" s="2"/>
      <c r="H2341" s="2" t="str">
        <f t="shared" si="83"/>
        <v>0 г. 0 мес. 0 дн.</v>
      </c>
      <c r="I2341" s="2"/>
      <c r="J2341" s="2"/>
      <c r="K2341" s="2"/>
      <c r="L2341" s="2"/>
      <c r="M2341" s="2"/>
      <c r="N2341" s="1">
        <v>0</v>
      </c>
      <c r="O2341" s="2"/>
      <c r="P2341" s="2"/>
      <c r="Q2341" s="2">
        <v>0</v>
      </c>
      <c r="R2341" s="6"/>
    </row>
    <row r="2342" spans="1:18" x14ac:dyDescent="0.25">
      <c r="A2342" s="2">
        <f t="shared" si="84"/>
        <v>2341</v>
      </c>
      <c r="B2342" s="2"/>
      <c r="C2342" s="2"/>
      <c r="D2342" s="2"/>
      <c r="E2342" s="2"/>
      <c r="F2342" s="2"/>
      <c r="G2342" s="2"/>
      <c r="H2342" s="2" t="str">
        <f t="shared" si="83"/>
        <v>0 г. 0 мес. 0 дн.</v>
      </c>
      <c r="I2342" s="2"/>
      <c r="J2342" s="2"/>
      <c r="K2342" s="2"/>
      <c r="L2342" s="2"/>
      <c r="M2342" s="2"/>
      <c r="N2342" s="1">
        <v>0</v>
      </c>
      <c r="O2342" s="2"/>
      <c r="P2342" s="2"/>
      <c r="Q2342" s="2">
        <v>0</v>
      </c>
      <c r="R2342" s="6"/>
    </row>
    <row r="2343" spans="1:18" x14ac:dyDescent="0.25">
      <c r="A2343" s="2">
        <f t="shared" si="84"/>
        <v>2342</v>
      </c>
      <c r="B2343" s="2"/>
      <c r="C2343" s="2"/>
      <c r="D2343" s="2"/>
      <c r="E2343" s="2"/>
      <c r="F2343" s="2"/>
      <c r="G2343" s="2"/>
      <c r="H2343" s="2" t="str">
        <f t="shared" si="83"/>
        <v>0 г. 0 мес. 0 дн.</v>
      </c>
      <c r="I2343" s="2"/>
      <c r="J2343" s="2"/>
      <c r="K2343" s="2"/>
      <c r="L2343" s="2"/>
      <c r="M2343" s="2"/>
      <c r="N2343" s="1">
        <v>0</v>
      </c>
      <c r="O2343" s="2"/>
      <c r="P2343" s="2"/>
      <c r="Q2343" s="2">
        <v>0</v>
      </c>
      <c r="R2343" s="6"/>
    </row>
    <row r="2344" spans="1:18" x14ac:dyDescent="0.25">
      <c r="A2344" s="2">
        <f t="shared" si="84"/>
        <v>2343</v>
      </c>
      <c r="B2344" s="2"/>
      <c r="C2344" s="2"/>
      <c r="D2344" s="2"/>
      <c r="E2344" s="2"/>
      <c r="F2344" s="2"/>
      <c r="G2344" s="2"/>
      <c r="H2344" s="2" t="str">
        <f t="shared" si="83"/>
        <v>0 г. 0 мес. 0 дн.</v>
      </c>
      <c r="I2344" s="2"/>
      <c r="J2344" s="2"/>
      <c r="K2344" s="2"/>
      <c r="L2344" s="2"/>
      <c r="M2344" s="2"/>
      <c r="N2344" s="1">
        <v>0</v>
      </c>
      <c r="O2344" s="2"/>
      <c r="P2344" s="2"/>
      <c r="Q2344" s="2">
        <v>0</v>
      </c>
      <c r="R2344" s="6"/>
    </row>
    <row r="2345" spans="1:18" x14ac:dyDescent="0.25">
      <c r="A2345" s="2">
        <f t="shared" si="84"/>
        <v>2344</v>
      </c>
      <c r="B2345" s="2"/>
      <c r="C2345" s="2"/>
      <c r="D2345" s="2"/>
      <c r="E2345" s="2"/>
      <c r="F2345" s="2"/>
      <c r="G2345" s="2"/>
      <c r="H2345" s="2" t="str">
        <f t="shared" si="83"/>
        <v>0 г. 0 мес. 0 дн.</v>
      </c>
      <c r="I2345" s="2"/>
      <c r="J2345" s="2"/>
      <c r="K2345" s="2"/>
      <c r="L2345" s="2"/>
      <c r="M2345" s="2"/>
      <c r="N2345" s="1">
        <v>0</v>
      </c>
      <c r="O2345" s="2"/>
      <c r="P2345" s="2"/>
      <c r="Q2345" s="2">
        <v>0</v>
      </c>
      <c r="R2345" s="6"/>
    </row>
    <row r="2346" spans="1:18" x14ac:dyDescent="0.25">
      <c r="A2346" s="2">
        <f t="shared" si="84"/>
        <v>2345</v>
      </c>
      <c r="B2346" s="2"/>
      <c r="C2346" s="2"/>
      <c r="D2346" s="2"/>
      <c r="E2346" s="2"/>
      <c r="F2346" s="2"/>
      <c r="G2346" s="2"/>
      <c r="H2346" s="2" t="str">
        <f t="shared" si="83"/>
        <v>0 г. 0 мес. 0 дн.</v>
      </c>
      <c r="I2346" s="2"/>
      <c r="J2346" s="2"/>
      <c r="K2346" s="2"/>
      <c r="L2346" s="2"/>
      <c r="M2346" s="2"/>
      <c r="N2346" s="1">
        <v>0</v>
      </c>
      <c r="O2346" s="2"/>
      <c r="P2346" s="2"/>
      <c r="Q2346" s="2">
        <v>0</v>
      </c>
      <c r="R2346" s="6"/>
    </row>
    <row r="2347" spans="1:18" x14ac:dyDescent="0.25">
      <c r="A2347" s="2">
        <f t="shared" si="84"/>
        <v>2346</v>
      </c>
      <c r="B2347" s="2"/>
      <c r="C2347" s="2"/>
      <c r="D2347" s="2"/>
      <c r="E2347" s="2"/>
      <c r="F2347" s="2"/>
      <c r="G2347" s="2"/>
      <c r="H2347" s="2" t="str">
        <f t="shared" si="83"/>
        <v>0 г. 0 мес. 0 дн.</v>
      </c>
      <c r="I2347" s="2"/>
      <c r="J2347" s="2"/>
      <c r="K2347" s="2"/>
      <c r="L2347" s="2"/>
      <c r="M2347" s="2"/>
      <c r="N2347" s="1">
        <v>0</v>
      </c>
      <c r="O2347" s="2"/>
      <c r="P2347" s="2"/>
      <c r="Q2347" s="2">
        <v>0</v>
      </c>
      <c r="R2347" s="6"/>
    </row>
    <row r="2348" spans="1:18" x14ac:dyDescent="0.25">
      <c r="A2348" s="2">
        <f t="shared" si="84"/>
        <v>2347</v>
      </c>
      <c r="B2348" s="2"/>
      <c r="C2348" s="2"/>
      <c r="D2348" s="2"/>
      <c r="E2348" s="2"/>
      <c r="F2348" s="2"/>
      <c r="G2348" s="2"/>
      <c r="H2348" s="2" t="str">
        <f t="shared" si="83"/>
        <v>0 г. 0 мес. 0 дн.</v>
      </c>
      <c r="I2348" s="2"/>
      <c r="J2348" s="2"/>
      <c r="K2348" s="2"/>
      <c r="L2348" s="2"/>
      <c r="M2348" s="2"/>
      <c r="N2348" s="1">
        <v>0</v>
      </c>
      <c r="O2348" s="2"/>
      <c r="P2348" s="2"/>
      <c r="Q2348" s="2">
        <v>0</v>
      </c>
      <c r="R2348" s="6"/>
    </row>
    <row r="2349" spans="1:18" x14ac:dyDescent="0.25">
      <c r="A2349" s="2">
        <f t="shared" si="84"/>
        <v>2348</v>
      </c>
      <c r="B2349" s="2"/>
      <c r="C2349" s="2"/>
      <c r="D2349" s="2"/>
      <c r="E2349" s="2"/>
      <c r="F2349" s="2"/>
      <c r="G2349" s="2"/>
      <c r="H2349" s="2" t="str">
        <f t="shared" si="83"/>
        <v>0 г. 0 мес. 0 дн.</v>
      </c>
      <c r="I2349" s="2"/>
      <c r="J2349" s="2"/>
      <c r="K2349" s="2"/>
      <c r="L2349" s="2"/>
      <c r="M2349" s="2"/>
      <c r="N2349" s="1">
        <v>0</v>
      </c>
      <c r="O2349" s="2"/>
      <c r="P2349" s="2"/>
      <c r="Q2349" s="2">
        <v>0</v>
      </c>
      <c r="R2349" s="6"/>
    </row>
    <row r="2350" spans="1:18" x14ac:dyDescent="0.25">
      <c r="A2350" s="2">
        <f t="shared" si="84"/>
        <v>2349</v>
      </c>
      <c r="B2350" s="2"/>
      <c r="C2350" s="2"/>
      <c r="D2350" s="2"/>
      <c r="E2350" s="2"/>
      <c r="F2350" s="2"/>
      <c r="G2350" s="2"/>
      <c r="H2350" s="2" t="str">
        <f t="shared" si="83"/>
        <v>0 г. 0 мес. 0 дн.</v>
      </c>
      <c r="I2350" s="2"/>
      <c r="J2350" s="2"/>
      <c r="K2350" s="2"/>
      <c r="L2350" s="2"/>
      <c r="M2350" s="2"/>
      <c r="N2350" s="1">
        <v>0</v>
      </c>
      <c r="O2350" s="2"/>
      <c r="P2350" s="2"/>
      <c r="Q2350" s="2">
        <v>0</v>
      </c>
      <c r="R2350" s="6"/>
    </row>
    <row r="2351" spans="1:18" x14ac:dyDescent="0.25">
      <c r="A2351" s="2">
        <f t="shared" si="84"/>
        <v>2350</v>
      </c>
      <c r="B2351" s="2"/>
      <c r="C2351" s="2"/>
      <c r="D2351" s="2"/>
      <c r="E2351" s="2"/>
      <c r="F2351" s="2"/>
      <c r="G2351" s="2"/>
      <c r="H2351" s="2" t="str">
        <f t="shared" si="83"/>
        <v>0 г. 0 мес. 0 дн.</v>
      </c>
      <c r="I2351" s="2"/>
      <c r="J2351" s="2"/>
      <c r="K2351" s="2"/>
      <c r="L2351" s="2"/>
      <c r="M2351" s="2"/>
      <c r="N2351" s="1">
        <v>0</v>
      </c>
      <c r="O2351" s="2"/>
      <c r="P2351" s="2"/>
      <c r="Q2351" s="2">
        <v>0</v>
      </c>
      <c r="R2351" s="6"/>
    </row>
    <row r="2352" spans="1:18" x14ac:dyDescent="0.25">
      <c r="A2352" s="2">
        <f t="shared" si="84"/>
        <v>2351</v>
      </c>
      <c r="B2352" s="2"/>
      <c r="C2352" s="2"/>
      <c r="D2352" s="2"/>
      <c r="E2352" s="2"/>
      <c r="F2352" s="2"/>
      <c r="G2352" s="2"/>
      <c r="H2352" s="2" t="str">
        <f t="shared" si="83"/>
        <v>0 г. 0 мес. 0 дн.</v>
      </c>
      <c r="I2352" s="2"/>
      <c r="J2352" s="2"/>
      <c r="K2352" s="2"/>
      <c r="L2352" s="2"/>
      <c r="M2352" s="2"/>
      <c r="N2352" s="1">
        <v>0</v>
      </c>
      <c r="O2352" s="2"/>
      <c r="P2352" s="2"/>
      <c r="Q2352" s="2">
        <v>0</v>
      </c>
      <c r="R2352" s="6"/>
    </row>
    <row r="2353" spans="1:18" x14ac:dyDescent="0.25">
      <c r="A2353" s="2">
        <f t="shared" si="84"/>
        <v>2352</v>
      </c>
      <c r="B2353" s="2"/>
      <c r="C2353" s="2"/>
      <c r="D2353" s="2"/>
      <c r="E2353" s="2"/>
      <c r="F2353" s="2"/>
      <c r="G2353" s="2"/>
      <c r="H2353" s="2" t="str">
        <f t="shared" si="83"/>
        <v>0 г. 0 мес. 0 дн.</v>
      </c>
      <c r="I2353" s="2"/>
      <c r="J2353" s="2"/>
      <c r="K2353" s="2"/>
      <c r="L2353" s="2"/>
      <c r="M2353" s="2"/>
      <c r="N2353" s="1">
        <v>0</v>
      </c>
      <c r="O2353" s="2"/>
      <c r="P2353" s="2"/>
      <c r="Q2353" s="2">
        <v>0</v>
      </c>
      <c r="R2353" s="6"/>
    </row>
    <row r="2354" spans="1:18" x14ac:dyDescent="0.25">
      <c r="A2354" s="2">
        <f t="shared" si="84"/>
        <v>2353</v>
      </c>
      <c r="B2354" s="2"/>
      <c r="C2354" s="2"/>
      <c r="D2354" s="2"/>
      <c r="E2354" s="2"/>
      <c r="F2354" s="2"/>
      <c r="G2354" s="2"/>
      <c r="H2354" s="2" t="str">
        <f t="shared" si="83"/>
        <v>0 г. 0 мес. 0 дн.</v>
      </c>
      <c r="I2354" s="2"/>
      <c r="J2354" s="2"/>
      <c r="K2354" s="2"/>
      <c r="L2354" s="2"/>
      <c r="M2354" s="2"/>
      <c r="N2354" s="1">
        <v>0</v>
      </c>
      <c r="O2354" s="2"/>
      <c r="P2354" s="2"/>
      <c r="Q2354" s="2">
        <v>0</v>
      </c>
      <c r="R2354" s="6"/>
    </row>
    <row r="2355" spans="1:18" x14ac:dyDescent="0.25">
      <c r="A2355" s="2">
        <f t="shared" si="84"/>
        <v>2354</v>
      </c>
      <c r="B2355" s="2"/>
      <c r="C2355" s="2"/>
      <c r="D2355" s="2"/>
      <c r="E2355" s="2"/>
      <c r="F2355" s="2"/>
      <c r="G2355" s="2"/>
      <c r="H2355" s="2" t="str">
        <f t="shared" si="83"/>
        <v>0 г. 0 мес. 0 дн.</v>
      </c>
      <c r="I2355" s="2"/>
      <c r="J2355" s="2"/>
      <c r="K2355" s="2"/>
      <c r="L2355" s="2"/>
      <c r="M2355" s="2"/>
      <c r="N2355" s="1">
        <v>0</v>
      </c>
      <c r="O2355" s="2"/>
      <c r="P2355" s="2"/>
      <c r="Q2355" s="2">
        <v>0</v>
      </c>
      <c r="R2355" s="6"/>
    </row>
    <row r="2356" spans="1:18" x14ac:dyDescent="0.25">
      <c r="A2356" s="2">
        <f t="shared" si="84"/>
        <v>2355</v>
      </c>
      <c r="B2356" s="2"/>
      <c r="C2356" s="2"/>
      <c r="D2356" s="2"/>
      <c r="E2356" s="2"/>
      <c r="F2356" s="2"/>
      <c r="G2356" s="2"/>
      <c r="H2356" s="2" t="str">
        <f t="shared" si="83"/>
        <v>0 г. 0 мес. 0 дн.</v>
      </c>
      <c r="I2356" s="2"/>
      <c r="J2356" s="2"/>
      <c r="K2356" s="2"/>
      <c r="L2356" s="2"/>
      <c r="M2356" s="2"/>
      <c r="N2356" s="1">
        <v>0</v>
      </c>
      <c r="O2356" s="2"/>
      <c r="P2356" s="2"/>
      <c r="Q2356" s="2">
        <v>0</v>
      </c>
      <c r="R2356" s="6"/>
    </row>
    <row r="2357" spans="1:18" x14ac:dyDescent="0.25">
      <c r="A2357" s="2">
        <f t="shared" si="84"/>
        <v>2356</v>
      </c>
      <c r="B2357" s="2"/>
      <c r="C2357" s="2"/>
      <c r="D2357" s="2"/>
      <c r="E2357" s="2"/>
      <c r="F2357" s="2"/>
      <c r="G2357" s="2"/>
      <c r="H2357" s="2" t="str">
        <f t="shared" si="83"/>
        <v>0 г. 0 мес. 0 дн.</v>
      </c>
      <c r="I2357" s="2"/>
      <c r="J2357" s="2"/>
      <c r="K2357" s="2"/>
      <c r="L2357" s="2"/>
      <c r="M2357" s="2"/>
      <c r="N2357" s="1">
        <v>0</v>
      </c>
      <c r="O2357" s="2"/>
      <c r="P2357" s="2"/>
      <c r="Q2357" s="2">
        <v>0</v>
      </c>
      <c r="R2357" s="6"/>
    </row>
    <row r="2358" spans="1:18" x14ac:dyDescent="0.25">
      <c r="A2358" s="2">
        <f t="shared" si="84"/>
        <v>2357</v>
      </c>
      <c r="B2358" s="2"/>
      <c r="C2358" s="2"/>
      <c r="D2358" s="2"/>
      <c r="E2358" s="2"/>
      <c r="F2358" s="2"/>
      <c r="G2358" s="2"/>
      <c r="H2358" s="2" t="str">
        <f t="shared" si="83"/>
        <v>0 г. 0 мес. 0 дн.</v>
      </c>
      <c r="I2358" s="2"/>
      <c r="J2358" s="2"/>
      <c r="K2358" s="2"/>
      <c r="L2358" s="2"/>
      <c r="M2358" s="2"/>
      <c r="N2358" s="1">
        <v>0</v>
      </c>
      <c r="O2358" s="2"/>
      <c r="P2358" s="2"/>
      <c r="Q2358" s="2">
        <v>0</v>
      </c>
      <c r="R2358" s="6"/>
    </row>
    <row r="2359" spans="1:18" x14ac:dyDescent="0.25">
      <c r="A2359" s="2">
        <f t="shared" si="84"/>
        <v>2358</v>
      </c>
      <c r="B2359" s="2"/>
      <c r="C2359" s="2"/>
      <c r="D2359" s="2"/>
      <c r="E2359" s="2"/>
      <c r="F2359" s="2"/>
      <c r="G2359" s="2"/>
      <c r="H2359" s="2" t="str">
        <f t="shared" si="83"/>
        <v>0 г. 0 мес. 0 дн.</v>
      </c>
      <c r="I2359" s="2"/>
      <c r="J2359" s="2"/>
      <c r="K2359" s="2"/>
      <c r="L2359" s="2"/>
      <c r="M2359" s="2"/>
      <c r="N2359" s="1">
        <v>0</v>
      </c>
      <c r="O2359" s="2"/>
      <c r="P2359" s="2"/>
      <c r="Q2359" s="2">
        <v>0</v>
      </c>
      <c r="R2359" s="6"/>
    </row>
    <row r="2360" spans="1:18" x14ac:dyDescent="0.25">
      <c r="A2360" s="2">
        <f t="shared" si="84"/>
        <v>2359</v>
      </c>
      <c r="B2360" s="2"/>
      <c r="C2360" s="2"/>
      <c r="D2360" s="2"/>
      <c r="E2360" s="2"/>
      <c r="F2360" s="2"/>
      <c r="G2360" s="2"/>
      <c r="H2360" s="2" t="str">
        <f t="shared" si="83"/>
        <v>0 г. 0 мес. 0 дн.</v>
      </c>
      <c r="I2360" s="2"/>
      <c r="J2360" s="2"/>
      <c r="K2360" s="2"/>
      <c r="L2360" s="2"/>
      <c r="M2360" s="2"/>
      <c r="N2360" s="1">
        <v>0</v>
      </c>
      <c r="O2360" s="2"/>
      <c r="P2360" s="2"/>
      <c r="Q2360" s="2">
        <v>0</v>
      </c>
      <c r="R2360" s="6"/>
    </row>
    <row r="2361" spans="1:18" x14ac:dyDescent="0.25">
      <c r="A2361" s="2">
        <f t="shared" si="84"/>
        <v>2360</v>
      </c>
      <c r="B2361" s="2"/>
      <c r="C2361" s="2"/>
      <c r="D2361" s="2"/>
      <c r="E2361" s="2"/>
      <c r="F2361" s="2"/>
      <c r="G2361" s="2"/>
      <c r="H2361" s="2" t="str">
        <f t="shared" si="83"/>
        <v>0 г. 0 мес. 0 дн.</v>
      </c>
      <c r="I2361" s="2"/>
      <c r="J2361" s="2"/>
      <c r="K2361" s="2"/>
      <c r="L2361" s="2"/>
      <c r="M2361" s="2"/>
      <c r="N2361" s="1">
        <v>0</v>
      </c>
      <c r="O2361" s="2"/>
      <c r="P2361" s="2"/>
      <c r="Q2361" s="2">
        <v>0</v>
      </c>
      <c r="R2361" s="6"/>
    </row>
    <row r="2362" spans="1:18" x14ac:dyDescent="0.25">
      <c r="A2362" s="2">
        <f t="shared" si="84"/>
        <v>2361</v>
      </c>
      <c r="B2362" s="2"/>
      <c r="C2362" s="2"/>
      <c r="D2362" s="2"/>
      <c r="E2362" s="2"/>
      <c r="F2362" s="2"/>
      <c r="G2362" s="2"/>
      <c r="H2362" s="2" t="str">
        <f t="shared" si="83"/>
        <v>0 г. 0 мес. 0 дн.</v>
      </c>
      <c r="I2362" s="2"/>
      <c r="J2362" s="2"/>
      <c r="K2362" s="2"/>
      <c r="L2362" s="2"/>
      <c r="M2362" s="2"/>
      <c r="N2362" s="1">
        <v>0</v>
      </c>
      <c r="O2362" s="2"/>
      <c r="P2362" s="2"/>
      <c r="Q2362" s="2">
        <v>0</v>
      </c>
      <c r="R2362" s="6"/>
    </row>
    <row r="2363" spans="1:18" x14ac:dyDescent="0.25">
      <c r="A2363" s="2">
        <f t="shared" si="84"/>
        <v>2362</v>
      </c>
      <c r="B2363" s="2"/>
      <c r="C2363" s="2"/>
      <c r="D2363" s="2"/>
      <c r="E2363" s="2"/>
      <c r="F2363" s="2"/>
      <c r="G2363" s="2"/>
      <c r="H2363" s="2" t="str">
        <f t="shared" si="83"/>
        <v>0 г. 0 мес. 0 дн.</v>
      </c>
      <c r="I2363" s="2"/>
      <c r="J2363" s="2"/>
      <c r="K2363" s="2"/>
      <c r="L2363" s="2"/>
      <c r="M2363" s="2"/>
      <c r="N2363" s="1">
        <v>0</v>
      </c>
      <c r="O2363" s="2"/>
      <c r="P2363" s="2"/>
      <c r="Q2363" s="2">
        <v>0</v>
      </c>
      <c r="R2363" s="6"/>
    </row>
    <row r="2364" spans="1:18" x14ac:dyDescent="0.25">
      <c r="A2364" s="2">
        <f t="shared" si="84"/>
        <v>2363</v>
      </c>
      <c r="B2364" s="2"/>
      <c r="C2364" s="2"/>
      <c r="D2364" s="2"/>
      <c r="E2364" s="2"/>
      <c r="F2364" s="2"/>
      <c r="G2364" s="2"/>
      <c r="H2364" s="2" t="str">
        <f t="shared" si="83"/>
        <v>0 г. 0 мес. 0 дн.</v>
      </c>
      <c r="I2364" s="2"/>
      <c r="J2364" s="2"/>
      <c r="K2364" s="2"/>
      <c r="L2364" s="2"/>
      <c r="M2364" s="2"/>
      <c r="N2364" s="1">
        <v>0</v>
      </c>
      <c r="O2364" s="2"/>
      <c r="P2364" s="2"/>
      <c r="Q2364" s="2">
        <v>0</v>
      </c>
      <c r="R2364" s="6"/>
    </row>
    <row r="2365" spans="1:18" x14ac:dyDescent="0.25">
      <c r="A2365" s="2">
        <f t="shared" si="84"/>
        <v>2364</v>
      </c>
      <c r="B2365" s="2"/>
      <c r="C2365" s="2"/>
      <c r="D2365" s="2"/>
      <c r="E2365" s="2"/>
      <c r="F2365" s="2"/>
      <c r="G2365" s="2"/>
      <c r="H2365" s="2" t="str">
        <f t="shared" si="83"/>
        <v>0 г. 0 мес. 0 дн.</v>
      </c>
      <c r="I2365" s="2"/>
      <c r="J2365" s="2"/>
      <c r="K2365" s="2"/>
      <c r="L2365" s="2"/>
      <c r="M2365" s="2"/>
      <c r="N2365" s="1">
        <v>0</v>
      </c>
      <c r="O2365" s="2"/>
      <c r="P2365" s="2"/>
      <c r="Q2365" s="2">
        <v>0</v>
      </c>
      <c r="R2365" s="6"/>
    </row>
    <row r="2366" spans="1:18" x14ac:dyDescent="0.25">
      <c r="A2366" s="2">
        <f t="shared" si="84"/>
        <v>2365</v>
      </c>
      <c r="B2366" s="2"/>
      <c r="C2366" s="2"/>
      <c r="D2366" s="2"/>
      <c r="E2366" s="2"/>
      <c r="F2366" s="2"/>
      <c r="G2366" s="2"/>
      <c r="H2366" s="2" t="str">
        <f t="shared" si="83"/>
        <v>0 г. 0 мес. 0 дн.</v>
      </c>
      <c r="I2366" s="2"/>
      <c r="J2366" s="2"/>
      <c r="K2366" s="2"/>
      <c r="L2366" s="2"/>
      <c r="M2366" s="2"/>
      <c r="N2366" s="1">
        <v>0</v>
      </c>
      <c r="O2366" s="2"/>
      <c r="P2366" s="2"/>
      <c r="Q2366" s="2">
        <v>0</v>
      </c>
      <c r="R2366" s="6"/>
    </row>
    <row r="2367" spans="1:18" x14ac:dyDescent="0.25">
      <c r="A2367" s="2">
        <f t="shared" si="84"/>
        <v>2366</v>
      </c>
      <c r="B2367" s="2"/>
      <c r="C2367" s="2"/>
      <c r="D2367" s="2"/>
      <c r="E2367" s="2"/>
      <c r="F2367" s="2"/>
      <c r="G2367" s="2"/>
      <c r="H2367" s="2" t="str">
        <f t="shared" si="83"/>
        <v>0 г. 0 мес. 0 дн.</v>
      </c>
      <c r="I2367" s="2"/>
      <c r="J2367" s="2"/>
      <c r="K2367" s="2"/>
      <c r="L2367" s="2"/>
      <c r="M2367" s="2"/>
      <c r="N2367" s="1">
        <v>0</v>
      </c>
      <c r="O2367" s="2"/>
      <c r="P2367" s="2"/>
      <c r="Q2367" s="2">
        <v>0</v>
      </c>
      <c r="R2367" s="6"/>
    </row>
    <row r="2368" spans="1:18" x14ac:dyDescent="0.25">
      <c r="A2368" s="2">
        <f t="shared" si="84"/>
        <v>2367</v>
      </c>
      <c r="B2368" s="2"/>
      <c r="C2368" s="2"/>
      <c r="D2368" s="2"/>
      <c r="E2368" s="2"/>
      <c r="F2368" s="2"/>
      <c r="G2368" s="2"/>
      <c r="H2368" s="2" t="str">
        <f t="shared" si="83"/>
        <v>0 г. 0 мес. 0 дн.</v>
      </c>
      <c r="I2368" s="2"/>
      <c r="J2368" s="2"/>
      <c r="K2368" s="2"/>
      <c r="L2368" s="2"/>
      <c r="M2368" s="2"/>
      <c r="N2368" s="1">
        <v>0</v>
      </c>
      <c r="O2368" s="2"/>
      <c r="P2368" s="2"/>
      <c r="Q2368" s="2">
        <v>0</v>
      </c>
      <c r="R2368" s="6"/>
    </row>
    <row r="2369" spans="1:18" x14ac:dyDescent="0.25">
      <c r="A2369" s="2">
        <f t="shared" si="84"/>
        <v>2368</v>
      </c>
      <c r="B2369" s="2"/>
      <c r="C2369" s="2"/>
      <c r="D2369" s="2"/>
      <c r="E2369" s="2"/>
      <c r="F2369" s="2"/>
      <c r="G2369" s="2"/>
      <c r="H2369" s="2" t="str">
        <f t="shared" si="83"/>
        <v>0 г. 0 мес. 0 дн.</v>
      </c>
      <c r="I2369" s="2"/>
      <c r="J2369" s="2"/>
      <c r="K2369" s="2"/>
      <c r="L2369" s="2"/>
      <c r="M2369" s="2"/>
      <c r="N2369" s="1">
        <v>0</v>
      </c>
      <c r="O2369" s="2"/>
      <c r="P2369" s="2"/>
      <c r="Q2369" s="2">
        <v>0</v>
      </c>
      <c r="R2369" s="6"/>
    </row>
    <row r="2370" spans="1:18" x14ac:dyDescent="0.25">
      <c r="A2370" s="2">
        <f t="shared" si="84"/>
        <v>2369</v>
      </c>
      <c r="B2370" s="2"/>
      <c r="C2370" s="2"/>
      <c r="D2370" s="2"/>
      <c r="E2370" s="2"/>
      <c r="F2370" s="2"/>
      <c r="G2370" s="2"/>
      <c r="H2370" s="2" t="str">
        <f t="shared" si="83"/>
        <v>0 г. 0 мес. 0 дн.</v>
      </c>
      <c r="I2370" s="2"/>
      <c r="J2370" s="2"/>
      <c r="K2370" s="2"/>
      <c r="L2370" s="2"/>
      <c r="M2370" s="2"/>
      <c r="N2370" s="1">
        <v>0</v>
      </c>
      <c r="O2370" s="2"/>
      <c r="P2370" s="2"/>
      <c r="Q2370" s="2">
        <v>0</v>
      </c>
      <c r="R2370" s="6"/>
    </row>
    <row r="2371" spans="1:18" x14ac:dyDescent="0.25">
      <c r="A2371" s="2">
        <f t="shared" si="84"/>
        <v>2370</v>
      </c>
      <c r="B2371" s="2"/>
      <c r="C2371" s="2"/>
      <c r="D2371" s="2"/>
      <c r="E2371" s="2"/>
      <c r="F2371" s="2"/>
      <c r="G2371" s="2"/>
      <c r="H2371" s="2" t="str">
        <f t="shared" si="83"/>
        <v>0 г. 0 мес. 0 дн.</v>
      </c>
      <c r="I2371" s="2"/>
      <c r="J2371" s="2"/>
      <c r="K2371" s="2"/>
      <c r="L2371" s="2"/>
      <c r="M2371" s="2"/>
      <c r="N2371" s="1">
        <v>0</v>
      </c>
      <c r="O2371" s="2"/>
      <c r="P2371" s="2"/>
      <c r="Q2371" s="2">
        <v>0</v>
      </c>
      <c r="R2371" s="6"/>
    </row>
    <row r="2372" spans="1:18" x14ac:dyDescent="0.25">
      <c r="A2372" s="2">
        <f t="shared" si="84"/>
        <v>2371</v>
      </c>
      <c r="B2372" s="2"/>
      <c r="C2372" s="2"/>
      <c r="D2372" s="2"/>
      <c r="E2372" s="2"/>
      <c r="F2372" s="2"/>
      <c r="G2372" s="2"/>
      <c r="H2372" s="2" t="str">
        <f t="shared" ref="H2372:H2435" si="85">DATEDIF(G2372,D2372,"y") &amp; " г. " &amp; DATEDIF(G2372,D2372,"ym") &amp; " мес. " &amp; DATEDIF(G2372,D2372,"md") &amp; " дн."</f>
        <v>0 г. 0 мес. 0 дн.</v>
      </c>
      <c r="I2372" s="2"/>
      <c r="J2372" s="2"/>
      <c r="K2372" s="2"/>
      <c r="L2372" s="2"/>
      <c r="M2372" s="2"/>
      <c r="N2372" s="1">
        <v>0</v>
      </c>
      <c r="O2372" s="2"/>
      <c r="P2372" s="2"/>
      <c r="Q2372" s="2">
        <v>0</v>
      </c>
      <c r="R2372" s="6"/>
    </row>
    <row r="2373" spans="1:18" x14ac:dyDescent="0.25">
      <c r="A2373" s="2">
        <f t="shared" si="84"/>
        <v>2372</v>
      </c>
      <c r="B2373" s="2"/>
      <c r="C2373" s="2"/>
      <c r="D2373" s="2"/>
      <c r="E2373" s="2"/>
      <c r="F2373" s="2"/>
      <c r="G2373" s="2"/>
      <c r="H2373" s="2" t="str">
        <f t="shared" si="85"/>
        <v>0 г. 0 мес. 0 дн.</v>
      </c>
      <c r="I2373" s="2"/>
      <c r="J2373" s="2"/>
      <c r="K2373" s="2"/>
      <c r="L2373" s="2"/>
      <c r="M2373" s="2"/>
      <c r="N2373" s="1">
        <v>0</v>
      </c>
      <c r="O2373" s="2"/>
      <c r="P2373" s="2"/>
      <c r="Q2373" s="2">
        <v>0</v>
      </c>
      <c r="R2373" s="6"/>
    </row>
    <row r="2374" spans="1:18" x14ac:dyDescent="0.25">
      <c r="A2374" s="2">
        <f t="shared" si="84"/>
        <v>2373</v>
      </c>
      <c r="B2374" s="2"/>
      <c r="C2374" s="2"/>
      <c r="D2374" s="2"/>
      <c r="E2374" s="2"/>
      <c r="F2374" s="2"/>
      <c r="G2374" s="2"/>
      <c r="H2374" s="2" t="str">
        <f t="shared" si="85"/>
        <v>0 г. 0 мес. 0 дн.</v>
      </c>
      <c r="I2374" s="2"/>
      <c r="J2374" s="2"/>
      <c r="K2374" s="2"/>
      <c r="L2374" s="2"/>
      <c r="M2374" s="2"/>
      <c r="N2374" s="1">
        <v>0</v>
      </c>
      <c r="O2374" s="2"/>
      <c r="P2374" s="2"/>
      <c r="Q2374" s="2">
        <v>0</v>
      </c>
      <c r="R2374" s="6"/>
    </row>
    <row r="2375" spans="1:18" x14ac:dyDescent="0.25">
      <c r="A2375" s="2">
        <f t="shared" si="84"/>
        <v>2374</v>
      </c>
      <c r="B2375" s="2"/>
      <c r="C2375" s="2"/>
      <c r="D2375" s="2"/>
      <c r="E2375" s="2"/>
      <c r="F2375" s="2"/>
      <c r="G2375" s="2"/>
      <c r="H2375" s="2" t="str">
        <f t="shared" si="85"/>
        <v>0 г. 0 мес. 0 дн.</v>
      </c>
      <c r="I2375" s="2"/>
      <c r="J2375" s="2"/>
      <c r="K2375" s="2"/>
      <c r="L2375" s="2"/>
      <c r="M2375" s="2"/>
      <c r="N2375" s="1">
        <v>0</v>
      </c>
      <c r="O2375" s="2"/>
      <c r="P2375" s="2"/>
      <c r="Q2375" s="2">
        <v>0</v>
      </c>
      <c r="R2375" s="6"/>
    </row>
    <row r="2376" spans="1:18" x14ac:dyDescent="0.25">
      <c r="A2376" s="2">
        <f t="shared" si="84"/>
        <v>2375</v>
      </c>
      <c r="B2376" s="2"/>
      <c r="C2376" s="2"/>
      <c r="D2376" s="2"/>
      <c r="E2376" s="2"/>
      <c r="F2376" s="2"/>
      <c r="G2376" s="2"/>
      <c r="H2376" s="2" t="str">
        <f t="shared" si="85"/>
        <v>0 г. 0 мес. 0 дн.</v>
      </c>
      <c r="I2376" s="2"/>
      <c r="J2376" s="2"/>
      <c r="K2376" s="2"/>
      <c r="L2376" s="2"/>
      <c r="M2376" s="2"/>
      <c r="N2376" s="1">
        <v>0</v>
      </c>
      <c r="O2376" s="2"/>
      <c r="P2376" s="2"/>
      <c r="Q2376" s="2">
        <v>0</v>
      </c>
      <c r="R2376" s="6"/>
    </row>
    <row r="2377" spans="1:18" x14ac:dyDescent="0.25">
      <c r="A2377" s="2">
        <f t="shared" si="84"/>
        <v>2376</v>
      </c>
      <c r="B2377" s="2"/>
      <c r="C2377" s="2"/>
      <c r="D2377" s="2"/>
      <c r="E2377" s="2"/>
      <c r="F2377" s="2"/>
      <c r="G2377" s="2"/>
      <c r="H2377" s="2" t="str">
        <f t="shared" si="85"/>
        <v>0 г. 0 мес. 0 дн.</v>
      </c>
      <c r="I2377" s="2"/>
      <c r="J2377" s="2"/>
      <c r="K2377" s="2"/>
      <c r="L2377" s="2"/>
      <c r="M2377" s="2"/>
      <c r="N2377" s="1">
        <v>0</v>
      </c>
      <c r="O2377" s="2"/>
      <c r="P2377" s="2"/>
      <c r="Q2377" s="2">
        <v>0</v>
      </c>
      <c r="R2377" s="6"/>
    </row>
    <row r="2378" spans="1:18" x14ac:dyDescent="0.25">
      <c r="A2378" s="2">
        <f t="shared" si="84"/>
        <v>2377</v>
      </c>
      <c r="B2378" s="2"/>
      <c r="C2378" s="2"/>
      <c r="D2378" s="2"/>
      <c r="E2378" s="2"/>
      <c r="F2378" s="2"/>
      <c r="G2378" s="2"/>
      <c r="H2378" s="2" t="str">
        <f t="shared" si="85"/>
        <v>0 г. 0 мес. 0 дн.</v>
      </c>
      <c r="I2378" s="2"/>
      <c r="J2378" s="2"/>
      <c r="K2378" s="2"/>
      <c r="L2378" s="2"/>
      <c r="M2378" s="2"/>
      <c r="N2378" s="1">
        <v>0</v>
      </c>
      <c r="O2378" s="2"/>
      <c r="P2378" s="2"/>
      <c r="Q2378" s="2">
        <v>0</v>
      </c>
      <c r="R2378" s="6"/>
    </row>
    <row r="2379" spans="1:18" x14ac:dyDescent="0.25">
      <c r="A2379" s="2">
        <f t="shared" si="84"/>
        <v>2378</v>
      </c>
      <c r="B2379" s="2"/>
      <c r="C2379" s="2"/>
      <c r="D2379" s="2"/>
      <c r="E2379" s="2"/>
      <c r="F2379" s="2"/>
      <c r="G2379" s="2"/>
      <c r="H2379" s="2" t="str">
        <f t="shared" si="85"/>
        <v>0 г. 0 мес. 0 дн.</v>
      </c>
      <c r="I2379" s="2"/>
      <c r="J2379" s="2"/>
      <c r="K2379" s="2"/>
      <c r="L2379" s="2"/>
      <c r="M2379" s="2"/>
      <c r="N2379" s="1">
        <v>0</v>
      </c>
      <c r="O2379" s="2"/>
      <c r="P2379" s="2"/>
      <c r="Q2379" s="2">
        <v>0</v>
      </c>
      <c r="R2379" s="6"/>
    </row>
    <row r="2380" spans="1:18" x14ac:dyDescent="0.25">
      <c r="A2380" s="2">
        <f t="shared" si="84"/>
        <v>2379</v>
      </c>
      <c r="B2380" s="2"/>
      <c r="C2380" s="2"/>
      <c r="D2380" s="2"/>
      <c r="E2380" s="2"/>
      <c r="F2380" s="2"/>
      <c r="G2380" s="2"/>
      <c r="H2380" s="2" t="str">
        <f t="shared" si="85"/>
        <v>0 г. 0 мес. 0 дн.</v>
      </c>
      <c r="I2380" s="2"/>
      <c r="J2380" s="2"/>
      <c r="K2380" s="2"/>
      <c r="L2380" s="2"/>
      <c r="M2380" s="2"/>
      <c r="N2380" s="1">
        <v>0</v>
      </c>
      <c r="O2380" s="2"/>
      <c r="P2380" s="2"/>
      <c r="Q2380" s="2">
        <v>0</v>
      </c>
      <c r="R2380" s="6"/>
    </row>
    <row r="2381" spans="1:18" x14ac:dyDescent="0.25">
      <c r="A2381" s="2">
        <f t="shared" si="84"/>
        <v>2380</v>
      </c>
      <c r="B2381" s="2"/>
      <c r="C2381" s="2"/>
      <c r="D2381" s="2"/>
      <c r="E2381" s="2"/>
      <c r="F2381" s="2"/>
      <c r="G2381" s="2"/>
      <c r="H2381" s="2" t="str">
        <f t="shared" si="85"/>
        <v>0 г. 0 мес. 0 дн.</v>
      </c>
      <c r="I2381" s="2"/>
      <c r="J2381" s="2"/>
      <c r="K2381" s="2"/>
      <c r="L2381" s="2"/>
      <c r="M2381" s="2"/>
      <c r="N2381" s="1">
        <v>0</v>
      </c>
      <c r="O2381" s="2"/>
      <c r="P2381" s="2"/>
      <c r="Q2381" s="2">
        <v>0</v>
      </c>
      <c r="R2381" s="6"/>
    </row>
    <row r="2382" spans="1:18" x14ac:dyDescent="0.25">
      <c r="A2382" s="2">
        <f t="shared" si="84"/>
        <v>2381</v>
      </c>
      <c r="B2382" s="2"/>
      <c r="C2382" s="2"/>
      <c r="D2382" s="2"/>
      <c r="E2382" s="2"/>
      <c r="F2382" s="2"/>
      <c r="G2382" s="2"/>
      <c r="H2382" s="2" t="str">
        <f t="shared" si="85"/>
        <v>0 г. 0 мес. 0 дн.</v>
      </c>
      <c r="I2382" s="2"/>
      <c r="J2382" s="2"/>
      <c r="K2382" s="2"/>
      <c r="L2382" s="2"/>
      <c r="M2382" s="2"/>
      <c r="N2382" s="1">
        <v>0</v>
      </c>
      <c r="O2382" s="2"/>
      <c r="P2382" s="2"/>
      <c r="Q2382" s="2">
        <v>0</v>
      </c>
      <c r="R2382" s="6"/>
    </row>
    <row r="2383" spans="1:18" x14ac:dyDescent="0.25">
      <c r="A2383" s="2">
        <f t="shared" si="84"/>
        <v>2382</v>
      </c>
      <c r="B2383" s="2"/>
      <c r="C2383" s="2"/>
      <c r="D2383" s="2"/>
      <c r="E2383" s="2"/>
      <c r="F2383" s="2"/>
      <c r="G2383" s="2"/>
      <c r="H2383" s="2" t="str">
        <f t="shared" si="85"/>
        <v>0 г. 0 мес. 0 дн.</v>
      </c>
      <c r="I2383" s="2"/>
      <c r="J2383" s="2"/>
      <c r="K2383" s="2"/>
      <c r="L2383" s="2"/>
      <c r="M2383" s="2"/>
      <c r="N2383" s="1">
        <v>0</v>
      </c>
      <c r="O2383" s="2"/>
      <c r="P2383" s="2"/>
      <c r="Q2383" s="2">
        <v>0</v>
      </c>
      <c r="R2383" s="6"/>
    </row>
    <row r="2384" spans="1:18" x14ac:dyDescent="0.25">
      <c r="A2384" s="2">
        <f t="shared" si="84"/>
        <v>2383</v>
      </c>
      <c r="B2384" s="2"/>
      <c r="C2384" s="2"/>
      <c r="D2384" s="2"/>
      <c r="E2384" s="2"/>
      <c r="F2384" s="2"/>
      <c r="G2384" s="2"/>
      <c r="H2384" s="2" t="str">
        <f t="shared" si="85"/>
        <v>0 г. 0 мес. 0 дн.</v>
      </c>
      <c r="I2384" s="2"/>
      <c r="J2384" s="2"/>
      <c r="K2384" s="2"/>
      <c r="L2384" s="2"/>
      <c r="M2384" s="2"/>
      <c r="N2384" s="1">
        <v>0</v>
      </c>
      <c r="O2384" s="2"/>
      <c r="P2384" s="2"/>
      <c r="Q2384" s="2">
        <v>0</v>
      </c>
      <c r="R2384" s="6"/>
    </row>
    <row r="2385" spans="1:18" x14ac:dyDescent="0.25">
      <c r="A2385" s="2">
        <f t="shared" si="84"/>
        <v>2384</v>
      </c>
      <c r="B2385" s="2"/>
      <c r="C2385" s="2"/>
      <c r="D2385" s="2"/>
      <c r="E2385" s="2"/>
      <c r="F2385" s="2"/>
      <c r="G2385" s="2"/>
      <c r="H2385" s="2" t="str">
        <f t="shared" si="85"/>
        <v>0 г. 0 мес. 0 дн.</v>
      </c>
      <c r="I2385" s="2"/>
      <c r="J2385" s="2"/>
      <c r="K2385" s="2"/>
      <c r="L2385" s="2"/>
      <c r="M2385" s="2"/>
      <c r="N2385" s="1">
        <v>0</v>
      </c>
      <c r="O2385" s="2"/>
      <c r="P2385" s="2"/>
      <c r="Q2385" s="2">
        <v>0</v>
      </c>
      <c r="R2385" s="6"/>
    </row>
    <row r="2386" spans="1:18" x14ac:dyDescent="0.25">
      <c r="A2386" s="2">
        <f t="shared" si="84"/>
        <v>2385</v>
      </c>
      <c r="B2386" s="2"/>
      <c r="C2386" s="2"/>
      <c r="D2386" s="2"/>
      <c r="E2386" s="2"/>
      <c r="F2386" s="2"/>
      <c r="G2386" s="2"/>
      <c r="H2386" s="2" t="str">
        <f t="shared" si="85"/>
        <v>0 г. 0 мес. 0 дн.</v>
      </c>
      <c r="I2386" s="2"/>
      <c r="J2386" s="2"/>
      <c r="K2386" s="2"/>
      <c r="L2386" s="2"/>
      <c r="M2386" s="2"/>
      <c r="N2386" s="1">
        <v>0</v>
      </c>
      <c r="O2386" s="2"/>
      <c r="P2386" s="2"/>
      <c r="Q2386" s="2">
        <v>0</v>
      </c>
      <c r="R2386" s="6"/>
    </row>
    <row r="2387" spans="1:18" x14ac:dyDescent="0.25">
      <c r="A2387" s="2">
        <f t="shared" si="84"/>
        <v>2386</v>
      </c>
      <c r="B2387" s="2"/>
      <c r="C2387" s="2"/>
      <c r="D2387" s="2"/>
      <c r="E2387" s="2"/>
      <c r="F2387" s="2"/>
      <c r="G2387" s="2"/>
      <c r="H2387" s="2" t="str">
        <f t="shared" si="85"/>
        <v>0 г. 0 мес. 0 дн.</v>
      </c>
      <c r="I2387" s="2"/>
      <c r="J2387" s="2"/>
      <c r="K2387" s="2"/>
      <c r="L2387" s="2"/>
      <c r="M2387" s="2"/>
      <c r="N2387" s="1">
        <v>0</v>
      </c>
      <c r="O2387" s="2"/>
      <c r="P2387" s="2"/>
      <c r="Q2387" s="2">
        <v>0</v>
      </c>
      <c r="R2387" s="6"/>
    </row>
    <row r="2388" spans="1:18" x14ac:dyDescent="0.25">
      <c r="A2388" s="2">
        <f t="shared" si="84"/>
        <v>2387</v>
      </c>
      <c r="B2388" s="2"/>
      <c r="C2388" s="2"/>
      <c r="D2388" s="2"/>
      <c r="E2388" s="2"/>
      <c r="F2388" s="2"/>
      <c r="G2388" s="2"/>
      <c r="H2388" s="2" t="str">
        <f t="shared" si="85"/>
        <v>0 г. 0 мес. 0 дн.</v>
      </c>
      <c r="I2388" s="2"/>
      <c r="J2388" s="2"/>
      <c r="K2388" s="2"/>
      <c r="L2388" s="2"/>
      <c r="M2388" s="2"/>
      <c r="N2388" s="1">
        <v>0</v>
      </c>
      <c r="O2388" s="2"/>
      <c r="P2388" s="2"/>
      <c r="Q2388" s="2">
        <v>0</v>
      </c>
      <c r="R2388" s="6"/>
    </row>
    <row r="2389" spans="1:18" x14ac:dyDescent="0.25">
      <c r="A2389" s="2">
        <f t="shared" si="84"/>
        <v>2388</v>
      </c>
      <c r="B2389" s="2"/>
      <c r="C2389" s="2"/>
      <c r="D2389" s="2"/>
      <c r="E2389" s="2"/>
      <c r="F2389" s="2"/>
      <c r="G2389" s="2"/>
      <c r="H2389" s="2" t="str">
        <f t="shared" si="85"/>
        <v>0 г. 0 мес. 0 дн.</v>
      </c>
      <c r="I2389" s="2"/>
      <c r="J2389" s="2"/>
      <c r="K2389" s="2"/>
      <c r="L2389" s="2"/>
      <c r="M2389" s="2"/>
      <c r="N2389" s="1">
        <v>0</v>
      </c>
      <c r="O2389" s="2"/>
      <c r="P2389" s="2"/>
      <c r="Q2389" s="2">
        <v>0</v>
      </c>
      <c r="R2389" s="6"/>
    </row>
    <row r="2390" spans="1:18" x14ac:dyDescent="0.25">
      <c r="A2390" s="2">
        <f t="shared" si="84"/>
        <v>2389</v>
      </c>
      <c r="B2390" s="2"/>
      <c r="C2390" s="2"/>
      <c r="D2390" s="2"/>
      <c r="E2390" s="2"/>
      <c r="F2390" s="2"/>
      <c r="G2390" s="2"/>
      <c r="H2390" s="2" t="str">
        <f t="shared" si="85"/>
        <v>0 г. 0 мес. 0 дн.</v>
      </c>
      <c r="I2390" s="2"/>
      <c r="J2390" s="2"/>
      <c r="K2390" s="2"/>
      <c r="L2390" s="2"/>
      <c r="M2390" s="2"/>
      <c r="N2390" s="1">
        <v>0</v>
      </c>
      <c r="O2390" s="2"/>
      <c r="P2390" s="2"/>
      <c r="Q2390" s="2">
        <v>0</v>
      </c>
      <c r="R2390" s="6"/>
    </row>
    <row r="2391" spans="1:18" x14ac:dyDescent="0.25">
      <c r="A2391" s="2">
        <f t="shared" si="84"/>
        <v>2390</v>
      </c>
      <c r="B2391" s="2"/>
      <c r="C2391" s="2"/>
      <c r="D2391" s="2"/>
      <c r="E2391" s="2"/>
      <c r="F2391" s="2"/>
      <c r="G2391" s="2"/>
      <c r="H2391" s="2" t="str">
        <f t="shared" si="85"/>
        <v>0 г. 0 мес. 0 дн.</v>
      </c>
      <c r="I2391" s="2"/>
      <c r="J2391" s="2"/>
      <c r="K2391" s="2"/>
      <c r="L2391" s="2"/>
      <c r="M2391" s="2"/>
      <c r="N2391" s="1">
        <v>0</v>
      </c>
      <c r="O2391" s="2"/>
      <c r="P2391" s="2"/>
      <c r="Q2391" s="2">
        <v>0</v>
      </c>
      <c r="R2391" s="6"/>
    </row>
    <row r="2392" spans="1:18" x14ac:dyDescent="0.25">
      <c r="A2392" s="2">
        <f t="shared" si="84"/>
        <v>2391</v>
      </c>
      <c r="B2392" s="2"/>
      <c r="C2392" s="2"/>
      <c r="D2392" s="2"/>
      <c r="E2392" s="2"/>
      <c r="F2392" s="2"/>
      <c r="G2392" s="2"/>
      <c r="H2392" s="2" t="str">
        <f t="shared" si="85"/>
        <v>0 г. 0 мес. 0 дн.</v>
      </c>
      <c r="I2392" s="2"/>
      <c r="J2392" s="2"/>
      <c r="K2392" s="2"/>
      <c r="L2392" s="2"/>
      <c r="M2392" s="2"/>
      <c r="N2392" s="1">
        <v>0</v>
      </c>
      <c r="O2392" s="2"/>
      <c r="P2392" s="2"/>
      <c r="Q2392" s="2">
        <v>0</v>
      </c>
      <c r="R2392" s="6"/>
    </row>
    <row r="2393" spans="1:18" x14ac:dyDescent="0.25">
      <c r="A2393" s="2">
        <f t="shared" si="84"/>
        <v>2392</v>
      </c>
      <c r="B2393" s="2"/>
      <c r="C2393" s="2"/>
      <c r="D2393" s="2"/>
      <c r="E2393" s="2"/>
      <c r="F2393" s="2"/>
      <c r="G2393" s="2"/>
      <c r="H2393" s="2" t="str">
        <f t="shared" si="85"/>
        <v>0 г. 0 мес. 0 дн.</v>
      </c>
      <c r="I2393" s="2"/>
      <c r="J2393" s="2"/>
      <c r="K2393" s="2"/>
      <c r="L2393" s="2"/>
      <c r="M2393" s="2"/>
      <c r="N2393" s="1">
        <v>0</v>
      </c>
      <c r="O2393" s="2"/>
      <c r="P2393" s="2"/>
      <c r="Q2393" s="2">
        <v>0</v>
      </c>
      <c r="R2393" s="6"/>
    </row>
    <row r="2394" spans="1:18" x14ac:dyDescent="0.25">
      <c r="A2394" s="2">
        <f t="shared" si="84"/>
        <v>2393</v>
      </c>
      <c r="B2394" s="2"/>
      <c r="C2394" s="2"/>
      <c r="D2394" s="2"/>
      <c r="E2394" s="2"/>
      <c r="F2394" s="2"/>
      <c r="G2394" s="2"/>
      <c r="H2394" s="2" t="str">
        <f t="shared" si="85"/>
        <v>0 г. 0 мес. 0 дн.</v>
      </c>
      <c r="I2394" s="2"/>
      <c r="J2394" s="2"/>
      <c r="K2394" s="2"/>
      <c r="L2394" s="2"/>
      <c r="M2394" s="2"/>
      <c r="N2394" s="1">
        <v>0</v>
      </c>
      <c r="O2394" s="2"/>
      <c r="P2394" s="2"/>
      <c r="Q2394" s="2">
        <v>0</v>
      </c>
      <c r="R2394" s="6"/>
    </row>
    <row r="2395" spans="1:18" x14ac:dyDescent="0.25">
      <c r="A2395" s="2">
        <f t="shared" si="84"/>
        <v>2394</v>
      </c>
      <c r="B2395" s="2"/>
      <c r="C2395" s="2"/>
      <c r="D2395" s="2"/>
      <c r="E2395" s="2"/>
      <c r="F2395" s="2"/>
      <c r="G2395" s="2"/>
      <c r="H2395" s="2" t="str">
        <f t="shared" si="85"/>
        <v>0 г. 0 мес. 0 дн.</v>
      </c>
      <c r="I2395" s="2"/>
      <c r="J2395" s="2"/>
      <c r="K2395" s="2"/>
      <c r="L2395" s="2"/>
      <c r="M2395" s="2"/>
      <c r="N2395" s="1">
        <v>0</v>
      </c>
      <c r="O2395" s="2"/>
      <c r="P2395" s="2"/>
      <c r="Q2395" s="2">
        <v>0</v>
      </c>
      <c r="R2395" s="6"/>
    </row>
    <row r="2396" spans="1:18" x14ac:dyDescent="0.25">
      <c r="A2396" s="2">
        <f t="shared" si="84"/>
        <v>2395</v>
      </c>
      <c r="B2396" s="2"/>
      <c r="C2396" s="2"/>
      <c r="D2396" s="2"/>
      <c r="E2396" s="2"/>
      <c r="F2396" s="2"/>
      <c r="G2396" s="2"/>
      <c r="H2396" s="2" t="str">
        <f t="shared" si="85"/>
        <v>0 г. 0 мес. 0 дн.</v>
      </c>
      <c r="I2396" s="2"/>
      <c r="J2396" s="2"/>
      <c r="K2396" s="2"/>
      <c r="L2396" s="2"/>
      <c r="M2396" s="2"/>
      <c r="N2396" s="1">
        <v>0</v>
      </c>
      <c r="O2396" s="2"/>
      <c r="P2396" s="2"/>
      <c r="Q2396" s="2">
        <v>0</v>
      </c>
      <c r="R2396" s="6"/>
    </row>
    <row r="2397" spans="1:18" x14ac:dyDescent="0.25">
      <c r="A2397" s="2">
        <f t="shared" ref="A2397:A2422" si="86">ROW(A2396)</f>
        <v>2396</v>
      </c>
      <c r="B2397" s="2"/>
      <c r="C2397" s="2"/>
      <c r="D2397" s="2"/>
      <c r="E2397" s="2"/>
      <c r="F2397" s="2"/>
      <c r="G2397" s="2"/>
      <c r="H2397" s="2" t="str">
        <f t="shared" si="85"/>
        <v>0 г. 0 мес. 0 дн.</v>
      </c>
      <c r="I2397" s="2"/>
      <c r="J2397" s="2"/>
      <c r="K2397" s="2"/>
      <c r="L2397" s="2"/>
      <c r="M2397" s="2"/>
      <c r="N2397" s="1">
        <v>0</v>
      </c>
      <c r="O2397" s="2"/>
      <c r="P2397" s="2"/>
      <c r="Q2397" s="2">
        <v>0</v>
      </c>
      <c r="R2397" s="6"/>
    </row>
    <row r="2398" spans="1:18" x14ac:dyDescent="0.25">
      <c r="A2398" s="2">
        <f t="shared" si="86"/>
        <v>2397</v>
      </c>
      <c r="B2398" s="2"/>
      <c r="C2398" s="2"/>
      <c r="D2398" s="2"/>
      <c r="E2398" s="2"/>
      <c r="F2398" s="2"/>
      <c r="G2398" s="2"/>
      <c r="H2398" s="2" t="str">
        <f t="shared" si="85"/>
        <v>0 г. 0 мес. 0 дн.</v>
      </c>
      <c r="I2398" s="2"/>
      <c r="J2398" s="2"/>
      <c r="K2398" s="2"/>
      <c r="L2398" s="2"/>
      <c r="M2398" s="2"/>
      <c r="N2398" s="1">
        <v>0</v>
      </c>
      <c r="O2398" s="2"/>
      <c r="P2398" s="2"/>
      <c r="Q2398" s="2">
        <v>0</v>
      </c>
      <c r="R2398" s="6"/>
    </row>
    <row r="2399" spans="1:18" x14ac:dyDescent="0.25">
      <c r="A2399" s="2">
        <f t="shared" si="86"/>
        <v>2398</v>
      </c>
      <c r="B2399" s="2"/>
      <c r="C2399" s="2"/>
      <c r="D2399" s="2"/>
      <c r="E2399" s="2"/>
      <c r="F2399" s="2"/>
      <c r="G2399" s="2"/>
      <c r="H2399" s="2" t="str">
        <f t="shared" si="85"/>
        <v>0 г. 0 мес. 0 дн.</v>
      </c>
      <c r="I2399" s="2"/>
      <c r="J2399" s="2"/>
      <c r="K2399" s="2"/>
      <c r="L2399" s="2"/>
      <c r="M2399" s="2"/>
      <c r="N2399" s="1">
        <v>0</v>
      </c>
      <c r="O2399" s="2"/>
      <c r="P2399" s="2"/>
      <c r="Q2399" s="2">
        <v>0</v>
      </c>
      <c r="R2399" s="6"/>
    </row>
    <row r="2400" spans="1:18" x14ac:dyDescent="0.25">
      <c r="A2400" s="2">
        <f t="shared" si="86"/>
        <v>2399</v>
      </c>
      <c r="B2400" s="2"/>
      <c r="C2400" s="2"/>
      <c r="D2400" s="2"/>
      <c r="E2400" s="2"/>
      <c r="F2400" s="2"/>
      <c r="G2400" s="2"/>
      <c r="H2400" s="2" t="str">
        <f t="shared" si="85"/>
        <v>0 г. 0 мес. 0 дн.</v>
      </c>
      <c r="I2400" s="2"/>
      <c r="J2400" s="2"/>
      <c r="K2400" s="2"/>
      <c r="L2400" s="2"/>
      <c r="M2400" s="2"/>
      <c r="N2400" s="1">
        <v>0</v>
      </c>
      <c r="O2400" s="2"/>
      <c r="P2400" s="2"/>
      <c r="Q2400" s="2">
        <v>0</v>
      </c>
      <c r="R2400" s="6"/>
    </row>
    <row r="2401" spans="1:18" x14ac:dyDescent="0.25">
      <c r="A2401" s="2">
        <f t="shared" si="86"/>
        <v>2400</v>
      </c>
      <c r="B2401" s="2"/>
      <c r="C2401" s="2"/>
      <c r="D2401" s="2"/>
      <c r="E2401" s="2"/>
      <c r="F2401" s="2"/>
      <c r="G2401" s="2"/>
      <c r="H2401" s="2" t="str">
        <f t="shared" si="85"/>
        <v>0 г. 0 мес. 0 дн.</v>
      </c>
      <c r="I2401" s="2"/>
      <c r="J2401" s="2"/>
      <c r="K2401" s="2"/>
      <c r="L2401" s="2"/>
      <c r="M2401" s="2"/>
      <c r="N2401" s="1">
        <v>0</v>
      </c>
      <c r="O2401" s="2"/>
      <c r="P2401" s="2"/>
      <c r="Q2401" s="2">
        <v>0</v>
      </c>
      <c r="R2401" s="6"/>
    </row>
    <row r="2402" spans="1:18" x14ac:dyDescent="0.25">
      <c r="A2402" s="2">
        <f t="shared" si="86"/>
        <v>2401</v>
      </c>
      <c r="B2402" s="2"/>
      <c r="C2402" s="2"/>
      <c r="D2402" s="2"/>
      <c r="E2402" s="2"/>
      <c r="F2402" s="2"/>
      <c r="G2402" s="2"/>
      <c r="H2402" s="2" t="str">
        <f t="shared" si="85"/>
        <v>0 г. 0 мес. 0 дн.</v>
      </c>
      <c r="I2402" s="2"/>
      <c r="J2402" s="2"/>
      <c r="K2402" s="2"/>
      <c r="L2402" s="2"/>
      <c r="M2402" s="2"/>
      <c r="N2402" s="1">
        <v>0</v>
      </c>
      <c r="O2402" s="2"/>
      <c r="P2402" s="2"/>
      <c r="Q2402" s="2">
        <v>0</v>
      </c>
      <c r="R2402" s="6"/>
    </row>
    <row r="2403" spans="1:18" x14ac:dyDescent="0.25">
      <c r="A2403" s="2">
        <f t="shared" si="86"/>
        <v>2402</v>
      </c>
      <c r="B2403" s="2"/>
      <c r="C2403" s="2"/>
      <c r="D2403" s="2"/>
      <c r="E2403" s="2"/>
      <c r="F2403" s="2"/>
      <c r="G2403" s="2"/>
      <c r="H2403" s="2" t="str">
        <f t="shared" si="85"/>
        <v>0 г. 0 мес. 0 дн.</v>
      </c>
      <c r="I2403" s="2"/>
      <c r="J2403" s="2"/>
      <c r="K2403" s="2"/>
      <c r="L2403" s="2"/>
      <c r="M2403" s="2"/>
      <c r="N2403" s="1">
        <v>0</v>
      </c>
      <c r="O2403" s="2"/>
      <c r="P2403" s="2"/>
      <c r="Q2403" s="2">
        <v>0</v>
      </c>
      <c r="R2403" s="6"/>
    </row>
    <row r="2404" spans="1:18" x14ac:dyDescent="0.25">
      <c r="A2404" s="2">
        <f t="shared" si="86"/>
        <v>2403</v>
      </c>
      <c r="B2404" s="2"/>
      <c r="C2404" s="2"/>
      <c r="D2404" s="2"/>
      <c r="E2404" s="2"/>
      <c r="F2404" s="2"/>
      <c r="G2404" s="2"/>
      <c r="H2404" s="2" t="str">
        <f t="shared" si="85"/>
        <v>0 г. 0 мес. 0 дн.</v>
      </c>
      <c r="I2404" s="2"/>
      <c r="J2404" s="2"/>
      <c r="K2404" s="2"/>
      <c r="L2404" s="2"/>
      <c r="M2404" s="2"/>
      <c r="N2404" s="1">
        <v>0</v>
      </c>
      <c r="O2404" s="2"/>
      <c r="P2404" s="2"/>
      <c r="Q2404" s="2">
        <v>0</v>
      </c>
      <c r="R2404" s="6"/>
    </row>
    <row r="2405" spans="1:18" x14ac:dyDescent="0.25">
      <c r="A2405" s="2">
        <f t="shared" si="86"/>
        <v>2404</v>
      </c>
      <c r="B2405" s="2"/>
      <c r="C2405" s="2"/>
      <c r="D2405" s="2"/>
      <c r="E2405" s="2"/>
      <c r="F2405" s="2"/>
      <c r="G2405" s="2"/>
      <c r="H2405" s="2" t="str">
        <f t="shared" si="85"/>
        <v>0 г. 0 мес. 0 дн.</v>
      </c>
      <c r="I2405" s="2"/>
      <c r="J2405" s="2"/>
      <c r="K2405" s="2"/>
      <c r="L2405" s="2"/>
      <c r="M2405" s="2"/>
      <c r="N2405" s="1">
        <v>0</v>
      </c>
      <c r="O2405" s="2"/>
      <c r="P2405" s="2"/>
      <c r="Q2405" s="2">
        <v>0</v>
      </c>
      <c r="R2405" s="6"/>
    </row>
    <row r="2406" spans="1:18" x14ac:dyDescent="0.25">
      <c r="A2406" s="2">
        <f t="shared" si="86"/>
        <v>2405</v>
      </c>
      <c r="B2406" s="2"/>
      <c r="C2406" s="2"/>
      <c r="D2406" s="2"/>
      <c r="E2406" s="2"/>
      <c r="F2406" s="2"/>
      <c r="G2406" s="2"/>
      <c r="H2406" s="2" t="str">
        <f t="shared" si="85"/>
        <v>0 г. 0 мес. 0 дн.</v>
      </c>
      <c r="I2406" s="2"/>
      <c r="J2406" s="2"/>
      <c r="K2406" s="2"/>
      <c r="L2406" s="2"/>
      <c r="M2406" s="2"/>
      <c r="N2406" s="1">
        <v>0</v>
      </c>
      <c r="O2406" s="2"/>
      <c r="P2406" s="2"/>
      <c r="Q2406" s="2">
        <v>0</v>
      </c>
      <c r="R2406" s="6"/>
    </row>
    <row r="2407" spans="1:18" x14ac:dyDescent="0.25">
      <c r="A2407" s="2">
        <f t="shared" si="86"/>
        <v>2406</v>
      </c>
      <c r="B2407" s="2"/>
      <c r="C2407" s="2"/>
      <c r="D2407" s="2"/>
      <c r="E2407" s="2"/>
      <c r="F2407" s="2"/>
      <c r="G2407" s="2"/>
      <c r="H2407" s="2" t="str">
        <f t="shared" si="85"/>
        <v>0 г. 0 мес. 0 дн.</v>
      </c>
      <c r="I2407" s="2"/>
      <c r="J2407" s="2"/>
      <c r="K2407" s="2"/>
      <c r="L2407" s="2"/>
      <c r="M2407" s="2"/>
      <c r="N2407" s="1">
        <v>0</v>
      </c>
      <c r="O2407" s="2"/>
      <c r="P2407" s="2"/>
      <c r="Q2407" s="2">
        <v>0</v>
      </c>
      <c r="R2407" s="6"/>
    </row>
    <row r="2408" spans="1:18" x14ac:dyDescent="0.25">
      <c r="A2408" s="2">
        <f t="shared" si="86"/>
        <v>2407</v>
      </c>
      <c r="B2408" s="2"/>
      <c r="C2408" s="2"/>
      <c r="D2408" s="2"/>
      <c r="E2408" s="2"/>
      <c r="F2408" s="2"/>
      <c r="G2408" s="2"/>
      <c r="H2408" s="2" t="str">
        <f t="shared" si="85"/>
        <v>0 г. 0 мес. 0 дн.</v>
      </c>
      <c r="I2408" s="2"/>
      <c r="J2408" s="2"/>
      <c r="K2408" s="2"/>
      <c r="L2408" s="2"/>
      <c r="M2408" s="2"/>
      <c r="N2408" s="1">
        <v>0</v>
      </c>
      <c r="O2408" s="2"/>
      <c r="P2408" s="2"/>
      <c r="Q2408" s="2">
        <v>0</v>
      </c>
      <c r="R2408" s="6"/>
    </row>
    <row r="2409" spans="1:18" x14ac:dyDescent="0.25">
      <c r="A2409" s="2">
        <f t="shared" si="86"/>
        <v>2408</v>
      </c>
      <c r="B2409" s="2"/>
      <c r="C2409" s="2"/>
      <c r="D2409" s="2"/>
      <c r="E2409" s="2"/>
      <c r="F2409" s="2"/>
      <c r="G2409" s="2"/>
      <c r="H2409" s="2" t="str">
        <f t="shared" si="85"/>
        <v>0 г. 0 мес. 0 дн.</v>
      </c>
      <c r="I2409" s="2"/>
      <c r="J2409" s="2"/>
      <c r="K2409" s="2"/>
      <c r="L2409" s="2"/>
      <c r="M2409" s="2"/>
      <c r="N2409" s="1">
        <v>0</v>
      </c>
      <c r="O2409" s="2"/>
      <c r="P2409" s="2"/>
      <c r="Q2409" s="2">
        <v>0</v>
      </c>
      <c r="R2409" s="6"/>
    </row>
    <row r="2410" spans="1:18" x14ac:dyDescent="0.25">
      <c r="A2410" s="2">
        <f t="shared" si="86"/>
        <v>2409</v>
      </c>
      <c r="B2410" s="2"/>
      <c r="C2410" s="2"/>
      <c r="D2410" s="2"/>
      <c r="E2410" s="2"/>
      <c r="F2410" s="2"/>
      <c r="G2410" s="2"/>
      <c r="H2410" s="2" t="str">
        <f t="shared" si="85"/>
        <v>0 г. 0 мес. 0 дн.</v>
      </c>
      <c r="I2410" s="2"/>
      <c r="J2410" s="2"/>
      <c r="K2410" s="2"/>
      <c r="L2410" s="2"/>
      <c r="M2410" s="2"/>
      <c r="N2410" s="1">
        <v>0</v>
      </c>
      <c r="O2410" s="2"/>
      <c r="P2410" s="2"/>
      <c r="Q2410" s="2">
        <v>0</v>
      </c>
      <c r="R2410" s="6"/>
    </row>
    <row r="2411" spans="1:18" x14ac:dyDescent="0.25">
      <c r="A2411" s="2">
        <f t="shared" si="86"/>
        <v>2410</v>
      </c>
      <c r="B2411" s="2"/>
      <c r="C2411" s="2"/>
      <c r="D2411" s="2"/>
      <c r="E2411" s="2"/>
      <c r="F2411" s="2"/>
      <c r="G2411" s="2"/>
      <c r="H2411" s="2" t="str">
        <f t="shared" si="85"/>
        <v>0 г. 0 мес. 0 дн.</v>
      </c>
      <c r="I2411" s="2"/>
      <c r="J2411" s="2"/>
      <c r="K2411" s="2"/>
      <c r="L2411" s="2"/>
      <c r="M2411" s="2"/>
      <c r="N2411" s="1">
        <v>0</v>
      </c>
      <c r="O2411" s="2"/>
      <c r="P2411" s="2"/>
      <c r="Q2411" s="2">
        <v>0</v>
      </c>
      <c r="R2411" s="6"/>
    </row>
    <row r="2412" spans="1:18" x14ac:dyDescent="0.25">
      <c r="A2412" s="2">
        <f t="shared" si="86"/>
        <v>2411</v>
      </c>
      <c r="B2412" s="2"/>
      <c r="C2412" s="2"/>
      <c r="D2412" s="2"/>
      <c r="E2412" s="2"/>
      <c r="F2412" s="2"/>
      <c r="G2412" s="2"/>
      <c r="H2412" s="2" t="str">
        <f t="shared" si="85"/>
        <v>0 г. 0 мес. 0 дн.</v>
      </c>
      <c r="I2412" s="2"/>
      <c r="J2412" s="2"/>
      <c r="K2412" s="2"/>
      <c r="L2412" s="2"/>
      <c r="M2412" s="2"/>
      <c r="N2412" s="1">
        <v>0</v>
      </c>
      <c r="O2412" s="2"/>
      <c r="P2412" s="2"/>
      <c r="Q2412" s="2">
        <v>0</v>
      </c>
      <c r="R2412" s="6"/>
    </row>
    <row r="2413" spans="1:18" x14ac:dyDescent="0.25">
      <c r="A2413" s="2">
        <f t="shared" si="86"/>
        <v>2412</v>
      </c>
      <c r="B2413" s="2"/>
      <c r="C2413" s="2"/>
      <c r="D2413" s="2"/>
      <c r="E2413" s="2"/>
      <c r="F2413" s="2"/>
      <c r="G2413" s="2"/>
      <c r="H2413" s="2" t="str">
        <f t="shared" si="85"/>
        <v>0 г. 0 мес. 0 дн.</v>
      </c>
      <c r="I2413" s="2"/>
      <c r="J2413" s="2"/>
      <c r="K2413" s="2"/>
      <c r="L2413" s="2"/>
      <c r="M2413" s="2"/>
      <c r="N2413" s="1">
        <v>0</v>
      </c>
      <c r="O2413" s="2"/>
      <c r="P2413" s="2"/>
      <c r="Q2413" s="2">
        <v>0</v>
      </c>
      <c r="R2413" s="6"/>
    </row>
    <row r="2414" spans="1:18" x14ac:dyDescent="0.25">
      <c r="A2414" s="2">
        <f t="shared" si="86"/>
        <v>2413</v>
      </c>
      <c r="B2414" s="2"/>
      <c r="C2414" s="2"/>
      <c r="D2414" s="2"/>
      <c r="E2414" s="2"/>
      <c r="F2414" s="2"/>
      <c r="G2414" s="2"/>
      <c r="H2414" s="2" t="str">
        <f t="shared" si="85"/>
        <v>0 г. 0 мес. 0 дн.</v>
      </c>
      <c r="I2414" s="2"/>
      <c r="J2414" s="2"/>
      <c r="K2414" s="2"/>
      <c r="L2414" s="2"/>
      <c r="M2414" s="2"/>
      <c r="N2414" s="1">
        <v>0</v>
      </c>
      <c r="O2414" s="2"/>
      <c r="P2414" s="2"/>
      <c r="Q2414" s="2">
        <v>0</v>
      </c>
      <c r="R2414" s="6"/>
    </row>
    <row r="2415" spans="1:18" x14ac:dyDescent="0.25">
      <c r="A2415" s="2">
        <f t="shared" si="86"/>
        <v>2414</v>
      </c>
      <c r="B2415" s="2"/>
      <c r="C2415" s="2"/>
      <c r="D2415" s="2"/>
      <c r="E2415" s="2"/>
      <c r="F2415" s="2"/>
      <c r="G2415" s="2"/>
      <c r="H2415" s="2" t="str">
        <f t="shared" si="85"/>
        <v>0 г. 0 мес. 0 дн.</v>
      </c>
      <c r="I2415" s="2"/>
      <c r="J2415" s="2"/>
      <c r="K2415" s="2"/>
      <c r="L2415" s="2"/>
      <c r="M2415" s="2"/>
      <c r="N2415" s="1">
        <v>0</v>
      </c>
      <c r="O2415" s="2"/>
      <c r="P2415" s="2"/>
      <c r="Q2415" s="2">
        <v>0</v>
      </c>
      <c r="R2415" s="6"/>
    </row>
    <row r="2416" spans="1:18" x14ac:dyDescent="0.25">
      <c r="A2416" s="2">
        <f t="shared" si="86"/>
        <v>2415</v>
      </c>
      <c r="B2416" s="2"/>
      <c r="C2416" s="2"/>
      <c r="D2416" s="2"/>
      <c r="E2416" s="2"/>
      <c r="F2416" s="2"/>
      <c r="G2416" s="2"/>
      <c r="H2416" s="2" t="str">
        <f t="shared" si="85"/>
        <v>0 г. 0 мес. 0 дн.</v>
      </c>
      <c r="I2416" s="2"/>
      <c r="J2416" s="2"/>
      <c r="K2416" s="2"/>
      <c r="L2416" s="2"/>
      <c r="M2416" s="2"/>
      <c r="N2416" s="1">
        <v>0</v>
      </c>
      <c r="O2416" s="2"/>
      <c r="P2416" s="2"/>
      <c r="Q2416" s="2">
        <v>0</v>
      </c>
      <c r="R2416" s="6"/>
    </row>
    <row r="2417" spans="1:18" x14ac:dyDescent="0.25">
      <c r="A2417" s="2">
        <f t="shared" si="86"/>
        <v>2416</v>
      </c>
      <c r="B2417" s="2"/>
      <c r="C2417" s="2"/>
      <c r="D2417" s="2"/>
      <c r="E2417" s="2"/>
      <c r="F2417" s="2"/>
      <c r="G2417" s="2"/>
      <c r="H2417" s="2" t="str">
        <f t="shared" si="85"/>
        <v>0 г. 0 мес. 0 дн.</v>
      </c>
      <c r="I2417" s="2"/>
      <c r="J2417" s="2"/>
      <c r="K2417" s="2"/>
      <c r="L2417" s="2"/>
      <c r="M2417" s="2"/>
      <c r="N2417" s="1">
        <v>0</v>
      </c>
      <c r="O2417" s="2"/>
      <c r="P2417" s="2"/>
      <c r="Q2417" s="2">
        <v>0</v>
      </c>
      <c r="R2417" s="6"/>
    </row>
    <row r="2418" spans="1:18" x14ac:dyDescent="0.25">
      <c r="A2418" s="2">
        <f t="shared" si="86"/>
        <v>2417</v>
      </c>
      <c r="B2418" s="2"/>
      <c r="C2418" s="2"/>
      <c r="D2418" s="2"/>
      <c r="E2418" s="2"/>
      <c r="F2418" s="2"/>
      <c r="G2418" s="2"/>
      <c r="H2418" s="2" t="str">
        <f t="shared" si="85"/>
        <v>0 г. 0 мес. 0 дн.</v>
      </c>
      <c r="I2418" s="2"/>
      <c r="J2418" s="2"/>
      <c r="K2418" s="2"/>
      <c r="L2418" s="2"/>
      <c r="M2418" s="2"/>
      <c r="N2418" s="1">
        <v>0</v>
      </c>
      <c r="O2418" s="2"/>
      <c r="P2418" s="2"/>
      <c r="Q2418" s="2">
        <v>0</v>
      </c>
      <c r="R2418" s="6"/>
    </row>
    <row r="2419" spans="1:18" x14ac:dyDescent="0.25">
      <c r="A2419" s="2">
        <f t="shared" si="86"/>
        <v>2418</v>
      </c>
      <c r="B2419" s="2"/>
      <c r="C2419" s="2"/>
      <c r="D2419" s="2"/>
      <c r="E2419" s="2"/>
      <c r="F2419" s="2"/>
      <c r="G2419" s="2"/>
      <c r="H2419" s="2" t="str">
        <f t="shared" si="85"/>
        <v>0 г. 0 мес. 0 дн.</v>
      </c>
      <c r="I2419" s="2"/>
      <c r="J2419" s="2"/>
      <c r="K2419" s="2"/>
      <c r="L2419" s="2"/>
      <c r="M2419" s="2"/>
      <c r="N2419" s="1">
        <v>0</v>
      </c>
      <c r="O2419" s="2"/>
      <c r="P2419" s="2"/>
      <c r="Q2419" s="2">
        <v>0</v>
      </c>
      <c r="R2419" s="6"/>
    </row>
    <row r="2420" spans="1:18" x14ac:dyDescent="0.25">
      <c r="A2420" s="2">
        <f t="shared" si="86"/>
        <v>2419</v>
      </c>
      <c r="B2420" s="2"/>
      <c r="C2420" s="2"/>
      <c r="D2420" s="2"/>
      <c r="E2420" s="2"/>
      <c r="F2420" s="2"/>
      <c r="G2420" s="2"/>
      <c r="H2420" s="2" t="str">
        <f t="shared" si="85"/>
        <v>0 г. 0 мес. 0 дн.</v>
      </c>
      <c r="I2420" s="2"/>
      <c r="J2420" s="2"/>
      <c r="K2420" s="2"/>
      <c r="L2420" s="2"/>
      <c r="M2420" s="2"/>
      <c r="N2420" s="1">
        <v>0</v>
      </c>
      <c r="O2420" s="2"/>
      <c r="P2420" s="2"/>
      <c r="Q2420" s="2">
        <v>0</v>
      </c>
      <c r="R2420" s="6"/>
    </row>
    <row r="2421" spans="1:18" x14ac:dyDescent="0.25">
      <c r="A2421" s="2">
        <f t="shared" si="86"/>
        <v>2420</v>
      </c>
      <c r="B2421" s="2"/>
      <c r="C2421" s="2"/>
      <c r="D2421" s="2"/>
      <c r="E2421" s="2"/>
      <c r="F2421" s="2"/>
      <c r="G2421" s="2"/>
      <c r="H2421" s="2" t="str">
        <f t="shared" si="85"/>
        <v>0 г. 0 мес. 0 дн.</v>
      </c>
      <c r="I2421" s="2"/>
      <c r="J2421" s="2"/>
      <c r="K2421" s="2"/>
      <c r="L2421" s="2"/>
      <c r="M2421" s="2"/>
      <c r="N2421" s="1">
        <v>0</v>
      </c>
      <c r="O2421" s="2"/>
      <c r="P2421" s="2"/>
      <c r="Q2421" s="2">
        <v>0</v>
      </c>
      <c r="R2421" s="6"/>
    </row>
    <row r="2422" spans="1:18" x14ac:dyDescent="0.25">
      <c r="A2422" s="2">
        <f t="shared" si="86"/>
        <v>2421</v>
      </c>
      <c r="B2422" s="2"/>
      <c r="C2422" s="2"/>
      <c r="D2422" s="2"/>
      <c r="E2422" s="2"/>
      <c r="F2422" s="2"/>
      <c r="G2422" s="2"/>
      <c r="H2422" s="2" t="str">
        <f t="shared" si="85"/>
        <v>0 г. 0 мес. 0 дн.</v>
      </c>
      <c r="I2422" s="2"/>
      <c r="J2422" s="2"/>
      <c r="K2422" s="2"/>
      <c r="L2422" s="2"/>
      <c r="M2422" s="2"/>
      <c r="N2422" s="1">
        <v>0</v>
      </c>
      <c r="O2422" s="2"/>
      <c r="P2422" s="2"/>
      <c r="Q2422" s="2">
        <v>0</v>
      </c>
      <c r="R2422" s="6"/>
    </row>
    <row r="2423" spans="1:18" x14ac:dyDescent="0.25">
      <c r="A2423" s="2"/>
      <c r="B2423" s="2"/>
      <c r="C2423" s="2"/>
      <c r="D2423" s="2"/>
      <c r="E2423" s="2"/>
      <c r="F2423" s="2"/>
      <c r="G2423" s="2"/>
      <c r="H2423" s="2" t="str">
        <f t="shared" si="85"/>
        <v>0 г. 0 мес. 0 дн.</v>
      </c>
      <c r="I2423" s="2"/>
      <c r="J2423" s="2"/>
      <c r="K2423" s="2"/>
      <c r="L2423" s="2"/>
      <c r="M2423" s="2"/>
      <c r="N2423" s="1">
        <v>0</v>
      </c>
      <c r="O2423" s="2"/>
      <c r="P2423" s="2"/>
      <c r="Q2423" s="2">
        <v>0</v>
      </c>
      <c r="R2423" s="6"/>
    </row>
    <row r="2424" spans="1:18" x14ac:dyDescent="0.25">
      <c r="A2424" s="2"/>
      <c r="B2424" s="2"/>
      <c r="C2424" s="2"/>
      <c r="D2424" s="2"/>
      <c r="E2424" s="2"/>
      <c r="F2424" s="2"/>
      <c r="G2424" s="2"/>
      <c r="H2424" s="2" t="str">
        <f t="shared" si="85"/>
        <v>0 г. 0 мес. 0 дн.</v>
      </c>
      <c r="I2424" s="2"/>
      <c r="J2424" s="2"/>
      <c r="K2424" s="2"/>
      <c r="L2424" s="2"/>
      <c r="M2424" s="2"/>
      <c r="N2424" s="1">
        <v>0</v>
      </c>
      <c r="O2424" s="2"/>
      <c r="P2424" s="2"/>
      <c r="Q2424" s="2">
        <v>0</v>
      </c>
      <c r="R2424" s="6"/>
    </row>
    <row r="2425" spans="1:18" x14ac:dyDescent="0.25">
      <c r="A2425" s="2"/>
      <c r="B2425" s="2"/>
      <c r="C2425" s="2"/>
      <c r="D2425" s="2"/>
      <c r="E2425" s="2"/>
      <c r="F2425" s="2"/>
      <c r="G2425" s="2"/>
      <c r="H2425" s="2" t="str">
        <f t="shared" si="85"/>
        <v>0 г. 0 мес. 0 дн.</v>
      </c>
      <c r="I2425" s="2"/>
      <c r="J2425" s="2"/>
      <c r="K2425" s="2"/>
      <c r="L2425" s="2"/>
      <c r="M2425" s="2"/>
      <c r="N2425" s="1">
        <v>0</v>
      </c>
      <c r="O2425" s="2"/>
      <c r="P2425" s="2"/>
      <c r="Q2425" s="2">
        <v>0</v>
      </c>
      <c r="R2425" s="6"/>
    </row>
    <row r="2426" spans="1:18" x14ac:dyDescent="0.25">
      <c r="A2426" s="2"/>
      <c r="B2426" s="2"/>
      <c r="C2426" s="2"/>
      <c r="D2426" s="2"/>
      <c r="E2426" s="2"/>
      <c r="F2426" s="2"/>
      <c r="G2426" s="2"/>
      <c r="H2426" s="2" t="str">
        <f t="shared" si="85"/>
        <v>0 г. 0 мес. 0 дн.</v>
      </c>
      <c r="I2426" s="2"/>
      <c r="J2426" s="2"/>
      <c r="K2426" s="2"/>
      <c r="L2426" s="2"/>
      <c r="M2426" s="2"/>
      <c r="N2426" s="1">
        <v>0</v>
      </c>
      <c r="O2426" s="2"/>
      <c r="P2426" s="2"/>
      <c r="Q2426" s="2">
        <v>0</v>
      </c>
      <c r="R2426" s="6"/>
    </row>
    <row r="2427" spans="1:18" x14ac:dyDescent="0.25">
      <c r="A2427" s="2"/>
      <c r="B2427" s="2"/>
      <c r="C2427" s="2"/>
      <c r="D2427" s="2"/>
      <c r="E2427" s="2"/>
      <c r="F2427" s="2"/>
      <c r="G2427" s="2"/>
      <c r="H2427" s="2" t="str">
        <f t="shared" si="85"/>
        <v>0 г. 0 мес. 0 дн.</v>
      </c>
      <c r="I2427" s="2"/>
      <c r="J2427" s="2"/>
      <c r="K2427" s="2"/>
      <c r="L2427" s="2"/>
      <c r="M2427" s="2"/>
      <c r="N2427" s="1">
        <v>0</v>
      </c>
      <c r="O2427" s="2"/>
      <c r="P2427" s="2"/>
      <c r="Q2427" s="2">
        <v>0</v>
      </c>
      <c r="R2427" s="6"/>
    </row>
    <row r="2428" spans="1:18" x14ac:dyDescent="0.25">
      <c r="A2428" s="2"/>
      <c r="B2428" s="2"/>
      <c r="C2428" s="2"/>
      <c r="D2428" s="2"/>
      <c r="E2428" s="2"/>
      <c r="F2428" s="2"/>
      <c r="G2428" s="2"/>
      <c r="H2428" s="2" t="str">
        <f t="shared" si="85"/>
        <v>0 г. 0 мес. 0 дн.</v>
      </c>
      <c r="I2428" s="2"/>
      <c r="J2428" s="2"/>
      <c r="K2428" s="2"/>
      <c r="L2428" s="2"/>
      <c r="M2428" s="2"/>
      <c r="N2428" s="1">
        <v>0</v>
      </c>
      <c r="O2428" s="2"/>
      <c r="P2428" s="2"/>
      <c r="Q2428" s="2">
        <v>0</v>
      </c>
      <c r="R2428" s="6"/>
    </row>
    <row r="2429" spans="1:18" x14ac:dyDescent="0.25">
      <c r="A2429" s="2"/>
      <c r="B2429" s="2"/>
      <c r="C2429" s="2"/>
      <c r="D2429" s="2"/>
      <c r="E2429" s="2"/>
      <c r="F2429" s="2"/>
      <c r="G2429" s="2"/>
      <c r="H2429" s="2" t="str">
        <f t="shared" si="85"/>
        <v>0 г. 0 мес. 0 дн.</v>
      </c>
      <c r="I2429" s="2"/>
      <c r="J2429" s="2"/>
      <c r="K2429" s="2"/>
      <c r="L2429" s="2"/>
      <c r="M2429" s="2"/>
      <c r="N2429" s="1">
        <v>0</v>
      </c>
      <c r="O2429" s="2"/>
      <c r="P2429" s="2"/>
      <c r="Q2429" s="2">
        <v>0</v>
      </c>
      <c r="R2429" s="6"/>
    </row>
    <row r="2430" spans="1:18" x14ac:dyDescent="0.25">
      <c r="A2430" s="2"/>
      <c r="B2430" s="2"/>
      <c r="C2430" s="2"/>
      <c r="D2430" s="2"/>
      <c r="E2430" s="2"/>
      <c r="F2430" s="2"/>
      <c r="G2430" s="2"/>
      <c r="H2430" s="2" t="str">
        <f t="shared" si="85"/>
        <v>0 г. 0 мес. 0 дн.</v>
      </c>
      <c r="I2430" s="2"/>
      <c r="J2430" s="2"/>
      <c r="K2430" s="2"/>
      <c r="L2430" s="2"/>
      <c r="M2430" s="2"/>
      <c r="N2430" s="1">
        <v>0</v>
      </c>
      <c r="O2430" s="2"/>
      <c r="P2430" s="2"/>
      <c r="Q2430" s="2">
        <v>0</v>
      </c>
      <c r="R2430" s="6"/>
    </row>
    <row r="2431" spans="1:18" x14ac:dyDescent="0.25">
      <c r="A2431" s="2"/>
      <c r="B2431" s="2"/>
      <c r="C2431" s="2"/>
      <c r="D2431" s="2"/>
      <c r="E2431" s="2"/>
      <c r="F2431" s="2"/>
      <c r="G2431" s="2"/>
      <c r="H2431" s="2" t="str">
        <f t="shared" si="85"/>
        <v>0 г. 0 мес. 0 дн.</v>
      </c>
      <c r="I2431" s="2"/>
      <c r="J2431" s="2"/>
      <c r="K2431" s="2"/>
      <c r="L2431" s="2"/>
      <c r="M2431" s="2"/>
      <c r="N2431" s="1">
        <v>0</v>
      </c>
      <c r="O2431" s="2"/>
      <c r="P2431" s="2"/>
      <c r="Q2431" s="2">
        <v>0</v>
      </c>
      <c r="R2431" s="6"/>
    </row>
    <row r="2432" spans="1:18" x14ac:dyDescent="0.25">
      <c r="A2432" s="2"/>
      <c r="B2432" s="2"/>
      <c r="C2432" s="2"/>
      <c r="D2432" s="2"/>
      <c r="E2432" s="2"/>
      <c r="F2432" s="2"/>
      <c r="G2432" s="2"/>
      <c r="H2432" s="2" t="str">
        <f t="shared" si="85"/>
        <v>0 г. 0 мес. 0 дн.</v>
      </c>
      <c r="I2432" s="2"/>
      <c r="J2432" s="2"/>
      <c r="K2432" s="2"/>
      <c r="L2432" s="2"/>
      <c r="M2432" s="2"/>
      <c r="N2432" s="1">
        <v>0</v>
      </c>
      <c r="O2432" s="2"/>
      <c r="P2432" s="2"/>
      <c r="Q2432" s="2">
        <v>0</v>
      </c>
      <c r="R2432" s="6"/>
    </row>
    <row r="2433" spans="1:18" x14ac:dyDescent="0.25">
      <c r="A2433" s="2"/>
      <c r="B2433" s="2"/>
      <c r="C2433" s="2"/>
      <c r="D2433" s="2"/>
      <c r="E2433" s="2"/>
      <c r="F2433" s="2"/>
      <c r="G2433" s="2"/>
      <c r="H2433" s="2" t="str">
        <f t="shared" si="85"/>
        <v>0 г. 0 мес. 0 дн.</v>
      </c>
      <c r="I2433" s="2"/>
      <c r="J2433" s="2"/>
      <c r="K2433" s="2"/>
      <c r="L2433" s="2"/>
      <c r="M2433" s="2"/>
      <c r="N2433" s="1">
        <v>0</v>
      </c>
      <c r="O2433" s="2"/>
      <c r="P2433" s="2"/>
      <c r="Q2433" s="2">
        <v>0</v>
      </c>
      <c r="R2433" s="6"/>
    </row>
    <row r="2434" spans="1:18" x14ac:dyDescent="0.25">
      <c r="A2434" s="2"/>
      <c r="B2434" s="2"/>
      <c r="C2434" s="2"/>
      <c r="D2434" s="2"/>
      <c r="E2434" s="2"/>
      <c r="F2434" s="2"/>
      <c r="G2434" s="2"/>
      <c r="H2434" s="2" t="str">
        <f t="shared" si="85"/>
        <v>0 г. 0 мес. 0 дн.</v>
      </c>
      <c r="I2434" s="2"/>
      <c r="J2434" s="2"/>
      <c r="K2434" s="2"/>
      <c r="L2434" s="2"/>
      <c r="M2434" s="2"/>
      <c r="N2434" s="1">
        <v>0</v>
      </c>
      <c r="O2434" s="2"/>
      <c r="P2434" s="2"/>
      <c r="Q2434" s="2">
        <v>0</v>
      </c>
      <c r="R2434" s="6"/>
    </row>
    <row r="2435" spans="1:18" x14ac:dyDescent="0.25">
      <c r="A2435" s="2"/>
      <c r="B2435" s="2"/>
      <c r="C2435" s="2"/>
      <c r="D2435" s="2"/>
      <c r="E2435" s="2"/>
      <c r="F2435" s="2"/>
      <c r="G2435" s="2"/>
      <c r="H2435" s="2" t="str">
        <f t="shared" si="85"/>
        <v>0 г. 0 мес. 0 дн.</v>
      </c>
      <c r="I2435" s="2"/>
      <c r="J2435" s="2"/>
      <c r="K2435" s="2"/>
      <c r="L2435" s="2"/>
      <c r="M2435" s="2"/>
      <c r="N2435" s="1">
        <v>0</v>
      </c>
      <c r="O2435" s="2"/>
      <c r="P2435" s="2"/>
      <c r="Q2435" s="2">
        <v>0</v>
      </c>
      <c r="R2435" s="6"/>
    </row>
    <row r="2436" spans="1:18" x14ac:dyDescent="0.25">
      <c r="A2436" s="2"/>
      <c r="B2436" s="2"/>
      <c r="C2436" s="2"/>
      <c r="D2436" s="2"/>
      <c r="E2436" s="2"/>
      <c r="F2436" s="2"/>
      <c r="G2436" s="2"/>
      <c r="H2436" s="2" t="str">
        <f t="shared" ref="H2436:H2499" si="87">DATEDIF(G2436,D2436,"y") &amp; " г. " &amp; DATEDIF(G2436,D2436,"ym") &amp; " мес. " &amp; DATEDIF(G2436,D2436,"md") &amp; " дн."</f>
        <v>0 г. 0 мес. 0 дн.</v>
      </c>
      <c r="I2436" s="2"/>
      <c r="J2436" s="2"/>
      <c r="K2436" s="2"/>
      <c r="L2436" s="2"/>
      <c r="M2436" s="2"/>
      <c r="N2436" s="1">
        <v>0</v>
      </c>
      <c r="O2436" s="2"/>
      <c r="P2436" s="2"/>
      <c r="Q2436" s="2">
        <v>0</v>
      </c>
      <c r="R2436" s="6"/>
    </row>
    <row r="2437" spans="1:18" x14ac:dyDescent="0.25">
      <c r="A2437" s="2"/>
      <c r="B2437" s="2"/>
      <c r="C2437" s="2"/>
      <c r="D2437" s="2"/>
      <c r="E2437" s="2"/>
      <c r="F2437" s="2"/>
      <c r="G2437" s="2"/>
      <c r="H2437" s="2" t="str">
        <f t="shared" si="87"/>
        <v>0 г. 0 мес. 0 дн.</v>
      </c>
      <c r="I2437" s="2"/>
      <c r="J2437" s="2"/>
      <c r="K2437" s="2"/>
      <c r="L2437" s="2"/>
      <c r="M2437" s="2"/>
      <c r="N2437" s="1">
        <v>0</v>
      </c>
      <c r="O2437" s="2"/>
      <c r="P2437" s="2"/>
      <c r="Q2437" s="2">
        <v>0</v>
      </c>
      <c r="R2437" s="6"/>
    </row>
    <row r="2438" spans="1:18" x14ac:dyDescent="0.25">
      <c r="A2438" s="2"/>
      <c r="B2438" s="2"/>
      <c r="C2438" s="2"/>
      <c r="D2438" s="2"/>
      <c r="E2438" s="2"/>
      <c r="F2438" s="2"/>
      <c r="G2438" s="2"/>
      <c r="H2438" s="2" t="str">
        <f t="shared" si="87"/>
        <v>0 г. 0 мес. 0 дн.</v>
      </c>
      <c r="I2438" s="2"/>
      <c r="J2438" s="2"/>
      <c r="K2438" s="2"/>
      <c r="L2438" s="2"/>
      <c r="M2438" s="2"/>
      <c r="N2438" s="1">
        <v>0</v>
      </c>
      <c r="O2438" s="2"/>
      <c r="P2438" s="2"/>
      <c r="Q2438" s="2">
        <v>0</v>
      </c>
      <c r="R2438" s="6"/>
    </row>
    <row r="2439" spans="1:18" x14ac:dyDescent="0.25">
      <c r="A2439" s="2"/>
      <c r="B2439" s="2"/>
      <c r="C2439" s="2"/>
      <c r="D2439" s="2"/>
      <c r="E2439" s="2"/>
      <c r="F2439" s="2"/>
      <c r="G2439" s="2"/>
      <c r="H2439" s="2" t="str">
        <f t="shared" si="87"/>
        <v>0 г. 0 мес. 0 дн.</v>
      </c>
      <c r="I2439" s="2"/>
      <c r="J2439" s="2"/>
      <c r="K2439" s="2"/>
      <c r="L2439" s="2"/>
      <c r="M2439" s="2"/>
      <c r="N2439" s="1">
        <v>0</v>
      </c>
      <c r="O2439" s="2"/>
      <c r="P2439" s="2"/>
      <c r="Q2439" s="2">
        <v>0</v>
      </c>
      <c r="R2439" s="6"/>
    </row>
    <row r="2440" spans="1:18" x14ac:dyDescent="0.25">
      <c r="A2440" s="2"/>
      <c r="B2440" s="2"/>
      <c r="C2440" s="2"/>
      <c r="D2440" s="2"/>
      <c r="E2440" s="2"/>
      <c r="F2440" s="2"/>
      <c r="G2440" s="2"/>
      <c r="H2440" s="2" t="str">
        <f t="shared" si="87"/>
        <v>0 г. 0 мес. 0 дн.</v>
      </c>
      <c r="I2440" s="2"/>
      <c r="J2440" s="2"/>
      <c r="K2440" s="2"/>
      <c r="L2440" s="2"/>
      <c r="M2440" s="2"/>
      <c r="N2440" s="1">
        <v>0</v>
      </c>
      <c r="O2440" s="2"/>
      <c r="P2440" s="2"/>
      <c r="Q2440" s="2">
        <v>0</v>
      </c>
      <c r="R2440" s="6"/>
    </row>
    <row r="2441" spans="1:18" x14ac:dyDescent="0.25">
      <c r="A2441" s="2"/>
      <c r="B2441" s="2"/>
      <c r="C2441" s="2"/>
      <c r="D2441" s="2"/>
      <c r="E2441" s="2"/>
      <c r="F2441" s="2"/>
      <c r="G2441" s="2"/>
      <c r="H2441" s="2" t="str">
        <f t="shared" si="87"/>
        <v>0 г. 0 мес. 0 дн.</v>
      </c>
      <c r="I2441" s="2"/>
      <c r="J2441" s="2"/>
      <c r="K2441" s="2"/>
      <c r="L2441" s="2"/>
      <c r="M2441" s="2"/>
      <c r="N2441" s="1">
        <v>0</v>
      </c>
      <c r="O2441" s="2"/>
      <c r="P2441" s="2"/>
      <c r="Q2441" s="2">
        <v>0</v>
      </c>
      <c r="R2441" s="6"/>
    </row>
    <row r="2442" spans="1:18" x14ac:dyDescent="0.25">
      <c r="A2442" s="2"/>
      <c r="B2442" s="2"/>
      <c r="C2442" s="2"/>
      <c r="D2442" s="2"/>
      <c r="E2442" s="2"/>
      <c r="F2442" s="2"/>
      <c r="G2442" s="2"/>
      <c r="H2442" s="2" t="str">
        <f t="shared" si="87"/>
        <v>0 г. 0 мес. 0 дн.</v>
      </c>
      <c r="I2442" s="2"/>
      <c r="J2442" s="2"/>
      <c r="K2442" s="2"/>
      <c r="L2442" s="2"/>
      <c r="M2442" s="2"/>
      <c r="N2442" s="1">
        <v>0</v>
      </c>
      <c r="O2442" s="2"/>
      <c r="P2442" s="2"/>
      <c r="Q2442" s="2">
        <v>0</v>
      </c>
      <c r="R2442" s="6"/>
    </row>
    <row r="2443" spans="1:18" x14ac:dyDescent="0.25">
      <c r="A2443" s="2"/>
      <c r="B2443" s="2"/>
      <c r="C2443" s="2"/>
      <c r="D2443" s="2"/>
      <c r="E2443" s="2"/>
      <c r="F2443" s="2"/>
      <c r="G2443" s="2"/>
      <c r="H2443" s="2" t="str">
        <f t="shared" si="87"/>
        <v>0 г. 0 мес. 0 дн.</v>
      </c>
      <c r="I2443" s="2"/>
      <c r="J2443" s="2"/>
      <c r="K2443" s="2"/>
      <c r="L2443" s="2"/>
      <c r="M2443" s="2"/>
      <c r="N2443" s="1">
        <v>0</v>
      </c>
      <c r="O2443" s="2"/>
      <c r="P2443" s="2"/>
      <c r="Q2443" s="2">
        <v>0</v>
      </c>
      <c r="R2443" s="6"/>
    </row>
    <row r="2444" spans="1:18" x14ac:dyDescent="0.25">
      <c r="A2444" s="2"/>
      <c r="B2444" s="2"/>
      <c r="C2444" s="2"/>
      <c r="D2444" s="2"/>
      <c r="E2444" s="2"/>
      <c r="F2444" s="2"/>
      <c r="G2444" s="2"/>
      <c r="H2444" s="2" t="str">
        <f t="shared" si="87"/>
        <v>0 г. 0 мес. 0 дн.</v>
      </c>
      <c r="I2444" s="2"/>
      <c r="J2444" s="2"/>
      <c r="K2444" s="2"/>
      <c r="L2444" s="2"/>
      <c r="M2444" s="2"/>
      <c r="N2444" s="1">
        <v>0</v>
      </c>
      <c r="O2444" s="2"/>
      <c r="P2444" s="2"/>
      <c r="Q2444" s="2">
        <v>0</v>
      </c>
      <c r="R2444" s="6"/>
    </row>
    <row r="2445" spans="1:18" x14ac:dyDescent="0.25">
      <c r="A2445" s="2"/>
      <c r="B2445" s="2"/>
      <c r="C2445" s="2"/>
      <c r="D2445" s="2"/>
      <c r="E2445" s="2"/>
      <c r="F2445" s="2"/>
      <c r="G2445" s="2"/>
      <c r="H2445" s="2" t="str">
        <f t="shared" si="87"/>
        <v>0 г. 0 мес. 0 дн.</v>
      </c>
      <c r="I2445" s="2"/>
      <c r="J2445" s="2"/>
      <c r="K2445" s="2"/>
      <c r="L2445" s="2"/>
      <c r="M2445" s="2"/>
      <c r="N2445" s="1">
        <v>0</v>
      </c>
      <c r="O2445" s="2"/>
      <c r="P2445" s="2"/>
      <c r="Q2445" s="2">
        <v>0</v>
      </c>
      <c r="R2445" s="6"/>
    </row>
    <row r="2446" spans="1:18" x14ac:dyDescent="0.25">
      <c r="A2446" s="2"/>
      <c r="B2446" s="2"/>
      <c r="C2446" s="2"/>
      <c r="D2446" s="2"/>
      <c r="E2446" s="2"/>
      <c r="F2446" s="2"/>
      <c r="G2446" s="2"/>
      <c r="H2446" s="2" t="str">
        <f t="shared" si="87"/>
        <v>0 г. 0 мес. 0 дн.</v>
      </c>
      <c r="I2446" s="2"/>
      <c r="J2446" s="2"/>
      <c r="K2446" s="2"/>
      <c r="L2446" s="2"/>
      <c r="M2446" s="2"/>
      <c r="N2446" s="1">
        <v>0</v>
      </c>
      <c r="O2446" s="2"/>
      <c r="P2446" s="2"/>
      <c r="Q2446" s="2">
        <v>0</v>
      </c>
      <c r="R2446" s="6"/>
    </row>
    <row r="2447" spans="1:18" x14ac:dyDescent="0.25">
      <c r="A2447" s="2"/>
      <c r="B2447" s="2"/>
      <c r="C2447" s="2"/>
      <c r="D2447" s="2"/>
      <c r="E2447" s="2"/>
      <c r="F2447" s="2"/>
      <c r="G2447" s="2"/>
      <c r="H2447" s="2" t="str">
        <f t="shared" si="87"/>
        <v>0 г. 0 мес. 0 дн.</v>
      </c>
      <c r="I2447" s="2"/>
      <c r="J2447" s="2"/>
      <c r="K2447" s="2"/>
      <c r="L2447" s="2"/>
      <c r="M2447" s="2"/>
      <c r="N2447" s="1">
        <v>0</v>
      </c>
      <c r="O2447" s="2"/>
      <c r="P2447" s="2"/>
      <c r="Q2447" s="2">
        <v>0</v>
      </c>
      <c r="R2447" s="6"/>
    </row>
    <row r="2448" spans="1:18" x14ac:dyDescent="0.25">
      <c r="A2448" s="2"/>
      <c r="B2448" s="2"/>
      <c r="C2448" s="2"/>
      <c r="D2448" s="2"/>
      <c r="E2448" s="2"/>
      <c r="F2448" s="2"/>
      <c r="G2448" s="2"/>
      <c r="H2448" s="2" t="str">
        <f t="shared" si="87"/>
        <v>0 г. 0 мес. 0 дн.</v>
      </c>
      <c r="I2448" s="2"/>
      <c r="J2448" s="2"/>
      <c r="K2448" s="2"/>
      <c r="L2448" s="2"/>
      <c r="M2448" s="2"/>
      <c r="N2448" s="1">
        <v>0</v>
      </c>
      <c r="O2448" s="2"/>
      <c r="P2448" s="2"/>
      <c r="Q2448" s="2">
        <v>0</v>
      </c>
      <c r="R2448" s="6"/>
    </row>
    <row r="2449" spans="1:18" x14ac:dyDescent="0.25">
      <c r="A2449" s="2"/>
      <c r="B2449" s="2"/>
      <c r="C2449" s="2"/>
      <c r="D2449" s="2"/>
      <c r="E2449" s="2"/>
      <c r="F2449" s="2"/>
      <c r="G2449" s="2"/>
      <c r="H2449" s="2" t="str">
        <f t="shared" si="87"/>
        <v>0 г. 0 мес. 0 дн.</v>
      </c>
      <c r="I2449" s="2"/>
      <c r="J2449" s="2"/>
      <c r="K2449" s="2"/>
      <c r="L2449" s="2"/>
      <c r="M2449" s="2"/>
      <c r="N2449" s="1">
        <v>0</v>
      </c>
      <c r="O2449" s="2"/>
      <c r="P2449" s="2"/>
      <c r="Q2449" s="2">
        <v>0</v>
      </c>
      <c r="R2449" s="6"/>
    </row>
    <row r="2450" spans="1:18" x14ac:dyDescent="0.25">
      <c r="A2450" s="2"/>
      <c r="B2450" s="2"/>
      <c r="C2450" s="2"/>
      <c r="D2450" s="2"/>
      <c r="E2450" s="2"/>
      <c r="F2450" s="2"/>
      <c r="G2450" s="2"/>
      <c r="H2450" s="2" t="str">
        <f t="shared" si="87"/>
        <v>0 г. 0 мес. 0 дн.</v>
      </c>
      <c r="I2450" s="2"/>
      <c r="J2450" s="2"/>
      <c r="K2450" s="2"/>
      <c r="L2450" s="2"/>
      <c r="M2450" s="2"/>
      <c r="N2450" s="1">
        <v>0</v>
      </c>
      <c r="O2450" s="2"/>
      <c r="P2450" s="2"/>
      <c r="Q2450" s="2">
        <v>0</v>
      </c>
      <c r="R2450" s="6"/>
    </row>
    <row r="2451" spans="1:18" x14ac:dyDescent="0.25">
      <c r="A2451" s="2"/>
      <c r="B2451" s="2"/>
      <c r="C2451" s="2"/>
      <c r="D2451" s="2"/>
      <c r="E2451" s="2"/>
      <c r="F2451" s="2"/>
      <c r="G2451" s="2"/>
      <c r="H2451" s="2" t="str">
        <f t="shared" si="87"/>
        <v>0 г. 0 мес. 0 дн.</v>
      </c>
      <c r="I2451" s="2"/>
      <c r="J2451" s="2"/>
      <c r="K2451" s="2"/>
      <c r="L2451" s="2"/>
      <c r="M2451" s="2"/>
      <c r="N2451" s="1">
        <v>0</v>
      </c>
      <c r="O2451" s="2"/>
      <c r="P2451" s="2"/>
      <c r="Q2451" s="2">
        <v>0</v>
      </c>
      <c r="R2451" s="6"/>
    </row>
    <row r="2452" spans="1:18" x14ac:dyDescent="0.25">
      <c r="A2452" s="2"/>
      <c r="B2452" s="2"/>
      <c r="C2452" s="2"/>
      <c r="D2452" s="2"/>
      <c r="E2452" s="2"/>
      <c r="F2452" s="2"/>
      <c r="G2452" s="2"/>
      <c r="H2452" s="2" t="str">
        <f t="shared" si="87"/>
        <v>0 г. 0 мес. 0 дн.</v>
      </c>
      <c r="I2452" s="2"/>
      <c r="J2452" s="2"/>
      <c r="K2452" s="2"/>
      <c r="L2452" s="2"/>
      <c r="M2452" s="2"/>
      <c r="N2452" s="1">
        <v>0</v>
      </c>
      <c r="O2452" s="2"/>
      <c r="P2452" s="2"/>
      <c r="Q2452" s="2">
        <v>0</v>
      </c>
      <c r="R2452" s="6"/>
    </row>
    <row r="2453" spans="1:18" x14ac:dyDescent="0.25">
      <c r="A2453" s="2"/>
      <c r="B2453" s="2"/>
      <c r="C2453" s="2"/>
      <c r="D2453" s="2"/>
      <c r="E2453" s="2"/>
      <c r="F2453" s="2"/>
      <c r="G2453" s="2"/>
      <c r="H2453" s="2" t="str">
        <f t="shared" si="87"/>
        <v>0 г. 0 мес. 0 дн.</v>
      </c>
      <c r="I2453" s="2"/>
      <c r="J2453" s="2"/>
      <c r="K2453" s="2"/>
      <c r="L2453" s="2"/>
      <c r="M2453" s="2"/>
      <c r="N2453" s="1">
        <v>0</v>
      </c>
      <c r="O2453" s="2"/>
      <c r="P2453" s="2"/>
      <c r="Q2453" s="2">
        <v>0</v>
      </c>
      <c r="R2453" s="6"/>
    </row>
    <row r="2454" spans="1:18" x14ac:dyDescent="0.25">
      <c r="A2454" s="2"/>
      <c r="B2454" s="2"/>
      <c r="C2454" s="2"/>
      <c r="D2454" s="2"/>
      <c r="E2454" s="2"/>
      <c r="F2454" s="2"/>
      <c r="G2454" s="2"/>
      <c r="H2454" s="2" t="str">
        <f t="shared" si="87"/>
        <v>0 г. 0 мес. 0 дн.</v>
      </c>
      <c r="I2454" s="2"/>
      <c r="J2454" s="2"/>
      <c r="K2454" s="2"/>
      <c r="L2454" s="2"/>
      <c r="M2454" s="2"/>
      <c r="N2454" s="1">
        <v>0</v>
      </c>
      <c r="O2454" s="2"/>
      <c r="P2454" s="2"/>
      <c r="Q2454" s="2">
        <v>0</v>
      </c>
      <c r="R2454" s="6"/>
    </row>
    <row r="2455" spans="1:18" x14ac:dyDescent="0.25">
      <c r="A2455" s="2"/>
      <c r="B2455" s="2"/>
      <c r="C2455" s="2"/>
      <c r="D2455" s="2"/>
      <c r="E2455" s="2"/>
      <c r="F2455" s="2"/>
      <c r="G2455" s="2"/>
      <c r="H2455" s="2" t="str">
        <f t="shared" si="87"/>
        <v>0 г. 0 мес. 0 дн.</v>
      </c>
      <c r="I2455" s="2"/>
      <c r="J2455" s="2"/>
      <c r="K2455" s="2"/>
      <c r="L2455" s="2"/>
      <c r="M2455" s="2"/>
      <c r="N2455" s="1">
        <v>0</v>
      </c>
      <c r="O2455" s="2"/>
      <c r="P2455" s="2"/>
      <c r="Q2455" s="2">
        <v>0</v>
      </c>
      <c r="R2455" s="6"/>
    </row>
    <row r="2456" spans="1:18" x14ac:dyDescent="0.25">
      <c r="A2456" s="2"/>
      <c r="B2456" s="2"/>
      <c r="C2456" s="2"/>
      <c r="D2456" s="2"/>
      <c r="E2456" s="2"/>
      <c r="F2456" s="2"/>
      <c r="G2456" s="2"/>
      <c r="H2456" s="2" t="str">
        <f t="shared" si="87"/>
        <v>0 г. 0 мес. 0 дн.</v>
      </c>
      <c r="I2456" s="2"/>
      <c r="J2456" s="2"/>
      <c r="K2456" s="2"/>
      <c r="L2456" s="2"/>
      <c r="M2456" s="2"/>
      <c r="N2456" s="1">
        <v>0</v>
      </c>
      <c r="O2456" s="2"/>
      <c r="P2456" s="2"/>
      <c r="Q2456" s="2">
        <v>0</v>
      </c>
      <c r="R2456" s="6"/>
    </row>
    <row r="2457" spans="1:18" x14ac:dyDescent="0.25">
      <c r="A2457" s="2"/>
      <c r="B2457" s="2"/>
      <c r="C2457" s="2"/>
      <c r="D2457" s="2"/>
      <c r="E2457" s="2"/>
      <c r="F2457" s="2"/>
      <c r="G2457" s="2"/>
      <c r="H2457" s="2" t="str">
        <f t="shared" si="87"/>
        <v>0 г. 0 мес. 0 дн.</v>
      </c>
      <c r="I2457" s="2"/>
      <c r="J2457" s="2"/>
      <c r="K2457" s="2"/>
      <c r="L2457" s="2"/>
      <c r="M2457" s="2"/>
      <c r="N2457" s="1">
        <v>0</v>
      </c>
      <c r="O2457" s="2"/>
      <c r="P2457" s="2"/>
      <c r="Q2457" s="2">
        <v>0</v>
      </c>
      <c r="R2457" s="6"/>
    </row>
    <row r="2458" spans="1:18" x14ac:dyDescent="0.25">
      <c r="A2458" s="2"/>
      <c r="B2458" s="2"/>
      <c r="C2458" s="2"/>
      <c r="D2458" s="2"/>
      <c r="E2458" s="2"/>
      <c r="F2458" s="2"/>
      <c r="G2458" s="2"/>
      <c r="H2458" s="2" t="str">
        <f t="shared" si="87"/>
        <v>0 г. 0 мес. 0 дн.</v>
      </c>
      <c r="I2458" s="2"/>
      <c r="J2458" s="2"/>
      <c r="K2458" s="2"/>
      <c r="L2458" s="2"/>
      <c r="M2458" s="2"/>
      <c r="N2458" s="1">
        <v>0</v>
      </c>
      <c r="O2458" s="2"/>
      <c r="P2458" s="2"/>
      <c r="Q2458" s="2">
        <v>0</v>
      </c>
      <c r="R2458" s="6"/>
    </row>
    <row r="2459" spans="1:18" x14ac:dyDescent="0.25">
      <c r="A2459" s="2"/>
      <c r="B2459" s="2"/>
      <c r="C2459" s="2"/>
      <c r="D2459" s="2"/>
      <c r="E2459" s="2"/>
      <c r="F2459" s="2"/>
      <c r="G2459" s="2"/>
      <c r="H2459" s="2" t="str">
        <f t="shared" si="87"/>
        <v>0 г. 0 мес. 0 дн.</v>
      </c>
      <c r="I2459" s="2"/>
      <c r="J2459" s="2"/>
      <c r="K2459" s="2"/>
      <c r="L2459" s="2"/>
      <c r="M2459" s="2"/>
      <c r="N2459" s="1">
        <v>0</v>
      </c>
      <c r="O2459" s="2"/>
      <c r="P2459" s="2"/>
      <c r="Q2459" s="2">
        <v>0</v>
      </c>
      <c r="R2459" s="6"/>
    </row>
    <row r="2460" spans="1:18" x14ac:dyDescent="0.25">
      <c r="A2460" s="2"/>
      <c r="B2460" s="2"/>
      <c r="C2460" s="2"/>
      <c r="D2460" s="2"/>
      <c r="E2460" s="2"/>
      <c r="F2460" s="2"/>
      <c r="G2460" s="2"/>
      <c r="H2460" s="2" t="str">
        <f t="shared" si="87"/>
        <v>0 г. 0 мес. 0 дн.</v>
      </c>
      <c r="I2460" s="2"/>
      <c r="J2460" s="2"/>
      <c r="K2460" s="2"/>
      <c r="L2460" s="2"/>
      <c r="M2460" s="2"/>
      <c r="N2460" s="1">
        <v>0</v>
      </c>
      <c r="O2460" s="2"/>
      <c r="P2460" s="2"/>
      <c r="Q2460" s="2">
        <v>0</v>
      </c>
      <c r="R2460" s="6"/>
    </row>
    <row r="2461" spans="1:18" x14ac:dyDescent="0.25">
      <c r="A2461" s="2"/>
      <c r="B2461" s="2"/>
      <c r="C2461" s="2"/>
      <c r="D2461" s="2"/>
      <c r="E2461" s="2"/>
      <c r="F2461" s="2"/>
      <c r="G2461" s="2"/>
      <c r="H2461" s="2" t="str">
        <f t="shared" si="87"/>
        <v>0 г. 0 мес. 0 дн.</v>
      </c>
      <c r="I2461" s="2"/>
      <c r="J2461" s="2"/>
      <c r="K2461" s="2"/>
      <c r="L2461" s="2"/>
      <c r="M2461" s="2"/>
      <c r="N2461" s="1">
        <v>0</v>
      </c>
      <c r="O2461" s="2"/>
      <c r="P2461" s="2"/>
      <c r="Q2461" s="2">
        <v>0</v>
      </c>
      <c r="R2461" s="6"/>
    </row>
    <row r="2462" spans="1:18" x14ac:dyDescent="0.25">
      <c r="A2462" s="2"/>
      <c r="B2462" s="2"/>
      <c r="C2462" s="2"/>
      <c r="D2462" s="2"/>
      <c r="E2462" s="2"/>
      <c r="F2462" s="2"/>
      <c r="G2462" s="2"/>
      <c r="H2462" s="2" t="str">
        <f t="shared" si="87"/>
        <v>0 г. 0 мес. 0 дн.</v>
      </c>
      <c r="I2462" s="2"/>
      <c r="J2462" s="2"/>
      <c r="K2462" s="2"/>
      <c r="L2462" s="2"/>
      <c r="M2462" s="2"/>
      <c r="N2462" s="1">
        <v>0</v>
      </c>
      <c r="O2462" s="2"/>
      <c r="P2462" s="2"/>
      <c r="Q2462" s="2">
        <v>0</v>
      </c>
      <c r="R2462" s="6"/>
    </row>
    <row r="2463" spans="1:18" x14ac:dyDescent="0.25">
      <c r="A2463" s="2"/>
      <c r="B2463" s="2"/>
      <c r="C2463" s="2"/>
      <c r="D2463" s="2"/>
      <c r="E2463" s="2"/>
      <c r="F2463" s="2"/>
      <c r="G2463" s="2"/>
      <c r="H2463" s="2" t="str">
        <f t="shared" si="87"/>
        <v>0 г. 0 мес. 0 дн.</v>
      </c>
      <c r="I2463" s="2"/>
      <c r="J2463" s="2"/>
      <c r="K2463" s="2"/>
      <c r="L2463" s="2"/>
      <c r="M2463" s="2"/>
      <c r="N2463" s="1">
        <v>0</v>
      </c>
      <c r="O2463" s="2"/>
      <c r="P2463" s="2"/>
      <c r="Q2463" s="2">
        <v>0</v>
      </c>
      <c r="R2463" s="6"/>
    </row>
    <row r="2464" spans="1:18" x14ac:dyDescent="0.25">
      <c r="A2464" s="2"/>
      <c r="B2464" s="2"/>
      <c r="C2464" s="2"/>
      <c r="D2464" s="2"/>
      <c r="E2464" s="2"/>
      <c r="F2464" s="2"/>
      <c r="G2464" s="2"/>
      <c r="H2464" s="2" t="str">
        <f t="shared" si="87"/>
        <v>0 г. 0 мес. 0 дн.</v>
      </c>
      <c r="I2464" s="2"/>
      <c r="J2464" s="2"/>
      <c r="K2464" s="2"/>
      <c r="L2464" s="2"/>
      <c r="M2464" s="2"/>
      <c r="N2464" s="1">
        <v>0</v>
      </c>
      <c r="O2464" s="2"/>
      <c r="P2464" s="2"/>
      <c r="Q2464" s="2">
        <v>0</v>
      </c>
      <c r="R2464" s="6"/>
    </row>
    <row r="2465" spans="1:18" x14ac:dyDescent="0.25">
      <c r="A2465" s="2"/>
      <c r="B2465" s="2"/>
      <c r="C2465" s="2"/>
      <c r="D2465" s="2"/>
      <c r="E2465" s="2"/>
      <c r="F2465" s="2"/>
      <c r="G2465" s="2"/>
      <c r="H2465" s="2" t="str">
        <f t="shared" si="87"/>
        <v>0 г. 0 мес. 0 дн.</v>
      </c>
      <c r="I2465" s="2"/>
      <c r="J2465" s="2"/>
      <c r="K2465" s="2"/>
      <c r="L2465" s="2"/>
      <c r="M2465" s="2"/>
      <c r="N2465" s="1">
        <v>0</v>
      </c>
      <c r="O2465" s="2"/>
      <c r="P2465" s="2"/>
      <c r="Q2465" s="2">
        <v>0</v>
      </c>
      <c r="R2465" s="6"/>
    </row>
    <row r="2466" spans="1:18" x14ac:dyDescent="0.25">
      <c r="A2466" s="2"/>
      <c r="B2466" s="2"/>
      <c r="C2466" s="2"/>
      <c r="D2466" s="2"/>
      <c r="E2466" s="2"/>
      <c r="F2466" s="2"/>
      <c r="G2466" s="2"/>
      <c r="H2466" s="2" t="str">
        <f t="shared" si="87"/>
        <v>0 г. 0 мес. 0 дн.</v>
      </c>
      <c r="I2466" s="2"/>
      <c r="J2466" s="2"/>
      <c r="K2466" s="2"/>
      <c r="L2466" s="2"/>
      <c r="M2466" s="2"/>
      <c r="N2466" s="1">
        <v>0</v>
      </c>
      <c r="O2466" s="2"/>
      <c r="P2466" s="2"/>
      <c r="Q2466" s="2">
        <v>0</v>
      </c>
      <c r="R2466" s="6"/>
    </row>
    <row r="2467" spans="1:18" x14ac:dyDescent="0.25">
      <c r="A2467" s="2"/>
      <c r="B2467" s="2"/>
      <c r="C2467" s="2"/>
      <c r="D2467" s="2"/>
      <c r="E2467" s="2"/>
      <c r="F2467" s="2"/>
      <c r="G2467" s="2"/>
      <c r="H2467" s="2" t="str">
        <f t="shared" si="87"/>
        <v>0 г. 0 мес. 0 дн.</v>
      </c>
      <c r="I2467" s="2"/>
      <c r="J2467" s="2"/>
      <c r="K2467" s="2"/>
      <c r="L2467" s="2"/>
      <c r="M2467" s="2"/>
      <c r="N2467" s="1">
        <v>0</v>
      </c>
      <c r="O2467" s="2"/>
      <c r="P2467" s="2"/>
      <c r="Q2467" s="2">
        <v>0</v>
      </c>
      <c r="R2467" s="6"/>
    </row>
    <row r="2468" spans="1:18" x14ac:dyDescent="0.25">
      <c r="A2468" s="2"/>
      <c r="B2468" s="2"/>
      <c r="C2468" s="2"/>
      <c r="D2468" s="2"/>
      <c r="E2468" s="2"/>
      <c r="F2468" s="2"/>
      <c r="G2468" s="2"/>
      <c r="H2468" s="2" t="str">
        <f t="shared" si="87"/>
        <v>0 г. 0 мес. 0 дн.</v>
      </c>
      <c r="I2468" s="2"/>
      <c r="J2468" s="2"/>
      <c r="K2468" s="2"/>
      <c r="L2468" s="2"/>
      <c r="M2468" s="2"/>
      <c r="N2468" s="1">
        <v>0</v>
      </c>
      <c r="O2468" s="2"/>
      <c r="P2468" s="2"/>
      <c r="Q2468" s="2">
        <v>0</v>
      </c>
      <c r="R2468" s="6"/>
    </row>
    <row r="2469" spans="1:18" x14ac:dyDescent="0.25">
      <c r="A2469" s="2"/>
      <c r="B2469" s="2"/>
      <c r="C2469" s="2"/>
      <c r="D2469" s="2"/>
      <c r="E2469" s="2"/>
      <c r="F2469" s="2"/>
      <c r="G2469" s="2"/>
      <c r="H2469" s="2" t="str">
        <f t="shared" si="87"/>
        <v>0 г. 0 мес. 0 дн.</v>
      </c>
      <c r="I2469" s="2"/>
      <c r="J2469" s="2"/>
      <c r="K2469" s="2"/>
      <c r="L2469" s="2"/>
      <c r="M2469" s="2"/>
      <c r="N2469" s="1">
        <v>0</v>
      </c>
      <c r="O2469" s="2"/>
      <c r="P2469" s="2"/>
      <c r="Q2469" s="2">
        <v>0</v>
      </c>
      <c r="R2469" s="6"/>
    </row>
    <row r="2470" spans="1:18" x14ac:dyDescent="0.25">
      <c r="A2470" s="2"/>
      <c r="B2470" s="2"/>
      <c r="C2470" s="2"/>
      <c r="D2470" s="2"/>
      <c r="E2470" s="2"/>
      <c r="F2470" s="2"/>
      <c r="G2470" s="2"/>
      <c r="H2470" s="2" t="str">
        <f t="shared" si="87"/>
        <v>0 г. 0 мес. 0 дн.</v>
      </c>
      <c r="I2470" s="2"/>
      <c r="J2470" s="2"/>
      <c r="K2470" s="2"/>
      <c r="L2470" s="2"/>
      <c r="M2470" s="2"/>
      <c r="N2470" s="1">
        <v>0</v>
      </c>
      <c r="O2470" s="2"/>
      <c r="P2470" s="2"/>
      <c r="Q2470" s="2">
        <v>0</v>
      </c>
      <c r="R2470" s="6"/>
    </row>
    <row r="2471" spans="1:18" x14ac:dyDescent="0.25">
      <c r="A2471" s="2"/>
      <c r="B2471" s="2"/>
      <c r="C2471" s="2"/>
      <c r="D2471" s="2"/>
      <c r="E2471" s="2"/>
      <c r="F2471" s="2"/>
      <c r="G2471" s="2"/>
      <c r="H2471" s="2" t="str">
        <f t="shared" si="87"/>
        <v>0 г. 0 мес. 0 дн.</v>
      </c>
      <c r="I2471" s="2"/>
      <c r="J2471" s="2"/>
      <c r="K2471" s="2"/>
      <c r="L2471" s="2"/>
      <c r="M2471" s="2"/>
      <c r="N2471" s="1">
        <v>0</v>
      </c>
      <c r="O2471" s="2"/>
      <c r="P2471" s="2"/>
      <c r="Q2471" s="2">
        <v>0</v>
      </c>
      <c r="R2471" s="6"/>
    </row>
    <row r="2472" spans="1:18" x14ac:dyDescent="0.25">
      <c r="A2472" s="2"/>
      <c r="B2472" s="2"/>
      <c r="C2472" s="2"/>
      <c r="D2472" s="2"/>
      <c r="E2472" s="2"/>
      <c r="F2472" s="2"/>
      <c r="G2472" s="2"/>
      <c r="H2472" s="2" t="str">
        <f t="shared" si="87"/>
        <v>0 г. 0 мес. 0 дн.</v>
      </c>
      <c r="I2472" s="2"/>
      <c r="J2472" s="2"/>
      <c r="K2472" s="2"/>
      <c r="L2472" s="2"/>
      <c r="M2472" s="2"/>
      <c r="N2472" s="1">
        <v>0</v>
      </c>
      <c r="O2472" s="2"/>
      <c r="P2472" s="2"/>
      <c r="Q2472" s="2">
        <v>0</v>
      </c>
      <c r="R2472" s="6"/>
    </row>
    <row r="2473" spans="1:18" x14ac:dyDescent="0.25">
      <c r="A2473" s="2"/>
      <c r="B2473" s="2"/>
      <c r="C2473" s="2"/>
      <c r="D2473" s="2"/>
      <c r="E2473" s="2"/>
      <c r="F2473" s="2"/>
      <c r="G2473" s="2"/>
      <c r="H2473" s="2" t="str">
        <f t="shared" si="87"/>
        <v>0 г. 0 мес. 0 дн.</v>
      </c>
      <c r="I2473" s="2"/>
      <c r="J2473" s="2"/>
      <c r="K2473" s="2"/>
      <c r="L2473" s="2"/>
      <c r="M2473" s="2"/>
      <c r="N2473" s="1">
        <v>0</v>
      </c>
      <c r="O2473" s="2"/>
      <c r="P2473" s="2"/>
      <c r="Q2473" s="2">
        <v>0</v>
      </c>
      <c r="R2473" s="6"/>
    </row>
    <row r="2474" spans="1:18" x14ac:dyDescent="0.25">
      <c r="A2474" s="2"/>
      <c r="B2474" s="2"/>
      <c r="C2474" s="2"/>
      <c r="D2474" s="2"/>
      <c r="E2474" s="2"/>
      <c r="F2474" s="2"/>
      <c r="G2474" s="2"/>
      <c r="H2474" s="2" t="str">
        <f t="shared" si="87"/>
        <v>0 г. 0 мес. 0 дн.</v>
      </c>
      <c r="I2474" s="2"/>
      <c r="J2474" s="2"/>
      <c r="K2474" s="2"/>
      <c r="L2474" s="2"/>
      <c r="M2474" s="2"/>
      <c r="N2474" s="1">
        <v>0</v>
      </c>
      <c r="O2474" s="2"/>
      <c r="P2474" s="2"/>
      <c r="Q2474" s="2">
        <v>0</v>
      </c>
      <c r="R2474" s="6"/>
    </row>
    <row r="2475" spans="1:18" x14ac:dyDescent="0.25">
      <c r="A2475" s="2"/>
      <c r="B2475" s="2"/>
      <c r="C2475" s="2"/>
      <c r="D2475" s="2"/>
      <c r="E2475" s="2"/>
      <c r="F2475" s="2"/>
      <c r="G2475" s="2"/>
      <c r="H2475" s="2" t="str">
        <f t="shared" si="87"/>
        <v>0 г. 0 мес. 0 дн.</v>
      </c>
      <c r="I2475" s="2"/>
      <c r="J2475" s="2"/>
      <c r="K2475" s="2"/>
      <c r="L2475" s="2"/>
      <c r="M2475" s="2"/>
      <c r="N2475" s="1">
        <v>0</v>
      </c>
      <c r="O2475" s="2"/>
      <c r="P2475" s="2"/>
      <c r="Q2475" s="2">
        <v>0</v>
      </c>
      <c r="R2475" s="6"/>
    </row>
    <row r="2476" spans="1:18" x14ac:dyDescent="0.25">
      <c r="A2476" s="2"/>
      <c r="B2476" s="2"/>
      <c r="C2476" s="2"/>
      <c r="D2476" s="2"/>
      <c r="E2476" s="2"/>
      <c r="F2476" s="2"/>
      <c r="G2476" s="2"/>
      <c r="H2476" s="2" t="str">
        <f t="shared" si="87"/>
        <v>0 г. 0 мес. 0 дн.</v>
      </c>
      <c r="I2476" s="2"/>
      <c r="J2476" s="2"/>
      <c r="K2476" s="2"/>
      <c r="L2476" s="2"/>
      <c r="M2476" s="2"/>
      <c r="N2476" s="1">
        <v>0</v>
      </c>
      <c r="O2476" s="2"/>
      <c r="P2476" s="2"/>
      <c r="Q2476" s="2">
        <v>0</v>
      </c>
      <c r="R2476" s="6"/>
    </row>
    <row r="2477" spans="1:18" x14ac:dyDescent="0.25">
      <c r="A2477" s="2"/>
      <c r="B2477" s="2"/>
      <c r="C2477" s="2"/>
      <c r="D2477" s="2"/>
      <c r="E2477" s="2"/>
      <c r="F2477" s="2"/>
      <c r="G2477" s="2"/>
      <c r="H2477" s="2" t="str">
        <f t="shared" si="87"/>
        <v>0 г. 0 мес. 0 дн.</v>
      </c>
      <c r="I2477" s="2"/>
      <c r="J2477" s="2"/>
      <c r="K2477" s="2"/>
      <c r="L2477" s="2"/>
      <c r="M2477" s="2"/>
      <c r="N2477" s="1">
        <v>0</v>
      </c>
      <c r="O2477" s="2"/>
      <c r="P2477" s="2"/>
      <c r="Q2477" s="2">
        <v>0</v>
      </c>
      <c r="R2477" s="6"/>
    </row>
    <row r="2478" spans="1:18" x14ac:dyDescent="0.25">
      <c r="A2478" s="2"/>
      <c r="B2478" s="2"/>
      <c r="C2478" s="2"/>
      <c r="D2478" s="2"/>
      <c r="E2478" s="2"/>
      <c r="F2478" s="2"/>
      <c r="G2478" s="2"/>
      <c r="H2478" s="2" t="str">
        <f t="shared" si="87"/>
        <v>0 г. 0 мес. 0 дн.</v>
      </c>
      <c r="I2478" s="2"/>
      <c r="J2478" s="2"/>
      <c r="K2478" s="2"/>
      <c r="L2478" s="2"/>
      <c r="M2478" s="2"/>
      <c r="N2478" s="1">
        <v>0</v>
      </c>
      <c r="O2478" s="2"/>
      <c r="P2478" s="2"/>
      <c r="Q2478" s="2">
        <v>0</v>
      </c>
      <c r="R2478" s="6"/>
    </row>
    <row r="2479" spans="1:18" x14ac:dyDescent="0.25">
      <c r="A2479" s="2"/>
      <c r="B2479" s="2"/>
      <c r="C2479" s="2"/>
      <c r="D2479" s="2"/>
      <c r="E2479" s="2"/>
      <c r="F2479" s="2"/>
      <c r="G2479" s="2"/>
      <c r="H2479" s="2" t="str">
        <f t="shared" si="87"/>
        <v>0 г. 0 мес. 0 дн.</v>
      </c>
      <c r="I2479" s="2"/>
      <c r="J2479" s="2"/>
      <c r="K2479" s="2"/>
      <c r="L2479" s="2"/>
      <c r="M2479" s="2"/>
      <c r="N2479" s="1">
        <v>0</v>
      </c>
      <c r="O2479" s="2"/>
      <c r="P2479" s="2"/>
      <c r="Q2479" s="2">
        <v>0</v>
      </c>
      <c r="R2479" s="6"/>
    </row>
    <row r="2480" spans="1:18" x14ac:dyDescent="0.25">
      <c r="A2480" s="2"/>
      <c r="B2480" s="2"/>
      <c r="C2480" s="2"/>
      <c r="D2480" s="2"/>
      <c r="E2480" s="2"/>
      <c r="F2480" s="2"/>
      <c r="G2480" s="2"/>
      <c r="H2480" s="2" t="str">
        <f t="shared" si="87"/>
        <v>0 г. 0 мес. 0 дн.</v>
      </c>
      <c r="I2480" s="2"/>
      <c r="J2480" s="2"/>
      <c r="K2480" s="2"/>
      <c r="L2480" s="2"/>
      <c r="M2480" s="2"/>
      <c r="N2480" s="1">
        <v>0</v>
      </c>
      <c r="O2480" s="2"/>
      <c r="P2480" s="2"/>
      <c r="Q2480" s="2">
        <v>0</v>
      </c>
      <c r="R2480" s="6"/>
    </row>
    <row r="2481" spans="1:18" x14ac:dyDescent="0.25">
      <c r="A2481" s="2"/>
      <c r="B2481" s="2"/>
      <c r="C2481" s="2"/>
      <c r="D2481" s="2"/>
      <c r="E2481" s="2"/>
      <c r="F2481" s="2"/>
      <c r="G2481" s="2"/>
      <c r="H2481" s="2" t="str">
        <f t="shared" si="87"/>
        <v>0 г. 0 мес. 0 дн.</v>
      </c>
      <c r="I2481" s="2"/>
      <c r="J2481" s="2"/>
      <c r="K2481" s="2"/>
      <c r="L2481" s="2"/>
      <c r="M2481" s="2"/>
      <c r="N2481" s="1">
        <v>0</v>
      </c>
      <c r="O2481" s="2"/>
      <c r="P2481" s="2"/>
      <c r="Q2481" s="2">
        <v>0</v>
      </c>
      <c r="R2481" s="6"/>
    </row>
    <row r="2482" spans="1:18" x14ac:dyDescent="0.25">
      <c r="A2482" s="2"/>
      <c r="B2482" s="2"/>
      <c r="C2482" s="2"/>
      <c r="D2482" s="2"/>
      <c r="E2482" s="2"/>
      <c r="F2482" s="2"/>
      <c r="G2482" s="2"/>
      <c r="H2482" s="2" t="str">
        <f t="shared" si="87"/>
        <v>0 г. 0 мес. 0 дн.</v>
      </c>
      <c r="I2482" s="2"/>
      <c r="J2482" s="2"/>
      <c r="K2482" s="2"/>
      <c r="L2482" s="2"/>
      <c r="M2482" s="2"/>
      <c r="N2482" s="1">
        <v>0</v>
      </c>
      <c r="O2482" s="2"/>
      <c r="P2482" s="2"/>
      <c r="Q2482" s="2">
        <v>0</v>
      </c>
      <c r="R2482" s="6"/>
    </row>
    <row r="2483" spans="1:18" x14ac:dyDescent="0.25">
      <c r="A2483" s="2"/>
      <c r="B2483" s="2"/>
      <c r="C2483" s="2"/>
      <c r="D2483" s="2"/>
      <c r="E2483" s="2"/>
      <c r="F2483" s="2"/>
      <c r="G2483" s="2"/>
      <c r="H2483" s="2" t="str">
        <f t="shared" si="87"/>
        <v>0 г. 0 мес. 0 дн.</v>
      </c>
      <c r="I2483" s="2"/>
      <c r="J2483" s="2"/>
      <c r="K2483" s="2"/>
      <c r="L2483" s="2"/>
      <c r="M2483" s="2"/>
      <c r="N2483" s="1">
        <v>0</v>
      </c>
      <c r="O2483" s="2"/>
      <c r="P2483" s="2"/>
      <c r="Q2483" s="2">
        <v>0</v>
      </c>
      <c r="R2483" s="6"/>
    </row>
    <row r="2484" spans="1:18" x14ac:dyDescent="0.25">
      <c r="A2484" s="2"/>
      <c r="B2484" s="2"/>
      <c r="C2484" s="2"/>
      <c r="D2484" s="2"/>
      <c r="E2484" s="2"/>
      <c r="F2484" s="2"/>
      <c r="G2484" s="2"/>
      <c r="H2484" s="2" t="str">
        <f t="shared" si="87"/>
        <v>0 г. 0 мес. 0 дн.</v>
      </c>
      <c r="I2484" s="2"/>
      <c r="J2484" s="2"/>
      <c r="K2484" s="2"/>
      <c r="L2484" s="2"/>
      <c r="M2484" s="2"/>
      <c r="N2484" s="1">
        <v>0</v>
      </c>
      <c r="O2484" s="2"/>
      <c r="P2484" s="2"/>
      <c r="Q2484" s="2">
        <v>0</v>
      </c>
      <c r="R2484" s="6"/>
    </row>
    <row r="2485" spans="1:18" x14ac:dyDescent="0.25">
      <c r="A2485" s="2"/>
      <c r="B2485" s="2"/>
      <c r="C2485" s="2"/>
      <c r="D2485" s="2"/>
      <c r="E2485" s="2"/>
      <c r="F2485" s="2"/>
      <c r="G2485" s="2"/>
      <c r="H2485" s="2" t="str">
        <f t="shared" si="87"/>
        <v>0 г. 0 мес. 0 дн.</v>
      </c>
      <c r="I2485" s="2"/>
      <c r="J2485" s="2"/>
      <c r="K2485" s="2"/>
      <c r="L2485" s="2"/>
      <c r="M2485" s="2"/>
      <c r="N2485" s="1">
        <v>0</v>
      </c>
      <c r="O2485" s="2"/>
      <c r="P2485" s="2"/>
      <c r="Q2485" s="2">
        <v>0</v>
      </c>
      <c r="R2485" s="6"/>
    </row>
    <row r="2486" spans="1:18" x14ac:dyDescent="0.25">
      <c r="A2486" s="2"/>
      <c r="B2486" s="2"/>
      <c r="C2486" s="2"/>
      <c r="D2486" s="2"/>
      <c r="E2486" s="2"/>
      <c r="F2486" s="2"/>
      <c r="G2486" s="2"/>
      <c r="H2486" s="2" t="str">
        <f t="shared" si="87"/>
        <v>0 г. 0 мес. 0 дн.</v>
      </c>
      <c r="I2486" s="2"/>
      <c r="J2486" s="2"/>
      <c r="K2486" s="2"/>
      <c r="L2486" s="2"/>
      <c r="M2486" s="2"/>
      <c r="N2486" s="1">
        <v>0</v>
      </c>
      <c r="O2486" s="2"/>
      <c r="P2486" s="2"/>
      <c r="Q2486" s="2">
        <v>0</v>
      </c>
      <c r="R2486" s="6"/>
    </row>
    <row r="2487" spans="1:18" x14ac:dyDescent="0.25">
      <c r="A2487" s="2"/>
      <c r="B2487" s="2"/>
      <c r="C2487" s="2"/>
      <c r="D2487" s="2"/>
      <c r="E2487" s="2"/>
      <c r="F2487" s="2"/>
      <c r="G2487" s="2"/>
      <c r="H2487" s="2" t="str">
        <f t="shared" si="87"/>
        <v>0 г. 0 мес. 0 дн.</v>
      </c>
      <c r="I2487" s="2"/>
      <c r="J2487" s="2"/>
      <c r="K2487" s="2"/>
      <c r="L2487" s="2"/>
      <c r="M2487" s="2"/>
      <c r="N2487" s="1">
        <v>0</v>
      </c>
      <c r="O2487" s="2"/>
      <c r="P2487" s="2"/>
      <c r="Q2487" s="2">
        <v>0</v>
      </c>
      <c r="R2487" s="6"/>
    </row>
    <row r="2488" spans="1:18" x14ac:dyDescent="0.25">
      <c r="A2488" s="2"/>
      <c r="B2488" s="2"/>
      <c r="C2488" s="2"/>
      <c r="D2488" s="2"/>
      <c r="E2488" s="2"/>
      <c r="F2488" s="2"/>
      <c r="G2488" s="2"/>
      <c r="H2488" s="2" t="str">
        <f t="shared" si="87"/>
        <v>0 г. 0 мес. 0 дн.</v>
      </c>
      <c r="I2488" s="2"/>
      <c r="J2488" s="2"/>
      <c r="K2488" s="2"/>
      <c r="L2488" s="2"/>
      <c r="M2488" s="2"/>
      <c r="N2488" s="1">
        <v>0</v>
      </c>
      <c r="O2488" s="2"/>
      <c r="P2488" s="2"/>
      <c r="Q2488" s="2">
        <v>0</v>
      </c>
      <c r="R2488" s="6"/>
    </row>
    <row r="2489" spans="1:18" x14ac:dyDescent="0.25">
      <c r="A2489" s="2"/>
      <c r="B2489" s="2"/>
      <c r="C2489" s="2"/>
      <c r="D2489" s="2"/>
      <c r="E2489" s="2"/>
      <c r="F2489" s="2"/>
      <c r="G2489" s="2"/>
      <c r="H2489" s="2" t="str">
        <f t="shared" si="87"/>
        <v>0 г. 0 мес. 0 дн.</v>
      </c>
      <c r="I2489" s="2"/>
      <c r="J2489" s="2"/>
      <c r="K2489" s="2"/>
      <c r="L2489" s="2"/>
      <c r="M2489" s="2"/>
      <c r="N2489" s="1">
        <v>0</v>
      </c>
      <c r="O2489" s="2"/>
      <c r="P2489" s="2"/>
      <c r="Q2489" s="2">
        <v>0</v>
      </c>
      <c r="R2489" s="6"/>
    </row>
    <row r="2490" spans="1:18" x14ac:dyDescent="0.25">
      <c r="A2490" s="2"/>
      <c r="B2490" s="2"/>
      <c r="C2490" s="2"/>
      <c r="D2490" s="2"/>
      <c r="E2490" s="2"/>
      <c r="F2490" s="2"/>
      <c r="G2490" s="2"/>
      <c r="H2490" s="2" t="str">
        <f t="shared" si="87"/>
        <v>0 г. 0 мес. 0 дн.</v>
      </c>
      <c r="I2490" s="2"/>
      <c r="J2490" s="2"/>
      <c r="K2490" s="2"/>
      <c r="L2490" s="2"/>
      <c r="M2490" s="2"/>
      <c r="N2490" s="1">
        <v>0</v>
      </c>
      <c r="O2490" s="2"/>
      <c r="P2490" s="2"/>
      <c r="Q2490" s="2">
        <v>0</v>
      </c>
      <c r="R2490" s="6"/>
    </row>
    <row r="2491" spans="1:18" x14ac:dyDescent="0.25">
      <c r="A2491" s="2"/>
      <c r="B2491" s="2"/>
      <c r="C2491" s="2"/>
      <c r="D2491" s="2"/>
      <c r="E2491" s="2"/>
      <c r="F2491" s="2"/>
      <c r="G2491" s="2"/>
      <c r="H2491" s="2" t="str">
        <f t="shared" si="87"/>
        <v>0 г. 0 мес. 0 дн.</v>
      </c>
      <c r="I2491" s="2"/>
      <c r="J2491" s="2"/>
      <c r="K2491" s="2"/>
      <c r="L2491" s="2"/>
      <c r="M2491" s="2"/>
      <c r="N2491" s="1">
        <v>0</v>
      </c>
      <c r="O2491" s="2"/>
      <c r="P2491" s="2"/>
      <c r="Q2491" s="2">
        <v>0</v>
      </c>
      <c r="R2491" s="6"/>
    </row>
    <row r="2492" spans="1:18" x14ac:dyDescent="0.25">
      <c r="A2492" s="2"/>
      <c r="B2492" s="2"/>
      <c r="C2492" s="2"/>
      <c r="D2492" s="2"/>
      <c r="E2492" s="2"/>
      <c r="F2492" s="2"/>
      <c r="G2492" s="2"/>
      <c r="H2492" s="2" t="str">
        <f t="shared" si="87"/>
        <v>0 г. 0 мес. 0 дн.</v>
      </c>
      <c r="I2492" s="2"/>
      <c r="J2492" s="2"/>
      <c r="K2492" s="2"/>
      <c r="L2492" s="2"/>
      <c r="M2492" s="2"/>
      <c r="N2492" s="1">
        <v>0</v>
      </c>
      <c r="O2492" s="2"/>
      <c r="P2492" s="2"/>
      <c r="Q2492" s="2">
        <v>0</v>
      </c>
      <c r="R2492" s="6"/>
    </row>
    <row r="2493" spans="1:18" x14ac:dyDescent="0.25">
      <c r="A2493" s="2"/>
      <c r="B2493" s="2"/>
      <c r="C2493" s="2"/>
      <c r="D2493" s="2"/>
      <c r="E2493" s="2"/>
      <c r="F2493" s="2"/>
      <c r="G2493" s="2"/>
      <c r="H2493" s="2" t="str">
        <f t="shared" si="87"/>
        <v>0 г. 0 мес. 0 дн.</v>
      </c>
      <c r="I2493" s="2"/>
      <c r="J2493" s="2"/>
      <c r="K2493" s="2"/>
      <c r="L2493" s="2"/>
      <c r="M2493" s="2"/>
      <c r="N2493" s="1">
        <v>0</v>
      </c>
      <c r="O2493" s="2"/>
      <c r="P2493" s="2"/>
      <c r="Q2493" s="2">
        <v>0</v>
      </c>
      <c r="R2493" s="6"/>
    </row>
    <row r="2494" spans="1:18" x14ac:dyDescent="0.25">
      <c r="A2494" s="2"/>
      <c r="B2494" s="2"/>
      <c r="C2494" s="2"/>
      <c r="D2494" s="2"/>
      <c r="E2494" s="2"/>
      <c r="F2494" s="2"/>
      <c r="G2494" s="2"/>
      <c r="H2494" s="2" t="str">
        <f t="shared" si="87"/>
        <v>0 г. 0 мес. 0 дн.</v>
      </c>
      <c r="I2494" s="2"/>
      <c r="J2494" s="2"/>
      <c r="K2494" s="2"/>
      <c r="L2494" s="2"/>
      <c r="M2494" s="2"/>
      <c r="N2494" s="1">
        <v>0</v>
      </c>
      <c r="O2494" s="2"/>
      <c r="P2494" s="2"/>
      <c r="Q2494" s="2">
        <v>0</v>
      </c>
      <c r="R2494" s="6"/>
    </row>
    <row r="2495" spans="1:18" x14ac:dyDescent="0.25">
      <c r="A2495" s="2"/>
      <c r="B2495" s="2"/>
      <c r="C2495" s="2"/>
      <c r="D2495" s="2"/>
      <c r="E2495" s="2"/>
      <c r="F2495" s="2"/>
      <c r="G2495" s="2"/>
      <c r="H2495" s="2" t="str">
        <f t="shared" si="87"/>
        <v>0 г. 0 мес. 0 дн.</v>
      </c>
      <c r="I2495" s="2"/>
      <c r="J2495" s="2"/>
      <c r="K2495" s="2"/>
      <c r="L2495" s="2"/>
      <c r="M2495" s="2"/>
      <c r="N2495" s="1">
        <v>0</v>
      </c>
      <c r="O2495" s="2"/>
      <c r="P2495" s="2"/>
      <c r="Q2495" s="2">
        <v>0</v>
      </c>
      <c r="R2495" s="6"/>
    </row>
    <row r="2496" spans="1:18" x14ac:dyDescent="0.25">
      <c r="A2496" s="2"/>
      <c r="B2496" s="2"/>
      <c r="C2496" s="2"/>
      <c r="D2496" s="2"/>
      <c r="E2496" s="2"/>
      <c r="F2496" s="2"/>
      <c r="G2496" s="2"/>
      <c r="H2496" s="2" t="str">
        <f t="shared" si="87"/>
        <v>0 г. 0 мес. 0 дн.</v>
      </c>
      <c r="I2496" s="2"/>
      <c r="J2496" s="2"/>
      <c r="K2496" s="2"/>
      <c r="L2496" s="2"/>
      <c r="M2496" s="2"/>
      <c r="N2496" s="1">
        <v>0</v>
      </c>
      <c r="O2496" s="2"/>
      <c r="P2496" s="2"/>
      <c r="Q2496" s="2">
        <v>0</v>
      </c>
      <c r="R2496" s="6"/>
    </row>
    <row r="2497" spans="1:18" x14ac:dyDescent="0.25">
      <c r="A2497" s="2"/>
      <c r="B2497" s="2"/>
      <c r="C2497" s="2"/>
      <c r="D2497" s="2"/>
      <c r="E2497" s="2"/>
      <c r="F2497" s="2"/>
      <c r="G2497" s="2"/>
      <c r="H2497" s="2" t="str">
        <f t="shared" si="87"/>
        <v>0 г. 0 мес. 0 дн.</v>
      </c>
      <c r="I2497" s="2"/>
      <c r="J2497" s="2"/>
      <c r="K2497" s="2"/>
      <c r="L2497" s="2"/>
      <c r="M2497" s="2"/>
      <c r="N2497" s="1">
        <v>0</v>
      </c>
      <c r="O2497" s="2"/>
      <c r="P2497" s="2"/>
      <c r="Q2497" s="2">
        <v>0</v>
      </c>
      <c r="R2497" s="6"/>
    </row>
    <row r="2498" spans="1:18" x14ac:dyDescent="0.25">
      <c r="A2498" s="2"/>
      <c r="B2498" s="2"/>
      <c r="C2498" s="2"/>
      <c r="D2498" s="2"/>
      <c r="E2498" s="2"/>
      <c r="F2498" s="2"/>
      <c r="G2498" s="2"/>
      <c r="H2498" s="2" t="str">
        <f t="shared" si="87"/>
        <v>0 г. 0 мес. 0 дн.</v>
      </c>
      <c r="I2498" s="2"/>
      <c r="J2498" s="2"/>
      <c r="K2498" s="2"/>
      <c r="L2498" s="2"/>
      <c r="M2498" s="2"/>
      <c r="N2498" s="1">
        <v>0</v>
      </c>
      <c r="O2498" s="2"/>
      <c r="P2498" s="2"/>
      <c r="Q2498" s="2">
        <v>0</v>
      </c>
      <c r="R2498" s="6"/>
    </row>
    <row r="2499" spans="1:18" x14ac:dyDescent="0.25">
      <c r="A2499" s="2"/>
      <c r="B2499" s="2"/>
      <c r="C2499" s="2"/>
      <c r="D2499" s="2"/>
      <c r="E2499" s="2"/>
      <c r="F2499" s="2"/>
      <c r="G2499" s="2"/>
      <c r="H2499" s="2" t="str">
        <f t="shared" si="87"/>
        <v>0 г. 0 мес. 0 дн.</v>
      </c>
      <c r="I2499" s="2"/>
      <c r="J2499" s="2"/>
      <c r="K2499" s="2"/>
      <c r="L2499" s="2"/>
      <c r="M2499" s="2"/>
      <c r="N2499" s="1">
        <v>0</v>
      </c>
      <c r="O2499" s="2"/>
      <c r="P2499" s="2"/>
      <c r="Q2499" s="2">
        <v>0</v>
      </c>
      <c r="R2499" s="6"/>
    </row>
    <row r="2500" spans="1:18" x14ac:dyDescent="0.25">
      <c r="A2500" s="2"/>
      <c r="B2500" s="2"/>
      <c r="C2500" s="2"/>
      <c r="D2500" s="2"/>
      <c r="E2500" s="2"/>
      <c r="F2500" s="2"/>
      <c r="G2500" s="2"/>
      <c r="H2500" s="2" t="str">
        <f t="shared" ref="H2500:H2507" si="88">DATEDIF(G2500,D2500,"y") &amp; " г. " &amp; DATEDIF(G2500,D2500,"ym") &amp; " мес. " &amp; DATEDIF(G2500,D2500,"md") &amp; " дн."</f>
        <v>0 г. 0 мес. 0 дн.</v>
      </c>
      <c r="I2500" s="2"/>
      <c r="J2500" s="2"/>
      <c r="K2500" s="2"/>
      <c r="L2500" s="2"/>
      <c r="M2500" s="2"/>
      <c r="N2500" s="1">
        <v>0</v>
      </c>
      <c r="O2500" s="2"/>
      <c r="P2500" s="2"/>
      <c r="Q2500" s="2">
        <v>0</v>
      </c>
      <c r="R2500" s="6"/>
    </row>
    <row r="2501" spans="1:18" x14ac:dyDescent="0.25">
      <c r="A2501" s="2"/>
      <c r="B2501" s="2"/>
      <c r="C2501" s="2"/>
      <c r="D2501" s="2"/>
      <c r="E2501" s="2"/>
      <c r="F2501" s="2"/>
      <c r="G2501" s="2"/>
      <c r="H2501" s="2" t="str">
        <f t="shared" si="88"/>
        <v>0 г. 0 мес. 0 дн.</v>
      </c>
      <c r="I2501" s="2"/>
      <c r="J2501" s="2"/>
      <c r="K2501" s="2"/>
      <c r="L2501" s="2"/>
      <c r="M2501" s="2"/>
      <c r="N2501" s="1">
        <v>0</v>
      </c>
      <c r="O2501" s="2"/>
      <c r="P2501" s="2"/>
      <c r="Q2501" s="2">
        <v>0</v>
      </c>
      <c r="R2501" s="6"/>
    </row>
    <row r="2502" spans="1:18" x14ac:dyDescent="0.25">
      <c r="A2502" s="2"/>
      <c r="B2502" s="2"/>
      <c r="C2502" s="2"/>
      <c r="D2502" s="2"/>
      <c r="E2502" s="2"/>
      <c r="F2502" s="2"/>
      <c r="G2502" s="2"/>
      <c r="H2502" s="2" t="str">
        <f t="shared" si="88"/>
        <v>0 г. 0 мес. 0 дн.</v>
      </c>
      <c r="I2502" s="2"/>
      <c r="J2502" s="2"/>
      <c r="K2502" s="2"/>
      <c r="L2502" s="2"/>
      <c r="M2502" s="2"/>
      <c r="N2502" s="1">
        <v>0</v>
      </c>
      <c r="O2502" s="2"/>
      <c r="P2502" s="2"/>
      <c r="Q2502" s="2">
        <v>0</v>
      </c>
      <c r="R2502" s="6"/>
    </row>
    <row r="2503" spans="1:18" x14ac:dyDescent="0.25">
      <c r="A2503" s="2"/>
      <c r="B2503" s="2"/>
      <c r="C2503" s="2"/>
      <c r="D2503" s="2"/>
      <c r="E2503" s="2"/>
      <c r="F2503" s="2"/>
      <c r="G2503" s="2"/>
      <c r="H2503" s="2" t="str">
        <f t="shared" si="88"/>
        <v>0 г. 0 мес. 0 дн.</v>
      </c>
      <c r="I2503" s="2"/>
      <c r="J2503" s="2"/>
      <c r="K2503" s="2"/>
      <c r="L2503" s="2"/>
      <c r="M2503" s="2"/>
      <c r="N2503" s="1">
        <v>0</v>
      </c>
      <c r="O2503" s="2"/>
      <c r="P2503" s="2"/>
      <c r="Q2503" s="2">
        <v>0</v>
      </c>
      <c r="R2503" s="6"/>
    </row>
    <row r="2504" spans="1:18" x14ac:dyDescent="0.25">
      <c r="A2504" s="2"/>
      <c r="B2504" s="2"/>
      <c r="C2504" s="2"/>
      <c r="D2504" s="2"/>
      <c r="E2504" s="2"/>
      <c r="F2504" s="2"/>
      <c r="G2504" s="2"/>
      <c r="H2504" s="2" t="str">
        <f t="shared" si="88"/>
        <v>0 г. 0 мес. 0 дн.</v>
      </c>
      <c r="I2504" s="2"/>
      <c r="J2504" s="2"/>
      <c r="K2504" s="2"/>
      <c r="L2504" s="2"/>
      <c r="M2504" s="2"/>
      <c r="N2504" s="1">
        <v>0</v>
      </c>
      <c r="O2504" s="2"/>
      <c r="P2504" s="2"/>
      <c r="Q2504" s="2">
        <v>0</v>
      </c>
      <c r="R2504" s="6"/>
    </row>
    <row r="2505" spans="1:18" x14ac:dyDescent="0.25">
      <c r="A2505" s="2"/>
      <c r="B2505" s="2"/>
      <c r="C2505" s="2"/>
      <c r="D2505" s="2"/>
      <c r="E2505" s="2"/>
      <c r="F2505" s="2"/>
      <c r="G2505" s="2"/>
      <c r="H2505" s="2" t="str">
        <f t="shared" si="88"/>
        <v>0 г. 0 мес. 0 дн.</v>
      </c>
      <c r="I2505" s="2"/>
      <c r="J2505" s="2"/>
      <c r="K2505" s="2"/>
      <c r="L2505" s="2"/>
      <c r="M2505" s="2"/>
      <c r="N2505" s="1">
        <v>0</v>
      </c>
      <c r="O2505" s="2"/>
      <c r="P2505" s="2"/>
      <c r="Q2505" s="2">
        <v>0</v>
      </c>
      <c r="R2505" s="6"/>
    </row>
    <row r="2506" spans="1:18" x14ac:dyDescent="0.25">
      <c r="A2506" s="2"/>
      <c r="B2506" s="2"/>
      <c r="C2506" s="2"/>
      <c r="D2506" s="2"/>
      <c r="E2506" s="2"/>
      <c r="F2506" s="2"/>
      <c r="G2506" s="2"/>
      <c r="H2506" s="2" t="str">
        <f t="shared" si="88"/>
        <v>0 г. 0 мес. 0 дн.</v>
      </c>
      <c r="I2506" s="2"/>
      <c r="J2506" s="2"/>
      <c r="K2506" s="2"/>
      <c r="L2506" s="2"/>
      <c r="M2506" s="2"/>
      <c r="N2506" s="1">
        <v>0</v>
      </c>
      <c r="O2506" s="2"/>
      <c r="P2506" s="2"/>
      <c r="Q2506" s="2">
        <v>0</v>
      </c>
      <c r="R2506" s="6"/>
    </row>
    <row r="2507" spans="1:18" x14ac:dyDescent="0.25">
      <c r="A2507" s="2"/>
      <c r="B2507" s="2"/>
      <c r="C2507" s="2"/>
      <c r="D2507" s="2"/>
      <c r="E2507" s="2"/>
      <c r="F2507" s="2"/>
      <c r="G2507" s="2"/>
      <c r="H2507" s="2" t="str">
        <f t="shared" si="88"/>
        <v>0 г. 0 мес. 0 дн.</v>
      </c>
      <c r="I2507" s="2"/>
      <c r="J2507" s="2"/>
      <c r="K2507" s="2"/>
      <c r="L2507" s="2"/>
      <c r="M2507" s="2"/>
      <c r="N2507" s="1">
        <v>0</v>
      </c>
      <c r="O2507" s="2"/>
      <c r="P2507" s="2"/>
      <c r="Q2507" s="2">
        <v>0</v>
      </c>
      <c r="R2507" s="6"/>
    </row>
    <row r="2508" spans="1:18" x14ac:dyDescent="0.25">
      <c r="A2508" s="2"/>
      <c r="B2508" s="2"/>
      <c r="C2508" s="2"/>
      <c r="D2508" s="2"/>
      <c r="E2508" s="2"/>
      <c r="F2508" s="2"/>
      <c r="G2508" s="2"/>
      <c r="H2508" s="2"/>
      <c r="I2508" s="2"/>
      <c r="J2508" s="2"/>
      <c r="K2508" s="2"/>
      <c r="L2508" s="2"/>
      <c r="M2508" s="2"/>
      <c r="N2508" s="2"/>
      <c r="O2508" s="2"/>
      <c r="P2508" s="2"/>
      <c r="Q2508" s="2"/>
    </row>
  </sheetData>
  <dataValidations xWindow="277" yWindow="660" count="17">
    <dataValidation type="list" allowBlank="1" showInputMessage="1" showErrorMessage="1" prompt="Выбрать из списка" sqref="C1 P93 C3:C127 J139 C129:C162 C164:C187 P245:P246 J275 C189:C278 J281 J284:J286 J293 J288 J295:J296 J299:J300 J305:J309 J314:J315 J303 C280:C301 C303:C321 J402 J419 J497:J498 C323:C1048576">
      <formula1>Отделения</formula1>
    </dataValidation>
    <dataValidation type="list" allowBlank="1" showInputMessage="1" showErrorMessage="1" prompt="Выбрать из списка при поступлении из профильного отделения (список &quot;Канал поступления&quot;)" sqref="J1 J2508:J1048576">
      <formula1>Отделения</formula1>
    </dataValidation>
    <dataValidation type="list" allowBlank="1" showInputMessage="1" showErrorMessage="1" prompt="Выбрать из списка - ТОЛЬКО при поступлении из профильного отделения (список &quot;Канал поступления&quot;)" sqref="J2">
      <formula1>в</formula1>
    </dataValidation>
    <dataValidation type="list" allowBlank="1" showInputMessage="1" showErrorMessage="1" prompt="Выбрать из списка" sqref="C2">
      <formula1>в</formula1>
    </dataValidation>
    <dataValidation allowBlank="1" showInputMessage="1" showErrorMessage="1" prompt="Номер истории болезни" sqref="A7:A9 B323:B325 B1:B301 B303:B321 B327:B1048576"/>
    <dataValidation allowBlank="1" showInputMessage="1" showErrorMessage="1" prompt="Номер по порядку" sqref="A1:A6 A10:A1048576"/>
    <dataValidation allowBlank="1" showInputMessage="1" showErrorMessage="1" prompt="Указать дату перевода в формате дд.мм.гггг, например, 01.09.2018" sqref="Q269 Q1:Q267 Q309:Q320 Q272:Q307 Q322:Q1048576"/>
    <dataValidation type="list" allowBlank="1" showInputMessage="1" showErrorMessage="1" prompt="Выбрать из списка" sqref="I1:I137 I139:I301 I303:I321 I323:I1048576">
      <formula1>Канал_поступления</formula1>
    </dataValidation>
    <dataValidation allowBlank="1" showInputMessage="1" showErrorMessage="1" prompt="Дата в формате дд.мм.гггг, например, 01.01.2018" sqref="F181 G247:G248 Q268 Q270:Q271 G281 D1:D293 D297 D312:D313 D317:D321 D300:D301 D303:D307 G474 D323:D1048576"/>
    <dataValidation allowBlank="1" showInputMessage="1" showErrorMessage="1" prompt="Дата в формате дд.мм.гггг, например, 27.05.2014" sqref="G1:G196 G198:G246 G249:G269 G271:G280 G282:G290 G323:G325 G293:G301 G303:G321 G327:G473 G475:G1048576"/>
    <dataValidation type="time" allowBlank="1" showInputMessage="1" showErrorMessage="1" prompt="Время в формате 24 ч. в виде чч:мм, например, 05:07" sqref="E1:E301 E303:E321 E323:E1048576">
      <formula1>0</formula1>
      <formula2>0.999305555555556</formula2>
    </dataValidation>
    <dataValidation allowBlank="1" showInputMessage="1" prompt="ТОЛЬКО в случае ИВЛ - продолжительность в часах, например, 142" sqref="N303:N321 N1:N301 N323:N368 N370:N1048576"/>
    <dataValidation type="list" allowBlank="1" showInputMessage="1" showErrorMessage="1" prompt="В случае выполнения манипуляций или их комбинаций выбрать из списка" sqref="O1:O149 O151:O301 O303:O321 O323:O1048576">
      <formula1>Манипуляции</formula1>
    </dataValidation>
    <dataValidation type="list" allowBlank="1" showInputMessage="1" showErrorMessage="1" prompt="Выбрать маршрут пациента из списка" sqref="P1:P47 P49 P51:P92 P94:P149 P151:P244 P247:P278 P280:P320 P322:P1048576">
      <formula1>Куда_переведён</formula1>
    </dataValidation>
    <dataValidation allowBlank="1" showInputMessage="1" showErrorMessage="1" prompt="Возраст на момент поступления" sqref="H1:H301 H303:H321 H323:H1048576"/>
    <dataValidation type="list" allowBlank="1" showInputMessage="1" showErrorMessage="1" prompt="Выбрать из списка - ТОЛЬКО при поступлении из профильного отделения (список &quot;Канал поступления&quot;)" sqref="P48 P50 J3:J114 J116:J127 J129:J138 J140:J149 C163 C188 J151:J274 C279 J276:J280 J282:J283 J287 J289:J292 J304 J294 J297:J298 J310:J313 J301 J316:J321 J323:J401 J403:J418 J420:J496 J499:J2507">
      <formula1>Отделения</formula1>
    </dataValidation>
    <dataValidation type="list" allowBlank="1" showInputMessage="1" showErrorMessage="1" prompt="Выбрать категорию ОСНОВНОГО диагноза _x000a_из списка" sqref="M1:M321 M323:M1048576">
      <formula1>Категории_диагнозов</formula1>
    </dataValidation>
  </dataValidations>
  <pageMargins left="0.25" right="0.25" top="0.75" bottom="0.75" header="0.3" footer="0.3"/>
  <pageSetup paperSize="9" orientation="landscape" verticalDpi="0" r:id="rId1"/>
  <ignoredErrors>
    <ignoredError sqref="I1 C1 J1 I2509:I1048576 P1 O1 E1 M1 I284 P254 M268:M271 P269:P277 O276:O277 M289 O288 P280:P281 P285:P288 P323:P325 O294:O298 P291:P298 P301:P311 P313:P320 I553:I2507 M553:M1048576 O553:O1048576 P549 P551:P1048576" listDataValidation="1"/>
    <ignoredError sqref="A3 N1 N125:N133 N135:N136 N139:N146 N148:N164 N167:N185 N189:N209 N211:N212 N214:N215 N217:N222 N224 N226:N245 N247:N250 N255:N256 N252:N253 N258:N263 N327:N338 N347:N363 N340:N345 N265:N300 N370 N365:N368 N372:N379 N381:N400 N402:N425 N440:N442 N427:N438 N443:N478 N481:N483 N498:N499 N501 N502 N504:N514 N516:N517 N519:N524 N526:N542 N485:N496 N544:N2507" calculatedColumn="1"/>
    <ignoredError sqref="H15 H492" evalError="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05"/>
  <sheetViews>
    <sheetView workbookViewId="0">
      <selection activeCell="F8" sqref="F8"/>
    </sheetView>
  </sheetViews>
  <sheetFormatPr defaultRowHeight="12.75" x14ac:dyDescent="0.25"/>
  <cols>
    <col min="1" max="1" width="14.7109375" style="1" customWidth="1"/>
    <col min="2" max="2" width="9.140625" style="1"/>
    <col min="3" max="3" width="9.42578125" style="1" customWidth="1"/>
    <col min="4" max="4" width="9.7109375" style="1" customWidth="1"/>
    <col min="5" max="5" width="18.85546875" style="1" customWidth="1"/>
    <col min="6" max="6" width="9.7109375" style="1" customWidth="1"/>
    <col min="7" max="7" width="15.85546875" style="1" customWidth="1"/>
    <col min="8" max="8" width="9.7109375" style="1" customWidth="1"/>
    <col min="9" max="9" width="21.28515625" style="1" customWidth="1"/>
    <col min="10" max="10" width="9.7109375" style="1" customWidth="1"/>
    <col min="11" max="11" width="15.5703125" style="1" customWidth="1"/>
    <col min="12" max="12" width="9.7109375" style="1" customWidth="1"/>
    <col min="13" max="13" width="14.42578125" style="1" customWidth="1"/>
    <col min="14" max="14" width="9.7109375" style="1" customWidth="1"/>
    <col min="15" max="17" width="9.140625" style="1"/>
    <col min="18" max="18" width="18.5703125" style="1" customWidth="1"/>
    <col min="19" max="19" width="15.140625" style="1" customWidth="1"/>
    <col min="20" max="16384" width="9.140625" style="1"/>
  </cols>
  <sheetData>
    <row r="1" spans="1:21" x14ac:dyDescent="0.25">
      <c r="A1" s="1" t="s">
        <v>13</v>
      </c>
      <c r="B1" s="1" t="s">
        <v>16</v>
      </c>
      <c r="C1" s="1" t="s">
        <v>6</v>
      </c>
      <c r="D1" s="1" t="s">
        <v>72</v>
      </c>
      <c r="E1" s="1" t="s">
        <v>7</v>
      </c>
      <c r="F1" s="1" t="s">
        <v>73</v>
      </c>
      <c r="G1" s="1" t="s">
        <v>10</v>
      </c>
      <c r="H1" s="1" t="s">
        <v>74</v>
      </c>
      <c r="I1" s="1" t="s">
        <v>42</v>
      </c>
      <c r="J1" s="1" t="s">
        <v>75</v>
      </c>
      <c r="K1" s="1" t="s">
        <v>43</v>
      </c>
      <c r="L1" s="1" t="s">
        <v>76</v>
      </c>
      <c r="M1" s="1" t="s">
        <v>9</v>
      </c>
      <c r="N1" s="1" t="s">
        <v>77</v>
      </c>
      <c r="R1" s="1" t="s">
        <v>84</v>
      </c>
      <c r="S1" s="1" t="s">
        <v>85</v>
      </c>
    </row>
    <row r="2" spans="1:21" x14ac:dyDescent="0.25">
      <c r="A2" s="1" t="s">
        <v>14</v>
      </c>
      <c r="B2" s="1">
        <f>COUNTIF(R:R, "&gt;=0")-COUNTIF(R:R, "&gt;=1")-COUNTIF(Лист1!Q:Q, "=0")</f>
        <v>-33</v>
      </c>
      <c r="C2" s="1" t="s">
        <v>18</v>
      </c>
      <c r="D2" s="1">
        <f>COUNTIF(S:S,"&gt;=0")-COUNTIF(S:S, "&gt;=7")-COUNTIF(Лист1!Q:Q, "=0")</f>
        <v>-42</v>
      </c>
      <c r="E2" s="1" t="s">
        <v>25</v>
      </c>
      <c r="F2" s="1">
        <f>COUNTIF(Лист1!I:I, "Доставлен СМП")</f>
        <v>188</v>
      </c>
      <c r="G2" s="1" t="s">
        <v>31</v>
      </c>
      <c r="H2" s="1">
        <f>COUNTIF(Лист1!P:P, "ДХО-1")</f>
        <v>142</v>
      </c>
      <c r="I2" s="1" t="s">
        <v>18</v>
      </c>
      <c r="J2" s="1" t="e">
        <f>COUNTIFS(S2:S2502,"&lt;7",Лист1!N2:N2507,"&gt;0")</f>
        <v>#VALUE!</v>
      </c>
      <c r="K2" s="1" t="s">
        <v>14</v>
      </c>
      <c r="L2" s="1">
        <f>COUNTIFS(Лист1!N2:N2507,"&lt;24")-COUNTIFS(Лист1!N2:N2507,"=0")</f>
        <v>0</v>
      </c>
      <c r="M2" s="1" t="s">
        <v>87</v>
      </c>
      <c r="N2" s="1">
        <f>COUNTIF(Лист1!O:O,"=ЦВК")+COUNTIF(Лист1!O:O,"=ЦВК+ЛП")+COUNTIF(Лист1!O:O,"=ЦВК+Гемотрансфузии")+COUNTIF(Лист1!O:O,"=ЦВК+ГВЛ")+COUNTIF(Лист1!O:O,"=Экстракорпоральные методы")+COUNTIF(Лист1!O:O,"=ЭА/СМА+ЦВК")</f>
        <v>111</v>
      </c>
      <c r="R2" s="2">
        <f>Таблица1[[#This Row],[Дата перевода]]-Таблица1[[#This Row],[Дата поступления]]</f>
        <v>139</v>
      </c>
      <c r="S2" s="2">
        <f>Таблица1[[#This Row],[Дата поступления]]-Таблица1[[#This Row],[Дата рождения]]</f>
        <v>3084</v>
      </c>
      <c r="U2" s="7" t="s">
        <v>87</v>
      </c>
    </row>
    <row r="3" spans="1:21" ht="25.5" x14ac:dyDescent="0.25">
      <c r="A3" s="1" t="s">
        <v>47</v>
      </c>
      <c r="B3" s="1">
        <f>COUNTIF(R:R, "&gt;=1")-COUNTIF(R:R, "&gt;=3")</f>
        <v>350</v>
      </c>
      <c r="C3" s="1" t="s">
        <v>19</v>
      </c>
      <c r="D3" s="1">
        <f>COUNTIF(S:S,"&gt;=7")-COUNTIF(S:S, "&gt;=29")</f>
        <v>13</v>
      </c>
      <c r="E3" s="1" t="s">
        <v>26</v>
      </c>
      <c r="F3" s="1">
        <f>COUNTIF(Лист1!I:I, "Из операционной")</f>
        <v>87</v>
      </c>
      <c r="G3" s="1" t="s">
        <v>32</v>
      </c>
      <c r="H3" s="1">
        <f>COUNTIF(Лист1!P:P, "ДХО-2")</f>
        <v>35</v>
      </c>
      <c r="I3" s="1" t="s">
        <v>19</v>
      </c>
      <c r="J3" s="1" t="e">
        <f>COUNTIFS(S2:S2502,"&lt;29",Лист1!N2:N2507,"&gt;0")-COUNTIFS(S2:S2502,"&lt;7",Лист1!N2:N2507,"&gt;0")</f>
        <v>#VALUE!</v>
      </c>
      <c r="K3" s="1" t="s">
        <v>47</v>
      </c>
      <c r="L3" s="1">
        <f>COUNTIFS(Лист1!N2:N2507,"&lt;96")-COUNTIFS(Лист1!N2:N2507,"&lt;24")</f>
        <v>1</v>
      </c>
      <c r="M3" s="1" t="s">
        <v>88</v>
      </c>
      <c r="N3" s="1">
        <f>COUNTIF(Лист1!O:O,"=Глуб. вен. линия")+COUNTIF(Лист1!O:O,"=ЦВК+ГВЛ")+COUNTIF(Лист1!O:O,"=ГВЛ+Гемотрансфузии")</f>
        <v>10</v>
      </c>
      <c r="R3" s="2">
        <f>Таблица1[[#This Row],[Дата перевода]]-Таблица1[[#This Row],[Дата поступления]]</f>
        <v>60</v>
      </c>
      <c r="S3" s="2">
        <f>Таблица1[[#This Row],[Дата поступления]]-Таблица1[[#This Row],[Дата рождения]]</f>
        <v>1</v>
      </c>
      <c r="U3" s="7" t="s">
        <v>88</v>
      </c>
    </row>
    <row r="4" spans="1:21" ht="38.25" x14ac:dyDescent="0.25">
      <c r="A4" s="1" t="s">
        <v>86</v>
      </c>
      <c r="B4" s="1">
        <f>COUNTIF(R:R, "&gt;=3")-COUNTIF(R:R, "&gt;=30")</f>
        <v>108</v>
      </c>
      <c r="C4" s="1" t="s">
        <v>20</v>
      </c>
      <c r="D4" s="1">
        <f>COUNTIF(S:S,"&gt;=29")-COUNTIF(S:S, "&gt;=365")</f>
        <v>77</v>
      </c>
      <c r="E4" s="1" t="s">
        <v>27</v>
      </c>
      <c r="F4" s="1">
        <f>COUNTIF(Лист1!I:I,"Из профильных отделений")</f>
        <v>168</v>
      </c>
      <c r="G4" s="1" t="s">
        <v>33</v>
      </c>
      <c r="H4" s="1">
        <f>COUNTIF(Лист1!P:P, "ДОТО")</f>
        <v>48</v>
      </c>
      <c r="I4" s="1" t="s">
        <v>20</v>
      </c>
      <c r="J4" s="1" t="e">
        <f>COUNTIFS(S2:S2502,"&lt;365",Лист1!N2:N2507,"&gt;0")-COUNTIFS(S2:S2502,"&lt;29",Лист1!N2:N2507,"&gt;0")</f>
        <v>#VALUE!</v>
      </c>
      <c r="K4" s="1" t="s">
        <v>46</v>
      </c>
      <c r="L4" s="1">
        <f>COUNTIFS(Лист1!N2:N2507,"&lt;168")-COUNTIFS(Лист1!N2:N2507,"&lt;96")</f>
        <v>0</v>
      </c>
      <c r="M4" s="1" t="s">
        <v>82</v>
      </c>
      <c r="N4" s="1">
        <f>COUNTIF(Лист1!O:O,"=Периф. вен. катетер")</f>
        <v>383</v>
      </c>
      <c r="R4" s="2">
        <f>Таблица1[[#This Row],[Дата перевода]]-Таблица1[[#This Row],[Дата поступления]]</f>
        <v>67</v>
      </c>
      <c r="S4" s="2">
        <f>Таблица1[[#This Row],[Дата поступления]]-Таблица1[[#This Row],[Дата рождения]]</f>
        <v>555</v>
      </c>
      <c r="U4" s="7" t="s">
        <v>82</v>
      </c>
    </row>
    <row r="5" spans="1:21" ht="38.25" x14ac:dyDescent="0.25">
      <c r="A5" s="1" t="s">
        <v>15</v>
      </c>
      <c r="B5" s="1">
        <f>COUNTIF(R:R, "&gt;=30")</f>
        <v>14</v>
      </c>
      <c r="C5" s="1" t="s">
        <v>21</v>
      </c>
      <c r="D5" s="1">
        <f>COUNTIF(S:S,"&gt;=365")-COUNTIF(S:S, "&gt;=1095")</f>
        <v>93</v>
      </c>
      <c r="E5" s="1" t="s">
        <v>28</v>
      </c>
      <c r="F5" s="1">
        <f>COUNTIF(Лист1!I:I,"Из других больниц")</f>
        <v>72</v>
      </c>
      <c r="G5" s="1" t="s">
        <v>34</v>
      </c>
      <c r="H5" s="1">
        <f>COUNTIF(Лист1!P:P, "Нефро")</f>
        <v>14</v>
      </c>
      <c r="I5" s="1" t="s">
        <v>21</v>
      </c>
      <c r="J5" s="1" t="e">
        <f>COUNTIFS(S2:S2502,"&lt;1095",Лист1!N2:N2507,"&gt;0")-COUNTIFS(S2:S2502,"&lt;365",Лист1!N2:N2507,"&gt;0")</f>
        <v>#VALUE!</v>
      </c>
      <c r="K5" s="1" t="s">
        <v>48</v>
      </c>
      <c r="L5" s="1">
        <f>COUNTIFS(Лист1!N2:N2507,"&lt;480")-COUNTIFS(Лист1!N2:N2507,"&lt;168")</f>
        <v>0</v>
      </c>
      <c r="M5" s="1" t="s">
        <v>94</v>
      </c>
      <c r="N5" s="1">
        <f>COUNTIF(Лист1!O:O,"=Люмб. Пункция (ЛП)")+COUNTIF(Лист1!O:O,"=ЦВК+ЛП")</f>
        <v>2</v>
      </c>
      <c r="R5" s="2">
        <f>Таблица1[[#This Row],[Дата перевода]]-Таблица1[[#This Row],[Дата поступления]]</f>
        <v>4</v>
      </c>
      <c r="S5" s="2">
        <f>Таблица1[[#This Row],[Дата поступления]]-Таблица1[[#This Row],[Дата рождения]]</f>
        <v>412</v>
      </c>
      <c r="U5" s="7" t="s">
        <v>89</v>
      </c>
    </row>
    <row r="6" spans="1:21" ht="25.5" x14ac:dyDescent="0.25">
      <c r="A6" s="1" t="s">
        <v>17</v>
      </c>
      <c r="B6" s="1">
        <f>SUM(B2:B5)</f>
        <v>439</v>
      </c>
      <c r="C6" s="1" t="s">
        <v>22</v>
      </c>
      <c r="D6" s="1">
        <f>COUNTIF(S:S,"&gt;=1095")-COUNTIF(S:S, "&gt;=2555")</f>
        <v>113</v>
      </c>
      <c r="E6" s="1" t="s">
        <v>29</v>
      </c>
      <c r="F6" s="1">
        <f>COUNTIF(Лист1!I:I,"Из родильных домов")</f>
        <v>7</v>
      </c>
      <c r="G6" s="1" t="s">
        <v>35</v>
      </c>
      <c r="H6" s="1">
        <f>COUNTIF(Лист1!P:P, "ОПНН")</f>
        <v>13</v>
      </c>
      <c r="I6" s="1" t="s">
        <v>22</v>
      </c>
      <c r="J6" s="1" t="e">
        <f>COUNTIFS(S2:S2502,"&lt;2555",Лист1!N2:N2507,"&gt;0")-COUNTIFS(S2:S2502,"&lt;1095",Лист1!N2:N2507,"&gt;0")</f>
        <v>#VALUE!</v>
      </c>
      <c r="K6" s="1" t="s">
        <v>49</v>
      </c>
      <c r="L6" s="1">
        <f>COUNTIFS(Лист1!N2:N2507,"&gt;480")</f>
        <v>0</v>
      </c>
      <c r="M6" s="1" t="s">
        <v>95</v>
      </c>
      <c r="N6" s="1">
        <f>COUNTIF(Лист1!O:O,"=Гемотрансфузии")+COUNTIF(Лист1!O:O,"=ЦВК+Гемотрансфузии")+COUNTIF(Лист1!O:O,"=ГВЛ+Гемотрансфузии")</f>
        <v>7</v>
      </c>
      <c r="R6" s="2">
        <f>Таблица1[[#This Row],[Дата перевода]]-Таблица1[[#This Row],[Дата поступления]]</f>
        <v>4</v>
      </c>
      <c r="S6" s="2">
        <f>Таблица1[[#This Row],[Дата поступления]]-Таблица1[[#This Row],[Дата рождения]]</f>
        <v>4121</v>
      </c>
      <c r="U6" s="7" t="s">
        <v>90</v>
      </c>
    </row>
    <row r="7" spans="1:21" ht="25.5" x14ac:dyDescent="0.25">
      <c r="C7" s="1" t="s">
        <v>23</v>
      </c>
      <c r="D7" s="1">
        <f>COUNTIF(S:S,"&gt;=2555")-COUNTIF(S:S, "&gt;=5475")</f>
        <v>149</v>
      </c>
      <c r="E7" s="1" t="s">
        <v>30</v>
      </c>
      <c r="F7" s="1">
        <f>COUNTIF(Лист1!I:I,"Повторное поступление")</f>
        <v>8</v>
      </c>
      <c r="G7" s="1" t="s">
        <v>37</v>
      </c>
      <c r="H7" s="1">
        <f>COUNTIF(Лист1!P:P, "Пульмо")</f>
        <v>21</v>
      </c>
      <c r="I7" s="1" t="s">
        <v>23</v>
      </c>
      <c r="J7" s="1" t="e">
        <f>COUNTIFS(S2:S2502,"&lt;5475",Лист1!N2:N2507,"&gt;0")-COUNTIFS(S2:S2502,"&lt;2555",Лист1!N2:N2507,"&gt;0")</f>
        <v>#VALUE!</v>
      </c>
      <c r="K7" s="1" t="s">
        <v>44</v>
      </c>
      <c r="L7" s="1" t="e">
        <f>COUNTIFS(S2:S2502,"&lt;=28",Лист1!N2:N2507,"&gt;0")</f>
        <v>#VALUE!</v>
      </c>
      <c r="M7" s="1" t="s">
        <v>96</v>
      </c>
      <c r="N7" s="1">
        <f>COUNTIF(Лист1!O:O,"=Экстракорпоральные методы")</f>
        <v>0</v>
      </c>
      <c r="R7" s="2">
        <f>Таблица1[[#This Row],[Дата перевода]]-Таблица1[[#This Row],[Дата поступления]]</f>
        <v>4</v>
      </c>
      <c r="S7" s="2">
        <f>Таблица1[[#This Row],[Дата поступления]]-Таблица1[[#This Row],[Дата рождения]]</f>
        <v>2134</v>
      </c>
      <c r="U7" s="7" t="s">
        <v>91</v>
      </c>
    </row>
    <row r="8" spans="1:21" ht="25.5" x14ac:dyDescent="0.25">
      <c r="C8" s="1" t="s">
        <v>24</v>
      </c>
      <c r="D8" s="1">
        <f>COUNTIF(S:S,"&gt;=5475")-COUNTIF(S:S, "&gt;=6575")</f>
        <v>78</v>
      </c>
      <c r="E8" s="1" t="s">
        <v>100</v>
      </c>
      <c r="F8" s="1">
        <f>COUNTIF(Лист1!I:I,"Самотёком")</f>
        <v>14</v>
      </c>
      <c r="G8" s="1" t="s">
        <v>36</v>
      </c>
      <c r="H8" s="1">
        <f>COUNTIF(Лист1!P:P, "Педиатрия")</f>
        <v>70</v>
      </c>
      <c r="I8" s="1" t="s">
        <v>24</v>
      </c>
      <c r="J8" s="1" t="e">
        <f>COUNTIFS(S2:S2502,"&lt;6575",Лист1!N2:N2507,"&gt;0")-COUNTIFS(S2:S2502,"&lt;5475",Лист1!N2:N2507,"&gt;0")</f>
        <v>#VALUE!</v>
      </c>
      <c r="K8" s="1" t="s">
        <v>17</v>
      </c>
      <c r="L8" s="1">
        <f>SUM(L2:L6)</f>
        <v>1</v>
      </c>
      <c r="M8" s="1" t="s">
        <v>97</v>
      </c>
      <c r="N8" s="1">
        <f>COUNTIF(Лист1!O:O,"=ЭА/СМА")+COUNTIF(Лист1!O:O,"=ЭА/СМА+ЦВК")</f>
        <v>12</v>
      </c>
      <c r="R8" s="2">
        <f>Таблица1[[#This Row],[Дата перевода]]-Таблица1[[#This Row],[Дата поступления]]</f>
        <v>1</v>
      </c>
      <c r="S8" s="2">
        <f>Таблица1[[#This Row],[Дата поступления]]-Таблица1[[#This Row],[Дата рождения]]</f>
        <v>181</v>
      </c>
      <c r="U8" s="7" t="s">
        <v>83</v>
      </c>
    </row>
    <row r="9" spans="1:21" ht="38.25" x14ac:dyDescent="0.25">
      <c r="C9" s="1" t="s">
        <v>17</v>
      </c>
      <c r="D9" s="1">
        <f>SUM(D2:D8)</f>
        <v>481</v>
      </c>
      <c r="E9" s="1" t="s">
        <v>17</v>
      </c>
      <c r="F9" s="1">
        <f>SUM(F2:F8)</f>
        <v>544</v>
      </c>
      <c r="G9" s="1" t="s">
        <v>38</v>
      </c>
      <c r="H9" s="1">
        <f>COUNTIF(Лист1!P:P, "Неврология")</f>
        <v>89</v>
      </c>
      <c r="I9" s="1" t="s">
        <v>17</v>
      </c>
      <c r="J9" s="1" t="e">
        <f>SUM(J2:J8)</f>
        <v>#VALUE!</v>
      </c>
      <c r="M9" s="6"/>
      <c r="R9" s="2">
        <f>Таблица1[[#This Row],[Дата перевода]]-Таблица1[[#This Row],[Дата поступления]]</f>
        <v>1</v>
      </c>
      <c r="S9" s="2">
        <f>Таблица1[[#This Row],[Дата поступления]]-Таблица1[[#This Row],[Дата рождения]]</f>
        <v>181</v>
      </c>
      <c r="U9" s="8" t="s">
        <v>92</v>
      </c>
    </row>
    <row r="10" spans="1:21" ht="38.25" x14ac:dyDescent="0.25">
      <c r="G10" s="1" t="s">
        <v>39</v>
      </c>
      <c r="H10" s="1">
        <f>COUNTIF(Лист1!P:P, "Другие больницы")</f>
        <v>43</v>
      </c>
      <c r="M10" s="6"/>
      <c r="R10" s="2">
        <f>Таблица1[[#This Row],[Дата перевода]]-Таблица1[[#This Row],[Дата поступления]]</f>
        <v>13</v>
      </c>
      <c r="S10" s="2">
        <f>Таблица1[[#This Row],[Дата поступления]]-Таблица1[[#This Row],[Дата рождения]]</f>
        <v>0</v>
      </c>
      <c r="U10" s="7" t="s">
        <v>93</v>
      </c>
    </row>
    <row r="11" spans="1:21" ht="51" x14ac:dyDescent="0.25">
      <c r="G11" s="1" t="s">
        <v>40</v>
      </c>
      <c r="H11" s="1">
        <f>COUNTIF(Лист1!P:P, "Летальный исход")</f>
        <v>21</v>
      </c>
      <c r="M11" s="6"/>
      <c r="R11" s="2">
        <f>Таблица1[[#This Row],[Дата перевода]]-Таблица1[[#This Row],[Дата поступления]]</f>
        <v>3</v>
      </c>
      <c r="S11" s="2">
        <f>Таблица1[[#This Row],[Дата поступления]]-Таблица1[[#This Row],[Дата рождения]]</f>
        <v>824</v>
      </c>
      <c r="U11" s="7" t="s">
        <v>45</v>
      </c>
    </row>
    <row r="12" spans="1:21" x14ac:dyDescent="0.25">
      <c r="G12" s="1" t="s">
        <v>41</v>
      </c>
      <c r="H12" s="1">
        <f>COUNTIF(Лист1!P:P, "Прочее")</f>
        <v>2</v>
      </c>
      <c r="R12" s="2">
        <f>Таблица1[[#This Row],[Дата перевода]]-Таблица1[[#This Row],[Дата поступления]]</f>
        <v>4</v>
      </c>
      <c r="S12" s="2">
        <f>Таблица1[[#This Row],[Дата поступления]]-Таблица1[[#This Row],[Дата рождения]]</f>
        <v>21</v>
      </c>
      <c r="U12" s="9" t="s">
        <v>97</v>
      </c>
    </row>
    <row r="13" spans="1:21" ht="25.5" x14ac:dyDescent="0.25">
      <c r="G13" s="1" t="s">
        <v>17</v>
      </c>
      <c r="H13" s="1">
        <f>SUM(H2:H12)</f>
        <v>498</v>
      </c>
      <c r="R13" s="2">
        <f>Таблица1[[#This Row],[Дата перевода]]-Таблица1[[#This Row],[Дата поступления]]</f>
        <v>1</v>
      </c>
      <c r="S13" s="2">
        <f>Таблица1[[#This Row],[Дата поступления]]-Таблица1[[#This Row],[Дата рождения]]</f>
        <v>123</v>
      </c>
      <c r="U13" s="9" t="s">
        <v>98</v>
      </c>
    </row>
    <row r="14" spans="1:21" x14ac:dyDescent="0.25">
      <c r="R14" s="2">
        <f>Таблица1[[#This Row],[Дата перевода]]-Таблица1[[#This Row],[Дата поступления]]</f>
        <v>7</v>
      </c>
      <c r="S14" s="2">
        <f>Таблица1[[#This Row],[Дата поступления]]-Таблица1[[#This Row],[Дата рождения]]</f>
        <v>3282</v>
      </c>
    </row>
    <row r="15" spans="1:21" x14ac:dyDescent="0.25">
      <c r="R15" s="2">
        <f>Таблица1[[#This Row],[Дата перевода]]-Таблица1[[#This Row],[Дата поступления]]</f>
        <v>2</v>
      </c>
      <c r="S15" s="2">
        <f>Таблица1[[#This Row],[Дата поступления]]-Таблица1[[#This Row],[Дата рождения]]</f>
        <v>1552</v>
      </c>
    </row>
    <row r="16" spans="1:21" x14ac:dyDescent="0.25">
      <c r="R16" s="2">
        <f>Таблица1[[#This Row],[Дата перевода]]-Таблица1[[#This Row],[Дата поступления]]</f>
        <v>3</v>
      </c>
      <c r="S16" s="2">
        <f>Таблица1[[#This Row],[Дата поступления]]-Таблица1[[#This Row],[Дата рождения]]</f>
        <v>397</v>
      </c>
    </row>
    <row r="17" spans="18:19" x14ac:dyDescent="0.25">
      <c r="R17" s="2">
        <f>Таблица1[[#This Row],[Дата перевода]]-Таблица1[[#This Row],[Дата поступления]]</f>
        <v>3</v>
      </c>
      <c r="S17" s="2">
        <f>Таблица1[[#This Row],[Дата поступления]]-Таблица1[[#This Row],[Дата рождения]]</f>
        <v>2454</v>
      </c>
    </row>
    <row r="18" spans="18:19" x14ac:dyDescent="0.25">
      <c r="R18" s="2">
        <f>Таблица1[[#This Row],[Дата перевода]]-Таблица1[[#This Row],[Дата поступления]]</f>
        <v>1</v>
      </c>
      <c r="S18" s="2">
        <f>Таблица1[[#This Row],[Дата поступления]]-Таблица1[[#This Row],[Дата рождения]]</f>
        <v>2218</v>
      </c>
    </row>
    <row r="19" spans="18:19" x14ac:dyDescent="0.25">
      <c r="R19" s="2">
        <f>Таблица1[[#This Row],[Дата перевода]]-Таблица1[[#This Row],[Дата поступления]]</f>
        <v>2</v>
      </c>
      <c r="S19" s="2">
        <f>Таблица1[[#This Row],[Дата поступления]]-Таблица1[[#This Row],[Дата рождения]]</f>
        <v>499</v>
      </c>
    </row>
    <row r="20" spans="18:19" x14ac:dyDescent="0.25">
      <c r="R20" s="2">
        <f>Таблица1[[#This Row],[Дата перевода]]-Таблица1[[#This Row],[Дата поступления]]</f>
        <v>0</v>
      </c>
      <c r="S20" s="2">
        <f>Таблица1[[#This Row],[Дата поступления]]-Таблица1[[#This Row],[Дата рождения]]</f>
        <v>2553</v>
      </c>
    </row>
    <row r="21" spans="18:19" x14ac:dyDescent="0.25">
      <c r="R21" s="2">
        <f>Таблица1[[#This Row],[Дата перевода]]-Таблица1[[#This Row],[Дата поступления]]</f>
        <v>0</v>
      </c>
      <c r="S21" s="2">
        <f>Таблица1[[#This Row],[Дата поступления]]-Таблица1[[#This Row],[Дата рождения]]</f>
        <v>4568</v>
      </c>
    </row>
    <row r="22" spans="18:19" x14ac:dyDescent="0.25">
      <c r="R22" s="2">
        <f>Таблица1[[#This Row],[Дата перевода]]-Таблица1[[#This Row],[Дата поступления]]</f>
        <v>27</v>
      </c>
      <c r="S22" s="2">
        <f>Таблица1[[#This Row],[Дата поступления]]-Таблица1[[#This Row],[Дата рождения]]</f>
        <v>39</v>
      </c>
    </row>
    <row r="23" spans="18:19" x14ac:dyDescent="0.25">
      <c r="R23" s="2">
        <f>Таблица1[[#This Row],[Дата перевода]]-Таблица1[[#This Row],[Дата поступления]]</f>
        <v>1</v>
      </c>
      <c r="S23" s="2">
        <f>Таблица1[[#This Row],[Дата поступления]]-Таблица1[[#This Row],[Дата рождения]]</f>
        <v>6200</v>
      </c>
    </row>
    <row r="24" spans="18:19" x14ac:dyDescent="0.25">
      <c r="R24" s="2">
        <f>Таблица1[[#This Row],[Дата перевода]]-Таблица1[[#This Row],[Дата поступления]]</f>
        <v>0</v>
      </c>
      <c r="S24" s="2">
        <f>Таблица1[[#This Row],[Дата поступления]]-Таблица1[[#This Row],[Дата рождения]]</f>
        <v>357</v>
      </c>
    </row>
    <row r="25" spans="18:19" x14ac:dyDescent="0.25">
      <c r="R25" s="2">
        <f>Таблица1[[#This Row],[Дата перевода]]-Таблица1[[#This Row],[Дата поступления]]</f>
        <v>16</v>
      </c>
      <c r="S25" s="2">
        <f>Таблица1[[#This Row],[Дата поступления]]-Таблица1[[#This Row],[Дата рождения]]</f>
        <v>17</v>
      </c>
    </row>
    <row r="26" spans="18:19" x14ac:dyDescent="0.25">
      <c r="R26" s="2">
        <f>Таблица1[[#This Row],[Дата перевода]]-Таблица1[[#This Row],[Дата поступления]]</f>
        <v>1</v>
      </c>
      <c r="S26" s="2">
        <f>Таблица1[[#This Row],[Дата поступления]]-Таблица1[[#This Row],[Дата рождения]]</f>
        <v>5386</v>
      </c>
    </row>
    <row r="27" spans="18:19" x14ac:dyDescent="0.25">
      <c r="R27" s="2">
        <f>Таблица1[[#This Row],[Дата перевода]]-Таблица1[[#This Row],[Дата поступления]]</f>
        <v>1</v>
      </c>
      <c r="S27" s="2">
        <f>Таблица1[[#This Row],[Дата поступления]]-Таблица1[[#This Row],[Дата рождения]]</f>
        <v>4949</v>
      </c>
    </row>
    <row r="28" spans="18:19" x14ac:dyDescent="0.25">
      <c r="R28" s="2">
        <f>Таблица1[[#This Row],[Дата перевода]]-Таблица1[[#This Row],[Дата поступления]]</f>
        <v>1</v>
      </c>
      <c r="S28" s="2">
        <f>Таблица1[[#This Row],[Дата поступления]]-Таблица1[[#This Row],[Дата рождения]]</f>
        <v>4634</v>
      </c>
    </row>
    <row r="29" spans="18:19" x14ac:dyDescent="0.25">
      <c r="R29" s="2">
        <f>Таблица1[[#This Row],[Дата перевода]]-Таблица1[[#This Row],[Дата поступления]]</f>
        <v>1</v>
      </c>
      <c r="S29" s="2">
        <f>Таблица1[[#This Row],[Дата поступления]]-Таблица1[[#This Row],[Дата рождения]]</f>
        <v>5888</v>
      </c>
    </row>
    <row r="30" spans="18:19" x14ac:dyDescent="0.25">
      <c r="R30" s="2">
        <f>Таблица1[[#This Row],[Дата перевода]]-Таблица1[[#This Row],[Дата поступления]]</f>
        <v>1</v>
      </c>
      <c r="S30" s="2">
        <f>Таблица1[[#This Row],[Дата поступления]]-Таблица1[[#This Row],[Дата рождения]]</f>
        <v>44217</v>
      </c>
    </row>
    <row r="31" spans="18:19" x14ac:dyDescent="0.25">
      <c r="R31" s="2">
        <f>Таблица1[[#This Row],[Дата перевода]]-Таблица1[[#This Row],[Дата поступления]]</f>
        <v>3</v>
      </c>
      <c r="S31" s="2">
        <f>Таблица1[[#This Row],[Дата поступления]]-Таблица1[[#This Row],[Дата рождения]]</f>
        <v>5110</v>
      </c>
    </row>
    <row r="32" spans="18:19" x14ac:dyDescent="0.25">
      <c r="R32" s="2">
        <f>Таблица1[[#This Row],[Дата перевода]]-Таблица1[[#This Row],[Дата поступления]]</f>
        <v>1</v>
      </c>
      <c r="S32" s="2">
        <f>Таблица1[[#This Row],[Дата поступления]]-Таблица1[[#This Row],[Дата рождения]]</f>
        <v>4756</v>
      </c>
    </row>
    <row r="33" spans="18:19" x14ac:dyDescent="0.25">
      <c r="R33" s="2">
        <f>Таблица1[[#This Row],[Дата перевода]]-Таблица1[[#This Row],[Дата поступления]]</f>
        <v>1</v>
      </c>
      <c r="S33" s="2">
        <f>Таблица1[[#This Row],[Дата поступления]]-Таблица1[[#This Row],[Дата рождения]]</f>
        <v>44221</v>
      </c>
    </row>
    <row r="34" spans="18:19" x14ac:dyDescent="0.25">
      <c r="R34" s="2">
        <f>Таблица1[[#This Row],[Дата перевода]]-Таблица1[[#This Row],[Дата поступления]]</f>
        <v>1</v>
      </c>
      <c r="S34" s="2">
        <f>Таблица1[[#This Row],[Дата поступления]]-Таблица1[[#This Row],[Дата рождения]]</f>
        <v>44221</v>
      </c>
    </row>
    <row r="35" spans="18:19" x14ac:dyDescent="0.25">
      <c r="R35" s="2">
        <f>Таблица1[[#This Row],[Дата перевода]]-Таблица1[[#This Row],[Дата поступления]]</f>
        <v>1</v>
      </c>
      <c r="S35" s="2">
        <f>Таблица1[[#This Row],[Дата поступления]]-Таблица1[[#This Row],[Дата рождения]]</f>
        <v>3538</v>
      </c>
    </row>
    <row r="36" spans="18:19" x14ac:dyDescent="0.25">
      <c r="R36" s="2">
        <f>Таблица1[[#This Row],[Дата перевода]]-Таблица1[[#This Row],[Дата поступления]]</f>
        <v>1</v>
      </c>
      <c r="S36" s="2">
        <f>Таблица1[[#This Row],[Дата поступления]]-Таблица1[[#This Row],[Дата рождения]]</f>
        <v>440</v>
      </c>
    </row>
    <row r="37" spans="18:19" x14ac:dyDescent="0.25">
      <c r="R37" s="2">
        <f>Таблица1[[#This Row],[Дата перевода]]-Таблица1[[#This Row],[Дата поступления]]</f>
        <v>1</v>
      </c>
      <c r="S37" s="2">
        <f>Таблица1[[#This Row],[Дата поступления]]-Таблица1[[#This Row],[Дата рождения]]</f>
        <v>102</v>
      </c>
    </row>
    <row r="38" spans="18:19" x14ac:dyDescent="0.25">
      <c r="R38" s="2">
        <f>Таблица1[[#This Row],[Дата перевода]]-Таблица1[[#This Row],[Дата поступления]]</f>
        <v>1</v>
      </c>
      <c r="S38" s="2">
        <f>Таблица1[[#This Row],[Дата поступления]]-Таблица1[[#This Row],[Дата рождения]]</f>
        <v>2784</v>
      </c>
    </row>
    <row r="39" spans="18:19" x14ac:dyDescent="0.25">
      <c r="R39" s="2">
        <f>Таблица1[[#This Row],[Дата перевода]]-Таблица1[[#This Row],[Дата поступления]]</f>
        <v>8</v>
      </c>
      <c r="S39" s="2">
        <f>Таблица1[[#This Row],[Дата поступления]]-Таблица1[[#This Row],[Дата рождения]]</f>
        <v>442</v>
      </c>
    </row>
    <row r="40" spans="18:19" x14ac:dyDescent="0.25">
      <c r="R40" s="2">
        <f>Таблица1[[#This Row],[Дата перевода]]-Таблица1[[#This Row],[Дата поступления]]</f>
        <v>1</v>
      </c>
      <c r="S40" s="2">
        <f>Таблица1[[#This Row],[Дата поступления]]-Таблица1[[#This Row],[Дата рождения]]</f>
        <v>3528</v>
      </c>
    </row>
    <row r="41" spans="18:19" x14ac:dyDescent="0.25">
      <c r="R41" s="2">
        <f>Таблица1[[#This Row],[Дата перевода]]-Таблица1[[#This Row],[Дата поступления]]</f>
        <v>1</v>
      </c>
      <c r="S41" s="2">
        <f>Таблица1[[#This Row],[Дата поступления]]-Таблица1[[#This Row],[Дата рождения]]</f>
        <v>1668</v>
      </c>
    </row>
    <row r="42" spans="18:19" x14ac:dyDescent="0.25">
      <c r="R42" s="2">
        <f>Таблица1[[#This Row],[Дата перевода]]-Таблица1[[#This Row],[Дата поступления]]</f>
        <v>1</v>
      </c>
      <c r="S42" s="2">
        <f>Таблица1[[#This Row],[Дата поступления]]-Таблица1[[#This Row],[Дата рождения]]</f>
        <v>881</v>
      </c>
    </row>
    <row r="43" spans="18:19" x14ac:dyDescent="0.25">
      <c r="R43" s="2">
        <f>Таблица1[[#This Row],[Дата перевода]]-Таблица1[[#This Row],[Дата поступления]]</f>
        <v>1</v>
      </c>
      <c r="S43" s="2">
        <f>Таблица1[[#This Row],[Дата поступления]]-Таблица1[[#This Row],[Дата рождения]]</f>
        <v>1049</v>
      </c>
    </row>
    <row r="44" spans="18:19" x14ac:dyDescent="0.25">
      <c r="R44" s="2">
        <f>Таблица1[[#This Row],[Дата перевода]]-Таблица1[[#This Row],[Дата поступления]]</f>
        <v>3</v>
      </c>
      <c r="S44" s="2">
        <f>Таблица1[[#This Row],[Дата поступления]]-Таблица1[[#This Row],[Дата рождения]]</f>
        <v>5916</v>
      </c>
    </row>
    <row r="45" spans="18:19" x14ac:dyDescent="0.25">
      <c r="R45" s="2">
        <f>Таблица1[[#This Row],[Дата перевода]]-Таблица1[[#This Row],[Дата поступления]]</f>
        <v>1</v>
      </c>
      <c r="S45" s="2">
        <f>Таблица1[[#This Row],[Дата поступления]]-Таблица1[[#This Row],[Дата рождения]]</f>
        <v>5</v>
      </c>
    </row>
    <row r="46" spans="18:19" x14ac:dyDescent="0.25">
      <c r="R46" s="2">
        <f>Таблица1[[#This Row],[Дата перевода]]-Таблица1[[#This Row],[Дата поступления]]</f>
        <v>1</v>
      </c>
      <c r="S46" s="2">
        <f>Таблица1[[#This Row],[Дата поступления]]-Таблица1[[#This Row],[Дата рождения]]</f>
        <v>1813</v>
      </c>
    </row>
    <row r="47" spans="18:19" x14ac:dyDescent="0.25">
      <c r="R47" s="2">
        <f>Таблица1[[#This Row],[Дата перевода]]-Таблица1[[#This Row],[Дата поступления]]</f>
        <v>1</v>
      </c>
      <c r="S47" s="2">
        <f>Таблица1[[#This Row],[Дата поступления]]-Таблица1[[#This Row],[Дата рождения]]</f>
        <v>5052</v>
      </c>
    </row>
    <row r="48" spans="18:19" x14ac:dyDescent="0.25">
      <c r="R48" s="2">
        <f>Таблица1[[#This Row],[Дата перевода]]-Таблица1[[#This Row],[Дата поступления]]</f>
        <v>1</v>
      </c>
      <c r="S48" s="2">
        <f>Таблица1[[#This Row],[Дата поступления]]-Таблица1[[#This Row],[Дата рождения]]</f>
        <v>1101</v>
      </c>
    </row>
    <row r="49" spans="18:19" x14ac:dyDescent="0.25">
      <c r="R49" s="2">
        <f>Таблица1[[#This Row],[Дата перевода]]-Таблица1[[#This Row],[Дата поступления]]</f>
        <v>1</v>
      </c>
      <c r="S49" s="2">
        <f>Таблица1[[#This Row],[Дата поступления]]-Таблица1[[#This Row],[Дата рождения]]</f>
        <v>416</v>
      </c>
    </row>
    <row r="50" spans="18:19" x14ac:dyDescent="0.25">
      <c r="R50" s="2">
        <f>Таблица1[[#This Row],[Дата перевода]]-Таблица1[[#This Row],[Дата поступления]]</f>
        <v>1</v>
      </c>
      <c r="S50" s="2">
        <f>Таблица1[[#This Row],[Дата поступления]]-Таблица1[[#This Row],[Дата рождения]]</f>
        <v>6278</v>
      </c>
    </row>
    <row r="51" spans="18:19" x14ac:dyDescent="0.25">
      <c r="R51" s="2">
        <f>Таблица1[[#This Row],[Дата перевода]]-Таблица1[[#This Row],[Дата поступления]]</f>
        <v>1</v>
      </c>
      <c r="S51" s="2">
        <f>Таблица1[[#This Row],[Дата поступления]]-Таблица1[[#This Row],[Дата рождения]]</f>
        <v>6268</v>
      </c>
    </row>
    <row r="52" spans="18:19" x14ac:dyDescent="0.25">
      <c r="R52" s="2">
        <f>Таблица1[[#This Row],[Дата перевода]]-Таблица1[[#This Row],[Дата поступления]]</f>
        <v>1</v>
      </c>
      <c r="S52" s="2">
        <f>Таблица1[[#This Row],[Дата поступления]]-Таблица1[[#This Row],[Дата рождения]]</f>
        <v>2869</v>
      </c>
    </row>
    <row r="53" spans="18:19" x14ac:dyDescent="0.25">
      <c r="R53" s="2">
        <f>Таблица1[[#This Row],[Дата перевода]]-Таблица1[[#This Row],[Дата поступления]]</f>
        <v>2</v>
      </c>
      <c r="S53" s="2">
        <f>Таблица1[[#This Row],[Дата поступления]]-Таблица1[[#This Row],[Дата рождения]]</f>
        <v>5075</v>
      </c>
    </row>
    <row r="54" spans="18:19" x14ac:dyDescent="0.25">
      <c r="R54" s="2">
        <f>Таблица1[[#This Row],[Дата перевода]]-Таблица1[[#This Row],[Дата поступления]]</f>
        <v>1</v>
      </c>
      <c r="S54" s="2">
        <f>Таблица1[[#This Row],[Дата поступления]]-Таблица1[[#This Row],[Дата рождения]]</f>
        <v>1006</v>
      </c>
    </row>
    <row r="55" spans="18:19" x14ac:dyDescent="0.25">
      <c r="R55" s="2">
        <f>Таблица1[[#This Row],[Дата перевода]]-Таблица1[[#This Row],[Дата поступления]]</f>
        <v>1</v>
      </c>
      <c r="S55" s="2">
        <f>Таблица1[[#This Row],[Дата поступления]]-Таблица1[[#This Row],[Дата рождения]]</f>
        <v>4893</v>
      </c>
    </row>
    <row r="56" spans="18:19" x14ac:dyDescent="0.25">
      <c r="R56" s="2">
        <f>Таблица1[[#This Row],[Дата перевода]]-Таблица1[[#This Row],[Дата поступления]]</f>
        <v>2</v>
      </c>
      <c r="S56" s="2">
        <f>Таблица1[[#This Row],[Дата поступления]]-Таблица1[[#This Row],[Дата рождения]]</f>
        <v>5581</v>
      </c>
    </row>
    <row r="57" spans="18:19" x14ac:dyDescent="0.25">
      <c r="R57" s="2">
        <f>Таблица1[[#This Row],[Дата перевода]]-Таблица1[[#This Row],[Дата поступления]]</f>
        <v>2</v>
      </c>
      <c r="S57" s="2">
        <f>Таблица1[[#This Row],[Дата поступления]]-Таблица1[[#This Row],[Дата рождения]]</f>
        <v>1110</v>
      </c>
    </row>
    <row r="58" spans="18:19" x14ac:dyDescent="0.25">
      <c r="R58" s="2">
        <f>Таблица1[[#This Row],[Дата перевода]]-Таблица1[[#This Row],[Дата поступления]]</f>
        <v>17</v>
      </c>
      <c r="S58" s="2">
        <f>Таблица1[[#This Row],[Дата поступления]]-Таблица1[[#This Row],[Дата рождения]]</f>
        <v>5701</v>
      </c>
    </row>
    <row r="59" spans="18:19" x14ac:dyDescent="0.25">
      <c r="R59" s="2">
        <f>Таблица1[[#This Row],[Дата перевода]]-Таблица1[[#This Row],[Дата поступления]]</f>
        <v>1</v>
      </c>
      <c r="S59" s="2">
        <f>Таблица1[[#This Row],[Дата поступления]]-Таблица1[[#This Row],[Дата рождения]]</f>
        <v>5380</v>
      </c>
    </row>
    <row r="60" spans="18:19" x14ac:dyDescent="0.25">
      <c r="R60" s="2">
        <f>Таблица1[[#This Row],[Дата перевода]]-Таблица1[[#This Row],[Дата поступления]]</f>
        <v>2</v>
      </c>
      <c r="S60" s="2">
        <f>Таблица1[[#This Row],[Дата поступления]]-Таблица1[[#This Row],[Дата рождения]]</f>
        <v>5442</v>
      </c>
    </row>
    <row r="61" spans="18:19" x14ac:dyDescent="0.25">
      <c r="R61" s="2">
        <f>Таблица1[[#This Row],[Дата перевода]]-Таблица1[[#This Row],[Дата поступления]]</f>
        <v>0</v>
      </c>
      <c r="S61" s="2">
        <f>Таблица1[[#This Row],[Дата поступления]]-Таблица1[[#This Row],[Дата рождения]]</f>
        <v>451</v>
      </c>
    </row>
    <row r="62" spans="18:19" x14ac:dyDescent="0.25">
      <c r="R62" s="2">
        <f>Таблица1[[#This Row],[Дата перевода]]-Таблица1[[#This Row],[Дата поступления]]</f>
        <v>1</v>
      </c>
      <c r="S62" s="2">
        <f>Таблица1[[#This Row],[Дата поступления]]-Таблица1[[#This Row],[Дата рождения]]</f>
        <v>4694</v>
      </c>
    </row>
    <row r="63" spans="18:19" x14ac:dyDescent="0.25">
      <c r="R63" s="2">
        <f>Таблица1[[#This Row],[Дата перевода]]-Таблица1[[#This Row],[Дата поступления]]</f>
        <v>4</v>
      </c>
      <c r="S63" s="2">
        <f>Таблица1[[#This Row],[Дата поступления]]-Таблица1[[#This Row],[Дата рождения]]</f>
        <v>3887</v>
      </c>
    </row>
    <row r="64" spans="18:19" x14ac:dyDescent="0.25">
      <c r="R64" s="2">
        <f>Таблица1[[#This Row],[Дата перевода]]-Таблица1[[#This Row],[Дата поступления]]</f>
        <v>1</v>
      </c>
      <c r="S64" s="2">
        <f>Таблица1[[#This Row],[Дата поступления]]-Таблица1[[#This Row],[Дата рождения]]</f>
        <v>6077</v>
      </c>
    </row>
    <row r="65" spans="18:19" x14ac:dyDescent="0.25">
      <c r="R65" s="2">
        <f>Таблица1[[#This Row],[Дата перевода]]-Таблица1[[#This Row],[Дата поступления]]</f>
        <v>1</v>
      </c>
      <c r="S65" s="2">
        <f>Таблица1[[#This Row],[Дата поступления]]-Таблица1[[#This Row],[Дата рождения]]</f>
        <v>5635</v>
      </c>
    </row>
    <row r="66" spans="18:19" x14ac:dyDescent="0.25">
      <c r="R66" s="2">
        <f>Таблица1[[#This Row],[Дата перевода]]-Таблица1[[#This Row],[Дата поступления]]</f>
        <v>1</v>
      </c>
      <c r="S66" s="2">
        <f>Таблица1[[#This Row],[Дата поступления]]-Таблица1[[#This Row],[Дата рождения]]</f>
        <v>128</v>
      </c>
    </row>
    <row r="67" spans="18:19" x14ac:dyDescent="0.25">
      <c r="R67" s="2">
        <f>Таблица1[[#This Row],[Дата перевода]]-Таблица1[[#This Row],[Дата поступления]]</f>
        <v>4</v>
      </c>
      <c r="S67" s="2">
        <f>Таблица1[[#This Row],[Дата поступления]]-Таблица1[[#This Row],[Дата рождения]]</f>
        <v>6219</v>
      </c>
    </row>
    <row r="68" spans="18:19" x14ac:dyDescent="0.25">
      <c r="R68" s="2">
        <f>Таблица1[[#This Row],[Дата перевода]]-Таблица1[[#This Row],[Дата поступления]]</f>
        <v>1</v>
      </c>
      <c r="S68" s="2">
        <f>Таблица1[[#This Row],[Дата поступления]]-Таблица1[[#This Row],[Дата рождения]]</f>
        <v>603</v>
      </c>
    </row>
    <row r="69" spans="18:19" x14ac:dyDescent="0.25">
      <c r="R69" s="2">
        <f>Таблица1[[#This Row],[Дата перевода]]-Таблица1[[#This Row],[Дата поступления]]</f>
        <v>1</v>
      </c>
      <c r="S69" s="2">
        <f>Таблица1[[#This Row],[Дата поступления]]-Таблица1[[#This Row],[Дата рождения]]</f>
        <v>240</v>
      </c>
    </row>
    <row r="70" spans="18:19" x14ac:dyDescent="0.25">
      <c r="R70" s="2">
        <f>Таблица1[[#This Row],[Дата перевода]]-Таблица1[[#This Row],[Дата поступления]]</f>
        <v>1</v>
      </c>
      <c r="S70" s="2">
        <f>Таблица1[[#This Row],[Дата поступления]]-Таблица1[[#This Row],[Дата рождения]]</f>
        <v>1423</v>
      </c>
    </row>
    <row r="71" spans="18:19" x14ac:dyDescent="0.25">
      <c r="R71" s="2">
        <f>Таблица1[[#This Row],[Дата перевода]]-Таблица1[[#This Row],[Дата поступления]]</f>
        <v>4</v>
      </c>
      <c r="S71" s="2">
        <f>Таблица1[[#This Row],[Дата поступления]]-Таблица1[[#This Row],[Дата рождения]]</f>
        <v>65</v>
      </c>
    </row>
    <row r="72" spans="18:19" x14ac:dyDescent="0.25">
      <c r="R72" s="2">
        <f>Таблица1[[#This Row],[Дата перевода]]-Таблица1[[#This Row],[Дата поступления]]</f>
        <v>5</v>
      </c>
      <c r="S72" s="2">
        <f>Таблица1[[#This Row],[Дата поступления]]-Таблица1[[#This Row],[Дата рождения]]</f>
        <v>1261</v>
      </c>
    </row>
    <row r="73" spans="18:19" x14ac:dyDescent="0.25">
      <c r="R73" s="2">
        <f>Таблица1[[#This Row],[Дата перевода]]-Таблица1[[#This Row],[Дата поступления]]</f>
        <v>3</v>
      </c>
      <c r="S73" s="2">
        <f>Таблица1[[#This Row],[Дата поступления]]-Таблица1[[#This Row],[Дата рождения]]</f>
        <v>1013</v>
      </c>
    </row>
    <row r="74" spans="18:19" x14ac:dyDescent="0.25">
      <c r="R74" s="2">
        <f>Таблица1[[#This Row],[Дата перевода]]-Таблица1[[#This Row],[Дата поступления]]</f>
        <v>2</v>
      </c>
      <c r="S74" s="2">
        <f>Таблица1[[#This Row],[Дата поступления]]-Таблица1[[#This Row],[Дата рождения]]</f>
        <v>4518</v>
      </c>
    </row>
    <row r="75" spans="18:19" x14ac:dyDescent="0.25">
      <c r="R75" s="2">
        <f>Таблица1[[#This Row],[Дата перевода]]-Таблица1[[#This Row],[Дата поступления]]</f>
        <v>2</v>
      </c>
      <c r="S75" s="2">
        <f>Таблица1[[#This Row],[Дата поступления]]-Таблица1[[#This Row],[Дата рождения]]</f>
        <v>4219</v>
      </c>
    </row>
    <row r="76" spans="18:19" x14ac:dyDescent="0.25">
      <c r="R76" s="2">
        <f>Таблица1[[#This Row],[Дата перевода]]-Таблица1[[#This Row],[Дата поступления]]</f>
        <v>2</v>
      </c>
      <c r="S76" s="2">
        <f>Таблица1[[#This Row],[Дата поступления]]-Таблица1[[#This Row],[Дата рождения]]</f>
        <v>4625</v>
      </c>
    </row>
    <row r="77" spans="18:19" x14ac:dyDescent="0.25">
      <c r="R77" s="2">
        <f>Таблица1[[#This Row],[Дата перевода]]-Таблица1[[#This Row],[Дата поступления]]</f>
        <v>2</v>
      </c>
      <c r="S77" s="2">
        <f>Таблица1[[#This Row],[Дата поступления]]-Таблица1[[#This Row],[Дата рождения]]</f>
        <v>2946</v>
      </c>
    </row>
    <row r="78" spans="18:19" x14ac:dyDescent="0.25">
      <c r="R78" s="2">
        <f>Таблица1[[#This Row],[Дата перевода]]-Таблица1[[#This Row],[Дата поступления]]</f>
        <v>21</v>
      </c>
      <c r="S78" s="2">
        <f>Таблица1[[#This Row],[Дата поступления]]-Таблица1[[#This Row],[Дата рождения]]</f>
        <v>55</v>
      </c>
    </row>
    <row r="79" spans="18:19" x14ac:dyDescent="0.25">
      <c r="R79" s="2">
        <f>Таблица1[[#This Row],[Дата перевода]]-Таблица1[[#This Row],[Дата поступления]]</f>
        <v>1</v>
      </c>
      <c r="S79" s="2">
        <f>Таблица1[[#This Row],[Дата поступления]]-Таблица1[[#This Row],[Дата рождения]]</f>
        <v>954</v>
      </c>
    </row>
    <row r="80" spans="18:19" x14ac:dyDescent="0.25">
      <c r="R80" s="2">
        <f>Таблица1[[#This Row],[Дата перевода]]-Таблица1[[#This Row],[Дата поступления]]</f>
        <v>24</v>
      </c>
      <c r="S80" s="2">
        <f>Таблица1[[#This Row],[Дата поступления]]-Таблица1[[#This Row],[Дата рождения]]</f>
        <v>498</v>
      </c>
    </row>
    <row r="81" spans="18:19" x14ac:dyDescent="0.25">
      <c r="R81" s="2">
        <f>Таблица1[[#This Row],[Дата перевода]]-Таблица1[[#This Row],[Дата поступления]]</f>
        <v>12</v>
      </c>
      <c r="S81" s="2">
        <f>Таблица1[[#This Row],[Дата поступления]]-Таблица1[[#This Row],[Дата рождения]]</f>
        <v>1001</v>
      </c>
    </row>
    <row r="82" spans="18:19" x14ac:dyDescent="0.25">
      <c r="R82" s="2">
        <f>Таблица1[[#This Row],[Дата перевода]]-Таблица1[[#This Row],[Дата поступления]]</f>
        <v>3</v>
      </c>
      <c r="S82" s="2">
        <f>Таблица1[[#This Row],[Дата поступления]]-Таблица1[[#This Row],[Дата рождения]]</f>
        <v>633</v>
      </c>
    </row>
    <row r="83" spans="18:19" x14ac:dyDescent="0.25">
      <c r="R83" s="2">
        <f>Таблица1[[#This Row],[Дата перевода]]-Таблица1[[#This Row],[Дата поступления]]</f>
        <v>0</v>
      </c>
      <c r="S83" s="2">
        <f>Таблица1[[#This Row],[Дата поступления]]-Таблица1[[#This Row],[Дата рождения]]</f>
        <v>44246</v>
      </c>
    </row>
    <row r="84" spans="18:19" x14ac:dyDescent="0.25">
      <c r="R84" s="2">
        <f>Таблица1[[#This Row],[Дата перевода]]-Таблица1[[#This Row],[Дата поступления]]</f>
        <v>1</v>
      </c>
      <c r="S84" s="2">
        <f>Таблица1[[#This Row],[Дата поступления]]-Таблица1[[#This Row],[Дата рождения]]</f>
        <v>0</v>
      </c>
    </row>
    <row r="85" spans="18:19" x14ac:dyDescent="0.25">
      <c r="R85" s="2">
        <f>Таблица1[[#This Row],[Дата перевода]]-Таблица1[[#This Row],[Дата поступления]]</f>
        <v>2</v>
      </c>
      <c r="S85" s="2">
        <f>Таблица1[[#This Row],[Дата поступления]]-Таблица1[[#This Row],[Дата рождения]]</f>
        <v>44250</v>
      </c>
    </row>
    <row r="86" spans="18:19" x14ac:dyDescent="0.25">
      <c r="R86" s="2">
        <f>Таблица1[[#This Row],[Дата перевода]]-Таблица1[[#This Row],[Дата поступления]]</f>
        <v>1</v>
      </c>
      <c r="S86" s="2">
        <f>Таблица1[[#This Row],[Дата поступления]]-Таблица1[[#This Row],[Дата рождения]]</f>
        <v>57</v>
      </c>
    </row>
    <row r="87" spans="18:19" x14ac:dyDescent="0.25">
      <c r="R87" s="2">
        <f>Таблица1[[#This Row],[Дата перевода]]-Таблица1[[#This Row],[Дата поступления]]</f>
        <v>1</v>
      </c>
      <c r="S87" s="2">
        <f>Таблица1[[#This Row],[Дата поступления]]-Таблица1[[#This Row],[Дата рождения]]</f>
        <v>1689</v>
      </c>
    </row>
    <row r="88" spans="18:19" x14ac:dyDescent="0.25">
      <c r="R88" s="2">
        <f>Таблица1[[#This Row],[Дата перевода]]-Таблица1[[#This Row],[Дата поступления]]</f>
        <v>2</v>
      </c>
      <c r="S88" s="2">
        <f>Таблица1[[#This Row],[Дата поступления]]-Таблица1[[#This Row],[Дата рождения]]</f>
        <v>44253</v>
      </c>
    </row>
    <row r="89" spans="18:19" x14ac:dyDescent="0.25">
      <c r="R89" s="2">
        <f>Таблица1[[#This Row],[Дата перевода]]-Таблица1[[#This Row],[Дата поступления]]</f>
        <v>1</v>
      </c>
      <c r="S89" s="2">
        <f>Таблица1[[#This Row],[Дата поступления]]-Таблица1[[#This Row],[Дата рождения]]</f>
        <v>662</v>
      </c>
    </row>
    <row r="90" spans="18:19" x14ac:dyDescent="0.25">
      <c r="R90" s="2">
        <f>Таблица1[[#This Row],[Дата перевода]]-Таблица1[[#This Row],[Дата поступления]]</f>
        <v>3</v>
      </c>
      <c r="S90" s="2">
        <f>Таблица1[[#This Row],[Дата поступления]]-Таблица1[[#This Row],[Дата рождения]]</f>
        <v>5956</v>
      </c>
    </row>
    <row r="91" spans="18:19" x14ac:dyDescent="0.25">
      <c r="R91" s="2">
        <f>Таблица1[[#This Row],[Дата перевода]]-Таблица1[[#This Row],[Дата поступления]]</f>
        <v>0</v>
      </c>
      <c r="S91" s="2">
        <f>Таблица1[[#This Row],[Дата поступления]]-Таблица1[[#This Row],[Дата рождения]]</f>
        <v>423</v>
      </c>
    </row>
    <row r="92" spans="18:19" x14ac:dyDescent="0.25">
      <c r="R92" s="2">
        <f>Таблица1[[#This Row],[Дата перевода]]-Таблица1[[#This Row],[Дата поступления]]</f>
        <v>1</v>
      </c>
      <c r="S92" s="2">
        <f>Таблица1[[#This Row],[Дата поступления]]-Таблица1[[#This Row],[Дата рождения]]</f>
        <v>1316</v>
      </c>
    </row>
    <row r="93" spans="18:19" x14ac:dyDescent="0.25">
      <c r="R93" s="2">
        <f>Таблица1[[#This Row],[Дата перевода]]-Таблица1[[#This Row],[Дата поступления]]</f>
        <v>1</v>
      </c>
      <c r="S93" s="2">
        <f>Таблица1[[#This Row],[Дата поступления]]-Таблица1[[#This Row],[Дата рождения]]</f>
        <v>5357</v>
      </c>
    </row>
    <row r="94" spans="18:19" x14ac:dyDescent="0.25">
      <c r="R94" s="2" t="e">
        <f>Таблица1[[#This Row],[Дата перевода]]-Таблица1[[#This Row],[Дата поступления]]</f>
        <v>#VALUE!</v>
      </c>
      <c r="S94" s="2">
        <f>Таблица1[[#This Row],[Дата поступления]]-Таблица1[[#This Row],[Дата рождения]]</f>
        <v>2088</v>
      </c>
    </row>
    <row r="95" spans="18:19" x14ac:dyDescent="0.25">
      <c r="R95" s="2">
        <f>Таблица1[[#This Row],[Дата перевода]]-Таблица1[[#This Row],[Дата поступления]]</f>
        <v>1</v>
      </c>
      <c r="S95" s="2">
        <f>Таблица1[[#This Row],[Дата поступления]]-Таблица1[[#This Row],[Дата рождения]]</f>
        <v>5813</v>
      </c>
    </row>
    <row r="96" spans="18:19" x14ac:dyDescent="0.25">
      <c r="R96" s="2">
        <f>Таблица1[[#This Row],[Дата перевода]]-Таблица1[[#This Row],[Дата поступления]]</f>
        <v>1</v>
      </c>
      <c r="S96" s="2">
        <f>Таблица1[[#This Row],[Дата поступления]]-Таблица1[[#This Row],[Дата рождения]]</f>
        <v>2249</v>
      </c>
    </row>
    <row r="97" spans="18:19" x14ac:dyDescent="0.25">
      <c r="R97" s="2">
        <f>Таблица1[[#This Row],[Дата перевода]]-Таблица1[[#This Row],[Дата поступления]]</f>
        <v>5</v>
      </c>
      <c r="S97" s="2">
        <f>Таблица1[[#This Row],[Дата поступления]]-Таблица1[[#This Row],[Дата рождения]]</f>
        <v>1015</v>
      </c>
    </row>
    <row r="98" spans="18:19" x14ac:dyDescent="0.25">
      <c r="R98" s="2">
        <f>Таблица1[[#This Row],[Дата перевода]]-Таблица1[[#This Row],[Дата поступления]]</f>
        <v>5</v>
      </c>
      <c r="S98" s="2">
        <f>Таблица1[[#This Row],[Дата поступления]]-Таблица1[[#This Row],[Дата рождения]]</f>
        <v>2786</v>
      </c>
    </row>
    <row r="99" spans="18:19" x14ac:dyDescent="0.25">
      <c r="R99" s="2">
        <f>Таблица1[[#This Row],[Дата перевода]]-Таблица1[[#This Row],[Дата поступления]]</f>
        <v>8</v>
      </c>
      <c r="S99" s="2">
        <f>Таблица1[[#This Row],[Дата поступления]]-Таблица1[[#This Row],[Дата рождения]]</f>
        <v>708</v>
      </c>
    </row>
    <row r="100" spans="18:19" x14ac:dyDescent="0.25">
      <c r="R100" s="2">
        <f>Таблица1[[#This Row],[Дата перевода]]-Таблица1[[#This Row],[Дата поступления]]</f>
        <v>2</v>
      </c>
      <c r="S100" s="2">
        <f>Таблица1[[#This Row],[Дата поступления]]-Таблица1[[#This Row],[Дата рождения]]</f>
        <v>6424</v>
      </c>
    </row>
    <row r="101" spans="18:19" x14ac:dyDescent="0.25">
      <c r="R101" s="2">
        <f>Таблица1[[#This Row],[Дата перевода]]-Таблица1[[#This Row],[Дата поступления]]</f>
        <v>3</v>
      </c>
      <c r="S101" s="2">
        <f>Таблица1[[#This Row],[Дата поступления]]-Таблица1[[#This Row],[Дата рождения]]</f>
        <v>592</v>
      </c>
    </row>
    <row r="102" spans="18:19" x14ac:dyDescent="0.25">
      <c r="R102" s="2">
        <f>Таблица1[[#This Row],[Дата перевода]]-Таблица1[[#This Row],[Дата поступления]]</f>
        <v>1</v>
      </c>
      <c r="S102" s="2">
        <f>Таблица1[[#This Row],[Дата поступления]]-Таблица1[[#This Row],[Дата рождения]]</f>
        <v>2468</v>
      </c>
    </row>
    <row r="103" spans="18:19" x14ac:dyDescent="0.25">
      <c r="R103" s="2">
        <f>Таблица1[[#This Row],[Дата перевода]]-Таблица1[[#This Row],[Дата поступления]]</f>
        <v>1</v>
      </c>
      <c r="S103" s="2">
        <f>Таблица1[[#This Row],[Дата поступления]]-Таблица1[[#This Row],[Дата рождения]]</f>
        <v>453</v>
      </c>
    </row>
    <row r="104" spans="18:19" x14ac:dyDescent="0.25">
      <c r="R104" s="2">
        <f>Таблица1[[#This Row],[Дата перевода]]-Таблица1[[#This Row],[Дата поступления]]</f>
        <v>63</v>
      </c>
      <c r="S104" s="2">
        <f>Таблица1[[#This Row],[Дата поступления]]-Таблица1[[#This Row],[Дата рождения]]</f>
        <v>6427</v>
      </c>
    </row>
    <row r="105" spans="18:19" x14ac:dyDescent="0.25">
      <c r="R105" s="2">
        <f>Таблица1[[#This Row],[Дата перевода]]-Таблица1[[#This Row],[Дата поступления]]</f>
        <v>8</v>
      </c>
      <c r="S105" s="2">
        <f>Таблица1[[#This Row],[Дата поступления]]-Таблица1[[#This Row],[Дата рождения]]</f>
        <v>1</v>
      </c>
    </row>
    <row r="106" spans="18:19" x14ac:dyDescent="0.25">
      <c r="R106" s="2">
        <f>Таблица1[[#This Row],[Дата перевода]]-Таблица1[[#This Row],[Дата поступления]]</f>
        <v>18</v>
      </c>
      <c r="S106" s="2">
        <f>Таблица1[[#This Row],[Дата поступления]]-Таблица1[[#This Row],[Дата рождения]]</f>
        <v>786</v>
      </c>
    </row>
    <row r="107" spans="18:19" x14ac:dyDescent="0.25">
      <c r="R107" s="2">
        <f>Таблица1[[#This Row],[Дата перевода]]-Таблица1[[#This Row],[Дата поступления]]</f>
        <v>1</v>
      </c>
      <c r="S107" s="2">
        <f>Таблица1[[#This Row],[Дата поступления]]-Таблица1[[#This Row],[Дата рождения]]</f>
        <v>2232</v>
      </c>
    </row>
    <row r="108" spans="18:19" x14ac:dyDescent="0.25">
      <c r="R108" s="2">
        <f>Таблица1[[#This Row],[Дата перевода]]-Таблица1[[#This Row],[Дата поступления]]</f>
        <v>1</v>
      </c>
      <c r="S108" s="2">
        <f>Таблица1[[#This Row],[Дата поступления]]-Таблица1[[#This Row],[Дата рождения]]</f>
        <v>2380</v>
      </c>
    </row>
    <row r="109" spans="18:19" x14ac:dyDescent="0.25">
      <c r="R109" s="2">
        <f>Таблица1[[#This Row],[Дата перевода]]-Таблица1[[#This Row],[Дата поступления]]</f>
        <v>1</v>
      </c>
      <c r="S109" s="2">
        <f>Таблица1[[#This Row],[Дата поступления]]-Таблица1[[#This Row],[Дата рождения]]</f>
        <v>1463</v>
      </c>
    </row>
    <row r="110" spans="18:19" x14ac:dyDescent="0.25">
      <c r="R110" s="2">
        <f>Таблица1[[#This Row],[Дата перевода]]-Таблица1[[#This Row],[Дата поступления]]</f>
        <v>11</v>
      </c>
      <c r="S110" s="2">
        <f>Таблица1[[#This Row],[Дата поступления]]-Таблица1[[#This Row],[Дата рождения]]</f>
        <v>2558</v>
      </c>
    </row>
    <row r="111" spans="18:19" x14ac:dyDescent="0.25">
      <c r="R111" s="2">
        <f>Таблица1[[#This Row],[Дата перевода]]-Таблица1[[#This Row],[Дата поступления]]</f>
        <v>44</v>
      </c>
      <c r="S111" s="2">
        <f>Таблица1[[#This Row],[Дата поступления]]-Таблица1[[#This Row],[Дата рождения]]</f>
        <v>51</v>
      </c>
    </row>
    <row r="112" spans="18:19" x14ac:dyDescent="0.25">
      <c r="R112" s="2">
        <f>Таблица1[[#This Row],[Дата перевода]]-Таблица1[[#This Row],[Дата поступления]]</f>
        <v>1</v>
      </c>
      <c r="S112" s="2">
        <f>Таблица1[[#This Row],[Дата поступления]]-Таблица1[[#This Row],[Дата рождения]]</f>
        <v>808</v>
      </c>
    </row>
    <row r="113" spans="18:19" x14ac:dyDescent="0.25">
      <c r="R113" s="2">
        <f>Таблица1[[#This Row],[Дата перевода]]-Таблица1[[#This Row],[Дата поступления]]</f>
        <v>1</v>
      </c>
      <c r="S113" s="2">
        <f>Таблица1[[#This Row],[Дата поступления]]-Таблица1[[#This Row],[Дата рождения]]</f>
        <v>3715</v>
      </c>
    </row>
    <row r="114" spans="18:19" x14ac:dyDescent="0.25">
      <c r="R114" s="2">
        <f>Таблица1[[#This Row],[Дата перевода]]-Таблица1[[#This Row],[Дата поступления]]</f>
        <v>3</v>
      </c>
      <c r="S114" s="2">
        <f>Таблица1[[#This Row],[Дата поступления]]-Таблица1[[#This Row],[Дата рождения]]</f>
        <v>5089</v>
      </c>
    </row>
    <row r="115" spans="18:19" x14ac:dyDescent="0.25">
      <c r="R115" s="2">
        <f>Таблица1[[#This Row],[Дата перевода]]-Таблица1[[#This Row],[Дата поступления]]</f>
        <v>2</v>
      </c>
      <c r="S115" s="2">
        <f>Таблица1[[#This Row],[Дата поступления]]-Таблица1[[#This Row],[Дата рождения]]</f>
        <v>3204</v>
      </c>
    </row>
    <row r="116" spans="18:19" x14ac:dyDescent="0.25">
      <c r="R116" s="2">
        <f>Таблица1[[#This Row],[Дата перевода]]-Таблица1[[#This Row],[Дата поступления]]</f>
        <v>3</v>
      </c>
      <c r="S116" s="2">
        <f>Таблица1[[#This Row],[Дата поступления]]-Таблица1[[#This Row],[Дата рождения]]</f>
        <v>29</v>
      </c>
    </row>
    <row r="117" spans="18:19" x14ac:dyDescent="0.25">
      <c r="R117" s="2">
        <f>Таблица1[[#This Row],[Дата перевода]]-Таблица1[[#This Row],[Дата поступления]]</f>
        <v>2</v>
      </c>
      <c r="S117" s="2">
        <f>Таблица1[[#This Row],[Дата поступления]]-Таблица1[[#This Row],[Дата рождения]]</f>
        <v>3770</v>
      </c>
    </row>
    <row r="118" spans="18:19" x14ac:dyDescent="0.25">
      <c r="R118" s="2">
        <f>Таблица1[[#This Row],[Дата перевода]]-Таблица1[[#This Row],[Дата поступления]]</f>
        <v>1</v>
      </c>
      <c r="S118" s="2">
        <f>Таблица1[[#This Row],[Дата поступления]]-Таблица1[[#This Row],[Дата рождения]]</f>
        <v>5722</v>
      </c>
    </row>
    <row r="119" spans="18:19" x14ac:dyDescent="0.25">
      <c r="R119" s="2">
        <f>Таблица1[[#This Row],[Дата перевода]]-Таблица1[[#This Row],[Дата поступления]]</f>
        <v>2</v>
      </c>
      <c r="S119" s="2">
        <f>Таблица1[[#This Row],[Дата поступления]]-Таблица1[[#This Row],[Дата рождения]]</f>
        <v>335</v>
      </c>
    </row>
    <row r="120" spans="18:19" x14ac:dyDescent="0.25">
      <c r="R120" s="2">
        <f>Таблица1[[#This Row],[Дата перевода]]-Таблица1[[#This Row],[Дата поступления]]</f>
        <v>2</v>
      </c>
      <c r="S120" s="2">
        <f>Таблица1[[#This Row],[Дата поступления]]-Таблица1[[#This Row],[Дата рождения]]</f>
        <v>3718</v>
      </c>
    </row>
    <row r="121" spans="18:19" x14ac:dyDescent="0.25">
      <c r="R121" s="2">
        <f>Таблица1[[#This Row],[Дата перевода]]-Таблица1[[#This Row],[Дата поступления]]</f>
        <v>7</v>
      </c>
      <c r="S121" s="2">
        <f>Таблица1[[#This Row],[Дата поступления]]-Таблица1[[#This Row],[Дата рождения]]</f>
        <v>5580</v>
      </c>
    </row>
    <row r="122" spans="18:19" x14ac:dyDescent="0.25">
      <c r="R122" s="2">
        <f>Таблица1[[#This Row],[Дата перевода]]-Таблица1[[#This Row],[Дата поступления]]</f>
        <v>0</v>
      </c>
      <c r="S122" s="2">
        <f>Таблица1[[#This Row],[Дата поступления]]-Таблица1[[#This Row],[Дата рождения]]</f>
        <v>1122</v>
      </c>
    </row>
    <row r="123" spans="18:19" x14ac:dyDescent="0.25">
      <c r="R123" s="2">
        <f>Таблица1[[#This Row],[Дата перевода]]-Таблица1[[#This Row],[Дата поступления]]</f>
        <v>14</v>
      </c>
      <c r="S123" s="2">
        <f>Таблица1[[#This Row],[Дата поступления]]-Таблица1[[#This Row],[Дата рождения]]</f>
        <v>4173</v>
      </c>
    </row>
    <row r="124" spans="18:19" x14ac:dyDescent="0.25">
      <c r="R124" s="2">
        <f>Таблица1[[#This Row],[Дата перевода]]-Таблица1[[#This Row],[Дата поступления]]</f>
        <v>2</v>
      </c>
      <c r="S124" s="2">
        <f>Таблица1[[#This Row],[Дата поступления]]-Таблица1[[#This Row],[Дата рождения]]</f>
        <v>5430</v>
      </c>
    </row>
    <row r="125" spans="18:19" x14ac:dyDescent="0.25">
      <c r="R125" s="2">
        <f>Таблица1[[#This Row],[Дата перевода]]-Таблица1[[#This Row],[Дата поступления]]</f>
        <v>6</v>
      </c>
      <c r="S125" s="2">
        <f>Таблица1[[#This Row],[Дата поступления]]-Таблица1[[#This Row],[Дата рождения]]</f>
        <v>6539</v>
      </c>
    </row>
    <row r="126" spans="18:19" x14ac:dyDescent="0.25">
      <c r="R126" s="2">
        <f>Таблица1[[#This Row],[Дата перевода]]-Таблица1[[#This Row],[Дата поступления]]</f>
        <v>1</v>
      </c>
      <c r="S126" s="2">
        <f>Таблица1[[#This Row],[Дата поступления]]-Таблица1[[#This Row],[Дата рождения]]</f>
        <v>4572</v>
      </c>
    </row>
    <row r="127" spans="18:19" x14ac:dyDescent="0.25">
      <c r="R127" s="2">
        <f>Таблица1[[#This Row],[Дата перевода]]-Таблица1[[#This Row],[Дата поступления]]</f>
        <v>1</v>
      </c>
      <c r="S127" s="2">
        <f>Таблица1[[#This Row],[Дата поступления]]-Таблица1[[#This Row],[Дата рождения]]</f>
        <v>3729</v>
      </c>
    </row>
    <row r="128" spans="18:19" x14ac:dyDescent="0.25">
      <c r="R128" s="2">
        <f>Таблица1[[#This Row],[Дата перевода]]-Таблица1[[#This Row],[Дата поступления]]</f>
        <v>0</v>
      </c>
      <c r="S128" s="2">
        <f>Таблица1[[#This Row],[Дата поступления]]-Таблица1[[#This Row],[Дата рождения]]</f>
        <v>4127</v>
      </c>
    </row>
    <row r="129" spans="18:19" x14ac:dyDescent="0.25">
      <c r="R129" s="2">
        <f>Таблица1[[#This Row],[Дата перевода]]-Таблица1[[#This Row],[Дата поступления]]</f>
        <v>5</v>
      </c>
      <c r="S129" s="2">
        <f>Таблица1[[#This Row],[Дата поступления]]-Таблица1[[#This Row],[Дата рождения]]</f>
        <v>617</v>
      </c>
    </row>
    <row r="130" spans="18:19" x14ac:dyDescent="0.25">
      <c r="R130" s="2">
        <f>Таблица1[[#This Row],[Дата перевода]]-Таблица1[[#This Row],[Дата поступления]]</f>
        <v>1</v>
      </c>
      <c r="S130" s="2">
        <f>Таблица1[[#This Row],[Дата поступления]]-Таблица1[[#This Row],[Дата рождения]]</f>
        <v>44283</v>
      </c>
    </row>
    <row r="131" spans="18:19" x14ac:dyDescent="0.25">
      <c r="R131" s="2">
        <f>Таблица1[[#This Row],[Дата перевода]]-Таблица1[[#This Row],[Дата поступления]]</f>
        <v>3</v>
      </c>
      <c r="S131" s="2">
        <f>Таблица1[[#This Row],[Дата поступления]]-Таблица1[[#This Row],[Дата рождения]]</f>
        <v>1437</v>
      </c>
    </row>
    <row r="132" spans="18:19" x14ac:dyDescent="0.25">
      <c r="R132" s="2">
        <f>Таблица1[[#This Row],[Дата перевода]]-Таблица1[[#This Row],[Дата поступления]]</f>
        <v>1</v>
      </c>
      <c r="S132" s="2">
        <f>Таблица1[[#This Row],[Дата поступления]]-Таблица1[[#This Row],[Дата рождения]]</f>
        <v>1162</v>
      </c>
    </row>
    <row r="133" spans="18:19" x14ac:dyDescent="0.25">
      <c r="R133" s="2">
        <f>Таблица1[[#This Row],[Дата перевода]]-Таблица1[[#This Row],[Дата поступления]]</f>
        <v>1</v>
      </c>
      <c r="S133" s="2">
        <f>Таблица1[[#This Row],[Дата поступления]]-Таблица1[[#This Row],[Дата рождения]]</f>
        <v>1076</v>
      </c>
    </row>
    <row r="134" spans="18:19" x14ac:dyDescent="0.25">
      <c r="R134" s="2">
        <f>Таблица1[[#This Row],[Дата перевода]]-Таблица1[[#This Row],[Дата поступления]]</f>
        <v>0</v>
      </c>
      <c r="S134" s="2">
        <f>Таблица1[[#This Row],[Дата поступления]]-Таблица1[[#This Row],[Дата рождения]]</f>
        <v>1</v>
      </c>
    </row>
    <row r="135" spans="18:19" x14ac:dyDescent="0.25">
      <c r="R135" s="2">
        <f>Таблица1[[#This Row],[Дата перевода]]-Таблица1[[#This Row],[Дата поступления]]</f>
        <v>0</v>
      </c>
      <c r="S135" s="2">
        <f>Таблица1[[#This Row],[Дата поступления]]-Таблица1[[#This Row],[Дата рождения]]</f>
        <v>6272</v>
      </c>
    </row>
    <row r="136" spans="18:19" x14ac:dyDescent="0.25">
      <c r="R136" s="2">
        <f>Таблица1[[#This Row],[Дата перевода]]-Таблица1[[#This Row],[Дата поступления]]</f>
        <v>1</v>
      </c>
      <c r="S136" s="2">
        <f>Таблица1[[#This Row],[Дата поступления]]-Таблица1[[#This Row],[Дата рождения]]</f>
        <v>6202</v>
      </c>
    </row>
    <row r="137" spans="18:19" x14ac:dyDescent="0.25">
      <c r="R137" s="2">
        <f>Таблица1[[#This Row],[Дата перевода]]-Таблица1[[#This Row],[Дата поступления]]</f>
        <v>16</v>
      </c>
      <c r="S137" s="2">
        <f>Таблица1[[#This Row],[Дата поступления]]-Таблица1[[#This Row],[Дата рождения]]</f>
        <v>295</v>
      </c>
    </row>
    <row r="138" spans="18:19" x14ac:dyDescent="0.25">
      <c r="R138" s="2">
        <f>Таблица1[[#This Row],[Дата перевода]]-Таблица1[[#This Row],[Дата поступления]]</f>
        <v>3</v>
      </c>
      <c r="S138" s="2">
        <f>Таблица1[[#This Row],[Дата поступления]]-Таблица1[[#This Row],[Дата рождения]]</f>
        <v>805</v>
      </c>
    </row>
    <row r="139" spans="18:19" x14ac:dyDescent="0.25">
      <c r="R139" s="2">
        <f>Таблица1[[#This Row],[Дата перевода]]-Таблица1[[#This Row],[Дата поступления]]</f>
        <v>1</v>
      </c>
      <c r="S139" s="2">
        <f>Таблица1[[#This Row],[Дата поступления]]-Таблица1[[#This Row],[Дата рождения]]</f>
        <v>3922</v>
      </c>
    </row>
    <row r="140" spans="18:19" x14ac:dyDescent="0.25">
      <c r="R140" s="2">
        <f>Таблица1[[#This Row],[Дата перевода]]-Таблица1[[#This Row],[Дата поступления]]</f>
        <v>1</v>
      </c>
      <c r="S140" s="2">
        <f>Таблица1[[#This Row],[Дата поступления]]-Таблица1[[#This Row],[Дата рождения]]</f>
        <v>4356</v>
      </c>
    </row>
    <row r="141" spans="18:19" x14ac:dyDescent="0.25">
      <c r="R141" s="2">
        <f>Таблица1[[#This Row],[Дата перевода]]-Таблица1[[#This Row],[Дата поступления]]</f>
        <v>2</v>
      </c>
      <c r="S141" s="2">
        <f>Таблица1[[#This Row],[Дата поступления]]-Таблица1[[#This Row],[Дата рождения]]</f>
        <v>3550</v>
      </c>
    </row>
    <row r="142" spans="18:19" x14ac:dyDescent="0.25">
      <c r="R142" s="2">
        <f>Таблица1[[#This Row],[Дата перевода]]-Таблица1[[#This Row],[Дата поступления]]</f>
        <v>1</v>
      </c>
      <c r="S142" s="2">
        <f>Таблица1[[#This Row],[Дата поступления]]-Таблица1[[#This Row],[Дата рождения]]</f>
        <v>1136</v>
      </c>
    </row>
    <row r="143" spans="18:19" x14ac:dyDescent="0.25">
      <c r="R143" s="2">
        <f>Таблица1[[#This Row],[Дата перевода]]-Таблица1[[#This Row],[Дата поступления]]</f>
        <v>1</v>
      </c>
      <c r="S143" s="2">
        <f>Таблица1[[#This Row],[Дата поступления]]-Таблица1[[#This Row],[Дата рождения]]</f>
        <v>546</v>
      </c>
    </row>
    <row r="144" spans="18:19" x14ac:dyDescent="0.25">
      <c r="R144" s="2">
        <f>Таблица1[[#This Row],[Дата перевода]]-Таблица1[[#This Row],[Дата поступления]]</f>
        <v>1</v>
      </c>
      <c r="S144" s="2">
        <f>Таблица1[[#This Row],[Дата поступления]]-Таблица1[[#This Row],[Дата рождения]]</f>
        <v>1316</v>
      </c>
    </row>
    <row r="145" spans="18:19" x14ac:dyDescent="0.25">
      <c r="R145" s="2">
        <f>Таблица1[[#This Row],[Дата перевода]]-Таблица1[[#This Row],[Дата поступления]]</f>
        <v>2</v>
      </c>
      <c r="S145" s="2">
        <f>Таблица1[[#This Row],[Дата поступления]]-Таблица1[[#This Row],[Дата рождения]]</f>
        <v>1</v>
      </c>
    </row>
    <row r="146" spans="18:19" x14ac:dyDescent="0.25">
      <c r="R146" s="2">
        <f>Таблица1[[#This Row],[Дата перевода]]-Таблица1[[#This Row],[Дата поступления]]</f>
        <v>2</v>
      </c>
      <c r="S146" s="2">
        <f>Таблица1[[#This Row],[Дата поступления]]-Таблица1[[#This Row],[Дата рождения]]</f>
        <v>4361</v>
      </c>
    </row>
    <row r="147" spans="18:19" x14ac:dyDescent="0.25">
      <c r="R147" s="2">
        <f>Таблица1[[#This Row],[Дата перевода]]-Таблица1[[#This Row],[Дата поступления]]</f>
        <v>2</v>
      </c>
      <c r="S147" s="2">
        <f>Таблица1[[#This Row],[Дата поступления]]-Таблица1[[#This Row],[Дата рождения]]</f>
        <v>4103</v>
      </c>
    </row>
    <row r="148" spans="18:19" x14ac:dyDescent="0.25">
      <c r="R148" s="2">
        <f>Таблица1[[#This Row],[Дата перевода]]-Таблица1[[#This Row],[Дата поступления]]</f>
        <v>1</v>
      </c>
      <c r="S148" s="2">
        <f>Таблица1[[#This Row],[Дата поступления]]-Таблица1[[#This Row],[Дата рождения]]</f>
        <v>5960</v>
      </c>
    </row>
    <row r="149" spans="18:19" x14ac:dyDescent="0.25">
      <c r="R149" s="2">
        <f>Таблица1[[#This Row],[Дата перевода]]-Таблица1[[#This Row],[Дата поступления]]</f>
        <v>1</v>
      </c>
      <c r="S149" s="2">
        <f>Таблица1[[#This Row],[Дата поступления]]-Таблица1[[#This Row],[Дата рождения]]</f>
        <v>3965</v>
      </c>
    </row>
    <row r="150" spans="18:19" x14ac:dyDescent="0.25">
      <c r="R150" s="2">
        <f>Таблица1[[#This Row],[Дата перевода]]-Таблица1[[#This Row],[Дата поступления]]</f>
        <v>0</v>
      </c>
      <c r="S150" s="2">
        <f>Таблица1[[#This Row],[Дата поступления]]-Таблица1[[#This Row],[Дата рождения]]</f>
        <v>812</v>
      </c>
    </row>
    <row r="151" spans="18:19" x14ac:dyDescent="0.25">
      <c r="R151" s="2">
        <f>Таблица1[[#This Row],[Дата перевода]]-Таблица1[[#This Row],[Дата поступления]]</f>
        <v>6</v>
      </c>
      <c r="S151" s="2">
        <f>Таблица1[[#This Row],[Дата поступления]]-Таблица1[[#This Row],[Дата рождения]]</f>
        <v>6273</v>
      </c>
    </row>
    <row r="152" spans="18:19" x14ac:dyDescent="0.25">
      <c r="R152" s="2">
        <f>Таблица1[[#This Row],[Дата перевода]]-Таблица1[[#This Row],[Дата поступления]]</f>
        <v>1</v>
      </c>
      <c r="S152" s="2">
        <f>Таблица1[[#This Row],[Дата поступления]]-Таблица1[[#This Row],[Дата рождения]]</f>
        <v>1357</v>
      </c>
    </row>
    <row r="153" spans="18:19" x14ac:dyDescent="0.25">
      <c r="R153" s="2">
        <f>Таблица1[[#This Row],[Дата перевода]]-Таблица1[[#This Row],[Дата поступления]]</f>
        <v>1</v>
      </c>
      <c r="S153" s="2">
        <f>Таблица1[[#This Row],[Дата поступления]]-Таблица1[[#This Row],[Дата рождения]]</f>
        <v>186</v>
      </c>
    </row>
    <row r="154" spans="18:19" x14ac:dyDescent="0.25">
      <c r="R154" s="2">
        <f>Таблица1[[#This Row],[Дата перевода]]-Таблица1[[#This Row],[Дата поступления]]</f>
        <v>1</v>
      </c>
      <c r="S154" s="2">
        <f>Таблица1[[#This Row],[Дата поступления]]-Таблица1[[#This Row],[Дата рождения]]</f>
        <v>2912</v>
      </c>
    </row>
    <row r="155" spans="18:19" x14ac:dyDescent="0.25">
      <c r="R155" s="2">
        <f>Таблица1[[#This Row],[Дата перевода]]-Таблица1[[#This Row],[Дата поступления]]</f>
        <v>5</v>
      </c>
      <c r="S155" s="2">
        <f>Таблица1[[#This Row],[Дата поступления]]-Таблица1[[#This Row],[Дата рождения]]</f>
        <v>63</v>
      </c>
    </row>
    <row r="156" spans="18:19" x14ac:dyDescent="0.25">
      <c r="R156" s="2">
        <f>Таблица1[[#This Row],[Дата перевода]]-Таблица1[[#This Row],[Дата поступления]]</f>
        <v>5</v>
      </c>
      <c r="S156" s="2">
        <f>Таблица1[[#This Row],[Дата поступления]]-Таблица1[[#This Row],[Дата рождения]]</f>
        <v>152</v>
      </c>
    </row>
    <row r="157" spans="18:19" x14ac:dyDescent="0.25">
      <c r="R157" s="2">
        <f>Таблица1[[#This Row],[Дата перевода]]-Таблица1[[#This Row],[Дата поступления]]</f>
        <v>3</v>
      </c>
      <c r="S157" s="2">
        <f>Таблица1[[#This Row],[Дата поступления]]-Таблица1[[#This Row],[Дата рождения]]</f>
        <v>1109</v>
      </c>
    </row>
    <row r="158" spans="18:19" x14ac:dyDescent="0.25">
      <c r="R158" s="2">
        <f>Таблица1[[#This Row],[Дата перевода]]-Таблица1[[#This Row],[Дата поступления]]</f>
        <v>1</v>
      </c>
      <c r="S158" s="2">
        <f>Таблица1[[#This Row],[Дата поступления]]-Таблица1[[#This Row],[Дата рождения]]</f>
        <v>4410</v>
      </c>
    </row>
    <row r="159" spans="18:19" x14ac:dyDescent="0.25">
      <c r="R159" s="2">
        <f>Таблица1[[#This Row],[Дата перевода]]-Таблица1[[#This Row],[Дата поступления]]</f>
        <v>1</v>
      </c>
      <c r="S159" s="2">
        <f>Таблица1[[#This Row],[Дата поступления]]-Таблица1[[#This Row],[Дата рождения]]</f>
        <v>461</v>
      </c>
    </row>
    <row r="160" spans="18:19" x14ac:dyDescent="0.25">
      <c r="R160" s="2">
        <f>Таблица1[[#This Row],[Дата перевода]]-Таблица1[[#This Row],[Дата поступления]]</f>
        <v>1</v>
      </c>
      <c r="S160" s="2">
        <f>Таблица1[[#This Row],[Дата поступления]]-Таблица1[[#This Row],[Дата рождения]]</f>
        <v>44296</v>
      </c>
    </row>
    <row r="161" spans="18:19" x14ac:dyDescent="0.25">
      <c r="R161" s="2">
        <f>Таблица1[[#This Row],[Дата перевода]]-Таблица1[[#This Row],[Дата поступления]]</f>
        <v>1</v>
      </c>
      <c r="S161" s="2">
        <f>Таблица1[[#This Row],[Дата поступления]]-Таблица1[[#This Row],[Дата рождения]]</f>
        <v>5179</v>
      </c>
    </row>
    <row r="162" spans="18:19" x14ac:dyDescent="0.25">
      <c r="R162" s="2">
        <f>Таблица1[[#This Row],[Дата перевода]]-Таблица1[[#This Row],[Дата поступления]]</f>
        <v>-30</v>
      </c>
      <c r="S162" s="2">
        <f>Таблица1[[#This Row],[Дата поступления]]-Таблица1[[#This Row],[Дата рождения]]</f>
        <v>4612</v>
      </c>
    </row>
    <row r="163" spans="18:19" x14ac:dyDescent="0.25">
      <c r="R163" s="2">
        <f>Таблица1[[#This Row],[Дата перевода]]-Таблица1[[#This Row],[Дата поступления]]</f>
        <v>-30</v>
      </c>
      <c r="S163" s="2">
        <f>Таблица1[[#This Row],[Дата поступления]]-Таблица1[[#This Row],[Дата рождения]]</f>
        <v>2537</v>
      </c>
    </row>
    <row r="164" spans="18:19" x14ac:dyDescent="0.25">
      <c r="R164" s="2">
        <f>Таблица1[[#This Row],[Дата перевода]]-Таблица1[[#This Row],[Дата поступления]]</f>
        <v>2</v>
      </c>
      <c r="S164" s="2">
        <f>Таблица1[[#This Row],[Дата поступления]]-Таблица1[[#This Row],[Дата рождения]]</f>
        <v>275</v>
      </c>
    </row>
    <row r="165" spans="18:19" x14ac:dyDescent="0.25">
      <c r="R165" s="2">
        <f>Таблица1[[#This Row],[Дата перевода]]-Таблица1[[#This Row],[Дата поступления]]</f>
        <v>2</v>
      </c>
      <c r="S165" s="2">
        <f>Таблица1[[#This Row],[Дата поступления]]-Таблица1[[#This Row],[Дата рождения]]</f>
        <v>1117</v>
      </c>
    </row>
    <row r="166" spans="18:19" x14ac:dyDescent="0.25">
      <c r="R166" s="2">
        <f>Таблица1[[#This Row],[Дата перевода]]-Таблица1[[#This Row],[Дата поступления]]</f>
        <v>6</v>
      </c>
      <c r="S166" s="2">
        <f>Таблица1[[#This Row],[Дата поступления]]-Таблица1[[#This Row],[Дата рождения]]</f>
        <v>24</v>
      </c>
    </row>
    <row r="167" spans="18:19" x14ac:dyDescent="0.25">
      <c r="R167" s="2">
        <f>Таблица1[[#This Row],[Дата перевода]]-Таблица1[[#This Row],[Дата поступления]]</f>
        <v>7</v>
      </c>
      <c r="S167" s="2">
        <f>Таблица1[[#This Row],[Дата поступления]]-Таблица1[[#This Row],[Дата рождения]]</f>
        <v>421</v>
      </c>
    </row>
    <row r="168" spans="18:19" x14ac:dyDescent="0.25">
      <c r="R168" s="2">
        <f>Таблица1[[#This Row],[Дата перевода]]-Таблица1[[#This Row],[Дата поступления]]</f>
        <v>2</v>
      </c>
      <c r="S168" s="2">
        <f>Таблица1[[#This Row],[Дата поступления]]-Таблица1[[#This Row],[Дата рождения]]</f>
        <v>2938</v>
      </c>
    </row>
    <row r="169" spans="18:19" x14ac:dyDescent="0.25">
      <c r="R169" s="2">
        <f>Таблица1[[#This Row],[Дата перевода]]-Таблица1[[#This Row],[Дата поступления]]</f>
        <v>1</v>
      </c>
      <c r="S169" s="2">
        <f>Таблица1[[#This Row],[Дата поступления]]-Таблица1[[#This Row],[Дата рождения]]</f>
        <v>1962</v>
      </c>
    </row>
    <row r="170" spans="18:19" x14ac:dyDescent="0.25">
      <c r="R170" s="2">
        <f>Таблица1[[#This Row],[Дата перевода]]-Таблица1[[#This Row],[Дата поступления]]</f>
        <v>1</v>
      </c>
      <c r="S170" s="2">
        <f>Таблица1[[#This Row],[Дата поступления]]-Таблица1[[#This Row],[Дата рождения]]</f>
        <v>4899</v>
      </c>
    </row>
    <row r="171" spans="18:19" x14ac:dyDescent="0.25">
      <c r="R171" s="2">
        <f>Таблица1[[#This Row],[Дата перевода]]-Таблица1[[#This Row],[Дата поступления]]</f>
        <v>1</v>
      </c>
      <c r="S171" s="2">
        <f>Таблица1[[#This Row],[Дата поступления]]-Таблица1[[#This Row],[Дата рождения]]</f>
        <v>2306</v>
      </c>
    </row>
    <row r="172" spans="18:19" x14ac:dyDescent="0.25">
      <c r="R172" s="2">
        <f>Таблица1[[#This Row],[Дата перевода]]-Таблица1[[#This Row],[Дата поступления]]</f>
        <v>0</v>
      </c>
      <c r="S172" s="2">
        <f>Таблица1[[#This Row],[Дата поступления]]-Таблица1[[#This Row],[Дата рождения]]</f>
        <v>3754</v>
      </c>
    </row>
    <row r="173" spans="18:19" x14ac:dyDescent="0.25">
      <c r="R173" s="2">
        <f>Таблица1[[#This Row],[Дата перевода]]-Таблица1[[#This Row],[Дата поступления]]</f>
        <v>1</v>
      </c>
      <c r="S173" s="2">
        <f>Таблица1[[#This Row],[Дата поступления]]-Таблица1[[#This Row],[Дата рождения]]</f>
        <v>3172</v>
      </c>
    </row>
    <row r="174" spans="18:19" x14ac:dyDescent="0.25">
      <c r="R174" s="2">
        <f>Таблица1[[#This Row],[Дата перевода]]-Таблица1[[#This Row],[Дата поступления]]</f>
        <v>1</v>
      </c>
      <c r="S174" s="2">
        <f>Таблица1[[#This Row],[Дата поступления]]-Таблица1[[#This Row],[Дата рождения]]</f>
        <v>66</v>
      </c>
    </row>
    <row r="175" spans="18:19" x14ac:dyDescent="0.25">
      <c r="R175" s="2">
        <f>Таблица1[[#This Row],[Дата перевода]]-Таблица1[[#This Row],[Дата поступления]]</f>
        <v>2</v>
      </c>
      <c r="S175" s="2">
        <f>Таблица1[[#This Row],[Дата поступления]]-Таблица1[[#This Row],[Дата рождения]]</f>
        <v>0</v>
      </c>
    </row>
    <row r="176" spans="18:19" x14ac:dyDescent="0.25">
      <c r="R176" s="2">
        <f>Таблица1[[#This Row],[Дата перевода]]-Таблица1[[#This Row],[Дата поступления]]</f>
        <v>1</v>
      </c>
      <c r="S176" s="2">
        <f>Таблица1[[#This Row],[Дата поступления]]-Таблица1[[#This Row],[Дата рождения]]</f>
        <v>85</v>
      </c>
    </row>
    <row r="177" spans="18:19" x14ac:dyDescent="0.25">
      <c r="R177" s="2">
        <f>Таблица1[[#This Row],[Дата перевода]]-Таблица1[[#This Row],[Дата поступления]]</f>
        <v>1</v>
      </c>
      <c r="S177" s="2">
        <f>Таблица1[[#This Row],[Дата поступления]]-Таблица1[[#This Row],[Дата рождения]]</f>
        <v>3899</v>
      </c>
    </row>
    <row r="178" spans="18:19" x14ac:dyDescent="0.25">
      <c r="R178" s="2">
        <f>Таблица1[[#This Row],[Дата перевода]]-Таблица1[[#This Row],[Дата поступления]]</f>
        <v>1</v>
      </c>
      <c r="S178" s="2">
        <f>Таблица1[[#This Row],[Дата поступления]]-Таблица1[[#This Row],[Дата рождения]]</f>
        <v>1742</v>
      </c>
    </row>
    <row r="179" spans="18:19" x14ac:dyDescent="0.25">
      <c r="R179" s="2">
        <f>Таблица1[[#This Row],[Дата перевода]]-Таблица1[[#This Row],[Дата поступления]]</f>
        <v>1</v>
      </c>
      <c r="S179" s="2">
        <f>Таблица1[[#This Row],[Дата поступления]]-Таблица1[[#This Row],[Дата рождения]]</f>
        <v>925</v>
      </c>
    </row>
    <row r="180" spans="18:19" x14ac:dyDescent="0.25">
      <c r="R180" s="2">
        <f>Таблица1[[#This Row],[Дата перевода]]-Таблица1[[#This Row],[Дата поступления]]</f>
        <v>1</v>
      </c>
      <c r="S180" s="2">
        <f>Таблица1[[#This Row],[Дата поступления]]-Таблица1[[#This Row],[Дата рождения]]</f>
        <v>5321</v>
      </c>
    </row>
    <row r="181" spans="18:19" x14ac:dyDescent="0.25">
      <c r="R181" s="2">
        <f>Таблица1[[#This Row],[Дата перевода]]-Таблица1[[#This Row],[Дата поступления]]</f>
        <v>1</v>
      </c>
      <c r="S181" s="2">
        <f>Таблица1[[#This Row],[Дата поступления]]-Таблица1[[#This Row],[Дата рождения]]</f>
        <v>1623</v>
      </c>
    </row>
    <row r="182" spans="18:19" x14ac:dyDescent="0.25">
      <c r="R182" s="2">
        <f>Таблица1[[#This Row],[Дата перевода]]-Таблица1[[#This Row],[Дата поступления]]</f>
        <v>1</v>
      </c>
      <c r="S182" s="2">
        <f>Таблица1[[#This Row],[Дата поступления]]-Таблица1[[#This Row],[Дата рождения]]</f>
        <v>2682</v>
      </c>
    </row>
    <row r="183" spans="18:19" x14ac:dyDescent="0.25">
      <c r="R183" s="2">
        <f>Таблица1[[#This Row],[Дата перевода]]-Таблица1[[#This Row],[Дата поступления]]</f>
        <v>1</v>
      </c>
      <c r="S183" s="2">
        <f>Таблица1[[#This Row],[Дата поступления]]-Таблица1[[#This Row],[Дата рождения]]</f>
        <v>1185</v>
      </c>
    </row>
    <row r="184" spans="18:19" x14ac:dyDescent="0.25">
      <c r="R184" s="2">
        <f>Таблица1[[#This Row],[Дата перевода]]-Таблица1[[#This Row],[Дата поступления]]</f>
        <v>1</v>
      </c>
      <c r="S184" s="2">
        <f>Таблица1[[#This Row],[Дата поступления]]-Таблица1[[#This Row],[Дата рождения]]</f>
        <v>653</v>
      </c>
    </row>
    <row r="185" spans="18:19" x14ac:dyDescent="0.25">
      <c r="R185" s="2">
        <f>Таблица1[[#This Row],[Дата перевода]]-Таблица1[[#This Row],[Дата поступления]]</f>
        <v>5</v>
      </c>
      <c r="S185" s="2">
        <f>Таблица1[[#This Row],[Дата поступления]]-Таблица1[[#This Row],[Дата рождения]]</f>
        <v>78</v>
      </c>
    </row>
    <row r="186" spans="18:19" x14ac:dyDescent="0.25">
      <c r="R186" s="2">
        <f>Таблица1[[#This Row],[Дата перевода]]-Таблица1[[#This Row],[Дата поступления]]</f>
        <v>2</v>
      </c>
      <c r="S186" s="2">
        <f>Таблица1[[#This Row],[Дата поступления]]-Таблица1[[#This Row],[Дата рождения]]</f>
        <v>655</v>
      </c>
    </row>
    <row r="187" spans="18:19" x14ac:dyDescent="0.25">
      <c r="R187" s="2">
        <f>Таблица1[[#This Row],[Дата перевода]]-Таблица1[[#This Row],[Дата поступления]]</f>
        <v>-30</v>
      </c>
      <c r="S187" s="2">
        <f>Таблица1[[#This Row],[Дата поступления]]-Таблица1[[#This Row],[Дата рождения]]</f>
        <v>4627</v>
      </c>
    </row>
    <row r="188" spans="18:19" x14ac:dyDescent="0.25">
      <c r="R188" s="2">
        <f>Таблица1[[#This Row],[Дата перевода]]-Таблица1[[#This Row],[Дата поступления]]</f>
        <v>-30</v>
      </c>
      <c r="S188" s="2">
        <f>Таблица1[[#This Row],[Дата поступления]]-Таблица1[[#This Row],[Дата рождения]]</f>
        <v>2552</v>
      </c>
    </row>
    <row r="189" spans="18:19" x14ac:dyDescent="0.25">
      <c r="R189" s="2">
        <f>Таблица1[[#This Row],[Дата перевода]]-Таблица1[[#This Row],[Дата поступления]]</f>
        <v>1</v>
      </c>
      <c r="S189" s="2">
        <f>Таблица1[[#This Row],[Дата поступления]]-Таблица1[[#This Row],[Дата рождения]]</f>
        <v>3942</v>
      </c>
    </row>
    <row r="190" spans="18:19" x14ac:dyDescent="0.25">
      <c r="R190" s="2">
        <f>Таблица1[[#This Row],[Дата перевода]]-Таблица1[[#This Row],[Дата поступления]]</f>
        <v>6</v>
      </c>
      <c r="S190" s="2">
        <f>Таблица1[[#This Row],[Дата поступления]]-Таблица1[[#This Row],[Дата рождения]]</f>
        <v>5893</v>
      </c>
    </row>
    <row r="191" spans="18:19" x14ac:dyDescent="0.25">
      <c r="R191" s="2">
        <f>Таблица1[[#This Row],[Дата перевода]]-Таблица1[[#This Row],[Дата поступления]]</f>
        <v>1</v>
      </c>
      <c r="S191" s="2">
        <f>Таблица1[[#This Row],[Дата поступления]]-Таблица1[[#This Row],[Дата рождения]]</f>
        <v>2279</v>
      </c>
    </row>
    <row r="192" spans="18:19" x14ac:dyDescent="0.25">
      <c r="R192" s="2">
        <f>Таблица1[[#This Row],[Дата перевода]]-Таблица1[[#This Row],[Дата поступления]]</f>
        <v>1</v>
      </c>
      <c r="S192" s="2">
        <f>Таблица1[[#This Row],[Дата поступления]]-Таблица1[[#This Row],[Дата рождения]]</f>
        <v>877</v>
      </c>
    </row>
    <row r="193" spans="18:19" x14ac:dyDescent="0.25">
      <c r="R193" s="2">
        <f>Таблица1[[#This Row],[Дата перевода]]-Таблица1[[#This Row],[Дата поступления]]</f>
        <v>2</v>
      </c>
      <c r="S193" s="2">
        <f>Таблица1[[#This Row],[Дата поступления]]-Таблица1[[#This Row],[Дата рождения]]</f>
        <v>5782</v>
      </c>
    </row>
    <row r="194" spans="18:19" x14ac:dyDescent="0.25">
      <c r="R194" s="2">
        <f>Таблица1[[#This Row],[Дата перевода]]-Таблица1[[#This Row],[Дата поступления]]</f>
        <v>2</v>
      </c>
      <c r="S194" s="2">
        <f>Таблица1[[#This Row],[Дата поступления]]-Таблица1[[#This Row],[Дата рождения]]</f>
        <v>254</v>
      </c>
    </row>
    <row r="195" spans="18:19" x14ac:dyDescent="0.25">
      <c r="R195" s="2">
        <f>Таблица1[[#This Row],[Дата перевода]]-Таблица1[[#This Row],[Дата поступления]]</f>
        <v>2</v>
      </c>
      <c r="S195" s="2">
        <f>Таблица1[[#This Row],[Дата поступления]]-Таблица1[[#This Row],[Дата рождения]]</f>
        <v>2414</v>
      </c>
    </row>
    <row r="196" spans="18:19" x14ac:dyDescent="0.25">
      <c r="R196" s="2">
        <f>Таблица1[[#This Row],[Дата перевода]]-Таблица1[[#This Row],[Дата поступления]]</f>
        <v>1</v>
      </c>
      <c r="S196" s="2">
        <f>Таблица1[[#This Row],[Дата поступления]]-Таблица1[[#This Row],[Дата рождения]]</f>
        <v>20</v>
      </c>
    </row>
    <row r="197" spans="18:19" x14ac:dyDescent="0.25">
      <c r="R197" s="2">
        <f>Таблица1[[#This Row],[Дата перевода]]-Таблица1[[#This Row],[Дата поступления]]</f>
        <v>1</v>
      </c>
      <c r="S197" s="2">
        <f>Таблица1[[#This Row],[Дата поступления]]-Таблица1[[#This Row],[Дата рождения]]</f>
        <v>5269</v>
      </c>
    </row>
    <row r="198" spans="18:19" x14ac:dyDescent="0.25">
      <c r="R198" s="2">
        <f>Таблица1[[#This Row],[Дата перевода]]-Таблица1[[#This Row],[Дата поступления]]</f>
        <v>6</v>
      </c>
      <c r="S198" s="2">
        <f>Таблица1[[#This Row],[Дата поступления]]-Таблица1[[#This Row],[Дата рождения]]</f>
        <v>0</v>
      </c>
    </row>
    <row r="199" spans="18:19" x14ac:dyDescent="0.25">
      <c r="R199" s="2">
        <f>Таблица1[[#This Row],[Дата перевода]]-Таблица1[[#This Row],[Дата поступления]]</f>
        <v>5</v>
      </c>
      <c r="S199" s="2">
        <f>Таблица1[[#This Row],[Дата поступления]]-Таблица1[[#This Row],[Дата рождения]]</f>
        <v>834</v>
      </c>
    </row>
    <row r="200" spans="18:19" x14ac:dyDescent="0.25">
      <c r="R200" s="2">
        <f>Таблица1[[#This Row],[Дата перевода]]-Таблица1[[#This Row],[Дата поступления]]</f>
        <v>8</v>
      </c>
      <c r="S200" s="2">
        <f>Таблица1[[#This Row],[Дата поступления]]-Таблица1[[#This Row],[Дата рождения]]</f>
        <v>608</v>
      </c>
    </row>
    <row r="201" spans="18:19" x14ac:dyDescent="0.25">
      <c r="R201" s="2">
        <f>Таблица1[[#This Row],[Дата перевода]]-Таблица1[[#This Row],[Дата поступления]]</f>
        <v>2</v>
      </c>
      <c r="S201" s="2">
        <f>Таблица1[[#This Row],[Дата поступления]]-Таблица1[[#This Row],[Дата рождения]]</f>
        <v>5058</v>
      </c>
    </row>
    <row r="202" spans="18:19" x14ac:dyDescent="0.25">
      <c r="R202" s="2">
        <f>Таблица1[[#This Row],[Дата перевода]]-Таблица1[[#This Row],[Дата поступления]]</f>
        <v>1</v>
      </c>
      <c r="S202" s="2">
        <f>Таблица1[[#This Row],[Дата поступления]]-Таблица1[[#This Row],[Дата рождения]]</f>
        <v>44323</v>
      </c>
    </row>
    <row r="203" spans="18:19" x14ac:dyDescent="0.25">
      <c r="R203" s="2">
        <f>Таблица1[[#This Row],[Дата перевода]]-Таблица1[[#This Row],[Дата поступления]]</f>
        <v>4</v>
      </c>
      <c r="S203" s="2">
        <f>Таблица1[[#This Row],[Дата поступления]]-Таблица1[[#This Row],[Дата рождения]]</f>
        <v>1978</v>
      </c>
    </row>
    <row r="204" spans="18:19" x14ac:dyDescent="0.25">
      <c r="R204" s="2">
        <f>Таблица1[[#This Row],[Дата перевода]]-Таблица1[[#This Row],[Дата поступления]]</f>
        <v>1</v>
      </c>
      <c r="S204" s="2">
        <f>Таблица1[[#This Row],[Дата поступления]]-Таблица1[[#This Row],[Дата рождения]]</f>
        <v>2767</v>
      </c>
    </row>
    <row r="205" spans="18:19" x14ac:dyDescent="0.25">
      <c r="R205" s="2">
        <f>Таблица1[[#This Row],[Дата перевода]]-Таблица1[[#This Row],[Дата поступления]]</f>
        <v>1</v>
      </c>
      <c r="S205" s="2">
        <f>Таблица1[[#This Row],[Дата поступления]]-Таблица1[[#This Row],[Дата рождения]]</f>
        <v>6547</v>
      </c>
    </row>
    <row r="206" spans="18:19" x14ac:dyDescent="0.25">
      <c r="R206" s="2">
        <f>Таблица1[[#This Row],[Дата перевода]]-Таблица1[[#This Row],[Дата поступления]]</f>
        <v>1</v>
      </c>
      <c r="S206" s="2">
        <f>Таблица1[[#This Row],[Дата поступления]]-Таблица1[[#This Row],[Дата рождения]]</f>
        <v>3279</v>
      </c>
    </row>
    <row r="207" spans="18:19" x14ac:dyDescent="0.25">
      <c r="R207" s="2">
        <f>Таблица1[[#This Row],[Дата перевода]]-Таблица1[[#This Row],[Дата поступления]]</f>
        <v>1</v>
      </c>
      <c r="S207" s="2">
        <f>Таблица1[[#This Row],[Дата поступления]]-Таблица1[[#This Row],[Дата рождения]]</f>
        <v>1256</v>
      </c>
    </row>
    <row r="208" spans="18:19" x14ac:dyDescent="0.25">
      <c r="R208" s="2">
        <f>Таблица1[[#This Row],[Дата перевода]]-Таблица1[[#This Row],[Дата поступления]]</f>
        <v>11</v>
      </c>
      <c r="S208" s="2">
        <f>Таблица1[[#This Row],[Дата поступления]]-Таблица1[[#This Row],[Дата рождения]]</f>
        <v>1978</v>
      </c>
    </row>
    <row r="209" spans="18:19" x14ac:dyDescent="0.25">
      <c r="R209" s="2">
        <f>Таблица1[[#This Row],[Дата перевода]]-Таблица1[[#This Row],[Дата поступления]]</f>
        <v>2</v>
      </c>
      <c r="S209" s="2">
        <f>Таблица1[[#This Row],[Дата поступления]]-Таблица1[[#This Row],[Дата рождения]]</f>
        <v>7</v>
      </c>
    </row>
    <row r="210" spans="18:19" x14ac:dyDescent="0.25">
      <c r="R210" s="2">
        <f>Таблица1[[#This Row],[Дата перевода]]-Таблица1[[#This Row],[Дата поступления]]</f>
        <v>6</v>
      </c>
      <c r="S210" s="2">
        <f>Таблица1[[#This Row],[Дата поступления]]-Таблица1[[#This Row],[Дата рождения]]</f>
        <v>2484</v>
      </c>
    </row>
    <row r="211" spans="18:19" x14ac:dyDescent="0.25">
      <c r="R211" s="2">
        <f>Таблица1[[#This Row],[Дата перевода]]-Таблица1[[#This Row],[Дата поступления]]</f>
        <v>2</v>
      </c>
      <c r="S211" s="2">
        <f>Таблица1[[#This Row],[Дата поступления]]-Таблица1[[#This Row],[Дата рождения]]</f>
        <v>1358</v>
      </c>
    </row>
    <row r="212" spans="18:19" x14ac:dyDescent="0.25">
      <c r="R212" s="2">
        <f>Таблица1[[#This Row],[Дата перевода]]-Таблица1[[#This Row],[Дата поступления]]</f>
        <v>2</v>
      </c>
      <c r="S212" s="2">
        <f>Таблица1[[#This Row],[Дата поступления]]-Таблица1[[#This Row],[Дата рождения]]</f>
        <v>526</v>
      </c>
    </row>
    <row r="213" spans="18:19" x14ac:dyDescent="0.25">
      <c r="R213" s="2">
        <f>Таблица1[[#This Row],[Дата перевода]]-Таблица1[[#This Row],[Дата поступления]]</f>
        <v>20</v>
      </c>
      <c r="S213" s="2">
        <f>Таблица1[[#This Row],[Дата поступления]]-Таблица1[[#This Row],[Дата рождения]]</f>
        <v>1141</v>
      </c>
    </row>
    <row r="214" spans="18:19" x14ac:dyDescent="0.25">
      <c r="R214" s="2">
        <f>Таблица1[[#This Row],[Дата перевода]]-Таблица1[[#This Row],[Дата поступления]]</f>
        <v>1</v>
      </c>
      <c r="S214" s="2">
        <f>Таблица1[[#This Row],[Дата поступления]]-Таблица1[[#This Row],[Дата рождения]]</f>
        <v>1389</v>
      </c>
    </row>
    <row r="215" spans="18:19" x14ac:dyDescent="0.25">
      <c r="R215" s="2">
        <f>Таблица1[[#This Row],[Дата перевода]]-Таблица1[[#This Row],[Дата поступления]]</f>
        <v>1</v>
      </c>
      <c r="S215" s="2">
        <f>Таблица1[[#This Row],[Дата поступления]]-Таблица1[[#This Row],[Дата рождения]]</f>
        <v>2755</v>
      </c>
    </row>
    <row r="216" spans="18:19" x14ac:dyDescent="0.25">
      <c r="R216" s="2">
        <f>Таблица1[[#This Row],[Дата перевода]]-Таблица1[[#This Row],[Дата поступления]]</f>
        <v>59</v>
      </c>
      <c r="S216" s="2">
        <f>Таблица1[[#This Row],[Дата поступления]]-Таблица1[[#This Row],[Дата рождения]]</f>
        <v>225</v>
      </c>
    </row>
    <row r="217" spans="18:19" x14ac:dyDescent="0.25">
      <c r="R217" s="2">
        <f>Таблица1[[#This Row],[Дата перевода]]-Таблица1[[#This Row],[Дата поступления]]</f>
        <v>-44333</v>
      </c>
      <c r="S217" s="2">
        <f>Таблица1[[#This Row],[Дата поступления]]-Таблица1[[#This Row],[Дата рождения]]</f>
        <v>115</v>
      </c>
    </row>
    <row r="218" spans="18:19" x14ac:dyDescent="0.25">
      <c r="R218" s="2">
        <f>Таблица1[[#This Row],[Дата перевода]]-Таблица1[[#This Row],[Дата поступления]]</f>
        <v>2</v>
      </c>
      <c r="S218" s="2">
        <f>Таблица1[[#This Row],[Дата поступления]]-Таблица1[[#This Row],[Дата рождения]]</f>
        <v>1282</v>
      </c>
    </row>
    <row r="219" spans="18:19" x14ac:dyDescent="0.25">
      <c r="R219" s="2">
        <f>Таблица1[[#This Row],[Дата перевода]]-Таблица1[[#This Row],[Дата поступления]]</f>
        <v>1</v>
      </c>
      <c r="S219" s="2">
        <f>Таблица1[[#This Row],[Дата поступления]]-Таблица1[[#This Row],[Дата рождения]]</f>
        <v>1392</v>
      </c>
    </row>
    <row r="220" spans="18:19" x14ac:dyDescent="0.25">
      <c r="R220" s="2">
        <f>Таблица1[[#This Row],[Дата перевода]]-Таблица1[[#This Row],[Дата поступления]]</f>
        <v>1</v>
      </c>
      <c r="S220" s="2">
        <f>Таблица1[[#This Row],[Дата поступления]]-Таблица1[[#This Row],[Дата рождения]]</f>
        <v>1748</v>
      </c>
    </row>
    <row r="221" spans="18:19" x14ac:dyDescent="0.25">
      <c r="R221" s="2">
        <f>Таблица1[[#This Row],[Дата перевода]]-Таблица1[[#This Row],[Дата поступления]]</f>
        <v>2</v>
      </c>
      <c r="S221" s="2">
        <f>Таблица1[[#This Row],[Дата поступления]]-Таблица1[[#This Row],[Дата рождения]]</f>
        <v>5297</v>
      </c>
    </row>
    <row r="222" spans="18:19" x14ac:dyDescent="0.25">
      <c r="R222" s="2">
        <f>Таблица1[[#This Row],[Дата перевода]]-Таблица1[[#This Row],[Дата поступления]]</f>
        <v>2</v>
      </c>
      <c r="S222" s="2">
        <f>Таблица1[[#This Row],[Дата поступления]]-Таблица1[[#This Row],[Дата рождения]]</f>
        <v>998</v>
      </c>
    </row>
    <row r="223" spans="18:19" x14ac:dyDescent="0.25">
      <c r="R223" s="2">
        <f>Таблица1[[#This Row],[Дата перевода]]-Таблица1[[#This Row],[Дата поступления]]</f>
        <v>5</v>
      </c>
      <c r="S223" s="2">
        <f>Таблица1[[#This Row],[Дата поступления]]-Таблица1[[#This Row],[Дата рождения]]</f>
        <v>2759</v>
      </c>
    </row>
    <row r="224" spans="18:19" x14ac:dyDescent="0.25">
      <c r="R224" s="2">
        <f>Таблица1[[#This Row],[Дата перевода]]-Таблица1[[#This Row],[Дата поступления]]</f>
        <v>4</v>
      </c>
      <c r="S224" s="2">
        <f>Таблица1[[#This Row],[Дата поступления]]-Таблица1[[#This Row],[Дата рождения]]</f>
        <v>678</v>
      </c>
    </row>
    <row r="225" spans="18:19" x14ac:dyDescent="0.25">
      <c r="R225" s="2">
        <f>Таблица1[[#This Row],[Дата перевода]]-Таблица1[[#This Row],[Дата поступления]]</f>
        <v>2</v>
      </c>
      <c r="S225" s="2">
        <f>Таблица1[[#This Row],[Дата поступления]]-Таблица1[[#This Row],[Дата рождения]]</f>
        <v>5647</v>
      </c>
    </row>
    <row r="226" spans="18:19" x14ac:dyDescent="0.25">
      <c r="R226" s="2">
        <f>Таблица1[[#This Row],[Дата перевода]]-Таблица1[[#This Row],[Дата поступления]]</f>
        <v>1</v>
      </c>
      <c r="S226" s="2">
        <f>Таблица1[[#This Row],[Дата поступления]]-Таблица1[[#This Row],[Дата рождения]]</f>
        <v>6415</v>
      </c>
    </row>
    <row r="227" spans="18:19" x14ac:dyDescent="0.25">
      <c r="R227" s="2">
        <f>Таблица1[[#This Row],[Дата перевода]]-Таблица1[[#This Row],[Дата поступления]]</f>
        <v>1</v>
      </c>
      <c r="S227" s="2">
        <f>Таблица1[[#This Row],[Дата поступления]]-Таблица1[[#This Row],[Дата рождения]]</f>
        <v>2284</v>
      </c>
    </row>
    <row r="228" spans="18:19" x14ac:dyDescent="0.25">
      <c r="R228" s="2">
        <f>Таблица1[[#This Row],[Дата перевода]]-Таблица1[[#This Row],[Дата поступления]]</f>
        <v>3</v>
      </c>
      <c r="S228" s="2">
        <f>Таблица1[[#This Row],[Дата поступления]]-Таблица1[[#This Row],[Дата рождения]]</f>
        <v>3898</v>
      </c>
    </row>
    <row r="229" spans="18:19" x14ac:dyDescent="0.25">
      <c r="R229" s="2">
        <f>Таблица1[[#This Row],[Дата перевода]]-Таблица1[[#This Row],[Дата поступления]]</f>
        <v>1</v>
      </c>
      <c r="S229" s="2">
        <f>Таблица1[[#This Row],[Дата поступления]]-Таблица1[[#This Row],[Дата рождения]]</f>
        <v>309</v>
      </c>
    </row>
    <row r="230" spans="18:19" x14ac:dyDescent="0.25">
      <c r="R230" s="2">
        <f>Таблица1[[#This Row],[Дата перевода]]-Таблица1[[#This Row],[Дата поступления]]</f>
        <v>1</v>
      </c>
      <c r="S230" s="2">
        <f>Таблица1[[#This Row],[Дата поступления]]-Таблица1[[#This Row],[Дата рождения]]</f>
        <v>318</v>
      </c>
    </row>
    <row r="231" spans="18:19" x14ac:dyDescent="0.25">
      <c r="R231" s="2">
        <f>Таблица1[[#This Row],[Дата перевода]]-Таблица1[[#This Row],[Дата поступления]]</f>
        <v>1</v>
      </c>
      <c r="S231" s="2">
        <f>Таблица1[[#This Row],[Дата поступления]]-Таблица1[[#This Row],[Дата рождения]]</f>
        <v>1554</v>
      </c>
    </row>
    <row r="232" spans="18:19" x14ac:dyDescent="0.25">
      <c r="R232" s="2">
        <f>Таблица1[[#This Row],[Дата перевода]]-Таблица1[[#This Row],[Дата поступления]]</f>
        <v>1</v>
      </c>
      <c r="S232" s="2">
        <f>Таблица1[[#This Row],[Дата поступления]]-Таблица1[[#This Row],[Дата рождения]]</f>
        <v>1039</v>
      </c>
    </row>
    <row r="233" spans="18:19" x14ac:dyDescent="0.25">
      <c r="R233" s="2">
        <f>Таблица1[[#This Row],[Дата перевода]]-Таблица1[[#This Row],[Дата поступления]]</f>
        <v>1</v>
      </c>
      <c r="S233" s="2">
        <f>Таблица1[[#This Row],[Дата поступления]]-Таблица1[[#This Row],[Дата рождения]]</f>
        <v>44342</v>
      </c>
    </row>
    <row r="234" spans="18:19" x14ac:dyDescent="0.25">
      <c r="R234" s="2">
        <f>Таблица1[[#This Row],[Дата перевода]]-Таблица1[[#This Row],[Дата поступления]]</f>
        <v>1</v>
      </c>
      <c r="S234" s="2">
        <f>Таблица1[[#This Row],[Дата поступления]]-Таблица1[[#This Row],[Дата рождения]]</f>
        <v>2202</v>
      </c>
    </row>
    <row r="235" spans="18:19" x14ac:dyDescent="0.25">
      <c r="R235" s="2">
        <f>Таблица1[[#This Row],[Дата перевода]]-Таблица1[[#This Row],[Дата поступления]]</f>
        <v>1</v>
      </c>
      <c r="S235" s="2">
        <f>Таблица1[[#This Row],[Дата поступления]]-Таблица1[[#This Row],[Дата рождения]]</f>
        <v>5261</v>
      </c>
    </row>
    <row r="236" spans="18:19" x14ac:dyDescent="0.25">
      <c r="R236" s="2">
        <f>Таблица1[[#This Row],[Дата перевода]]-Таблица1[[#This Row],[Дата поступления]]</f>
        <v>1</v>
      </c>
      <c r="S236" s="2">
        <f>Таблица1[[#This Row],[Дата поступления]]-Таблица1[[#This Row],[Дата рождения]]</f>
        <v>4544</v>
      </c>
    </row>
    <row r="237" spans="18:19" x14ac:dyDescent="0.25">
      <c r="R237" s="2">
        <f>Таблица1[[#This Row],[Дата перевода]]-Таблица1[[#This Row],[Дата поступления]]</f>
        <v>4</v>
      </c>
      <c r="S237" s="2">
        <f>Таблица1[[#This Row],[Дата поступления]]-Таблица1[[#This Row],[Дата рождения]]</f>
        <v>979</v>
      </c>
    </row>
    <row r="238" spans="18:19" x14ac:dyDescent="0.25">
      <c r="R238" s="2">
        <f>Таблица1[[#This Row],[Дата перевода]]-Таблица1[[#This Row],[Дата поступления]]</f>
        <v>2</v>
      </c>
      <c r="S238" s="2">
        <f>Таблица1[[#This Row],[Дата поступления]]-Таблица1[[#This Row],[Дата рождения]]</f>
        <v>5940</v>
      </c>
    </row>
    <row r="239" spans="18:19" x14ac:dyDescent="0.25">
      <c r="R239" s="2">
        <f>Таблица1[[#This Row],[Дата перевода]]-Таблица1[[#This Row],[Дата поступления]]</f>
        <v>0</v>
      </c>
      <c r="S239" s="2">
        <f>Таблица1[[#This Row],[Дата поступления]]-Таблица1[[#This Row],[Дата рождения]]</f>
        <v>6190</v>
      </c>
    </row>
    <row r="240" spans="18:19" x14ac:dyDescent="0.25">
      <c r="R240" s="2">
        <f>Таблица1[[#This Row],[Дата перевода]]-Таблица1[[#This Row],[Дата поступления]]</f>
        <v>2</v>
      </c>
      <c r="S240" s="2">
        <f>Таблица1[[#This Row],[Дата поступления]]-Таблица1[[#This Row],[Дата рождения]]</f>
        <v>5223</v>
      </c>
    </row>
    <row r="241" spans="18:19" x14ac:dyDescent="0.25">
      <c r="R241" s="2">
        <f>Таблица1[[#This Row],[Дата перевода]]-Таблица1[[#This Row],[Дата поступления]]</f>
        <v>5</v>
      </c>
      <c r="S241" s="2">
        <f>Таблица1[[#This Row],[Дата поступления]]-Таблица1[[#This Row],[Дата рождения]]</f>
        <v>3536</v>
      </c>
    </row>
    <row r="242" spans="18:19" x14ac:dyDescent="0.25">
      <c r="R242" s="2">
        <f>Таблица1[[#This Row],[Дата перевода]]-Таблица1[[#This Row],[Дата поступления]]</f>
        <v>3</v>
      </c>
      <c r="S242" s="2">
        <f>Таблица1[[#This Row],[Дата поступления]]-Таблица1[[#This Row],[Дата рождения]]</f>
        <v>3805</v>
      </c>
    </row>
    <row r="243" spans="18:19" x14ac:dyDescent="0.25">
      <c r="R243" s="2">
        <f>Таблица1[[#This Row],[Дата перевода]]-Таблица1[[#This Row],[Дата поступления]]</f>
        <v>8</v>
      </c>
      <c r="S243" s="2">
        <f>Таблица1[[#This Row],[Дата поступления]]-Таблица1[[#This Row],[Дата рождения]]</f>
        <v>549</v>
      </c>
    </row>
    <row r="244" spans="18:19" x14ac:dyDescent="0.25">
      <c r="R244" s="2">
        <f>Таблица1[[#This Row],[Дата перевода]]-Таблица1[[#This Row],[Дата поступления]]</f>
        <v>1</v>
      </c>
      <c r="S244" s="2">
        <f>Таблица1[[#This Row],[Дата поступления]]-Таблица1[[#This Row],[Дата рождения]]</f>
        <v>5513</v>
      </c>
    </row>
    <row r="245" spans="18:19" x14ac:dyDescent="0.25">
      <c r="R245" s="2" t="e">
        <f>Таблица1[[#This Row],[Дата перевода]]-Таблица1[[#This Row],[Дата поступления]]</f>
        <v>#VALUE!</v>
      </c>
      <c r="S245" s="2" t="e">
        <f>Таблица1[[#This Row],[Дата поступления]]-Таблица1[[#This Row],[Дата рождения]]</f>
        <v>#VALUE!</v>
      </c>
    </row>
    <row r="246" spans="18:19" x14ac:dyDescent="0.25">
      <c r="R246" s="2">
        <f>Таблица1[[#This Row],[Дата перевода]]-Таблица1[[#This Row],[Дата поступления]]</f>
        <v>1</v>
      </c>
      <c r="S246" s="2">
        <f>Таблица1[[#This Row],[Дата поступления]]-Таблица1[[#This Row],[Дата рождения]]</f>
        <v>127</v>
      </c>
    </row>
    <row r="247" spans="18:19" x14ac:dyDescent="0.25">
      <c r="R247" s="2">
        <f>Таблица1[[#This Row],[Дата перевода]]-Таблица1[[#This Row],[Дата поступления]]</f>
        <v>3</v>
      </c>
      <c r="S247" s="2">
        <f>Таблица1[[#This Row],[Дата поступления]]-Таблица1[[#This Row],[Дата рождения]]</f>
        <v>3000</v>
      </c>
    </row>
    <row r="248" spans="18:19" x14ac:dyDescent="0.25">
      <c r="R248" s="2">
        <f>Таблица1[[#This Row],[Дата перевода]]-Таблица1[[#This Row],[Дата поступления]]</f>
        <v>1</v>
      </c>
      <c r="S248" s="2">
        <f>Таблица1[[#This Row],[Дата поступления]]-Таблица1[[#This Row],[Дата рождения]]</f>
        <v>6125</v>
      </c>
    </row>
    <row r="249" spans="18:19" x14ac:dyDescent="0.25">
      <c r="R249" s="2">
        <f>Таблица1[[#This Row],[Дата перевода]]-Таблица1[[#This Row],[Дата поступления]]</f>
        <v>32</v>
      </c>
      <c r="S249" s="2">
        <f>Таблица1[[#This Row],[Дата поступления]]-Таблица1[[#This Row],[Дата рождения]]</f>
        <v>5285</v>
      </c>
    </row>
    <row r="250" spans="18:19" x14ac:dyDescent="0.25">
      <c r="R250" s="2">
        <f>Таблица1[[#This Row],[Дата перевода]]-Таблица1[[#This Row],[Дата поступления]]</f>
        <v>2</v>
      </c>
      <c r="S250" s="2">
        <f>Таблица1[[#This Row],[Дата поступления]]-Таблица1[[#This Row],[Дата рождения]]</f>
        <v>79</v>
      </c>
    </row>
    <row r="251" spans="18:19" x14ac:dyDescent="0.25">
      <c r="R251" s="2">
        <f>Таблица1[[#This Row],[Дата перевода]]-Таблица1[[#This Row],[Дата поступления]]</f>
        <v>6</v>
      </c>
      <c r="S251" s="2">
        <f>Таблица1[[#This Row],[Дата поступления]]-Таблица1[[#This Row],[Дата рождения]]</f>
        <v>28</v>
      </c>
    </row>
    <row r="252" spans="18:19" x14ac:dyDescent="0.25">
      <c r="R252" s="2">
        <f>Таблица1[[#This Row],[Дата перевода]]-Таблица1[[#This Row],[Дата поступления]]</f>
        <v>1</v>
      </c>
      <c r="S252" s="2">
        <f>Таблица1[[#This Row],[Дата поступления]]-Таблица1[[#This Row],[Дата рождения]]</f>
        <v>2637</v>
      </c>
    </row>
    <row r="253" spans="18:19" x14ac:dyDescent="0.25">
      <c r="R253" s="2">
        <f>Таблица1[[#This Row],[Дата перевода]]-Таблица1[[#This Row],[Дата поступления]]</f>
        <v>1</v>
      </c>
      <c r="S253" s="2">
        <f>Таблица1[[#This Row],[Дата поступления]]-Таблица1[[#This Row],[Дата рождения]]</f>
        <v>6154</v>
      </c>
    </row>
    <row r="254" spans="18:19" x14ac:dyDescent="0.25">
      <c r="R254" s="2">
        <f>Таблица1[[#This Row],[Дата перевода]]-Таблица1[[#This Row],[Дата поступления]]</f>
        <v>-44353</v>
      </c>
      <c r="S254" s="2">
        <f>Таблица1[[#This Row],[Дата поступления]]-Таблица1[[#This Row],[Дата рождения]]</f>
        <v>47</v>
      </c>
    </row>
    <row r="255" spans="18:19" x14ac:dyDescent="0.25">
      <c r="R255" s="2">
        <f>Таблица1[[#This Row],[Дата перевода]]-Таблица1[[#This Row],[Дата поступления]]</f>
        <v>2</v>
      </c>
      <c r="S255" s="2">
        <f>Таблица1[[#This Row],[Дата поступления]]-Таблица1[[#This Row],[Дата рождения]]</f>
        <v>4895</v>
      </c>
    </row>
    <row r="256" spans="18:19" x14ac:dyDescent="0.25">
      <c r="R256" s="2">
        <f>Таблица1[[#This Row],[Дата перевода]]-Таблица1[[#This Row],[Дата поступления]]</f>
        <v>1</v>
      </c>
      <c r="S256" s="2">
        <f>Таблица1[[#This Row],[Дата поступления]]-Таблица1[[#This Row],[Дата рождения]]</f>
        <v>703</v>
      </c>
    </row>
    <row r="257" spans="18:19" x14ac:dyDescent="0.25">
      <c r="R257" s="2">
        <f>Таблица1[[#This Row],[Дата перевода]]-Таблица1[[#This Row],[Дата поступления]]</f>
        <v>52</v>
      </c>
      <c r="S257" s="2">
        <f>Таблица1[[#This Row],[Дата поступления]]-Таблица1[[#This Row],[Дата рождения]]</f>
        <v>698</v>
      </c>
    </row>
    <row r="258" spans="18:19" x14ac:dyDescent="0.25">
      <c r="R258" s="2">
        <f>Таблица1[[#This Row],[Дата перевода]]-Таблица1[[#This Row],[Дата поступления]]</f>
        <v>2</v>
      </c>
      <c r="S258" s="2">
        <f>Таблица1[[#This Row],[Дата поступления]]-Таблица1[[#This Row],[Дата рождения]]</f>
        <v>3353</v>
      </c>
    </row>
    <row r="259" spans="18:19" x14ac:dyDescent="0.25">
      <c r="R259" s="2">
        <f>Таблица1[[#This Row],[Дата перевода]]-Таблица1[[#This Row],[Дата поступления]]</f>
        <v>1</v>
      </c>
      <c r="S259" s="2">
        <f>Таблица1[[#This Row],[Дата поступления]]-Таблица1[[#This Row],[Дата рождения]]</f>
        <v>1401</v>
      </c>
    </row>
    <row r="260" spans="18:19" x14ac:dyDescent="0.25">
      <c r="R260" s="2">
        <f>Таблица1[[#This Row],[Дата перевода]]-Таблица1[[#This Row],[Дата поступления]]</f>
        <v>1</v>
      </c>
      <c r="S260" s="2">
        <f>Таблица1[[#This Row],[Дата поступления]]-Таблица1[[#This Row],[Дата рождения]]</f>
        <v>1191</v>
      </c>
    </row>
    <row r="261" spans="18:19" x14ac:dyDescent="0.25">
      <c r="R261" s="2">
        <f>Таблица1[[#This Row],[Дата перевода]]-Таблица1[[#This Row],[Дата поступления]]</f>
        <v>1</v>
      </c>
      <c r="S261" s="2">
        <f>Таблица1[[#This Row],[Дата поступления]]-Таблица1[[#This Row],[Дата рождения]]</f>
        <v>1217</v>
      </c>
    </row>
    <row r="262" spans="18:19" x14ac:dyDescent="0.25">
      <c r="R262" s="2">
        <f>Таблица1[[#This Row],[Дата перевода]]-Таблица1[[#This Row],[Дата поступления]]</f>
        <v>1</v>
      </c>
      <c r="S262" s="2">
        <f>Таблица1[[#This Row],[Дата поступления]]-Таблица1[[#This Row],[Дата рождения]]</f>
        <v>361</v>
      </c>
    </row>
    <row r="263" spans="18:19" x14ac:dyDescent="0.25">
      <c r="R263" s="2">
        <f>Таблица1[[#This Row],[Дата перевода]]-Таблица1[[#This Row],[Дата поступления]]</f>
        <v>1</v>
      </c>
      <c r="S263" s="2">
        <f>Таблица1[[#This Row],[Дата поступления]]-Таблица1[[#This Row],[Дата рождения]]</f>
        <v>469</v>
      </c>
    </row>
    <row r="264" spans="18:19" x14ac:dyDescent="0.25">
      <c r="R264" s="2">
        <f>Таблица1[[#This Row],[Дата перевода]]-Таблица1[[#This Row],[Дата поступления]]</f>
        <v>59</v>
      </c>
      <c r="S264" s="2">
        <f>Таблица1[[#This Row],[Дата поступления]]-Таблица1[[#This Row],[Дата рождения]]</f>
        <v>145</v>
      </c>
    </row>
    <row r="265" spans="18:19" x14ac:dyDescent="0.25">
      <c r="R265" s="2">
        <f>Таблица1[[#This Row],[Дата перевода]]-Таблица1[[#This Row],[Дата поступления]]</f>
        <v>2</v>
      </c>
      <c r="S265" s="2">
        <f>Таблица1[[#This Row],[Дата поступления]]-Таблица1[[#This Row],[Дата рождения]]</f>
        <v>5580</v>
      </c>
    </row>
    <row r="266" spans="18:19" x14ac:dyDescent="0.25">
      <c r="R266" s="2">
        <f>Таблица1[[#This Row],[Дата перевода]]-Таблица1[[#This Row],[Дата поступления]]</f>
        <v>2</v>
      </c>
      <c r="S266" s="2">
        <f>Таблица1[[#This Row],[Дата поступления]]-Таблица1[[#This Row],[Дата рождения]]</f>
        <v>5454</v>
      </c>
    </row>
    <row r="267" spans="18:19" x14ac:dyDescent="0.25">
      <c r="R267" s="2">
        <f>Таблица1[[#This Row],[Дата перевода]]-Таблица1[[#This Row],[Дата поступления]]</f>
        <v>1</v>
      </c>
      <c r="S267" s="2">
        <f>Таблица1[[#This Row],[Дата поступления]]-Таблица1[[#This Row],[Дата рождения]]</f>
        <v>1218</v>
      </c>
    </row>
    <row r="268" spans="18:19" x14ac:dyDescent="0.25">
      <c r="R268" s="2">
        <f>Таблица1[[#This Row],[Дата перевода]]-Таблица1[[#This Row],[Дата поступления]]</f>
        <v>1</v>
      </c>
      <c r="S268" s="2">
        <f>Таблица1[[#This Row],[Дата поступления]]-Таблица1[[#This Row],[Дата рождения]]</f>
        <v>556</v>
      </c>
    </row>
    <row r="269" spans="18:19" x14ac:dyDescent="0.25">
      <c r="R269" s="2">
        <f>Таблица1[[#This Row],[Дата перевода]]-Таблица1[[#This Row],[Дата поступления]]</f>
        <v>-44361</v>
      </c>
      <c r="S269" s="2">
        <f>Таблица1[[#This Row],[Дата поступления]]-Таблица1[[#This Row],[Дата рождения]]</f>
        <v>11</v>
      </c>
    </row>
    <row r="270" spans="18:19" x14ac:dyDescent="0.25">
      <c r="R270" s="2">
        <f>Таблица1[[#This Row],[Дата перевода]]-Таблица1[[#This Row],[Дата поступления]]</f>
        <v>1</v>
      </c>
      <c r="S270" s="2">
        <f>Таблица1[[#This Row],[Дата поступления]]-Таблица1[[#This Row],[Дата рождения]]</f>
        <v>1242</v>
      </c>
    </row>
    <row r="271" spans="18:19" x14ac:dyDescent="0.25">
      <c r="R271" s="2">
        <f>Таблица1[[#This Row],[Дата перевода]]-Таблица1[[#This Row],[Дата поступления]]</f>
        <v>2</v>
      </c>
      <c r="S271" s="2">
        <f>Таблица1[[#This Row],[Дата поступления]]-Таблица1[[#This Row],[Дата рождения]]</f>
        <v>436</v>
      </c>
    </row>
    <row r="272" spans="18:19" x14ac:dyDescent="0.25">
      <c r="R272" s="2">
        <f>Таблица1[[#This Row],[Дата перевода]]-Таблица1[[#This Row],[Дата поступления]]</f>
        <v>-44362</v>
      </c>
      <c r="S272" s="2">
        <f>Таблица1[[#This Row],[Дата поступления]]-Таблица1[[#This Row],[Дата рождения]]</f>
        <v>6306</v>
      </c>
    </row>
    <row r="273" spans="18:19" x14ac:dyDescent="0.25">
      <c r="R273" s="2">
        <f>Таблица1[[#This Row],[Дата перевода]]-Таблица1[[#This Row],[Дата поступления]]</f>
        <v>-44363</v>
      </c>
      <c r="S273" s="2">
        <f>Таблица1[[#This Row],[Дата поступления]]-Таблица1[[#This Row],[Дата рождения]]</f>
        <v>3412</v>
      </c>
    </row>
    <row r="274" spans="18:19" x14ac:dyDescent="0.25">
      <c r="R274" s="2">
        <f>Таблица1[[#This Row],[Дата перевода]]-Таблица1[[#This Row],[Дата поступления]]</f>
        <v>-44363</v>
      </c>
      <c r="S274" s="2">
        <f>Таблица1[[#This Row],[Дата поступления]]-Таблица1[[#This Row],[Дата рождения]]</f>
        <v>5266</v>
      </c>
    </row>
    <row r="275" spans="18:19" x14ac:dyDescent="0.25">
      <c r="R275" s="2">
        <f>Таблица1[[#This Row],[Дата перевода]]-Таблица1[[#This Row],[Дата поступления]]</f>
        <v>-44363</v>
      </c>
      <c r="S275" s="2">
        <f>Таблица1[[#This Row],[Дата поступления]]-Таблица1[[#This Row],[Дата рождения]]</f>
        <v>6094</v>
      </c>
    </row>
    <row r="276" spans="18:19" x14ac:dyDescent="0.25">
      <c r="R276" s="2">
        <f>Таблица1[[#This Row],[Дата перевода]]-Таблица1[[#This Row],[Дата поступления]]</f>
        <v>-44363</v>
      </c>
      <c r="S276" s="2">
        <f>Таблица1[[#This Row],[Дата поступления]]-Таблица1[[#This Row],[Дата рождения]]</f>
        <v>6203</v>
      </c>
    </row>
    <row r="277" spans="18:19" x14ac:dyDescent="0.25">
      <c r="R277" s="2">
        <f>Таблица1[[#This Row],[Дата перевода]]-Таблица1[[#This Row],[Дата поступления]]</f>
        <v>-44364</v>
      </c>
      <c r="S277" s="2">
        <f>Таблица1[[#This Row],[Дата поступления]]-Таблица1[[#This Row],[Дата рождения]]</f>
        <v>391</v>
      </c>
    </row>
    <row r="278" spans="18:19" x14ac:dyDescent="0.25">
      <c r="R278" s="2">
        <f>Таблица1[[#This Row],[Дата перевода]]-Таблица1[[#This Row],[Дата поступления]]</f>
        <v>1</v>
      </c>
      <c r="S278" s="2">
        <f>Таблица1[[#This Row],[Дата поступления]]-Таблица1[[#This Row],[Дата рождения]]</f>
        <v>1083</v>
      </c>
    </row>
    <row r="279" spans="18:19" x14ac:dyDescent="0.25">
      <c r="R279" s="2">
        <f>Таблица1[[#This Row],[Дата перевода]]-Таблица1[[#This Row],[Дата поступления]]</f>
        <v>1</v>
      </c>
      <c r="S279" s="2">
        <f>Таблица1[[#This Row],[Дата поступления]]-Таблица1[[#This Row],[Дата рождения]]</f>
        <v>2254</v>
      </c>
    </row>
    <row r="280" spans="18:19" x14ac:dyDescent="0.25">
      <c r="R280" s="2">
        <f>Таблица1[[#This Row],[Дата перевода]]-Таблица1[[#This Row],[Дата поступления]]</f>
        <v>-44364</v>
      </c>
      <c r="S280" s="2">
        <f>Таблица1[[#This Row],[Дата поступления]]-Таблица1[[#This Row],[Дата рождения]]</f>
        <v>761</v>
      </c>
    </row>
    <row r="281" spans="18:19" x14ac:dyDescent="0.25">
      <c r="R281" s="2">
        <f>Таблица1[[#This Row],[Дата перевода]]-Таблица1[[#This Row],[Дата поступления]]</f>
        <v>-44366</v>
      </c>
      <c r="S281" s="2">
        <f>Таблица1[[#This Row],[Дата поступления]]-Таблица1[[#This Row],[Дата рождения]]</f>
        <v>1703</v>
      </c>
    </row>
    <row r="282" spans="18:19" x14ac:dyDescent="0.25">
      <c r="R282" s="2">
        <f>Таблица1[[#This Row],[Дата перевода]]-Таблица1[[#This Row],[Дата поступления]]</f>
        <v>1</v>
      </c>
      <c r="S282" s="2">
        <f>Таблица1[[#This Row],[Дата поступления]]-Таблица1[[#This Row],[Дата рождения]]</f>
        <v>1412</v>
      </c>
    </row>
    <row r="283" spans="18:19" x14ac:dyDescent="0.25">
      <c r="R283" s="2">
        <f>Таблица1[[#This Row],[Дата перевода]]-Таблица1[[#This Row],[Дата поступления]]</f>
        <v>44348</v>
      </c>
      <c r="S283" s="2">
        <f>Таблица1[[#This Row],[Дата поступления]]-Таблица1[[#This Row],[Дата рождения]]</f>
        <v>-43587</v>
      </c>
    </row>
    <row r="284" spans="18:19" x14ac:dyDescent="0.25">
      <c r="R284" s="2">
        <f>Таблица1[[#This Row],[Дата перевода]]-Таблица1[[#This Row],[Дата поступления]]</f>
        <v>2</v>
      </c>
      <c r="S284" s="2">
        <f>Таблица1[[#This Row],[Дата поступления]]-Таблица1[[#This Row],[Дата рождения]]</f>
        <v>707</v>
      </c>
    </row>
    <row r="285" spans="18:19" x14ac:dyDescent="0.25">
      <c r="R285" s="2">
        <f>Таблица1[[#This Row],[Дата перевода]]-Таблица1[[#This Row],[Дата поступления]]</f>
        <v>-44370</v>
      </c>
      <c r="S285" s="2">
        <f>Таблица1[[#This Row],[Дата поступления]]-Таблица1[[#This Row],[Дата рождения]]</f>
        <v>6335</v>
      </c>
    </row>
    <row r="286" spans="18:19" x14ac:dyDescent="0.25">
      <c r="R286" s="2">
        <f>Таблица1[[#This Row],[Дата перевода]]-Таблица1[[#This Row],[Дата поступления]]</f>
        <v>-44371</v>
      </c>
      <c r="S286" s="2">
        <f>Таблица1[[#This Row],[Дата поступления]]-Таблица1[[#This Row],[Дата рождения]]</f>
        <v>30</v>
      </c>
    </row>
    <row r="287" spans="18:19" x14ac:dyDescent="0.25">
      <c r="R287" s="2">
        <f>Таблица1[[#This Row],[Дата перевода]]-Таблица1[[#This Row],[Дата поступления]]</f>
        <v>-44366</v>
      </c>
      <c r="S287" s="2">
        <f>Таблица1[[#This Row],[Дата поступления]]-Таблица1[[#This Row],[Дата рождения]]</f>
        <v>6539</v>
      </c>
    </row>
    <row r="288" spans="18:19" x14ac:dyDescent="0.25">
      <c r="R288" s="2">
        <f>Таблица1[[#This Row],[Дата перевода]]-Таблица1[[#This Row],[Дата поступления]]</f>
        <v>-44372</v>
      </c>
      <c r="S288" s="2">
        <f>Таблица1[[#This Row],[Дата поступления]]-Таблица1[[#This Row],[Дата рождения]]</f>
        <v>550</v>
      </c>
    </row>
    <row r="289" spans="18:19" x14ac:dyDescent="0.25">
      <c r="R289" s="2">
        <f>Таблица1[[#This Row],[Дата перевода]]-Таблица1[[#This Row],[Дата поступления]]</f>
        <v>-44372</v>
      </c>
      <c r="S289" s="2">
        <f>Таблица1[[#This Row],[Дата поступления]]-Таблица1[[#This Row],[Дата рождения]]</f>
        <v>37</v>
      </c>
    </row>
    <row r="290" spans="18:19" x14ac:dyDescent="0.25">
      <c r="R290" s="2">
        <f>Таблица1[[#This Row],[Дата перевода]]-Таблица1[[#This Row],[Дата поступления]]</f>
        <v>-44372</v>
      </c>
      <c r="S290" s="2">
        <f>Таблица1[[#This Row],[Дата поступления]]-Таблица1[[#This Row],[Дата рождения]]</f>
        <v>6082</v>
      </c>
    </row>
    <row r="291" spans="18:19" x14ac:dyDescent="0.25">
      <c r="R291" s="2">
        <f>Таблица1[[#This Row],[Дата перевода]]-Таблица1[[#This Row],[Дата поступления]]</f>
        <v>-44372</v>
      </c>
      <c r="S291" s="2">
        <f>Таблица1[[#This Row],[Дата поступления]]-Таблица1[[#This Row],[Дата рождения]]</f>
        <v>3131</v>
      </c>
    </row>
    <row r="292" spans="18:19" x14ac:dyDescent="0.25">
      <c r="R292" s="2">
        <f>Таблица1[[#This Row],[Дата перевода]]-Таблица1[[#This Row],[Дата поступления]]</f>
        <v>-44372</v>
      </c>
      <c r="S292" s="2">
        <f>Таблица1[[#This Row],[Дата поступления]]-Таблица1[[#This Row],[Дата рождения]]</f>
        <v>4433</v>
      </c>
    </row>
    <row r="293" spans="18:19" x14ac:dyDescent="0.25">
      <c r="R293" s="2">
        <f>Таблица1[[#This Row],[Дата перевода]]-Таблица1[[#This Row],[Дата поступления]]</f>
        <v>-44373</v>
      </c>
      <c r="S293" s="2">
        <f>Таблица1[[#This Row],[Дата поступления]]-Таблица1[[#This Row],[Дата рождения]]</f>
        <v>1991</v>
      </c>
    </row>
    <row r="294" spans="18:19" x14ac:dyDescent="0.25">
      <c r="R294" s="2">
        <f>Таблица1[[#This Row],[Дата перевода]]-Таблица1[[#This Row],[Дата поступления]]</f>
        <v>-44374</v>
      </c>
      <c r="S294" s="2">
        <f>Таблица1[[#This Row],[Дата поступления]]-Таблица1[[#This Row],[Дата рождения]]</f>
        <v>5565</v>
      </c>
    </row>
    <row r="295" spans="18:19" x14ac:dyDescent="0.25">
      <c r="R295" s="2">
        <f>Таблица1[[#This Row],[Дата перевода]]-Таблица1[[#This Row],[Дата поступления]]</f>
        <v>-44375</v>
      </c>
      <c r="S295" s="2">
        <f>Таблица1[[#This Row],[Дата поступления]]-Таблица1[[#This Row],[Дата рождения]]</f>
        <v>962</v>
      </c>
    </row>
    <row r="296" spans="18:19" x14ac:dyDescent="0.25">
      <c r="R296" s="2">
        <f>Таблица1[[#This Row],[Дата перевода]]-Таблица1[[#This Row],[Дата поступления]]</f>
        <v>-44374</v>
      </c>
      <c r="S296" s="2">
        <f>Таблица1[[#This Row],[Дата поступления]]-Таблица1[[#This Row],[Дата рождения]]</f>
        <v>2462</v>
      </c>
    </row>
    <row r="297" spans="18:19" x14ac:dyDescent="0.25">
      <c r="R297" s="2">
        <f>Таблица1[[#This Row],[Дата перевода]]-Таблица1[[#This Row],[Дата поступления]]</f>
        <v>-44374</v>
      </c>
      <c r="S297" s="2">
        <f>Таблица1[[#This Row],[Дата поступления]]-Таблица1[[#This Row],[Дата рождения]]</f>
        <v>6150</v>
      </c>
    </row>
    <row r="298" spans="18:19" x14ac:dyDescent="0.25">
      <c r="R298" s="2">
        <f>Таблица1[[#This Row],[Дата перевода]]-Таблица1[[#This Row],[Дата поступления]]</f>
        <v>-44374</v>
      </c>
      <c r="S298" s="2">
        <f>Таблица1[[#This Row],[Дата поступления]]-Таблица1[[#This Row],[Дата рождения]]</f>
        <v>6383</v>
      </c>
    </row>
    <row r="299" spans="18:19" x14ac:dyDescent="0.25">
      <c r="R299" s="2">
        <f>Таблица1[[#This Row],[Дата перевода]]-Таблица1[[#This Row],[Дата поступления]]</f>
        <v>2</v>
      </c>
      <c r="S299" s="2">
        <f>Таблица1[[#This Row],[Дата поступления]]-Таблица1[[#This Row],[Дата рождения]]</f>
        <v>4013</v>
      </c>
    </row>
    <row r="300" spans="18:19" x14ac:dyDescent="0.25">
      <c r="R300" s="2">
        <f>Таблица1[[#This Row],[Дата перевода]]-Таблица1[[#This Row],[Дата поступления]]</f>
        <v>2</v>
      </c>
      <c r="S300" s="2">
        <f>Таблица1[[#This Row],[Дата поступления]]-Таблица1[[#This Row],[Дата рождения]]</f>
        <v>6386</v>
      </c>
    </row>
    <row r="301" spans="18:19" x14ac:dyDescent="0.25">
      <c r="R301" s="2">
        <f>Таблица1[[#This Row],[Дата перевода]]-Таблица1[[#This Row],[Дата поступления]]</f>
        <v>-44377</v>
      </c>
      <c r="S301" s="2">
        <f>Таблица1[[#This Row],[Дата поступления]]-Таблица1[[#This Row],[Дата рождения]]</f>
        <v>54</v>
      </c>
    </row>
    <row r="302" spans="18:19" x14ac:dyDescent="0.25">
      <c r="R302" s="2">
        <f>Таблица1[[#This Row],[Дата перевода]]-Таблица1[[#This Row],[Дата поступления]]</f>
        <v>-44377</v>
      </c>
      <c r="S302" s="2">
        <f>Таблица1[[#This Row],[Дата поступления]]-Таблица1[[#This Row],[Дата рождения]]</f>
        <v>790</v>
      </c>
    </row>
    <row r="303" spans="18:19" x14ac:dyDescent="0.25">
      <c r="R303" s="2">
        <f>Таблица1[[#This Row],[Дата перевода]]-Таблица1[[#This Row],[Дата поступления]]</f>
        <v>-44377</v>
      </c>
      <c r="S303" s="2">
        <f>Таблица1[[#This Row],[Дата поступления]]-Таблица1[[#This Row],[Дата рождения]]</f>
        <v>4562</v>
      </c>
    </row>
    <row r="304" spans="18:19" x14ac:dyDescent="0.25">
      <c r="R304" s="2">
        <f>Таблица1[[#This Row],[Дата перевода]]-Таблица1[[#This Row],[Дата поступления]]</f>
        <v>-44380</v>
      </c>
      <c r="S304" s="2">
        <f>Таблица1[[#This Row],[Дата поступления]]-Таблица1[[#This Row],[Дата рождения]]</f>
        <v>6359</v>
      </c>
    </row>
    <row r="305" spans="18:19" x14ac:dyDescent="0.25">
      <c r="R305" s="2">
        <f>Таблица1[[#This Row],[Дата перевода]]-Таблица1[[#This Row],[Дата поступления]]</f>
        <v>-44379</v>
      </c>
      <c r="S305" s="2">
        <f>Таблица1[[#This Row],[Дата поступления]]-Таблица1[[#This Row],[Дата рождения]]</f>
        <v>1639</v>
      </c>
    </row>
    <row r="306" spans="18:19" x14ac:dyDescent="0.25">
      <c r="R306" s="2">
        <f>Таблица1[[#This Row],[Дата перевода]]-Таблица1[[#This Row],[Дата поступления]]</f>
        <v>-44379</v>
      </c>
      <c r="S306" s="2">
        <f>Таблица1[[#This Row],[Дата поступления]]-Таблица1[[#This Row],[Дата рождения]]</f>
        <v>1627</v>
      </c>
    </row>
    <row r="307" spans="18:19" x14ac:dyDescent="0.25">
      <c r="R307" s="2">
        <f>Таблица1[[#This Row],[Дата перевода]]-Таблица1[[#This Row],[Дата поступления]]</f>
        <v>-44380</v>
      </c>
      <c r="S307" s="2">
        <f>Таблица1[[#This Row],[Дата поступления]]-Таблица1[[#This Row],[Дата рождения]]</f>
        <v>1157</v>
      </c>
    </row>
    <row r="308" spans="18:19" x14ac:dyDescent="0.25">
      <c r="R308" s="2">
        <f>Таблица1[[#This Row],[Дата перевода]]-Таблица1[[#This Row],[Дата поступления]]</f>
        <v>-363</v>
      </c>
      <c r="S308" s="2">
        <f>Таблица1[[#This Row],[Дата поступления]]-Таблица1[[#This Row],[Дата рождения]]</f>
        <v>1952</v>
      </c>
    </row>
    <row r="309" spans="18:19" x14ac:dyDescent="0.25">
      <c r="R309" s="2">
        <f>Таблица1[[#This Row],[Дата перевода]]-Таблица1[[#This Row],[Дата поступления]]</f>
        <v>-44383</v>
      </c>
      <c r="S309" s="2">
        <f>Таблица1[[#This Row],[Дата поступления]]-Таблица1[[#This Row],[Дата рождения]]</f>
        <v>375</v>
      </c>
    </row>
    <row r="310" spans="18:19" x14ac:dyDescent="0.25">
      <c r="R310" s="2">
        <f>Таблица1[[#This Row],[Дата перевода]]-Таблица1[[#This Row],[Дата поступления]]</f>
        <v>-44384</v>
      </c>
      <c r="S310" s="2">
        <f>Таблица1[[#This Row],[Дата поступления]]-Таблица1[[#This Row],[Дата рождения]]</f>
        <v>44384</v>
      </c>
    </row>
    <row r="311" spans="18:19" x14ac:dyDescent="0.25">
      <c r="R311" s="2">
        <f>Таблица1[[#This Row],[Дата перевода]]-Таблица1[[#This Row],[Дата поступления]]</f>
        <v>-44384</v>
      </c>
      <c r="S311" s="2">
        <f>Таблица1[[#This Row],[Дата поступления]]-Таблица1[[#This Row],[Дата рождения]]</f>
        <v>4187</v>
      </c>
    </row>
    <row r="312" spans="18:19" x14ac:dyDescent="0.25">
      <c r="R312" s="2">
        <f>Таблица1[[#This Row],[Дата перевода]]-Таблица1[[#This Row],[Дата поступления]]</f>
        <v>43</v>
      </c>
      <c r="S312" s="2">
        <f>Таблица1[[#This Row],[Дата поступления]]-Таблица1[[#This Row],[Дата рождения]]</f>
        <v>22</v>
      </c>
    </row>
    <row r="313" spans="18:19" x14ac:dyDescent="0.25">
      <c r="R313" s="2">
        <f>Таблица1[[#This Row],[Дата перевода]]-Таблица1[[#This Row],[Дата поступления]]</f>
        <v>-44386</v>
      </c>
      <c r="S313" s="2">
        <f>Таблица1[[#This Row],[Дата поступления]]-Таблица1[[#This Row],[Дата рождения]]</f>
        <v>5231</v>
      </c>
    </row>
    <row r="314" spans="18:19" x14ac:dyDescent="0.25">
      <c r="R314" s="2">
        <f>Таблица1[[#This Row],[Дата перевода]]-Таблица1[[#This Row],[Дата поступления]]</f>
        <v>-44387</v>
      </c>
      <c r="S314" s="2">
        <f>Таблица1[[#This Row],[Дата поступления]]-Таблица1[[#This Row],[Дата рождения]]</f>
        <v>5628</v>
      </c>
    </row>
    <row r="315" spans="18:19" x14ac:dyDescent="0.25">
      <c r="R315" s="2">
        <f>Таблица1[[#This Row],[Дата перевода]]-Таблица1[[#This Row],[Дата поступления]]</f>
        <v>-44388</v>
      </c>
      <c r="S315" s="2">
        <f>Таблица1[[#This Row],[Дата поступления]]-Таблица1[[#This Row],[Дата рождения]]</f>
        <v>2923</v>
      </c>
    </row>
    <row r="316" spans="18:19" x14ac:dyDescent="0.25">
      <c r="R316" s="2">
        <f>Таблица1[[#This Row],[Дата перевода]]-Таблица1[[#This Row],[Дата поступления]]</f>
        <v>-44388</v>
      </c>
      <c r="S316" s="2">
        <f>Таблица1[[#This Row],[Дата поступления]]-Таблица1[[#This Row],[Дата рождения]]</f>
        <v>4995</v>
      </c>
    </row>
    <row r="317" spans="18:19" x14ac:dyDescent="0.25">
      <c r="R317" s="2">
        <f>Таблица1[[#This Row],[Дата перевода]]-Таблица1[[#This Row],[Дата поступления]]</f>
        <v>-44388</v>
      </c>
      <c r="S317" s="2">
        <f>Таблица1[[#This Row],[Дата поступления]]-Таблица1[[#This Row],[Дата рождения]]</f>
        <v>235</v>
      </c>
    </row>
    <row r="318" spans="18:19" x14ac:dyDescent="0.25">
      <c r="R318" s="2">
        <f>Таблица1[[#This Row],[Дата перевода]]-Таблица1[[#This Row],[Дата поступления]]</f>
        <v>-44390</v>
      </c>
      <c r="S318" s="2">
        <f>Таблица1[[#This Row],[Дата поступления]]-Таблица1[[#This Row],[Дата рождения]]</f>
        <v>3494</v>
      </c>
    </row>
    <row r="319" spans="18:19" x14ac:dyDescent="0.25">
      <c r="R319" s="2">
        <f>Таблица1[[#This Row],[Дата перевода]]-Таблица1[[#This Row],[Дата поступления]]</f>
        <v>-44392</v>
      </c>
      <c r="S319" s="2">
        <f>Таблица1[[#This Row],[Дата поступления]]-Таблица1[[#This Row],[Дата рождения]]</f>
        <v>1318</v>
      </c>
    </row>
    <row r="320" spans="18:19" x14ac:dyDescent="0.25">
      <c r="R320" s="2">
        <f>Таблица1[[#This Row],[Дата перевода]]-Таблица1[[#This Row],[Дата поступления]]</f>
        <v>-44398</v>
      </c>
      <c r="S320" s="2">
        <f>Таблица1[[#This Row],[Дата поступления]]-Таблица1[[#This Row],[Дата рождения]]</f>
        <v>4905</v>
      </c>
    </row>
    <row r="321" spans="18:19" x14ac:dyDescent="0.25">
      <c r="R321" s="2">
        <f>Таблица1[[#This Row],[Дата перевода]]-Таблица1[[#This Row],[Дата поступления]]</f>
        <v>-44388</v>
      </c>
      <c r="S321" s="2">
        <f>Таблица1[[#This Row],[Дата поступления]]-Таблица1[[#This Row],[Дата рождения]]</f>
        <v>2923</v>
      </c>
    </row>
    <row r="322" spans="18:19" x14ac:dyDescent="0.25">
      <c r="R322" s="2">
        <f>Таблица1[[#This Row],[Дата перевода]]-Таблица1[[#This Row],[Дата поступления]]</f>
        <v>-44400</v>
      </c>
      <c r="S322" s="2">
        <f>Таблица1[[#This Row],[Дата поступления]]-Таблица1[[#This Row],[Дата рождения]]</f>
        <v>132</v>
      </c>
    </row>
    <row r="323" spans="18:19" x14ac:dyDescent="0.25">
      <c r="R323" s="2">
        <f>Таблица1[[#This Row],[Дата перевода]]-Таблица1[[#This Row],[Дата поступления]]</f>
        <v>-44400</v>
      </c>
      <c r="S323" s="2">
        <f>Таблица1[[#This Row],[Дата поступления]]-Таблица1[[#This Row],[Дата рождения]]</f>
        <v>542</v>
      </c>
    </row>
    <row r="324" spans="18:19" x14ac:dyDescent="0.25">
      <c r="R324" s="2">
        <f>Таблица1[[#This Row],[Дата перевода]]-Таблица1[[#This Row],[Дата поступления]]</f>
        <v>-44400</v>
      </c>
      <c r="S324" s="2">
        <f>Таблица1[[#This Row],[Дата поступления]]-Таблица1[[#This Row],[Дата рождения]]</f>
        <v>34</v>
      </c>
    </row>
    <row r="325" spans="18:19" x14ac:dyDescent="0.25">
      <c r="R325" s="2">
        <f>Таблица1[[#This Row],[Дата перевода]]-Таблица1[[#This Row],[Дата поступления]]</f>
        <v>-44396</v>
      </c>
      <c r="S325" s="2">
        <f>Таблица1[[#This Row],[Дата поступления]]-Таблица1[[#This Row],[Дата рождения]]</f>
        <v>3551</v>
      </c>
    </row>
    <row r="326" spans="18:19" x14ac:dyDescent="0.25">
      <c r="R326" s="2">
        <f>Таблица1[[#This Row],[Дата перевода]]-Таблица1[[#This Row],[Дата поступления]]</f>
        <v>0</v>
      </c>
      <c r="S326" s="2">
        <f>Таблица1[[#This Row],[Дата поступления]]-Таблица1[[#This Row],[Дата рождения]]</f>
        <v>6423</v>
      </c>
    </row>
    <row r="327" spans="18:19" x14ac:dyDescent="0.25">
      <c r="R327" s="2">
        <f>Таблица1[[#This Row],[Дата перевода]]-Таблица1[[#This Row],[Дата поступления]]</f>
        <v>1</v>
      </c>
      <c r="S327" s="2">
        <f>Таблица1[[#This Row],[Дата поступления]]-Таблица1[[#This Row],[Дата рождения]]</f>
        <v>5394</v>
      </c>
    </row>
    <row r="328" spans="18:19" x14ac:dyDescent="0.25">
      <c r="R328" s="2">
        <f>Таблица1[[#This Row],[Дата перевода]]-Таблица1[[#This Row],[Дата поступления]]</f>
        <v>1</v>
      </c>
      <c r="S328" s="2">
        <f>Таблица1[[#This Row],[Дата поступления]]-Таблица1[[#This Row],[Дата рождения]]</f>
        <v>2435</v>
      </c>
    </row>
    <row r="329" spans="18:19" x14ac:dyDescent="0.25">
      <c r="R329" s="2">
        <f>Таблица1[[#This Row],[Дата перевода]]-Таблица1[[#This Row],[Дата поступления]]</f>
        <v>33</v>
      </c>
      <c r="S329" s="2">
        <f>Таблица1[[#This Row],[Дата поступления]]-Таблица1[[#This Row],[Дата рождения]]</f>
        <v>373</v>
      </c>
    </row>
    <row r="330" spans="18:19" x14ac:dyDescent="0.25">
      <c r="R330" s="2">
        <f>Таблица1[[#This Row],[Дата перевода]]-Таблица1[[#This Row],[Дата поступления]]</f>
        <v>2</v>
      </c>
      <c r="S330" s="2">
        <f>Таблица1[[#This Row],[Дата поступления]]-Таблица1[[#This Row],[Дата рождения]]</f>
        <v>5515</v>
      </c>
    </row>
    <row r="331" spans="18:19" x14ac:dyDescent="0.25">
      <c r="R331" s="2">
        <f>Таблица1[[#This Row],[Дата перевода]]-Таблица1[[#This Row],[Дата поступления]]</f>
        <v>1</v>
      </c>
      <c r="S331" s="2">
        <f>Таблица1[[#This Row],[Дата поступления]]-Таблица1[[#This Row],[Дата рождения]]</f>
        <v>33</v>
      </c>
    </row>
    <row r="332" spans="18:19" x14ac:dyDescent="0.25">
      <c r="R332" s="2">
        <f>Таблица1[[#This Row],[Дата перевода]]-Таблица1[[#This Row],[Дата поступления]]</f>
        <v>0</v>
      </c>
      <c r="S332" s="2">
        <f>Таблица1[[#This Row],[Дата поступления]]-Таблица1[[#This Row],[Дата рождения]]</f>
        <v>199</v>
      </c>
    </row>
    <row r="333" spans="18:19" x14ac:dyDescent="0.25">
      <c r="R333" s="2">
        <f>Таблица1[[#This Row],[Дата перевода]]-Таблица1[[#This Row],[Дата поступления]]</f>
        <v>1</v>
      </c>
      <c r="S333" s="2">
        <f>Таблица1[[#This Row],[Дата поступления]]-Таблица1[[#This Row],[Дата рождения]]</f>
        <v>2945</v>
      </c>
    </row>
    <row r="334" spans="18:19" x14ac:dyDescent="0.25">
      <c r="R334" s="2">
        <f>Таблица1[[#This Row],[Дата перевода]]-Таблица1[[#This Row],[Дата поступления]]</f>
        <v>1</v>
      </c>
      <c r="S334" s="2">
        <f>Таблица1[[#This Row],[Дата поступления]]-Таблица1[[#This Row],[Дата рождения]]</f>
        <v>1538</v>
      </c>
    </row>
    <row r="335" spans="18:19" x14ac:dyDescent="0.25">
      <c r="R335" s="2">
        <f>Таблица1[[#This Row],[Дата перевода]]-Таблица1[[#This Row],[Дата поступления]]</f>
        <v>1</v>
      </c>
      <c r="S335" s="2">
        <f>Таблица1[[#This Row],[Дата поступления]]-Таблица1[[#This Row],[Дата рождения]]</f>
        <v>1061</v>
      </c>
    </row>
    <row r="336" spans="18:19" x14ac:dyDescent="0.25">
      <c r="R336" s="2">
        <f>Таблица1[[#This Row],[Дата перевода]]-Таблица1[[#This Row],[Дата поступления]]</f>
        <v>1</v>
      </c>
      <c r="S336" s="2">
        <f>Таблица1[[#This Row],[Дата поступления]]-Таблица1[[#This Row],[Дата рождения]]</f>
        <v>2408</v>
      </c>
    </row>
    <row r="337" spans="18:19" x14ac:dyDescent="0.25">
      <c r="R337" s="2">
        <f>Таблица1[[#This Row],[Дата перевода]]-Таблица1[[#This Row],[Дата поступления]]</f>
        <v>1</v>
      </c>
      <c r="S337" s="2">
        <f>Таблица1[[#This Row],[Дата поступления]]-Таблица1[[#This Row],[Дата рождения]]</f>
        <v>2454</v>
      </c>
    </row>
    <row r="338" spans="18:19" x14ac:dyDescent="0.25">
      <c r="R338" s="2">
        <f>Таблица1[[#This Row],[Дата перевода]]-Таблица1[[#This Row],[Дата поступления]]</f>
        <v>3</v>
      </c>
      <c r="S338" s="2">
        <f>Таблица1[[#This Row],[Дата поступления]]-Таблица1[[#This Row],[Дата рождения]]</f>
        <v>6208</v>
      </c>
    </row>
    <row r="339" spans="18:19" x14ac:dyDescent="0.25">
      <c r="R339" s="2">
        <f>Таблица1[[#This Row],[Дата перевода]]-Таблица1[[#This Row],[Дата поступления]]</f>
        <v>18</v>
      </c>
      <c r="S339" s="2">
        <f>Таблица1[[#This Row],[Дата поступления]]-Таблица1[[#This Row],[Дата рождения]]</f>
        <v>755</v>
      </c>
    </row>
    <row r="340" spans="18:19" x14ac:dyDescent="0.25">
      <c r="R340" s="2">
        <f>Таблица1[[#This Row],[Дата перевода]]-Таблица1[[#This Row],[Дата поступления]]</f>
        <v>1</v>
      </c>
      <c r="S340" s="2">
        <f>Таблица1[[#This Row],[Дата поступления]]-Таблица1[[#This Row],[Дата рождения]]</f>
        <v>1013</v>
      </c>
    </row>
    <row r="341" spans="18:19" x14ac:dyDescent="0.25">
      <c r="R341" s="2">
        <f>Таблица1[[#This Row],[Дата перевода]]-Таблица1[[#This Row],[Дата поступления]]</f>
        <v>1</v>
      </c>
      <c r="S341" s="2">
        <f>Таблица1[[#This Row],[Дата поступления]]-Таблица1[[#This Row],[Дата рождения]]</f>
        <v>645</v>
      </c>
    </row>
    <row r="342" spans="18:19" x14ac:dyDescent="0.25">
      <c r="R342" s="2">
        <f>Таблица1[[#This Row],[Дата перевода]]-Таблица1[[#This Row],[Дата поступления]]</f>
        <v>1</v>
      </c>
      <c r="S342" s="2">
        <f>Таблица1[[#This Row],[Дата поступления]]-Таблица1[[#This Row],[Дата рождения]]</f>
        <v>1656</v>
      </c>
    </row>
    <row r="343" spans="18:19" x14ac:dyDescent="0.25">
      <c r="R343" s="2">
        <f>Таблица1[[#This Row],[Дата перевода]]-Таблица1[[#This Row],[Дата поступления]]</f>
        <v>1</v>
      </c>
      <c r="S343" s="2">
        <f>Таблица1[[#This Row],[Дата поступления]]-Таблица1[[#This Row],[Дата рождения]]</f>
        <v>720</v>
      </c>
    </row>
    <row r="344" spans="18:19" x14ac:dyDescent="0.25">
      <c r="R344" s="2">
        <f>Таблица1[[#This Row],[Дата перевода]]-Таблица1[[#This Row],[Дата поступления]]</f>
        <v>1</v>
      </c>
      <c r="S344" s="2">
        <f>Таблица1[[#This Row],[Дата поступления]]-Таблица1[[#This Row],[Дата рождения]]</f>
        <v>1617</v>
      </c>
    </row>
    <row r="345" spans="18:19" x14ac:dyDescent="0.25">
      <c r="R345" s="2">
        <f>Таблица1[[#This Row],[Дата перевода]]-Таблица1[[#This Row],[Дата поступления]]</f>
        <v>1</v>
      </c>
      <c r="S345" s="2">
        <f>Таблица1[[#This Row],[Дата поступления]]-Таблица1[[#This Row],[Дата рождения]]</f>
        <v>5876</v>
      </c>
    </row>
    <row r="346" spans="18:19" x14ac:dyDescent="0.25">
      <c r="R346" s="2">
        <f>Таблица1[[#This Row],[Дата перевода]]-Таблица1[[#This Row],[Дата поступления]]</f>
        <v>24</v>
      </c>
      <c r="S346" s="2">
        <f>Таблица1[[#This Row],[Дата поступления]]-Таблица1[[#This Row],[Дата рождения]]</f>
        <v>192</v>
      </c>
    </row>
    <row r="347" spans="18:19" x14ac:dyDescent="0.25">
      <c r="R347" s="2">
        <f>Таблица1[[#This Row],[Дата перевода]]-Таблица1[[#This Row],[Дата поступления]]</f>
        <v>1</v>
      </c>
      <c r="S347" s="2">
        <f>Таблица1[[#This Row],[Дата поступления]]-Таблица1[[#This Row],[Дата рождения]]</f>
        <v>1034</v>
      </c>
    </row>
    <row r="348" spans="18:19" x14ac:dyDescent="0.25">
      <c r="R348" s="2">
        <f>Таблица1[[#This Row],[Дата перевода]]-Таблица1[[#This Row],[Дата поступления]]</f>
        <v>1</v>
      </c>
      <c r="S348" s="2">
        <f>Таблица1[[#This Row],[Дата поступления]]-Таблица1[[#This Row],[Дата рождения]]</f>
        <v>490</v>
      </c>
    </row>
    <row r="349" spans="18:19" x14ac:dyDescent="0.25">
      <c r="R349" s="2">
        <f>Таблица1[[#This Row],[Дата перевода]]-Таблица1[[#This Row],[Дата поступления]]</f>
        <v>1</v>
      </c>
      <c r="S349" s="2">
        <f>Таблица1[[#This Row],[Дата поступления]]-Таблица1[[#This Row],[Дата рождения]]</f>
        <v>3098</v>
      </c>
    </row>
    <row r="350" spans="18:19" x14ac:dyDescent="0.25">
      <c r="R350" s="2">
        <f>Таблица1[[#This Row],[Дата перевода]]-Таблица1[[#This Row],[Дата поступления]]</f>
        <v>1</v>
      </c>
      <c r="S350" s="2">
        <f>Таблица1[[#This Row],[Дата поступления]]-Таблица1[[#This Row],[Дата рождения]]</f>
        <v>1261</v>
      </c>
    </row>
    <row r="351" spans="18:19" x14ac:dyDescent="0.25">
      <c r="R351" s="2">
        <f>Таблица1[[#This Row],[Дата перевода]]-Таблица1[[#This Row],[Дата поступления]]</f>
        <v>1</v>
      </c>
      <c r="S351" s="2">
        <f>Таблица1[[#This Row],[Дата поступления]]-Таблица1[[#This Row],[Дата рождения]]</f>
        <v>3298</v>
      </c>
    </row>
    <row r="352" spans="18:19" x14ac:dyDescent="0.25">
      <c r="R352" s="2">
        <f>Таблица1[[#This Row],[Дата перевода]]-Таблица1[[#This Row],[Дата поступления]]</f>
        <v>7</v>
      </c>
      <c r="S352" s="2">
        <f>Таблица1[[#This Row],[Дата поступления]]-Таблица1[[#This Row],[Дата рождения]]</f>
        <v>2816</v>
      </c>
    </row>
    <row r="353" spans="18:19" x14ac:dyDescent="0.25">
      <c r="R353" s="2">
        <f>Таблица1[[#This Row],[Дата перевода]]-Таблица1[[#This Row],[Дата поступления]]</f>
        <v>2</v>
      </c>
      <c r="S353" s="2">
        <f>Таблица1[[#This Row],[Дата поступления]]-Таблица1[[#This Row],[Дата рождения]]</f>
        <v>35</v>
      </c>
    </row>
    <row r="354" spans="18:19" x14ac:dyDescent="0.25">
      <c r="R354" s="2">
        <f>Таблица1[[#This Row],[Дата перевода]]-Таблица1[[#This Row],[Дата поступления]]</f>
        <v>2</v>
      </c>
      <c r="S354" s="2">
        <f>Таблица1[[#This Row],[Дата поступления]]-Таблица1[[#This Row],[Дата рождения]]</f>
        <v>575</v>
      </c>
    </row>
    <row r="355" spans="18:19" x14ac:dyDescent="0.25">
      <c r="R355" s="2">
        <f>Таблица1[[#This Row],[Дата перевода]]-Таблица1[[#This Row],[Дата поступления]]</f>
        <v>1</v>
      </c>
      <c r="S355" s="2">
        <f>Таблица1[[#This Row],[Дата поступления]]-Таблица1[[#This Row],[Дата рождения]]</f>
        <v>108</v>
      </c>
    </row>
    <row r="356" spans="18:19" x14ac:dyDescent="0.25">
      <c r="R356" s="2">
        <f>Таблица1[[#This Row],[Дата перевода]]-Таблица1[[#This Row],[Дата поступления]]</f>
        <v>2</v>
      </c>
      <c r="S356" s="2">
        <f>Таблица1[[#This Row],[Дата поступления]]-Таблица1[[#This Row],[Дата рождения]]</f>
        <v>24</v>
      </c>
    </row>
    <row r="357" spans="18:19" x14ac:dyDescent="0.25">
      <c r="R357" s="2">
        <f>Таблица1[[#This Row],[Дата перевода]]-Таблица1[[#This Row],[Дата поступления]]</f>
        <v>1</v>
      </c>
      <c r="S357" s="2">
        <f>Таблица1[[#This Row],[Дата поступления]]-Таблица1[[#This Row],[Дата рождения]]</f>
        <v>853</v>
      </c>
    </row>
    <row r="358" spans="18:19" x14ac:dyDescent="0.25">
      <c r="R358" s="2">
        <f>Таблица1[[#This Row],[Дата перевода]]-Таблица1[[#This Row],[Дата поступления]]</f>
        <v>1</v>
      </c>
      <c r="S358" s="2">
        <f>Таблица1[[#This Row],[Дата поступления]]-Таблица1[[#This Row],[Дата рождения]]</f>
        <v>3303</v>
      </c>
    </row>
    <row r="359" spans="18:19" x14ac:dyDescent="0.25">
      <c r="R359" s="2">
        <f>Таблица1[[#This Row],[Дата перевода]]-Таблица1[[#This Row],[Дата поступления]]</f>
        <v>3</v>
      </c>
      <c r="S359" s="2">
        <f>Таблица1[[#This Row],[Дата поступления]]-Таблица1[[#This Row],[Дата рождения]]</f>
        <v>2659</v>
      </c>
    </row>
    <row r="360" spans="18:19" x14ac:dyDescent="0.25">
      <c r="R360" s="2">
        <f>Таблица1[[#This Row],[Дата перевода]]-Таблица1[[#This Row],[Дата поступления]]</f>
        <v>4</v>
      </c>
      <c r="S360" s="2">
        <f>Таблица1[[#This Row],[Дата поступления]]-Таблица1[[#This Row],[Дата рождения]]</f>
        <v>1420</v>
      </c>
    </row>
    <row r="361" spans="18:19" x14ac:dyDescent="0.25">
      <c r="R361" s="2">
        <f>Таблица1[[#This Row],[Дата перевода]]-Таблица1[[#This Row],[Дата поступления]]</f>
        <v>3</v>
      </c>
      <c r="S361" s="2">
        <f>Таблица1[[#This Row],[Дата поступления]]-Таблица1[[#This Row],[Дата рождения]]</f>
        <v>435</v>
      </c>
    </row>
    <row r="362" spans="18:19" x14ac:dyDescent="0.25">
      <c r="R362" s="2">
        <f>Таблица1[[#This Row],[Дата перевода]]-Таблица1[[#This Row],[Дата поступления]]</f>
        <v>3</v>
      </c>
      <c r="S362" s="2">
        <f>Таблица1[[#This Row],[Дата поступления]]-Таблица1[[#This Row],[Дата рождения]]</f>
        <v>2068</v>
      </c>
    </row>
    <row r="363" spans="18:19" x14ac:dyDescent="0.25">
      <c r="R363" s="2">
        <f>Таблица1[[#This Row],[Дата перевода]]-Таблица1[[#This Row],[Дата поступления]]</f>
        <v>1</v>
      </c>
      <c r="S363" s="2">
        <f>Таблица1[[#This Row],[Дата поступления]]-Таблица1[[#This Row],[Дата рождения]]</f>
        <v>3735</v>
      </c>
    </row>
    <row r="364" spans="18:19" x14ac:dyDescent="0.25">
      <c r="R364" s="2">
        <f>Таблица1[[#This Row],[Дата перевода]]-Таблица1[[#This Row],[Дата поступления]]</f>
        <v>4</v>
      </c>
      <c r="S364" s="2">
        <f>Таблица1[[#This Row],[Дата поступления]]-Таблица1[[#This Row],[Дата рождения]]</f>
        <v>3305</v>
      </c>
    </row>
    <row r="365" spans="18:19" x14ac:dyDescent="0.25">
      <c r="R365" s="2">
        <f>Таблица1[[#This Row],[Дата перевода]]-Таблица1[[#This Row],[Дата поступления]]</f>
        <v>1</v>
      </c>
      <c r="S365" s="2">
        <f>Таблица1[[#This Row],[Дата поступления]]-Таблица1[[#This Row],[Дата рождения]]</f>
        <v>342</v>
      </c>
    </row>
    <row r="366" spans="18:19" x14ac:dyDescent="0.25">
      <c r="R366" s="2">
        <f>Таблица1[[#This Row],[Дата перевода]]-Таблица1[[#This Row],[Дата поступления]]</f>
        <v>1</v>
      </c>
      <c r="S366" s="2">
        <f>Таблица1[[#This Row],[Дата поступления]]-Таблица1[[#This Row],[Дата рождения]]</f>
        <v>5823</v>
      </c>
    </row>
    <row r="367" spans="18:19" x14ac:dyDescent="0.25">
      <c r="R367" s="2">
        <f>Таблица1[[#This Row],[Дата перевода]]-Таблица1[[#This Row],[Дата поступления]]</f>
        <v>1</v>
      </c>
      <c r="S367" s="2">
        <f>Таблица1[[#This Row],[Дата поступления]]-Таблица1[[#This Row],[Дата рождения]]</f>
        <v>1057</v>
      </c>
    </row>
    <row r="368" spans="18:19" x14ac:dyDescent="0.25">
      <c r="R368" s="2">
        <f>Таблица1[[#This Row],[Дата перевода]]-Таблица1[[#This Row],[Дата поступления]]</f>
        <v>1</v>
      </c>
      <c r="S368" s="2">
        <f>Таблица1[[#This Row],[Дата поступления]]-Таблица1[[#This Row],[Дата рождения]]</f>
        <v>799</v>
      </c>
    </row>
    <row r="369" spans="18:19" x14ac:dyDescent="0.25">
      <c r="R369" s="2">
        <f>Таблица1[[#This Row],[Дата перевода]]-Таблица1[[#This Row],[Дата поступления]]</f>
        <v>1</v>
      </c>
      <c r="S369" s="2">
        <f>Таблица1[[#This Row],[Дата поступления]]-Таблица1[[#This Row],[Дата рождения]]</f>
        <v>2426</v>
      </c>
    </row>
    <row r="370" spans="18:19" x14ac:dyDescent="0.25">
      <c r="R370" s="2">
        <f>Таблица1[[#This Row],[Дата перевода]]-Таблица1[[#This Row],[Дата поступления]]</f>
        <v>1</v>
      </c>
      <c r="S370" s="2">
        <f>Таблица1[[#This Row],[Дата поступления]]-Таблица1[[#This Row],[Дата рождения]]</f>
        <v>5084</v>
      </c>
    </row>
    <row r="371" spans="18:19" x14ac:dyDescent="0.25">
      <c r="R371" s="2">
        <f>Таблица1[[#This Row],[Дата перевода]]-Таблица1[[#This Row],[Дата поступления]]</f>
        <v>10</v>
      </c>
      <c r="S371" s="2">
        <f>Таблица1[[#This Row],[Дата поступления]]-Таблица1[[#This Row],[Дата рождения]]</f>
        <v>2826</v>
      </c>
    </row>
    <row r="372" spans="18:19" x14ac:dyDescent="0.25">
      <c r="R372" s="2">
        <f>Таблица1[[#This Row],[Дата перевода]]-Таблица1[[#This Row],[Дата поступления]]</f>
        <v>4</v>
      </c>
      <c r="S372" s="2">
        <f>Таблица1[[#This Row],[Дата поступления]]-Таблица1[[#This Row],[Дата рождения]]</f>
        <v>2172</v>
      </c>
    </row>
    <row r="373" spans="18:19" x14ac:dyDescent="0.25">
      <c r="R373" s="2">
        <f>Таблица1[[#This Row],[Дата перевода]]-Таблица1[[#This Row],[Дата поступления]]</f>
        <v>1</v>
      </c>
      <c r="S373" s="2">
        <f>Таблица1[[#This Row],[Дата поступления]]-Таблица1[[#This Row],[Дата рождения]]</f>
        <v>587</v>
      </c>
    </row>
    <row r="374" spans="18:19" x14ac:dyDescent="0.25">
      <c r="R374" s="2">
        <f>Таблица1[[#This Row],[Дата перевода]]-Таблица1[[#This Row],[Дата поступления]]</f>
        <v>1</v>
      </c>
      <c r="S374" s="2">
        <f>Таблица1[[#This Row],[Дата поступления]]-Таблица1[[#This Row],[Дата рождения]]</f>
        <v>2388</v>
      </c>
    </row>
    <row r="375" spans="18:19" x14ac:dyDescent="0.25">
      <c r="R375" s="2">
        <f>Таблица1[[#This Row],[Дата перевода]]-Таблица1[[#This Row],[Дата поступления]]</f>
        <v>3</v>
      </c>
      <c r="S375" s="2">
        <f>Таблица1[[#This Row],[Дата поступления]]-Таблица1[[#This Row],[Дата рождения]]</f>
        <v>33</v>
      </c>
    </row>
    <row r="376" spans="18:19" x14ac:dyDescent="0.25">
      <c r="R376" s="2">
        <f>Таблица1[[#This Row],[Дата перевода]]-Таблица1[[#This Row],[Дата поступления]]</f>
        <v>1</v>
      </c>
      <c r="S376" s="2">
        <f>Таблица1[[#This Row],[Дата поступления]]-Таблица1[[#This Row],[Дата рождения]]</f>
        <v>3932</v>
      </c>
    </row>
    <row r="377" spans="18:19" x14ac:dyDescent="0.25">
      <c r="R377" s="2">
        <f>Таблица1[[#This Row],[Дата перевода]]-Таблица1[[#This Row],[Дата поступления]]</f>
        <v>1</v>
      </c>
      <c r="S377" s="2">
        <f>Таблица1[[#This Row],[Дата поступления]]-Таблица1[[#This Row],[Дата рождения]]</f>
        <v>5987</v>
      </c>
    </row>
    <row r="378" spans="18:19" x14ac:dyDescent="0.25">
      <c r="R378" s="2">
        <f>Таблица1[[#This Row],[Дата перевода]]-Таблица1[[#This Row],[Дата поступления]]</f>
        <v>1</v>
      </c>
      <c r="S378" s="2">
        <f>Таблица1[[#This Row],[Дата поступления]]-Таблица1[[#This Row],[Дата рождения]]</f>
        <v>2518</v>
      </c>
    </row>
    <row r="379" spans="18:19" x14ac:dyDescent="0.25">
      <c r="R379" s="2">
        <f>Таблица1[[#This Row],[Дата перевода]]-Таблица1[[#This Row],[Дата поступления]]</f>
        <v>1</v>
      </c>
      <c r="S379" s="2">
        <f>Таблица1[[#This Row],[Дата поступления]]-Таблица1[[#This Row],[Дата рождения]]</f>
        <v>5294</v>
      </c>
    </row>
    <row r="380" spans="18:19" x14ac:dyDescent="0.25">
      <c r="R380" s="2">
        <f>Таблица1[[#This Row],[Дата перевода]]-Таблица1[[#This Row],[Дата поступления]]</f>
        <v>1</v>
      </c>
      <c r="S380" s="2">
        <f>Таблица1[[#This Row],[Дата поступления]]-Таблица1[[#This Row],[Дата рождения]]</f>
        <v>1275</v>
      </c>
    </row>
    <row r="381" spans="18:19" x14ac:dyDescent="0.25">
      <c r="R381" s="2">
        <f>Таблица1[[#This Row],[Дата перевода]]-Таблица1[[#This Row],[Дата поступления]]</f>
        <v>1</v>
      </c>
      <c r="S381" s="2">
        <f>Таблица1[[#This Row],[Дата поступления]]-Таблица1[[#This Row],[Дата рождения]]</f>
        <v>324</v>
      </c>
    </row>
    <row r="382" spans="18:19" x14ac:dyDescent="0.25">
      <c r="R382" s="2">
        <f>Таблица1[[#This Row],[Дата перевода]]-Таблица1[[#This Row],[Дата поступления]]</f>
        <v>1</v>
      </c>
      <c r="S382" s="2">
        <f>Таблица1[[#This Row],[Дата поступления]]-Таблица1[[#This Row],[Дата рождения]]</f>
        <v>4651</v>
      </c>
    </row>
    <row r="383" spans="18:19" x14ac:dyDescent="0.25">
      <c r="R383" s="2">
        <f>Таблица1[[#This Row],[Дата перевода]]-Таблица1[[#This Row],[Дата поступления]]</f>
        <v>11</v>
      </c>
      <c r="S383" s="2">
        <f>Таблица1[[#This Row],[Дата поступления]]-Таблица1[[#This Row],[Дата рождения]]</f>
        <v>3433</v>
      </c>
    </row>
    <row r="384" spans="18:19" x14ac:dyDescent="0.25">
      <c r="R384" s="2">
        <f>Таблица1[[#This Row],[Дата перевода]]-Таблица1[[#This Row],[Дата поступления]]</f>
        <v>1</v>
      </c>
      <c r="S384" s="2">
        <f>Таблица1[[#This Row],[Дата поступления]]-Таблица1[[#This Row],[Дата рождения]]</f>
        <v>5967</v>
      </c>
    </row>
    <row r="385" spans="18:19" x14ac:dyDescent="0.25">
      <c r="R385" s="2">
        <f>Таблица1[[#This Row],[Дата перевода]]-Таблица1[[#This Row],[Дата поступления]]</f>
        <v>1</v>
      </c>
      <c r="S385" s="2">
        <f>Таблица1[[#This Row],[Дата поступления]]-Таблица1[[#This Row],[Дата рождения]]</f>
        <v>5305</v>
      </c>
    </row>
    <row r="386" spans="18:19" x14ac:dyDescent="0.25">
      <c r="R386" s="2">
        <f>Таблица1[[#This Row],[Дата перевода]]-Таблица1[[#This Row],[Дата поступления]]</f>
        <v>0</v>
      </c>
      <c r="S386" s="2">
        <f>Таблица1[[#This Row],[Дата поступления]]-Таблица1[[#This Row],[Дата рождения]]</f>
        <v>2897</v>
      </c>
    </row>
    <row r="387" spans="18:19" x14ac:dyDescent="0.25">
      <c r="R387" s="2">
        <f>Таблица1[[#This Row],[Дата перевода]]-Таблица1[[#This Row],[Дата поступления]]</f>
        <v>1</v>
      </c>
      <c r="S387" s="2">
        <f>Таблица1[[#This Row],[Дата поступления]]-Таблица1[[#This Row],[Дата рождения]]</f>
        <v>5977</v>
      </c>
    </row>
    <row r="388" spans="18:19" x14ac:dyDescent="0.25">
      <c r="R388" s="2">
        <f>Таблица1[[#This Row],[Дата перевода]]-Таблица1[[#This Row],[Дата поступления]]</f>
        <v>1</v>
      </c>
      <c r="S388" s="2">
        <f>Таблица1[[#This Row],[Дата поступления]]-Таблица1[[#This Row],[Дата рождения]]</f>
        <v>2067</v>
      </c>
    </row>
    <row r="389" spans="18:19" x14ac:dyDescent="0.25">
      <c r="R389" s="2">
        <f>Таблица1[[#This Row],[Дата перевода]]-Таблица1[[#This Row],[Дата поступления]]</f>
        <v>1</v>
      </c>
      <c r="S389" s="2">
        <f>Таблица1[[#This Row],[Дата поступления]]-Таблица1[[#This Row],[Дата рождения]]</f>
        <v>4757</v>
      </c>
    </row>
    <row r="390" spans="18:19" x14ac:dyDescent="0.25">
      <c r="R390" s="2">
        <f>Таблица1[[#This Row],[Дата перевода]]-Таблица1[[#This Row],[Дата поступления]]</f>
        <v>1</v>
      </c>
      <c r="S390" s="2">
        <f>Таблица1[[#This Row],[Дата поступления]]-Таблица1[[#This Row],[Дата рождения]]</f>
        <v>2319</v>
      </c>
    </row>
    <row r="391" spans="18:19" x14ac:dyDescent="0.25">
      <c r="R391" s="2">
        <f>Таблица1[[#This Row],[Дата перевода]]-Таблица1[[#This Row],[Дата поступления]]</f>
        <v>1</v>
      </c>
      <c r="S391" s="2">
        <f>Таблица1[[#This Row],[Дата поступления]]-Таблица1[[#This Row],[Дата рождения]]</f>
        <v>3134</v>
      </c>
    </row>
    <row r="392" spans="18:19" x14ac:dyDescent="0.25">
      <c r="R392" s="2">
        <f>Таблица1[[#This Row],[Дата перевода]]-Таблица1[[#This Row],[Дата поступления]]</f>
        <v>1</v>
      </c>
      <c r="S392" s="2">
        <f>Таблица1[[#This Row],[Дата поступления]]-Таблица1[[#This Row],[Дата рождения]]</f>
        <v>1000</v>
      </c>
    </row>
    <row r="393" spans="18:19" x14ac:dyDescent="0.25">
      <c r="R393" s="2">
        <f>Таблица1[[#This Row],[Дата перевода]]-Таблица1[[#This Row],[Дата поступления]]</f>
        <v>4</v>
      </c>
      <c r="S393" s="2">
        <f>Таблица1[[#This Row],[Дата поступления]]-Таблица1[[#This Row],[Дата рождения]]</f>
        <v>9</v>
      </c>
    </row>
    <row r="394" spans="18:19" x14ac:dyDescent="0.25">
      <c r="R394" s="2">
        <f>Таблица1[[#This Row],[Дата перевода]]-Таблица1[[#This Row],[Дата поступления]]</f>
        <v>1</v>
      </c>
      <c r="S394" s="2">
        <f>Таблица1[[#This Row],[Дата поступления]]-Таблица1[[#This Row],[Дата рождения]]</f>
        <v>128</v>
      </c>
    </row>
    <row r="395" spans="18:19" x14ac:dyDescent="0.25">
      <c r="R395" s="2">
        <f>Таблица1[[#This Row],[Дата перевода]]-Таблица1[[#This Row],[Дата поступления]]</f>
        <v>0</v>
      </c>
      <c r="S395" s="2">
        <f>Таблица1[[#This Row],[Дата поступления]]-Таблица1[[#This Row],[Дата рождения]]</f>
        <v>44435</v>
      </c>
    </row>
    <row r="396" spans="18:19" x14ac:dyDescent="0.25">
      <c r="R396" s="2">
        <f>Таблица1[[#This Row],[Дата перевода]]-Таблица1[[#This Row],[Дата поступления]]</f>
        <v>3</v>
      </c>
      <c r="S396" s="2">
        <f>Таблица1[[#This Row],[Дата поступления]]-Таблица1[[#This Row],[Дата рождения]]</f>
        <v>4729</v>
      </c>
    </row>
    <row r="397" spans="18:19" x14ac:dyDescent="0.25">
      <c r="R397" s="2">
        <f>Таблица1[[#This Row],[Дата перевода]]-Таблица1[[#This Row],[Дата поступления]]</f>
        <v>3</v>
      </c>
      <c r="S397" s="2">
        <f>Таблица1[[#This Row],[Дата поступления]]-Таблица1[[#This Row],[Дата рождения]]</f>
        <v>5898</v>
      </c>
    </row>
    <row r="398" spans="18:19" x14ac:dyDescent="0.25">
      <c r="R398" s="2">
        <f>Таблица1[[#This Row],[Дата перевода]]-Таблица1[[#This Row],[Дата поступления]]</f>
        <v>2</v>
      </c>
      <c r="S398" s="2">
        <f>Таблица1[[#This Row],[Дата поступления]]-Таблица1[[#This Row],[Дата рождения]]</f>
        <v>5983</v>
      </c>
    </row>
    <row r="399" spans="18:19" x14ac:dyDescent="0.25">
      <c r="R399" s="2">
        <f>Таблица1[[#This Row],[Дата перевода]]-Таблица1[[#This Row],[Дата поступления]]</f>
        <v>1</v>
      </c>
      <c r="S399" s="2">
        <f>Таблица1[[#This Row],[Дата поступления]]-Таблица1[[#This Row],[Дата рождения]]</f>
        <v>2326</v>
      </c>
    </row>
    <row r="400" spans="18:19" x14ac:dyDescent="0.25">
      <c r="R400" s="2">
        <f>Таблица1[[#This Row],[Дата перевода]]-Таблица1[[#This Row],[Дата поступления]]</f>
        <v>2</v>
      </c>
      <c r="S400" s="2">
        <f>Таблица1[[#This Row],[Дата поступления]]-Таблица1[[#This Row],[Дата рождения]]</f>
        <v>6238</v>
      </c>
    </row>
    <row r="401" spans="18:19" x14ac:dyDescent="0.25">
      <c r="R401" s="2">
        <f>Таблица1[[#This Row],[Дата перевода]]-Таблица1[[#This Row],[Дата поступления]]</f>
        <v>22</v>
      </c>
      <c r="S401" s="2">
        <f>Таблица1[[#This Row],[Дата поступления]]-Таблица1[[#This Row],[Дата рождения]]</f>
        <v>230</v>
      </c>
    </row>
    <row r="402" spans="18:19" x14ac:dyDescent="0.25">
      <c r="R402" s="2">
        <f>Таблица1[[#This Row],[Дата перевода]]-Таблица1[[#This Row],[Дата поступления]]</f>
        <v>1</v>
      </c>
      <c r="S402" s="2">
        <f>Таблица1[[#This Row],[Дата поступления]]-Таблица1[[#This Row],[Дата рождения]]</f>
        <v>4959</v>
      </c>
    </row>
    <row r="403" spans="18:19" x14ac:dyDescent="0.25">
      <c r="R403" s="2">
        <f>Таблица1[[#This Row],[Дата перевода]]-Таблица1[[#This Row],[Дата поступления]]</f>
        <v>1</v>
      </c>
      <c r="S403" s="2">
        <f>Таблица1[[#This Row],[Дата поступления]]-Таблица1[[#This Row],[Дата рождения]]</f>
        <v>2278</v>
      </c>
    </row>
    <row r="404" spans="18:19" x14ac:dyDescent="0.25">
      <c r="R404" s="2">
        <f>Таблица1[[#This Row],[Дата перевода]]-Таблица1[[#This Row],[Дата поступления]]</f>
        <v>2</v>
      </c>
      <c r="S404" s="2">
        <f>Таблица1[[#This Row],[Дата поступления]]-Таблица1[[#This Row],[Дата рождения]]</f>
        <v>296</v>
      </c>
    </row>
    <row r="405" spans="18:19" x14ac:dyDescent="0.25">
      <c r="R405" s="2">
        <f>Таблица1[[#This Row],[Дата перевода]]-Таблица1[[#This Row],[Дата поступления]]</f>
        <v>1</v>
      </c>
      <c r="S405" s="2">
        <f>Таблица1[[#This Row],[Дата поступления]]-Таблица1[[#This Row],[Дата рождения]]</f>
        <v>3941</v>
      </c>
    </row>
    <row r="406" spans="18:19" x14ac:dyDescent="0.25">
      <c r="R406" s="2">
        <f>Таблица1[[#This Row],[Дата перевода]]-Таблица1[[#This Row],[Дата поступления]]</f>
        <v>1</v>
      </c>
      <c r="S406" s="2">
        <f>Таблица1[[#This Row],[Дата поступления]]-Таблица1[[#This Row],[Дата рождения]]</f>
        <v>5291</v>
      </c>
    </row>
    <row r="407" spans="18:19" x14ac:dyDescent="0.25">
      <c r="R407" s="2">
        <f>Таблица1[[#This Row],[Дата перевода]]-Таблица1[[#This Row],[Дата поступления]]</f>
        <v>1</v>
      </c>
      <c r="S407" s="2">
        <f>Таблица1[[#This Row],[Дата поступления]]-Таблица1[[#This Row],[Дата рождения]]</f>
        <v>806</v>
      </c>
    </row>
    <row r="408" spans="18:19" x14ac:dyDescent="0.25">
      <c r="R408" s="2">
        <f>Таблица1[[#This Row],[Дата перевода]]-Таблица1[[#This Row],[Дата поступления]]</f>
        <v>1</v>
      </c>
      <c r="S408" s="2">
        <f>Таблица1[[#This Row],[Дата поступления]]-Таблица1[[#This Row],[Дата рождения]]</f>
        <v>21</v>
      </c>
    </row>
    <row r="409" spans="18:19" x14ac:dyDescent="0.25">
      <c r="R409" s="2">
        <f>Таблица1[[#This Row],[Дата перевода]]-Таблица1[[#This Row],[Дата поступления]]</f>
        <v>1</v>
      </c>
      <c r="S409" s="2">
        <f>Таблица1[[#This Row],[Дата поступления]]-Таблица1[[#This Row],[Дата рождения]]</f>
        <v>5192</v>
      </c>
    </row>
    <row r="410" spans="18:19" x14ac:dyDescent="0.25">
      <c r="R410" s="2">
        <f>Таблица1[[#This Row],[Дата перевода]]-Таблица1[[#This Row],[Дата поступления]]</f>
        <v>1</v>
      </c>
      <c r="S410" s="2">
        <f>Таблица1[[#This Row],[Дата поступления]]-Таблица1[[#This Row],[Дата рождения]]</f>
        <v>732</v>
      </c>
    </row>
    <row r="411" spans="18:19" x14ac:dyDescent="0.25">
      <c r="R411" s="2">
        <f>Таблица1[[#This Row],[Дата перевода]]-Таблица1[[#This Row],[Дата поступления]]</f>
        <v>188</v>
      </c>
      <c r="S411" s="2">
        <f>Таблица1[[#This Row],[Дата поступления]]-Таблица1[[#This Row],[Дата рождения]]</f>
        <v>183</v>
      </c>
    </row>
    <row r="412" spans="18:19" x14ac:dyDescent="0.25">
      <c r="R412" s="2">
        <f>Таблица1[[#This Row],[Дата перевода]]-Таблица1[[#This Row],[Дата поступления]]</f>
        <v>2</v>
      </c>
      <c r="S412" s="2">
        <f>Таблица1[[#This Row],[Дата поступления]]-Таблица1[[#This Row],[Дата рождения]]</f>
        <v>1711</v>
      </c>
    </row>
    <row r="413" spans="18:19" x14ac:dyDescent="0.25">
      <c r="R413" s="2">
        <f>Таблица1[[#This Row],[Дата перевода]]-Таблица1[[#This Row],[Дата поступления]]</f>
        <v>2</v>
      </c>
      <c r="S413" s="2">
        <f>Таблица1[[#This Row],[Дата поступления]]-Таблица1[[#This Row],[Дата рождения]]</f>
        <v>5937</v>
      </c>
    </row>
    <row r="414" spans="18:19" x14ac:dyDescent="0.25">
      <c r="R414" s="2">
        <f>Таблица1[[#This Row],[Дата перевода]]-Таблица1[[#This Row],[Дата поступления]]</f>
        <v>1</v>
      </c>
      <c r="S414" s="2">
        <f>Таблица1[[#This Row],[Дата поступления]]-Таблица1[[#This Row],[Дата рождения]]</f>
        <v>422</v>
      </c>
    </row>
    <row r="415" spans="18:19" x14ac:dyDescent="0.25">
      <c r="R415" s="2">
        <f>Таблица1[[#This Row],[Дата перевода]]-Таблица1[[#This Row],[Дата поступления]]</f>
        <v>1</v>
      </c>
      <c r="S415" s="2">
        <f>Таблица1[[#This Row],[Дата поступления]]-Таблица1[[#This Row],[Дата рождения]]</f>
        <v>4380</v>
      </c>
    </row>
    <row r="416" spans="18:19" x14ac:dyDescent="0.25">
      <c r="R416" s="2">
        <f>Таблица1[[#This Row],[Дата перевода]]-Таблица1[[#This Row],[Дата поступления]]</f>
        <v>1</v>
      </c>
      <c r="S416" s="2">
        <f>Таблица1[[#This Row],[Дата поступления]]-Таблица1[[#This Row],[Дата рождения]]</f>
        <v>2382</v>
      </c>
    </row>
    <row r="417" spans="18:19" x14ac:dyDescent="0.25">
      <c r="R417" s="2">
        <f>Таблица1[[#This Row],[Дата перевода]]-Таблица1[[#This Row],[Дата поступления]]</f>
        <v>2</v>
      </c>
      <c r="S417" s="2">
        <f>Таблица1[[#This Row],[Дата поступления]]-Таблица1[[#This Row],[Дата рождения]]</f>
        <v>4039</v>
      </c>
    </row>
    <row r="418" spans="18:19" x14ac:dyDescent="0.25">
      <c r="R418" s="2">
        <f>Таблица1[[#This Row],[Дата перевода]]-Таблица1[[#This Row],[Дата поступления]]</f>
        <v>3</v>
      </c>
      <c r="S418" s="2">
        <f>Таблица1[[#This Row],[Дата поступления]]-Таблица1[[#This Row],[Дата рождения]]</f>
        <v>38</v>
      </c>
    </row>
    <row r="419" spans="18:19" x14ac:dyDescent="0.25">
      <c r="R419" s="2">
        <f>Таблица1[[#This Row],[Дата перевода]]-Таблица1[[#This Row],[Дата поступления]]</f>
        <v>1</v>
      </c>
      <c r="S419" s="2">
        <f>Таблица1[[#This Row],[Дата поступления]]-Таблица1[[#This Row],[Дата рождения]]</f>
        <v>2825</v>
      </c>
    </row>
    <row r="420" spans="18:19" x14ac:dyDescent="0.25">
      <c r="R420" s="2">
        <f>Таблица1[[#This Row],[Дата перевода]]-Таблица1[[#This Row],[Дата поступления]]</f>
        <v>1</v>
      </c>
      <c r="S420" s="2">
        <f>Таблица1[[#This Row],[Дата поступления]]-Таблица1[[#This Row],[Дата рождения]]</f>
        <v>5138</v>
      </c>
    </row>
    <row r="421" spans="18:19" x14ac:dyDescent="0.25">
      <c r="R421" s="2">
        <f>Таблица1[[#This Row],[Дата перевода]]-Таблица1[[#This Row],[Дата поступления]]</f>
        <v>1</v>
      </c>
      <c r="S421" s="2">
        <f>Таблица1[[#This Row],[Дата поступления]]-Таблица1[[#This Row],[Дата рождения]]</f>
        <v>3896</v>
      </c>
    </row>
    <row r="422" spans="18:19" x14ac:dyDescent="0.25">
      <c r="R422" s="2">
        <f>Таблица1[[#This Row],[Дата перевода]]-Таблица1[[#This Row],[Дата поступления]]</f>
        <v>1</v>
      </c>
      <c r="S422" s="2">
        <f>Таблица1[[#This Row],[Дата поступления]]-Таблица1[[#This Row],[Дата рождения]]</f>
        <v>6046</v>
      </c>
    </row>
    <row r="423" spans="18:19" x14ac:dyDescent="0.25">
      <c r="R423" s="2">
        <f>Таблица1[[#This Row],[Дата перевода]]-Таблица1[[#This Row],[Дата поступления]]</f>
        <v>1</v>
      </c>
      <c r="S423" s="2">
        <f>Таблица1[[#This Row],[Дата поступления]]-Таблица1[[#This Row],[Дата рождения]]</f>
        <v>46</v>
      </c>
    </row>
    <row r="424" spans="18:19" x14ac:dyDescent="0.25">
      <c r="R424" s="2">
        <f>Таблица1[[#This Row],[Дата перевода]]-Таблица1[[#This Row],[Дата поступления]]</f>
        <v>1</v>
      </c>
      <c r="S424" s="2">
        <f>Таблица1[[#This Row],[Дата поступления]]-Таблица1[[#This Row],[Дата рождения]]</f>
        <v>595</v>
      </c>
    </row>
    <row r="425" spans="18:19" x14ac:dyDescent="0.25">
      <c r="R425" s="2">
        <f>Таблица1[[#This Row],[Дата перевода]]-Таблица1[[#This Row],[Дата поступления]]</f>
        <v>1</v>
      </c>
      <c r="S425" s="2">
        <f>Таблица1[[#This Row],[Дата поступления]]-Таблица1[[#This Row],[Дата рождения]]</f>
        <v>5822</v>
      </c>
    </row>
    <row r="426" spans="18:19" x14ac:dyDescent="0.25">
      <c r="R426" s="2">
        <f>Таблица1[[#This Row],[Дата перевода]]-Таблица1[[#This Row],[Дата поступления]]</f>
        <v>4</v>
      </c>
      <c r="S426" s="2">
        <f>Таблица1[[#This Row],[Дата поступления]]-Таблица1[[#This Row],[Дата рождения]]</f>
        <v>4380</v>
      </c>
    </row>
    <row r="427" spans="18:19" x14ac:dyDescent="0.25">
      <c r="R427" s="2">
        <f>Таблица1[[#This Row],[Дата перевода]]-Таблица1[[#This Row],[Дата поступления]]</f>
        <v>1</v>
      </c>
      <c r="S427" s="2">
        <f>Таблица1[[#This Row],[Дата поступления]]-Таблица1[[#This Row],[Дата рождения]]</f>
        <v>1391</v>
      </c>
    </row>
    <row r="428" spans="18:19" x14ac:dyDescent="0.25">
      <c r="R428" s="2">
        <f>Таблица1[[#This Row],[Дата перевода]]-Таблица1[[#This Row],[Дата поступления]]</f>
        <v>5</v>
      </c>
      <c r="S428" s="2">
        <f>Таблица1[[#This Row],[Дата поступления]]-Таблица1[[#This Row],[Дата рождения]]</f>
        <v>1085</v>
      </c>
    </row>
    <row r="429" spans="18:19" x14ac:dyDescent="0.25">
      <c r="R429" s="2">
        <f>Таблица1[[#This Row],[Дата перевода]]-Таблица1[[#This Row],[Дата поступления]]</f>
        <v>1</v>
      </c>
      <c r="S429" s="2">
        <f>Таблица1[[#This Row],[Дата поступления]]-Таблица1[[#This Row],[Дата рождения]]</f>
        <v>1688</v>
      </c>
    </row>
    <row r="430" spans="18:19" x14ac:dyDescent="0.25">
      <c r="R430" s="2">
        <f>Таблица1[[#This Row],[Дата перевода]]-Таблица1[[#This Row],[Дата поступления]]</f>
        <v>1</v>
      </c>
      <c r="S430" s="2">
        <f>Таблица1[[#This Row],[Дата поступления]]-Таблица1[[#This Row],[Дата рождения]]</f>
        <v>5899</v>
      </c>
    </row>
    <row r="431" spans="18:19" x14ac:dyDescent="0.25">
      <c r="R431" s="2">
        <f>Таблица1[[#This Row],[Дата перевода]]-Таблица1[[#This Row],[Дата поступления]]</f>
        <v>1</v>
      </c>
      <c r="S431" s="2">
        <f>Таблица1[[#This Row],[Дата поступления]]-Таблица1[[#This Row],[Дата рождения]]</f>
        <v>168</v>
      </c>
    </row>
    <row r="432" spans="18:19" x14ac:dyDescent="0.25">
      <c r="R432" s="2">
        <f>Таблица1[[#This Row],[Дата перевода]]-Таблица1[[#This Row],[Дата поступления]]</f>
        <v>2</v>
      </c>
      <c r="S432" s="2">
        <f>Таблица1[[#This Row],[Дата поступления]]-Таблица1[[#This Row],[Дата рождения]]</f>
        <v>51</v>
      </c>
    </row>
    <row r="433" spans="18:19" x14ac:dyDescent="0.25">
      <c r="R433" s="2">
        <f>Таблица1[[#This Row],[Дата перевода]]-Таблица1[[#This Row],[Дата поступления]]</f>
        <v>1</v>
      </c>
      <c r="S433" s="2">
        <f>Таблица1[[#This Row],[Дата поступления]]-Таблица1[[#This Row],[Дата рождения]]</f>
        <v>5300</v>
      </c>
    </row>
    <row r="434" spans="18:19" x14ac:dyDescent="0.25">
      <c r="R434" s="2">
        <f>Таблица1[[#This Row],[Дата перевода]]-Таблица1[[#This Row],[Дата поступления]]</f>
        <v>3</v>
      </c>
      <c r="S434" s="2">
        <f>Таблица1[[#This Row],[Дата поступления]]-Таблица1[[#This Row],[Дата рождения]]</f>
        <v>91</v>
      </c>
    </row>
    <row r="435" spans="18:19" x14ac:dyDescent="0.25">
      <c r="R435" s="2">
        <f>Таблица1[[#This Row],[Дата перевода]]-Таблица1[[#This Row],[Дата поступления]]</f>
        <v>2</v>
      </c>
      <c r="S435" s="2">
        <f>Таблица1[[#This Row],[Дата поступления]]-Таблица1[[#This Row],[Дата рождения]]</f>
        <v>6531</v>
      </c>
    </row>
    <row r="436" spans="18:19" x14ac:dyDescent="0.25">
      <c r="R436" s="2">
        <f>Таблица1[[#This Row],[Дата перевода]]-Таблица1[[#This Row],[Дата поступления]]</f>
        <v>1</v>
      </c>
      <c r="S436" s="2">
        <f>Таблица1[[#This Row],[Дата поступления]]-Таблица1[[#This Row],[Дата рождения]]</f>
        <v>3084</v>
      </c>
    </row>
    <row r="437" spans="18:19" x14ac:dyDescent="0.25">
      <c r="R437" s="2">
        <f>Таблица1[[#This Row],[Дата перевода]]-Таблица1[[#This Row],[Дата поступления]]</f>
        <v>1</v>
      </c>
      <c r="S437" s="2">
        <f>Таблица1[[#This Row],[Дата поступления]]-Таблица1[[#This Row],[Дата рождения]]</f>
        <v>1367</v>
      </c>
    </row>
    <row r="438" spans="18:19" x14ac:dyDescent="0.25">
      <c r="R438" s="2">
        <f>Таблица1[[#This Row],[Дата перевода]]-Таблица1[[#This Row],[Дата поступления]]</f>
        <v>8</v>
      </c>
      <c r="S438" s="2">
        <f>Таблица1[[#This Row],[Дата поступления]]-Таблица1[[#This Row],[Дата рождения]]</f>
        <v>4244</v>
      </c>
    </row>
    <row r="439" spans="18:19" x14ac:dyDescent="0.25">
      <c r="R439" s="2">
        <f>Таблица1[[#This Row],[Дата перевода]]-Таблица1[[#This Row],[Дата поступления]]</f>
        <v>14</v>
      </c>
      <c r="S439" s="2">
        <f>Таблица1[[#This Row],[Дата поступления]]-Таблица1[[#This Row],[Дата рождения]]</f>
        <v>6</v>
      </c>
    </row>
    <row r="440" spans="18:19" x14ac:dyDescent="0.25">
      <c r="R440" s="2">
        <f>Таблица1[[#This Row],[Дата перевода]]-Таблица1[[#This Row],[Дата поступления]]</f>
        <v>1</v>
      </c>
      <c r="S440" s="2">
        <f>Таблица1[[#This Row],[Дата поступления]]-Таблица1[[#This Row],[Дата рождения]]</f>
        <v>3064</v>
      </c>
    </row>
    <row r="441" spans="18:19" x14ac:dyDescent="0.25">
      <c r="R441" s="2">
        <f>Таблица1[[#This Row],[Дата перевода]]-Таблица1[[#This Row],[Дата поступления]]</f>
        <v>3</v>
      </c>
      <c r="S441" s="2">
        <f>Таблица1[[#This Row],[Дата поступления]]-Таблица1[[#This Row],[Дата рождения]]</f>
        <v>474</v>
      </c>
    </row>
    <row r="442" spans="18:19" x14ac:dyDescent="0.25">
      <c r="R442" s="2">
        <f>Таблица1[[#This Row],[Дата перевода]]-Таблица1[[#This Row],[Дата поступления]]</f>
        <v>2</v>
      </c>
      <c r="S442" s="2">
        <f>Таблица1[[#This Row],[Дата поступления]]-Таблица1[[#This Row],[Дата рождения]]</f>
        <v>5912</v>
      </c>
    </row>
    <row r="443" spans="18:19" x14ac:dyDescent="0.25">
      <c r="R443" s="2">
        <f>Таблица1[[#This Row],[Дата перевода]]-Таблица1[[#This Row],[Дата поступления]]</f>
        <v>1</v>
      </c>
      <c r="S443" s="2">
        <f>Таблица1[[#This Row],[Дата поступления]]-Таблица1[[#This Row],[Дата рождения]]</f>
        <v>1979</v>
      </c>
    </row>
    <row r="444" spans="18:19" x14ac:dyDescent="0.25">
      <c r="R444" s="2">
        <f>Таблица1[[#This Row],[Дата перевода]]-Таблица1[[#This Row],[Дата поступления]]</f>
        <v>1</v>
      </c>
      <c r="S444" s="2">
        <f>Таблица1[[#This Row],[Дата поступления]]-Таблица1[[#This Row],[Дата рождения]]</f>
        <v>2133</v>
      </c>
    </row>
    <row r="445" spans="18:19" x14ac:dyDescent="0.25">
      <c r="R445" s="2">
        <f>Таблица1[[#This Row],[Дата перевода]]-Таблица1[[#This Row],[Дата поступления]]</f>
        <v>1</v>
      </c>
      <c r="S445" s="2">
        <f>Таблица1[[#This Row],[Дата поступления]]-Таблица1[[#This Row],[Дата рождения]]</f>
        <v>2734</v>
      </c>
    </row>
    <row r="446" spans="18:19" x14ac:dyDescent="0.25">
      <c r="R446" s="2">
        <f>Таблица1[[#This Row],[Дата перевода]]-Таблица1[[#This Row],[Дата поступления]]</f>
        <v>1</v>
      </c>
      <c r="S446" s="2">
        <f>Таблица1[[#This Row],[Дата поступления]]-Таблица1[[#This Row],[Дата рождения]]</f>
        <v>63</v>
      </c>
    </row>
    <row r="447" spans="18:19" x14ac:dyDescent="0.25">
      <c r="R447" s="2">
        <f>Таблица1[[#This Row],[Дата перевода]]-Таблица1[[#This Row],[Дата поступления]]</f>
        <v>1</v>
      </c>
      <c r="S447" s="2">
        <f>Таблица1[[#This Row],[Дата поступления]]-Таблица1[[#This Row],[Дата рождения]]</f>
        <v>303</v>
      </c>
    </row>
    <row r="448" spans="18:19" x14ac:dyDescent="0.25">
      <c r="R448" s="2">
        <f>Таблица1[[#This Row],[Дата перевода]]-Таблица1[[#This Row],[Дата поступления]]</f>
        <v>2</v>
      </c>
      <c r="S448" s="2">
        <f>Таблица1[[#This Row],[Дата поступления]]-Таблица1[[#This Row],[Дата рождения]]</f>
        <v>6011</v>
      </c>
    </row>
    <row r="449" spans="18:19" x14ac:dyDescent="0.25">
      <c r="R449" s="2">
        <f>Таблица1[[#This Row],[Дата перевода]]-Таблица1[[#This Row],[Дата поступления]]</f>
        <v>1</v>
      </c>
      <c r="S449" s="2">
        <f>Таблица1[[#This Row],[Дата поступления]]-Таблица1[[#This Row],[Дата рождения]]</f>
        <v>50</v>
      </c>
    </row>
    <row r="450" spans="18:19" x14ac:dyDescent="0.25">
      <c r="R450" s="2">
        <f>Таблица1[[#This Row],[Дата перевода]]-Таблица1[[#This Row],[Дата поступления]]</f>
        <v>93</v>
      </c>
      <c r="S450" s="2">
        <f>Таблица1[[#This Row],[Дата поступления]]-Таблица1[[#This Row],[Дата рождения]]</f>
        <v>1435</v>
      </c>
    </row>
    <row r="451" spans="18:19" x14ac:dyDescent="0.25">
      <c r="R451" s="2">
        <f>Таблица1[[#This Row],[Дата перевода]]-Таблица1[[#This Row],[Дата поступления]]</f>
        <v>1</v>
      </c>
      <c r="S451" s="2">
        <f>Таблица1[[#This Row],[Дата поступления]]-Таблица1[[#This Row],[Дата рождения]]</f>
        <v>36</v>
      </c>
    </row>
    <row r="452" spans="18:19" x14ac:dyDescent="0.25">
      <c r="R452" s="2">
        <f>Таблица1[[#This Row],[Дата перевода]]-Таблица1[[#This Row],[Дата поступления]]</f>
        <v>3</v>
      </c>
      <c r="S452" s="2">
        <f>Таблица1[[#This Row],[Дата поступления]]-Таблица1[[#This Row],[Дата рождения]]</f>
        <v>6043</v>
      </c>
    </row>
    <row r="453" spans="18:19" x14ac:dyDescent="0.25">
      <c r="R453" s="2">
        <f>Таблица1[[#This Row],[Дата перевода]]-Таблица1[[#This Row],[Дата поступления]]</f>
        <v>1</v>
      </c>
      <c r="S453" s="2">
        <f>Таблица1[[#This Row],[Дата поступления]]-Таблица1[[#This Row],[Дата рождения]]</f>
        <v>123</v>
      </c>
    </row>
    <row r="454" spans="18:19" x14ac:dyDescent="0.25">
      <c r="R454" s="2">
        <f>Таблица1[[#This Row],[Дата перевода]]-Таблица1[[#This Row],[Дата поступления]]</f>
        <v>1</v>
      </c>
      <c r="S454" s="2">
        <f>Таблица1[[#This Row],[Дата поступления]]-Таблица1[[#This Row],[Дата рождения]]</f>
        <v>1324</v>
      </c>
    </row>
    <row r="455" spans="18:19" x14ac:dyDescent="0.25">
      <c r="R455" s="2">
        <f>Таблица1[[#This Row],[Дата перевода]]-Таблица1[[#This Row],[Дата поступления]]</f>
        <v>1</v>
      </c>
      <c r="S455" s="2">
        <f>Таблица1[[#This Row],[Дата поступления]]-Таблица1[[#This Row],[Дата рождения]]</f>
        <v>3658</v>
      </c>
    </row>
    <row r="456" spans="18:19" x14ac:dyDescent="0.25">
      <c r="R456" s="2">
        <f>Таблица1[[#This Row],[Дата перевода]]-Таблица1[[#This Row],[Дата поступления]]</f>
        <v>1</v>
      </c>
      <c r="S456" s="2">
        <f>Таблица1[[#This Row],[Дата поступления]]-Таблица1[[#This Row],[Дата рождения]]</f>
        <v>3918</v>
      </c>
    </row>
    <row r="457" spans="18:19" x14ac:dyDescent="0.25">
      <c r="R457" s="2">
        <f>Таблица1[[#This Row],[Дата перевода]]-Таблица1[[#This Row],[Дата поступления]]</f>
        <v>1</v>
      </c>
      <c r="S457" s="2">
        <f>Таблица1[[#This Row],[Дата поступления]]-Таблица1[[#This Row],[Дата рождения]]</f>
        <v>2449</v>
      </c>
    </row>
    <row r="458" spans="18:19" x14ac:dyDescent="0.25">
      <c r="R458" s="2">
        <f>Таблица1[[#This Row],[Дата перевода]]-Таблица1[[#This Row],[Дата поступления]]</f>
        <v>1</v>
      </c>
      <c r="S458" s="2">
        <f>Таблица1[[#This Row],[Дата поступления]]-Таблица1[[#This Row],[Дата рождения]]</f>
        <v>5958</v>
      </c>
    </row>
    <row r="459" spans="18:19" x14ac:dyDescent="0.25">
      <c r="R459" s="2">
        <f>Таблица1[[#This Row],[Дата перевода]]-Таблица1[[#This Row],[Дата поступления]]</f>
        <v>1</v>
      </c>
      <c r="S459" s="2">
        <f>Таблица1[[#This Row],[Дата поступления]]-Таблица1[[#This Row],[Дата рождения]]</f>
        <v>5135</v>
      </c>
    </row>
    <row r="460" spans="18:19" x14ac:dyDescent="0.25">
      <c r="R460" s="2">
        <f>Таблица1[[#This Row],[Дата перевода]]-Таблица1[[#This Row],[Дата поступления]]</f>
        <v>1</v>
      </c>
      <c r="S460" s="2">
        <f>Таблица1[[#This Row],[Дата поступления]]-Таблица1[[#This Row],[Дата рождения]]</f>
        <v>1407</v>
      </c>
    </row>
    <row r="461" spans="18:19" x14ac:dyDescent="0.25">
      <c r="R461" s="2">
        <f>Таблица1[[#This Row],[Дата перевода]]-Таблица1[[#This Row],[Дата поступления]]</f>
        <v>3</v>
      </c>
      <c r="S461" s="2">
        <f>Таблица1[[#This Row],[Дата поступления]]-Таблица1[[#This Row],[Дата рождения]]</f>
        <v>202</v>
      </c>
    </row>
    <row r="462" spans="18:19" x14ac:dyDescent="0.25">
      <c r="R462" s="2">
        <f>Таблица1[[#This Row],[Дата перевода]]-Таблица1[[#This Row],[Дата поступления]]</f>
        <v>1</v>
      </c>
      <c r="S462" s="2">
        <f>Таблица1[[#This Row],[Дата поступления]]-Таблица1[[#This Row],[Дата рождения]]</f>
        <v>363</v>
      </c>
    </row>
    <row r="463" spans="18:19" x14ac:dyDescent="0.25">
      <c r="R463" s="2">
        <f>Таблица1[[#This Row],[Дата перевода]]-Таблица1[[#This Row],[Дата поступления]]</f>
        <v>1</v>
      </c>
      <c r="S463" s="2">
        <f>Таблица1[[#This Row],[Дата поступления]]-Таблица1[[#This Row],[Дата рождения]]</f>
        <v>276</v>
      </c>
    </row>
    <row r="464" spans="18:19" x14ac:dyDescent="0.25">
      <c r="R464" s="2">
        <f>Таблица1[[#This Row],[Дата перевода]]-Таблица1[[#This Row],[Дата поступления]]</f>
        <v>1</v>
      </c>
      <c r="S464" s="2">
        <f>Таблица1[[#This Row],[Дата поступления]]-Таблица1[[#This Row],[Дата рождения]]</f>
        <v>1750</v>
      </c>
    </row>
    <row r="465" spans="18:19" x14ac:dyDescent="0.25">
      <c r="R465" s="2">
        <f>Таблица1[[#This Row],[Дата перевода]]-Таблица1[[#This Row],[Дата поступления]]</f>
        <v>1</v>
      </c>
      <c r="S465" s="2">
        <f>Таблица1[[#This Row],[Дата поступления]]-Таблица1[[#This Row],[Дата рождения]]</f>
        <v>2261</v>
      </c>
    </row>
    <row r="466" spans="18:19" x14ac:dyDescent="0.25">
      <c r="R466" s="2">
        <f>Таблица1[[#This Row],[Дата перевода]]-Таблица1[[#This Row],[Дата поступления]]</f>
        <v>1</v>
      </c>
      <c r="S466" s="2">
        <f>Таблица1[[#This Row],[Дата поступления]]-Таблица1[[#This Row],[Дата рождения]]</f>
        <v>6179</v>
      </c>
    </row>
    <row r="467" spans="18:19" x14ac:dyDescent="0.25">
      <c r="R467" s="2">
        <f>Таблица1[[#This Row],[Дата перевода]]-Таблица1[[#This Row],[Дата поступления]]</f>
        <v>2</v>
      </c>
      <c r="S467" s="2">
        <f>Таблица1[[#This Row],[Дата поступления]]-Таблица1[[#This Row],[Дата рождения]]</f>
        <v>371</v>
      </c>
    </row>
    <row r="468" spans="18:19" x14ac:dyDescent="0.25">
      <c r="R468" s="2">
        <f>Таблица1[[#This Row],[Дата перевода]]-Таблица1[[#This Row],[Дата поступления]]</f>
        <v>2</v>
      </c>
      <c r="S468" s="2">
        <f>Таблица1[[#This Row],[Дата поступления]]-Таблица1[[#This Row],[Дата рождения]]</f>
        <v>2266</v>
      </c>
    </row>
    <row r="469" spans="18:19" x14ac:dyDescent="0.25">
      <c r="R469" s="2">
        <f>Таблица1[[#This Row],[Дата перевода]]-Таблица1[[#This Row],[Дата поступления]]</f>
        <v>0</v>
      </c>
      <c r="S469" s="2">
        <f>Таблица1[[#This Row],[Дата поступления]]-Таблица1[[#This Row],[Дата рождения]]</f>
        <v>429</v>
      </c>
    </row>
    <row r="470" spans="18:19" x14ac:dyDescent="0.25">
      <c r="R470" s="2">
        <f>Таблица1[[#This Row],[Дата перевода]]-Таблица1[[#This Row],[Дата поступления]]</f>
        <v>1</v>
      </c>
      <c r="S470" s="2">
        <f>Таблица1[[#This Row],[Дата поступления]]-Таблица1[[#This Row],[Дата рождения]]</f>
        <v>1306</v>
      </c>
    </row>
    <row r="471" spans="18:19" x14ac:dyDescent="0.25">
      <c r="R471" s="2">
        <f>Таблица1[[#This Row],[Дата перевода]]-Таблица1[[#This Row],[Дата поступления]]</f>
        <v>0</v>
      </c>
      <c r="S471" s="2">
        <f>Таблица1[[#This Row],[Дата поступления]]-Таблица1[[#This Row],[Дата рождения]]</f>
        <v>77</v>
      </c>
    </row>
    <row r="472" spans="18:19" x14ac:dyDescent="0.25">
      <c r="R472" s="2">
        <f>Таблица1[[#This Row],[Дата перевода]]-Таблица1[[#This Row],[Дата поступления]]</f>
        <v>1</v>
      </c>
      <c r="S472" s="2">
        <f>Таблица1[[#This Row],[Дата поступления]]-Таблица1[[#This Row],[Дата рождения]]</f>
        <v>45</v>
      </c>
    </row>
    <row r="473" spans="18:19" x14ac:dyDescent="0.25">
      <c r="R473" s="2">
        <f>Таблица1[[#This Row],[Дата перевода]]-Таблица1[[#This Row],[Дата поступления]]</f>
        <v>3</v>
      </c>
      <c r="S473" s="2">
        <f>Таблица1[[#This Row],[Дата поступления]]-Таблица1[[#This Row],[Дата рождения]]</f>
        <v>313</v>
      </c>
    </row>
    <row r="474" spans="18:19" x14ac:dyDescent="0.25">
      <c r="R474" s="2">
        <f>Таблица1[[#This Row],[Дата перевода]]-Таблица1[[#This Row],[Дата поступления]]</f>
        <v>1</v>
      </c>
      <c r="S474" s="2">
        <f>Таблица1[[#This Row],[Дата поступления]]-Таблица1[[#This Row],[Дата рождения]]</f>
        <v>1700</v>
      </c>
    </row>
    <row r="475" spans="18:19" x14ac:dyDescent="0.25">
      <c r="R475" s="2">
        <f>Таблица1[[#This Row],[Дата перевода]]-Таблица1[[#This Row],[Дата поступления]]</f>
        <v>1</v>
      </c>
      <c r="S475" s="2">
        <f>Таблица1[[#This Row],[Дата поступления]]-Таблица1[[#This Row],[Дата рождения]]</f>
        <v>360</v>
      </c>
    </row>
    <row r="476" spans="18:19" x14ac:dyDescent="0.25">
      <c r="R476" s="2">
        <f>Таблица1[[#This Row],[Дата перевода]]-Таблица1[[#This Row],[Дата поступления]]</f>
        <v>1</v>
      </c>
      <c r="S476" s="2">
        <f>Таблица1[[#This Row],[Дата поступления]]-Таблица1[[#This Row],[Дата рождения]]</f>
        <v>75</v>
      </c>
    </row>
    <row r="477" spans="18:19" x14ac:dyDescent="0.25">
      <c r="R477" s="2">
        <f>Таблица1[[#This Row],[Дата перевода]]-Таблица1[[#This Row],[Дата поступления]]</f>
        <v>0</v>
      </c>
      <c r="S477" s="2">
        <f>Таблица1[[#This Row],[Дата поступления]]-Таблица1[[#This Row],[Дата рождения]]</f>
        <v>4259</v>
      </c>
    </row>
    <row r="478" spans="18:19" x14ac:dyDescent="0.25">
      <c r="R478" s="2">
        <f>Таблица1[[#This Row],[Дата перевода]]-Таблица1[[#This Row],[Дата поступления]]</f>
        <v>2</v>
      </c>
      <c r="S478" s="2">
        <f>Таблица1[[#This Row],[Дата поступления]]-Таблица1[[#This Row],[Дата рождения]]</f>
        <v>6548</v>
      </c>
    </row>
    <row r="479" spans="18:19" x14ac:dyDescent="0.25">
      <c r="R479" s="2">
        <f>Таблица1[[#This Row],[Дата перевода]]-Таблица1[[#This Row],[Дата поступления]]</f>
        <v>1</v>
      </c>
      <c r="S479" s="2">
        <f>Таблица1[[#This Row],[Дата поступления]]-Таблица1[[#This Row],[Дата рождения]]</f>
        <v>1317</v>
      </c>
    </row>
    <row r="480" spans="18:19" x14ac:dyDescent="0.25">
      <c r="R480" s="2">
        <f>Таблица1[[#This Row],[Дата перевода]]-Таблица1[[#This Row],[Дата поступления]]</f>
        <v>1</v>
      </c>
      <c r="S480" s="2">
        <f>Таблица1[[#This Row],[Дата поступления]]-Таблица1[[#This Row],[Дата рождения]]</f>
        <v>1466</v>
      </c>
    </row>
    <row r="481" spans="18:19" x14ac:dyDescent="0.25">
      <c r="R481" s="2">
        <f>Таблица1[[#This Row],[Дата перевода]]-Таблица1[[#This Row],[Дата поступления]]</f>
        <v>1</v>
      </c>
      <c r="S481" s="2">
        <f>Таблица1[[#This Row],[Дата поступления]]-Таблица1[[#This Row],[Дата рождения]]</f>
        <v>3956</v>
      </c>
    </row>
    <row r="482" spans="18:19" x14ac:dyDescent="0.25">
      <c r="R482" s="2">
        <f>Таблица1[[#This Row],[Дата перевода]]-Таблица1[[#This Row],[Дата поступления]]</f>
        <v>14</v>
      </c>
      <c r="S482" s="2">
        <f>Таблица1[[#This Row],[Дата поступления]]-Таблица1[[#This Row],[Дата рождения]]</f>
        <v>1251</v>
      </c>
    </row>
    <row r="483" spans="18:19" x14ac:dyDescent="0.25">
      <c r="R483" s="2">
        <f>Таблица1[[#This Row],[Дата перевода]]-Таблица1[[#This Row],[Дата поступления]]</f>
        <v>1</v>
      </c>
      <c r="S483" s="2">
        <f>Таблица1[[#This Row],[Дата поступления]]-Таблица1[[#This Row],[Дата рождения]]</f>
        <v>5821</v>
      </c>
    </row>
    <row r="484" spans="18:19" x14ac:dyDescent="0.25">
      <c r="R484" s="2">
        <f>Таблица1[[#This Row],[Дата перевода]]-Таблица1[[#This Row],[Дата поступления]]</f>
        <v>7</v>
      </c>
      <c r="S484" s="2">
        <f>Таблица1[[#This Row],[Дата поступления]]-Таблица1[[#This Row],[Дата рождения]]</f>
        <v>533</v>
      </c>
    </row>
    <row r="485" spans="18:19" x14ac:dyDescent="0.25">
      <c r="R485" s="2">
        <f>Таблица1[[#This Row],[Дата перевода]]-Таблица1[[#This Row],[Дата поступления]]</f>
        <v>1</v>
      </c>
      <c r="S485" s="2">
        <f>Таблица1[[#This Row],[Дата поступления]]-Таблица1[[#This Row],[Дата рождения]]</f>
        <v>6108</v>
      </c>
    </row>
    <row r="486" spans="18:19" x14ac:dyDescent="0.25">
      <c r="R486" s="2">
        <f>Таблица1[[#This Row],[Дата перевода]]-Таблица1[[#This Row],[Дата поступления]]</f>
        <v>1</v>
      </c>
      <c r="S486" s="2">
        <f>Таблица1[[#This Row],[Дата поступления]]-Таблица1[[#This Row],[Дата рождения]]</f>
        <v>2892</v>
      </c>
    </row>
    <row r="487" spans="18:19" x14ac:dyDescent="0.25">
      <c r="R487" s="2">
        <f>Таблица1[[#This Row],[Дата перевода]]-Таблица1[[#This Row],[Дата поступления]]</f>
        <v>1</v>
      </c>
      <c r="S487" s="2">
        <f>Таблица1[[#This Row],[Дата поступления]]-Таблица1[[#This Row],[Дата рождения]]</f>
        <v>28</v>
      </c>
    </row>
    <row r="488" spans="18:19" x14ac:dyDescent="0.25">
      <c r="R488" s="2">
        <f>Таблица1[[#This Row],[Дата перевода]]-Таблица1[[#This Row],[Дата поступления]]</f>
        <v>1</v>
      </c>
      <c r="S488" s="2">
        <f>Таблица1[[#This Row],[Дата поступления]]-Таблица1[[#This Row],[Дата рождения]]</f>
        <v>48</v>
      </c>
    </row>
    <row r="489" spans="18:19" x14ac:dyDescent="0.25">
      <c r="R489" s="2">
        <f>Таблица1[[#This Row],[Дата перевода]]-Таблица1[[#This Row],[Дата поступления]]</f>
        <v>2</v>
      </c>
      <c r="S489" s="2">
        <f>Таблица1[[#This Row],[Дата поступления]]-Таблица1[[#This Row],[Дата рождения]]</f>
        <v>730</v>
      </c>
    </row>
    <row r="490" spans="18:19" x14ac:dyDescent="0.25">
      <c r="R490" s="2">
        <f>Таблица1[[#This Row],[Дата перевода]]-Таблица1[[#This Row],[Дата поступления]]</f>
        <v>2</v>
      </c>
      <c r="S490" s="2">
        <f>Таблица1[[#This Row],[Дата поступления]]-Таблица1[[#This Row],[Дата рождения]]</f>
        <v>56</v>
      </c>
    </row>
    <row r="491" spans="18:19" x14ac:dyDescent="0.25">
      <c r="R491" s="2">
        <f>Таблица1[[#This Row],[Дата перевода]]-Таблица1[[#This Row],[Дата поступления]]</f>
        <v>1</v>
      </c>
      <c r="S491" s="2">
        <f>Таблица1[[#This Row],[Дата поступления]]-Таблица1[[#This Row],[Дата рождения]]</f>
        <v>3100</v>
      </c>
    </row>
    <row r="492" spans="18:19" x14ac:dyDescent="0.25">
      <c r="R492" s="2">
        <f>Таблица1[[#This Row],[Дата перевода]]-Таблица1[[#This Row],[Дата поступления]]</f>
        <v>13</v>
      </c>
      <c r="S492" s="2">
        <f>Таблица1[[#This Row],[Дата поступления]]-Таблица1[[#This Row],[Дата рождения]]</f>
        <v>5745</v>
      </c>
    </row>
    <row r="493" spans="18:19" x14ac:dyDescent="0.25">
      <c r="R493" s="2">
        <f>Таблица1[[#This Row],[Дата перевода]]-Таблица1[[#This Row],[Дата поступления]]</f>
        <v>1</v>
      </c>
      <c r="S493" s="2">
        <f>Таблица1[[#This Row],[Дата поступления]]-Таблица1[[#This Row],[Дата рождения]]</f>
        <v>4941</v>
      </c>
    </row>
    <row r="494" spans="18:19" x14ac:dyDescent="0.25">
      <c r="R494" s="2">
        <f>Таблица1[[#This Row],[Дата перевода]]-Таблица1[[#This Row],[Дата поступления]]</f>
        <v>1</v>
      </c>
      <c r="S494" s="2">
        <f>Таблица1[[#This Row],[Дата поступления]]-Таблица1[[#This Row],[Дата рождения]]</f>
        <v>5790</v>
      </c>
    </row>
    <row r="495" spans="18:19" x14ac:dyDescent="0.25">
      <c r="R495" s="2">
        <f>Таблица1[[#This Row],[Дата перевода]]-Таблица1[[#This Row],[Дата поступления]]</f>
        <v>2</v>
      </c>
      <c r="S495" s="2">
        <f>Таблица1[[#This Row],[Дата поступления]]-Таблица1[[#This Row],[Дата рождения]]</f>
        <v>3055</v>
      </c>
    </row>
    <row r="496" spans="18:19" x14ac:dyDescent="0.25">
      <c r="R496" s="2">
        <f>Таблица1[[#This Row],[Дата перевода]]-Таблица1[[#This Row],[Дата поступления]]</f>
        <v>2</v>
      </c>
      <c r="S496" s="2">
        <f>Таблица1[[#This Row],[Дата поступления]]-Таблица1[[#This Row],[Дата рождения]]</f>
        <v>6252</v>
      </c>
    </row>
    <row r="497" spans="18:19" x14ac:dyDescent="0.25">
      <c r="R497" s="2">
        <f>Таблица1[[#This Row],[Дата перевода]]-Таблица1[[#This Row],[Дата поступления]]</f>
        <v>18</v>
      </c>
      <c r="S497" s="2">
        <f>Таблица1[[#This Row],[Дата поступления]]-Таблица1[[#This Row],[Дата рождения]]</f>
        <v>3732</v>
      </c>
    </row>
    <row r="498" spans="18:19" x14ac:dyDescent="0.25">
      <c r="R498" s="2">
        <f>Таблица1[[#This Row],[Дата перевода]]-Таблица1[[#This Row],[Дата поступления]]</f>
        <v>1</v>
      </c>
      <c r="S498" s="2">
        <f>Таблица1[[#This Row],[Дата поступления]]-Таблица1[[#This Row],[Дата рождения]]</f>
        <v>2115</v>
      </c>
    </row>
    <row r="499" spans="18:19" x14ac:dyDescent="0.25">
      <c r="R499" s="2">
        <f>Таблица1[[#This Row],[Дата перевода]]-Таблица1[[#This Row],[Дата поступления]]</f>
        <v>1</v>
      </c>
      <c r="S499" s="2">
        <f>Таблица1[[#This Row],[Дата поступления]]-Таблица1[[#This Row],[Дата рождения]]</f>
        <v>2565</v>
      </c>
    </row>
    <row r="500" spans="18:19" x14ac:dyDescent="0.25">
      <c r="R500" s="2">
        <f>Таблица1[[#This Row],[Дата перевода]]-Таблица1[[#This Row],[Дата поступления]]</f>
        <v>6</v>
      </c>
      <c r="S500" s="2">
        <f>Таблица1[[#This Row],[Дата поступления]]-Таблица1[[#This Row],[Дата рождения]]</f>
        <v>542</v>
      </c>
    </row>
    <row r="501" spans="18:19" x14ac:dyDescent="0.25">
      <c r="R501" s="2">
        <f>Таблица1[[#This Row],[Дата перевода]]-Таблица1[[#This Row],[Дата поступления]]</f>
        <v>1</v>
      </c>
      <c r="S501" s="2">
        <f>Таблица1[[#This Row],[Дата поступления]]-Таблица1[[#This Row],[Дата рождения]]</f>
        <v>632</v>
      </c>
    </row>
    <row r="502" spans="18:19" x14ac:dyDescent="0.25">
      <c r="R502" s="2">
        <f>Таблица1[[#This Row],[Дата перевода]]-Таблица1[[#This Row],[Дата поступления]]</f>
        <v>3</v>
      </c>
      <c r="S502" s="2">
        <f>Таблица1[[#This Row],[Дата поступления]]-Таблица1[[#This Row],[Дата рождения]]</f>
        <v>3060</v>
      </c>
    </row>
    <row r="503" spans="18:19" x14ac:dyDescent="0.25">
      <c r="R503" s="2">
        <f>Таблица1[[#This Row],[Дата перевода]]-Таблица1[[#This Row],[Дата поступления]]</f>
        <v>0</v>
      </c>
      <c r="S503" s="2">
        <f>Таблица1[[#This Row],[Дата поступления]]-Таблица1[[#This Row],[Дата рождения]]</f>
        <v>3836</v>
      </c>
    </row>
    <row r="504" spans="18:19" x14ac:dyDescent="0.25">
      <c r="R504" s="2">
        <f>Таблица1[[#This Row],[Дата перевода]]-Таблица1[[#This Row],[Дата поступления]]</f>
        <v>3</v>
      </c>
      <c r="S504" s="2">
        <f>Таблица1[[#This Row],[Дата поступления]]-Таблица1[[#This Row],[Дата рождения]]</f>
        <v>6381</v>
      </c>
    </row>
    <row r="505" spans="18:19" x14ac:dyDescent="0.25">
      <c r="R505" s="2">
        <f>Таблица1[[#This Row],[Дата перевода]]-Таблица1[[#This Row],[Дата поступления]]</f>
        <v>1</v>
      </c>
      <c r="S505" s="2">
        <f>Таблица1[[#This Row],[Дата поступления]]-Таблица1[[#This Row],[Дата рождения]]</f>
        <v>1170</v>
      </c>
    </row>
    <row r="506" spans="18:19" x14ac:dyDescent="0.25">
      <c r="R506" s="2">
        <f>Таблица1[[#This Row],[Дата перевода]]-Таблица1[[#This Row],[Дата поступления]]</f>
        <v>1</v>
      </c>
      <c r="S506" s="2">
        <f>Таблица1[[#This Row],[Дата поступления]]-Таблица1[[#This Row],[Дата рождения]]</f>
        <v>44482</v>
      </c>
    </row>
    <row r="507" spans="18:19" x14ac:dyDescent="0.25">
      <c r="R507" s="2">
        <f>Таблица1[[#This Row],[Дата перевода]]-Таблица1[[#This Row],[Дата поступления]]</f>
        <v>1</v>
      </c>
      <c r="S507" s="2">
        <f>Таблица1[[#This Row],[Дата поступления]]-Таблица1[[#This Row],[Дата рождения]]</f>
        <v>41</v>
      </c>
    </row>
    <row r="508" spans="18:19" x14ac:dyDescent="0.25">
      <c r="R508" s="2">
        <f>Таблица1[[#This Row],[Дата перевода]]-Таблица1[[#This Row],[Дата поступления]]</f>
        <v>4</v>
      </c>
      <c r="S508" s="2">
        <f>Таблица1[[#This Row],[Дата поступления]]-Таблица1[[#This Row],[Дата рождения]]</f>
        <v>57</v>
      </c>
    </row>
    <row r="509" spans="18:19" x14ac:dyDescent="0.25">
      <c r="R509" s="2">
        <f>Таблица1[[#This Row],[Дата перевода]]-Таблица1[[#This Row],[Дата поступления]]</f>
        <v>4</v>
      </c>
      <c r="S509" s="2">
        <f>Таблица1[[#This Row],[Дата поступления]]-Таблица1[[#This Row],[Дата рождения]]</f>
        <v>52</v>
      </c>
    </row>
    <row r="510" spans="18:19" x14ac:dyDescent="0.25">
      <c r="R510" s="2">
        <f>Таблица1[[#This Row],[Дата перевода]]-Таблица1[[#This Row],[Дата поступления]]</f>
        <v>1</v>
      </c>
      <c r="S510" s="2">
        <f>Таблица1[[#This Row],[Дата поступления]]-Таблица1[[#This Row],[Дата рождения]]</f>
        <v>6136</v>
      </c>
    </row>
    <row r="511" spans="18:19" x14ac:dyDescent="0.25">
      <c r="R511" s="2">
        <f>Таблица1[[#This Row],[Дата перевода]]-Таблица1[[#This Row],[Дата поступления]]</f>
        <v>2</v>
      </c>
      <c r="S511" s="2">
        <f>Таблица1[[#This Row],[Дата поступления]]-Таблица1[[#This Row],[Дата рождения]]</f>
        <v>2947</v>
      </c>
    </row>
    <row r="512" spans="18:19" x14ac:dyDescent="0.25">
      <c r="R512" s="2">
        <f>Таблица1[[#This Row],[Дата перевода]]-Таблица1[[#This Row],[Дата поступления]]</f>
        <v>1</v>
      </c>
      <c r="S512" s="2">
        <f>Таблица1[[#This Row],[Дата поступления]]-Таблица1[[#This Row],[Дата рождения]]</f>
        <v>5934</v>
      </c>
    </row>
    <row r="513" spans="18:19" x14ac:dyDescent="0.25">
      <c r="R513" s="2">
        <f>Таблица1[[#This Row],[Дата перевода]]-Таблица1[[#This Row],[Дата поступления]]</f>
        <v>2</v>
      </c>
      <c r="S513" s="2">
        <f>Таблица1[[#This Row],[Дата поступления]]-Таблица1[[#This Row],[Дата рождения]]</f>
        <v>1</v>
      </c>
    </row>
    <row r="514" spans="18:19" x14ac:dyDescent="0.25">
      <c r="R514" s="2">
        <f>Таблица1[[#This Row],[Дата перевода]]-Таблица1[[#This Row],[Дата поступления]]</f>
        <v>1</v>
      </c>
      <c r="S514" s="2">
        <f>Таблица1[[#This Row],[Дата поступления]]-Таблица1[[#This Row],[Дата рождения]]</f>
        <v>1057</v>
      </c>
    </row>
    <row r="515" spans="18:19" x14ac:dyDescent="0.25">
      <c r="R515" s="2">
        <f>Таблица1[[#This Row],[Дата перевода]]-Таблица1[[#This Row],[Дата поступления]]</f>
        <v>9</v>
      </c>
      <c r="S515" s="2">
        <f>Таблица1[[#This Row],[Дата поступления]]-Таблица1[[#This Row],[Дата рождения]]</f>
        <v>454</v>
      </c>
    </row>
    <row r="516" spans="18:19" x14ac:dyDescent="0.25">
      <c r="R516" s="2">
        <f>Таблица1[[#This Row],[Дата перевода]]-Таблица1[[#This Row],[Дата поступления]]</f>
        <v>1</v>
      </c>
      <c r="S516" s="2">
        <f>Таблица1[[#This Row],[Дата поступления]]-Таблица1[[#This Row],[Дата рождения]]</f>
        <v>641</v>
      </c>
    </row>
    <row r="517" spans="18:19" x14ac:dyDescent="0.25">
      <c r="R517" s="2">
        <f>Таблица1[[#This Row],[Дата перевода]]-Таблица1[[#This Row],[Дата поступления]]</f>
        <v>3</v>
      </c>
      <c r="S517" s="2">
        <f>Таблица1[[#This Row],[Дата поступления]]-Таблица1[[#This Row],[Дата рождения]]</f>
        <v>62</v>
      </c>
    </row>
    <row r="518" spans="18:19" x14ac:dyDescent="0.25">
      <c r="R518" s="2">
        <f>Таблица1[[#This Row],[Дата перевода]]-Таблица1[[#This Row],[Дата поступления]]</f>
        <v>3</v>
      </c>
      <c r="S518" s="2">
        <f>Таблица1[[#This Row],[Дата поступления]]-Таблица1[[#This Row],[Дата рождения]]</f>
        <v>1270</v>
      </c>
    </row>
    <row r="519" spans="18:19" x14ac:dyDescent="0.25">
      <c r="R519" s="2">
        <f>Таблица1[[#This Row],[Дата перевода]]-Таблица1[[#This Row],[Дата поступления]]</f>
        <v>1</v>
      </c>
      <c r="S519" s="2">
        <f>Таблица1[[#This Row],[Дата поступления]]-Таблица1[[#This Row],[Дата рождения]]</f>
        <v>4035</v>
      </c>
    </row>
    <row r="520" spans="18:19" x14ac:dyDescent="0.25">
      <c r="R520" s="2">
        <f>Таблица1[[#This Row],[Дата перевода]]-Таблица1[[#This Row],[Дата поступления]]</f>
        <v>1</v>
      </c>
      <c r="S520" s="2">
        <f>Таблица1[[#This Row],[Дата поступления]]-Таблица1[[#This Row],[Дата рождения]]</f>
        <v>2955</v>
      </c>
    </row>
    <row r="521" spans="18:19" x14ac:dyDescent="0.25">
      <c r="R521" s="2">
        <f>Таблица1[[#This Row],[Дата перевода]]-Таблица1[[#This Row],[Дата поступления]]</f>
        <v>3</v>
      </c>
      <c r="S521" s="2">
        <f>Таблица1[[#This Row],[Дата поступления]]-Таблица1[[#This Row],[Дата рождения]]</f>
        <v>5439</v>
      </c>
    </row>
    <row r="522" spans="18:19" x14ac:dyDescent="0.25">
      <c r="R522" s="2">
        <f>Таблица1[[#This Row],[Дата перевода]]-Таблица1[[#This Row],[Дата поступления]]</f>
        <v>1</v>
      </c>
      <c r="S522" s="2">
        <f>Таблица1[[#This Row],[Дата поступления]]-Таблица1[[#This Row],[Дата рождения]]</f>
        <v>919</v>
      </c>
    </row>
    <row r="523" spans="18:19" x14ac:dyDescent="0.25">
      <c r="R523" s="2">
        <f>Таблица1[[#This Row],[Дата перевода]]-Таблица1[[#This Row],[Дата поступления]]</f>
        <v>1</v>
      </c>
      <c r="S523" s="2">
        <f>Таблица1[[#This Row],[Дата поступления]]-Таблица1[[#This Row],[Дата рождения]]</f>
        <v>2404</v>
      </c>
    </row>
    <row r="524" spans="18:19" x14ac:dyDescent="0.25">
      <c r="R524" s="2">
        <f>Таблица1[[#This Row],[Дата перевода]]-Таблица1[[#This Row],[Дата поступления]]</f>
        <v>3</v>
      </c>
      <c r="S524" s="2">
        <f>Таблица1[[#This Row],[Дата поступления]]-Таблица1[[#This Row],[Дата рождения]]</f>
        <v>778</v>
      </c>
    </row>
    <row r="525" spans="18:19" x14ac:dyDescent="0.25">
      <c r="R525" s="2">
        <f>Таблица1[[#This Row],[Дата перевода]]-Таблица1[[#This Row],[Дата поступления]]</f>
        <v>3</v>
      </c>
      <c r="S525" s="2">
        <f>Таблица1[[#This Row],[Дата поступления]]-Таблица1[[#This Row],[Дата рождения]]</f>
        <v>4037</v>
      </c>
    </row>
    <row r="526" spans="18:19" x14ac:dyDescent="0.25">
      <c r="R526" s="2">
        <f>Таблица1[[#This Row],[Дата перевода]]-Таблица1[[#This Row],[Дата поступления]]</f>
        <v>1</v>
      </c>
      <c r="S526" s="2">
        <f>Таблица1[[#This Row],[Дата поступления]]-Таблица1[[#This Row],[Дата рождения]]</f>
        <v>1960</v>
      </c>
    </row>
    <row r="527" spans="18:19" x14ac:dyDescent="0.25">
      <c r="R527" s="2">
        <f>Таблица1[[#This Row],[Дата перевода]]-Таблица1[[#This Row],[Дата поступления]]</f>
        <v>1</v>
      </c>
      <c r="S527" s="2">
        <f>Таблица1[[#This Row],[Дата поступления]]-Таблица1[[#This Row],[Дата рождения]]</f>
        <v>5162</v>
      </c>
    </row>
    <row r="528" spans="18:19" x14ac:dyDescent="0.25">
      <c r="R528" s="2">
        <f>Таблица1[[#This Row],[Дата перевода]]-Таблица1[[#This Row],[Дата поступления]]</f>
        <v>1</v>
      </c>
      <c r="S528" s="2">
        <f>Таблица1[[#This Row],[Дата поступления]]-Таблица1[[#This Row],[Дата рождения]]</f>
        <v>1354</v>
      </c>
    </row>
    <row r="529" spans="18:19" x14ac:dyDescent="0.25">
      <c r="R529" s="2">
        <f>Таблица1[[#This Row],[Дата перевода]]-Таблица1[[#This Row],[Дата поступления]]</f>
        <v>7</v>
      </c>
      <c r="S529" s="2">
        <f>Таблица1[[#This Row],[Дата поступления]]-Таблица1[[#This Row],[Дата рождения]]</f>
        <v>5393</v>
      </c>
    </row>
    <row r="530" spans="18:19" x14ac:dyDescent="0.25">
      <c r="R530" s="2">
        <f>Таблица1[[#This Row],[Дата перевода]]-Таблица1[[#This Row],[Дата поступления]]</f>
        <v>1</v>
      </c>
      <c r="S530" s="2">
        <f>Таблица1[[#This Row],[Дата поступления]]-Таблица1[[#This Row],[Дата рождения]]</f>
        <v>28</v>
      </c>
    </row>
    <row r="531" spans="18:19" x14ac:dyDescent="0.25">
      <c r="R531" s="2">
        <f>Таблица1[[#This Row],[Дата перевода]]-Таблица1[[#This Row],[Дата поступления]]</f>
        <v>2</v>
      </c>
      <c r="S531" s="2">
        <f>Таблица1[[#This Row],[Дата поступления]]-Таблица1[[#This Row],[Дата рождения]]</f>
        <v>3454</v>
      </c>
    </row>
    <row r="532" spans="18:19" x14ac:dyDescent="0.25">
      <c r="R532" s="2">
        <f>Таблица1[[#This Row],[Дата перевода]]-Таблица1[[#This Row],[Дата поступления]]</f>
        <v>1</v>
      </c>
      <c r="S532" s="2">
        <f>Таблица1[[#This Row],[Дата поступления]]-Таблица1[[#This Row],[Дата рождения]]</f>
        <v>103</v>
      </c>
    </row>
    <row r="533" spans="18:19" x14ac:dyDescent="0.25">
      <c r="R533" s="2">
        <f>Таблица1[[#This Row],[Дата перевода]]-Таблица1[[#This Row],[Дата поступления]]</f>
        <v>1</v>
      </c>
      <c r="S533" s="2">
        <f>Таблица1[[#This Row],[Дата поступления]]-Таблица1[[#This Row],[Дата рождения]]</f>
        <v>170</v>
      </c>
    </row>
    <row r="534" spans="18:19" x14ac:dyDescent="0.25">
      <c r="R534" s="2">
        <f>Таблица1[[#This Row],[Дата перевода]]-Таблица1[[#This Row],[Дата поступления]]</f>
        <v>1</v>
      </c>
      <c r="S534" s="2">
        <f>Таблица1[[#This Row],[Дата поступления]]-Таблица1[[#This Row],[Дата рождения]]</f>
        <v>491</v>
      </c>
    </row>
    <row r="535" spans="18:19" x14ac:dyDescent="0.25">
      <c r="R535" s="2">
        <f>Таблица1[[#This Row],[Дата перевода]]-Таблица1[[#This Row],[Дата поступления]]</f>
        <v>1</v>
      </c>
      <c r="S535" s="2">
        <f>Таблица1[[#This Row],[Дата поступления]]-Таблица1[[#This Row],[Дата рождения]]</f>
        <v>1317</v>
      </c>
    </row>
    <row r="536" spans="18:19" x14ac:dyDescent="0.25">
      <c r="R536" s="2">
        <f>Таблица1[[#This Row],[Дата перевода]]-Таблица1[[#This Row],[Дата поступления]]</f>
        <v>1</v>
      </c>
      <c r="S536" s="2">
        <f>Таблица1[[#This Row],[Дата поступления]]-Таблица1[[#This Row],[Дата рождения]]</f>
        <v>846</v>
      </c>
    </row>
    <row r="537" spans="18:19" x14ac:dyDescent="0.25">
      <c r="R537" s="2">
        <f>Таблица1[[#This Row],[Дата перевода]]-Таблица1[[#This Row],[Дата поступления]]</f>
        <v>1</v>
      </c>
      <c r="S537" s="2">
        <f>Таблица1[[#This Row],[Дата поступления]]-Таблица1[[#This Row],[Дата рождения]]</f>
        <v>5982</v>
      </c>
    </row>
    <row r="538" spans="18:19" x14ac:dyDescent="0.25">
      <c r="R538" s="2">
        <f>Таблица1[[#This Row],[Дата перевода]]-Таблица1[[#This Row],[Дата поступления]]</f>
        <v>1</v>
      </c>
      <c r="S538" s="2">
        <f>Таблица1[[#This Row],[Дата поступления]]-Таблица1[[#This Row],[Дата рождения]]</f>
        <v>1810</v>
      </c>
    </row>
    <row r="539" spans="18:19" x14ac:dyDescent="0.25">
      <c r="R539" s="2">
        <f>Таблица1[[#This Row],[Дата перевода]]-Таблица1[[#This Row],[Дата поступления]]</f>
        <v>1</v>
      </c>
      <c r="S539" s="2">
        <f>Таблица1[[#This Row],[Дата поступления]]-Таблица1[[#This Row],[Дата рождения]]</f>
        <v>4441</v>
      </c>
    </row>
    <row r="540" spans="18:19" x14ac:dyDescent="0.25">
      <c r="R540" s="2">
        <f>Таблица1[[#This Row],[Дата перевода]]-Таблица1[[#This Row],[Дата поступления]]</f>
        <v>2</v>
      </c>
      <c r="S540" s="2">
        <f>Таблица1[[#This Row],[Дата поступления]]-Таблица1[[#This Row],[Дата рождения]]</f>
        <v>4975</v>
      </c>
    </row>
    <row r="541" spans="18:19" x14ac:dyDescent="0.25">
      <c r="R541" s="2">
        <f>Таблица1[[#This Row],[Дата перевода]]-Таблица1[[#This Row],[Дата поступления]]</f>
        <v>2</v>
      </c>
      <c r="S541" s="2">
        <f>Таблица1[[#This Row],[Дата поступления]]-Таблица1[[#This Row],[Дата рождения]]</f>
        <v>5991</v>
      </c>
    </row>
    <row r="542" spans="18:19" x14ac:dyDescent="0.25">
      <c r="R542" s="2">
        <f>Таблица1[[#This Row],[Дата перевода]]-Таблица1[[#This Row],[Дата поступления]]</f>
        <v>2</v>
      </c>
      <c r="S542" s="2">
        <f>Таблица1[[#This Row],[Дата поступления]]-Таблица1[[#This Row],[Дата рождения]]</f>
        <v>74</v>
      </c>
    </row>
    <row r="543" spans="18:19" x14ac:dyDescent="0.25">
      <c r="R543" s="2">
        <f>Таблица1[[#This Row],[Дата перевода]]-Таблица1[[#This Row],[Дата поступления]]</f>
        <v>1</v>
      </c>
      <c r="S543" s="2">
        <f>Таблица1[[#This Row],[Дата поступления]]-Таблица1[[#This Row],[Дата рождения]]</f>
        <v>1527</v>
      </c>
    </row>
    <row r="544" spans="18:19" x14ac:dyDescent="0.25">
      <c r="R544" s="2">
        <f>Таблица1[[#This Row],[Дата перевода]]-Таблица1[[#This Row],[Дата поступления]]</f>
        <v>1</v>
      </c>
      <c r="S544" s="2">
        <f>Таблица1[[#This Row],[Дата поступления]]-Таблица1[[#This Row],[Дата рождения]]</f>
        <v>5924</v>
      </c>
    </row>
    <row r="545" spans="18:19" x14ac:dyDescent="0.25">
      <c r="R545" s="2">
        <f>Таблица1[[#This Row],[Дата перевода]]-Таблица1[[#This Row],[Дата поступления]]</f>
        <v>1</v>
      </c>
      <c r="S545" s="2">
        <f>Таблица1[[#This Row],[Дата поступления]]-Таблица1[[#This Row],[Дата рождения]]</f>
        <v>2191</v>
      </c>
    </row>
    <row r="546" spans="18:19" x14ac:dyDescent="0.25">
      <c r="R546" s="2">
        <f>Таблица1[[#This Row],[Дата перевода]]-Таблица1[[#This Row],[Дата поступления]]</f>
        <v>1</v>
      </c>
      <c r="S546" s="2">
        <f>Таблица1[[#This Row],[Дата поступления]]-Таблица1[[#This Row],[Дата рождения]]</f>
        <v>3298</v>
      </c>
    </row>
    <row r="547" spans="18:19" x14ac:dyDescent="0.25">
      <c r="R547" s="2">
        <f>Таблица1[[#This Row],[Дата перевода]]-Таблица1[[#This Row],[Дата поступления]]</f>
        <v>1</v>
      </c>
      <c r="S547" s="2">
        <f>Таблица1[[#This Row],[Дата поступления]]-Таблица1[[#This Row],[Дата рождения]]</f>
        <v>2740</v>
      </c>
    </row>
    <row r="548" spans="18:19" x14ac:dyDescent="0.25">
      <c r="R548" s="2">
        <f>Таблица1[[#This Row],[Дата перевода]]-Таблица1[[#This Row],[Дата поступления]]</f>
        <v>1</v>
      </c>
      <c r="S548" s="2">
        <f>Таблица1[[#This Row],[Дата поступления]]-Таблица1[[#This Row],[Дата рождения]]</f>
        <v>1338</v>
      </c>
    </row>
    <row r="549" spans="18:19" x14ac:dyDescent="0.25">
      <c r="R549" s="2">
        <f>Таблица1[[#This Row],[Дата перевода]]-Таблица1[[#This Row],[Дата поступления]]</f>
        <v>-44503</v>
      </c>
      <c r="S549" s="2">
        <f>Таблица1[[#This Row],[Дата поступления]]-Таблица1[[#This Row],[Дата рождения]]</f>
        <v>0</v>
      </c>
    </row>
    <row r="550" spans="18:19" x14ac:dyDescent="0.25">
      <c r="R550" s="2">
        <f>Таблица1[[#This Row],[Дата перевода]]-Таблица1[[#This Row],[Дата поступления]]</f>
        <v>1</v>
      </c>
      <c r="S550" s="2">
        <f>Таблица1[[#This Row],[Дата поступления]]-Таблица1[[#This Row],[Дата рождения]]</f>
        <v>6346</v>
      </c>
    </row>
    <row r="551" spans="18:19" x14ac:dyDescent="0.25">
      <c r="R551" s="2">
        <f>Таблица1[[#This Row],[Дата перевода]]-Таблица1[[#This Row],[Дата поступления]]</f>
        <v>-44200</v>
      </c>
      <c r="S551" s="2">
        <f>Таблица1[[#This Row],[Дата поступления]]-Таблица1[[#This Row],[Дата рождения]]</f>
        <v>1902</v>
      </c>
    </row>
    <row r="552" spans="18:19" x14ac:dyDescent="0.25">
      <c r="R552" s="2">
        <f>Таблица1[[#This Row],[Дата перевода]]-Таблица1[[#This Row],[Дата поступления]]</f>
        <v>-44504</v>
      </c>
      <c r="S552" s="2">
        <f>Таблица1[[#This Row],[Дата поступления]]-Таблица1[[#This Row],[Дата рождения]]</f>
        <v>44504</v>
      </c>
    </row>
    <row r="553" spans="18:19" x14ac:dyDescent="0.25">
      <c r="R553" s="2">
        <f>Таблица1[[#This Row],[Дата перевода]]-Таблица1[[#This Row],[Дата поступления]]</f>
        <v>0</v>
      </c>
      <c r="S553" s="2">
        <f>Таблица1[[#This Row],[Дата поступления]]-Таблица1[[#This Row],[Дата рождения]]</f>
        <v>0</v>
      </c>
    </row>
    <row r="554" spans="18:19" x14ac:dyDescent="0.25">
      <c r="R554" s="2">
        <f>Таблица1[[#This Row],[Дата перевода]]-Таблица1[[#This Row],[Дата поступления]]</f>
        <v>0</v>
      </c>
      <c r="S554" s="2">
        <f>Таблица1[[#This Row],[Дата поступления]]-Таблица1[[#This Row],[Дата рождения]]</f>
        <v>0</v>
      </c>
    </row>
    <row r="555" spans="18:19" x14ac:dyDescent="0.25">
      <c r="R555" s="2">
        <f>Таблица1[[#This Row],[Дата перевода]]-Таблица1[[#This Row],[Дата поступления]]</f>
        <v>0</v>
      </c>
      <c r="S555" s="2">
        <f>Таблица1[[#This Row],[Дата поступления]]-Таблица1[[#This Row],[Дата рождения]]</f>
        <v>0</v>
      </c>
    </row>
    <row r="556" spans="18:19" x14ac:dyDescent="0.25">
      <c r="R556" s="2">
        <f>Таблица1[[#This Row],[Дата перевода]]-Таблица1[[#This Row],[Дата поступления]]</f>
        <v>0</v>
      </c>
      <c r="S556" s="2">
        <f>Таблица1[[#This Row],[Дата поступления]]-Таблица1[[#This Row],[Дата рождения]]</f>
        <v>0</v>
      </c>
    </row>
    <row r="557" spans="18:19" x14ac:dyDescent="0.25">
      <c r="R557" s="2">
        <f>Таблица1[[#This Row],[Дата перевода]]-Таблица1[[#This Row],[Дата поступления]]</f>
        <v>0</v>
      </c>
      <c r="S557" s="2">
        <f>Таблица1[[#This Row],[Дата поступления]]-Таблица1[[#This Row],[Дата рождения]]</f>
        <v>0</v>
      </c>
    </row>
    <row r="558" spans="18:19" x14ac:dyDescent="0.25">
      <c r="R558" s="2">
        <f>Таблица1[[#This Row],[Дата перевода]]-Таблица1[[#This Row],[Дата поступления]]</f>
        <v>0</v>
      </c>
      <c r="S558" s="2">
        <f>Таблица1[[#This Row],[Дата поступления]]-Таблица1[[#This Row],[Дата рождения]]</f>
        <v>0</v>
      </c>
    </row>
    <row r="559" spans="18:19" x14ac:dyDescent="0.25">
      <c r="R559" s="2">
        <f>Таблица1[[#This Row],[Дата перевода]]-Таблица1[[#This Row],[Дата поступления]]</f>
        <v>0</v>
      </c>
      <c r="S559" s="2">
        <f>Таблица1[[#This Row],[Дата поступления]]-Таблица1[[#This Row],[Дата рождения]]</f>
        <v>0</v>
      </c>
    </row>
    <row r="560" spans="18:19" x14ac:dyDescent="0.25">
      <c r="R560" s="2">
        <f>Таблица1[[#This Row],[Дата перевода]]-Таблица1[[#This Row],[Дата поступления]]</f>
        <v>0</v>
      </c>
      <c r="S560" s="2">
        <f>Таблица1[[#This Row],[Дата поступления]]-Таблица1[[#This Row],[Дата рождения]]</f>
        <v>0</v>
      </c>
    </row>
    <row r="561" spans="18:19" x14ac:dyDescent="0.25">
      <c r="R561" s="2">
        <f>Таблица1[[#This Row],[Дата перевода]]-Таблица1[[#This Row],[Дата поступления]]</f>
        <v>0</v>
      </c>
      <c r="S561" s="2">
        <f>Таблица1[[#This Row],[Дата поступления]]-Таблица1[[#This Row],[Дата рождения]]</f>
        <v>0</v>
      </c>
    </row>
    <row r="562" spans="18:19" x14ac:dyDescent="0.25">
      <c r="R562" s="2">
        <f>Таблица1[[#This Row],[Дата перевода]]-Таблица1[[#This Row],[Дата поступления]]</f>
        <v>0</v>
      </c>
      <c r="S562" s="2">
        <f>Таблица1[[#This Row],[Дата поступления]]-Таблица1[[#This Row],[Дата рождения]]</f>
        <v>0</v>
      </c>
    </row>
    <row r="563" spans="18:19" x14ac:dyDescent="0.25">
      <c r="R563" s="2">
        <f>Таблица1[[#This Row],[Дата перевода]]-Таблица1[[#This Row],[Дата поступления]]</f>
        <v>0</v>
      </c>
      <c r="S563" s="2">
        <f>Таблица1[[#This Row],[Дата поступления]]-Таблица1[[#This Row],[Дата рождения]]</f>
        <v>0</v>
      </c>
    </row>
    <row r="564" spans="18:19" x14ac:dyDescent="0.25">
      <c r="R564" s="2">
        <f>Таблица1[[#This Row],[Дата перевода]]-Таблица1[[#This Row],[Дата поступления]]</f>
        <v>0</v>
      </c>
      <c r="S564" s="2">
        <f>Таблица1[[#This Row],[Дата поступления]]-Таблица1[[#This Row],[Дата рождения]]</f>
        <v>0</v>
      </c>
    </row>
    <row r="565" spans="18:19" x14ac:dyDescent="0.25">
      <c r="R565" s="2">
        <f>Таблица1[[#This Row],[Дата перевода]]-Таблица1[[#This Row],[Дата поступления]]</f>
        <v>0</v>
      </c>
      <c r="S565" s="2">
        <f>Таблица1[[#This Row],[Дата поступления]]-Таблица1[[#This Row],[Дата рождения]]</f>
        <v>0</v>
      </c>
    </row>
    <row r="566" spans="18:19" x14ac:dyDescent="0.25">
      <c r="R566" s="2">
        <f>Таблица1[[#This Row],[Дата перевода]]-Таблица1[[#This Row],[Дата поступления]]</f>
        <v>0</v>
      </c>
      <c r="S566" s="2">
        <f>Таблица1[[#This Row],[Дата поступления]]-Таблица1[[#This Row],[Дата рождения]]</f>
        <v>0</v>
      </c>
    </row>
    <row r="567" spans="18:19" x14ac:dyDescent="0.25">
      <c r="R567" s="2">
        <f>Таблица1[[#This Row],[Дата перевода]]-Таблица1[[#This Row],[Дата поступления]]</f>
        <v>0</v>
      </c>
      <c r="S567" s="2">
        <f>Таблица1[[#This Row],[Дата поступления]]-Таблица1[[#This Row],[Дата рождения]]</f>
        <v>0</v>
      </c>
    </row>
    <row r="568" spans="18:19" x14ac:dyDescent="0.25">
      <c r="R568" s="2">
        <f>Таблица1[[#This Row],[Дата перевода]]-Таблица1[[#This Row],[Дата поступления]]</f>
        <v>0</v>
      </c>
      <c r="S568" s="2">
        <f>Таблица1[[#This Row],[Дата поступления]]-Таблица1[[#This Row],[Дата рождения]]</f>
        <v>0</v>
      </c>
    </row>
    <row r="569" spans="18:19" x14ac:dyDescent="0.25">
      <c r="R569" s="2">
        <f>Таблица1[[#This Row],[Дата перевода]]-Таблица1[[#This Row],[Дата поступления]]</f>
        <v>0</v>
      </c>
      <c r="S569" s="2">
        <f>Таблица1[[#This Row],[Дата поступления]]-Таблица1[[#This Row],[Дата рождения]]</f>
        <v>0</v>
      </c>
    </row>
    <row r="570" spans="18:19" x14ac:dyDescent="0.25">
      <c r="R570" s="2">
        <f>Таблица1[[#This Row],[Дата перевода]]-Таблица1[[#This Row],[Дата поступления]]</f>
        <v>0</v>
      </c>
      <c r="S570" s="2">
        <f>Таблица1[[#This Row],[Дата поступления]]-Таблица1[[#This Row],[Дата рождения]]</f>
        <v>0</v>
      </c>
    </row>
    <row r="571" spans="18:19" x14ac:dyDescent="0.25">
      <c r="R571" s="2">
        <f>Таблица1[[#This Row],[Дата перевода]]-Таблица1[[#This Row],[Дата поступления]]</f>
        <v>0</v>
      </c>
      <c r="S571" s="2">
        <f>Таблица1[[#This Row],[Дата поступления]]-Таблица1[[#This Row],[Дата рождения]]</f>
        <v>0</v>
      </c>
    </row>
    <row r="572" spans="18:19" x14ac:dyDescent="0.25">
      <c r="R572" s="2">
        <f>Таблица1[[#This Row],[Дата перевода]]-Таблица1[[#This Row],[Дата поступления]]</f>
        <v>0</v>
      </c>
      <c r="S572" s="2">
        <f>Таблица1[[#This Row],[Дата поступления]]-Таблица1[[#This Row],[Дата рождения]]</f>
        <v>0</v>
      </c>
    </row>
    <row r="573" spans="18:19" x14ac:dyDescent="0.25">
      <c r="R573" s="2">
        <f>Таблица1[[#This Row],[Дата перевода]]-Таблица1[[#This Row],[Дата поступления]]</f>
        <v>0</v>
      </c>
      <c r="S573" s="2">
        <f>Таблица1[[#This Row],[Дата поступления]]-Таблица1[[#This Row],[Дата рождения]]</f>
        <v>0</v>
      </c>
    </row>
    <row r="574" spans="18:19" x14ac:dyDescent="0.25">
      <c r="R574" s="2">
        <f>Таблица1[[#This Row],[Дата перевода]]-Таблица1[[#This Row],[Дата поступления]]</f>
        <v>0</v>
      </c>
      <c r="S574" s="2">
        <f>Таблица1[[#This Row],[Дата поступления]]-Таблица1[[#This Row],[Дата рождения]]</f>
        <v>0</v>
      </c>
    </row>
    <row r="575" spans="18:19" x14ac:dyDescent="0.25">
      <c r="R575" s="2">
        <f>Таблица1[[#This Row],[Дата перевода]]-Таблица1[[#This Row],[Дата поступления]]</f>
        <v>0</v>
      </c>
      <c r="S575" s="2">
        <f>Таблица1[[#This Row],[Дата поступления]]-Таблица1[[#This Row],[Дата рождения]]</f>
        <v>0</v>
      </c>
    </row>
    <row r="576" spans="18:19" x14ac:dyDescent="0.25">
      <c r="R576" s="2">
        <f>Таблица1[[#This Row],[Дата перевода]]-Таблица1[[#This Row],[Дата поступления]]</f>
        <v>0</v>
      </c>
      <c r="S576" s="2">
        <f>Таблица1[[#This Row],[Дата поступления]]-Таблица1[[#This Row],[Дата рождения]]</f>
        <v>0</v>
      </c>
    </row>
    <row r="577" spans="18:19" x14ac:dyDescent="0.25">
      <c r="R577" s="2">
        <f>Таблица1[[#This Row],[Дата перевода]]-Таблица1[[#This Row],[Дата поступления]]</f>
        <v>0</v>
      </c>
      <c r="S577" s="2">
        <f>Таблица1[[#This Row],[Дата поступления]]-Таблица1[[#This Row],[Дата рождения]]</f>
        <v>0</v>
      </c>
    </row>
    <row r="578" spans="18:19" x14ac:dyDescent="0.25">
      <c r="R578" s="2">
        <f>Таблица1[[#This Row],[Дата перевода]]-Таблица1[[#This Row],[Дата поступления]]</f>
        <v>0</v>
      </c>
      <c r="S578" s="2">
        <f>Таблица1[[#This Row],[Дата поступления]]-Таблица1[[#This Row],[Дата рождения]]</f>
        <v>0</v>
      </c>
    </row>
    <row r="579" spans="18:19" x14ac:dyDescent="0.25">
      <c r="R579" s="2">
        <f>Таблица1[[#This Row],[Дата перевода]]-Таблица1[[#This Row],[Дата поступления]]</f>
        <v>0</v>
      </c>
      <c r="S579" s="2">
        <f>Таблица1[[#This Row],[Дата поступления]]-Таблица1[[#This Row],[Дата рождения]]</f>
        <v>0</v>
      </c>
    </row>
    <row r="580" spans="18:19" x14ac:dyDescent="0.25">
      <c r="R580" s="2">
        <f>Таблица1[[#This Row],[Дата перевода]]-Таблица1[[#This Row],[Дата поступления]]</f>
        <v>0</v>
      </c>
      <c r="S580" s="2">
        <f>Таблица1[[#This Row],[Дата поступления]]-Таблица1[[#This Row],[Дата рождения]]</f>
        <v>0</v>
      </c>
    </row>
    <row r="581" spans="18:19" x14ac:dyDescent="0.25">
      <c r="R581" s="2">
        <f>Таблица1[[#This Row],[Дата перевода]]-Таблица1[[#This Row],[Дата поступления]]</f>
        <v>0</v>
      </c>
      <c r="S581" s="2">
        <f>Таблица1[[#This Row],[Дата поступления]]-Таблица1[[#This Row],[Дата рождения]]</f>
        <v>0</v>
      </c>
    </row>
    <row r="582" spans="18:19" x14ac:dyDescent="0.25">
      <c r="R582" s="2">
        <f>Таблица1[[#This Row],[Дата перевода]]-Таблица1[[#This Row],[Дата поступления]]</f>
        <v>0</v>
      </c>
      <c r="S582" s="2">
        <f>Таблица1[[#This Row],[Дата поступления]]-Таблица1[[#This Row],[Дата рождения]]</f>
        <v>0</v>
      </c>
    </row>
    <row r="583" spans="18:19" x14ac:dyDescent="0.25">
      <c r="R583" s="2">
        <f>Таблица1[[#This Row],[Дата перевода]]-Таблица1[[#This Row],[Дата поступления]]</f>
        <v>0</v>
      </c>
      <c r="S583" s="2">
        <f>Таблица1[[#This Row],[Дата поступления]]-Таблица1[[#This Row],[Дата рождения]]</f>
        <v>0</v>
      </c>
    </row>
    <row r="584" spans="18:19" x14ac:dyDescent="0.25">
      <c r="R584" s="2">
        <f>Таблица1[[#This Row],[Дата перевода]]-Таблица1[[#This Row],[Дата поступления]]</f>
        <v>0</v>
      </c>
      <c r="S584" s="2">
        <f>Таблица1[[#This Row],[Дата поступления]]-Таблица1[[#This Row],[Дата рождения]]</f>
        <v>0</v>
      </c>
    </row>
    <row r="585" spans="18:19" x14ac:dyDescent="0.25">
      <c r="R585" s="2">
        <f>Таблица1[[#This Row],[Дата перевода]]-Таблица1[[#This Row],[Дата поступления]]</f>
        <v>0</v>
      </c>
      <c r="S585" s="2">
        <f>Таблица1[[#This Row],[Дата поступления]]-Таблица1[[#This Row],[Дата рождения]]</f>
        <v>0</v>
      </c>
    </row>
    <row r="586" spans="18:19" x14ac:dyDescent="0.25">
      <c r="R586" s="2">
        <f>Таблица1[[#This Row],[Дата перевода]]-Таблица1[[#This Row],[Дата поступления]]</f>
        <v>0</v>
      </c>
      <c r="S586" s="2">
        <f>Таблица1[[#This Row],[Дата поступления]]-Таблица1[[#This Row],[Дата рождения]]</f>
        <v>0</v>
      </c>
    </row>
    <row r="587" spans="18:19" x14ac:dyDescent="0.25">
      <c r="R587" s="2">
        <f>Таблица1[[#This Row],[Дата перевода]]-Таблица1[[#This Row],[Дата поступления]]</f>
        <v>0</v>
      </c>
      <c r="S587" s="2">
        <f>Таблица1[[#This Row],[Дата поступления]]-Таблица1[[#This Row],[Дата рождения]]</f>
        <v>0</v>
      </c>
    </row>
    <row r="588" spans="18:19" x14ac:dyDescent="0.25">
      <c r="R588" s="2">
        <f>Таблица1[[#This Row],[Дата перевода]]-Таблица1[[#This Row],[Дата поступления]]</f>
        <v>0</v>
      </c>
      <c r="S588" s="2">
        <f>Таблица1[[#This Row],[Дата поступления]]-Таблица1[[#This Row],[Дата рождения]]</f>
        <v>0</v>
      </c>
    </row>
    <row r="589" spans="18:19" x14ac:dyDescent="0.25">
      <c r="R589" s="2">
        <f>Таблица1[[#This Row],[Дата перевода]]-Таблица1[[#This Row],[Дата поступления]]</f>
        <v>0</v>
      </c>
      <c r="S589" s="2">
        <f>Таблица1[[#This Row],[Дата поступления]]-Таблица1[[#This Row],[Дата рождения]]</f>
        <v>0</v>
      </c>
    </row>
    <row r="590" spans="18:19" x14ac:dyDescent="0.25">
      <c r="R590" s="2">
        <f>Таблица1[[#This Row],[Дата перевода]]-Таблица1[[#This Row],[Дата поступления]]</f>
        <v>0</v>
      </c>
      <c r="S590" s="2">
        <f>Таблица1[[#This Row],[Дата поступления]]-Таблица1[[#This Row],[Дата рождения]]</f>
        <v>0</v>
      </c>
    </row>
    <row r="591" spans="18:19" x14ac:dyDescent="0.25">
      <c r="R591" s="2">
        <f>Таблица1[[#This Row],[Дата перевода]]-Таблица1[[#This Row],[Дата поступления]]</f>
        <v>0</v>
      </c>
      <c r="S591" s="2">
        <f>Таблица1[[#This Row],[Дата поступления]]-Таблица1[[#This Row],[Дата рождения]]</f>
        <v>0</v>
      </c>
    </row>
    <row r="592" spans="18:19" x14ac:dyDescent="0.25">
      <c r="R592" s="2">
        <f>Таблица1[[#This Row],[Дата перевода]]-Таблица1[[#This Row],[Дата поступления]]</f>
        <v>0</v>
      </c>
      <c r="S592" s="2">
        <f>Таблица1[[#This Row],[Дата поступления]]-Таблица1[[#This Row],[Дата рождения]]</f>
        <v>0</v>
      </c>
    </row>
    <row r="593" spans="18:19" x14ac:dyDescent="0.25">
      <c r="R593" s="2">
        <f>Таблица1[[#This Row],[Дата перевода]]-Таблица1[[#This Row],[Дата поступления]]</f>
        <v>0</v>
      </c>
      <c r="S593" s="2">
        <f>Таблица1[[#This Row],[Дата поступления]]-Таблица1[[#This Row],[Дата рождения]]</f>
        <v>0</v>
      </c>
    </row>
    <row r="594" spans="18:19" x14ac:dyDescent="0.25">
      <c r="R594" s="2">
        <f>Таблица1[[#This Row],[Дата перевода]]-Таблица1[[#This Row],[Дата поступления]]</f>
        <v>0</v>
      </c>
      <c r="S594" s="2">
        <f>Таблица1[[#This Row],[Дата поступления]]-Таблица1[[#This Row],[Дата рождения]]</f>
        <v>0</v>
      </c>
    </row>
    <row r="595" spans="18:19" x14ac:dyDescent="0.25">
      <c r="R595" s="2">
        <f>Таблица1[[#This Row],[Дата перевода]]-Таблица1[[#This Row],[Дата поступления]]</f>
        <v>0</v>
      </c>
      <c r="S595" s="2">
        <f>Таблица1[[#This Row],[Дата поступления]]-Таблица1[[#This Row],[Дата рождения]]</f>
        <v>0</v>
      </c>
    </row>
    <row r="596" spans="18:19" x14ac:dyDescent="0.25">
      <c r="R596" s="2">
        <f>Таблица1[[#This Row],[Дата перевода]]-Таблица1[[#This Row],[Дата поступления]]</f>
        <v>0</v>
      </c>
      <c r="S596" s="2">
        <f>Таблица1[[#This Row],[Дата поступления]]-Таблица1[[#This Row],[Дата рождения]]</f>
        <v>0</v>
      </c>
    </row>
    <row r="597" spans="18:19" x14ac:dyDescent="0.25">
      <c r="R597" s="2">
        <f>Таблица1[[#This Row],[Дата перевода]]-Таблица1[[#This Row],[Дата поступления]]</f>
        <v>0</v>
      </c>
      <c r="S597" s="2">
        <f>Таблица1[[#This Row],[Дата поступления]]-Таблица1[[#This Row],[Дата рождения]]</f>
        <v>0</v>
      </c>
    </row>
    <row r="598" spans="18:19" x14ac:dyDescent="0.25">
      <c r="R598" s="2">
        <f>Таблица1[[#This Row],[Дата перевода]]-Таблица1[[#This Row],[Дата поступления]]</f>
        <v>0</v>
      </c>
      <c r="S598" s="2">
        <f>Таблица1[[#This Row],[Дата поступления]]-Таблица1[[#This Row],[Дата рождения]]</f>
        <v>0</v>
      </c>
    </row>
    <row r="599" spans="18:19" x14ac:dyDescent="0.25">
      <c r="R599" s="2">
        <f>Таблица1[[#This Row],[Дата перевода]]-Таблица1[[#This Row],[Дата поступления]]</f>
        <v>0</v>
      </c>
      <c r="S599" s="2">
        <f>Таблица1[[#This Row],[Дата поступления]]-Таблица1[[#This Row],[Дата рождения]]</f>
        <v>0</v>
      </c>
    </row>
    <row r="600" spans="18:19" x14ac:dyDescent="0.25">
      <c r="R600" s="2">
        <f>Таблица1[[#This Row],[Дата перевода]]-Таблица1[[#This Row],[Дата поступления]]</f>
        <v>0</v>
      </c>
      <c r="S600" s="2">
        <f>Таблица1[[#This Row],[Дата поступления]]-Таблица1[[#This Row],[Дата рождения]]</f>
        <v>0</v>
      </c>
    </row>
    <row r="601" spans="18:19" x14ac:dyDescent="0.25">
      <c r="R601" s="2">
        <f>Таблица1[[#This Row],[Дата перевода]]-Таблица1[[#This Row],[Дата поступления]]</f>
        <v>0</v>
      </c>
      <c r="S601" s="2">
        <f>Таблица1[[#This Row],[Дата поступления]]-Таблица1[[#This Row],[Дата рождения]]</f>
        <v>0</v>
      </c>
    </row>
    <row r="602" spans="18:19" x14ac:dyDescent="0.25">
      <c r="R602" s="2">
        <f>Таблица1[[#This Row],[Дата перевода]]-Таблица1[[#This Row],[Дата поступления]]</f>
        <v>0</v>
      </c>
      <c r="S602" s="2">
        <f>Таблица1[[#This Row],[Дата поступления]]-Таблица1[[#This Row],[Дата рождения]]</f>
        <v>0</v>
      </c>
    </row>
    <row r="603" spans="18:19" x14ac:dyDescent="0.25">
      <c r="R603" s="2">
        <f>Таблица1[[#This Row],[Дата перевода]]-Таблица1[[#This Row],[Дата поступления]]</f>
        <v>0</v>
      </c>
      <c r="S603" s="2">
        <f>Таблица1[[#This Row],[Дата поступления]]-Таблица1[[#This Row],[Дата рождения]]</f>
        <v>0</v>
      </c>
    </row>
    <row r="604" spans="18:19" x14ac:dyDescent="0.25">
      <c r="R604" s="2">
        <f>Таблица1[[#This Row],[Дата перевода]]-Таблица1[[#This Row],[Дата поступления]]</f>
        <v>0</v>
      </c>
      <c r="S604" s="2">
        <f>Таблица1[[#This Row],[Дата поступления]]-Таблица1[[#This Row],[Дата рождения]]</f>
        <v>0</v>
      </c>
    </row>
    <row r="605" spans="18:19" x14ac:dyDescent="0.25">
      <c r="R605" s="2">
        <f>Таблица1[[#This Row],[Дата перевода]]-Таблица1[[#This Row],[Дата поступления]]</f>
        <v>0</v>
      </c>
      <c r="S605" s="2">
        <f>Таблица1[[#This Row],[Дата поступления]]-Таблица1[[#This Row],[Дата рождения]]</f>
        <v>0</v>
      </c>
    </row>
    <row r="606" spans="18:19" x14ac:dyDescent="0.25">
      <c r="R606" s="2">
        <f>Таблица1[[#This Row],[Дата перевода]]-Таблица1[[#This Row],[Дата поступления]]</f>
        <v>0</v>
      </c>
      <c r="S606" s="2">
        <f>Таблица1[[#This Row],[Дата поступления]]-Таблица1[[#This Row],[Дата рождения]]</f>
        <v>0</v>
      </c>
    </row>
    <row r="607" spans="18:19" x14ac:dyDescent="0.25">
      <c r="R607" s="2">
        <f>Таблица1[[#This Row],[Дата перевода]]-Таблица1[[#This Row],[Дата поступления]]</f>
        <v>0</v>
      </c>
      <c r="S607" s="2">
        <f>Таблица1[[#This Row],[Дата поступления]]-Таблица1[[#This Row],[Дата рождения]]</f>
        <v>0</v>
      </c>
    </row>
    <row r="608" spans="18:19" x14ac:dyDescent="0.25">
      <c r="R608" s="2">
        <f>Таблица1[[#This Row],[Дата перевода]]-Таблица1[[#This Row],[Дата поступления]]</f>
        <v>0</v>
      </c>
      <c r="S608" s="2">
        <f>Таблица1[[#This Row],[Дата поступления]]-Таблица1[[#This Row],[Дата рождения]]</f>
        <v>0</v>
      </c>
    </row>
    <row r="609" spans="18:19" x14ac:dyDescent="0.25">
      <c r="R609" s="2">
        <f>Таблица1[[#This Row],[Дата перевода]]-Таблица1[[#This Row],[Дата поступления]]</f>
        <v>0</v>
      </c>
      <c r="S609" s="2">
        <f>Таблица1[[#This Row],[Дата поступления]]-Таблица1[[#This Row],[Дата рождения]]</f>
        <v>0</v>
      </c>
    </row>
    <row r="610" spans="18:19" x14ac:dyDescent="0.25">
      <c r="R610" s="2">
        <f>Таблица1[[#This Row],[Дата перевода]]-Таблица1[[#This Row],[Дата поступления]]</f>
        <v>0</v>
      </c>
      <c r="S610" s="2">
        <f>Таблица1[[#This Row],[Дата поступления]]-Таблица1[[#This Row],[Дата рождения]]</f>
        <v>0</v>
      </c>
    </row>
    <row r="611" spans="18:19" x14ac:dyDescent="0.25">
      <c r="R611" s="2">
        <f>Таблица1[[#This Row],[Дата перевода]]-Таблица1[[#This Row],[Дата поступления]]</f>
        <v>0</v>
      </c>
      <c r="S611" s="2">
        <f>Таблица1[[#This Row],[Дата поступления]]-Таблица1[[#This Row],[Дата рождения]]</f>
        <v>0</v>
      </c>
    </row>
    <row r="612" spans="18:19" x14ac:dyDescent="0.25">
      <c r="R612" s="2">
        <f>Таблица1[[#This Row],[Дата перевода]]-Таблица1[[#This Row],[Дата поступления]]</f>
        <v>0</v>
      </c>
      <c r="S612" s="2">
        <f>Таблица1[[#This Row],[Дата поступления]]-Таблица1[[#This Row],[Дата рождения]]</f>
        <v>0</v>
      </c>
    </row>
    <row r="613" spans="18:19" x14ac:dyDescent="0.25">
      <c r="R613" s="2">
        <f>Таблица1[[#This Row],[Дата перевода]]-Таблица1[[#This Row],[Дата поступления]]</f>
        <v>0</v>
      </c>
      <c r="S613" s="2">
        <f>Таблица1[[#This Row],[Дата поступления]]-Таблица1[[#This Row],[Дата рождения]]</f>
        <v>0</v>
      </c>
    </row>
    <row r="614" spans="18:19" x14ac:dyDescent="0.25">
      <c r="R614" s="2">
        <f>Таблица1[[#This Row],[Дата перевода]]-Таблица1[[#This Row],[Дата поступления]]</f>
        <v>0</v>
      </c>
      <c r="S614" s="2">
        <f>Таблица1[[#This Row],[Дата поступления]]-Таблица1[[#This Row],[Дата рождения]]</f>
        <v>0</v>
      </c>
    </row>
    <row r="615" spans="18:19" x14ac:dyDescent="0.25">
      <c r="R615" s="2">
        <f>Таблица1[[#This Row],[Дата перевода]]-Таблица1[[#This Row],[Дата поступления]]</f>
        <v>0</v>
      </c>
      <c r="S615" s="2">
        <f>Таблица1[[#This Row],[Дата поступления]]-Таблица1[[#This Row],[Дата рождения]]</f>
        <v>0</v>
      </c>
    </row>
    <row r="616" spans="18:19" x14ac:dyDescent="0.25">
      <c r="R616" s="2">
        <f>Таблица1[[#This Row],[Дата перевода]]-Таблица1[[#This Row],[Дата поступления]]</f>
        <v>0</v>
      </c>
      <c r="S616" s="2">
        <f>Таблица1[[#This Row],[Дата поступления]]-Таблица1[[#This Row],[Дата рождения]]</f>
        <v>0</v>
      </c>
    </row>
    <row r="617" spans="18:19" x14ac:dyDescent="0.25">
      <c r="R617" s="2">
        <f>Таблица1[[#This Row],[Дата перевода]]-Таблица1[[#This Row],[Дата поступления]]</f>
        <v>0</v>
      </c>
      <c r="S617" s="2">
        <f>Таблица1[[#This Row],[Дата поступления]]-Таблица1[[#This Row],[Дата рождения]]</f>
        <v>0</v>
      </c>
    </row>
    <row r="618" spans="18:19" x14ac:dyDescent="0.25">
      <c r="R618" s="2">
        <f>Таблица1[[#This Row],[Дата перевода]]-Таблица1[[#This Row],[Дата поступления]]</f>
        <v>0</v>
      </c>
      <c r="S618" s="2">
        <f>Таблица1[[#This Row],[Дата поступления]]-Таблица1[[#This Row],[Дата рождения]]</f>
        <v>0</v>
      </c>
    </row>
    <row r="619" spans="18:19" x14ac:dyDescent="0.25">
      <c r="R619" s="2">
        <f>Таблица1[[#This Row],[Дата перевода]]-Таблица1[[#This Row],[Дата поступления]]</f>
        <v>0</v>
      </c>
      <c r="S619" s="2">
        <f>Таблица1[[#This Row],[Дата поступления]]-Таблица1[[#This Row],[Дата рождения]]</f>
        <v>0</v>
      </c>
    </row>
    <row r="620" spans="18:19" x14ac:dyDescent="0.25">
      <c r="R620" s="2">
        <f>Таблица1[[#This Row],[Дата перевода]]-Таблица1[[#This Row],[Дата поступления]]</f>
        <v>0</v>
      </c>
      <c r="S620" s="2">
        <f>Таблица1[[#This Row],[Дата поступления]]-Таблица1[[#This Row],[Дата рождения]]</f>
        <v>0</v>
      </c>
    </row>
    <row r="621" spans="18:19" x14ac:dyDescent="0.25">
      <c r="R621" s="2">
        <f>Таблица1[[#This Row],[Дата перевода]]-Таблица1[[#This Row],[Дата поступления]]</f>
        <v>0</v>
      </c>
      <c r="S621" s="2">
        <f>Таблица1[[#This Row],[Дата поступления]]-Таблица1[[#This Row],[Дата рождения]]</f>
        <v>0</v>
      </c>
    </row>
    <row r="622" spans="18:19" x14ac:dyDescent="0.25">
      <c r="R622" s="2">
        <f>Таблица1[[#This Row],[Дата перевода]]-Таблица1[[#This Row],[Дата поступления]]</f>
        <v>0</v>
      </c>
      <c r="S622" s="2">
        <f>Таблица1[[#This Row],[Дата поступления]]-Таблица1[[#This Row],[Дата рождения]]</f>
        <v>0</v>
      </c>
    </row>
    <row r="623" spans="18:19" x14ac:dyDescent="0.25">
      <c r="R623" s="2">
        <f>Таблица1[[#This Row],[Дата перевода]]-Таблица1[[#This Row],[Дата поступления]]</f>
        <v>0</v>
      </c>
      <c r="S623" s="2">
        <f>Таблица1[[#This Row],[Дата поступления]]-Таблица1[[#This Row],[Дата рождения]]</f>
        <v>0</v>
      </c>
    </row>
    <row r="624" spans="18:19" x14ac:dyDescent="0.25">
      <c r="R624" s="2">
        <f>Таблица1[[#This Row],[Дата перевода]]-Таблица1[[#This Row],[Дата поступления]]</f>
        <v>0</v>
      </c>
      <c r="S624" s="2">
        <f>Таблица1[[#This Row],[Дата поступления]]-Таблица1[[#This Row],[Дата рождения]]</f>
        <v>0</v>
      </c>
    </row>
    <row r="625" spans="18:19" x14ac:dyDescent="0.25">
      <c r="R625" s="2">
        <f>Таблица1[[#This Row],[Дата перевода]]-Таблица1[[#This Row],[Дата поступления]]</f>
        <v>0</v>
      </c>
      <c r="S625" s="2">
        <f>Таблица1[[#This Row],[Дата поступления]]-Таблица1[[#This Row],[Дата рождения]]</f>
        <v>0</v>
      </c>
    </row>
    <row r="626" spans="18:19" x14ac:dyDescent="0.25">
      <c r="R626" s="2">
        <f>Таблица1[[#This Row],[Дата перевода]]-Таблица1[[#This Row],[Дата поступления]]</f>
        <v>0</v>
      </c>
      <c r="S626" s="2">
        <f>Таблица1[[#This Row],[Дата поступления]]-Таблица1[[#This Row],[Дата рождения]]</f>
        <v>0</v>
      </c>
    </row>
    <row r="627" spans="18:19" x14ac:dyDescent="0.25">
      <c r="R627" s="2">
        <f>Таблица1[[#This Row],[Дата перевода]]-Таблица1[[#This Row],[Дата поступления]]</f>
        <v>0</v>
      </c>
      <c r="S627" s="2">
        <f>Таблица1[[#This Row],[Дата поступления]]-Таблица1[[#This Row],[Дата рождения]]</f>
        <v>0</v>
      </c>
    </row>
    <row r="628" spans="18:19" x14ac:dyDescent="0.25">
      <c r="R628" s="2">
        <f>Таблица1[[#This Row],[Дата перевода]]-Таблица1[[#This Row],[Дата поступления]]</f>
        <v>0</v>
      </c>
      <c r="S628" s="2">
        <f>Таблица1[[#This Row],[Дата поступления]]-Таблица1[[#This Row],[Дата рождения]]</f>
        <v>0</v>
      </c>
    </row>
    <row r="629" spans="18:19" x14ac:dyDescent="0.25">
      <c r="R629" s="2">
        <f>Таблица1[[#This Row],[Дата перевода]]-Таблица1[[#This Row],[Дата поступления]]</f>
        <v>0</v>
      </c>
      <c r="S629" s="2">
        <f>Таблица1[[#This Row],[Дата поступления]]-Таблица1[[#This Row],[Дата рождения]]</f>
        <v>0</v>
      </c>
    </row>
    <row r="630" spans="18:19" x14ac:dyDescent="0.25">
      <c r="R630" s="2">
        <f>Таблица1[[#This Row],[Дата перевода]]-Таблица1[[#This Row],[Дата поступления]]</f>
        <v>0</v>
      </c>
      <c r="S630" s="2">
        <f>Таблица1[[#This Row],[Дата поступления]]-Таблица1[[#This Row],[Дата рождения]]</f>
        <v>0</v>
      </c>
    </row>
    <row r="631" spans="18:19" x14ac:dyDescent="0.25">
      <c r="R631" s="2">
        <f>Таблица1[[#This Row],[Дата перевода]]-Таблица1[[#This Row],[Дата поступления]]</f>
        <v>0</v>
      </c>
      <c r="S631" s="2">
        <f>Таблица1[[#This Row],[Дата поступления]]-Таблица1[[#This Row],[Дата рождения]]</f>
        <v>0</v>
      </c>
    </row>
    <row r="632" spans="18:19" x14ac:dyDescent="0.25">
      <c r="R632" s="2">
        <f>Таблица1[[#This Row],[Дата перевода]]-Таблица1[[#This Row],[Дата поступления]]</f>
        <v>0</v>
      </c>
      <c r="S632" s="2">
        <f>Таблица1[[#This Row],[Дата поступления]]-Таблица1[[#This Row],[Дата рождения]]</f>
        <v>0</v>
      </c>
    </row>
    <row r="633" spans="18:19" x14ac:dyDescent="0.25">
      <c r="R633" s="2">
        <f>Таблица1[[#This Row],[Дата перевода]]-Таблица1[[#This Row],[Дата поступления]]</f>
        <v>0</v>
      </c>
      <c r="S633" s="2">
        <f>Таблица1[[#This Row],[Дата поступления]]-Таблица1[[#This Row],[Дата рождения]]</f>
        <v>0</v>
      </c>
    </row>
    <row r="634" spans="18:19" x14ac:dyDescent="0.25">
      <c r="R634" s="2">
        <f>Таблица1[[#This Row],[Дата перевода]]-Таблица1[[#This Row],[Дата поступления]]</f>
        <v>0</v>
      </c>
      <c r="S634" s="2">
        <f>Таблица1[[#This Row],[Дата поступления]]-Таблица1[[#This Row],[Дата рождения]]</f>
        <v>0</v>
      </c>
    </row>
    <row r="635" spans="18:19" x14ac:dyDescent="0.25">
      <c r="R635" s="2">
        <f>Таблица1[[#This Row],[Дата перевода]]-Таблица1[[#This Row],[Дата поступления]]</f>
        <v>0</v>
      </c>
      <c r="S635" s="2">
        <f>Таблица1[[#This Row],[Дата поступления]]-Таблица1[[#This Row],[Дата рождения]]</f>
        <v>0</v>
      </c>
    </row>
    <row r="636" spans="18:19" x14ac:dyDescent="0.25">
      <c r="R636" s="2">
        <f>Таблица1[[#This Row],[Дата перевода]]-Таблица1[[#This Row],[Дата поступления]]</f>
        <v>0</v>
      </c>
      <c r="S636" s="2">
        <f>Таблица1[[#This Row],[Дата поступления]]-Таблица1[[#This Row],[Дата рождения]]</f>
        <v>0</v>
      </c>
    </row>
    <row r="637" spans="18:19" x14ac:dyDescent="0.25">
      <c r="R637" s="2">
        <f>Таблица1[[#This Row],[Дата перевода]]-Таблица1[[#This Row],[Дата поступления]]</f>
        <v>0</v>
      </c>
      <c r="S637" s="2">
        <f>Таблица1[[#This Row],[Дата поступления]]-Таблица1[[#This Row],[Дата рождения]]</f>
        <v>0</v>
      </c>
    </row>
    <row r="638" spans="18:19" x14ac:dyDescent="0.25">
      <c r="R638" s="2">
        <f>Таблица1[[#This Row],[Дата перевода]]-Таблица1[[#This Row],[Дата поступления]]</f>
        <v>0</v>
      </c>
      <c r="S638" s="2">
        <f>Таблица1[[#This Row],[Дата поступления]]-Таблица1[[#This Row],[Дата рождения]]</f>
        <v>0</v>
      </c>
    </row>
    <row r="639" spans="18:19" x14ac:dyDescent="0.25">
      <c r="R639" s="2">
        <f>Таблица1[[#This Row],[Дата перевода]]-Таблица1[[#This Row],[Дата поступления]]</f>
        <v>0</v>
      </c>
      <c r="S639" s="2">
        <f>Таблица1[[#This Row],[Дата поступления]]-Таблица1[[#This Row],[Дата рождения]]</f>
        <v>0</v>
      </c>
    </row>
    <row r="640" spans="18:19" x14ac:dyDescent="0.25">
      <c r="R640" s="2">
        <f>Таблица1[[#This Row],[Дата перевода]]-Таблица1[[#This Row],[Дата поступления]]</f>
        <v>0</v>
      </c>
      <c r="S640" s="2">
        <f>Таблица1[[#This Row],[Дата поступления]]-Таблица1[[#This Row],[Дата рождения]]</f>
        <v>0</v>
      </c>
    </row>
    <row r="641" spans="18:19" x14ac:dyDescent="0.25">
      <c r="R641" s="2">
        <f>Таблица1[[#This Row],[Дата перевода]]-Таблица1[[#This Row],[Дата поступления]]</f>
        <v>0</v>
      </c>
      <c r="S641" s="2">
        <f>Таблица1[[#This Row],[Дата поступления]]-Таблица1[[#This Row],[Дата рождения]]</f>
        <v>0</v>
      </c>
    </row>
    <row r="642" spans="18:19" x14ac:dyDescent="0.25">
      <c r="R642" s="2">
        <f>Таблица1[[#This Row],[Дата перевода]]-Таблица1[[#This Row],[Дата поступления]]</f>
        <v>0</v>
      </c>
      <c r="S642" s="2">
        <f>Таблица1[[#This Row],[Дата поступления]]-Таблица1[[#This Row],[Дата рождения]]</f>
        <v>0</v>
      </c>
    </row>
    <row r="643" spans="18:19" x14ac:dyDescent="0.25">
      <c r="R643" s="2">
        <f>Таблица1[[#This Row],[Дата перевода]]-Таблица1[[#This Row],[Дата поступления]]</f>
        <v>0</v>
      </c>
      <c r="S643" s="2">
        <f>Таблица1[[#This Row],[Дата поступления]]-Таблица1[[#This Row],[Дата рождения]]</f>
        <v>0</v>
      </c>
    </row>
    <row r="644" spans="18:19" x14ac:dyDescent="0.25">
      <c r="R644" s="2">
        <f>Таблица1[[#This Row],[Дата перевода]]-Таблица1[[#This Row],[Дата поступления]]</f>
        <v>0</v>
      </c>
      <c r="S644" s="2">
        <f>Таблица1[[#This Row],[Дата поступления]]-Таблица1[[#This Row],[Дата рождения]]</f>
        <v>0</v>
      </c>
    </row>
    <row r="645" spans="18:19" x14ac:dyDescent="0.25">
      <c r="R645" s="2">
        <f>Таблица1[[#This Row],[Дата перевода]]-Таблица1[[#This Row],[Дата поступления]]</f>
        <v>0</v>
      </c>
      <c r="S645" s="2">
        <f>Таблица1[[#This Row],[Дата поступления]]-Таблица1[[#This Row],[Дата рождения]]</f>
        <v>0</v>
      </c>
    </row>
    <row r="646" spans="18:19" x14ac:dyDescent="0.25">
      <c r="R646" s="2">
        <f>Таблица1[[#This Row],[Дата перевода]]-Таблица1[[#This Row],[Дата поступления]]</f>
        <v>0</v>
      </c>
      <c r="S646" s="2">
        <f>Таблица1[[#This Row],[Дата поступления]]-Таблица1[[#This Row],[Дата рождения]]</f>
        <v>0</v>
      </c>
    </row>
    <row r="647" spans="18:19" x14ac:dyDescent="0.25">
      <c r="R647" s="2">
        <f>Таблица1[[#This Row],[Дата перевода]]-Таблица1[[#This Row],[Дата поступления]]</f>
        <v>0</v>
      </c>
      <c r="S647" s="2">
        <f>Таблица1[[#This Row],[Дата поступления]]-Таблица1[[#This Row],[Дата рождения]]</f>
        <v>0</v>
      </c>
    </row>
    <row r="648" spans="18:19" x14ac:dyDescent="0.25">
      <c r="R648" s="2">
        <f>Таблица1[[#This Row],[Дата перевода]]-Таблица1[[#This Row],[Дата поступления]]</f>
        <v>0</v>
      </c>
      <c r="S648" s="2">
        <f>Таблица1[[#This Row],[Дата поступления]]-Таблица1[[#This Row],[Дата рождения]]</f>
        <v>0</v>
      </c>
    </row>
    <row r="649" spans="18:19" x14ac:dyDescent="0.25">
      <c r="R649" s="2">
        <f>Таблица1[[#This Row],[Дата перевода]]-Таблица1[[#This Row],[Дата поступления]]</f>
        <v>0</v>
      </c>
      <c r="S649" s="2">
        <f>Таблица1[[#This Row],[Дата поступления]]-Таблица1[[#This Row],[Дата рождения]]</f>
        <v>0</v>
      </c>
    </row>
    <row r="650" spans="18:19" x14ac:dyDescent="0.25">
      <c r="R650" s="2">
        <f>Таблица1[[#This Row],[Дата перевода]]-Таблица1[[#This Row],[Дата поступления]]</f>
        <v>0</v>
      </c>
      <c r="S650" s="2">
        <f>Таблица1[[#This Row],[Дата поступления]]-Таблица1[[#This Row],[Дата рождения]]</f>
        <v>0</v>
      </c>
    </row>
    <row r="651" spans="18:19" x14ac:dyDescent="0.25">
      <c r="R651" s="2">
        <f>Таблица1[[#This Row],[Дата перевода]]-Таблица1[[#This Row],[Дата поступления]]</f>
        <v>0</v>
      </c>
      <c r="S651" s="2">
        <f>Таблица1[[#This Row],[Дата поступления]]-Таблица1[[#This Row],[Дата рождения]]</f>
        <v>0</v>
      </c>
    </row>
    <row r="652" spans="18:19" x14ac:dyDescent="0.25">
      <c r="R652" s="2">
        <f>Таблица1[[#This Row],[Дата перевода]]-Таблица1[[#This Row],[Дата поступления]]</f>
        <v>0</v>
      </c>
      <c r="S652" s="2">
        <f>Таблица1[[#This Row],[Дата поступления]]-Таблица1[[#This Row],[Дата рождения]]</f>
        <v>0</v>
      </c>
    </row>
    <row r="653" spans="18:19" x14ac:dyDescent="0.25">
      <c r="R653" s="2">
        <f>Таблица1[[#This Row],[Дата перевода]]-Таблица1[[#This Row],[Дата поступления]]</f>
        <v>0</v>
      </c>
      <c r="S653" s="2">
        <f>Таблица1[[#This Row],[Дата поступления]]-Таблица1[[#This Row],[Дата рождения]]</f>
        <v>0</v>
      </c>
    </row>
    <row r="654" spans="18:19" x14ac:dyDescent="0.25">
      <c r="R654" s="2">
        <f>Таблица1[[#This Row],[Дата перевода]]-Таблица1[[#This Row],[Дата поступления]]</f>
        <v>0</v>
      </c>
      <c r="S654" s="2">
        <f>Таблица1[[#This Row],[Дата поступления]]-Таблица1[[#This Row],[Дата рождения]]</f>
        <v>0</v>
      </c>
    </row>
    <row r="655" spans="18:19" x14ac:dyDescent="0.25">
      <c r="R655" s="2">
        <f>Таблица1[[#This Row],[Дата перевода]]-Таблица1[[#This Row],[Дата поступления]]</f>
        <v>0</v>
      </c>
      <c r="S655" s="2">
        <f>Таблица1[[#This Row],[Дата поступления]]-Таблица1[[#This Row],[Дата рождения]]</f>
        <v>0</v>
      </c>
    </row>
    <row r="656" spans="18:19" x14ac:dyDescent="0.25">
      <c r="R656" s="2">
        <f>Таблица1[[#This Row],[Дата перевода]]-Таблица1[[#This Row],[Дата поступления]]</f>
        <v>0</v>
      </c>
      <c r="S656" s="2">
        <f>Таблица1[[#This Row],[Дата поступления]]-Таблица1[[#This Row],[Дата рождения]]</f>
        <v>0</v>
      </c>
    </row>
    <row r="657" spans="18:19" x14ac:dyDescent="0.25">
      <c r="R657" s="2">
        <f>Таблица1[[#This Row],[Дата перевода]]-Таблица1[[#This Row],[Дата поступления]]</f>
        <v>0</v>
      </c>
      <c r="S657" s="2">
        <f>Таблица1[[#This Row],[Дата поступления]]-Таблица1[[#This Row],[Дата рождения]]</f>
        <v>0</v>
      </c>
    </row>
    <row r="658" spans="18:19" x14ac:dyDescent="0.25">
      <c r="R658" s="2">
        <f>Таблица1[[#This Row],[Дата перевода]]-Таблица1[[#This Row],[Дата поступления]]</f>
        <v>0</v>
      </c>
      <c r="S658" s="2">
        <f>Таблица1[[#This Row],[Дата поступления]]-Таблица1[[#This Row],[Дата рождения]]</f>
        <v>0</v>
      </c>
    </row>
    <row r="659" spans="18:19" x14ac:dyDescent="0.25">
      <c r="R659" s="2">
        <f>Таблица1[[#This Row],[Дата перевода]]-Таблица1[[#This Row],[Дата поступления]]</f>
        <v>0</v>
      </c>
      <c r="S659" s="2">
        <f>Таблица1[[#This Row],[Дата поступления]]-Таблица1[[#This Row],[Дата рождения]]</f>
        <v>0</v>
      </c>
    </row>
    <row r="660" spans="18:19" x14ac:dyDescent="0.25">
      <c r="R660" s="2">
        <f>Таблица1[[#This Row],[Дата перевода]]-Таблица1[[#This Row],[Дата поступления]]</f>
        <v>0</v>
      </c>
      <c r="S660" s="2">
        <f>Таблица1[[#This Row],[Дата поступления]]-Таблица1[[#This Row],[Дата рождения]]</f>
        <v>0</v>
      </c>
    </row>
    <row r="661" spans="18:19" x14ac:dyDescent="0.25">
      <c r="R661" s="2">
        <f>Таблица1[[#This Row],[Дата перевода]]-Таблица1[[#This Row],[Дата поступления]]</f>
        <v>0</v>
      </c>
      <c r="S661" s="2">
        <f>Таблица1[[#This Row],[Дата поступления]]-Таблица1[[#This Row],[Дата рождения]]</f>
        <v>0</v>
      </c>
    </row>
    <row r="662" spans="18:19" x14ac:dyDescent="0.25">
      <c r="R662" s="2">
        <f>Таблица1[[#This Row],[Дата перевода]]-Таблица1[[#This Row],[Дата поступления]]</f>
        <v>0</v>
      </c>
      <c r="S662" s="2">
        <f>Таблица1[[#This Row],[Дата поступления]]-Таблица1[[#This Row],[Дата рождения]]</f>
        <v>0</v>
      </c>
    </row>
    <row r="663" spans="18:19" x14ac:dyDescent="0.25">
      <c r="R663" s="2">
        <f>Таблица1[[#This Row],[Дата перевода]]-Таблица1[[#This Row],[Дата поступления]]</f>
        <v>0</v>
      </c>
      <c r="S663" s="2">
        <f>Таблица1[[#This Row],[Дата поступления]]-Таблица1[[#This Row],[Дата рождения]]</f>
        <v>0</v>
      </c>
    </row>
    <row r="664" spans="18:19" x14ac:dyDescent="0.25">
      <c r="R664" s="2">
        <f>Таблица1[[#This Row],[Дата перевода]]-Таблица1[[#This Row],[Дата поступления]]</f>
        <v>0</v>
      </c>
      <c r="S664" s="2">
        <f>Таблица1[[#This Row],[Дата поступления]]-Таблица1[[#This Row],[Дата рождения]]</f>
        <v>0</v>
      </c>
    </row>
    <row r="665" spans="18:19" x14ac:dyDescent="0.25">
      <c r="R665" s="2">
        <f>Таблица1[[#This Row],[Дата перевода]]-Таблица1[[#This Row],[Дата поступления]]</f>
        <v>0</v>
      </c>
      <c r="S665" s="2">
        <f>Таблица1[[#This Row],[Дата поступления]]-Таблица1[[#This Row],[Дата рождения]]</f>
        <v>0</v>
      </c>
    </row>
    <row r="666" spans="18:19" x14ac:dyDescent="0.25">
      <c r="R666" s="2">
        <f>Таблица1[[#This Row],[Дата перевода]]-Таблица1[[#This Row],[Дата поступления]]</f>
        <v>0</v>
      </c>
      <c r="S666" s="2">
        <f>Таблица1[[#This Row],[Дата поступления]]-Таблица1[[#This Row],[Дата рождения]]</f>
        <v>0</v>
      </c>
    </row>
    <row r="667" spans="18:19" x14ac:dyDescent="0.25">
      <c r="R667" s="2">
        <f>Таблица1[[#This Row],[Дата перевода]]-Таблица1[[#This Row],[Дата поступления]]</f>
        <v>0</v>
      </c>
      <c r="S667" s="2">
        <f>Таблица1[[#This Row],[Дата поступления]]-Таблица1[[#This Row],[Дата рождения]]</f>
        <v>0</v>
      </c>
    </row>
    <row r="668" spans="18:19" x14ac:dyDescent="0.25">
      <c r="R668" s="2">
        <f>Таблица1[[#This Row],[Дата перевода]]-Таблица1[[#This Row],[Дата поступления]]</f>
        <v>0</v>
      </c>
      <c r="S668" s="2">
        <f>Таблица1[[#This Row],[Дата поступления]]-Таблица1[[#This Row],[Дата рождения]]</f>
        <v>0</v>
      </c>
    </row>
    <row r="669" spans="18:19" x14ac:dyDescent="0.25">
      <c r="R669" s="2">
        <f>Таблица1[[#This Row],[Дата перевода]]-Таблица1[[#This Row],[Дата поступления]]</f>
        <v>0</v>
      </c>
      <c r="S669" s="2">
        <f>Таблица1[[#This Row],[Дата поступления]]-Таблица1[[#This Row],[Дата рождения]]</f>
        <v>0</v>
      </c>
    </row>
    <row r="670" spans="18:19" x14ac:dyDescent="0.25">
      <c r="R670" s="2">
        <f>Таблица1[[#This Row],[Дата перевода]]-Таблица1[[#This Row],[Дата поступления]]</f>
        <v>0</v>
      </c>
      <c r="S670" s="2">
        <f>Таблица1[[#This Row],[Дата поступления]]-Таблица1[[#This Row],[Дата рождения]]</f>
        <v>0</v>
      </c>
    </row>
    <row r="671" spans="18:19" x14ac:dyDescent="0.25">
      <c r="R671" s="2">
        <f>Таблица1[[#This Row],[Дата перевода]]-Таблица1[[#This Row],[Дата поступления]]</f>
        <v>0</v>
      </c>
      <c r="S671" s="2">
        <f>Таблица1[[#This Row],[Дата поступления]]-Таблица1[[#This Row],[Дата рождения]]</f>
        <v>0</v>
      </c>
    </row>
    <row r="672" spans="18:19" x14ac:dyDescent="0.25">
      <c r="R672" s="2">
        <f>Таблица1[[#This Row],[Дата перевода]]-Таблица1[[#This Row],[Дата поступления]]</f>
        <v>0</v>
      </c>
      <c r="S672" s="2">
        <f>Таблица1[[#This Row],[Дата поступления]]-Таблица1[[#This Row],[Дата рождения]]</f>
        <v>0</v>
      </c>
    </row>
    <row r="673" spans="18:19" x14ac:dyDescent="0.25">
      <c r="R673" s="2">
        <f>Таблица1[[#This Row],[Дата перевода]]-Таблица1[[#This Row],[Дата поступления]]</f>
        <v>0</v>
      </c>
      <c r="S673" s="2">
        <f>Таблица1[[#This Row],[Дата поступления]]-Таблица1[[#This Row],[Дата рождения]]</f>
        <v>0</v>
      </c>
    </row>
    <row r="674" spans="18:19" x14ac:dyDescent="0.25">
      <c r="R674" s="2">
        <f>Таблица1[[#This Row],[Дата перевода]]-Таблица1[[#This Row],[Дата поступления]]</f>
        <v>0</v>
      </c>
      <c r="S674" s="2">
        <f>Таблица1[[#This Row],[Дата поступления]]-Таблица1[[#This Row],[Дата рождения]]</f>
        <v>0</v>
      </c>
    </row>
    <row r="675" spans="18:19" x14ac:dyDescent="0.25">
      <c r="R675" s="2">
        <f>Таблица1[[#This Row],[Дата перевода]]-Таблица1[[#This Row],[Дата поступления]]</f>
        <v>0</v>
      </c>
      <c r="S675" s="2">
        <f>Таблица1[[#This Row],[Дата поступления]]-Таблица1[[#This Row],[Дата рождения]]</f>
        <v>0</v>
      </c>
    </row>
    <row r="676" spans="18:19" x14ac:dyDescent="0.25">
      <c r="R676" s="2">
        <f>Таблица1[[#This Row],[Дата перевода]]-Таблица1[[#This Row],[Дата поступления]]</f>
        <v>0</v>
      </c>
      <c r="S676" s="2">
        <f>Таблица1[[#This Row],[Дата поступления]]-Таблица1[[#This Row],[Дата рождения]]</f>
        <v>0</v>
      </c>
    </row>
    <row r="677" spans="18:19" x14ac:dyDescent="0.25">
      <c r="R677" s="2">
        <f>Таблица1[[#This Row],[Дата перевода]]-Таблица1[[#This Row],[Дата поступления]]</f>
        <v>0</v>
      </c>
      <c r="S677" s="2">
        <f>Таблица1[[#This Row],[Дата поступления]]-Таблица1[[#This Row],[Дата рождения]]</f>
        <v>0</v>
      </c>
    </row>
    <row r="678" spans="18:19" x14ac:dyDescent="0.25">
      <c r="R678" s="2">
        <f>Таблица1[[#This Row],[Дата перевода]]-Таблица1[[#This Row],[Дата поступления]]</f>
        <v>0</v>
      </c>
      <c r="S678" s="2">
        <f>Таблица1[[#This Row],[Дата поступления]]-Таблица1[[#This Row],[Дата рождения]]</f>
        <v>0</v>
      </c>
    </row>
    <row r="679" spans="18:19" x14ac:dyDescent="0.25">
      <c r="R679" s="2">
        <f>Таблица1[[#This Row],[Дата перевода]]-Таблица1[[#This Row],[Дата поступления]]</f>
        <v>0</v>
      </c>
      <c r="S679" s="2">
        <f>Таблица1[[#This Row],[Дата поступления]]-Таблица1[[#This Row],[Дата рождения]]</f>
        <v>0</v>
      </c>
    </row>
    <row r="680" spans="18:19" x14ac:dyDescent="0.25">
      <c r="R680" s="2">
        <f>Таблица1[[#This Row],[Дата перевода]]-Таблица1[[#This Row],[Дата поступления]]</f>
        <v>0</v>
      </c>
      <c r="S680" s="2">
        <f>Таблица1[[#This Row],[Дата поступления]]-Таблица1[[#This Row],[Дата рождения]]</f>
        <v>0</v>
      </c>
    </row>
    <row r="681" spans="18:19" x14ac:dyDescent="0.25">
      <c r="R681" s="2">
        <f>Таблица1[[#This Row],[Дата перевода]]-Таблица1[[#This Row],[Дата поступления]]</f>
        <v>0</v>
      </c>
      <c r="S681" s="2">
        <f>Таблица1[[#This Row],[Дата поступления]]-Таблица1[[#This Row],[Дата рождения]]</f>
        <v>0</v>
      </c>
    </row>
    <row r="682" spans="18:19" x14ac:dyDescent="0.25">
      <c r="R682" s="2">
        <f>Таблица1[[#This Row],[Дата перевода]]-Таблица1[[#This Row],[Дата поступления]]</f>
        <v>0</v>
      </c>
      <c r="S682" s="2">
        <f>Таблица1[[#This Row],[Дата поступления]]-Таблица1[[#This Row],[Дата рождения]]</f>
        <v>0</v>
      </c>
    </row>
    <row r="683" spans="18:19" x14ac:dyDescent="0.25">
      <c r="R683" s="2">
        <f>Таблица1[[#This Row],[Дата перевода]]-Таблица1[[#This Row],[Дата поступления]]</f>
        <v>0</v>
      </c>
      <c r="S683" s="2">
        <f>Таблица1[[#This Row],[Дата поступления]]-Таблица1[[#This Row],[Дата рождения]]</f>
        <v>0</v>
      </c>
    </row>
    <row r="684" spans="18:19" x14ac:dyDescent="0.25">
      <c r="R684" s="2">
        <f>Таблица1[[#This Row],[Дата перевода]]-Таблица1[[#This Row],[Дата поступления]]</f>
        <v>0</v>
      </c>
      <c r="S684" s="2">
        <f>Таблица1[[#This Row],[Дата поступления]]-Таблица1[[#This Row],[Дата рождения]]</f>
        <v>0</v>
      </c>
    </row>
    <row r="685" spans="18:19" x14ac:dyDescent="0.25">
      <c r="R685" s="2">
        <f>Таблица1[[#This Row],[Дата перевода]]-Таблица1[[#This Row],[Дата поступления]]</f>
        <v>0</v>
      </c>
      <c r="S685" s="2">
        <f>Таблица1[[#This Row],[Дата поступления]]-Таблица1[[#This Row],[Дата рождения]]</f>
        <v>0</v>
      </c>
    </row>
    <row r="686" spans="18:19" x14ac:dyDescent="0.25">
      <c r="R686" s="2">
        <f>Таблица1[[#This Row],[Дата перевода]]-Таблица1[[#This Row],[Дата поступления]]</f>
        <v>0</v>
      </c>
      <c r="S686" s="2">
        <f>Таблица1[[#This Row],[Дата поступления]]-Таблица1[[#This Row],[Дата рождения]]</f>
        <v>0</v>
      </c>
    </row>
    <row r="687" spans="18:19" x14ac:dyDescent="0.25">
      <c r="R687" s="2">
        <f>Таблица1[[#This Row],[Дата перевода]]-Таблица1[[#This Row],[Дата поступления]]</f>
        <v>0</v>
      </c>
      <c r="S687" s="2">
        <f>Таблица1[[#This Row],[Дата поступления]]-Таблица1[[#This Row],[Дата рождения]]</f>
        <v>0</v>
      </c>
    </row>
    <row r="688" spans="18:19" x14ac:dyDescent="0.25">
      <c r="R688" s="2">
        <f>Таблица1[[#This Row],[Дата перевода]]-Таблица1[[#This Row],[Дата поступления]]</f>
        <v>0</v>
      </c>
      <c r="S688" s="2">
        <f>Таблица1[[#This Row],[Дата поступления]]-Таблица1[[#This Row],[Дата рождения]]</f>
        <v>0</v>
      </c>
    </row>
    <row r="689" spans="18:19" x14ac:dyDescent="0.25">
      <c r="R689" s="2">
        <f>Таблица1[[#This Row],[Дата перевода]]-Таблица1[[#This Row],[Дата поступления]]</f>
        <v>0</v>
      </c>
      <c r="S689" s="2">
        <f>Таблица1[[#This Row],[Дата поступления]]-Таблица1[[#This Row],[Дата рождения]]</f>
        <v>0</v>
      </c>
    </row>
    <row r="690" spans="18:19" x14ac:dyDescent="0.25">
      <c r="R690" s="2">
        <f>Таблица1[[#This Row],[Дата перевода]]-Таблица1[[#This Row],[Дата поступления]]</f>
        <v>0</v>
      </c>
      <c r="S690" s="2">
        <f>Таблица1[[#This Row],[Дата поступления]]-Таблица1[[#This Row],[Дата рождения]]</f>
        <v>0</v>
      </c>
    </row>
    <row r="691" spans="18:19" x14ac:dyDescent="0.25">
      <c r="R691" s="2">
        <f>Таблица1[[#This Row],[Дата перевода]]-Таблица1[[#This Row],[Дата поступления]]</f>
        <v>0</v>
      </c>
      <c r="S691" s="2">
        <f>Таблица1[[#This Row],[Дата поступления]]-Таблица1[[#This Row],[Дата рождения]]</f>
        <v>0</v>
      </c>
    </row>
    <row r="692" spans="18:19" x14ac:dyDescent="0.25">
      <c r="R692" s="2">
        <f>Таблица1[[#This Row],[Дата перевода]]-Таблица1[[#This Row],[Дата поступления]]</f>
        <v>0</v>
      </c>
      <c r="S692" s="2">
        <f>Таблица1[[#This Row],[Дата поступления]]-Таблица1[[#This Row],[Дата рождения]]</f>
        <v>0</v>
      </c>
    </row>
    <row r="693" spans="18:19" x14ac:dyDescent="0.25">
      <c r="R693" s="2">
        <f>Таблица1[[#This Row],[Дата перевода]]-Таблица1[[#This Row],[Дата поступления]]</f>
        <v>0</v>
      </c>
      <c r="S693" s="2">
        <f>Таблица1[[#This Row],[Дата поступления]]-Таблица1[[#This Row],[Дата рождения]]</f>
        <v>0</v>
      </c>
    </row>
    <row r="694" spans="18:19" x14ac:dyDescent="0.25">
      <c r="R694" s="2">
        <f>Таблица1[[#This Row],[Дата перевода]]-Таблица1[[#This Row],[Дата поступления]]</f>
        <v>0</v>
      </c>
      <c r="S694" s="2">
        <f>Таблица1[[#This Row],[Дата поступления]]-Таблица1[[#This Row],[Дата рождения]]</f>
        <v>0</v>
      </c>
    </row>
    <row r="695" spans="18:19" x14ac:dyDescent="0.25">
      <c r="R695" s="2">
        <f>Таблица1[[#This Row],[Дата перевода]]-Таблица1[[#This Row],[Дата поступления]]</f>
        <v>0</v>
      </c>
      <c r="S695" s="2">
        <f>Таблица1[[#This Row],[Дата поступления]]-Таблица1[[#This Row],[Дата рождения]]</f>
        <v>0</v>
      </c>
    </row>
    <row r="696" spans="18:19" x14ac:dyDescent="0.25">
      <c r="R696" s="2">
        <f>Таблица1[[#This Row],[Дата перевода]]-Таблица1[[#This Row],[Дата поступления]]</f>
        <v>0</v>
      </c>
      <c r="S696" s="2">
        <f>Таблица1[[#This Row],[Дата поступления]]-Таблица1[[#This Row],[Дата рождения]]</f>
        <v>0</v>
      </c>
    </row>
    <row r="697" spans="18:19" x14ac:dyDescent="0.25">
      <c r="R697" s="2">
        <f>Таблица1[[#This Row],[Дата перевода]]-Таблица1[[#This Row],[Дата поступления]]</f>
        <v>0</v>
      </c>
      <c r="S697" s="2">
        <f>Таблица1[[#This Row],[Дата поступления]]-Таблица1[[#This Row],[Дата рождения]]</f>
        <v>0</v>
      </c>
    </row>
    <row r="698" spans="18:19" x14ac:dyDescent="0.25">
      <c r="R698" s="2">
        <f>Таблица1[[#This Row],[Дата перевода]]-Таблица1[[#This Row],[Дата поступления]]</f>
        <v>0</v>
      </c>
      <c r="S698" s="2">
        <f>Таблица1[[#This Row],[Дата поступления]]-Таблица1[[#This Row],[Дата рождения]]</f>
        <v>0</v>
      </c>
    </row>
    <row r="699" spans="18:19" x14ac:dyDescent="0.25">
      <c r="R699" s="2">
        <f>Таблица1[[#This Row],[Дата перевода]]-Таблица1[[#This Row],[Дата поступления]]</f>
        <v>0</v>
      </c>
      <c r="S699" s="2">
        <f>Таблица1[[#This Row],[Дата поступления]]-Таблица1[[#This Row],[Дата рождения]]</f>
        <v>0</v>
      </c>
    </row>
    <row r="700" spans="18:19" x14ac:dyDescent="0.25">
      <c r="R700" s="2">
        <f>Таблица1[[#This Row],[Дата перевода]]-Таблица1[[#This Row],[Дата поступления]]</f>
        <v>0</v>
      </c>
      <c r="S700" s="2">
        <f>Таблица1[[#This Row],[Дата поступления]]-Таблица1[[#This Row],[Дата рождения]]</f>
        <v>0</v>
      </c>
    </row>
    <row r="701" spans="18:19" x14ac:dyDescent="0.25">
      <c r="R701" s="2">
        <f>Таблица1[[#This Row],[Дата перевода]]-Таблица1[[#This Row],[Дата поступления]]</f>
        <v>0</v>
      </c>
      <c r="S701" s="2">
        <f>Таблица1[[#This Row],[Дата поступления]]-Таблица1[[#This Row],[Дата рождения]]</f>
        <v>0</v>
      </c>
    </row>
    <row r="702" spans="18:19" x14ac:dyDescent="0.25">
      <c r="R702" s="2">
        <f>Таблица1[[#This Row],[Дата перевода]]-Таблица1[[#This Row],[Дата поступления]]</f>
        <v>0</v>
      </c>
      <c r="S702" s="2">
        <f>Таблица1[[#This Row],[Дата поступления]]-Таблица1[[#This Row],[Дата рождения]]</f>
        <v>0</v>
      </c>
    </row>
    <row r="703" spans="18:19" x14ac:dyDescent="0.25">
      <c r="R703" s="2">
        <f>Таблица1[[#This Row],[Дата перевода]]-Таблица1[[#This Row],[Дата поступления]]</f>
        <v>0</v>
      </c>
      <c r="S703" s="2">
        <f>Таблица1[[#This Row],[Дата поступления]]-Таблица1[[#This Row],[Дата рождения]]</f>
        <v>0</v>
      </c>
    </row>
    <row r="704" spans="18:19" x14ac:dyDescent="0.25">
      <c r="R704" s="2">
        <f>Таблица1[[#This Row],[Дата перевода]]-Таблица1[[#This Row],[Дата поступления]]</f>
        <v>0</v>
      </c>
      <c r="S704" s="2">
        <f>Таблица1[[#This Row],[Дата поступления]]-Таблица1[[#This Row],[Дата рождения]]</f>
        <v>0</v>
      </c>
    </row>
    <row r="705" spans="18:19" x14ac:dyDescent="0.25">
      <c r="R705" s="2">
        <f>Таблица1[[#This Row],[Дата перевода]]-Таблица1[[#This Row],[Дата поступления]]</f>
        <v>0</v>
      </c>
      <c r="S705" s="2">
        <f>Таблица1[[#This Row],[Дата поступления]]-Таблица1[[#This Row],[Дата рождения]]</f>
        <v>0</v>
      </c>
    </row>
    <row r="706" spans="18:19" x14ac:dyDescent="0.25">
      <c r="R706" s="2">
        <f>Таблица1[[#This Row],[Дата перевода]]-Таблица1[[#This Row],[Дата поступления]]</f>
        <v>0</v>
      </c>
      <c r="S706" s="2">
        <f>Таблица1[[#This Row],[Дата поступления]]-Таблица1[[#This Row],[Дата рождения]]</f>
        <v>0</v>
      </c>
    </row>
    <row r="707" spans="18:19" x14ac:dyDescent="0.25">
      <c r="R707" s="2">
        <f>Таблица1[[#This Row],[Дата перевода]]-Таблица1[[#This Row],[Дата поступления]]</f>
        <v>0</v>
      </c>
      <c r="S707" s="2">
        <f>Таблица1[[#This Row],[Дата поступления]]-Таблица1[[#This Row],[Дата рождения]]</f>
        <v>0</v>
      </c>
    </row>
    <row r="708" spans="18:19" x14ac:dyDescent="0.25">
      <c r="R708" s="2">
        <f>Таблица1[[#This Row],[Дата перевода]]-Таблица1[[#This Row],[Дата поступления]]</f>
        <v>0</v>
      </c>
      <c r="S708" s="2">
        <f>Таблица1[[#This Row],[Дата поступления]]-Таблица1[[#This Row],[Дата рождения]]</f>
        <v>0</v>
      </c>
    </row>
    <row r="709" spans="18:19" x14ac:dyDescent="0.25">
      <c r="R709" s="2">
        <f>Таблица1[[#This Row],[Дата перевода]]-Таблица1[[#This Row],[Дата поступления]]</f>
        <v>0</v>
      </c>
      <c r="S709" s="2">
        <f>Таблица1[[#This Row],[Дата поступления]]-Таблица1[[#This Row],[Дата рождения]]</f>
        <v>0</v>
      </c>
    </row>
    <row r="710" spans="18:19" x14ac:dyDescent="0.25">
      <c r="R710" s="2">
        <f>Таблица1[[#This Row],[Дата перевода]]-Таблица1[[#This Row],[Дата поступления]]</f>
        <v>0</v>
      </c>
      <c r="S710" s="2">
        <f>Таблица1[[#This Row],[Дата поступления]]-Таблица1[[#This Row],[Дата рождения]]</f>
        <v>0</v>
      </c>
    </row>
    <row r="711" spans="18:19" x14ac:dyDescent="0.25">
      <c r="R711" s="2">
        <f>Таблица1[[#This Row],[Дата перевода]]-Таблица1[[#This Row],[Дата поступления]]</f>
        <v>0</v>
      </c>
      <c r="S711" s="2">
        <f>Таблица1[[#This Row],[Дата поступления]]-Таблица1[[#This Row],[Дата рождения]]</f>
        <v>0</v>
      </c>
    </row>
    <row r="712" spans="18:19" x14ac:dyDescent="0.25">
      <c r="R712" s="2">
        <f>Таблица1[[#This Row],[Дата перевода]]-Таблица1[[#This Row],[Дата поступления]]</f>
        <v>0</v>
      </c>
      <c r="S712" s="2">
        <f>Таблица1[[#This Row],[Дата поступления]]-Таблица1[[#This Row],[Дата рождения]]</f>
        <v>0</v>
      </c>
    </row>
    <row r="713" spans="18:19" x14ac:dyDescent="0.25">
      <c r="R713" s="2">
        <f>Таблица1[[#This Row],[Дата перевода]]-Таблица1[[#This Row],[Дата поступления]]</f>
        <v>0</v>
      </c>
      <c r="S713" s="2">
        <f>Таблица1[[#This Row],[Дата поступления]]-Таблица1[[#This Row],[Дата рождения]]</f>
        <v>0</v>
      </c>
    </row>
    <row r="714" spans="18:19" x14ac:dyDescent="0.25">
      <c r="R714" s="2">
        <f>Таблица1[[#This Row],[Дата перевода]]-Таблица1[[#This Row],[Дата поступления]]</f>
        <v>0</v>
      </c>
      <c r="S714" s="2">
        <f>Таблица1[[#This Row],[Дата поступления]]-Таблица1[[#This Row],[Дата рождения]]</f>
        <v>0</v>
      </c>
    </row>
    <row r="715" spans="18:19" x14ac:dyDescent="0.25">
      <c r="R715" s="2">
        <f>Таблица1[[#This Row],[Дата перевода]]-Таблица1[[#This Row],[Дата поступления]]</f>
        <v>0</v>
      </c>
      <c r="S715" s="2">
        <f>Таблица1[[#This Row],[Дата поступления]]-Таблица1[[#This Row],[Дата рождения]]</f>
        <v>0</v>
      </c>
    </row>
    <row r="716" spans="18:19" x14ac:dyDescent="0.25">
      <c r="R716" s="2">
        <f>Таблица1[[#This Row],[Дата перевода]]-Таблица1[[#This Row],[Дата поступления]]</f>
        <v>0</v>
      </c>
      <c r="S716" s="2">
        <f>Таблица1[[#This Row],[Дата поступления]]-Таблица1[[#This Row],[Дата рождения]]</f>
        <v>0</v>
      </c>
    </row>
    <row r="717" spans="18:19" x14ac:dyDescent="0.25">
      <c r="R717" s="2">
        <f>Таблица1[[#This Row],[Дата перевода]]-Таблица1[[#This Row],[Дата поступления]]</f>
        <v>0</v>
      </c>
      <c r="S717" s="2">
        <f>Таблица1[[#This Row],[Дата поступления]]-Таблица1[[#This Row],[Дата рождения]]</f>
        <v>0</v>
      </c>
    </row>
    <row r="718" spans="18:19" x14ac:dyDescent="0.25">
      <c r="R718" s="2">
        <f>Таблица1[[#This Row],[Дата перевода]]-Таблица1[[#This Row],[Дата поступления]]</f>
        <v>0</v>
      </c>
      <c r="S718" s="2">
        <f>Таблица1[[#This Row],[Дата поступления]]-Таблица1[[#This Row],[Дата рождения]]</f>
        <v>0</v>
      </c>
    </row>
    <row r="719" spans="18:19" x14ac:dyDescent="0.25">
      <c r="R719" s="2">
        <f>Таблица1[[#This Row],[Дата перевода]]-Таблица1[[#This Row],[Дата поступления]]</f>
        <v>0</v>
      </c>
      <c r="S719" s="2">
        <f>Таблица1[[#This Row],[Дата поступления]]-Таблица1[[#This Row],[Дата рождения]]</f>
        <v>0</v>
      </c>
    </row>
    <row r="720" spans="18:19" x14ac:dyDescent="0.25">
      <c r="R720" s="2">
        <f>Таблица1[[#This Row],[Дата перевода]]-Таблица1[[#This Row],[Дата поступления]]</f>
        <v>0</v>
      </c>
      <c r="S720" s="2">
        <f>Таблица1[[#This Row],[Дата поступления]]-Таблица1[[#This Row],[Дата рождения]]</f>
        <v>0</v>
      </c>
    </row>
    <row r="721" spans="18:19" x14ac:dyDescent="0.25">
      <c r="R721" s="2">
        <f>Таблица1[[#This Row],[Дата перевода]]-Таблица1[[#This Row],[Дата поступления]]</f>
        <v>0</v>
      </c>
      <c r="S721" s="2">
        <f>Таблица1[[#This Row],[Дата поступления]]-Таблица1[[#This Row],[Дата рождения]]</f>
        <v>0</v>
      </c>
    </row>
    <row r="722" spans="18:19" x14ac:dyDescent="0.25">
      <c r="R722" s="2">
        <f>Таблица1[[#This Row],[Дата перевода]]-Таблица1[[#This Row],[Дата поступления]]</f>
        <v>0</v>
      </c>
      <c r="S722" s="2">
        <f>Таблица1[[#This Row],[Дата поступления]]-Таблица1[[#This Row],[Дата рождения]]</f>
        <v>0</v>
      </c>
    </row>
    <row r="723" spans="18:19" x14ac:dyDescent="0.25">
      <c r="R723" s="2">
        <f>Таблица1[[#This Row],[Дата перевода]]-Таблица1[[#This Row],[Дата поступления]]</f>
        <v>0</v>
      </c>
      <c r="S723" s="2">
        <f>Таблица1[[#This Row],[Дата поступления]]-Таблица1[[#This Row],[Дата рождения]]</f>
        <v>0</v>
      </c>
    </row>
    <row r="724" spans="18:19" x14ac:dyDescent="0.25">
      <c r="R724" s="2">
        <f>Таблица1[[#This Row],[Дата перевода]]-Таблица1[[#This Row],[Дата поступления]]</f>
        <v>0</v>
      </c>
      <c r="S724" s="2">
        <f>Таблица1[[#This Row],[Дата поступления]]-Таблица1[[#This Row],[Дата рождения]]</f>
        <v>0</v>
      </c>
    </row>
    <row r="725" spans="18:19" x14ac:dyDescent="0.25">
      <c r="R725" s="2">
        <f>Таблица1[[#This Row],[Дата перевода]]-Таблица1[[#This Row],[Дата поступления]]</f>
        <v>0</v>
      </c>
      <c r="S725" s="2">
        <f>Таблица1[[#This Row],[Дата поступления]]-Таблица1[[#This Row],[Дата рождения]]</f>
        <v>0</v>
      </c>
    </row>
    <row r="726" spans="18:19" x14ac:dyDescent="0.25">
      <c r="R726" s="2">
        <f>Таблица1[[#This Row],[Дата перевода]]-Таблица1[[#This Row],[Дата поступления]]</f>
        <v>0</v>
      </c>
      <c r="S726" s="2">
        <f>Таблица1[[#This Row],[Дата поступления]]-Таблица1[[#This Row],[Дата рождения]]</f>
        <v>0</v>
      </c>
    </row>
    <row r="727" spans="18:19" x14ac:dyDescent="0.25">
      <c r="R727" s="2">
        <f>Таблица1[[#This Row],[Дата перевода]]-Таблица1[[#This Row],[Дата поступления]]</f>
        <v>0</v>
      </c>
      <c r="S727" s="2">
        <f>Таблица1[[#This Row],[Дата поступления]]-Таблица1[[#This Row],[Дата рождения]]</f>
        <v>0</v>
      </c>
    </row>
    <row r="728" spans="18:19" x14ac:dyDescent="0.25">
      <c r="R728" s="2">
        <f>Таблица1[[#This Row],[Дата перевода]]-Таблица1[[#This Row],[Дата поступления]]</f>
        <v>0</v>
      </c>
      <c r="S728" s="2">
        <f>Таблица1[[#This Row],[Дата поступления]]-Таблица1[[#This Row],[Дата рождения]]</f>
        <v>0</v>
      </c>
    </row>
    <row r="729" spans="18:19" x14ac:dyDescent="0.25">
      <c r="R729" s="2">
        <f>Таблица1[[#This Row],[Дата перевода]]-Таблица1[[#This Row],[Дата поступления]]</f>
        <v>0</v>
      </c>
      <c r="S729" s="2">
        <f>Таблица1[[#This Row],[Дата поступления]]-Таблица1[[#This Row],[Дата рождения]]</f>
        <v>0</v>
      </c>
    </row>
    <row r="730" spans="18:19" x14ac:dyDescent="0.25">
      <c r="R730" s="2">
        <f>Таблица1[[#This Row],[Дата перевода]]-Таблица1[[#This Row],[Дата поступления]]</f>
        <v>0</v>
      </c>
      <c r="S730" s="2">
        <f>Таблица1[[#This Row],[Дата поступления]]-Таблица1[[#This Row],[Дата рождения]]</f>
        <v>0</v>
      </c>
    </row>
    <row r="731" spans="18:19" x14ac:dyDescent="0.25">
      <c r="R731" s="2">
        <f>Таблица1[[#This Row],[Дата перевода]]-Таблица1[[#This Row],[Дата поступления]]</f>
        <v>0</v>
      </c>
      <c r="S731" s="2">
        <f>Таблица1[[#This Row],[Дата поступления]]-Таблица1[[#This Row],[Дата рождения]]</f>
        <v>0</v>
      </c>
    </row>
    <row r="732" spans="18:19" x14ac:dyDescent="0.25">
      <c r="R732" s="2">
        <f>Таблица1[[#This Row],[Дата перевода]]-Таблица1[[#This Row],[Дата поступления]]</f>
        <v>0</v>
      </c>
      <c r="S732" s="2">
        <f>Таблица1[[#This Row],[Дата поступления]]-Таблица1[[#This Row],[Дата рождения]]</f>
        <v>0</v>
      </c>
    </row>
    <row r="733" spans="18:19" x14ac:dyDescent="0.25">
      <c r="R733" s="2">
        <f>Таблица1[[#This Row],[Дата перевода]]-Таблица1[[#This Row],[Дата поступления]]</f>
        <v>0</v>
      </c>
      <c r="S733" s="2">
        <f>Таблица1[[#This Row],[Дата поступления]]-Таблица1[[#This Row],[Дата рождения]]</f>
        <v>0</v>
      </c>
    </row>
    <row r="734" spans="18:19" x14ac:dyDescent="0.25">
      <c r="R734" s="2">
        <f>Таблица1[[#This Row],[Дата перевода]]-Таблица1[[#This Row],[Дата поступления]]</f>
        <v>0</v>
      </c>
      <c r="S734" s="2">
        <f>Таблица1[[#This Row],[Дата поступления]]-Таблица1[[#This Row],[Дата рождения]]</f>
        <v>0</v>
      </c>
    </row>
    <row r="735" spans="18:19" x14ac:dyDescent="0.25">
      <c r="R735" s="2">
        <f>Таблица1[[#This Row],[Дата перевода]]-Таблица1[[#This Row],[Дата поступления]]</f>
        <v>0</v>
      </c>
      <c r="S735" s="2">
        <f>Таблица1[[#This Row],[Дата поступления]]-Таблица1[[#This Row],[Дата рождения]]</f>
        <v>0</v>
      </c>
    </row>
    <row r="736" spans="18:19" x14ac:dyDescent="0.25">
      <c r="R736" s="2">
        <f>Таблица1[[#This Row],[Дата перевода]]-Таблица1[[#This Row],[Дата поступления]]</f>
        <v>0</v>
      </c>
      <c r="S736" s="2">
        <f>Таблица1[[#This Row],[Дата поступления]]-Таблица1[[#This Row],[Дата рождения]]</f>
        <v>0</v>
      </c>
    </row>
    <row r="737" spans="18:19" x14ac:dyDescent="0.25">
      <c r="R737" s="2">
        <f>Таблица1[[#This Row],[Дата перевода]]-Таблица1[[#This Row],[Дата поступления]]</f>
        <v>0</v>
      </c>
      <c r="S737" s="2">
        <f>Таблица1[[#This Row],[Дата поступления]]-Таблица1[[#This Row],[Дата рождения]]</f>
        <v>0</v>
      </c>
    </row>
    <row r="738" spans="18:19" x14ac:dyDescent="0.25">
      <c r="R738" s="2">
        <f>Таблица1[[#This Row],[Дата перевода]]-Таблица1[[#This Row],[Дата поступления]]</f>
        <v>0</v>
      </c>
      <c r="S738" s="2">
        <f>Таблица1[[#This Row],[Дата поступления]]-Таблица1[[#This Row],[Дата рождения]]</f>
        <v>0</v>
      </c>
    </row>
    <row r="739" spans="18:19" x14ac:dyDescent="0.25">
      <c r="R739" s="2">
        <f>Таблица1[[#This Row],[Дата перевода]]-Таблица1[[#This Row],[Дата поступления]]</f>
        <v>0</v>
      </c>
      <c r="S739" s="2">
        <f>Таблица1[[#This Row],[Дата поступления]]-Таблица1[[#This Row],[Дата рождения]]</f>
        <v>0</v>
      </c>
    </row>
    <row r="740" spans="18:19" x14ac:dyDescent="0.25">
      <c r="R740" s="2">
        <f>Таблица1[[#This Row],[Дата перевода]]-Таблица1[[#This Row],[Дата поступления]]</f>
        <v>0</v>
      </c>
      <c r="S740" s="2">
        <f>Таблица1[[#This Row],[Дата поступления]]-Таблица1[[#This Row],[Дата рождения]]</f>
        <v>0</v>
      </c>
    </row>
    <row r="741" spans="18:19" x14ac:dyDescent="0.25">
      <c r="R741" s="2">
        <f>Таблица1[[#This Row],[Дата перевода]]-Таблица1[[#This Row],[Дата поступления]]</f>
        <v>0</v>
      </c>
      <c r="S741" s="2">
        <f>Таблица1[[#This Row],[Дата поступления]]-Таблица1[[#This Row],[Дата рождения]]</f>
        <v>0</v>
      </c>
    </row>
    <row r="742" spans="18:19" x14ac:dyDescent="0.25">
      <c r="R742" s="2">
        <f>Таблица1[[#This Row],[Дата перевода]]-Таблица1[[#This Row],[Дата поступления]]</f>
        <v>0</v>
      </c>
      <c r="S742" s="2">
        <f>Таблица1[[#This Row],[Дата поступления]]-Таблица1[[#This Row],[Дата рождения]]</f>
        <v>0</v>
      </c>
    </row>
    <row r="743" spans="18:19" x14ac:dyDescent="0.25">
      <c r="R743" s="2">
        <f>Таблица1[[#This Row],[Дата перевода]]-Таблица1[[#This Row],[Дата поступления]]</f>
        <v>0</v>
      </c>
      <c r="S743" s="2">
        <f>Таблица1[[#This Row],[Дата поступления]]-Таблица1[[#This Row],[Дата рождения]]</f>
        <v>0</v>
      </c>
    </row>
    <row r="744" spans="18:19" x14ac:dyDescent="0.25">
      <c r="R744" s="2">
        <f>Таблица1[[#This Row],[Дата перевода]]-Таблица1[[#This Row],[Дата поступления]]</f>
        <v>0</v>
      </c>
      <c r="S744" s="2">
        <f>Таблица1[[#This Row],[Дата поступления]]-Таблица1[[#This Row],[Дата рождения]]</f>
        <v>0</v>
      </c>
    </row>
    <row r="745" spans="18:19" x14ac:dyDescent="0.25">
      <c r="R745" s="2">
        <f>Таблица1[[#This Row],[Дата перевода]]-Таблица1[[#This Row],[Дата поступления]]</f>
        <v>0</v>
      </c>
      <c r="S745" s="2">
        <f>Таблица1[[#This Row],[Дата поступления]]-Таблица1[[#This Row],[Дата рождения]]</f>
        <v>0</v>
      </c>
    </row>
    <row r="746" spans="18:19" x14ac:dyDescent="0.25">
      <c r="R746" s="2">
        <f>Таблица1[[#This Row],[Дата перевода]]-Таблица1[[#This Row],[Дата поступления]]</f>
        <v>0</v>
      </c>
      <c r="S746" s="2">
        <f>Таблица1[[#This Row],[Дата поступления]]-Таблица1[[#This Row],[Дата рождения]]</f>
        <v>0</v>
      </c>
    </row>
    <row r="747" spans="18:19" x14ac:dyDescent="0.25">
      <c r="R747" s="2">
        <f>Таблица1[[#This Row],[Дата перевода]]-Таблица1[[#This Row],[Дата поступления]]</f>
        <v>0</v>
      </c>
      <c r="S747" s="2">
        <f>Таблица1[[#This Row],[Дата поступления]]-Таблица1[[#This Row],[Дата рождения]]</f>
        <v>0</v>
      </c>
    </row>
    <row r="748" spans="18:19" x14ac:dyDescent="0.25">
      <c r="R748" s="2">
        <f>Таблица1[[#This Row],[Дата перевода]]-Таблица1[[#This Row],[Дата поступления]]</f>
        <v>0</v>
      </c>
      <c r="S748" s="2">
        <f>Таблица1[[#This Row],[Дата поступления]]-Таблица1[[#This Row],[Дата рождения]]</f>
        <v>0</v>
      </c>
    </row>
    <row r="749" spans="18:19" x14ac:dyDescent="0.25">
      <c r="R749" s="2">
        <f>Таблица1[[#This Row],[Дата перевода]]-Таблица1[[#This Row],[Дата поступления]]</f>
        <v>0</v>
      </c>
      <c r="S749" s="2">
        <f>Таблица1[[#This Row],[Дата поступления]]-Таблица1[[#This Row],[Дата рождения]]</f>
        <v>0</v>
      </c>
    </row>
    <row r="750" spans="18:19" x14ac:dyDescent="0.25">
      <c r="R750" s="2">
        <f>Таблица1[[#This Row],[Дата перевода]]-Таблица1[[#This Row],[Дата поступления]]</f>
        <v>0</v>
      </c>
      <c r="S750" s="2">
        <f>Таблица1[[#This Row],[Дата поступления]]-Таблица1[[#This Row],[Дата рождения]]</f>
        <v>0</v>
      </c>
    </row>
    <row r="751" spans="18:19" x14ac:dyDescent="0.25">
      <c r="R751" s="2">
        <f>Таблица1[[#This Row],[Дата перевода]]-Таблица1[[#This Row],[Дата поступления]]</f>
        <v>0</v>
      </c>
      <c r="S751" s="2">
        <f>Таблица1[[#This Row],[Дата поступления]]-Таблица1[[#This Row],[Дата рождения]]</f>
        <v>0</v>
      </c>
    </row>
    <row r="752" spans="18:19" x14ac:dyDescent="0.25">
      <c r="R752" s="2">
        <f>Таблица1[[#This Row],[Дата перевода]]-Таблица1[[#This Row],[Дата поступления]]</f>
        <v>0</v>
      </c>
      <c r="S752" s="2">
        <f>Таблица1[[#This Row],[Дата поступления]]-Таблица1[[#This Row],[Дата рождения]]</f>
        <v>0</v>
      </c>
    </row>
    <row r="753" spans="18:19" x14ac:dyDescent="0.25">
      <c r="R753" s="2">
        <f>Таблица1[[#This Row],[Дата перевода]]-Таблица1[[#This Row],[Дата поступления]]</f>
        <v>0</v>
      </c>
      <c r="S753" s="2">
        <f>Таблица1[[#This Row],[Дата поступления]]-Таблица1[[#This Row],[Дата рождения]]</f>
        <v>0</v>
      </c>
    </row>
    <row r="754" spans="18:19" x14ac:dyDescent="0.25">
      <c r="R754" s="2">
        <f>Таблица1[[#This Row],[Дата перевода]]-Таблица1[[#This Row],[Дата поступления]]</f>
        <v>0</v>
      </c>
      <c r="S754" s="2">
        <f>Таблица1[[#This Row],[Дата поступления]]-Таблица1[[#This Row],[Дата рождения]]</f>
        <v>0</v>
      </c>
    </row>
    <row r="755" spans="18:19" x14ac:dyDescent="0.25">
      <c r="R755" s="2">
        <f>Таблица1[[#This Row],[Дата перевода]]-Таблица1[[#This Row],[Дата поступления]]</f>
        <v>0</v>
      </c>
      <c r="S755" s="2">
        <f>Таблица1[[#This Row],[Дата поступления]]-Таблица1[[#This Row],[Дата рождения]]</f>
        <v>0</v>
      </c>
    </row>
    <row r="756" spans="18:19" x14ac:dyDescent="0.25">
      <c r="R756" s="2">
        <f>Таблица1[[#This Row],[Дата перевода]]-Таблица1[[#This Row],[Дата поступления]]</f>
        <v>0</v>
      </c>
      <c r="S756" s="2">
        <f>Таблица1[[#This Row],[Дата поступления]]-Таблица1[[#This Row],[Дата рождения]]</f>
        <v>0</v>
      </c>
    </row>
    <row r="757" spans="18:19" x14ac:dyDescent="0.25">
      <c r="R757" s="2">
        <f>Таблица1[[#This Row],[Дата перевода]]-Таблица1[[#This Row],[Дата поступления]]</f>
        <v>0</v>
      </c>
      <c r="S757" s="2">
        <f>Таблица1[[#This Row],[Дата поступления]]-Таблица1[[#This Row],[Дата рождения]]</f>
        <v>0</v>
      </c>
    </row>
    <row r="758" spans="18:19" x14ac:dyDescent="0.25">
      <c r="R758" s="2">
        <f>Таблица1[[#This Row],[Дата перевода]]-Таблица1[[#This Row],[Дата поступления]]</f>
        <v>0</v>
      </c>
      <c r="S758" s="2">
        <f>Таблица1[[#This Row],[Дата поступления]]-Таблица1[[#This Row],[Дата рождения]]</f>
        <v>0</v>
      </c>
    </row>
    <row r="759" spans="18:19" x14ac:dyDescent="0.25">
      <c r="R759" s="2">
        <f>Таблица1[[#This Row],[Дата перевода]]-Таблица1[[#This Row],[Дата поступления]]</f>
        <v>0</v>
      </c>
      <c r="S759" s="2">
        <f>Таблица1[[#This Row],[Дата поступления]]-Таблица1[[#This Row],[Дата рождения]]</f>
        <v>0</v>
      </c>
    </row>
    <row r="760" spans="18:19" x14ac:dyDescent="0.25">
      <c r="R760" s="2">
        <f>Таблица1[[#This Row],[Дата перевода]]-Таблица1[[#This Row],[Дата поступления]]</f>
        <v>0</v>
      </c>
      <c r="S760" s="2">
        <f>Таблица1[[#This Row],[Дата поступления]]-Таблица1[[#This Row],[Дата рождения]]</f>
        <v>0</v>
      </c>
    </row>
    <row r="761" spans="18:19" x14ac:dyDescent="0.25">
      <c r="R761" s="2">
        <f>Таблица1[[#This Row],[Дата перевода]]-Таблица1[[#This Row],[Дата поступления]]</f>
        <v>0</v>
      </c>
      <c r="S761" s="2">
        <f>Таблица1[[#This Row],[Дата поступления]]-Таблица1[[#This Row],[Дата рождения]]</f>
        <v>0</v>
      </c>
    </row>
    <row r="762" spans="18:19" x14ac:dyDescent="0.25">
      <c r="R762" s="2">
        <f>Таблица1[[#This Row],[Дата перевода]]-Таблица1[[#This Row],[Дата поступления]]</f>
        <v>0</v>
      </c>
      <c r="S762" s="2">
        <f>Таблица1[[#This Row],[Дата поступления]]-Таблица1[[#This Row],[Дата рождения]]</f>
        <v>0</v>
      </c>
    </row>
    <row r="763" spans="18:19" x14ac:dyDescent="0.25">
      <c r="R763" s="2">
        <f>Таблица1[[#This Row],[Дата перевода]]-Таблица1[[#This Row],[Дата поступления]]</f>
        <v>0</v>
      </c>
      <c r="S763" s="2">
        <f>Таблица1[[#This Row],[Дата поступления]]-Таблица1[[#This Row],[Дата рождения]]</f>
        <v>0</v>
      </c>
    </row>
    <row r="764" spans="18:19" x14ac:dyDescent="0.25">
      <c r="R764" s="2">
        <f>Таблица1[[#This Row],[Дата перевода]]-Таблица1[[#This Row],[Дата поступления]]</f>
        <v>0</v>
      </c>
      <c r="S764" s="2">
        <f>Таблица1[[#This Row],[Дата поступления]]-Таблица1[[#This Row],[Дата рождения]]</f>
        <v>0</v>
      </c>
    </row>
    <row r="765" spans="18:19" x14ac:dyDescent="0.25">
      <c r="R765" s="2">
        <f>Таблица1[[#This Row],[Дата перевода]]-Таблица1[[#This Row],[Дата поступления]]</f>
        <v>0</v>
      </c>
      <c r="S765" s="2">
        <f>Таблица1[[#This Row],[Дата поступления]]-Таблица1[[#This Row],[Дата рождения]]</f>
        <v>0</v>
      </c>
    </row>
    <row r="766" spans="18:19" x14ac:dyDescent="0.25">
      <c r="R766" s="2">
        <f>Таблица1[[#This Row],[Дата перевода]]-Таблица1[[#This Row],[Дата поступления]]</f>
        <v>0</v>
      </c>
      <c r="S766" s="2">
        <f>Таблица1[[#This Row],[Дата поступления]]-Таблица1[[#This Row],[Дата рождения]]</f>
        <v>0</v>
      </c>
    </row>
    <row r="767" spans="18:19" x14ac:dyDescent="0.25">
      <c r="R767" s="2">
        <f>Таблица1[[#This Row],[Дата перевода]]-Таблица1[[#This Row],[Дата поступления]]</f>
        <v>0</v>
      </c>
      <c r="S767" s="2">
        <f>Таблица1[[#This Row],[Дата поступления]]-Таблица1[[#This Row],[Дата рождения]]</f>
        <v>0</v>
      </c>
    </row>
    <row r="768" spans="18:19" x14ac:dyDescent="0.25">
      <c r="R768" s="2">
        <f>Таблица1[[#This Row],[Дата перевода]]-Таблица1[[#This Row],[Дата поступления]]</f>
        <v>0</v>
      </c>
      <c r="S768" s="2">
        <f>Таблица1[[#This Row],[Дата поступления]]-Таблица1[[#This Row],[Дата рождения]]</f>
        <v>0</v>
      </c>
    </row>
    <row r="769" spans="18:19" x14ac:dyDescent="0.25">
      <c r="R769" s="2">
        <f>Таблица1[[#This Row],[Дата перевода]]-Таблица1[[#This Row],[Дата поступления]]</f>
        <v>0</v>
      </c>
      <c r="S769" s="2">
        <f>Таблица1[[#This Row],[Дата поступления]]-Таблица1[[#This Row],[Дата рождения]]</f>
        <v>0</v>
      </c>
    </row>
    <row r="770" spans="18:19" x14ac:dyDescent="0.25">
      <c r="R770" s="2">
        <f>Таблица1[[#This Row],[Дата перевода]]-Таблица1[[#This Row],[Дата поступления]]</f>
        <v>0</v>
      </c>
      <c r="S770" s="2">
        <f>Таблица1[[#This Row],[Дата поступления]]-Таблица1[[#This Row],[Дата рождения]]</f>
        <v>0</v>
      </c>
    </row>
    <row r="771" spans="18:19" x14ac:dyDescent="0.25">
      <c r="R771" s="2">
        <f>Таблица1[[#This Row],[Дата перевода]]-Таблица1[[#This Row],[Дата поступления]]</f>
        <v>0</v>
      </c>
      <c r="S771" s="2">
        <f>Таблица1[[#This Row],[Дата поступления]]-Таблица1[[#This Row],[Дата рождения]]</f>
        <v>0</v>
      </c>
    </row>
    <row r="772" spans="18:19" x14ac:dyDescent="0.25">
      <c r="R772" s="2">
        <f>Таблица1[[#This Row],[Дата перевода]]-Таблица1[[#This Row],[Дата поступления]]</f>
        <v>0</v>
      </c>
      <c r="S772" s="2">
        <f>Таблица1[[#This Row],[Дата поступления]]-Таблица1[[#This Row],[Дата рождения]]</f>
        <v>0</v>
      </c>
    </row>
    <row r="773" spans="18:19" x14ac:dyDescent="0.25">
      <c r="R773" s="2">
        <f>Таблица1[[#This Row],[Дата перевода]]-Таблица1[[#This Row],[Дата поступления]]</f>
        <v>0</v>
      </c>
      <c r="S773" s="2">
        <f>Таблица1[[#This Row],[Дата поступления]]-Таблица1[[#This Row],[Дата рождения]]</f>
        <v>0</v>
      </c>
    </row>
    <row r="774" spans="18:19" x14ac:dyDescent="0.25">
      <c r="R774" s="2">
        <f>Таблица1[[#This Row],[Дата перевода]]-Таблица1[[#This Row],[Дата поступления]]</f>
        <v>0</v>
      </c>
      <c r="S774" s="2">
        <f>Таблица1[[#This Row],[Дата поступления]]-Таблица1[[#This Row],[Дата рождения]]</f>
        <v>0</v>
      </c>
    </row>
    <row r="775" spans="18:19" x14ac:dyDescent="0.25">
      <c r="R775" s="2">
        <f>Таблица1[[#This Row],[Дата перевода]]-Таблица1[[#This Row],[Дата поступления]]</f>
        <v>0</v>
      </c>
      <c r="S775" s="2">
        <f>Таблица1[[#This Row],[Дата поступления]]-Таблица1[[#This Row],[Дата рождения]]</f>
        <v>0</v>
      </c>
    </row>
    <row r="776" spans="18:19" x14ac:dyDescent="0.25">
      <c r="R776" s="2">
        <f>Таблица1[[#This Row],[Дата перевода]]-Таблица1[[#This Row],[Дата поступления]]</f>
        <v>0</v>
      </c>
      <c r="S776" s="2">
        <f>Таблица1[[#This Row],[Дата поступления]]-Таблица1[[#This Row],[Дата рождения]]</f>
        <v>0</v>
      </c>
    </row>
    <row r="777" spans="18:19" x14ac:dyDescent="0.25">
      <c r="R777" s="2">
        <f>Таблица1[[#This Row],[Дата перевода]]-Таблица1[[#This Row],[Дата поступления]]</f>
        <v>0</v>
      </c>
      <c r="S777" s="2">
        <f>Таблица1[[#This Row],[Дата поступления]]-Таблица1[[#This Row],[Дата рождения]]</f>
        <v>0</v>
      </c>
    </row>
    <row r="778" spans="18:19" x14ac:dyDescent="0.25">
      <c r="R778" s="2">
        <f>Таблица1[[#This Row],[Дата перевода]]-Таблица1[[#This Row],[Дата поступления]]</f>
        <v>0</v>
      </c>
      <c r="S778" s="2">
        <f>Таблица1[[#This Row],[Дата поступления]]-Таблица1[[#This Row],[Дата рождения]]</f>
        <v>0</v>
      </c>
    </row>
    <row r="779" spans="18:19" x14ac:dyDescent="0.25">
      <c r="R779" s="2">
        <f>Таблица1[[#This Row],[Дата перевода]]-Таблица1[[#This Row],[Дата поступления]]</f>
        <v>0</v>
      </c>
      <c r="S779" s="2">
        <f>Таблица1[[#This Row],[Дата поступления]]-Таблица1[[#This Row],[Дата рождения]]</f>
        <v>0</v>
      </c>
    </row>
    <row r="780" spans="18:19" x14ac:dyDescent="0.25">
      <c r="R780" s="2">
        <f>Таблица1[[#This Row],[Дата перевода]]-Таблица1[[#This Row],[Дата поступления]]</f>
        <v>0</v>
      </c>
      <c r="S780" s="2">
        <f>Таблица1[[#This Row],[Дата поступления]]-Таблица1[[#This Row],[Дата рождения]]</f>
        <v>0</v>
      </c>
    </row>
    <row r="781" spans="18:19" x14ac:dyDescent="0.25">
      <c r="R781" s="2">
        <f>Таблица1[[#This Row],[Дата перевода]]-Таблица1[[#This Row],[Дата поступления]]</f>
        <v>0</v>
      </c>
      <c r="S781" s="2">
        <f>Таблица1[[#This Row],[Дата поступления]]-Таблица1[[#This Row],[Дата рождения]]</f>
        <v>0</v>
      </c>
    </row>
    <row r="782" spans="18:19" x14ac:dyDescent="0.25">
      <c r="R782" s="2">
        <f>Таблица1[[#This Row],[Дата перевода]]-Таблица1[[#This Row],[Дата поступления]]</f>
        <v>0</v>
      </c>
      <c r="S782" s="2">
        <f>Таблица1[[#This Row],[Дата поступления]]-Таблица1[[#This Row],[Дата рождения]]</f>
        <v>0</v>
      </c>
    </row>
    <row r="783" spans="18:19" x14ac:dyDescent="0.25">
      <c r="R783" s="2">
        <f>Таблица1[[#This Row],[Дата перевода]]-Таблица1[[#This Row],[Дата поступления]]</f>
        <v>0</v>
      </c>
      <c r="S783" s="2">
        <f>Таблица1[[#This Row],[Дата поступления]]-Таблица1[[#This Row],[Дата рождения]]</f>
        <v>0</v>
      </c>
    </row>
    <row r="784" spans="18:19" x14ac:dyDescent="0.25">
      <c r="R784" s="2">
        <f>Таблица1[[#This Row],[Дата перевода]]-Таблица1[[#This Row],[Дата поступления]]</f>
        <v>0</v>
      </c>
      <c r="S784" s="2">
        <f>Таблица1[[#This Row],[Дата поступления]]-Таблица1[[#This Row],[Дата рождения]]</f>
        <v>0</v>
      </c>
    </row>
    <row r="785" spans="18:19" x14ac:dyDescent="0.25">
      <c r="R785" s="2">
        <f>Таблица1[[#This Row],[Дата перевода]]-Таблица1[[#This Row],[Дата поступления]]</f>
        <v>0</v>
      </c>
      <c r="S785" s="2">
        <f>Таблица1[[#This Row],[Дата поступления]]-Таблица1[[#This Row],[Дата рождения]]</f>
        <v>0</v>
      </c>
    </row>
    <row r="786" spans="18:19" x14ac:dyDescent="0.25">
      <c r="R786" s="2">
        <f>Таблица1[[#This Row],[Дата перевода]]-Таблица1[[#This Row],[Дата поступления]]</f>
        <v>0</v>
      </c>
      <c r="S786" s="2">
        <f>Таблица1[[#This Row],[Дата поступления]]-Таблица1[[#This Row],[Дата рождения]]</f>
        <v>0</v>
      </c>
    </row>
    <row r="787" spans="18:19" x14ac:dyDescent="0.25">
      <c r="R787" s="2">
        <f>Таблица1[[#This Row],[Дата перевода]]-Таблица1[[#This Row],[Дата поступления]]</f>
        <v>0</v>
      </c>
      <c r="S787" s="2">
        <f>Таблица1[[#This Row],[Дата поступления]]-Таблица1[[#This Row],[Дата рождения]]</f>
        <v>0</v>
      </c>
    </row>
    <row r="788" spans="18:19" x14ac:dyDescent="0.25">
      <c r="R788" s="2">
        <f>Таблица1[[#This Row],[Дата перевода]]-Таблица1[[#This Row],[Дата поступления]]</f>
        <v>0</v>
      </c>
      <c r="S788" s="2">
        <f>Таблица1[[#This Row],[Дата поступления]]-Таблица1[[#This Row],[Дата рождения]]</f>
        <v>0</v>
      </c>
    </row>
    <row r="789" spans="18:19" x14ac:dyDescent="0.25">
      <c r="R789" s="2">
        <f>Таблица1[[#This Row],[Дата перевода]]-Таблица1[[#This Row],[Дата поступления]]</f>
        <v>0</v>
      </c>
      <c r="S789" s="2">
        <f>Таблица1[[#This Row],[Дата поступления]]-Таблица1[[#This Row],[Дата рождения]]</f>
        <v>0</v>
      </c>
    </row>
    <row r="790" spans="18:19" x14ac:dyDescent="0.25">
      <c r="R790" s="2">
        <f>Таблица1[[#This Row],[Дата перевода]]-Таблица1[[#This Row],[Дата поступления]]</f>
        <v>0</v>
      </c>
      <c r="S790" s="2">
        <f>Таблица1[[#This Row],[Дата поступления]]-Таблица1[[#This Row],[Дата рождения]]</f>
        <v>0</v>
      </c>
    </row>
    <row r="791" spans="18:19" x14ac:dyDescent="0.25">
      <c r="R791" s="2">
        <f>Таблица1[[#This Row],[Дата перевода]]-Таблица1[[#This Row],[Дата поступления]]</f>
        <v>0</v>
      </c>
      <c r="S791" s="2">
        <f>Таблица1[[#This Row],[Дата поступления]]-Таблица1[[#This Row],[Дата рождения]]</f>
        <v>0</v>
      </c>
    </row>
    <row r="792" spans="18:19" x14ac:dyDescent="0.25">
      <c r="R792" s="2">
        <f>Таблица1[[#This Row],[Дата перевода]]-Таблица1[[#This Row],[Дата поступления]]</f>
        <v>0</v>
      </c>
      <c r="S792" s="2">
        <f>Таблица1[[#This Row],[Дата поступления]]-Таблица1[[#This Row],[Дата рождения]]</f>
        <v>0</v>
      </c>
    </row>
    <row r="793" spans="18:19" x14ac:dyDescent="0.25">
      <c r="R793" s="2">
        <f>Таблица1[[#This Row],[Дата перевода]]-Таблица1[[#This Row],[Дата поступления]]</f>
        <v>0</v>
      </c>
      <c r="S793" s="2">
        <f>Таблица1[[#This Row],[Дата поступления]]-Таблица1[[#This Row],[Дата рождения]]</f>
        <v>0</v>
      </c>
    </row>
    <row r="794" spans="18:19" x14ac:dyDescent="0.25">
      <c r="R794" s="2">
        <f>Таблица1[[#This Row],[Дата перевода]]-Таблица1[[#This Row],[Дата поступления]]</f>
        <v>0</v>
      </c>
      <c r="S794" s="2">
        <f>Таблица1[[#This Row],[Дата поступления]]-Таблица1[[#This Row],[Дата рождения]]</f>
        <v>0</v>
      </c>
    </row>
    <row r="795" spans="18:19" x14ac:dyDescent="0.25">
      <c r="R795" s="2">
        <f>Таблица1[[#This Row],[Дата перевода]]-Таблица1[[#This Row],[Дата поступления]]</f>
        <v>0</v>
      </c>
      <c r="S795" s="2">
        <f>Таблица1[[#This Row],[Дата поступления]]-Таблица1[[#This Row],[Дата рождения]]</f>
        <v>0</v>
      </c>
    </row>
    <row r="796" spans="18:19" x14ac:dyDescent="0.25">
      <c r="R796" s="2">
        <f>Таблица1[[#This Row],[Дата перевода]]-Таблица1[[#This Row],[Дата поступления]]</f>
        <v>0</v>
      </c>
      <c r="S796" s="2">
        <f>Таблица1[[#This Row],[Дата поступления]]-Таблица1[[#This Row],[Дата рождения]]</f>
        <v>0</v>
      </c>
    </row>
    <row r="797" spans="18:19" x14ac:dyDescent="0.25">
      <c r="R797" s="2">
        <f>Таблица1[[#This Row],[Дата перевода]]-Таблица1[[#This Row],[Дата поступления]]</f>
        <v>0</v>
      </c>
      <c r="S797" s="2">
        <f>Таблица1[[#This Row],[Дата поступления]]-Таблица1[[#This Row],[Дата рождения]]</f>
        <v>0</v>
      </c>
    </row>
    <row r="798" spans="18:19" x14ac:dyDescent="0.25">
      <c r="R798" s="2">
        <f>Таблица1[[#This Row],[Дата перевода]]-Таблица1[[#This Row],[Дата поступления]]</f>
        <v>0</v>
      </c>
      <c r="S798" s="2">
        <f>Таблица1[[#This Row],[Дата поступления]]-Таблица1[[#This Row],[Дата рождения]]</f>
        <v>0</v>
      </c>
    </row>
    <row r="799" spans="18:19" x14ac:dyDescent="0.25">
      <c r="R799" s="2">
        <f>Таблица1[[#This Row],[Дата перевода]]-Таблица1[[#This Row],[Дата поступления]]</f>
        <v>0</v>
      </c>
      <c r="S799" s="2">
        <f>Таблица1[[#This Row],[Дата поступления]]-Таблица1[[#This Row],[Дата рождения]]</f>
        <v>0</v>
      </c>
    </row>
    <row r="800" spans="18:19" x14ac:dyDescent="0.25">
      <c r="R800" s="2">
        <f>Таблица1[[#This Row],[Дата перевода]]-Таблица1[[#This Row],[Дата поступления]]</f>
        <v>0</v>
      </c>
      <c r="S800" s="2">
        <f>Таблица1[[#This Row],[Дата поступления]]-Таблица1[[#This Row],[Дата рождения]]</f>
        <v>0</v>
      </c>
    </row>
    <row r="801" spans="18:19" x14ac:dyDescent="0.25">
      <c r="R801" s="2">
        <f>Таблица1[[#This Row],[Дата перевода]]-Таблица1[[#This Row],[Дата поступления]]</f>
        <v>0</v>
      </c>
      <c r="S801" s="2">
        <f>Таблица1[[#This Row],[Дата поступления]]-Таблица1[[#This Row],[Дата рождения]]</f>
        <v>0</v>
      </c>
    </row>
    <row r="802" spans="18:19" x14ac:dyDescent="0.25">
      <c r="R802" s="2">
        <f>Таблица1[[#This Row],[Дата перевода]]-Таблица1[[#This Row],[Дата поступления]]</f>
        <v>0</v>
      </c>
      <c r="S802" s="2">
        <f>Таблица1[[#This Row],[Дата поступления]]-Таблица1[[#This Row],[Дата рождения]]</f>
        <v>0</v>
      </c>
    </row>
    <row r="803" spans="18:19" x14ac:dyDescent="0.25">
      <c r="R803" s="2">
        <f>Таблица1[[#This Row],[Дата перевода]]-Таблица1[[#This Row],[Дата поступления]]</f>
        <v>0</v>
      </c>
      <c r="S803" s="2">
        <f>Таблица1[[#This Row],[Дата поступления]]-Таблица1[[#This Row],[Дата рождения]]</f>
        <v>0</v>
      </c>
    </row>
    <row r="804" spans="18:19" x14ac:dyDescent="0.25">
      <c r="R804" s="2">
        <f>Таблица1[[#This Row],[Дата перевода]]-Таблица1[[#This Row],[Дата поступления]]</f>
        <v>0</v>
      </c>
      <c r="S804" s="2">
        <f>Таблица1[[#This Row],[Дата поступления]]-Таблица1[[#This Row],[Дата рождения]]</f>
        <v>0</v>
      </c>
    </row>
    <row r="805" spans="18:19" x14ac:dyDescent="0.25">
      <c r="R805" s="2">
        <f>Таблица1[[#This Row],[Дата перевода]]-Таблица1[[#This Row],[Дата поступления]]</f>
        <v>0</v>
      </c>
      <c r="S805" s="2">
        <f>Таблица1[[#This Row],[Дата поступления]]-Таблица1[[#This Row],[Дата рождения]]</f>
        <v>0</v>
      </c>
    </row>
    <row r="806" spans="18:19" x14ac:dyDescent="0.25">
      <c r="R806" s="2">
        <f>Таблица1[[#This Row],[Дата перевода]]-Таблица1[[#This Row],[Дата поступления]]</f>
        <v>0</v>
      </c>
      <c r="S806" s="2">
        <f>Таблица1[[#This Row],[Дата поступления]]-Таблица1[[#This Row],[Дата рождения]]</f>
        <v>0</v>
      </c>
    </row>
    <row r="807" spans="18:19" x14ac:dyDescent="0.25">
      <c r="R807" s="2">
        <f>Таблица1[[#This Row],[Дата перевода]]-Таблица1[[#This Row],[Дата поступления]]</f>
        <v>0</v>
      </c>
      <c r="S807" s="2">
        <f>Таблица1[[#This Row],[Дата поступления]]-Таблица1[[#This Row],[Дата рождения]]</f>
        <v>0</v>
      </c>
    </row>
    <row r="808" spans="18:19" x14ac:dyDescent="0.25">
      <c r="R808" s="2">
        <f>Таблица1[[#This Row],[Дата перевода]]-Таблица1[[#This Row],[Дата поступления]]</f>
        <v>0</v>
      </c>
      <c r="S808" s="2">
        <f>Таблица1[[#This Row],[Дата поступления]]-Таблица1[[#This Row],[Дата рождения]]</f>
        <v>0</v>
      </c>
    </row>
    <row r="809" spans="18:19" x14ac:dyDescent="0.25">
      <c r="R809" s="2">
        <f>Таблица1[[#This Row],[Дата перевода]]-Таблица1[[#This Row],[Дата поступления]]</f>
        <v>0</v>
      </c>
      <c r="S809" s="2">
        <f>Таблица1[[#This Row],[Дата поступления]]-Таблица1[[#This Row],[Дата рождения]]</f>
        <v>0</v>
      </c>
    </row>
    <row r="810" spans="18:19" x14ac:dyDescent="0.25">
      <c r="R810" s="2">
        <f>Таблица1[[#This Row],[Дата перевода]]-Таблица1[[#This Row],[Дата поступления]]</f>
        <v>0</v>
      </c>
      <c r="S810" s="2">
        <f>Таблица1[[#This Row],[Дата поступления]]-Таблица1[[#This Row],[Дата рождения]]</f>
        <v>0</v>
      </c>
    </row>
    <row r="811" spans="18:19" x14ac:dyDescent="0.25">
      <c r="R811" s="2">
        <f>Таблица1[[#This Row],[Дата перевода]]-Таблица1[[#This Row],[Дата поступления]]</f>
        <v>0</v>
      </c>
      <c r="S811" s="2">
        <f>Таблица1[[#This Row],[Дата поступления]]-Таблица1[[#This Row],[Дата рождения]]</f>
        <v>0</v>
      </c>
    </row>
    <row r="812" spans="18:19" x14ac:dyDescent="0.25">
      <c r="R812" s="2">
        <f>Таблица1[[#This Row],[Дата перевода]]-Таблица1[[#This Row],[Дата поступления]]</f>
        <v>0</v>
      </c>
      <c r="S812" s="2">
        <f>Таблица1[[#This Row],[Дата поступления]]-Таблица1[[#This Row],[Дата рождения]]</f>
        <v>0</v>
      </c>
    </row>
    <row r="813" spans="18:19" x14ac:dyDescent="0.25">
      <c r="R813" s="2">
        <f>Таблица1[[#This Row],[Дата перевода]]-Таблица1[[#This Row],[Дата поступления]]</f>
        <v>0</v>
      </c>
      <c r="S813" s="2">
        <f>Таблица1[[#This Row],[Дата поступления]]-Таблица1[[#This Row],[Дата рождения]]</f>
        <v>0</v>
      </c>
    </row>
    <row r="814" spans="18:19" x14ac:dyDescent="0.25">
      <c r="R814" s="2">
        <f>Таблица1[[#This Row],[Дата перевода]]-Таблица1[[#This Row],[Дата поступления]]</f>
        <v>0</v>
      </c>
      <c r="S814" s="2">
        <f>Таблица1[[#This Row],[Дата поступления]]-Таблица1[[#This Row],[Дата рождения]]</f>
        <v>0</v>
      </c>
    </row>
    <row r="815" spans="18:19" x14ac:dyDescent="0.25">
      <c r="R815" s="2">
        <f>Таблица1[[#This Row],[Дата перевода]]-Таблица1[[#This Row],[Дата поступления]]</f>
        <v>0</v>
      </c>
      <c r="S815" s="2">
        <f>Таблица1[[#This Row],[Дата поступления]]-Таблица1[[#This Row],[Дата рождения]]</f>
        <v>0</v>
      </c>
    </row>
    <row r="816" spans="18:19" x14ac:dyDescent="0.25">
      <c r="R816" s="2">
        <f>Таблица1[[#This Row],[Дата перевода]]-Таблица1[[#This Row],[Дата поступления]]</f>
        <v>0</v>
      </c>
      <c r="S816" s="2">
        <f>Таблица1[[#This Row],[Дата поступления]]-Таблица1[[#This Row],[Дата рождения]]</f>
        <v>0</v>
      </c>
    </row>
    <row r="817" spans="18:19" x14ac:dyDescent="0.25">
      <c r="R817" s="2">
        <f>Таблица1[[#This Row],[Дата перевода]]-Таблица1[[#This Row],[Дата поступления]]</f>
        <v>0</v>
      </c>
      <c r="S817" s="2">
        <f>Таблица1[[#This Row],[Дата поступления]]-Таблица1[[#This Row],[Дата рождения]]</f>
        <v>0</v>
      </c>
    </row>
    <row r="818" spans="18:19" x14ac:dyDescent="0.25">
      <c r="R818" s="2">
        <f>Таблица1[[#This Row],[Дата перевода]]-Таблица1[[#This Row],[Дата поступления]]</f>
        <v>0</v>
      </c>
      <c r="S818" s="2">
        <f>Таблица1[[#This Row],[Дата поступления]]-Таблица1[[#This Row],[Дата рождения]]</f>
        <v>0</v>
      </c>
    </row>
    <row r="819" spans="18:19" x14ac:dyDescent="0.25">
      <c r="R819" s="2">
        <f>Таблица1[[#This Row],[Дата перевода]]-Таблица1[[#This Row],[Дата поступления]]</f>
        <v>0</v>
      </c>
      <c r="S819" s="2">
        <f>Таблица1[[#This Row],[Дата поступления]]-Таблица1[[#This Row],[Дата рождения]]</f>
        <v>0</v>
      </c>
    </row>
    <row r="820" spans="18:19" x14ac:dyDescent="0.25">
      <c r="R820" s="2">
        <f>Таблица1[[#This Row],[Дата перевода]]-Таблица1[[#This Row],[Дата поступления]]</f>
        <v>0</v>
      </c>
      <c r="S820" s="2">
        <f>Таблица1[[#This Row],[Дата поступления]]-Таблица1[[#This Row],[Дата рождения]]</f>
        <v>0</v>
      </c>
    </row>
    <row r="821" spans="18:19" x14ac:dyDescent="0.25">
      <c r="R821" s="2">
        <f>Таблица1[[#This Row],[Дата перевода]]-Таблица1[[#This Row],[Дата поступления]]</f>
        <v>0</v>
      </c>
      <c r="S821" s="2">
        <f>Таблица1[[#This Row],[Дата поступления]]-Таблица1[[#This Row],[Дата рождения]]</f>
        <v>0</v>
      </c>
    </row>
    <row r="822" spans="18:19" x14ac:dyDescent="0.25">
      <c r="R822" s="2">
        <f>Таблица1[[#This Row],[Дата перевода]]-Таблица1[[#This Row],[Дата поступления]]</f>
        <v>0</v>
      </c>
      <c r="S822" s="2">
        <f>Таблица1[[#This Row],[Дата поступления]]-Таблица1[[#This Row],[Дата рождения]]</f>
        <v>0</v>
      </c>
    </row>
    <row r="823" spans="18:19" x14ac:dyDescent="0.25">
      <c r="R823" s="2">
        <f>Таблица1[[#This Row],[Дата перевода]]-Таблица1[[#This Row],[Дата поступления]]</f>
        <v>0</v>
      </c>
      <c r="S823" s="2">
        <f>Таблица1[[#This Row],[Дата поступления]]-Таблица1[[#This Row],[Дата рождения]]</f>
        <v>0</v>
      </c>
    </row>
    <row r="824" spans="18:19" x14ac:dyDescent="0.25">
      <c r="R824" s="2">
        <f>Таблица1[[#This Row],[Дата перевода]]-Таблица1[[#This Row],[Дата поступления]]</f>
        <v>0</v>
      </c>
      <c r="S824" s="2">
        <f>Таблица1[[#This Row],[Дата поступления]]-Таблица1[[#This Row],[Дата рождения]]</f>
        <v>0</v>
      </c>
    </row>
    <row r="825" spans="18:19" x14ac:dyDescent="0.25">
      <c r="R825" s="2">
        <f>Таблица1[[#This Row],[Дата перевода]]-Таблица1[[#This Row],[Дата поступления]]</f>
        <v>0</v>
      </c>
      <c r="S825" s="2">
        <f>Таблица1[[#This Row],[Дата поступления]]-Таблица1[[#This Row],[Дата рождения]]</f>
        <v>0</v>
      </c>
    </row>
    <row r="826" spans="18:19" x14ac:dyDescent="0.25">
      <c r="R826" s="2">
        <f>Таблица1[[#This Row],[Дата перевода]]-Таблица1[[#This Row],[Дата поступления]]</f>
        <v>0</v>
      </c>
      <c r="S826" s="2">
        <f>Таблица1[[#This Row],[Дата поступления]]-Таблица1[[#This Row],[Дата рождения]]</f>
        <v>0</v>
      </c>
    </row>
    <row r="827" spans="18:19" x14ac:dyDescent="0.25">
      <c r="R827" s="2">
        <f>Таблица1[[#This Row],[Дата перевода]]-Таблица1[[#This Row],[Дата поступления]]</f>
        <v>0</v>
      </c>
      <c r="S827" s="2">
        <f>Таблица1[[#This Row],[Дата поступления]]-Таблица1[[#This Row],[Дата рождения]]</f>
        <v>0</v>
      </c>
    </row>
    <row r="828" spans="18:19" x14ac:dyDescent="0.25">
      <c r="R828" s="2">
        <f>Таблица1[[#This Row],[Дата перевода]]-Таблица1[[#This Row],[Дата поступления]]</f>
        <v>0</v>
      </c>
      <c r="S828" s="2">
        <f>Таблица1[[#This Row],[Дата поступления]]-Таблица1[[#This Row],[Дата рождения]]</f>
        <v>0</v>
      </c>
    </row>
    <row r="829" spans="18:19" x14ac:dyDescent="0.25">
      <c r="R829" s="2">
        <f>Таблица1[[#This Row],[Дата перевода]]-Таблица1[[#This Row],[Дата поступления]]</f>
        <v>0</v>
      </c>
      <c r="S829" s="2">
        <f>Таблица1[[#This Row],[Дата поступления]]-Таблица1[[#This Row],[Дата рождения]]</f>
        <v>0</v>
      </c>
    </row>
    <row r="830" spans="18:19" x14ac:dyDescent="0.25">
      <c r="R830" s="2">
        <f>Таблица1[[#This Row],[Дата перевода]]-Таблица1[[#This Row],[Дата поступления]]</f>
        <v>0</v>
      </c>
      <c r="S830" s="2">
        <f>Таблица1[[#This Row],[Дата поступления]]-Таблица1[[#This Row],[Дата рождения]]</f>
        <v>0</v>
      </c>
    </row>
    <row r="831" spans="18:19" x14ac:dyDescent="0.25">
      <c r="R831" s="2">
        <f>Таблица1[[#This Row],[Дата перевода]]-Таблица1[[#This Row],[Дата поступления]]</f>
        <v>0</v>
      </c>
      <c r="S831" s="2">
        <f>Таблица1[[#This Row],[Дата поступления]]-Таблица1[[#This Row],[Дата рождения]]</f>
        <v>0</v>
      </c>
    </row>
    <row r="832" spans="18:19" x14ac:dyDescent="0.25">
      <c r="R832" s="2">
        <f>Таблица1[[#This Row],[Дата перевода]]-Таблица1[[#This Row],[Дата поступления]]</f>
        <v>0</v>
      </c>
      <c r="S832" s="2">
        <f>Таблица1[[#This Row],[Дата поступления]]-Таблица1[[#This Row],[Дата рождения]]</f>
        <v>0</v>
      </c>
    </row>
    <row r="833" spans="18:19" x14ac:dyDescent="0.25">
      <c r="R833" s="2">
        <f>Таблица1[[#This Row],[Дата перевода]]-Таблица1[[#This Row],[Дата поступления]]</f>
        <v>0</v>
      </c>
      <c r="S833" s="2">
        <f>Таблица1[[#This Row],[Дата поступления]]-Таблица1[[#This Row],[Дата рождения]]</f>
        <v>0</v>
      </c>
    </row>
    <row r="834" spans="18:19" x14ac:dyDescent="0.25">
      <c r="R834" s="2">
        <f>Таблица1[[#This Row],[Дата перевода]]-Таблица1[[#This Row],[Дата поступления]]</f>
        <v>0</v>
      </c>
      <c r="S834" s="2">
        <f>Таблица1[[#This Row],[Дата поступления]]-Таблица1[[#This Row],[Дата рождения]]</f>
        <v>0</v>
      </c>
    </row>
    <row r="835" spans="18:19" x14ac:dyDescent="0.25">
      <c r="R835" s="2">
        <f>Таблица1[[#This Row],[Дата перевода]]-Таблица1[[#This Row],[Дата поступления]]</f>
        <v>0</v>
      </c>
      <c r="S835" s="2">
        <f>Таблица1[[#This Row],[Дата поступления]]-Таблица1[[#This Row],[Дата рождения]]</f>
        <v>0</v>
      </c>
    </row>
    <row r="836" spans="18:19" x14ac:dyDescent="0.25">
      <c r="R836" s="2">
        <f>Таблица1[[#This Row],[Дата перевода]]-Таблица1[[#This Row],[Дата поступления]]</f>
        <v>0</v>
      </c>
      <c r="S836" s="2">
        <f>Таблица1[[#This Row],[Дата поступления]]-Таблица1[[#This Row],[Дата рождения]]</f>
        <v>0</v>
      </c>
    </row>
    <row r="837" spans="18:19" x14ac:dyDescent="0.25">
      <c r="R837" s="2">
        <f>Таблица1[[#This Row],[Дата перевода]]-Таблица1[[#This Row],[Дата поступления]]</f>
        <v>0</v>
      </c>
      <c r="S837" s="2">
        <f>Таблица1[[#This Row],[Дата поступления]]-Таблица1[[#This Row],[Дата рождения]]</f>
        <v>0</v>
      </c>
    </row>
    <row r="838" spans="18:19" x14ac:dyDescent="0.25">
      <c r="R838" s="2">
        <f>Таблица1[[#This Row],[Дата перевода]]-Таблица1[[#This Row],[Дата поступления]]</f>
        <v>0</v>
      </c>
      <c r="S838" s="2">
        <f>Таблица1[[#This Row],[Дата поступления]]-Таблица1[[#This Row],[Дата рождения]]</f>
        <v>0</v>
      </c>
    </row>
    <row r="839" spans="18:19" x14ac:dyDescent="0.25">
      <c r="R839" s="2">
        <f>Таблица1[[#This Row],[Дата перевода]]-Таблица1[[#This Row],[Дата поступления]]</f>
        <v>0</v>
      </c>
      <c r="S839" s="2">
        <f>Таблица1[[#This Row],[Дата поступления]]-Таблица1[[#This Row],[Дата рождения]]</f>
        <v>0</v>
      </c>
    </row>
    <row r="840" spans="18:19" x14ac:dyDescent="0.25">
      <c r="R840" s="2">
        <f>Таблица1[[#This Row],[Дата перевода]]-Таблица1[[#This Row],[Дата поступления]]</f>
        <v>0</v>
      </c>
      <c r="S840" s="2">
        <f>Таблица1[[#This Row],[Дата поступления]]-Таблица1[[#This Row],[Дата рождения]]</f>
        <v>0</v>
      </c>
    </row>
    <row r="841" spans="18:19" x14ac:dyDescent="0.25">
      <c r="R841" s="2">
        <f>Таблица1[[#This Row],[Дата перевода]]-Таблица1[[#This Row],[Дата поступления]]</f>
        <v>0</v>
      </c>
      <c r="S841" s="2">
        <f>Таблица1[[#This Row],[Дата поступления]]-Таблица1[[#This Row],[Дата рождения]]</f>
        <v>0</v>
      </c>
    </row>
    <row r="842" spans="18:19" x14ac:dyDescent="0.25">
      <c r="R842" s="2">
        <f>Таблица1[[#This Row],[Дата перевода]]-Таблица1[[#This Row],[Дата поступления]]</f>
        <v>0</v>
      </c>
      <c r="S842" s="2">
        <f>Таблица1[[#This Row],[Дата поступления]]-Таблица1[[#This Row],[Дата рождения]]</f>
        <v>0</v>
      </c>
    </row>
    <row r="843" spans="18:19" x14ac:dyDescent="0.25">
      <c r="R843" s="2">
        <f>Таблица1[[#This Row],[Дата перевода]]-Таблица1[[#This Row],[Дата поступления]]</f>
        <v>0</v>
      </c>
      <c r="S843" s="2">
        <f>Таблица1[[#This Row],[Дата поступления]]-Таблица1[[#This Row],[Дата рождения]]</f>
        <v>0</v>
      </c>
    </row>
    <row r="844" spans="18:19" x14ac:dyDescent="0.25">
      <c r="R844" s="2">
        <f>Таблица1[[#This Row],[Дата перевода]]-Таблица1[[#This Row],[Дата поступления]]</f>
        <v>0</v>
      </c>
      <c r="S844" s="2">
        <f>Таблица1[[#This Row],[Дата поступления]]-Таблица1[[#This Row],[Дата рождения]]</f>
        <v>0</v>
      </c>
    </row>
    <row r="845" spans="18:19" x14ac:dyDescent="0.25">
      <c r="R845" s="2">
        <f>Таблица1[[#This Row],[Дата перевода]]-Таблица1[[#This Row],[Дата поступления]]</f>
        <v>0</v>
      </c>
      <c r="S845" s="2">
        <f>Таблица1[[#This Row],[Дата поступления]]-Таблица1[[#This Row],[Дата рождения]]</f>
        <v>0</v>
      </c>
    </row>
    <row r="846" spans="18:19" x14ac:dyDescent="0.25">
      <c r="R846" s="2">
        <f>Таблица1[[#This Row],[Дата перевода]]-Таблица1[[#This Row],[Дата поступления]]</f>
        <v>0</v>
      </c>
      <c r="S846" s="2">
        <f>Таблица1[[#This Row],[Дата поступления]]-Таблица1[[#This Row],[Дата рождения]]</f>
        <v>0</v>
      </c>
    </row>
    <row r="847" spans="18:19" x14ac:dyDescent="0.25">
      <c r="R847" s="2">
        <f>Таблица1[[#This Row],[Дата перевода]]-Таблица1[[#This Row],[Дата поступления]]</f>
        <v>0</v>
      </c>
      <c r="S847" s="2">
        <f>Таблица1[[#This Row],[Дата поступления]]-Таблица1[[#This Row],[Дата рождения]]</f>
        <v>0</v>
      </c>
    </row>
    <row r="848" spans="18:19" x14ac:dyDescent="0.25">
      <c r="R848" s="2">
        <f>Таблица1[[#This Row],[Дата перевода]]-Таблица1[[#This Row],[Дата поступления]]</f>
        <v>0</v>
      </c>
      <c r="S848" s="2">
        <f>Таблица1[[#This Row],[Дата поступления]]-Таблица1[[#This Row],[Дата рождения]]</f>
        <v>0</v>
      </c>
    </row>
    <row r="849" spans="18:19" x14ac:dyDescent="0.25">
      <c r="R849" s="2">
        <f>Таблица1[[#This Row],[Дата перевода]]-Таблица1[[#This Row],[Дата поступления]]</f>
        <v>0</v>
      </c>
      <c r="S849" s="2">
        <f>Таблица1[[#This Row],[Дата поступления]]-Таблица1[[#This Row],[Дата рождения]]</f>
        <v>0</v>
      </c>
    </row>
    <row r="850" spans="18:19" x14ac:dyDescent="0.25">
      <c r="R850" s="2">
        <f>Таблица1[[#This Row],[Дата перевода]]-Таблица1[[#This Row],[Дата поступления]]</f>
        <v>0</v>
      </c>
      <c r="S850" s="2">
        <f>Таблица1[[#This Row],[Дата поступления]]-Таблица1[[#This Row],[Дата рождения]]</f>
        <v>0</v>
      </c>
    </row>
    <row r="851" spans="18:19" x14ac:dyDescent="0.25">
      <c r="R851" s="2">
        <f>Таблица1[[#This Row],[Дата перевода]]-Таблица1[[#This Row],[Дата поступления]]</f>
        <v>0</v>
      </c>
      <c r="S851" s="2">
        <f>Таблица1[[#This Row],[Дата поступления]]-Таблица1[[#This Row],[Дата рождения]]</f>
        <v>0</v>
      </c>
    </row>
    <row r="852" spans="18:19" x14ac:dyDescent="0.25">
      <c r="R852" s="2">
        <f>Таблица1[[#This Row],[Дата перевода]]-Таблица1[[#This Row],[Дата поступления]]</f>
        <v>0</v>
      </c>
      <c r="S852" s="2">
        <f>Таблица1[[#This Row],[Дата поступления]]-Таблица1[[#This Row],[Дата рождения]]</f>
        <v>0</v>
      </c>
    </row>
    <row r="853" spans="18:19" x14ac:dyDescent="0.25">
      <c r="R853" s="2">
        <f>Таблица1[[#This Row],[Дата перевода]]-Таблица1[[#This Row],[Дата поступления]]</f>
        <v>0</v>
      </c>
      <c r="S853" s="2">
        <f>Таблица1[[#This Row],[Дата поступления]]-Таблица1[[#This Row],[Дата рождения]]</f>
        <v>0</v>
      </c>
    </row>
    <row r="854" spans="18:19" x14ac:dyDescent="0.25">
      <c r="R854" s="2">
        <f>Таблица1[[#This Row],[Дата перевода]]-Таблица1[[#This Row],[Дата поступления]]</f>
        <v>0</v>
      </c>
      <c r="S854" s="2">
        <f>Таблица1[[#This Row],[Дата поступления]]-Таблица1[[#This Row],[Дата рождения]]</f>
        <v>0</v>
      </c>
    </row>
    <row r="855" spans="18:19" x14ac:dyDescent="0.25">
      <c r="R855" s="2">
        <f>Таблица1[[#This Row],[Дата перевода]]-Таблица1[[#This Row],[Дата поступления]]</f>
        <v>0</v>
      </c>
      <c r="S855" s="2">
        <f>Таблица1[[#This Row],[Дата поступления]]-Таблица1[[#This Row],[Дата рождения]]</f>
        <v>0</v>
      </c>
    </row>
    <row r="856" spans="18:19" x14ac:dyDescent="0.25">
      <c r="R856" s="2">
        <f>Таблица1[[#This Row],[Дата перевода]]-Таблица1[[#This Row],[Дата поступления]]</f>
        <v>0</v>
      </c>
      <c r="S856" s="2">
        <f>Таблица1[[#This Row],[Дата поступления]]-Таблица1[[#This Row],[Дата рождения]]</f>
        <v>0</v>
      </c>
    </row>
    <row r="857" spans="18:19" x14ac:dyDescent="0.25">
      <c r="R857" s="2">
        <f>Таблица1[[#This Row],[Дата перевода]]-Таблица1[[#This Row],[Дата поступления]]</f>
        <v>0</v>
      </c>
      <c r="S857" s="2">
        <f>Таблица1[[#This Row],[Дата поступления]]-Таблица1[[#This Row],[Дата рождения]]</f>
        <v>0</v>
      </c>
    </row>
    <row r="858" spans="18:19" x14ac:dyDescent="0.25">
      <c r="R858" s="2">
        <f>Таблица1[[#This Row],[Дата перевода]]-Таблица1[[#This Row],[Дата поступления]]</f>
        <v>0</v>
      </c>
      <c r="S858" s="2">
        <f>Таблица1[[#This Row],[Дата поступления]]-Таблица1[[#This Row],[Дата рождения]]</f>
        <v>0</v>
      </c>
    </row>
    <row r="859" spans="18:19" x14ac:dyDescent="0.25">
      <c r="R859" s="2">
        <f>Таблица1[[#This Row],[Дата перевода]]-Таблица1[[#This Row],[Дата поступления]]</f>
        <v>0</v>
      </c>
      <c r="S859" s="2">
        <f>Таблица1[[#This Row],[Дата поступления]]-Таблица1[[#This Row],[Дата рождения]]</f>
        <v>0</v>
      </c>
    </row>
    <row r="860" spans="18:19" x14ac:dyDescent="0.25">
      <c r="R860" s="2">
        <f>Таблица1[[#This Row],[Дата перевода]]-Таблица1[[#This Row],[Дата поступления]]</f>
        <v>0</v>
      </c>
      <c r="S860" s="2">
        <f>Таблица1[[#This Row],[Дата поступления]]-Таблица1[[#This Row],[Дата рождения]]</f>
        <v>0</v>
      </c>
    </row>
    <row r="861" spans="18:19" x14ac:dyDescent="0.25">
      <c r="R861" s="2">
        <f>Таблица1[[#This Row],[Дата перевода]]-Таблица1[[#This Row],[Дата поступления]]</f>
        <v>0</v>
      </c>
      <c r="S861" s="2">
        <f>Таблица1[[#This Row],[Дата поступления]]-Таблица1[[#This Row],[Дата рождения]]</f>
        <v>0</v>
      </c>
    </row>
    <row r="862" spans="18:19" x14ac:dyDescent="0.25">
      <c r="R862" s="2">
        <f>Таблица1[[#This Row],[Дата перевода]]-Таблица1[[#This Row],[Дата поступления]]</f>
        <v>0</v>
      </c>
      <c r="S862" s="2">
        <f>Таблица1[[#This Row],[Дата поступления]]-Таблица1[[#This Row],[Дата рождения]]</f>
        <v>0</v>
      </c>
    </row>
    <row r="863" spans="18:19" x14ac:dyDescent="0.25">
      <c r="R863" s="2">
        <f>Таблица1[[#This Row],[Дата перевода]]-Таблица1[[#This Row],[Дата поступления]]</f>
        <v>0</v>
      </c>
      <c r="S863" s="2">
        <f>Таблица1[[#This Row],[Дата поступления]]-Таблица1[[#This Row],[Дата рождения]]</f>
        <v>0</v>
      </c>
    </row>
    <row r="864" spans="18:19" x14ac:dyDescent="0.25">
      <c r="R864" s="2">
        <f>Таблица1[[#This Row],[Дата перевода]]-Таблица1[[#This Row],[Дата поступления]]</f>
        <v>0</v>
      </c>
      <c r="S864" s="2">
        <f>Таблица1[[#This Row],[Дата поступления]]-Таблица1[[#This Row],[Дата рождения]]</f>
        <v>0</v>
      </c>
    </row>
    <row r="865" spans="18:19" x14ac:dyDescent="0.25">
      <c r="R865" s="2">
        <f>Таблица1[[#This Row],[Дата перевода]]-Таблица1[[#This Row],[Дата поступления]]</f>
        <v>0</v>
      </c>
      <c r="S865" s="2">
        <f>Таблица1[[#This Row],[Дата поступления]]-Таблица1[[#This Row],[Дата рождения]]</f>
        <v>0</v>
      </c>
    </row>
    <row r="866" spans="18:19" x14ac:dyDescent="0.25">
      <c r="R866" s="2">
        <f>Таблица1[[#This Row],[Дата перевода]]-Таблица1[[#This Row],[Дата поступления]]</f>
        <v>0</v>
      </c>
      <c r="S866" s="2">
        <f>Таблица1[[#This Row],[Дата поступления]]-Таблица1[[#This Row],[Дата рождения]]</f>
        <v>0</v>
      </c>
    </row>
    <row r="867" spans="18:19" x14ac:dyDescent="0.25">
      <c r="R867" s="2">
        <f>Таблица1[[#This Row],[Дата перевода]]-Таблица1[[#This Row],[Дата поступления]]</f>
        <v>0</v>
      </c>
      <c r="S867" s="2">
        <f>Таблица1[[#This Row],[Дата поступления]]-Таблица1[[#This Row],[Дата рождения]]</f>
        <v>0</v>
      </c>
    </row>
    <row r="868" spans="18:19" x14ac:dyDescent="0.25">
      <c r="R868" s="2">
        <f>Таблица1[[#This Row],[Дата перевода]]-Таблица1[[#This Row],[Дата поступления]]</f>
        <v>0</v>
      </c>
      <c r="S868" s="2">
        <f>Таблица1[[#This Row],[Дата поступления]]-Таблица1[[#This Row],[Дата рождения]]</f>
        <v>0</v>
      </c>
    </row>
    <row r="869" spans="18:19" x14ac:dyDescent="0.25">
      <c r="R869" s="2">
        <f>Таблица1[[#This Row],[Дата перевода]]-Таблица1[[#This Row],[Дата поступления]]</f>
        <v>0</v>
      </c>
      <c r="S869" s="2">
        <f>Таблица1[[#This Row],[Дата поступления]]-Таблица1[[#This Row],[Дата рождения]]</f>
        <v>0</v>
      </c>
    </row>
    <row r="870" spans="18:19" x14ac:dyDescent="0.25">
      <c r="R870" s="2">
        <f>Таблица1[[#This Row],[Дата перевода]]-Таблица1[[#This Row],[Дата поступления]]</f>
        <v>0</v>
      </c>
      <c r="S870" s="2">
        <f>Таблица1[[#This Row],[Дата поступления]]-Таблица1[[#This Row],[Дата рождения]]</f>
        <v>0</v>
      </c>
    </row>
    <row r="871" spans="18:19" x14ac:dyDescent="0.25">
      <c r="R871" s="2">
        <f>Таблица1[[#This Row],[Дата перевода]]-Таблица1[[#This Row],[Дата поступления]]</f>
        <v>0</v>
      </c>
      <c r="S871" s="2">
        <f>Таблица1[[#This Row],[Дата поступления]]-Таблица1[[#This Row],[Дата рождения]]</f>
        <v>0</v>
      </c>
    </row>
    <row r="872" spans="18:19" x14ac:dyDescent="0.25">
      <c r="R872" s="2">
        <f>Таблица1[[#This Row],[Дата перевода]]-Таблица1[[#This Row],[Дата поступления]]</f>
        <v>0</v>
      </c>
      <c r="S872" s="2">
        <f>Таблица1[[#This Row],[Дата поступления]]-Таблица1[[#This Row],[Дата рождения]]</f>
        <v>0</v>
      </c>
    </row>
    <row r="873" spans="18:19" x14ac:dyDescent="0.25">
      <c r="R873" s="2">
        <f>Таблица1[[#This Row],[Дата перевода]]-Таблица1[[#This Row],[Дата поступления]]</f>
        <v>0</v>
      </c>
      <c r="S873" s="2">
        <f>Таблица1[[#This Row],[Дата поступления]]-Таблица1[[#This Row],[Дата рождения]]</f>
        <v>0</v>
      </c>
    </row>
    <row r="874" spans="18:19" x14ac:dyDescent="0.25">
      <c r="R874" s="2">
        <f>Таблица1[[#This Row],[Дата перевода]]-Таблица1[[#This Row],[Дата поступления]]</f>
        <v>0</v>
      </c>
      <c r="S874" s="2">
        <f>Таблица1[[#This Row],[Дата поступления]]-Таблица1[[#This Row],[Дата рождения]]</f>
        <v>0</v>
      </c>
    </row>
    <row r="875" spans="18:19" x14ac:dyDescent="0.25">
      <c r="R875" s="2">
        <f>Таблица1[[#This Row],[Дата перевода]]-Таблица1[[#This Row],[Дата поступления]]</f>
        <v>0</v>
      </c>
      <c r="S875" s="2">
        <f>Таблица1[[#This Row],[Дата поступления]]-Таблица1[[#This Row],[Дата рождения]]</f>
        <v>0</v>
      </c>
    </row>
    <row r="876" spans="18:19" x14ac:dyDescent="0.25">
      <c r="R876" s="2">
        <f>Таблица1[[#This Row],[Дата перевода]]-Таблица1[[#This Row],[Дата поступления]]</f>
        <v>0</v>
      </c>
      <c r="S876" s="2">
        <f>Таблица1[[#This Row],[Дата поступления]]-Таблица1[[#This Row],[Дата рождения]]</f>
        <v>0</v>
      </c>
    </row>
    <row r="877" spans="18:19" x14ac:dyDescent="0.25">
      <c r="R877" s="2">
        <f>Таблица1[[#This Row],[Дата перевода]]-Таблица1[[#This Row],[Дата поступления]]</f>
        <v>0</v>
      </c>
      <c r="S877" s="2">
        <f>Таблица1[[#This Row],[Дата поступления]]-Таблица1[[#This Row],[Дата рождения]]</f>
        <v>0</v>
      </c>
    </row>
    <row r="878" spans="18:19" x14ac:dyDescent="0.25">
      <c r="R878" s="2">
        <f>Таблица1[[#This Row],[Дата перевода]]-Таблица1[[#This Row],[Дата поступления]]</f>
        <v>0</v>
      </c>
      <c r="S878" s="2">
        <f>Таблица1[[#This Row],[Дата поступления]]-Таблица1[[#This Row],[Дата рождения]]</f>
        <v>0</v>
      </c>
    </row>
    <row r="879" spans="18:19" x14ac:dyDescent="0.25">
      <c r="R879" s="2">
        <f>Таблица1[[#This Row],[Дата перевода]]-Таблица1[[#This Row],[Дата поступления]]</f>
        <v>0</v>
      </c>
      <c r="S879" s="2">
        <f>Таблица1[[#This Row],[Дата поступления]]-Таблица1[[#This Row],[Дата рождения]]</f>
        <v>0</v>
      </c>
    </row>
    <row r="880" spans="18:19" x14ac:dyDescent="0.25">
      <c r="R880" s="2">
        <f>Таблица1[[#This Row],[Дата перевода]]-Таблица1[[#This Row],[Дата поступления]]</f>
        <v>0</v>
      </c>
      <c r="S880" s="2">
        <f>Таблица1[[#This Row],[Дата поступления]]-Таблица1[[#This Row],[Дата рождения]]</f>
        <v>0</v>
      </c>
    </row>
    <row r="881" spans="18:19" x14ac:dyDescent="0.25">
      <c r="R881" s="2">
        <f>Таблица1[[#This Row],[Дата перевода]]-Таблица1[[#This Row],[Дата поступления]]</f>
        <v>0</v>
      </c>
      <c r="S881" s="2">
        <f>Таблица1[[#This Row],[Дата поступления]]-Таблица1[[#This Row],[Дата рождения]]</f>
        <v>0</v>
      </c>
    </row>
    <row r="882" spans="18:19" x14ac:dyDescent="0.25">
      <c r="R882" s="2">
        <f>Таблица1[[#This Row],[Дата перевода]]-Таблица1[[#This Row],[Дата поступления]]</f>
        <v>0</v>
      </c>
      <c r="S882" s="2">
        <f>Таблица1[[#This Row],[Дата поступления]]-Таблица1[[#This Row],[Дата рождения]]</f>
        <v>0</v>
      </c>
    </row>
    <row r="883" spans="18:19" x14ac:dyDescent="0.25">
      <c r="R883" s="2">
        <f>Таблица1[[#This Row],[Дата перевода]]-Таблица1[[#This Row],[Дата поступления]]</f>
        <v>0</v>
      </c>
      <c r="S883" s="2">
        <f>Таблица1[[#This Row],[Дата поступления]]-Таблица1[[#This Row],[Дата рождения]]</f>
        <v>0</v>
      </c>
    </row>
    <row r="884" spans="18:19" x14ac:dyDescent="0.25">
      <c r="R884" s="2">
        <f>Таблица1[[#This Row],[Дата перевода]]-Таблица1[[#This Row],[Дата поступления]]</f>
        <v>0</v>
      </c>
      <c r="S884" s="2">
        <f>Таблица1[[#This Row],[Дата поступления]]-Таблица1[[#This Row],[Дата рождения]]</f>
        <v>0</v>
      </c>
    </row>
    <row r="885" spans="18:19" x14ac:dyDescent="0.25">
      <c r="R885" s="2">
        <f>Таблица1[[#This Row],[Дата перевода]]-Таблица1[[#This Row],[Дата поступления]]</f>
        <v>0</v>
      </c>
      <c r="S885" s="2">
        <f>Таблица1[[#This Row],[Дата поступления]]-Таблица1[[#This Row],[Дата рождения]]</f>
        <v>0</v>
      </c>
    </row>
    <row r="886" spans="18:19" x14ac:dyDescent="0.25">
      <c r="R886" s="2">
        <f>Таблица1[[#This Row],[Дата перевода]]-Таблица1[[#This Row],[Дата поступления]]</f>
        <v>0</v>
      </c>
      <c r="S886" s="2">
        <f>Таблица1[[#This Row],[Дата поступления]]-Таблица1[[#This Row],[Дата рождения]]</f>
        <v>0</v>
      </c>
    </row>
    <row r="887" spans="18:19" x14ac:dyDescent="0.25">
      <c r="R887" s="2">
        <f>Таблица1[[#This Row],[Дата перевода]]-Таблица1[[#This Row],[Дата поступления]]</f>
        <v>0</v>
      </c>
      <c r="S887" s="2">
        <f>Таблица1[[#This Row],[Дата поступления]]-Таблица1[[#This Row],[Дата рождения]]</f>
        <v>0</v>
      </c>
    </row>
    <row r="888" spans="18:19" x14ac:dyDescent="0.25">
      <c r="R888" s="2">
        <f>Таблица1[[#This Row],[Дата перевода]]-Таблица1[[#This Row],[Дата поступления]]</f>
        <v>0</v>
      </c>
      <c r="S888" s="2">
        <f>Таблица1[[#This Row],[Дата поступления]]-Таблица1[[#This Row],[Дата рождения]]</f>
        <v>0</v>
      </c>
    </row>
    <row r="889" spans="18:19" x14ac:dyDescent="0.25">
      <c r="R889" s="2">
        <f>Таблица1[[#This Row],[Дата перевода]]-Таблица1[[#This Row],[Дата поступления]]</f>
        <v>0</v>
      </c>
      <c r="S889" s="2">
        <f>Таблица1[[#This Row],[Дата поступления]]-Таблица1[[#This Row],[Дата рождения]]</f>
        <v>0</v>
      </c>
    </row>
    <row r="890" spans="18:19" x14ac:dyDescent="0.25">
      <c r="R890" s="2">
        <f>Таблица1[[#This Row],[Дата перевода]]-Таблица1[[#This Row],[Дата поступления]]</f>
        <v>0</v>
      </c>
      <c r="S890" s="2">
        <f>Таблица1[[#This Row],[Дата поступления]]-Таблица1[[#This Row],[Дата рождения]]</f>
        <v>0</v>
      </c>
    </row>
    <row r="891" spans="18:19" x14ac:dyDescent="0.25">
      <c r="R891" s="2">
        <f>Таблица1[[#This Row],[Дата перевода]]-Таблица1[[#This Row],[Дата поступления]]</f>
        <v>0</v>
      </c>
      <c r="S891" s="2">
        <f>Таблица1[[#This Row],[Дата поступления]]-Таблица1[[#This Row],[Дата рождения]]</f>
        <v>0</v>
      </c>
    </row>
    <row r="892" spans="18:19" x14ac:dyDescent="0.25">
      <c r="R892" s="2">
        <f>Таблица1[[#This Row],[Дата перевода]]-Таблица1[[#This Row],[Дата поступления]]</f>
        <v>0</v>
      </c>
      <c r="S892" s="2">
        <f>Таблица1[[#This Row],[Дата поступления]]-Таблица1[[#This Row],[Дата рождения]]</f>
        <v>0</v>
      </c>
    </row>
    <row r="893" spans="18:19" x14ac:dyDescent="0.25">
      <c r="R893" s="2">
        <f>Таблица1[[#This Row],[Дата перевода]]-Таблица1[[#This Row],[Дата поступления]]</f>
        <v>0</v>
      </c>
      <c r="S893" s="2">
        <f>Таблица1[[#This Row],[Дата поступления]]-Таблица1[[#This Row],[Дата рождения]]</f>
        <v>0</v>
      </c>
    </row>
    <row r="894" spans="18:19" x14ac:dyDescent="0.25">
      <c r="R894" s="2">
        <f>Таблица1[[#This Row],[Дата перевода]]-Таблица1[[#This Row],[Дата поступления]]</f>
        <v>0</v>
      </c>
      <c r="S894" s="2">
        <f>Таблица1[[#This Row],[Дата поступления]]-Таблица1[[#This Row],[Дата рождения]]</f>
        <v>0</v>
      </c>
    </row>
    <row r="895" spans="18:19" x14ac:dyDescent="0.25">
      <c r="R895" s="2">
        <f>Таблица1[[#This Row],[Дата перевода]]-Таблица1[[#This Row],[Дата поступления]]</f>
        <v>0</v>
      </c>
      <c r="S895" s="2">
        <f>Таблица1[[#This Row],[Дата поступления]]-Таблица1[[#This Row],[Дата рождения]]</f>
        <v>0</v>
      </c>
    </row>
    <row r="896" spans="18:19" x14ac:dyDescent="0.25">
      <c r="R896" s="2">
        <f>Таблица1[[#This Row],[Дата перевода]]-Таблица1[[#This Row],[Дата поступления]]</f>
        <v>0</v>
      </c>
      <c r="S896" s="2">
        <f>Таблица1[[#This Row],[Дата поступления]]-Таблица1[[#This Row],[Дата рождения]]</f>
        <v>0</v>
      </c>
    </row>
    <row r="897" spans="18:19" x14ac:dyDescent="0.25">
      <c r="R897" s="2">
        <f>Таблица1[[#This Row],[Дата перевода]]-Таблица1[[#This Row],[Дата поступления]]</f>
        <v>0</v>
      </c>
      <c r="S897" s="2">
        <f>Таблица1[[#This Row],[Дата поступления]]-Таблица1[[#This Row],[Дата рождения]]</f>
        <v>0</v>
      </c>
    </row>
    <row r="898" spans="18:19" x14ac:dyDescent="0.25">
      <c r="R898" s="2">
        <f>Таблица1[[#This Row],[Дата перевода]]-Таблица1[[#This Row],[Дата поступления]]</f>
        <v>0</v>
      </c>
      <c r="S898" s="2">
        <f>Таблица1[[#This Row],[Дата поступления]]-Таблица1[[#This Row],[Дата рождения]]</f>
        <v>0</v>
      </c>
    </row>
    <row r="899" spans="18:19" x14ac:dyDescent="0.25">
      <c r="R899" s="2">
        <f>Таблица1[[#This Row],[Дата перевода]]-Таблица1[[#This Row],[Дата поступления]]</f>
        <v>0</v>
      </c>
      <c r="S899" s="2">
        <f>Таблица1[[#This Row],[Дата поступления]]-Таблица1[[#This Row],[Дата рождения]]</f>
        <v>0</v>
      </c>
    </row>
    <row r="900" spans="18:19" x14ac:dyDescent="0.25">
      <c r="R900" s="2">
        <f>Таблица1[[#This Row],[Дата перевода]]-Таблица1[[#This Row],[Дата поступления]]</f>
        <v>0</v>
      </c>
      <c r="S900" s="2">
        <f>Таблица1[[#This Row],[Дата поступления]]-Таблица1[[#This Row],[Дата рождения]]</f>
        <v>0</v>
      </c>
    </row>
    <row r="901" spans="18:19" x14ac:dyDescent="0.25">
      <c r="R901" s="2">
        <f>Таблица1[[#This Row],[Дата перевода]]-Таблица1[[#This Row],[Дата поступления]]</f>
        <v>0</v>
      </c>
      <c r="S901" s="2">
        <f>Таблица1[[#This Row],[Дата поступления]]-Таблица1[[#This Row],[Дата рождения]]</f>
        <v>0</v>
      </c>
    </row>
    <row r="902" spans="18:19" x14ac:dyDescent="0.25">
      <c r="R902" s="2">
        <f>Таблица1[[#This Row],[Дата перевода]]-Таблица1[[#This Row],[Дата поступления]]</f>
        <v>0</v>
      </c>
      <c r="S902" s="2">
        <f>Таблица1[[#This Row],[Дата поступления]]-Таблица1[[#This Row],[Дата рождения]]</f>
        <v>0</v>
      </c>
    </row>
    <row r="903" spans="18:19" x14ac:dyDescent="0.25">
      <c r="R903" s="2">
        <f>Таблица1[[#This Row],[Дата перевода]]-Таблица1[[#This Row],[Дата поступления]]</f>
        <v>0</v>
      </c>
      <c r="S903" s="2">
        <f>Таблица1[[#This Row],[Дата поступления]]-Таблица1[[#This Row],[Дата рождения]]</f>
        <v>0</v>
      </c>
    </row>
    <row r="904" spans="18:19" x14ac:dyDescent="0.25">
      <c r="R904" s="2">
        <f>Таблица1[[#This Row],[Дата перевода]]-Таблица1[[#This Row],[Дата поступления]]</f>
        <v>0</v>
      </c>
      <c r="S904" s="2">
        <f>Таблица1[[#This Row],[Дата поступления]]-Таблица1[[#This Row],[Дата рождения]]</f>
        <v>0</v>
      </c>
    </row>
    <row r="905" spans="18:19" x14ac:dyDescent="0.25">
      <c r="R905" s="2">
        <f>Таблица1[[#This Row],[Дата перевода]]-Таблица1[[#This Row],[Дата поступления]]</f>
        <v>0</v>
      </c>
      <c r="S905" s="2">
        <f>Таблица1[[#This Row],[Дата поступления]]-Таблица1[[#This Row],[Дата рождения]]</f>
        <v>0</v>
      </c>
    </row>
    <row r="906" spans="18:19" x14ac:dyDescent="0.25">
      <c r="R906" s="2">
        <f>Таблица1[[#This Row],[Дата перевода]]-Таблица1[[#This Row],[Дата поступления]]</f>
        <v>0</v>
      </c>
      <c r="S906" s="2">
        <f>Таблица1[[#This Row],[Дата поступления]]-Таблица1[[#This Row],[Дата рождения]]</f>
        <v>0</v>
      </c>
    </row>
    <row r="907" spans="18:19" x14ac:dyDescent="0.25">
      <c r="R907" s="2">
        <f>Таблица1[[#This Row],[Дата перевода]]-Таблица1[[#This Row],[Дата поступления]]</f>
        <v>0</v>
      </c>
      <c r="S907" s="2">
        <f>Таблица1[[#This Row],[Дата поступления]]-Таблица1[[#This Row],[Дата рождения]]</f>
        <v>0</v>
      </c>
    </row>
    <row r="908" spans="18:19" x14ac:dyDescent="0.25">
      <c r="R908" s="2">
        <f>Таблица1[[#This Row],[Дата перевода]]-Таблица1[[#This Row],[Дата поступления]]</f>
        <v>0</v>
      </c>
      <c r="S908" s="2">
        <f>Таблица1[[#This Row],[Дата поступления]]-Таблица1[[#This Row],[Дата рождения]]</f>
        <v>0</v>
      </c>
    </row>
    <row r="909" spans="18:19" x14ac:dyDescent="0.25">
      <c r="R909" s="2">
        <f>Таблица1[[#This Row],[Дата перевода]]-Таблица1[[#This Row],[Дата поступления]]</f>
        <v>0</v>
      </c>
      <c r="S909" s="2">
        <f>Таблица1[[#This Row],[Дата поступления]]-Таблица1[[#This Row],[Дата рождения]]</f>
        <v>0</v>
      </c>
    </row>
    <row r="910" spans="18:19" x14ac:dyDescent="0.25">
      <c r="R910" s="2">
        <f>Таблица1[[#This Row],[Дата перевода]]-Таблица1[[#This Row],[Дата поступления]]</f>
        <v>0</v>
      </c>
      <c r="S910" s="2">
        <f>Таблица1[[#This Row],[Дата поступления]]-Таблица1[[#This Row],[Дата рождения]]</f>
        <v>0</v>
      </c>
    </row>
    <row r="911" spans="18:19" x14ac:dyDescent="0.25">
      <c r="R911" s="2">
        <f>Таблица1[[#This Row],[Дата перевода]]-Таблица1[[#This Row],[Дата поступления]]</f>
        <v>0</v>
      </c>
      <c r="S911" s="2">
        <f>Таблица1[[#This Row],[Дата поступления]]-Таблица1[[#This Row],[Дата рождения]]</f>
        <v>0</v>
      </c>
    </row>
    <row r="912" spans="18:19" x14ac:dyDescent="0.25">
      <c r="R912" s="2">
        <f>Таблица1[[#This Row],[Дата перевода]]-Таблица1[[#This Row],[Дата поступления]]</f>
        <v>0</v>
      </c>
      <c r="S912" s="2">
        <f>Таблица1[[#This Row],[Дата поступления]]-Таблица1[[#This Row],[Дата рождения]]</f>
        <v>0</v>
      </c>
    </row>
    <row r="913" spans="18:19" x14ac:dyDescent="0.25">
      <c r="R913" s="2">
        <f>Таблица1[[#This Row],[Дата перевода]]-Таблица1[[#This Row],[Дата поступления]]</f>
        <v>0</v>
      </c>
      <c r="S913" s="2">
        <f>Таблица1[[#This Row],[Дата поступления]]-Таблица1[[#This Row],[Дата рождения]]</f>
        <v>0</v>
      </c>
    </row>
    <row r="914" spans="18:19" x14ac:dyDescent="0.25">
      <c r="R914" s="2">
        <f>Таблица1[[#This Row],[Дата перевода]]-Таблица1[[#This Row],[Дата поступления]]</f>
        <v>0</v>
      </c>
      <c r="S914" s="2">
        <f>Таблица1[[#This Row],[Дата поступления]]-Таблица1[[#This Row],[Дата рождения]]</f>
        <v>0</v>
      </c>
    </row>
    <row r="915" spans="18:19" x14ac:dyDescent="0.25">
      <c r="R915" s="2">
        <f>Таблица1[[#This Row],[Дата перевода]]-Таблица1[[#This Row],[Дата поступления]]</f>
        <v>0</v>
      </c>
      <c r="S915" s="2">
        <f>Таблица1[[#This Row],[Дата поступления]]-Таблица1[[#This Row],[Дата рождения]]</f>
        <v>0</v>
      </c>
    </row>
    <row r="916" spans="18:19" x14ac:dyDescent="0.25">
      <c r="R916" s="2">
        <f>Таблица1[[#This Row],[Дата перевода]]-Таблица1[[#This Row],[Дата поступления]]</f>
        <v>0</v>
      </c>
      <c r="S916" s="2">
        <f>Таблица1[[#This Row],[Дата поступления]]-Таблица1[[#This Row],[Дата рождения]]</f>
        <v>0</v>
      </c>
    </row>
    <row r="917" spans="18:19" x14ac:dyDescent="0.25">
      <c r="R917" s="2">
        <f>Таблица1[[#This Row],[Дата перевода]]-Таблица1[[#This Row],[Дата поступления]]</f>
        <v>0</v>
      </c>
      <c r="S917" s="2">
        <f>Таблица1[[#This Row],[Дата поступления]]-Таблица1[[#This Row],[Дата рождения]]</f>
        <v>0</v>
      </c>
    </row>
    <row r="918" spans="18:19" x14ac:dyDescent="0.25">
      <c r="R918" s="2">
        <f>Таблица1[[#This Row],[Дата перевода]]-Таблица1[[#This Row],[Дата поступления]]</f>
        <v>0</v>
      </c>
      <c r="S918" s="2">
        <f>Таблица1[[#This Row],[Дата поступления]]-Таблица1[[#This Row],[Дата рождения]]</f>
        <v>0</v>
      </c>
    </row>
    <row r="919" spans="18:19" x14ac:dyDescent="0.25">
      <c r="R919" s="2">
        <f>Таблица1[[#This Row],[Дата перевода]]-Таблица1[[#This Row],[Дата поступления]]</f>
        <v>0</v>
      </c>
      <c r="S919" s="2">
        <f>Таблица1[[#This Row],[Дата поступления]]-Таблица1[[#This Row],[Дата рождения]]</f>
        <v>0</v>
      </c>
    </row>
    <row r="920" spans="18:19" x14ac:dyDescent="0.25">
      <c r="R920" s="2">
        <f>Таблица1[[#This Row],[Дата перевода]]-Таблица1[[#This Row],[Дата поступления]]</f>
        <v>0</v>
      </c>
      <c r="S920" s="2">
        <f>Таблица1[[#This Row],[Дата поступления]]-Таблица1[[#This Row],[Дата рождения]]</f>
        <v>0</v>
      </c>
    </row>
    <row r="921" spans="18:19" x14ac:dyDescent="0.25">
      <c r="R921" s="2">
        <f>Таблица1[[#This Row],[Дата перевода]]-Таблица1[[#This Row],[Дата поступления]]</f>
        <v>0</v>
      </c>
      <c r="S921" s="2">
        <f>Таблица1[[#This Row],[Дата поступления]]-Таблица1[[#This Row],[Дата рождения]]</f>
        <v>0</v>
      </c>
    </row>
    <row r="922" spans="18:19" x14ac:dyDescent="0.25">
      <c r="R922" s="2">
        <f>Таблица1[[#This Row],[Дата перевода]]-Таблица1[[#This Row],[Дата поступления]]</f>
        <v>0</v>
      </c>
      <c r="S922" s="2">
        <f>Таблица1[[#This Row],[Дата поступления]]-Таблица1[[#This Row],[Дата рождения]]</f>
        <v>0</v>
      </c>
    </row>
    <row r="923" spans="18:19" x14ac:dyDescent="0.25">
      <c r="R923" s="2">
        <f>Таблица1[[#This Row],[Дата перевода]]-Таблица1[[#This Row],[Дата поступления]]</f>
        <v>0</v>
      </c>
      <c r="S923" s="2">
        <f>Таблица1[[#This Row],[Дата поступления]]-Таблица1[[#This Row],[Дата рождения]]</f>
        <v>0</v>
      </c>
    </row>
    <row r="924" spans="18:19" x14ac:dyDescent="0.25">
      <c r="R924" s="2">
        <f>Таблица1[[#This Row],[Дата перевода]]-Таблица1[[#This Row],[Дата поступления]]</f>
        <v>0</v>
      </c>
      <c r="S924" s="2">
        <f>Таблица1[[#This Row],[Дата поступления]]-Таблица1[[#This Row],[Дата рождения]]</f>
        <v>0</v>
      </c>
    </row>
    <row r="925" spans="18:19" x14ac:dyDescent="0.25">
      <c r="R925" s="2">
        <f>Таблица1[[#This Row],[Дата перевода]]-Таблица1[[#This Row],[Дата поступления]]</f>
        <v>0</v>
      </c>
      <c r="S925" s="2">
        <f>Таблица1[[#This Row],[Дата поступления]]-Таблица1[[#This Row],[Дата рождения]]</f>
        <v>0</v>
      </c>
    </row>
    <row r="926" spans="18:19" x14ac:dyDescent="0.25">
      <c r="R926" s="2">
        <f>Таблица1[[#This Row],[Дата перевода]]-Таблица1[[#This Row],[Дата поступления]]</f>
        <v>0</v>
      </c>
      <c r="S926" s="2">
        <f>Таблица1[[#This Row],[Дата поступления]]-Таблица1[[#This Row],[Дата рождения]]</f>
        <v>0</v>
      </c>
    </row>
    <row r="927" spans="18:19" x14ac:dyDescent="0.25">
      <c r="R927" s="2">
        <f>Таблица1[[#This Row],[Дата перевода]]-Таблица1[[#This Row],[Дата поступления]]</f>
        <v>0</v>
      </c>
      <c r="S927" s="2">
        <f>Таблица1[[#This Row],[Дата поступления]]-Таблица1[[#This Row],[Дата рождения]]</f>
        <v>0</v>
      </c>
    </row>
    <row r="928" spans="18:19" x14ac:dyDescent="0.25">
      <c r="R928" s="2">
        <f>Таблица1[[#This Row],[Дата перевода]]-Таблица1[[#This Row],[Дата поступления]]</f>
        <v>0</v>
      </c>
      <c r="S928" s="2">
        <f>Таблица1[[#This Row],[Дата поступления]]-Таблица1[[#This Row],[Дата рождения]]</f>
        <v>0</v>
      </c>
    </row>
    <row r="929" spans="18:19" x14ac:dyDescent="0.25">
      <c r="R929" s="2">
        <f>Таблица1[[#This Row],[Дата перевода]]-Таблица1[[#This Row],[Дата поступления]]</f>
        <v>0</v>
      </c>
      <c r="S929" s="2">
        <f>Таблица1[[#This Row],[Дата поступления]]-Таблица1[[#This Row],[Дата рождения]]</f>
        <v>0</v>
      </c>
    </row>
    <row r="930" spans="18:19" x14ac:dyDescent="0.25">
      <c r="R930" s="2">
        <f>Таблица1[[#This Row],[Дата перевода]]-Таблица1[[#This Row],[Дата поступления]]</f>
        <v>0</v>
      </c>
      <c r="S930" s="2">
        <f>Таблица1[[#This Row],[Дата поступления]]-Таблица1[[#This Row],[Дата рождения]]</f>
        <v>0</v>
      </c>
    </row>
    <row r="931" spans="18:19" x14ac:dyDescent="0.25">
      <c r="R931" s="2">
        <f>Таблица1[[#This Row],[Дата перевода]]-Таблица1[[#This Row],[Дата поступления]]</f>
        <v>0</v>
      </c>
      <c r="S931" s="2">
        <f>Таблица1[[#This Row],[Дата поступления]]-Таблица1[[#This Row],[Дата рождения]]</f>
        <v>0</v>
      </c>
    </row>
    <row r="932" spans="18:19" x14ac:dyDescent="0.25">
      <c r="R932" s="2">
        <f>Таблица1[[#This Row],[Дата перевода]]-Таблица1[[#This Row],[Дата поступления]]</f>
        <v>0</v>
      </c>
      <c r="S932" s="2">
        <f>Таблица1[[#This Row],[Дата поступления]]-Таблица1[[#This Row],[Дата рождения]]</f>
        <v>0</v>
      </c>
    </row>
    <row r="933" spans="18:19" x14ac:dyDescent="0.25">
      <c r="R933" s="2">
        <f>Таблица1[[#This Row],[Дата перевода]]-Таблица1[[#This Row],[Дата поступления]]</f>
        <v>0</v>
      </c>
      <c r="S933" s="2">
        <f>Таблица1[[#This Row],[Дата поступления]]-Таблица1[[#This Row],[Дата рождения]]</f>
        <v>0</v>
      </c>
    </row>
    <row r="934" spans="18:19" x14ac:dyDescent="0.25">
      <c r="R934" s="2">
        <f>Таблица1[[#This Row],[Дата перевода]]-Таблица1[[#This Row],[Дата поступления]]</f>
        <v>0</v>
      </c>
      <c r="S934" s="2">
        <f>Таблица1[[#This Row],[Дата поступления]]-Таблица1[[#This Row],[Дата рождения]]</f>
        <v>0</v>
      </c>
    </row>
    <row r="935" spans="18:19" x14ac:dyDescent="0.25">
      <c r="R935" s="2">
        <f>Таблица1[[#This Row],[Дата перевода]]-Таблица1[[#This Row],[Дата поступления]]</f>
        <v>0</v>
      </c>
      <c r="S935" s="2">
        <f>Таблица1[[#This Row],[Дата поступления]]-Таблица1[[#This Row],[Дата рождения]]</f>
        <v>0</v>
      </c>
    </row>
    <row r="936" spans="18:19" x14ac:dyDescent="0.25">
      <c r="R936" s="2">
        <f>Таблица1[[#This Row],[Дата перевода]]-Таблица1[[#This Row],[Дата поступления]]</f>
        <v>0</v>
      </c>
      <c r="S936" s="2">
        <f>Таблица1[[#This Row],[Дата поступления]]-Таблица1[[#This Row],[Дата рождения]]</f>
        <v>0</v>
      </c>
    </row>
    <row r="937" spans="18:19" x14ac:dyDescent="0.25">
      <c r="R937" s="2">
        <f>Таблица1[[#This Row],[Дата перевода]]-Таблица1[[#This Row],[Дата поступления]]</f>
        <v>0</v>
      </c>
      <c r="S937" s="2">
        <f>Таблица1[[#This Row],[Дата поступления]]-Таблица1[[#This Row],[Дата рождения]]</f>
        <v>0</v>
      </c>
    </row>
    <row r="938" spans="18:19" x14ac:dyDescent="0.25">
      <c r="R938" s="2">
        <f>Таблица1[[#This Row],[Дата перевода]]-Таблица1[[#This Row],[Дата поступления]]</f>
        <v>0</v>
      </c>
      <c r="S938" s="2">
        <f>Таблица1[[#This Row],[Дата поступления]]-Таблица1[[#This Row],[Дата рождения]]</f>
        <v>0</v>
      </c>
    </row>
    <row r="939" spans="18:19" x14ac:dyDescent="0.25">
      <c r="R939" s="2">
        <f>Таблица1[[#This Row],[Дата перевода]]-Таблица1[[#This Row],[Дата поступления]]</f>
        <v>0</v>
      </c>
      <c r="S939" s="2">
        <f>Таблица1[[#This Row],[Дата поступления]]-Таблица1[[#This Row],[Дата рождения]]</f>
        <v>0</v>
      </c>
    </row>
    <row r="940" spans="18:19" x14ac:dyDescent="0.25">
      <c r="R940" s="2">
        <f>Таблица1[[#This Row],[Дата перевода]]-Таблица1[[#This Row],[Дата поступления]]</f>
        <v>0</v>
      </c>
      <c r="S940" s="2">
        <f>Таблица1[[#This Row],[Дата поступления]]-Таблица1[[#This Row],[Дата рождения]]</f>
        <v>0</v>
      </c>
    </row>
    <row r="941" spans="18:19" x14ac:dyDescent="0.25">
      <c r="R941" s="2">
        <f>Таблица1[[#This Row],[Дата перевода]]-Таблица1[[#This Row],[Дата поступления]]</f>
        <v>0</v>
      </c>
      <c r="S941" s="2">
        <f>Таблица1[[#This Row],[Дата поступления]]-Таблица1[[#This Row],[Дата рождения]]</f>
        <v>0</v>
      </c>
    </row>
    <row r="942" spans="18:19" x14ac:dyDescent="0.25">
      <c r="R942" s="2">
        <f>Таблица1[[#This Row],[Дата перевода]]-Таблица1[[#This Row],[Дата поступления]]</f>
        <v>0</v>
      </c>
      <c r="S942" s="2">
        <f>Таблица1[[#This Row],[Дата поступления]]-Таблица1[[#This Row],[Дата рождения]]</f>
        <v>0</v>
      </c>
    </row>
    <row r="943" spans="18:19" x14ac:dyDescent="0.25">
      <c r="R943" s="2">
        <f>Таблица1[[#This Row],[Дата перевода]]-Таблица1[[#This Row],[Дата поступления]]</f>
        <v>0</v>
      </c>
      <c r="S943" s="2">
        <f>Таблица1[[#This Row],[Дата поступления]]-Таблица1[[#This Row],[Дата рождения]]</f>
        <v>0</v>
      </c>
    </row>
    <row r="944" spans="18:19" x14ac:dyDescent="0.25">
      <c r="R944" s="2">
        <f>Таблица1[[#This Row],[Дата перевода]]-Таблица1[[#This Row],[Дата поступления]]</f>
        <v>0</v>
      </c>
      <c r="S944" s="2">
        <f>Таблица1[[#This Row],[Дата поступления]]-Таблица1[[#This Row],[Дата рождения]]</f>
        <v>0</v>
      </c>
    </row>
    <row r="945" spans="18:19" x14ac:dyDescent="0.25">
      <c r="R945" s="2">
        <f>Таблица1[[#This Row],[Дата перевода]]-Таблица1[[#This Row],[Дата поступления]]</f>
        <v>0</v>
      </c>
      <c r="S945" s="2">
        <f>Таблица1[[#This Row],[Дата поступления]]-Таблица1[[#This Row],[Дата рождения]]</f>
        <v>0</v>
      </c>
    </row>
    <row r="946" spans="18:19" x14ac:dyDescent="0.25">
      <c r="R946" s="2">
        <f>Таблица1[[#This Row],[Дата перевода]]-Таблица1[[#This Row],[Дата поступления]]</f>
        <v>0</v>
      </c>
      <c r="S946" s="2">
        <f>Таблица1[[#This Row],[Дата поступления]]-Таблица1[[#This Row],[Дата рождения]]</f>
        <v>0</v>
      </c>
    </row>
    <row r="947" spans="18:19" x14ac:dyDescent="0.25">
      <c r="R947" s="2">
        <f>Таблица1[[#This Row],[Дата перевода]]-Таблица1[[#This Row],[Дата поступления]]</f>
        <v>0</v>
      </c>
      <c r="S947" s="2">
        <f>Таблица1[[#This Row],[Дата поступления]]-Таблица1[[#This Row],[Дата рождения]]</f>
        <v>0</v>
      </c>
    </row>
    <row r="948" spans="18:19" x14ac:dyDescent="0.25">
      <c r="R948" s="2">
        <f>Таблица1[[#This Row],[Дата перевода]]-Таблица1[[#This Row],[Дата поступления]]</f>
        <v>0</v>
      </c>
      <c r="S948" s="2">
        <f>Таблица1[[#This Row],[Дата поступления]]-Таблица1[[#This Row],[Дата рождения]]</f>
        <v>0</v>
      </c>
    </row>
    <row r="949" spans="18:19" x14ac:dyDescent="0.25">
      <c r="R949" s="2">
        <f>Таблица1[[#This Row],[Дата перевода]]-Таблица1[[#This Row],[Дата поступления]]</f>
        <v>0</v>
      </c>
      <c r="S949" s="2">
        <f>Таблица1[[#This Row],[Дата поступления]]-Таблица1[[#This Row],[Дата рождения]]</f>
        <v>0</v>
      </c>
    </row>
    <row r="950" spans="18:19" x14ac:dyDescent="0.25">
      <c r="R950" s="2">
        <f>Таблица1[[#This Row],[Дата перевода]]-Таблица1[[#This Row],[Дата поступления]]</f>
        <v>0</v>
      </c>
      <c r="S950" s="2">
        <f>Таблица1[[#This Row],[Дата поступления]]-Таблица1[[#This Row],[Дата рождения]]</f>
        <v>0</v>
      </c>
    </row>
    <row r="951" spans="18:19" x14ac:dyDescent="0.25">
      <c r="R951" s="2">
        <f>Таблица1[[#This Row],[Дата перевода]]-Таблица1[[#This Row],[Дата поступления]]</f>
        <v>0</v>
      </c>
      <c r="S951" s="2">
        <f>Таблица1[[#This Row],[Дата поступления]]-Таблица1[[#This Row],[Дата рождения]]</f>
        <v>0</v>
      </c>
    </row>
    <row r="952" spans="18:19" x14ac:dyDescent="0.25">
      <c r="R952" s="2">
        <f>Таблица1[[#This Row],[Дата перевода]]-Таблица1[[#This Row],[Дата поступления]]</f>
        <v>0</v>
      </c>
      <c r="S952" s="2">
        <f>Таблица1[[#This Row],[Дата поступления]]-Таблица1[[#This Row],[Дата рождения]]</f>
        <v>0</v>
      </c>
    </row>
    <row r="953" spans="18:19" x14ac:dyDescent="0.25">
      <c r="R953" s="2">
        <f>Таблица1[[#This Row],[Дата перевода]]-Таблица1[[#This Row],[Дата поступления]]</f>
        <v>0</v>
      </c>
      <c r="S953" s="2">
        <f>Таблица1[[#This Row],[Дата поступления]]-Таблица1[[#This Row],[Дата рождения]]</f>
        <v>0</v>
      </c>
    </row>
    <row r="954" spans="18:19" x14ac:dyDescent="0.25">
      <c r="R954" s="2">
        <f>Таблица1[[#This Row],[Дата перевода]]-Таблица1[[#This Row],[Дата поступления]]</f>
        <v>0</v>
      </c>
      <c r="S954" s="2">
        <f>Таблица1[[#This Row],[Дата поступления]]-Таблица1[[#This Row],[Дата рождения]]</f>
        <v>0</v>
      </c>
    </row>
    <row r="955" spans="18:19" x14ac:dyDescent="0.25">
      <c r="R955" s="2">
        <f>Таблица1[[#This Row],[Дата перевода]]-Таблица1[[#This Row],[Дата поступления]]</f>
        <v>0</v>
      </c>
      <c r="S955" s="2">
        <f>Таблица1[[#This Row],[Дата поступления]]-Таблица1[[#This Row],[Дата рождения]]</f>
        <v>0</v>
      </c>
    </row>
    <row r="956" spans="18:19" x14ac:dyDescent="0.25">
      <c r="R956" s="2">
        <f>Таблица1[[#This Row],[Дата перевода]]-Таблица1[[#This Row],[Дата поступления]]</f>
        <v>0</v>
      </c>
      <c r="S956" s="2">
        <f>Таблица1[[#This Row],[Дата поступления]]-Таблица1[[#This Row],[Дата рождения]]</f>
        <v>0</v>
      </c>
    </row>
    <row r="957" spans="18:19" x14ac:dyDescent="0.25">
      <c r="R957" s="2">
        <f>Таблица1[[#This Row],[Дата перевода]]-Таблица1[[#This Row],[Дата поступления]]</f>
        <v>0</v>
      </c>
      <c r="S957" s="2">
        <f>Таблица1[[#This Row],[Дата поступления]]-Таблица1[[#This Row],[Дата рождения]]</f>
        <v>0</v>
      </c>
    </row>
    <row r="958" spans="18:19" x14ac:dyDescent="0.25">
      <c r="R958" s="2">
        <f>Таблица1[[#This Row],[Дата перевода]]-Таблица1[[#This Row],[Дата поступления]]</f>
        <v>0</v>
      </c>
      <c r="S958" s="2">
        <f>Таблица1[[#This Row],[Дата поступления]]-Таблица1[[#This Row],[Дата рождения]]</f>
        <v>0</v>
      </c>
    </row>
    <row r="959" spans="18:19" x14ac:dyDescent="0.25">
      <c r="R959" s="2">
        <f>Таблица1[[#This Row],[Дата перевода]]-Таблица1[[#This Row],[Дата поступления]]</f>
        <v>0</v>
      </c>
      <c r="S959" s="2">
        <f>Таблица1[[#This Row],[Дата поступления]]-Таблица1[[#This Row],[Дата рождения]]</f>
        <v>0</v>
      </c>
    </row>
    <row r="960" spans="18:19" x14ac:dyDescent="0.25">
      <c r="R960" s="2">
        <f>Таблица1[[#This Row],[Дата перевода]]-Таблица1[[#This Row],[Дата поступления]]</f>
        <v>0</v>
      </c>
      <c r="S960" s="2">
        <f>Таблица1[[#This Row],[Дата поступления]]-Таблица1[[#This Row],[Дата рождения]]</f>
        <v>0</v>
      </c>
    </row>
    <row r="961" spans="18:19" x14ac:dyDescent="0.25">
      <c r="R961" s="2">
        <f>Таблица1[[#This Row],[Дата перевода]]-Таблица1[[#This Row],[Дата поступления]]</f>
        <v>0</v>
      </c>
      <c r="S961" s="2">
        <f>Таблица1[[#This Row],[Дата поступления]]-Таблица1[[#This Row],[Дата рождения]]</f>
        <v>0</v>
      </c>
    </row>
    <row r="962" spans="18:19" x14ac:dyDescent="0.25">
      <c r="R962" s="2">
        <f>Таблица1[[#This Row],[Дата перевода]]-Таблица1[[#This Row],[Дата поступления]]</f>
        <v>0</v>
      </c>
      <c r="S962" s="2">
        <f>Таблица1[[#This Row],[Дата поступления]]-Таблица1[[#This Row],[Дата рождения]]</f>
        <v>0</v>
      </c>
    </row>
    <row r="963" spans="18:19" x14ac:dyDescent="0.25">
      <c r="R963" s="2">
        <f>Таблица1[[#This Row],[Дата перевода]]-Таблица1[[#This Row],[Дата поступления]]</f>
        <v>0</v>
      </c>
      <c r="S963" s="2">
        <f>Таблица1[[#This Row],[Дата поступления]]-Таблица1[[#This Row],[Дата рождения]]</f>
        <v>0</v>
      </c>
    </row>
    <row r="964" spans="18:19" x14ac:dyDescent="0.25">
      <c r="R964" s="2">
        <f>Таблица1[[#This Row],[Дата перевода]]-Таблица1[[#This Row],[Дата поступления]]</f>
        <v>0</v>
      </c>
      <c r="S964" s="2">
        <f>Таблица1[[#This Row],[Дата поступления]]-Таблица1[[#This Row],[Дата рождения]]</f>
        <v>0</v>
      </c>
    </row>
    <row r="965" spans="18:19" x14ac:dyDescent="0.25">
      <c r="R965" s="2">
        <f>Таблица1[[#This Row],[Дата перевода]]-Таблица1[[#This Row],[Дата поступления]]</f>
        <v>0</v>
      </c>
      <c r="S965" s="2">
        <f>Таблица1[[#This Row],[Дата поступления]]-Таблица1[[#This Row],[Дата рождения]]</f>
        <v>0</v>
      </c>
    </row>
    <row r="966" spans="18:19" x14ac:dyDescent="0.25">
      <c r="R966" s="2">
        <f>Таблица1[[#This Row],[Дата перевода]]-Таблица1[[#This Row],[Дата поступления]]</f>
        <v>0</v>
      </c>
      <c r="S966" s="2">
        <f>Таблица1[[#This Row],[Дата поступления]]-Таблица1[[#This Row],[Дата рождения]]</f>
        <v>0</v>
      </c>
    </row>
    <row r="967" spans="18:19" x14ac:dyDescent="0.25">
      <c r="R967" s="2">
        <f>Таблица1[[#This Row],[Дата перевода]]-Таблица1[[#This Row],[Дата поступления]]</f>
        <v>0</v>
      </c>
      <c r="S967" s="2">
        <f>Таблица1[[#This Row],[Дата поступления]]-Таблица1[[#This Row],[Дата рождения]]</f>
        <v>0</v>
      </c>
    </row>
    <row r="968" spans="18:19" x14ac:dyDescent="0.25">
      <c r="R968" s="2">
        <f>Таблица1[[#This Row],[Дата перевода]]-Таблица1[[#This Row],[Дата поступления]]</f>
        <v>0</v>
      </c>
      <c r="S968" s="2">
        <f>Таблица1[[#This Row],[Дата поступления]]-Таблица1[[#This Row],[Дата рождения]]</f>
        <v>0</v>
      </c>
    </row>
    <row r="969" spans="18:19" x14ac:dyDescent="0.25">
      <c r="R969" s="2">
        <f>Таблица1[[#This Row],[Дата перевода]]-Таблица1[[#This Row],[Дата поступления]]</f>
        <v>0</v>
      </c>
      <c r="S969" s="2">
        <f>Таблица1[[#This Row],[Дата поступления]]-Таблица1[[#This Row],[Дата рождения]]</f>
        <v>0</v>
      </c>
    </row>
    <row r="970" spans="18:19" x14ac:dyDescent="0.25">
      <c r="R970" s="2">
        <f>Таблица1[[#This Row],[Дата перевода]]-Таблица1[[#This Row],[Дата поступления]]</f>
        <v>0</v>
      </c>
      <c r="S970" s="2">
        <f>Таблица1[[#This Row],[Дата поступления]]-Таблица1[[#This Row],[Дата рождения]]</f>
        <v>0</v>
      </c>
    </row>
    <row r="971" spans="18:19" x14ac:dyDescent="0.25">
      <c r="R971" s="2">
        <f>Таблица1[[#This Row],[Дата перевода]]-Таблица1[[#This Row],[Дата поступления]]</f>
        <v>0</v>
      </c>
      <c r="S971" s="2">
        <f>Таблица1[[#This Row],[Дата поступления]]-Таблица1[[#This Row],[Дата рождения]]</f>
        <v>0</v>
      </c>
    </row>
    <row r="972" spans="18:19" x14ac:dyDescent="0.25">
      <c r="R972" s="2">
        <f>Таблица1[[#This Row],[Дата перевода]]-Таблица1[[#This Row],[Дата поступления]]</f>
        <v>0</v>
      </c>
      <c r="S972" s="2">
        <f>Таблица1[[#This Row],[Дата поступления]]-Таблица1[[#This Row],[Дата рождения]]</f>
        <v>0</v>
      </c>
    </row>
    <row r="973" spans="18:19" x14ac:dyDescent="0.25">
      <c r="R973" s="2">
        <f>Таблица1[[#This Row],[Дата перевода]]-Таблица1[[#This Row],[Дата поступления]]</f>
        <v>0</v>
      </c>
      <c r="S973" s="2">
        <f>Таблица1[[#This Row],[Дата поступления]]-Таблица1[[#This Row],[Дата рождения]]</f>
        <v>0</v>
      </c>
    </row>
    <row r="974" spans="18:19" x14ac:dyDescent="0.25">
      <c r="R974" s="2">
        <f>Таблица1[[#This Row],[Дата перевода]]-Таблица1[[#This Row],[Дата поступления]]</f>
        <v>0</v>
      </c>
      <c r="S974" s="2">
        <f>Таблица1[[#This Row],[Дата поступления]]-Таблица1[[#This Row],[Дата рождения]]</f>
        <v>0</v>
      </c>
    </row>
    <row r="975" spans="18:19" x14ac:dyDescent="0.25">
      <c r="R975" s="2">
        <f>Таблица1[[#This Row],[Дата перевода]]-Таблица1[[#This Row],[Дата поступления]]</f>
        <v>0</v>
      </c>
      <c r="S975" s="2">
        <f>Таблица1[[#This Row],[Дата поступления]]-Таблица1[[#This Row],[Дата рождения]]</f>
        <v>0</v>
      </c>
    </row>
    <row r="976" spans="18:19" x14ac:dyDescent="0.25">
      <c r="R976" s="2">
        <f>Таблица1[[#This Row],[Дата перевода]]-Таблица1[[#This Row],[Дата поступления]]</f>
        <v>0</v>
      </c>
      <c r="S976" s="2">
        <f>Таблица1[[#This Row],[Дата поступления]]-Таблица1[[#This Row],[Дата рождения]]</f>
        <v>0</v>
      </c>
    </row>
    <row r="977" spans="18:19" x14ac:dyDescent="0.25">
      <c r="R977" s="2">
        <f>Таблица1[[#This Row],[Дата перевода]]-Таблица1[[#This Row],[Дата поступления]]</f>
        <v>0</v>
      </c>
      <c r="S977" s="2">
        <f>Таблица1[[#This Row],[Дата поступления]]-Таблица1[[#This Row],[Дата рождения]]</f>
        <v>0</v>
      </c>
    </row>
    <row r="978" spans="18:19" x14ac:dyDescent="0.25">
      <c r="R978" s="2">
        <f>Таблица1[[#This Row],[Дата перевода]]-Таблица1[[#This Row],[Дата поступления]]</f>
        <v>0</v>
      </c>
      <c r="S978" s="2">
        <f>Таблица1[[#This Row],[Дата поступления]]-Таблица1[[#This Row],[Дата рождения]]</f>
        <v>0</v>
      </c>
    </row>
    <row r="979" spans="18:19" x14ac:dyDescent="0.25">
      <c r="R979" s="2">
        <f>Таблица1[[#This Row],[Дата перевода]]-Таблица1[[#This Row],[Дата поступления]]</f>
        <v>0</v>
      </c>
      <c r="S979" s="2">
        <f>Таблица1[[#This Row],[Дата поступления]]-Таблица1[[#This Row],[Дата рождения]]</f>
        <v>0</v>
      </c>
    </row>
    <row r="980" spans="18:19" x14ac:dyDescent="0.25">
      <c r="R980" s="2">
        <f>Таблица1[[#This Row],[Дата перевода]]-Таблица1[[#This Row],[Дата поступления]]</f>
        <v>0</v>
      </c>
      <c r="S980" s="2">
        <f>Таблица1[[#This Row],[Дата поступления]]-Таблица1[[#This Row],[Дата рождения]]</f>
        <v>0</v>
      </c>
    </row>
    <row r="981" spans="18:19" x14ac:dyDescent="0.25">
      <c r="R981" s="2">
        <f>Таблица1[[#This Row],[Дата перевода]]-Таблица1[[#This Row],[Дата поступления]]</f>
        <v>0</v>
      </c>
      <c r="S981" s="2">
        <f>Таблица1[[#This Row],[Дата поступления]]-Таблица1[[#This Row],[Дата рождения]]</f>
        <v>0</v>
      </c>
    </row>
    <row r="982" spans="18:19" x14ac:dyDescent="0.25">
      <c r="R982" s="2">
        <f>Таблица1[[#This Row],[Дата перевода]]-Таблица1[[#This Row],[Дата поступления]]</f>
        <v>0</v>
      </c>
      <c r="S982" s="2">
        <f>Таблица1[[#This Row],[Дата поступления]]-Таблица1[[#This Row],[Дата рождения]]</f>
        <v>0</v>
      </c>
    </row>
    <row r="983" spans="18:19" x14ac:dyDescent="0.25">
      <c r="R983" s="2">
        <f>Таблица1[[#This Row],[Дата перевода]]-Таблица1[[#This Row],[Дата поступления]]</f>
        <v>0</v>
      </c>
      <c r="S983" s="2">
        <f>Таблица1[[#This Row],[Дата поступления]]-Таблица1[[#This Row],[Дата рождения]]</f>
        <v>0</v>
      </c>
    </row>
    <row r="984" spans="18:19" x14ac:dyDescent="0.25">
      <c r="R984" s="2">
        <f>Таблица1[[#This Row],[Дата перевода]]-Таблица1[[#This Row],[Дата поступления]]</f>
        <v>0</v>
      </c>
      <c r="S984" s="2">
        <f>Таблица1[[#This Row],[Дата поступления]]-Таблица1[[#This Row],[Дата рождения]]</f>
        <v>0</v>
      </c>
    </row>
    <row r="985" spans="18:19" x14ac:dyDescent="0.25">
      <c r="R985" s="2">
        <f>Таблица1[[#This Row],[Дата перевода]]-Таблица1[[#This Row],[Дата поступления]]</f>
        <v>0</v>
      </c>
      <c r="S985" s="2">
        <f>Таблица1[[#This Row],[Дата поступления]]-Таблица1[[#This Row],[Дата рождения]]</f>
        <v>0</v>
      </c>
    </row>
    <row r="986" spans="18:19" x14ac:dyDescent="0.25">
      <c r="R986" s="2">
        <f>Таблица1[[#This Row],[Дата перевода]]-Таблица1[[#This Row],[Дата поступления]]</f>
        <v>0</v>
      </c>
      <c r="S986" s="2">
        <f>Таблица1[[#This Row],[Дата поступления]]-Таблица1[[#This Row],[Дата рождения]]</f>
        <v>0</v>
      </c>
    </row>
    <row r="987" spans="18:19" x14ac:dyDescent="0.25">
      <c r="R987" s="2">
        <f>Таблица1[[#This Row],[Дата перевода]]-Таблица1[[#This Row],[Дата поступления]]</f>
        <v>0</v>
      </c>
      <c r="S987" s="2">
        <f>Таблица1[[#This Row],[Дата поступления]]-Таблица1[[#This Row],[Дата рождения]]</f>
        <v>0</v>
      </c>
    </row>
    <row r="988" spans="18:19" x14ac:dyDescent="0.25">
      <c r="R988" s="2">
        <f>Таблица1[[#This Row],[Дата перевода]]-Таблица1[[#This Row],[Дата поступления]]</f>
        <v>0</v>
      </c>
      <c r="S988" s="2">
        <f>Таблица1[[#This Row],[Дата поступления]]-Таблица1[[#This Row],[Дата рождения]]</f>
        <v>0</v>
      </c>
    </row>
    <row r="989" spans="18:19" x14ac:dyDescent="0.25">
      <c r="R989" s="2">
        <f>Таблица1[[#This Row],[Дата перевода]]-Таблица1[[#This Row],[Дата поступления]]</f>
        <v>0</v>
      </c>
      <c r="S989" s="2">
        <f>Таблица1[[#This Row],[Дата поступления]]-Таблица1[[#This Row],[Дата рождения]]</f>
        <v>0</v>
      </c>
    </row>
    <row r="990" spans="18:19" x14ac:dyDescent="0.25">
      <c r="R990" s="2">
        <f>Таблица1[[#This Row],[Дата перевода]]-Таблица1[[#This Row],[Дата поступления]]</f>
        <v>0</v>
      </c>
      <c r="S990" s="2">
        <f>Таблица1[[#This Row],[Дата поступления]]-Таблица1[[#This Row],[Дата рождения]]</f>
        <v>0</v>
      </c>
    </row>
    <row r="991" spans="18:19" x14ac:dyDescent="0.25">
      <c r="R991" s="2">
        <f>Таблица1[[#This Row],[Дата перевода]]-Таблица1[[#This Row],[Дата поступления]]</f>
        <v>0</v>
      </c>
      <c r="S991" s="2">
        <f>Таблица1[[#This Row],[Дата поступления]]-Таблица1[[#This Row],[Дата рождения]]</f>
        <v>0</v>
      </c>
    </row>
    <row r="992" spans="18:19" x14ac:dyDescent="0.25">
      <c r="R992" s="2">
        <f>Таблица1[[#This Row],[Дата перевода]]-Таблица1[[#This Row],[Дата поступления]]</f>
        <v>0</v>
      </c>
      <c r="S992" s="2">
        <f>Таблица1[[#This Row],[Дата поступления]]-Таблица1[[#This Row],[Дата рождения]]</f>
        <v>0</v>
      </c>
    </row>
    <row r="993" spans="18:19" x14ac:dyDescent="0.25">
      <c r="R993" s="2">
        <f>Таблица1[[#This Row],[Дата перевода]]-Таблица1[[#This Row],[Дата поступления]]</f>
        <v>0</v>
      </c>
      <c r="S993" s="2">
        <f>Таблица1[[#This Row],[Дата поступления]]-Таблица1[[#This Row],[Дата рождения]]</f>
        <v>0</v>
      </c>
    </row>
    <row r="994" spans="18:19" x14ac:dyDescent="0.25">
      <c r="R994" s="2">
        <f>Таблица1[[#This Row],[Дата перевода]]-Таблица1[[#This Row],[Дата поступления]]</f>
        <v>0</v>
      </c>
      <c r="S994" s="2">
        <f>Таблица1[[#This Row],[Дата поступления]]-Таблица1[[#This Row],[Дата рождения]]</f>
        <v>0</v>
      </c>
    </row>
    <row r="995" spans="18:19" x14ac:dyDescent="0.25">
      <c r="R995" s="2">
        <f>Таблица1[[#This Row],[Дата перевода]]-Таблица1[[#This Row],[Дата поступления]]</f>
        <v>0</v>
      </c>
      <c r="S995" s="2">
        <f>Таблица1[[#This Row],[Дата поступления]]-Таблица1[[#This Row],[Дата рождения]]</f>
        <v>0</v>
      </c>
    </row>
    <row r="996" spans="18:19" x14ac:dyDescent="0.25">
      <c r="R996" s="2">
        <f>Таблица1[[#This Row],[Дата перевода]]-Таблица1[[#This Row],[Дата поступления]]</f>
        <v>0</v>
      </c>
      <c r="S996" s="2">
        <f>Таблица1[[#This Row],[Дата поступления]]-Таблица1[[#This Row],[Дата рождения]]</f>
        <v>0</v>
      </c>
    </row>
    <row r="997" spans="18:19" x14ac:dyDescent="0.25">
      <c r="R997" s="2">
        <f>Таблица1[[#This Row],[Дата перевода]]-Таблица1[[#This Row],[Дата поступления]]</f>
        <v>0</v>
      </c>
      <c r="S997" s="2">
        <f>Таблица1[[#This Row],[Дата поступления]]-Таблица1[[#This Row],[Дата рождения]]</f>
        <v>0</v>
      </c>
    </row>
    <row r="998" spans="18:19" x14ac:dyDescent="0.25">
      <c r="R998" s="2">
        <f>Таблица1[[#This Row],[Дата перевода]]-Таблица1[[#This Row],[Дата поступления]]</f>
        <v>0</v>
      </c>
      <c r="S998" s="2">
        <f>Таблица1[[#This Row],[Дата поступления]]-Таблица1[[#This Row],[Дата рождения]]</f>
        <v>0</v>
      </c>
    </row>
    <row r="999" spans="18:19" x14ac:dyDescent="0.25">
      <c r="R999" s="2">
        <f>Таблица1[[#This Row],[Дата перевода]]-Таблица1[[#This Row],[Дата поступления]]</f>
        <v>0</v>
      </c>
      <c r="S999" s="2">
        <f>Таблица1[[#This Row],[Дата поступления]]-Таблица1[[#This Row],[Дата рождения]]</f>
        <v>0</v>
      </c>
    </row>
    <row r="1000" spans="18:19" x14ac:dyDescent="0.25">
      <c r="R1000" s="2">
        <f>Таблица1[[#This Row],[Дата перевода]]-Таблица1[[#This Row],[Дата поступления]]</f>
        <v>0</v>
      </c>
      <c r="S1000" s="2">
        <f>Таблица1[[#This Row],[Дата поступления]]-Таблица1[[#This Row],[Дата рождения]]</f>
        <v>0</v>
      </c>
    </row>
    <row r="1001" spans="18:19" x14ac:dyDescent="0.25">
      <c r="R1001" s="2">
        <f>Таблица1[[#This Row],[Дата перевода]]-Таблица1[[#This Row],[Дата поступления]]</f>
        <v>0</v>
      </c>
      <c r="S1001" s="2">
        <f>Таблица1[[#This Row],[Дата поступления]]-Таблица1[[#This Row],[Дата рождения]]</f>
        <v>0</v>
      </c>
    </row>
    <row r="1002" spans="18:19" x14ac:dyDescent="0.25">
      <c r="R1002" s="2">
        <f>Таблица1[[#This Row],[Дата перевода]]-Таблица1[[#This Row],[Дата поступления]]</f>
        <v>0</v>
      </c>
      <c r="S1002" s="2">
        <f>Таблица1[[#This Row],[Дата поступления]]-Таблица1[[#This Row],[Дата рождения]]</f>
        <v>0</v>
      </c>
    </row>
    <row r="1003" spans="18:19" x14ac:dyDescent="0.25">
      <c r="R1003" s="2">
        <f>Таблица1[[#This Row],[Дата перевода]]-Таблица1[[#This Row],[Дата поступления]]</f>
        <v>0</v>
      </c>
      <c r="S1003" s="2">
        <f>Таблица1[[#This Row],[Дата поступления]]-Таблица1[[#This Row],[Дата рождения]]</f>
        <v>0</v>
      </c>
    </row>
    <row r="1004" spans="18:19" x14ac:dyDescent="0.25">
      <c r="R1004" s="2">
        <f>Таблица1[[#This Row],[Дата перевода]]-Таблица1[[#This Row],[Дата поступления]]</f>
        <v>0</v>
      </c>
      <c r="S1004" s="2">
        <f>Таблица1[[#This Row],[Дата поступления]]-Таблица1[[#This Row],[Дата рождения]]</f>
        <v>0</v>
      </c>
    </row>
    <row r="1005" spans="18:19" x14ac:dyDescent="0.25">
      <c r="R1005" s="2">
        <f>Таблица1[[#This Row],[Дата перевода]]-Таблица1[[#This Row],[Дата поступления]]</f>
        <v>0</v>
      </c>
      <c r="S1005" s="2">
        <f>Таблица1[[#This Row],[Дата поступления]]-Таблица1[[#This Row],[Дата рождения]]</f>
        <v>0</v>
      </c>
    </row>
    <row r="1006" spans="18:19" x14ac:dyDescent="0.25">
      <c r="R1006" s="2">
        <f>Таблица1[[#This Row],[Дата перевода]]-Таблица1[[#This Row],[Дата поступления]]</f>
        <v>0</v>
      </c>
      <c r="S1006" s="2">
        <f>Таблица1[[#This Row],[Дата поступления]]-Таблица1[[#This Row],[Дата рождения]]</f>
        <v>0</v>
      </c>
    </row>
    <row r="1007" spans="18:19" x14ac:dyDescent="0.25">
      <c r="R1007" s="2">
        <f>Таблица1[[#This Row],[Дата перевода]]-Таблица1[[#This Row],[Дата поступления]]</f>
        <v>0</v>
      </c>
      <c r="S1007" s="2">
        <f>Таблица1[[#This Row],[Дата поступления]]-Таблица1[[#This Row],[Дата рождения]]</f>
        <v>0</v>
      </c>
    </row>
    <row r="1008" spans="18:19" x14ac:dyDescent="0.25">
      <c r="R1008" s="2">
        <f>Таблица1[[#This Row],[Дата перевода]]-Таблица1[[#This Row],[Дата поступления]]</f>
        <v>0</v>
      </c>
      <c r="S1008" s="2">
        <f>Таблица1[[#This Row],[Дата поступления]]-Таблица1[[#This Row],[Дата рождения]]</f>
        <v>0</v>
      </c>
    </row>
    <row r="1009" spans="18:19" x14ac:dyDescent="0.25">
      <c r="R1009" s="2">
        <f>Таблица1[[#This Row],[Дата перевода]]-Таблица1[[#This Row],[Дата поступления]]</f>
        <v>0</v>
      </c>
      <c r="S1009" s="2">
        <f>Таблица1[[#This Row],[Дата поступления]]-Таблица1[[#This Row],[Дата рождения]]</f>
        <v>0</v>
      </c>
    </row>
    <row r="1010" spans="18:19" x14ac:dyDescent="0.25">
      <c r="R1010" s="2">
        <f>Таблица1[[#This Row],[Дата перевода]]-Таблица1[[#This Row],[Дата поступления]]</f>
        <v>0</v>
      </c>
      <c r="S1010" s="2">
        <f>Таблица1[[#This Row],[Дата поступления]]-Таблица1[[#This Row],[Дата рождения]]</f>
        <v>0</v>
      </c>
    </row>
    <row r="1011" spans="18:19" x14ac:dyDescent="0.25">
      <c r="R1011" s="2">
        <f>Таблица1[[#This Row],[Дата перевода]]-Таблица1[[#This Row],[Дата поступления]]</f>
        <v>0</v>
      </c>
      <c r="S1011" s="2">
        <f>Таблица1[[#This Row],[Дата поступления]]-Таблица1[[#This Row],[Дата рождения]]</f>
        <v>0</v>
      </c>
    </row>
    <row r="1012" spans="18:19" x14ac:dyDescent="0.25">
      <c r="R1012" s="2">
        <f>Таблица1[[#This Row],[Дата перевода]]-Таблица1[[#This Row],[Дата поступления]]</f>
        <v>0</v>
      </c>
      <c r="S1012" s="2">
        <f>Таблица1[[#This Row],[Дата поступления]]-Таблица1[[#This Row],[Дата рождения]]</f>
        <v>0</v>
      </c>
    </row>
    <row r="1013" spans="18:19" x14ac:dyDescent="0.25">
      <c r="R1013" s="2">
        <f>Таблица1[[#This Row],[Дата перевода]]-Таблица1[[#This Row],[Дата поступления]]</f>
        <v>0</v>
      </c>
      <c r="S1013" s="2">
        <f>Таблица1[[#This Row],[Дата поступления]]-Таблица1[[#This Row],[Дата рождения]]</f>
        <v>0</v>
      </c>
    </row>
    <row r="1014" spans="18:19" x14ac:dyDescent="0.25">
      <c r="R1014" s="2">
        <f>Таблица1[[#This Row],[Дата перевода]]-Таблица1[[#This Row],[Дата поступления]]</f>
        <v>0</v>
      </c>
      <c r="S1014" s="2">
        <f>Таблица1[[#This Row],[Дата поступления]]-Таблица1[[#This Row],[Дата рождения]]</f>
        <v>0</v>
      </c>
    </row>
    <row r="1015" spans="18:19" x14ac:dyDescent="0.25">
      <c r="R1015" s="2">
        <f>Таблица1[[#This Row],[Дата перевода]]-Таблица1[[#This Row],[Дата поступления]]</f>
        <v>0</v>
      </c>
      <c r="S1015" s="2">
        <f>Таблица1[[#This Row],[Дата поступления]]-Таблица1[[#This Row],[Дата рождения]]</f>
        <v>0</v>
      </c>
    </row>
    <row r="1016" spans="18:19" x14ac:dyDescent="0.25">
      <c r="R1016" s="2">
        <f>Таблица1[[#This Row],[Дата перевода]]-Таблица1[[#This Row],[Дата поступления]]</f>
        <v>0</v>
      </c>
      <c r="S1016" s="2">
        <f>Таблица1[[#This Row],[Дата поступления]]-Таблица1[[#This Row],[Дата рождения]]</f>
        <v>0</v>
      </c>
    </row>
    <row r="1017" spans="18:19" x14ac:dyDescent="0.25">
      <c r="R1017" s="2">
        <f>Таблица1[[#This Row],[Дата перевода]]-Таблица1[[#This Row],[Дата поступления]]</f>
        <v>0</v>
      </c>
      <c r="S1017" s="2">
        <f>Таблица1[[#This Row],[Дата поступления]]-Таблица1[[#This Row],[Дата рождения]]</f>
        <v>0</v>
      </c>
    </row>
    <row r="1018" spans="18:19" x14ac:dyDescent="0.25">
      <c r="R1018" s="2">
        <f>Таблица1[[#This Row],[Дата перевода]]-Таблица1[[#This Row],[Дата поступления]]</f>
        <v>0</v>
      </c>
      <c r="S1018" s="2">
        <f>Таблица1[[#This Row],[Дата поступления]]-Таблица1[[#This Row],[Дата рождения]]</f>
        <v>0</v>
      </c>
    </row>
    <row r="1019" spans="18:19" x14ac:dyDescent="0.25">
      <c r="R1019" s="2">
        <f>Таблица1[[#This Row],[Дата перевода]]-Таблица1[[#This Row],[Дата поступления]]</f>
        <v>0</v>
      </c>
      <c r="S1019" s="2">
        <f>Таблица1[[#This Row],[Дата поступления]]-Таблица1[[#This Row],[Дата рождения]]</f>
        <v>0</v>
      </c>
    </row>
    <row r="1020" spans="18:19" x14ac:dyDescent="0.25">
      <c r="R1020" s="2">
        <f>Таблица1[[#This Row],[Дата перевода]]-Таблица1[[#This Row],[Дата поступления]]</f>
        <v>0</v>
      </c>
      <c r="S1020" s="2">
        <f>Таблица1[[#This Row],[Дата поступления]]-Таблица1[[#This Row],[Дата рождения]]</f>
        <v>0</v>
      </c>
    </row>
    <row r="1021" spans="18:19" x14ac:dyDescent="0.25">
      <c r="R1021" s="2">
        <f>Таблица1[[#This Row],[Дата перевода]]-Таблица1[[#This Row],[Дата поступления]]</f>
        <v>0</v>
      </c>
      <c r="S1021" s="2">
        <f>Таблица1[[#This Row],[Дата поступления]]-Таблица1[[#This Row],[Дата рождения]]</f>
        <v>0</v>
      </c>
    </row>
    <row r="1022" spans="18:19" x14ac:dyDescent="0.25">
      <c r="R1022" s="2">
        <f>Таблица1[[#This Row],[Дата перевода]]-Таблица1[[#This Row],[Дата поступления]]</f>
        <v>0</v>
      </c>
      <c r="S1022" s="2">
        <f>Таблица1[[#This Row],[Дата поступления]]-Таблица1[[#This Row],[Дата рождения]]</f>
        <v>0</v>
      </c>
    </row>
    <row r="1023" spans="18:19" x14ac:dyDescent="0.25">
      <c r="R1023" s="2">
        <f>Таблица1[[#This Row],[Дата перевода]]-Таблица1[[#This Row],[Дата поступления]]</f>
        <v>0</v>
      </c>
      <c r="S1023" s="2">
        <f>Таблица1[[#This Row],[Дата поступления]]-Таблица1[[#This Row],[Дата рождения]]</f>
        <v>0</v>
      </c>
    </row>
    <row r="1024" spans="18:19" x14ac:dyDescent="0.25">
      <c r="R1024" s="2">
        <f>Таблица1[[#This Row],[Дата перевода]]-Таблица1[[#This Row],[Дата поступления]]</f>
        <v>0</v>
      </c>
      <c r="S1024" s="2">
        <f>Таблица1[[#This Row],[Дата поступления]]-Таблица1[[#This Row],[Дата рождения]]</f>
        <v>0</v>
      </c>
    </row>
    <row r="1025" spans="18:19" x14ac:dyDescent="0.25">
      <c r="R1025" s="2">
        <f>Таблица1[[#This Row],[Дата перевода]]-Таблица1[[#This Row],[Дата поступления]]</f>
        <v>0</v>
      </c>
      <c r="S1025" s="2">
        <f>Таблица1[[#This Row],[Дата поступления]]-Таблица1[[#This Row],[Дата рождения]]</f>
        <v>0</v>
      </c>
    </row>
    <row r="1026" spans="18:19" x14ac:dyDescent="0.25">
      <c r="R1026" s="2">
        <f>Таблица1[[#This Row],[Дата перевода]]-Таблица1[[#This Row],[Дата поступления]]</f>
        <v>0</v>
      </c>
      <c r="S1026" s="2">
        <f>Таблица1[[#This Row],[Дата поступления]]-Таблица1[[#This Row],[Дата рождения]]</f>
        <v>0</v>
      </c>
    </row>
    <row r="1027" spans="18:19" x14ac:dyDescent="0.25">
      <c r="R1027" s="2">
        <f>Таблица1[[#This Row],[Дата перевода]]-Таблица1[[#This Row],[Дата поступления]]</f>
        <v>0</v>
      </c>
      <c r="S1027" s="2">
        <f>Таблица1[[#This Row],[Дата поступления]]-Таблица1[[#This Row],[Дата рождения]]</f>
        <v>0</v>
      </c>
    </row>
    <row r="1028" spans="18:19" x14ac:dyDescent="0.25">
      <c r="R1028" s="2">
        <f>Таблица1[[#This Row],[Дата перевода]]-Таблица1[[#This Row],[Дата поступления]]</f>
        <v>0</v>
      </c>
      <c r="S1028" s="2">
        <f>Таблица1[[#This Row],[Дата поступления]]-Таблица1[[#This Row],[Дата рождения]]</f>
        <v>0</v>
      </c>
    </row>
    <row r="1029" spans="18:19" x14ac:dyDescent="0.25">
      <c r="R1029" s="2">
        <f>Таблица1[[#This Row],[Дата перевода]]-Таблица1[[#This Row],[Дата поступления]]</f>
        <v>0</v>
      </c>
      <c r="S1029" s="2">
        <f>Таблица1[[#This Row],[Дата поступления]]-Таблица1[[#This Row],[Дата рождения]]</f>
        <v>0</v>
      </c>
    </row>
    <row r="1030" spans="18:19" x14ac:dyDescent="0.25">
      <c r="R1030" s="2">
        <f>Таблица1[[#This Row],[Дата перевода]]-Таблица1[[#This Row],[Дата поступления]]</f>
        <v>0</v>
      </c>
      <c r="S1030" s="2">
        <f>Таблица1[[#This Row],[Дата поступления]]-Таблица1[[#This Row],[Дата рождения]]</f>
        <v>0</v>
      </c>
    </row>
    <row r="1031" spans="18:19" x14ac:dyDescent="0.25">
      <c r="R1031" s="2">
        <f>Таблица1[[#This Row],[Дата перевода]]-Таблица1[[#This Row],[Дата поступления]]</f>
        <v>0</v>
      </c>
      <c r="S1031" s="2">
        <f>Таблица1[[#This Row],[Дата поступления]]-Таблица1[[#This Row],[Дата рождения]]</f>
        <v>0</v>
      </c>
    </row>
    <row r="1032" spans="18:19" x14ac:dyDescent="0.25">
      <c r="R1032" s="2">
        <f>Таблица1[[#This Row],[Дата перевода]]-Таблица1[[#This Row],[Дата поступления]]</f>
        <v>0</v>
      </c>
      <c r="S1032" s="2">
        <f>Таблица1[[#This Row],[Дата поступления]]-Таблица1[[#This Row],[Дата рождения]]</f>
        <v>0</v>
      </c>
    </row>
    <row r="1033" spans="18:19" x14ac:dyDescent="0.25">
      <c r="R1033" s="2">
        <f>Таблица1[[#This Row],[Дата перевода]]-Таблица1[[#This Row],[Дата поступления]]</f>
        <v>0</v>
      </c>
      <c r="S1033" s="2">
        <f>Таблица1[[#This Row],[Дата поступления]]-Таблица1[[#This Row],[Дата рождения]]</f>
        <v>0</v>
      </c>
    </row>
    <row r="1034" spans="18:19" x14ac:dyDescent="0.25">
      <c r="R1034" s="2">
        <f>Таблица1[[#This Row],[Дата перевода]]-Таблица1[[#This Row],[Дата поступления]]</f>
        <v>0</v>
      </c>
      <c r="S1034" s="2">
        <f>Таблица1[[#This Row],[Дата поступления]]-Таблица1[[#This Row],[Дата рождения]]</f>
        <v>0</v>
      </c>
    </row>
    <row r="1035" spans="18:19" x14ac:dyDescent="0.25">
      <c r="R1035" s="2">
        <f>Таблица1[[#This Row],[Дата перевода]]-Таблица1[[#This Row],[Дата поступления]]</f>
        <v>0</v>
      </c>
      <c r="S1035" s="2">
        <f>Таблица1[[#This Row],[Дата поступления]]-Таблица1[[#This Row],[Дата рождения]]</f>
        <v>0</v>
      </c>
    </row>
    <row r="1036" spans="18:19" x14ac:dyDescent="0.25">
      <c r="R1036" s="2">
        <f>Таблица1[[#This Row],[Дата перевода]]-Таблица1[[#This Row],[Дата поступления]]</f>
        <v>0</v>
      </c>
      <c r="S1036" s="2">
        <f>Таблица1[[#This Row],[Дата поступления]]-Таблица1[[#This Row],[Дата рождения]]</f>
        <v>0</v>
      </c>
    </row>
    <row r="1037" spans="18:19" x14ac:dyDescent="0.25">
      <c r="R1037" s="2">
        <f>Таблица1[[#This Row],[Дата перевода]]-Таблица1[[#This Row],[Дата поступления]]</f>
        <v>0</v>
      </c>
      <c r="S1037" s="2">
        <f>Таблица1[[#This Row],[Дата поступления]]-Таблица1[[#This Row],[Дата рождения]]</f>
        <v>0</v>
      </c>
    </row>
    <row r="1038" spans="18:19" x14ac:dyDescent="0.25">
      <c r="R1038" s="2">
        <f>Таблица1[[#This Row],[Дата перевода]]-Таблица1[[#This Row],[Дата поступления]]</f>
        <v>0</v>
      </c>
      <c r="S1038" s="2">
        <f>Таблица1[[#This Row],[Дата поступления]]-Таблица1[[#This Row],[Дата рождения]]</f>
        <v>0</v>
      </c>
    </row>
    <row r="1039" spans="18:19" x14ac:dyDescent="0.25">
      <c r="R1039" s="2">
        <f>Таблица1[[#This Row],[Дата перевода]]-Таблица1[[#This Row],[Дата поступления]]</f>
        <v>0</v>
      </c>
      <c r="S1039" s="2">
        <f>Таблица1[[#This Row],[Дата поступления]]-Таблица1[[#This Row],[Дата рождения]]</f>
        <v>0</v>
      </c>
    </row>
    <row r="1040" spans="18:19" x14ac:dyDescent="0.25">
      <c r="R1040" s="2">
        <f>Таблица1[[#This Row],[Дата перевода]]-Таблица1[[#This Row],[Дата поступления]]</f>
        <v>0</v>
      </c>
      <c r="S1040" s="2">
        <f>Таблица1[[#This Row],[Дата поступления]]-Таблица1[[#This Row],[Дата рождения]]</f>
        <v>0</v>
      </c>
    </row>
    <row r="1041" spans="18:19" x14ac:dyDescent="0.25">
      <c r="R1041" s="2">
        <f>Таблица1[[#This Row],[Дата перевода]]-Таблица1[[#This Row],[Дата поступления]]</f>
        <v>0</v>
      </c>
      <c r="S1041" s="2">
        <f>Таблица1[[#This Row],[Дата поступления]]-Таблица1[[#This Row],[Дата рождения]]</f>
        <v>0</v>
      </c>
    </row>
    <row r="1042" spans="18:19" x14ac:dyDescent="0.25">
      <c r="R1042" s="2">
        <f>Таблица1[[#This Row],[Дата перевода]]-Таблица1[[#This Row],[Дата поступления]]</f>
        <v>0</v>
      </c>
      <c r="S1042" s="2">
        <f>Таблица1[[#This Row],[Дата поступления]]-Таблица1[[#This Row],[Дата рождения]]</f>
        <v>0</v>
      </c>
    </row>
    <row r="1043" spans="18:19" x14ac:dyDescent="0.25">
      <c r="R1043" s="2">
        <f>Таблица1[[#This Row],[Дата перевода]]-Таблица1[[#This Row],[Дата поступления]]</f>
        <v>0</v>
      </c>
      <c r="S1043" s="2">
        <f>Таблица1[[#This Row],[Дата поступления]]-Таблица1[[#This Row],[Дата рождения]]</f>
        <v>0</v>
      </c>
    </row>
    <row r="1044" spans="18:19" x14ac:dyDescent="0.25">
      <c r="R1044" s="2">
        <f>Таблица1[[#This Row],[Дата перевода]]-Таблица1[[#This Row],[Дата поступления]]</f>
        <v>0</v>
      </c>
      <c r="S1044" s="2">
        <f>Таблица1[[#This Row],[Дата поступления]]-Таблица1[[#This Row],[Дата рождения]]</f>
        <v>0</v>
      </c>
    </row>
    <row r="1045" spans="18:19" x14ac:dyDescent="0.25">
      <c r="R1045" s="2">
        <f>Таблица1[[#This Row],[Дата перевода]]-Таблица1[[#This Row],[Дата поступления]]</f>
        <v>0</v>
      </c>
      <c r="S1045" s="2">
        <f>Таблица1[[#This Row],[Дата поступления]]-Таблица1[[#This Row],[Дата рождения]]</f>
        <v>0</v>
      </c>
    </row>
    <row r="1046" spans="18:19" x14ac:dyDescent="0.25">
      <c r="R1046" s="2">
        <f>Таблица1[[#This Row],[Дата перевода]]-Таблица1[[#This Row],[Дата поступления]]</f>
        <v>0</v>
      </c>
      <c r="S1046" s="2">
        <f>Таблица1[[#This Row],[Дата поступления]]-Таблица1[[#This Row],[Дата рождения]]</f>
        <v>0</v>
      </c>
    </row>
    <row r="1047" spans="18:19" x14ac:dyDescent="0.25">
      <c r="R1047" s="2">
        <f>Таблица1[[#This Row],[Дата перевода]]-Таблица1[[#This Row],[Дата поступления]]</f>
        <v>0</v>
      </c>
      <c r="S1047" s="2">
        <f>Таблица1[[#This Row],[Дата поступления]]-Таблица1[[#This Row],[Дата рождения]]</f>
        <v>0</v>
      </c>
    </row>
    <row r="1048" spans="18:19" x14ac:dyDescent="0.25">
      <c r="R1048" s="2">
        <f>Таблица1[[#This Row],[Дата перевода]]-Таблица1[[#This Row],[Дата поступления]]</f>
        <v>0</v>
      </c>
      <c r="S1048" s="2">
        <f>Таблица1[[#This Row],[Дата поступления]]-Таблица1[[#This Row],[Дата рождения]]</f>
        <v>0</v>
      </c>
    </row>
    <row r="1049" spans="18:19" x14ac:dyDescent="0.25">
      <c r="R1049" s="2">
        <f>Таблица1[[#This Row],[Дата перевода]]-Таблица1[[#This Row],[Дата поступления]]</f>
        <v>0</v>
      </c>
      <c r="S1049" s="2">
        <f>Таблица1[[#This Row],[Дата поступления]]-Таблица1[[#This Row],[Дата рождения]]</f>
        <v>0</v>
      </c>
    </row>
    <row r="1050" spans="18:19" x14ac:dyDescent="0.25">
      <c r="R1050" s="2">
        <f>Таблица1[[#This Row],[Дата перевода]]-Таблица1[[#This Row],[Дата поступления]]</f>
        <v>0</v>
      </c>
      <c r="S1050" s="2">
        <f>Таблица1[[#This Row],[Дата поступления]]-Таблица1[[#This Row],[Дата рождения]]</f>
        <v>0</v>
      </c>
    </row>
    <row r="1051" spans="18:19" x14ac:dyDescent="0.25">
      <c r="R1051" s="2">
        <f>Таблица1[[#This Row],[Дата перевода]]-Таблица1[[#This Row],[Дата поступления]]</f>
        <v>0</v>
      </c>
      <c r="S1051" s="2">
        <f>Таблица1[[#This Row],[Дата поступления]]-Таблица1[[#This Row],[Дата рождения]]</f>
        <v>0</v>
      </c>
    </row>
    <row r="1052" spans="18:19" x14ac:dyDescent="0.25">
      <c r="R1052" s="2">
        <f>Таблица1[[#This Row],[Дата перевода]]-Таблица1[[#This Row],[Дата поступления]]</f>
        <v>0</v>
      </c>
      <c r="S1052" s="2">
        <f>Таблица1[[#This Row],[Дата поступления]]-Таблица1[[#This Row],[Дата рождения]]</f>
        <v>0</v>
      </c>
    </row>
    <row r="1053" spans="18:19" x14ac:dyDescent="0.25">
      <c r="R1053" s="2">
        <f>Таблица1[[#This Row],[Дата перевода]]-Таблица1[[#This Row],[Дата поступления]]</f>
        <v>0</v>
      </c>
      <c r="S1053" s="2">
        <f>Таблица1[[#This Row],[Дата поступления]]-Таблица1[[#This Row],[Дата рождения]]</f>
        <v>0</v>
      </c>
    </row>
    <row r="1054" spans="18:19" x14ac:dyDescent="0.25">
      <c r="R1054" s="2">
        <f>Таблица1[[#This Row],[Дата перевода]]-Таблица1[[#This Row],[Дата поступления]]</f>
        <v>0</v>
      </c>
      <c r="S1054" s="2">
        <f>Таблица1[[#This Row],[Дата поступления]]-Таблица1[[#This Row],[Дата рождения]]</f>
        <v>0</v>
      </c>
    </row>
    <row r="1055" spans="18:19" x14ac:dyDescent="0.25">
      <c r="R1055" s="2">
        <f>Таблица1[[#This Row],[Дата перевода]]-Таблица1[[#This Row],[Дата поступления]]</f>
        <v>0</v>
      </c>
      <c r="S1055" s="2">
        <f>Таблица1[[#This Row],[Дата поступления]]-Таблица1[[#This Row],[Дата рождения]]</f>
        <v>0</v>
      </c>
    </row>
    <row r="1056" spans="18:19" x14ac:dyDescent="0.25">
      <c r="R1056" s="2">
        <f>Таблица1[[#This Row],[Дата перевода]]-Таблица1[[#This Row],[Дата поступления]]</f>
        <v>0</v>
      </c>
      <c r="S1056" s="2">
        <f>Таблица1[[#This Row],[Дата поступления]]-Таблица1[[#This Row],[Дата рождения]]</f>
        <v>0</v>
      </c>
    </row>
    <row r="1057" spans="18:19" x14ac:dyDescent="0.25">
      <c r="R1057" s="2">
        <f>Таблица1[[#This Row],[Дата перевода]]-Таблица1[[#This Row],[Дата поступления]]</f>
        <v>0</v>
      </c>
      <c r="S1057" s="2">
        <f>Таблица1[[#This Row],[Дата поступления]]-Таблица1[[#This Row],[Дата рождения]]</f>
        <v>0</v>
      </c>
    </row>
    <row r="1058" spans="18:19" x14ac:dyDescent="0.25">
      <c r="R1058" s="2">
        <f>Таблица1[[#This Row],[Дата перевода]]-Таблица1[[#This Row],[Дата поступления]]</f>
        <v>0</v>
      </c>
      <c r="S1058" s="2">
        <f>Таблица1[[#This Row],[Дата поступления]]-Таблица1[[#This Row],[Дата рождения]]</f>
        <v>0</v>
      </c>
    </row>
    <row r="1059" spans="18:19" x14ac:dyDescent="0.25">
      <c r="R1059" s="2">
        <f>Таблица1[[#This Row],[Дата перевода]]-Таблица1[[#This Row],[Дата поступления]]</f>
        <v>0</v>
      </c>
      <c r="S1059" s="2">
        <f>Таблица1[[#This Row],[Дата поступления]]-Таблица1[[#This Row],[Дата рождения]]</f>
        <v>0</v>
      </c>
    </row>
    <row r="1060" spans="18:19" x14ac:dyDescent="0.25">
      <c r="R1060" s="2">
        <f>Таблица1[[#This Row],[Дата перевода]]-Таблица1[[#This Row],[Дата поступления]]</f>
        <v>0</v>
      </c>
      <c r="S1060" s="2">
        <f>Таблица1[[#This Row],[Дата поступления]]-Таблица1[[#This Row],[Дата рождения]]</f>
        <v>0</v>
      </c>
    </row>
    <row r="1061" spans="18:19" x14ac:dyDescent="0.25">
      <c r="R1061" s="2">
        <f>Таблица1[[#This Row],[Дата перевода]]-Таблица1[[#This Row],[Дата поступления]]</f>
        <v>0</v>
      </c>
      <c r="S1061" s="2">
        <f>Таблица1[[#This Row],[Дата поступления]]-Таблица1[[#This Row],[Дата рождения]]</f>
        <v>0</v>
      </c>
    </row>
    <row r="1062" spans="18:19" x14ac:dyDescent="0.25">
      <c r="R1062" s="2">
        <f>Таблица1[[#This Row],[Дата перевода]]-Таблица1[[#This Row],[Дата поступления]]</f>
        <v>0</v>
      </c>
      <c r="S1062" s="2">
        <f>Таблица1[[#This Row],[Дата поступления]]-Таблица1[[#This Row],[Дата рождения]]</f>
        <v>0</v>
      </c>
    </row>
    <row r="1063" spans="18:19" x14ac:dyDescent="0.25">
      <c r="R1063" s="2">
        <f>Таблица1[[#This Row],[Дата перевода]]-Таблица1[[#This Row],[Дата поступления]]</f>
        <v>0</v>
      </c>
      <c r="S1063" s="2">
        <f>Таблица1[[#This Row],[Дата поступления]]-Таблица1[[#This Row],[Дата рождения]]</f>
        <v>0</v>
      </c>
    </row>
    <row r="1064" spans="18:19" x14ac:dyDescent="0.25">
      <c r="R1064" s="2">
        <f>Таблица1[[#This Row],[Дата перевода]]-Таблица1[[#This Row],[Дата поступления]]</f>
        <v>0</v>
      </c>
      <c r="S1064" s="2">
        <f>Таблица1[[#This Row],[Дата поступления]]-Таблица1[[#This Row],[Дата рождения]]</f>
        <v>0</v>
      </c>
    </row>
    <row r="1065" spans="18:19" x14ac:dyDescent="0.25">
      <c r="R1065" s="2">
        <f>Таблица1[[#This Row],[Дата перевода]]-Таблица1[[#This Row],[Дата поступления]]</f>
        <v>0</v>
      </c>
      <c r="S1065" s="2">
        <f>Таблица1[[#This Row],[Дата поступления]]-Таблица1[[#This Row],[Дата рождения]]</f>
        <v>0</v>
      </c>
    </row>
    <row r="1066" spans="18:19" x14ac:dyDescent="0.25">
      <c r="R1066" s="2">
        <f>Таблица1[[#This Row],[Дата перевода]]-Таблица1[[#This Row],[Дата поступления]]</f>
        <v>0</v>
      </c>
      <c r="S1066" s="2">
        <f>Таблица1[[#This Row],[Дата поступления]]-Таблица1[[#This Row],[Дата рождения]]</f>
        <v>0</v>
      </c>
    </row>
    <row r="1067" spans="18:19" x14ac:dyDescent="0.25">
      <c r="R1067" s="2">
        <f>Таблица1[[#This Row],[Дата перевода]]-Таблица1[[#This Row],[Дата поступления]]</f>
        <v>0</v>
      </c>
      <c r="S1067" s="2">
        <f>Таблица1[[#This Row],[Дата поступления]]-Таблица1[[#This Row],[Дата рождения]]</f>
        <v>0</v>
      </c>
    </row>
    <row r="1068" spans="18:19" x14ac:dyDescent="0.25">
      <c r="R1068" s="2">
        <f>Таблица1[[#This Row],[Дата перевода]]-Таблица1[[#This Row],[Дата поступления]]</f>
        <v>0</v>
      </c>
      <c r="S1068" s="2">
        <f>Таблица1[[#This Row],[Дата поступления]]-Таблица1[[#This Row],[Дата рождения]]</f>
        <v>0</v>
      </c>
    </row>
    <row r="1069" spans="18:19" x14ac:dyDescent="0.25">
      <c r="R1069" s="2">
        <f>Таблица1[[#This Row],[Дата перевода]]-Таблица1[[#This Row],[Дата поступления]]</f>
        <v>0</v>
      </c>
      <c r="S1069" s="2">
        <f>Таблица1[[#This Row],[Дата поступления]]-Таблица1[[#This Row],[Дата рождения]]</f>
        <v>0</v>
      </c>
    </row>
    <row r="1070" spans="18:19" x14ac:dyDescent="0.25">
      <c r="R1070" s="2">
        <f>Таблица1[[#This Row],[Дата перевода]]-Таблица1[[#This Row],[Дата поступления]]</f>
        <v>0</v>
      </c>
      <c r="S1070" s="2">
        <f>Таблица1[[#This Row],[Дата поступления]]-Таблица1[[#This Row],[Дата рождения]]</f>
        <v>0</v>
      </c>
    </row>
    <row r="1071" spans="18:19" x14ac:dyDescent="0.25">
      <c r="R1071" s="2">
        <f>Таблица1[[#This Row],[Дата перевода]]-Таблица1[[#This Row],[Дата поступления]]</f>
        <v>0</v>
      </c>
      <c r="S1071" s="2">
        <f>Таблица1[[#This Row],[Дата поступления]]-Таблица1[[#This Row],[Дата рождения]]</f>
        <v>0</v>
      </c>
    </row>
    <row r="1072" spans="18:19" x14ac:dyDescent="0.25">
      <c r="R1072" s="2">
        <f>Таблица1[[#This Row],[Дата перевода]]-Таблица1[[#This Row],[Дата поступления]]</f>
        <v>0</v>
      </c>
      <c r="S1072" s="2">
        <f>Таблица1[[#This Row],[Дата поступления]]-Таблица1[[#This Row],[Дата рождения]]</f>
        <v>0</v>
      </c>
    </row>
    <row r="1073" spans="18:19" x14ac:dyDescent="0.25">
      <c r="R1073" s="2">
        <f>Таблица1[[#This Row],[Дата перевода]]-Таблица1[[#This Row],[Дата поступления]]</f>
        <v>0</v>
      </c>
      <c r="S1073" s="2">
        <f>Таблица1[[#This Row],[Дата поступления]]-Таблица1[[#This Row],[Дата рождения]]</f>
        <v>0</v>
      </c>
    </row>
    <row r="1074" spans="18:19" x14ac:dyDescent="0.25">
      <c r="R1074" s="2">
        <f>Таблица1[[#This Row],[Дата перевода]]-Таблица1[[#This Row],[Дата поступления]]</f>
        <v>0</v>
      </c>
      <c r="S1074" s="2">
        <f>Таблица1[[#This Row],[Дата поступления]]-Таблица1[[#This Row],[Дата рождения]]</f>
        <v>0</v>
      </c>
    </row>
    <row r="1075" spans="18:19" x14ac:dyDescent="0.25">
      <c r="R1075" s="2">
        <f>Таблица1[[#This Row],[Дата перевода]]-Таблица1[[#This Row],[Дата поступления]]</f>
        <v>0</v>
      </c>
      <c r="S1075" s="2">
        <f>Таблица1[[#This Row],[Дата поступления]]-Таблица1[[#This Row],[Дата рождения]]</f>
        <v>0</v>
      </c>
    </row>
    <row r="1076" spans="18:19" x14ac:dyDescent="0.25">
      <c r="R1076" s="2">
        <f>Таблица1[[#This Row],[Дата перевода]]-Таблица1[[#This Row],[Дата поступления]]</f>
        <v>0</v>
      </c>
      <c r="S1076" s="2">
        <f>Таблица1[[#This Row],[Дата поступления]]-Таблица1[[#This Row],[Дата рождения]]</f>
        <v>0</v>
      </c>
    </row>
    <row r="1077" spans="18:19" x14ac:dyDescent="0.25">
      <c r="R1077" s="2">
        <f>Таблица1[[#This Row],[Дата перевода]]-Таблица1[[#This Row],[Дата поступления]]</f>
        <v>0</v>
      </c>
      <c r="S1077" s="2">
        <f>Таблица1[[#This Row],[Дата поступления]]-Таблица1[[#This Row],[Дата рождения]]</f>
        <v>0</v>
      </c>
    </row>
    <row r="1078" spans="18:19" x14ac:dyDescent="0.25">
      <c r="R1078" s="2">
        <f>Таблица1[[#This Row],[Дата перевода]]-Таблица1[[#This Row],[Дата поступления]]</f>
        <v>0</v>
      </c>
      <c r="S1078" s="2">
        <f>Таблица1[[#This Row],[Дата поступления]]-Таблица1[[#This Row],[Дата рождения]]</f>
        <v>0</v>
      </c>
    </row>
    <row r="1079" spans="18:19" x14ac:dyDescent="0.25">
      <c r="R1079" s="2">
        <f>Таблица1[[#This Row],[Дата перевода]]-Таблица1[[#This Row],[Дата поступления]]</f>
        <v>0</v>
      </c>
      <c r="S1079" s="2">
        <f>Таблица1[[#This Row],[Дата поступления]]-Таблица1[[#This Row],[Дата рождения]]</f>
        <v>0</v>
      </c>
    </row>
    <row r="1080" spans="18:19" x14ac:dyDescent="0.25">
      <c r="R1080" s="2">
        <f>Таблица1[[#This Row],[Дата перевода]]-Таблица1[[#This Row],[Дата поступления]]</f>
        <v>0</v>
      </c>
      <c r="S1080" s="2">
        <f>Таблица1[[#This Row],[Дата поступления]]-Таблица1[[#This Row],[Дата рождения]]</f>
        <v>0</v>
      </c>
    </row>
    <row r="1081" spans="18:19" x14ac:dyDescent="0.25">
      <c r="R1081" s="2">
        <f>Таблица1[[#This Row],[Дата перевода]]-Таблица1[[#This Row],[Дата поступления]]</f>
        <v>0</v>
      </c>
      <c r="S1081" s="2">
        <f>Таблица1[[#This Row],[Дата поступления]]-Таблица1[[#This Row],[Дата рождения]]</f>
        <v>0</v>
      </c>
    </row>
    <row r="1082" spans="18:19" x14ac:dyDescent="0.25">
      <c r="R1082" s="2">
        <f>Таблица1[[#This Row],[Дата перевода]]-Таблица1[[#This Row],[Дата поступления]]</f>
        <v>0</v>
      </c>
      <c r="S1082" s="2">
        <f>Таблица1[[#This Row],[Дата поступления]]-Таблица1[[#This Row],[Дата рождения]]</f>
        <v>0</v>
      </c>
    </row>
    <row r="1083" spans="18:19" x14ac:dyDescent="0.25">
      <c r="R1083" s="2">
        <f>Таблица1[[#This Row],[Дата перевода]]-Таблица1[[#This Row],[Дата поступления]]</f>
        <v>0</v>
      </c>
      <c r="S1083" s="2">
        <f>Таблица1[[#This Row],[Дата поступления]]-Таблица1[[#This Row],[Дата рождения]]</f>
        <v>0</v>
      </c>
    </row>
    <row r="1084" spans="18:19" x14ac:dyDescent="0.25">
      <c r="R1084" s="2">
        <f>Таблица1[[#This Row],[Дата перевода]]-Таблица1[[#This Row],[Дата поступления]]</f>
        <v>0</v>
      </c>
      <c r="S1084" s="2">
        <f>Таблица1[[#This Row],[Дата поступления]]-Таблица1[[#This Row],[Дата рождения]]</f>
        <v>0</v>
      </c>
    </row>
    <row r="1085" spans="18:19" x14ac:dyDescent="0.25">
      <c r="R1085" s="2">
        <f>Таблица1[[#This Row],[Дата перевода]]-Таблица1[[#This Row],[Дата поступления]]</f>
        <v>0</v>
      </c>
      <c r="S1085" s="2">
        <f>Таблица1[[#This Row],[Дата поступления]]-Таблица1[[#This Row],[Дата рождения]]</f>
        <v>0</v>
      </c>
    </row>
    <row r="1086" spans="18:19" x14ac:dyDescent="0.25">
      <c r="R1086" s="2">
        <f>Таблица1[[#This Row],[Дата перевода]]-Таблица1[[#This Row],[Дата поступления]]</f>
        <v>0</v>
      </c>
      <c r="S1086" s="2">
        <f>Таблица1[[#This Row],[Дата поступления]]-Таблица1[[#This Row],[Дата рождения]]</f>
        <v>0</v>
      </c>
    </row>
    <row r="1087" spans="18:19" x14ac:dyDescent="0.25">
      <c r="R1087" s="2">
        <f>Таблица1[[#This Row],[Дата перевода]]-Таблица1[[#This Row],[Дата поступления]]</f>
        <v>0</v>
      </c>
      <c r="S1087" s="2">
        <f>Таблица1[[#This Row],[Дата поступления]]-Таблица1[[#This Row],[Дата рождения]]</f>
        <v>0</v>
      </c>
    </row>
    <row r="1088" spans="18:19" x14ac:dyDescent="0.25">
      <c r="R1088" s="2">
        <f>Таблица1[[#This Row],[Дата перевода]]-Таблица1[[#This Row],[Дата поступления]]</f>
        <v>0</v>
      </c>
      <c r="S1088" s="2">
        <f>Таблица1[[#This Row],[Дата поступления]]-Таблица1[[#This Row],[Дата рождения]]</f>
        <v>0</v>
      </c>
    </row>
    <row r="1089" spans="18:19" x14ac:dyDescent="0.25">
      <c r="R1089" s="2">
        <f>Таблица1[[#This Row],[Дата перевода]]-Таблица1[[#This Row],[Дата поступления]]</f>
        <v>0</v>
      </c>
      <c r="S1089" s="2">
        <f>Таблица1[[#This Row],[Дата поступления]]-Таблица1[[#This Row],[Дата рождения]]</f>
        <v>0</v>
      </c>
    </row>
    <row r="1090" spans="18:19" x14ac:dyDescent="0.25">
      <c r="R1090" s="2">
        <f>Таблица1[[#This Row],[Дата перевода]]-Таблица1[[#This Row],[Дата поступления]]</f>
        <v>0</v>
      </c>
      <c r="S1090" s="2">
        <f>Таблица1[[#This Row],[Дата поступления]]-Таблица1[[#This Row],[Дата рождения]]</f>
        <v>0</v>
      </c>
    </row>
    <row r="1091" spans="18:19" x14ac:dyDescent="0.25">
      <c r="R1091" s="2">
        <f>Таблица1[[#This Row],[Дата перевода]]-Таблица1[[#This Row],[Дата поступления]]</f>
        <v>0</v>
      </c>
      <c r="S1091" s="2">
        <f>Таблица1[[#This Row],[Дата поступления]]-Таблица1[[#This Row],[Дата рождения]]</f>
        <v>0</v>
      </c>
    </row>
    <row r="1092" spans="18:19" x14ac:dyDescent="0.25">
      <c r="R1092" s="2">
        <f>Таблица1[[#This Row],[Дата перевода]]-Таблица1[[#This Row],[Дата поступления]]</f>
        <v>0</v>
      </c>
      <c r="S1092" s="2">
        <f>Таблица1[[#This Row],[Дата поступления]]-Таблица1[[#This Row],[Дата рождения]]</f>
        <v>0</v>
      </c>
    </row>
    <row r="1093" spans="18:19" x14ac:dyDescent="0.25">
      <c r="R1093" s="2">
        <f>Таблица1[[#This Row],[Дата перевода]]-Таблица1[[#This Row],[Дата поступления]]</f>
        <v>0</v>
      </c>
      <c r="S1093" s="2">
        <f>Таблица1[[#This Row],[Дата поступления]]-Таблица1[[#This Row],[Дата рождения]]</f>
        <v>0</v>
      </c>
    </row>
    <row r="1094" spans="18:19" x14ac:dyDescent="0.25">
      <c r="R1094" s="2">
        <f>Таблица1[[#This Row],[Дата перевода]]-Таблица1[[#This Row],[Дата поступления]]</f>
        <v>0</v>
      </c>
      <c r="S1094" s="2">
        <f>Таблица1[[#This Row],[Дата поступления]]-Таблица1[[#This Row],[Дата рождения]]</f>
        <v>0</v>
      </c>
    </row>
    <row r="1095" spans="18:19" x14ac:dyDescent="0.25">
      <c r="R1095" s="2">
        <f>Таблица1[[#This Row],[Дата перевода]]-Таблица1[[#This Row],[Дата поступления]]</f>
        <v>0</v>
      </c>
      <c r="S1095" s="2">
        <f>Таблица1[[#This Row],[Дата поступления]]-Таблица1[[#This Row],[Дата рождения]]</f>
        <v>0</v>
      </c>
    </row>
    <row r="1096" spans="18:19" x14ac:dyDescent="0.25">
      <c r="R1096" s="2">
        <f>Таблица1[[#This Row],[Дата перевода]]-Таблица1[[#This Row],[Дата поступления]]</f>
        <v>0</v>
      </c>
      <c r="S1096" s="2">
        <f>Таблица1[[#This Row],[Дата поступления]]-Таблица1[[#This Row],[Дата рождения]]</f>
        <v>0</v>
      </c>
    </row>
    <row r="1097" spans="18:19" x14ac:dyDescent="0.25">
      <c r="R1097" s="2">
        <f>Таблица1[[#This Row],[Дата перевода]]-Таблица1[[#This Row],[Дата поступления]]</f>
        <v>0</v>
      </c>
      <c r="S1097" s="2">
        <f>Таблица1[[#This Row],[Дата поступления]]-Таблица1[[#This Row],[Дата рождения]]</f>
        <v>0</v>
      </c>
    </row>
    <row r="1098" spans="18:19" x14ac:dyDescent="0.25">
      <c r="R1098" s="2">
        <f>Таблица1[[#This Row],[Дата перевода]]-Таблица1[[#This Row],[Дата поступления]]</f>
        <v>0</v>
      </c>
      <c r="S1098" s="2">
        <f>Таблица1[[#This Row],[Дата поступления]]-Таблица1[[#This Row],[Дата рождения]]</f>
        <v>0</v>
      </c>
    </row>
    <row r="1099" spans="18:19" x14ac:dyDescent="0.25">
      <c r="R1099" s="2">
        <f>Таблица1[[#This Row],[Дата перевода]]-Таблица1[[#This Row],[Дата поступления]]</f>
        <v>0</v>
      </c>
      <c r="S1099" s="2">
        <f>Таблица1[[#This Row],[Дата поступления]]-Таблица1[[#This Row],[Дата рождения]]</f>
        <v>0</v>
      </c>
    </row>
    <row r="1100" spans="18:19" x14ac:dyDescent="0.25">
      <c r="R1100" s="2">
        <f>Таблица1[[#This Row],[Дата перевода]]-Таблица1[[#This Row],[Дата поступления]]</f>
        <v>0</v>
      </c>
      <c r="S1100" s="2">
        <f>Таблица1[[#This Row],[Дата поступления]]-Таблица1[[#This Row],[Дата рождения]]</f>
        <v>0</v>
      </c>
    </row>
    <row r="1101" spans="18:19" x14ac:dyDescent="0.25">
      <c r="R1101" s="2">
        <f>Таблица1[[#This Row],[Дата перевода]]-Таблица1[[#This Row],[Дата поступления]]</f>
        <v>0</v>
      </c>
      <c r="S1101" s="2">
        <f>Таблица1[[#This Row],[Дата поступления]]-Таблица1[[#This Row],[Дата рождения]]</f>
        <v>0</v>
      </c>
    </row>
    <row r="1102" spans="18:19" x14ac:dyDescent="0.25">
      <c r="R1102" s="2">
        <f>Таблица1[[#This Row],[Дата перевода]]-Таблица1[[#This Row],[Дата поступления]]</f>
        <v>0</v>
      </c>
      <c r="S1102" s="2">
        <f>Таблица1[[#This Row],[Дата поступления]]-Таблица1[[#This Row],[Дата рождения]]</f>
        <v>0</v>
      </c>
    </row>
    <row r="1103" spans="18:19" x14ac:dyDescent="0.25">
      <c r="R1103" s="2">
        <f>Таблица1[[#This Row],[Дата перевода]]-Таблица1[[#This Row],[Дата поступления]]</f>
        <v>0</v>
      </c>
      <c r="S1103" s="2">
        <f>Таблица1[[#This Row],[Дата поступления]]-Таблица1[[#This Row],[Дата рождения]]</f>
        <v>0</v>
      </c>
    </row>
    <row r="1104" spans="18:19" x14ac:dyDescent="0.25">
      <c r="R1104" s="2">
        <f>Таблица1[[#This Row],[Дата перевода]]-Таблица1[[#This Row],[Дата поступления]]</f>
        <v>0</v>
      </c>
      <c r="S1104" s="2">
        <f>Таблица1[[#This Row],[Дата поступления]]-Таблица1[[#This Row],[Дата рождения]]</f>
        <v>0</v>
      </c>
    </row>
    <row r="1105" spans="18:19" x14ac:dyDescent="0.25">
      <c r="R1105" s="2">
        <f>Таблица1[[#This Row],[Дата перевода]]-Таблица1[[#This Row],[Дата поступления]]</f>
        <v>0</v>
      </c>
      <c r="S1105" s="2">
        <f>Таблица1[[#This Row],[Дата поступления]]-Таблица1[[#This Row],[Дата рождения]]</f>
        <v>0</v>
      </c>
    </row>
    <row r="1106" spans="18:19" x14ac:dyDescent="0.25">
      <c r="R1106" s="2">
        <f>Таблица1[[#This Row],[Дата перевода]]-Таблица1[[#This Row],[Дата поступления]]</f>
        <v>0</v>
      </c>
      <c r="S1106" s="2">
        <f>Таблица1[[#This Row],[Дата поступления]]-Таблица1[[#This Row],[Дата рождения]]</f>
        <v>0</v>
      </c>
    </row>
    <row r="1107" spans="18:19" x14ac:dyDescent="0.25">
      <c r="R1107" s="2">
        <f>Таблица1[[#This Row],[Дата перевода]]-Таблица1[[#This Row],[Дата поступления]]</f>
        <v>0</v>
      </c>
      <c r="S1107" s="2">
        <f>Таблица1[[#This Row],[Дата поступления]]-Таблица1[[#This Row],[Дата рождения]]</f>
        <v>0</v>
      </c>
    </row>
    <row r="1108" spans="18:19" x14ac:dyDescent="0.25">
      <c r="R1108" s="2">
        <f>Таблица1[[#This Row],[Дата перевода]]-Таблица1[[#This Row],[Дата поступления]]</f>
        <v>0</v>
      </c>
      <c r="S1108" s="2">
        <f>Таблица1[[#This Row],[Дата поступления]]-Таблица1[[#This Row],[Дата рождения]]</f>
        <v>0</v>
      </c>
    </row>
    <row r="1109" spans="18:19" x14ac:dyDescent="0.25">
      <c r="R1109" s="2">
        <f>Таблица1[[#This Row],[Дата перевода]]-Таблица1[[#This Row],[Дата поступления]]</f>
        <v>0</v>
      </c>
      <c r="S1109" s="2">
        <f>Таблица1[[#This Row],[Дата поступления]]-Таблица1[[#This Row],[Дата рождения]]</f>
        <v>0</v>
      </c>
    </row>
    <row r="1110" spans="18:19" x14ac:dyDescent="0.25">
      <c r="R1110" s="2">
        <f>Таблица1[[#This Row],[Дата перевода]]-Таблица1[[#This Row],[Дата поступления]]</f>
        <v>0</v>
      </c>
      <c r="S1110" s="2">
        <f>Таблица1[[#This Row],[Дата поступления]]-Таблица1[[#This Row],[Дата рождения]]</f>
        <v>0</v>
      </c>
    </row>
    <row r="1111" spans="18:19" x14ac:dyDescent="0.25">
      <c r="R1111" s="2">
        <f>Таблица1[[#This Row],[Дата перевода]]-Таблица1[[#This Row],[Дата поступления]]</f>
        <v>0</v>
      </c>
      <c r="S1111" s="2">
        <f>Таблица1[[#This Row],[Дата поступления]]-Таблица1[[#This Row],[Дата рождения]]</f>
        <v>0</v>
      </c>
    </row>
    <row r="1112" spans="18:19" x14ac:dyDescent="0.25">
      <c r="R1112" s="2">
        <f>Таблица1[[#This Row],[Дата перевода]]-Таблица1[[#This Row],[Дата поступления]]</f>
        <v>0</v>
      </c>
      <c r="S1112" s="2">
        <f>Таблица1[[#This Row],[Дата поступления]]-Таблица1[[#This Row],[Дата рождения]]</f>
        <v>0</v>
      </c>
    </row>
    <row r="1113" spans="18:19" x14ac:dyDescent="0.25">
      <c r="R1113" s="2">
        <f>Таблица1[[#This Row],[Дата перевода]]-Таблица1[[#This Row],[Дата поступления]]</f>
        <v>0</v>
      </c>
      <c r="S1113" s="2">
        <f>Таблица1[[#This Row],[Дата поступления]]-Таблица1[[#This Row],[Дата рождения]]</f>
        <v>0</v>
      </c>
    </row>
    <row r="1114" spans="18:19" x14ac:dyDescent="0.25">
      <c r="R1114" s="2">
        <f>Таблица1[[#This Row],[Дата перевода]]-Таблица1[[#This Row],[Дата поступления]]</f>
        <v>0</v>
      </c>
      <c r="S1114" s="2">
        <f>Таблица1[[#This Row],[Дата поступления]]-Таблица1[[#This Row],[Дата рождения]]</f>
        <v>0</v>
      </c>
    </row>
    <row r="1115" spans="18:19" x14ac:dyDescent="0.25">
      <c r="R1115" s="2">
        <f>Таблица1[[#This Row],[Дата перевода]]-Таблица1[[#This Row],[Дата поступления]]</f>
        <v>0</v>
      </c>
      <c r="S1115" s="2">
        <f>Таблица1[[#This Row],[Дата поступления]]-Таблица1[[#This Row],[Дата рождения]]</f>
        <v>0</v>
      </c>
    </row>
    <row r="1116" spans="18:19" x14ac:dyDescent="0.25">
      <c r="R1116" s="2">
        <f>Таблица1[[#This Row],[Дата перевода]]-Таблица1[[#This Row],[Дата поступления]]</f>
        <v>0</v>
      </c>
      <c r="S1116" s="2">
        <f>Таблица1[[#This Row],[Дата поступления]]-Таблица1[[#This Row],[Дата рождения]]</f>
        <v>0</v>
      </c>
    </row>
    <row r="1117" spans="18:19" x14ac:dyDescent="0.25">
      <c r="R1117" s="2">
        <f>Таблица1[[#This Row],[Дата перевода]]-Таблица1[[#This Row],[Дата поступления]]</f>
        <v>0</v>
      </c>
      <c r="S1117" s="2">
        <f>Таблица1[[#This Row],[Дата поступления]]-Таблица1[[#This Row],[Дата рождения]]</f>
        <v>0</v>
      </c>
    </row>
    <row r="1118" spans="18:19" x14ac:dyDescent="0.25">
      <c r="R1118" s="2">
        <f>Таблица1[[#This Row],[Дата перевода]]-Таблица1[[#This Row],[Дата поступления]]</f>
        <v>0</v>
      </c>
      <c r="S1118" s="2">
        <f>Таблица1[[#This Row],[Дата поступления]]-Таблица1[[#This Row],[Дата рождения]]</f>
        <v>0</v>
      </c>
    </row>
    <row r="1119" spans="18:19" x14ac:dyDescent="0.25">
      <c r="R1119" s="2">
        <f>Таблица1[[#This Row],[Дата перевода]]-Таблица1[[#This Row],[Дата поступления]]</f>
        <v>0</v>
      </c>
      <c r="S1119" s="2">
        <f>Таблица1[[#This Row],[Дата поступления]]-Таблица1[[#This Row],[Дата рождения]]</f>
        <v>0</v>
      </c>
    </row>
    <row r="1120" spans="18:19" x14ac:dyDescent="0.25">
      <c r="R1120" s="2">
        <f>Таблица1[[#This Row],[Дата перевода]]-Таблица1[[#This Row],[Дата поступления]]</f>
        <v>0</v>
      </c>
      <c r="S1120" s="2">
        <f>Таблица1[[#This Row],[Дата поступления]]-Таблица1[[#This Row],[Дата рождения]]</f>
        <v>0</v>
      </c>
    </row>
    <row r="1121" spans="18:19" x14ac:dyDescent="0.25">
      <c r="R1121" s="2">
        <f>Таблица1[[#This Row],[Дата перевода]]-Таблица1[[#This Row],[Дата поступления]]</f>
        <v>0</v>
      </c>
      <c r="S1121" s="2">
        <f>Таблица1[[#This Row],[Дата поступления]]-Таблица1[[#This Row],[Дата рождения]]</f>
        <v>0</v>
      </c>
    </row>
    <row r="1122" spans="18:19" x14ac:dyDescent="0.25">
      <c r="R1122" s="2">
        <f>Таблица1[[#This Row],[Дата перевода]]-Таблица1[[#This Row],[Дата поступления]]</f>
        <v>0</v>
      </c>
      <c r="S1122" s="2">
        <f>Таблица1[[#This Row],[Дата поступления]]-Таблица1[[#This Row],[Дата рождения]]</f>
        <v>0</v>
      </c>
    </row>
    <row r="1123" spans="18:19" x14ac:dyDescent="0.25">
      <c r="R1123" s="2">
        <f>Таблица1[[#This Row],[Дата перевода]]-Таблица1[[#This Row],[Дата поступления]]</f>
        <v>0</v>
      </c>
      <c r="S1123" s="2">
        <f>Таблица1[[#This Row],[Дата поступления]]-Таблица1[[#This Row],[Дата рождения]]</f>
        <v>0</v>
      </c>
    </row>
    <row r="1124" spans="18:19" x14ac:dyDescent="0.25">
      <c r="R1124" s="2">
        <f>Таблица1[[#This Row],[Дата перевода]]-Таблица1[[#This Row],[Дата поступления]]</f>
        <v>0</v>
      </c>
      <c r="S1124" s="2">
        <f>Таблица1[[#This Row],[Дата поступления]]-Таблица1[[#This Row],[Дата рождения]]</f>
        <v>0</v>
      </c>
    </row>
    <row r="1125" spans="18:19" x14ac:dyDescent="0.25">
      <c r="R1125" s="2">
        <f>Таблица1[[#This Row],[Дата перевода]]-Таблица1[[#This Row],[Дата поступления]]</f>
        <v>0</v>
      </c>
      <c r="S1125" s="2">
        <f>Таблица1[[#This Row],[Дата поступления]]-Таблица1[[#This Row],[Дата рождения]]</f>
        <v>0</v>
      </c>
    </row>
    <row r="1126" spans="18:19" x14ac:dyDescent="0.25">
      <c r="R1126" s="2">
        <f>Таблица1[[#This Row],[Дата перевода]]-Таблица1[[#This Row],[Дата поступления]]</f>
        <v>0</v>
      </c>
      <c r="S1126" s="2">
        <f>Таблица1[[#This Row],[Дата поступления]]-Таблица1[[#This Row],[Дата рождения]]</f>
        <v>0</v>
      </c>
    </row>
    <row r="1127" spans="18:19" x14ac:dyDescent="0.25">
      <c r="R1127" s="2">
        <f>Таблица1[[#This Row],[Дата перевода]]-Таблица1[[#This Row],[Дата поступления]]</f>
        <v>0</v>
      </c>
      <c r="S1127" s="2">
        <f>Таблица1[[#This Row],[Дата поступления]]-Таблица1[[#This Row],[Дата рождения]]</f>
        <v>0</v>
      </c>
    </row>
    <row r="1128" spans="18:19" x14ac:dyDescent="0.25">
      <c r="R1128" s="2">
        <f>Таблица1[[#This Row],[Дата перевода]]-Таблица1[[#This Row],[Дата поступления]]</f>
        <v>0</v>
      </c>
      <c r="S1128" s="2">
        <f>Таблица1[[#This Row],[Дата поступления]]-Таблица1[[#This Row],[Дата рождения]]</f>
        <v>0</v>
      </c>
    </row>
    <row r="1129" spans="18:19" x14ac:dyDescent="0.25">
      <c r="R1129" s="2">
        <f>Таблица1[[#This Row],[Дата перевода]]-Таблица1[[#This Row],[Дата поступления]]</f>
        <v>0</v>
      </c>
      <c r="S1129" s="2">
        <f>Таблица1[[#This Row],[Дата поступления]]-Таблица1[[#This Row],[Дата рождения]]</f>
        <v>0</v>
      </c>
    </row>
    <row r="1130" spans="18:19" x14ac:dyDescent="0.25">
      <c r="R1130" s="2">
        <f>Таблица1[[#This Row],[Дата перевода]]-Таблица1[[#This Row],[Дата поступления]]</f>
        <v>0</v>
      </c>
      <c r="S1130" s="2">
        <f>Таблица1[[#This Row],[Дата поступления]]-Таблица1[[#This Row],[Дата рождения]]</f>
        <v>0</v>
      </c>
    </row>
    <row r="1131" spans="18:19" x14ac:dyDescent="0.25">
      <c r="R1131" s="2">
        <f>Таблица1[[#This Row],[Дата перевода]]-Таблица1[[#This Row],[Дата поступления]]</f>
        <v>0</v>
      </c>
      <c r="S1131" s="2">
        <f>Таблица1[[#This Row],[Дата поступления]]-Таблица1[[#This Row],[Дата рождения]]</f>
        <v>0</v>
      </c>
    </row>
    <row r="1132" spans="18:19" x14ac:dyDescent="0.25">
      <c r="R1132" s="2">
        <f>Таблица1[[#This Row],[Дата перевода]]-Таблица1[[#This Row],[Дата поступления]]</f>
        <v>0</v>
      </c>
      <c r="S1132" s="2">
        <f>Таблица1[[#This Row],[Дата поступления]]-Таблица1[[#This Row],[Дата рождения]]</f>
        <v>0</v>
      </c>
    </row>
    <row r="1133" spans="18:19" x14ac:dyDescent="0.25">
      <c r="R1133" s="2">
        <f>Таблица1[[#This Row],[Дата перевода]]-Таблица1[[#This Row],[Дата поступления]]</f>
        <v>0</v>
      </c>
      <c r="S1133" s="2">
        <f>Таблица1[[#This Row],[Дата поступления]]-Таблица1[[#This Row],[Дата рождения]]</f>
        <v>0</v>
      </c>
    </row>
    <row r="1134" spans="18:19" x14ac:dyDescent="0.25">
      <c r="R1134" s="2">
        <f>Таблица1[[#This Row],[Дата перевода]]-Таблица1[[#This Row],[Дата поступления]]</f>
        <v>0</v>
      </c>
      <c r="S1134" s="2">
        <f>Таблица1[[#This Row],[Дата поступления]]-Таблица1[[#This Row],[Дата рождения]]</f>
        <v>0</v>
      </c>
    </row>
    <row r="1135" spans="18:19" x14ac:dyDescent="0.25">
      <c r="R1135" s="2">
        <f>Таблица1[[#This Row],[Дата перевода]]-Таблица1[[#This Row],[Дата поступления]]</f>
        <v>0</v>
      </c>
      <c r="S1135" s="2">
        <f>Таблица1[[#This Row],[Дата поступления]]-Таблица1[[#This Row],[Дата рождения]]</f>
        <v>0</v>
      </c>
    </row>
    <row r="1136" spans="18:19" x14ac:dyDescent="0.25">
      <c r="R1136" s="2">
        <f>Таблица1[[#This Row],[Дата перевода]]-Таблица1[[#This Row],[Дата поступления]]</f>
        <v>0</v>
      </c>
      <c r="S1136" s="2">
        <f>Таблица1[[#This Row],[Дата поступления]]-Таблица1[[#This Row],[Дата рождения]]</f>
        <v>0</v>
      </c>
    </row>
    <row r="1137" spans="18:19" x14ac:dyDescent="0.25">
      <c r="R1137" s="2">
        <f>Таблица1[[#This Row],[Дата перевода]]-Таблица1[[#This Row],[Дата поступления]]</f>
        <v>0</v>
      </c>
      <c r="S1137" s="2">
        <f>Таблица1[[#This Row],[Дата поступления]]-Таблица1[[#This Row],[Дата рождения]]</f>
        <v>0</v>
      </c>
    </row>
    <row r="1138" spans="18:19" x14ac:dyDescent="0.25">
      <c r="R1138" s="2">
        <f>Таблица1[[#This Row],[Дата перевода]]-Таблица1[[#This Row],[Дата поступления]]</f>
        <v>0</v>
      </c>
      <c r="S1138" s="2">
        <f>Таблица1[[#This Row],[Дата поступления]]-Таблица1[[#This Row],[Дата рождения]]</f>
        <v>0</v>
      </c>
    </row>
    <row r="1139" spans="18:19" x14ac:dyDescent="0.25">
      <c r="R1139" s="2">
        <f>Таблица1[[#This Row],[Дата перевода]]-Таблица1[[#This Row],[Дата поступления]]</f>
        <v>0</v>
      </c>
      <c r="S1139" s="2">
        <f>Таблица1[[#This Row],[Дата поступления]]-Таблица1[[#This Row],[Дата рождения]]</f>
        <v>0</v>
      </c>
    </row>
    <row r="1140" spans="18:19" x14ac:dyDescent="0.25">
      <c r="R1140" s="2">
        <f>Таблица1[[#This Row],[Дата перевода]]-Таблица1[[#This Row],[Дата поступления]]</f>
        <v>0</v>
      </c>
      <c r="S1140" s="2">
        <f>Таблица1[[#This Row],[Дата поступления]]-Таблица1[[#This Row],[Дата рождения]]</f>
        <v>0</v>
      </c>
    </row>
    <row r="1141" spans="18:19" x14ac:dyDescent="0.25">
      <c r="R1141" s="2">
        <f>Таблица1[[#This Row],[Дата перевода]]-Таблица1[[#This Row],[Дата поступления]]</f>
        <v>0</v>
      </c>
      <c r="S1141" s="2">
        <f>Таблица1[[#This Row],[Дата поступления]]-Таблица1[[#This Row],[Дата рождения]]</f>
        <v>0</v>
      </c>
    </row>
    <row r="1142" spans="18:19" x14ac:dyDescent="0.25">
      <c r="R1142" s="2">
        <f>Таблица1[[#This Row],[Дата перевода]]-Таблица1[[#This Row],[Дата поступления]]</f>
        <v>0</v>
      </c>
      <c r="S1142" s="2">
        <f>Таблица1[[#This Row],[Дата поступления]]-Таблица1[[#This Row],[Дата рождения]]</f>
        <v>0</v>
      </c>
    </row>
    <row r="1143" spans="18:19" x14ac:dyDescent="0.25">
      <c r="R1143" s="2">
        <f>Таблица1[[#This Row],[Дата перевода]]-Таблица1[[#This Row],[Дата поступления]]</f>
        <v>0</v>
      </c>
      <c r="S1143" s="2">
        <f>Таблица1[[#This Row],[Дата поступления]]-Таблица1[[#This Row],[Дата рождения]]</f>
        <v>0</v>
      </c>
    </row>
    <row r="1144" spans="18:19" x14ac:dyDescent="0.25">
      <c r="R1144" s="2">
        <f>Таблица1[[#This Row],[Дата перевода]]-Таблица1[[#This Row],[Дата поступления]]</f>
        <v>0</v>
      </c>
      <c r="S1144" s="2">
        <f>Таблица1[[#This Row],[Дата поступления]]-Таблица1[[#This Row],[Дата рождения]]</f>
        <v>0</v>
      </c>
    </row>
    <row r="1145" spans="18:19" x14ac:dyDescent="0.25">
      <c r="R1145" s="2">
        <f>Таблица1[[#This Row],[Дата перевода]]-Таблица1[[#This Row],[Дата поступления]]</f>
        <v>0</v>
      </c>
      <c r="S1145" s="2">
        <f>Таблица1[[#This Row],[Дата поступления]]-Таблица1[[#This Row],[Дата рождения]]</f>
        <v>0</v>
      </c>
    </row>
    <row r="1146" spans="18:19" x14ac:dyDescent="0.25">
      <c r="R1146" s="2">
        <f>Таблица1[[#This Row],[Дата перевода]]-Таблица1[[#This Row],[Дата поступления]]</f>
        <v>0</v>
      </c>
      <c r="S1146" s="2">
        <f>Таблица1[[#This Row],[Дата поступления]]-Таблица1[[#This Row],[Дата рождения]]</f>
        <v>0</v>
      </c>
    </row>
    <row r="1147" spans="18:19" x14ac:dyDescent="0.25">
      <c r="R1147" s="2">
        <f>Таблица1[[#This Row],[Дата перевода]]-Таблица1[[#This Row],[Дата поступления]]</f>
        <v>0</v>
      </c>
      <c r="S1147" s="2">
        <f>Таблица1[[#This Row],[Дата поступления]]-Таблица1[[#This Row],[Дата рождения]]</f>
        <v>0</v>
      </c>
    </row>
    <row r="1148" spans="18:19" x14ac:dyDescent="0.25">
      <c r="R1148" s="2">
        <f>Таблица1[[#This Row],[Дата перевода]]-Таблица1[[#This Row],[Дата поступления]]</f>
        <v>0</v>
      </c>
      <c r="S1148" s="2">
        <f>Таблица1[[#This Row],[Дата поступления]]-Таблица1[[#This Row],[Дата рождения]]</f>
        <v>0</v>
      </c>
    </row>
    <row r="1149" spans="18:19" x14ac:dyDescent="0.25">
      <c r="R1149" s="2">
        <f>Таблица1[[#This Row],[Дата перевода]]-Таблица1[[#This Row],[Дата поступления]]</f>
        <v>0</v>
      </c>
      <c r="S1149" s="2">
        <f>Таблица1[[#This Row],[Дата поступления]]-Таблица1[[#This Row],[Дата рождения]]</f>
        <v>0</v>
      </c>
    </row>
    <row r="1150" spans="18:19" x14ac:dyDescent="0.25">
      <c r="R1150" s="2">
        <f>Таблица1[[#This Row],[Дата перевода]]-Таблица1[[#This Row],[Дата поступления]]</f>
        <v>0</v>
      </c>
      <c r="S1150" s="2">
        <f>Таблица1[[#This Row],[Дата поступления]]-Таблица1[[#This Row],[Дата рождения]]</f>
        <v>0</v>
      </c>
    </row>
    <row r="1151" spans="18:19" x14ac:dyDescent="0.25">
      <c r="R1151" s="2">
        <f>Таблица1[[#This Row],[Дата перевода]]-Таблица1[[#This Row],[Дата поступления]]</f>
        <v>0</v>
      </c>
      <c r="S1151" s="2">
        <f>Таблица1[[#This Row],[Дата поступления]]-Таблица1[[#This Row],[Дата рождения]]</f>
        <v>0</v>
      </c>
    </row>
    <row r="1152" spans="18:19" x14ac:dyDescent="0.25">
      <c r="R1152" s="2">
        <f>Таблица1[[#This Row],[Дата перевода]]-Таблица1[[#This Row],[Дата поступления]]</f>
        <v>0</v>
      </c>
      <c r="S1152" s="2">
        <f>Таблица1[[#This Row],[Дата поступления]]-Таблица1[[#This Row],[Дата рождения]]</f>
        <v>0</v>
      </c>
    </row>
    <row r="1153" spans="18:19" x14ac:dyDescent="0.25">
      <c r="R1153" s="2">
        <f>Таблица1[[#This Row],[Дата перевода]]-Таблица1[[#This Row],[Дата поступления]]</f>
        <v>0</v>
      </c>
      <c r="S1153" s="2">
        <f>Таблица1[[#This Row],[Дата поступления]]-Таблица1[[#This Row],[Дата рождения]]</f>
        <v>0</v>
      </c>
    </row>
    <row r="1154" spans="18:19" x14ac:dyDescent="0.25">
      <c r="R1154" s="2">
        <f>Таблица1[[#This Row],[Дата перевода]]-Таблица1[[#This Row],[Дата поступления]]</f>
        <v>0</v>
      </c>
      <c r="S1154" s="2">
        <f>Таблица1[[#This Row],[Дата поступления]]-Таблица1[[#This Row],[Дата рождения]]</f>
        <v>0</v>
      </c>
    </row>
    <row r="1155" spans="18:19" x14ac:dyDescent="0.25">
      <c r="R1155" s="2">
        <f>Таблица1[[#This Row],[Дата перевода]]-Таблица1[[#This Row],[Дата поступления]]</f>
        <v>0</v>
      </c>
      <c r="S1155" s="2">
        <f>Таблица1[[#This Row],[Дата поступления]]-Таблица1[[#This Row],[Дата рождения]]</f>
        <v>0</v>
      </c>
    </row>
    <row r="1156" spans="18:19" x14ac:dyDescent="0.25">
      <c r="R1156" s="2">
        <f>Таблица1[[#This Row],[Дата перевода]]-Таблица1[[#This Row],[Дата поступления]]</f>
        <v>0</v>
      </c>
      <c r="S1156" s="2">
        <f>Таблица1[[#This Row],[Дата поступления]]-Таблица1[[#This Row],[Дата рождения]]</f>
        <v>0</v>
      </c>
    </row>
    <row r="1157" spans="18:19" x14ac:dyDescent="0.25">
      <c r="R1157" s="2">
        <f>Таблица1[[#This Row],[Дата перевода]]-Таблица1[[#This Row],[Дата поступления]]</f>
        <v>0</v>
      </c>
      <c r="S1157" s="2">
        <f>Таблица1[[#This Row],[Дата поступления]]-Таблица1[[#This Row],[Дата рождения]]</f>
        <v>0</v>
      </c>
    </row>
    <row r="1158" spans="18:19" x14ac:dyDescent="0.25">
      <c r="R1158" s="2">
        <f>Таблица1[[#This Row],[Дата перевода]]-Таблица1[[#This Row],[Дата поступления]]</f>
        <v>0</v>
      </c>
      <c r="S1158" s="2">
        <f>Таблица1[[#This Row],[Дата поступления]]-Таблица1[[#This Row],[Дата рождения]]</f>
        <v>0</v>
      </c>
    </row>
    <row r="1159" spans="18:19" x14ac:dyDescent="0.25">
      <c r="R1159" s="2">
        <f>Таблица1[[#This Row],[Дата перевода]]-Таблица1[[#This Row],[Дата поступления]]</f>
        <v>0</v>
      </c>
      <c r="S1159" s="2">
        <f>Таблица1[[#This Row],[Дата поступления]]-Таблица1[[#This Row],[Дата рождения]]</f>
        <v>0</v>
      </c>
    </row>
    <row r="1160" spans="18:19" x14ac:dyDescent="0.25">
      <c r="R1160" s="2">
        <f>Таблица1[[#This Row],[Дата перевода]]-Таблица1[[#This Row],[Дата поступления]]</f>
        <v>0</v>
      </c>
      <c r="S1160" s="2">
        <f>Таблица1[[#This Row],[Дата поступления]]-Таблица1[[#This Row],[Дата рождения]]</f>
        <v>0</v>
      </c>
    </row>
    <row r="1161" spans="18:19" x14ac:dyDescent="0.25">
      <c r="R1161" s="2">
        <f>Таблица1[[#This Row],[Дата перевода]]-Таблица1[[#This Row],[Дата поступления]]</f>
        <v>0</v>
      </c>
      <c r="S1161" s="2">
        <f>Таблица1[[#This Row],[Дата поступления]]-Таблица1[[#This Row],[Дата рождения]]</f>
        <v>0</v>
      </c>
    </row>
    <row r="1162" spans="18:19" x14ac:dyDescent="0.25">
      <c r="R1162" s="2">
        <f>Таблица1[[#This Row],[Дата перевода]]-Таблица1[[#This Row],[Дата поступления]]</f>
        <v>0</v>
      </c>
      <c r="S1162" s="2">
        <f>Таблица1[[#This Row],[Дата поступления]]-Таблица1[[#This Row],[Дата рождения]]</f>
        <v>0</v>
      </c>
    </row>
    <row r="1163" spans="18:19" x14ac:dyDescent="0.25">
      <c r="R1163" s="2">
        <f>Таблица1[[#This Row],[Дата перевода]]-Таблица1[[#This Row],[Дата поступления]]</f>
        <v>0</v>
      </c>
      <c r="S1163" s="2">
        <f>Таблица1[[#This Row],[Дата поступления]]-Таблица1[[#This Row],[Дата рождения]]</f>
        <v>0</v>
      </c>
    </row>
    <row r="1164" spans="18:19" x14ac:dyDescent="0.25">
      <c r="R1164" s="2">
        <f>Таблица1[[#This Row],[Дата перевода]]-Таблица1[[#This Row],[Дата поступления]]</f>
        <v>0</v>
      </c>
      <c r="S1164" s="2">
        <f>Таблица1[[#This Row],[Дата поступления]]-Таблица1[[#This Row],[Дата рождения]]</f>
        <v>0</v>
      </c>
    </row>
    <row r="1165" spans="18:19" x14ac:dyDescent="0.25">
      <c r="R1165" s="2">
        <f>Таблица1[[#This Row],[Дата перевода]]-Таблица1[[#This Row],[Дата поступления]]</f>
        <v>0</v>
      </c>
      <c r="S1165" s="2">
        <f>Таблица1[[#This Row],[Дата поступления]]-Таблица1[[#This Row],[Дата рождения]]</f>
        <v>0</v>
      </c>
    </row>
    <row r="1166" spans="18:19" x14ac:dyDescent="0.25">
      <c r="R1166" s="2">
        <f>Таблица1[[#This Row],[Дата перевода]]-Таблица1[[#This Row],[Дата поступления]]</f>
        <v>0</v>
      </c>
      <c r="S1166" s="2">
        <f>Таблица1[[#This Row],[Дата поступления]]-Таблица1[[#This Row],[Дата рождения]]</f>
        <v>0</v>
      </c>
    </row>
    <row r="1167" spans="18:19" x14ac:dyDescent="0.25">
      <c r="R1167" s="2">
        <f>Таблица1[[#This Row],[Дата перевода]]-Таблица1[[#This Row],[Дата поступления]]</f>
        <v>0</v>
      </c>
      <c r="S1167" s="2">
        <f>Таблица1[[#This Row],[Дата поступления]]-Таблица1[[#This Row],[Дата рождения]]</f>
        <v>0</v>
      </c>
    </row>
    <row r="1168" spans="18:19" x14ac:dyDescent="0.25">
      <c r="R1168" s="2">
        <f>Таблица1[[#This Row],[Дата перевода]]-Таблица1[[#This Row],[Дата поступления]]</f>
        <v>0</v>
      </c>
      <c r="S1168" s="2">
        <f>Таблица1[[#This Row],[Дата поступления]]-Таблица1[[#This Row],[Дата рождения]]</f>
        <v>0</v>
      </c>
    </row>
    <row r="1169" spans="18:19" x14ac:dyDescent="0.25">
      <c r="R1169" s="2">
        <f>Таблица1[[#This Row],[Дата перевода]]-Таблица1[[#This Row],[Дата поступления]]</f>
        <v>0</v>
      </c>
      <c r="S1169" s="2">
        <f>Таблица1[[#This Row],[Дата поступления]]-Таблица1[[#This Row],[Дата рождения]]</f>
        <v>0</v>
      </c>
    </row>
    <row r="1170" spans="18:19" x14ac:dyDescent="0.25">
      <c r="R1170" s="2">
        <f>Таблица1[[#This Row],[Дата перевода]]-Таблица1[[#This Row],[Дата поступления]]</f>
        <v>0</v>
      </c>
      <c r="S1170" s="2">
        <f>Таблица1[[#This Row],[Дата поступления]]-Таблица1[[#This Row],[Дата рождения]]</f>
        <v>0</v>
      </c>
    </row>
    <row r="1171" spans="18:19" x14ac:dyDescent="0.25">
      <c r="R1171" s="2">
        <f>Таблица1[[#This Row],[Дата перевода]]-Таблица1[[#This Row],[Дата поступления]]</f>
        <v>0</v>
      </c>
      <c r="S1171" s="2">
        <f>Таблица1[[#This Row],[Дата поступления]]-Таблица1[[#This Row],[Дата рождения]]</f>
        <v>0</v>
      </c>
    </row>
    <row r="1172" spans="18:19" x14ac:dyDescent="0.25">
      <c r="R1172" s="2">
        <f>Таблица1[[#This Row],[Дата перевода]]-Таблица1[[#This Row],[Дата поступления]]</f>
        <v>0</v>
      </c>
      <c r="S1172" s="2">
        <f>Таблица1[[#This Row],[Дата поступления]]-Таблица1[[#This Row],[Дата рождения]]</f>
        <v>0</v>
      </c>
    </row>
    <row r="1173" spans="18:19" x14ac:dyDescent="0.25">
      <c r="R1173" s="2">
        <f>Таблица1[[#This Row],[Дата перевода]]-Таблица1[[#This Row],[Дата поступления]]</f>
        <v>0</v>
      </c>
      <c r="S1173" s="2">
        <f>Таблица1[[#This Row],[Дата поступления]]-Таблица1[[#This Row],[Дата рождения]]</f>
        <v>0</v>
      </c>
    </row>
    <row r="1174" spans="18:19" x14ac:dyDescent="0.25">
      <c r="R1174" s="2">
        <f>Таблица1[[#This Row],[Дата перевода]]-Таблица1[[#This Row],[Дата поступления]]</f>
        <v>0</v>
      </c>
      <c r="S1174" s="2">
        <f>Таблица1[[#This Row],[Дата поступления]]-Таблица1[[#This Row],[Дата рождения]]</f>
        <v>0</v>
      </c>
    </row>
    <row r="1175" spans="18:19" x14ac:dyDescent="0.25">
      <c r="R1175" s="2">
        <f>Таблица1[[#This Row],[Дата перевода]]-Таблица1[[#This Row],[Дата поступления]]</f>
        <v>0</v>
      </c>
      <c r="S1175" s="2">
        <f>Таблица1[[#This Row],[Дата поступления]]-Таблица1[[#This Row],[Дата рождения]]</f>
        <v>0</v>
      </c>
    </row>
    <row r="1176" spans="18:19" x14ac:dyDescent="0.25">
      <c r="R1176" s="2">
        <f>Таблица1[[#This Row],[Дата перевода]]-Таблица1[[#This Row],[Дата поступления]]</f>
        <v>0</v>
      </c>
      <c r="S1176" s="2">
        <f>Таблица1[[#This Row],[Дата поступления]]-Таблица1[[#This Row],[Дата рождения]]</f>
        <v>0</v>
      </c>
    </row>
    <row r="1177" spans="18:19" x14ac:dyDescent="0.25">
      <c r="R1177" s="2">
        <f>Таблица1[[#This Row],[Дата перевода]]-Таблица1[[#This Row],[Дата поступления]]</f>
        <v>0</v>
      </c>
      <c r="S1177" s="2">
        <f>Таблица1[[#This Row],[Дата поступления]]-Таблица1[[#This Row],[Дата рождения]]</f>
        <v>0</v>
      </c>
    </row>
    <row r="1178" spans="18:19" x14ac:dyDescent="0.25">
      <c r="R1178" s="2">
        <f>Таблица1[[#This Row],[Дата перевода]]-Таблица1[[#This Row],[Дата поступления]]</f>
        <v>0</v>
      </c>
      <c r="S1178" s="2">
        <f>Таблица1[[#This Row],[Дата поступления]]-Таблица1[[#This Row],[Дата рождения]]</f>
        <v>0</v>
      </c>
    </row>
    <row r="1179" spans="18:19" x14ac:dyDescent="0.25">
      <c r="R1179" s="2">
        <f>Таблица1[[#This Row],[Дата перевода]]-Таблица1[[#This Row],[Дата поступления]]</f>
        <v>0</v>
      </c>
      <c r="S1179" s="2">
        <f>Таблица1[[#This Row],[Дата поступления]]-Таблица1[[#This Row],[Дата рождения]]</f>
        <v>0</v>
      </c>
    </row>
    <row r="1180" spans="18:19" x14ac:dyDescent="0.25">
      <c r="R1180" s="2">
        <f>Таблица1[[#This Row],[Дата перевода]]-Таблица1[[#This Row],[Дата поступления]]</f>
        <v>0</v>
      </c>
      <c r="S1180" s="2">
        <f>Таблица1[[#This Row],[Дата поступления]]-Таблица1[[#This Row],[Дата рождения]]</f>
        <v>0</v>
      </c>
    </row>
    <row r="1181" spans="18:19" x14ac:dyDescent="0.25">
      <c r="R1181" s="2">
        <f>Таблица1[[#This Row],[Дата перевода]]-Таблица1[[#This Row],[Дата поступления]]</f>
        <v>0</v>
      </c>
      <c r="S1181" s="2">
        <f>Таблица1[[#This Row],[Дата поступления]]-Таблица1[[#This Row],[Дата рождения]]</f>
        <v>0</v>
      </c>
    </row>
    <row r="1182" spans="18:19" x14ac:dyDescent="0.25">
      <c r="R1182" s="2">
        <f>Таблица1[[#This Row],[Дата перевода]]-Таблица1[[#This Row],[Дата поступления]]</f>
        <v>0</v>
      </c>
      <c r="S1182" s="2">
        <f>Таблица1[[#This Row],[Дата поступления]]-Таблица1[[#This Row],[Дата рождения]]</f>
        <v>0</v>
      </c>
    </row>
    <row r="1183" spans="18:19" x14ac:dyDescent="0.25">
      <c r="R1183" s="2">
        <f>Таблица1[[#This Row],[Дата перевода]]-Таблица1[[#This Row],[Дата поступления]]</f>
        <v>0</v>
      </c>
      <c r="S1183" s="2">
        <f>Таблица1[[#This Row],[Дата поступления]]-Таблица1[[#This Row],[Дата рождения]]</f>
        <v>0</v>
      </c>
    </row>
    <row r="1184" spans="18:19" x14ac:dyDescent="0.25">
      <c r="R1184" s="2">
        <f>Таблица1[[#This Row],[Дата перевода]]-Таблица1[[#This Row],[Дата поступления]]</f>
        <v>0</v>
      </c>
      <c r="S1184" s="2">
        <f>Таблица1[[#This Row],[Дата поступления]]-Таблица1[[#This Row],[Дата рождения]]</f>
        <v>0</v>
      </c>
    </row>
    <row r="1185" spans="18:19" x14ac:dyDescent="0.25">
      <c r="R1185" s="2">
        <f>Таблица1[[#This Row],[Дата перевода]]-Таблица1[[#This Row],[Дата поступления]]</f>
        <v>0</v>
      </c>
      <c r="S1185" s="2">
        <f>Таблица1[[#This Row],[Дата поступления]]-Таблица1[[#This Row],[Дата рождения]]</f>
        <v>0</v>
      </c>
    </row>
    <row r="1186" spans="18:19" x14ac:dyDescent="0.25">
      <c r="R1186" s="2">
        <f>Таблица1[[#This Row],[Дата перевода]]-Таблица1[[#This Row],[Дата поступления]]</f>
        <v>0</v>
      </c>
      <c r="S1186" s="2">
        <f>Таблица1[[#This Row],[Дата поступления]]-Таблица1[[#This Row],[Дата рождения]]</f>
        <v>0</v>
      </c>
    </row>
    <row r="1187" spans="18:19" x14ac:dyDescent="0.25">
      <c r="R1187" s="2">
        <f>Таблица1[[#This Row],[Дата перевода]]-Таблица1[[#This Row],[Дата поступления]]</f>
        <v>0</v>
      </c>
      <c r="S1187" s="2">
        <f>Таблица1[[#This Row],[Дата поступления]]-Таблица1[[#This Row],[Дата рождения]]</f>
        <v>0</v>
      </c>
    </row>
    <row r="1188" spans="18:19" x14ac:dyDescent="0.25">
      <c r="R1188" s="2">
        <f>Таблица1[[#This Row],[Дата перевода]]-Таблица1[[#This Row],[Дата поступления]]</f>
        <v>0</v>
      </c>
      <c r="S1188" s="2">
        <f>Таблица1[[#This Row],[Дата поступления]]-Таблица1[[#This Row],[Дата рождения]]</f>
        <v>0</v>
      </c>
    </row>
    <row r="1189" spans="18:19" x14ac:dyDescent="0.25">
      <c r="R1189" s="2">
        <f>Таблица1[[#This Row],[Дата перевода]]-Таблица1[[#This Row],[Дата поступления]]</f>
        <v>0</v>
      </c>
      <c r="S1189" s="2">
        <f>Таблица1[[#This Row],[Дата поступления]]-Таблица1[[#This Row],[Дата рождения]]</f>
        <v>0</v>
      </c>
    </row>
    <row r="1190" spans="18:19" x14ac:dyDescent="0.25">
      <c r="R1190" s="2">
        <f>Таблица1[[#This Row],[Дата перевода]]-Таблица1[[#This Row],[Дата поступления]]</f>
        <v>0</v>
      </c>
      <c r="S1190" s="2">
        <f>Таблица1[[#This Row],[Дата поступления]]-Таблица1[[#This Row],[Дата рождения]]</f>
        <v>0</v>
      </c>
    </row>
    <row r="1191" spans="18:19" x14ac:dyDescent="0.25">
      <c r="R1191" s="2">
        <f>Таблица1[[#This Row],[Дата перевода]]-Таблица1[[#This Row],[Дата поступления]]</f>
        <v>0</v>
      </c>
      <c r="S1191" s="2">
        <f>Таблица1[[#This Row],[Дата поступления]]-Таблица1[[#This Row],[Дата рождения]]</f>
        <v>0</v>
      </c>
    </row>
    <row r="1192" spans="18:19" x14ac:dyDescent="0.25">
      <c r="R1192" s="2">
        <f>Таблица1[[#This Row],[Дата перевода]]-Таблица1[[#This Row],[Дата поступления]]</f>
        <v>0</v>
      </c>
      <c r="S1192" s="2">
        <f>Таблица1[[#This Row],[Дата поступления]]-Таблица1[[#This Row],[Дата рождения]]</f>
        <v>0</v>
      </c>
    </row>
    <row r="1193" spans="18:19" x14ac:dyDescent="0.25">
      <c r="R1193" s="2">
        <f>Таблица1[[#This Row],[Дата перевода]]-Таблица1[[#This Row],[Дата поступления]]</f>
        <v>0</v>
      </c>
      <c r="S1193" s="2">
        <f>Таблица1[[#This Row],[Дата поступления]]-Таблица1[[#This Row],[Дата рождения]]</f>
        <v>0</v>
      </c>
    </row>
    <row r="1194" spans="18:19" x14ac:dyDescent="0.25">
      <c r="R1194" s="2">
        <f>Таблица1[[#This Row],[Дата перевода]]-Таблица1[[#This Row],[Дата поступления]]</f>
        <v>0</v>
      </c>
      <c r="S1194" s="2">
        <f>Таблица1[[#This Row],[Дата поступления]]-Таблица1[[#This Row],[Дата рождения]]</f>
        <v>0</v>
      </c>
    </row>
    <row r="1195" spans="18:19" x14ac:dyDescent="0.25">
      <c r="R1195" s="2">
        <f>Таблица1[[#This Row],[Дата перевода]]-Таблица1[[#This Row],[Дата поступления]]</f>
        <v>0</v>
      </c>
      <c r="S1195" s="2">
        <f>Таблица1[[#This Row],[Дата поступления]]-Таблица1[[#This Row],[Дата рождения]]</f>
        <v>0</v>
      </c>
    </row>
    <row r="1196" spans="18:19" x14ac:dyDescent="0.25">
      <c r="R1196" s="2">
        <f>Таблица1[[#This Row],[Дата перевода]]-Таблица1[[#This Row],[Дата поступления]]</f>
        <v>0</v>
      </c>
      <c r="S1196" s="2">
        <f>Таблица1[[#This Row],[Дата поступления]]-Таблица1[[#This Row],[Дата рождения]]</f>
        <v>0</v>
      </c>
    </row>
    <row r="1197" spans="18:19" x14ac:dyDescent="0.25">
      <c r="R1197" s="2">
        <f>Таблица1[[#This Row],[Дата перевода]]-Таблица1[[#This Row],[Дата поступления]]</f>
        <v>0</v>
      </c>
      <c r="S1197" s="2">
        <f>Таблица1[[#This Row],[Дата поступления]]-Таблица1[[#This Row],[Дата рождения]]</f>
        <v>0</v>
      </c>
    </row>
    <row r="1198" spans="18:19" x14ac:dyDescent="0.25">
      <c r="R1198" s="2">
        <f>Таблица1[[#This Row],[Дата перевода]]-Таблица1[[#This Row],[Дата поступления]]</f>
        <v>0</v>
      </c>
      <c r="S1198" s="2">
        <f>Таблица1[[#This Row],[Дата поступления]]-Таблица1[[#This Row],[Дата рождения]]</f>
        <v>0</v>
      </c>
    </row>
    <row r="1199" spans="18:19" x14ac:dyDescent="0.25">
      <c r="R1199" s="2">
        <f>Таблица1[[#This Row],[Дата перевода]]-Таблица1[[#This Row],[Дата поступления]]</f>
        <v>0</v>
      </c>
      <c r="S1199" s="2">
        <f>Таблица1[[#This Row],[Дата поступления]]-Таблица1[[#This Row],[Дата рождения]]</f>
        <v>0</v>
      </c>
    </row>
    <row r="1200" spans="18:19" x14ac:dyDescent="0.25">
      <c r="R1200" s="2">
        <f>Таблица1[[#This Row],[Дата перевода]]-Таблица1[[#This Row],[Дата поступления]]</f>
        <v>0</v>
      </c>
      <c r="S1200" s="2">
        <f>Таблица1[[#This Row],[Дата поступления]]-Таблица1[[#This Row],[Дата рождения]]</f>
        <v>0</v>
      </c>
    </row>
    <row r="1201" spans="18:19" x14ac:dyDescent="0.25">
      <c r="R1201" s="2">
        <f>Таблица1[[#This Row],[Дата перевода]]-Таблица1[[#This Row],[Дата поступления]]</f>
        <v>0</v>
      </c>
      <c r="S1201" s="2">
        <f>Таблица1[[#This Row],[Дата поступления]]-Таблица1[[#This Row],[Дата рождения]]</f>
        <v>0</v>
      </c>
    </row>
    <row r="1202" spans="18:19" x14ac:dyDescent="0.25">
      <c r="R1202" s="2">
        <f>Таблица1[[#This Row],[Дата перевода]]-Таблица1[[#This Row],[Дата поступления]]</f>
        <v>0</v>
      </c>
      <c r="S1202" s="2">
        <f>Таблица1[[#This Row],[Дата поступления]]-Таблица1[[#This Row],[Дата рождения]]</f>
        <v>0</v>
      </c>
    </row>
    <row r="1203" spans="18:19" x14ac:dyDescent="0.25">
      <c r="R1203" s="2">
        <f>Таблица1[[#This Row],[Дата перевода]]-Таблица1[[#This Row],[Дата поступления]]</f>
        <v>0</v>
      </c>
      <c r="S1203" s="2">
        <f>Таблица1[[#This Row],[Дата поступления]]-Таблица1[[#This Row],[Дата рождения]]</f>
        <v>0</v>
      </c>
    </row>
    <row r="1204" spans="18:19" x14ac:dyDescent="0.25">
      <c r="R1204" s="2">
        <f>Таблица1[[#This Row],[Дата перевода]]-Таблица1[[#This Row],[Дата поступления]]</f>
        <v>0</v>
      </c>
      <c r="S1204" s="2">
        <f>Таблица1[[#This Row],[Дата поступления]]-Таблица1[[#This Row],[Дата рождения]]</f>
        <v>0</v>
      </c>
    </row>
    <row r="1205" spans="18:19" x14ac:dyDescent="0.25">
      <c r="R1205" s="2">
        <f>Таблица1[[#This Row],[Дата перевода]]-Таблица1[[#This Row],[Дата поступления]]</f>
        <v>0</v>
      </c>
      <c r="S1205" s="2">
        <f>Таблица1[[#This Row],[Дата поступления]]-Таблица1[[#This Row],[Дата рождения]]</f>
        <v>0</v>
      </c>
    </row>
    <row r="1206" spans="18:19" x14ac:dyDescent="0.25">
      <c r="R1206" s="2">
        <f>Таблица1[[#This Row],[Дата перевода]]-Таблица1[[#This Row],[Дата поступления]]</f>
        <v>0</v>
      </c>
      <c r="S1206" s="2">
        <f>Таблица1[[#This Row],[Дата поступления]]-Таблица1[[#This Row],[Дата рождения]]</f>
        <v>0</v>
      </c>
    </row>
    <row r="1207" spans="18:19" x14ac:dyDescent="0.25">
      <c r="R1207" s="2">
        <f>Таблица1[[#This Row],[Дата перевода]]-Таблица1[[#This Row],[Дата поступления]]</f>
        <v>0</v>
      </c>
      <c r="S1207" s="2">
        <f>Таблица1[[#This Row],[Дата поступления]]-Таблица1[[#This Row],[Дата рождения]]</f>
        <v>0</v>
      </c>
    </row>
    <row r="1208" spans="18:19" x14ac:dyDescent="0.25">
      <c r="R1208" s="2">
        <f>Таблица1[[#This Row],[Дата перевода]]-Таблица1[[#This Row],[Дата поступления]]</f>
        <v>0</v>
      </c>
      <c r="S1208" s="2">
        <f>Таблица1[[#This Row],[Дата поступления]]-Таблица1[[#This Row],[Дата рождения]]</f>
        <v>0</v>
      </c>
    </row>
    <row r="1209" spans="18:19" x14ac:dyDescent="0.25">
      <c r="R1209" s="2">
        <f>Таблица1[[#This Row],[Дата перевода]]-Таблица1[[#This Row],[Дата поступления]]</f>
        <v>0</v>
      </c>
      <c r="S1209" s="2">
        <f>Таблица1[[#This Row],[Дата поступления]]-Таблица1[[#This Row],[Дата рождения]]</f>
        <v>0</v>
      </c>
    </row>
    <row r="1210" spans="18:19" x14ac:dyDescent="0.25">
      <c r="R1210" s="2">
        <f>Таблица1[[#This Row],[Дата перевода]]-Таблица1[[#This Row],[Дата поступления]]</f>
        <v>0</v>
      </c>
      <c r="S1210" s="2">
        <f>Таблица1[[#This Row],[Дата поступления]]-Таблица1[[#This Row],[Дата рождения]]</f>
        <v>0</v>
      </c>
    </row>
    <row r="1211" spans="18:19" x14ac:dyDescent="0.25">
      <c r="R1211" s="2">
        <f>Таблица1[[#This Row],[Дата перевода]]-Таблица1[[#This Row],[Дата поступления]]</f>
        <v>0</v>
      </c>
      <c r="S1211" s="2">
        <f>Таблица1[[#This Row],[Дата поступления]]-Таблица1[[#This Row],[Дата рождения]]</f>
        <v>0</v>
      </c>
    </row>
    <row r="1212" spans="18:19" x14ac:dyDescent="0.25">
      <c r="R1212" s="2">
        <f>Таблица1[[#This Row],[Дата перевода]]-Таблица1[[#This Row],[Дата поступления]]</f>
        <v>0</v>
      </c>
      <c r="S1212" s="2">
        <f>Таблица1[[#This Row],[Дата поступления]]-Таблица1[[#This Row],[Дата рождения]]</f>
        <v>0</v>
      </c>
    </row>
    <row r="1213" spans="18:19" x14ac:dyDescent="0.25">
      <c r="R1213" s="2">
        <f>Таблица1[[#This Row],[Дата перевода]]-Таблица1[[#This Row],[Дата поступления]]</f>
        <v>0</v>
      </c>
      <c r="S1213" s="2">
        <f>Таблица1[[#This Row],[Дата поступления]]-Таблица1[[#This Row],[Дата рождения]]</f>
        <v>0</v>
      </c>
    </row>
    <row r="1214" spans="18:19" x14ac:dyDescent="0.25">
      <c r="R1214" s="2">
        <f>Таблица1[[#This Row],[Дата перевода]]-Таблица1[[#This Row],[Дата поступления]]</f>
        <v>0</v>
      </c>
      <c r="S1214" s="2">
        <f>Таблица1[[#This Row],[Дата поступления]]-Таблица1[[#This Row],[Дата рождения]]</f>
        <v>0</v>
      </c>
    </row>
    <row r="1215" spans="18:19" x14ac:dyDescent="0.25">
      <c r="R1215" s="2">
        <f>Таблица1[[#This Row],[Дата перевода]]-Таблица1[[#This Row],[Дата поступления]]</f>
        <v>0</v>
      </c>
      <c r="S1215" s="2">
        <f>Таблица1[[#This Row],[Дата поступления]]-Таблица1[[#This Row],[Дата рождения]]</f>
        <v>0</v>
      </c>
    </row>
    <row r="1216" spans="18:19" x14ac:dyDescent="0.25">
      <c r="R1216" s="2">
        <f>Таблица1[[#This Row],[Дата перевода]]-Таблица1[[#This Row],[Дата поступления]]</f>
        <v>0</v>
      </c>
      <c r="S1216" s="2">
        <f>Таблица1[[#This Row],[Дата поступления]]-Таблица1[[#This Row],[Дата рождения]]</f>
        <v>0</v>
      </c>
    </row>
    <row r="1217" spans="18:19" x14ac:dyDescent="0.25">
      <c r="R1217" s="2">
        <f>Таблица1[[#This Row],[Дата перевода]]-Таблица1[[#This Row],[Дата поступления]]</f>
        <v>0</v>
      </c>
      <c r="S1217" s="2">
        <f>Таблица1[[#This Row],[Дата поступления]]-Таблица1[[#This Row],[Дата рождения]]</f>
        <v>0</v>
      </c>
    </row>
    <row r="1218" spans="18:19" x14ac:dyDescent="0.25">
      <c r="R1218" s="2">
        <f>Таблица1[[#This Row],[Дата перевода]]-Таблица1[[#This Row],[Дата поступления]]</f>
        <v>0</v>
      </c>
      <c r="S1218" s="2">
        <f>Таблица1[[#This Row],[Дата поступления]]-Таблица1[[#This Row],[Дата рождения]]</f>
        <v>0</v>
      </c>
    </row>
    <row r="1219" spans="18:19" x14ac:dyDescent="0.25">
      <c r="R1219" s="2">
        <f>Таблица1[[#This Row],[Дата перевода]]-Таблица1[[#This Row],[Дата поступления]]</f>
        <v>0</v>
      </c>
      <c r="S1219" s="2">
        <f>Таблица1[[#This Row],[Дата поступления]]-Таблица1[[#This Row],[Дата рождения]]</f>
        <v>0</v>
      </c>
    </row>
    <row r="1220" spans="18:19" x14ac:dyDescent="0.25">
      <c r="R1220" s="2">
        <f>Таблица1[[#This Row],[Дата перевода]]-Таблица1[[#This Row],[Дата поступления]]</f>
        <v>0</v>
      </c>
      <c r="S1220" s="2">
        <f>Таблица1[[#This Row],[Дата поступления]]-Таблица1[[#This Row],[Дата рождения]]</f>
        <v>0</v>
      </c>
    </row>
    <row r="1221" spans="18:19" x14ac:dyDescent="0.25">
      <c r="R1221" s="2">
        <f>Таблица1[[#This Row],[Дата перевода]]-Таблица1[[#This Row],[Дата поступления]]</f>
        <v>0</v>
      </c>
      <c r="S1221" s="2">
        <f>Таблица1[[#This Row],[Дата поступления]]-Таблица1[[#This Row],[Дата рождения]]</f>
        <v>0</v>
      </c>
    </row>
    <row r="1222" spans="18:19" x14ac:dyDescent="0.25">
      <c r="R1222" s="2">
        <f>Таблица1[[#This Row],[Дата перевода]]-Таблица1[[#This Row],[Дата поступления]]</f>
        <v>0</v>
      </c>
      <c r="S1222" s="2">
        <f>Таблица1[[#This Row],[Дата поступления]]-Таблица1[[#This Row],[Дата рождения]]</f>
        <v>0</v>
      </c>
    </row>
    <row r="1223" spans="18:19" x14ac:dyDescent="0.25">
      <c r="R1223" s="2">
        <f>Таблица1[[#This Row],[Дата перевода]]-Таблица1[[#This Row],[Дата поступления]]</f>
        <v>0</v>
      </c>
      <c r="S1223" s="2">
        <f>Таблица1[[#This Row],[Дата поступления]]-Таблица1[[#This Row],[Дата рождения]]</f>
        <v>0</v>
      </c>
    </row>
    <row r="1224" spans="18:19" x14ac:dyDescent="0.25">
      <c r="R1224" s="2">
        <f>Таблица1[[#This Row],[Дата перевода]]-Таблица1[[#This Row],[Дата поступления]]</f>
        <v>0</v>
      </c>
      <c r="S1224" s="2">
        <f>Таблица1[[#This Row],[Дата поступления]]-Таблица1[[#This Row],[Дата рождения]]</f>
        <v>0</v>
      </c>
    </row>
    <row r="1225" spans="18:19" x14ac:dyDescent="0.25">
      <c r="R1225" s="2">
        <f>Таблица1[[#This Row],[Дата перевода]]-Таблица1[[#This Row],[Дата поступления]]</f>
        <v>0</v>
      </c>
      <c r="S1225" s="2">
        <f>Таблица1[[#This Row],[Дата поступления]]-Таблица1[[#This Row],[Дата рождения]]</f>
        <v>0</v>
      </c>
    </row>
    <row r="1226" spans="18:19" x14ac:dyDescent="0.25">
      <c r="R1226" s="2">
        <f>Таблица1[[#This Row],[Дата перевода]]-Таблица1[[#This Row],[Дата поступления]]</f>
        <v>0</v>
      </c>
      <c r="S1226" s="2">
        <f>Таблица1[[#This Row],[Дата поступления]]-Таблица1[[#This Row],[Дата рождения]]</f>
        <v>0</v>
      </c>
    </row>
    <row r="1227" spans="18:19" x14ac:dyDescent="0.25">
      <c r="R1227" s="2">
        <f>Таблица1[[#This Row],[Дата перевода]]-Таблица1[[#This Row],[Дата поступления]]</f>
        <v>0</v>
      </c>
      <c r="S1227" s="2">
        <f>Таблица1[[#This Row],[Дата поступления]]-Таблица1[[#This Row],[Дата рождения]]</f>
        <v>0</v>
      </c>
    </row>
    <row r="1228" spans="18:19" x14ac:dyDescent="0.25">
      <c r="R1228" s="2">
        <f>Таблица1[[#This Row],[Дата перевода]]-Таблица1[[#This Row],[Дата поступления]]</f>
        <v>0</v>
      </c>
      <c r="S1228" s="2">
        <f>Таблица1[[#This Row],[Дата поступления]]-Таблица1[[#This Row],[Дата рождения]]</f>
        <v>0</v>
      </c>
    </row>
    <row r="1229" spans="18:19" x14ac:dyDescent="0.25">
      <c r="R1229" s="2">
        <f>Таблица1[[#This Row],[Дата перевода]]-Таблица1[[#This Row],[Дата поступления]]</f>
        <v>0</v>
      </c>
      <c r="S1229" s="2">
        <f>Таблица1[[#This Row],[Дата поступления]]-Таблица1[[#This Row],[Дата рождения]]</f>
        <v>0</v>
      </c>
    </row>
    <row r="1230" spans="18:19" x14ac:dyDescent="0.25">
      <c r="R1230" s="2">
        <f>Таблица1[[#This Row],[Дата перевода]]-Таблица1[[#This Row],[Дата поступления]]</f>
        <v>0</v>
      </c>
      <c r="S1230" s="2">
        <f>Таблица1[[#This Row],[Дата поступления]]-Таблица1[[#This Row],[Дата рождения]]</f>
        <v>0</v>
      </c>
    </row>
    <row r="1231" spans="18:19" x14ac:dyDescent="0.25">
      <c r="R1231" s="2">
        <f>Таблица1[[#This Row],[Дата перевода]]-Таблица1[[#This Row],[Дата поступления]]</f>
        <v>0</v>
      </c>
      <c r="S1231" s="2">
        <f>Таблица1[[#This Row],[Дата поступления]]-Таблица1[[#This Row],[Дата рождения]]</f>
        <v>0</v>
      </c>
    </row>
    <row r="1232" spans="18:19" x14ac:dyDescent="0.25">
      <c r="R1232" s="2">
        <f>Таблица1[[#This Row],[Дата перевода]]-Таблица1[[#This Row],[Дата поступления]]</f>
        <v>0</v>
      </c>
      <c r="S1232" s="2">
        <f>Таблица1[[#This Row],[Дата поступления]]-Таблица1[[#This Row],[Дата рождения]]</f>
        <v>0</v>
      </c>
    </row>
    <row r="1233" spans="18:19" x14ac:dyDescent="0.25">
      <c r="R1233" s="2">
        <f>Таблица1[[#This Row],[Дата перевода]]-Таблица1[[#This Row],[Дата поступления]]</f>
        <v>0</v>
      </c>
      <c r="S1233" s="2">
        <f>Таблица1[[#This Row],[Дата поступления]]-Таблица1[[#This Row],[Дата рождения]]</f>
        <v>0</v>
      </c>
    </row>
    <row r="1234" spans="18:19" x14ac:dyDescent="0.25">
      <c r="R1234" s="2">
        <f>Таблица1[[#This Row],[Дата перевода]]-Таблица1[[#This Row],[Дата поступления]]</f>
        <v>0</v>
      </c>
      <c r="S1234" s="2">
        <f>Таблица1[[#This Row],[Дата поступления]]-Таблица1[[#This Row],[Дата рождения]]</f>
        <v>0</v>
      </c>
    </row>
    <row r="1235" spans="18:19" x14ac:dyDescent="0.25">
      <c r="R1235" s="2">
        <f>Таблица1[[#This Row],[Дата перевода]]-Таблица1[[#This Row],[Дата поступления]]</f>
        <v>0</v>
      </c>
      <c r="S1235" s="2">
        <f>Таблица1[[#This Row],[Дата поступления]]-Таблица1[[#This Row],[Дата рождения]]</f>
        <v>0</v>
      </c>
    </row>
    <row r="1236" spans="18:19" x14ac:dyDescent="0.25">
      <c r="R1236" s="2">
        <f>Таблица1[[#This Row],[Дата перевода]]-Таблица1[[#This Row],[Дата поступления]]</f>
        <v>0</v>
      </c>
      <c r="S1236" s="2">
        <f>Таблица1[[#This Row],[Дата поступления]]-Таблица1[[#This Row],[Дата рождения]]</f>
        <v>0</v>
      </c>
    </row>
    <row r="1237" spans="18:19" x14ac:dyDescent="0.25">
      <c r="R1237" s="2">
        <f>Таблица1[[#This Row],[Дата перевода]]-Таблица1[[#This Row],[Дата поступления]]</f>
        <v>0</v>
      </c>
      <c r="S1237" s="2">
        <f>Таблица1[[#This Row],[Дата поступления]]-Таблица1[[#This Row],[Дата рождения]]</f>
        <v>0</v>
      </c>
    </row>
    <row r="1238" spans="18:19" x14ac:dyDescent="0.25">
      <c r="R1238" s="2">
        <f>Таблица1[[#This Row],[Дата перевода]]-Таблица1[[#This Row],[Дата поступления]]</f>
        <v>0</v>
      </c>
      <c r="S1238" s="2">
        <f>Таблица1[[#This Row],[Дата поступления]]-Таблица1[[#This Row],[Дата рождения]]</f>
        <v>0</v>
      </c>
    </row>
    <row r="1239" spans="18:19" x14ac:dyDescent="0.25">
      <c r="R1239" s="2">
        <f>Таблица1[[#This Row],[Дата перевода]]-Таблица1[[#This Row],[Дата поступления]]</f>
        <v>0</v>
      </c>
      <c r="S1239" s="2">
        <f>Таблица1[[#This Row],[Дата поступления]]-Таблица1[[#This Row],[Дата рождения]]</f>
        <v>0</v>
      </c>
    </row>
    <row r="1240" spans="18:19" x14ac:dyDescent="0.25">
      <c r="R1240" s="2">
        <f>Таблица1[[#This Row],[Дата перевода]]-Таблица1[[#This Row],[Дата поступления]]</f>
        <v>0</v>
      </c>
      <c r="S1240" s="2">
        <f>Таблица1[[#This Row],[Дата поступления]]-Таблица1[[#This Row],[Дата рождения]]</f>
        <v>0</v>
      </c>
    </row>
    <row r="1241" spans="18:19" x14ac:dyDescent="0.25">
      <c r="R1241" s="2">
        <f>Таблица1[[#This Row],[Дата перевода]]-Таблица1[[#This Row],[Дата поступления]]</f>
        <v>0</v>
      </c>
      <c r="S1241" s="2">
        <f>Таблица1[[#This Row],[Дата поступления]]-Таблица1[[#This Row],[Дата рождения]]</f>
        <v>0</v>
      </c>
    </row>
    <row r="1242" spans="18:19" x14ac:dyDescent="0.25">
      <c r="R1242" s="2">
        <f>Таблица1[[#This Row],[Дата перевода]]-Таблица1[[#This Row],[Дата поступления]]</f>
        <v>0</v>
      </c>
      <c r="S1242" s="2">
        <f>Таблица1[[#This Row],[Дата поступления]]-Таблица1[[#This Row],[Дата рождения]]</f>
        <v>0</v>
      </c>
    </row>
    <row r="1243" spans="18:19" x14ac:dyDescent="0.25">
      <c r="R1243" s="2">
        <f>Таблица1[[#This Row],[Дата перевода]]-Таблица1[[#This Row],[Дата поступления]]</f>
        <v>0</v>
      </c>
      <c r="S1243" s="2">
        <f>Таблица1[[#This Row],[Дата поступления]]-Таблица1[[#This Row],[Дата рождения]]</f>
        <v>0</v>
      </c>
    </row>
    <row r="1244" spans="18:19" x14ac:dyDescent="0.25">
      <c r="R1244" s="2">
        <f>Таблица1[[#This Row],[Дата перевода]]-Таблица1[[#This Row],[Дата поступления]]</f>
        <v>0</v>
      </c>
      <c r="S1244" s="2">
        <f>Таблица1[[#This Row],[Дата поступления]]-Таблица1[[#This Row],[Дата рождения]]</f>
        <v>0</v>
      </c>
    </row>
    <row r="1245" spans="18:19" x14ac:dyDescent="0.25">
      <c r="R1245" s="2">
        <f>Таблица1[[#This Row],[Дата перевода]]-Таблица1[[#This Row],[Дата поступления]]</f>
        <v>0</v>
      </c>
      <c r="S1245" s="2">
        <f>Таблица1[[#This Row],[Дата поступления]]-Таблица1[[#This Row],[Дата рождения]]</f>
        <v>0</v>
      </c>
    </row>
    <row r="1246" spans="18:19" x14ac:dyDescent="0.25">
      <c r="R1246" s="2">
        <f>Таблица1[[#This Row],[Дата перевода]]-Таблица1[[#This Row],[Дата поступления]]</f>
        <v>0</v>
      </c>
      <c r="S1246" s="2">
        <f>Таблица1[[#This Row],[Дата поступления]]-Таблица1[[#This Row],[Дата рождения]]</f>
        <v>0</v>
      </c>
    </row>
    <row r="1247" spans="18:19" x14ac:dyDescent="0.25">
      <c r="R1247" s="2">
        <f>Таблица1[[#This Row],[Дата перевода]]-Таблица1[[#This Row],[Дата поступления]]</f>
        <v>0</v>
      </c>
      <c r="S1247" s="2">
        <f>Таблица1[[#This Row],[Дата поступления]]-Таблица1[[#This Row],[Дата рождения]]</f>
        <v>0</v>
      </c>
    </row>
    <row r="1248" spans="18:19" x14ac:dyDescent="0.25">
      <c r="R1248" s="2">
        <f>Таблица1[[#This Row],[Дата перевода]]-Таблица1[[#This Row],[Дата поступления]]</f>
        <v>0</v>
      </c>
      <c r="S1248" s="2">
        <f>Таблица1[[#This Row],[Дата поступления]]-Таблица1[[#This Row],[Дата рождения]]</f>
        <v>0</v>
      </c>
    </row>
    <row r="1249" spans="18:19" x14ac:dyDescent="0.25">
      <c r="R1249" s="2">
        <f>Таблица1[[#This Row],[Дата перевода]]-Таблица1[[#This Row],[Дата поступления]]</f>
        <v>0</v>
      </c>
      <c r="S1249" s="2">
        <f>Таблица1[[#This Row],[Дата поступления]]-Таблица1[[#This Row],[Дата рождения]]</f>
        <v>0</v>
      </c>
    </row>
    <row r="1250" spans="18:19" x14ac:dyDescent="0.25">
      <c r="R1250" s="2">
        <f>Таблица1[[#This Row],[Дата перевода]]-Таблица1[[#This Row],[Дата поступления]]</f>
        <v>0</v>
      </c>
      <c r="S1250" s="2">
        <f>Таблица1[[#This Row],[Дата поступления]]-Таблица1[[#This Row],[Дата рождения]]</f>
        <v>0</v>
      </c>
    </row>
    <row r="1251" spans="18:19" x14ac:dyDescent="0.25">
      <c r="R1251" s="2">
        <f>Таблица1[[#This Row],[Дата перевода]]-Таблица1[[#This Row],[Дата поступления]]</f>
        <v>0</v>
      </c>
      <c r="S1251" s="2">
        <f>Таблица1[[#This Row],[Дата поступления]]-Таблица1[[#This Row],[Дата рождения]]</f>
        <v>0</v>
      </c>
    </row>
    <row r="1252" spans="18:19" x14ac:dyDescent="0.25">
      <c r="R1252" s="2">
        <f>Таблица1[[#This Row],[Дата перевода]]-Таблица1[[#This Row],[Дата поступления]]</f>
        <v>0</v>
      </c>
      <c r="S1252" s="2">
        <f>Таблица1[[#This Row],[Дата поступления]]-Таблица1[[#This Row],[Дата рождения]]</f>
        <v>0</v>
      </c>
    </row>
    <row r="1253" spans="18:19" x14ac:dyDescent="0.25">
      <c r="R1253" s="2">
        <f>Таблица1[[#This Row],[Дата перевода]]-Таблица1[[#This Row],[Дата поступления]]</f>
        <v>0</v>
      </c>
      <c r="S1253" s="2">
        <f>Таблица1[[#This Row],[Дата поступления]]-Таблица1[[#This Row],[Дата рождения]]</f>
        <v>0</v>
      </c>
    </row>
    <row r="1254" spans="18:19" x14ac:dyDescent="0.25">
      <c r="R1254" s="2">
        <f>Таблица1[[#This Row],[Дата перевода]]-Таблица1[[#This Row],[Дата поступления]]</f>
        <v>0</v>
      </c>
      <c r="S1254" s="2">
        <f>Таблица1[[#This Row],[Дата поступления]]-Таблица1[[#This Row],[Дата рождения]]</f>
        <v>0</v>
      </c>
    </row>
    <row r="1255" spans="18:19" x14ac:dyDescent="0.25">
      <c r="R1255" s="2">
        <f>Таблица1[[#This Row],[Дата перевода]]-Таблица1[[#This Row],[Дата поступления]]</f>
        <v>0</v>
      </c>
      <c r="S1255" s="2">
        <f>Таблица1[[#This Row],[Дата поступления]]-Таблица1[[#This Row],[Дата рождения]]</f>
        <v>0</v>
      </c>
    </row>
    <row r="1256" spans="18:19" x14ac:dyDescent="0.25">
      <c r="R1256" s="2">
        <f>Таблица1[[#This Row],[Дата перевода]]-Таблица1[[#This Row],[Дата поступления]]</f>
        <v>0</v>
      </c>
      <c r="S1256" s="2">
        <f>Таблица1[[#This Row],[Дата поступления]]-Таблица1[[#This Row],[Дата рождения]]</f>
        <v>0</v>
      </c>
    </row>
    <row r="1257" spans="18:19" x14ac:dyDescent="0.25">
      <c r="R1257" s="2">
        <f>Таблица1[[#This Row],[Дата перевода]]-Таблица1[[#This Row],[Дата поступления]]</f>
        <v>0</v>
      </c>
      <c r="S1257" s="2">
        <f>Таблица1[[#This Row],[Дата поступления]]-Таблица1[[#This Row],[Дата рождения]]</f>
        <v>0</v>
      </c>
    </row>
    <row r="1258" spans="18:19" x14ac:dyDescent="0.25">
      <c r="R1258" s="2">
        <f>Таблица1[[#This Row],[Дата перевода]]-Таблица1[[#This Row],[Дата поступления]]</f>
        <v>0</v>
      </c>
      <c r="S1258" s="2">
        <f>Таблица1[[#This Row],[Дата поступления]]-Таблица1[[#This Row],[Дата рождения]]</f>
        <v>0</v>
      </c>
    </row>
    <row r="1259" spans="18:19" x14ac:dyDescent="0.25">
      <c r="R1259" s="2">
        <f>Таблица1[[#This Row],[Дата перевода]]-Таблица1[[#This Row],[Дата поступления]]</f>
        <v>0</v>
      </c>
      <c r="S1259" s="2">
        <f>Таблица1[[#This Row],[Дата поступления]]-Таблица1[[#This Row],[Дата рождения]]</f>
        <v>0</v>
      </c>
    </row>
    <row r="1260" spans="18:19" x14ac:dyDescent="0.25">
      <c r="R1260" s="2">
        <f>Таблица1[[#This Row],[Дата перевода]]-Таблица1[[#This Row],[Дата поступления]]</f>
        <v>0</v>
      </c>
      <c r="S1260" s="2">
        <f>Таблица1[[#This Row],[Дата поступления]]-Таблица1[[#This Row],[Дата рождения]]</f>
        <v>0</v>
      </c>
    </row>
    <row r="1261" spans="18:19" x14ac:dyDescent="0.25">
      <c r="R1261" s="2">
        <f>Таблица1[[#This Row],[Дата перевода]]-Таблица1[[#This Row],[Дата поступления]]</f>
        <v>0</v>
      </c>
      <c r="S1261" s="2">
        <f>Таблица1[[#This Row],[Дата поступления]]-Таблица1[[#This Row],[Дата рождения]]</f>
        <v>0</v>
      </c>
    </row>
    <row r="1262" spans="18:19" x14ac:dyDescent="0.25">
      <c r="R1262" s="2">
        <f>Таблица1[[#This Row],[Дата перевода]]-Таблица1[[#This Row],[Дата поступления]]</f>
        <v>0</v>
      </c>
      <c r="S1262" s="2">
        <f>Таблица1[[#This Row],[Дата поступления]]-Таблица1[[#This Row],[Дата рождения]]</f>
        <v>0</v>
      </c>
    </row>
    <row r="1263" spans="18:19" x14ac:dyDescent="0.25">
      <c r="R1263" s="2">
        <f>Таблица1[[#This Row],[Дата перевода]]-Таблица1[[#This Row],[Дата поступления]]</f>
        <v>0</v>
      </c>
      <c r="S1263" s="2">
        <f>Таблица1[[#This Row],[Дата поступления]]-Таблица1[[#This Row],[Дата рождения]]</f>
        <v>0</v>
      </c>
    </row>
    <row r="1264" spans="18:19" x14ac:dyDescent="0.25">
      <c r="R1264" s="2">
        <f>Таблица1[[#This Row],[Дата перевода]]-Таблица1[[#This Row],[Дата поступления]]</f>
        <v>0</v>
      </c>
      <c r="S1264" s="2">
        <f>Таблица1[[#This Row],[Дата поступления]]-Таблица1[[#This Row],[Дата рождения]]</f>
        <v>0</v>
      </c>
    </row>
    <row r="1265" spans="18:19" x14ac:dyDescent="0.25">
      <c r="R1265" s="2">
        <f>Таблица1[[#This Row],[Дата перевода]]-Таблица1[[#This Row],[Дата поступления]]</f>
        <v>0</v>
      </c>
      <c r="S1265" s="2">
        <f>Таблица1[[#This Row],[Дата поступления]]-Таблица1[[#This Row],[Дата рождения]]</f>
        <v>0</v>
      </c>
    </row>
    <row r="1266" spans="18:19" x14ac:dyDescent="0.25">
      <c r="R1266" s="2">
        <f>Таблица1[[#This Row],[Дата перевода]]-Таблица1[[#This Row],[Дата поступления]]</f>
        <v>0</v>
      </c>
      <c r="S1266" s="2">
        <f>Таблица1[[#This Row],[Дата поступления]]-Таблица1[[#This Row],[Дата рождения]]</f>
        <v>0</v>
      </c>
    </row>
    <row r="1267" spans="18:19" x14ac:dyDescent="0.25">
      <c r="R1267" s="2">
        <f>Таблица1[[#This Row],[Дата перевода]]-Таблица1[[#This Row],[Дата поступления]]</f>
        <v>0</v>
      </c>
      <c r="S1267" s="2">
        <f>Таблица1[[#This Row],[Дата поступления]]-Таблица1[[#This Row],[Дата рождения]]</f>
        <v>0</v>
      </c>
    </row>
    <row r="1268" spans="18:19" x14ac:dyDescent="0.25">
      <c r="R1268" s="2">
        <f>Таблица1[[#This Row],[Дата перевода]]-Таблица1[[#This Row],[Дата поступления]]</f>
        <v>0</v>
      </c>
      <c r="S1268" s="2">
        <f>Таблица1[[#This Row],[Дата поступления]]-Таблица1[[#This Row],[Дата рождения]]</f>
        <v>0</v>
      </c>
    </row>
    <row r="1269" spans="18:19" x14ac:dyDescent="0.25">
      <c r="R1269" s="2">
        <f>Таблица1[[#This Row],[Дата перевода]]-Таблица1[[#This Row],[Дата поступления]]</f>
        <v>0</v>
      </c>
      <c r="S1269" s="2">
        <f>Таблица1[[#This Row],[Дата поступления]]-Таблица1[[#This Row],[Дата рождения]]</f>
        <v>0</v>
      </c>
    </row>
    <row r="1270" spans="18:19" x14ac:dyDescent="0.25">
      <c r="R1270" s="2">
        <f>Таблица1[[#This Row],[Дата перевода]]-Таблица1[[#This Row],[Дата поступления]]</f>
        <v>0</v>
      </c>
      <c r="S1270" s="2">
        <f>Таблица1[[#This Row],[Дата поступления]]-Таблица1[[#This Row],[Дата рождения]]</f>
        <v>0</v>
      </c>
    </row>
    <row r="1271" spans="18:19" x14ac:dyDescent="0.25">
      <c r="R1271" s="2">
        <f>Таблица1[[#This Row],[Дата перевода]]-Таблица1[[#This Row],[Дата поступления]]</f>
        <v>0</v>
      </c>
      <c r="S1271" s="2">
        <f>Таблица1[[#This Row],[Дата поступления]]-Таблица1[[#This Row],[Дата рождения]]</f>
        <v>0</v>
      </c>
    </row>
    <row r="1272" spans="18:19" x14ac:dyDescent="0.25">
      <c r="R1272" s="2">
        <f>Таблица1[[#This Row],[Дата перевода]]-Таблица1[[#This Row],[Дата поступления]]</f>
        <v>0</v>
      </c>
      <c r="S1272" s="2">
        <f>Таблица1[[#This Row],[Дата поступления]]-Таблица1[[#This Row],[Дата рождения]]</f>
        <v>0</v>
      </c>
    </row>
    <row r="1273" spans="18:19" x14ac:dyDescent="0.25">
      <c r="R1273" s="2">
        <f>Таблица1[[#This Row],[Дата перевода]]-Таблица1[[#This Row],[Дата поступления]]</f>
        <v>0</v>
      </c>
      <c r="S1273" s="2">
        <f>Таблица1[[#This Row],[Дата поступления]]-Таблица1[[#This Row],[Дата рождения]]</f>
        <v>0</v>
      </c>
    </row>
    <row r="1274" spans="18:19" x14ac:dyDescent="0.25">
      <c r="R1274" s="2">
        <f>Таблица1[[#This Row],[Дата перевода]]-Таблица1[[#This Row],[Дата поступления]]</f>
        <v>0</v>
      </c>
      <c r="S1274" s="2">
        <f>Таблица1[[#This Row],[Дата поступления]]-Таблица1[[#This Row],[Дата рождения]]</f>
        <v>0</v>
      </c>
    </row>
    <row r="1275" spans="18:19" x14ac:dyDescent="0.25">
      <c r="R1275" s="2">
        <f>Таблица1[[#This Row],[Дата перевода]]-Таблица1[[#This Row],[Дата поступления]]</f>
        <v>0</v>
      </c>
      <c r="S1275" s="2">
        <f>Таблица1[[#This Row],[Дата поступления]]-Таблица1[[#This Row],[Дата рождения]]</f>
        <v>0</v>
      </c>
    </row>
    <row r="1276" spans="18:19" x14ac:dyDescent="0.25">
      <c r="R1276" s="2">
        <f>Таблица1[[#This Row],[Дата перевода]]-Таблица1[[#This Row],[Дата поступления]]</f>
        <v>0</v>
      </c>
      <c r="S1276" s="2">
        <f>Таблица1[[#This Row],[Дата поступления]]-Таблица1[[#This Row],[Дата рождения]]</f>
        <v>0</v>
      </c>
    </row>
    <row r="1277" spans="18:19" x14ac:dyDescent="0.25">
      <c r="R1277" s="2">
        <f>Таблица1[[#This Row],[Дата перевода]]-Таблица1[[#This Row],[Дата поступления]]</f>
        <v>0</v>
      </c>
      <c r="S1277" s="2">
        <f>Таблица1[[#This Row],[Дата поступления]]-Таблица1[[#This Row],[Дата рождения]]</f>
        <v>0</v>
      </c>
    </row>
    <row r="1278" spans="18:19" x14ac:dyDescent="0.25">
      <c r="R1278" s="2">
        <f>Таблица1[[#This Row],[Дата перевода]]-Таблица1[[#This Row],[Дата поступления]]</f>
        <v>0</v>
      </c>
      <c r="S1278" s="2">
        <f>Таблица1[[#This Row],[Дата поступления]]-Таблица1[[#This Row],[Дата рождения]]</f>
        <v>0</v>
      </c>
    </row>
    <row r="1279" spans="18:19" x14ac:dyDescent="0.25">
      <c r="R1279" s="2">
        <f>Таблица1[[#This Row],[Дата перевода]]-Таблица1[[#This Row],[Дата поступления]]</f>
        <v>0</v>
      </c>
      <c r="S1279" s="2">
        <f>Таблица1[[#This Row],[Дата поступления]]-Таблица1[[#This Row],[Дата рождения]]</f>
        <v>0</v>
      </c>
    </row>
    <row r="1280" spans="18:19" x14ac:dyDescent="0.25">
      <c r="R1280" s="2">
        <f>Таблица1[[#This Row],[Дата перевода]]-Таблица1[[#This Row],[Дата поступления]]</f>
        <v>0</v>
      </c>
      <c r="S1280" s="2">
        <f>Таблица1[[#This Row],[Дата поступления]]-Таблица1[[#This Row],[Дата рождения]]</f>
        <v>0</v>
      </c>
    </row>
    <row r="1281" spans="18:19" x14ac:dyDescent="0.25">
      <c r="R1281" s="2">
        <f>Таблица1[[#This Row],[Дата перевода]]-Таблица1[[#This Row],[Дата поступления]]</f>
        <v>0</v>
      </c>
      <c r="S1281" s="2">
        <f>Таблица1[[#This Row],[Дата поступления]]-Таблица1[[#This Row],[Дата рождения]]</f>
        <v>0</v>
      </c>
    </row>
    <row r="1282" spans="18:19" x14ac:dyDescent="0.25">
      <c r="R1282" s="2">
        <f>Таблица1[[#This Row],[Дата перевода]]-Таблица1[[#This Row],[Дата поступления]]</f>
        <v>0</v>
      </c>
      <c r="S1282" s="2">
        <f>Таблица1[[#This Row],[Дата поступления]]-Таблица1[[#This Row],[Дата рождения]]</f>
        <v>0</v>
      </c>
    </row>
    <row r="1283" spans="18:19" x14ac:dyDescent="0.25">
      <c r="R1283" s="2">
        <f>Таблица1[[#This Row],[Дата перевода]]-Таблица1[[#This Row],[Дата поступления]]</f>
        <v>0</v>
      </c>
      <c r="S1283" s="2">
        <f>Таблица1[[#This Row],[Дата поступления]]-Таблица1[[#This Row],[Дата рождения]]</f>
        <v>0</v>
      </c>
    </row>
    <row r="1284" spans="18:19" x14ac:dyDescent="0.25">
      <c r="R1284" s="2">
        <f>Таблица1[[#This Row],[Дата перевода]]-Таблица1[[#This Row],[Дата поступления]]</f>
        <v>0</v>
      </c>
      <c r="S1284" s="2">
        <f>Таблица1[[#This Row],[Дата поступления]]-Таблица1[[#This Row],[Дата рождения]]</f>
        <v>0</v>
      </c>
    </row>
    <row r="1285" spans="18:19" x14ac:dyDescent="0.25">
      <c r="R1285" s="2">
        <f>Таблица1[[#This Row],[Дата перевода]]-Таблица1[[#This Row],[Дата поступления]]</f>
        <v>0</v>
      </c>
      <c r="S1285" s="2">
        <f>Таблица1[[#This Row],[Дата поступления]]-Таблица1[[#This Row],[Дата рождения]]</f>
        <v>0</v>
      </c>
    </row>
    <row r="1286" spans="18:19" x14ac:dyDescent="0.25">
      <c r="R1286" s="2">
        <f>Таблица1[[#This Row],[Дата перевода]]-Таблица1[[#This Row],[Дата поступления]]</f>
        <v>0</v>
      </c>
      <c r="S1286" s="2">
        <f>Таблица1[[#This Row],[Дата поступления]]-Таблица1[[#This Row],[Дата рождения]]</f>
        <v>0</v>
      </c>
    </row>
    <row r="1287" spans="18:19" x14ac:dyDescent="0.25">
      <c r="R1287" s="2">
        <f>Таблица1[[#This Row],[Дата перевода]]-Таблица1[[#This Row],[Дата поступления]]</f>
        <v>0</v>
      </c>
      <c r="S1287" s="2">
        <f>Таблица1[[#This Row],[Дата поступления]]-Таблица1[[#This Row],[Дата рождения]]</f>
        <v>0</v>
      </c>
    </row>
    <row r="1288" spans="18:19" x14ac:dyDescent="0.25">
      <c r="R1288" s="2">
        <f>Таблица1[[#This Row],[Дата перевода]]-Таблица1[[#This Row],[Дата поступления]]</f>
        <v>0</v>
      </c>
      <c r="S1288" s="2">
        <f>Таблица1[[#This Row],[Дата поступления]]-Таблица1[[#This Row],[Дата рождения]]</f>
        <v>0</v>
      </c>
    </row>
    <row r="1289" spans="18:19" x14ac:dyDescent="0.25">
      <c r="R1289" s="2">
        <f>Таблица1[[#This Row],[Дата перевода]]-Таблица1[[#This Row],[Дата поступления]]</f>
        <v>0</v>
      </c>
      <c r="S1289" s="2">
        <f>Таблица1[[#This Row],[Дата поступления]]-Таблица1[[#This Row],[Дата рождения]]</f>
        <v>0</v>
      </c>
    </row>
    <row r="1290" spans="18:19" x14ac:dyDescent="0.25">
      <c r="R1290" s="2">
        <f>Таблица1[[#This Row],[Дата перевода]]-Таблица1[[#This Row],[Дата поступления]]</f>
        <v>0</v>
      </c>
      <c r="S1290" s="2">
        <f>Таблица1[[#This Row],[Дата поступления]]-Таблица1[[#This Row],[Дата рождения]]</f>
        <v>0</v>
      </c>
    </row>
    <row r="1291" spans="18:19" x14ac:dyDescent="0.25">
      <c r="R1291" s="2">
        <f>Таблица1[[#This Row],[Дата перевода]]-Таблица1[[#This Row],[Дата поступления]]</f>
        <v>0</v>
      </c>
      <c r="S1291" s="2">
        <f>Таблица1[[#This Row],[Дата поступления]]-Таблица1[[#This Row],[Дата рождения]]</f>
        <v>0</v>
      </c>
    </row>
    <row r="1292" spans="18:19" x14ac:dyDescent="0.25">
      <c r="R1292" s="2">
        <f>Таблица1[[#This Row],[Дата перевода]]-Таблица1[[#This Row],[Дата поступления]]</f>
        <v>0</v>
      </c>
      <c r="S1292" s="2">
        <f>Таблица1[[#This Row],[Дата поступления]]-Таблица1[[#This Row],[Дата рождения]]</f>
        <v>0</v>
      </c>
    </row>
    <row r="1293" spans="18:19" x14ac:dyDescent="0.25">
      <c r="R1293" s="2">
        <f>Таблица1[[#This Row],[Дата перевода]]-Таблица1[[#This Row],[Дата поступления]]</f>
        <v>0</v>
      </c>
      <c r="S1293" s="2">
        <f>Таблица1[[#This Row],[Дата поступления]]-Таблица1[[#This Row],[Дата рождения]]</f>
        <v>0</v>
      </c>
    </row>
    <row r="1294" spans="18:19" x14ac:dyDescent="0.25">
      <c r="R1294" s="2">
        <f>Таблица1[[#This Row],[Дата перевода]]-Таблица1[[#This Row],[Дата поступления]]</f>
        <v>0</v>
      </c>
      <c r="S1294" s="2">
        <f>Таблица1[[#This Row],[Дата поступления]]-Таблица1[[#This Row],[Дата рождения]]</f>
        <v>0</v>
      </c>
    </row>
    <row r="1295" spans="18:19" x14ac:dyDescent="0.25">
      <c r="R1295" s="2">
        <f>Таблица1[[#This Row],[Дата перевода]]-Таблица1[[#This Row],[Дата поступления]]</f>
        <v>0</v>
      </c>
      <c r="S1295" s="2">
        <f>Таблица1[[#This Row],[Дата поступления]]-Таблица1[[#This Row],[Дата рождения]]</f>
        <v>0</v>
      </c>
    </row>
    <row r="1296" spans="18:19" x14ac:dyDescent="0.25">
      <c r="R1296" s="2">
        <f>Таблица1[[#This Row],[Дата перевода]]-Таблица1[[#This Row],[Дата поступления]]</f>
        <v>0</v>
      </c>
      <c r="S1296" s="2">
        <f>Таблица1[[#This Row],[Дата поступления]]-Таблица1[[#This Row],[Дата рождения]]</f>
        <v>0</v>
      </c>
    </row>
    <row r="1297" spans="18:19" x14ac:dyDescent="0.25">
      <c r="R1297" s="2">
        <f>Таблица1[[#This Row],[Дата перевода]]-Таблица1[[#This Row],[Дата поступления]]</f>
        <v>0</v>
      </c>
      <c r="S1297" s="2">
        <f>Таблица1[[#This Row],[Дата поступления]]-Таблица1[[#This Row],[Дата рождения]]</f>
        <v>0</v>
      </c>
    </row>
    <row r="1298" spans="18:19" x14ac:dyDescent="0.25">
      <c r="R1298" s="2">
        <f>Таблица1[[#This Row],[Дата перевода]]-Таблица1[[#This Row],[Дата поступления]]</f>
        <v>0</v>
      </c>
      <c r="S1298" s="2">
        <f>Таблица1[[#This Row],[Дата поступления]]-Таблица1[[#This Row],[Дата рождения]]</f>
        <v>0</v>
      </c>
    </row>
    <row r="1299" spans="18:19" x14ac:dyDescent="0.25">
      <c r="R1299" s="2">
        <f>Таблица1[[#This Row],[Дата перевода]]-Таблица1[[#This Row],[Дата поступления]]</f>
        <v>0</v>
      </c>
      <c r="S1299" s="2">
        <f>Таблица1[[#This Row],[Дата поступления]]-Таблица1[[#This Row],[Дата рождения]]</f>
        <v>0</v>
      </c>
    </row>
    <row r="1300" spans="18:19" x14ac:dyDescent="0.25">
      <c r="R1300" s="2">
        <f>Таблица1[[#This Row],[Дата перевода]]-Таблица1[[#This Row],[Дата поступления]]</f>
        <v>0</v>
      </c>
      <c r="S1300" s="2">
        <f>Таблица1[[#This Row],[Дата поступления]]-Таблица1[[#This Row],[Дата рождения]]</f>
        <v>0</v>
      </c>
    </row>
    <row r="1301" spans="18:19" x14ac:dyDescent="0.25">
      <c r="R1301" s="2">
        <f>Таблица1[[#This Row],[Дата перевода]]-Таблица1[[#This Row],[Дата поступления]]</f>
        <v>0</v>
      </c>
      <c r="S1301" s="2">
        <f>Таблица1[[#This Row],[Дата поступления]]-Таблица1[[#This Row],[Дата рождения]]</f>
        <v>0</v>
      </c>
    </row>
    <row r="1302" spans="18:19" x14ac:dyDescent="0.25">
      <c r="R1302" s="2">
        <f>Таблица1[[#This Row],[Дата перевода]]-Таблица1[[#This Row],[Дата поступления]]</f>
        <v>0</v>
      </c>
      <c r="S1302" s="2">
        <f>Таблица1[[#This Row],[Дата поступления]]-Таблица1[[#This Row],[Дата рождения]]</f>
        <v>0</v>
      </c>
    </row>
    <row r="1303" spans="18:19" x14ac:dyDescent="0.25">
      <c r="R1303" s="2">
        <f>Таблица1[[#This Row],[Дата перевода]]-Таблица1[[#This Row],[Дата поступления]]</f>
        <v>0</v>
      </c>
      <c r="S1303" s="2">
        <f>Таблица1[[#This Row],[Дата поступления]]-Таблица1[[#This Row],[Дата рождения]]</f>
        <v>0</v>
      </c>
    </row>
    <row r="1304" spans="18:19" x14ac:dyDescent="0.25">
      <c r="R1304" s="2">
        <f>Таблица1[[#This Row],[Дата перевода]]-Таблица1[[#This Row],[Дата поступления]]</f>
        <v>0</v>
      </c>
      <c r="S1304" s="2">
        <f>Таблица1[[#This Row],[Дата поступления]]-Таблица1[[#This Row],[Дата рождения]]</f>
        <v>0</v>
      </c>
    </row>
    <row r="1305" spans="18:19" x14ac:dyDescent="0.25">
      <c r="R1305" s="2">
        <f>Таблица1[[#This Row],[Дата перевода]]-Таблица1[[#This Row],[Дата поступления]]</f>
        <v>0</v>
      </c>
      <c r="S1305" s="2">
        <f>Таблица1[[#This Row],[Дата поступления]]-Таблица1[[#This Row],[Дата рождения]]</f>
        <v>0</v>
      </c>
    </row>
    <row r="1306" spans="18:19" x14ac:dyDescent="0.25">
      <c r="R1306" s="2">
        <f>Таблица1[[#This Row],[Дата перевода]]-Таблица1[[#This Row],[Дата поступления]]</f>
        <v>0</v>
      </c>
      <c r="S1306" s="2">
        <f>Таблица1[[#This Row],[Дата поступления]]-Таблица1[[#This Row],[Дата рождения]]</f>
        <v>0</v>
      </c>
    </row>
    <row r="1307" spans="18:19" x14ac:dyDescent="0.25">
      <c r="R1307" s="2">
        <f>Таблица1[[#This Row],[Дата перевода]]-Таблица1[[#This Row],[Дата поступления]]</f>
        <v>0</v>
      </c>
      <c r="S1307" s="2">
        <f>Таблица1[[#This Row],[Дата поступления]]-Таблица1[[#This Row],[Дата рождения]]</f>
        <v>0</v>
      </c>
    </row>
    <row r="1308" spans="18:19" x14ac:dyDescent="0.25">
      <c r="R1308" s="2">
        <f>Таблица1[[#This Row],[Дата перевода]]-Таблица1[[#This Row],[Дата поступления]]</f>
        <v>0</v>
      </c>
      <c r="S1308" s="2">
        <f>Таблица1[[#This Row],[Дата поступления]]-Таблица1[[#This Row],[Дата рождения]]</f>
        <v>0</v>
      </c>
    </row>
    <row r="1309" spans="18:19" x14ac:dyDescent="0.25">
      <c r="R1309" s="2">
        <f>Таблица1[[#This Row],[Дата перевода]]-Таблица1[[#This Row],[Дата поступления]]</f>
        <v>0</v>
      </c>
      <c r="S1309" s="2">
        <f>Таблица1[[#This Row],[Дата поступления]]-Таблица1[[#This Row],[Дата рождения]]</f>
        <v>0</v>
      </c>
    </row>
    <row r="1310" spans="18:19" x14ac:dyDescent="0.25">
      <c r="R1310" s="2">
        <f>Таблица1[[#This Row],[Дата перевода]]-Таблица1[[#This Row],[Дата поступления]]</f>
        <v>0</v>
      </c>
      <c r="S1310" s="2">
        <f>Таблица1[[#This Row],[Дата поступления]]-Таблица1[[#This Row],[Дата рождения]]</f>
        <v>0</v>
      </c>
    </row>
    <row r="1311" spans="18:19" x14ac:dyDescent="0.25">
      <c r="R1311" s="2">
        <f>Таблица1[[#This Row],[Дата перевода]]-Таблица1[[#This Row],[Дата поступления]]</f>
        <v>0</v>
      </c>
      <c r="S1311" s="2">
        <f>Таблица1[[#This Row],[Дата поступления]]-Таблица1[[#This Row],[Дата рождения]]</f>
        <v>0</v>
      </c>
    </row>
    <row r="1312" spans="18:19" x14ac:dyDescent="0.25">
      <c r="R1312" s="2">
        <f>Таблица1[[#This Row],[Дата перевода]]-Таблица1[[#This Row],[Дата поступления]]</f>
        <v>0</v>
      </c>
      <c r="S1312" s="2">
        <f>Таблица1[[#This Row],[Дата поступления]]-Таблица1[[#This Row],[Дата рождения]]</f>
        <v>0</v>
      </c>
    </row>
    <row r="1313" spans="18:19" x14ac:dyDescent="0.25">
      <c r="R1313" s="2">
        <f>Таблица1[[#This Row],[Дата перевода]]-Таблица1[[#This Row],[Дата поступления]]</f>
        <v>0</v>
      </c>
      <c r="S1313" s="2">
        <f>Таблица1[[#This Row],[Дата поступления]]-Таблица1[[#This Row],[Дата рождения]]</f>
        <v>0</v>
      </c>
    </row>
    <row r="1314" spans="18:19" x14ac:dyDescent="0.25">
      <c r="R1314" s="2">
        <f>Таблица1[[#This Row],[Дата перевода]]-Таблица1[[#This Row],[Дата поступления]]</f>
        <v>0</v>
      </c>
      <c r="S1314" s="2">
        <f>Таблица1[[#This Row],[Дата поступления]]-Таблица1[[#This Row],[Дата рождения]]</f>
        <v>0</v>
      </c>
    </row>
    <row r="1315" spans="18:19" x14ac:dyDescent="0.25">
      <c r="R1315" s="2">
        <f>Таблица1[[#This Row],[Дата перевода]]-Таблица1[[#This Row],[Дата поступления]]</f>
        <v>0</v>
      </c>
      <c r="S1315" s="2">
        <f>Таблица1[[#This Row],[Дата поступления]]-Таблица1[[#This Row],[Дата рождения]]</f>
        <v>0</v>
      </c>
    </row>
    <row r="1316" spans="18:19" x14ac:dyDescent="0.25">
      <c r="R1316" s="2">
        <f>Таблица1[[#This Row],[Дата перевода]]-Таблица1[[#This Row],[Дата поступления]]</f>
        <v>0</v>
      </c>
      <c r="S1316" s="2">
        <f>Таблица1[[#This Row],[Дата поступления]]-Таблица1[[#This Row],[Дата рождения]]</f>
        <v>0</v>
      </c>
    </row>
    <row r="1317" spans="18:19" x14ac:dyDescent="0.25">
      <c r="R1317" s="2">
        <f>Таблица1[[#This Row],[Дата перевода]]-Таблица1[[#This Row],[Дата поступления]]</f>
        <v>0</v>
      </c>
      <c r="S1317" s="2">
        <f>Таблица1[[#This Row],[Дата поступления]]-Таблица1[[#This Row],[Дата рождения]]</f>
        <v>0</v>
      </c>
    </row>
    <row r="1318" spans="18:19" x14ac:dyDescent="0.25">
      <c r="R1318" s="2">
        <f>Таблица1[[#This Row],[Дата перевода]]-Таблица1[[#This Row],[Дата поступления]]</f>
        <v>0</v>
      </c>
      <c r="S1318" s="2">
        <f>Таблица1[[#This Row],[Дата поступления]]-Таблица1[[#This Row],[Дата рождения]]</f>
        <v>0</v>
      </c>
    </row>
    <row r="1319" spans="18:19" x14ac:dyDescent="0.25">
      <c r="R1319" s="2">
        <f>Таблица1[[#This Row],[Дата перевода]]-Таблица1[[#This Row],[Дата поступления]]</f>
        <v>0</v>
      </c>
      <c r="S1319" s="2">
        <f>Таблица1[[#This Row],[Дата поступления]]-Таблица1[[#This Row],[Дата рождения]]</f>
        <v>0</v>
      </c>
    </row>
    <row r="1320" spans="18:19" x14ac:dyDescent="0.25">
      <c r="R1320" s="2">
        <f>Таблица1[[#This Row],[Дата перевода]]-Таблица1[[#This Row],[Дата поступления]]</f>
        <v>0</v>
      </c>
      <c r="S1320" s="2">
        <f>Таблица1[[#This Row],[Дата поступления]]-Таблица1[[#This Row],[Дата рождения]]</f>
        <v>0</v>
      </c>
    </row>
    <row r="1321" spans="18:19" x14ac:dyDescent="0.25">
      <c r="R1321" s="2">
        <f>Таблица1[[#This Row],[Дата перевода]]-Таблица1[[#This Row],[Дата поступления]]</f>
        <v>0</v>
      </c>
      <c r="S1321" s="2">
        <f>Таблица1[[#This Row],[Дата поступления]]-Таблица1[[#This Row],[Дата рождения]]</f>
        <v>0</v>
      </c>
    </row>
    <row r="1322" spans="18:19" x14ac:dyDescent="0.25">
      <c r="R1322" s="2">
        <f>Таблица1[[#This Row],[Дата перевода]]-Таблица1[[#This Row],[Дата поступления]]</f>
        <v>0</v>
      </c>
      <c r="S1322" s="2">
        <f>Таблица1[[#This Row],[Дата поступления]]-Таблица1[[#This Row],[Дата рождения]]</f>
        <v>0</v>
      </c>
    </row>
    <row r="1323" spans="18:19" x14ac:dyDescent="0.25">
      <c r="R1323" s="2">
        <f>Таблица1[[#This Row],[Дата перевода]]-Таблица1[[#This Row],[Дата поступления]]</f>
        <v>0</v>
      </c>
      <c r="S1323" s="2">
        <f>Таблица1[[#This Row],[Дата поступления]]-Таблица1[[#This Row],[Дата рождения]]</f>
        <v>0</v>
      </c>
    </row>
    <row r="1324" spans="18:19" x14ac:dyDescent="0.25">
      <c r="R1324" s="2">
        <f>Таблица1[[#This Row],[Дата перевода]]-Таблица1[[#This Row],[Дата поступления]]</f>
        <v>0</v>
      </c>
      <c r="S1324" s="2">
        <f>Таблица1[[#This Row],[Дата поступления]]-Таблица1[[#This Row],[Дата рождения]]</f>
        <v>0</v>
      </c>
    </row>
    <row r="1325" spans="18:19" x14ac:dyDescent="0.25">
      <c r="R1325" s="2">
        <f>Таблица1[[#This Row],[Дата перевода]]-Таблица1[[#This Row],[Дата поступления]]</f>
        <v>0</v>
      </c>
      <c r="S1325" s="2">
        <f>Таблица1[[#This Row],[Дата поступления]]-Таблица1[[#This Row],[Дата рождения]]</f>
        <v>0</v>
      </c>
    </row>
    <row r="1326" spans="18:19" x14ac:dyDescent="0.25">
      <c r="R1326" s="2">
        <f>Таблица1[[#This Row],[Дата перевода]]-Таблица1[[#This Row],[Дата поступления]]</f>
        <v>0</v>
      </c>
      <c r="S1326" s="2">
        <f>Таблица1[[#This Row],[Дата поступления]]-Таблица1[[#This Row],[Дата рождения]]</f>
        <v>0</v>
      </c>
    </row>
    <row r="1327" spans="18:19" x14ac:dyDescent="0.25">
      <c r="R1327" s="2">
        <f>Таблица1[[#This Row],[Дата перевода]]-Таблица1[[#This Row],[Дата поступления]]</f>
        <v>0</v>
      </c>
      <c r="S1327" s="2">
        <f>Таблица1[[#This Row],[Дата поступления]]-Таблица1[[#This Row],[Дата рождения]]</f>
        <v>0</v>
      </c>
    </row>
    <row r="1328" spans="18:19" x14ac:dyDescent="0.25">
      <c r="R1328" s="2">
        <f>Таблица1[[#This Row],[Дата перевода]]-Таблица1[[#This Row],[Дата поступления]]</f>
        <v>0</v>
      </c>
      <c r="S1328" s="2">
        <f>Таблица1[[#This Row],[Дата поступления]]-Таблица1[[#This Row],[Дата рождения]]</f>
        <v>0</v>
      </c>
    </row>
    <row r="1329" spans="18:19" x14ac:dyDescent="0.25">
      <c r="R1329" s="2">
        <f>Таблица1[[#This Row],[Дата перевода]]-Таблица1[[#This Row],[Дата поступления]]</f>
        <v>0</v>
      </c>
      <c r="S1329" s="2">
        <f>Таблица1[[#This Row],[Дата поступления]]-Таблица1[[#This Row],[Дата рождения]]</f>
        <v>0</v>
      </c>
    </row>
    <row r="1330" spans="18:19" x14ac:dyDescent="0.25">
      <c r="R1330" s="2">
        <f>Таблица1[[#This Row],[Дата перевода]]-Таблица1[[#This Row],[Дата поступления]]</f>
        <v>0</v>
      </c>
      <c r="S1330" s="2">
        <f>Таблица1[[#This Row],[Дата поступления]]-Таблица1[[#This Row],[Дата рождения]]</f>
        <v>0</v>
      </c>
    </row>
    <row r="1331" spans="18:19" x14ac:dyDescent="0.25">
      <c r="R1331" s="2">
        <f>Таблица1[[#This Row],[Дата перевода]]-Таблица1[[#This Row],[Дата поступления]]</f>
        <v>0</v>
      </c>
      <c r="S1331" s="2">
        <f>Таблица1[[#This Row],[Дата поступления]]-Таблица1[[#This Row],[Дата рождения]]</f>
        <v>0</v>
      </c>
    </row>
    <row r="1332" spans="18:19" x14ac:dyDescent="0.25">
      <c r="R1332" s="2">
        <f>Таблица1[[#This Row],[Дата перевода]]-Таблица1[[#This Row],[Дата поступления]]</f>
        <v>0</v>
      </c>
      <c r="S1332" s="2">
        <f>Таблица1[[#This Row],[Дата поступления]]-Таблица1[[#This Row],[Дата рождения]]</f>
        <v>0</v>
      </c>
    </row>
    <row r="1333" spans="18:19" x14ac:dyDescent="0.25">
      <c r="R1333" s="2">
        <f>Таблица1[[#This Row],[Дата перевода]]-Таблица1[[#This Row],[Дата поступления]]</f>
        <v>0</v>
      </c>
      <c r="S1333" s="2">
        <f>Таблица1[[#This Row],[Дата поступления]]-Таблица1[[#This Row],[Дата рождения]]</f>
        <v>0</v>
      </c>
    </row>
    <row r="1334" spans="18:19" x14ac:dyDescent="0.25">
      <c r="R1334" s="2">
        <f>Таблица1[[#This Row],[Дата перевода]]-Таблица1[[#This Row],[Дата поступления]]</f>
        <v>0</v>
      </c>
      <c r="S1334" s="2">
        <f>Таблица1[[#This Row],[Дата поступления]]-Таблица1[[#This Row],[Дата рождения]]</f>
        <v>0</v>
      </c>
    </row>
    <row r="1335" spans="18:19" x14ac:dyDescent="0.25">
      <c r="R1335" s="2">
        <f>Таблица1[[#This Row],[Дата перевода]]-Таблица1[[#This Row],[Дата поступления]]</f>
        <v>0</v>
      </c>
      <c r="S1335" s="2">
        <f>Таблица1[[#This Row],[Дата поступления]]-Таблица1[[#This Row],[Дата рождения]]</f>
        <v>0</v>
      </c>
    </row>
    <row r="1336" spans="18:19" x14ac:dyDescent="0.25">
      <c r="R1336" s="2">
        <f>Таблица1[[#This Row],[Дата перевода]]-Таблица1[[#This Row],[Дата поступления]]</f>
        <v>0</v>
      </c>
      <c r="S1336" s="2">
        <f>Таблица1[[#This Row],[Дата поступления]]-Таблица1[[#This Row],[Дата рождения]]</f>
        <v>0</v>
      </c>
    </row>
    <row r="1337" spans="18:19" x14ac:dyDescent="0.25">
      <c r="R1337" s="2">
        <f>Таблица1[[#This Row],[Дата перевода]]-Таблица1[[#This Row],[Дата поступления]]</f>
        <v>0</v>
      </c>
      <c r="S1337" s="2">
        <f>Таблица1[[#This Row],[Дата поступления]]-Таблица1[[#This Row],[Дата рождения]]</f>
        <v>0</v>
      </c>
    </row>
    <row r="1338" spans="18:19" x14ac:dyDescent="0.25">
      <c r="R1338" s="2">
        <f>Таблица1[[#This Row],[Дата перевода]]-Таблица1[[#This Row],[Дата поступления]]</f>
        <v>0</v>
      </c>
      <c r="S1338" s="2">
        <f>Таблица1[[#This Row],[Дата поступления]]-Таблица1[[#This Row],[Дата рождения]]</f>
        <v>0</v>
      </c>
    </row>
    <row r="1339" spans="18:19" x14ac:dyDescent="0.25">
      <c r="R1339" s="2">
        <f>Таблица1[[#This Row],[Дата перевода]]-Таблица1[[#This Row],[Дата поступления]]</f>
        <v>0</v>
      </c>
      <c r="S1339" s="2">
        <f>Таблица1[[#This Row],[Дата поступления]]-Таблица1[[#This Row],[Дата рождения]]</f>
        <v>0</v>
      </c>
    </row>
    <row r="1340" spans="18:19" x14ac:dyDescent="0.25">
      <c r="R1340" s="2">
        <f>Таблица1[[#This Row],[Дата перевода]]-Таблица1[[#This Row],[Дата поступления]]</f>
        <v>0</v>
      </c>
      <c r="S1340" s="2">
        <f>Таблица1[[#This Row],[Дата поступления]]-Таблица1[[#This Row],[Дата рождения]]</f>
        <v>0</v>
      </c>
    </row>
    <row r="1341" spans="18:19" x14ac:dyDescent="0.25">
      <c r="R1341" s="2">
        <f>Таблица1[[#This Row],[Дата перевода]]-Таблица1[[#This Row],[Дата поступления]]</f>
        <v>0</v>
      </c>
      <c r="S1341" s="2">
        <f>Таблица1[[#This Row],[Дата поступления]]-Таблица1[[#This Row],[Дата рождения]]</f>
        <v>0</v>
      </c>
    </row>
    <row r="1342" spans="18:19" x14ac:dyDescent="0.25">
      <c r="R1342" s="2">
        <f>Таблица1[[#This Row],[Дата перевода]]-Таблица1[[#This Row],[Дата поступления]]</f>
        <v>0</v>
      </c>
      <c r="S1342" s="2">
        <f>Таблица1[[#This Row],[Дата поступления]]-Таблица1[[#This Row],[Дата рождения]]</f>
        <v>0</v>
      </c>
    </row>
    <row r="1343" spans="18:19" x14ac:dyDescent="0.25">
      <c r="R1343" s="2">
        <f>Таблица1[[#This Row],[Дата перевода]]-Таблица1[[#This Row],[Дата поступления]]</f>
        <v>0</v>
      </c>
      <c r="S1343" s="2">
        <f>Таблица1[[#This Row],[Дата поступления]]-Таблица1[[#This Row],[Дата рождения]]</f>
        <v>0</v>
      </c>
    </row>
    <row r="1344" spans="18:19" x14ac:dyDescent="0.25">
      <c r="R1344" s="2">
        <f>Таблица1[[#This Row],[Дата перевода]]-Таблица1[[#This Row],[Дата поступления]]</f>
        <v>0</v>
      </c>
      <c r="S1344" s="2">
        <f>Таблица1[[#This Row],[Дата поступления]]-Таблица1[[#This Row],[Дата рождения]]</f>
        <v>0</v>
      </c>
    </row>
    <row r="1345" spans="18:19" x14ac:dyDescent="0.25">
      <c r="R1345" s="2">
        <f>Таблица1[[#This Row],[Дата перевода]]-Таблица1[[#This Row],[Дата поступления]]</f>
        <v>0</v>
      </c>
      <c r="S1345" s="2">
        <f>Таблица1[[#This Row],[Дата поступления]]-Таблица1[[#This Row],[Дата рождения]]</f>
        <v>0</v>
      </c>
    </row>
    <row r="1346" spans="18:19" x14ac:dyDescent="0.25">
      <c r="R1346" s="2">
        <f>Таблица1[[#This Row],[Дата перевода]]-Таблица1[[#This Row],[Дата поступления]]</f>
        <v>0</v>
      </c>
      <c r="S1346" s="2">
        <f>Таблица1[[#This Row],[Дата поступления]]-Таблица1[[#This Row],[Дата рождения]]</f>
        <v>0</v>
      </c>
    </row>
    <row r="1347" spans="18:19" x14ac:dyDescent="0.25">
      <c r="R1347" s="2">
        <f>Таблица1[[#This Row],[Дата перевода]]-Таблица1[[#This Row],[Дата поступления]]</f>
        <v>0</v>
      </c>
      <c r="S1347" s="2">
        <f>Таблица1[[#This Row],[Дата поступления]]-Таблица1[[#This Row],[Дата рождения]]</f>
        <v>0</v>
      </c>
    </row>
    <row r="1348" spans="18:19" x14ac:dyDescent="0.25">
      <c r="R1348" s="2">
        <f>Таблица1[[#This Row],[Дата перевода]]-Таблица1[[#This Row],[Дата поступления]]</f>
        <v>0</v>
      </c>
      <c r="S1348" s="2">
        <f>Таблица1[[#This Row],[Дата поступления]]-Таблица1[[#This Row],[Дата рождения]]</f>
        <v>0</v>
      </c>
    </row>
    <row r="1349" spans="18:19" x14ac:dyDescent="0.25">
      <c r="R1349" s="2">
        <f>Таблица1[[#This Row],[Дата перевода]]-Таблица1[[#This Row],[Дата поступления]]</f>
        <v>0</v>
      </c>
      <c r="S1349" s="2">
        <f>Таблица1[[#This Row],[Дата поступления]]-Таблица1[[#This Row],[Дата рождения]]</f>
        <v>0</v>
      </c>
    </row>
    <row r="1350" spans="18:19" x14ac:dyDescent="0.25">
      <c r="R1350" s="2">
        <f>Таблица1[[#This Row],[Дата перевода]]-Таблица1[[#This Row],[Дата поступления]]</f>
        <v>0</v>
      </c>
      <c r="S1350" s="2">
        <f>Таблица1[[#This Row],[Дата поступления]]-Таблица1[[#This Row],[Дата рождения]]</f>
        <v>0</v>
      </c>
    </row>
    <row r="1351" spans="18:19" x14ac:dyDescent="0.25">
      <c r="R1351" s="2">
        <f>Таблица1[[#This Row],[Дата перевода]]-Таблица1[[#This Row],[Дата поступления]]</f>
        <v>0</v>
      </c>
      <c r="S1351" s="2">
        <f>Таблица1[[#This Row],[Дата поступления]]-Таблица1[[#This Row],[Дата рождения]]</f>
        <v>0</v>
      </c>
    </row>
    <row r="1352" spans="18:19" x14ac:dyDescent="0.25">
      <c r="R1352" s="2">
        <f>Таблица1[[#This Row],[Дата перевода]]-Таблица1[[#This Row],[Дата поступления]]</f>
        <v>0</v>
      </c>
      <c r="S1352" s="2">
        <f>Таблица1[[#This Row],[Дата поступления]]-Таблица1[[#This Row],[Дата рождения]]</f>
        <v>0</v>
      </c>
    </row>
    <row r="1353" spans="18:19" x14ac:dyDescent="0.25">
      <c r="R1353" s="2">
        <f>Таблица1[[#This Row],[Дата перевода]]-Таблица1[[#This Row],[Дата поступления]]</f>
        <v>0</v>
      </c>
      <c r="S1353" s="2">
        <f>Таблица1[[#This Row],[Дата поступления]]-Таблица1[[#This Row],[Дата рождения]]</f>
        <v>0</v>
      </c>
    </row>
    <row r="1354" spans="18:19" x14ac:dyDescent="0.25">
      <c r="R1354" s="2">
        <f>Таблица1[[#This Row],[Дата перевода]]-Таблица1[[#This Row],[Дата поступления]]</f>
        <v>0</v>
      </c>
      <c r="S1354" s="2">
        <f>Таблица1[[#This Row],[Дата поступления]]-Таблица1[[#This Row],[Дата рождения]]</f>
        <v>0</v>
      </c>
    </row>
    <row r="1355" spans="18:19" x14ac:dyDescent="0.25">
      <c r="R1355" s="2">
        <f>Таблица1[[#This Row],[Дата перевода]]-Таблица1[[#This Row],[Дата поступления]]</f>
        <v>0</v>
      </c>
      <c r="S1355" s="2">
        <f>Таблица1[[#This Row],[Дата поступления]]-Таблица1[[#This Row],[Дата рождения]]</f>
        <v>0</v>
      </c>
    </row>
    <row r="1356" spans="18:19" x14ac:dyDescent="0.25">
      <c r="R1356" s="2">
        <f>Таблица1[[#This Row],[Дата перевода]]-Таблица1[[#This Row],[Дата поступления]]</f>
        <v>0</v>
      </c>
      <c r="S1356" s="2">
        <f>Таблица1[[#This Row],[Дата поступления]]-Таблица1[[#This Row],[Дата рождения]]</f>
        <v>0</v>
      </c>
    </row>
    <row r="1357" spans="18:19" x14ac:dyDescent="0.25">
      <c r="R1357" s="2">
        <f>Таблица1[[#This Row],[Дата перевода]]-Таблица1[[#This Row],[Дата поступления]]</f>
        <v>0</v>
      </c>
      <c r="S1357" s="2">
        <f>Таблица1[[#This Row],[Дата поступления]]-Таблица1[[#This Row],[Дата рождения]]</f>
        <v>0</v>
      </c>
    </row>
    <row r="1358" spans="18:19" x14ac:dyDescent="0.25">
      <c r="R1358" s="2">
        <f>Таблица1[[#This Row],[Дата перевода]]-Таблица1[[#This Row],[Дата поступления]]</f>
        <v>0</v>
      </c>
      <c r="S1358" s="2">
        <f>Таблица1[[#This Row],[Дата поступления]]-Таблица1[[#This Row],[Дата рождения]]</f>
        <v>0</v>
      </c>
    </row>
    <row r="1359" spans="18:19" x14ac:dyDescent="0.25">
      <c r="R1359" s="2">
        <f>Таблица1[[#This Row],[Дата перевода]]-Таблица1[[#This Row],[Дата поступления]]</f>
        <v>0</v>
      </c>
      <c r="S1359" s="2">
        <f>Таблица1[[#This Row],[Дата поступления]]-Таблица1[[#This Row],[Дата рождения]]</f>
        <v>0</v>
      </c>
    </row>
    <row r="1360" spans="18:19" x14ac:dyDescent="0.25">
      <c r="R1360" s="2">
        <f>Таблица1[[#This Row],[Дата перевода]]-Таблица1[[#This Row],[Дата поступления]]</f>
        <v>0</v>
      </c>
      <c r="S1360" s="2">
        <f>Таблица1[[#This Row],[Дата поступления]]-Таблица1[[#This Row],[Дата рождения]]</f>
        <v>0</v>
      </c>
    </row>
    <row r="1361" spans="18:19" x14ac:dyDescent="0.25">
      <c r="R1361" s="2">
        <f>Таблица1[[#This Row],[Дата перевода]]-Таблица1[[#This Row],[Дата поступления]]</f>
        <v>0</v>
      </c>
      <c r="S1361" s="2">
        <f>Таблица1[[#This Row],[Дата поступления]]-Таблица1[[#This Row],[Дата рождения]]</f>
        <v>0</v>
      </c>
    </row>
    <row r="1362" spans="18:19" x14ac:dyDescent="0.25">
      <c r="R1362" s="2">
        <f>Таблица1[[#This Row],[Дата перевода]]-Таблица1[[#This Row],[Дата поступления]]</f>
        <v>0</v>
      </c>
      <c r="S1362" s="2">
        <f>Таблица1[[#This Row],[Дата поступления]]-Таблица1[[#This Row],[Дата рождения]]</f>
        <v>0</v>
      </c>
    </row>
    <row r="1363" spans="18:19" x14ac:dyDescent="0.25">
      <c r="R1363" s="2">
        <f>Таблица1[[#This Row],[Дата перевода]]-Таблица1[[#This Row],[Дата поступления]]</f>
        <v>0</v>
      </c>
      <c r="S1363" s="2">
        <f>Таблица1[[#This Row],[Дата поступления]]-Таблица1[[#This Row],[Дата рождения]]</f>
        <v>0</v>
      </c>
    </row>
    <row r="1364" spans="18:19" x14ac:dyDescent="0.25">
      <c r="R1364" s="2">
        <f>Таблица1[[#This Row],[Дата перевода]]-Таблица1[[#This Row],[Дата поступления]]</f>
        <v>0</v>
      </c>
      <c r="S1364" s="2">
        <f>Таблица1[[#This Row],[Дата поступления]]-Таблица1[[#This Row],[Дата рождения]]</f>
        <v>0</v>
      </c>
    </row>
    <row r="1365" spans="18:19" x14ac:dyDescent="0.25">
      <c r="R1365" s="2">
        <f>Таблица1[[#This Row],[Дата перевода]]-Таблица1[[#This Row],[Дата поступления]]</f>
        <v>0</v>
      </c>
      <c r="S1365" s="2">
        <f>Таблица1[[#This Row],[Дата поступления]]-Таблица1[[#This Row],[Дата рождения]]</f>
        <v>0</v>
      </c>
    </row>
    <row r="1366" spans="18:19" x14ac:dyDescent="0.25">
      <c r="R1366" s="2">
        <f>Таблица1[[#This Row],[Дата перевода]]-Таблица1[[#This Row],[Дата поступления]]</f>
        <v>0</v>
      </c>
      <c r="S1366" s="2">
        <f>Таблица1[[#This Row],[Дата поступления]]-Таблица1[[#This Row],[Дата рождения]]</f>
        <v>0</v>
      </c>
    </row>
    <row r="1367" spans="18:19" x14ac:dyDescent="0.25">
      <c r="R1367" s="2">
        <f>Таблица1[[#This Row],[Дата перевода]]-Таблица1[[#This Row],[Дата поступления]]</f>
        <v>0</v>
      </c>
      <c r="S1367" s="2">
        <f>Таблица1[[#This Row],[Дата поступления]]-Таблица1[[#This Row],[Дата рождения]]</f>
        <v>0</v>
      </c>
    </row>
    <row r="1368" spans="18:19" x14ac:dyDescent="0.25">
      <c r="R1368" s="2">
        <f>Таблица1[[#This Row],[Дата перевода]]-Таблица1[[#This Row],[Дата поступления]]</f>
        <v>0</v>
      </c>
      <c r="S1368" s="2">
        <f>Таблица1[[#This Row],[Дата поступления]]-Таблица1[[#This Row],[Дата рождения]]</f>
        <v>0</v>
      </c>
    </row>
    <row r="1369" spans="18:19" x14ac:dyDescent="0.25">
      <c r="R1369" s="2">
        <f>Таблица1[[#This Row],[Дата перевода]]-Таблица1[[#This Row],[Дата поступления]]</f>
        <v>0</v>
      </c>
      <c r="S1369" s="2">
        <f>Таблица1[[#This Row],[Дата поступления]]-Таблица1[[#This Row],[Дата рождения]]</f>
        <v>0</v>
      </c>
    </row>
    <row r="1370" spans="18:19" x14ac:dyDescent="0.25">
      <c r="R1370" s="2">
        <f>Таблица1[[#This Row],[Дата перевода]]-Таблица1[[#This Row],[Дата поступления]]</f>
        <v>0</v>
      </c>
      <c r="S1370" s="2">
        <f>Таблица1[[#This Row],[Дата поступления]]-Таблица1[[#This Row],[Дата рождения]]</f>
        <v>0</v>
      </c>
    </row>
    <row r="1371" spans="18:19" x14ac:dyDescent="0.25">
      <c r="R1371" s="2">
        <f>Таблица1[[#This Row],[Дата перевода]]-Таблица1[[#This Row],[Дата поступления]]</f>
        <v>0</v>
      </c>
      <c r="S1371" s="2">
        <f>Таблица1[[#This Row],[Дата поступления]]-Таблица1[[#This Row],[Дата рождения]]</f>
        <v>0</v>
      </c>
    </row>
    <row r="1372" spans="18:19" x14ac:dyDescent="0.25">
      <c r="R1372" s="2">
        <f>Таблица1[[#This Row],[Дата перевода]]-Таблица1[[#This Row],[Дата поступления]]</f>
        <v>0</v>
      </c>
      <c r="S1372" s="2">
        <f>Таблица1[[#This Row],[Дата поступления]]-Таблица1[[#This Row],[Дата рождения]]</f>
        <v>0</v>
      </c>
    </row>
    <row r="1373" spans="18:19" x14ac:dyDescent="0.25">
      <c r="R1373" s="2">
        <f>Таблица1[[#This Row],[Дата перевода]]-Таблица1[[#This Row],[Дата поступления]]</f>
        <v>0</v>
      </c>
      <c r="S1373" s="2">
        <f>Таблица1[[#This Row],[Дата поступления]]-Таблица1[[#This Row],[Дата рождения]]</f>
        <v>0</v>
      </c>
    </row>
    <row r="1374" spans="18:19" x14ac:dyDescent="0.25">
      <c r="R1374" s="2">
        <f>Таблица1[[#This Row],[Дата перевода]]-Таблица1[[#This Row],[Дата поступления]]</f>
        <v>0</v>
      </c>
      <c r="S1374" s="2">
        <f>Таблица1[[#This Row],[Дата поступления]]-Таблица1[[#This Row],[Дата рождения]]</f>
        <v>0</v>
      </c>
    </row>
    <row r="1375" spans="18:19" x14ac:dyDescent="0.25">
      <c r="R1375" s="2">
        <f>Таблица1[[#This Row],[Дата перевода]]-Таблица1[[#This Row],[Дата поступления]]</f>
        <v>0</v>
      </c>
      <c r="S1375" s="2">
        <f>Таблица1[[#This Row],[Дата поступления]]-Таблица1[[#This Row],[Дата рождения]]</f>
        <v>0</v>
      </c>
    </row>
    <row r="1376" spans="18:19" x14ac:dyDescent="0.25">
      <c r="R1376" s="2">
        <f>Таблица1[[#This Row],[Дата перевода]]-Таблица1[[#This Row],[Дата поступления]]</f>
        <v>0</v>
      </c>
      <c r="S1376" s="2">
        <f>Таблица1[[#This Row],[Дата поступления]]-Таблица1[[#This Row],[Дата рождения]]</f>
        <v>0</v>
      </c>
    </row>
    <row r="1377" spans="18:19" x14ac:dyDescent="0.25">
      <c r="R1377" s="2">
        <f>Таблица1[[#This Row],[Дата перевода]]-Таблица1[[#This Row],[Дата поступления]]</f>
        <v>0</v>
      </c>
      <c r="S1377" s="2">
        <f>Таблица1[[#This Row],[Дата поступления]]-Таблица1[[#This Row],[Дата рождения]]</f>
        <v>0</v>
      </c>
    </row>
    <row r="1378" spans="18:19" x14ac:dyDescent="0.25">
      <c r="R1378" s="2">
        <f>Таблица1[[#This Row],[Дата перевода]]-Таблица1[[#This Row],[Дата поступления]]</f>
        <v>0</v>
      </c>
      <c r="S1378" s="2">
        <f>Таблица1[[#This Row],[Дата поступления]]-Таблица1[[#This Row],[Дата рождения]]</f>
        <v>0</v>
      </c>
    </row>
    <row r="1379" spans="18:19" x14ac:dyDescent="0.25">
      <c r="R1379" s="2">
        <f>Таблица1[[#This Row],[Дата перевода]]-Таблица1[[#This Row],[Дата поступления]]</f>
        <v>0</v>
      </c>
      <c r="S1379" s="2">
        <f>Таблица1[[#This Row],[Дата поступления]]-Таблица1[[#This Row],[Дата рождения]]</f>
        <v>0</v>
      </c>
    </row>
    <row r="1380" spans="18:19" x14ac:dyDescent="0.25">
      <c r="R1380" s="2">
        <f>Таблица1[[#This Row],[Дата перевода]]-Таблица1[[#This Row],[Дата поступления]]</f>
        <v>0</v>
      </c>
      <c r="S1380" s="2">
        <f>Таблица1[[#This Row],[Дата поступления]]-Таблица1[[#This Row],[Дата рождения]]</f>
        <v>0</v>
      </c>
    </row>
    <row r="1381" spans="18:19" x14ac:dyDescent="0.25">
      <c r="R1381" s="2">
        <f>Таблица1[[#This Row],[Дата перевода]]-Таблица1[[#This Row],[Дата поступления]]</f>
        <v>0</v>
      </c>
      <c r="S1381" s="2">
        <f>Таблица1[[#This Row],[Дата поступления]]-Таблица1[[#This Row],[Дата рождения]]</f>
        <v>0</v>
      </c>
    </row>
    <row r="1382" spans="18:19" x14ac:dyDescent="0.25">
      <c r="R1382" s="2">
        <f>Таблица1[[#This Row],[Дата перевода]]-Таблица1[[#This Row],[Дата поступления]]</f>
        <v>0</v>
      </c>
      <c r="S1382" s="2">
        <f>Таблица1[[#This Row],[Дата поступления]]-Таблица1[[#This Row],[Дата рождения]]</f>
        <v>0</v>
      </c>
    </row>
    <row r="1383" spans="18:19" x14ac:dyDescent="0.25">
      <c r="R1383" s="2">
        <f>Таблица1[[#This Row],[Дата перевода]]-Таблица1[[#This Row],[Дата поступления]]</f>
        <v>0</v>
      </c>
      <c r="S1383" s="2">
        <f>Таблица1[[#This Row],[Дата поступления]]-Таблица1[[#This Row],[Дата рождения]]</f>
        <v>0</v>
      </c>
    </row>
    <row r="1384" spans="18:19" x14ac:dyDescent="0.25">
      <c r="R1384" s="2">
        <f>Таблица1[[#This Row],[Дата перевода]]-Таблица1[[#This Row],[Дата поступления]]</f>
        <v>0</v>
      </c>
      <c r="S1384" s="2">
        <f>Таблица1[[#This Row],[Дата поступления]]-Таблица1[[#This Row],[Дата рождения]]</f>
        <v>0</v>
      </c>
    </row>
    <row r="1385" spans="18:19" x14ac:dyDescent="0.25">
      <c r="R1385" s="2">
        <f>Таблица1[[#This Row],[Дата перевода]]-Таблица1[[#This Row],[Дата поступления]]</f>
        <v>0</v>
      </c>
      <c r="S1385" s="2">
        <f>Таблица1[[#This Row],[Дата поступления]]-Таблица1[[#This Row],[Дата рождения]]</f>
        <v>0</v>
      </c>
    </row>
    <row r="1386" spans="18:19" x14ac:dyDescent="0.25">
      <c r="R1386" s="2">
        <f>Таблица1[[#This Row],[Дата перевода]]-Таблица1[[#This Row],[Дата поступления]]</f>
        <v>0</v>
      </c>
      <c r="S1386" s="2">
        <f>Таблица1[[#This Row],[Дата поступления]]-Таблица1[[#This Row],[Дата рождения]]</f>
        <v>0</v>
      </c>
    </row>
    <row r="1387" spans="18:19" x14ac:dyDescent="0.25">
      <c r="R1387" s="2">
        <f>Таблица1[[#This Row],[Дата перевода]]-Таблица1[[#This Row],[Дата поступления]]</f>
        <v>0</v>
      </c>
      <c r="S1387" s="2">
        <f>Таблица1[[#This Row],[Дата поступления]]-Таблица1[[#This Row],[Дата рождения]]</f>
        <v>0</v>
      </c>
    </row>
    <row r="1388" spans="18:19" x14ac:dyDescent="0.25">
      <c r="R1388" s="2">
        <f>Таблица1[[#This Row],[Дата перевода]]-Таблица1[[#This Row],[Дата поступления]]</f>
        <v>0</v>
      </c>
      <c r="S1388" s="2">
        <f>Таблица1[[#This Row],[Дата поступления]]-Таблица1[[#This Row],[Дата рождения]]</f>
        <v>0</v>
      </c>
    </row>
    <row r="1389" spans="18:19" x14ac:dyDescent="0.25">
      <c r="R1389" s="2">
        <f>Таблица1[[#This Row],[Дата перевода]]-Таблица1[[#This Row],[Дата поступления]]</f>
        <v>0</v>
      </c>
      <c r="S1389" s="2">
        <f>Таблица1[[#This Row],[Дата поступления]]-Таблица1[[#This Row],[Дата рождения]]</f>
        <v>0</v>
      </c>
    </row>
    <row r="1390" spans="18:19" x14ac:dyDescent="0.25">
      <c r="R1390" s="2">
        <f>Таблица1[[#This Row],[Дата перевода]]-Таблица1[[#This Row],[Дата поступления]]</f>
        <v>0</v>
      </c>
      <c r="S1390" s="2">
        <f>Таблица1[[#This Row],[Дата поступления]]-Таблица1[[#This Row],[Дата рождения]]</f>
        <v>0</v>
      </c>
    </row>
    <row r="1391" spans="18:19" x14ac:dyDescent="0.25">
      <c r="R1391" s="2">
        <f>Таблица1[[#This Row],[Дата перевода]]-Таблица1[[#This Row],[Дата поступления]]</f>
        <v>0</v>
      </c>
      <c r="S1391" s="2">
        <f>Таблица1[[#This Row],[Дата поступления]]-Таблица1[[#This Row],[Дата рождения]]</f>
        <v>0</v>
      </c>
    </row>
    <row r="1392" spans="18:19" x14ac:dyDescent="0.25">
      <c r="R1392" s="2">
        <f>Таблица1[[#This Row],[Дата перевода]]-Таблица1[[#This Row],[Дата поступления]]</f>
        <v>0</v>
      </c>
      <c r="S1392" s="2">
        <f>Таблица1[[#This Row],[Дата поступления]]-Таблица1[[#This Row],[Дата рождения]]</f>
        <v>0</v>
      </c>
    </row>
    <row r="1393" spans="18:19" x14ac:dyDescent="0.25">
      <c r="R1393" s="2">
        <f>Таблица1[[#This Row],[Дата перевода]]-Таблица1[[#This Row],[Дата поступления]]</f>
        <v>0</v>
      </c>
      <c r="S1393" s="2">
        <f>Таблица1[[#This Row],[Дата поступления]]-Таблица1[[#This Row],[Дата рождения]]</f>
        <v>0</v>
      </c>
    </row>
    <row r="1394" spans="18:19" x14ac:dyDescent="0.25">
      <c r="R1394" s="2">
        <f>Таблица1[[#This Row],[Дата перевода]]-Таблица1[[#This Row],[Дата поступления]]</f>
        <v>0</v>
      </c>
      <c r="S1394" s="2">
        <f>Таблица1[[#This Row],[Дата поступления]]-Таблица1[[#This Row],[Дата рождения]]</f>
        <v>0</v>
      </c>
    </row>
    <row r="1395" spans="18:19" x14ac:dyDescent="0.25">
      <c r="R1395" s="2">
        <f>Таблица1[[#This Row],[Дата перевода]]-Таблица1[[#This Row],[Дата поступления]]</f>
        <v>0</v>
      </c>
      <c r="S1395" s="2">
        <f>Таблица1[[#This Row],[Дата поступления]]-Таблица1[[#This Row],[Дата рождения]]</f>
        <v>0</v>
      </c>
    </row>
    <row r="1396" spans="18:19" x14ac:dyDescent="0.25">
      <c r="R1396" s="2">
        <f>Таблица1[[#This Row],[Дата перевода]]-Таблица1[[#This Row],[Дата поступления]]</f>
        <v>0</v>
      </c>
      <c r="S1396" s="2">
        <f>Таблица1[[#This Row],[Дата поступления]]-Таблица1[[#This Row],[Дата рождения]]</f>
        <v>0</v>
      </c>
    </row>
    <row r="1397" spans="18:19" x14ac:dyDescent="0.25">
      <c r="R1397" s="2">
        <f>Таблица1[[#This Row],[Дата перевода]]-Таблица1[[#This Row],[Дата поступления]]</f>
        <v>0</v>
      </c>
      <c r="S1397" s="2">
        <f>Таблица1[[#This Row],[Дата поступления]]-Таблица1[[#This Row],[Дата рождения]]</f>
        <v>0</v>
      </c>
    </row>
    <row r="1398" spans="18:19" x14ac:dyDescent="0.25">
      <c r="R1398" s="2">
        <f>Таблица1[[#This Row],[Дата перевода]]-Таблица1[[#This Row],[Дата поступления]]</f>
        <v>0</v>
      </c>
      <c r="S1398" s="2">
        <f>Таблица1[[#This Row],[Дата поступления]]-Таблица1[[#This Row],[Дата рождения]]</f>
        <v>0</v>
      </c>
    </row>
    <row r="1399" spans="18:19" x14ac:dyDescent="0.25">
      <c r="R1399" s="2">
        <f>Таблица1[[#This Row],[Дата перевода]]-Таблица1[[#This Row],[Дата поступления]]</f>
        <v>0</v>
      </c>
      <c r="S1399" s="2">
        <f>Таблица1[[#This Row],[Дата поступления]]-Таблица1[[#This Row],[Дата рождения]]</f>
        <v>0</v>
      </c>
    </row>
    <row r="1400" spans="18:19" x14ac:dyDescent="0.25">
      <c r="R1400" s="2">
        <f>Таблица1[[#This Row],[Дата перевода]]-Таблица1[[#This Row],[Дата поступления]]</f>
        <v>0</v>
      </c>
      <c r="S1400" s="2">
        <f>Таблица1[[#This Row],[Дата поступления]]-Таблица1[[#This Row],[Дата рождения]]</f>
        <v>0</v>
      </c>
    </row>
    <row r="1401" spans="18:19" x14ac:dyDescent="0.25">
      <c r="R1401" s="2">
        <f>Таблица1[[#This Row],[Дата перевода]]-Таблица1[[#This Row],[Дата поступления]]</f>
        <v>0</v>
      </c>
      <c r="S1401" s="2">
        <f>Таблица1[[#This Row],[Дата поступления]]-Таблица1[[#This Row],[Дата рождения]]</f>
        <v>0</v>
      </c>
    </row>
    <row r="1402" spans="18:19" x14ac:dyDescent="0.25">
      <c r="R1402" s="2">
        <f>Таблица1[[#This Row],[Дата перевода]]-Таблица1[[#This Row],[Дата поступления]]</f>
        <v>0</v>
      </c>
      <c r="S1402" s="2">
        <f>Таблица1[[#This Row],[Дата поступления]]-Таблица1[[#This Row],[Дата рождения]]</f>
        <v>0</v>
      </c>
    </row>
    <row r="1403" spans="18:19" x14ac:dyDescent="0.25">
      <c r="R1403" s="2">
        <f>Таблица1[[#This Row],[Дата перевода]]-Таблица1[[#This Row],[Дата поступления]]</f>
        <v>0</v>
      </c>
      <c r="S1403" s="2">
        <f>Таблица1[[#This Row],[Дата поступления]]-Таблица1[[#This Row],[Дата рождения]]</f>
        <v>0</v>
      </c>
    </row>
    <row r="1404" spans="18:19" x14ac:dyDescent="0.25">
      <c r="R1404" s="2">
        <f>Таблица1[[#This Row],[Дата перевода]]-Таблица1[[#This Row],[Дата поступления]]</f>
        <v>0</v>
      </c>
      <c r="S1404" s="2">
        <f>Таблица1[[#This Row],[Дата поступления]]-Таблица1[[#This Row],[Дата рождения]]</f>
        <v>0</v>
      </c>
    </row>
    <row r="1405" spans="18:19" x14ac:dyDescent="0.25">
      <c r="R1405" s="2">
        <f>Таблица1[[#This Row],[Дата перевода]]-Таблица1[[#This Row],[Дата поступления]]</f>
        <v>0</v>
      </c>
      <c r="S1405" s="2">
        <f>Таблица1[[#This Row],[Дата поступления]]-Таблица1[[#This Row],[Дата рождения]]</f>
        <v>0</v>
      </c>
    </row>
    <row r="1406" spans="18:19" x14ac:dyDescent="0.25">
      <c r="R1406" s="2">
        <f>Таблица1[[#This Row],[Дата перевода]]-Таблица1[[#This Row],[Дата поступления]]</f>
        <v>0</v>
      </c>
      <c r="S1406" s="2">
        <f>Таблица1[[#This Row],[Дата поступления]]-Таблица1[[#This Row],[Дата рождения]]</f>
        <v>0</v>
      </c>
    </row>
    <row r="1407" spans="18:19" x14ac:dyDescent="0.25">
      <c r="R1407" s="2">
        <f>Таблица1[[#This Row],[Дата перевода]]-Таблица1[[#This Row],[Дата поступления]]</f>
        <v>0</v>
      </c>
      <c r="S1407" s="2">
        <f>Таблица1[[#This Row],[Дата поступления]]-Таблица1[[#This Row],[Дата рождения]]</f>
        <v>0</v>
      </c>
    </row>
    <row r="1408" spans="18:19" x14ac:dyDescent="0.25">
      <c r="R1408" s="2">
        <f>Таблица1[[#This Row],[Дата перевода]]-Таблица1[[#This Row],[Дата поступления]]</f>
        <v>0</v>
      </c>
      <c r="S1408" s="2">
        <f>Таблица1[[#This Row],[Дата поступления]]-Таблица1[[#This Row],[Дата рождения]]</f>
        <v>0</v>
      </c>
    </row>
    <row r="1409" spans="18:19" x14ac:dyDescent="0.25">
      <c r="R1409" s="2">
        <f>Таблица1[[#This Row],[Дата перевода]]-Таблица1[[#This Row],[Дата поступления]]</f>
        <v>0</v>
      </c>
      <c r="S1409" s="2">
        <f>Таблица1[[#This Row],[Дата поступления]]-Таблица1[[#This Row],[Дата рождения]]</f>
        <v>0</v>
      </c>
    </row>
    <row r="1410" spans="18:19" x14ac:dyDescent="0.25">
      <c r="R1410" s="2">
        <f>Таблица1[[#This Row],[Дата перевода]]-Таблица1[[#This Row],[Дата поступления]]</f>
        <v>0</v>
      </c>
      <c r="S1410" s="2">
        <f>Таблица1[[#This Row],[Дата поступления]]-Таблица1[[#This Row],[Дата рождения]]</f>
        <v>0</v>
      </c>
    </row>
    <row r="1411" spans="18:19" x14ac:dyDescent="0.25">
      <c r="R1411" s="2">
        <f>Таблица1[[#This Row],[Дата перевода]]-Таблица1[[#This Row],[Дата поступления]]</f>
        <v>0</v>
      </c>
      <c r="S1411" s="2">
        <f>Таблица1[[#This Row],[Дата поступления]]-Таблица1[[#This Row],[Дата рождения]]</f>
        <v>0</v>
      </c>
    </row>
    <row r="1412" spans="18:19" x14ac:dyDescent="0.25">
      <c r="R1412" s="2">
        <f>Таблица1[[#This Row],[Дата перевода]]-Таблица1[[#This Row],[Дата поступления]]</f>
        <v>0</v>
      </c>
      <c r="S1412" s="2">
        <f>Таблица1[[#This Row],[Дата поступления]]-Таблица1[[#This Row],[Дата рождения]]</f>
        <v>0</v>
      </c>
    </row>
    <row r="1413" spans="18:19" x14ac:dyDescent="0.25">
      <c r="R1413" s="2">
        <f>Таблица1[[#This Row],[Дата перевода]]-Таблица1[[#This Row],[Дата поступления]]</f>
        <v>0</v>
      </c>
      <c r="S1413" s="2">
        <f>Таблица1[[#This Row],[Дата поступления]]-Таблица1[[#This Row],[Дата рождения]]</f>
        <v>0</v>
      </c>
    </row>
    <row r="1414" spans="18:19" x14ac:dyDescent="0.25">
      <c r="R1414" s="2">
        <f>Таблица1[[#This Row],[Дата перевода]]-Таблица1[[#This Row],[Дата поступления]]</f>
        <v>0</v>
      </c>
      <c r="S1414" s="2">
        <f>Таблица1[[#This Row],[Дата поступления]]-Таблица1[[#This Row],[Дата рождения]]</f>
        <v>0</v>
      </c>
    </row>
    <row r="1415" spans="18:19" x14ac:dyDescent="0.25">
      <c r="R1415" s="2">
        <f>Таблица1[[#This Row],[Дата перевода]]-Таблица1[[#This Row],[Дата поступления]]</f>
        <v>0</v>
      </c>
      <c r="S1415" s="2">
        <f>Таблица1[[#This Row],[Дата поступления]]-Таблица1[[#This Row],[Дата рождения]]</f>
        <v>0</v>
      </c>
    </row>
    <row r="1416" spans="18:19" x14ac:dyDescent="0.25">
      <c r="R1416" s="2">
        <f>Таблица1[[#This Row],[Дата перевода]]-Таблица1[[#This Row],[Дата поступления]]</f>
        <v>0</v>
      </c>
      <c r="S1416" s="2">
        <f>Таблица1[[#This Row],[Дата поступления]]-Таблица1[[#This Row],[Дата рождения]]</f>
        <v>0</v>
      </c>
    </row>
    <row r="1417" spans="18:19" x14ac:dyDescent="0.25">
      <c r="R1417" s="2">
        <f>Таблица1[[#This Row],[Дата перевода]]-Таблица1[[#This Row],[Дата поступления]]</f>
        <v>0</v>
      </c>
      <c r="S1417" s="2">
        <f>Таблица1[[#This Row],[Дата поступления]]-Таблица1[[#This Row],[Дата рождения]]</f>
        <v>0</v>
      </c>
    </row>
    <row r="1418" spans="18:19" x14ac:dyDescent="0.25">
      <c r="R1418" s="2">
        <f>Таблица1[[#This Row],[Дата перевода]]-Таблица1[[#This Row],[Дата поступления]]</f>
        <v>0</v>
      </c>
      <c r="S1418" s="2">
        <f>Таблица1[[#This Row],[Дата поступления]]-Таблица1[[#This Row],[Дата рождения]]</f>
        <v>0</v>
      </c>
    </row>
    <row r="1419" spans="18:19" x14ac:dyDescent="0.25">
      <c r="R1419" s="2">
        <f>Таблица1[[#This Row],[Дата перевода]]-Таблица1[[#This Row],[Дата поступления]]</f>
        <v>0</v>
      </c>
      <c r="S1419" s="2">
        <f>Таблица1[[#This Row],[Дата поступления]]-Таблица1[[#This Row],[Дата рождения]]</f>
        <v>0</v>
      </c>
    </row>
    <row r="1420" spans="18:19" x14ac:dyDescent="0.25">
      <c r="R1420" s="2">
        <f>Таблица1[[#This Row],[Дата перевода]]-Таблица1[[#This Row],[Дата поступления]]</f>
        <v>0</v>
      </c>
      <c r="S1420" s="2">
        <f>Таблица1[[#This Row],[Дата поступления]]-Таблица1[[#This Row],[Дата рождения]]</f>
        <v>0</v>
      </c>
    </row>
    <row r="1421" spans="18:19" x14ac:dyDescent="0.25">
      <c r="R1421" s="2">
        <f>Таблица1[[#This Row],[Дата перевода]]-Таблица1[[#This Row],[Дата поступления]]</f>
        <v>0</v>
      </c>
      <c r="S1421" s="2">
        <f>Таблица1[[#This Row],[Дата поступления]]-Таблица1[[#This Row],[Дата рождения]]</f>
        <v>0</v>
      </c>
    </row>
    <row r="1422" spans="18:19" x14ac:dyDescent="0.25">
      <c r="R1422" s="2">
        <f>Таблица1[[#This Row],[Дата перевода]]-Таблица1[[#This Row],[Дата поступления]]</f>
        <v>0</v>
      </c>
      <c r="S1422" s="2">
        <f>Таблица1[[#This Row],[Дата поступления]]-Таблица1[[#This Row],[Дата рождения]]</f>
        <v>0</v>
      </c>
    </row>
    <row r="1423" spans="18:19" x14ac:dyDescent="0.25">
      <c r="R1423" s="2">
        <f>Таблица1[[#This Row],[Дата перевода]]-Таблица1[[#This Row],[Дата поступления]]</f>
        <v>0</v>
      </c>
      <c r="S1423" s="2">
        <f>Таблица1[[#This Row],[Дата поступления]]-Таблица1[[#This Row],[Дата рождения]]</f>
        <v>0</v>
      </c>
    </row>
    <row r="1424" spans="18:19" x14ac:dyDescent="0.25">
      <c r="R1424" s="2">
        <f>Таблица1[[#This Row],[Дата перевода]]-Таблица1[[#This Row],[Дата поступления]]</f>
        <v>0</v>
      </c>
      <c r="S1424" s="2">
        <f>Таблица1[[#This Row],[Дата поступления]]-Таблица1[[#This Row],[Дата рождения]]</f>
        <v>0</v>
      </c>
    </row>
    <row r="1425" spans="18:19" x14ac:dyDescent="0.25">
      <c r="R1425" s="2">
        <f>Таблица1[[#This Row],[Дата перевода]]-Таблица1[[#This Row],[Дата поступления]]</f>
        <v>0</v>
      </c>
      <c r="S1425" s="2">
        <f>Таблица1[[#This Row],[Дата поступления]]-Таблица1[[#This Row],[Дата рождения]]</f>
        <v>0</v>
      </c>
    </row>
    <row r="1426" spans="18:19" x14ac:dyDescent="0.25">
      <c r="R1426" s="2">
        <f>Таблица1[[#This Row],[Дата перевода]]-Таблица1[[#This Row],[Дата поступления]]</f>
        <v>0</v>
      </c>
      <c r="S1426" s="2">
        <f>Таблица1[[#This Row],[Дата поступления]]-Таблица1[[#This Row],[Дата рождения]]</f>
        <v>0</v>
      </c>
    </row>
    <row r="1427" spans="18:19" x14ac:dyDescent="0.25">
      <c r="R1427" s="2">
        <f>Таблица1[[#This Row],[Дата перевода]]-Таблица1[[#This Row],[Дата поступления]]</f>
        <v>0</v>
      </c>
      <c r="S1427" s="2">
        <f>Таблица1[[#This Row],[Дата поступления]]-Таблица1[[#This Row],[Дата рождения]]</f>
        <v>0</v>
      </c>
    </row>
    <row r="1428" spans="18:19" x14ac:dyDescent="0.25">
      <c r="R1428" s="2">
        <f>Таблица1[[#This Row],[Дата перевода]]-Таблица1[[#This Row],[Дата поступления]]</f>
        <v>0</v>
      </c>
      <c r="S1428" s="2">
        <f>Таблица1[[#This Row],[Дата поступления]]-Таблица1[[#This Row],[Дата рождения]]</f>
        <v>0</v>
      </c>
    </row>
    <row r="1429" spans="18:19" x14ac:dyDescent="0.25">
      <c r="R1429" s="2">
        <f>Таблица1[[#This Row],[Дата перевода]]-Таблица1[[#This Row],[Дата поступления]]</f>
        <v>0</v>
      </c>
      <c r="S1429" s="2">
        <f>Таблица1[[#This Row],[Дата поступления]]-Таблица1[[#This Row],[Дата рождения]]</f>
        <v>0</v>
      </c>
    </row>
    <row r="1430" spans="18:19" x14ac:dyDescent="0.25">
      <c r="R1430" s="2">
        <f>Таблица1[[#This Row],[Дата перевода]]-Таблица1[[#This Row],[Дата поступления]]</f>
        <v>0</v>
      </c>
      <c r="S1430" s="2">
        <f>Таблица1[[#This Row],[Дата поступления]]-Таблица1[[#This Row],[Дата рождения]]</f>
        <v>0</v>
      </c>
    </row>
    <row r="1431" spans="18:19" x14ac:dyDescent="0.25">
      <c r="R1431" s="2">
        <f>Таблица1[[#This Row],[Дата перевода]]-Таблица1[[#This Row],[Дата поступления]]</f>
        <v>0</v>
      </c>
      <c r="S1431" s="2">
        <f>Таблица1[[#This Row],[Дата поступления]]-Таблица1[[#This Row],[Дата рождения]]</f>
        <v>0</v>
      </c>
    </row>
    <row r="1432" spans="18:19" x14ac:dyDescent="0.25">
      <c r="R1432" s="2">
        <f>Таблица1[[#This Row],[Дата перевода]]-Таблица1[[#This Row],[Дата поступления]]</f>
        <v>0</v>
      </c>
      <c r="S1432" s="2">
        <f>Таблица1[[#This Row],[Дата поступления]]-Таблица1[[#This Row],[Дата рождения]]</f>
        <v>0</v>
      </c>
    </row>
    <row r="1433" spans="18:19" x14ac:dyDescent="0.25">
      <c r="R1433" s="2">
        <f>Таблица1[[#This Row],[Дата перевода]]-Таблица1[[#This Row],[Дата поступления]]</f>
        <v>0</v>
      </c>
      <c r="S1433" s="2">
        <f>Таблица1[[#This Row],[Дата поступления]]-Таблица1[[#This Row],[Дата рождения]]</f>
        <v>0</v>
      </c>
    </row>
    <row r="1434" spans="18:19" x14ac:dyDescent="0.25">
      <c r="R1434" s="2">
        <f>Таблица1[[#This Row],[Дата перевода]]-Таблица1[[#This Row],[Дата поступления]]</f>
        <v>0</v>
      </c>
      <c r="S1434" s="2">
        <f>Таблица1[[#This Row],[Дата поступления]]-Таблица1[[#This Row],[Дата рождения]]</f>
        <v>0</v>
      </c>
    </row>
    <row r="1435" spans="18:19" x14ac:dyDescent="0.25">
      <c r="R1435" s="2">
        <f>Таблица1[[#This Row],[Дата перевода]]-Таблица1[[#This Row],[Дата поступления]]</f>
        <v>0</v>
      </c>
      <c r="S1435" s="2">
        <f>Таблица1[[#This Row],[Дата поступления]]-Таблица1[[#This Row],[Дата рождения]]</f>
        <v>0</v>
      </c>
    </row>
    <row r="1436" spans="18:19" x14ac:dyDescent="0.25">
      <c r="R1436" s="2">
        <f>Таблица1[[#This Row],[Дата перевода]]-Таблица1[[#This Row],[Дата поступления]]</f>
        <v>0</v>
      </c>
      <c r="S1436" s="2">
        <f>Таблица1[[#This Row],[Дата поступления]]-Таблица1[[#This Row],[Дата рождения]]</f>
        <v>0</v>
      </c>
    </row>
    <row r="1437" spans="18:19" x14ac:dyDescent="0.25">
      <c r="R1437" s="2">
        <f>Таблица1[[#This Row],[Дата перевода]]-Таблица1[[#This Row],[Дата поступления]]</f>
        <v>0</v>
      </c>
      <c r="S1437" s="2">
        <f>Таблица1[[#This Row],[Дата поступления]]-Таблица1[[#This Row],[Дата рождения]]</f>
        <v>0</v>
      </c>
    </row>
    <row r="1438" spans="18:19" x14ac:dyDescent="0.25">
      <c r="R1438" s="2">
        <f>Таблица1[[#This Row],[Дата перевода]]-Таблица1[[#This Row],[Дата поступления]]</f>
        <v>0</v>
      </c>
      <c r="S1438" s="2">
        <f>Таблица1[[#This Row],[Дата поступления]]-Таблица1[[#This Row],[Дата рождения]]</f>
        <v>0</v>
      </c>
    </row>
    <row r="1439" spans="18:19" x14ac:dyDescent="0.25">
      <c r="R1439" s="2">
        <f>Таблица1[[#This Row],[Дата перевода]]-Таблица1[[#This Row],[Дата поступления]]</f>
        <v>0</v>
      </c>
      <c r="S1439" s="2">
        <f>Таблица1[[#This Row],[Дата поступления]]-Таблица1[[#This Row],[Дата рождения]]</f>
        <v>0</v>
      </c>
    </row>
    <row r="1440" spans="18:19" x14ac:dyDescent="0.25">
      <c r="R1440" s="2">
        <f>Таблица1[[#This Row],[Дата перевода]]-Таблица1[[#This Row],[Дата поступления]]</f>
        <v>0</v>
      </c>
      <c r="S1440" s="2">
        <f>Таблица1[[#This Row],[Дата поступления]]-Таблица1[[#This Row],[Дата рождения]]</f>
        <v>0</v>
      </c>
    </row>
    <row r="1441" spans="18:19" x14ac:dyDescent="0.25">
      <c r="R1441" s="2">
        <f>Таблица1[[#This Row],[Дата перевода]]-Таблица1[[#This Row],[Дата поступления]]</f>
        <v>0</v>
      </c>
      <c r="S1441" s="2">
        <f>Таблица1[[#This Row],[Дата поступления]]-Таблица1[[#This Row],[Дата рождения]]</f>
        <v>0</v>
      </c>
    </row>
    <row r="1442" spans="18:19" x14ac:dyDescent="0.25">
      <c r="R1442" s="2">
        <f>Таблица1[[#This Row],[Дата перевода]]-Таблица1[[#This Row],[Дата поступления]]</f>
        <v>0</v>
      </c>
      <c r="S1442" s="2">
        <f>Таблица1[[#This Row],[Дата поступления]]-Таблица1[[#This Row],[Дата рождения]]</f>
        <v>0</v>
      </c>
    </row>
    <row r="1443" spans="18:19" x14ac:dyDescent="0.25">
      <c r="R1443" s="2">
        <f>Таблица1[[#This Row],[Дата перевода]]-Таблица1[[#This Row],[Дата поступления]]</f>
        <v>0</v>
      </c>
      <c r="S1443" s="2">
        <f>Таблица1[[#This Row],[Дата поступления]]-Таблица1[[#This Row],[Дата рождения]]</f>
        <v>0</v>
      </c>
    </row>
    <row r="1444" spans="18:19" x14ac:dyDescent="0.25">
      <c r="R1444" s="2">
        <f>Таблица1[[#This Row],[Дата перевода]]-Таблица1[[#This Row],[Дата поступления]]</f>
        <v>0</v>
      </c>
      <c r="S1444" s="2">
        <f>Таблица1[[#This Row],[Дата поступления]]-Таблица1[[#This Row],[Дата рождения]]</f>
        <v>0</v>
      </c>
    </row>
    <row r="1445" spans="18:19" x14ac:dyDescent="0.25">
      <c r="R1445" s="2">
        <f>Таблица1[[#This Row],[Дата перевода]]-Таблица1[[#This Row],[Дата поступления]]</f>
        <v>0</v>
      </c>
      <c r="S1445" s="2">
        <f>Таблица1[[#This Row],[Дата поступления]]-Таблица1[[#This Row],[Дата рождения]]</f>
        <v>0</v>
      </c>
    </row>
    <row r="1446" spans="18:19" x14ac:dyDescent="0.25">
      <c r="R1446" s="2">
        <f>Таблица1[[#This Row],[Дата перевода]]-Таблица1[[#This Row],[Дата поступления]]</f>
        <v>0</v>
      </c>
      <c r="S1446" s="2">
        <f>Таблица1[[#This Row],[Дата поступления]]-Таблица1[[#This Row],[Дата рождения]]</f>
        <v>0</v>
      </c>
    </row>
    <row r="1447" spans="18:19" x14ac:dyDescent="0.25">
      <c r="R1447" s="2">
        <f>Таблица1[[#This Row],[Дата перевода]]-Таблица1[[#This Row],[Дата поступления]]</f>
        <v>0</v>
      </c>
      <c r="S1447" s="2">
        <f>Таблица1[[#This Row],[Дата поступления]]-Таблица1[[#This Row],[Дата рождения]]</f>
        <v>0</v>
      </c>
    </row>
    <row r="1448" spans="18:19" x14ac:dyDescent="0.25">
      <c r="R1448" s="2">
        <f>Таблица1[[#This Row],[Дата перевода]]-Таблица1[[#This Row],[Дата поступления]]</f>
        <v>0</v>
      </c>
      <c r="S1448" s="2">
        <f>Таблица1[[#This Row],[Дата поступления]]-Таблица1[[#This Row],[Дата рождения]]</f>
        <v>0</v>
      </c>
    </row>
    <row r="1449" spans="18:19" x14ac:dyDescent="0.25">
      <c r="R1449" s="2">
        <f>Таблица1[[#This Row],[Дата перевода]]-Таблица1[[#This Row],[Дата поступления]]</f>
        <v>0</v>
      </c>
      <c r="S1449" s="2">
        <f>Таблица1[[#This Row],[Дата поступления]]-Таблица1[[#This Row],[Дата рождения]]</f>
        <v>0</v>
      </c>
    </row>
    <row r="1450" spans="18:19" x14ac:dyDescent="0.25">
      <c r="R1450" s="2">
        <f>Таблица1[[#This Row],[Дата перевода]]-Таблица1[[#This Row],[Дата поступления]]</f>
        <v>0</v>
      </c>
      <c r="S1450" s="2">
        <f>Таблица1[[#This Row],[Дата поступления]]-Таблица1[[#This Row],[Дата рождения]]</f>
        <v>0</v>
      </c>
    </row>
    <row r="1451" spans="18:19" x14ac:dyDescent="0.25">
      <c r="R1451" s="2">
        <f>Таблица1[[#This Row],[Дата перевода]]-Таблица1[[#This Row],[Дата поступления]]</f>
        <v>0</v>
      </c>
      <c r="S1451" s="2">
        <f>Таблица1[[#This Row],[Дата поступления]]-Таблица1[[#This Row],[Дата рождения]]</f>
        <v>0</v>
      </c>
    </row>
    <row r="1452" spans="18:19" x14ac:dyDescent="0.25">
      <c r="R1452" s="2">
        <f>Таблица1[[#This Row],[Дата перевода]]-Таблица1[[#This Row],[Дата поступления]]</f>
        <v>0</v>
      </c>
      <c r="S1452" s="2">
        <f>Таблица1[[#This Row],[Дата поступления]]-Таблица1[[#This Row],[Дата рождения]]</f>
        <v>0</v>
      </c>
    </row>
    <row r="1453" spans="18:19" x14ac:dyDescent="0.25">
      <c r="R1453" s="2">
        <f>Таблица1[[#This Row],[Дата перевода]]-Таблица1[[#This Row],[Дата поступления]]</f>
        <v>0</v>
      </c>
      <c r="S1453" s="2">
        <f>Таблица1[[#This Row],[Дата поступления]]-Таблица1[[#This Row],[Дата рождения]]</f>
        <v>0</v>
      </c>
    </row>
    <row r="1454" spans="18:19" x14ac:dyDescent="0.25">
      <c r="R1454" s="2">
        <f>Таблица1[[#This Row],[Дата перевода]]-Таблица1[[#This Row],[Дата поступления]]</f>
        <v>0</v>
      </c>
      <c r="S1454" s="2">
        <f>Таблица1[[#This Row],[Дата поступления]]-Таблица1[[#This Row],[Дата рождения]]</f>
        <v>0</v>
      </c>
    </row>
    <row r="1455" spans="18:19" x14ac:dyDescent="0.25">
      <c r="R1455" s="2">
        <f>Таблица1[[#This Row],[Дата перевода]]-Таблица1[[#This Row],[Дата поступления]]</f>
        <v>0</v>
      </c>
      <c r="S1455" s="2">
        <f>Таблица1[[#This Row],[Дата поступления]]-Таблица1[[#This Row],[Дата рождения]]</f>
        <v>0</v>
      </c>
    </row>
    <row r="1456" spans="18:19" x14ac:dyDescent="0.25">
      <c r="R1456" s="2">
        <f>Таблица1[[#This Row],[Дата перевода]]-Таблица1[[#This Row],[Дата поступления]]</f>
        <v>0</v>
      </c>
      <c r="S1456" s="2">
        <f>Таблица1[[#This Row],[Дата поступления]]-Таблица1[[#This Row],[Дата рождения]]</f>
        <v>0</v>
      </c>
    </row>
    <row r="1457" spans="18:19" x14ac:dyDescent="0.25">
      <c r="R1457" s="2">
        <f>Таблица1[[#This Row],[Дата перевода]]-Таблица1[[#This Row],[Дата поступления]]</f>
        <v>0</v>
      </c>
      <c r="S1457" s="2">
        <f>Таблица1[[#This Row],[Дата поступления]]-Таблица1[[#This Row],[Дата рождения]]</f>
        <v>0</v>
      </c>
    </row>
    <row r="1458" spans="18:19" x14ac:dyDescent="0.25">
      <c r="R1458" s="2">
        <f>Таблица1[[#This Row],[Дата перевода]]-Таблица1[[#This Row],[Дата поступления]]</f>
        <v>0</v>
      </c>
      <c r="S1458" s="2">
        <f>Таблица1[[#This Row],[Дата поступления]]-Таблица1[[#This Row],[Дата рождения]]</f>
        <v>0</v>
      </c>
    </row>
    <row r="1459" spans="18:19" x14ac:dyDescent="0.25">
      <c r="R1459" s="2">
        <f>Таблица1[[#This Row],[Дата перевода]]-Таблица1[[#This Row],[Дата поступления]]</f>
        <v>0</v>
      </c>
      <c r="S1459" s="2">
        <f>Таблица1[[#This Row],[Дата поступления]]-Таблица1[[#This Row],[Дата рождения]]</f>
        <v>0</v>
      </c>
    </row>
    <row r="1460" spans="18:19" x14ac:dyDescent="0.25">
      <c r="R1460" s="2">
        <f>Таблица1[[#This Row],[Дата перевода]]-Таблица1[[#This Row],[Дата поступления]]</f>
        <v>0</v>
      </c>
      <c r="S1460" s="2">
        <f>Таблица1[[#This Row],[Дата поступления]]-Таблица1[[#This Row],[Дата рождения]]</f>
        <v>0</v>
      </c>
    </row>
    <row r="1461" spans="18:19" x14ac:dyDescent="0.25">
      <c r="R1461" s="2">
        <f>Таблица1[[#This Row],[Дата перевода]]-Таблица1[[#This Row],[Дата поступления]]</f>
        <v>0</v>
      </c>
      <c r="S1461" s="2">
        <f>Таблица1[[#This Row],[Дата поступления]]-Таблица1[[#This Row],[Дата рождения]]</f>
        <v>0</v>
      </c>
    </row>
    <row r="1462" spans="18:19" x14ac:dyDescent="0.25">
      <c r="R1462" s="2">
        <f>Таблица1[[#This Row],[Дата перевода]]-Таблица1[[#This Row],[Дата поступления]]</f>
        <v>0</v>
      </c>
      <c r="S1462" s="2">
        <f>Таблица1[[#This Row],[Дата поступления]]-Таблица1[[#This Row],[Дата рождения]]</f>
        <v>0</v>
      </c>
    </row>
    <row r="1463" spans="18:19" x14ac:dyDescent="0.25">
      <c r="R1463" s="2">
        <f>Таблица1[[#This Row],[Дата перевода]]-Таблица1[[#This Row],[Дата поступления]]</f>
        <v>0</v>
      </c>
      <c r="S1463" s="2">
        <f>Таблица1[[#This Row],[Дата поступления]]-Таблица1[[#This Row],[Дата рождения]]</f>
        <v>0</v>
      </c>
    </row>
    <row r="1464" spans="18:19" x14ac:dyDescent="0.25">
      <c r="R1464" s="2">
        <f>Таблица1[[#This Row],[Дата перевода]]-Таблица1[[#This Row],[Дата поступления]]</f>
        <v>0</v>
      </c>
      <c r="S1464" s="2">
        <f>Таблица1[[#This Row],[Дата поступления]]-Таблица1[[#This Row],[Дата рождения]]</f>
        <v>0</v>
      </c>
    </row>
    <row r="1465" spans="18:19" x14ac:dyDescent="0.25">
      <c r="R1465" s="2">
        <f>Таблица1[[#This Row],[Дата перевода]]-Таблица1[[#This Row],[Дата поступления]]</f>
        <v>0</v>
      </c>
      <c r="S1465" s="2">
        <f>Таблица1[[#This Row],[Дата поступления]]-Таблица1[[#This Row],[Дата рождения]]</f>
        <v>0</v>
      </c>
    </row>
    <row r="1466" spans="18:19" x14ac:dyDescent="0.25">
      <c r="R1466" s="2">
        <f>Таблица1[[#This Row],[Дата перевода]]-Таблица1[[#This Row],[Дата поступления]]</f>
        <v>0</v>
      </c>
      <c r="S1466" s="2">
        <f>Таблица1[[#This Row],[Дата поступления]]-Таблица1[[#This Row],[Дата рождения]]</f>
        <v>0</v>
      </c>
    </row>
    <row r="1467" spans="18:19" x14ac:dyDescent="0.25">
      <c r="R1467" s="2">
        <f>Таблица1[[#This Row],[Дата перевода]]-Таблица1[[#This Row],[Дата поступления]]</f>
        <v>0</v>
      </c>
      <c r="S1467" s="2">
        <f>Таблица1[[#This Row],[Дата поступления]]-Таблица1[[#This Row],[Дата рождения]]</f>
        <v>0</v>
      </c>
    </row>
    <row r="1468" spans="18:19" x14ac:dyDescent="0.25">
      <c r="R1468" s="2">
        <f>Таблица1[[#This Row],[Дата перевода]]-Таблица1[[#This Row],[Дата поступления]]</f>
        <v>0</v>
      </c>
      <c r="S1468" s="2">
        <f>Таблица1[[#This Row],[Дата поступления]]-Таблица1[[#This Row],[Дата рождения]]</f>
        <v>0</v>
      </c>
    </row>
    <row r="1469" spans="18:19" x14ac:dyDescent="0.25">
      <c r="R1469" s="2">
        <f>Таблица1[[#This Row],[Дата перевода]]-Таблица1[[#This Row],[Дата поступления]]</f>
        <v>0</v>
      </c>
      <c r="S1469" s="2">
        <f>Таблица1[[#This Row],[Дата поступления]]-Таблица1[[#This Row],[Дата рождения]]</f>
        <v>0</v>
      </c>
    </row>
    <row r="1470" spans="18:19" x14ac:dyDescent="0.25">
      <c r="R1470" s="2">
        <f>Таблица1[[#This Row],[Дата перевода]]-Таблица1[[#This Row],[Дата поступления]]</f>
        <v>0</v>
      </c>
      <c r="S1470" s="2">
        <f>Таблица1[[#This Row],[Дата поступления]]-Таблица1[[#This Row],[Дата рождения]]</f>
        <v>0</v>
      </c>
    </row>
    <row r="1471" spans="18:19" x14ac:dyDescent="0.25">
      <c r="R1471" s="2">
        <f>Таблица1[[#This Row],[Дата перевода]]-Таблица1[[#This Row],[Дата поступления]]</f>
        <v>0</v>
      </c>
      <c r="S1471" s="2">
        <f>Таблица1[[#This Row],[Дата поступления]]-Таблица1[[#This Row],[Дата рождения]]</f>
        <v>0</v>
      </c>
    </row>
    <row r="1472" spans="18:19" x14ac:dyDescent="0.25">
      <c r="R1472" s="2">
        <f>Таблица1[[#This Row],[Дата перевода]]-Таблица1[[#This Row],[Дата поступления]]</f>
        <v>0</v>
      </c>
      <c r="S1472" s="2">
        <f>Таблица1[[#This Row],[Дата поступления]]-Таблица1[[#This Row],[Дата рождения]]</f>
        <v>0</v>
      </c>
    </row>
    <row r="1473" spans="18:19" x14ac:dyDescent="0.25">
      <c r="R1473" s="2">
        <f>Таблица1[[#This Row],[Дата перевода]]-Таблица1[[#This Row],[Дата поступления]]</f>
        <v>0</v>
      </c>
      <c r="S1473" s="2">
        <f>Таблица1[[#This Row],[Дата поступления]]-Таблица1[[#This Row],[Дата рождения]]</f>
        <v>0</v>
      </c>
    </row>
    <row r="1474" spans="18:19" x14ac:dyDescent="0.25">
      <c r="R1474" s="2">
        <f>Таблица1[[#This Row],[Дата перевода]]-Таблица1[[#This Row],[Дата поступления]]</f>
        <v>0</v>
      </c>
      <c r="S1474" s="2">
        <f>Таблица1[[#This Row],[Дата поступления]]-Таблица1[[#This Row],[Дата рождения]]</f>
        <v>0</v>
      </c>
    </row>
    <row r="1475" spans="18:19" x14ac:dyDescent="0.25">
      <c r="R1475" s="2">
        <f>Таблица1[[#This Row],[Дата перевода]]-Таблица1[[#This Row],[Дата поступления]]</f>
        <v>0</v>
      </c>
      <c r="S1475" s="2">
        <f>Таблица1[[#This Row],[Дата поступления]]-Таблица1[[#This Row],[Дата рождения]]</f>
        <v>0</v>
      </c>
    </row>
    <row r="1476" spans="18:19" x14ac:dyDescent="0.25">
      <c r="R1476" s="2">
        <f>Таблица1[[#This Row],[Дата перевода]]-Таблица1[[#This Row],[Дата поступления]]</f>
        <v>0</v>
      </c>
      <c r="S1476" s="2">
        <f>Таблица1[[#This Row],[Дата поступления]]-Таблица1[[#This Row],[Дата рождения]]</f>
        <v>0</v>
      </c>
    </row>
    <row r="1477" spans="18:19" x14ac:dyDescent="0.25">
      <c r="R1477" s="2">
        <f>Таблица1[[#This Row],[Дата перевода]]-Таблица1[[#This Row],[Дата поступления]]</f>
        <v>0</v>
      </c>
      <c r="S1477" s="2">
        <f>Таблица1[[#This Row],[Дата поступления]]-Таблица1[[#This Row],[Дата рождения]]</f>
        <v>0</v>
      </c>
    </row>
    <row r="1478" spans="18:19" x14ac:dyDescent="0.25">
      <c r="R1478" s="2">
        <f>Таблица1[[#This Row],[Дата перевода]]-Таблица1[[#This Row],[Дата поступления]]</f>
        <v>0</v>
      </c>
      <c r="S1478" s="2">
        <f>Таблица1[[#This Row],[Дата поступления]]-Таблица1[[#This Row],[Дата рождения]]</f>
        <v>0</v>
      </c>
    </row>
    <row r="1479" spans="18:19" x14ac:dyDescent="0.25">
      <c r="R1479" s="2">
        <f>Таблица1[[#This Row],[Дата перевода]]-Таблица1[[#This Row],[Дата поступления]]</f>
        <v>0</v>
      </c>
      <c r="S1479" s="2">
        <f>Таблица1[[#This Row],[Дата поступления]]-Таблица1[[#This Row],[Дата рождения]]</f>
        <v>0</v>
      </c>
    </row>
    <row r="1480" spans="18:19" x14ac:dyDescent="0.25">
      <c r="R1480" s="2">
        <f>Таблица1[[#This Row],[Дата перевода]]-Таблица1[[#This Row],[Дата поступления]]</f>
        <v>0</v>
      </c>
      <c r="S1480" s="2">
        <f>Таблица1[[#This Row],[Дата поступления]]-Таблица1[[#This Row],[Дата рождения]]</f>
        <v>0</v>
      </c>
    </row>
    <row r="1481" spans="18:19" x14ac:dyDescent="0.25">
      <c r="R1481" s="2">
        <f>Таблица1[[#This Row],[Дата перевода]]-Таблица1[[#This Row],[Дата поступления]]</f>
        <v>0</v>
      </c>
      <c r="S1481" s="2">
        <f>Таблица1[[#This Row],[Дата поступления]]-Таблица1[[#This Row],[Дата рождения]]</f>
        <v>0</v>
      </c>
    </row>
    <row r="1482" spans="18:19" x14ac:dyDescent="0.25">
      <c r="R1482" s="2">
        <f>Таблица1[[#This Row],[Дата перевода]]-Таблица1[[#This Row],[Дата поступления]]</f>
        <v>0</v>
      </c>
      <c r="S1482" s="2">
        <f>Таблица1[[#This Row],[Дата поступления]]-Таблица1[[#This Row],[Дата рождения]]</f>
        <v>0</v>
      </c>
    </row>
    <row r="1483" spans="18:19" x14ac:dyDescent="0.25">
      <c r="R1483" s="2">
        <f>Таблица1[[#This Row],[Дата перевода]]-Таблица1[[#This Row],[Дата поступления]]</f>
        <v>0</v>
      </c>
      <c r="S1483" s="2">
        <f>Таблица1[[#This Row],[Дата поступления]]-Таблица1[[#This Row],[Дата рождения]]</f>
        <v>0</v>
      </c>
    </row>
    <row r="1484" spans="18:19" x14ac:dyDescent="0.25">
      <c r="R1484" s="2">
        <f>Таблица1[[#This Row],[Дата перевода]]-Таблица1[[#This Row],[Дата поступления]]</f>
        <v>0</v>
      </c>
      <c r="S1484" s="2">
        <f>Таблица1[[#This Row],[Дата поступления]]-Таблица1[[#This Row],[Дата рождения]]</f>
        <v>0</v>
      </c>
    </row>
    <row r="1485" spans="18:19" x14ac:dyDescent="0.25">
      <c r="R1485" s="2">
        <f>Таблица1[[#This Row],[Дата перевода]]-Таблица1[[#This Row],[Дата поступления]]</f>
        <v>0</v>
      </c>
      <c r="S1485" s="2">
        <f>Таблица1[[#This Row],[Дата поступления]]-Таблица1[[#This Row],[Дата рождения]]</f>
        <v>0</v>
      </c>
    </row>
    <row r="1486" spans="18:19" x14ac:dyDescent="0.25">
      <c r="R1486" s="2">
        <f>Таблица1[[#This Row],[Дата перевода]]-Таблица1[[#This Row],[Дата поступления]]</f>
        <v>0</v>
      </c>
      <c r="S1486" s="2">
        <f>Таблица1[[#This Row],[Дата поступления]]-Таблица1[[#This Row],[Дата рождения]]</f>
        <v>0</v>
      </c>
    </row>
    <row r="1487" spans="18:19" x14ac:dyDescent="0.25">
      <c r="R1487" s="2">
        <f>Таблица1[[#This Row],[Дата перевода]]-Таблица1[[#This Row],[Дата поступления]]</f>
        <v>0</v>
      </c>
      <c r="S1487" s="2">
        <f>Таблица1[[#This Row],[Дата поступления]]-Таблица1[[#This Row],[Дата рождения]]</f>
        <v>0</v>
      </c>
    </row>
    <row r="1488" spans="18:19" x14ac:dyDescent="0.25">
      <c r="R1488" s="2">
        <f>Таблица1[[#This Row],[Дата перевода]]-Таблица1[[#This Row],[Дата поступления]]</f>
        <v>0</v>
      </c>
      <c r="S1488" s="2">
        <f>Таблица1[[#This Row],[Дата поступления]]-Таблица1[[#This Row],[Дата рождения]]</f>
        <v>0</v>
      </c>
    </row>
    <row r="1489" spans="18:19" x14ac:dyDescent="0.25">
      <c r="R1489" s="2">
        <f>Таблица1[[#This Row],[Дата перевода]]-Таблица1[[#This Row],[Дата поступления]]</f>
        <v>0</v>
      </c>
      <c r="S1489" s="2">
        <f>Таблица1[[#This Row],[Дата поступления]]-Таблица1[[#This Row],[Дата рождения]]</f>
        <v>0</v>
      </c>
    </row>
    <row r="1490" spans="18:19" x14ac:dyDescent="0.25">
      <c r="R1490" s="2">
        <f>Таблица1[[#This Row],[Дата перевода]]-Таблица1[[#This Row],[Дата поступления]]</f>
        <v>0</v>
      </c>
      <c r="S1490" s="2">
        <f>Таблица1[[#This Row],[Дата поступления]]-Таблица1[[#This Row],[Дата рождения]]</f>
        <v>0</v>
      </c>
    </row>
    <row r="1491" spans="18:19" x14ac:dyDescent="0.25">
      <c r="R1491" s="2">
        <f>Таблица1[[#This Row],[Дата перевода]]-Таблица1[[#This Row],[Дата поступления]]</f>
        <v>0</v>
      </c>
      <c r="S1491" s="2">
        <f>Таблица1[[#This Row],[Дата поступления]]-Таблица1[[#This Row],[Дата рождения]]</f>
        <v>0</v>
      </c>
    </row>
    <row r="1492" spans="18:19" x14ac:dyDescent="0.25">
      <c r="R1492" s="2">
        <f>Таблица1[[#This Row],[Дата перевода]]-Таблица1[[#This Row],[Дата поступления]]</f>
        <v>0</v>
      </c>
      <c r="S1492" s="2">
        <f>Таблица1[[#This Row],[Дата поступления]]-Таблица1[[#This Row],[Дата рождения]]</f>
        <v>0</v>
      </c>
    </row>
    <row r="1493" spans="18:19" x14ac:dyDescent="0.25">
      <c r="R1493" s="2">
        <f>Таблица1[[#This Row],[Дата перевода]]-Таблица1[[#This Row],[Дата поступления]]</f>
        <v>0</v>
      </c>
      <c r="S1493" s="2">
        <f>Таблица1[[#This Row],[Дата поступления]]-Таблица1[[#This Row],[Дата рождения]]</f>
        <v>0</v>
      </c>
    </row>
    <row r="1494" spans="18:19" x14ac:dyDescent="0.25">
      <c r="R1494" s="2">
        <f>Таблица1[[#This Row],[Дата перевода]]-Таблица1[[#This Row],[Дата поступления]]</f>
        <v>0</v>
      </c>
      <c r="S1494" s="2">
        <f>Таблица1[[#This Row],[Дата поступления]]-Таблица1[[#This Row],[Дата рождения]]</f>
        <v>0</v>
      </c>
    </row>
    <row r="1495" spans="18:19" x14ac:dyDescent="0.25">
      <c r="R1495" s="2">
        <f>Таблица1[[#This Row],[Дата перевода]]-Таблица1[[#This Row],[Дата поступления]]</f>
        <v>0</v>
      </c>
      <c r="S1495" s="2">
        <f>Таблица1[[#This Row],[Дата поступления]]-Таблица1[[#This Row],[Дата рождения]]</f>
        <v>0</v>
      </c>
    </row>
    <row r="1496" spans="18:19" x14ac:dyDescent="0.25">
      <c r="R1496" s="2">
        <f>Таблица1[[#This Row],[Дата перевода]]-Таблица1[[#This Row],[Дата поступления]]</f>
        <v>0</v>
      </c>
      <c r="S1496" s="2">
        <f>Таблица1[[#This Row],[Дата поступления]]-Таблица1[[#This Row],[Дата рождения]]</f>
        <v>0</v>
      </c>
    </row>
    <row r="1497" spans="18:19" x14ac:dyDescent="0.25">
      <c r="R1497" s="2">
        <f>Таблица1[[#This Row],[Дата перевода]]-Таблица1[[#This Row],[Дата поступления]]</f>
        <v>0</v>
      </c>
      <c r="S1497" s="2">
        <f>Таблица1[[#This Row],[Дата поступления]]-Таблица1[[#This Row],[Дата рождения]]</f>
        <v>0</v>
      </c>
    </row>
    <row r="1498" spans="18:19" x14ac:dyDescent="0.25">
      <c r="R1498" s="2">
        <f>Таблица1[[#This Row],[Дата перевода]]-Таблица1[[#This Row],[Дата поступления]]</f>
        <v>0</v>
      </c>
      <c r="S1498" s="2">
        <f>Таблица1[[#This Row],[Дата поступления]]-Таблица1[[#This Row],[Дата рождения]]</f>
        <v>0</v>
      </c>
    </row>
    <row r="1499" spans="18:19" x14ac:dyDescent="0.25">
      <c r="R1499" s="2">
        <f>Таблица1[[#This Row],[Дата перевода]]-Таблица1[[#This Row],[Дата поступления]]</f>
        <v>0</v>
      </c>
      <c r="S1499" s="2">
        <f>Таблица1[[#This Row],[Дата поступления]]-Таблица1[[#This Row],[Дата рождения]]</f>
        <v>0</v>
      </c>
    </row>
    <row r="1500" spans="18:19" x14ac:dyDescent="0.25">
      <c r="R1500" s="2">
        <f>Таблица1[[#This Row],[Дата перевода]]-Таблица1[[#This Row],[Дата поступления]]</f>
        <v>0</v>
      </c>
      <c r="S1500" s="2">
        <f>Таблица1[[#This Row],[Дата поступления]]-Таблица1[[#This Row],[Дата рождения]]</f>
        <v>0</v>
      </c>
    </row>
    <row r="1501" spans="18:19" x14ac:dyDescent="0.25">
      <c r="R1501" s="2">
        <f>Таблица1[[#This Row],[Дата перевода]]-Таблица1[[#This Row],[Дата поступления]]</f>
        <v>0</v>
      </c>
      <c r="S1501" s="2">
        <f>Таблица1[[#This Row],[Дата поступления]]-Таблица1[[#This Row],[Дата рождения]]</f>
        <v>0</v>
      </c>
    </row>
    <row r="1502" spans="18:19" x14ac:dyDescent="0.25">
      <c r="R1502" s="2">
        <f>Таблица1[[#This Row],[Дата перевода]]-Таблица1[[#This Row],[Дата поступления]]</f>
        <v>0</v>
      </c>
      <c r="S1502" s="2">
        <f>Таблица1[[#This Row],[Дата поступления]]-Таблица1[[#This Row],[Дата рождения]]</f>
        <v>0</v>
      </c>
    </row>
    <row r="1503" spans="18:19" x14ac:dyDescent="0.25">
      <c r="R1503" s="2">
        <f>Таблица1[[#This Row],[Дата перевода]]-Таблица1[[#This Row],[Дата поступления]]</f>
        <v>0</v>
      </c>
      <c r="S1503" s="2">
        <f>Таблица1[[#This Row],[Дата поступления]]-Таблица1[[#This Row],[Дата рождения]]</f>
        <v>0</v>
      </c>
    </row>
    <row r="1504" spans="18:19" x14ac:dyDescent="0.25">
      <c r="R1504" s="2">
        <f>Таблица1[[#This Row],[Дата перевода]]-Таблица1[[#This Row],[Дата поступления]]</f>
        <v>0</v>
      </c>
      <c r="S1504" s="2">
        <f>Таблица1[[#This Row],[Дата поступления]]-Таблица1[[#This Row],[Дата рождения]]</f>
        <v>0</v>
      </c>
    </row>
    <row r="1505" spans="18:19" x14ac:dyDescent="0.25">
      <c r="R1505" s="2">
        <f>Таблица1[[#This Row],[Дата перевода]]-Таблица1[[#This Row],[Дата поступления]]</f>
        <v>0</v>
      </c>
      <c r="S1505" s="2">
        <f>Таблица1[[#This Row],[Дата поступления]]-Таблица1[[#This Row],[Дата рождения]]</f>
        <v>0</v>
      </c>
    </row>
    <row r="1506" spans="18:19" x14ac:dyDescent="0.25">
      <c r="R1506" s="2">
        <f>Таблица1[[#This Row],[Дата перевода]]-Таблица1[[#This Row],[Дата поступления]]</f>
        <v>0</v>
      </c>
      <c r="S1506" s="2">
        <f>Таблица1[[#This Row],[Дата поступления]]-Таблица1[[#This Row],[Дата рождения]]</f>
        <v>0</v>
      </c>
    </row>
    <row r="1507" spans="18:19" x14ac:dyDescent="0.25">
      <c r="R1507" s="2">
        <f>Таблица1[[#This Row],[Дата перевода]]-Таблица1[[#This Row],[Дата поступления]]</f>
        <v>0</v>
      </c>
      <c r="S1507" s="2">
        <f>Таблица1[[#This Row],[Дата поступления]]-Таблица1[[#This Row],[Дата рождения]]</f>
        <v>0</v>
      </c>
    </row>
    <row r="1508" spans="18:19" x14ac:dyDescent="0.25">
      <c r="R1508" s="2">
        <f>Таблица1[[#This Row],[Дата перевода]]-Таблица1[[#This Row],[Дата поступления]]</f>
        <v>0</v>
      </c>
      <c r="S1508" s="2">
        <f>Таблица1[[#This Row],[Дата поступления]]-Таблица1[[#This Row],[Дата рождения]]</f>
        <v>0</v>
      </c>
    </row>
    <row r="1509" spans="18:19" x14ac:dyDescent="0.25">
      <c r="R1509" s="2">
        <f>Таблица1[[#This Row],[Дата перевода]]-Таблица1[[#This Row],[Дата поступления]]</f>
        <v>0</v>
      </c>
      <c r="S1509" s="2">
        <f>Таблица1[[#This Row],[Дата поступления]]-Таблица1[[#This Row],[Дата рождения]]</f>
        <v>0</v>
      </c>
    </row>
    <row r="1510" spans="18:19" x14ac:dyDescent="0.25">
      <c r="R1510" s="2">
        <f>Таблица1[[#This Row],[Дата перевода]]-Таблица1[[#This Row],[Дата поступления]]</f>
        <v>0</v>
      </c>
      <c r="S1510" s="2">
        <f>Таблица1[[#This Row],[Дата поступления]]-Таблица1[[#This Row],[Дата рождения]]</f>
        <v>0</v>
      </c>
    </row>
    <row r="1511" spans="18:19" x14ac:dyDescent="0.25">
      <c r="R1511" s="2">
        <f>Таблица1[[#This Row],[Дата перевода]]-Таблица1[[#This Row],[Дата поступления]]</f>
        <v>0</v>
      </c>
      <c r="S1511" s="2">
        <f>Таблица1[[#This Row],[Дата поступления]]-Таблица1[[#This Row],[Дата рождения]]</f>
        <v>0</v>
      </c>
    </row>
    <row r="1512" spans="18:19" x14ac:dyDescent="0.25">
      <c r="R1512" s="2">
        <f>Таблица1[[#This Row],[Дата перевода]]-Таблица1[[#This Row],[Дата поступления]]</f>
        <v>0</v>
      </c>
      <c r="S1512" s="2">
        <f>Таблица1[[#This Row],[Дата поступления]]-Таблица1[[#This Row],[Дата рождения]]</f>
        <v>0</v>
      </c>
    </row>
    <row r="1513" spans="18:19" x14ac:dyDescent="0.25">
      <c r="R1513" s="2">
        <f>Таблица1[[#This Row],[Дата перевода]]-Таблица1[[#This Row],[Дата поступления]]</f>
        <v>0</v>
      </c>
      <c r="S1513" s="2">
        <f>Таблица1[[#This Row],[Дата поступления]]-Таблица1[[#This Row],[Дата рождения]]</f>
        <v>0</v>
      </c>
    </row>
    <row r="1514" spans="18:19" x14ac:dyDescent="0.25">
      <c r="R1514" s="2">
        <f>Таблица1[[#This Row],[Дата перевода]]-Таблица1[[#This Row],[Дата поступления]]</f>
        <v>0</v>
      </c>
      <c r="S1514" s="2">
        <f>Таблица1[[#This Row],[Дата поступления]]-Таблица1[[#This Row],[Дата рождения]]</f>
        <v>0</v>
      </c>
    </row>
    <row r="1515" spans="18:19" x14ac:dyDescent="0.25">
      <c r="R1515" s="2">
        <f>Таблица1[[#This Row],[Дата перевода]]-Таблица1[[#This Row],[Дата поступления]]</f>
        <v>0</v>
      </c>
      <c r="S1515" s="2">
        <f>Таблица1[[#This Row],[Дата поступления]]-Таблица1[[#This Row],[Дата рождения]]</f>
        <v>0</v>
      </c>
    </row>
    <row r="1516" spans="18:19" x14ac:dyDescent="0.25">
      <c r="R1516" s="2">
        <f>Таблица1[[#This Row],[Дата перевода]]-Таблица1[[#This Row],[Дата поступления]]</f>
        <v>0</v>
      </c>
      <c r="S1516" s="2">
        <f>Таблица1[[#This Row],[Дата поступления]]-Таблица1[[#This Row],[Дата рождения]]</f>
        <v>0</v>
      </c>
    </row>
    <row r="1517" spans="18:19" x14ac:dyDescent="0.25">
      <c r="R1517" s="2">
        <f>Таблица1[[#This Row],[Дата перевода]]-Таблица1[[#This Row],[Дата поступления]]</f>
        <v>0</v>
      </c>
      <c r="S1517" s="2">
        <f>Таблица1[[#This Row],[Дата поступления]]-Таблица1[[#This Row],[Дата рождения]]</f>
        <v>0</v>
      </c>
    </row>
    <row r="1518" spans="18:19" x14ac:dyDescent="0.25">
      <c r="R1518" s="2">
        <f>Таблица1[[#This Row],[Дата перевода]]-Таблица1[[#This Row],[Дата поступления]]</f>
        <v>0</v>
      </c>
      <c r="S1518" s="2">
        <f>Таблица1[[#This Row],[Дата поступления]]-Таблица1[[#This Row],[Дата рождения]]</f>
        <v>0</v>
      </c>
    </row>
    <row r="1519" spans="18:19" x14ac:dyDescent="0.25">
      <c r="R1519" s="2">
        <f>Таблица1[[#This Row],[Дата перевода]]-Таблица1[[#This Row],[Дата поступления]]</f>
        <v>0</v>
      </c>
      <c r="S1519" s="2">
        <f>Таблица1[[#This Row],[Дата поступления]]-Таблица1[[#This Row],[Дата рождения]]</f>
        <v>0</v>
      </c>
    </row>
    <row r="1520" spans="18:19" x14ac:dyDescent="0.25">
      <c r="R1520" s="2">
        <f>Таблица1[[#This Row],[Дата перевода]]-Таблица1[[#This Row],[Дата поступления]]</f>
        <v>0</v>
      </c>
      <c r="S1520" s="2">
        <f>Таблица1[[#This Row],[Дата поступления]]-Таблица1[[#This Row],[Дата рождения]]</f>
        <v>0</v>
      </c>
    </row>
    <row r="1521" spans="18:19" x14ac:dyDescent="0.25">
      <c r="R1521" s="2">
        <f>Таблица1[[#This Row],[Дата перевода]]-Таблица1[[#This Row],[Дата поступления]]</f>
        <v>0</v>
      </c>
      <c r="S1521" s="2">
        <f>Таблица1[[#This Row],[Дата поступления]]-Таблица1[[#This Row],[Дата рождения]]</f>
        <v>0</v>
      </c>
    </row>
    <row r="1522" spans="18:19" x14ac:dyDescent="0.25">
      <c r="R1522" s="2">
        <f>Таблица1[[#This Row],[Дата перевода]]-Таблица1[[#This Row],[Дата поступления]]</f>
        <v>0</v>
      </c>
      <c r="S1522" s="2">
        <f>Таблица1[[#This Row],[Дата поступления]]-Таблица1[[#This Row],[Дата рождения]]</f>
        <v>0</v>
      </c>
    </row>
    <row r="1523" spans="18:19" x14ac:dyDescent="0.25">
      <c r="R1523" s="2">
        <f>Таблица1[[#This Row],[Дата перевода]]-Таблица1[[#This Row],[Дата поступления]]</f>
        <v>0</v>
      </c>
      <c r="S1523" s="2">
        <f>Таблица1[[#This Row],[Дата поступления]]-Таблица1[[#This Row],[Дата рождения]]</f>
        <v>0</v>
      </c>
    </row>
    <row r="1524" spans="18:19" x14ac:dyDescent="0.25">
      <c r="R1524" s="2">
        <f>Таблица1[[#This Row],[Дата перевода]]-Таблица1[[#This Row],[Дата поступления]]</f>
        <v>0</v>
      </c>
      <c r="S1524" s="2">
        <f>Таблица1[[#This Row],[Дата поступления]]-Таблица1[[#This Row],[Дата рождения]]</f>
        <v>0</v>
      </c>
    </row>
    <row r="1525" spans="18:19" x14ac:dyDescent="0.25">
      <c r="R1525" s="2">
        <f>Таблица1[[#This Row],[Дата перевода]]-Таблица1[[#This Row],[Дата поступления]]</f>
        <v>0</v>
      </c>
      <c r="S1525" s="2">
        <f>Таблица1[[#This Row],[Дата поступления]]-Таблица1[[#This Row],[Дата рождения]]</f>
        <v>0</v>
      </c>
    </row>
    <row r="1526" spans="18:19" x14ac:dyDescent="0.25">
      <c r="R1526" s="2">
        <f>Таблица1[[#This Row],[Дата перевода]]-Таблица1[[#This Row],[Дата поступления]]</f>
        <v>0</v>
      </c>
      <c r="S1526" s="2">
        <f>Таблица1[[#This Row],[Дата поступления]]-Таблица1[[#This Row],[Дата рождения]]</f>
        <v>0</v>
      </c>
    </row>
    <row r="1527" spans="18:19" x14ac:dyDescent="0.25">
      <c r="R1527" s="2">
        <f>Таблица1[[#This Row],[Дата перевода]]-Таблица1[[#This Row],[Дата поступления]]</f>
        <v>0</v>
      </c>
      <c r="S1527" s="2">
        <f>Таблица1[[#This Row],[Дата поступления]]-Таблица1[[#This Row],[Дата рождения]]</f>
        <v>0</v>
      </c>
    </row>
    <row r="1528" spans="18:19" x14ac:dyDescent="0.25">
      <c r="R1528" s="2">
        <f>Таблица1[[#This Row],[Дата перевода]]-Таблица1[[#This Row],[Дата поступления]]</f>
        <v>0</v>
      </c>
      <c r="S1528" s="2">
        <f>Таблица1[[#This Row],[Дата поступления]]-Таблица1[[#This Row],[Дата рождения]]</f>
        <v>0</v>
      </c>
    </row>
    <row r="1529" spans="18:19" x14ac:dyDescent="0.25">
      <c r="R1529" s="2">
        <f>Таблица1[[#This Row],[Дата перевода]]-Таблица1[[#This Row],[Дата поступления]]</f>
        <v>0</v>
      </c>
      <c r="S1529" s="2">
        <f>Таблица1[[#This Row],[Дата поступления]]-Таблица1[[#This Row],[Дата рождения]]</f>
        <v>0</v>
      </c>
    </row>
    <row r="1530" spans="18:19" x14ac:dyDescent="0.25">
      <c r="R1530" s="2">
        <f>Таблица1[[#This Row],[Дата перевода]]-Таблица1[[#This Row],[Дата поступления]]</f>
        <v>0</v>
      </c>
      <c r="S1530" s="2">
        <f>Таблица1[[#This Row],[Дата поступления]]-Таблица1[[#This Row],[Дата рождения]]</f>
        <v>0</v>
      </c>
    </row>
    <row r="1531" spans="18:19" x14ac:dyDescent="0.25">
      <c r="R1531" s="2">
        <f>Таблица1[[#This Row],[Дата перевода]]-Таблица1[[#This Row],[Дата поступления]]</f>
        <v>0</v>
      </c>
      <c r="S1531" s="2">
        <f>Таблица1[[#This Row],[Дата поступления]]-Таблица1[[#This Row],[Дата рождения]]</f>
        <v>0</v>
      </c>
    </row>
    <row r="1532" spans="18:19" x14ac:dyDescent="0.25">
      <c r="R1532" s="2">
        <f>Таблица1[[#This Row],[Дата перевода]]-Таблица1[[#This Row],[Дата поступления]]</f>
        <v>0</v>
      </c>
      <c r="S1532" s="2">
        <f>Таблица1[[#This Row],[Дата поступления]]-Таблица1[[#This Row],[Дата рождения]]</f>
        <v>0</v>
      </c>
    </row>
    <row r="1533" spans="18:19" x14ac:dyDescent="0.25">
      <c r="R1533" s="2">
        <f>Таблица1[[#This Row],[Дата перевода]]-Таблица1[[#This Row],[Дата поступления]]</f>
        <v>0</v>
      </c>
      <c r="S1533" s="2">
        <f>Таблица1[[#This Row],[Дата поступления]]-Таблица1[[#This Row],[Дата рождения]]</f>
        <v>0</v>
      </c>
    </row>
    <row r="1534" spans="18:19" x14ac:dyDescent="0.25">
      <c r="R1534" s="2">
        <f>Таблица1[[#This Row],[Дата перевода]]-Таблица1[[#This Row],[Дата поступления]]</f>
        <v>0</v>
      </c>
      <c r="S1534" s="2">
        <f>Таблица1[[#This Row],[Дата поступления]]-Таблица1[[#This Row],[Дата рождения]]</f>
        <v>0</v>
      </c>
    </row>
    <row r="1535" spans="18:19" x14ac:dyDescent="0.25">
      <c r="R1535" s="2">
        <f>Таблица1[[#This Row],[Дата перевода]]-Таблица1[[#This Row],[Дата поступления]]</f>
        <v>0</v>
      </c>
      <c r="S1535" s="2">
        <f>Таблица1[[#This Row],[Дата поступления]]-Таблица1[[#This Row],[Дата рождения]]</f>
        <v>0</v>
      </c>
    </row>
    <row r="1536" spans="18:19" x14ac:dyDescent="0.25">
      <c r="R1536" s="2">
        <f>Таблица1[[#This Row],[Дата перевода]]-Таблица1[[#This Row],[Дата поступления]]</f>
        <v>0</v>
      </c>
      <c r="S1536" s="2">
        <f>Таблица1[[#This Row],[Дата поступления]]-Таблица1[[#This Row],[Дата рождения]]</f>
        <v>0</v>
      </c>
    </row>
    <row r="1537" spans="18:19" x14ac:dyDescent="0.25">
      <c r="R1537" s="2">
        <f>Таблица1[[#This Row],[Дата перевода]]-Таблица1[[#This Row],[Дата поступления]]</f>
        <v>0</v>
      </c>
      <c r="S1537" s="2">
        <f>Таблица1[[#This Row],[Дата поступления]]-Таблица1[[#This Row],[Дата рождения]]</f>
        <v>0</v>
      </c>
    </row>
    <row r="1538" spans="18:19" x14ac:dyDescent="0.25">
      <c r="R1538" s="2">
        <f>Таблица1[[#This Row],[Дата перевода]]-Таблица1[[#This Row],[Дата поступления]]</f>
        <v>0</v>
      </c>
      <c r="S1538" s="2">
        <f>Таблица1[[#This Row],[Дата поступления]]-Таблица1[[#This Row],[Дата рождения]]</f>
        <v>0</v>
      </c>
    </row>
    <row r="1539" spans="18:19" x14ac:dyDescent="0.25">
      <c r="R1539" s="2">
        <f>Таблица1[[#This Row],[Дата перевода]]-Таблица1[[#This Row],[Дата поступления]]</f>
        <v>0</v>
      </c>
      <c r="S1539" s="2">
        <f>Таблица1[[#This Row],[Дата поступления]]-Таблица1[[#This Row],[Дата рождения]]</f>
        <v>0</v>
      </c>
    </row>
    <row r="1540" spans="18:19" x14ac:dyDescent="0.25">
      <c r="R1540" s="2">
        <f>Таблица1[[#This Row],[Дата перевода]]-Таблица1[[#This Row],[Дата поступления]]</f>
        <v>0</v>
      </c>
      <c r="S1540" s="2">
        <f>Таблица1[[#This Row],[Дата поступления]]-Таблица1[[#This Row],[Дата рождения]]</f>
        <v>0</v>
      </c>
    </row>
    <row r="1541" spans="18:19" x14ac:dyDescent="0.25">
      <c r="R1541" s="2">
        <f>Таблица1[[#This Row],[Дата перевода]]-Таблица1[[#This Row],[Дата поступления]]</f>
        <v>0</v>
      </c>
      <c r="S1541" s="2">
        <f>Таблица1[[#This Row],[Дата поступления]]-Таблица1[[#This Row],[Дата рождения]]</f>
        <v>0</v>
      </c>
    </row>
    <row r="1542" spans="18:19" x14ac:dyDescent="0.25">
      <c r="R1542" s="2">
        <f>Таблица1[[#This Row],[Дата перевода]]-Таблица1[[#This Row],[Дата поступления]]</f>
        <v>0</v>
      </c>
      <c r="S1542" s="2">
        <f>Таблица1[[#This Row],[Дата поступления]]-Таблица1[[#This Row],[Дата рождения]]</f>
        <v>0</v>
      </c>
    </row>
    <row r="1543" spans="18:19" x14ac:dyDescent="0.25">
      <c r="R1543" s="2">
        <f>Таблица1[[#This Row],[Дата перевода]]-Таблица1[[#This Row],[Дата поступления]]</f>
        <v>0</v>
      </c>
      <c r="S1543" s="2">
        <f>Таблица1[[#This Row],[Дата поступления]]-Таблица1[[#This Row],[Дата рождения]]</f>
        <v>0</v>
      </c>
    </row>
    <row r="1544" spans="18:19" x14ac:dyDescent="0.25">
      <c r="R1544" s="2">
        <f>Таблица1[[#This Row],[Дата перевода]]-Таблица1[[#This Row],[Дата поступления]]</f>
        <v>0</v>
      </c>
      <c r="S1544" s="2">
        <f>Таблица1[[#This Row],[Дата поступления]]-Таблица1[[#This Row],[Дата рождения]]</f>
        <v>0</v>
      </c>
    </row>
    <row r="1545" spans="18:19" x14ac:dyDescent="0.25">
      <c r="R1545" s="2">
        <f>Таблица1[[#This Row],[Дата перевода]]-Таблица1[[#This Row],[Дата поступления]]</f>
        <v>0</v>
      </c>
      <c r="S1545" s="2">
        <f>Таблица1[[#This Row],[Дата поступления]]-Таблица1[[#This Row],[Дата рождения]]</f>
        <v>0</v>
      </c>
    </row>
    <row r="1546" spans="18:19" x14ac:dyDescent="0.25">
      <c r="R1546" s="2">
        <f>Таблица1[[#This Row],[Дата перевода]]-Таблица1[[#This Row],[Дата поступления]]</f>
        <v>0</v>
      </c>
      <c r="S1546" s="2">
        <f>Таблица1[[#This Row],[Дата поступления]]-Таблица1[[#This Row],[Дата рождения]]</f>
        <v>0</v>
      </c>
    </row>
    <row r="1547" spans="18:19" x14ac:dyDescent="0.25">
      <c r="R1547" s="2">
        <f>Таблица1[[#This Row],[Дата перевода]]-Таблица1[[#This Row],[Дата поступления]]</f>
        <v>0</v>
      </c>
      <c r="S1547" s="2">
        <f>Таблица1[[#This Row],[Дата поступления]]-Таблица1[[#This Row],[Дата рождения]]</f>
        <v>0</v>
      </c>
    </row>
    <row r="1548" spans="18:19" x14ac:dyDescent="0.25">
      <c r="R1548" s="2">
        <f>Таблица1[[#This Row],[Дата перевода]]-Таблица1[[#This Row],[Дата поступления]]</f>
        <v>0</v>
      </c>
      <c r="S1548" s="2">
        <f>Таблица1[[#This Row],[Дата поступления]]-Таблица1[[#This Row],[Дата рождения]]</f>
        <v>0</v>
      </c>
    </row>
    <row r="1549" spans="18:19" x14ac:dyDescent="0.25">
      <c r="R1549" s="2">
        <f>Таблица1[[#This Row],[Дата перевода]]-Таблица1[[#This Row],[Дата поступления]]</f>
        <v>0</v>
      </c>
      <c r="S1549" s="2">
        <f>Таблица1[[#This Row],[Дата поступления]]-Таблица1[[#This Row],[Дата рождения]]</f>
        <v>0</v>
      </c>
    </row>
    <row r="1550" spans="18:19" x14ac:dyDescent="0.25">
      <c r="R1550" s="2">
        <f>Таблица1[[#This Row],[Дата перевода]]-Таблица1[[#This Row],[Дата поступления]]</f>
        <v>0</v>
      </c>
      <c r="S1550" s="2">
        <f>Таблица1[[#This Row],[Дата поступления]]-Таблица1[[#This Row],[Дата рождения]]</f>
        <v>0</v>
      </c>
    </row>
    <row r="1551" spans="18:19" x14ac:dyDescent="0.25">
      <c r="R1551" s="2">
        <f>Таблица1[[#This Row],[Дата перевода]]-Таблица1[[#This Row],[Дата поступления]]</f>
        <v>0</v>
      </c>
      <c r="S1551" s="2">
        <f>Таблица1[[#This Row],[Дата поступления]]-Таблица1[[#This Row],[Дата рождения]]</f>
        <v>0</v>
      </c>
    </row>
    <row r="1552" spans="18:19" x14ac:dyDescent="0.25">
      <c r="R1552" s="2">
        <f>Таблица1[[#This Row],[Дата перевода]]-Таблица1[[#This Row],[Дата поступления]]</f>
        <v>0</v>
      </c>
      <c r="S1552" s="2">
        <f>Таблица1[[#This Row],[Дата поступления]]-Таблица1[[#This Row],[Дата рождения]]</f>
        <v>0</v>
      </c>
    </row>
    <row r="1553" spans="18:19" x14ac:dyDescent="0.25">
      <c r="R1553" s="2">
        <f>Таблица1[[#This Row],[Дата перевода]]-Таблица1[[#This Row],[Дата поступления]]</f>
        <v>0</v>
      </c>
      <c r="S1553" s="2">
        <f>Таблица1[[#This Row],[Дата поступления]]-Таблица1[[#This Row],[Дата рождения]]</f>
        <v>0</v>
      </c>
    </row>
    <row r="1554" spans="18:19" x14ac:dyDescent="0.25">
      <c r="R1554" s="2">
        <f>Таблица1[[#This Row],[Дата перевода]]-Таблица1[[#This Row],[Дата поступления]]</f>
        <v>0</v>
      </c>
      <c r="S1554" s="2">
        <f>Таблица1[[#This Row],[Дата поступления]]-Таблица1[[#This Row],[Дата рождения]]</f>
        <v>0</v>
      </c>
    </row>
    <row r="1555" spans="18:19" x14ac:dyDescent="0.25">
      <c r="R1555" s="2">
        <f>Таблица1[[#This Row],[Дата перевода]]-Таблица1[[#This Row],[Дата поступления]]</f>
        <v>0</v>
      </c>
      <c r="S1555" s="2">
        <f>Таблица1[[#This Row],[Дата поступления]]-Таблица1[[#This Row],[Дата рождения]]</f>
        <v>0</v>
      </c>
    </row>
    <row r="1556" spans="18:19" x14ac:dyDescent="0.25">
      <c r="R1556" s="2">
        <f>Таблица1[[#This Row],[Дата перевода]]-Таблица1[[#This Row],[Дата поступления]]</f>
        <v>0</v>
      </c>
      <c r="S1556" s="2">
        <f>Таблица1[[#This Row],[Дата поступления]]-Таблица1[[#This Row],[Дата рождения]]</f>
        <v>0</v>
      </c>
    </row>
    <row r="1557" spans="18:19" x14ac:dyDescent="0.25">
      <c r="R1557" s="2">
        <f>Таблица1[[#This Row],[Дата перевода]]-Таблица1[[#This Row],[Дата поступления]]</f>
        <v>0</v>
      </c>
      <c r="S1557" s="2">
        <f>Таблица1[[#This Row],[Дата поступления]]-Таблица1[[#This Row],[Дата рождения]]</f>
        <v>0</v>
      </c>
    </row>
    <row r="1558" spans="18:19" x14ac:dyDescent="0.25">
      <c r="R1558" s="2">
        <f>Таблица1[[#This Row],[Дата перевода]]-Таблица1[[#This Row],[Дата поступления]]</f>
        <v>0</v>
      </c>
      <c r="S1558" s="2">
        <f>Таблица1[[#This Row],[Дата поступления]]-Таблица1[[#This Row],[Дата рождения]]</f>
        <v>0</v>
      </c>
    </row>
    <row r="1559" spans="18:19" x14ac:dyDescent="0.25">
      <c r="R1559" s="2">
        <f>Таблица1[[#This Row],[Дата перевода]]-Таблица1[[#This Row],[Дата поступления]]</f>
        <v>0</v>
      </c>
      <c r="S1559" s="2">
        <f>Таблица1[[#This Row],[Дата поступления]]-Таблица1[[#This Row],[Дата рождения]]</f>
        <v>0</v>
      </c>
    </row>
    <row r="1560" spans="18:19" x14ac:dyDescent="0.25">
      <c r="R1560" s="2">
        <f>Таблица1[[#This Row],[Дата перевода]]-Таблица1[[#This Row],[Дата поступления]]</f>
        <v>0</v>
      </c>
      <c r="S1560" s="2">
        <f>Таблица1[[#This Row],[Дата поступления]]-Таблица1[[#This Row],[Дата рождения]]</f>
        <v>0</v>
      </c>
    </row>
    <row r="1561" spans="18:19" x14ac:dyDescent="0.25">
      <c r="R1561" s="2">
        <f>Таблица1[[#This Row],[Дата перевода]]-Таблица1[[#This Row],[Дата поступления]]</f>
        <v>0</v>
      </c>
      <c r="S1561" s="2">
        <f>Таблица1[[#This Row],[Дата поступления]]-Таблица1[[#This Row],[Дата рождения]]</f>
        <v>0</v>
      </c>
    </row>
    <row r="1562" spans="18:19" x14ac:dyDescent="0.25">
      <c r="R1562" s="2">
        <f>Таблица1[[#This Row],[Дата перевода]]-Таблица1[[#This Row],[Дата поступления]]</f>
        <v>0</v>
      </c>
      <c r="S1562" s="2">
        <f>Таблица1[[#This Row],[Дата поступления]]-Таблица1[[#This Row],[Дата рождения]]</f>
        <v>0</v>
      </c>
    </row>
    <row r="1563" spans="18:19" x14ac:dyDescent="0.25">
      <c r="R1563" s="2">
        <f>Таблица1[[#This Row],[Дата перевода]]-Таблица1[[#This Row],[Дата поступления]]</f>
        <v>0</v>
      </c>
      <c r="S1563" s="2">
        <f>Таблица1[[#This Row],[Дата поступления]]-Таблица1[[#This Row],[Дата рождения]]</f>
        <v>0</v>
      </c>
    </row>
    <row r="1564" spans="18:19" x14ac:dyDescent="0.25">
      <c r="R1564" s="2">
        <f>Таблица1[[#This Row],[Дата перевода]]-Таблица1[[#This Row],[Дата поступления]]</f>
        <v>0</v>
      </c>
      <c r="S1564" s="2">
        <f>Таблица1[[#This Row],[Дата поступления]]-Таблица1[[#This Row],[Дата рождения]]</f>
        <v>0</v>
      </c>
    </row>
    <row r="1565" spans="18:19" x14ac:dyDescent="0.25">
      <c r="R1565" s="2">
        <f>Таблица1[[#This Row],[Дата перевода]]-Таблица1[[#This Row],[Дата поступления]]</f>
        <v>0</v>
      </c>
      <c r="S1565" s="2">
        <f>Таблица1[[#This Row],[Дата поступления]]-Таблица1[[#This Row],[Дата рождения]]</f>
        <v>0</v>
      </c>
    </row>
    <row r="1566" spans="18:19" x14ac:dyDescent="0.25">
      <c r="R1566" s="2">
        <f>Таблица1[[#This Row],[Дата перевода]]-Таблица1[[#This Row],[Дата поступления]]</f>
        <v>0</v>
      </c>
      <c r="S1566" s="2">
        <f>Таблица1[[#This Row],[Дата поступления]]-Таблица1[[#This Row],[Дата рождения]]</f>
        <v>0</v>
      </c>
    </row>
    <row r="1567" spans="18:19" x14ac:dyDescent="0.25">
      <c r="R1567" s="2">
        <f>Таблица1[[#This Row],[Дата перевода]]-Таблица1[[#This Row],[Дата поступления]]</f>
        <v>0</v>
      </c>
      <c r="S1567" s="2">
        <f>Таблица1[[#This Row],[Дата поступления]]-Таблица1[[#This Row],[Дата рождения]]</f>
        <v>0</v>
      </c>
    </row>
    <row r="1568" spans="18:19" x14ac:dyDescent="0.25">
      <c r="R1568" s="2">
        <f>Таблица1[[#This Row],[Дата перевода]]-Таблица1[[#This Row],[Дата поступления]]</f>
        <v>0</v>
      </c>
      <c r="S1568" s="2">
        <f>Таблица1[[#This Row],[Дата поступления]]-Таблица1[[#This Row],[Дата рождения]]</f>
        <v>0</v>
      </c>
    </row>
    <row r="1569" spans="18:19" x14ac:dyDescent="0.25">
      <c r="R1569" s="2">
        <f>Таблица1[[#This Row],[Дата перевода]]-Таблица1[[#This Row],[Дата поступления]]</f>
        <v>0</v>
      </c>
      <c r="S1569" s="2">
        <f>Таблица1[[#This Row],[Дата поступления]]-Таблица1[[#This Row],[Дата рождения]]</f>
        <v>0</v>
      </c>
    </row>
    <row r="1570" spans="18:19" x14ac:dyDescent="0.25">
      <c r="R1570" s="2">
        <f>Таблица1[[#This Row],[Дата перевода]]-Таблица1[[#This Row],[Дата поступления]]</f>
        <v>0</v>
      </c>
      <c r="S1570" s="2">
        <f>Таблица1[[#This Row],[Дата поступления]]-Таблица1[[#This Row],[Дата рождения]]</f>
        <v>0</v>
      </c>
    </row>
    <row r="1571" spans="18:19" x14ac:dyDescent="0.25">
      <c r="R1571" s="2">
        <f>Таблица1[[#This Row],[Дата перевода]]-Таблица1[[#This Row],[Дата поступления]]</f>
        <v>0</v>
      </c>
      <c r="S1571" s="2">
        <f>Таблица1[[#This Row],[Дата поступления]]-Таблица1[[#This Row],[Дата рождения]]</f>
        <v>0</v>
      </c>
    </row>
    <row r="1572" spans="18:19" x14ac:dyDescent="0.25">
      <c r="R1572" s="2">
        <f>Таблица1[[#This Row],[Дата перевода]]-Таблица1[[#This Row],[Дата поступления]]</f>
        <v>0</v>
      </c>
      <c r="S1572" s="2">
        <f>Таблица1[[#This Row],[Дата поступления]]-Таблица1[[#This Row],[Дата рождения]]</f>
        <v>0</v>
      </c>
    </row>
    <row r="1573" spans="18:19" x14ac:dyDescent="0.25">
      <c r="R1573" s="2">
        <f>Таблица1[[#This Row],[Дата перевода]]-Таблица1[[#This Row],[Дата поступления]]</f>
        <v>0</v>
      </c>
      <c r="S1573" s="2">
        <f>Таблица1[[#This Row],[Дата поступления]]-Таблица1[[#This Row],[Дата рождения]]</f>
        <v>0</v>
      </c>
    </row>
    <row r="1574" spans="18:19" x14ac:dyDescent="0.25">
      <c r="R1574" s="2">
        <f>Таблица1[[#This Row],[Дата перевода]]-Таблица1[[#This Row],[Дата поступления]]</f>
        <v>0</v>
      </c>
      <c r="S1574" s="2">
        <f>Таблица1[[#This Row],[Дата поступления]]-Таблица1[[#This Row],[Дата рождения]]</f>
        <v>0</v>
      </c>
    </row>
    <row r="1575" spans="18:19" x14ac:dyDescent="0.25">
      <c r="R1575" s="2">
        <f>Таблица1[[#This Row],[Дата перевода]]-Таблица1[[#This Row],[Дата поступления]]</f>
        <v>0</v>
      </c>
      <c r="S1575" s="2">
        <f>Таблица1[[#This Row],[Дата поступления]]-Таблица1[[#This Row],[Дата рождения]]</f>
        <v>0</v>
      </c>
    </row>
    <row r="1576" spans="18:19" x14ac:dyDescent="0.25">
      <c r="R1576" s="2">
        <f>Таблица1[[#This Row],[Дата перевода]]-Таблица1[[#This Row],[Дата поступления]]</f>
        <v>0</v>
      </c>
      <c r="S1576" s="2">
        <f>Таблица1[[#This Row],[Дата поступления]]-Таблица1[[#This Row],[Дата рождения]]</f>
        <v>0</v>
      </c>
    </row>
    <row r="1577" spans="18:19" x14ac:dyDescent="0.25">
      <c r="R1577" s="2">
        <f>Таблица1[[#This Row],[Дата перевода]]-Таблица1[[#This Row],[Дата поступления]]</f>
        <v>0</v>
      </c>
      <c r="S1577" s="2">
        <f>Таблица1[[#This Row],[Дата поступления]]-Таблица1[[#This Row],[Дата рождения]]</f>
        <v>0</v>
      </c>
    </row>
    <row r="1578" spans="18:19" x14ac:dyDescent="0.25">
      <c r="R1578" s="2">
        <f>Таблица1[[#This Row],[Дата перевода]]-Таблица1[[#This Row],[Дата поступления]]</f>
        <v>0</v>
      </c>
      <c r="S1578" s="2">
        <f>Таблица1[[#This Row],[Дата поступления]]-Таблица1[[#This Row],[Дата рождения]]</f>
        <v>0</v>
      </c>
    </row>
    <row r="1579" spans="18:19" x14ac:dyDescent="0.25">
      <c r="R1579" s="2">
        <f>Таблица1[[#This Row],[Дата перевода]]-Таблица1[[#This Row],[Дата поступления]]</f>
        <v>0</v>
      </c>
      <c r="S1579" s="2">
        <f>Таблица1[[#This Row],[Дата поступления]]-Таблица1[[#This Row],[Дата рождения]]</f>
        <v>0</v>
      </c>
    </row>
    <row r="1580" spans="18:19" x14ac:dyDescent="0.25">
      <c r="R1580" s="2">
        <f>Таблица1[[#This Row],[Дата перевода]]-Таблица1[[#This Row],[Дата поступления]]</f>
        <v>0</v>
      </c>
      <c r="S1580" s="2">
        <f>Таблица1[[#This Row],[Дата поступления]]-Таблица1[[#This Row],[Дата рождения]]</f>
        <v>0</v>
      </c>
    </row>
    <row r="1581" spans="18:19" x14ac:dyDescent="0.25">
      <c r="R1581" s="2">
        <f>Таблица1[[#This Row],[Дата перевода]]-Таблица1[[#This Row],[Дата поступления]]</f>
        <v>0</v>
      </c>
      <c r="S1581" s="2">
        <f>Таблица1[[#This Row],[Дата поступления]]-Таблица1[[#This Row],[Дата рождения]]</f>
        <v>0</v>
      </c>
    </row>
    <row r="1582" spans="18:19" x14ac:dyDescent="0.25">
      <c r="R1582" s="2">
        <f>Таблица1[[#This Row],[Дата перевода]]-Таблица1[[#This Row],[Дата поступления]]</f>
        <v>0</v>
      </c>
      <c r="S1582" s="2">
        <f>Таблица1[[#This Row],[Дата поступления]]-Таблица1[[#This Row],[Дата рождения]]</f>
        <v>0</v>
      </c>
    </row>
    <row r="1583" spans="18:19" x14ac:dyDescent="0.25">
      <c r="R1583" s="2">
        <f>Таблица1[[#This Row],[Дата перевода]]-Таблица1[[#This Row],[Дата поступления]]</f>
        <v>0</v>
      </c>
      <c r="S1583" s="2">
        <f>Таблица1[[#This Row],[Дата поступления]]-Таблица1[[#This Row],[Дата рождения]]</f>
        <v>0</v>
      </c>
    </row>
    <row r="1584" spans="18:19" x14ac:dyDescent="0.25">
      <c r="R1584" s="2">
        <f>Таблица1[[#This Row],[Дата перевода]]-Таблица1[[#This Row],[Дата поступления]]</f>
        <v>0</v>
      </c>
      <c r="S1584" s="2">
        <f>Таблица1[[#This Row],[Дата поступления]]-Таблица1[[#This Row],[Дата рождения]]</f>
        <v>0</v>
      </c>
    </row>
    <row r="1585" spans="18:19" x14ac:dyDescent="0.25">
      <c r="R1585" s="2">
        <f>Таблица1[[#This Row],[Дата перевода]]-Таблица1[[#This Row],[Дата поступления]]</f>
        <v>0</v>
      </c>
      <c r="S1585" s="2">
        <f>Таблица1[[#This Row],[Дата поступления]]-Таблица1[[#This Row],[Дата рождения]]</f>
        <v>0</v>
      </c>
    </row>
    <row r="1586" spans="18:19" x14ac:dyDescent="0.25">
      <c r="R1586" s="2">
        <f>Таблица1[[#This Row],[Дата перевода]]-Таблица1[[#This Row],[Дата поступления]]</f>
        <v>0</v>
      </c>
      <c r="S1586" s="2">
        <f>Таблица1[[#This Row],[Дата поступления]]-Таблица1[[#This Row],[Дата рождения]]</f>
        <v>0</v>
      </c>
    </row>
    <row r="1587" spans="18:19" x14ac:dyDescent="0.25">
      <c r="R1587" s="2">
        <f>Таблица1[[#This Row],[Дата перевода]]-Таблица1[[#This Row],[Дата поступления]]</f>
        <v>0</v>
      </c>
      <c r="S1587" s="2">
        <f>Таблица1[[#This Row],[Дата поступления]]-Таблица1[[#This Row],[Дата рождения]]</f>
        <v>0</v>
      </c>
    </row>
    <row r="1588" spans="18:19" x14ac:dyDescent="0.25">
      <c r="R1588" s="2">
        <f>Таблица1[[#This Row],[Дата перевода]]-Таблица1[[#This Row],[Дата поступления]]</f>
        <v>0</v>
      </c>
      <c r="S1588" s="2">
        <f>Таблица1[[#This Row],[Дата поступления]]-Таблица1[[#This Row],[Дата рождения]]</f>
        <v>0</v>
      </c>
    </row>
    <row r="1589" spans="18:19" x14ac:dyDescent="0.25">
      <c r="R1589" s="2">
        <f>Таблица1[[#This Row],[Дата перевода]]-Таблица1[[#This Row],[Дата поступления]]</f>
        <v>0</v>
      </c>
      <c r="S1589" s="2">
        <f>Таблица1[[#This Row],[Дата поступления]]-Таблица1[[#This Row],[Дата рождения]]</f>
        <v>0</v>
      </c>
    </row>
    <row r="1590" spans="18:19" x14ac:dyDescent="0.25">
      <c r="R1590" s="2">
        <f>Таблица1[[#This Row],[Дата перевода]]-Таблица1[[#This Row],[Дата поступления]]</f>
        <v>0</v>
      </c>
      <c r="S1590" s="2">
        <f>Таблица1[[#This Row],[Дата поступления]]-Таблица1[[#This Row],[Дата рождения]]</f>
        <v>0</v>
      </c>
    </row>
    <row r="1591" spans="18:19" x14ac:dyDescent="0.25">
      <c r="R1591" s="2">
        <f>Таблица1[[#This Row],[Дата перевода]]-Таблица1[[#This Row],[Дата поступления]]</f>
        <v>0</v>
      </c>
      <c r="S1591" s="2">
        <f>Таблица1[[#This Row],[Дата поступления]]-Таблица1[[#This Row],[Дата рождения]]</f>
        <v>0</v>
      </c>
    </row>
    <row r="1592" spans="18:19" x14ac:dyDescent="0.25">
      <c r="R1592" s="2">
        <f>Таблица1[[#This Row],[Дата перевода]]-Таблица1[[#This Row],[Дата поступления]]</f>
        <v>0</v>
      </c>
      <c r="S1592" s="2">
        <f>Таблица1[[#This Row],[Дата поступления]]-Таблица1[[#This Row],[Дата рождения]]</f>
        <v>0</v>
      </c>
    </row>
    <row r="1593" spans="18:19" x14ac:dyDescent="0.25">
      <c r="R1593" s="2">
        <f>Таблица1[[#This Row],[Дата перевода]]-Таблица1[[#This Row],[Дата поступления]]</f>
        <v>0</v>
      </c>
      <c r="S1593" s="2">
        <f>Таблица1[[#This Row],[Дата поступления]]-Таблица1[[#This Row],[Дата рождения]]</f>
        <v>0</v>
      </c>
    </row>
    <row r="1594" spans="18:19" x14ac:dyDescent="0.25">
      <c r="R1594" s="2">
        <f>Таблица1[[#This Row],[Дата перевода]]-Таблица1[[#This Row],[Дата поступления]]</f>
        <v>0</v>
      </c>
      <c r="S1594" s="2">
        <f>Таблица1[[#This Row],[Дата поступления]]-Таблица1[[#This Row],[Дата рождения]]</f>
        <v>0</v>
      </c>
    </row>
    <row r="1595" spans="18:19" x14ac:dyDescent="0.25">
      <c r="R1595" s="2">
        <f>Таблица1[[#This Row],[Дата перевода]]-Таблица1[[#This Row],[Дата поступления]]</f>
        <v>0</v>
      </c>
      <c r="S1595" s="2">
        <f>Таблица1[[#This Row],[Дата поступления]]-Таблица1[[#This Row],[Дата рождения]]</f>
        <v>0</v>
      </c>
    </row>
    <row r="1596" spans="18:19" x14ac:dyDescent="0.25">
      <c r="R1596" s="2">
        <f>Таблица1[[#This Row],[Дата перевода]]-Таблица1[[#This Row],[Дата поступления]]</f>
        <v>0</v>
      </c>
      <c r="S1596" s="2">
        <f>Таблица1[[#This Row],[Дата поступления]]-Таблица1[[#This Row],[Дата рождения]]</f>
        <v>0</v>
      </c>
    </row>
    <row r="1597" spans="18:19" x14ac:dyDescent="0.25">
      <c r="R1597" s="2">
        <f>Таблица1[[#This Row],[Дата перевода]]-Таблица1[[#This Row],[Дата поступления]]</f>
        <v>0</v>
      </c>
      <c r="S1597" s="2">
        <f>Таблица1[[#This Row],[Дата поступления]]-Таблица1[[#This Row],[Дата рождения]]</f>
        <v>0</v>
      </c>
    </row>
    <row r="1598" spans="18:19" x14ac:dyDescent="0.25">
      <c r="R1598" s="2">
        <f>Таблица1[[#This Row],[Дата перевода]]-Таблица1[[#This Row],[Дата поступления]]</f>
        <v>0</v>
      </c>
      <c r="S1598" s="2">
        <f>Таблица1[[#This Row],[Дата поступления]]-Таблица1[[#This Row],[Дата рождения]]</f>
        <v>0</v>
      </c>
    </row>
    <row r="1599" spans="18:19" x14ac:dyDescent="0.25">
      <c r="R1599" s="2">
        <f>Таблица1[[#This Row],[Дата перевода]]-Таблица1[[#This Row],[Дата поступления]]</f>
        <v>0</v>
      </c>
      <c r="S1599" s="2">
        <f>Таблица1[[#This Row],[Дата поступления]]-Таблица1[[#This Row],[Дата рождения]]</f>
        <v>0</v>
      </c>
    </row>
    <row r="1600" spans="18:19" x14ac:dyDescent="0.25">
      <c r="R1600" s="2">
        <f>Таблица1[[#This Row],[Дата перевода]]-Таблица1[[#This Row],[Дата поступления]]</f>
        <v>0</v>
      </c>
      <c r="S1600" s="2">
        <f>Таблица1[[#This Row],[Дата поступления]]-Таблица1[[#This Row],[Дата рождения]]</f>
        <v>0</v>
      </c>
    </row>
    <row r="1601" spans="18:19" x14ac:dyDescent="0.25">
      <c r="R1601" s="2">
        <f>Таблица1[[#This Row],[Дата перевода]]-Таблица1[[#This Row],[Дата поступления]]</f>
        <v>0</v>
      </c>
      <c r="S1601" s="2">
        <f>Таблица1[[#This Row],[Дата поступления]]-Таблица1[[#This Row],[Дата рождения]]</f>
        <v>0</v>
      </c>
    </row>
    <row r="1602" spans="18:19" x14ac:dyDescent="0.25">
      <c r="R1602" s="2">
        <f>Таблица1[[#This Row],[Дата перевода]]-Таблица1[[#This Row],[Дата поступления]]</f>
        <v>0</v>
      </c>
      <c r="S1602" s="2">
        <f>Таблица1[[#This Row],[Дата поступления]]-Таблица1[[#This Row],[Дата рождения]]</f>
        <v>0</v>
      </c>
    </row>
    <row r="1603" spans="18:19" x14ac:dyDescent="0.25">
      <c r="R1603" s="2">
        <f>Таблица1[[#This Row],[Дата перевода]]-Таблица1[[#This Row],[Дата поступления]]</f>
        <v>0</v>
      </c>
      <c r="S1603" s="2">
        <f>Таблица1[[#This Row],[Дата поступления]]-Таблица1[[#This Row],[Дата рождения]]</f>
        <v>0</v>
      </c>
    </row>
    <row r="1604" spans="18:19" x14ac:dyDescent="0.25">
      <c r="R1604" s="2">
        <f>Таблица1[[#This Row],[Дата перевода]]-Таблица1[[#This Row],[Дата поступления]]</f>
        <v>0</v>
      </c>
      <c r="S1604" s="2">
        <f>Таблица1[[#This Row],[Дата поступления]]-Таблица1[[#This Row],[Дата рождения]]</f>
        <v>0</v>
      </c>
    </row>
    <row r="1605" spans="18:19" x14ac:dyDescent="0.25">
      <c r="R1605" s="2">
        <f>Таблица1[[#This Row],[Дата перевода]]-Таблица1[[#This Row],[Дата поступления]]</f>
        <v>0</v>
      </c>
      <c r="S1605" s="2">
        <f>Таблица1[[#This Row],[Дата поступления]]-Таблица1[[#This Row],[Дата рождения]]</f>
        <v>0</v>
      </c>
    </row>
    <row r="1606" spans="18:19" x14ac:dyDescent="0.25">
      <c r="R1606" s="2">
        <f>Таблица1[[#This Row],[Дата перевода]]-Таблица1[[#This Row],[Дата поступления]]</f>
        <v>0</v>
      </c>
      <c r="S1606" s="2">
        <f>Таблица1[[#This Row],[Дата поступления]]-Таблица1[[#This Row],[Дата рождения]]</f>
        <v>0</v>
      </c>
    </row>
    <row r="1607" spans="18:19" x14ac:dyDescent="0.25">
      <c r="R1607" s="2">
        <f>Таблица1[[#This Row],[Дата перевода]]-Таблица1[[#This Row],[Дата поступления]]</f>
        <v>0</v>
      </c>
      <c r="S1607" s="2">
        <f>Таблица1[[#This Row],[Дата поступления]]-Таблица1[[#This Row],[Дата рождения]]</f>
        <v>0</v>
      </c>
    </row>
    <row r="1608" spans="18:19" x14ac:dyDescent="0.25">
      <c r="R1608" s="2">
        <f>Таблица1[[#This Row],[Дата перевода]]-Таблица1[[#This Row],[Дата поступления]]</f>
        <v>0</v>
      </c>
      <c r="S1608" s="2">
        <f>Таблица1[[#This Row],[Дата поступления]]-Таблица1[[#This Row],[Дата рождения]]</f>
        <v>0</v>
      </c>
    </row>
    <row r="1609" spans="18:19" x14ac:dyDescent="0.25">
      <c r="R1609" s="2">
        <f>Таблица1[[#This Row],[Дата перевода]]-Таблица1[[#This Row],[Дата поступления]]</f>
        <v>0</v>
      </c>
      <c r="S1609" s="2">
        <f>Таблица1[[#This Row],[Дата поступления]]-Таблица1[[#This Row],[Дата рождения]]</f>
        <v>0</v>
      </c>
    </row>
    <row r="1610" spans="18:19" x14ac:dyDescent="0.25">
      <c r="R1610" s="2">
        <f>Таблица1[[#This Row],[Дата перевода]]-Таблица1[[#This Row],[Дата поступления]]</f>
        <v>0</v>
      </c>
      <c r="S1610" s="2">
        <f>Таблица1[[#This Row],[Дата поступления]]-Таблица1[[#This Row],[Дата рождения]]</f>
        <v>0</v>
      </c>
    </row>
    <row r="1611" spans="18:19" x14ac:dyDescent="0.25">
      <c r="R1611" s="2">
        <f>Таблица1[[#This Row],[Дата перевода]]-Таблица1[[#This Row],[Дата поступления]]</f>
        <v>0</v>
      </c>
      <c r="S1611" s="2">
        <f>Таблица1[[#This Row],[Дата поступления]]-Таблица1[[#This Row],[Дата рождения]]</f>
        <v>0</v>
      </c>
    </row>
    <row r="1612" spans="18:19" x14ac:dyDescent="0.25">
      <c r="R1612" s="2">
        <f>Таблица1[[#This Row],[Дата перевода]]-Таблица1[[#This Row],[Дата поступления]]</f>
        <v>0</v>
      </c>
      <c r="S1612" s="2">
        <f>Таблица1[[#This Row],[Дата поступления]]-Таблица1[[#This Row],[Дата рождения]]</f>
        <v>0</v>
      </c>
    </row>
    <row r="1613" spans="18:19" x14ac:dyDescent="0.25">
      <c r="R1613" s="2">
        <f>Таблица1[[#This Row],[Дата перевода]]-Таблица1[[#This Row],[Дата поступления]]</f>
        <v>0</v>
      </c>
      <c r="S1613" s="2">
        <f>Таблица1[[#This Row],[Дата поступления]]-Таблица1[[#This Row],[Дата рождения]]</f>
        <v>0</v>
      </c>
    </row>
    <row r="1614" spans="18:19" x14ac:dyDescent="0.25">
      <c r="R1614" s="2">
        <f>Таблица1[[#This Row],[Дата перевода]]-Таблица1[[#This Row],[Дата поступления]]</f>
        <v>0</v>
      </c>
      <c r="S1614" s="2">
        <f>Таблица1[[#This Row],[Дата поступления]]-Таблица1[[#This Row],[Дата рождения]]</f>
        <v>0</v>
      </c>
    </row>
    <row r="1615" spans="18:19" x14ac:dyDescent="0.25">
      <c r="R1615" s="2">
        <f>Таблица1[[#This Row],[Дата перевода]]-Таблица1[[#This Row],[Дата поступления]]</f>
        <v>0</v>
      </c>
      <c r="S1615" s="2">
        <f>Таблица1[[#This Row],[Дата поступления]]-Таблица1[[#This Row],[Дата рождения]]</f>
        <v>0</v>
      </c>
    </row>
    <row r="1616" spans="18:19" x14ac:dyDescent="0.25">
      <c r="R1616" s="2">
        <f>Таблица1[[#This Row],[Дата перевода]]-Таблица1[[#This Row],[Дата поступления]]</f>
        <v>0</v>
      </c>
      <c r="S1616" s="2">
        <f>Таблица1[[#This Row],[Дата поступления]]-Таблица1[[#This Row],[Дата рождения]]</f>
        <v>0</v>
      </c>
    </row>
    <row r="1617" spans="18:19" x14ac:dyDescent="0.25">
      <c r="R1617" s="2">
        <f>Таблица1[[#This Row],[Дата перевода]]-Таблица1[[#This Row],[Дата поступления]]</f>
        <v>0</v>
      </c>
      <c r="S1617" s="2">
        <f>Таблица1[[#This Row],[Дата поступления]]-Таблица1[[#This Row],[Дата рождения]]</f>
        <v>0</v>
      </c>
    </row>
    <row r="1618" spans="18:19" x14ac:dyDescent="0.25">
      <c r="R1618" s="2">
        <f>Таблица1[[#This Row],[Дата перевода]]-Таблица1[[#This Row],[Дата поступления]]</f>
        <v>0</v>
      </c>
      <c r="S1618" s="2">
        <f>Таблица1[[#This Row],[Дата поступления]]-Таблица1[[#This Row],[Дата рождения]]</f>
        <v>0</v>
      </c>
    </row>
    <row r="1619" spans="18:19" x14ac:dyDescent="0.25">
      <c r="R1619" s="2">
        <f>Таблица1[[#This Row],[Дата перевода]]-Таблица1[[#This Row],[Дата поступления]]</f>
        <v>0</v>
      </c>
      <c r="S1619" s="2">
        <f>Таблица1[[#This Row],[Дата поступления]]-Таблица1[[#This Row],[Дата рождения]]</f>
        <v>0</v>
      </c>
    </row>
    <row r="1620" spans="18:19" x14ac:dyDescent="0.25">
      <c r="R1620" s="2">
        <f>Таблица1[[#This Row],[Дата перевода]]-Таблица1[[#This Row],[Дата поступления]]</f>
        <v>0</v>
      </c>
      <c r="S1620" s="2">
        <f>Таблица1[[#This Row],[Дата поступления]]-Таблица1[[#This Row],[Дата рождения]]</f>
        <v>0</v>
      </c>
    </row>
    <row r="1621" spans="18:19" x14ac:dyDescent="0.25">
      <c r="R1621" s="2">
        <f>Таблица1[[#This Row],[Дата перевода]]-Таблица1[[#This Row],[Дата поступления]]</f>
        <v>0</v>
      </c>
      <c r="S1621" s="2">
        <f>Таблица1[[#This Row],[Дата поступления]]-Таблица1[[#This Row],[Дата рождения]]</f>
        <v>0</v>
      </c>
    </row>
    <row r="1622" spans="18:19" x14ac:dyDescent="0.25">
      <c r="R1622" s="2">
        <f>Таблица1[[#This Row],[Дата перевода]]-Таблица1[[#This Row],[Дата поступления]]</f>
        <v>0</v>
      </c>
      <c r="S1622" s="2">
        <f>Таблица1[[#This Row],[Дата поступления]]-Таблица1[[#This Row],[Дата рождения]]</f>
        <v>0</v>
      </c>
    </row>
    <row r="1623" spans="18:19" x14ac:dyDescent="0.25">
      <c r="R1623" s="2">
        <f>Таблица1[[#This Row],[Дата перевода]]-Таблица1[[#This Row],[Дата поступления]]</f>
        <v>0</v>
      </c>
      <c r="S1623" s="2">
        <f>Таблица1[[#This Row],[Дата поступления]]-Таблица1[[#This Row],[Дата рождения]]</f>
        <v>0</v>
      </c>
    </row>
    <row r="1624" spans="18:19" x14ac:dyDescent="0.25">
      <c r="R1624" s="2">
        <f>Таблица1[[#This Row],[Дата перевода]]-Таблица1[[#This Row],[Дата поступления]]</f>
        <v>0</v>
      </c>
      <c r="S1624" s="2">
        <f>Таблица1[[#This Row],[Дата поступления]]-Таблица1[[#This Row],[Дата рождения]]</f>
        <v>0</v>
      </c>
    </row>
    <row r="1625" spans="18:19" x14ac:dyDescent="0.25">
      <c r="R1625" s="2">
        <f>Таблица1[[#This Row],[Дата перевода]]-Таблица1[[#This Row],[Дата поступления]]</f>
        <v>0</v>
      </c>
      <c r="S1625" s="2">
        <f>Таблица1[[#This Row],[Дата поступления]]-Таблица1[[#This Row],[Дата рождения]]</f>
        <v>0</v>
      </c>
    </row>
    <row r="1626" spans="18:19" x14ac:dyDescent="0.25">
      <c r="R1626" s="2">
        <f>Таблица1[[#This Row],[Дата перевода]]-Таблица1[[#This Row],[Дата поступления]]</f>
        <v>0</v>
      </c>
      <c r="S1626" s="2">
        <f>Таблица1[[#This Row],[Дата поступления]]-Таблица1[[#This Row],[Дата рождения]]</f>
        <v>0</v>
      </c>
    </row>
    <row r="1627" spans="18:19" x14ac:dyDescent="0.25">
      <c r="R1627" s="2">
        <f>Таблица1[[#This Row],[Дата перевода]]-Таблица1[[#This Row],[Дата поступления]]</f>
        <v>0</v>
      </c>
      <c r="S1627" s="2">
        <f>Таблица1[[#This Row],[Дата поступления]]-Таблица1[[#This Row],[Дата рождения]]</f>
        <v>0</v>
      </c>
    </row>
    <row r="1628" spans="18:19" x14ac:dyDescent="0.25">
      <c r="R1628" s="2">
        <f>Таблица1[[#This Row],[Дата перевода]]-Таблица1[[#This Row],[Дата поступления]]</f>
        <v>0</v>
      </c>
      <c r="S1628" s="2">
        <f>Таблица1[[#This Row],[Дата поступления]]-Таблица1[[#This Row],[Дата рождения]]</f>
        <v>0</v>
      </c>
    </row>
    <row r="1629" spans="18:19" x14ac:dyDescent="0.25">
      <c r="R1629" s="2">
        <f>Таблица1[[#This Row],[Дата перевода]]-Таблица1[[#This Row],[Дата поступления]]</f>
        <v>0</v>
      </c>
      <c r="S1629" s="2">
        <f>Таблица1[[#This Row],[Дата поступления]]-Таблица1[[#This Row],[Дата рождения]]</f>
        <v>0</v>
      </c>
    </row>
    <row r="1630" spans="18:19" x14ac:dyDescent="0.25">
      <c r="R1630" s="2">
        <f>Таблица1[[#This Row],[Дата перевода]]-Таблица1[[#This Row],[Дата поступления]]</f>
        <v>0</v>
      </c>
      <c r="S1630" s="2">
        <f>Таблица1[[#This Row],[Дата поступления]]-Таблица1[[#This Row],[Дата рождения]]</f>
        <v>0</v>
      </c>
    </row>
    <row r="1631" spans="18:19" x14ac:dyDescent="0.25">
      <c r="R1631" s="2">
        <f>Таблица1[[#This Row],[Дата перевода]]-Таблица1[[#This Row],[Дата поступления]]</f>
        <v>0</v>
      </c>
      <c r="S1631" s="2">
        <f>Таблица1[[#This Row],[Дата поступления]]-Таблица1[[#This Row],[Дата рождения]]</f>
        <v>0</v>
      </c>
    </row>
    <row r="1632" spans="18:19" x14ac:dyDescent="0.25">
      <c r="R1632" s="2">
        <f>Таблица1[[#This Row],[Дата перевода]]-Таблица1[[#This Row],[Дата поступления]]</f>
        <v>0</v>
      </c>
      <c r="S1632" s="2">
        <f>Таблица1[[#This Row],[Дата поступления]]-Таблица1[[#This Row],[Дата рождения]]</f>
        <v>0</v>
      </c>
    </row>
    <row r="1633" spans="18:19" x14ac:dyDescent="0.25">
      <c r="R1633" s="2">
        <f>Таблица1[[#This Row],[Дата перевода]]-Таблица1[[#This Row],[Дата поступления]]</f>
        <v>0</v>
      </c>
      <c r="S1633" s="2">
        <f>Таблица1[[#This Row],[Дата поступления]]-Таблица1[[#This Row],[Дата рождения]]</f>
        <v>0</v>
      </c>
    </row>
    <row r="1634" spans="18:19" x14ac:dyDescent="0.25">
      <c r="R1634" s="2">
        <f>Таблица1[[#This Row],[Дата перевода]]-Таблица1[[#This Row],[Дата поступления]]</f>
        <v>0</v>
      </c>
      <c r="S1634" s="2">
        <f>Таблица1[[#This Row],[Дата поступления]]-Таблица1[[#This Row],[Дата рождения]]</f>
        <v>0</v>
      </c>
    </row>
    <row r="1635" spans="18:19" x14ac:dyDescent="0.25">
      <c r="R1635" s="2">
        <f>Таблица1[[#This Row],[Дата перевода]]-Таблица1[[#This Row],[Дата поступления]]</f>
        <v>0</v>
      </c>
      <c r="S1635" s="2">
        <f>Таблица1[[#This Row],[Дата поступления]]-Таблица1[[#This Row],[Дата рождения]]</f>
        <v>0</v>
      </c>
    </row>
    <row r="1636" spans="18:19" x14ac:dyDescent="0.25">
      <c r="R1636" s="2">
        <f>Таблица1[[#This Row],[Дата перевода]]-Таблица1[[#This Row],[Дата поступления]]</f>
        <v>0</v>
      </c>
      <c r="S1636" s="2">
        <f>Таблица1[[#This Row],[Дата поступления]]-Таблица1[[#This Row],[Дата рождения]]</f>
        <v>0</v>
      </c>
    </row>
    <row r="1637" spans="18:19" x14ac:dyDescent="0.25">
      <c r="R1637" s="2">
        <f>Таблица1[[#This Row],[Дата перевода]]-Таблица1[[#This Row],[Дата поступления]]</f>
        <v>0</v>
      </c>
      <c r="S1637" s="2">
        <f>Таблица1[[#This Row],[Дата поступления]]-Таблица1[[#This Row],[Дата рождения]]</f>
        <v>0</v>
      </c>
    </row>
    <row r="1638" spans="18:19" x14ac:dyDescent="0.25">
      <c r="R1638" s="2">
        <f>Таблица1[[#This Row],[Дата перевода]]-Таблица1[[#This Row],[Дата поступления]]</f>
        <v>0</v>
      </c>
      <c r="S1638" s="2">
        <f>Таблица1[[#This Row],[Дата поступления]]-Таблица1[[#This Row],[Дата рождения]]</f>
        <v>0</v>
      </c>
    </row>
    <row r="1639" spans="18:19" x14ac:dyDescent="0.25">
      <c r="R1639" s="2">
        <f>Таблица1[[#This Row],[Дата перевода]]-Таблица1[[#This Row],[Дата поступления]]</f>
        <v>0</v>
      </c>
      <c r="S1639" s="2">
        <f>Таблица1[[#This Row],[Дата поступления]]-Таблица1[[#This Row],[Дата рождения]]</f>
        <v>0</v>
      </c>
    </row>
    <row r="1640" spans="18:19" x14ac:dyDescent="0.25">
      <c r="R1640" s="2">
        <f>Таблица1[[#This Row],[Дата перевода]]-Таблица1[[#This Row],[Дата поступления]]</f>
        <v>0</v>
      </c>
      <c r="S1640" s="2">
        <f>Таблица1[[#This Row],[Дата поступления]]-Таблица1[[#This Row],[Дата рождения]]</f>
        <v>0</v>
      </c>
    </row>
    <row r="1641" spans="18:19" x14ac:dyDescent="0.25">
      <c r="R1641" s="2">
        <f>Таблица1[[#This Row],[Дата перевода]]-Таблица1[[#This Row],[Дата поступления]]</f>
        <v>0</v>
      </c>
      <c r="S1641" s="2">
        <f>Таблица1[[#This Row],[Дата поступления]]-Таблица1[[#This Row],[Дата рождения]]</f>
        <v>0</v>
      </c>
    </row>
    <row r="1642" spans="18:19" x14ac:dyDescent="0.25">
      <c r="R1642" s="2">
        <f>Таблица1[[#This Row],[Дата перевода]]-Таблица1[[#This Row],[Дата поступления]]</f>
        <v>0</v>
      </c>
      <c r="S1642" s="2">
        <f>Таблица1[[#This Row],[Дата поступления]]-Таблица1[[#This Row],[Дата рождения]]</f>
        <v>0</v>
      </c>
    </row>
    <row r="1643" spans="18:19" x14ac:dyDescent="0.25">
      <c r="R1643" s="2">
        <f>Таблица1[[#This Row],[Дата перевода]]-Таблица1[[#This Row],[Дата поступления]]</f>
        <v>0</v>
      </c>
      <c r="S1643" s="2">
        <f>Таблица1[[#This Row],[Дата поступления]]-Таблица1[[#This Row],[Дата рождения]]</f>
        <v>0</v>
      </c>
    </row>
    <row r="1644" spans="18:19" x14ac:dyDescent="0.25">
      <c r="R1644" s="2">
        <f>Таблица1[[#This Row],[Дата перевода]]-Таблица1[[#This Row],[Дата поступления]]</f>
        <v>0</v>
      </c>
      <c r="S1644" s="2">
        <f>Таблица1[[#This Row],[Дата поступления]]-Таблица1[[#This Row],[Дата рождения]]</f>
        <v>0</v>
      </c>
    </row>
    <row r="1645" spans="18:19" x14ac:dyDescent="0.25">
      <c r="R1645" s="2">
        <f>Таблица1[[#This Row],[Дата перевода]]-Таблица1[[#This Row],[Дата поступления]]</f>
        <v>0</v>
      </c>
      <c r="S1645" s="2">
        <f>Таблица1[[#This Row],[Дата поступления]]-Таблица1[[#This Row],[Дата рождения]]</f>
        <v>0</v>
      </c>
    </row>
    <row r="1646" spans="18:19" x14ac:dyDescent="0.25">
      <c r="R1646" s="2">
        <f>Таблица1[[#This Row],[Дата перевода]]-Таблица1[[#This Row],[Дата поступления]]</f>
        <v>0</v>
      </c>
      <c r="S1646" s="2">
        <f>Таблица1[[#This Row],[Дата поступления]]-Таблица1[[#This Row],[Дата рождения]]</f>
        <v>0</v>
      </c>
    </row>
    <row r="1647" spans="18:19" x14ac:dyDescent="0.25">
      <c r="R1647" s="2">
        <f>Таблица1[[#This Row],[Дата перевода]]-Таблица1[[#This Row],[Дата поступления]]</f>
        <v>0</v>
      </c>
      <c r="S1647" s="2">
        <f>Таблица1[[#This Row],[Дата поступления]]-Таблица1[[#This Row],[Дата рождения]]</f>
        <v>0</v>
      </c>
    </row>
    <row r="1648" spans="18:19" x14ac:dyDescent="0.25">
      <c r="R1648" s="2">
        <f>Таблица1[[#This Row],[Дата перевода]]-Таблица1[[#This Row],[Дата поступления]]</f>
        <v>0</v>
      </c>
      <c r="S1648" s="2">
        <f>Таблица1[[#This Row],[Дата поступления]]-Таблица1[[#This Row],[Дата рождения]]</f>
        <v>0</v>
      </c>
    </row>
    <row r="1649" spans="18:19" x14ac:dyDescent="0.25">
      <c r="R1649" s="2">
        <f>Таблица1[[#This Row],[Дата перевода]]-Таблица1[[#This Row],[Дата поступления]]</f>
        <v>0</v>
      </c>
      <c r="S1649" s="2">
        <f>Таблица1[[#This Row],[Дата поступления]]-Таблица1[[#This Row],[Дата рождения]]</f>
        <v>0</v>
      </c>
    </row>
    <row r="1650" spans="18:19" x14ac:dyDescent="0.25">
      <c r="R1650" s="2">
        <f>Таблица1[[#This Row],[Дата перевода]]-Таблица1[[#This Row],[Дата поступления]]</f>
        <v>0</v>
      </c>
      <c r="S1650" s="2">
        <f>Таблица1[[#This Row],[Дата поступления]]-Таблица1[[#This Row],[Дата рождения]]</f>
        <v>0</v>
      </c>
    </row>
    <row r="1651" spans="18:19" x14ac:dyDescent="0.25">
      <c r="R1651" s="2">
        <f>Таблица1[[#This Row],[Дата перевода]]-Таблица1[[#This Row],[Дата поступления]]</f>
        <v>0</v>
      </c>
      <c r="S1651" s="2">
        <f>Таблица1[[#This Row],[Дата поступления]]-Таблица1[[#This Row],[Дата рождения]]</f>
        <v>0</v>
      </c>
    </row>
    <row r="1652" spans="18:19" x14ac:dyDescent="0.25">
      <c r="R1652" s="2">
        <f>Таблица1[[#This Row],[Дата перевода]]-Таблица1[[#This Row],[Дата поступления]]</f>
        <v>0</v>
      </c>
      <c r="S1652" s="2">
        <f>Таблица1[[#This Row],[Дата поступления]]-Таблица1[[#This Row],[Дата рождения]]</f>
        <v>0</v>
      </c>
    </row>
    <row r="1653" spans="18:19" x14ac:dyDescent="0.25">
      <c r="R1653" s="2">
        <f>Таблица1[[#This Row],[Дата перевода]]-Таблица1[[#This Row],[Дата поступления]]</f>
        <v>0</v>
      </c>
      <c r="S1653" s="2">
        <f>Таблица1[[#This Row],[Дата поступления]]-Таблица1[[#This Row],[Дата рождения]]</f>
        <v>0</v>
      </c>
    </row>
    <row r="1654" spans="18:19" x14ac:dyDescent="0.25">
      <c r="R1654" s="2">
        <f>Таблица1[[#This Row],[Дата перевода]]-Таблица1[[#This Row],[Дата поступления]]</f>
        <v>0</v>
      </c>
      <c r="S1654" s="2">
        <f>Таблица1[[#This Row],[Дата поступления]]-Таблица1[[#This Row],[Дата рождения]]</f>
        <v>0</v>
      </c>
    </row>
    <row r="1655" spans="18:19" x14ac:dyDescent="0.25">
      <c r="R1655" s="2">
        <f>Таблица1[[#This Row],[Дата перевода]]-Таблица1[[#This Row],[Дата поступления]]</f>
        <v>0</v>
      </c>
      <c r="S1655" s="2">
        <f>Таблица1[[#This Row],[Дата поступления]]-Таблица1[[#This Row],[Дата рождения]]</f>
        <v>0</v>
      </c>
    </row>
    <row r="1656" spans="18:19" x14ac:dyDescent="0.25">
      <c r="R1656" s="2">
        <f>Таблица1[[#This Row],[Дата перевода]]-Таблица1[[#This Row],[Дата поступления]]</f>
        <v>0</v>
      </c>
      <c r="S1656" s="2">
        <f>Таблица1[[#This Row],[Дата поступления]]-Таблица1[[#This Row],[Дата рождения]]</f>
        <v>0</v>
      </c>
    </row>
    <row r="1657" spans="18:19" x14ac:dyDescent="0.25">
      <c r="R1657" s="2">
        <f>Таблица1[[#This Row],[Дата перевода]]-Таблица1[[#This Row],[Дата поступления]]</f>
        <v>0</v>
      </c>
      <c r="S1657" s="2">
        <f>Таблица1[[#This Row],[Дата поступления]]-Таблица1[[#This Row],[Дата рождения]]</f>
        <v>0</v>
      </c>
    </row>
    <row r="1658" spans="18:19" x14ac:dyDescent="0.25">
      <c r="R1658" s="2">
        <f>Таблица1[[#This Row],[Дата перевода]]-Таблица1[[#This Row],[Дата поступления]]</f>
        <v>0</v>
      </c>
      <c r="S1658" s="2">
        <f>Таблица1[[#This Row],[Дата поступления]]-Таблица1[[#This Row],[Дата рождения]]</f>
        <v>0</v>
      </c>
    </row>
    <row r="1659" spans="18:19" x14ac:dyDescent="0.25">
      <c r="R1659" s="2">
        <f>Таблица1[[#This Row],[Дата перевода]]-Таблица1[[#This Row],[Дата поступления]]</f>
        <v>0</v>
      </c>
      <c r="S1659" s="2">
        <f>Таблица1[[#This Row],[Дата поступления]]-Таблица1[[#This Row],[Дата рождения]]</f>
        <v>0</v>
      </c>
    </row>
    <row r="1660" spans="18:19" x14ac:dyDescent="0.25">
      <c r="R1660" s="2">
        <f>Таблица1[[#This Row],[Дата перевода]]-Таблица1[[#This Row],[Дата поступления]]</f>
        <v>0</v>
      </c>
      <c r="S1660" s="2">
        <f>Таблица1[[#This Row],[Дата поступления]]-Таблица1[[#This Row],[Дата рождения]]</f>
        <v>0</v>
      </c>
    </row>
    <row r="1661" spans="18:19" x14ac:dyDescent="0.25">
      <c r="R1661" s="2">
        <f>Таблица1[[#This Row],[Дата перевода]]-Таблица1[[#This Row],[Дата поступления]]</f>
        <v>0</v>
      </c>
      <c r="S1661" s="2">
        <f>Таблица1[[#This Row],[Дата поступления]]-Таблица1[[#This Row],[Дата рождения]]</f>
        <v>0</v>
      </c>
    </row>
    <row r="1662" spans="18:19" x14ac:dyDescent="0.25">
      <c r="R1662" s="2">
        <f>Таблица1[[#This Row],[Дата перевода]]-Таблица1[[#This Row],[Дата поступления]]</f>
        <v>0</v>
      </c>
      <c r="S1662" s="2">
        <f>Таблица1[[#This Row],[Дата поступления]]-Таблица1[[#This Row],[Дата рождения]]</f>
        <v>0</v>
      </c>
    </row>
    <row r="1663" spans="18:19" x14ac:dyDescent="0.25">
      <c r="R1663" s="2">
        <f>Таблица1[[#This Row],[Дата перевода]]-Таблица1[[#This Row],[Дата поступления]]</f>
        <v>0</v>
      </c>
      <c r="S1663" s="2">
        <f>Таблица1[[#This Row],[Дата поступления]]-Таблица1[[#This Row],[Дата рождения]]</f>
        <v>0</v>
      </c>
    </row>
    <row r="1664" spans="18:19" x14ac:dyDescent="0.25">
      <c r="R1664" s="2">
        <f>Таблица1[[#This Row],[Дата перевода]]-Таблица1[[#This Row],[Дата поступления]]</f>
        <v>0</v>
      </c>
      <c r="S1664" s="2">
        <f>Таблица1[[#This Row],[Дата поступления]]-Таблица1[[#This Row],[Дата рождения]]</f>
        <v>0</v>
      </c>
    </row>
    <row r="1665" spans="18:19" x14ac:dyDescent="0.25">
      <c r="R1665" s="2">
        <f>Таблица1[[#This Row],[Дата перевода]]-Таблица1[[#This Row],[Дата поступления]]</f>
        <v>0</v>
      </c>
      <c r="S1665" s="2">
        <f>Таблица1[[#This Row],[Дата поступления]]-Таблица1[[#This Row],[Дата рождения]]</f>
        <v>0</v>
      </c>
    </row>
    <row r="1666" spans="18:19" x14ac:dyDescent="0.25">
      <c r="R1666" s="2">
        <f>Таблица1[[#This Row],[Дата перевода]]-Таблица1[[#This Row],[Дата поступления]]</f>
        <v>0</v>
      </c>
      <c r="S1666" s="2">
        <f>Таблица1[[#This Row],[Дата поступления]]-Таблица1[[#This Row],[Дата рождения]]</f>
        <v>0</v>
      </c>
    </row>
    <row r="1667" spans="18:19" x14ac:dyDescent="0.25">
      <c r="R1667" s="2">
        <f>Таблица1[[#This Row],[Дата перевода]]-Таблица1[[#This Row],[Дата поступления]]</f>
        <v>0</v>
      </c>
      <c r="S1667" s="2">
        <f>Таблица1[[#This Row],[Дата поступления]]-Таблица1[[#This Row],[Дата рождения]]</f>
        <v>0</v>
      </c>
    </row>
    <row r="1668" spans="18:19" x14ac:dyDescent="0.25">
      <c r="R1668" s="2">
        <f>Таблица1[[#This Row],[Дата перевода]]-Таблица1[[#This Row],[Дата поступления]]</f>
        <v>0</v>
      </c>
      <c r="S1668" s="2">
        <f>Таблица1[[#This Row],[Дата поступления]]-Таблица1[[#This Row],[Дата рождения]]</f>
        <v>0</v>
      </c>
    </row>
    <row r="1669" spans="18:19" x14ac:dyDescent="0.25">
      <c r="R1669" s="2">
        <f>Таблица1[[#This Row],[Дата перевода]]-Таблица1[[#This Row],[Дата поступления]]</f>
        <v>0</v>
      </c>
      <c r="S1669" s="2">
        <f>Таблица1[[#This Row],[Дата поступления]]-Таблица1[[#This Row],[Дата рождения]]</f>
        <v>0</v>
      </c>
    </row>
    <row r="1670" spans="18:19" x14ac:dyDescent="0.25">
      <c r="R1670" s="2">
        <f>Таблица1[[#This Row],[Дата перевода]]-Таблица1[[#This Row],[Дата поступления]]</f>
        <v>0</v>
      </c>
      <c r="S1670" s="2">
        <f>Таблица1[[#This Row],[Дата поступления]]-Таблица1[[#This Row],[Дата рождения]]</f>
        <v>0</v>
      </c>
    </row>
    <row r="1671" spans="18:19" x14ac:dyDescent="0.25">
      <c r="R1671" s="2">
        <f>Таблица1[[#This Row],[Дата перевода]]-Таблица1[[#This Row],[Дата поступления]]</f>
        <v>0</v>
      </c>
      <c r="S1671" s="2">
        <f>Таблица1[[#This Row],[Дата поступления]]-Таблица1[[#This Row],[Дата рождения]]</f>
        <v>0</v>
      </c>
    </row>
    <row r="1672" spans="18:19" x14ac:dyDescent="0.25">
      <c r="R1672" s="2">
        <f>Таблица1[[#This Row],[Дата перевода]]-Таблица1[[#This Row],[Дата поступления]]</f>
        <v>0</v>
      </c>
      <c r="S1672" s="2">
        <f>Таблица1[[#This Row],[Дата поступления]]-Таблица1[[#This Row],[Дата рождения]]</f>
        <v>0</v>
      </c>
    </row>
    <row r="1673" spans="18:19" x14ac:dyDescent="0.25">
      <c r="R1673" s="2">
        <f>Таблица1[[#This Row],[Дата перевода]]-Таблица1[[#This Row],[Дата поступления]]</f>
        <v>0</v>
      </c>
      <c r="S1673" s="2">
        <f>Таблица1[[#This Row],[Дата поступления]]-Таблица1[[#This Row],[Дата рождения]]</f>
        <v>0</v>
      </c>
    </row>
    <row r="1674" spans="18:19" x14ac:dyDescent="0.25">
      <c r="R1674" s="2">
        <f>Таблица1[[#This Row],[Дата перевода]]-Таблица1[[#This Row],[Дата поступления]]</f>
        <v>0</v>
      </c>
      <c r="S1674" s="2">
        <f>Таблица1[[#This Row],[Дата поступления]]-Таблица1[[#This Row],[Дата рождения]]</f>
        <v>0</v>
      </c>
    </row>
    <row r="1675" spans="18:19" x14ac:dyDescent="0.25">
      <c r="R1675" s="2">
        <f>Таблица1[[#This Row],[Дата перевода]]-Таблица1[[#This Row],[Дата поступления]]</f>
        <v>0</v>
      </c>
      <c r="S1675" s="2">
        <f>Таблица1[[#This Row],[Дата поступления]]-Таблица1[[#This Row],[Дата рождения]]</f>
        <v>0</v>
      </c>
    </row>
    <row r="1676" spans="18:19" x14ac:dyDescent="0.25">
      <c r="R1676" s="2">
        <f>Таблица1[[#This Row],[Дата перевода]]-Таблица1[[#This Row],[Дата поступления]]</f>
        <v>0</v>
      </c>
      <c r="S1676" s="2">
        <f>Таблица1[[#This Row],[Дата поступления]]-Таблица1[[#This Row],[Дата рождения]]</f>
        <v>0</v>
      </c>
    </row>
    <row r="1677" spans="18:19" x14ac:dyDescent="0.25">
      <c r="R1677" s="2">
        <f>Таблица1[[#This Row],[Дата перевода]]-Таблица1[[#This Row],[Дата поступления]]</f>
        <v>0</v>
      </c>
      <c r="S1677" s="2">
        <f>Таблица1[[#This Row],[Дата поступления]]-Таблица1[[#This Row],[Дата рождения]]</f>
        <v>0</v>
      </c>
    </row>
    <row r="1678" spans="18:19" x14ac:dyDescent="0.25">
      <c r="R1678" s="2">
        <f>Таблица1[[#This Row],[Дата перевода]]-Таблица1[[#This Row],[Дата поступления]]</f>
        <v>0</v>
      </c>
      <c r="S1678" s="2">
        <f>Таблица1[[#This Row],[Дата поступления]]-Таблица1[[#This Row],[Дата рождения]]</f>
        <v>0</v>
      </c>
    </row>
    <row r="1679" spans="18:19" x14ac:dyDescent="0.25">
      <c r="R1679" s="2">
        <f>Таблица1[[#This Row],[Дата перевода]]-Таблица1[[#This Row],[Дата поступления]]</f>
        <v>0</v>
      </c>
      <c r="S1679" s="2">
        <f>Таблица1[[#This Row],[Дата поступления]]-Таблица1[[#This Row],[Дата рождения]]</f>
        <v>0</v>
      </c>
    </row>
    <row r="1680" spans="18:19" x14ac:dyDescent="0.25">
      <c r="R1680" s="2">
        <f>Таблица1[[#This Row],[Дата перевода]]-Таблица1[[#This Row],[Дата поступления]]</f>
        <v>0</v>
      </c>
      <c r="S1680" s="2">
        <f>Таблица1[[#This Row],[Дата поступления]]-Таблица1[[#This Row],[Дата рождения]]</f>
        <v>0</v>
      </c>
    </row>
    <row r="1681" spans="18:19" x14ac:dyDescent="0.25">
      <c r="R1681" s="2">
        <f>Таблица1[[#This Row],[Дата перевода]]-Таблица1[[#This Row],[Дата поступления]]</f>
        <v>0</v>
      </c>
      <c r="S1681" s="2">
        <f>Таблица1[[#This Row],[Дата поступления]]-Таблица1[[#This Row],[Дата рождения]]</f>
        <v>0</v>
      </c>
    </row>
    <row r="1682" spans="18:19" x14ac:dyDescent="0.25">
      <c r="R1682" s="2">
        <f>Таблица1[[#This Row],[Дата перевода]]-Таблица1[[#This Row],[Дата поступления]]</f>
        <v>0</v>
      </c>
      <c r="S1682" s="2">
        <f>Таблица1[[#This Row],[Дата поступления]]-Таблица1[[#This Row],[Дата рождения]]</f>
        <v>0</v>
      </c>
    </row>
    <row r="1683" spans="18:19" x14ac:dyDescent="0.25">
      <c r="R1683" s="2">
        <f>Таблица1[[#This Row],[Дата перевода]]-Таблица1[[#This Row],[Дата поступления]]</f>
        <v>0</v>
      </c>
      <c r="S1683" s="2">
        <f>Таблица1[[#This Row],[Дата поступления]]-Таблица1[[#This Row],[Дата рождения]]</f>
        <v>0</v>
      </c>
    </row>
    <row r="1684" spans="18:19" x14ac:dyDescent="0.25">
      <c r="R1684" s="2">
        <f>Таблица1[[#This Row],[Дата перевода]]-Таблица1[[#This Row],[Дата поступления]]</f>
        <v>0</v>
      </c>
      <c r="S1684" s="2">
        <f>Таблица1[[#This Row],[Дата поступления]]-Таблица1[[#This Row],[Дата рождения]]</f>
        <v>0</v>
      </c>
    </row>
    <row r="1685" spans="18:19" x14ac:dyDescent="0.25">
      <c r="R1685" s="2">
        <f>Таблица1[[#This Row],[Дата перевода]]-Таблица1[[#This Row],[Дата поступления]]</f>
        <v>0</v>
      </c>
      <c r="S1685" s="2">
        <f>Таблица1[[#This Row],[Дата поступления]]-Таблица1[[#This Row],[Дата рождения]]</f>
        <v>0</v>
      </c>
    </row>
    <row r="1686" spans="18:19" x14ac:dyDescent="0.25">
      <c r="R1686" s="2">
        <f>Таблица1[[#This Row],[Дата перевода]]-Таблица1[[#This Row],[Дата поступления]]</f>
        <v>0</v>
      </c>
      <c r="S1686" s="2">
        <f>Таблица1[[#This Row],[Дата поступления]]-Таблица1[[#This Row],[Дата рождения]]</f>
        <v>0</v>
      </c>
    </row>
    <row r="1687" spans="18:19" x14ac:dyDescent="0.25">
      <c r="R1687" s="2">
        <f>Таблица1[[#This Row],[Дата перевода]]-Таблица1[[#This Row],[Дата поступления]]</f>
        <v>0</v>
      </c>
      <c r="S1687" s="2">
        <f>Таблица1[[#This Row],[Дата поступления]]-Таблица1[[#This Row],[Дата рождения]]</f>
        <v>0</v>
      </c>
    </row>
    <row r="1688" spans="18:19" x14ac:dyDescent="0.25">
      <c r="R1688" s="2">
        <f>Таблица1[[#This Row],[Дата перевода]]-Таблица1[[#This Row],[Дата поступления]]</f>
        <v>0</v>
      </c>
      <c r="S1688" s="2">
        <f>Таблица1[[#This Row],[Дата поступления]]-Таблица1[[#This Row],[Дата рождения]]</f>
        <v>0</v>
      </c>
    </row>
    <row r="1689" spans="18:19" x14ac:dyDescent="0.25">
      <c r="R1689" s="2">
        <f>Таблица1[[#This Row],[Дата перевода]]-Таблица1[[#This Row],[Дата поступления]]</f>
        <v>0</v>
      </c>
      <c r="S1689" s="2">
        <f>Таблица1[[#This Row],[Дата поступления]]-Таблица1[[#This Row],[Дата рождения]]</f>
        <v>0</v>
      </c>
    </row>
    <row r="1690" spans="18:19" x14ac:dyDescent="0.25">
      <c r="R1690" s="2">
        <f>Таблица1[[#This Row],[Дата перевода]]-Таблица1[[#This Row],[Дата поступления]]</f>
        <v>0</v>
      </c>
      <c r="S1690" s="2">
        <f>Таблица1[[#This Row],[Дата поступления]]-Таблица1[[#This Row],[Дата рождения]]</f>
        <v>0</v>
      </c>
    </row>
    <row r="1691" spans="18:19" x14ac:dyDescent="0.25">
      <c r="R1691" s="2">
        <f>Таблица1[[#This Row],[Дата перевода]]-Таблица1[[#This Row],[Дата поступления]]</f>
        <v>0</v>
      </c>
      <c r="S1691" s="2">
        <f>Таблица1[[#This Row],[Дата поступления]]-Таблица1[[#This Row],[Дата рождения]]</f>
        <v>0</v>
      </c>
    </row>
    <row r="1692" spans="18:19" x14ac:dyDescent="0.25">
      <c r="R1692" s="2">
        <f>Таблица1[[#This Row],[Дата перевода]]-Таблица1[[#This Row],[Дата поступления]]</f>
        <v>0</v>
      </c>
      <c r="S1692" s="2">
        <f>Таблица1[[#This Row],[Дата поступления]]-Таблица1[[#This Row],[Дата рождения]]</f>
        <v>0</v>
      </c>
    </row>
    <row r="1693" spans="18:19" x14ac:dyDescent="0.25">
      <c r="R1693" s="2">
        <f>Таблица1[[#This Row],[Дата перевода]]-Таблица1[[#This Row],[Дата поступления]]</f>
        <v>0</v>
      </c>
      <c r="S1693" s="2">
        <f>Таблица1[[#This Row],[Дата поступления]]-Таблица1[[#This Row],[Дата рождения]]</f>
        <v>0</v>
      </c>
    </row>
    <row r="1694" spans="18:19" x14ac:dyDescent="0.25">
      <c r="R1694" s="2">
        <f>Таблица1[[#This Row],[Дата перевода]]-Таблица1[[#This Row],[Дата поступления]]</f>
        <v>0</v>
      </c>
      <c r="S1694" s="2">
        <f>Таблица1[[#This Row],[Дата поступления]]-Таблица1[[#This Row],[Дата рождения]]</f>
        <v>0</v>
      </c>
    </row>
    <row r="1695" spans="18:19" x14ac:dyDescent="0.25">
      <c r="R1695" s="2">
        <f>Таблица1[[#This Row],[Дата перевода]]-Таблица1[[#This Row],[Дата поступления]]</f>
        <v>0</v>
      </c>
      <c r="S1695" s="2">
        <f>Таблица1[[#This Row],[Дата поступления]]-Таблица1[[#This Row],[Дата рождения]]</f>
        <v>0</v>
      </c>
    </row>
    <row r="1696" spans="18:19" x14ac:dyDescent="0.25">
      <c r="R1696" s="2">
        <f>Таблица1[[#This Row],[Дата перевода]]-Таблица1[[#This Row],[Дата поступления]]</f>
        <v>0</v>
      </c>
      <c r="S1696" s="2">
        <f>Таблица1[[#This Row],[Дата поступления]]-Таблица1[[#This Row],[Дата рождения]]</f>
        <v>0</v>
      </c>
    </row>
    <row r="1697" spans="18:19" x14ac:dyDescent="0.25">
      <c r="R1697" s="2">
        <f>Таблица1[[#This Row],[Дата перевода]]-Таблица1[[#This Row],[Дата поступления]]</f>
        <v>0</v>
      </c>
      <c r="S1697" s="2">
        <f>Таблица1[[#This Row],[Дата поступления]]-Таблица1[[#This Row],[Дата рождения]]</f>
        <v>0</v>
      </c>
    </row>
    <row r="1698" spans="18:19" x14ac:dyDescent="0.25">
      <c r="R1698" s="2">
        <f>Таблица1[[#This Row],[Дата перевода]]-Таблица1[[#This Row],[Дата поступления]]</f>
        <v>0</v>
      </c>
      <c r="S1698" s="2">
        <f>Таблица1[[#This Row],[Дата поступления]]-Таблица1[[#This Row],[Дата рождения]]</f>
        <v>0</v>
      </c>
    </row>
    <row r="1699" spans="18:19" x14ac:dyDescent="0.25">
      <c r="R1699" s="2">
        <f>Таблица1[[#This Row],[Дата перевода]]-Таблица1[[#This Row],[Дата поступления]]</f>
        <v>0</v>
      </c>
      <c r="S1699" s="2">
        <f>Таблица1[[#This Row],[Дата поступления]]-Таблица1[[#This Row],[Дата рождения]]</f>
        <v>0</v>
      </c>
    </row>
    <row r="1700" spans="18:19" x14ac:dyDescent="0.25">
      <c r="R1700" s="2">
        <f>Таблица1[[#This Row],[Дата перевода]]-Таблица1[[#This Row],[Дата поступления]]</f>
        <v>0</v>
      </c>
      <c r="S1700" s="2">
        <f>Таблица1[[#This Row],[Дата поступления]]-Таблица1[[#This Row],[Дата рождения]]</f>
        <v>0</v>
      </c>
    </row>
    <row r="1701" spans="18:19" x14ac:dyDescent="0.25">
      <c r="R1701" s="2">
        <f>Таблица1[[#This Row],[Дата перевода]]-Таблица1[[#This Row],[Дата поступления]]</f>
        <v>0</v>
      </c>
      <c r="S1701" s="2">
        <f>Таблица1[[#This Row],[Дата поступления]]-Таблица1[[#This Row],[Дата рождения]]</f>
        <v>0</v>
      </c>
    </row>
    <row r="1702" spans="18:19" x14ac:dyDescent="0.25">
      <c r="R1702" s="2">
        <f>Таблица1[[#This Row],[Дата перевода]]-Таблица1[[#This Row],[Дата поступления]]</f>
        <v>0</v>
      </c>
      <c r="S1702" s="2">
        <f>Таблица1[[#This Row],[Дата поступления]]-Таблица1[[#This Row],[Дата рождения]]</f>
        <v>0</v>
      </c>
    </row>
    <row r="1703" spans="18:19" x14ac:dyDescent="0.25">
      <c r="R1703" s="2">
        <f>Таблица1[[#This Row],[Дата перевода]]-Таблица1[[#This Row],[Дата поступления]]</f>
        <v>0</v>
      </c>
      <c r="S1703" s="2">
        <f>Таблица1[[#This Row],[Дата поступления]]-Таблица1[[#This Row],[Дата рождения]]</f>
        <v>0</v>
      </c>
    </row>
    <row r="1704" spans="18:19" x14ac:dyDescent="0.25">
      <c r="R1704" s="2">
        <f>Таблица1[[#This Row],[Дата перевода]]-Таблица1[[#This Row],[Дата поступления]]</f>
        <v>0</v>
      </c>
      <c r="S1704" s="2">
        <f>Таблица1[[#This Row],[Дата поступления]]-Таблица1[[#This Row],[Дата рождения]]</f>
        <v>0</v>
      </c>
    </row>
    <row r="1705" spans="18:19" x14ac:dyDescent="0.25">
      <c r="R1705" s="2">
        <f>Таблица1[[#This Row],[Дата перевода]]-Таблица1[[#This Row],[Дата поступления]]</f>
        <v>0</v>
      </c>
      <c r="S1705" s="2">
        <f>Таблица1[[#This Row],[Дата поступления]]-Таблица1[[#This Row],[Дата рождения]]</f>
        <v>0</v>
      </c>
    </row>
    <row r="1706" spans="18:19" x14ac:dyDescent="0.25">
      <c r="R1706" s="2">
        <f>Таблица1[[#This Row],[Дата перевода]]-Таблица1[[#This Row],[Дата поступления]]</f>
        <v>0</v>
      </c>
      <c r="S1706" s="2">
        <f>Таблица1[[#This Row],[Дата поступления]]-Таблица1[[#This Row],[Дата рождения]]</f>
        <v>0</v>
      </c>
    </row>
    <row r="1707" spans="18:19" x14ac:dyDescent="0.25">
      <c r="R1707" s="2">
        <f>Таблица1[[#This Row],[Дата перевода]]-Таблица1[[#This Row],[Дата поступления]]</f>
        <v>0</v>
      </c>
      <c r="S1707" s="2">
        <f>Таблица1[[#This Row],[Дата поступления]]-Таблица1[[#This Row],[Дата рождения]]</f>
        <v>0</v>
      </c>
    </row>
    <row r="1708" spans="18:19" x14ac:dyDescent="0.25">
      <c r="R1708" s="2">
        <f>Таблица1[[#This Row],[Дата перевода]]-Таблица1[[#This Row],[Дата поступления]]</f>
        <v>0</v>
      </c>
      <c r="S1708" s="2">
        <f>Таблица1[[#This Row],[Дата поступления]]-Таблица1[[#This Row],[Дата рождения]]</f>
        <v>0</v>
      </c>
    </row>
    <row r="1709" spans="18:19" x14ac:dyDescent="0.25">
      <c r="R1709" s="2">
        <f>Таблица1[[#This Row],[Дата перевода]]-Таблица1[[#This Row],[Дата поступления]]</f>
        <v>0</v>
      </c>
      <c r="S1709" s="2">
        <f>Таблица1[[#This Row],[Дата поступления]]-Таблица1[[#This Row],[Дата рождения]]</f>
        <v>0</v>
      </c>
    </row>
    <row r="1710" spans="18:19" x14ac:dyDescent="0.25">
      <c r="R1710" s="2">
        <f>Таблица1[[#This Row],[Дата перевода]]-Таблица1[[#This Row],[Дата поступления]]</f>
        <v>0</v>
      </c>
      <c r="S1710" s="2">
        <f>Таблица1[[#This Row],[Дата поступления]]-Таблица1[[#This Row],[Дата рождения]]</f>
        <v>0</v>
      </c>
    </row>
    <row r="1711" spans="18:19" x14ac:dyDescent="0.25">
      <c r="R1711" s="2">
        <f>Таблица1[[#This Row],[Дата перевода]]-Таблица1[[#This Row],[Дата поступления]]</f>
        <v>0</v>
      </c>
      <c r="S1711" s="2">
        <f>Таблица1[[#This Row],[Дата поступления]]-Таблица1[[#This Row],[Дата рождения]]</f>
        <v>0</v>
      </c>
    </row>
    <row r="1712" spans="18:19" x14ac:dyDescent="0.25">
      <c r="R1712" s="2">
        <f>Таблица1[[#This Row],[Дата перевода]]-Таблица1[[#This Row],[Дата поступления]]</f>
        <v>0</v>
      </c>
      <c r="S1712" s="2">
        <f>Таблица1[[#This Row],[Дата поступления]]-Таблица1[[#This Row],[Дата рождения]]</f>
        <v>0</v>
      </c>
    </row>
    <row r="1713" spans="18:19" x14ac:dyDescent="0.25">
      <c r="R1713" s="2">
        <f>Таблица1[[#This Row],[Дата перевода]]-Таблица1[[#This Row],[Дата поступления]]</f>
        <v>0</v>
      </c>
      <c r="S1713" s="2">
        <f>Таблица1[[#This Row],[Дата поступления]]-Таблица1[[#This Row],[Дата рождения]]</f>
        <v>0</v>
      </c>
    </row>
    <row r="1714" spans="18:19" x14ac:dyDescent="0.25">
      <c r="R1714" s="2">
        <f>Таблица1[[#This Row],[Дата перевода]]-Таблица1[[#This Row],[Дата поступления]]</f>
        <v>0</v>
      </c>
      <c r="S1714" s="2">
        <f>Таблица1[[#This Row],[Дата поступления]]-Таблица1[[#This Row],[Дата рождения]]</f>
        <v>0</v>
      </c>
    </row>
    <row r="1715" spans="18:19" x14ac:dyDescent="0.25">
      <c r="R1715" s="2">
        <f>Таблица1[[#This Row],[Дата перевода]]-Таблица1[[#This Row],[Дата поступления]]</f>
        <v>0</v>
      </c>
      <c r="S1715" s="2">
        <f>Таблица1[[#This Row],[Дата поступления]]-Таблица1[[#This Row],[Дата рождения]]</f>
        <v>0</v>
      </c>
    </row>
    <row r="1716" spans="18:19" x14ac:dyDescent="0.25">
      <c r="R1716" s="2">
        <f>Таблица1[[#This Row],[Дата перевода]]-Таблица1[[#This Row],[Дата поступления]]</f>
        <v>0</v>
      </c>
      <c r="S1716" s="2">
        <f>Таблица1[[#This Row],[Дата поступления]]-Таблица1[[#This Row],[Дата рождения]]</f>
        <v>0</v>
      </c>
    </row>
    <row r="1717" spans="18:19" x14ac:dyDescent="0.25">
      <c r="R1717" s="2">
        <f>Таблица1[[#This Row],[Дата перевода]]-Таблица1[[#This Row],[Дата поступления]]</f>
        <v>0</v>
      </c>
      <c r="S1717" s="2">
        <f>Таблица1[[#This Row],[Дата поступления]]-Таблица1[[#This Row],[Дата рождения]]</f>
        <v>0</v>
      </c>
    </row>
    <row r="1718" spans="18:19" x14ac:dyDescent="0.25">
      <c r="R1718" s="2">
        <f>Таблица1[[#This Row],[Дата перевода]]-Таблица1[[#This Row],[Дата поступления]]</f>
        <v>0</v>
      </c>
      <c r="S1718" s="2">
        <f>Таблица1[[#This Row],[Дата поступления]]-Таблица1[[#This Row],[Дата рождения]]</f>
        <v>0</v>
      </c>
    </row>
    <row r="1719" spans="18:19" x14ac:dyDescent="0.25">
      <c r="R1719" s="2">
        <f>Таблица1[[#This Row],[Дата перевода]]-Таблица1[[#This Row],[Дата поступления]]</f>
        <v>0</v>
      </c>
      <c r="S1719" s="2">
        <f>Таблица1[[#This Row],[Дата поступления]]-Таблица1[[#This Row],[Дата рождения]]</f>
        <v>0</v>
      </c>
    </row>
    <row r="1720" spans="18:19" x14ac:dyDescent="0.25">
      <c r="R1720" s="2">
        <f>Таблица1[[#This Row],[Дата перевода]]-Таблица1[[#This Row],[Дата поступления]]</f>
        <v>0</v>
      </c>
      <c r="S1720" s="2">
        <f>Таблица1[[#This Row],[Дата поступления]]-Таблица1[[#This Row],[Дата рождения]]</f>
        <v>0</v>
      </c>
    </row>
    <row r="1721" spans="18:19" x14ac:dyDescent="0.25">
      <c r="R1721" s="2">
        <f>Таблица1[[#This Row],[Дата перевода]]-Таблица1[[#This Row],[Дата поступления]]</f>
        <v>0</v>
      </c>
      <c r="S1721" s="2">
        <f>Таблица1[[#This Row],[Дата поступления]]-Таблица1[[#This Row],[Дата рождения]]</f>
        <v>0</v>
      </c>
    </row>
    <row r="1722" spans="18:19" x14ac:dyDescent="0.25">
      <c r="R1722" s="2">
        <f>Таблица1[[#This Row],[Дата перевода]]-Таблица1[[#This Row],[Дата поступления]]</f>
        <v>0</v>
      </c>
      <c r="S1722" s="2">
        <f>Таблица1[[#This Row],[Дата поступления]]-Таблица1[[#This Row],[Дата рождения]]</f>
        <v>0</v>
      </c>
    </row>
    <row r="1723" spans="18:19" x14ac:dyDescent="0.25">
      <c r="R1723" s="2">
        <f>Таблица1[[#This Row],[Дата перевода]]-Таблица1[[#This Row],[Дата поступления]]</f>
        <v>0</v>
      </c>
      <c r="S1723" s="2">
        <f>Таблица1[[#This Row],[Дата поступления]]-Таблица1[[#This Row],[Дата рождения]]</f>
        <v>0</v>
      </c>
    </row>
    <row r="1724" spans="18:19" x14ac:dyDescent="0.25">
      <c r="R1724" s="2">
        <f>Таблица1[[#This Row],[Дата перевода]]-Таблица1[[#This Row],[Дата поступления]]</f>
        <v>0</v>
      </c>
      <c r="S1724" s="2">
        <f>Таблица1[[#This Row],[Дата поступления]]-Таблица1[[#This Row],[Дата рождения]]</f>
        <v>0</v>
      </c>
    </row>
    <row r="1725" spans="18:19" x14ac:dyDescent="0.25">
      <c r="R1725" s="2">
        <f>Таблица1[[#This Row],[Дата перевода]]-Таблица1[[#This Row],[Дата поступления]]</f>
        <v>0</v>
      </c>
      <c r="S1725" s="2">
        <f>Таблица1[[#This Row],[Дата поступления]]-Таблица1[[#This Row],[Дата рождения]]</f>
        <v>0</v>
      </c>
    </row>
    <row r="1726" spans="18:19" x14ac:dyDescent="0.25">
      <c r="R1726" s="2">
        <f>Таблица1[[#This Row],[Дата перевода]]-Таблица1[[#This Row],[Дата поступления]]</f>
        <v>0</v>
      </c>
      <c r="S1726" s="2">
        <f>Таблица1[[#This Row],[Дата поступления]]-Таблица1[[#This Row],[Дата рождения]]</f>
        <v>0</v>
      </c>
    </row>
    <row r="1727" spans="18:19" x14ac:dyDescent="0.25">
      <c r="R1727" s="2">
        <f>Таблица1[[#This Row],[Дата перевода]]-Таблица1[[#This Row],[Дата поступления]]</f>
        <v>0</v>
      </c>
      <c r="S1727" s="2">
        <f>Таблица1[[#This Row],[Дата поступления]]-Таблица1[[#This Row],[Дата рождения]]</f>
        <v>0</v>
      </c>
    </row>
    <row r="1728" spans="18:19" x14ac:dyDescent="0.25">
      <c r="R1728" s="2">
        <f>Таблица1[[#This Row],[Дата перевода]]-Таблица1[[#This Row],[Дата поступления]]</f>
        <v>0</v>
      </c>
      <c r="S1728" s="2">
        <f>Таблица1[[#This Row],[Дата поступления]]-Таблица1[[#This Row],[Дата рождения]]</f>
        <v>0</v>
      </c>
    </row>
    <row r="1729" spans="18:19" x14ac:dyDescent="0.25">
      <c r="R1729" s="2">
        <f>Таблица1[[#This Row],[Дата перевода]]-Таблица1[[#This Row],[Дата поступления]]</f>
        <v>0</v>
      </c>
      <c r="S1729" s="2">
        <f>Таблица1[[#This Row],[Дата поступления]]-Таблица1[[#This Row],[Дата рождения]]</f>
        <v>0</v>
      </c>
    </row>
    <row r="1730" spans="18:19" x14ac:dyDescent="0.25">
      <c r="R1730" s="2">
        <f>Таблица1[[#This Row],[Дата перевода]]-Таблица1[[#This Row],[Дата поступления]]</f>
        <v>0</v>
      </c>
      <c r="S1730" s="2">
        <f>Таблица1[[#This Row],[Дата поступления]]-Таблица1[[#This Row],[Дата рождения]]</f>
        <v>0</v>
      </c>
    </row>
    <row r="1731" spans="18:19" x14ac:dyDescent="0.25">
      <c r="R1731" s="2">
        <f>Таблица1[[#This Row],[Дата перевода]]-Таблица1[[#This Row],[Дата поступления]]</f>
        <v>0</v>
      </c>
      <c r="S1731" s="2">
        <f>Таблица1[[#This Row],[Дата поступления]]-Таблица1[[#This Row],[Дата рождения]]</f>
        <v>0</v>
      </c>
    </row>
    <row r="1732" spans="18:19" x14ac:dyDescent="0.25">
      <c r="R1732" s="2">
        <f>Таблица1[[#This Row],[Дата перевода]]-Таблица1[[#This Row],[Дата поступления]]</f>
        <v>0</v>
      </c>
      <c r="S1732" s="2">
        <f>Таблица1[[#This Row],[Дата поступления]]-Таблица1[[#This Row],[Дата рождения]]</f>
        <v>0</v>
      </c>
    </row>
    <row r="1733" spans="18:19" x14ac:dyDescent="0.25">
      <c r="R1733" s="2">
        <f>Таблица1[[#This Row],[Дата перевода]]-Таблица1[[#This Row],[Дата поступления]]</f>
        <v>0</v>
      </c>
      <c r="S1733" s="2">
        <f>Таблица1[[#This Row],[Дата поступления]]-Таблица1[[#This Row],[Дата рождения]]</f>
        <v>0</v>
      </c>
    </row>
    <row r="1734" spans="18:19" x14ac:dyDescent="0.25">
      <c r="R1734" s="2">
        <f>Таблица1[[#This Row],[Дата перевода]]-Таблица1[[#This Row],[Дата поступления]]</f>
        <v>0</v>
      </c>
      <c r="S1734" s="2">
        <f>Таблица1[[#This Row],[Дата поступления]]-Таблица1[[#This Row],[Дата рождения]]</f>
        <v>0</v>
      </c>
    </row>
    <row r="1735" spans="18:19" x14ac:dyDescent="0.25">
      <c r="R1735" s="2">
        <f>Таблица1[[#This Row],[Дата перевода]]-Таблица1[[#This Row],[Дата поступления]]</f>
        <v>0</v>
      </c>
      <c r="S1735" s="2">
        <f>Таблица1[[#This Row],[Дата поступления]]-Таблица1[[#This Row],[Дата рождения]]</f>
        <v>0</v>
      </c>
    </row>
    <row r="1736" spans="18:19" x14ac:dyDescent="0.25">
      <c r="R1736" s="2">
        <f>Таблица1[[#This Row],[Дата перевода]]-Таблица1[[#This Row],[Дата поступления]]</f>
        <v>0</v>
      </c>
      <c r="S1736" s="2">
        <f>Таблица1[[#This Row],[Дата поступления]]-Таблица1[[#This Row],[Дата рождения]]</f>
        <v>0</v>
      </c>
    </row>
    <row r="1737" spans="18:19" x14ac:dyDescent="0.25">
      <c r="R1737" s="2">
        <f>Таблица1[[#This Row],[Дата перевода]]-Таблица1[[#This Row],[Дата поступления]]</f>
        <v>0</v>
      </c>
      <c r="S1737" s="2">
        <f>Таблица1[[#This Row],[Дата поступления]]-Таблица1[[#This Row],[Дата рождения]]</f>
        <v>0</v>
      </c>
    </row>
    <row r="1738" spans="18:19" x14ac:dyDescent="0.25">
      <c r="R1738" s="2">
        <f>Таблица1[[#This Row],[Дата перевода]]-Таблица1[[#This Row],[Дата поступления]]</f>
        <v>0</v>
      </c>
      <c r="S1738" s="2">
        <f>Таблица1[[#This Row],[Дата поступления]]-Таблица1[[#This Row],[Дата рождения]]</f>
        <v>0</v>
      </c>
    </row>
    <row r="1739" spans="18:19" x14ac:dyDescent="0.25">
      <c r="R1739" s="2">
        <f>Таблица1[[#This Row],[Дата перевода]]-Таблица1[[#This Row],[Дата поступления]]</f>
        <v>0</v>
      </c>
      <c r="S1739" s="2">
        <f>Таблица1[[#This Row],[Дата поступления]]-Таблица1[[#This Row],[Дата рождения]]</f>
        <v>0</v>
      </c>
    </row>
    <row r="1740" spans="18:19" x14ac:dyDescent="0.25">
      <c r="R1740" s="2">
        <f>Таблица1[[#This Row],[Дата перевода]]-Таблица1[[#This Row],[Дата поступления]]</f>
        <v>0</v>
      </c>
      <c r="S1740" s="2">
        <f>Таблица1[[#This Row],[Дата поступления]]-Таблица1[[#This Row],[Дата рождения]]</f>
        <v>0</v>
      </c>
    </row>
    <row r="1741" spans="18:19" x14ac:dyDescent="0.25">
      <c r="R1741" s="2">
        <f>Таблица1[[#This Row],[Дата перевода]]-Таблица1[[#This Row],[Дата поступления]]</f>
        <v>0</v>
      </c>
      <c r="S1741" s="2">
        <f>Таблица1[[#This Row],[Дата поступления]]-Таблица1[[#This Row],[Дата рождения]]</f>
        <v>0</v>
      </c>
    </row>
    <row r="1742" spans="18:19" x14ac:dyDescent="0.25">
      <c r="R1742" s="2">
        <f>Таблица1[[#This Row],[Дата перевода]]-Таблица1[[#This Row],[Дата поступления]]</f>
        <v>0</v>
      </c>
      <c r="S1742" s="2">
        <f>Таблица1[[#This Row],[Дата поступления]]-Таблица1[[#This Row],[Дата рождения]]</f>
        <v>0</v>
      </c>
    </row>
    <row r="1743" spans="18:19" x14ac:dyDescent="0.25">
      <c r="R1743" s="2">
        <f>Таблица1[[#This Row],[Дата перевода]]-Таблица1[[#This Row],[Дата поступления]]</f>
        <v>0</v>
      </c>
      <c r="S1743" s="2">
        <f>Таблица1[[#This Row],[Дата поступления]]-Таблица1[[#This Row],[Дата рождения]]</f>
        <v>0</v>
      </c>
    </row>
    <row r="1744" spans="18:19" x14ac:dyDescent="0.25">
      <c r="R1744" s="2">
        <f>Таблица1[[#This Row],[Дата перевода]]-Таблица1[[#This Row],[Дата поступления]]</f>
        <v>0</v>
      </c>
      <c r="S1744" s="2">
        <f>Таблица1[[#This Row],[Дата поступления]]-Таблица1[[#This Row],[Дата рождения]]</f>
        <v>0</v>
      </c>
    </row>
    <row r="1745" spans="18:19" x14ac:dyDescent="0.25">
      <c r="R1745" s="2">
        <f>Таблица1[[#This Row],[Дата перевода]]-Таблица1[[#This Row],[Дата поступления]]</f>
        <v>0</v>
      </c>
      <c r="S1745" s="2">
        <f>Таблица1[[#This Row],[Дата поступления]]-Таблица1[[#This Row],[Дата рождения]]</f>
        <v>0</v>
      </c>
    </row>
    <row r="1746" spans="18:19" x14ac:dyDescent="0.25">
      <c r="R1746" s="2">
        <f>Таблица1[[#This Row],[Дата перевода]]-Таблица1[[#This Row],[Дата поступления]]</f>
        <v>0</v>
      </c>
      <c r="S1746" s="2">
        <f>Таблица1[[#This Row],[Дата поступления]]-Таблица1[[#This Row],[Дата рождения]]</f>
        <v>0</v>
      </c>
    </row>
    <row r="1747" spans="18:19" x14ac:dyDescent="0.25">
      <c r="R1747" s="2">
        <f>Таблица1[[#This Row],[Дата перевода]]-Таблица1[[#This Row],[Дата поступления]]</f>
        <v>0</v>
      </c>
      <c r="S1747" s="2">
        <f>Таблица1[[#This Row],[Дата поступления]]-Таблица1[[#This Row],[Дата рождения]]</f>
        <v>0</v>
      </c>
    </row>
    <row r="1748" spans="18:19" x14ac:dyDescent="0.25">
      <c r="R1748" s="2">
        <f>Таблица1[[#This Row],[Дата перевода]]-Таблица1[[#This Row],[Дата поступления]]</f>
        <v>0</v>
      </c>
      <c r="S1748" s="2">
        <f>Таблица1[[#This Row],[Дата поступления]]-Таблица1[[#This Row],[Дата рождения]]</f>
        <v>0</v>
      </c>
    </row>
    <row r="1749" spans="18:19" x14ac:dyDescent="0.25">
      <c r="R1749" s="2">
        <f>Таблица1[[#This Row],[Дата перевода]]-Таблица1[[#This Row],[Дата поступления]]</f>
        <v>0</v>
      </c>
      <c r="S1749" s="2">
        <f>Таблица1[[#This Row],[Дата поступления]]-Таблица1[[#This Row],[Дата рождения]]</f>
        <v>0</v>
      </c>
    </row>
    <row r="1750" spans="18:19" x14ac:dyDescent="0.25">
      <c r="R1750" s="2">
        <f>Таблица1[[#This Row],[Дата перевода]]-Таблица1[[#This Row],[Дата поступления]]</f>
        <v>0</v>
      </c>
      <c r="S1750" s="2">
        <f>Таблица1[[#This Row],[Дата поступления]]-Таблица1[[#This Row],[Дата рождения]]</f>
        <v>0</v>
      </c>
    </row>
    <row r="1751" spans="18:19" x14ac:dyDescent="0.25">
      <c r="R1751" s="2">
        <f>Таблица1[[#This Row],[Дата перевода]]-Таблица1[[#This Row],[Дата поступления]]</f>
        <v>0</v>
      </c>
      <c r="S1751" s="2">
        <f>Таблица1[[#This Row],[Дата поступления]]-Таблица1[[#This Row],[Дата рождения]]</f>
        <v>0</v>
      </c>
    </row>
    <row r="1752" spans="18:19" x14ac:dyDescent="0.25">
      <c r="R1752" s="2">
        <f>Таблица1[[#This Row],[Дата перевода]]-Таблица1[[#This Row],[Дата поступления]]</f>
        <v>0</v>
      </c>
      <c r="S1752" s="2">
        <f>Таблица1[[#This Row],[Дата поступления]]-Таблица1[[#This Row],[Дата рождения]]</f>
        <v>0</v>
      </c>
    </row>
    <row r="1753" spans="18:19" x14ac:dyDescent="0.25">
      <c r="R1753" s="2">
        <f>Таблица1[[#This Row],[Дата перевода]]-Таблица1[[#This Row],[Дата поступления]]</f>
        <v>0</v>
      </c>
      <c r="S1753" s="2">
        <f>Таблица1[[#This Row],[Дата поступления]]-Таблица1[[#This Row],[Дата рождения]]</f>
        <v>0</v>
      </c>
    </row>
    <row r="1754" spans="18:19" x14ac:dyDescent="0.25">
      <c r="R1754" s="2">
        <f>Таблица1[[#This Row],[Дата перевода]]-Таблица1[[#This Row],[Дата поступления]]</f>
        <v>0</v>
      </c>
      <c r="S1754" s="2">
        <f>Таблица1[[#This Row],[Дата поступления]]-Таблица1[[#This Row],[Дата рождения]]</f>
        <v>0</v>
      </c>
    </row>
    <row r="1755" spans="18:19" x14ac:dyDescent="0.25">
      <c r="R1755" s="2">
        <f>Таблица1[[#This Row],[Дата перевода]]-Таблица1[[#This Row],[Дата поступления]]</f>
        <v>0</v>
      </c>
      <c r="S1755" s="2">
        <f>Таблица1[[#This Row],[Дата поступления]]-Таблица1[[#This Row],[Дата рождения]]</f>
        <v>0</v>
      </c>
    </row>
    <row r="1756" spans="18:19" x14ac:dyDescent="0.25">
      <c r="R1756" s="2">
        <f>Таблица1[[#This Row],[Дата перевода]]-Таблица1[[#This Row],[Дата поступления]]</f>
        <v>0</v>
      </c>
      <c r="S1756" s="2">
        <f>Таблица1[[#This Row],[Дата поступления]]-Таблица1[[#This Row],[Дата рождения]]</f>
        <v>0</v>
      </c>
    </row>
    <row r="1757" spans="18:19" x14ac:dyDescent="0.25">
      <c r="R1757" s="2">
        <f>Таблица1[[#This Row],[Дата перевода]]-Таблица1[[#This Row],[Дата поступления]]</f>
        <v>0</v>
      </c>
      <c r="S1757" s="2">
        <f>Таблица1[[#This Row],[Дата поступления]]-Таблица1[[#This Row],[Дата рождения]]</f>
        <v>0</v>
      </c>
    </row>
    <row r="1758" spans="18:19" x14ac:dyDescent="0.25">
      <c r="R1758" s="2">
        <f>Таблица1[[#This Row],[Дата перевода]]-Таблица1[[#This Row],[Дата поступления]]</f>
        <v>0</v>
      </c>
      <c r="S1758" s="2">
        <f>Таблица1[[#This Row],[Дата поступления]]-Таблица1[[#This Row],[Дата рождения]]</f>
        <v>0</v>
      </c>
    </row>
    <row r="1759" spans="18:19" x14ac:dyDescent="0.25">
      <c r="R1759" s="2">
        <f>Таблица1[[#This Row],[Дата перевода]]-Таблица1[[#This Row],[Дата поступления]]</f>
        <v>0</v>
      </c>
      <c r="S1759" s="2">
        <f>Таблица1[[#This Row],[Дата поступления]]-Таблица1[[#This Row],[Дата рождения]]</f>
        <v>0</v>
      </c>
    </row>
    <row r="1760" spans="18:19" x14ac:dyDescent="0.25">
      <c r="R1760" s="2">
        <f>Таблица1[[#This Row],[Дата перевода]]-Таблица1[[#This Row],[Дата поступления]]</f>
        <v>0</v>
      </c>
      <c r="S1760" s="2">
        <f>Таблица1[[#This Row],[Дата поступления]]-Таблица1[[#This Row],[Дата рождения]]</f>
        <v>0</v>
      </c>
    </row>
    <row r="1761" spans="18:19" x14ac:dyDescent="0.25">
      <c r="R1761" s="2">
        <f>Таблица1[[#This Row],[Дата перевода]]-Таблица1[[#This Row],[Дата поступления]]</f>
        <v>0</v>
      </c>
      <c r="S1761" s="2">
        <f>Таблица1[[#This Row],[Дата поступления]]-Таблица1[[#This Row],[Дата рождения]]</f>
        <v>0</v>
      </c>
    </row>
    <row r="1762" spans="18:19" x14ac:dyDescent="0.25">
      <c r="R1762" s="2">
        <f>Таблица1[[#This Row],[Дата перевода]]-Таблица1[[#This Row],[Дата поступления]]</f>
        <v>0</v>
      </c>
      <c r="S1762" s="2">
        <f>Таблица1[[#This Row],[Дата поступления]]-Таблица1[[#This Row],[Дата рождения]]</f>
        <v>0</v>
      </c>
    </row>
    <row r="1763" spans="18:19" x14ac:dyDescent="0.25">
      <c r="R1763" s="2">
        <f>Таблица1[[#This Row],[Дата перевода]]-Таблица1[[#This Row],[Дата поступления]]</f>
        <v>0</v>
      </c>
      <c r="S1763" s="2">
        <f>Таблица1[[#This Row],[Дата поступления]]-Таблица1[[#This Row],[Дата рождения]]</f>
        <v>0</v>
      </c>
    </row>
    <row r="1764" spans="18:19" x14ac:dyDescent="0.25">
      <c r="R1764" s="2">
        <f>Таблица1[[#This Row],[Дата перевода]]-Таблица1[[#This Row],[Дата поступления]]</f>
        <v>0</v>
      </c>
      <c r="S1764" s="2">
        <f>Таблица1[[#This Row],[Дата поступления]]-Таблица1[[#This Row],[Дата рождения]]</f>
        <v>0</v>
      </c>
    </row>
    <row r="1765" spans="18:19" x14ac:dyDescent="0.25">
      <c r="R1765" s="2">
        <f>Таблица1[[#This Row],[Дата перевода]]-Таблица1[[#This Row],[Дата поступления]]</f>
        <v>0</v>
      </c>
      <c r="S1765" s="2">
        <f>Таблица1[[#This Row],[Дата поступления]]-Таблица1[[#This Row],[Дата рождения]]</f>
        <v>0</v>
      </c>
    </row>
    <row r="1766" spans="18:19" x14ac:dyDescent="0.25">
      <c r="R1766" s="2">
        <f>Таблица1[[#This Row],[Дата перевода]]-Таблица1[[#This Row],[Дата поступления]]</f>
        <v>0</v>
      </c>
      <c r="S1766" s="2">
        <f>Таблица1[[#This Row],[Дата поступления]]-Таблица1[[#This Row],[Дата рождения]]</f>
        <v>0</v>
      </c>
    </row>
    <row r="1767" spans="18:19" x14ac:dyDescent="0.25">
      <c r="R1767" s="2">
        <f>Таблица1[[#This Row],[Дата перевода]]-Таблица1[[#This Row],[Дата поступления]]</f>
        <v>0</v>
      </c>
      <c r="S1767" s="2">
        <f>Таблица1[[#This Row],[Дата поступления]]-Таблица1[[#This Row],[Дата рождения]]</f>
        <v>0</v>
      </c>
    </row>
    <row r="1768" spans="18:19" x14ac:dyDescent="0.25">
      <c r="R1768" s="2">
        <f>Таблица1[[#This Row],[Дата перевода]]-Таблица1[[#This Row],[Дата поступления]]</f>
        <v>0</v>
      </c>
      <c r="S1768" s="2">
        <f>Таблица1[[#This Row],[Дата поступления]]-Таблица1[[#This Row],[Дата рождения]]</f>
        <v>0</v>
      </c>
    </row>
    <row r="1769" spans="18:19" x14ac:dyDescent="0.25">
      <c r="R1769" s="2">
        <f>Таблица1[[#This Row],[Дата перевода]]-Таблица1[[#This Row],[Дата поступления]]</f>
        <v>0</v>
      </c>
      <c r="S1769" s="2">
        <f>Таблица1[[#This Row],[Дата поступления]]-Таблица1[[#This Row],[Дата рождения]]</f>
        <v>0</v>
      </c>
    </row>
    <row r="1770" spans="18:19" x14ac:dyDescent="0.25">
      <c r="R1770" s="2">
        <f>Таблица1[[#This Row],[Дата перевода]]-Таблица1[[#This Row],[Дата поступления]]</f>
        <v>0</v>
      </c>
      <c r="S1770" s="2">
        <f>Таблица1[[#This Row],[Дата поступления]]-Таблица1[[#This Row],[Дата рождения]]</f>
        <v>0</v>
      </c>
    </row>
    <row r="1771" spans="18:19" x14ac:dyDescent="0.25">
      <c r="R1771" s="2">
        <f>Таблица1[[#This Row],[Дата перевода]]-Таблица1[[#This Row],[Дата поступления]]</f>
        <v>0</v>
      </c>
      <c r="S1771" s="2">
        <f>Таблица1[[#This Row],[Дата поступления]]-Таблица1[[#This Row],[Дата рождения]]</f>
        <v>0</v>
      </c>
    </row>
    <row r="1772" spans="18:19" x14ac:dyDescent="0.25">
      <c r="R1772" s="2">
        <f>Таблица1[[#This Row],[Дата перевода]]-Таблица1[[#This Row],[Дата поступления]]</f>
        <v>0</v>
      </c>
      <c r="S1772" s="2">
        <f>Таблица1[[#This Row],[Дата поступления]]-Таблица1[[#This Row],[Дата рождения]]</f>
        <v>0</v>
      </c>
    </row>
    <row r="1773" spans="18:19" x14ac:dyDescent="0.25">
      <c r="R1773" s="2">
        <f>Таблица1[[#This Row],[Дата перевода]]-Таблица1[[#This Row],[Дата поступления]]</f>
        <v>0</v>
      </c>
      <c r="S1773" s="2">
        <f>Таблица1[[#This Row],[Дата поступления]]-Таблица1[[#This Row],[Дата рождения]]</f>
        <v>0</v>
      </c>
    </row>
    <row r="1774" spans="18:19" x14ac:dyDescent="0.25">
      <c r="R1774" s="2">
        <f>Таблица1[[#This Row],[Дата перевода]]-Таблица1[[#This Row],[Дата поступления]]</f>
        <v>0</v>
      </c>
      <c r="S1774" s="2">
        <f>Таблица1[[#This Row],[Дата поступления]]-Таблица1[[#This Row],[Дата рождения]]</f>
        <v>0</v>
      </c>
    </row>
    <row r="1775" spans="18:19" x14ac:dyDescent="0.25">
      <c r="R1775" s="2">
        <f>Таблица1[[#This Row],[Дата перевода]]-Таблица1[[#This Row],[Дата поступления]]</f>
        <v>0</v>
      </c>
      <c r="S1775" s="2">
        <f>Таблица1[[#This Row],[Дата поступления]]-Таблица1[[#This Row],[Дата рождения]]</f>
        <v>0</v>
      </c>
    </row>
    <row r="1776" spans="18:19" x14ac:dyDescent="0.25">
      <c r="R1776" s="2">
        <f>Таблица1[[#This Row],[Дата перевода]]-Таблица1[[#This Row],[Дата поступления]]</f>
        <v>0</v>
      </c>
      <c r="S1776" s="2">
        <f>Таблица1[[#This Row],[Дата поступления]]-Таблица1[[#This Row],[Дата рождения]]</f>
        <v>0</v>
      </c>
    </row>
    <row r="1777" spans="18:19" x14ac:dyDescent="0.25">
      <c r="R1777" s="2">
        <f>Таблица1[[#This Row],[Дата перевода]]-Таблица1[[#This Row],[Дата поступления]]</f>
        <v>0</v>
      </c>
      <c r="S1777" s="2">
        <f>Таблица1[[#This Row],[Дата поступления]]-Таблица1[[#This Row],[Дата рождения]]</f>
        <v>0</v>
      </c>
    </row>
    <row r="1778" spans="18:19" x14ac:dyDescent="0.25">
      <c r="R1778" s="2">
        <f>Таблица1[[#This Row],[Дата перевода]]-Таблица1[[#This Row],[Дата поступления]]</f>
        <v>0</v>
      </c>
      <c r="S1778" s="2">
        <f>Таблица1[[#This Row],[Дата поступления]]-Таблица1[[#This Row],[Дата рождения]]</f>
        <v>0</v>
      </c>
    </row>
    <row r="1779" spans="18:19" x14ac:dyDescent="0.25">
      <c r="R1779" s="2">
        <f>Таблица1[[#This Row],[Дата перевода]]-Таблица1[[#This Row],[Дата поступления]]</f>
        <v>0</v>
      </c>
      <c r="S1779" s="2">
        <f>Таблица1[[#This Row],[Дата поступления]]-Таблица1[[#This Row],[Дата рождения]]</f>
        <v>0</v>
      </c>
    </row>
    <row r="1780" spans="18:19" x14ac:dyDescent="0.25">
      <c r="R1780" s="2">
        <f>Таблица1[[#This Row],[Дата перевода]]-Таблица1[[#This Row],[Дата поступления]]</f>
        <v>0</v>
      </c>
      <c r="S1780" s="2">
        <f>Таблица1[[#This Row],[Дата поступления]]-Таблица1[[#This Row],[Дата рождения]]</f>
        <v>0</v>
      </c>
    </row>
    <row r="1781" spans="18:19" x14ac:dyDescent="0.25">
      <c r="R1781" s="2">
        <f>Таблица1[[#This Row],[Дата перевода]]-Таблица1[[#This Row],[Дата поступления]]</f>
        <v>0</v>
      </c>
      <c r="S1781" s="2">
        <f>Таблица1[[#This Row],[Дата поступления]]-Таблица1[[#This Row],[Дата рождения]]</f>
        <v>0</v>
      </c>
    </row>
    <row r="1782" spans="18:19" x14ac:dyDescent="0.25">
      <c r="R1782" s="2">
        <f>Таблица1[[#This Row],[Дата перевода]]-Таблица1[[#This Row],[Дата поступления]]</f>
        <v>0</v>
      </c>
      <c r="S1782" s="2">
        <f>Таблица1[[#This Row],[Дата поступления]]-Таблица1[[#This Row],[Дата рождения]]</f>
        <v>0</v>
      </c>
    </row>
    <row r="1783" spans="18:19" x14ac:dyDescent="0.25">
      <c r="R1783" s="2">
        <f>Таблица1[[#This Row],[Дата перевода]]-Таблица1[[#This Row],[Дата поступления]]</f>
        <v>0</v>
      </c>
      <c r="S1783" s="2">
        <f>Таблица1[[#This Row],[Дата поступления]]-Таблица1[[#This Row],[Дата рождения]]</f>
        <v>0</v>
      </c>
    </row>
    <row r="1784" spans="18:19" x14ac:dyDescent="0.25">
      <c r="R1784" s="2">
        <f>Таблица1[[#This Row],[Дата перевода]]-Таблица1[[#This Row],[Дата поступления]]</f>
        <v>0</v>
      </c>
      <c r="S1784" s="2">
        <f>Таблица1[[#This Row],[Дата поступления]]-Таблица1[[#This Row],[Дата рождения]]</f>
        <v>0</v>
      </c>
    </row>
    <row r="1785" spans="18:19" x14ac:dyDescent="0.25">
      <c r="R1785" s="2">
        <f>Таблица1[[#This Row],[Дата перевода]]-Таблица1[[#This Row],[Дата поступления]]</f>
        <v>0</v>
      </c>
      <c r="S1785" s="2">
        <f>Таблица1[[#This Row],[Дата поступления]]-Таблица1[[#This Row],[Дата рождения]]</f>
        <v>0</v>
      </c>
    </row>
    <row r="1786" spans="18:19" x14ac:dyDescent="0.25">
      <c r="R1786" s="2">
        <f>Таблица1[[#This Row],[Дата перевода]]-Таблица1[[#This Row],[Дата поступления]]</f>
        <v>0</v>
      </c>
      <c r="S1786" s="2">
        <f>Таблица1[[#This Row],[Дата поступления]]-Таблица1[[#This Row],[Дата рождения]]</f>
        <v>0</v>
      </c>
    </row>
    <row r="1787" spans="18:19" x14ac:dyDescent="0.25">
      <c r="R1787" s="2">
        <f>Таблица1[[#This Row],[Дата перевода]]-Таблица1[[#This Row],[Дата поступления]]</f>
        <v>0</v>
      </c>
      <c r="S1787" s="2">
        <f>Таблица1[[#This Row],[Дата поступления]]-Таблица1[[#This Row],[Дата рождения]]</f>
        <v>0</v>
      </c>
    </row>
    <row r="1788" spans="18:19" x14ac:dyDescent="0.25">
      <c r="R1788" s="2">
        <f>Таблица1[[#This Row],[Дата перевода]]-Таблица1[[#This Row],[Дата поступления]]</f>
        <v>0</v>
      </c>
      <c r="S1788" s="2">
        <f>Таблица1[[#This Row],[Дата поступления]]-Таблица1[[#This Row],[Дата рождения]]</f>
        <v>0</v>
      </c>
    </row>
    <row r="1789" spans="18:19" x14ac:dyDescent="0.25">
      <c r="R1789" s="2">
        <f>Таблица1[[#This Row],[Дата перевода]]-Таблица1[[#This Row],[Дата поступления]]</f>
        <v>0</v>
      </c>
      <c r="S1789" s="2">
        <f>Таблица1[[#This Row],[Дата поступления]]-Таблица1[[#This Row],[Дата рождения]]</f>
        <v>0</v>
      </c>
    </row>
    <row r="1790" spans="18:19" x14ac:dyDescent="0.25">
      <c r="R1790" s="2">
        <f>Таблица1[[#This Row],[Дата перевода]]-Таблица1[[#This Row],[Дата поступления]]</f>
        <v>0</v>
      </c>
      <c r="S1790" s="2">
        <f>Таблица1[[#This Row],[Дата поступления]]-Таблица1[[#This Row],[Дата рождения]]</f>
        <v>0</v>
      </c>
    </row>
    <row r="1791" spans="18:19" x14ac:dyDescent="0.25">
      <c r="R1791" s="2">
        <f>Таблица1[[#This Row],[Дата перевода]]-Таблица1[[#This Row],[Дата поступления]]</f>
        <v>0</v>
      </c>
      <c r="S1791" s="2">
        <f>Таблица1[[#This Row],[Дата поступления]]-Таблица1[[#This Row],[Дата рождения]]</f>
        <v>0</v>
      </c>
    </row>
    <row r="1792" spans="18:19" x14ac:dyDescent="0.25">
      <c r="R1792" s="2">
        <f>Таблица1[[#This Row],[Дата перевода]]-Таблица1[[#This Row],[Дата поступления]]</f>
        <v>0</v>
      </c>
      <c r="S1792" s="2">
        <f>Таблица1[[#This Row],[Дата поступления]]-Таблица1[[#This Row],[Дата рождения]]</f>
        <v>0</v>
      </c>
    </row>
    <row r="1793" spans="18:19" x14ac:dyDescent="0.25">
      <c r="R1793" s="2">
        <f>Таблица1[[#This Row],[Дата перевода]]-Таблица1[[#This Row],[Дата поступления]]</f>
        <v>0</v>
      </c>
      <c r="S1793" s="2">
        <f>Таблица1[[#This Row],[Дата поступления]]-Таблица1[[#This Row],[Дата рождения]]</f>
        <v>0</v>
      </c>
    </row>
    <row r="1794" spans="18:19" x14ac:dyDescent="0.25">
      <c r="R1794" s="2">
        <f>Таблица1[[#This Row],[Дата перевода]]-Таблица1[[#This Row],[Дата поступления]]</f>
        <v>0</v>
      </c>
      <c r="S1794" s="2">
        <f>Таблица1[[#This Row],[Дата поступления]]-Таблица1[[#This Row],[Дата рождения]]</f>
        <v>0</v>
      </c>
    </row>
    <row r="1795" spans="18:19" x14ac:dyDescent="0.25">
      <c r="R1795" s="2">
        <f>Таблица1[[#This Row],[Дата перевода]]-Таблица1[[#This Row],[Дата поступления]]</f>
        <v>0</v>
      </c>
      <c r="S1795" s="2">
        <f>Таблица1[[#This Row],[Дата поступления]]-Таблица1[[#This Row],[Дата рождения]]</f>
        <v>0</v>
      </c>
    </row>
    <row r="1796" spans="18:19" x14ac:dyDescent="0.25">
      <c r="R1796" s="2">
        <f>Таблица1[[#This Row],[Дата перевода]]-Таблица1[[#This Row],[Дата поступления]]</f>
        <v>0</v>
      </c>
      <c r="S1796" s="2">
        <f>Таблица1[[#This Row],[Дата поступления]]-Таблица1[[#This Row],[Дата рождения]]</f>
        <v>0</v>
      </c>
    </row>
    <row r="1797" spans="18:19" x14ac:dyDescent="0.25">
      <c r="R1797" s="2">
        <f>Таблица1[[#This Row],[Дата перевода]]-Таблица1[[#This Row],[Дата поступления]]</f>
        <v>0</v>
      </c>
      <c r="S1797" s="2">
        <f>Таблица1[[#This Row],[Дата поступления]]-Таблица1[[#This Row],[Дата рождения]]</f>
        <v>0</v>
      </c>
    </row>
    <row r="1798" spans="18:19" x14ac:dyDescent="0.25">
      <c r="R1798" s="2">
        <f>Таблица1[[#This Row],[Дата перевода]]-Таблица1[[#This Row],[Дата поступления]]</f>
        <v>0</v>
      </c>
      <c r="S1798" s="2">
        <f>Таблица1[[#This Row],[Дата поступления]]-Таблица1[[#This Row],[Дата рождения]]</f>
        <v>0</v>
      </c>
    </row>
    <row r="1799" spans="18:19" x14ac:dyDescent="0.25">
      <c r="R1799" s="2">
        <f>Таблица1[[#This Row],[Дата перевода]]-Таблица1[[#This Row],[Дата поступления]]</f>
        <v>0</v>
      </c>
      <c r="S1799" s="2">
        <f>Таблица1[[#This Row],[Дата поступления]]-Таблица1[[#This Row],[Дата рождения]]</f>
        <v>0</v>
      </c>
    </row>
    <row r="1800" spans="18:19" x14ac:dyDescent="0.25">
      <c r="R1800" s="2">
        <f>Таблица1[[#This Row],[Дата перевода]]-Таблица1[[#This Row],[Дата поступления]]</f>
        <v>0</v>
      </c>
      <c r="S1800" s="2">
        <f>Таблица1[[#This Row],[Дата поступления]]-Таблица1[[#This Row],[Дата рождения]]</f>
        <v>0</v>
      </c>
    </row>
    <row r="1801" spans="18:19" x14ac:dyDescent="0.25">
      <c r="R1801" s="2">
        <f>Таблица1[[#This Row],[Дата перевода]]-Таблица1[[#This Row],[Дата поступления]]</f>
        <v>0</v>
      </c>
      <c r="S1801" s="2">
        <f>Таблица1[[#This Row],[Дата поступления]]-Таблица1[[#This Row],[Дата рождения]]</f>
        <v>0</v>
      </c>
    </row>
    <row r="1802" spans="18:19" x14ac:dyDescent="0.25">
      <c r="R1802" s="2">
        <f>Таблица1[[#This Row],[Дата перевода]]-Таблица1[[#This Row],[Дата поступления]]</f>
        <v>0</v>
      </c>
      <c r="S1802" s="2">
        <f>Таблица1[[#This Row],[Дата поступления]]-Таблица1[[#This Row],[Дата рождения]]</f>
        <v>0</v>
      </c>
    </row>
    <row r="1803" spans="18:19" x14ac:dyDescent="0.25">
      <c r="R1803" s="2">
        <f>Таблица1[[#This Row],[Дата перевода]]-Таблица1[[#This Row],[Дата поступления]]</f>
        <v>0</v>
      </c>
      <c r="S1803" s="2">
        <f>Таблица1[[#This Row],[Дата поступления]]-Таблица1[[#This Row],[Дата рождения]]</f>
        <v>0</v>
      </c>
    </row>
    <row r="1804" spans="18:19" x14ac:dyDescent="0.25">
      <c r="R1804" s="2">
        <f>Таблица1[[#This Row],[Дата перевода]]-Таблица1[[#This Row],[Дата поступления]]</f>
        <v>0</v>
      </c>
      <c r="S1804" s="2">
        <f>Таблица1[[#This Row],[Дата поступления]]-Таблица1[[#This Row],[Дата рождения]]</f>
        <v>0</v>
      </c>
    </row>
    <row r="1805" spans="18:19" x14ac:dyDescent="0.25">
      <c r="R1805" s="2">
        <f>Таблица1[[#This Row],[Дата перевода]]-Таблица1[[#This Row],[Дата поступления]]</f>
        <v>0</v>
      </c>
      <c r="S1805" s="2">
        <f>Таблица1[[#This Row],[Дата поступления]]-Таблица1[[#This Row],[Дата рождения]]</f>
        <v>0</v>
      </c>
    </row>
    <row r="1806" spans="18:19" x14ac:dyDescent="0.25">
      <c r="R1806" s="2">
        <f>Таблица1[[#This Row],[Дата перевода]]-Таблица1[[#This Row],[Дата поступления]]</f>
        <v>0</v>
      </c>
      <c r="S1806" s="2">
        <f>Таблица1[[#This Row],[Дата поступления]]-Таблица1[[#This Row],[Дата рождения]]</f>
        <v>0</v>
      </c>
    </row>
    <row r="1807" spans="18:19" x14ac:dyDescent="0.25">
      <c r="R1807" s="2">
        <f>Таблица1[[#This Row],[Дата перевода]]-Таблица1[[#This Row],[Дата поступления]]</f>
        <v>0</v>
      </c>
      <c r="S1807" s="2">
        <f>Таблица1[[#This Row],[Дата поступления]]-Таблица1[[#This Row],[Дата рождения]]</f>
        <v>0</v>
      </c>
    </row>
    <row r="1808" spans="18:19" x14ac:dyDescent="0.25">
      <c r="R1808" s="2">
        <f>Таблица1[[#This Row],[Дата перевода]]-Таблица1[[#This Row],[Дата поступления]]</f>
        <v>0</v>
      </c>
      <c r="S1808" s="2">
        <f>Таблица1[[#This Row],[Дата поступления]]-Таблица1[[#This Row],[Дата рождения]]</f>
        <v>0</v>
      </c>
    </row>
    <row r="1809" spans="18:19" x14ac:dyDescent="0.25">
      <c r="R1809" s="2">
        <f>Таблица1[[#This Row],[Дата перевода]]-Таблица1[[#This Row],[Дата поступления]]</f>
        <v>0</v>
      </c>
      <c r="S1809" s="2">
        <f>Таблица1[[#This Row],[Дата поступления]]-Таблица1[[#This Row],[Дата рождения]]</f>
        <v>0</v>
      </c>
    </row>
    <row r="1810" spans="18:19" x14ac:dyDescent="0.25">
      <c r="R1810" s="2">
        <f>Таблица1[[#This Row],[Дата перевода]]-Таблица1[[#This Row],[Дата поступления]]</f>
        <v>0</v>
      </c>
      <c r="S1810" s="2">
        <f>Таблица1[[#This Row],[Дата поступления]]-Таблица1[[#This Row],[Дата рождения]]</f>
        <v>0</v>
      </c>
    </row>
    <row r="1811" spans="18:19" x14ac:dyDescent="0.25">
      <c r="R1811" s="2">
        <f>Таблица1[[#This Row],[Дата перевода]]-Таблица1[[#This Row],[Дата поступления]]</f>
        <v>0</v>
      </c>
      <c r="S1811" s="2">
        <f>Таблица1[[#This Row],[Дата поступления]]-Таблица1[[#This Row],[Дата рождения]]</f>
        <v>0</v>
      </c>
    </row>
    <row r="1812" spans="18:19" x14ac:dyDescent="0.25">
      <c r="R1812" s="2">
        <f>Таблица1[[#This Row],[Дата перевода]]-Таблица1[[#This Row],[Дата поступления]]</f>
        <v>0</v>
      </c>
      <c r="S1812" s="2">
        <f>Таблица1[[#This Row],[Дата поступления]]-Таблица1[[#This Row],[Дата рождения]]</f>
        <v>0</v>
      </c>
    </row>
    <row r="1813" spans="18:19" x14ac:dyDescent="0.25">
      <c r="R1813" s="2">
        <f>Таблица1[[#This Row],[Дата перевода]]-Таблица1[[#This Row],[Дата поступления]]</f>
        <v>0</v>
      </c>
      <c r="S1813" s="2">
        <f>Таблица1[[#This Row],[Дата поступления]]-Таблица1[[#This Row],[Дата рождения]]</f>
        <v>0</v>
      </c>
    </row>
    <row r="1814" spans="18:19" x14ac:dyDescent="0.25">
      <c r="R1814" s="2">
        <f>Таблица1[[#This Row],[Дата перевода]]-Таблица1[[#This Row],[Дата поступления]]</f>
        <v>0</v>
      </c>
      <c r="S1814" s="2">
        <f>Таблица1[[#This Row],[Дата поступления]]-Таблица1[[#This Row],[Дата рождения]]</f>
        <v>0</v>
      </c>
    </row>
    <row r="1815" spans="18:19" x14ac:dyDescent="0.25">
      <c r="R1815" s="2">
        <f>Таблица1[[#This Row],[Дата перевода]]-Таблица1[[#This Row],[Дата поступления]]</f>
        <v>0</v>
      </c>
      <c r="S1815" s="2">
        <f>Таблица1[[#This Row],[Дата поступления]]-Таблица1[[#This Row],[Дата рождения]]</f>
        <v>0</v>
      </c>
    </row>
    <row r="1816" spans="18:19" x14ac:dyDescent="0.25">
      <c r="R1816" s="2">
        <f>Таблица1[[#This Row],[Дата перевода]]-Таблица1[[#This Row],[Дата поступления]]</f>
        <v>0</v>
      </c>
      <c r="S1816" s="2">
        <f>Таблица1[[#This Row],[Дата поступления]]-Таблица1[[#This Row],[Дата рождения]]</f>
        <v>0</v>
      </c>
    </row>
    <row r="1817" spans="18:19" x14ac:dyDescent="0.25">
      <c r="R1817" s="2">
        <f>Таблица1[[#This Row],[Дата перевода]]-Таблица1[[#This Row],[Дата поступления]]</f>
        <v>0</v>
      </c>
      <c r="S1817" s="2">
        <f>Таблица1[[#This Row],[Дата поступления]]-Таблица1[[#This Row],[Дата рождения]]</f>
        <v>0</v>
      </c>
    </row>
    <row r="1818" spans="18:19" x14ac:dyDescent="0.25">
      <c r="R1818" s="2">
        <f>Таблица1[[#This Row],[Дата перевода]]-Таблица1[[#This Row],[Дата поступления]]</f>
        <v>0</v>
      </c>
      <c r="S1818" s="2">
        <f>Таблица1[[#This Row],[Дата поступления]]-Таблица1[[#This Row],[Дата рождения]]</f>
        <v>0</v>
      </c>
    </row>
    <row r="1819" spans="18:19" x14ac:dyDescent="0.25">
      <c r="R1819" s="2">
        <f>Таблица1[[#This Row],[Дата перевода]]-Таблица1[[#This Row],[Дата поступления]]</f>
        <v>0</v>
      </c>
      <c r="S1819" s="2">
        <f>Таблица1[[#This Row],[Дата поступления]]-Таблица1[[#This Row],[Дата рождения]]</f>
        <v>0</v>
      </c>
    </row>
    <row r="1820" spans="18:19" x14ac:dyDescent="0.25">
      <c r="R1820" s="2">
        <f>Таблица1[[#This Row],[Дата перевода]]-Таблица1[[#This Row],[Дата поступления]]</f>
        <v>0</v>
      </c>
      <c r="S1820" s="2">
        <f>Таблица1[[#This Row],[Дата поступления]]-Таблица1[[#This Row],[Дата рождения]]</f>
        <v>0</v>
      </c>
    </row>
    <row r="1821" spans="18:19" x14ac:dyDescent="0.25">
      <c r="R1821" s="2">
        <f>Таблица1[[#This Row],[Дата перевода]]-Таблица1[[#This Row],[Дата поступления]]</f>
        <v>0</v>
      </c>
      <c r="S1821" s="2">
        <f>Таблица1[[#This Row],[Дата поступления]]-Таблица1[[#This Row],[Дата рождения]]</f>
        <v>0</v>
      </c>
    </row>
    <row r="1822" spans="18:19" x14ac:dyDescent="0.25">
      <c r="R1822" s="2">
        <f>Таблица1[[#This Row],[Дата перевода]]-Таблица1[[#This Row],[Дата поступления]]</f>
        <v>0</v>
      </c>
      <c r="S1822" s="2">
        <f>Таблица1[[#This Row],[Дата поступления]]-Таблица1[[#This Row],[Дата рождения]]</f>
        <v>0</v>
      </c>
    </row>
    <row r="1823" spans="18:19" x14ac:dyDescent="0.25">
      <c r="R1823" s="2">
        <f>Таблица1[[#This Row],[Дата перевода]]-Таблица1[[#This Row],[Дата поступления]]</f>
        <v>0</v>
      </c>
      <c r="S1823" s="2">
        <f>Таблица1[[#This Row],[Дата поступления]]-Таблица1[[#This Row],[Дата рождения]]</f>
        <v>0</v>
      </c>
    </row>
    <row r="1824" spans="18:19" x14ac:dyDescent="0.25">
      <c r="R1824" s="2">
        <f>Таблица1[[#This Row],[Дата перевода]]-Таблица1[[#This Row],[Дата поступления]]</f>
        <v>0</v>
      </c>
      <c r="S1824" s="2">
        <f>Таблица1[[#This Row],[Дата поступления]]-Таблица1[[#This Row],[Дата рождения]]</f>
        <v>0</v>
      </c>
    </row>
    <row r="1825" spans="18:19" x14ac:dyDescent="0.25">
      <c r="R1825" s="2">
        <f>Таблица1[[#This Row],[Дата перевода]]-Таблица1[[#This Row],[Дата поступления]]</f>
        <v>0</v>
      </c>
      <c r="S1825" s="2">
        <f>Таблица1[[#This Row],[Дата поступления]]-Таблица1[[#This Row],[Дата рождения]]</f>
        <v>0</v>
      </c>
    </row>
    <row r="1826" spans="18:19" x14ac:dyDescent="0.25">
      <c r="R1826" s="2">
        <f>Таблица1[[#This Row],[Дата перевода]]-Таблица1[[#This Row],[Дата поступления]]</f>
        <v>0</v>
      </c>
      <c r="S1826" s="2">
        <f>Таблица1[[#This Row],[Дата поступления]]-Таблица1[[#This Row],[Дата рождения]]</f>
        <v>0</v>
      </c>
    </row>
    <row r="1827" spans="18:19" x14ac:dyDescent="0.25">
      <c r="R1827" s="2">
        <f>Таблица1[[#This Row],[Дата перевода]]-Таблица1[[#This Row],[Дата поступления]]</f>
        <v>0</v>
      </c>
      <c r="S1827" s="2">
        <f>Таблица1[[#This Row],[Дата поступления]]-Таблица1[[#This Row],[Дата рождения]]</f>
        <v>0</v>
      </c>
    </row>
    <row r="1828" spans="18:19" x14ac:dyDescent="0.25">
      <c r="R1828" s="2">
        <f>Таблица1[[#This Row],[Дата перевода]]-Таблица1[[#This Row],[Дата поступления]]</f>
        <v>0</v>
      </c>
      <c r="S1828" s="2">
        <f>Таблица1[[#This Row],[Дата поступления]]-Таблица1[[#This Row],[Дата рождения]]</f>
        <v>0</v>
      </c>
    </row>
    <row r="1829" spans="18:19" x14ac:dyDescent="0.25">
      <c r="R1829" s="2">
        <f>Таблица1[[#This Row],[Дата перевода]]-Таблица1[[#This Row],[Дата поступления]]</f>
        <v>0</v>
      </c>
      <c r="S1829" s="2">
        <f>Таблица1[[#This Row],[Дата поступления]]-Таблица1[[#This Row],[Дата рождения]]</f>
        <v>0</v>
      </c>
    </row>
    <row r="1830" spans="18:19" x14ac:dyDescent="0.25">
      <c r="R1830" s="2">
        <f>Таблица1[[#This Row],[Дата перевода]]-Таблица1[[#This Row],[Дата поступления]]</f>
        <v>0</v>
      </c>
      <c r="S1830" s="2">
        <f>Таблица1[[#This Row],[Дата поступления]]-Таблица1[[#This Row],[Дата рождения]]</f>
        <v>0</v>
      </c>
    </row>
    <row r="1831" spans="18:19" x14ac:dyDescent="0.25">
      <c r="R1831" s="2">
        <f>Таблица1[[#This Row],[Дата перевода]]-Таблица1[[#This Row],[Дата поступления]]</f>
        <v>0</v>
      </c>
      <c r="S1831" s="2">
        <f>Таблица1[[#This Row],[Дата поступления]]-Таблица1[[#This Row],[Дата рождения]]</f>
        <v>0</v>
      </c>
    </row>
    <row r="1832" spans="18:19" x14ac:dyDescent="0.25">
      <c r="R1832" s="2">
        <f>Таблица1[[#This Row],[Дата перевода]]-Таблица1[[#This Row],[Дата поступления]]</f>
        <v>0</v>
      </c>
      <c r="S1832" s="2">
        <f>Таблица1[[#This Row],[Дата поступления]]-Таблица1[[#This Row],[Дата рождения]]</f>
        <v>0</v>
      </c>
    </row>
    <row r="1833" spans="18:19" x14ac:dyDescent="0.25">
      <c r="R1833" s="2">
        <f>Таблица1[[#This Row],[Дата перевода]]-Таблица1[[#This Row],[Дата поступления]]</f>
        <v>0</v>
      </c>
      <c r="S1833" s="2">
        <f>Таблица1[[#This Row],[Дата поступления]]-Таблица1[[#This Row],[Дата рождения]]</f>
        <v>0</v>
      </c>
    </row>
    <row r="1834" spans="18:19" x14ac:dyDescent="0.25">
      <c r="R1834" s="2">
        <f>Таблица1[[#This Row],[Дата перевода]]-Таблица1[[#This Row],[Дата поступления]]</f>
        <v>0</v>
      </c>
      <c r="S1834" s="2">
        <f>Таблица1[[#This Row],[Дата поступления]]-Таблица1[[#This Row],[Дата рождения]]</f>
        <v>0</v>
      </c>
    </row>
    <row r="1835" spans="18:19" x14ac:dyDescent="0.25">
      <c r="R1835" s="2">
        <f>Таблица1[[#This Row],[Дата перевода]]-Таблица1[[#This Row],[Дата поступления]]</f>
        <v>0</v>
      </c>
      <c r="S1835" s="2">
        <f>Таблица1[[#This Row],[Дата поступления]]-Таблица1[[#This Row],[Дата рождения]]</f>
        <v>0</v>
      </c>
    </row>
    <row r="1836" spans="18:19" x14ac:dyDescent="0.25">
      <c r="R1836" s="2">
        <f>Таблица1[[#This Row],[Дата перевода]]-Таблица1[[#This Row],[Дата поступления]]</f>
        <v>0</v>
      </c>
      <c r="S1836" s="2">
        <f>Таблица1[[#This Row],[Дата поступления]]-Таблица1[[#This Row],[Дата рождения]]</f>
        <v>0</v>
      </c>
    </row>
    <row r="1837" spans="18:19" x14ac:dyDescent="0.25">
      <c r="R1837" s="2">
        <f>Таблица1[[#This Row],[Дата перевода]]-Таблица1[[#This Row],[Дата поступления]]</f>
        <v>0</v>
      </c>
      <c r="S1837" s="2">
        <f>Таблица1[[#This Row],[Дата поступления]]-Таблица1[[#This Row],[Дата рождения]]</f>
        <v>0</v>
      </c>
    </row>
    <row r="1838" spans="18:19" x14ac:dyDescent="0.25">
      <c r="R1838" s="2">
        <f>Таблица1[[#This Row],[Дата перевода]]-Таблица1[[#This Row],[Дата поступления]]</f>
        <v>0</v>
      </c>
      <c r="S1838" s="2">
        <f>Таблица1[[#This Row],[Дата поступления]]-Таблица1[[#This Row],[Дата рождения]]</f>
        <v>0</v>
      </c>
    </row>
    <row r="1839" spans="18:19" x14ac:dyDescent="0.25">
      <c r="R1839" s="2">
        <f>Таблица1[[#This Row],[Дата перевода]]-Таблица1[[#This Row],[Дата поступления]]</f>
        <v>0</v>
      </c>
      <c r="S1839" s="2">
        <f>Таблица1[[#This Row],[Дата поступления]]-Таблица1[[#This Row],[Дата рождения]]</f>
        <v>0</v>
      </c>
    </row>
    <row r="1840" spans="18:19" x14ac:dyDescent="0.25">
      <c r="R1840" s="2">
        <f>Таблица1[[#This Row],[Дата перевода]]-Таблица1[[#This Row],[Дата поступления]]</f>
        <v>0</v>
      </c>
      <c r="S1840" s="2">
        <f>Таблица1[[#This Row],[Дата поступления]]-Таблица1[[#This Row],[Дата рождения]]</f>
        <v>0</v>
      </c>
    </row>
    <row r="1841" spans="18:19" x14ac:dyDescent="0.25">
      <c r="R1841" s="2">
        <f>Таблица1[[#This Row],[Дата перевода]]-Таблица1[[#This Row],[Дата поступления]]</f>
        <v>0</v>
      </c>
      <c r="S1841" s="2">
        <f>Таблица1[[#This Row],[Дата поступления]]-Таблица1[[#This Row],[Дата рождения]]</f>
        <v>0</v>
      </c>
    </row>
    <row r="1842" spans="18:19" x14ac:dyDescent="0.25">
      <c r="R1842" s="2">
        <f>Таблица1[[#This Row],[Дата перевода]]-Таблица1[[#This Row],[Дата поступления]]</f>
        <v>0</v>
      </c>
      <c r="S1842" s="2">
        <f>Таблица1[[#This Row],[Дата поступления]]-Таблица1[[#This Row],[Дата рождения]]</f>
        <v>0</v>
      </c>
    </row>
    <row r="1843" spans="18:19" x14ac:dyDescent="0.25">
      <c r="R1843" s="2">
        <f>Таблица1[[#This Row],[Дата перевода]]-Таблица1[[#This Row],[Дата поступления]]</f>
        <v>0</v>
      </c>
      <c r="S1843" s="2">
        <f>Таблица1[[#This Row],[Дата поступления]]-Таблица1[[#This Row],[Дата рождения]]</f>
        <v>0</v>
      </c>
    </row>
    <row r="1844" spans="18:19" x14ac:dyDescent="0.25">
      <c r="R1844" s="2">
        <f>Таблица1[[#This Row],[Дата перевода]]-Таблица1[[#This Row],[Дата поступления]]</f>
        <v>0</v>
      </c>
      <c r="S1844" s="2">
        <f>Таблица1[[#This Row],[Дата поступления]]-Таблица1[[#This Row],[Дата рождения]]</f>
        <v>0</v>
      </c>
    </row>
    <row r="1845" spans="18:19" x14ac:dyDescent="0.25">
      <c r="R1845" s="2">
        <f>Таблица1[[#This Row],[Дата перевода]]-Таблица1[[#This Row],[Дата поступления]]</f>
        <v>0</v>
      </c>
      <c r="S1845" s="2">
        <f>Таблица1[[#This Row],[Дата поступления]]-Таблица1[[#This Row],[Дата рождения]]</f>
        <v>0</v>
      </c>
    </row>
    <row r="1846" spans="18:19" x14ac:dyDescent="0.25">
      <c r="R1846" s="2">
        <f>Таблица1[[#This Row],[Дата перевода]]-Таблица1[[#This Row],[Дата поступления]]</f>
        <v>0</v>
      </c>
      <c r="S1846" s="2">
        <f>Таблица1[[#This Row],[Дата поступления]]-Таблица1[[#This Row],[Дата рождения]]</f>
        <v>0</v>
      </c>
    </row>
    <row r="1847" spans="18:19" x14ac:dyDescent="0.25">
      <c r="R1847" s="2">
        <f>Таблица1[[#This Row],[Дата перевода]]-Таблица1[[#This Row],[Дата поступления]]</f>
        <v>0</v>
      </c>
      <c r="S1847" s="2">
        <f>Таблица1[[#This Row],[Дата поступления]]-Таблица1[[#This Row],[Дата рождения]]</f>
        <v>0</v>
      </c>
    </row>
    <row r="1848" spans="18:19" x14ac:dyDescent="0.25">
      <c r="R1848" s="2">
        <f>Таблица1[[#This Row],[Дата перевода]]-Таблица1[[#This Row],[Дата поступления]]</f>
        <v>0</v>
      </c>
      <c r="S1848" s="2">
        <f>Таблица1[[#This Row],[Дата поступления]]-Таблица1[[#This Row],[Дата рождения]]</f>
        <v>0</v>
      </c>
    </row>
    <row r="1849" spans="18:19" x14ac:dyDescent="0.25">
      <c r="R1849" s="2">
        <f>Таблица1[[#This Row],[Дата перевода]]-Таблица1[[#This Row],[Дата поступления]]</f>
        <v>0</v>
      </c>
      <c r="S1849" s="2">
        <f>Таблица1[[#This Row],[Дата поступления]]-Таблица1[[#This Row],[Дата рождения]]</f>
        <v>0</v>
      </c>
    </row>
    <row r="1850" spans="18:19" x14ac:dyDescent="0.25">
      <c r="R1850" s="2">
        <f>Таблица1[[#This Row],[Дата перевода]]-Таблица1[[#This Row],[Дата поступления]]</f>
        <v>0</v>
      </c>
      <c r="S1850" s="2">
        <f>Таблица1[[#This Row],[Дата поступления]]-Таблица1[[#This Row],[Дата рождения]]</f>
        <v>0</v>
      </c>
    </row>
    <row r="1851" spans="18:19" x14ac:dyDescent="0.25">
      <c r="R1851" s="2">
        <f>Таблица1[[#This Row],[Дата перевода]]-Таблица1[[#This Row],[Дата поступления]]</f>
        <v>0</v>
      </c>
      <c r="S1851" s="2">
        <f>Таблица1[[#This Row],[Дата поступления]]-Таблица1[[#This Row],[Дата рождения]]</f>
        <v>0</v>
      </c>
    </row>
    <row r="1852" spans="18:19" x14ac:dyDescent="0.25">
      <c r="R1852" s="2">
        <f>Таблица1[[#This Row],[Дата перевода]]-Таблица1[[#This Row],[Дата поступления]]</f>
        <v>0</v>
      </c>
      <c r="S1852" s="2">
        <f>Таблица1[[#This Row],[Дата поступления]]-Таблица1[[#This Row],[Дата рождения]]</f>
        <v>0</v>
      </c>
    </row>
    <row r="1853" spans="18:19" x14ac:dyDescent="0.25">
      <c r="R1853" s="2">
        <f>Таблица1[[#This Row],[Дата перевода]]-Таблица1[[#This Row],[Дата поступления]]</f>
        <v>0</v>
      </c>
      <c r="S1853" s="2">
        <f>Таблица1[[#This Row],[Дата поступления]]-Таблица1[[#This Row],[Дата рождения]]</f>
        <v>0</v>
      </c>
    </row>
    <row r="1854" spans="18:19" x14ac:dyDescent="0.25">
      <c r="R1854" s="2">
        <f>Таблица1[[#This Row],[Дата перевода]]-Таблица1[[#This Row],[Дата поступления]]</f>
        <v>0</v>
      </c>
      <c r="S1854" s="2">
        <f>Таблица1[[#This Row],[Дата поступления]]-Таблица1[[#This Row],[Дата рождения]]</f>
        <v>0</v>
      </c>
    </row>
    <row r="1855" spans="18:19" x14ac:dyDescent="0.25">
      <c r="R1855" s="2">
        <f>Таблица1[[#This Row],[Дата перевода]]-Таблица1[[#This Row],[Дата поступления]]</f>
        <v>0</v>
      </c>
      <c r="S1855" s="2">
        <f>Таблица1[[#This Row],[Дата поступления]]-Таблица1[[#This Row],[Дата рождения]]</f>
        <v>0</v>
      </c>
    </row>
    <row r="1856" spans="18:19" x14ac:dyDescent="0.25">
      <c r="R1856" s="2">
        <f>Таблица1[[#This Row],[Дата перевода]]-Таблица1[[#This Row],[Дата поступления]]</f>
        <v>0</v>
      </c>
      <c r="S1856" s="2">
        <f>Таблица1[[#This Row],[Дата поступления]]-Таблица1[[#This Row],[Дата рождения]]</f>
        <v>0</v>
      </c>
    </row>
    <row r="1857" spans="18:19" x14ac:dyDescent="0.25">
      <c r="R1857" s="2">
        <f>Таблица1[[#This Row],[Дата перевода]]-Таблица1[[#This Row],[Дата поступления]]</f>
        <v>0</v>
      </c>
      <c r="S1857" s="2">
        <f>Таблица1[[#This Row],[Дата поступления]]-Таблица1[[#This Row],[Дата рождения]]</f>
        <v>0</v>
      </c>
    </row>
    <row r="1858" spans="18:19" x14ac:dyDescent="0.25">
      <c r="R1858" s="2">
        <f>Таблица1[[#This Row],[Дата перевода]]-Таблица1[[#This Row],[Дата поступления]]</f>
        <v>0</v>
      </c>
      <c r="S1858" s="2">
        <f>Таблица1[[#This Row],[Дата поступления]]-Таблица1[[#This Row],[Дата рождения]]</f>
        <v>0</v>
      </c>
    </row>
    <row r="1859" spans="18:19" x14ac:dyDescent="0.25">
      <c r="R1859" s="2">
        <f>Таблица1[[#This Row],[Дата перевода]]-Таблица1[[#This Row],[Дата поступления]]</f>
        <v>0</v>
      </c>
      <c r="S1859" s="2">
        <f>Таблица1[[#This Row],[Дата поступления]]-Таблица1[[#This Row],[Дата рождения]]</f>
        <v>0</v>
      </c>
    </row>
    <row r="1860" spans="18:19" x14ac:dyDescent="0.25">
      <c r="R1860" s="2">
        <f>Таблица1[[#This Row],[Дата перевода]]-Таблица1[[#This Row],[Дата поступления]]</f>
        <v>0</v>
      </c>
      <c r="S1860" s="2">
        <f>Таблица1[[#This Row],[Дата поступления]]-Таблица1[[#This Row],[Дата рождения]]</f>
        <v>0</v>
      </c>
    </row>
    <row r="1861" spans="18:19" x14ac:dyDescent="0.25">
      <c r="R1861" s="2">
        <f>Таблица1[[#This Row],[Дата перевода]]-Таблица1[[#This Row],[Дата поступления]]</f>
        <v>0</v>
      </c>
      <c r="S1861" s="2">
        <f>Таблица1[[#This Row],[Дата поступления]]-Таблица1[[#This Row],[Дата рождения]]</f>
        <v>0</v>
      </c>
    </row>
    <row r="1862" spans="18:19" x14ac:dyDescent="0.25">
      <c r="R1862" s="2">
        <f>Таблица1[[#This Row],[Дата перевода]]-Таблица1[[#This Row],[Дата поступления]]</f>
        <v>0</v>
      </c>
      <c r="S1862" s="2">
        <f>Таблица1[[#This Row],[Дата поступления]]-Таблица1[[#This Row],[Дата рождения]]</f>
        <v>0</v>
      </c>
    </row>
    <row r="1863" spans="18:19" x14ac:dyDescent="0.25">
      <c r="R1863" s="2">
        <f>Таблица1[[#This Row],[Дата перевода]]-Таблица1[[#This Row],[Дата поступления]]</f>
        <v>0</v>
      </c>
      <c r="S1863" s="2">
        <f>Таблица1[[#This Row],[Дата поступления]]-Таблица1[[#This Row],[Дата рождения]]</f>
        <v>0</v>
      </c>
    </row>
    <row r="1864" spans="18:19" x14ac:dyDescent="0.25">
      <c r="R1864" s="2">
        <f>Таблица1[[#This Row],[Дата перевода]]-Таблица1[[#This Row],[Дата поступления]]</f>
        <v>0</v>
      </c>
      <c r="S1864" s="2">
        <f>Таблица1[[#This Row],[Дата поступления]]-Таблица1[[#This Row],[Дата рождения]]</f>
        <v>0</v>
      </c>
    </row>
    <row r="1865" spans="18:19" x14ac:dyDescent="0.25">
      <c r="R1865" s="2">
        <f>Таблица1[[#This Row],[Дата перевода]]-Таблица1[[#This Row],[Дата поступления]]</f>
        <v>0</v>
      </c>
      <c r="S1865" s="2">
        <f>Таблица1[[#This Row],[Дата поступления]]-Таблица1[[#This Row],[Дата рождения]]</f>
        <v>0</v>
      </c>
    </row>
    <row r="1866" spans="18:19" x14ac:dyDescent="0.25">
      <c r="R1866" s="2">
        <f>Таблица1[[#This Row],[Дата перевода]]-Таблица1[[#This Row],[Дата поступления]]</f>
        <v>0</v>
      </c>
      <c r="S1866" s="2">
        <f>Таблица1[[#This Row],[Дата поступления]]-Таблица1[[#This Row],[Дата рождения]]</f>
        <v>0</v>
      </c>
    </row>
    <row r="1867" spans="18:19" x14ac:dyDescent="0.25">
      <c r="R1867" s="2">
        <f>Таблица1[[#This Row],[Дата перевода]]-Таблица1[[#This Row],[Дата поступления]]</f>
        <v>0</v>
      </c>
      <c r="S1867" s="2">
        <f>Таблица1[[#This Row],[Дата поступления]]-Таблица1[[#This Row],[Дата рождения]]</f>
        <v>0</v>
      </c>
    </row>
    <row r="1868" spans="18:19" x14ac:dyDescent="0.25">
      <c r="R1868" s="2">
        <f>Таблица1[[#This Row],[Дата перевода]]-Таблица1[[#This Row],[Дата поступления]]</f>
        <v>0</v>
      </c>
      <c r="S1868" s="2">
        <f>Таблица1[[#This Row],[Дата поступления]]-Таблица1[[#This Row],[Дата рождения]]</f>
        <v>0</v>
      </c>
    </row>
    <row r="1869" spans="18:19" x14ac:dyDescent="0.25">
      <c r="R1869" s="2">
        <f>Таблица1[[#This Row],[Дата перевода]]-Таблица1[[#This Row],[Дата поступления]]</f>
        <v>0</v>
      </c>
      <c r="S1869" s="2">
        <f>Таблица1[[#This Row],[Дата поступления]]-Таблица1[[#This Row],[Дата рождения]]</f>
        <v>0</v>
      </c>
    </row>
    <row r="1870" spans="18:19" x14ac:dyDescent="0.25">
      <c r="R1870" s="2">
        <f>Таблица1[[#This Row],[Дата перевода]]-Таблица1[[#This Row],[Дата поступления]]</f>
        <v>0</v>
      </c>
      <c r="S1870" s="2">
        <f>Таблица1[[#This Row],[Дата поступления]]-Таблица1[[#This Row],[Дата рождения]]</f>
        <v>0</v>
      </c>
    </row>
    <row r="1871" spans="18:19" x14ac:dyDescent="0.25">
      <c r="R1871" s="2">
        <f>Таблица1[[#This Row],[Дата перевода]]-Таблица1[[#This Row],[Дата поступления]]</f>
        <v>0</v>
      </c>
      <c r="S1871" s="2">
        <f>Таблица1[[#This Row],[Дата поступления]]-Таблица1[[#This Row],[Дата рождения]]</f>
        <v>0</v>
      </c>
    </row>
    <row r="1872" spans="18:19" x14ac:dyDescent="0.25">
      <c r="R1872" s="2">
        <f>Таблица1[[#This Row],[Дата перевода]]-Таблица1[[#This Row],[Дата поступления]]</f>
        <v>0</v>
      </c>
      <c r="S1872" s="2">
        <f>Таблица1[[#This Row],[Дата поступления]]-Таблица1[[#This Row],[Дата рождения]]</f>
        <v>0</v>
      </c>
    </row>
    <row r="1873" spans="18:19" x14ac:dyDescent="0.25">
      <c r="R1873" s="2">
        <f>Таблица1[[#This Row],[Дата перевода]]-Таблица1[[#This Row],[Дата поступления]]</f>
        <v>0</v>
      </c>
      <c r="S1873" s="2">
        <f>Таблица1[[#This Row],[Дата поступления]]-Таблица1[[#This Row],[Дата рождения]]</f>
        <v>0</v>
      </c>
    </row>
    <row r="1874" spans="18:19" x14ac:dyDescent="0.25">
      <c r="R1874" s="2">
        <f>Таблица1[[#This Row],[Дата перевода]]-Таблица1[[#This Row],[Дата поступления]]</f>
        <v>0</v>
      </c>
      <c r="S1874" s="2">
        <f>Таблица1[[#This Row],[Дата поступления]]-Таблица1[[#This Row],[Дата рождения]]</f>
        <v>0</v>
      </c>
    </row>
    <row r="1875" spans="18:19" x14ac:dyDescent="0.25">
      <c r="R1875" s="2">
        <f>Таблица1[[#This Row],[Дата перевода]]-Таблица1[[#This Row],[Дата поступления]]</f>
        <v>0</v>
      </c>
      <c r="S1875" s="2">
        <f>Таблица1[[#This Row],[Дата поступления]]-Таблица1[[#This Row],[Дата рождения]]</f>
        <v>0</v>
      </c>
    </row>
    <row r="1876" spans="18:19" x14ac:dyDescent="0.25">
      <c r="R1876" s="2">
        <f>Таблица1[[#This Row],[Дата перевода]]-Таблица1[[#This Row],[Дата поступления]]</f>
        <v>0</v>
      </c>
      <c r="S1876" s="2">
        <f>Таблица1[[#This Row],[Дата поступления]]-Таблица1[[#This Row],[Дата рождения]]</f>
        <v>0</v>
      </c>
    </row>
    <row r="1877" spans="18:19" x14ac:dyDescent="0.25">
      <c r="R1877" s="2">
        <f>Таблица1[[#This Row],[Дата перевода]]-Таблица1[[#This Row],[Дата поступления]]</f>
        <v>0</v>
      </c>
      <c r="S1877" s="2">
        <f>Таблица1[[#This Row],[Дата поступления]]-Таблица1[[#This Row],[Дата рождения]]</f>
        <v>0</v>
      </c>
    </row>
    <row r="1878" spans="18:19" x14ac:dyDescent="0.25">
      <c r="R1878" s="2">
        <f>Таблица1[[#This Row],[Дата перевода]]-Таблица1[[#This Row],[Дата поступления]]</f>
        <v>0</v>
      </c>
      <c r="S1878" s="2">
        <f>Таблица1[[#This Row],[Дата поступления]]-Таблица1[[#This Row],[Дата рождения]]</f>
        <v>0</v>
      </c>
    </row>
    <row r="1879" spans="18:19" x14ac:dyDescent="0.25">
      <c r="R1879" s="2">
        <f>Таблица1[[#This Row],[Дата перевода]]-Таблица1[[#This Row],[Дата поступления]]</f>
        <v>0</v>
      </c>
      <c r="S1879" s="2">
        <f>Таблица1[[#This Row],[Дата поступления]]-Таблица1[[#This Row],[Дата рождения]]</f>
        <v>0</v>
      </c>
    </row>
    <row r="1880" spans="18:19" x14ac:dyDescent="0.25">
      <c r="R1880" s="2">
        <f>Таблица1[[#This Row],[Дата перевода]]-Таблица1[[#This Row],[Дата поступления]]</f>
        <v>0</v>
      </c>
      <c r="S1880" s="2">
        <f>Таблица1[[#This Row],[Дата поступления]]-Таблица1[[#This Row],[Дата рождения]]</f>
        <v>0</v>
      </c>
    </row>
    <row r="1881" spans="18:19" x14ac:dyDescent="0.25">
      <c r="R1881" s="2">
        <f>Таблица1[[#This Row],[Дата перевода]]-Таблица1[[#This Row],[Дата поступления]]</f>
        <v>0</v>
      </c>
      <c r="S1881" s="2">
        <f>Таблица1[[#This Row],[Дата поступления]]-Таблица1[[#This Row],[Дата рождения]]</f>
        <v>0</v>
      </c>
    </row>
    <row r="1882" spans="18:19" x14ac:dyDescent="0.25">
      <c r="R1882" s="2">
        <f>Таблица1[[#This Row],[Дата перевода]]-Таблица1[[#This Row],[Дата поступления]]</f>
        <v>0</v>
      </c>
      <c r="S1882" s="2">
        <f>Таблица1[[#This Row],[Дата поступления]]-Таблица1[[#This Row],[Дата рождения]]</f>
        <v>0</v>
      </c>
    </row>
    <row r="1883" spans="18:19" x14ac:dyDescent="0.25">
      <c r="R1883" s="2">
        <f>Таблица1[[#This Row],[Дата перевода]]-Таблица1[[#This Row],[Дата поступления]]</f>
        <v>0</v>
      </c>
      <c r="S1883" s="2">
        <f>Таблица1[[#This Row],[Дата поступления]]-Таблица1[[#This Row],[Дата рождения]]</f>
        <v>0</v>
      </c>
    </row>
    <row r="1884" spans="18:19" x14ac:dyDescent="0.25">
      <c r="R1884" s="2">
        <f>Таблица1[[#This Row],[Дата перевода]]-Таблица1[[#This Row],[Дата поступления]]</f>
        <v>0</v>
      </c>
      <c r="S1884" s="2">
        <f>Таблица1[[#This Row],[Дата поступления]]-Таблица1[[#This Row],[Дата рождения]]</f>
        <v>0</v>
      </c>
    </row>
    <row r="1885" spans="18:19" x14ac:dyDescent="0.25">
      <c r="R1885" s="2">
        <f>Таблица1[[#This Row],[Дата перевода]]-Таблица1[[#This Row],[Дата поступления]]</f>
        <v>0</v>
      </c>
      <c r="S1885" s="2">
        <f>Таблица1[[#This Row],[Дата поступления]]-Таблица1[[#This Row],[Дата рождения]]</f>
        <v>0</v>
      </c>
    </row>
    <row r="1886" spans="18:19" x14ac:dyDescent="0.25">
      <c r="R1886" s="2">
        <f>Таблица1[[#This Row],[Дата перевода]]-Таблица1[[#This Row],[Дата поступления]]</f>
        <v>0</v>
      </c>
      <c r="S1886" s="2">
        <f>Таблица1[[#This Row],[Дата поступления]]-Таблица1[[#This Row],[Дата рождения]]</f>
        <v>0</v>
      </c>
    </row>
    <row r="1887" spans="18:19" x14ac:dyDescent="0.25">
      <c r="R1887" s="2">
        <f>Таблица1[[#This Row],[Дата перевода]]-Таблица1[[#This Row],[Дата поступления]]</f>
        <v>0</v>
      </c>
      <c r="S1887" s="2">
        <f>Таблица1[[#This Row],[Дата поступления]]-Таблица1[[#This Row],[Дата рождения]]</f>
        <v>0</v>
      </c>
    </row>
    <row r="1888" spans="18:19" x14ac:dyDescent="0.25">
      <c r="R1888" s="2">
        <f>Таблица1[[#This Row],[Дата перевода]]-Таблица1[[#This Row],[Дата поступления]]</f>
        <v>0</v>
      </c>
      <c r="S1888" s="2">
        <f>Таблица1[[#This Row],[Дата поступления]]-Таблица1[[#This Row],[Дата рождения]]</f>
        <v>0</v>
      </c>
    </row>
    <row r="1889" spans="18:19" x14ac:dyDescent="0.25">
      <c r="R1889" s="2">
        <f>Таблица1[[#This Row],[Дата перевода]]-Таблица1[[#This Row],[Дата поступления]]</f>
        <v>0</v>
      </c>
      <c r="S1889" s="2">
        <f>Таблица1[[#This Row],[Дата поступления]]-Таблица1[[#This Row],[Дата рождения]]</f>
        <v>0</v>
      </c>
    </row>
    <row r="1890" spans="18:19" x14ac:dyDescent="0.25">
      <c r="R1890" s="2">
        <f>Таблица1[[#This Row],[Дата перевода]]-Таблица1[[#This Row],[Дата поступления]]</f>
        <v>0</v>
      </c>
      <c r="S1890" s="2">
        <f>Таблица1[[#This Row],[Дата поступления]]-Таблица1[[#This Row],[Дата рождения]]</f>
        <v>0</v>
      </c>
    </row>
    <row r="1891" spans="18:19" x14ac:dyDescent="0.25">
      <c r="R1891" s="2">
        <f>Таблица1[[#This Row],[Дата перевода]]-Таблица1[[#This Row],[Дата поступления]]</f>
        <v>0</v>
      </c>
      <c r="S1891" s="2">
        <f>Таблица1[[#This Row],[Дата поступления]]-Таблица1[[#This Row],[Дата рождения]]</f>
        <v>0</v>
      </c>
    </row>
    <row r="1892" spans="18:19" x14ac:dyDescent="0.25">
      <c r="R1892" s="2">
        <f>Таблица1[[#This Row],[Дата перевода]]-Таблица1[[#This Row],[Дата поступления]]</f>
        <v>0</v>
      </c>
      <c r="S1892" s="2">
        <f>Таблица1[[#This Row],[Дата поступления]]-Таблица1[[#This Row],[Дата рождения]]</f>
        <v>0</v>
      </c>
    </row>
    <row r="1893" spans="18:19" x14ac:dyDescent="0.25">
      <c r="R1893" s="2">
        <f>Таблица1[[#This Row],[Дата перевода]]-Таблица1[[#This Row],[Дата поступления]]</f>
        <v>0</v>
      </c>
      <c r="S1893" s="2">
        <f>Таблица1[[#This Row],[Дата поступления]]-Таблица1[[#This Row],[Дата рождения]]</f>
        <v>0</v>
      </c>
    </row>
    <row r="1894" spans="18:19" x14ac:dyDescent="0.25">
      <c r="R1894" s="2">
        <f>Таблица1[[#This Row],[Дата перевода]]-Таблица1[[#This Row],[Дата поступления]]</f>
        <v>0</v>
      </c>
      <c r="S1894" s="2">
        <f>Таблица1[[#This Row],[Дата поступления]]-Таблица1[[#This Row],[Дата рождения]]</f>
        <v>0</v>
      </c>
    </row>
    <row r="1895" spans="18:19" x14ac:dyDescent="0.25">
      <c r="R1895" s="2">
        <f>Таблица1[[#This Row],[Дата перевода]]-Таблица1[[#This Row],[Дата поступления]]</f>
        <v>0</v>
      </c>
      <c r="S1895" s="2">
        <f>Таблица1[[#This Row],[Дата поступления]]-Таблица1[[#This Row],[Дата рождения]]</f>
        <v>0</v>
      </c>
    </row>
    <row r="1896" spans="18:19" x14ac:dyDescent="0.25">
      <c r="R1896" s="2">
        <f>Таблица1[[#This Row],[Дата перевода]]-Таблица1[[#This Row],[Дата поступления]]</f>
        <v>0</v>
      </c>
      <c r="S1896" s="2">
        <f>Таблица1[[#This Row],[Дата поступления]]-Таблица1[[#This Row],[Дата рождения]]</f>
        <v>0</v>
      </c>
    </row>
    <row r="1897" spans="18:19" x14ac:dyDescent="0.25">
      <c r="R1897" s="2">
        <f>Таблица1[[#This Row],[Дата перевода]]-Таблица1[[#This Row],[Дата поступления]]</f>
        <v>0</v>
      </c>
      <c r="S1897" s="2">
        <f>Таблица1[[#This Row],[Дата поступления]]-Таблица1[[#This Row],[Дата рождения]]</f>
        <v>0</v>
      </c>
    </row>
    <row r="1898" spans="18:19" x14ac:dyDescent="0.25">
      <c r="R1898" s="2">
        <f>Таблица1[[#This Row],[Дата перевода]]-Таблица1[[#This Row],[Дата поступления]]</f>
        <v>0</v>
      </c>
      <c r="S1898" s="2">
        <f>Таблица1[[#This Row],[Дата поступления]]-Таблица1[[#This Row],[Дата рождения]]</f>
        <v>0</v>
      </c>
    </row>
    <row r="1899" spans="18:19" x14ac:dyDescent="0.25">
      <c r="R1899" s="2">
        <f>Таблица1[[#This Row],[Дата перевода]]-Таблица1[[#This Row],[Дата поступления]]</f>
        <v>0</v>
      </c>
      <c r="S1899" s="2">
        <f>Таблица1[[#This Row],[Дата поступления]]-Таблица1[[#This Row],[Дата рождения]]</f>
        <v>0</v>
      </c>
    </row>
    <row r="1900" spans="18:19" x14ac:dyDescent="0.25">
      <c r="R1900" s="2">
        <f>Таблица1[[#This Row],[Дата перевода]]-Таблица1[[#This Row],[Дата поступления]]</f>
        <v>0</v>
      </c>
      <c r="S1900" s="2">
        <f>Таблица1[[#This Row],[Дата поступления]]-Таблица1[[#This Row],[Дата рождения]]</f>
        <v>0</v>
      </c>
    </row>
    <row r="1901" spans="18:19" x14ac:dyDescent="0.25">
      <c r="R1901" s="2">
        <f>Таблица1[[#This Row],[Дата перевода]]-Таблица1[[#This Row],[Дата поступления]]</f>
        <v>0</v>
      </c>
      <c r="S1901" s="2">
        <f>Таблица1[[#This Row],[Дата поступления]]-Таблица1[[#This Row],[Дата рождения]]</f>
        <v>0</v>
      </c>
    </row>
    <row r="1902" spans="18:19" x14ac:dyDescent="0.25">
      <c r="R1902" s="2">
        <f>Таблица1[[#This Row],[Дата перевода]]-Таблица1[[#This Row],[Дата поступления]]</f>
        <v>0</v>
      </c>
      <c r="S1902" s="2">
        <f>Таблица1[[#This Row],[Дата поступления]]-Таблица1[[#This Row],[Дата рождения]]</f>
        <v>0</v>
      </c>
    </row>
    <row r="1903" spans="18:19" x14ac:dyDescent="0.25">
      <c r="R1903" s="2">
        <f>Таблица1[[#This Row],[Дата перевода]]-Таблица1[[#This Row],[Дата поступления]]</f>
        <v>0</v>
      </c>
      <c r="S1903" s="2">
        <f>Таблица1[[#This Row],[Дата поступления]]-Таблица1[[#This Row],[Дата рождения]]</f>
        <v>0</v>
      </c>
    </row>
    <row r="1904" spans="18:19" x14ac:dyDescent="0.25">
      <c r="R1904" s="2">
        <f>Таблица1[[#This Row],[Дата перевода]]-Таблица1[[#This Row],[Дата поступления]]</f>
        <v>0</v>
      </c>
      <c r="S1904" s="2">
        <f>Таблица1[[#This Row],[Дата поступления]]-Таблица1[[#This Row],[Дата рождения]]</f>
        <v>0</v>
      </c>
    </row>
    <row r="1905" spans="18:19" x14ac:dyDescent="0.25">
      <c r="R1905" s="2">
        <f>Таблица1[[#This Row],[Дата перевода]]-Таблица1[[#This Row],[Дата поступления]]</f>
        <v>0</v>
      </c>
      <c r="S1905" s="2">
        <f>Таблица1[[#This Row],[Дата поступления]]-Таблица1[[#This Row],[Дата рождения]]</f>
        <v>0</v>
      </c>
    </row>
    <row r="1906" spans="18:19" x14ac:dyDescent="0.25">
      <c r="R1906" s="2">
        <f>Таблица1[[#This Row],[Дата перевода]]-Таблица1[[#This Row],[Дата поступления]]</f>
        <v>0</v>
      </c>
      <c r="S1906" s="2">
        <f>Таблица1[[#This Row],[Дата поступления]]-Таблица1[[#This Row],[Дата рождения]]</f>
        <v>0</v>
      </c>
    </row>
    <row r="1907" spans="18:19" x14ac:dyDescent="0.25">
      <c r="R1907" s="2">
        <f>Таблица1[[#This Row],[Дата перевода]]-Таблица1[[#This Row],[Дата поступления]]</f>
        <v>0</v>
      </c>
      <c r="S1907" s="2">
        <f>Таблица1[[#This Row],[Дата поступления]]-Таблица1[[#This Row],[Дата рождения]]</f>
        <v>0</v>
      </c>
    </row>
    <row r="1908" spans="18:19" x14ac:dyDescent="0.25">
      <c r="R1908" s="2">
        <f>Таблица1[[#This Row],[Дата перевода]]-Таблица1[[#This Row],[Дата поступления]]</f>
        <v>0</v>
      </c>
      <c r="S1908" s="2">
        <f>Таблица1[[#This Row],[Дата поступления]]-Таблица1[[#This Row],[Дата рождения]]</f>
        <v>0</v>
      </c>
    </row>
    <row r="1909" spans="18:19" x14ac:dyDescent="0.25">
      <c r="R1909" s="2">
        <f>Таблица1[[#This Row],[Дата перевода]]-Таблица1[[#This Row],[Дата поступления]]</f>
        <v>0</v>
      </c>
      <c r="S1909" s="2">
        <f>Таблица1[[#This Row],[Дата поступления]]-Таблица1[[#This Row],[Дата рождения]]</f>
        <v>0</v>
      </c>
    </row>
    <row r="1910" spans="18:19" x14ac:dyDescent="0.25">
      <c r="R1910" s="2">
        <f>Таблица1[[#This Row],[Дата перевода]]-Таблица1[[#This Row],[Дата поступления]]</f>
        <v>0</v>
      </c>
      <c r="S1910" s="2">
        <f>Таблица1[[#This Row],[Дата поступления]]-Таблица1[[#This Row],[Дата рождения]]</f>
        <v>0</v>
      </c>
    </row>
    <row r="1911" spans="18:19" x14ac:dyDescent="0.25">
      <c r="R1911" s="2">
        <f>Таблица1[[#This Row],[Дата перевода]]-Таблица1[[#This Row],[Дата поступления]]</f>
        <v>0</v>
      </c>
      <c r="S1911" s="2">
        <f>Таблица1[[#This Row],[Дата поступления]]-Таблица1[[#This Row],[Дата рождения]]</f>
        <v>0</v>
      </c>
    </row>
    <row r="1912" spans="18:19" x14ac:dyDescent="0.25">
      <c r="R1912" s="2">
        <f>Таблица1[[#This Row],[Дата перевода]]-Таблица1[[#This Row],[Дата поступления]]</f>
        <v>0</v>
      </c>
      <c r="S1912" s="2">
        <f>Таблица1[[#This Row],[Дата поступления]]-Таблица1[[#This Row],[Дата рождения]]</f>
        <v>0</v>
      </c>
    </row>
    <row r="1913" spans="18:19" x14ac:dyDescent="0.25">
      <c r="R1913" s="2">
        <f>Таблица1[[#This Row],[Дата перевода]]-Таблица1[[#This Row],[Дата поступления]]</f>
        <v>0</v>
      </c>
      <c r="S1913" s="2">
        <f>Таблица1[[#This Row],[Дата поступления]]-Таблица1[[#This Row],[Дата рождения]]</f>
        <v>0</v>
      </c>
    </row>
    <row r="1914" spans="18:19" x14ac:dyDescent="0.25">
      <c r="R1914" s="2">
        <f>Таблица1[[#This Row],[Дата перевода]]-Таблица1[[#This Row],[Дата поступления]]</f>
        <v>0</v>
      </c>
      <c r="S1914" s="2">
        <f>Таблица1[[#This Row],[Дата поступления]]-Таблица1[[#This Row],[Дата рождения]]</f>
        <v>0</v>
      </c>
    </row>
    <row r="1915" spans="18:19" x14ac:dyDescent="0.25">
      <c r="R1915" s="2">
        <f>Таблица1[[#This Row],[Дата перевода]]-Таблица1[[#This Row],[Дата поступления]]</f>
        <v>0</v>
      </c>
      <c r="S1915" s="2">
        <f>Таблица1[[#This Row],[Дата поступления]]-Таблица1[[#This Row],[Дата рождения]]</f>
        <v>0</v>
      </c>
    </row>
    <row r="1916" spans="18:19" x14ac:dyDescent="0.25">
      <c r="R1916" s="2">
        <f>Таблица1[[#This Row],[Дата перевода]]-Таблица1[[#This Row],[Дата поступления]]</f>
        <v>0</v>
      </c>
      <c r="S1916" s="2">
        <f>Таблица1[[#This Row],[Дата поступления]]-Таблица1[[#This Row],[Дата рождения]]</f>
        <v>0</v>
      </c>
    </row>
    <row r="1917" spans="18:19" x14ac:dyDescent="0.25">
      <c r="R1917" s="2">
        <f>Таблица1[[#This Row],[Дата перевода]]-Таблица1[[#This Row],[Дата поступления]]</f>
        <v>0</v>
      </c>
      <c r="S1917" s="2">
        <f>Таблица1[[#This Row],[Дата поступления]]-Таблица1[[#This Row],[Дата рождения]]</f>
        <v>0</v>
      </c>
    </row>
    <row r="1918" spans="18:19" x14ac:dyDescent="0.25">
      <c r="R1918" s="2">
        <f>Таблица1[[#This Row],[Дата перевода]]-Таблица1[[#This Row],[Дата поступления]]</f>
        <v>0</v>
      </c>
      <c r="S1918" s="2">
        <f>Таблица1[[#This Row],[Дата поступления]]-Таблица1[[#This Row],[Дата рождения]]</f>
        <v>0</v>
      </c>
    </row>
    <row r="1919" spans="18:19" x14ac:dyDescent="0.25">
      <c r="R1919" s="2">
        <f>Таблица1[[#This Row],[Дата перевода]]-Таблица1[[#This Row],[Дата поступления]]</f>
        <v>0</v>
      </c>
      <c r="S1919" s="2">
        <f>Таблица1[[#This Row],[Дата поступления]]-Таблица1[[#This Row],[Дата рождения]]</f>
        <v>0</v>
      </c>
    </row>
    <row r="1920" spans="18:19" x14ac:dyDescent="0.25">
      <c r="R1920" s="2">
        <f>Таблица1[[#This Row],[Дата перевода]]-Таблица1[[#This Row],[Дата поступления]]</f>
        <v>0</v>
      </c>
      <c r="S1920" s="2">
        <f>Таблица1[[#This Row],[Дата поступления]]-Таблица1[[#This Row],[Дата рождения]]</f>
        <v>0</v>
      </c>
    </row>
    <row r="1921" spans="18:19" x14ac:dyDescent="0.25">
      <c r="R1921" s="2">
        <f>Таблица1[[#This Row],[Дата перевода]]-Таблица1[[#This Row],[Дата поступления]]</f>
        <v>0</v>
      </c>
      <c r="S1921" s="2">
        <f>Таблица1[[#This Row],[Дата поступления]]-Таблица1[[#This Row],[Дата рождения]]</f>
        <v>0</v>
      </c>
    </row>
    <row r="1922" spans="18:19" x14ac:dyDescent="0.25">
      <c r="R1922" s="2">
        <f>Таблица1[[#This Row],[Дата перевода]]-Таблица1[[#This Row],[Дата поступления]]</f>
        <v>0</v>
      </c>
      <c r="S1922" s="2">
        <f>Таблица1[[#This Row],[Дата поступления]]-Таблица1[[#This Row],[Дата рождения]]</f>
        <v>0</v>
      </c>
    </row>
    <row r="1923" spans="18:19" x14ac:dyDescent="0.25">
      <c r="R1923" s="2">
        <f>Таблица1[[#This Row],[Дата перевода]]-Таблица1[[#This Row],[Дата поступления]]</f>
        <v>0</v>
      </c>
      <c r="S1923" s="2">
        <f>Таблица1[[#This Row],[Дата поступления]]-Таблица1[[#This Row],[Дата рождения]]</f>
        <v>0</v>
      </c>
    </row>
    <row r="1924" spans="18:19" x14ac:dyDescent="0.25">
      <c r="R1924" s="2">
        <f>Таблица1[[#This Row],[Дата перевода]]-Таблица1[[#This Row],[Дата поступления]]</f>
        <v>0</v>
      </c>
      <c r="S1924" s="2">
        <f>Таблица1[[#This Row],[Дата поступления]]-Таблица1[[#This Row],[Дата рождения]]</f>
        <v>0</v>
      </c>
    </row>
    <row r="1925" spans="18:19" x14ac:dyDescent="0.25">
      <c r="R1925" s="2">
        <f>Таблица1[[#This Row],[Дата перевода]]-Таблица1[[#This Row],[Дата поступления]]</f>
        <v>0</v>
      </c>
      <c r="S1925" s="2">
        <f>Таблица1[[#This Row],[Дата поступления]]-Таблица1[[#This Row],[Дата рождения]]</f>
        <v>0</v>
      </c>
    </row>
    <row r="1926" spans="18:19" x14ac:dyDescent="0.25">
      <c r="R1926" s="2">
        <f>Таблица1[[#This Row],[Дата перевода]]-Таблица1[[#This Row],[Дата поступления]]</f>
        <v>0</v>
      </c>
      <c r="S1926" s="2">
        <f>Таблица1[[#This Row],[Дата поступления]]-Таблица1[[#This Row],[Дата рождения]]</f>
        <v>0</v>
      </c>
    </row>
    <row r="1927" spans="18:19" x14ac:dyDescent="0.25">
      <c r="R1927" s="2">
        <f>Таблица1[[#This Row],[Дата перевода]]-Таблица1[[#This Row],[Дата поступления]]</f>
        <v>0</v>
      </c>
      <c r="S1927" s="2">
        <f>Таблица1[[#This Row],[Дата поступления]]-Таблица1[[#This Row],[Дата рождения]]</f>
        <v>0</v>
      </c>
    </row>
    <row r="1928" spans="18:19" x14ac:dyDescent="0.25">
      <c r="R1928" s="2">
        <f>Таблица1[[#This Row],[Дата перевода]]-Таблица1[[#This Row],[Дата поступления]]</f>
        <v>0</v>
      </c>
      <c r="S1928" s="2">
        <f>Таблица1[[#This Row],[Дата поступления]]-Таблица1[[#This Row],[Дата рождения]]</f>
        <v>0</v>
      </c>
    </row>
    <row r="1929" spans="18:19" x14ac:dyDescent="0.25">
      <c r="R1929" s="2">
        <f>Таблица1[[#This Row],[Дата перевода]]-Таблица1[[#This Row],[Дата поступления]]</f>
        <v>0</v>
      </c>
      <c r="S1929" s="2">
        <f>Таблица1[[#This Row],[Дата поступления]]-Таблица1[[#This Row],[Дата рождения]]</f>
        <v>0</v>
      </c>
    </row>
    <row r="1930" spans="18:19" x14ac:dyDescent="0.25">
      <c r="R1930" s="2">
        <f>Таблица1[[#This Row],[Дата перевода]]-Таблица1[[#This Row],[Дата поступления]]</f>
        <v>0</v>
      </c>
      <c r="S1930" s="2">
        <f>Таблица1[[#This Row],[Дата поступления]]-Таблица1[[#This Row],[Дата рождения]]</f>
        <v>0</v>
      </c>
    </row>
    <row r="1931" spans="18:19" x14ac:dyDescent="0.25">
      <c r="R1931" s="2">
        <f>Таблица1[[#This Row],[Дата перевода]]-Таблица1[[#This Row],[Дата поступления]]</f>
        <v>0</v>
      </c>
      <c r="S1931" s="2">
        <f>Таблица1[[#This Row],[Дата поступления]]-Таблица1[[#This Row],[Дата рождения]]</f>
        <v>0</v>
      </c>
    </row>
    <row r="1932" spans="18:19" x14ac:dyDescent="0.25">
      <c r="R1932" s="2">
        <f>Таблица1[[#This Row],[Дата перевода]]-Таблица1[[#This Row],[Дата поступления]]</f>
        <v>0</v>
      </c>
      <c r="S1932" s="2">
        <f>Таблица1[[#This Row],[Дата поступления]]-Таблица1[[#This Row],[Дата рождения]]</f>
        <v>0</v>
      </c>
    </row>
    <row r="1933" spans="18:19" x14ac:dyDescent="0.25">
      <c r="R1933" s="2">
        <f>Таблица1[[#This Row],[Дата перевода]]-Таблица1[[#This Row],[Дата поступления]]</f>
        <v>0</v>
      </c>
      <c r="S1933" s="2">
        <f>Таблица1[[#This Row],[Дата поступления]]-Таблица1[[#This Row],[Дата рождения]]</f>
        <v>0</v>
      </c>
    </row>
    <row r="1934" spans="18:19" x14ac:dyDescent="0.25">
      <c r="R1934" s="2">
        <f>Таблица1[[#This Row],[Дата перевода]]-Таблица1[[#This Row],[Дата поступления]]</f>
        <v>0</v>
      </c>
      <c r="S1934" s="2">
        <f>Таблица1[[#This Row],[Дата поступления]]-Таблица1[[#This Row],[Дата рождения]]</f>
        <v>0</v>
      </c>
    </row>
    <row r="1935" spans="18:19" x14ac:dyDescent="0.25">
      <c r="R1935" s="2">
        <f>Таблица1[[#This Row],[Дата перевода]]-Таблица1[[#This Row],[Дата поступления]]</f>
        <v>0</v>
      </c>
      <c r="S1935" s="2">
        <f>Таблица1[[#This Row],[Дата поступления]]-Таблица1[[#This Row],[Дата рождения]]</f>
        <v>0</v>
      </c>
    </row>
    <row r="1936" spans="18:19" x14ac:dyDescent="0.25">
      <c r="R1936" s="2">
        <f>Таблица1[[#This Row],[Дата перевода]]-Таблица1[[#This Row],[Дата поступления]]</f>
        <v>0</v>
      </c>
      <c r="S1936" s="2">
        <f>Таблица1[[#This Row],[Дата поступления]]-Таблица1[[#This Row],[Дата рождения]]</f>
        <v>0</v>
      </c>
    </row>
    <row r="1937" spans="18:19" x14ac:dyDescent="0.25">
      <c r="R1937" s="2">
        <f>Таблица1[[#This Row],[Дата перевода]]-Таблица1[[#This Row],[Дата поступления]]</f>
        <v>0</v>
      </c>
      <c r="S1937" s="2">
        <f>Таблица1[[#This Row],[Дата поступления]]-Таблица1[[#This Row],[Дата рождения]]</f>
        <v>0</v>
      </c>
    </row>
    <row r="1938" spans="18:19" x14ac:dyDescent="0.25">
      <c r="R1938" s="2">
        <f>Таблица1[[#This Row],[Дата перевода]]-Таблица1[[#This Row],[Дата поступления]]</f>
        <v>0</v>
      </c>
      <c r="S1938" s="2">
        <f>Таблица1[[#This Row],[Дата поступления]]-Таблица1[[#This Row],[Дата рождения]]</f>
        <v>0</v>
      </c>
    </row>
    <row r="1939" spans="18:19" x14ac:dyDescent="0.25">
      <c r="R1939" s="2">
        <f>Таблица1[[#This Row],[Дата перевода]]-Таблица1[[#This Row],[Дата поступления]]</f>
        <v>0</v>
      </c>
      <c r="S1939" s="2">
        <f>Таблица1[[#This Row],[Дата поступления]]-Таблица1[[#This Row],[Дата рождения]]</f>
        <v>0</v>
      </c>
    </row>
    <row r="1940" spans="18:19" x14ac:dyDescent="0.25">
      <c r="R1940" s="2">
        <f>Таблица1[[#This Row],[Дата перевода]]-Таблица1[[#This Row],[Дата поступления]]</f>
        <v>0</v>
      </c>
      <c r="S1940" s="2">
        <f>Таблица1[[#This Row],[Дата поступления]]-Таблица1[[#This Row],[Дата рождения]]</f>
        <v>0</v>
      </c>
    </row>
    <row r="1941" spans="18:19" x14ac:dyDescent="0.25">
      <c r="R1941" s="2">
        <f>Таблица1[[#This Row],[Дата перевода]]-Таблица1[[#This Row],[Дата поступления]]</f>
        <v>0</v>
      </c>
      <c r="S1941" s="2">
        <f>Таблица1[[#This Row],[Дата поступления]]-Таблица1[[#This Row],[Дата рождения]]</f>
        <v>0</v>
      </c>
    </row>
    <row r="1942" spans="18:19" x14ac:dyDescent="0.25">
      <c r="R1942" s="2">
        <f>Таблица1[[#This Row],[Дата перевода]]-Таблица1[[#This Row],[Дата поступления]]</f>
        <v>0</v>
      </c>
      <c r="S1942" s="2">
        <f>Таблица1[[#This Row],[Дата поступления]]-Таблица1[[#This Row],[Дата рождения]]</f>
        <v>0</v>
      </c>
    </row>
    <row r="1943" spans="18:19" x14ac:dyDescent="0.25">
      <c r="R1943" s="2">
        <f>Таблица1[[#This Row],[Дата перевода]]-Таблица1[[#This Row],[Дата поступления]]</f>
        <v>0</v>
      </c>
      <c r="S1943" s="2">
        <f>Таблица1[[#This Row],[Дата поступления]]-Таблица1[[#This Row],[Дата рождения]]</f>
        <v>0</v>
      </c>
    </row>
    <row r="1944" spans="18:19" x14ac:dyDescent="0.25">
      <c r="R1944" s="2">
        <f>Таблица1[[#This Row],[Дата перевода]]-Таблица1[[#This Row],[Дата поступления]]</f>
        <v>0</v>
      </c>
      <c r="S1944" s="2">
        <f>Таблица1[[#This Row],[Дата поступления]]-Таблица1[[#This Row],[Дата рождения]]</f>
        <v>0</v>
      </c>
    </row>
    <row r="1945" spans="18:19" x14ac:dyDescent="0.25">
      <c r="R1945" s="2">
        <f>Таблица1[[#This Row],[Дата перевода]]-Таблица1[[#This Row],[Дата поступления]]</f>
        <v>0</v>
      </c>
      <c r="S1945" s="2">
        <f>Таблица1[[#This Row],[Дата поступления]]-Таблица1[[#This Row],[Дата рождения]]</f>
        <v>0</v>
      </c>
    </row>
    <row r="1946" spans="18:19" x14ac:dyDescent="0.25">
      <c r="R1946" s="2">
        <f>Таблица1[[#This Row],[Дата перевода]]-Таблица1[[#This Row],[Дата поступления]]</f>
        <v>0</v>
      </c>
      <c r="S1946" s="2">
        <f>Таблица1[[#This Row],[Дата поступления]]-Таблица1[[#This Row],[Дата рождения]]</f>
        <v>0</v>
      </c>
    </row>
    <row r="1947" spans="18:19" x14ac:dyDescent="0.25">
      <c r="R1947" s="2">
        <f>Таблица1[[#This Row],[Дата перевода]]-Таблица1[[#This Row],[Дата поступления]]</f>
        <v>0</v>
      </c>
      <c r="S1947" s="2">
        <f>Таблица1[[#This Row],[Дата поступления]]-Таблица1[[#This Row],[Дата рождения]]</f>
        <v>0</v>
      </c>
    </row>
    <row r="1948" spans="18:19" x14ac:dyDescent="0.25">
      <c r="R1948" s="2">
        <f>Таблица1[[#This Row],[Дата перевода]]-Таблица1[[#This Row],[Дата поступления]]</f>
        <v>0</v>
      </c>
      <c r="S1948" s="2">
        <f>Таблица1[[#This Row],[Дата поступления]]-Таблица1[[#This Row],[Дата рождения]]</f>
        <v>0</v>
      </c>
    </row>
    <row r="1949" spans="18:19" x14ac:dyDescent="0.25">
      <c r="R1949" s="2">
        <f>Таблица1[[#This Row],[Дата перевода]]-Таблица1[[#This Row],[Дата поступления]]</f>
        <v>0</v>
      </c>
      <c r="S1949" s="2">
        <f>Таблица1[[#This Row],[Дата поступления]]-Таблица1[[#This Row],[Дата рождения]]</f>
        <v>0</v>
      </c>
    </row>
    <row r="1950" spans="18:19" x14ac:dyDescent="0.25">
      <c r="R1950" s="2">
        <f>Таблица1[[#This Row],[Дата перевода]]-Таблица1[[#This Row],[Дата поступления]]</f>
        <v>0</v>
      </c>
      <c r="S1950" s="2">
        <f>Таблица1[[#This Row],[Дата поступления]]-Таблица1[[#This Row],[Дата рождения]]</f>
        <v>0</v>
      </c>
    </row>
    <row r="1951" spans="18:19" x14ac:dyDescent="0.25">
      <c r="R1951" s="2">
        <f>Таблица1[[#This Row],[Дата перевода]]-Таблица1[[#This Row],[Дата поступления]]</f>
        <v>0</v>
      </c>
      <c r="S1951" s="2">
        <f>Таблица1[[#This Row],[Дата поступления]]-Таблица1[[#This Row],[Дата рождения]]</f>
        <v>0</v>
      </c>
    </row>
    <row r="1952" spans="18:19" x14ac:dyDescent="0.25">
      <c r="R1952" s="2">
        <f>Таблица1[[#This Row],[Дата перевода]]-Таблица1[[#This Row],[Дата поступления]]</f>
        <v>0</v>
      </c>
      <c r="S1952" s="2">
        <f>Таблица1[[#This Row],[Дата поступления]]-Таблица1[[#This Row],[Дата рождения]]</f>
        <v>0</v>
      </c>
    </row>
    <row r="1953" spans="18:19" x14ac:dyDescent="0.25">
      <c r="R1953" s="2">
        <f>Таблица1[[#This Row],[Дата перевода]]-Таблица1[[#This Row],[Дата поступления]]</f>
        <v>0</v>
      </c>
      <c r="S1953" s="2">
        <f>Таблица1[[#This Row],[Дата поступления]]-Таблица1[[#This Row],[Дата рождения]]</f>
        <v>0</v>
      </c>
    </row>
    <row r="1954" spans="18:19" x14ac:dyDescent="0.25">
      <c r="R1954" s="2">
        <f>Таблица1[[#This Row],[Дата перевода]]-Таблица1[[#This Row],[Дата поступления]]</f>
        <v>0</v>
      </c>
      <c r="S1954" s="2">
        <f>Таблица1[[#This Row],[Дата поступления]]-Таблица1[[#This Row],[Дата рождения]]</f>
        <v>0</v>
      </c>
    </row>
    <row r="1955" spans="18:19" x14ac:dyDescent="0.25">
      <c r="R1955" s="2">
        <f>Таблица1[[#This Row],[Дата перевода]]-Таблица1[[#This Row],[Дата поступления]]</f>
        <v>0</v>
      </c>
      <c r="S1955" s="2">
        <f>Таблица1[[#This Row],[Дата поступления]]-Таблица1[[#This Row],[Дата рождения]]</f>
        <v>0</v>
      </c>
    </row>
    <row r="1956" spans="18:19" x14ac:dyDescent="0.25">
      <c r="R1956" s="2">
        <f>Таблица1[[#This Row],[Дата перевода]]-Таблица1[[#This Row],[Дата поступления]]</f>
        <v>0</v>
      </c>
      <c r="S1956" s="2">
        <f>Таблица1[[#This Row],[Дата поступления]]-Таблица1[[#This Row],[Дата рождения]]</f>
        <v>0</v>
      </c>
    </row>
    <row r="1957" spans="18:19" x14ac:dyDescent="0.25">
      <c r="R1957" s="2">
        <f>Таблица1[[#This Row],[Дата перевода]]-Таблица1[[#This Row],[Дата поступления]]</f>
        <v>0</v>
      </c>
      <c r="S1957" s="2">
        <f>Таблица1[[#This Row],[Дата поступления]]-Таблица1[[#This Row],[Дата рождения]]</f>
        <v>0</v>
      </c>
    </row>
    <row r="1958" spans="18:19" x14ac:dyDescent="0.25">
      <c r="R1958" s="2">
        <f>Таблица1[[#This Row],[Дата перевода]]-Таблица1[[#This Row],[Дата поступления]]</f>
        <v>0</v>
      </c>
      <c r="S1958" s="2">
        <f>Таблица1[[#This Row],[Дата поступления]]-Таблица1[[#This Row],[Дата рождения]]</f>
        <v>0</v>
      </c>
    </row>
    <row r="1959" spans="18:19" x14ac:dyDescent="0.25">
      <c r="R1959" s="2">
        <f>Таблица1[[#This Row],[Дата перевода]]-Таблица1[[#This Row],[Дата поступления]]</f>
        <v>0</v>
      </c>
      <c r="S1959" s="2">
        <f>Таблица1[[#This Row],[Дата поступления]]-Таблица1[[#This Row],[Дата рождения]]</f>
        <v>0</v>
      </c>
    </row>
    <row r="1960" spans="18:19" x14ac:dyDescent="0.25">
      <c r="R1960" s="2">
        <f>Таблица1[[#This Row],[Дата перевода]]-Таблица1[[#This Row],[Дата поступления]]</f>
        <v>0</v>
      </c>
      <c r="S1960" s="2">
        <f>Таблица1[[#This Row],[Дата поступления]]-Таблица1[[#This Row],[Дата рождения]]</f>
        <v>0</v>
      </c>
    </row>
    <row r="1961" spans="18:19" x14ac:dyDescent="0.25">
      <c r="R1961" s="2">
        <f>Таблица1[[#This Row],[Дата перевода]]-Таблица1[[#This Row],[Дата поступления]]</f>
        <v>0</v>
      </c>
      <c r="S1961" s="2">
        <f>Таблица1[[#This Row],[Дата поступления]]-Таблица1[[#This Row],[Дата рождения]]</f>
        <v>0</v>
      </c>
    </row>
    <row r="1962" spans="18:19" x14ac:dyDescent="0.25">
      <c r="R1962" s="2">
        <f>Таблица1[[#This Row],[Дата перевода]]-Таблица1[[#This Row],[Дата поступления]]</f>
        <v>0</v>
      </c>
      <c r="S1962" s="2">
        <f>Таблица1[[#This Row],[Дата поступления]]-Таблица1[[#This Row],[Дата рождения]]</f>
        <v>0</v>
      </c>
    </row>
    <row r="1963" spans="18:19" x14ac:dyDescent="0.25">
      <c r="R1963" s="2">
        <f>Таблица1[[#This Row],[Дата перевода]]-Таблица1[[#This Row],[Дата поступления]]</f>
        <v>0</v>
      </c>
      <c r="S1963" s="2">
        <f>Таблица1[[#This Row],[Дата поступления]]-Таблица1[[#This Row],[Дата рождения]]</f>
        <v>0</v>
      </c>
    </row>
    <row r="1964" spans="18:19" x14ac:dyDescent="0.25">
      <c r="R1964" s="2">
        <f>Таблица1[[#This Row],[Дата перевода]]-Таблица1[[#This Row],[Дата поступления]]</f>
        <v>0</v>
      </c>
      <c r="S1964" s="2">
        <f>Таблица1[[#This Row],[Дата поступления]]-Таблица1[[#This Row],[Дата рождения]]</f>
        <v>0</v>
      </c>
    </row>
    <row r="1965" spans="18:19" x14ac:dyDescent="0.25">
      <c r="R1965" s="2">
        <f>Таблица1[[#This Row],[Дата перевода]]-Таблица1[[#This Row],[Дата поступления]]</f>
        <v>0</v>
      </c>
      <c r="S1965" s="2">
        <f>Таблица1[[#This Row],[Дата поступления]]-Таблица1[[#This Row],[Дата рождения]]</f>
        <v>0</v>
      </c>
    </row>
    <row r="1966" spans="18:19" x14ac:dyDescent="0.25">
      <c r="R1966" s="2">
        <f>Таблица1[[#This Row],[Дата перевода]]-Таблица1[[#This Row],[Дата поступления]]</f>
        <v>0</v>
      </c>
      <c r="S1966" s="2">
        <f>Таблица1[[#This Row],[Дата поступления]]-Таблица1[[#This Row],[Дата рождения]]</f>
        <v>0</v>
      </c>
    </row>
    <row r="1967" spans="18:19" x14ac:dyDescent="0.25">
      <c r="R1967" s="2">
        <f>Таблица1[[#This Row],[Дата перевода]]-Таблица1[[#This Row],[Дата поступления]]</f>
        <v>0</v>
      </c>
      <c r="S1967" s="2">
        <f>Таблица1[[#This Row],[Дата поступления]]-Таблица1[[#This Row],[Дата рождения]]</f>
        <v>0</v>
      </c>
    </row>
    <row r="1968" spans="18:19" x14ac:dyDescent="0.25">
      <c r="R1968" s="2">
        <f>Таблица1[[#This Row],[Дата перевода]]-Таблица1[[#This Row],[Дата поступления]]</f>
        <v>0</v>
      </c>
      <c r="S1968" s="2">
        <f>Таблица1[[#This Row],[Дата поступления]]-Таблица1[[#This Row],[Дата рождения]]</f>
        <v>0</v>
      </c>
    </row>
    <row r="1969" spans="18:19" x14ac:dyDescent="0.25">
      <c r="R1969" s="2">
        <f>Таблица1[[#This Row],[Дата перевода]]-Таблица1[[#This Row],[Дата поступления]]</f>
        <v>0</v>
      </c>
      <c r="S1969" s="2">
        <f>Таблица1[[#This Row],[Дата поступления]]-Таблица1[[#This Row],[Дата рождения]]</f>
        <v>0</v>
      </c>
    </row>
    <row r="1970" spans="18:19" x14ac:dyDescent="0.25">
      <c r="R1970" s="2">
        <f>Таблица1[[#This Row],[Дата перевода]]-Таблица1[[#This Row],[Дата поступления]]</f>
        <v>0</v>
      </c>
      <c r="S1970" s="2">
        <f>Таблица1[[#This Row],[Дата поступления]]-Таблица1[[#This Row],[Дата рождения]]</f>
        <v>0</v>
      </c>
    </row>
    <row r="1971" spans="18:19" x14ac:dyDescent="0.25">
      <c r="R1971" s="2">
        <f>Таблица1[[#This Row],[Дата перевода]]-Таблица1[[#This Row],[Дата поступления]]</f>
        <v>0</v>
      </c>
      <c r="S1971" s="2">
        <f>Таблица1[[#This Row],[Дата поступления]]-Таблица1[[#This Row],[Дата рождения]]</f>
        <v>0</v>
      </c>
    </row>
    <row r="1972" spans="18:19" x14ac:dyDescent="0.25">
      <c r="R1972" s="2">
        <f>Таблица1[[#This Row],[Дата перевода]]-Таблица1[[#This Row],[Дата поступления]]</f>
        <v>0</v>
      </c>
      <c r="S1972" s="2">
        <f>Таблица1[[#This Row],[Дата поступления]]-Таблица1[[#This Row],[Дата рождения]]</f>
        <v>0</v>
      </c>
    </row>
    <row r="1973" spans="18:19" x14ac:dyDescent="0.25">
      <c r="R1973" s="2">
        <f>Таблица1[[#This Row],[Дата перевода]]-Таблица1[[#This Row],[Дата поступления]]</f>
        <v>0</v>
      </c>
      <c r="S1973" s="2">
        <f>Таблица1[[#This Row],[Дата поступления]]-Таблица1[[#This Row],[Дата рождения]]</f>
        <v>0</v>
      </c>
    </row>
    <row r="1974" spans="18:19" x14ac:dyDescent="0.25">
      <c r="R1974" s="2">
        <f>Таблица1[[#This Row],[Дата перевода]]-Таблица1[[#This Row],[Дата поступления]]</f>
        <v>0</v>
      </c>
      <c r="S1974" s="2">
        <f>Таблица1[[#This Row],[Дата поступления]]-Таблица1[[#This Row],[Дата рождения]]</f>
        <v>0</v>
      </c>
    </row>
    <row r="1975" spans="18:19" x14ac:dyDescent="0.25">
      <c r="R1975" s="2">
        <f>Таблица1[[#This Row],[Дата перевода]]-Таблица1[[#This Row],[Дата поступления]]</f>
        <v>0</v>
      </c>
      <c r="S1975" s="2">
        <f>Таблица1[[#This Row],[Дата поступления]]-Таблица1[[#This Row],[Дата рождения]]</f>
        <v>0</v>
      </c>
    </row>
    <row r="1976" spans="18:19" x14ac:dyDescent="0.25">
      <c r="R1976" s="2">
        <f>Таблица1[[#This Row],[Дата перевода]]-Таблица1[[#This Row],[Дата поступления]]</f>
        <v>0</v>
      </c>
      <c r="S1976" s="2">
        <f>Таблица1[[#This Row],[Дата поступления]]-Таблица1[[#This Row],[Дата рождения]]</f>
        <v>0</v>
      </c>
    </row>
    <row r="1977" spans="18:19" x14ac:dyDescent="0.25">
      <c r="R1977" s="2">
        <f>Таблица1[[#This Row],[Дата перевода]]-Таблица1[[#This Row],[Дата поступления]]</f>
        <v>0</v>
      </c>
      <c r="S1977" s="2">
        <f>Таблица1[[#This Row],[Дата поступления]]-Таблица1[[#This Row],[Дата рождения]]</f>
        <v>0</v>
      </c>
    </row>
    <row r="1978" spans="18:19" x14ac:dyDescent="0.25">
      <c r="R1978" s="2">
        <f>Таблица1[[#This Row],[Дата перевода]]-Таблица1[[#This Row],[Дата поступления]]</f>
        <v>0</v>
      </c>
      <c r="S1978" s="2">
        <f>Таблица1[[#This Row],[Дата поступления]]-Таблица1[[#This Row],[Дата рождения]]</f>
        <v>0</v>
      </c>
    </row>
    <row r="1979" spans="18:19" x14ac:dyDescent="0.25">
      <c r="R1979" s="2">
        <f>Таблица1[[#This Row],[Дата перевода]]-Таблица1[[#This Row],[Дата поступления]]</f>
        <v>0</v>
      </c>
      <c r="S1979" s="2">
        <f>Таблица1[[#This Row],[Дата поступления]]-Таблица1[[#This Row],[Дата рождения]]</f>
        <v>0</v>
      </c>
    </row>
    <row r="1980" spans="18:19" x14ac:dyDescent="0.25">
      <c r="R1980" s="2">
        <f>Таблица1[[#This Row],[Дата перевода]]-Таблица1[[#This Row],[Дата поступления]]</f>
        <v>0</v>
      </c>
      <c r="S1980" s="2">
        <f>Таблица1[[#This Row],[Дата поступления]]-Таблица1[[#This Row],[Дата рождения]]</f>
        <v>0</v>
      </c>
    </row>
    <row r="1981" spans="18:19" x14ac:dyDescent="0.25">
      <c r="R1981" s="2">
        <f>Таблица1[[#This Row],[Дата перевода]]-Таблица1[[#This Row],[Дата поступления]]</f>
        <v>0</v>
      </c>
      <c r="S1981" s="2">
        <f>Таблица1[[#This Row],[Дата поступления]]-Таблица1[[#This Row],[Дата рождения]]</f>
        <v>0</v>
      </c>
    </row>
    <row r="1982" spans="18:19" x14ac:dyDescent="0.25">
      <c r="R1982" s="2">
        <f>Таблица1[[#This Row],[Дата перевода]]-Таблица1[[#This Row],[Дата поступления]]</f>
        <v>0</v>
      </c>
      <c r="S1982" s="2">
        <f>Таблица1[[#This Row],[Дата поступления]]-Таблица1[[#This Row],[Дата рождения]]</f>
        <v>0</v>
      </c>
    </row>
    <row r="1983" spans="18:19" x14ac:dyDescent="0.25">
      <c r="R1983" s="2">
        <f>Таблица1[[#This Row],[Дата перевода]]-Таблица1[[#This Row],[Дата поступления]]</f>
        <v>0</v>
      </c>
      <c r="S1983" s="2">
        <f>Таблица1[[#This Row],[Дата поступления]]-Таблица1[[#This Row],[Дата рождения]]</f>
        <v>0</v>
      </c>
    </row>
    <row r="1984" spans="18:19" x14ac:dyDescent="0.25">
      <c r="R1984" s="2">
        <f>Таблица1[[#This Row],[Дата перевода]]-Таблица1[[#This Row],[Дата поступления]]</f>
        <v>0</v>
      </c>
      <c r="S1984" s="2">
        <f>Таблица1[[#This Row],[Дата поступления]]-Таблица1[[#This Row],[Дата рождения]]</f>
        <v>0</v>
      </c>
    </row>
    <row r="1985" spans="18:19" x14ac:dyDescent="0.25">
      <c r="R1985" s="2">
        <f>Таблица1[[#This Row],[Дата перевода]]-Таблица1[[#This Row],[Дата поступления]]</f>
        <v>0</v>
      </c>
      <c r="S1985" s="2">
        <f>Таблица1[[#This Row],[Дата поступления]]-Таблица1[[#This Row],[Дата рождения]]</f>
        <v>0</v>
      </c>
    </row>
    <row r="1986" spans="18:19" x14ac:dyDescent="0.25">
      <c r="R1986" s="2">
        <f>Таблица1[[#This Row],[Дата перевода]]-Таблица1[[#This Row],[Дата поступления]]</f>
        <v>0</v>
      </c>
      <c r="S1986" s="2">
        <f>Таблица1[[#This Row],[Дата поступления]]-Таблица1[[#This Row],[Дата рождения]]</f>
        <v>0</v>
      </c>
    </row>
    <row r="1987" spans="18:19" x14ac:dyDescent="0.25">
      <c r="R1987" s="2">
        <f>Таблица1[[#This Row],[Дата перевода]]-Таблица1[[#This Row],[Дата поступления]]</f>
        <v>0</v>
      </c>
      <c r="S1987" s="2">
        <f>Таблица1[[#This Row],[Дата поступления]]-Таблица1[[#This Row],[Дата рождения]]</f>
        <v>0</v>
      </c>
    </row>
    <row r="1988" spans="18:19" x14ac:dyDescent="0.25">
      <c r="R1988" s="2">
        <f>Таблица1[[#This Row],[Дата перевода]]-Таблица1[[#This Row],[Дата поступления]]</f>
        <v>0</v>
      </c>
      <c r="S1988" s="2">
        <f>Таблица1[[#This Row],[Дата поступления]]-Таблица1[[#This Row],[Дата рождения]]</f>
        <v>0</v>
      </c>
    </row>
    <row r="1989" spans="18:19" x14ac:dyDescent="0.25">
      <c r="R1989" s="2">
        <f>Таблица1[[#This Row],[Дата перевода]]-Таблица1[[#This Row],[Дата поступления]]</f>
        <v>0</v>
      </c>
      <c r="S1989" s="2">
        <f>Таблица1[[#This Row],[Дата поступления]]-Таблица1[[#This Row],[Дата рождения]]</f>
        <v>0</v>
      </c>
    </row>
    <row r="1990" spans="18:19" x14ac:dyDescent="0.25">
      <c r="R1990" s="2">
        <f>Таблица1[[#This Row],[Дата перевода]]-Таблица1[[#This Row],[Дата поступления]]</f>
        <v>0</v>
      </c>
      <c r="S1990" s="2">
        <f>Таблица1[[#This Row],[Дата поступления]]-Таблица1[[#This Row],[Дата рождения]]</f>
        <v>0</v>
      </c>
    </row>
    <row r="1991" spans="18:19" x14ac:dyDescent="0.25">
      <c r="R1991" s="2">
        <f>Таблица1[[#This Row],[Дата перевода]]-Таблица1[[#This Row],[Дата поступления]]</f>
        <v>0</v>
      </c>
      <c r="S1991" s="2">
        <f>Таблица1[[#This Row],[Дата поступления]]-Таблица1[[#This Row],[Дата рождения]]</f>
        <v>0</v>
      </c>
    </row>
    <row r="1992" spans="18:19" x14ac:dyDescent="0.25">
      <c r="R1992" s="2">
        <f>Таблица1[[#This Row],[Дата перевода]]-Таблица1[[#This Row],[Дата поступления]]</f>
        <v>0</v>
      </c>
      <c r="S1992" s="2">
        <f>Таблица1[[#This Row],[Дата поступления]]-Таблица1[[#This Row],[Дата рождения]]</f>
        <v>0</v>
      </c>
    </row>
    <row r="1993" spans="18:19" x14ac:dyDescent="0.25">
      <c r="R1993" s="2">
        <f>Таблица1[[#This Row],[Дата перевода]]-Таблица1[[#This Row],[Дата поступления]]</f>
        <v>0</v>
      </c>
      <c r="S1993" s="2">
        <f>Таблица1[[#This Row],[Дата поступления]]-Таблица1[[#This Row],[Дата рождения]]</f>
        <v>0</v>
      </c>
    </row>
    <row r="1994" spans="18:19" x14ac:dyDescent="0.25">
      <c r="R1994" s="2">
        <f>Таблица1[[#This Row],[Дата перевода]]-Таблица1[[#This Row],[Дата поступления]]</f>
        <v>0</v>
      </c>
      <c r="S1994" s="2">
        <f>Таблица1[[#This Row],[Дата поступления]]-Таблица1[[#This Row],[Дата рождения]]</f>
        <v>0</v>
      </c>
    </row>
    <row r="1995" spans="18:19" x14ac:dyDescent="0.25">
      <c r="R1995" s="2">
        <f>Таблица1[[#This Row],[Дата перевода]]-Таблица1[[#This Row],[Дата поступления]]</f>
        <v>0</v>
      </c>
      <c r="S1995" s="2">
        <f>Таблица1[[#This Row],[Дата поступления]]-Таблица1[[#This Row],[Дата рождения]]</f>
        <v>0</v>
      </c>
    </row>
    <row r="1996" spans="18:19" x14ac:dyDescent="0.25">
      <c r="R1996" s="2">
        <f>Таблица1[[#This Row],[Дата перевода]]-Таблица1[[#This Row],[Дата поступления]]</f>
        <v>0</v>
      </c>
      <c r="S1996" s="2">
        <f>Таблица1[[#This Row],[Дата поступления]]-Таблица1[[#This Row],[Дата рождения]]</f>
        <v>0</v>
      </c>
    </row>
    <row r="1997" spans="18:19" x14ac:dyDescent="0.25">
      <c r="R1997" s="2">
        <f>Таблица1[[#This Row],[Дата перевода]]-Таблица1[[#This Row],[Дата поступления]]</f>
        <v>0</v>
      </c>
      <c r="S1997" s="2">
        <f>Таблица1[[#This Row],[Дата поступления]]-Таблица1[[#This Row],[Дата рождения]]</f>
        <v>0</v>
      </c>
    </row>
    <row r="1998" spans="18:19" x14ac:dyDescent="0.25">
      <c r="R1998" s="2">
        <f>Таблица1[[#This Row],[Дата перевода]]-Таблица1[[#This Row],[Дата поступления]]</f>
        <v>0</v>
      </c>
      <c r="S1998" s="2">
        <f>Таблица1[[#This Row],[Дата поступления]]-Таблица1[[#This Row],[Дата рождения]]</f>
        <v>0</v>
      </c>
    </row>
    <row r="1999" spans="18:19" x14ac:dyDescent="0.25">
      <c r="R1999" s="2">
        <f>Таблица1[[#This Row],[Дата перевода]]-Таблица1[[#This Row],[Дата поступления]]</f>
        <v>0</v>
      </c>
      <c r="S1999" s="2">
        <f>Таблица1[[#This Row],[Дата поступления]]-Таблица1[[#This Row],[Дата рождения]]</f>
        <v>0</v>
      </c>
    </row>
    <row r="2000" spans="18:19" x14ac:dyDescent="0.25">
      <c r="R2000" s="2">
        <f>Таблица1[[#This Row],[Дата перевода]]-Таблица1[[#This Row],[Дата поступления]]</f>
        <v>0</v>
      </c>
      <c r="S2000" s="2">
        <f>Таблица1[[#This Row],[Дата поступления]]-Таблица1[[#This Row],[Дата рождения]]</f>
        <v>0</v>
      </c>
    </row>
    <row r="2001" spans="18:19" x14ac:dyDescent="0.25">
      <c r="R2001" s="2">
        <f>Таблица1[[#This Row],[Дата перевода]]-Таблица1[[#This Row],[Дата поступления]]</f>
        <v>0</v>
      </c>
      <c r="S2001" s="2">
        <f>Таблица1[[#This Row],[Дата поступления]]-Таблица1[[#This Row],[Дата рождения]]</f>
        <v>0</v>
      </c>
    </row>
    <row r="2002" spans="18:19" x14ac:dyDescent="0.25">
      <c r="R2002" s="2">
        <f>Таблица1[[#This Row],[Дата перевода]]-Таблица1[[#This Row],[Дата поступления]]</f>
        <v>0</v>
      </c>
      <c r="S2002" s="2">
        <f>Таблица1[[#This Row],[Дата поступления]]-Таблица1[[#This Row],[Дата рождения]]</f>
        <v>0</v>
      </c>
    </row>
    <row r="2003" spans="18:19" x14ac:dyDescent="0.25">
      <c r="R2003" s="2">
        <f>Таблица1[[#This Row],[Дата перевода]]-Таблица1[[#This Row],[Дата поступления]]</f>
        <v>0</v>
      </c>
      <c r="S2003" s="2">
        <f>Таблица1[[#This Row],[Дата поступления]]-Таблица1[[#This Row],[Дата рождения]]</f>
        <v>0</v>
      </c>
    </row>
    <row r="2004" spans="18:19" x14ac:dyDescent="0.25">
      <c r="R2004" s="2">
        <f>Таблица1[[#This Row],[Дата перевода]]-Таблица1[[#This Row],[Дата поступления]]</f>
        <v>0</v>
      </c>
      <c r="S2004" s="2">
        <f>Таблица1[[#This Row],[Дата поступления]]-Таблица1[[#This Row],[Дата рождения]]</f>
        <v>0</v>
      </c>
    </row>
    <row r="2005" spans="18:19" x14ac:dyDescent="0.25">
      <c r="R2005" s="2">
        <f>Таблица1[[#This Row],[Дата перевода]]-Таблица1[[#This Row],[Дата поступления]]</f>
        <v>0</v>
      </c>
      <c r="S2005" s="2">
        <f>Таблица1[[#This Row],[Дата поступления]]-Таблица1[[#This Row],[Дата рождения]]</f>
        <v>0</v>
      </c>
    </row>
    <row r="2006" spans="18:19" x14ac:dyDescent="0.25">
      <c r="R2006" s="2">
        <f>Таблица1[[#This Row],[Дата перевода]]-Таблица1[[#This Row],[Дата поступления]]</f>
        <v>0</v>
      </c>
      <c r="S2006" s="2">
        <f>Таблица1[[#This Row],[Дата поступления]]-Таблица1[[#This Row],[Дата рождения]]</f>
        <v>0</v>
      </c>
    </row>
    <row r="2007" spans="18:19" x14ac:dyDescent="0.25">
      <c r="R2007" s="2">
        <f>Таблица1[[#This Row],[Дата перевода]]-Таблица1[[#This Row],[Дата поступления]]</f>
        <v>0</v>
      </c>
      <c r="S2007" s="2">
        <f>Таблица1[[#This Row],[Дата поступления]]-Таблица1[[#This Row],[Дата рождения]]</f>
        <v>0</v>
      </c>
    </row>
    <row r="2008" spans="18:19" x14ac:dyDescent="0.25">
      <c r="R2008" s="2">
        <f>Таблица1[[#This Row],[Дата перевода]]-Таблица1[[#This Row],[Дата поступления]]</f>
        <v>0</v>
      </c>
      <c r="S2008" s="2">
        <f>Таблица1[[#This Row],[Дата поступления]]-Таблица1[[#This Row],[Дата рождения]]</f>
        <v>0</v>
      </c>
    </row>
    <row r="2009" spans="18:19" x14ac:dyDescent="0.25">
      <c r="R2009" s="2">
        <f>Таблица1[[#This Row],[Дата перевода]]-Таблица1[[#This Row],[Дата поступления]]</f>
        <v>0</v>
      </c>
      <c r="S2009" s="2">
        <f>Таблица1[[#This Row],[Дата поступления]]-Таблица1[[#This Row],[Дата рождения]]</f>
        <v>0</v>
      </c>
    </row>
    <row r="2010" spans="18:19" x14ac:dyDescent="0.25">
      <c r="R2010" s="2">
        <f>Таблица1[[#This Row],[Дата перевода]]-Таблица1[[#This Row],[Дата поступления]]</f>
        <v>0</v>
      </c>
      <c r="S2010" s="2">
        <f>Таблица1[[#This Row],[Дата поступления]]-Таблица1[[#This Row],[Дата рождения]]</f>
        <v>0</v>
      </c>
    </row>
    <row r="2011" spans="18:19" x14ac:dyDescent="0.25">
      <c r="R2011" s="2">
        <f>Таблица1[[#This Row],[Дата перевода]]-Таблица1[[#This Row],[Дата поступления]]</f>
        <v>0</v>
      </c>
      <c r="S2011" s="2">
        <f>Таблица1[[#This Row],[Дата поступления]]-Таблица1[[#This Row],[Дата рождения]]</f>
        <v>0</v>
      </c>
    </row>
    <row r="2012" spans="18:19" x14ac:dyDescent="0.25">
      <c r="R2012" s="2">
        <f>Таблица1[[#This Row],[Дата перевода]]-Таблица1[[#This Row],[Дата поступления]]</f>
        <v>0</v>
      </c>
      <c r="S2012" s="2">
        <f>Таблица1[[#This Row],[Дата поступления]]-Таблица1[[#This Row],[Дата рождения]]</f>
        <v>0</v>
      </c>
    </row>
    <row r="2013" spans="18:19" x14ac:dyDescent="0.25">
      <c r="R2013" s="2">
        <f>Таблица1[[#This Row],[Дата перевода]]-Таблица1[[#This Row],[Дата поступления]]</f>
        <v>0</v>
      </c>
      <c r="S2013" s="2">
        <f>Таблица1[[#This Row],[Дата поступления]]-Таблица1[[#This Row],[Дата рождения]]</f>
        <v>0</v>
      </c>
    </row>
    <row r="2014" spans="18:19" x14ac:dyDescent="0.25">
      <c r="R2014" s="2">
        <f>Таблица1[[#This Row],[Дата перевода]]-Таблица1[[#This Row],[Дата поступления]]</f>
        <v>0</v>
      </c>
      <c r="S2014" s="2">
        <f>Таблица1[[#This Row],[Дата поступления]]-Таблица1[[#This Row],[Дата рождения]]</f>
        <v>0</v>
      </c>
    </row>
    <row r="2015" spans="18:19" x14ac:dyDescent="0.25">
      <c r="R2015" s="2">
        <f>Таблица1[[#This Row],[Дата перевода]]-Таблица1[[#This Row],[Дата поступления]]</f>
        <v>0</v>
      </c>
      <c r="S2015" s="2">
        <f>Таблица1[[#This Row],[Дата поступления]]-Таблица1[[#This Row],[Дата рождения]]</f>
        <v>0</v>
      </c>
    </row>
    <row r="2016" spans="18:19" x14ac:dyDescent="0.25">
      <c r="R2016" s="2">
        <f>Таблица1[[#This Row],[Дата перевода]]-Таблица1[[#This Row],[Дата поступления]]</f>
        <v>0</v>
      </c>
      <c r="S2016" s="2">
        <f>Таблица1[[#This Row],[Дата поступления]]-Таблица1[[#This Row],[Дата рождения]]</f>
        <v>0</v>
      </c>
    </row>
    <row r="2017" spans="18:19" x14ac:dyDescent="0.25">
      <c r="R2017" s="2">
        <f>Таблица1[[#This Row],[Дата перевода]]-Таблица1[[#This Row],[Дата поступления]]</f>
        <v>0</v>
      </c>
      <c r="S2017" s="2">
        <f>Таблица1[[#This Row],[Дата поступления]]-Таблица1[[#This Row],[Дата рождения]]</f>
        <v>0</v>
      </c>
    </row>
    <row r="2018" spans="18:19" x14ac:dyDescent="0.25">
      <c r="R2018" s="2">
        <f>Таблица1[[#This Row],[Дата перевода]]-Таблица1[[#This Row],[Дата поступления]]</f>
        <v>0</v>
      </c>
      <c r="S2018" s="2">
        <f>Таблица1[[#This Row],[Дата поступления]]-Таблица1[[#This Row],[Дата рождения]]</f>
        <v>0</v>
      </c>
    </row>
    <row r="2019" spans="18:19" x14ac:dyDescent="0.25">
      <c r="R2019" s="2">
        <f>Таблица1[[#This Row],[Дата перевода]]-Таблица1[[#This Row],[Дата поступления]]</f>
        <v>0</v>
      </c>
      <c r="S2019" s="2">
        <f>Таблица1[[#This Row],[Дата поступления]]-Таблица1[[#This Row],[Дата рождения]]</f>
        <v>0</v>
      </c>
    </row>
    <row r="2020" spans="18:19" x14ac:dyDescent="0.25">
      <c r="R2020" s="2">
        <f>Таблица1[[#This Row],[Дата перевода]]-Таблица1[[#This Row],[Дата поступления]]</f>
        <v>0</v>
      </c>
      <c r="S2020" s="2">
        <f>Таблица1[[#This Row],[Дата поступления]]-Таблица1[[#This Row],[Дата рождения]]</f>
        <v>0</v>
      </c>
    </row>
    <row r="2021" spans="18:19" x14ac:dyDescent="0.25">
      <c r="R2021" s="2">
        <f>Таблица1[[#This Row],[Дата перевода]]-Таблица1[[#This Row],[Дата поступления]]</f>
        <v>0</v>
      </c>
      <c r="S2021" s="2">
        <f>Таблица1[[#This Row],[Дата поступления]]-Таблица1[[#This Row],[Дата рождения]]</f>
        <v>0</v>
      </c>
    </row>
    <row r="2022" spans="18:19" x14ac:dyDescent="0.25">
      <c r="R2022" s="2">
        <f>Таблица1[[#This Row],[Дата перевода]]-Таблица1[[#This Row],[Дата поступления]]</f>
        <v>0</v>
      </c>
      <c r="S2022" s="2">
        <f>Таблица1[[#This Row],[Дата поступления]]-Таблица1[[#This Row],[Дата рождения]]</f>
        <v>0</v>
      </c>
    </row>
    <row r="2023" spans="18:19" x14ac:dyDescent="0.25">
      <c r="R2023" s="2">
        <f>Таблица1[[#This Row],[Дата перевода]]-Таблица1[[#This Row],[Дата поступления]]</f>
        <v>0</v>
      </c>
      <c r="S2023" s="2">
        <f>Таблица1[[#This Row],[Дата поступления]]-Таблица1[[#This Row],[Дата рождения]]</f>
        <v>0</v>
      </c>
    </row>
    <row r="2024" spans="18:19" x14ac:dyDescent="0.25">
      <c r="R2024" s="2">
        <f>Таблица1[[#This Row],[Дата перевода]]-Таблица1[[#This Row],[Дата поступления]]</f>
        <v>0</v>
      </c>
      <c r="S2024" s="2">
        <f>Таблица1[[#This Row],[Дата поступления]]-Таблица1[[#This Row],[Дата рождения]]</f>
        <v>0</v>
      </c>
    </row>
    <row r="2025" spans="18:19" x14ac:dyDescent="0.25">
      <c r="R2025" s="2">
        <f>Таблица1[[#This Row],[Дата перевода]]-Таблица1[[#This Row],[Дата поступления]]</f>
        <v>0</v>
      </c>
      <c r="S2025" s="2">
        <f>Таблица1[[#This Row],[Дата поступления]]-Таблица1[[#This Row],[Дата рождения]]</f>
        <v>0</v>
      </c>
    </row>
    <row r="2026" spans="18:19" x14ac:dyDescent="0.25">
      <c r="R2026" s="2">
        <f>Таблица1[[#This Row],[Дата перевода]]-Таблица1[[#This Row],[Дата поступления]]</f>
        <v>0</v>
      </c>
      <c r="S2026" s="2">
        <f>Таблица1[[#This Row],[Дата поступления]]-Таблица1[[#This Row],[Дата рождения]]</f>
        <v>0</v>
      </c>
    </row>
    <row r="2027" spans="18:19" x14ac:dyDescent="0.25">
      <c r="R2027" s="2">
        <f>Таблица1[[#This Row],[Дата перевода]]-Таблица1[[#This Row],[Дата поступления]]</f>
        <v>0</v>
      </c>
      <c r="S2027" s="2">
        <f>Таблица1[[#This Row],[Дата поступления]]-Таблица1[[#This Row],[Дата рождения]]</f>
        <v>0</v>
      </c>
    </row>
    <row r="2028" spans="18:19" x14ac:dyDescent="0.25">
      <c r="R2028" s="2">
        <f>Таблица1[[#This Row],[Дата перевода]]-Таблица1[[#This Row],[Дата поступления]]</f>
        <v>0</v>
      </c>
      <c r="S2028" s="2">
        <f>Таблица1[[#This Row],[Дата поступления]]-Таблица1[[#This Row],[Дата рождения]]</f>
        <v>0</v>
      </c>
    </row>
    <row r="2029" spans="18:19" x14ac:dyDescent="0.25">
      <c r="R2029" s="2">
        <f>Таблица1[[#This Row],[Дата перевода]]-Таблица1[[#This Row],[Дата поступления]]</f>
        <v>0</v>
      </c>
      <c r="S2029" s="2">
        <f>Таблица1[[#This Row],[Дата поступления]]-Таблица1[[#This Row],[Дата рождения]]</f>
        <v>0</v>
      </c>
    </row>
    <row r="2030" spans="18:19" x14ac:dyDescent="0.25">
      <c r="R2030" s="2">
        <f>Таблица1[[#This Row],[Дата перевода]]-Таблица1[[#This Row],[Дата поступления]]</f>
        <v>0</v>
      </c>
      <c r="S2030" s="2">
        <f>Таблица1[[#This Row],[Дата поступления]]-Таблица1[[#This Row],[Дата рождения]]</f>
        <v>0</v>
      </c>
    </row>
    <row r="2031" spans="18:19" x14ac:dyDescent="0.25">
      <c r="R2031" s="2">
        <f>Таблица1[[#This Row],[Дата перевода]]-Таблица1[[#This Row],[Дата поступления]]</f>
        <v>0</v>
      </c>
      <c r="S2031" s="2">
        <f>Таблица1[[#This Row],[Дата поступления]]-Таблица1[[#This Row],[Дата рождения]]</f>
        <v>0</v>
      </c>
    </row>
    <row r="2032" spans="18:19" x14ac:dyDescent="0.25">
      <c r="R2032" s="2">
        <f>Таблица1[[#This Row],[Дата перевода]]-Таблица1[[#This Row],[Дата поступления]]</f>
        <v>0</v>
      </c>
      <c r="S2032" s="2">
        <f>Таблица1[[#This Row],[Дата поступления]]-Таблица1[[#This Row],[Дата рождения]]</f>
        <v>0</v>
      </c>
    </row>
    <row r="2033" spans="18:19" x14ac:dyDescent="0.25">
      <c r="R2033" s="2">
        <f>Таблица1[[#This Row],[Дата перевода]]-Таблица1[[#This Row],[Дата поступления]]</f>
        <v>0</v>
      </c>
      <c r="S2033" s="2">
        <f>Таблица1[[#This Row],[Дата поступления]]-Таблица1[[#This Row],[Дата рождения]]</f>
        <v>0</v>
      </c>
    </row>
    <row r="2034" spans="18:19" x14ac:dyDescent="0.25">
      <c r="R2034" s="2">
        <f>Таблица1[[#This Row],[Дата перевода]]-Таблица1[[#This Row],[Дата поступления]]</f>
        <v>0</v>
      </c>
      <c r="S2034" s="2">
        <f>Таблица1[[#This Row],[Дата поступления]]-Таблица1[[#This Row],[Дата рождения]]</f>
        <v>0</v>
      </c>
    </row>
    <row r="2035" spans="18:19" x14ac:dyDescent="0.25">
      <c r="R2035" s="2">
        <f>Таблица1[[#This Row],[Дата перевода]]-Таблица1[[#This Row],[Дата поступления]]</f>
        <v>0</v>
      </c>
      <c r="S2035" s="2">
        <f>Таблица1[[#This Row],[Дата поступления]]-Таблица1[[#This Row],[Дата рождения]]</f>
        <v>0</v>
      </c>
    </row>
    <row r="2036" spans="18:19" x14ac:dyDescent="0.25">
      <c r="R2036" s="2">
        <f>Таблица1[[#This Row],[Дата перевода]]-Таблица1[[#This Row],[Дата поступления]]</f>
        <v>0</v>
      </c>
      <c r="S2036" s="2">
        <f>Таблица1[[#This Row],[Дата поступления]]-Таблица1[[#This Row],[Дата рождения]]</f>
        <v>0</v>
      </c>
    </row>
    <row r="2037" spans="18:19" x14ac:dyDescent="0.25">
      <c r="R2037" s="2">
        <f>Таблица1[[#This Row],[Дата перевода]]-Таблица1[[#This Row],[Дата поступления]]</f>
        <v>0</v>
      </c>
      <c r="S2037" s="2">
        <f>Таблица1[[#This Row],[Дата поступления]]-Таблица1[[#This Row],[Дата рождения]]</f>
        <v>0</v>
      </c>
    </row>
    <row r="2038" spans="18:19" x14ac:dyDescent="0.25">
      <c r="R2038" s="2">
        <f>Таблица1[[#This Row],[Дата перевода]]-Таблица1[[#This Row],[Дата поступления]]</f>
        <v>0</v>
      </c>
      <c r="S2038" s="2">
        <f>Таблица1[[#This Row],[Дата поступления]]-Таблица1[[#This Row],[Дата рождения]]</f>
        <v>0</v>
      </c>
    </row>
    <row r="2039" spans="18:19" x14ac:dyDescent="0.25">
      <c r="R2039" s="2">
        <f>Таблица1[[#This Row],[Дата перевода]]-Таблица1[[#This Row],[Дата поступления]]</f>
        <v>0</v>
      </c>
      <c r="S2039" s="2">
        <f>Таблица1[[#This Row],[Дата поступления]]-Таблица1[[#This Row],[Дата рождения]]</f>
        <v>0</v>
      </c>
    </row>
    <row r="2040" spans="18:19" x14ac:dyDescent="0.25">
      <c r="R2040" s="2">
        <f>Таблица1[[#This Row],[Дата перевода]]-Таблица1[[#This Row],[Дата поступления]]</f>
        <v>0</v>
      </c>
      <c r="S2040" s="2">
        <f>Таблица1[[#This Row],[Дата поступления]]-Таблица1[[#This Row],[Дата рождения]]</f>
        <v>0</v>
      </c>
    </row>
    <row r="2041" spans="18:19" x14ac:dyDescent="0.25">
      <c r="R2041" s="2">
        <f>Таблица1[[#This Row],[Дата перевода]]-Таблица1[[#This Row],[Дата поступления]]</f>
        <v>0</v>
      </c>
      <c r="S2041" s="2">
        <f>Таблица1[[#This Row],[Дата поступления]]-Таблица1[[#This Row],[Дата рождения]]</f>
        <v>0</v>
      </c>
    </row>
    <row r="2042" spans="18:19" x14ac:dyDescent="0.25">
      <c r="R2042" s="2">
        <f>Таблица1[[#This Row],[Дата перевода]]-Таблица1[[#This Row],[Дата поступления]]</f>
        <v>0</v>
      </c>
      <c r="S2042" s="2">
        <f>Таблица1[[#This Row],[Дата поступления]]-Таблица1[[#This Row],[Дата рождения]]</f>
        <v>0</v>
      </c>
    </row>
    <row r="2043" spans="18:19" x14ac:dyDescent="0.25">
      <c r="R2043" s="2">
        <f>Таблица1[[#This Row],[Дата перевода]]-Таблица1[[#This Row],[Дата поступления]]</f>
        <v>0</v>
      </c>
      <c r="S2043" s="2">
        <f>Таблица1[[#This Row],[Дата поступления]]-Таблица1[[#This Row],[Дата рождения]]</f>
        <v>0</v>
      </c>
    </row>
    <row r="2044" spans="18:19" x14ac:dyDescent="0.25">
      <c r="R2044" s="2">
        <f>Таблица1[[#This Row],[Дата перевода]]-Таблица1[[#This Row],[Дата поступления]]</f>
        <v>0</v>
      </c>
      <c r="S2044" s="2">
        <f>Таблица1[[#This Row],[Дата поступления]]-Таблица1[[#This Row],[Дата рождения]]</f>
        <v>0</v>
      </c>
    </row>
    <row r="2045" spans="18:19" x14ac:dyDescent="0.25">
      <c r="R2045" s="2">
        <f>Таблица1[[#This Row],[Дата перевода]]-Таблица1[[#This Row],[Дата поступления]]</f>
        <v>0</v>
      </c>
      <c r="S2045" s="2">
        <f>Таблица1[[#This Row],[Дата поступления]]-Таблица1[[#This Row],[Дата рождения]]</f>
        <v>0</v>
      </c>
    </row>
    <row r="2046" spans="18:19" x14ac:dyDescent="0.25">
      <c r="R2046" s="2">
        <f>Таблица1[[#This Row],[Дата перевода]]-Таблица1[[#This Row],[Дата поступления]]</f>
        <v>0</v>
      </c>
      <c r="S2046" s="2">
        <f>Таблица1[[#This Row],[Дата поступления]]-Таблица1[[#This Row],[Дата рождения]]</f>
        <v>0</v>
      </c>
    </row>
    <row r="2047" spans="18:19" x14ac:dyDescent="0.25">
      <c r="R2047" s="2">
        <f>Таблица1[[#This Row],[Дата перевода]]-Таблица1[[#This Row],[Дата поступления]]</f>
        <v>0</v>
      </c>
      <c r="S2047" s="2">
        <f>Таблица1[[#This Row],[Дата поступления]]-Таблица1[[#This Row],[Дата рождения]]</f>
        <v>0</v>
      </c>
    </row>
    <row r="2048" spans="18:19" x14ac:dyDescent="0.25">
      <c r="R2048" s="2">
        <f>Таблица1[[#This Row],[Дата перевода]]-Таблица1[[#This Row],[Дата поступления]]</f>
        <v>0</v>
      </c>
      <c r="S2048" s="2">
        <f>Таблица1[[#This Row],[Дата поступления]]-Таблица1[[#This Row],[Дата рождения]]</f>
        <v>0</v>
      </c>
    </row>
    <row r="2049" spans="18:19" x14ac:dyDescent="0.25">
      <c r="R2049" s="2">
        <f>Таблица1[[#This Row],[Дата перевода]]-Таблица1[[#This Row],[Дата поступления]]</f>
        <v>0</v>
      </c>
      <c r="S2049" s="2">
        <f>Таблица1[[#This Row],[Дата поступления]]-Таблица1[[#This Row],[Дата рождения]]</f>
        <v>0</v>
      </c>
    </row>
    <row r="2050" spans="18:19" x14ac:dyDescent="0.25">
      <c r="R2050" s="2">
        <f>Таблица1[[#This Row],[Дата перевода]]-Таблица1[[#This Row],[Дата поступления]]</f>
        <v>0</v>
      </c>
      <c r="S2050" s="2">
        <f>Таблица1[[#This Row],[Дата поступления]]-Таблица1[[#This Row],[Дата рождения]]</f>
        <v>0</v>
      </c>
    </row>
    <row r="2051" spans="18:19" x14ac:dyDescent="0.25">
      <c r="R2051" s="2">
        <f>Таблица1[[#This Row],[Дата перевода]]-Таблица1[[#This Row],[Дата поступления]]</f>
        <v>0</v>
      </c>
      <c r="S2051" s="2">
        <f>Таблица1[[#This Row],[Дата поступления]]-Таблица1[[#This Row],[Дата рождения]]</f>
        <v>0</v>
      </c>
    </row>
    <row r="2052" spans="18:19" x14ac:dyDescent="0.25">
      <c r="R2052" s="2">
        <f>Таблица1[[#This Row],[Дата перевода]]-Таблица1[[#This Row],[Дата поступления]]</f>
        <v>0</v>
      </c>
      <c r="S2052" s="2">
        <f>Таблица1[[#This Row],[Дата поступления]]-Таблица1[[#This Row],[Дата рождения]]</f>
        <v>0</v>
      </c>
    </row>
    <row r="2053" spans="18:19" x14ac:dyDescent="0.25">
      <c r="R2053" s="2">
        <f>Таблица1[[#This Row],[Дата перевода]]-Таблица1[[#This Row],[Дата поступления]]</f>
        <v>0</v>
      </c>
      <c r="S2053" s="2">
        <f>Таблица1[[#This Row],[Дата поступления]]-Таблица1[[#This Row],[Дата рождения]]</f>
        <v>0</v>
      </c>
    </row>
    <row r="2054" spans="18:19" x14ac:dyDescent="0.25">
      <c r="R2054" s="2">
        <f>Таблица1[[#This Row],[Дата перевода]]-Таблица1[[#This Row],[Дата поступления]]</f>
        <v>0</v>
      </c>
      <c r="S2054" s="2">
        <f>Таблица1[[#This Row],[Дата поступления]]-Таблица1[[#This Row],[Дата рождения]]</f>
        <v>0</v>
      </c>
    </row>
    <row r="2055" spans="18:19" x14ac:dyDescent="0.25">
      <c r="R2055" s="2">
        <f>Таблица1[[#This Row],[Дата перевода]]-Таблица1[[#This Row],[Дата поступления]]</f>
        <v>0</v>
      </c>
      <c r="S2055" s="2">
        <f>Таблица1[[#This Row],[Дата поступления]]-Таблица1[[#This Row],[Дата рождения]]</f>
        <v>0</v>
      </c>
    </row>
    <row r="2056" spans="18:19" x14ac:dyDescent="0.25">
      <c r="R2056" s="2">
        <f>Таблица1[[#This Row],[Дата перевода]]-Таблица1[[#This Row],[Дата поступления]]</f>
        <v>0</v>
      </c>
      <c r="S2056" s="2">
        <f>Таблица1[[#This Row],[Дата поступления]]-Таблица1[[#This Row],[Дата рождения]]</f>
        <v>0</v>
      </c>
    </row>
    <row r="2057" spans="18:19" x14ac:dyDescent="0.25">
      <c r="R2057" s="2">
        <f>Таблица1[[#This Row],[Дата перевода]]-Таблица1[[#This Row],[Дата поступления]]</f>
        <v>0</v>
      </c>
      <c r="S2057" s="2">
        <f>Таблица1[[#This Row],[Дата поступления]]-Таблица1[[#This Row],[Дата рождения]]</f>
        <v>0</v>
      </c>
    </row>
    <row r="2058" spans="18:19" x14ac:dyDescent="0.25">
      <c r="R2058" s="2">
        <f>Таблица1[[#This Row],[Дата перевода]]-Таблица1[[#This Row],[Дата поступления]]</f>
        <v>0</v>
      </c>
      <c r="S2058" s="2">
        <f>Таблица1[[#This Row],[Дата поступления]]-Таблица1[[#This Row],[Дата рождения]]</f>
        <v>0</v>
      </c>
    </row>
    <row r="2059" spans="18:19" x14ac:dyDescent="0.25">
      <c r="R2059" s="2">
        <f>Таблица1[[#This Row],[Дата перевода]]-Таблица1[[#This Row],[Дата поступления]]</f>
        <v>0</v>
      </c>
      <c r="S2059" s="2">
        <f>Таблица1[[#This Row],[Дата поступления]]-Таблица1[[#This Row],[Дата рождения]]</f>
        <v>0</v>
      </c>
    </row>
    <row r="2060" spans="18:19" x14ac:dyDescent="0.25">
      <c r="R2060" s="2">
        <f>Таблица1[[#This Row],[Дата перевода]]-Таблица1[[#This Row],[Дата поступления]]</f>
        <v>0</v>
      </c>
      <c r="S2060" s="2">
        <f>Таблица1[[#This Row],[Дата поступления]]-Таблица1[[#This Row],[Дата рождения]]</f>
        <v>0</v>
      </c>
    </row>
    <row r="2061" spans="18:19" x14ac:dyDescent="0.25">
      <c r="R2061" s="2">
        <f>Таблица1[[#This Row],[Дата перевода]]-Таблица1[[#This Row],[Дата поступления]]</f>
        <v>0</v>
      </c>
      <c r="S2061" s="2">
        <f>Таблица1[[#This Row],[Дата поступления]]-Таблица1[[#This Row],[Дата рождения]]</f>
        <v>0</v>
      </c>
    </row>
    <row r="2062" spans="18:19" x14ac:dyDescent="0.25">
      <c r="R2062" s="2">
        <f>Таблица1[[#This Row],[Дата перевода]]-Таблица1[[#This Row],[Дата поступления]]</f>
        <v>0</v>
      </c>
      <c r="S2062" s="2">
        <f>Таблица1[[#This Row],[Дата поступления]]-Таблица1[[#This Row],[Дата рождения]]</f>
        <v>0</v>
      </c>
    </row>
    <row r="2063" spans="18:19" x14ac:dyDescent="0.25">
      <c r="R2063" s="2">
        <f>Таблица1[[#This Row],[Дата перевода]]-Таблица1[[#This Row],[Дата поступления]]</f>
        <v>0</v>
      </c>
      <c r="S2063" s="2">
        <f>Таблица1[[#This Row],[Дата поступления]]-Таблица1[[#This Row],[Дата рождения]]</f>
        <v>0</v>
      </c>
    </row>
    <row r="2064" spans="18:19" x14ac:dyDescent="0.25">
      <c r="R2064" s="2">
        <f>Таблица1[[#This Row],[Дата перевода]]-Таблица1[[#This Row],[Дата поступления]]</f>
        <v>0</v>
      </c>
      <c r="S2064" s="2">
        <f>Таблица1[[#This Row],[Дата поступления]]-Таблица1[[#This Row],[Дата рождения]]</f>
        <v>0</v>
      </c>
    </row>
    <row r="2065" spans="18:19" x14ac:dyDescent="0.25">
      <c r="R2065" s="2">
        <f>Таблица1[[#This Row],[Дата перевода]]-Таблица1[[#This Row],[Дата поступления]]</f>
        <v>0</v>
      </c>
      <c r="S2065" s="2">
        <f>Таблица1[[#This Row],[Дата поступления]]-Таблица1[[#This Row],[Дата рождения]]</f>
        <v>0</v>
      </c>
    </row>
    <row r="2066" spans="18:19" x14ac:dyDescent="0.25">
      <c r="R2066" s="2">
        <f>Таблица1[[#This Row],[Дата перевода]]-Таблица1[[#This Row],[Дата поступления]]</f>
        <v>0</v>
      </c>
      <c r="S2066" s="2">
        <f>Таблица1[[#This Row],[Дата поступления]]-Таблица1[[#This Row],[Дата рождения]]</f>
        <v>0</v>
      </c>
    </row>
    <row r="2067" spans="18:19" x14ac:dyDescent="0.25">
      <c r="R2067" s="2">
        <f>Таблица1[[#This Row],[Дата перевода]]-Таблица1[[#This Row],[Дата поступления]]</f>
        <v>0</v>
      </c>
      <c r="S2067" s="2">
        <f>Таблица1[[#This Row],[Дата поступления]]-Таблица1[[#This Row],[Дата рождения]]</f>
        <v>0</v>
      </c>
    </row>
    <row r="2068" spans="18:19" x14ac:dyDescent="0.25">
      <c r="R2068" s="2">
        <f>Таблица1[[#This Row],[Дата перевода]]-Таблица1[[#This Row],[Дата поступления]]</f>
        <v>0</v>
      </c>
      <c r="S2068" s="2">
        <f>Таблица1[[#This Row],[Дата поступления]]-Таблица1[[#This Row],[Дата рождения]]</f>
        <v>0</v>
      </c>
    </row>
    <row r="2069" spans="18:19" x14ac:dyDescent="0.25">
      <c r="R2069" s="2">
        <f>Таблица1[[#This Row],[Дата перевода]]-Таблица1[[#This Row],[Дата поступления]]</f>
        <v>0</v>
      </c>
      <c r="S2069" s="2">
        <f>Таблица1[[#This Row],[Дата поступления]]-Таблица1[[#This Row],[Дата рождения]]</f>
        <v>0</v>
      </c>
    </row>
    <row r="2070" spans="18:19" x14ac:dyDescent="0.25">
      <c r="R2070" s="2">
        <f>Таблица1[[#This Row],[Дата перевода]]-Таблица1[[#This Row],[Дата поступления]]</f>
        <v>0</v>
      </c>
      <c r="S2070" s="2">
        <f>Таблица1[[#This Row],[Дата поступления]]-Таблица1[[#This Row],[Дата рождения]]</f>
        <v>0</v>
      </c>
    </row>
    <row r="2071" spans="18:19" x14ac:dyDescent="0.25">
      <c r="R2071" s="2">
        <f>Таблица1[[#This Row],[Дата перевода]]-Таблица1[[#This Row],[Дата поступления]]</f>
        <v>0</v>
      </c>
      <c r="S2071" s="2">
        <f>Таблица1[[#This Row],[Дата поступления]]-Таблица1[[#This Row],[Дата рождения]]</f>
        <v>0</v>
      </c>
    </row>
    <row r="2072" spans="18:19" x14ac:dyDescent="0.25">
      <c r="R2072" s="2">
        <f>Таблица1[[#This Row],[Дата перевода]]-Таблица1[[#This Row],[Дата поступления]]</f>
        <v>0</v>
      </c>
      <c r="S2072" s="2">
        <f>Таблица1[[#This Row],[Дата поступления]]-Таблица1[[#This Row],[Дата рождения]]</f>
        <v>0</v>
      </c>
    </row>
    <row r="2073" spans="18:19" x14ac:dyDescent="0.25">
      <c r="R2073" s="2">
        <f>Таблица1[[#This Row],[Дата перевода]]-Таблица1[[#This Row],[Дата поступления]]</f>
        <v>0</v>
      </c>
      <c r="S2073" s="2">
        <f>Таблица1[[#This Row],[Дата поступления]]-Таблица1[[#This Row],[Дата рождения]]</f>
        <v>0</v>
      </c>
    </row>
    <row r="2074" spans="18:19" x14ac:dyDescent="0.25">
      <c r="R2074" s="2">
        <f>Таблица1[[#This Row],[Дата перевода]]-Таблица1[[#This Row],[Дата поступления]]</f>
        <v>0</v>
      </c>
      <c r="S2074" s="2">
        <f>Таблица1[[#This Row],[Дата поступления]]-Таблица1[[#This Row],[Дата рождения]]</f>
        <v>0</v>
      </c>
    </row>
    <row r="2075" spans="18:19" x14ac:dyDescent="0.25">
      <c r="R2075" s="2">
        <f>Таблица1[[#This Row],[Дата перевода]]-Таблица1[[#This Row],[Дата поступления]]</f>
        <v>0</v>
      </c>
      <c r="S2075" s="2">
        <f>Таблица1[[#This Row],[Дата поступления]]-Таблица1[[#This Row],[Дата рождения]]</f>
        <v>0</v>
      </c>
    </row>
    <row r="2076" spans="18:19" x14ac:dyDescent="0.25">
      <c r="R2076" s="2">
        <f>Таблица1[[#This Row],[Дата перевода]]-Таблица1[[#This Row],[Дата поступления]]</f>
        <v>0</v>
      </c>
      <c r="S2076" s="2">
        <f>Таблица1[[#This Row],[Дата поступления]]-Таблица1[[#This Row],[Дата рождения]]</f>
        <v>0</v>
      </c>
    </row>
    <row r="2077" spans="18:19" x14ac:dyDescent="0.25">
      <c r="R2077" s="2">
        <f>Таблица1[[#This Row],[Дата перевода]]-Таблица1[[#This Row],[Дата поступления]]</f>
        <v>0</v>
      </c>
      <c r="S2077" s="2">
        <f>Таблица1[[#This Row],[Дата поступления]]-Таблица1[[#This Row],[Дата рождения]]</f>
        <v>0</v>
      </c>
    </row>
    <row r="2078" spans="18:19" x14ac:dyDescent="0.25">
      <c r="R2078" s="2">
        <f>Таблица1[[#This Row],[Дата перевода]]-Таблица1[[#This Row],[Дата поступления]]</f>
        <v>0</v>
      </c>
      <c r="S2078" s="2">
        <f>Таблица1[[#This Row],[Дата поступления]]-Таблица1[[#This Row],[Дата рождения]]</f>
        <v>0</v>
      </c>
    </row>
    <row r="2079" spans="18:19" x14ac:dyDescent="0.25">
      <c r="R2079" s="2">
        <f>Таблица1[[#This Row],[Дата перевода]]-Таблица1[[#This Row],[Дата поступления]]</f>
        <v>0</v>
      </c>
      <c r="S2079" s="2">
        <f>Таблица1[[#This Row],[Дата поступления]]-Таблица1[[#This Row],[Дата рождения]]</f>
        <v>0</v>
      </c>
    </row>
    <row r="2080" spans="18:19" x14ac:dyDescent="0.25">
      <c r="R2080" s="2">
        <f>Таблица1[[#This Row],[Дата перевода]]-Таблица1[[#This Row],[Дата поступления]]</f>
        <v>0</v>
      </c>
      <c r="S2080" s="2">
        <f>Таблица1[[#This Row],[Дата поступления]]-Таблица1[[#This Row],[Дата рождения]]</f>
        <v>0</v>
      </c>
    </row>
    <row r="2081" spans="18:19" x14ac:dyDescent="0.25">
      <c r="R2081" s="2">
        <f>Таблица1[[#This Row],[Дата перевода]]-Таблица1[[#This Row],[Дата поступления]]</f>
        <v>0</v>
      </c>
      <c r="S2081" s="2">
        <f>Таблица1[[#This Row],[Дата поступления]]-Таблица1[[#This Row],[Дата рождения]]</f>
        <v>0</v>
      </c>
    </row>
    <row r="2082" spans="18:19" x14ac:dyDescent="0.25">
      <c r="R2082" s="2">
        <f>Таблица1[[#This Row],[Дата перевода]]-Таблица1[[#This Row],[Дата поступления]]</f>
        <v>0</v>
      </c>
      <c r="S2082" s="2">
        <f>Таблица1[[#This Row],[Дата поступления]]-Таблица1[[#This Row],[Дата рождения]]</f>
        <v>0</v>
      </c>
    </row>
    <row r="2083" spans="18:19" x14ac:dyDescent="0.25">
      <c r="R2083" s="2">
        <f>Таблица1[[#This Row],[Дата перевода]]-Таблица1[[#This Row],[Дата поступления]]</f>
        <v>0</v>
      </c>
      <c r="S2083" s="2">
        <f>Таблица1[[#This Row],[Дата поступления]]-Таблица1[[#This Row],[Дата рождения]]</f>
        <v>0</v>
      </c>
    </row>
    <row r="2084" spans="18:19" x14ac:dyDescent="0.25">
      <c r="R2084" s="2">
        <f>Таблица1[[#This Row],[Дата перевода]]-Таблица1[[#This Row],[Дата поступления]]</f>
        <v>0</v>
      </c>
      <c r="S2084" s="2">
        <f>Таблица1[[#This Row],[Дата поступления]]-Таблица1[[#This Row],[Дата рождения]]</f>
        <v>0</v>
      </c>
    </row>
    <row r="2085" spans="18:19" x14ac:dyDescent="0.25">
      <c r="R2085" s="2">
        <f>Таблица1[[#This Row],[Дата перевода]]-Таблица1[[#This Row],[Дата поступления]]</f>
        <v>0</v>
      </c>
      <c r="S2085" s="2">
        <f>Таблица1[[#This Row],[Дата поступления]]-Таблица1[[#This Row],[Дата рождения]]</f>
        <v>0</v>
      </c>
    </row>
    <row r="2086" spans="18:19" x14ac:dyDescent="0.25">
      <c r="R2086" s="2">
        <f>Таблица1[[#This Row],[Дата перевода]]-Таблица1[[#This Row],[Дата поступления]]</f>
        <v>0</v>
      </c>
      <c r="S2086" s="2">
        <f>Таблица1[[#This Row],[Дата поступления]]-Таблица1[[#This Row],[Дата рождения]]</f>
        <v>0</v>
      </c>
    </row>
    <row r="2087" spans="18:19" x14ac:dyDescent="0.25">
      <c r="R2087" s="2">
        <f>Таблица1[[#This Row],[Дата перевода]]-Таблица1[[#This Row],[Дата поступления]]</f>
        <v>0</v>
      </c>
      <c r="S2087" s="2">
        <f>Таблица1[[#This Row],[Дата поступления]]-Таблица1[[#This Row],[Дата рождения]]</f>
        <v>0</v>
      </c>
    </row>
    <row r="2088" spans="18:19" x14ac:dyDescent="0.25">
      <c r="R2088" s="2">
        <f>Таблица1[[#This Row],[Дата перевода]]-Таблица1[[#This Row],[Дата поступления]]</f>
        <v>0</v>
      </c>
      <c r="S2088" s="2">
        <f>Таблица1[[#This Row],[Дата поступления]]-Таблица1[[#This Row],[Дата рождения]]</f>
        <v>0</v>
      </c>
    </row>
    <row r="2089" spans="18:19" x14ac:dyDescent="0.25">
      <c r="R2089" s="2">
        <f>Таблица1[[#This Row],[Дата перевода]]-Таблица1[[#This Row],[Дата поступления]]</f>
        <v>0</v>
      </c>
      <c r="S2089" s="2">
        <f>Таблица1[[#This Row],[Дата поступления]]-Таблица1[[#This Row],[Дата рождения]]</f>
        <v>0</v>
      </c>
    </row>
    <row r="2090" spans="18:19" x14ac:dyDescent="0.25">
      <c r="R2090" s="2">
        <f>Таблица1[[#This Row],[Дата перевода]]-Таблица1[[#This Row],[Дата поступления]]</f>
        <v>0</v>
      </c>
      <c r="S2090" s="2">
        <f>Таблица1[[#This Row],[Дата поступления]]-Таблица1[[#This Row],[Дата рождения]]</f>
        <v>0</v>
      </c>
    </row>
    <row r="2091" spans="18:19" x14ac:dyDescent="0.25">
      <c r="R2091" s="2">
        <f>Таблица1[[#This Row],[Дата перевода]]-Таблица1[[#This Row],[Дата поступления]]</f>
        <v>0</v>
      </c>
      <c r="S2091" s="2">
        <f>Таблица1[[#This Row],[Дата поступления]]-Таблица1[[#This Row],[Дата рождения]]</f>
        <v>0</v>
      </c>
    </row>
    <row r="2092" spans="18:19" x14ac:dyDescent="0.25">
      <c r="R2092" s="2">
        <f>Таблица1[[#This Row],[Дата перевода]]-Таблица1[[#This Row],[Дата поступления]]</f>
        <v>0</v>
      </c>
      <c r="S2092" s="2">
        <f>Таблица1[[#This Row],[Дата поступления]]-Таблица1[[#This Row],[Дата рождения]]</f>
        <v>0</v>
      </c>
    </row>
    <row r="2093" spans="18:19" x14ac:dyDescent="0.25">
      <c r="R2093" s="2">
        <f>Таблица1[[#This Row],[Дата перевода]]-Таблица1[[#This Row],[Дата поступления]]</f>
        <v>0</v>
      </c>
      <c r="S2093" s="2">
        <f>Таблица1[[#This Row],[Дата поступления]]-Таблица1[[#This Row],[Дата рождения]]</f>
        <v>0</v>
      </c>
    </row>
    <row r="2094" spans="18:19" x14ac:dyDescent="0.25">
      <c r="R2094" s="2">
        <f>Таблица1[[#This Row],[Дата перевода]]-Таблица1[[#This Row],[Дата поступления]]</f>
        <v>0</v>
      </c>
      <c r="S2094" s="2">
        <f>Таблица1[[#This Row],[Дата поступления]]-Таблица1[[#This Row],[Дата рождения]]</f>
        <v>0</v>
      </c>
    </row>
    <row r="2095" spans="18:19" x14ac:dyDescent="0.25">
      <c r="R2095" s="2">
        <f>Таблица1[[#This Row],[Дата перевода]]-Таблица1[[#This Row],[Дата поступления]]</f>
        <v>0</v>
      </c>
      <c r="S2095" s="2">
        <f>Таблица1[[#This Row],[Дата поступления]]-Таблица1[[#This Row],[Дата рождения]]</f>
        <v>0</v>
      </c>
    </row>
    <row r="2096" spans="18:19" x14ac:dyDescent="0.25">
      <c r="R2096" s="2">
        <f>Таблица1[[#This Row],[Дата перевода]]-Таблица1[[#This Row],[Дата поступления]]</f>
        <v>0</v>
      </c>
      <c r="S2096" s="2">
        <f>Таблица1[[#This Row],[Дата поступления]]-Таблица1[[#This Row],[Дата рождения]]</f>
        <v>0</v>
      </c>
    </row>
    <row r="2097" spans="18:19" x14ac:dyDescent="0.25">
      <c r="R2097" s="2">
        <f>Таблица1[[#This Row],[Дата перевода]]-Таблица1[[#This Row],[Дата поступления]]</f>
        <v>0</v>
      </c>
      <c r="S2097" s="2">
        <f>Таблица1[[#This Row],[Дата поступления]]-Таблица1[[#This Row],[Дата рождения]]</f>
        <v>0</v>
      </c>
    </row>
    <row r="2098" spans="18:19" x14ac:dyDescent="0.25">
      <c r="R2098" s="2">
        <f>Таблица1[[#This Row],[Дата перевода]]-Таблица1[[#This Row],[Дата поступления]]</f>
        <v>0</v>
      </c>
      <c r="S2098" s="2">
        <f>Таблица1[[#This Row],[Дата поступления]]-Таблица1[[#This Row],[Дата рождения]]</f>
        <v>0</v>
      </c>
    </row>
    <row r="2099" spans="18:19" x14ac:dyDescent="0.25">
      <c r="R2099" s="2">
        <f>Таблица1[[#This Row],[Дата перевода]]-Таблица1[[#This Row],[Дата поступления]]</f>
        <v>0</v>
      </c>
      <c r="S2099" s="2">
        <f>Таблица1[[#This Row],[Дата поступления]]-Таблица1[[#This Row],[Дата рождения]]</f>
        <v>0</v>
      </c>
    </row>
    <row r="2100" spans="18:19" x14ac:dyDescent="0.25">
      <c r="R2100" s="2">
        <f>Таблица1[[#This Row],[Дата перевода]]-Таблица1[[#This Row],[Дата поступления]]</f>
        <v>0</v>
      </c>
      <c r="S2100" s="2">
        <f>Таблица1[[#This Row],[Дата поступления]]-Таблица1[[#This Row],[Дата рождения]]</f>
        <v>0</v>
      </c>
    </row>
    <row r="2101" spans="18:19" x14ac:dyDescent="0.25">
      <c r="R2101" s="2">
        <f>Таблица1[[#This Row],[Дата перевода]]-Таблица1[[#This Row],[Дата поступления]]</f>
        <v>0</v>
      </c>
      <c r="S2101" s="2">
        <f>Таблица1[[#This Row],[Дата поступления]]-Таблица1[[#This Row],[Дата рождения]]</f>
        <v>0</v>
      </c>
    </row>
    <row r="2102" spans="18:19" x14ac:dyDescent="0.25">
      <c r="R2102" s="2">
        <f>Таблица1[[#This Row],[Дата перевода]]-Таблица1[[#This Row],[Дата поступления]]</f>
        <v>0</v>
      </c>
      <c r="S2102" s="2">
        <f>Таблица1[[#This Row],[Дата поступления]]-Таблица1[[#This Row],[Дата рождения]]</f>
        <v>0</v>
      </c>
    </row>
    <row r="2103" spans="18:19" x14ac:dyDescent="0.25">
      <c r="R2103" s="2">
        <f>Таблица1[[#This Row],[Дата перевода]]-Таблица1[[#This Row],[Дата поступления]]</f>
        <v>0</v>
      </c>
      <c r="S2103" s="2">
        <f>Таблица1[[#This Row],[Дата поступления]]-Таблица1[[#This Row],[Дата рождения]]</f>
        <v>0</v>
      </c>
    </row>
    <row r="2104" spans="18:19" x14ac:dyDescent="0.25">
      <c r="R2104" s="2">
        <f>Таблица1[[#This Row],[Дата перевода]]-Таблица1[[#This Row],[Дата поступления]]</f>
        <v>0</v>
      </c>
      <c r="S2104" s="2">
        <f>Таблица1[[#This Row],[Дата поступления]]-Таблица1[[#This Row],[Дата рождения]]</f>
        <v>0</v>
      </c>
    </row>
    <row r="2105" spans="18:19" x14ac:dyDescent="0.25">
      <c r="R2105" s="2">
        <f>Таблица1[[#This Row],[Дата перевода]]-Таблица1[[#This Row],[Дата поступления]]</f>
        <v>0</v>
      </c>
      <c r="S2105" s="2">
        <f>Таблица1[[#This Row],[Дата поступления]]-Таблица1[[#This Row],[Дата рождения]]</f>
        <v>0</v>
      </c>
    </row>
    <row r="2106" spans="18:19" x14ac:dyDescent="0.25">
      <c r="R2106" s="2">
        <f>Таблица1[[#This Row],[Дата перевода]]-Таблица1[[#This Row],[Дата поступления]]</f>
        <v>0</v>
      </c>
      <c r="S2106" s="2">
        <f>Таблица1[[#This Row],[Дата поступления]]-Таблица1[[#This Row],[Дата рождения]]</f>
        <v>0</v>
      </c>
    </row>
    <row r="2107" spans="18:19" x14ac:dyDescent="0.25">
      <c r="R2107" s="2">
        <f>Таблица1[[#This Row],[Дата перевода]]-Таблица1[[#This Row],[Дата поступления]]</f>
        <v>0</v>
      </c>
      <c r="S2107" s="2">
        <f>Таблица1[[#This Row],[Дата поступления]]-Таблица1[[#This Row],[Дата рождения]]</f>
        <v>0</v>
      </c>
    </row>
    <row r="2108" spans="18:19" x14ac:dyDescent="0.25">
      <c r="R2108" s="2">
        <f>Таблица1[[#This Row],[Дата перевода]]-Таблица1[[#This Row],[Дата поступления]]</f>
        <v>0</v>
      </c>
      <c r="S2108" s="2">
        <f>Таблица1[[#This Row],[Дата поступления]]-Таблица1[[#This Row],[Дата рождения]]</f>
        <v>0</v>
      </c>
    </row>
    <row r="2109" spans="18:19" x14ac:dyDescent="0.25">
      <c r="R2109" s="2">
        <f>Таблица1[[#This Row],[Дата перевода]]-Таблица1[[#This Row],[Дата поступления]]</f>
        <v>0</v>
      </c>
      <c r="S2109" s="2">
        <f>Таблица1[[#This Row],[Дата поступления]]-Таблица1[[#This Row],[Дата рождения]]</f>
        <v>0</v>
      </c>
    </row>
    <row r="2110" spans="18:19" x14ac:dyDescent="0.25">
      <c r="R2110" s="2">
        <f>Таблица1[[#This Row],[Дата перевода]]-Таблица1[[#This Row],[Дата поступления]]</f>
        <v>0</v>
      </c>
      <c r="S2110" s="2">
        <f>Таблица1[[#This Row],[Дата поступления]]-Таблица1[[#This Row],[Дата рождения]]</f>
        <v>0</v>
      </c>
    </row>
    <row r="2111" spans="18:19" x14ac:dyDescent="0.25">
      <c r="R2111" s="2">
        <f>Таблица1[[#This Row],[Дата перевода]]-Таблица1[[#This Row],[Дата поступления]]</f>
        <v>0</v>
      </c>
      <c r="S2111" s="2">
        <f>Таблица1[[#This Row],[Дата поступления]]-Таблица1[[#This Row],[Дата рождения]]</f>
        <v>0</v>
      </c>
    </row>
    <row r="2112" spans="18:19" x14ac:dyDescent="0.25">
      <c r="R2112" s="2">
        <f>Таблица1[[#This Row],[Дата перевода]]-Таблица1[[#This Row],[Дата поступления]]</f>
        <v>0</v>
      </c>
      <c r="S2112" s="2">
        <f>Таблица1[[#This Row],[Дата поступления]]-Таблица1[[#This Row],[Дата рождения]]</f>
        <v>0</v>
      </c>
    </row>
    <row r="2113" spans="18:19" x14ac:dyDescent="0.25">
      <c r="R2113" s="2">
        <f>Таблица1[[#This Row],[Дата перевода]]-Таблица1[[#This Row],[Дата поступления]]</f>
        <v>0</v>
      </c>
      <c r="S2113" s="2">
        <f>Таблица1[[#This Row],[Дата поступления]]-Таблица1[[#This Row],[Дата рождения]]</f>
        <v>0</v>
      </c>
    </row>
    <row r="2114" spans="18:19" x14ac:dyDescent="0.25">
      <c r="R2114" s="2">
        <f>Таблица1[[#This Row],[Дата перевода]]-Таблица1[[#This Row],[Дата поступления]]</f>
        <v>0</v>
      </c>
      <c r="S2114" s="2">
        <f>Таблица1[[#This Row],[Дата поступления]]-Таблица1[[#This Row],[Дата рождения]]</f>
        <v>0</v>
      </c>
    </row>
    <row r="2115" spans="18:19" x14ac:dyDescent="0.25">
      <c r="R2115" s="2">
        <f>Таблица1[[#This Row],[Дата перевода]]-Таблица1[[#This Row],[Дата поступления]]</f>
        <v>0</v>
      </c>
      <c r="S2115" s="2">
        <f>Таблица1[[#This Row],[Дата поступления]]-Таблица1[[#This Row],[Дата рождения]]</f>
        <v>0</v>
      </c>
    </row>
    <row r="2116" spans="18:19" x14ac:dyDescent="0.25">
      <c r="R2116" s="2">
        <f>Таблица1[[#This Row],[Дата перевода]]-Таблица1[[#This Row],[Дата поступления]]</f>
        <v>0</v>
      </c>
      <c r="S2116" s="2">
        <f>Таблица1[[#This Row],[Дата поступления]]-Таблица1[[#This Row],[Дата рождения]]</f>
        <v>0</v>
      </c>
    </row>
    <row r="2117" spans="18:19" x14ac:dyDescent="0.25">
      <c r="R2117" s="2">
        <f>Таблица1[[#This Row],[Дата перевода]]-Таблица1[[#This Row],[Дата поступления]]</f>
        <v>0</v>
      </c>
      <c r="S2117" s="2">
        <f>Таблица1[[#This Row],[Дата поступления]]-Таблица1[[#This Row],[Дата рождения]]</f>
        <v>0</v>
      </c>
    </row>
    <row r="2118" spans="18:19" x14ac:dyDescent="0.25">
      <c r="R2118" s="2">
        <f>Таблица1[[#This Row],[Дата перевода]]-Таблица1[[#This Row],[Дата поступления]]</f>
        <v>0</v>
      </c>
      <c r="S2118" s="2">
        <f>Таблица1[[#This Row],[Дата поступления]]-Таблица1[[#This Row],[Дата рождения]]</f>
        <v>0</v>
      </c>
    </row>
    <row r="2119" spans="18:19" x14ac:dyDescent="0.25">
      <c r="R2119" s="2">
        <f>Таблица1[[#This Row],[Дата перевода]]-Таблица1[[#This Row],[Дата поступления]]</f>
        <v>0</v>
      </c>
      <c r="S2119" s="2">
        <f>Таблица1[[#This Row],[Дата поступления]]-Таблица1[[#This Row],[Дата рождения]]</f>
        <v>0</v>
      </c>
    </row>
    <row r="2120" spans="18:19" x14ac:dyDescent="0.25">
      <c r="R2120" s="2">
        <f>Таблица1[[#This Row],[Дата перевода]]-Таблица1[[#This Row],[Дата поступления]]</f>
        <v>0</v>
      </c>
      <c r="S2120" s="2">
        <f>Таблица1[[#This Row],[Дата поступления]]-Таблица1[[#This Row],[Дата рождения]]</f>
        <v>0</v>
      </c>
    </row>
    <row r="2121" spans="18:19" x14ac:dyDescent="0.25">
      <c r="R2121" s="2">
        <f>Таблица1[[#This Row],[Дата перевода]]-Таблица1[[#This Row],[Дата поступления]]</f>
        <v>0</v>
      </c>
      <c r="S2121" s="2">
        <f>Таблица1[[#This Row],[Дата поступления]]-Таблица1[[#This Row],[Дата рождения]]</f>
        <v>0</v>
      </c>
    </row>
    <row r="2122" spans="18:19" x14ac:dyDescent="0.25">
      <c r="R2122" s="2">
        <f>Таблица1[[#This Row],[Дата перевода]]-Таблица1[[#This Row],[Дата поступления]]</f>
        <v>0</v>
      </c>
      <c r="S2122" s="2">
        <f>Таблица1[[#This Row],[Дата поступления]]-Таблица1[[#This Row],[Дата рождения]]</f>
        <v>0</v>
      </c>
    </row>
    <row r="2123" spans="18:19" x14ac:dyDescent="0.25">
      <c r="R2123" s="2">
        <f>Таблица1[[#This Row],[Дата перевода]]-Таблица1[[#This Row],[Дата поступления]]</f>
        <v>0</v>
      </c>
      <c r="S2123" s="2">
        <f>Таблица1[[#This Row],[Дата поступления]]-Таблица1[[#This Row],[Дата рождения]]</f>
        <v>0</v>
      </c>
    </row>
    <row r="2124" spans="18:19" x14ac:dyDescent="0.25">
      <c r="R2124" s="2">
        <f>Таблица1[[#This Row],[Дата перевода]]-Таблица1[[#This Row],[Дата поступления]]</f>
        <v>0</v>
      </c>
      <c r="S2124" s="2">
        <f>Таблица1[[#This Row],[Дата поступления]]-Таблица1[[#This Row],[Дата рождения]]</f>
        <v>0</v>
      </c>
    </row>
    <row r="2125" spans="18:19" x14ac:dyDescent="0.25">
      <c r="R2125" s="2">
        <f>Таблица1[[#This Row],[Дата перевода]]-Таблица1[[#This Row],[Дата поступления]]</f>
        <v>0</v>
      </c>
      <c r="S2125" s="2">
        <f>Таблица1[[#This Row],[Дата поступления]]-Таблица1[[#This Row],[Дата рождения]]</f>
        <v>0</v>
      </c>
    </row>
    <row r="2126" spans="18:19" x14ac:dyDescent="0.25">
      <c r="R2126" s="2">
        <f>Таблица1[[#This Row],[Дата перевода]]-Таблица1[[#This Row],[Дата поступления]]</f>
        <v>0</v>
      </c>
      <c r="S2126" s="2">
        <f>Таблица1[[#This Row],[Дата поступления]]-Таблица1[[#This Row],[Дата рождения]]</f>
        <v>0</v>
      </c>
    </row>
    <row r="2127" spans="18:19" x14ac:dyDescent="0.25">
      <c r="R2127" s="2">
        <f>Таблица1[[#This Row],[Дата перевода]]-Таблица1[[#This Row],[Дата поступления]]</f>
        <v>0</v>
      </c>
      <c r="S2127" s="2">
        <f>Таблица1[[#This Row],[Дата поступления]]-Таблица1[[#This Row],[Дата рождения]]</f>
        <v>0</v>
      </c>
    </row>
    <row r="2128" spans="18:19" x14ac:dyDescent="0.25">
      <c r="R2128" s="2">
        <f>Таблица1[[#This Row],[Дата перевода]]-Таблица1[[#This Row],[Дата поступления]]</f>
        <v>0</v>
      </c>
      <c r="S2128" s="2">
        <f>Таблица1[[#This Row],[Дата поступления]]-Таблица1[[#This Row],[Дата рождения]]</f>
        <v>0</v>
      </c>
    </row>
    <row r="2129" spans="18:19" x14ac:dyDescent="0.25">
      <c r="R2129" s="2">
        <f>Таблица1[[#This Row],[Дата перевода]]-Таблица1[[#This Row],[Дата поступления]]</f>
        <v>0</v>
      </c>
      <c r="S2129" s="2">
        <f>Таблица1[[#This Row],[Дата поступления]]-Таблица1[[#This Row],[Дата рождения]]</f>
        <v>0</v>
      </c>
    </row>
    <row r="2130" spans="18:19" x14ac:dyDescent="0.25">
      <c r="R2130" s="2">
        <f>Таблица1[[#This Row],[Дата перевода]]-Таблица1[[#This Row],[Дата поступления]]</f>
        <v>0</v>
      </c>
      <c r="S2130" s="2">
        <f>Таблица1[[#This Row],[Дата поступления]]-Таблица1[[#This Row],[Дата рождения]]</f>
        <v>0</v>
      </c>
    </row>
    <row r="2131" spans="18:19" x14ac:dyDescent="0.25">
      <c r="R2131" s="2">
        <f>Таблица1[[#This Row],[Дата перевода]]-Таблица1[[#This Row],[Дата поступления]]</f>
        <v>0</v>
      </c>
      <c r="S2131" s="2">
        <f>Таблица1[[#This Row],[Дата поступления]]-Таблица1[[#This Row],[Дата рождения]]</f>
        <v>0</v>
      </c>
    </row>
    <row r="2132" spans="18:19" x14ac:dyDescent="0.25">
      <c r="R2132" s="2">
        <f>Таблица1[[#This Row],[Дата перевода]]-Таблица1[[#This Row],[Дата поступления]]</f>
        <v>0</v>
      </c>
      <c r="S2132" s="2">
        <f>Таблица1[[#This Row],[Дата поступления]]-Таблица1[[#This Row],[Дата рождения]]</f>
        <v>0</v>
      </c>
    </row>
    <row r="2133" spans="18:19" x14ac:dyDescent="0.25">
      <c r="R2133" s="2">
        <f>Таблица1[[#This Row],[Дата перевода]]-Таблица1[[#This Row],[Дата поступления]]</f>
        <v>0</v>
      </c>
      <c r="S2133" s="2">
        <f>Таблица1[[#This Row],[Дата поступления]]-Таблица1[[#This Row],[Дата рождения]]</f>
        <v>0</v>
      </c>
    </row>
    <row r="2134" spans="18:19" x14ac:dyDescent="0.25">
      <c r="R2134" s="2">
        <f>Таблица1[[#This Row],[Дата перевода]]-Таблица1[[#This Row],[Дата поступления]]</f>
        <v>0</v>
      </c>
      <c r="S2134" s="2">
        <f>Таблица1[[#This Row],[Дата поступления]]-Таблица1[[#This Row],[Дата рождения]]</f>
        <v>0</v>
      </c>
    </row>
    <row r="2135" spans="18:19" x14ac:dyDescent="0.25">
      <c r="R2135" s="2">
        <f>Таблица1[[#This Row],[Дата перевода]]-Таблица1[[#This Row],[Дата поступления]]</f>
        <v>0</v>
      </c>
      <c r="S2135" s="2">
        <f>Таблица1[[#This Row],[Дата поступления]]-Таблица1[[#This Row],[Дата рождения]]</f>
        <v>0</v>
      </c>
    </row>
    <row r="2136" spans="18:19" x14ac:dyDescent="0.25">
      <c r="R2136" s="2">
        <f>Таблица1[[#This Row],[Дата перевода]]-Таблица1[[#This Row],[Дата поступления]]</f>
        <v>0</v>
      </c>
      <c r="S2136" s="2">
        <f>Таблица1[[#This Row],[Дата поступления]]-Таблица1[[#This Row],[Дата рождения]]</f>
        <v>0</v>
      </c>
    </row>
    <row r="2137" spans="18:19" x14ac:dyDescent="0.25">
      <c r="R2137" s="2">
        <f>Таблица1[[#This Row],[Дата перевода]]-Таблица1[[#This Row],[Дата поступления]]</f>
        <v>0</v>
      </c>
      <c r="S2137" s="2">
        <f>Таблица1[[#This Row],[Дата поступления]]-Таблица1[[#This Row],[Дата рождения]]</f>
        <v>0</v>
      </c>
    </row>
    <row r="2138" spans="18:19" x14ac:dyDescent="0.25">
      <c r="R2138" s="2">
        <f>Таблица1[[#This Row],[Дата перевода]]-Таблица1[[#This Row],[Дата поступления]]</f>
        <v>0</v>
      </c>
      <c r="S2138" s="2">
        <f>Таблица1[[#This Row],[Дата поступления]]-Таблица1[[#This Row],[Дата рождения]]</f>
        <v>0</v>
      </c>
    </row>
    <row r="2139" spans="18:19" x14ac:dyDescent="0.25">
      <c r="R2139" s="2">
        <f>Таблица1[[#This Row],[Дата перевода]]-Таблица1[[#This Row],[Дата поступления]]</f>
        <v>0</v>
      </c>
      <c r="S2139" s="2">
        <f>Таблица1[[#This Row],[Дата поступления]]-Таблица1[[#This Row],[Дата рождения]]</f>
        <v>0</v>
      </c>
    </row>
    <row r="2140" spans="18:19" x14ac:dyDescent="0.25">
      <c r="R2140" s="2">
        <f>Таблица1[[#This Row],[Дата перевода]]-Таблица1[[#This Row],[Дата поступления]]</f>
        <v>0</v>
      </c>
      <c r="S2140" s="2">
        <f>Таблица1[[#This Row],[Дата поступления]]-Таблица1[[#This Row],[Дата рождения]]</f>
        <v>0</v>
      </c>
    </row>
    <row r="2141" spans="18:19" x14ac:dyDescent="0.25">
      <c r="R2141" s="2">
        <f>Таблица1[[#This Row],[Дата перевода]]-Таблица1[[#This Row],[Дата поступления]]</f>
        <v>0</v>
      </c>
      <c r="S2141" s="2">
        <f>Таблица1[[#This Row],[Дата поступления]]-Таблица1[[#This Row],[Дата рождения]]</f>
        <v>0</v>
      </c>
    </row>
    <row r="2142" spans="18:19" x14ac:dyDescent="0.25">
      <c r="R2142" s="2">
        <f>Таблица1[[#This Row],[Дата перевода]]-Таблица1[[#This Row],[Дата поступления]]</f>
        <v>0</v>
      </c>
      <c r="S2142" s="2">
        <f>Таблица1[[#This Row],[Дата поступления]]-Таблица1[[#This Row],[Дата рождения]]</f>
        <v>0</v>
      </c>
    </row>
    <row r="2143" spans="18:19" x14ac:dyDescent="0.25">
      <c r="R2143" s="2">
        <f>Таблица1[[#This Row],[Дата перевода]]-Таблица1[[#This Row],[Дата поступления]]</f>
        <v>0</v>
      </c>
      <c r="S2143" s="2">
        <f>Таблица1[[#This Row],[Дата поступления]]-Таблица1[[#This Row],[Дата рождения]]</f>
        <v>0</v>
      </c>
    </row>
    <row r="2144" spans="18:19" x14ac:dyDescent="0.25">
      <c r="R2144" s="2">
        <f>Таблица1[[#This Row],[Дата перевода]]-Таблица1[[#This Row],[Дата поступления]]</f>
        <v>0</v>
      </c>
      <c r="S2144" s="2">
        <f>Таблица1[[#This Row],[Дата поступления]]-Таблица1[[#This Row],[Дата рождения]]</f>
        <v>0</v>
      </c>
    </row>
    <row r="2145" spans="18:19" x14ac:dyDescent="0.25">
      <c r="R2145" s="2">
        <f>Таблица1[[#This Row],[Дата перевода]]-Таблица1[[#This Row],[Дата поступления]]</f>
        <v>0</v>
      </c>
      <c r="S2145" s="2">
        <f>Таблица1[[#This Row],[Дата поступления]]-Таблица1[[#This Row],[Дата рождения]]</f>
        <v>0</v>
      </c>
    </row>
    <row r="2146" spans="18:19" x14ac:dyDescent="0.25">
      <c r="R2146" s="2">
        <f>Таблица1[[#This Row],[Дата перевода]]-Таблица1[[#This Row],[Дата поступления]]</f>
        <v>0</v>
      </c>
      <c r="S2146" s="2">
        <f>Таблица1[[#This Row],[Дата поступления]]-Таблица1[[#This Row],[Дата рождения]]</f>
        <v>0</v>
      </c>
    </row>
    <row r="2147" spans="18:19" x14ac:dyDescent="0.25">
      <c r="R2147" s="2">
        <f>Таблица1[[#This Row],[Дата перевода]]-Таблица1[[#This Row],[Дата поступления]]</f>
        <v>0</v>
      </c>
      <c r="S2147" s="2">
        <f>Таблица1[[#This Row],[Дата поступления]]-Таблица1[[#This Row],[Дата рождения]]</f>
        <v>0</v>
      </c>
    </row>
    <row r="2148" spans="18:19" x14ac:dyDescent="0.25">
      <c r="R2148" s="2">
        <f>Таблица1[[#This Row],[Дата перевода]]-Таблица1[[#This Row],[Дата поступления]]</f>
        <v>0</v>
      </c>
      <c r="S2148" s="2">
        <f>Таблица1[[#This Row],[Дата поступления]]-Таблица1[[#This Row],[Дата рождения]]</f>
        <v>0</v>
      </c>
    </row>
    <row r="2149" spans="18:19" x14ac:dyDescent="0.25">
      <c r="R2149" s="2">
        <f>Таблица1[[#This Row],[Дата перевода]]-Таблица1[[#This Row],[Дата поступления]]</f>
        <v>0</v>
      </c>
      <c r="S2149" s="2">
        <f>Таблица1[[#This Row],[Дата поступления]]-Таблица1[[#This Row],[Дата рождения]]</f>
        <v>0</v>
      </c>
    </row>
    <row r="2150" spans="18:19" x14ac:dyDescent="0.25">
      <c r="R2150" s="2">
        <f>Таблица1[[#This Row],[Дата перевода]]-Таблица1[[#This Row],[Дата поступления]]</f>
        <v>0</v>
      </c>
      <c r="S2150" s="2">
        <f>Таблица1[[#This Row],[Дата поступления]]-Таблица1[[#This Row],[Дата рождения]]</f>
        <v>0</v>
      </c>
    </row>
    <row r="2151" spans="18:19" x14ac:dyDescent="0.25">
      <c r="R2151" s="2">
        <f>Таблица1[[#This Row],[Дата перевода]]-Таблица1[[#This Row],[Дата поступления]]</f>
        <v>0</v>
      </c>
      <c r="S2151" s="2">
        <f>Таблица1[[#This Row],[Дата поступления]]-Таблица1[[#This Row],[Дата рождения]]</f>
        <v>0</v>
      </c>
    </row>
    <row r="2152" spans="18:19" x14ac:dyDescent="0.25">
      <c r="R2152" s="2">
        <f>Таблица1[[#This Row],[Дата перевода]]-Таблица1[[#This Row],[Дата поступления]]</f>
        <v>0</v>
      </c>
      <c r="S2152" s="2">
        <f>Таблица1[[#This Row],[Дата поступления]]-Таблица1[[#This Row],[Дата рождения]]</f>
        <v>0</v>
      </c>
    </row>
    <row r="2153" spans="18:19" x14ac:dyDescent="0.25">
      <c r="R2153" s="2">
        <f>Таблица1[[#This Row],[Дата перевода]]-Таблица1[[#This Row],[Дата поступления]]</f>
        <v>0</v>
      </c>
      <c r="S2153" s="2">
        <f>Таблица1[[#This Row],[Дата поступления]]-Таблица1[[#This Row],[Дата рождения]]</f>
        <v>0</v>
      </c>
    </row>
    <row r="2154" spans="18:19" x14ac:dyDescent="0.25">
      <c r="R2154" s="2">
        <f>Таблица1[[#This Row],[Дата перевода]]-Таблица1[[#This Row],[Дата поступления]]</f>
        <v>0</v>
      </c>
      <c r="S2154" s="2">
        <f>Таблица1[[#This Row],[Дата поступления]]-Таблица1[[#This Row],[Дата рождения]]</f>
        <v>0</v>
      </c>
    </row>
    <row r="2155" spans="18:19" x14ac:dyDescent="0.25">
      <c r="R2155" s="2">
        <f>Таблица1[[#This Row],[Дата перевода]]-Таблица1[[#This Row],[Дата поступления]]</f>
        <v>0</v>
      </c>
      <c r="S2155" s="2">
        <f>Таблица1[[#This Row],[Дата поступления]]-Таблица1[[#This Row],[Дата рождения]]</f>
        <v>0</v>
      </c>
    </row>
    <row r="2156" spans="18:19" x14ac:dyDescent="0.25">
      <c r="R2156" s="2">
        <f>Таблица1[[#This Row],[Дата перевода]]-Таблица1[[#This Row],[Дата поступления]]</f>
        <v>0</v>
      </c>
      <c r="S2156" s="2">
        <f>Таблица1[[#This Row],[Дата поступления]]-Таблица1[[#This Row],[Дата рождения]]</f>
        <v>0</v>
      </c>
    </row>
    <row r="2157" spans="18:19" x14ac:dyDescent="0.25">
      <c r="R2157" s="2">
        <f>Таблица1[[#This Row],[Дата перевода]]-Таблица1[[#This Row],[Дата поступления]]</f>
        <v>0</v>
      </c>
      <c r="S2157" s="2">
        <f>Таблица1[[#This Row],[Дата поступления]]-Таблица1[[#This Row],[Дата рождения]]</f>
        <v>0</v>
      </c>
    </row>
    <row r="2158" spans="18:19" x14ac:dyDescent="0.25">
      <c r="R2158" s="2">
        <f>Таблица1[[#This Row],[Дата перевода]]-Таблица1[[#This Row],[Дата поступления]]</f>
        <v>0</v>
      </c>
      <c r="S2158" s="2">
        <f>Таблица1[[#This Row],[Дата поступления]]-Таблица1[[#This Row],[Дата рождения]]</f>
        <v>0</v>
      </c>
    </row>
    <row r="2159" spans="18:19" x14ac:dyDescent="0.25">
      <c r="R2159" s="2">
        <f>Таблица1[[#This Row],[Дата перевода]]-Таблица1[[#This Row],[Дата поступления]]</f>
        <v>0</v>
      </c>
      <c r="S2159" s="2">
        <f>Таблица1[[#This Row],[Дата поступления]]-Таблица1[[#This Row],[Дата рождения]]</f>
        <v>0</v>
      </c>
    </row>
    <row r="2160" spans="18:19" x14ac:dyDescent="0.25">
      <c r="R2160" s="2">
        <f>Таблица1[[#This Row],[Дата перевода]]-Таблица1[[#This Row],[Дата поступления]]</f>
        <v>0</v>
      </c>
      <c r="S2160" s="2">
        <f>Таблица1[[#This Row],[Дата поступления]]-Таблица1[[#This Row],[Дата рождения]]</f>
        <v>0</v>
      </c>
    </row>
    <row r="2161" spans="18:19" x14ac:dyDescent="0.25">
      <c r="R2161" s="2">
        <f>Таблица1[[#This Row],[Дата перевода]]-Таблица1[[#This Row],[Дата поступления]]</f>
        <v>0</v>
      </c>
      <c r="S2161" s="2">
        <f>Таблица1[[#This Row],[Дата поступления]]-Таблица1[[#This Row],[Дата рождения]]</f>
        <v>0</v>
      </c>
    </row>
    <row r="2162" spans="18:19" x14ac:dyDescent="0.25">
      <c r="R2162" s="2">
        <f>Таблица1[[#This Row],[Дата перевода]]-Таблица1[[#This Row],[Дата поступления]]</f>
        <v>0</v>
      </c>
      <c r="S2162" s="2">
        <f>Таблица1[[#This Row],[Дата поступления]]-Таблица1[[#This Row],[Дата рождения]]</f>
        <v>0</v>
      </c>
    </row>
    <row r="2163" spans="18:19" x14ac:dyDescent="0.25">
      <c r="R2163" s="2">
        <f>Таблица1[[#This Row],[Дата перевода]]-Таблица1[[#This Row],[Дата поступления]]</f>
        <v>0</v>
      </c>
      <c r="S2163" s="2">
        <f>Таблица1[[#This Row],[Дата поступления]]-Таблица1[[#This Row],[Дата рождения]]</f>
        <v>0</v>
      </c>
    </row>
    <row r="2164" spans="18:19" x14ac:dyDescent="0.25">
      <c r="R2164" s="2">
        <f>Таблица1[[#This Row],[Дата перевода]]-Таблица1[[#This Row],[Дата поступления]]</f>
        <v>0</v>
      </c>
      <c r="S2164" s="2">
        <f>Таблица1[[#This Row],[Дата поступления]]-Таблица1[[#This Row],[Дата рождения]]</f>
        <v>0</v>
      </c>
    </row>
    <row r="2165" spans="18:19" x14ac:dyDescent="0.25">
      <c r="R2165" s="2">
        <f>Таблица1[[#This Row],[Дата перевода]]-Таблица1[[#This Row],[Дата поступления]]</f>
        <v>0</v>
      </c>
      <c r="S2165" s="2">
        <f>Таблица1[[#This Row],[Дата поступления]]-Таблица1[[#This Row],[Дата рождения]]</f>
        <v>0</v>
      </c>
    </row>
    <row r="2166" spans="18:19" x14ac:dyDescent="0.25">
      <c r="R2166" s="2">
        <f>Таблица1[[#This Row],[Дата перевода]]-Таблица1[[#This Row],[Дата поступления]]</f>
        <v>0</v>
      </c>
      <c r="S2166" s="2">
        <f>Таблица1[[#This Row],[Дата поступления]]-Таблица1[[#This Row],[Дата рождения]]</f>
        <v>0</v>
      </c>
    </row>
    <row r="2167" spans="18:19" x14ac:dyDescent="0.25">
      <c r="R2167" s="2">
        <f>Таблица1[[#This Row],[Дата перевода]]-Таблица1[[#This Row],[Дата поступления]]</f>
        <v>0</v>
      </c>
      <c r="S2167" s="2">
        <f>Таблица1[[#This Row],[Дата поступления]]-Таблица1[[#This Row],[Дата рождения]]</f>
        <v>0</v>
      </c>
    </row>
    <row r="2168" spans="18:19" x14ac:dyDescent="0.25">
      <c r="R2168" s="2">
        <f>Таблица1[[#This Row],[Дата перевода]]-Таблица1[[#This Row],[Дата поступления]]</f>
        <v>0</v>
      </c>
      <c r="S2168" s="2">
        <f>Таблица1[[#This Row],[Дата поступления]]-Таблица1[[#This Row],[Дата рождения]]</f>
        <v>0</v>
      </c>
    </row>
    <row r="2169" spans="18:19" x14ac:dyDescent="0.25">
      <c r="R2169" s="2">
        <f>Таблица1[[#This Row],[Дата перевода]]-Таблица1[[#This Row],[Дата поступления]]</f>
        <v>0</v>
      </c>
      <c r="S2169" s="2">
        <f>Таблица1[[#This Row],[Дата поступления]]-Таблица1[[#This Row],[Дата рождения]]</f>
        <v>0</v>
      </c>
    </row>
    <row r="2170" spans="18:19" x14ac:dyDescent="0.25">
      <c r="R2170" s="2">
        <f>Таблица1[[#This Row],[Дата перевода]]-Таблица1[[#This Row],[Дата поступления]]</f>
        <v>0</v>
      </c>
      <c r="S2170" s="2">
        <f>Таблица1[[#This Row],[Дата поступления]]-Таблица1[[#This Row],[Дата рождения]]</f>
        <v>0</v>
      </c>
    </row>
    <row r="2171" spans="18:19" x14ac:dyDescent="0.25">
      <c r="R2171" s="2">
        <f>Таблица1[[#This Row],[Дата перевода]]-Таблица1[[#This Row],[Дата поступления]]</f>
        <v>0</v>
      </c>
      <c r="S2171" s="2">
        <f>Таблица1[[#This Row],[Дата поступления]]-Таблица1[[#This Row],[Дата рождения]]</f>
        <v>0</v>
      </c>
    </row>
    <row r="2172" spans="18:19" x14ac:dyDescent="0.25">
      <c r="R2172" s="2">
        <f>Таблица1[[#This Row],[Дата перевода]]-Таблица1[[#This Row],[Дата поступления]]</f>
        <v>0</v>
      </c>
      <c r="S2172" s="2">
        <f>Таблица1[[#This Row],[Дата поступления]]-Таблица1[[#This Row],[Дата рождения]]</f>
        <v>0</v>
      </c>
    </row>
    <row r="2173" spans="18:19" x14ac:dyDescent="0.25">
      <c r="R2173" s="2">
        <f>Таблица1[[#This Row],[Дата перевода]]-Таблица1[[#This Row],[Дата поступления]]</f>
        <v>0</v>
      </c>
      <c r="S2173" s="2">
        <f>Таблица1[[#This Row],[Дата поступления]]-Таблица1[[#This Row],[Дата рождения]]</f>
        <v>0</v>
      </c>
    </row>
    <row r="2174" spans="18:19" x14ac:dyDescent="0.25">
      <c r="R2174" s="2">
        <f>Таблица1[[#This Row],[Дата перевода]]-Таблица1[[#This Row],[Дата поступления]]</f>
        <v>0</v>
      </c>
      <c r="S2174" s="2">
        <f>Таблица1[[#This Row],[Дата поступления]]-Таблица1[[#This Row],[Дата рождения]]</f>
        <v>0</v>
      </c>
    </row>
    <row r="2175" spans="18:19" x14ac:dyDescent="0.25">
      <c r="R2175" s="2">
        <f>Таблица1[[#This Row],[Дата перевода]]-Таблица1[[#This Row],[Дата поступления]]</f>
        <v>0</v>
      </c>
      <c r="S2175" s="2">
        <f>Таблица1[[#This Row],[Дата поступления]]-Таблица1[[#This Row],[Дата рождения]]</f>
        <v>0</v>
      </c>
    </row>
    <row r="2176" spans="18:19" x14ac:dyDescent="0.25">
      <c r="R2176" s="2">
        <f>Таблица1[[#This Row],[Дата перевода]]-Таблица1[[#This Row],[Дата поступления]]</f>
        <v>0</v>
      </c>
      <c r="S2176" s="2">
        <f>Таблица1[[#This Row],[Дата поступления]]-Таблица1[[#This Row],[Дата рождения]]</f>
        <v>0</v>
      </c>
    </row>
    <row r="2177" spans="18:19" x14ac:dyDescent="0.25">
      <c r="R2177" s="2">
        <f>Таблица1[[#This Row],[Дата перевода]]-Таблица1[[#This Row],[Дата поступления]]</f>
        <v>0</v>
      </c>
      <c r="S2177" s="2">
        <f>Таблица1[[#This Row],[Дата поступления]]-Таблица1[[#This Row],[Дата рождения]]</f>
        <v>0</v>
      </c>
    </row>
    <row r="2178" spans="18:19" x14ac:dyDescent="0.25">
      <c r="R2178" s="2">
        <f>Таблица1[[#This Row],[Дата перевода]]-Таблица1[[#This Row],[Дата поступления]]</f>
        <v>0</v>
      </c>
      <c r="S2178" s="2">
        <f>Таблица1[[#This Row],[Дата поступления]]-Таблица1[[#This Row],[Дата рождения]]</f>
        <v>0</v>
      </c>
    </row>
    <row r="2179" spans="18:19" x14ac:dyDescent="0.25">
      <c r="R2179" s="2">
        <f>Таблица1[[#This Row],[Дата перевода]]-Таблица1[[#This Row],[Дата поступления]]</f>
        <v>0</v>
      </c>
      <c r="S2179" s="2">
        <f>Таблица1[[#This Row],[Дата поступления]]-Таблица1[[#This Row],[Дата рождения]]</f>
        <v>0</v>
      </c>
    </row>
    <row r="2180" spans="18:19" x14ac:dyDescent="0.25">
      <c r="R2180" s="2">
        <f>Таблица1[[#This Row],[Дата перевода]]-Таблица1[[#This Row],[Дата поступления]]</f>
        <v>0</v>
      </c>
      <c r="S2180" s="2">
        <f>Таблица1[[#This Row],[Дата поступления]]-Таблица1[[#This Row],[Дата рождения]]</f>
        <v>0</v>
      </c>
    </row>
    <row r="2181" spans="18:19" x14ac:dyDescent="0.25">
      <c r="R2181" s="2">
        <f>Таблица1[[#This Row],[Дата перевода]]-Таблица1[[#This Row],[Дата поступления]]</f>
        <v>0</v>
      </c>
      <c r="S2181" s="2">
        <f>Таблица1[[#This Row],[Дата поступления]]-Таблица1[[#This Row],[Дата рождения]]</f>
        <v>0</v>
      </c>
    </row>
    <row r="2182" spans="18:19" x14ac:dyDescent="0.25">
      <c r="R2182" s="2">
        <f>Таблица1[[#This Row],[Дата перевода]]-Таблица1[[#This Row],[Дата поступления]]</f>
        <v>0</v>
      </c>
      <c r="S2182" s="2">
        <f>Таблица1[[#This Row],[Дата поступления]]-Таблица1[[#This Row],[Дата рождения]]</f>
        <v>0</v>
      </c>
    </row>
    <row r="2183" spans="18:19" x14ac:dyDescent="0.25">
      <c r="R2183" s="2">
        <f>Таблица1[[#This Row],[Дата перевода]]-Таблица1[[#This Row],[Дата поступления]]</f>
        <v>0</v>
      </c>
      <c r="S2183" s="2">
        <f>Таблица1[[#This Row],[Дата поступления]]-Таблица1[[#This Row],[Дата рождения]]</f>
        <v>0</v>
      </c>
    </row>
    <row r="2184" spans="18:19" x14ac:dyDescent="0.25">
      <c r="R2184" s="2">
        <f>Таблица1[[#This Row],[Дата перевода]]-Таблица1[[#This Row],[Дата поступления]]</f>
        <v>0</v>
      </c>
      <c r="S2184" s="2">
        <f>Таблица1[[#This Row],[Дата поступления]]-Таблица1[[#This Row],[Дата рождения]]</f>
        <v>0</v>
      </c>
    </row>
    <row r="2185" spans="18:19" x14ac:dyDescent="0.25">
      <c r="R2185" s="2">
        <f>Таблица1[[#This Row],[Дата перевода]]-Таблица1[[#This Row],[Дата поступления]]</f>
        <v>0</v>
      </c>
      <c r="S2185" s="2">
        <f>Таблица1[[#This Row],[Дата поступления]]-Таблица1[[#This Row],[Дата рождения]]</f>
        <v>0</v>
      </c>
    </row>
    <row r="2186" spans="18:19" x14ac:dyDescent="0.25">
      <c r="R2186" s="2">
        <f>Таблица1[[#This Row],[Дата перевода]]-Таблица1[[#This Row],[Дата поступления]]</f>
        <v>0</v>
      </c>
      <c r="S2186" s="2">
        <f>Таблица1[[#This Row],[Дата поступления]]-Таблица1[[#This Row],[Дата рождения]]</f>
        <v>0</v>
      </c>
    </row>
    <row r="2187" spans="18:19" x14ac:dyDescent="0.25">
      <c r="R2187" s="2">
        <f>Таблица1[[#This Row],[Дата перевода]]-Таблица1[[#This Row],[Дата поступления]]</f>
        <v>0</v>
      </c>
      <c r="S2187" s="2">
        <f>Таблица1[[#This Row],[Дата поступления]]-Таблица1[[#This Row],[Дата рождения]]</f>
        <v>0</v>
      </c>
    </row>
    <row r="2188" spans="18:19" x14ac:dyDescent="0.25">
      <c r="R2188" s="2">
        <f>Таблица1[[#This Row],[Дата перевода]]-Таблица1[[#This Row],[Дата поступления]]</f>
        <v>0</v>
      </c>
      <c r="S2188" s="2">
        <f>Таблица1[[#This Row],[Дата поступления]]-Таблица1[[#This Row],[Дата рождения]]</f>
        <v>0</v>
      </c>
    </row>
    <row r="2189" spans="18:19" x14ac:dyDescent="0.25">
      <c r="R2189" s="2">
        <f>Таблица1[[#This Row],[Дата перевода]]-Таблица1[[#This Row],[Дата поступления]]</f>
        <v>0</v>
      </c>
      <c r="S2189" s="2">
        <f>Таблица1[[#This Row],[Дата поступления]]-Таблица1[[#This Row],[Дата рождения]]</f>
        <v>0</v>
      </c>
    </row>
    <row r="2190" spans="18:19" x14ac:dyDescent="0.25">
      <c r="R2190" s="2">
        <f>Таблица1[[#This Row],[Дата перевода]]-Таблица1[[#This Row],[Дата поступления]]</f>
        <v>0</v>
      </c>
      <c r="S2190" s="2">
        <f>Таблица1[[#This Row],[Дата поступления]]-Таблица1[[#This Row],[Дата рождения]]</f>
        <v>0</v>
      </c>
    </row>
    <row r="2191" spans="18:19" x14ac:dyDescent="0.25">
      <c r="R2191" s="2">
        <f>Таблица1[[#This Row],[Дата перевода]]-Таблица1[[#This Row],[Дата поступления]]</f>
        <v>0</v>
      </c>
      <c r="S2191" s="2">
        <f>Таблица1[[#This Row],[Дата поступления]]-Таблица1[[#This Row],[Дата рождения]]</f>
        <v>0</v>
      </c>
    </row>
    <row r="2192" spans="18:19" x14ac:dyDescent="0.25">
      <c r="R2192" s="2">
        <f>Таблица1[[#This Row],[Дата перевода]]-Таблица1[[#This Row],[Дата поступления]]</f>
        <v>0</v>
      </c>
      <c r="S2192" s="2">
        <f>Таблица1[[#This Row],[Дата поступления]]-Таблица1[[#This Row],[Дата рождения]]</f>
        <v>0</v>
      </c>
    </row>
    <row r="2193" spans="18:19" x14ac:dyDescent="0.25">
      <c r="R2193" s="2">
        <f>Таблица1[[#This Row],[Дата перевода]]-Таблица1[[#This Row],[Дата поступления]]</f>
        <v>0</v>
      </c>
      <c r="S2193" s="2">
        <f>Таблица1[[#This Row],[Дата поступления]]-Таблица1[[#This Row],[Дата рождения]]</f>
        <v>0</v>
      </c>
    </row>
    <row r="2194" spans="18:19" x14ac:dyDescent="0.25">
      <c r="R2194" s="2">
        <f>Таблица1[[#This Row],[Дата перевода]]-Таблица1[[#This Row],[Дата поступления]]</f>
        <v>0</v>
      </c>
      <c r="S2194" s="2">
        <f>Таблица1[[#This Row],[Дата поступления]]-Таблица1[[#This Row],[Дата рождения]]</f>
        <v>0</v>
      </c>
    </row>
    <row r="2195" spans="18:19" x14ac:dyDescent="0.25">
      <c r="R2195" s="2">
        <f>Таблица1[[#This Row],[Дата перевода]]-Таблица1[[#This Row],[Дата поступления]]</f>
        <v>0</v>
      </c>
      <c r="S2195" s="2">
        <f>Таблица1[[#This Row],[Дата поступления]]-Таблица1[[#This Row],[Дата рождения]]</f>
        <v>0</v>
      </c>
    </row>
    <row r="2196" spans="18:19" x14ac:dyDescent="0.25">
      <c r="R2196" s="2">
        <f>Таблица1[[#This Row],[Дата перевода]]-Таблица1[[#This Row],[Дата поступления]]</f>
        <v>0</v>
      </c>
      <c r="S2196" s="2">
        <f>Таблица1[[#This Row],[Дата поступления]]-Таблица1[[#This Row],[Дата рождения]]</f>
        <v>0</v>
      </c>
    </row>
    <row r="2197" spans="18:19" x14ac:dyDescent="0.25">
      <c r="R2197" s="2">
        <f>Таблица1[[#This Row],[Дата перевода]]-Таблица1[[#This Row],[Дата поступления]]</f>
        <v>0</v>
      </c>
      <c r="S2197" s="2">
        <f>Таблица1[[#This Row],[Дата поступления]]-Таблица1[[#This Row],[Дата рождения]]</f>
        <v>0</v>
      </c>
    </row>
    <row r="2198" spans="18:19" x14ac:dyDescent="0.25">
      <c r="R2198" s="2">
        <f>Таблица1[[#This Row],[Дата перевода]]-Таблица1[[#This Row],[Дата поступления]]</f>
        <v>0</v>
      </c>
      <c r="S2198" s="2">
        <f>Таблица1[[#This Row],[Дата поступления]]-Таблица1[[#This Row],[Дата рождения]]</f>
        <v>0</v>
      </c>
    </row>
    <row r="2199" spans="18:19" x14ac:dyDescent="0.25">
      <c r="R2199" s="2">
        <f>Таблица1[[#This Row],[Дата перевода]]-Таблица1[[#This Row],[Дата поступления]]</f>
        <v>0</v>
      </c>
      <c r="S2199" s="2">
        <f>Таблица1[[#This Row],[Дата поступления]]-Таблица1[[#This Row],[Дата рождения]]</f>
        <v>0</v>
      </c>
    </row>
    <row r="2200" spans="18:19" x14ac:dyDescent="0.25">
      <c r="R2200" s="2">
        <f>Таблица1[[#This Row],[Дата перевода]]-Таблица1[[#This Row],[Дата поступления]]</f>
        <v>0</v>
      </c>
      <c r="S2200" s="2">
        <f>Таблица1[[#This Row],[Дата поступления]]-Таблица1[[#This Row],[Дата рождения]]</f>
        <v>0</v>
      </c>
    </row>
    <row r="2201" spans="18:19" x14ac:dyDescent="0.25">
      <c r="R2201" s="2">
        <f>Таблица1[[#This Row],[Дата перевода]]-Таблица1[[#This Row],[Дата поступления]]</f>
        <v>0</v>
      </c>
      <c r="S2201" s="2">
        <f>Таблица1[[#This Row],[Дата поступления]]-Таблица1[[#This Row],[Дата рождения]]</f>
        <v>0</v>
      </c>
    </row>
    <row r="2202" spans="18:19" x14ac:dyDescent="0.25">
      <c r="R2202" s="2">
        <f>Таблица1[[#This Row],[Дата перевода]]-Таблица1[[#This Row],[Дата поступления]]</f>
        <v>0</v>
      </c>
      <c r="S2202" s="2">
        <f>Таблица1[[#This Row],[Дата поступления]]-Таблица1[[#This Row],[Дата рождения]]</f>
        <v>0</v>
      </c>
    </row>
    <row r="2203" spans="18:19" x14ac:dyDescent="0.25">
      <c r="R2203" s="2">
        <f>Таблица1[[#This Row],[Дата перевода]]-Таблица1[[#This Row],[Дата поступления]]</f>
        <v>0</v>
      </c>
      <c r="S2203" s="2">
        <f>Таблица1[[#This Row],[Дата поступления]]-Таблица1[[#This Row],[Дата рождения]]</f>
        <v>0</v>
      </c>
    </row>
    <row r="2204" spans="18:19" x14ac:dyDescent="0.25">
      <c r="R2204" s="2">
        <f>Таблица1[[#This Row],[Дата перевода]]-Таблица1[[#This Row],[Дата поступления]]</f>
        <v>0</v>
      </c>
      <c r="S2204" s="2">
        <f>Таблица1[[#This Row],[Дата поступления]]-Таблица1[[#This Row],[Дата рождения]]</f>
        <v>0</v>
      </c>
    </row>
    <row r="2205" spans="18:19" x14ac:dyDescent="0.25">
      <c r="R2205" s="2">
        <f>Таблица1[[#This Row],[Дата перевода]]-Таблица1[[#This Row],[Дата поступления]]</f>
        <v>0</v>
      </c>
      <c r="S2205" s="2">
        <f>Таблица1[[#This Row],[Дата поступления]]-Таблица1[[#This Row],[Дата рождения]]</f>
        <v>0</v>
      </c>
    </row>
    <row r="2206" spans="18:19" x14ac:dyDescent="0.25">
      <c r="R2206" s="2">
        <f>Таблица1[[#This Row],[Дата перевода]]-Таблица1[[#This Row],[Дата поступления]]</f>
        <v>0</v>
      </c>
      <c r="S2206" s="2">
        <f>Таблица1[[#This Row],[Дата поступления]]-Таблица1[[#This Row],[Дата рождения]]</f>
        <v>0</v>
      </c>
    </row>
    <row r="2207" spans="18:19" x14ac:dyDescent="0.25">
      <c r="R2207" s="2">
        <f>Таблица1[[#This Row],[Дата перевода]]-Таблица1[[#This Row],[Дата поступления]]</f>
        <v>0</v>
      </c>
      <c r="S2207" s="2">
        <f>Таблица1[[#This Row],[Дата поступления]]-Таблица1[[#This Row],[Дата рождения]]</f>
        <v>0</v>
      </c>
    </row>
    <row r="2208" spans="18:19" x14ac:dyDescent="0.25">
      <c r="R2208" s="2">
        <f>Таблица1[[#This Row],[Дата перевода]]-Таблица1[[#This Row],[Дата поступления]]</f>
        <v>0</v>
      </c>
      <c r="S2208" s="2">
        <f>Таблица1[[#This Row],[Дата поступления]]-Таблица1[[#This Row],[Дата рождения]]</f>
        <v>0</v>
      </c>
    </row>
    <row r="2209" spans="18:19" x14ac:dyDescent="0.25">
      <c r="R2209" s="2">
        <f>Таблица1[[#This Row],[Дата перевода]]-Таблица1[[#This Row],[Дата поступления]]</f>
        <v>0</v>
      </c>
      <c r="S2209" s="2">
        <f>Таблица1[[#This Row],[Дата поступления]]-Таблица1[[#This Row],[Дата рождения]]</f>
        <v>0</v>
      </c>
    </row>
    <row r="2210" spans="18:19" x14ac:dyDescent="0.25">
      <c r="R2210" s="2">
        <f>Таблица1[[#This Row],[Дата перевода]]-Таблица1[[#This Row],[Дата поступления]]</f>
        <v>0</v>
      </c>
      <c r="S2210" s="2">
        <f>Таблица1[[#This Row],[Дата поступления]]-Таблица1[[#This Row],[Дата рождения]]</f>
        <v>0</v>
      </c>
    </row>
    <row r="2211" spans="18:19" x14ac:dyDescent="0.25">
      <c r="R2211" s="2">
        <f>Таблица1[[#This Row],[Дата перевода]]-Таблица1[[#This Row],[Дата поступления]]</f>
        <v>0</v>
      </c>
      <c r="S2211" s="2">
        <f>Таблица1[[#This Row],[Дата поступления]]-Таблица1[[#This Row],[Дата рождения]]</f>
        <v>0</v>
      </c>
    </row>
    <row r="2212" spans="18:19" x14ac:dyDescent="0.25">
      <c r="R2212" s="2">
        <f>Таблица1[[#This Row],[Дата перевода]]-Таблица1[[#This Row],[Дата поступления]]</f>
        <v>0</v>
      </c>
      <c r="S2212" s="2">
        <f>Таблица1[[#This Row],[Дата поступления]]-Таблица1[[#This Row],[Дата рождения]]</f>
        <v>0</v>
      </c>
    </row>
    <row r="2213" spans="18:19" x14ac:dyDescent="0.25">
      <c r="R2213" s="2">
        <f>Таблица1[[#This Row],[Дата перевода]]-Таблица1[[#This Row],[Дата поступления]]</f>
        <v>0</v>
      </c>
      <c r="S2213" s="2">
        <f>Таблица1[[#This Row],[Дата поступления]]-Таблица1[[#This Row],[Дата рождения]]</f>
        <v>0</v>
      </c>
    </row>
    <row r="2214" spans="18:19" x14ac:dyDescent="0.25">
      <c r="R2214" s="2">
        <f>Таблица1[[#This Row],[Дата перевода]]-Таблица1[[#This Row],[Дата поступления]]</f>
        <v>0</v>
      </c>
      <c r="S2214" s="2">
        <f>Таблица1[[#This Row],[Дата поступления]]-Таблица1[[#This Row],[Дата рождения]]</f>
        <v>0</v>
      </c>
    </row>
    <row r="2215" spans="18:19" x14ac:dyDescent="0.25">
      <c r="R2215" s="2">
        <f>Таблица1[[#This Row],[Дата перевода]]-Таблица1[[#This Row],[Дата поступления]]</f>
        <v>0</v>
      </c>
      <c r="S2215" s="2">
        <f>Таблица1[[#This Row],[Дата поступления]]-Таблица1[[#This Row],[Дата рождения]]</f>
        <v>0</v>
      </c>
    </row>
    <row r="2216" spans="18:19" x14ac:dyDescent="0.25">
      <c r="R2216" s="2">
        <f>Таблица1[[#This Row],[Дата перевода]]-Таблица1[[#This Row],[Дата поступления]]</f>
        <v>0</v>
      </c>
      <c r="S2216" s="2">
        <f>Таблица1[[#This Row],[Дата поступления]]-Таблица1[[#This Row],[Дата рождения]]</f>
        <v>0</v>
      </c>
    </row>
    <row r="2217" spans="18:19" x14ac:dyDescent="0.25">
      <c r="R2217" s="2">
        <f>Таблица1[[#This Row],[Дата перевода]]-Таблица1[[#This Row],[Дата поступления]]</f>
        <v>0</v>
      </c>
      <c r="S2217" s="2">
        <f>Таблица1[[#This Row],[Дата поступления]]-Таблица1[[#This Row],[Дата рождения]]</f>
        <v>0</v>
      </c>
    </row>
    <row r="2218" spans="18:19" x14ac:dyDescent="0.25">
      <c r="R2218" s="2">
        <f>Таблица1[[#This Row],[Дата перевода]]-Таблица1[[#This Row],[Дата поступления]]</f>
        <v>0</v>
      </c>
      <c r="S2218" s="2">
        <f>Таблица1[[#This Row],[Дата поступления]]-Таблица1[[#This Row],[Дата рождения]]</f>
        <v>0</v>
      </c>
    </row>
    <row r="2219" spans="18:19" x14ac:dyDescent="0.25">
      <c r="R2219" s="2">
        <f>Таблица1[[#This Row],[Дата перевода]]-Таблица1[[#This Row],[Дата поступления]]</f>
        <v>0</v>
      </c>
      <c r="S2219" s="2">
        <f>Таблица1[[#This Row],[Дата поступления]]-Таблица1[[#This Row],[Дата рождения]]</f>
        <v>0</v>
      </c>
    </row>
    <row r="2220" spans="18:19" x14ac:dyDescent="0.25">
      <c r="R2220" s="2">
        <f>Таблица1[[#This Row],[Дата перевода]]-Таблица1[[#This Row],[Дата поступления]]</f>
        <v>0</v>
      </c>
      <c r="S2220" s="2">
        <f>Таблица1[[#This Row],[Дата поступления]]-Таблица1[[#This Row],[Дата рождения]]</f>
        <v>0</v>
      </c>
    </row>
    <row r="2221" spans="18:19" x14ac:dyDescent="0.25">
      <c r="R2221" s="2">
        <f>Таблица1[[#This Row],[Дата перевода]]-Таблица1[[#This Row],[Дата поступления]]</f>
        <v>0</v>
      </c>
      <c r="S2221" s="2">
        <f>Таблица1[[#This Row],[Дата поступления]]-Таблица1[[#This Row],[Дата рождения]]</f>
        <v>0</v>
      </c>
    </row>
    <row r="2222" spans="18:19" x14ac:dyDescent="0.25">
      <c r="R2222" s="2">
        <f>Таблица1[[#This Row],[Дата перевода]]-Таблица1[[#This Row],[Дата поступления]]</f>
        <v>0</v>
      </c>
      <c r="S2222" s="2">
        <f>Таблица1[[#This Row],[Дата поступления]]-Таблица1[[#This Row],[Дата рождения]]</f>
        <v>0</v>
      </c>
    </row>
    <row r="2223" spans="18:19" x14ac:dyDescent="0.25">
      <c r="R2223" s="2">
        <f>Таблица1[[#This Row],[Дата перевода]]-Таблица1[[#This Row],[Дата поступления]]</f>
        <v>0</v>
      </c>
      <c r="S2223" s="2">
        <f>Таблица1[[#This Row],[Дата поступления]]-Таблица1[[#This Row],[Дата рождения]]</f>
        <v>0</v>
      </c>
    </row>
    <row r="2224" spans="18:19" x14ac:dyDescent="0.25">
      <c r="R2224" s="2">
        <f>Таблица1[[#This Row],[Дата перевода]]-Таблица1[[#This Row],[Дата поступления]]</f>
        <v>0</v>
      </c>
      <c r="S2224" s="2">
        <f>Таблица1[[#This Row],[Дата поступления]]-Таблица1[[#This Row],[Дата рождения]]</f>
        <v>0</v>
      </c>
    </row>
    <row r="2225" spans="18:19" x14ac:dyDescent="0.25">
      <c r="R2225" s="2">
        <f>Таблица1[[#This Row],[Дата перевода]]-Таблица1[[#This Row],[Дата поступления]]</f>
        <v>0</v>
      </c>
      <c r="S2225" s="2">
        <f>Таблица1[[#This Row],[Дата поступления]]-Таблица1[[#This Row],[Дата рождения]]</f>
        <v>0</v>
      </c>
    </row>
    <row r="2226" spans="18:19" x14ac:dyDescent="0.25">
      <c r="R2226" s="2">
        <f>Таблица1[[#This Row],[Дата перевода]]-Таблица1[[#This Row],[Дата поступления]]</f>
        <v>0</v>
      </c>
      <c r="S2226" s="2">
        <f>Таблица1[[#This Row],[Дата поступления]]-Таблица1[[#This Row],[Дата рождения]]</f>
        <v>0</v>
      </c>
    </row>
    <row r="2227" spans="18:19" x14ac:dyDescent="0.25">
      <c r="R2227" s="2">
        <f>Таблица1[[#This Row],[Дата перевода]]-Таблица1[[#This Row],[Дата поступления]]</f>
        <v>0</v>
      </c>
      <c r="S2227" s="2">
        <f>Таблица1[[#This Row],[Дата поступления]]-Таблица1[[#This Row],[Дата рождения]]</f>
        <v>0</v>
      </c>
    </row>
    <row r="2228" spans="18:19" x14ac:dyDescent="0.25">
      <c r="R2228" s="2">
        <f>Таблица1[[#This Row],[Дата перевода]]-Таблица1[[#This Row],[Дата поступления]]</f>
        <v>0</v>
      </c>
      <c r="S2228" s="2">
        <f>Таблица1[[#This Row],[Дата поступления]]-Таблица1[[#This Row],[Дата рождения]]</f>
        <v>0</v>
      </c>
    </row>
    <row r="2229" spans="18:19" x14ac:dyDescent="0.25">
      <c r="R2229" s="2">
        <f>Таблица1[[#This Row],[Дата перевода]]-Таблица1[[#This Row],[Дата поступления]]</f>
        <v>0</v>
      </c>
      <c r="S2229" s="2">
        <f>Таблица1[[#This Row],[Дата поступления]]-Таблица1[[#This Row],[Дата рождения]]</f>
        <v>0</v>
      </c>
    </row>
    <row r="2230" spans="18:19" x14ac:dyDescent="0.25">
      <c r="R2230" s="2">
        <f>Таблица1[[#This Row],[Дата перевода]]-Таблица1[[#This Row],[Дата поступления]]</f>
        <v>0</v>
      </c>
      <c r="S2230" s="2">
        <f>Таблица1[[#This Row],[Дата поступления]]-Таблица1[[#This Row],[Дата рождения]]</f>
        <v>0</v>
      </c>
    </row>
    <row r="2231" spans="18:19" x14ac:dyDescent="0.25">
      <c r="R2231" s="2">
        <f>Таблица1[[#This Row],[Дата перевода]]-Таблица1[[#This Row],[Дата поступления]]</f>
        <v>0</v>
      </c>
      <c r="S2231" s="2">
        <f>Таблица1[[#This Row],[Дата поступления]]-Таблица1[[#This Row],[Дата рождения]]</f>
        <v>0</v>
      </c>
    </row>
    <row r="2232" spans="18:19" x14ac:dyDescent="0.25">
      <c r="R2232" s="2">
        <f>Таблица1[[#This Row],[Дата перевода]]-Таблица1[[#This Row],[Дата поступления]]</f>
        <v>0</v>
      </c>
      <c r="S2232" s="2">
        <f>Таблица1[[#This Row],[Дата поступления]]-Таблица1[[#This Row],[Дата рождения]]</f>
        <v>0</v>
      </c>
    </row>
    <row r="2233" spans="18:19" x14ac:dyDescent="0.25">
      <c r="R2233" s="2">
        <f>Таблица1[[#This Row],[Дата перевода]]-Таблица1[[#This Row],[Дата поступления]]</f>
        <v>0</v>
      </c>
      <c r="S2233" s="2">
        <f>Таблица1[[#This Row],[Дата поступления]]-Таблица1[[#This Row],[Дата рождения]]</f>
        <v>0</v>
      </c>
    </row>
    <row r="2234" spans="18:19" x14ac:dyDescent="0.25">
      <c r="R2234" s="2">
        <f>Таблица1[[#This Row],[Дата перевода]]-Таблица1[[#This Row],[Дата поступления]]</f>
        <v>0</v>
      </c>
      <c r="S2234" s="2">
        <f>Таблица1[[#This Row],[Дата поступления]]-Таблица1[[#This Row],[Дата рождения]]</f>
        <v>0</v>
      </c>
    </row>
    <row r="2235" spans="18:19" x14ac:dyDescent="0.25">
      <c r="R2235" s="2">
        <f>Таблица1[[#This Row],[Дата перевода]]-Таблица1[[#This Row],[Дата поступления]]</f>
        <v>0</v>
      </c>
      <c r="S2235" s="2">
        <f>Таблица1[[#This Row],[Дата поступления]]-Таблица1[[#This Row],[Дата рождения]]</f>
        <v>0</v>
      </c>
    </row>
    <row r="2236" spans="18:19" x14ac:dyDescent="0.25">
      <c r="R2236" s="2">
        <f>Таблица1[[#This Row],[Дата перевода]]-Таблица1[[#This Row],[Дата поступления]]</f>
        <v>0</v>
      </c>
      <c r="S2236" s="2">
        <f>Таблица1[[#This Row],[Дата поступления]]-Таблица1[[#This Row],[Дата рождения]]</f>
        <v>0</v>
      </c>
    </row>
    <row r="2237" spans="18:19" x14ac:dyDescent="0.25">
      <c r="R2237" s="2">
        <f>Таблица1[[#This Row],[Дата перевода]]-Таблица1[[#This Row],[Дата поступления]]</f>
        <v>0</v>
      </c>
      <c r="S2237" s="2">
        <f>Таблица1[[#This Row],[Дата поступления]]-Таблица1[[#This Row],[Дата рождения]]</f>
        <v>0</v>
      </c>
    </row>
    <row r="2238" spans="18:19" x14ac:dyDescent="0.25">
      <c r="R2238" s="2">
        <f>Таблица1[[#This Row],[Дата перевода]]-Таблица1[[#This Row],[Дата поступления]]</f>
        <v>0</v>
      </c>
      <c r="S2238" s="2">
        <f>Таблица1[[#This Row],[Дата поступления]]-Таблица1[[#This Row],[Дата рождения]]</f>
        <v>0</v>
      </c>
    </row>
    <row r="2239" spans="18:19" x14ac:dyDescent="0.25">
      <c r="R2239" s="2">
        <f>Таблица1[[#This Row],[Дата перевода]]-Таблица1[[#This Row],[Дата поступления]]</f>
        <v>0</v>
      </c>
      <c r="S2239" s="2">
        <f>Таблица1[[#This Row],[Дата поступления]]-Таблица1[[#This Row],[Дата рождения]]</f>
        <v>0</v>
      </c>
    </row>
    <row r="2240" spans="18:19" x14ac:dyDescent="0.25">
      <c r="R2240" s="2">
        <f>Таблица1[[#This Row],[Дата перевода]]-Таблица1[[#This Row],[Дата поступления]]</f>
        <v>0</v>
      </c>
      <c r="S2240" s="2">
        <f>Таблица1[[#This Row],[Дата поступления]]-Таблица1[[#This Row],[Дата рождения]]</f>
        <v>0</v>
      </c>
    </row>
    <row r="2241" spans="18:19" x14ac:dyDescent="0.25">
      <c r="R2241" s="2">
        <f>Таблица1[[#This Row],[Дата перевода]]-Таблица1[[#This Row],[Дата поступления]]</f>
        <v>0</v>
      </c>
      <c r="S2241" s="2">
        <f>Таблица1[[#This Row],[Дата поступления]]-Таблица1[[#This Row],[Дата рождения]]</f>
        <v>0</v>
      </c>
    </row>
    <row r="2242" spans="18:19" x14ac:dyDescent="0.25">
      <c r="R2242" s="2">
        <f>Таблица1[[#This Row],[Дата перевода]]-Таблица1[[#This Row],[Дата поступления]]</f>
        <v>0</v>
      </c>
      <c r="S2242" s="2">
        <f>Таблица1[[#This Row],[Дата поступления]]-Таблица1[[#This Row],[Дата рождения]]</f>
        <v>0</v>
      </c>
    </row>
    <row r="2243" spans="18:19" x14ac:dyDescent="0.25">
      <c r="R2243" s="2">
        <f>Таблица1[[#This Row],[Дата перевода]]-Таблица1[[#This Row],[Дата поступления]]</f>
        <v>0</v>
      </c>
      <c r="S2243" s="2">
        <f>Таблица1[[#This Row],[Дата поступления]]-Таблица1[[#This Row],[Дата рождения]]</f>
        <v>0</v>
      </c>
    </row>
    <row r="2244" spans="18:19" x14ac:dyDescent="0.25">
      <c r="R2244" s="2">
        <f>Таблица1[[#This Row],[Дата перевода]]-Таблица1[[#This Row],[Дата поступления]]</f>
        <v>0</v>
      </c>
      <c r="S2244" s="2">
        <f>Таблица1[[#This Row],[Дата поступления]]-Таблица1[[#This Row],[Дата рождения]]</f>
        <v>0</v>
      </c>
    </row>
    <row r="2245" spans="18:19" x14ac:dyDescent="0.25">
      <c r="R2245" s="2">
        <f>Таблица1[[#This Row],[Дата перевода]]-Таблица1[[#This Row],[Дата поступления]]</f>
        <v>0</v>
      </c>
      <c r="S2245" s="2">
        <f>Таблица1[[#This Row],[Дата поступления]]-Таблица1[[#This Row],[Дата рождения]]</f>
        <v>0</v>
      </c>
    </row>
    <row r="2246" spans="18:19" x14ac:dyDescent="0.25">
      <c r="R2246" s="2">
        <f>Таблица1[[#This Row],[Дата перевода]]-Таблица1[[#This Row],[Дата поступления]]</f>
        <v>0</v>
      </c>
      <c r="S2246" s="2">
        <f>Таблица1[[#This Row],[Дата поступления]]-Таблица1[[#This Row],[Дата рождения]]</f>
        <v>0</v>
      </c>
    </row>
    <row r="2247" spans="18:19" x14ac:dyDescent="0.25">
      <c r="R2247" s="2">
        <f>Таблица1[[#This Row],[Дата перевода]]-Таблица1[[#This Row],[Дата поступления]]</f>
        <v>0</v>
      </c>
      <c r="S2247" s="2">
        <f>Таблица1[[#This Row],[Дата поступления]]-Таблица1[[#This Row],[Дата рождения]]</f>
        <v>0</v>
      </c>
    </row>
    <row r="2248" spans="18:19" x14ac:dyDescent="0.25">
      <c r="R2248" s="2">
        <f>Таблица1[[#This Row],[Дата перевода]]-Таблица1[[#This Row],[Дата поступления]]</f>
        <v>0</v>
      </c>
      <c r="S2248" s="2">
        <f>Таблица1[[#This Row],[Дата поступления]]-Таблица1[[#This Row],[Дата рождения]]</f>
        <v>0</v>
      </c>
    </row>
    <row r="2249" spans="18:19" x14ac:dyDescent="0.25">
      <c r="R2249" s="2">
        <f>Таблица1[[#This Row],[Дата перевода]]-Таблица1[[#This Row],[Дата поступления]]</f>
        <v>0</v>
      </c>
      <c r="S2249" s="2">
        <f>Таблица1[[#This Row],[Дата поступления]]-Таблица1[[#This Row],[Дата рождения]]</f>
        <v>0</v>
      </c>
    </row>
    <row r="2250" spans="18:19" x14ac:dyDescent="0.25">
      <c r="R2250" s="2">
        <f>Таблица1[[#This Row],[Дата перевода]]-Таблица1[[#This Row],[Дата поступления]]</f>
        <v>0</v>
      </c>
      <c r="S2250" s="2">
        <f>Таблица1[[#This Row],[Дата поступления]]-Таблица1[[#This Row],[Дата рождения]]</f>
        <v>0</v>
      </c>
    </row>
    <row r="2251" spans="18:19" x14ac:dyDescent="0.25">
      <c r="R2251" s="2">
        <f>Таблица1[[#This Row],[Дата перевода]]-Таблица1[[#This Row],[Дата поступления]]</f>
        <v>0</v>
      </c>
      <c r="S2251" s="2">
        <f>Таблица1[[#This Row],[Дата поступления]]-Таблица1[[#This Row],[Дата рождения]]</f>
        <v>0</v>
      </c>
    </row>
    <row r="2252" spans="18:19" x14ac:dyDescent="0.25">
      <c r="R2252" s="2">
        <f>Таблица1[[#This Row],[Дата перевода]]-Таблица1[[#This Row],[Дата поступления]]</f>
        <v>0</v>
      </c>
      <c r="S2252" s="2">
        <f>Таблица1[[#This Row],[Дата поступления]]-Таблица1[[#This Row],[Дата рождения]]</f>
        <v>0</v>
      </c>
    </row>
    <row r="2253" spans="18:19" x14ac:dyDescent="0.25">
      <c r="R2253" s="2">
        <f>Таблица1[[#This Row],[Дата перевода]]-Таблица1[[#This Row],[Дата поступления]]</f>
        <v>0</v>
      </c>
      <c r="S2253" s="2">
        <f>Таблица1[[#This Row],[Дата поступления]]-Таблица1[[#This Row],[Дата рождения]]</f>
        <v>0</v>
      </c>
    </row>
    <row r="2254" spans="18:19" x14ac:dyDescent="0.25">
      <c r="R2254" s="2">
        <f>Таблица1[[#This Row],[Дата перевода]]-Таблица1[[#This Row],[Дата поступления]]</f>
        <v>0</v>
      </c>
      <c r="S2254" s="2">
        <f>Таблица1[[#This Row],[Дата поступления]]-Таблица1[[#This Row],[Дата рождения]]</f>
        <v>0</v>
      </c>
    </row>
    <row r="2255" spans="18:19" x14ac:dyDescent="0.25">
      <c r="R2255" s="2">
        <f>Таблица1[[#This Row],[Дата перевода]]-Таблица1[[#This Row],[Дата поступления]]</f>
        <v>0</v>
      </c>
      <c r="S2255" s="2">
        <f>Таблица1[[#This Row],[Дата поступления]]-Таблица1[[#This Row],[Дата рождения]]</f>
        <v>0</v>
      </c>
    </row>
    <row r="2256" spans="18:19" x14ac:dyDescent="0.25">
      <c r="R2256" s="2">
        <f>Таблица1[[#This Row],[Дата перевода]]-Таблица1[[#This Row],[Дата поступления]]</f>
        <v>0</v>
      </c>
      <c r="S2256" s="2">
        <f>Таблица1[[#This Row],[Дата поступления]]-Таблица1[[#This Row],[Дата рождения]]</f>
        <v>0</v>
      </c>
    </row>
    <row r="2257" spans="18:19" x14ac:dyDescent="0.25">
      <c r="R2257" s="2">
        <f>Таблица1[[#This Row],[Дата перевода]]-Таблица1[[#This Row],[Дата поступления]]</f>
        <v>0</v>
      </c>
      <c r="S2257" s="2">
        <f>Таблица1[[#This Row],[Дата поступления]]-Таблица1[[#This Row],[Дата рождения]]</f>
        <v>0</v>
      </c>
    </row>
    <row r="2258" spans="18:19" x14ac:dyDescent="0.25">
      <c r="R2258" s="2">
        <f>Таблица1[[#This Row],[Дата перевода]]-Таблица1[[#This Row],[Дата поступления]]</f>
        <v>0</v>
      </c>
      <c r="S2258" s="2">
        <f>Таблица1[[#This Row],[Дата поступления]]-Таблица1[[#This Row],[Дата рождения]]</f>
        <v>0</v>
      </c>
    </row>
    <row r="2259" spans="18:19" x14ac:dyDescent="0.25">
      <c r="R2259" s="2">
        <f>Таблица1[[#This Row],[Дата перевода]]-Таблица1[[#This Row],[Дата поступления]]</f>
        <v>0</v>
      </c>
      <c r="S2259" s="2">
        <f>Таблица1[[#This Row],[Дата поступления]]-Таблица1[[#This Row],[Дата рождения]]</f>
        <v>0</v>
      </c>
    </row>
    <row r="2260" spans="18:19" x14ac:dyDescent="0.25">
      <c r="R2260" s="2">
        <f>Таблица1[[#This Row],[Дата перевода]]-Таблица1[[#This Row],[Дата поступления]]</f>
        <v>0</v>
      </c>
      <c r="S2260" s="2">
        <f>Таблица1[[#This Row],[Дата поступления]]-Таблица1[[#This Row],[Дата рождения]]</f>
        <v>0</v>
      </c>
    </row>
    <row r="2261" spans="18:19" x14ac:dyDescent="0.25">
      <c r="R2261" s="2">
        <f>Таблица1[[#This Row],[Дата перевода]]-Таблица1[[#This Row],[Дата поступления]]</f>
        <v>0</v>
      </c>
      <c r="S2261" s="2">
        <f>Таблица1[[#This Row],[Дата поступления]]-Таблица1[[#This Row],[Дата рождения]]</f>
        <v>0</v>
      </c>
    </row>
    <row r="2262" spans="18:19" x14ac:dyDescent="0.25">
      <c r="R2262" s="2">
        <f>Таблица1[[#This Row],[Дата перевода]]-Таблица1[[#This Row],[Дата поступления]]</f>
        <v>0</v>
      </c>
      <c r="S2262" s="2">
        <f>Таблица1[[#This Row],[Дата поступления]]-Таблица1[[#This Row],[Дата рождения]]</f>
        <v>0</v>
      </c>
    </row>
    <row r="2263" spans="18:19" x14ac:dyDescent="0.25">
      <c r="R2263" s="2">
        <f>Таблица1[[#This Row],[Дата перевода]]-Таблица1[[#This Row],[Дата поступления]]</f>
        <v>0</v>
      </c>
      <c r="S2263" s="2">
        <f>Таблица1[[#This Row],[Дата поступления]]-Таблица1[[#This Row],[Дата рождения]]</f>
        <v>0</v>
      </c>
    </row>
    <row r="2264" spans="18:19" x14ac:dyDescent="0.25">
      <c r="R2264" s="2">
        <f>Таблица1[[#This Row],[Дата перевода]]-Таблица1[[#This Row],[Дата поступления]]</f>
        <v>0</v>
      </c>
      <c r="S2264" s="2">
        <f>Таблица1[[#This Row],[Дата поступления]]-Таблица1[[#This Row],[Дата рождения]]</f>
        <v>0</v>
      </c>
    </row>
    <row r="2265" spans="18:19" x14ac:dyDescent="0.25">
      <c r="R2265" s="2">
        <f>Таблица1[[#This Row],[Дата перевода]]-Таблица1[[#This Row],[Дата поступления]]</f>
        <v>0</v>
      </c>
      <c r="S2265" s="2">
        <f>Таблица1[[#This Row],[Дата поступления]]-Таблица1[[#This Row],[Дата рождения]]</f>
        <v>0</v>
      </c>
    </row>
    <row r="2266" spans="18:19" x14ac:dyDescent="0.25">
      <c r="R2266" s="2">
        <f>Таблица1[[#This Row],[Дата перевода]]-Таблица1[[#This Row],[Дата поступления]]</f>
        <v>0</v>
      </c>
      <c r="S2266" s="2">
        <f>Таблица1[[#This Row],[Дата поступления]]-Таблица1[[#This Row],[Дата рождения]]</f>
        <v>0</v>
      </c>
    </row>
    <row r="2267" spans="18:19" x14ac:dyDescent="0.25">
      <c r="R2267" s="2">
        <f>Таблица1[[#This Row],[Дата перевода]]-Таблица1[[#This Row],[Дата поступления]]</f>
        <v>0</v>
      </c>
      <c r="S2267" s="2">
        <f>Таблица1[[#This Row],[Дата поступления]]-Таблица1[[#This Row],[Дата рождения]]</f>
        <v>0</v>
      </c>
    </row>
    <row r="2268" spans="18:19" x14ac:dyDescent="0.25">
      <c r="R2268" s="2">
        <f>Таблица1[[#This Row],[Дата перевода]]-Таблица1[[#This Row],[Дата поступления]]</f>
        <v>0</v>
      </c>
      <c r="S2268" s="2">
        <f>Таблица1[[#This Row],[Дата поступления]]-Таблица1[[#This Row],[Дата рождения]]</f>
        <v>0</v>
      </c>
    </row>
    <row r="2269" spans="18:19" x14ac:dyDescent="0.25">
      <c r="R2269" s="2">
        <f>Таблица1[[#This Row],[Дата перевода]]-Таблица1[[#This Row],[Дата поступления]]</f>
        <v>0</v>
      </c>
      <c r="S2269" s="2">
        <f>Таблица1[[#This Row],[Дата поступления]]-Таблица1[[#This Row],[Дата рождения]]</f>
        <v>0</v>
      </c>
    </row>
    <row r="2270" spans="18:19" x14ac:dyDescent="0.25">
      <c r="R2270" s="2">
        <f>Таблица1[[#This Row],[Дата перевода]]-Таблица1[[#This Row],[Дата поступления]]</f>
        <v>0</v>
      </c>
      <c r="S2270" s="2">
        <f>Таблица1[[#This Row],[Дата поступления]]-Таблица1[[#This Row],[Дата рождения]]</f>
        <v>0</v>
      </c>
    </row>
    <row r="2271" spans="18:19" x14ac:dyDescent="0.25">
      <c r="R2271" s="2">
        <f>Таблица1[[#This Row],[Дата перевода]]-Таблица1[[#This Row],[Дата поступления]]</f>
        <v>0</v>
      </c>
      <c r="S2271" s="2">
        <f>Таблица1[[#This Row],[Дата поступления]]-Таблица1[[#This Row],[Дата рождения]]</f>
        <v>0</v>
      </c>
    </row>
    <row r="2272" spans="18:19" x14ac:dyDescent="0.25">
      <c r="R2272" s="2">
        <f>Таблица1[[#This Row],[Дата перевода]]-Таблица1[[#This Row],[Дата поступления]]</f>
        <v>0</v>
      </c>
      <c r="S2272" s="2">
        <f>Таблица1[[#This Row],[Дата поступления]]-Таблица1[[#This Row],[Дата рождения]]</f>
        <v>0</v>
      </c>
    </row>
    <row r="2273" spans="18:19" x14ac:dyDescent="0.25">
      <c r="R2273" s="2">
        <f>Таблица1[[#This Row],[Дата перевода]]-Таблица1[[#This Row],[Дата поступления]]</f>
        <v>0</v>
      </c>
      <c r="S2273" s="2">
        <f>Таблица1[[#This Row],[Дата поступления]]-Таблица1[[#This Row],[Дата рождения]]</f>
        <v>0</v>
      </c>
    </row>
    <row r="2274" spans="18:19" x14ac:dyDescent="0.25">
      <c r="R2274" s="2">
        <f>Таблица1[[#This Row],[Дата перевода]]-Таблица1[[#This Row],[Дата поступления]]</f>
        <v>0</v>
      </c>
      <c r="S2274" s="2">
        <f>Таблица1[[#This Row],[Дата поступления]]-Таблица1[[#This Row],[Дата рождения]]</f>
        <v>0</v>
      </c>
    </row>
    <row r="2275" spans="18:19" x14ac:dyDescent="0.25">
      <c r="R2275" s="2">
        <f>Таблица1[[#This Row],[Дата перевода]]-Таблица1[[#This Row],[Дата поступления]]</f>
        <v>0</v>
      </c>
      <c r="S2275" s="2">
        <f>Таблица1[[#This Row],[Дата поступления]]-Таблица1[[#This Row],[Дата рождения]]</f>
        <v>0</v>
      </c>
    </row>
    <row r="2276" spans="18:19" x14ac:dyDescent="0.25">
      <c r="R2276" s="2">
        <f>Таблица1[[#This Row],[Дата перевода]]-Таблица1[[#This Row],[Дата поступления]]</f>
        <v>0</v>
      </c>
      <c r="S2276" s="2">
        <f>Таблица1[[#This Row],[Дата поступления]]-Таблица1[[#This Row],[Дата рождения]]</f>
        <v>0</v>
      </c>
    </row>
    <row r="2277" spans="18:19" x14ac:dyDescent="0.25">
      <c r="R2277" s="2">
        <f>Таблица1[[#This Row],[Дата перевода]]-Таблица1[[#This Row],[Дата поступления]]</f>
        <v>0</v>
      </c>
      <c r="S2277" s="2">
        <f>Таблица1[[#This Row],[Дата поступления]]-Таблица1[[#This Row],[Дата рождения]]</f>
        <v>0</v>
      </c>
    </row>
    <row r="2278" spans="18:19" x14ac:dyDescent="0.25">
      <c r="R2278" s="2">
        <f>Таблица1[[#This Row],[Дата перевода]]-Таблица1[[#This Row],[Дата поступления]]</f>
        <v>0</v>
      </c>
      <c r="S2278" s="2">
        <f>Таблица1[[#This Row],[Дата поступления]]-Таблица1[[#This Row],[Дата рождения]]</f>
        <v>0</v>
      </c>
    </row>
    <row r="2279" spans="18:19" x14ac:dyDescent="0.25">
      <c r="R2279" s="2">
        <f>Таблица1[[#This Row],[Дата перевода]]-Таблица1[[#This Row],[Дата поступления]]</f>
        <v>0</v>
      </c>
      <c r="S2279" s="2">
        <f>Таблица1[[#This Row],[Дата поступления]]-Таблица1[[#This Row],[Дата рождения]]</f>
        <v>0</v>
      </c>
    </row>
    <row r="2280" spans="18:19" x14ac:dyDescent="0.25">
      <c r="R2280" s="2">
        <f>Таблица1[[#This Row],[Дата перевода]]-Таблица1[[#This Row],[Дата поступления]]</f>
        <v>0</v>
      </c>
      <c r="S2280" s="2">
        <f>Таблица1[[#This Row],[Дата поступления]]-Таблица1[[#This Row],[Дата рождения]]</f>
        <v>0</v>
      </c>
    </row>
    <row r="2281" spans="18:19" x14ac:dyDescent="0.25">
      <c r="R2281" s="2">
        <f>Таблица1[[#This Row],[Дата перевода]]-Таблица1[[#This Row],[Дата поступления]]</f>
        <v>0</v>
      </c>
      <c r="S2281" s="2">
        <f>Таблица1[[#This Row],[Дата поступления]]-Таблица1[[#This Row],[Дата рождения]]</f>
        <v>0</v>
      </c>
    </row>
    <row r="2282" spans="18:19" x14ac:dyDescent="0.25">
      <c r="R2282" s="2">
        <f>Таблица1[[#This Row],[Дата перевода]]-Таблица1[[#This Row],[Дата поступления]]</f>
        <v>0</v>
      </c>
      <c r="S2282" s="2">
        <f>Таблица1[[#This Row],[Дата поступления]]-Таблица1[[#This Row],[Дата рождения]]</f>
        <v>0</v>
      </c>
    </row>
    <row r="2283" spans="18:19" x14ac:dyDescent="0.25">
      <c r="R2283" s="2">
        <f>Таблица1[[#This Row],[Дата перевода]]-Таблица1[[#This Row],[Дата поступления]]</f>
        <v>0</v>
      </c>
      <c r="S2283" s="2">
        <f>Таблица1[[#This Row],[Дата поступления]]-Таблица1[[#This Row],[Дата рождения]]</f>
        <v>0</v>
      </c>
    </row>
    <row r="2284" spans="18:19" x14ac:dyDescent="0.25">
      <c r="R2284" s="2">
        <f>Таблица1[[#This Row],[Дата перевода]]-Таблица1[[#This Row],[Дата поступления]]</f>
        <v>0</v>
      </c>
      <c r="S2284" s="2">
        <f>Таблица1[[#This Row],[Дата поступления]]-Таблица1[[#This Row],[Дата рождения]]</f>
        <v>0</v>
      </c>
    </row>
    <row r="2285" spans="18:19" x14ac:dyDescent="0.25">
      <c r="R2285" s="2">
        <f>Таблица1[[#This Row],[Дата перевода]]-Таблица1[[#This Row],[Дата поступления]]</f>
        <v>0</v>
      </c>
      <c r="S2285" s="2">
        <f>Таблица1[[#This Row],[Дата поступления]]-Таблица1[[#This Row],[Дата рождения]]</f>
        <v>0</v>
      </c>
    </row>
    <row r="2286" spans="18:19" x14ac:dyDescent="0.25">
      <c r="R2286" s="2">
        <f>Таблица1[[#This Row],[Дата перевода]]-Таблица1[[#This Row],[Дата поступления]]</f>
        <v>0</v>
      </c>
      <c r="S2286" s="2">
        <f>Таблица1[[#This Row],[Дата поступления]]-Таблица1[[#This Row],[Дата рождения]]</f>
        <v>0</v>
      </c>
    </row>
    <row r="2287" spans="18:19" x14ac:dyDescent="0.25">
      <c r="R2287" s="2">
        <f>Таблица1[[#This Row],[Дата перевода]]-Таблица1[[#This Row],[Дата поступления]]</f>
        <v>0</v>
      </c>
      <c r="S2287" s="2">
        <f>Таблица1[[#This Row],[Дата поступления]]-Таблица1[[#This Row],[Дата рождения]]</f>
        <v>0</v>
      </c>
    </row>
    <row r="2288" spans="18:19" x14ac:dyDescent="0.25">
      <c r="R2288" s="2">
        <f>Таблица1[[#This Row],[Дата перевода]]-Таблица1[[#This Row],[Дата поступления]]</f>
        <v>0</v>
      </c>
      <c r="S2288" s="2">
        <f>Таблица1[[#This Row],[Дата поступления]]-Таблица1[[#This Row],[Дата рождения]]</f>
        <v>0</v>
      </c>
    </row>
    <row r="2289" spans="18:19" x14ac:dyDescent="0.25">
      <c r="R2289" s="2">
        <f>Таблица1[[#This Row],[Дата перевода]]-Таблица1[[#This Row],[Дата поступления]]</f>
        <v>0</v>
      </c>
      <c r="S2289" s="2">
        <f>Таблица1[[#This Row],[Дата поступления]]-Таблица1[[#This Row],[Дата рождения]]</f>
        <v>0</v>
      </c>
    </row>
    <row r="2290" spans="18:19" x14ac:dyDescent="0.25">
      <c r="R2290" s="2">
        <f>Таблица1[[#This Row],[Дата перевода]]-Таблица1[[#This Row],[Дата поступления]]</f>
        <v>0</v>
      </c>
      <c r="S2290" s="2">
        <f>Таблица1[[#This Row],[Дата поступления]]-Таблица1[[#This Row],[Дата рождения]]</f>
        <v>0</v>
      </c>
    </row>
    <row r="2291" spans="18:19" x14ac:dyDescent="0.25">
      <c r="R2291" s="2">
        <f>Таблица1[[#This Row],[Дата перевода]]-Таблица1[[#This Row],[Дата поступления]]</f>
        <v>0</v>
      </c>
      <c r="S2291" s="2">
        <f>Таблица1[[#This Row],[Дата поступления]]-Таблица1[[#This Row],[Дата рождения]]</f>
        <v>0</v>
      </c>
    </row>
    <row r="2292" spans="18:19" x14ac:dyDescent="0.25">
      <c r="R2292" s="2">
        <f>Таблица1[[#This Row],[Дата перевода]]-Таблица1[[#This Row],[Дата поступления]]</f>
        <v>0</v>
      </c>
      <c r="S2292" s="2">
        <f>Таблица1[[#This Row],[Дата поступления]]-Таблица1[[#This Row],[Дата рождения]]</f>
        <v>0</v>
      </c>
    </row>
    <row r="2293" spans="18:19" x14ac:dyDescent="0.25">
      <c r="R2293" s="2">
        <f>Таблица1[[#This Row],[Дата перевода]]-Таблица1[[#This Row],[Дата поступления]]</f>
        <v>0</v>
      </c>
      <c r="S2293" s="2">
        <f>Таблица1[[#This Row],[Дата поступления]]-Таблица1[[#This Row],[Дата рождения]]</f>
        <v>0</v>
      </c>
    </row>
    <row r="2294" spans="18:19" x14ac:dyDescent="0.25">
      <c r="R2294" s="2">
        <f>Таблица1[[#This Row],[Дата перевода]]-Таблица1[[#This Row],[Дата поступления]]</f>
        <v>0</v>
      </c>
      <c r="S2294" s="2">
        <f>Таблица1[[#This Row],[Дата поступления]]-Таблица1[[#This Row],[Дата рождения]]</f>
        <v>0</v>
      </c>
    </row>
    <row r="2295" spans="18:19" x14ac:dyDescent="0.25">
      <c r="R2295" s="2">
        <f>Таблица1[[#This Row],[Дата перевода]]-Таблица1[[#This Row],[Дата поступления]]</f>
        <v>0</v>
      </c>
      <c r="S2295" s="2">
        <f>Таблица1[[#This Row],[Дата поступления]]-Таблица1[[#This Row],[Дата рождения]]</f>
        <v>0</v>
      </c>
    </row>
    <row r="2296" spans="18:19" x14ac:dyDescent="0.25">
      <c r="R2296" s="2">
        <f>Таблица1[[#This Row],[Дата перевода]]-Таблица1[[#This Row],[Дата поступления]]</f>
        <v>0</v>
      </c>
      <c r="S2296" s="2">
        <f>Таблица1[[#This Row],[Дата поступления]]-Таблица1[[#This Row],[Дата рождения]]</f>
        <v>0</v>
      </c>
    </row>
    <row r="2297" spans="18:19" x14ac:dyDescent="0.25">
      <c r="R2297" s="2">
        <f>Таблица1[[#This Row],[Дата перевода]]-Таблица1[[#This Row],[Дата поступления]]</f>
        <v>0</v>
      </c>
      <c r="S2297" s="2">
        <f>Таблица1[[#This Row],[Дата поступления]]-Таблица1[[#This Row],[Дата рождения]]</f>
        <v>0</v>
      </c>
    </row>
    <row r="2298" spans="18:19" x14ac:dyDescent="0.25">
      <c r="R2298" s="2">
        <f>Таблица1[[#This Row],[Дата перевода]]-Таблица1[[#This Row],[Дата поступления]]</f>
        <v>0</v>
      </c>
      <c r="S2298" s="2">
        <f>Таблица1[[#This Row],[Дата поступления]]-Таблица1[[#This Row],[Дата рождения]]</f>
        <v>0</v>
      </c>
    </row>
    <row r="2299" spans="18:19" x14ac:dyDescent="0.25">
      <c r="R2299" s="2">
        <f>Таблица1[[#This Row],[Дата перевода]]-Таблица1[[#This Row],[Дата поступления]]</f>
        <v>0</v>
      </c>
      <c r="S2299" s="2">
        <f>Таблица1[[#This Row],[Дата поступления]]-Таблица1[[#This Row],[Дата рождения]]</f>
        <v>0</v>
      </c>
    </row>
    <row r="2300" spans="18:19" x14ac:dyDescent="0.25">
      <c r="R2300" s="2">
        <f>Таблица1[[#This Row],[Дата перевода]]-Таблица1[[#This Row],[Дата поступления]]</f>
        <v>0</v>
      </c>
      <c r="S2300" s="2">
        <f>Таблица1[[#This Row],[Дата поступления]]-Таблица1[[#This Row],[Дата рождения]]</f>
        <v>0</v>
      </c>
    </row>
    <row r="2301" spans="18:19" x14ac:dyDescent="0.25">
      <c r="R2301" s="2">
        <f>Таблица1[[#This Row],[Дата перевода]]-Таблица1[[#This Row],[Дата поступления]]</f>
        <v>0</v>
      </c>
      <c r="S2301" s="2">
        <f>Таблица1[[#This Row],[Дата поступления]]-Таблица1[[#This Row],[Дата рождения]]</f>
        <v>0</v>
      </c>
    </row>
    <row r="2302" spans="18:19" x14ac:dyDescent="0.25">
      <c r="R2302" s="2">
        <f>Таблица1[[#This Row],[Дата перевода]]-Таблица1[[#This Row],[Дата поступления]]</f>
        <v>0</v>
      </c>
      <c r="S2302" s="2">
        <f>Таблица1[[#This Row],[Дата поступления]]-Таблица1[[#This Row],[Дата рождения]]</f>
        <v>0</v>
      </c>
    </row>
    <row r="2303" spans="18:19" x14ac:dyDescent="0.25">
      <c r="R2303" s="2">
        <f>Таблица1[[#This Row],[Дата перевода]]-Таблица1[[#This Row],[Дата поступления]]</f>
        <v>0</v>
      </c>
      <c r="S2303" s="2">
        <f>Таблица1[[#This Row],[Дата поступления]]-Таблица1[[#This Row],[Дата рождения]]</f>
        <v>0</v>
      </c>
    </row>
    <row r="2304" spans="18:19" x14ac:dyDescent="0.25">
      <c r="R2304" s="2">
        <f>Таблица1[[#This Row],[Дата перевода]]-Таблица1[[#This Row],[Дата поступления]]</f>
        <v>0</v>
      </c>
      <c r="S2304" s="2">
        <f>Таблица1[[#This Row],[Дата поступления]]-Таблица1[[#This Row],[Дата рождения]]</f>
        <v>0</v>
      </c>
    </row>
    <row r="2305" spans="18:19" x14ac:dyDescent="0.25">
      <c r="R2305" s="2">
        <f>Таблица1[[#This Row],[Дата перевода]]-Таблица1[[#This Row],[Дата поступления]]</f>
        <v>0</v>
      </c>
      <c r="S2305" s="2">
        <f>Таблица1[[#This Row],[Дата поступления]]-Таблица1[[#This Row],[Дата рождения]]</f>
        <v>0</v>
      </c>
    </row>
    <row r="2306" spans="18:19" x14ac:dyDescent="0.25">
      <c r="R2306" s="2">
        <f>Таблица1[[#This Row],[Дата перевода]]-Таблица1[[#This Row],[Дата поступления]]</f>
        <v>0</v>
      </c>
      <c r="S2306" s="2">
        <f>Таблица1[[#This Row],[Дата поступления]]-Таблица1[[#This Row],[Дата рождения]]</f>
        <v>0</v>
      </c>
    </row>
    <row r="2307" spans="18:19" x14ac:dyDescent="0.25">
      <c r="R2307" s="2">
        <f>Таблица1[[#This Row],[Дата перевода]]-Таблица1[[#This Row],[Дата поступления]]</f>
        <v>0</v>
      </c>
      <c r="S2307" s="2">
        <f>Таблица1[[#This Row],[Дата поступления]]-Таблица1[[#This Row],[Дата рождения]]</f>
        <v>0</v>
      </c>
    </row>
    <row r="2308" spans="18:19" x14ac:dyDescent="0.25">
      <c r="R2308" s="2">
        <f>Таблица1[[#This Row],[Дата перевода]]-Таблица1[[#This Row],[Дата поступления]]</f>
        <v>0</v>
      </c>
      <c r="S2308" s="2">
        <f>Таблица1[[#This Row],[Дата поступления]]-Таблица1[[#This Row],[Дата рождения]]</f>
        <v>0</v>
      </c>
    </row>
    <row r="2309" spans="18:19" x14ac:dyDescent="0.25">
      <c r="R2309" s="2">
        <f>Таблица1[[#This Row],[Дата перевода]]-Таблица1[[#This Row],[Дата поступления]]</f>
        <v>0</v>
      </c>
      <c r="S2309" s="2">
        <f>Таблица1[[#This Row],[Дата поступления]]-Таблица1[[#This Row],[Дата рождения]]</f>
        <v>0</v>
      </c>
    </row>
    <row r="2310" spans="18:19" x14ac:dyDescent="0.25">
      <c r="R2310" s="2">
        <f>Таблица1[[#This Row],[Дата перевода]]-Таблица1[[#This Row],[Дата поступления]]</f>
        <v>0</v>
      </c>
      <c r="S2310" s="2">
        <f>Таблица1[[#This Row],[Дата поступления]]-Таблица1[[#This Row],[Дата рождения]]</f>
        <v>0</v>
      </c>
    </row>
    <row r="2311" spans="18:19" x14ac:dyDescent="0.25">
      <c r="R2311" s="2">
        <f>Таблица1[[#This Row],[Дата перевода]]-Таблица1[[#This Row],[Дата поступления]]</f>
        <v>0</v>
      </c>
      <c r="S2311" s="2">
        <f>Таблица1[[#This Row],[Дата поступления]]-Таблица1[[#This Row],[Дата рождения]]</f>
        <v>0</v>
      </c>
    </row>
    <row r="2312" spans="18:19" x14ac:dyDescent="0.25">
      <c r="R2312" s="2">
        <f>Таблица1[[#This Row],[Дата перевода]]-Таблица1[[#This Row],[Дата поступления]]</f>
        <v>0</v>
      </c>
      <c r="S2312" s="2">
        <f>Таблица1[[#This Row],[Дата поступления]]-Таблица1[[#This Row],[Дата рождения]]</f>
        <v>0</v>
      </c>
    </row>
    <row r="2313" spans="18:19" x14ac:dyDescent="0.25">
      <c r="R2313" s="2">
        <f>Таблица1[[#This Row],[Дата перевода]]-Таблица1[[#This Row],[Дата поступления]]</f>
        <v>0</v>
      </c>
      <c r="S2313" s="2">
        <f>Таблица1[[#This Row],[Дата поступления]]-Таблица1[[#This Row],[Дата рождения]]</f>
        <v>0</v>
      </c>
    </row>
    <row r="2314" spans="18:19" x14ac:dyDescent="0.25">
      <c r="R2314" s="2">
        <f>Таблица1[[#This Row],[Дата перевода]]-Таблица1[[#This Row],[Дата поступления]]</f>
        <v>0</v>
      </c>
      <c r="S2314" s="2">
        <f>Таблица1[[#This Row],[Дата поступления]]-Таблица1[[#This Row],[Дата рождения]]</f>
        <v>0</v>
      </c>
    </row>
    <row r="2315" spans="18:19" x14ac:dyDescent="0.25">
      <c r="R2315" s="2">
        <f>Таблица1[[#This Row],[Дата перевода]]-Таблица1[[#This Row],[Дата поступления]]</f>
        <v>0</v>
      </c>
      <c r="S2315" s="2">
        <f>Таблица1[[#This Row],[Дата поступления]]-Таблица1[[#This Row],[Дата рождения]]</f>
        <v>0</v>
      </c>
    </row>
    <row r="2316" spans="18:19" x14ac:dyDescent="0.25">
      <c r="R2316" s="2">
        <f>Таблица1[[#This Row],[Дата перевода]]-Таблица1[[#This Row],[Дата поступления]]</f>
        <v>0</v>
      </c>
      <c r="S2316" s="2">
        <f>Таблица1[[#This Row],[Дата поступления]]-Таблица1[[#This Row],[Дата рождения]]</f>
        <v>0</v>
      </c>
    </row>
    <row r="2317" spans="18:19" x14ac:dyDescent="0.25">
      <c r="R2317" s="2">
        <f>Таблица1[[#This Row],[Дата перевода]]-Таблица1[[#This Row],[Дата поступления]]</f>
        <v>0</v>
      </c>
      <c r="S2317" s="2">
        <f>Таблица1[[#This Row],[Дата поступления]]-Таблица1[[#This Row],[Дата рождения]]</f>
        <v>0</v>
      </c>
    </row>
    <row r="2318" spans="18:19" x14ac:dyDescent="0.25">
      <c r="R2318" s="2">
        <f>Таблица1[[#This Row],[Дата перевода]]-Таблица1[[#This Row],[Дата поступления]]</f>
        <v>0</v>
      </c>
      <c r="S2318" s="2">
        <f>Таблица1[[#This Row],[Дата поступления]]-Таблица1[[#This Row],[Дата рождения]]</f>
        <v>0</v>
      </c>
    </row>
    <row r="2319" spans="18:19" x14ac:dyDescent="0.25">
      <c r="R2319" s="2">
        <f>Таблица1[[#This Row],[Дата перевода]]-Таблица1[[#This Row],[Дата поступления]]</f>
        <v>0</v>
      </c>
      <c r="S2319" s="2">
        <f>Таблица1[[#This Row],[Дата поступления]]-Таблица1[[#This Row],[Дата рождения]]</f>
        <v>0</v>
      </c>
    </row>
    <row r="2320" spans="18:19" x14ac:dyDescent="0.25">
      <c r="R2320" s="2">
        <f>Таблица1[[#This Row],[Дата перевода]]-Таблица1[[#This Row],[Дата поступления]]</f>
        <v>0</v>
      </c>
      <c r="S2320" s="2">
        <f>Таблица1[[#This Row],[Дата поступления]]-Таблица1[[#This Row],[Дата рождения]]</f>
        <v>0</v>
      </c>
    </row>
    <row r="2321" spans="18:19" x14ac:dyDescent="0.25">
      <c r="R2321" s="2">
        <f>Таблица1[[#This Row],[Дата перевода]]-Таблица1[[#This Row],[Дата поступления]]</f>
        <v>0</v>
      </c>
      <c r="S2321" s="2">
        <f>Таблица1[[#This Row],[Дата поступления]]-Таблица1[[#This Row],[Дата рождения]]</f>
        <v>0</v>
      </c>
    </row>
    <row r="2322" spans="18:19" x14ac:dyDescent="0.25">
      <c r="R2322" s="2">
        <f>Таблица1[[#This Row],[Дата перевода]]-Таблица1[[#This Row],[Дата поступления]]</f>
        <v>0</v>
      </c>
      <c r="S2322" s="2">
        <f>Таблица1[[#This Row],[Дата поступления]]-Таблица1[[#This Row],[Дата рождения]]</f>
        <v>0</v>
      </c>
    </row>
    <row r="2323" spans="18:19" x14ac:dyDescent="0.25">
      <c r="R2323" s="2">
        <f>Таблица1[[#This Row],[Дата перевода]]-Таблица1[[#This Row],[Дата поступления]]</f>
        <v>0</v>
      </c>
      <c r="S2323" s="2">
        <f>Таблица1[[#This Row],[Дата поступления]]-Таблица1[[#This Row],[Дата рождения]]</f>
        <v>0</v>
      </c>
    </row>
    <row r="2324" spans="18:19" x14ac:dyDescent="0.25">
      <c r="R2324" s="2">
        <f>Таблица1[[#This Row],[Дата перевода]]-Таблица1[[#This Row],[Дата поступления]]</f>
        <v>0</v>
      </c>
      <c r="S2324" s="2">
        <f>Таблица1[[#This Row],[Дата поступления]]-Таблица1[[#This Row],[Дата рождения]]</f>
        <v>0</v>
      </c>
    </row>
    <row r="2325" spans="18:19" x14ac:dyDescent="0.25">
      <c r="R2325" s="2">
        <f>Таблица1[[#This Row],[Дата перевода]]-Таблица1[[#This Row],[Дата поступления]]</f>
        <v>0</v>
      </c>
      <c r="S2325" s="2">
        <f>Таблица1[[#This Row],[Дата поступления]]-Таблица1[[#This Row],[Дата рождения]]</f>
        <v>0</v>
      </c>
    </row>
    <row r="2326" spans="18:19" x14ac:dyDescent="0.25">
      <c r="R2326" s="2">
        <f>Таблица1[[#This Row],[Дата перевода]]-Таблица1[[#This Row],[Дата поступления]]</f>
        <v>0</v>
      </c>
      <c r="S2326" s="2">
        <f>Таблица1[[#This Row],[Дата поступления]]-Таблица1[[#This Row],[Дата рождения]]</f>
        <v>0</v>
      </c>
    </row>
    <row r="2327" spans="18:19" x14ac:dyDescent="0.25">
      <c r="R2327" s="2">
        <f>Таблица1[[#This Row],[Дата перевода]]-Таблица1[[#This Row],[Дата поступления]]</f>
        <v>0</v>
      </c>
      <c r="S2327" s="2">
        <f>Таблица1[[#This Row],[Дата поступления]]-Таблица1[[#This Row],[Дата рождения]]</f>
        <v>0</v>
      </c>
    </row>
    <row r="2328" spans="18:19" x14ac:dyDescent="0.25">
      <c r="R2328" s="2">
        <f>Таблица1[[#This Row],[Дата перевода]]-Таблица1[[#This Row],[Дата поступления]]</f>
        <v>0</v>
      </c>
      <c r="S2328" s="2">
        <f>Таблица1[[#This Row],[Дата поступления]]-Таблица1[[#This Row],[Дата рождения]]</f>
        <v>0</v>
      </c>
    </row>
    <row r="2329" spans="18:19" x14ac:dyDescent="0.25">
      <c r="R2329" s="2">
        <f>Таблица1[[#This Row],[Дата перевода]]-Таблица1[[#This Row],[Дата поступления]]</f>
        <v>0</v>
      </c>
      <c r="S2329" s="2">
        <f>Таблица1[[#This Row],[Дата поступления]]-Таблица1[[#This Row],[Дата рождения]]</f>
        <v>0</v>
      </c>
    </row>
    <row r="2330" spans="18:19" x14ac:dyDescent="0.25">
      <c r="R2330" s="2">
        <f>Таблица1[[#This Row],[Дата перевода]]-Таблица1[[#This Row],[Дата поступления]]</f>
        <v>0</v>
      </c>
      <c r="S2330" s="2">
        <f>Таблица1[[#This Row],[Дата поступления]]-Таблица1[[#This Row],[Дата рождения]]</f>
        <v>0</v>
      </c>
    </row>
    <row r="2331" spans="18:19" x14ac:dyDescent="0.25">
      <c r="R2331" s="2">
        <f>Таблица1[[#This Row],[Дата перевода]]-Таблица1[[#This Row],[Дата поступления]]</f>
        <v>0</v>
      </c>
      <c r="S2331" s="2">
        <f>Таблица1[[#This Row],[Дата поступления]]-Таблица1[[#This Row],[Дата рождения]]</f>
        <v>0</v>
      </c>
    </row>
    <row r="2332" spans="18:19" x14ac:dyDescent="0.25">
      <c r="R2332" s="2">
        <f>Таблица1[[#This Row],[Дата перевода]]-Таблица1[[#This Row],[Дата поступления]]</f>
        <v>0</v>
      </c>
      <c r="S2332" s="2">
        <f>Таблица1[[#This Row],[Дата поступления]]-Таблица1[[#This Row],[Дата рождения]]</f>
        <v>0</v>
      </c>
    </row>
    <row r="2333" spans="18:19" x14ac:dyDescent="0.25">
      <c r="R2333" s="2">
        <f>Таблица1[[#This Row],[Дата перевода]]-Таблица1[[#This Row],[Дата поступления]]</f>
        <v>0</v>
      </c>
      <c r="S2333" s="2">
        <f>Таблица1[[#This Row],[Дата поступления]]-Таблица1[[#This Row],[Дата рождения]]</f>
        <v>0</v>
      </c>
    </row>
    <row r="2334" spans="18:19" x14ac:dyDescent="0.25">
      <c r="R2334" s="2">
        <f>Таблица1[[#This Row],[Дата перевода]]-Таблица1[[#This Row],[Дата поступления]]</f>
        <v>0</v>
      </c>
      <c r="S2334" s="2">
        <f>Таблица1[[#This Row],[Дата поступления]]-Таблица1[[#This Row],[Дата рождения]]</f>
        <v>0</v>
      </c>
    </row>
    <row r="2335" spans="18:19" x14ac:dyDescent="0.25">
      <c r="R2335" s="2">
        <f>Таблица1[[#This Row],[Дата перевода]]-Таблица1[[#This Row],[Дата поступления]]</f>
        <v>0</v>
      </c>
      <c r="S2335" s="2">
        <f>Таблица1[[#This Row],[Дата поступления]]-Таблица1[[#This Row],[Дата рождения]]</f>
        <v>0</v>
      </c>
    </row>
    <row r="2336" spans="18:19" x14ac:dyDescent="0.25">
      <c r="R2336" s="2">
        <f>Таблица1[[#This Row],[Дата перевода]]-Таблица1[[#This Row],[Дата поступления]]</f>
        <v>0</v>
      </c>
      <c r="S2336" s="2">
        <f>Таблица1[[#This Row],[Дата поступления]]-Таблица1[[#This Row],[Дата рождения]]</f>
        <v>0</v>
      </c>
    </row>
    <row r="2337" spans="18:19" x14ac:dyDescent="0.25">
      <c r="R2337" s="2">
        <f>Таблица1[[#This Row],[Дата перевода]]-Таблица1[[#This Row],[Дата поступления]]</f>
        <v>0</v>
      </c>
      <c r="S2337" s="2">
        <f>Таблица1[[#This Row],[Дата поступления]]-Таблица1[[#This Row],[Дата рождения]]</f>
        <v>0</v>
      </c>
    </row>
    <row r="2338" spans="18:19" x14ac:dyDescent="0.25">
      <c r="R2338" s="2">
        <f>Таблица1[[#This Row],[Дата перевода]]-Таблица1[[#This Row],[Дата поступления]]</f>
        <v>0</v>
      </c>
      <c r="S2338" s="2">
        <f>Таблица1[[#This Row],[Дата поступления]]-Таблица1[[#This Row],[Дата рождения]]</f>
        <v>0</v>
      </c>
    </row>
    <row r="2339" spans="18:19" x14ac:dyDescent="0.25">
      <c r="R2339" s="2">
        <f>Таблица1[[#This Row],[Дата перевода]]-Таблица1[[#This Row],[Дата поступления]]</f>
        <v>0</v>
      </c>
      <c r="S2339" s="2">
        <f>Таблица1[[#This Row],[Дата поступления]]-Таблица1[[#This Row],[Дата рождения]]</f>
        <v>0</v>
      </c>
    </row>
    <row r="2340" spans="18:19" x14ac:dyDescent="0.25">
      <c r="R2340" s="2">
        <f>Таблица1[[#This Row],[Дата перевода]]-Таблица1[[#This Row],[Дата поступления]]</f>
        <v>0</v>
      </c>
      <c r="S2340" s="2">
        <f>Таблица1[[#This Row],[Дата поступления]]-Таблица1[[#This Row],[Дата рождения]]</f>
        <v>0</v>
      </c>
    </row>
    <row r="2341" spans="18:19" x14ac:dyDescent="0.25">
      <c r="R2341" s="2">
        <f>Таблица1[[#This Row],[Дата перевода]]-Таблица1[[#This Row],[Дата поступления]]</f>
        <v>0</v>
      </c>
      <c r="S2341" s="2">
        <f>Таблица1[[#This Row],[Дата поступления]]-Таблица1[[#This Row],[Дата рождения]]</f>
        <v>0</v>
      </c>
    </row>
    <row r="2342" spans="18:19" x14ac:dyDescent="0.25">
      <c r="R2342" s="2">
        <f>Таблица1[[#This Row],[Дата перевода]]-Таблица1[[#This Row],[Дата поступления]]</f>
        <v>0</v>
      </c>
      <c r="S2342" s="2">
        <f>Таблица1[[#This Row],[Дата поступления]]-Таблица1[[#This Row],[Дата рождения]]</f>
        <v>0</v>
      </c>
    </row>
    <row r="2343" spans="18:19" x14ac:dyDescent="0.25">
      <c r="R2343" s="2">
        <f>Таблица1[[#This Row],[Дата перевода]]-Таблица1[[#This Row],[Дата поступления]]</f>
        <v>0</v>
      </c>
      <c r="S2343" s="2">
        <f>Таблица1[[#This Row],[Дата поступления]]-Таблица1[[#This Row],[Дата рождения]]</f>
        <v>0</v>
      </c>
    </row>
    <row r="2344" spans="18:19" x14ac:dyDescent="0.25">
      <c r="R2344" s="2">
        <f>Таблица1[[#This Row],[Дата перевода]]-Таблица1[[#This Row],[Дата поступления]]</f>
        <v>0</v>
      </c>
      <c r="S2344" s="2">
        <f>Таблица1[[#This Row],[Дата поступления]]-Таблица1[[#This Row],[Дата рождения]]</f>
        <v>0</v>
      </c>
    </row>
    <row r="2345" spans="18:19" x14ac:dyDescent="0.25">
      <c r="R2345" s="2">
        <f>Таблица1[[#This Row],[Дата перевода]]-Таблица1[[#This Row],[Дата поступления]]</f>
        <v>0</v>
      </c>
      <c r="S2345" s="2">
        <f>Таблица1[[#This Row],[Дата поступления]]-Таблица1[[#This Row],[Дата рождения]]</f>
        <v>0</v>
      </c>
    </row>
    <row r="2346" spans="18:19" x14ac:dyDescent="0.25">
      <c r="R2346" s="2">
        <f>Таблица1[[#This Row],[Дата перевода]]-Таблица1[[#This Row],[Дата поступления]]</f>
        <v>0</v>
      </c>
      <c r="S2346" s="2">
        <f>Таблица1[[#This Row],[Дата поступления]]-Таблица1[[#This Row],[Дата рождения]]</f>
        <v>0</v>
      </c>
    </row>
    <row r="2347" spans="18:19" x14ac:dyDescent="0.25">
      <c r="R2347" s="2">
        <f>Таблица1[[#This Row],[Дата перевода]]-Таблица1[[#This Row],[Дата поступления]]</f>
        <v>0</v>
      </c>
      <c r="S2347" s="2">
        <f>Таблица1[[#This Row],[Дата поступления]]-Таблица1[[#This Row],[Дата рождения]]</f>
        <v>0</v>
      </c>
    </row>
    <row r="2348" spans="18:19" x14ac:dyDescent="0.25">
      <c r="R2348" s="2">
        <f>Таблица1[[#This Row],[Дата перевода]]-Таблица1[[#This Row],[Дата поступления]]</f>
        <v>0</v>
      </c>
      <c r="S2348" s="2">
        <f>Таблица1[[#This Row],[Дата поступления]]-Таблица1[[#This Row],[Дата рождения]]</f>
        <v>0</v>
      </c>
    </row>
    <row r="2349" spans="18:19" x14ac:dyDescent="0.25">
      <c r="R2349" s="2">
        <f>Таблица1[[#This Row],[Дата перевода]]-Таблица1[[#This Row],[Дата поступления]]</f>
        <v>0</v>
      </c>
      <c r="S2349" s="2">
        <f>Таблица1[[#This Row],[Дата поступления]]-Таблица1[[#This Row],[Дата рождения]]</f>
        <v>0</v>
      </c>
    </row>
    <row r="2350" spans="18:19" x14ac:dyDescent="0.25">
      <c r="R2350" s="2">
        <f>Таблица1[[#This Row],[Дата перевода]]-Таблица1[[#This Row],[Дата поступления]]</f>
        <v>0</v>
      </c>
      <c r="S2350" s="2">
        <f>Таблица1[[#This Row],[Дата поступления]]-Таблица1[[#This Row],[Дата рождения]]</f>
        <v>0</v>
      </c>
    </row>
    <row r="2351" spans="18:19" x14ac:dyDescent="0.25">
      <c r="R2351" s="2">
        <f>Таблица1[[#This Row],[Дата перевода]]-Таблица1[[#This Row],[Дата поступления]]</f>
        <v>0</v>
      </c>
      <c r="S2351" s="2">
        <f>Таблица1[[#This Row],[Дата поступления]]-Таблица1[[#This Row],[Дата рождения]]</f>
        <v>0</v>
      </c>
    </row>
    <row r="2352" spans="18:19" x14ac:dyDescent="0.25">
      <c r="R2352" s="2">
        <f>Таблица1[[#This Row],[Дата перевода]]-Таблица1[[#This Row],[Дата поступления]]</f>
        <v>0</v>
      </c>
      <c r="S2352" s="2">
        <f>Таблица1[[#This Row],[Дата поступления]]-Таблица1[[#This Row],[Дата рождения]]</f>
        <v>0</v>
      </c>
    </row>
    <row r="2353" spans="18:19" x14ac:dyDescent="0.25">
      <c r="R2353" s="2">
        <f>Таблица1[[#This Row],[Дата перевода]]-Таблица1[[#This Row],[Дата поступления]]</f>
        <v>0</v>
      </c>
      <c r="S2353" s="2">
        <f>Таблица1[[#This Row],[Дата поступления]]-Таблица1[[#This Row],[Дата рождения]]</f>
        <v>0</v>
      </c>
    </row>
    <row r="2354" spans="18:19" x14ac:dyDescent="0.25">
      <c r="R2354" s="2">
        <f>Таблица1[[#This Row],[Дата перевода]]-Таблица1[[#This Row],[Дата поступления]]</f>
        <v>0</v>
      </c>
      <c r="S2354" s="2">
        <f>Таблица1[[#This Row],[Дата поступления]]-Таблица1[[#This Row],[Дата рождения]]</f>
        <v>0</v>
      </c>
    </row>
    <row r="2355" spans="18:19" x14ac:dyDescent="0.25">
      <c r="R2355" s="2">
        <f>Таблица1[[#This Row],[Дата перевода]]-Таблица1[[#This Row],[Дата поступления]]</f>
        <v>0</v>
      </c>
      <c r="S2355" s="2">
        <f>Таблица1[[#This Row],[Дата поступления]]-Таблица1[[#This Row],[Дата рождения]]</f>
        <v>0</v>
      </c>
    </row>
    <row r="2356" spans="18:19" x14ac:dyDescent="0.25">
      <c r="R2356" s="2">
        <f>Таблица1[[#This Row],[Дата перевода]]-Таблица1[[#This Row],[Дата поступления]]</f>
        <v>0</v>
      </c>
      <c r="S2356" s="2">
        <f>Таблица1[[#This Row],[Дата поступления]]-Таблица1[[#This Row],[Дата рождения]]</f>
        <v>0</v>
      </c>
    </row>
    <row r="2357" spans="18:19" x14ac:dyDescent="0.25">
      <c r="R2357" s="2">
        <f>Таблица1[[#This Row],[Дата перевода]]-Таблица1[[#This Row],[Дата поступления]]</f>
        <v>0</v>
      </c>
      <c r="S2357" s="2">
        <f>Таблица1[[#This Row],[Дата поступления]]-Таблица1[[#This Row],[Дата рождения]]</f>
        <v>0</v>
      </c>
    </row>
    <row r="2358" spans="18:19" x14ac:dyDescent="0.25">
      <c r="R2358" s="2">
        <f>Таблица1[[#This Row],[Дата перевода]]-Таблица1[[#This Row],[Дата поступления]]</f>
        <v>0</v>
      </c>
      <c r="S2358" s="2">
        <f>Таблица1[[#This Row],[Дата поступления]]-Таблица1[[#This Row],[Дата рождения]]</f>
        <v>0</v>
      </c>
    </row>
    <row r="2359" spans="18:19" x14ac:dyDescent="0.25">
      <c r="R2359" s="2">
        <f>Таблица1[[#This Row],[Дата перевода]]-Таблица1[[#This Row],[Дата поступления]]</f>
        <v>0</v>
      </c>
      <c r="S2359" s="2">
        <f>Таблица1[[#This Row],[Дата поступления]]-Таблица1[[#This Row],[Дата рождения]]</f>
        <v>0</v>
      </c>
    </row>
    <row r="2360" spans="18:19" x14ac:dyDescent="0.25">
      <c r="R2360" s="2">
        <f>Таблица1[[#This Row],[Дата перевода]]-Таблица1[[#This Row],[Дата поступления]]</f>
        <v>0</v>
      </c>
      <c r="S2360" s="2">
        <f>Таблица1[[#This Row],[Дата поступления]]-Таблица1[[#This Row],[Дата рождения]]</f>
        <v>0</v>
      </c>
    </row>
    <row r="2361" spans="18:19" x14ac:dyDescent="0.25">
      <c r="R2361" s="2">
        <f>Таблица1[[#This Row],[Дата перевода]]-Таблица1[[#This Row],[Дата поступления]]</f>
        <v>0</v>
      </c>
      <c r="S2361" s="2">
        <f>Таблица1[[#This Row],[Дата поступления]]-Таблица1[[#This Row],[Дата рождения]]</f>
        <v>0</v>
      </c>
    </row>
    <row r="2362" spans="18:19" x14ac:dyDescent="0.25">
      <c r="R2362" s="2">
        <f>Таблица1[[#This Row],[Дата перевода]]-Таблица1[[#This Row],[Дата поступления]]</f>
        <v>0</v>
      </c>
      <c r="S2362" s="2">
        <f>Таблица1[[#This Row],[Дата поступления]]-Таблица1[[#This Row],[Дата рождения]]</f>
        <v>0</v>
      </c>
    </row>
    <row r="2363" spans="18:19" x14ac:dyDescent="0.25">
      <c r="R2363" s="2">
        <f>Таблица1[[#This Row],[Дата перевода]]-Таблица1[[#This Row],[Дата поступления]]</f>
        <v>0</v>
      </c>
      <c r="S2363" s="2">
        <f>Таблица1[[#This Row],[Дата поступления]]-Таблица1[[#This Row],[Дата рождения]]</f>
        <v>0</v>
      </c>
    </row>
    <row r="2364" spans="18:19" x14ac:dyDescent="0.25">
      <c r="R2364" s="2">
        <f>Таблица1[[#This Row],[Дата перевода]]-Таблица1[[#This Row],[Дата поступления]]</f>
        <v>0</v>
      </c>
      <c r="S2364" s="2">
        <f>Таблица1[[#This Row],[Дата поступления]]-Таблица1[[#This Row],[Дата рождения]]</f>
        <v>0</v>
      </c>
    </row>
    <row r="2365" spans="18:19" x14ac:dyDescent="0.25">
      <c r="R2365" s="2">
        <f>Таблица1[[#This Row],[Дата перевода]]-Таблица1[[#This Row],[Дата поступления]]</f>
        <v>0</v>
      </c>
      <c r="S2365" s="2">
        <f>Таблица1[[#This Row],[Дата поступления]]-Таблица1[[#This Row],[Дата рождения]]</f>
        <v>0</v>
      </c>
    </row>
    <row r="2366" spans="18:19" x14ac:dyDescent="0.25">
      <c r="R2366" s="2">
        <f>Таблица1[[#This Row],[Дата перевода]]-Таблица1[[#This Row],[Дата поступления]]</f>
        <v>0</v>
      </c>
      <c r="S2366" s="2">
        <f>Таблица1[[#This Row],[Дата поступления]]-Таблица1[[#This Row],[Дата рождения]]</f>
        <v>0</v>
      </c>
    </row>
    <row r="2367" spans="18:19" x14ac:dyDescent="0.25">
      <c r="R2367" s="2">
        <f>Таблица1[[#This Row],[Дата перевода]]-Таблица1[[#This Row],[Дата поступления]]</f>
        <v>0</v>
      </c>
      <c r="S2367" s="2">
        <f>Таблица1[[#This Row],[Дата поступления]]-Таблица1[[#This Row],[Дата рождения]]</f>
        <v>0</v>
      </c>
    </row>
    <row r="2368" spans="18:19" x14ac:dyDescent="0.25">
      <c r="R2368" s="2">
        <f>Таблица1[[#This Row],[Дата перевода]]-Таблица1[[#This Row],[Дата поступления]]</f>
        <v>0</v>
      </c>
      <c r="S2368" s="2">
        <f>Таблица1[[#This Row],[Дата поступления]]-Таблица1[[#This Row],[Дата рождения]]</f>
        <v>0</v>
      </c>
    </row>
    <row r="2369" spans="18:19" x14ac:dyDescent="0.25">
      <c r="R2369" s="2">
        <f>Таблица1[[#This Row],[Дата перевода]]-Таблица1[[#This Row],[Дата поступления]]</f>
        <v>0</v>
      </c>
      <c r="S2369" s="2">
        <f>Таблица1[[#This Row],[Дата поступления]]-Таблица1[[#This Row],[Дата рождения]]</f>
        <v>0</v>
      </c>
    </row>
    <row r="2370" spans="18:19" x14ac:dyDescent="0.25">
      <c r="R2370" s="2">
        <f>Таблица1[[#This Row],[Дата перевода]]-Таблица1[[#This Row],[Дата поступления]]</f>
        <v>0</v>
      </c>
      <c r="S2370" s="2">
        <f>Таблица1[[#This Row],[Дата поступления]]-Таблица1[[#This Row],[Дата рождения]]</f>
        <v>0</v>
      </c>
    </row>
    <row r="2371" spans="18:19" x14ac:dyDescent="0.25">
      <c r="R2371" s="2">
        <f>Таблица1[[#This Row],[Дата перевода]]-Таблица1[[#This Row],[Дата поступления]]</f>
        <v>0</v>
      </c>
      <c r="S2371" s="2">
        <f>Таблица1[[#This Row],[Дата поступления]]-Таблица1[[#This Row],[Дата рождения]]</f>
        <v>0</v>
      </c>
    </row>
    <row r="2372" spans="18:19" x14ac:dyDescent="0.25">
      <c r="R2372" s="2">
        <f>Таблица1[[#This Row],[Дата перевода]]-Таблица1[[#This Row],[Дата поступления]]</f>
        <v>0</v>
      </c>
      <c r="S2372" s="2">
        <f>Таблица1[[#This Row],[Дата поступления]]-Таблица1[[#This Row],[Дата рождения]]</f>
        <v>0</v>
      </c>
    </row>
    <row r="2373" spans="18:19" x14ac:dyDescent="0.25">
      <c r="R2373" s="2">
        <f>Таблица1[[#This Row],[Дата перевода]]-Таблица1[[#This Row],[Дата поступления]]</f>
        <v>0</v>
      </c>
      <c r="S2373" s="2">
        <f>Таблица1[[#This Row],[Дата поступления]]-Таблица1[[#This Row],[Дата рождения]]</f>
        <v>0</v>
      </c>
    </row>
    <row r="2374" spans="18:19" x14ac:dyDescent="0.25">
      <c r="R2374" s="2">
        <f>Таблица1[[#This Row],[Дата перевода]]-Таблица1[[#This Row],[Дата поступления]]</f>
        <v>0</v>
      </c>
      <c r="S2374" s="2">
        <f>Таблица1[[#This Row],[Дата поступления]]-Таблица1[[#This Row],[Дата рождения]]</f>
        <v>0</v>
      </c>
    </row>
    <row r="2375" spans="18:19" x14ac:dyDescent="0.25">
      <c r="R2375" s="2">
        <f>Таблица1[[#This Row],[Дата перевода]]-Таблица1[[#This Row],[Дата поступления]]</f>
        <v>0</v>
      </c>
      <c r="S2375" s="2">
        <f>Таблица1[[#This Row],[Дата поступления]]-Таблица1[[#This Row],[Дата рождения]]</f>
        <v>0</v>
      </c>
    </row>
    <row r="2376" spans="18:19" x14ac:dyDescent="0.25">
      <c r="R2376" s="2">
        <f>Таблица1[[#This Row],[Дата перевода]]-Таблица1[[#This Row],[Дата поступления]]</f>
        <v>0</v>
      </c>
      <c r="S2376" s="2">
        <f>Таблица1[[#This Row],[Дата поступления]]-Таблица1[[#This Row],[Дата рождения]]</f>
        <v>0</v>
      </c>
    </row>
    <row r="2377" spans="18:19" x14ac:dyDescent="0.25">
      <c r="R2377" s="2">
        <f>Таблица1[[#This Row],[Дата перевода]]-Таблица1[[#This Row],[Дата поступления]]</f>
        <v>0</v>
      </c>
      <c r="S2377" s="2">
        <f>Таблица1[[#This Row],[Дата поступления]]-Таблица1[[#This Row],[Дата рождения]]</f>
        <v>0</v>
      </c>
    </row>
    <row r="2378" spans="18:19" x14ac:dyDescent="0.25">
      <c r="R2378" s="2">
        <f>Таблица1[[#This Row],[Дата перевода]]-Таблица1[[#This Row],[Дата поступления]]</f>
        <v>0</v>
      </c>
      <c r="S2378" s="2">
        <f>Таблица1[[#This Row],[Дата поступления]]-Таблица1[[#This Row],[Дата рождения]]</f>
        <v>0</v>
      </c>
    </row>
    <row r="2379" spans="18:19" x14ac:dyDescent="0.25">
      <c r="R2379" s="2">
        <f>Таблица1[[#This Row],[Дата перевода]]-Таблица1[[#This Row],[Дата поступления]]</f>
        <v>0</v>
      </c>
      <c r="S2379" s="2">
        <f>Таблица1[[#This Row],[Дата поступления]]-Таблица1[[#This Row],[Дата рождения]]</f>
        <v>0</v>
      </c>
    </row>
    <row r="2380" spans="18:19" x14ac:dyDescent="0.25">
      <c r="R2380" s="2">
        <f>Таблица1[[#This Row],[Дата перевода]]-Таблица1[[#This Row],[Дата поступления]]</f>
        <v>0</v>
      </c>
      <c r="S2380" s="2">
        <f>Таблица1[[#This Row],[Дата поступления]]-Таблица1[[#This Row],[Дата рождения]]</f>
        <v>0</v>
      </c>
    </row>
    <row r="2381" spans="18:19" x14ac:dyDescent="0.25">
      <c r="R2381" s="2">
        <f>Таблица1[[#This Row],[Дата перевода]]-Таблица1[[#This Row],[Дата поступления]]</f>
        <v>0</v>
      </c>
      <c r="S2381" s="2">
        <f>Таблица1[[#This Row],[Дата поступления]]-Таблица1[[#This Row],[Дата рождения]]</f>
        <v>0</v>
      </c>
    </row>
    <row r="2382" spans="18:19" x14ac:dyDescent="0.25">
      <c r="R2382" s="2">
        <f>Таблица1[[#This Row],[Дата перевода]]-Таблица1[[#This Row],[Дата поступления]]</f>
        <v>0</v>
      </c>
      <c r="S2382" s="2">
        <f>Таблица1[[#This Row],[Дата поступления]]-Таблица1[[#This Row],[Дата рождения]]</f>
        <v>0</v>
      </c>
    </row>
    <row r="2383" spans="18:19" x14ac:dyDescent="0.25">
      <c r="R2383" s="2">
        <f>Таблица1[[#This Row],[Дата перевода]]-Таблица1[[#This Row],[Дата поступления]]</f>
        <v>0</v>
      </c>
      <c r="S2383" s="2">
        <f>Таблица1[[#This Row],[Дата поступления]]-Таблица1[[#This Row],[Дата рождения]]</f>
        <v>0</v>
      </c>
    </row>
    <row r="2384" spans="18:19" x14ac:dyDescent="0.25">
      <c r="R2384" s="2">
        <f>Таблица1[[#This Row],[Дата перевода]]-Таблица1[[#This Row],[Дата поступления]]</f>
        <v>0</v>
      </c>
      <c r="S2384" s="2">
        <f>Таблица1[[#This Row],[Дата поступления]]-Таблица1[[#This Row],[Дата рождения]]</f>
        <v>0</v>
      </c>
    </row>
    <row r="2385" spans="18:19" x14ac:dyDescent="0.25">
      <c r="R2385" s="2">
        <f>Таблица1[[#This Row],[Дата перевода]]-Таблица1[[#This Row],[Дата поступления]]</f>
        <v>0</v>
      </c>
      <c r="S2385" s="2">
        <f>Таблица1[[#This Row],[Дата поступления]]-Таблица1[[#This Row],[Дата рождения]]</f>
        <v>0</v>
      </c>
    </row>
    <row r="2386" spans="18:19" x14ac:dyDescent="0.25">
      <c r="R2386" s="2">
        <f>Таблица1[[#This Row],[Дата перевода]]-Таблица1[[#This Row],[Дата поступления]]</f>
        <v>0</v>
      </c>
      <c r="S2386" s="2">
        <f>Таблица1[[#This Row],[Дата поступления]]-Таблица1[[#This Row],[Дата рождения]]</f>
        <v>0</v>
      </c>
    </row>
    <row r="2387" spans="18:19" x14ac:dyDescent="0.25">
      <c r="R2387" s="2">
        <f>Таблица1[[#This Row],[Дата перевода]]-Таблица1[[#This Row],[Дата поступления]]</f>
        <v>0</v>
      </c>
      <c r="S2387" s="2">
        <f>Таблица1[[#This Row],[Дата поступления]]-Таблица1[[#This Row],[Дата рождения]]</f>
        <v>0</v>
      </c>
    </row>
    <row r="2388" spans="18:19" x14ac:dyDescent="0.25">
      <c r="R2388" s="2">
        <f>Таблица1[[#This Row],[Дата перевода]]-Таблица1[[#This Row],[Дата поступления]]</f>
        <v>0</v>
      </c>
      <c r="S2388" s="2">
        <f>Таблица1[[#This Row],[Дата поступления]]-Таблица1[[#This Row],[Дата рождения]]</f>
        <v>0</v>
      </c>
    </row>
    <row r="2389" spans="18:19" x14ac:dyDescent="0.25">
      <c r="R2389" s="2">
        <f>Таблица1[[#This Row],[Дата перевода]]-Таблица1[[#This Row],[Дата поступления]]</f>
        <v>0</v>
      </c>
      <c r="S2389" s="2">
        <f>Таблица1[[#This Row],[Дата поступления]]-Таблица1[[#This Row],[Дата рождения]]</f>
        <v>0</v>
      </c>
    </row>
    <row r="2390" spans="18:19" x14ac:dyDescent="0.25">
      <c r="R2390" s="2">
        <f>Таблица1[[#This Row],[Дата перевода]]-Таблица1[[#This Row],[Дата поступления]]</f>
        <v>0</v>
      </c>
      <c r="S2390" s="2">
        <f>Таблица1[[#This Row],[Дата поступления]]-Таблица1[[#This Row],[Дата рождения]]</f>
        <v>0</v>
      </c>
    </row>
    <row r="2391" spans="18:19" x14ac:dyDescent="0.25">
      <c r="R2391" s="2">
        <f>Таблица1[[#This Row],[Дата перевода]]-Таблица1[[#This Row],[Дата поступления]]</f>
        <v>0</v>
      </c>
      <c r="S2391" s="2">
        <f>Таблица1[[#This Row],[Дата поступления]]-Таблица1[[#This Row],[Дата рождения]]</f>
        <v>0</v>
      </c>
    </row>
    <row r="2392" spans="18:19" x14ac:dyDescent="0.25">
      <c r="R2392" s="2">
        <f>Таблица1[[#This Row],[Дата перевода]]-Таблица1[[#This Row],[Дата поступления]]</f>
        <v>0</v>
      </c>
      <c r="S2392" s="2">
        <f>Таблица1[[#This Row],[Дата поступления]]-Таблица1[[#This Row],[Дата рождения]]</f>
        <v>0</v>
      </c>
    </row>
    <row r="2393" spans="18:19" x14ac:dyDescent="0.25">
      <c r="R2393" s="2">
        <f>Таблица1[[#This Row],[Дата перевода]]-Таблица1[[#This Row],[Дата поступления]]</f>
        <v>0</v>
      </c>
      <c r="S2393" s="2">
        <f>Таблица1[[#This Row],[Дата поступления]]-Таблица1[[#This Row],[Дата рождения]]</f>
        <v>0</v>
      </c>
    </row>
    <row r="2394" spans="18:19" x14ac:dyDescent="0.25">
      <c r="R2394" s="2">
        <f>Таблица1[[#This Row],[Дата перевода]]-Таблица1[[#This Row],[Дата поступления]]</f>
        <v>0</v>
      </c>
      <c r="S2394" s="2">
        <f>Таблица1[[#This Row],[Дата поступления]]-Таблица1[[#This Row],[Дата рождения]]</f>
        <v>0</v>
      </c>
    </row>
    <row r="2395" spans="18:19" x14ac:dyDescent="0.25">
      <c r="R2395" s="2">
        <f>Таблица1[[#This Row],[Дата перевода]]-Таблица1[[#This Row],[Дата поступления]]</f>
        <v>0</v>
      </c>
      <c r="S2395" s="2">
        <f>Таблица1[[#This Row],[Дата поступления]]-Таблица1[[#This Row],[Дата рождения]]</f>
        <v>0</v>
      </c>
    </row>
    <row r="2396" spans="18:19" x14ac:dyDescent="0.25">
      <c r="R2396" s="2">
        <f>Таблица1[[#This Row],[Дата перевода]]-Таблица1[[#This Row],[Дата поступления]]</f>
        <v>0</v>
      </c>
      <c r="S2396" s="2">
        <f>Таблица1[[#This Row],[Дата поступления]]-Таблица1[[#This Row],[Дата рождения]]</f>
        <v>0</v>
      </c>
    </row>
    <row r="2397" spans="18:19" x14ac:dyDescent="0.25">
      <c r="R2397" s="2">
        <f>Таблица1[[#This Row],[Дата перевода]]-Таблица1[[#This Row],[Дата поступления]]</f>
        <v>0</v>
      </c>
      <c r="S2397" s="2">
        <f>Таблица1[[#This Row],[Дата поступления]]-Таблица1[[#This Row],[Дата рождения]]</f>
        <v>0</v>
      </c>
    </row>
    <row r="2398" spans="18:19" x14ac:dyDescent="0.25">
      <c r="R2398" s="2">
        <f>Таблица1[[#This Row],[Дата перевода]]-Таблица1[[#This Row],[Дата поступления]]</f>
        <v>0</v>
      </c>
      <c r="S2398" s="2">
        <f>Таблица1[[#This Row],[Дата поступления]]-Таблица1[[#This Row],[Дата рождения]]</f>
        <v>0</v>
      </c>
    </row>
    <row r="2399" spans="18:19" x14ac:dyDescent="0.25">
      <c r="R2399" s="2">
        <f>Таблица1[[#This Row],[Дата перевода]]-Таблица1[[#This Row],[Дата поступления]]</f>
        <v>0</v>
      </c>
      <c r="S2399" s="2">
        <f>Таблица1[[#This Row],[Дата поступления]]-Таблица1[[#This Row],[Дата рождения]]</f>
        <v>0</v>
      </c>
    </row>
    <row r="2400" spans="18:19" x14ac:dyDescent="0.25">
      <c r="R2400" s="2">
        <f>Таблица1[[#This Row],[Дата перевода]]-Таблица1[[#This Row],[Дата поступления]]</f>
        <v>0</v>
      </c>
      <c r="S2400" s="2">
        <f>Таблица1[[#This Row],[Дата поступления]]-Таблица1[[#This Row],[Дата рождения]]</f>
        <v>0</v>
      </c>
    </row>
    <row r="2401" spans="18:19" x14ac:dyDescent="0.25">
      <c r="R2401" s="2">
        <f>Таблица1[[#This Row],[Дата перевода]]-Таблица1[[#This Row],[Дата поступления]]</f>
        <v>0</v>
      </c>
      <c r="S2401" s="2">
        <f>Таблица1[[#This Row],[Дата поступления]]-Таблица1[[#This Row],[Дата рождения]]</f>
        <v>0</v>
      </c>
    </row>
    <row r="2402" spans="18:19" x14ac:dyDescent="0.25">
      <c r="R2402" s="2">
        <f>Таблица1[[#This Row],[Дата перевода]]-Таблица1[[#This Row],[Дата поступления]]</f>
        <v>0</v>
      </c>
      <c r="S2402" s="2">
        <f>Таблица1[[#This Row],[Дата поступления]]-Таблица1[[#This Row],[Дата рождения]]</f>
        <v>0</v>
      </c>
    </row>
    <row r="2403" spans="18:19" x14ac:dyDescent="0.25">
      <c r="R2403" s="2">
        <f>Таблица1[[#This Row],[Дата перевода]]-Таблица1[[#This Row],[Дата поступления]]</f>
        <v>0</v>
      </c>
      <c r="S2403" s="2">
        <f>Таблица1[[#This Row],[Дата поступления]]-Таблица1[[#This Row],[Дата рождения]]</f>
        <v>0</v>
      </c>
    </row>
    <row r="2404" spans="18:19" x14ac:dyDescent="0.25">
      <c r="R2404" s="2">
        <f>Таблица1[[#This Row],[Дата перевода]]-Таблица1[[#This Row],[Дата поступления]]</f>
        <v>0</v>
      </c>
      <c r="S2404" s="2">
        <f>Таблица1[[#This Row],[Дата поступления]]-Таблица1[[#This Row],[Дата рождения]]</f>
        <v>0</v>
      </c>
    </row>
    <row r="2405" spans="18:19" x14ac:dyDescent="0.25">
      <c r="R2405" s="2">
        <f>Таблица1[[#This Row],[Дата перевода]]-Таблица1[[#This Row],[Дата поступления]]</f>
        <v>0</v>
      </c>
      <c r="S2405" s="2">
        <f>Таблица1[[#This Row],[Дата поступления]]-Таблица1[[#This Row],[Дата рождения]]</f>
        <v>0</v>
      </c>
    </row>
    <row r="2406" spans="18:19" x14ac:dyDescent="0.25">
      <c r="R2406" s="2">
        <f>Таблица1[[#This Row],[Дата перевода]]-Таблица1[[#This Row],[Дата поступления]]</f>
        <v>0</v>
      </c>
      <c r="S2406" s="2">
        <f>Таблица1[[#This Row],[Дата поступления]]-Таблица1[[#This Row],[Дата рождения]]</f>
        <v>0</v>
      </c>
    </row>
    <row r="2407" spans="18:19" x14ac:dyDescent="0.25">
      <c r="R2407" s="2">
        <f>Таблица1[[#This Row],[Дата перевода]]-Таблица1[[#This Row],[Дата поступления]]</f>
        <v>0</v>
      </c>
      <c r="S2407" s="2">
        <f>Таблица1[[#This Row],[Дата поступления]]-Таблица1[[#This Row],[Дата рождения]]</f>
        <v>0</v>
      </c>
    </row>
    <row r="2408" spans="18:19" x14ac:dyDescent="0.25">
      <c r="R2408" s="2">
        <f>Таблица1[[#This Row],[Дата перевода]]-Таблица1[[#This Row],[Дата поступления]]</f>
        <v>0</v>
      </c>
      <c r="S2408" s="2">
        <f>Таблица1[[#This Row],[Дата поступления]]-Таблица1[[#This Row],[Дата рождения]]</f>
        <v>0</v>
      </c>
    </row>
    <row r="2409" spans="18:19" x14ac:dyDescent="0.25">
      <c r="R2409" s="2">
        <f>Таблица1[[#This Row],[Дата перевода]]-Таблица1[[#This Row],[Дата поступления]]</f>
        <v>0</v>
      </c>
      <c r="S2409" s="2">
        <f>Таблица1[[#This Row],[Дата поступления]]-Таблица1[[#This Row],[Дата рождения]]</f>
        <v>0</v>
      </c>
    </row>
    <row r="2410" spans="18:19" x14ac:dyDescent="0.25">
      <c r="R2410" s="2">
        <f>Таблица1[[#This Row],[Дата перевода]]-Таблица1[[#This Row],[Дата поступления]]</f>
        <v>0</v>
      </c>
      <c r="S2410" s="2">
        <f>Таблица1[[#This Row],[Дата поступления]]-Таблица1[[#This Row],[Дата рождения]]</f>
        <v>0</v>
      </c>
    </row>
    <row r="2411" spans="18:19" x14ac:dyDescent="0.25">
      <c r="R2411" s="2">
        <f>Таблица1[[#This Row],[Дата перевода]]-Таблица1[[#This Row],[Дата поступления]]</f>
        <v>0</v>
      </c>
      <c r="S2411" s="2">
        <f>Таблица1[[#This Row],[Дата поступления]]-Таблица1[[#This Row],[Дата рождения]]</f>
        <v>0</v>
      </c>
    </row>
    <row r="2412" spans="18:19" x14ac:dyDescent="0.25">
      <c r="R2412" s="2">
        <f>Таблица1[[#This Row],[Дата перевода]]-Таблица1[[#This Row],[Дата поступления]]</f>
        <v>0</v>
      </c>
      <c r="S2412" s="2">
        <f>Таблица1[[#This Row],[Дата поступления]]-Таблица1[[#This Row],[Дата рождения]]</f>
        <v>0</v>
      </c>
    </row>
    <row r="2413" spans="18:19" x14ac:dyDescent="0.25">
      <c r="R2413" s="2">
        <f>Таблица1[[#This Row],[Дата перевода]]-Таблица1[[#This Row],[Дата поступления]]</f>
        <v>0</v>
      </c>
      <c r="S2413" s="2">
        <f>Таблица1[[#This Row],[Дата поступления]]-Таблица1[[#This Row],[Дата рождения]]</f>
        <v>0</v>
      </c>
    </row>
    <row r="2414" spans="18:19" x14ac:dyDescent="0.25">
      <c r="R2414" s="2">
        <f>Таблица1[[#This Row],[Дата перевода]]-Таблица1[[#This Row],[Дата поступления]]</f>
        <v>0</v>
      </c>
      <c r="S2414" s="2">
        <f>Таблица1[[#This Row],[Дата поступления]]-Таблица1[[#This Row],[Дата рождения]]</f>
        <v>0</v>
      </c>
    </row>
    <row r="2415" spans="18:19" x14ac:dyDescent="0.25">
      <c r="R2415" s="2">
        <f>Таблица1[[#This Row],[Дата перевода]]-Таблица1[[#This Row],[Дата поступления]]</f>
        <v>0</v>
      </c>
      <c r="S2415" s="2">
        <f>Таблица1[[#This Row],[Дата поступления]]-Таблица1[[#This Row],[Дата рождения]]</f>
        <v>0</v>
      </c>
    </row>
    <row r="2416" spans="18:19" x14ac:dyDescent="0.25">
      <c r="R2416" s="2">
        <f>Таблица1[[#This Row],[Дата перевода]]-Таблица1[[#This Row],[Дата поступления]]</f>
        <v>0</v>
      </c>
      <c r="S2416" s="2">
        <f>Таблица1[[#This Row],[Дата поступления]]-Таблица1[[#This Row],[Дата рождения]]</f>
        <v>0</v>
      </c>
    </row>
    <row r="2417" spans="18:19" x14ac:dyDescent="0.25">
      <c r="R2417" s="2">
        <f>Таблица1[[#This Row],[Дата перевода]]-Таблица1[[#This Row],[Дата поступления]]</f>
        <v>0</v>
      </c>
      <c r="S2417" s="2">
        <f>Таблица1[[#This Row],[Дата поступления]]-Таблица1[[#This Row],[Дата рождения]]</f>
        <v>0</v>
      </c>
    </row>
    <row r="2418" spans="18:19" x14ac:dyDescent="0.25">
      <c r="R2418" s="2">
        <f>Таблица1[[#This Row],[Дата перевода]]-Таблица1[[#This Row],[Дата поступления]]</f>
        <v>0</v>
      </c>
      <c r="S2418" s="2">
        <f>Таблица1[[#This Row],[Дата поступления]]-Таблица1[[#This Row],[Дата рождения]]</f>
        <v>0</v>
      </c>
    </row>
    <row r="2419" spans="18:19" x14ac:dyDescent="0.25">
      <c r="R2419" s="2">
        <f>Таблица1[[#This Row],[Дата перевода]]-Таблица1[[#This Row],[Дата поступления]]</f>
        <v>0</v>
      </c>
      <c r="S2419" s="2">
        <f>Таблица1[[#This Row],[Дата поступления]]-Таблица1[[#This Row],[Дата рождения]]</f>
        <v>0</v>
      </c>
    </row>
    <row r="2420" spans="18:19" x14ac:dyDescent="0.25">
      <c r="R2420" s="2">
        <f>Таблица1[[#This Row],[Дата перевода]]-Таблица1[[#This Row],[Дата поступления]]</f>
        <v>0</v>
      </c>
      <c r="S2420" s="2">
        <f>Таблица1[[#This Row],[Дата поступления]]-Таблица1[[#This Row],[Дата рождения]]</f>
        <v>0</v>
      </c>
    </row>
    <row r="2421" spans="18:19" x14ac:dyDescent="0.25">
      <c r="R2421" s="2">
        <f>Таблица1[[#This Row],[Дата перевода]]-Таблица1[[#This Row],[Дата поступления]]</f>
        <v>0</v>
      </c>
      <c r="S2421" s="2">
        <f>Таблица1[[#This Row],[Дата поступления]]-Таблица1[[#This Row],[Дата рождения]]</f>
        <v>0</v>
      </c>
    </row>
    <row r="2422" spans="18:19" x14ac:dyDescent="0.25">
      <c r="R2422" s="2">
        <f>Таблица1[[#This Row],[Дата перевода]]-Таблица1[[#This Row],[Дата поступления]]</f>
        <v>0</v>
      </c>
      <c r="S2422" s="2">
        <f>Таблица1[[#This Row],[Дата поступления]]-Таблица1[[#This Row],[Дата рождения]]</f>
        <v>0</v>
      </c>
    </row>
    <row r="2423" spans="18:19" x14ac:dyDescent="0.25">
      <c r="R2423" s="2">
        <f>Таблица1[[#This Row],[Дата перевода]]-Таблица1[[#This Row],[Дата поступления]]</f>
        <v>0</v>
      </c>
      <c r="S2423" s="2">
        <f>Таблица1[[#This Row],[Дата поступления]]-Таблица1[[#This Row],[Дата рождения]]</f>
        <v>0</v>
      </c>
    </row>
    <row r="2424" spans="18:19" x14ac:dyDescent="0.25">
      <c r="R2424" s="2">
        <f>Таблица1[[#This Row],[Дата перевода]]-Таблица1[[#This Row],[Дата поступления]]</f>
        <v>0</v>
      </c>
      <c r="S2424" s="2">
        <f>Таблица1[[#This Row],[Дата поступления]]-Таблица1[[#This Row],[Дата рождения]]</f>
        <v>0</v>
      </c>
    </row>
    <row r="2425" spans="18:19" x14ac:dyDescent="0.25">
      <c r="R2425" s="2">
        <f>Таблица1[[#This Row],[Дата перевода]]-Таблица1[[#This Row],[Дата поступления]]</f>
        <v>0</v>
      </c>
      <c r="S2425" s="2">
        <f>Таблица1[[#This Row],[Дата поступления]]-Таблица1[[#This Row],[Дата рождения]]</f>
        <v>0</v>
      </c>
    </row>
    <row r="2426" spans="18:19" x14ac:dyDescent="0.25">
      <c r="R2426" s="2">
        <f>Таблица1[[#This Row],[Дата перевода]]-Таблица1[[#This Row],[Дата поступления]]</f>
        <v>0</v>
      </c>
      <c r="S2426" s="2">
        <f>Таблица1[[#This Row],[Дата поступления]]-Таблица1[[#This Row],[Дата рождения]]</f>
        <v>0</v>
      </c>
    </row>
    <row r="2427" spans="18:19" x14ac:dyDescent="0.25">
      <c r="R2427" s="2">
        <f>Таблица1[[#This Row],[Дата перевода]]-Таблица1[[#This Row],[Дата поступления]]</f>
        <v>0</v>
      </c>
      <c r="S2427" s="2">
        <f>Таблица1[[#This Row],[Дата поступления]]-Таблица1[[#This Row],[Дата рождения]]</f>
        <v>0</v>
      </c>
    </row>
    <row r="2428" spans="18:19" x14ac:dyDescent="0.25">
      <c r="R2428" s="2">
        <f>Таблица1[[#This Row],[Дата перевода]]-Таблица1[[#This Row],[Дата поступления]]</f>
        <v>0</v>
      </c>
      <c r="S2428" s="2">
        <f>Таблица1[[#This Row],[Дата поступления]]-Таблица1[[#This Row],[Дата рождения]]</f>
        <v>0</v>
      </c>
    </row>
    <row r="2429" spans="18:19" x14ac:dyDescent="0.25">
      <c r="R2429" s="2">
        <f>Таблица1[[#This Row],[Дата перевода]]-Таблица1[[#This Row],[Дата поступления]]</f>
        <v>0</v>
      </c>
      <c r="S2429" s="2">
        <f>Таблица1[[#This Row],[Дата поступления]]-Таблица1[[#This Row],[Дата рождения]]</f>
        <v>0</v>
      </c>
    </row>
    <row r="2430" spans="18:19" x14ac:dyDescent="0.25">
      <c r="R2430" s="2">
        <f>Таблица1[[#This Row],[Дата перевода]]-Таблица1[[#This Row],[Дата поступления]]</f>
        <v>0</v>
      </c>
      <c r="S2430" s="2">
        <f>Таблица1[[#This Row],[Дата поступления]]-Таблица1[[#This Row],[Дата рождения]]</f>
        <v>0</v>
      </c>
    </row>
    <row r="2431" spans="18:19" x14ac:dyDescent="0.25">
      <c r="R2431" s="2">
        <f>Таблица1[[#This Row],[Дата перевода]]-Таблица1[[#This Row],[Дата поступления]]</f>
        <v>0</v>
      </c>
      <c r="S2431" s="2">
        <f>Таблица1[[#This Row],[Дата поступления]]-Таблица1[[#This Row],[Дата рождения]]</f>
        <v>0</v>
      </c>
    </row>
    <row r="2432" spans="18:19" x14ac:dyDescent="0.25">
      <c r="R2432" s="2">
        <f>Таблица1[[#This Row],[Дата перевода]]-Таблица1[[#This Row],[Дата поступления]]</f>
        <v>0</v>
      </c>
      <c r="S2432" s="2">
        <f>Таблица1[[#This Row],[Дата поступления]]-Таблица1[[#This Row],[Дата рождения]]</f>
        <v>0</v>
      </c>
    </row>
    <row r="2433" spans="18:19" x14ac:dyDescent="0.25">
      <c r="R2433" s="2">
        <f>Таблица1[[#This Row],[Дата перевода]]-Таблица1[[#This Row],[Дата поступления]]</f>
        <v>0</v>
      </c>
      <c r="S2433" s="2">
        <f>Таблица1[[#This Row],[Дата поступления]]-Таблица1[[#This Row],[Дата рождения]]</f>
        <v>0</v>
      </c>
    </row>
    <row r="2434" spans="18:19" x14ac:dyDescent="0.25">
      <c r="R2434" s="2">
        <f>Таблица1[[#This Row],[Дата перевода]]-Таблица1[[#This Row],[Дата поступления]]</f>
        <v>0</v>
      </c>
      <c r="S2434" s="2">
        <f>Таблица1[[#This Row],[Дата поступления]]-Таблица1[[#This Row],[Дата рождения]]</f>
        <v>0</v>
      </c>
    </row>
    <row r="2435" spans="18:19" x14ac:dyDescent="0.25">
      <c r="R2435" s="2">
        <f>Таблица1[[#This Row],[Дата перевода]]-Таблица1[[#This Row],[Дата поступления]]</f>
        <v>0</v>
      </c>
      <c r="S2435" s="2">
        <f>Таблица1[[#This Row],[Дата поступления]]-Таблица1[[#This Row],[Дата рождения]]</f>
        <v>0</v>
      </c>
    </row>
    <row r="2436" spans="18:19" x14ac:dyDescent="0.25">
      <c r="R2436" s="2">
        <f>Таблица1[[#This Row],[Дата перевода]]-Таблица1[[#This Row],[Дата поступления]]</f>
        <v>0</v>
      </c>
      <c r="S2436" s="2">
        <f>Таблица1[[#This Row],[Дата поступления]]-Таблица1[[#This Row],[Дата рождения]]</f>
        <v>0</v>
      </c>
    </row>
    <row r="2437" spans="18:19" x14ac:dyDescent="0.25">
      <c r="R2437" s="2">
        <f>Таблица1[[#This Row],[Дата перевода]]-Таблица1[[#This Row],[Дата поступления]]</f>
        <v>0</v>
      </c>
      <c r="S2437" s="2">
        <f>Таблица1[[#This Row],[Дата поступления]]-Таблица1[[#This Row],[Дата рождения]]</f>
        <v>0</v>
      </c>
    </row>
    <row r="2438" spans="18:19" x14ac:dyDescent="0.25">
      <c r="R2438" s="2">
        <f>Таблица1[[#This Row],[Дата перевода]]-Таблица1[[#This Row],[Дата поступления]]</f>
        <v>0</v>
      </c>
      <c r="S2438" s="2">
        <f>Таблица1[[#This Row],[Дата поступления]]-Таблица1[[#This Row],[Дата рождения]]</f>
        <v>0</v>
      </c>
    </row>
    <row r="2439" spans="18:19" x14ac:dyDescent="0.25">
      <c r="R2439" s="2">
        <f>Таблица1[[#This Row],[Дата перевода]]-Таблица1[[#This Row],[Дата поступления]]</f>
        <v>0</v>
      </c>
      <c r="S2439" s="2">
        <f>Таблица1[[#This Row],[Дата поступления]]-Таблица1[[#This Row],[Дата рождения]]</f>
        <v>0</v>
      </c>
    </row>
    <row r="2440" spans="18:19" x14ac:dyDescent="0.25">
      <c r="R2440" s="2">
        <f>Таблица1[[#This Row],[Дата перевода]]-Таблица1[[#This Row],[Дата поступления]]</f>
        <v>0</v>
      </c>
      <c r="S2440" s="2">
        <f>Таблица1[[#This Row],[Дата поступления]]-Таблица1[[#This Row],[Дата рождения]]</f>
        <v>0</v>
      </c>
    </row>
    <row r="2441" spans="18:19" x14ac:dyDescent="0.25">
      <c r="R2441" s="2">
        <f>Таблица1[[#This Row],[Дата перевода]]-Таблица1[[#This Row],[Дата поступления]]</f>
        <v>0</v>
      </c>
      <c r="S2441" s="2">
        <f>Таблица1[[#This Row],[Дата поступления]]-Таблица1[[#This Row],[Дата рождения]]</f>
        <v>0</v>
      </c>
    </row>
    <row r="2442" spans="18:19" x14ac:dyDescent="0.25">
      <c r="R2442" s="2">
        <f>Таблица1[[#This Row],[Дата перевода]]-Таблица1[[#This Row],[Дата поступления]]</f>
        <v>0</v>
      </c>
      <c r="S2442" s="2">
        <f>Таблица1[[#This Row],[Дата поступления]]-Таблица1[[#This Row],[Дата рождения]]</f>
        <v>0</v>
      </c>
    </row>
    <row r="2443" spans="18:19" x14ac:dyDescent="0.25">
      <c r="R2443" s="2">
        <f>Таблица1[[#This Row],[Дата перевода]]-Таблица1[[#This Row],[Дата поступления]]</f>
        <v>0</v>
      </c>
      <c r="S2443" s="2">
        <f>Таблица1[[#This Row],[Дата поступления]]-Таблица1[[#This Row],[Дата рождения]]</f>
        <v>0</v>
      </c>
    </row>
    <row r="2444" spans="18:19" x14ac:dyDescent="0.25">
      <c r="R2444" s="2">
        <f>Таблица1[[#This Row],[Дата перевода]]-Таблица1[[#This Row],[Дата поступления]]</f>
        <v>0</v>
      </c>
      <c r="S2444" s="2">
        <f>Таблица1[[#This Row],[Дата поступления]]-Таблица1[[#This Row],[Дата рождения]]</f>
        <v>0</v>
      </c>
    </row>
    <row r="2445" spans="18:19" x14ac:dyDescent="0.25">
      <c r="R2445" s="2">
        <f>Таблица1[[#This Row],[Дата перевода]]-Таблица1[[#This Row],[Дата поступления]]</f>
        <v>0</v>
      </c>
      <c r="S2445" s="2">
        <f>Таблица1[[#This Row],[Дата поступления]]-Таблица1[[#This Row],[Дата рождения]]</f>
        <v>0</v>
      </c>
    </row>
    <row r="2446" spans="18:19" x14ac:dyDescent="0.25">
      <c r="R2446" s="2">
        <f>Таблица1[[#This Row],[Дата перевода]]-Таблица1[[#This Row],[Дата поступления]]</f>
        <v>0</v>
      </c>
      <c r="S2446" s="2">
        <f>Таблица1[[#This Row],[Дата поступления]]-Таблица1[[#This Row],[Дата рождения]]</f>
        <v>0</v>
      </c>
    </row>
    <row r="2447" spans="18:19" x14ac:dyDescent="0.25">
      <c r="R2447" s="2">
        <f>Таблица1[[#This Row],[Дата перевода]]-Таблица1[[#This Row],[Дата поступления]]</f>
        <v>0</v>
      </c>
      <c r="S2447" s="2">
        <f>Таблица1[[#This Row],[Дата поступления]]-Таблица1[[#This Row],[Дата рождения]]</f>
        <v>0</v>
      </c>
    </row>
    <row r="2448" spans="18:19" x14ac:dyDescent="0.25">
      <c r="R2448" s="2">
        <f>Таблица1[[#This Row],[Дата перевода]]-Таблица1[[#This Row],[Дата поступления]]</f>
        <v>0</v>
      </c>
      <c r="S2448" s="2">
        <f>Таблица1[[#This Row],[Дата поступления]]-Таблица1[[#This Row],[Дата рождения]]</f>
        <v>0</v>
      </c>
    </row>
    <row r="2449" spans="18:19" x14ac:dyDescent="0.25">
      <c r="R2449" s="2">
        <f>Таблица1[[#This Row],[Дата перевода]]-Таблица1[[#This Row],[Дата поступления]]</f>
        <v>0</v>
      </c>
      <c r="S2449" s="2">
        <f>Таблица1[[#This Row],[Дата поступления]]-Таблица1[[#This Row],[Дата рождения]]</f>
        <v>0</v>
      </c>
    </row>
    <row r="2450" spans="18:19" x14ac:dyDescent="0.25">
      <c r="R2450" s="2">
        <f>Таблица1[[#This Row],[Дата перевода]]-Таблица1[[#This Row],[Дата поступления]]</f>
        <v>0</v>
      </c>
      <c r="S2450" s="2">
        <f>Таблица1[[#This Row],[Дата поступления]]-Таблица1[[#This Row],[Дата рождения]]</f>
        <v>0</v>
      </c>
    </row>
    <row r="2451" spans="18:19" x14ac:dyDescent="0.25">
      <c r="R2451" s="2">
        <f>Таблица1[[#This Row],[Дата перевода]]-Таблица1[[#This Row],[Дата поступления]]</f>
        <v>0</v>
      </c>
      <c r="S2451" s="2">
        <f>Таблица1[[#This Row],[Дата поступления]]-Таблица1[[#This Row],[Дата рождения]]</f>
        <v>0</v>
      </c>
    </row>
    <row r="2452" spans="18:19" x14ac:dyDescent="0.25">
      <c r="R2452" s="2">
        <f>Таблица1[[#This Row],[Дата перевода]]-Таблица1[[#This Row],[Дата поступления]]</f>
        <v>0</v>
      </c>
      <c r="S2452" s="2">
        <f>Таблица1[[#This Row],[Дата поступления]]-Таблица1[[#This Row],[Дата рождения]]</f>
        <v>0</v>
      </c>
    </row>
    <row r="2453" spans="18:19" x14ac:dyDescent="0.25">
      <c r="R2453" s="2">
        <f>Таблица1[[#This Row],[Дата перевода]]-Таблица1[[#This Row],[Дата поступления]]</f>
        <v>0</v>
      </c>
      <c r="S2453" s="2">
        <f>Таблица1[[#This Row],[Дата поступления]]-Таблица1[[#This Row],[Дата рождения]]</f>
        <v>0</v>
      </c>
    </row>
    <row r="2454" spans="18:19" x14ac:dyDescent="0.25">
      <c r="R2454" s="2">
        <f>Таблица1[[#This Row],[Дата перевода]]-Таблица1[[#This Row],[Дата поступления]]</f>
        <v>0</v>
      </c>
      <c r="S2454" s="2">
        <f>Таблица1[[#This Row],[Дата поступления]]-Таблица1[[#This Row],[Дата рождения]]</f>
        <v>0</v>
      </c>
    </row>
    <row r="2455" spans="18:19" x14ac:dyDescent="0.25">
      <c r="R2455" s="2">
        <f>Таблица1[[#This Row],[Дата перевода]]-Таблица1[[#This Row],[Дата поступления]]</f>
        <v>0</v>
      </c>
      <c r="S2455" s="2">
        <f>Таблица1[[#This Row],[Дата поступления]]-Таблица1[[#This Row],[Дата рождения]]</f>
        <v>0</v>
      </c>
    </row>
    <row r="2456" spans="18:19" x14ac:dyDescent="0.25">
      <c r="R2456" s="2">
        <f>Таблица1[[#This Row],[Дата перевода]]-Таблица1[[#This Row],[Дата поступления]]</f>
        <v>0</v>
      </c>
      <c r="S2456" s="2">
        <f>Таблица1[[#This Row],[Дата поступления]]-Таблица1[[#This Row],[Дата рождения]]</f>
        <v>0</v>
      </c>
    </row>
    <row r="2457" spans="18:19" x14ac:dyDescent="0.25">
      <c r="R2457" s="2">
        <f>Таблица1[[#This Row],[Дата перевода]]-Таблица1[[#This Row],[Дата поступления]]</f>
        <v>0</v>
      </c>
      <c r="S2457" s="2">
        <f>Таблица1[[#This Row],[Дата поступления]]-Таблица1[[#This Row],[Дата рождения]]</f>
        <v>0</v>
      </c>
    </row>
    <row r="2458" spans="18:19" x14ac:dyDescent="0.25">
      <c r="R2458" s="2">
        <f>Таблица1[[#This Row],[Дата перевода]]-Таблица1[[#This Row],[Дата поступления]]</f>
        <v>0</v>
      </c>
      <c r="S2458" s="2">
        <f>Таблица1[[#This Row],[Дата поступления]]-Таблица1[[#This Row],[Дата рождения]]</f>
        <v>0</v>
      </c>
    </row>
    <row r="2459" spans="18:19" x14ac:dyDescent="0.25">
      <c r="R2459" s="2">
        <f>Таблица1[[#This Row],[Дата перевода]]-Таблица1[[#This Row],[Дата поступления]]</f>
        <v>0</v>
      </c>
      <c r="S2459" s="2">
        <f>Таблица1[[#This Row],[Дата поступления]]-Таблица1[[#This Row],[Дата рождения]]</f>
        <v>0</v>
      </c>
    </row>
    <row r="2460" spans="18:19" x14ac:dyDescent="0.25">
      <c r="R2460" s="2">
        <f>Таблица1[[#This Row],[Дата перевода]]-Таблица1[[#This Row],[Дата поступления]]</f>
        <v>0</v>
      </c>
      <c r="S2460" s="2">
        <f>Таблица1[[#This Row],[Дата поступления]]-Таблица1[[#This Row],[Дата рождения]]</f>
        <v>0</v>
      </c>
    </row>
    <row r="2461" spans="18:19" x14ac:dyDescent="0.25">
      <c r="R2461" s="2">
        <f>Таблица1[[#This Row],[Дата перевода]]-Таблица1[[#This Row],[Дата поступления]]</f>
        <v>0</v>
      </c>
      <c r="S2461" s="2">
        <f>Таблица1[[#This Row],[Дата поступления]]-Таблица1[[#This Row],[Дата рождения]]</f>
        <v>0</v>
      </c>
    </row>
    <row r="2462" spans="18:19" x14ac:dyDescent="0.25">
      <c r="R2462" s="2">
        <f>Таблица1[[#This Row],[Дата перевода]]-Таблица1[[#This Row],[Дата поступления]]</f>
        <v>0</v>
      </c>
      <c r="S2462" s="2">
        <f>Таблица1[[#This Row],[Дата поступления]]-Таблица1[[#This Row],[Дата рождения]]</f>
        <v>0</v>
      </c>
    </row>
    <row r="2463" spans="18:19" x14ac:dyDescent="0.25">
      <c r="R2463" s="2">
        <f>Таблица1[[#This Row],[Дата перевода]]-Таблица1[[#This Row],[Дата поступления]]</f>
        <v>0</v>
      </c>
      <c r="S2463" s="2">
        <f>Таблица1[[#This Row],[Дата поступления]]-Таблица1[[#This Row],[Дата рождения]]</f>
        <v>0</v>
      </c>
    </row>
    <row r="2464" spans="18:19" x14ac:dyDescent="0.25">
      <c r="R2464" s="2">
        <f>Таблица1[[#This Row],[Дата перевода]]-Таблица1[[#This Row],[Дата поступления]]</f>
        <v>0</v>
      </c>
      <c r="S2464" s="2">
        <f>Таблица1[[#This Row],[Дата поступления]]-Таблица1[[#This Row],[Дата рождения]]</f>
        <v>0</v>
      </c>
    </row>
    <row r="2465" spans="18:19" x14ac:dyDescent="0.25">
      <c r="R2465" s="2">
        <f>Таблица1[[#This Row],[Дата перевода]]-Таблица1[[#This Row],[Дата поступления]]</f>
        <v>0</v>
      </c>
      <c r="S2465" s="2">
        <f>Таблица1[[#This Row],[Дата поступления]]-Таблица1[[#This Row],[Дата рождения]]</f>
        <v>0</v>
      </c>
    </row>
    <row r="2466" spans="18:19" x14ac:dyDescent="0.25">
      <c r="R2466" s="2">
        <f>Таблица1[[#This Row],[Дата перевода]]-Таблица1[[#This Row],[Дата поступления]]</f>
        <v>0</v>
      </c>
      <c r="S2466" s="2">
        <f>Таблица1[[#This Row],[Дата поступления]]-Таблица1[[#This Row],[Дата рождения]]</f>
        <v>0</v>
      </c>
    </row>
    <row r="2467" spans="18:19" x14ac:dyDescent="0.25">
      <c r="R2467" s="2">
        <f>Таблица1[[#This Row],[Дата перевода]]-Таблица1[[#This Row],[Дата поступления]]</f>
        <v>0</v>
      </c>
      <c r="S2467" s="2">
        <f>Таблица1[[#This Row],[Дата поступления]]-Таблица1[[#This Row],[Дата рождения]]</f>
        <v>0</v>
      </c>
    </row>
    <row r="2468" spans="18:19" x14ac:dyDescent="0.25">
      <c r="R2468" s="2">
        <f>Таблица1[[#This Row],[Дата перевода]]-Таблица1[[#This Row],[Дата поступления]]</f>
        <v>0</v>
      </c>
      <c r="S2468" s="2">
        <f>Таблица1[[#This Row],[Дата поступления]]-Таблица1[[#This Row],[Дата рождения]]</f>
        <v>0</v>
      </c>
    </row>
    <row r="2469" spans="18:19" x14ac:dyDescent="0.25">
      <c r="R2469" s="2">
        <f>Таблица1[[#This Row],[Дата перевода]]-Таблица1[[#This Row],[Дата поступления]]</f>
        <v>0</v>
      </c>
      <c r="S2469" s="2">
        <f>Таблица1[[#This Row],[Дата поступления]]-Таблица1[[#This Row],[Дата рождения]]</f>
        <v>0</v>
      </c>
    </row>
    <row r="2470" spans="18:19" x14ac:dyDescent="0.25">
      <c r="R2470" s="2">
        <f>Таблица1[[#This Row],[Дата перевода]]-Таблица1[[#This Row],[Дата поступления]]</f>
        <v>0</v>
      </c>
      <c r="S2470" s="2">
        <f>Таблица1[[#This Row],[Дата поступления]]-Таблица1[[#This Row],[Дата рождения]]</f>
        <v>0</v>
      </c>
    </row>
    <row r="2471" spans="18:19" x14ac:dyDescent="0.25">
      <c r="R2471" s="2">
        <f>Таблица1[[#This Row],[Дата перевода]]-Таблица1[[#This Row],[Дата поступления]]</f>
        <v>0</v>
      </c>
      <c r="S2471" s="2">
        <f>Таблица1[[#This Row],[Дата поступления]]-Таблица1[[#This Row],[Дата рождения]]</f>
        <v>0</v>
      </c>
    </row>
    <row r="2472" spans="18:19" x14ac:dyDescent="0.25">
      <c r="R2472" s="2">
        <f>Таблица1[[#This Row],[Дата перевода]]-Таблица1[[#This Row],[Дата поступления]]</f>
        <v>0</v>
      </c>
      <c r="S2472" s="2">
        <f>Таблица1[[#This Row],[Дата поступления]]-Таблица1[[#This Row],[Дата рождения]]</f>
        <v>0</v>
      </c>
    </row>
    <row r="2473" spans="18:19" x14ac:dyDescent="0.25">
      <c r="R2473" s="2">
        <f>Таблица1[[#This Row],[Дата перевода]]-Таблица1[[#This Row],[Дата поступления]]</f>
        <v>0</v>
      </c>
      <c r="S2473" s="2">
        <f>Таблица1[[#This Row],[Дата поступления]]-Таблица1[[#This Row],[Дата рождения]]</f>
        <v>0</v>
      </c>
    </row>
    <row r="2474" spans="18:19" x14ac:dyDescent="0.25">
      <c r="R2474" s="2">
        <f>Таблица1[[#This Row],[Дата перевода]]-Таблица1[[#This Row],[Дата поступления]]</f>
        <v>0</v>
      </c>
      <c r="S2474" s="2">
        <f>Таблица1[[#This Row],[Дата поступления]]-Таблица1[[#This Row],[Дата рождения]]</f>
        <v>0</v>
      </c>
    </row>
    <row r="2475" spans="18:19" x14ac:dyDescent="0.25">
      <c r="R2475" s="2">
        <f>Таблица1[[#This Row],[Дата перевода]]-Таблица1[[#This Row],[Дата поступления]]</f>
        <v>0</v>
      </c>
      <c r="S2475" s="2">
        <f>Таблица1[[#This Row],[Дата поступления]]-Таблица1[[#This Row],[Дата рождения]]</f>
        <v>0</v>
      </c>
    </row>
    <row r="2476" spans="18:19" x14ac:dyDescent="0.25">
      <c r="R2476" s="2">
        <f>Таблица1[[#This Row],[Дата перевода]]-Таблица1[[#This Row],[Дата поступления]]</f>
        <v>0</v>
      </c>
      <c r="S2476" s="2">
        <f>Таблица1[[#This Row],[Дата поступления]]-Таблица1[[#This Row],[Дата рождения]]</f>
        <v>0</v>
      </c>
    </row>
    <row r="2477" spans="18:19" x14ac:dyDescent="0.25">
      <c r="R2477" s="2">
        <f>Таблица1[[#This Row],[Дата перевода]]-Таблица1[[#This Row],[Дата поступления]]</f>
        <v>0</v>
      </c>
      <c r="S2477" s="2">
        <f>Таблица1[[#This Row],[Дата поступления]]-Таблица1[[#This Row],[Дата рождения]]</f>
        <v>0</v>
      </c>
    </row>
    <row r="2478" spans="18:19" x14ac:dyDescent="0.25">
      <c r="R2478" s="2">
        <f>Таблица1[[#This Row],[Дата перевода]]-Таблица1[[#This Row],[Дата поступления]]</f>
        <v>0</v>
      </c>
      <c r="S2478" s="2">
        <f>Таблица1[[#This Row],[Дата поступления]]-Таблица1[[#This Row],[Дата рождения]]</f>
        <v>0</v>
      </c>
    </row>
    <row r="2479" spans="18:19" x14ac:dyDescent="0.25">
      <c r="R2479" s="2">
        <f>Таблица1[[#This Row],[Дата перевода]]-Таблица1[[#This Row],[Дата поступления]]</f>
        <v>0</v>
      </c>
      <c r="S2479" s="2">
        <f>Таблица1[[#This Row],[Дата поступления]]-Таблица1[[#This Row],[Дата рождения]]</f>
        <v>0</v>
      </c>
    </row>
    <row r="2480" spans="18:19" x14ac:dyDescent="0.25">
      <c r="R2480" s="2">
        <f>Таблица1[[#This Row],[Дата перевода]]-Таблица1[[#This Row],[Дата поступления]]</f>
        <v>0</v>
      </c>
      <c r="S2480" s="2">
        <f>Таблица1[[#This Row],[Дата поступления]]-Таблица1[[#This Row],[Дата рождения]]</f>
        <v>0</v>
      </c>
    </row>
    <row r="2481" spans="18:19" x14ac:dyDescent="0.25">
      <c r="R2481" s="2">
        <f>Таблица1[[#This Row],[Дата перевода]]-Таблица1[[#This Row],[Дата поступления]]</f>
        <v>0</v>
      </c>
      <c r="S2481" s="2">
        <f>Таблица1[[#This Row],[Дата поступления]]-Таблица1[[#This Row],[Дата рождения]]</f>
        <v>0</v>
      </c>
    </row>
    <row r="2482" spans="18:19" x14ac:dyDescent="0.25">
      <c r="R2482" s="2">
        <f>Таблица1[[#This Row],[Дата перевода]]-Таблица1[[#This Row],[Дата поступления]]</f>
        <v>0</v>
      </c>
      <c r="S2482" s="2">
        <f>Таблица1[[#This Row],[Дата поступления]]-Таблица1[[#This Row],[Дата рождения]]</f>
        <v>0</v>
      </c>
    </row>
    <row r="2483" spans="18:19" x14ac:dyDescent="0.25">
      <c r="R2483" s="2">
        <f>Таблица1[[#This Row],[Дата перевода]]-Таблица1[[#This Row],[Дата поступления]]</f>
        <v>0</v>
      </c>
      <c r="S2483" s="2">
        <f>Таблица1[[#This Row],[Дата поступления]]-Таблица1[[#This Row],[Дата рождения]]</f>
        <v>0</v>
      </c>
    </row>
    <row r="2484" spans="18:19" x14ac:dyDescent="0.25">
      <c r="R2484" s="2">
        <f>Таблица1[[#This Row],[Дата перевода]]-Таблица1[[#This Row],[Дата поступления]]</f>
        <v>0</v>
      </c>
      <c r="S2484" s="2">
        <f>Таблица1[[#This Row],[Дата поступления]]-Таблица1[[#This Row],[Дата рождения]]</f>
        <v>0</v>
      </c>
    </row>
    <row r="2485" spans="18:19" x14ac:dyDescent="0.25">
      <c r="R2485" s="2">
        <f>Таблица1[[#This Row],[Дата перевода]]-Таблица1[[#This Row],[Дата поступления]]</f>
        <v>0</v>
      </c>
      <c r="S2485" s="2">
        <f>Таблица1[[#This Row],[Дата поступления]]-Таблица1[[#This Row],[Дата рождения]]</f>
        <v>0</v>
      </c>
    </row>
    <row r="2486" spans="18:19" x14ac:dyDescent="0.25">
      <c r="R2486" s="2">
        <f>Таблица1[[#This Row],[Дата перевода]]-Таблица1[[#This Row],[Дата поступления]]</f>
        <v>0</v>
      </c>
      <c r="S2486" s="2">
        <f>Таблица1[[#This Row],[Дата поступления]]-Таблица1[[#This Row],[Дата рождения]]</f>
        <v>0</v>
      </c>
    </row>
    <row r="2487" spans="18:19" x14ac:dyDescent="0.25">
      <c r="R2487" s="2">
        <f>Таблица1[[#This Row],[Дата перевода]]-Таблица1[[#This Row],[Дата поступления]]</f>
        <v>0</v>
      </c>
      <c r="S2487" s="2">
        <f>Таблица1[[#This Row],[Дата поступления]]-Таблица1[[#This Row],[Дата рождения]]</f>
        <v>0</v>
      </c>
    </row>
    <row r="2488" spans="18:19" x14ac:dyDescent="0.25">
      <c r="R2488" s="2">
        <f>Таблица1[[#This Row],[Дата перевода]]-Таблица1[[#This Row],[Дата поступления]]</f>
        <v>0</v>
      </c>
      <c r="S2488" s="2">
        <f>Таблица1[[#This Row],[Дата поступления]]-Таблица1[[#This Row],[Дата рождения]]</f>
        <v>0</v>
      </c>
    </row>
    <row r="2489" spans="18:19" x14ac:dyDescent="0.25">
      <c r="R2489" s="2">
        <f>Таблица1[[#This Row],[Дата перевода]]-Таблица1[[#This Row],[Дата поступления]]</f>
        <v>0</v>
      </c>
      <c r="S2489" s="2">
        <f>Таблица1[[#This Row],[Дата поступления]]-Таблица1[[#This Row],[Дата рождения]]</f>
        <v>0</v>
      </c>
    </row>
    <row r="2490" spans="18:19" x14ac:dyDescent="0.25">
      <c r="R2490" s="2">
        <f>Таблица1[[#This Row],[Дата перевода]]-Таблица1[[#This Row],[Дата поступления]]</f>
        <v>0</v>
      </c>
      <c r="S2490" s="2">
        <f>Таблица1[[#This Row],[Дата поступления]]-Таблица1[[#This Row],[Дата рождения]]</f>
        <v>0</v>
      </c>
    </row>
    <row r="2491" spans="18:19" x14ac:dyDescent="0.25">
      <c r="R2491" s="2">
        <f>Таблица1[[#This Row],[Дата перевода]]-Таблица1[[#This Row],[Дата поступления]]</f>
        <v>0</v>
      </c>
      <c r="S2491" s="2">
        <f>Таблица1[[#This Row],[Дата поступления]]-Таблица1[[#This Row],[Дата рождения]]</f>
        <v>0</v>
      </c>
    </row>
    <row r="2492" spans="18:19" x14ac:dyDescent="0.25">
      <c r="R2492" s="2">
        <f>Таблица1[[#This Row],[Дата перевода]]-Таблица1[[#This Row],[Дата поступления]]</f>
        <v>0</v>
      </c>
      <c r="S2492" s="2">
        <f>Таблица1[[#This Row],[Дата поступления]]-Таблица1[[#This Row],[Дата рождения]]</f>
        <v>0</v>
      </c>
    </row>
    <row r="2493" spans="18:19" x14ac:dyDescent="0.25">
      <c r="R2493" s="2">
        <f>Таблица1[[#This Row],[Дата перевода]]-Таблица1[[#This Row],[Дата поступления]]</f>
        <v>0</v>
      </c>
      <c r="S2493" s="2">
        <f>Таблица1[[#This Row],[Дата поступления]]-Таблица1[[#This Row],[Дата рождения]]</f>
        <v>0</v>
      </c>
    </row>
    <row r="2494" spans="18:19" x14ac:dyDescent="0.25">
      <c r="R2494" s="2">
        <f>Таблица1[[#This Row],[Дата перевода]]-Таблица1[[#This Row],[Дата поступления]]</f>
        <v>0</v>
      </c>
      <c r="S2494" s="2">
        <f>Таблица1[[#This Row],[Дата поступления]]-Таблица1[[#This Row],[Дата рождения]]</f>
        <v>0</v>
      </c>
    </row>
    <row r="2495" spans="18:19" x14ac:dyDescent="0.25">
      <c r="R2495" s="2">
        <f>Таблица1[[#This Row],[Дата перевода]]-Таблица1[[#This Row],[Дата поступления]]</f>
        <v>0</v>
      </c>
      <c r="S2495" s="2">
        <f>Таблица1[[#This Row],[Дата поступления]]-Таблица1[[#This Row],[Дата рождения]]</f>
        <v>0</v>
      </c>
    </row>
    <row r="2496" spans="18:19" x14ac:dyDescent="0.25">
      <c r="R2496" s="2">
        <f>Таблица1[[#This Row],[Дата перевода]]-Таблица1[[#This Row],[Дата поступления]]</f>
        <v>0</v>
      </c>
      <c r="S2496" s="2">
        <f>Таблица1[[#This Row],[Дата поступления]]-Таблица1[[#This Row],[Дата рождения]]</f>
        <v>0</v>
      </c>
    </row>
    <row r="2497" spans="18:19" x14ac:dyDescent="0.25">
      <c r="R2497" s="2">
        <f>Таблица1[[#This Row],[Дата перевода]]-Таблица1[[#This Row],[Дата поступления]]</f>
        <v>0</v>
      </c>
      <c r="S2497" s="2">
        <f>Таблица1[[#This Row],[Дата поступления]]-Таблица1[[#This Row],[Дата рождения]]</f>
        <v>0</v>
      </c>
    </row>
    <row r="2498" spans="18:19" x14ac:dyDescent="0.25">
      <c r="R2498" s="2">
        <f>Таблица1[[#This Row],[Дата перевода]]-Таблица1[[#This Row],[Дата поступления]]</f>
        <v>0</v>
      </c>
      <c r="S2498" s="2">
        <f>Таблица1[[#This Row],[Дата поступления]]-Таблица1[[#This Row],[Дата рождения]]</f>
        <v>0</v>
      </c>
    </row>
    <row r="2499" spans="18:19" x14ac:dyDescent="0.25">
      <c r="R2499" s="2">
        <f>Таблица1[[#This Row],[Дата перевода]]-Таблица1[[#This Row],[Дата поступления]]</f>
        <v>0</v>
      </c>
      <c r="S2499" s="2">
        <f>Таблица1[[#This Row],[Дата поступления]]-Таблица1[[#This Row],[Дата рождения]]</f>
        <v>0</v>
      </c>
    </row>
    <row r="2500" spans="18:19" x14ac:dyDescent="0.25">
      <c r="R2500" s="2">
        <f>Таблица1[[#This Row],[Дата перевода]]-Таблица1[[#This Row],[Дата поступления]]</f>
        <v>0</v>
      </c>
      <c r="S2500" s="2">
        <f>Таблица1[[#This Row],[Дата поступления]]-Таблица1[[#This Row],[Дата рождения]]</f>
        <v>0</v>
      </c>
    </row>
    <row r="2501" spans="18:19" x14ac:dyDescent="0.25">
      <c r="R2501" s="2">
        <f>Таблица1[[#This Row],[Дата перевода]]-Таблица1[[#This Row],[Дата поступления]]</f>
        <v>0</v>
      </c>
      <c r="S2501" s="2">
        <f>Таблица1[[#This Row],[Дата поступления]]-Таблица1[[#This Row],[Дата рождения]]</f>
        <v>0</v>
      </c>
    </row>
    <row r="2502" spans="18:19" x14ac:dyDescent="0.25">
      <c r="R2502" s="2">
        <f>Таблица1[[#This Row],[Дата перевода]]-Таблица1[[#This Row],[Дата поступления]]</f>
        <v>0</v>
      </c>
      <c r="S2502" s="2">
        <f>Таблица1[[#This Row],[Дата поступления]]-Таблица1[[#This Row],[Дата рождения]]</f>
        <v>0</v>
      </c>
    </row>
    <row r="2503" spans="18:19" x14ac:dyDescent="0.25">
      <c r="R2503" s="2"/>
      <c r="S2503" s="2"/>
    </row>
    <row r="2504" spans="18:19" x14ac:dyDescent="0.25">
      <c r="R2504" s="2"/>
      <c r="S2504" s="2"/>
    </row>
    <row r="2505" spans="18:19" x14ac:dyDescent="0.25">
      <c r="R2505" s="2"/>
      <c r="S2505" s="2"/>
    </row>
  </sheetData>
  <pageMargins left="0.7" right="0.7" top="0.75" bottom="0.75" header="0.3" footer="0.3"/>
  <pageSetup paperSize="9" orientation="portrait" verticalDpi="0" r:id="rId1"/>
  <ignoredErrors>
    <ignoredError sqref="F2:F8 H3:H13 J2:J8 J9 L3:L7 L8 N2:N8 D2:D8 D9 B2:B6 F9" calculatedColumn="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D19" sqref="D19"/>
    </sheetView>
  </sheetViews>
  <sheetFormatPr defaultRowHeight="15" x14ac:dyDescent="0.25"/>
  <cols>
    <col min="1" max="1" width="51" customWidth="1"/>
  </cols>
  <sheetData>
    <row r="1" spans="1:13" x14ac:dyDescent="0.25">
      <c r="A1" s="1" t="s">
        <v>50</v>
      </c>
      <c r="B1" s="1" t="s">
        <v>16</v>
      </c>
      <c r="C1" s="1"/>
      <c r="D1" s="1"/>
      <c r="E1" s="1"/>
      <c r="I1" s="1"/>
      <c r="J1" s="1"/>
      <c r="K1" s="1"/>
      <c r="L1" s="1"/>
      <c r="M1" s="1"/>
    </row>
    <row r="2" spans="1:13" x14ac:dyDescent="0.25">
      <c r="A2" s="1" t="s">
        <v>51</v>
      </c>
      <c r="B2">
        <f>COUNTIF(Лист1!M:M,"=Инфекционные и паразитарные болезни")</f>
        <v>6</v>
      </c>
    </row>
    <row r="3" spans="1:13" x14ac:dyDescent="0.25">
      <c r="A3" s="1" t="s">
        <v>52</v>
      </c>
      <c r="B3">
        <f>COUNTIF(Лист1!M:M,"=Новообразования")</f>
        <v>8</v>
      </c>
    </row>
    <row r="4" spans="1:13" x14ac:dyDescent="0.25">
      <c r="A4" s="1" t="s">
        <v>53</v>
      </c>
      <c r="B4">
        <f>COUNTIF(Лист1!M:M,"=Болезни крови и кроветворных органов")</f>
        <v>14</v>
      </c>
    </row>
    <row r="5" spans="1:13" ht="25.5" x14ac:dyDescent="0.25">
      <c r="A5" s="1" t="s">
        <v>54</v>
      </c>
      <c r="B5">
        <f>COUNTIF(Лист1!M:M,"=Болезни эндокринной системы и нарушения обмена веществ")</f>
        <v>26</v>
      </c>
    </row>
    <row r="6" spans="1:13" x14ac:dyDescent="0.25">
      <c r="A6" s="1" t="s">
        <v>55</v>
      </c>
      <c r="B6">
        <f>COUNTIF(Лист1!M:M,"=Психические расстройства")</f>
        <v>1</v>
      </c>
    </row>
    <row r="7" spans="1:13" x14ac:dyDescent="0.25">
      <c r="A7" s="1" t="s">
        <v>56</v>
      </c>
      <c r="B7">
        <f>COUNTIF(Лист1!M:M,"=Ретинопатии")</f>
        <v>1</v>
      </c>
    </row>
    <row r="8" spans="1:13" x14ac:dyDescent="0.25">
      <c r="A8" s="1" t="s">
        <v>57</v>
      </c>
      <c r="B8">
        <f>COUNTIF(Лист1!M:M,"=Болезни нервной системы и органов чувств")</f>
        <v>116</v>
      </c>
    </row>
    <row r="9" spans="1:13" x14ac:dyDescent="0.25">
      <c r="A9" s="1" t="s">
        <v>58</v>
      </c>
      <c r="B9">
        <f>COUNTIF(Лист1!M:M,"=Болезни системы кровообращения")</f>
        <v>9</v>
      </c>
    </row>
    <row r="10" spans="1:13" x14ac:dyDescent="0.25">
      <c r="A10" s="1" t="s">
        <v>59</v>
      </c>
      <c r="B10">
        <f>COUNTIF(Лист1!M:M,"=Болезни органов дыхания")</f>
        <v>44</v>
      </c>
    </row>
    <row r="11" spans="1:13" x14ac:dyDescent="0.25">
      <c r="A11" s="1" t="s">
        <v>60</v>
      </c>
      <c r="B11">
        <f>COUNTIF(Лист1!M:M,"=Болезни органов пищеварения")</f>
        <v>111</v>
      </c>
    </row>
    <row r="12" spans="1:13" x14ac:dyDescent="0.25">
      <c r="A12" s="1" t="s">
        <v>61</v>
      </c>
      <c r="B12">
        <f>COUNTIF(Лист1!M:M,"=Болезни мочеполовой системы")</f>
        <v>22</v>
      </c>
    </row>
    <row r="13" spans="1:13" x14ac:dyDescent="0.25">
      <c r="A13" s="1" t="s">
        <v>62</v>
      </c>
      <c r="B13">
        <f>COUNTIF(Лист1!M:M,"=Болезни костно-мышечного аппарата")</f>
        <v>44</v>
      </c>
    </row>
    <row r="14" spans="1:13" x14ac:dyDescent="0.25">
      <c r="A14" s="1" t="s">
        <v>63</v>
      </c>
      <c r="B14">
        <f>COUNTIF(Лист1!M:M,"=Травма сочетанная и изолированная")</f>
        <v>46</v>
      </c>
    </row>
    <row r="15" spans="1:13" x14ac:dyDescent="0.25">
      <c r="A15" s="1" t="s">
        <v>64</v>
      </c>
      <c r="B15">
        <f>COUNTIF(Лист1!M:M,"=Флегмоны, абсцессы и другие повреждения мягких тканей")</f>
        <v>2</v>
      </c>
    </row>
    <row r="16" spans="1:13" x14ac:dyDescent="0.25">
      <c r="A16" s="1" t="s">
        <v>65</v>
      </c>
      <c r="B16">
        <f>COUNTIF(Лист1!M:M,"=Ожоговая травма")</f>
        <v>44</v>
      </c>
    </row>
    <row r="17" spans="1:2" x14ac:dyDescent="0.25">
      <c r="A17" s="1" t="s">
        <v>66</v>
      </c>
      <c r="B17">
        <f>COUNTIF(Лист1!M:M,"=Отравления")</f>
        <v>39</v>
      </c>
    </row>
    <row r="18" spans="1:2" x14ac:dyDescent="0.25">
      <c r="A18" s="1" t="s">
        <v>67</v>
      </c>
      <c r="B18">
        <f>COUNTIF(Лист1!M:M,"=Пороки и врождённые аномалии развития")</f>
        <v>10</v>
      </c>
    </row>
    <row r="19" spans="1:2" x14ac:dyDescent="0.25">
      <c r="A19" s="1" t="s">
        <v>68</v>
      </c>
      <c r="B19">
        <f>COUNTIF(Лист2!S:S,"&lt;=28")-COUNTIF(Лист2!S:S,"=0")</f>
        <v>21</v>
      </c>
    </row>
    <row r="20" spans="1:2" x14ac:dyDescent="0.25">
      <c r="A20" s="1" t="s">
        <v>69</v>
      </c>
      <c r="B20">
        <f>COUNTIF(Лист2!S:S,"&lt;1825")-COUNTIF(Лист2!S:S,"&lt;=28")</f>
        <v>236</v>
      </c>
    </row>
    <row r="21" spans="1:2" x14ac:dyDescent="0.25">
      <c r="A21" s="1" t="s">
        <v>70</v>
      </c>
      <c r="B21">
        <f>COUNTIF(Лист2!S:S,"&lt;4380")-COUNTIF(Лист2!S:S,"&lt;1825")</f>
        <v>136</v>
      </c>
    </row>
    <row r="22" spans="1:2" x14ac:dyDescent="0.25">
      <c r="A22" s="1" t="s">
        <v>71</v>
      </c>
      <c r="B22">
        <f>COUNTIF(Лист2!S:S,"&lt;=6575")-COUNTIF(Лист2!S:S,"&lt;4380")</f>
        <v>138</v>
      </c>
    </row>
    <row r="23" spans="1:2" x14ac:dyDescent="0.25">
      <c r="A23" s="1" t="s">
        <v>101</v>
      </c>
      <c r="B23" s="13">
        <f>SUM(B2:B18)</f>
        <v>543</v>
      </c>
    </row>
  </sheetData>
  <pageMargins left="0.7" right="0.7" top="0.75" bottom="0.75" header="0.3" footer="0.3"/>
  <pageSetup paperSize="9" orientation="portrait" verticalDpi="0" r:id="rId1"/>
  <ignoredErrors>
    <ignoredError sqref="B2:B23"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Лист1</vt:lpstr>
      <vt:lpstr>Лист2</vt:lpstr>
      <vt:lpstr>Лист3</vt:lpstr>
      <vt:lpstr>Канал_поступления</vt:lpstr>
      <vt:lpstr>Категории_диагнозов</vt:lpstr>
      <vt:lpstr>Куда_переведён</vt:lpstr>
      <vt:lpstr>Манипуляции</vt:lpstr>
      <vt:lpstr>Отделения</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2022-10-25T10:29:02Z</dcterms:modified>
</cp:coreProperties>
</file>